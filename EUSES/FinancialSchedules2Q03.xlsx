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318ABF3-E56C-4174-8FEE-69B102A60EB6}" xr6:coauthVersionLast="45" xr6:coauthVersionMax="45" xr10:uidLastSave="{00000000-0000-0000-0000-000000000000}"/>
  <bookViews>
    <workbookView xWindow="1900" yWindow="1900" windowWidth="28800" windowHeight="15460" activeTab="5"/>
  </bookViews>
  <sheets>
    <sheet name="Balance Sheet" sheetId="1" r:id="rId1"/>
    <sheet name="2nd QTR 03" sheetId="3" r:id="rId2"/>
    <sheet name="YTD 03" sheetId="7" r:id="rId3"/>
    <sheet name="2nd QTR 02" sheetId="6" r:id="rId4"/>
    <sheet name="YTD 02" sheetId="8" r:id="rId5"/>
    <sheet name="Cash Flow" sheetId="9" r:id="rId6"/>
  </sheets>
  <definedNames>
    <definedName name="_xlnm.Print_Area" localSheetId="3">'2nd QTR 02'!$A$1:$K$51</definedName>
    <definedName name="_xlnm.Print_Area" localSheetId="1">'2nd QTR 03'!$A$1:$L$51</definedName>
    <definedName name="_xlnm.Print_Area" localSheetId="0">'Balance Sheet'!$A$1:$J$47</definedName>
    <definedName name="_xlnm.Print_Area" localSheetId="4">'YTD 02'!$A$1:$K$51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1" i="6" l="1"/>
  <c r="J13" i="6"/>
  <c r="J15" i="6"/>
  <c r="J17" i="6"/>
  <c r="J19" i="6"/>
  <c r="N19" i="3" s="1"/>
  <c r="J22" i="6"/>
  <c r="J23" i="6"/>
  <c r="J24" i="6"/>
  <c r="N24" i="3" s="1"/>
  <c r="J25" i="6"/>
  <c r="J27" i="6"/>
  <c r="J29" i="6"/>
  <c r="N29" i="3" s="1"/>
  <c r="J31" i="6"/>
  <c r="J11" i="3"/>
  <c r="L11" i="3"/>
  <c r="N11" i="3"/>
  <c r="P11" i="3"/>
  <c r="R11" i="3"/>
  <c r="T11" i="3"/>
  <c r="V11" i="3"/>
  <c r="J13" i="3"/>
  <c r="N13" i="3" s="1"/>
  <c r="L13" i="3"/>
  <c r="P13" i="3"/>
  <c r="R13" i="3" s="1"/>
  <c r="T13" i="3"/>
  <c r="V13" i="3"/>
  <c r="J15" i="3"/>
  <c r="L15" i="3"/>
  <c r="N15" i="3"/>
  <c r="P15" i="3"/>
  <c r="R15" i="3" s="1"/>
  <c r="T15" i="3"/>
  <c r="V15" i="3"/>
  <c r="J17" i="3"/>
  <c r="L17" i="3"/>
  <c r="N17" i="3"/>
  <c r="P17" i="3"/>
  <c r="R17" i="3"/>
  <c r="T17" i="3"/>
  <c r="V17" i="3"/>
  <c r="J19" i="3"/>
  <c r="L19" i="3"/>
  <c r="P19" i="3"/>
  <c r="R19" i="3"/>
  <c r="T19" i="3"/>
  <c r="V19" i="3"/>
  <c r="J22" i="3"/>
  <c r="L22" i="3"/>
  <c r="N22" i="3"/>
  <c r="P22" i="3"/>
  <c r="R22" i="3"/>
  <c r="T22" i="3"/>
  <c r="V22" i="3"/>
  <c r="J23" i="3"/>
  <c r="L23" i="3"/>
  <c r="N23" i="3"/>
  <c r="P23" i="3"/>
  <c r="R23" i="3"/>
  <c r="T23" i="3"/>
  <c r="V23" i="3" s="1"/>
  <c r="J24" i="3"/>
  <c r="L24" i="3"/>
  <c r="P24" i="3"/>
  <c r="R24" i="3"/>
  <c r="T24" i="3"/>
  <c r="V24" i="3"/>
  <c r="J25" i="3"/>
  <c r="L25" i="3"/>
  <c r="N25" i="3"/>
  <c r="P25" i="3"/>
  <c r="R25" i="3"/>
  <c r="T25" i="3"/>
  <c r="V25" i="3"/>
  <c r="J27" i="3"/>
  <c r="L27" i="3"/>
  <c r="N27" i="3"/>
  <c r="P27" i="3"/>
  <c r="R27" i="3"/>
  <c r="T27" i="3"/>
  <c r="V27" i="3"/>
  <c r="J29" i="3"/>
  <c r="L29" i="3"/>
  <c r="P29" i="3"/>
  <c r="R29" i="3"/>
  <c r="T29" i="3"/>
  <c r="V29" i="3"/>
  <c r="J31" i="3"/>
  <c r="L31" i="3"/>
  <c r="N31" i="3"/>
  <c r="P31" i="3"/>
  <c r="R31" i="3"/>
  <c r="T31" i="3"/>
  <c r="V31" i="3"/>
  <c r="P34" i="3"/>
  <c r="R34" i="3"/>
  <c r="T34" i="3"/>
  <c r="V34" i="3"/>
  <c r="P35" i="3"/>
  <c r="R35" i="3"/>
  <c r="T35" i="3"/>
  <c r="V35" i="3"/>
  <c r="J11" i="8"/>
  <c r="J13" i="8"/>
  <c r="J15" i="8"/>
  <c r="J17" i="8"/>
  <c r="J19" i="8"/>
  <c r="J22" i="8"/>
  <c r="J23" i="8"/>
  <c r="J24" i="8"/>
  <c r="J25" i="8"/>
  <c r="J27" i="8"/>
  <c r="J29" i="8"/>
  <c r="J31" i="8"/>
  <c r="J11" i="7"/>
  <c r="L11" i="7"/>
  <c r="N11" i="7"/>
  <c r="P11" i="7"/>
  <c r="R11" i="7" s="1"/>
  <c r="T11" i="7"/>
  <c r="V11" i="7"/>
  <c r="J13" i="7"/>
  <c r="L13" i="7"/>
  <c r="N13" i="7"/>
  <c r="P13" i="7"/>
  <c r="R13" i="7"/>
  <c r="T13" i="7"/>
  <c r="V13" i="7"/>
  <c r="J15" i="7"/>
  <c r="L15" i="7"/>
  <c r="N15" i="7"/>
  <c r="P15" i="7"/>
  <c r="R15" i="7"/>
  <c r="T15" i="7"/>
  <c r="V15" i="7"/>
  <c r="J17" i="7"/>
  <c r="L17" i="7"/>
  <c r="N17" i="7"/>
  <c r="P17" i="7"/>
  <c r="R17" i="7"/>
  <c r="T17" i="7"/>
  <c r="V17" i="7" s="1"/>
  <c r="J19" i="7"/>
  <c r="L19" i="7"/>
  <c r="N19" i="7"/>
  <c r="P19" i="7"/>
  <c r="R19" i="7"/>
  <c r="T19" i="7"/>
  <c r="V19" i="7" s="1"/>
  <c r="J22" i="7"/>
  <c r="L22" i="7"/>
  <c r="N22" i="7"/>
  <c r="P22" i="7"/>
  <c r="R22" i="7"/>
  <c r="T22" i="7"/>
  <c r="V22" i="7" s="1"/>
  <c r="J23" i="7"/>
  <c r="N23" i="7" s="1"/>
  <c r="L23" i="7"/>
  <c r="P23" i="7"/>
  <c r="R23" i="7"/>
  <c r="T23" i="7"/>
  <c r="V23" i="7"/>
  <c r="J24" i="7"/>
  <c r="L24" i="7"/>
  <c r="N24" i="7"/>
  <c r="P24" i="7"/>
  <c r="R24" i="7"/>
  <c r="T24" i="7"/>
  <c r="V24" i="7"/>
  <c r="J25" i="7"/>
  <c r="L25" i="7"/>
  <c r="N25" i="7"/>
  <c r="P25" i="7"/>
  <c r="R25" i="7"/>
  <c r="T25" i="7"/>
  <c r="V25" i="7"/>
  <c r="J27" i="7"/>
  <c r="N27" i="7" s="1"/>
  <c r="L27" i="7"/>
  <c r="P27" i="7"/>
  <c r="R27" i="7"/>
  <c r="T27" i="7"/>
  <c r="V27" i="7"/>
  <c r="J29" i="7"/>
  <c r="L29" i="7"/>
  <c r="N29" i="7"/>
  <c r="P29" i="7"/>
  <c r="R29" i="7"/>
  <c r="T29" i="7"/>
  <c r="V29" i="7"/>
  <c r="J31" i="7"/>
  <c r="L31" i="7"/>
  <c r="N31" i="7"/>
  <c r="P31" i="7"/>
  <c r="R31" i="7"/>
  <c r="T31" i="7"/>
  <c r="V31" i="7"/>
  <c r="P34" i="7"/>
  <c r="R34" i="7"/>
  <c r="T34" i="7"/>
  <c r="V34" i="7"/>
  <c r="P35" i="7"/>
  <c r="R35" i="7"/>
  <c r="T35" i="7"/>
  <c r="V35" i="7"/>
</calcChain>
</file>

<file path=xl/sharedStrings.xml><?xml version="1.0" encoding="utf-8"?>
<sst xmlns="http://schemas.openxmlformats.org/spreadsheetml/2006/main" count="241" uniqueCount="112">
  <si>
    <t>(in thousands)</t>
  </si>
  <si>
    <t>Current assets:</t>
  </si>
  <si>
    <t>Cash and cash equivalents</t>
  </si>
  <si>
    <t>Receivables, net</t>
  </si>
  <si>
    <t>Other current assets</t>
  </si>
  <si>
    <t>Total current assets</t>
  </si>
  <si>
    <t>Property and equipment, net</t>
  </si>
  <si>
    <t>Assets held for sale</t>
  </si>
  <si>
    <t>Other assets, net</t>
  </si>
  <si>
    <t>Assets</t>
  </si>
  <si>
    <t>Liabilities and Stockholders' Equity</t>
  </si>
  <si>
    <t>Current liabilities:</t>
  </si>
  <si>
    <t>Bank overdrafts</t>
  </si>
  <si>
    <t>Current portion of long-term debt</t>
  </si>
  <si>
    <t>Accounts payable</t>
  </si>
  <si>
    <t>Accrued expenses</t>
  </si>
  <si>
    <t>Other current liabilities</t>
  </si>
  <si>
    <t>Total current liabilities</t>
  </si>
  <si>
    <t>Long-term debt</t>
  </si>
  <si>
    <t>Other long-term liabilities</t>
  </si>
  <si>
    <t>Net sales</t>
  </si>
  <si>
    <t>Cost of sales, including purchasing and warehousing costs</t>
  </si>
  <si>
    <t>Gross profit</t>
  </si>
  <si>
    <t>Selling, general and administrative expenses</t>
  </si>
  <si>
    <t>Operating income</t>
  </si>
  <si>
    <t xml:space="preserve">   Interest expense</t>
  </si>
  <si>
    <t>Dilutive effect of stock options</t>
  </si>
  <si>
    <t>Comparable</t>
  </si>
  <si>
    <t>Advance Auto Parts, Inc. and Subsidiaries</t>
  </si>
  <si>
    <t>(in thousands, except per share data)</t>
  </si>
  <si>
    <t>Adjustment for</t>
  </si>
  <si>
    <t>Average common shares outstanding - assuming dilution</t>
  </si>
  <si>
    <t>NOTE: These balance sheets do not include the footnotes required by generally accepted</t>
  </si>
  <si>
    <t>Total stockholders' equity</t>
  </si>
  <si>
    <t>( a )</t>
  </si>
  <si>
    <t>( b )</t>
  </si>
  <si>
    <t xml:space="preserve">accounting principles for complete financial statements. </t>
  </si>
  <si>
    <t>Provision for income taxes</t>
  </si>
  <si>
    <t>Net income</t>
  </si>
  <si>
    <t>Other, net:</t>
  </si>
  <si>
    <t xml:space="preserve">   Other income, net</t>
  </si>
  <si>
    <t>Total other, net</t>
  </si>
  <si>
    <t>Inventories, net</t>
  </si>
  <si>
    <t>December 28,</t>
  </si>
  <si>
    <t>Consolidated Balance Sheets</t>
  </si>
  <si>
    <t>Consolidated Statements of Operations</t>
  </si>
  <si>
    <t>GAAP</t>
  </si>
  <si>
    <t>NOTE:  These preliminary statements of operations have been prepared on a consistent basis with previously presented statements of operations</t>
  </si>
  <si>
    <t>and do not include the footnotes required by generally accepted accounting principles for complete financial statements.</t>
  </si>
  <si>
    <t xml:space="preserve">( a )   Represents the non-recurring merger and integration expenses associated with the integration of the Discount Auto Parts operations. </t>
  </si>
  <si>
    <t xml:space="preserve">   Loss on extinguishment of debt</t>
  </si>
  <si>
    <t>Income before provision for income taxes</t>
  </si>
  <si>
    <t>Items</t>
  </si>
  <si>
    <t>Non-recurring</t>
  </si>
  <si>
    <t>Net income per share:</t>
  </si>
  <si>
    <t>Basic</t>
  </si>
  <si>
    <t>Diluted</t>
  </si>
  <si>
    <t>Inc (Dcr)</t>
  </si>
  <si>
    <t xml:space="preserve">GAAP </t>
  </si>
  <si>
    <t>$ Change</t>
  </si>
  <si>
    <t>% Change</t>
  </si>
  <si>
    <t xml:space="preserve">Comparable </t>
  </si>
  <si>
    <t>July 13,</t>
  </si>
  <si>
    <t>July 12,</t>
  </si>
  <si>
    <t>Twelve Week Periods Ended</t>
  </si>
  <si>
    <t>Twenty-Eight Week Periods Ended</t>
  </si>
  <si>
    <t xml:space="preserve">        July 13, 2002, we had 35,665 shares outstanding.</t>
  </si>
  <si>
    <t xml:space="preserve">        July 12, 2003, we had 36,686 shares outstanding.</t>
  </si>
  <si>
    <t>Average common shares outstanding ( c )</t>
  </si>
  <si>
    <t>( b )  This adjustment reflects the tax impact for the non-recurring items discussed above at a 38.5% effective tax rate.</t>
  </si>
  <si>
    <t>( c )  Average common shares outstanding is calculated based on the weighted average number of shares outstanding for the quarter.  At</t>
  </si>
  <si>
    <t>( c )</t>
  </si>
  <si>
    <t>( b )  This adjustment reflects the deferred loan costs, unamortized discounts and the premiums paid upon the complete repurchase and</t>
  </si>
  <si>
    <t>( c )  This adjustment reflects the tax impact for the non-recurring items discussed above at a 38.5% effective tax rate.</t>
  </si>
  <si>
    <t>( d )  Average common shares outstanding is calculated based on the weighted average number of shares outstanding for the quarter.  At</t>
  </si>
  <si>
    <t>Average common shares outstanding ( d )</t>
  </si>
  <si>
    <t>( c )  This adjustment reflects the tax impact for the non-recurring items discussed above at a 38.8% effective tax rate.</t>
  </si>
  <si>
    <t xml:space="preserve">         retirement of our outstanding bonds during the first quarter of 2003. </t>
  </si>
  <si>
    <t>facility and reflects the ratable portion of deferred loan costs and the premium paid upon the repurchase and retirement of outstanding bonds.</t>
  </si>
  <si>
    <t>( b )  This adjustment reflects the current and deferred loan costs associated with the Company's refinancing of the tranche B term loan under its senior credit</t>
  </si>
  <si>
    <t xml:space="preserve">July 12, </t>
  </si>
  <si>
    <t xml:space="preserve">July 13, </t>
  </si>
  <si>
    <t>Cash flows from operating activities:</t>
  </si>
  <si>
    <t>Consolidated Statements of Cash Flows</t>
  </si>
  <si>
    <t>Depreciation</t>
  </si>
  <si>
    <t>Loss on extinguishment of debt</t>
  </si>
  <si>
    <t>Other non-cash adjustments to net income</t>
  </si>
  <si>
    <t>Other assets</t>
  </si>
  <si>
    <t xml:space="preserve">Accounts payable </t>
  </si>
  <si>
    <t>Other liabilities</t>
  </si>
  <si>
    <t>Net cash provided by operating activities</t>
  </si>
  <si>
    <t>Cash flows from investing activities:</t>
  </si>
  <si>
    <t>Purchases of property and equipment</t>
  </si>
  <si>
    <t>Proceeds from sales of property and equipment</t>
  </si>
  <si>
    <t>Net cash used in investing activities</t>
  </si>
  <si>
    <t>Cash flows from financing activities:</t>
  </si>
  <si>
    <t>Increase in bank overdrafts</t>
  </si>
  <si>
    <t>Early extinguishment of debt, including debt related costs</t>
  </si>
  <si>
    <t>Other net financing activities</t>
  </si>
  <si>
    <t>Net cash used in financing activities</t>
  </si>
  <si>
    <t>Increase in cash and cash equivalents</t>
  </si>
  <si>
    <t>Cash and cash equivalents, beginning of period</t>
  </si>
  <si>
    <t>Cash and cash equivalents, end of period</t>
  </si>
  <si>
    <t>Increase (decrease) in :</t>
  </si>
  <si>
    <t xml:space="preserve">NOTE:  These preliminary statements of cash flows have been prepared on a consistent basis with previously presented statements of </t>
  </si>
  <si>
    <t>cash flows and do not include the footnotes required by generally accepted accounting principles for complete financial statements.</t>
  </si>
  <si>
    <t>Provision for deferred income taxes</t>
  </si>
  <si>
    <t>Proceeds from the issuance of common stock</t>
  </si>
  <si>
    <t>Proceeds from the exercise of stock options</t>
  </si>
  <si>
    <t>Decrease (increase)  in :</t>
  </si>
  <si>
    <t>Payment of debt related costs</t>
  </si>
  <si>
    <t>Net borrowings under the credit facility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</si>
</sst>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0" formatCode="_(&quot;$&quot;* #,##0.00_);_(&quot;$&quot;* \(#,##0.00\);_(&quot;$&quot;* &quot;-&quot;??_);_(@_)"/>
    <numFmt numFmtId="171" formatCode="_(* #,##0.00_);_(* \(#,##0.00\);_(* &quot;-&quot;??_);_(@_)"/>
    <numFmt numFmtId="173" formatCode="_(&quot;$&quot;* #,##0_);_(&quot;$&quot;* \(#,##0\);_(&quot;$&quot;* &quot;-&quot;??_);_(@_)"/>
    <numFmt numFmtId="175" formatCode="_(* #,##0_);_(* \(#,##0\);_(* &quot;-&quot;??_);_(@_)"/>
    <numFmt numFmtId="177" formatCode="0.0%"/>
    <numFmt numFmtId="178" formatCode="0.000%"/>
    <numFmt numFmtId="181" formatCode="mmmm\ d\,\ yyyy"/>
  </numFmts>
  <fonts count="8" x14ac:knownFonts="1">
    <font>
      <sz val="10"/>
      <name val="Arial"/>
    </font>
    <font>
      <sz val="10"/>
      <name val="Arial"/>
    </font>
    <font>
      <b/>
      <sz val="10"/>
      <name val="Times New Roman"/>
      <family val="1"/>
    </font>
    <font>
      <sz val="10"/>
      <name val="Times New Roman"/>
      <family val="1"/>
    </font>
    <font>
      <b/>
      <u/>
      <sz val="10"/>
      <name val="Times New Roman"/>
      <family val="1"/>
    </font>
    <font>
      <i/>
      <sz val="10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 applyBorder="1" applyAlignment="1">
      <alignment horizontal="center"/>
    </xf>
    <xf numFmtId="10" fontId="2" fillId="0" borderId="0" xfId="3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81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173" fontId="3" fillId="0" borderId="0" xfId="2" applyNumberFormat="1" applyFont="1"/>
    <xf numFmtId="173" fontId="3" fillId="0" borderId="0" xfId="2" applyNumberFormat="1" applyFont="1" applyBorder="1"/>
    <xf numFmtId="173" fontId="3" fillId="0" borderId="0" xfId="0" applyNumberFormat="1" applyFont="1" applyBorder="1"/>
    <xf numFmtId="175" fontId="3" fillId="0" borderId="0" xfId="1" applyNumberFormat="1" applyFont="1"/>
    <xf numFmtId="175" fontId="3" fillId="0" borderId="0" xfId="1" applyNumberFormat="1" applyFont="1" applyBorder="1"/>
    <xf numFmtId="175" fontId="3" fillId="0" borderId="1" xfId="1" applyNumberFormat="1" applyFont="1" applyBorder="1"/>
    <xf numFmtId="175" fontId="3" fillId="0" borderId="1" xfId="1" applyNumberFormat="1" applyFont="1" applyFill="1" applyBorder="1"/>
    <xf numFmtId="0" fontId="3" fillId="0" borderId="0" xfId="0" applyFont="1" applyBorder="1"/>
    <xf numFmtId="175" fontId="3" fillId="0" borderId="0" xfId="1" applyNumberFormat="1" applyFont="1" applyFill="1" applyBorder="1"/>
    <xf numFmtId="173" fontId="3" fillId="0" borderId="2" xfId="2" applyNumberFormat="1" applyFont="1" applyBorder="1"/>
    <xf numFmtId="177" fontId="3" fillId="0" borderId="0" xfId="3" applyNumberFormat="1" applyFont="1" applyBorder="1"/>
    <xf numFmtId="0" fontId="5" fillId="0" borderId="0" xfId="0" applyFont="1"/>
    <xf numFmtId="10" fontId="3" fillId="0" borderId="0" xfId="3" applyNumberFormat="1" applyFont="1"/>
    <xf numFmtId="10" fontId="3" fillId="0" borderId="0" xfId="3" applyNumberFormat="1" applyFont="1" applyBorder="1"/>
    <xf numFmtId="10" fontId="2" fillId="0" borderId="0" xfId="3" applyNumberFormat="1" applyFont="1" applyBorder="1" applyAlignment="1">
      <alignment horizontal="center"/>
    </xf>
    <xf numFmtId="0" fontId="2" fillId="0" borderId="0" xfId="1" applyNumberFormat="1" applyFont="1" applyAlignment="1">
      <alignment horizontal="center"/>
    </xf>
    <xf numFmtId="0" fontId="3" fillId="0" borderId="0" xfId="0" applyFont="1" applyBorder="1" applyAlignment="1">
      <alignment horizontal="center"/>
    </xf>
    <xf numFmtId="10" fontId="3" fillId="0" borderId="0" xfId="3" applyNumberFormat="1" applyFont="1" applyBorder="1" applyAlignment="1">
      <alignment horizontal="center"/>
    </xf>
    <xf numFmtId="170" fontId="3" fillId="0" borderId="0" xfId="2" applyFont="1"/>
    <xf numFmtId="10" fontId="3" fillId="0" borderId="0" xfId="0" applyNumberFormat="1" applyFont="1"/>
    <xf numFmtId="175" fontId="3" fillId="0" borderId="0" xfId="0" applyNumberFormat="1" applyFont="1" applyBorder="1"/>
    <xf numFmtId="178" fontId="3" fillId="0" borderId="0" xfId="0" applyNumberFormat="1" applyFont="1" applyBorder="1"/>
    <xf numFmtId="175" fontId="3" fillId="0" borderId="3" xfId="1" applyNumberFormat="1" applyFont="1" applyBorder="1"/>
    <xf numFmtId="173" fontId="3" fillId="0" borderId="4" xfId="2" applyNumberFormat="1" applyFont="1" applyBorder="1"/>
    <xf numFmtId="170" fontId="3" fillId="0" borderId="0" xfId="2" applyFont="1" applyBorder="1"/>
    <xf numFmtId="171" fontId="3" fillId="0" borderId="0" xfId="1" applyNumberFormat="1" applyFont="1" applyBorder="1"/>
    <xf numFmtId="171" fontId="3" fillId="0" borderId="0" xfId="1" applyNumberFormat="1" applyFont="1"/>
    <xf numFmtId="170" fontId="3" fillId="0" borderId="0" xfId="2" applyNumberFormat="1" applyFont="1" applyBorder="1"/>
    <xf numFmtId="175" fontId="3" fillId="0" borderId="2" xfId="1" applyNumberFormat="1" applyFont="1" applyBorder="1"/>
    <xf numFmtId="0" fontId="6" fillId="0" borderId="0" xfId="0" applyFont="1"/>
    <xf numFmtId="0" fontId="6" fillId="0" borderId="0" xfId="0" applyFont="1" applyFill="1"/>
    <xf numFmtId="0" fontId="3" fillId="0" borderId="0" xfId="0" applyFont="1" applyFill="1"/>
    <xf numFmtId="0" fontId="7" fillId="0" borderId="0" xfId="0" applyFont="1"/>
    <xf numFmtId="0" fontId="2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181" fontId="2" fillId="0" borderId="1" xfId="0" applyNumberFormat="1" applyFont="1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6"/>
  <sheetViews>
    <sheetView topLeftCell="A10" workbookViewId="0">
      <selection activeCell="F36" sqref="F36"/>
    </sheetView>
  </sheetViews>
  <sheetFormatPr defaultColWidth="9.1796875" defaultRowHeight="13" x14ac:dyDescent="0.3"/>
  <cols>
    <col min="1" max="1" width="3.26953125" style="4" customWidth="1"/>
    <col min="2" max="2" width="3.453125" style="4" customWidth="1"/>
    <col min="3" max="3" width="25" style="4" customWidth="1"/>
    <col min="4" max="4" width="10.1796875" style="4" customWidth="1"/>
    <col min="5" max="5" width="3.54296875" style="4" customWidth="1"/>
    <col min="6" max="6" width="13.54296875" style="4" customWidth="1"/>
    <col min="7" max="7" width="3.1796875" style="4" customWidth="1"/>
    <col min="8" max="8" width="13" style="4" customWidth="1"/>
    <col min="9" max="9" width="2.7265625" style="4" customWidth="1"/>
    <col min="10" max="10" width="12.81640625" style="4" bestFit="1" customWidth="1"/>
    <col min="11" max="16384" width="9.1796875" style="4"/>
  </cols>
  <sheetData>
    <row r="1" spans="1:11" x14ac:dyDescent="0.3">
      <c r="A1" s="44" t="s">
        <v>28</v>
      </c>
      <c r="B1" s="44"/>
      <c r="C1" s="44"/>
      <c r="D1" s="44"/>
      <c r="E1" s="44"/>
      <c r="F1" s="44"/>
      <c r="G1" s="44"/>
      <c r="H1" s="44"/>
      <c r="I1" s="44"/>
      <c r="J1" s="44"/>
    </row>
    <row r="2" spans="1:11" x14ac:dyDescent="0.3">
      <c r="A2" s="44" t="s">
        <v>44</v>
      </c>
      <c r="B2" s="44"/>
      <c r="C2" s="44"/>
      <c r="D2" s="44"/>
      <c r="E2" s="44"/>
      <c r="F2" s="44"/>
      <c r="G2" s="44"/>
      <c r="H2" s="44"/>
      <c r="I2" s="44"/>
      <c r="J2" s="44"/>
    </row>
    <row r="3" spans="1:11" x14ac:dyDescent="0.3">
      <c r="A3" s="45" t="s">
        <v>0</v>
      </c>
      <c r="B3" s="45"/>
      <c r="C3" s="45"/>
      <c r="D3" s="45"/>
      <c r="E3" s="45"/>
      <c r="F3" s="45"/>
      <c r="G3" s="45"/>
      <c r="H3" s="45"/>
      <c r="I3" s="45"/>
      <c r="J3" s="45"/>
    </row>
    <row r="4" spans="1:11" x14ac:dyDescent="0.3">
      <c r="A4" s="5"/>
      <c r="B4" s="5"/>
      <c r="C4" s="5"/>
      <c r="D4" s="5"/>
      <c r="E4" s="5"/>
      <c r="F4" s="5"/>
      <c r="G4" s="5"/>
      <c r="H4" s="5"/>
    </row>
    <row r="6" spans="1:11" x14ac:dyDescent="0.3">
      <c r="F6" s="6" t="s">
        <v>63</v>
      </c>
      <c r="H6" s="3" t="s">
        <v>43</v>
      </c>
      <c r="J6" s="3" t="s">
        <v>62</v>
      </c>
    </row>
    <row r="7" spans="1:11" x14ac:dyDescent="0.3">
      <c r="F7" s="7">
        <v>2003</v>
      </c>
      <c r="H7" s="7">
        <v>2002</v>
      </c>
      <c r="J7" s="7">
        <v>2002</v>
      </c>
    </row>
    <row r="8" spans="1:11" x14ac:dyDescent="0.3">
      <c r="F8" s="5"/>
      <c r="H8" s="5"/>
    </row>
    <row r="9" spans="1:11" x14ac:dyDescent="0.3">
      <c r="A9" s="43" t="s">
        <v>9</v>
      </c>
      <c r="B9" s="43"/>
      <c r="C9" s="43"/>
      <c r="D9" s="43"/>
      <c r="E9" s="43"/>
      <c r="F9" s="5"/>
      <c r="H9" s="5"/>
    </row>
    <row r="10" spans="1:11" x14ac:dyDescent="0.3">
      <c r="F10" s="5"/>
      <c r="H10" s="5"/>
    </row>
    <row r="11" spans="1:11" x14ac:dyDescent="0.3">
      <c r="A11" s="8" t="s">
        <v>1</v>
      </c>
    </row>
    <row r="12" spans="1:11" x14ac:dyDescent="0.3">
      <c r="B12" s="4" t="s">
        <v>2</v>
      </c>
      <c r="F12" s="9">
        <v>46074</v>
      </c>
      <c r="H12" s="9">
        <v>13885</v>
      </c>
      <c r="J12" s="10">
        <v>39544</v>
      </c>
      <c r="K12" s="11"/>
    </row>
    <row r="13" spans="1:11" x14ac:dyDescent="0.3">
      <c r="B13" s="4" t="s">
        <v>3</v>
      </c>
      <c r="F13" s="12">
        <v>93350</v>
      </c>
      <c r="H13" s="12">
        <v>102574</v>
      </c>
      <c r="J13" s="13">
        <v>118101</v>
      </c>
      <c r="K13" s="11"/>
    </row>
    <row r="14" spans="1:11" x14ac:dyDescent="0.3">
      <c r="B14" s="4" t="s">
        <v>42</v>
      </c>
      <c r="F14" s="12">
        <v>1079884</v>
      </c>
      <c r="H14" s="12">
        <v>1048803</v>
      </c>
      <c r="J14" s="13">
        <v>1074653</v>
      </c>
      <c r="K14" s="11"/>
    </row>
    <row r="15" spans="1:11" x14ac:dyDescent="0.3">
      <c r="B15" s="4" t="s">
        <v>4</v>
      </c>
      <c r="F15" s="14">
        <v>34664</v>
      </c>
      <c r="H15" s="14">
        <v>20210</v>
      </c>
      <c r="J15" s="15">
        <v>49970</v>
      </c>
      <c r="K15" s="11"/>
    </row>
    <row r="16" spans="1:11" x14ac:dyDescent="0.3">
      <c r="C16" s="4" t="s">
        <v>5</v>
      </c>
      <c r="F16" s="12">
        <v>1253972</v>
      </c>
      <c r="H16" s="12">
        <v>1185472</v>
      </c>
      <c r="J16" s="12">
        <v>1282268</v>
      </c>
      <c r="K16" s="11"/>
    </row>
    <row r="17" spans="1:11" x14ac:dyDescent="0.3">
      <c r="F17" s="12"/>
      <c r="H17" s="12"/>
      <c r="J17" s="16"/>
      <c r="K17" s="11"/>
    </row>
    <row r="18" spans="1:11" x14ac:dyDescent="0.3">
      <c r="B18" s="8" t="s">
        <v>6</v>
      </c>
      <c r="F18" s="12">
        <v>711222</v>
      </c>
      <c r="H18" s="12">
        <v>728432</v>
      </c>
      <c r="J18" s="17">
        <v>715697</v>
      </c>
      <c r="K18" s="11"/>
    </row>
    <row r="19" spans="1:11" x14ac:dyDescent="0.3">
      <c r="B19" s="8" t="s">
        <v>7</v>
      </c>
      <c r="F19" s="12">
        <v>24897</v>
      </c>
      <c r="H19" s="12">
        <v>28346</v>
      </c>
      <c r="J19" s="17">
        <v>46200</v>
      </c>
      <c r="K19" s="11"/>
    </row>
    <row r="20" spans="1:11" x14ac:dyDescent="0.3">
      <c r="B20" s="8" t="s">
        <v>8</v>
      </c>
      <c r="F20" s="14">
        <v>11997</v>
      </c>
      <c r="H20" s="14">
        <v>22975</v>
      </c>
      <c r="J20" s="17">
        <v>25933</v>
      </c>
      <c r="K20" s="11"/>
    </row>
    <row r="21" spans="1:11" ht="13.5" thickBot="1" x14ac:dyDescent="0.35">
      <c r="F21" s="18">
        <v>2002088</v>
      </c>
      <c r="H21" s="18">
        <v>1965225</v>
      </c>
      <c r="J21" s="18">
        <v>2070098</v>
      </c>
      <c r="K21" s="11"/>
    </row>
    <row r="22" spans="1:11" ht="13.5" thickTop="1" x14ac:dyDescent="0.3">
      <c r="F22" s="12"/>
      <c r="H22" s="12"/>
      <c r="J22" s="16"/>
      <c r="K22" s="11"/>
    </row>
    <row r="23" spans="1:11" x14ac:dyDescent="0.3">
      <c r="A23" s="43" t="s">
        <v>10</v>
      </c>
      <c r="B23" s="43"/>
      <c r="C23" s="43"/>
      <c r="D23" s="43"/>
      <c r="E23" s="43"/>
      <c r="F23" s="12"/>
      <c r="H23" s="12"/>
      <c r="J23" s="16"/>
      <c r="K23" s="11"/>
    </row>
    <row r="24" spans="1:11" x14ac:dyDescent="0.3">
      <c r="F24" s="12"/>
      <c r="H24" s="12"/>
      <c r="J24" s="16"/>
      <c r="K24" s="11"/>
    </row>
    <row r="25" spans="1:11" x14ac:dyDescent="0.3">
      <c r="A25" s="8" t="s">
        <v>11</v>
      </c>
      <c r="F25" s="12"/>
      <c r="H25" s="12"/>
      <c r="J25" s="16"/>
      <c r="K25" s="11"/>
    </row>
    <row r="26" spans="1:11" x14ac:dyDescent="0.3">
      <c r="B26" s="4" t="s">
        <v>12</v>
      </c>
      <c r="F26" s="9">
        <v>14372</v>
      </c>
      <c r="H26" s="9">
        <v>869</v>
      </c>
      <c r="J26" s="10">
        <v>0</v>
      </c>
      <c r="K26" s="11"/>
    </row>
    <row r="27" spans="1:11" x14ac:dyDescent="0.3">
      <c r="B27" s="4" t="s">
        <v>13</v>
      </c>
      <c r="F27" s="12">
        <v>4577</v>
      </c>
      <c r="H27" s="12">
        <v>10690</v>
      </c>
      <c r="J27" s="13">
        <v>11549</v>
      </c>
      <c r="K27" s="11"/>
    </row>
    <row r="28" spans="1:11" x14ac:dyDescent="0.3">
      <c r="B28" s="4" t="s">
        <v>14</v>
      </c>
      <c r="F28" s="12">
        <v>591827</v>
      </c>
      <c r="H28" s="12">
        <v>470740</v>
      </c>
      <c r="J28" s="13">
        <v>585119</v>
      </c>
      <c r="K28" s="11"/>
    </row>
    <row r="29" spans="1:11" x14ac:dyDescent="0.3">
      <c r="B29" s="4" t="s">
        <v>15</v>
      </c>
      <c r="F29" s="12">
        <v>207055</v>
      </c>
      <c r="H29" s="12">
        <v>208176</v>
      </c>
      <c r="J29" s="17">
        <v>209192</v>
      </c>
      <c r="K29" s="11"/>
    </row>
    <row r="30" spans="1:11" x14ac:dyDescent="0.3">
      <c r="B30" s="4" t="s">
        <v>16</v>
      </c>
      <c r="F30" s="14">
        <v>44068</v>
      </c>
      <c r="H30" s="14">
        <v>32101</v>
      </c>
      <c r="J30" s="15">
        <v>39676</v>
      </c>
      <c r="K30" s="11"/>
    </row>
    <row r="31" spans="1:11" x14ac:dyDescent="0.3">
      <c r="C31" s="4" t="s">
        <v>17</v>
      </c>
      <c r="F31" s="12">
        <v>861899</v>
      </c>
      <c r="H31" s="12">
        <v>722576</v>
      </c>
      <c r="J31" s="12">
        <v>845536</v>
      </c>
      <c r="K31" s="11"/>
    </row>
    <row r="32" spans="1:11" x14ac:dyDescent="0.3">
      <c r="F32" s="12"/>
      <c r="H32" s="12"/>
      <c r="J32" s="16"/>
      <c r="K32" s="11"/>
    </row>
    <row r="33" spans="1:11" x14ac:dyDescent="0.3">
      <c r="B33" s="8" t="s">
        <v>18</v>
      </c>
      <c r="F33" s="13">
        <v>531512</v>
      </c>
      <c r="G33" s="16"/>
      <c r="H33" s="13">
        <v>724832</v>
      </c>
      <c r="J33" s="17">
        <v>762270</v>
      </c>
      <c r="K33" s="11"/>
    </row>
    <row r="34" spans="1:11" x14ac:dyDescent="0.3">
      <c r="B34" s="8" t="s">
        <v>19</v>
      </c>
      <c r="F34" s="13">
        <v>67698</v>
      </c>
      <c r="G34" s="16"/>
      <c r="H34" s="13">
        <v>49461</v>
      </c>
      <c r="J34" s="17">
        <v>35400</v>
      </c>
      <c r="K34" s="11"/>
    </row>
    <row r="35" spans="1:11" x14ac:dyDescent="0.3">
      <c r="B35" s="8" t="s">
        <v>33</v>
      </c>
      <c r="F35" s="14">
        <v>540979</v>
      </c>
      <c r="H35" s="14">
        <v>468356</v>
      </c>
      <c r="J35" s="17">
        <v>426892</v>
      </c>
      <c r="K35" s="11"/>
    </row>
    <row r="36" spans="1:11" ht="13.5" thickBot="1" x14ac:dyDescent="0.35">
      <c r="F36" s="18">
        <v>2002088</v>
      </c>
      <c r="H36" s="18">
        <v>1965225</v>
      </c>
      <c r="J36" s="18">
        <v>2070098</v>
      </c>
      <c r="K36" s="11"/>
    </row>
    <row r="37" spans="1:11" ht="13.5" thickTop="1" x14ac:dyDescent="0.3">
      <c r="F37" s="10"/>
      <c r="H37" s="10"/>
      <c r="J37" s="16"/>
      <c r="K37" s="11"/>
    </row>
    <row r="38" spans="1:11" x14ac:dyDescent="0.3">
      <c r="F38" s="10"/>
      <c r="H38" s="10"/>
      <c r="J38" s="16"/>
      <c r="K38" s="11"/>
    </row>
    <row r="39" spans="1:11" x14ac:dyDescent="0.3">
      <c r="F39" s="13"/>
      <c r="H39" s="19"/>
      <c r="J39" s="16"/>
      <c r="K39" s="16"/>
    </row>
    <row r="40" spans="1:11" x14ac:dyDescent="0.3">
      <c r="F40" s="10"/>
      <c r="H40" s="10"/>
    </row>
    <row r="41" spans="1:11" x14ac:dyDescent="0.3">
      <c r="F41" s="10"/>
      <c r="H41" s="10"/>
    </row>
    <row r="42" spans="1:11" x14ac:dyDescent="0.3">
      <c r="F42" s="10"/>
      <c r="H42" s="10"/>
    </row>
    <row r="44" spans="1:11" x14ac:dyDescent="0.3">
      <c r="A44" s="20" t="s">
        <v>32</v>
      </c>
      <c r="B44" s="20"/>
      <c r="C44" s="20"/>
      <c r="D44" s="20"/>
      <c r="E44" s="20"/>
      <c r="F44" s="20"/>
      <c r="G44" s="20"/>
      <c r="H44" s="20"/>
    </row>
    <row r="45" spans="1:11" x14ac:dyDescent="0.3">
      <c r="A45" s="20" t="s">
        <v>36</v>
      </c>
      <c r="B45" s="20"/>
      <c r="C45" s="20"/>
      <c r="D45" s="20"/>
      <c r="E45" s="20"/>
      <c r="F45" s="20"/>
      <c r="G45" s="20"/>
      <c r="H45" s="20"/>
    </row>
    <row r="46" spans="1:11" x14ac:dyDescent="0.3">
      <c r="A46" s="20"/>
      <c r="B46" s="20"/>
      <c r="C46" s="20"/>
      <c r="D46" s="20"/>
      <c r="E46" s="20"/>
      <c r="F46" s="20"/>
      <c r="G46" s="20"/>
      <c r="H46" s="20"/>
    </row>
  </sheetData>
  <mergeCells count="5">
    <mergeCell ref="A9:E9"/>
    <mergeCell ref="A23:E23"/>
    <mergeCell ref="A1:J1"/>
    <mergeCell ref="A2:J2"/>
    <mergeCell ref="A3:J3"/>
  </mergeCells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Y51"/>
  <sheetViews>
    <sheetView zoomScaleNormal="100" workbookViewId="0">
      <pane xSplit="3" ySplit="9" topLeftCell="D10" activePane="bottomRight" state="frozen"/>
      <selection activeCell="F18" sqref="F18"/>
      <selection pane="topRight" activeCell="F18" sqref="F18"/>
      <selection pane="bottomLeft" activeCell="F18" sqref="F18"/>
      <selection pane="bottomRight" activeCell="C26" sqref="C26"/>
    </sheetView>
  </sheetViews>
  <sheetFormatPr defaultColWidth="9.1796875" defaultRowHeight="13" x14ac:dyDescent="0.3"/>
  <cols>
    <col min="1" max="1" width="4.26953125" style="4" customWidth="1"/>
    <col min="2" max="2" width="5" style="4" customWidth="1"/>
    <col min="3" max="3" width="43" style="4" customWidth="1"/>
    <col min="4" max="4" width="13" style="4" customWidth="1"/>
    <col min="5" max="5" width="8.26953125" style="21" hidden="1" customWidth="1"/>
    <col min="6" max="6" width="4" style="4" customWidth="1"/>
    <col min="7" max="7" width="14.54296875" style="4" customWidth="1"/>
    <col min="8" max="8" width="4" style="4" customWidth="1"/>
    <col min="9" max="9" width="13.26953125" style="4" customWidth="1"/>
    <col min="10" max="10" width="8.26953125" style="21" hidden="1" customWidth="1"/>
    <col min="11" max="11" width="1.54296875" style="4" customWidth="1"/>
    <col min="12" max="12" width="8.7265625" style="4" hidden="1" customWidth="1"/>
    <col min="13" max="13" width="1.453125" style="4" customWidth="1"/>
    <col min="14" max="14" width="10.453125" style="21" hidden="1" customWidth="1"/>
    <col min="15" max="15" width="1.7265625" style="4" hidden="1" customWidth="1"/>
    <col min="16" max="16" width="12.1796875" style="4" hidden="1" customWidth="1"/>
    <col min="17" max="17" width="0.81640625" style="4" hidden="1" customWidth="1"/>
    <col min="18" max="18" width="0" style="21" hidden="1" customWidth="1"/>
    <col min="19" max="19" width="2.1796875" style="4" hidden="1" customWidth="1"/>
    <col min="20" max="20" width="11.26953125" style="4" hidden="1" customWidth="1"/>
    <col min="21" max="21" width="0.7265625" style="4" hidden="1" customWidth="1"/>
    <col min="22" max="22" width="10.26953125" style="21" hidden="1" customWidth="1"/>
    <col min="23" max="23" width="10.26953125" style="4" hidden="1" customWidth="1"/>
    <col min="24" max="24" width="11.26953125" style="4" customWidth="1"/>
    <col min="25" max="25" width="9.1796875" style="4"/>
    <col min="26" max="26" width="9.7265625" style="4" customWidth="1"/>
    <col min="27" max="29" width="10.26953125" style="4" customWidth="1"/>
    <col min="30" max="30" width="11.26953125" style="4" customWidth="1"/>
    <col min="31" max="16384" width="9.1796875" style="4"/>
  </cols>
  <sheetData>
    <row r="1" spans="1:30" x14ac:dyDescent="0.3">
      <c r="A1" s="44" t="s">
        <v>28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T1" s="16"/>
      <c r="U1" s="16"/>
      <c r="V1" s="22"/>
      <c r="W1" s="16"/>
      <c r="X1" s="16"/>
      <c r="Y1" s="16"/>
      <c r="Z1" s="16"/>
      <c r="AA1" s="16"/>
      <c r="AB1" s="16"/>
      <c r="AC1" s="16"/>
      <c r="AD1" s="16"/>
    </row>
    <row r="2" spans="1:30" x14ac:dyDescent="0.3">
      <c r="A2" s="44" t="s">
        <v>45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T2" s="16"/>
      <c r="U2" s="16"/>
      <c r="V2" s="22"/>
      <c r="W2" s="16"/>
      <c r="X2" s="16"/>
      <c r="Y2" s="16"/>
      <c r="Z2" s="16"/>
      <c r="AA2" s="16"/>
      <c r="AB2" s="16"/>
      <c r="AC2" s="16"/>
      <c r="AD2" s="16"/>
    </row>
    <row r="3" spans="1:30" x14ac:dyDescent="0.3">
      <c r="A3" s="44" t="s">
        <v>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T3" s="16"/>
      <c r="U3" s="16"/>
      <c r="V3" s="22"/>
      <c r="W3" s="16"/>
      <c r="X3" s="16"/>
      <c r="Y3" s="16"/>
      <c r="Z3" s="16"/>
      <c r="AA3" s="16"/>
      <c r="AB3" s="16"/>
      <c r="AC3" s="16"/>
      <c r="AD3" s="16"/>
    </row>
    <row r="4" spans="1:30" x14ac:dyDescent="0.3">
      <c r="A4" s="45" t="s">
        <v>29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T4" s="16"/>
      <c r="U4" s="16"/>
      <c r="V4" s="22"/>
      <c r="W4" s="16"/>
      <c r="X4" s="16"/>
      <c r="Y4" s="16"/>
      <c r="Z4" s="16"/>
      <c r="AA4" s="16"/>
      <c r="AB4" s="16"/>
      <c r="AC4" s="16"/>
      <c r="AD4" s="16"/>
    </row>
    <row r="5" spans="1:30" x14ac:dyDescent="0.3">
      <c r="K5" s="3"/>
      <c r="T5" s="16"/>
      <c r="U5" s="16"/>
      <c r="V5" s="22"/>
      <c r="W5" s="16"/>
      <c r="X5" s="16"/>
      <c r="Y5" s="16"/>
      <c r="Z5" s="16"/>
      <c r="AA5" s="16"/>
      <c r="AB5" s="16"/>
      <c r="AC5" s="16"/>
      <c r="AD5" s="16"/>
    </row>
    <row r="6" spans="1:30" x14ac:dyDescent="0.3">
      <c r="D6" s="47">
        <v>37814</v>
      </c>
      <c r="E6" s="47"/>
      <c r="F6" s="47"/>
      <c r="G6" s="47"/>
      <c r="H6" s="47"/>
      <c r="I6" s="47"/>
      <c r="J6" s="23"/>
      <c r="N6" s="22"/>
      <c r="O6" s="16"/>
      <c r="P6" s="16"/>
      <c r="Q6" s="16"/>
      <c r="R6" s="23"/>
      <c r="S6" s="16"/>
      <c r="T6" s="16"/>
      <c r="U6" s="16"/>
      <c r="V6" s="22"/>
      <c r="W6" s="16"/>
      <c r="X6" s="1"/>
    </row>
    <row r="7" spans="1:30" x14ac:dyDescent="0.3">
      <c r="D7" s="3"/>
      <c r="E7" s="2"/>
      <c r="G7" s="3" t="s">
        <v>30</v>
      </c>
      <c r="H7" s="8"/>
      <c r="N7" s="23"/>
      <c r="O7" s="16"/>
      <c r="P7" s="16"/>
      <c r="Q7" s="16"/>
      <c r="R7" s="23"/>
      <c r="S7" s="16"/>
      <c r="T7" s="1"/>
      <c r="U7" s="16"/>
      <c r="V7" s="22"/>
      <c r="W7" s="16"/>
      <c r="X7" s="1"/>
    </row>
    <row r="8" spans="1:30" x14ac:dyDescent="0.3">
      <c r="D8" s="24"/>
      <c r="E8" s="2"/>
      <c r="G8" s="1" t="s">
        <v>53</v>
      </c>
      <c r="H8" s="8"/>
      <c r="I8" s="3" t="s">
        <v>27</v>
      </c>
      <c r="J8" s="2"/>
      <c r="L8" s="3" t="s">
        <v>46</v>
      </c>
      <c r="M8" s="3"/>
      <c r="N8" s="23" t="s">
        <v>27</v>
      </c>
      <c r="O8" s="16"/>
      <c r="P8" s="46" t="s">
        <v>58</v>
      </c>
      <c r="Q8" s="46"/>
      <c r="R8" s="46"/>
      <c r="S8" s="16"/>
      <c r="T8" s="46" t="s">
        <v>61</v>
      </c>
      <c r="U8" s="46"/>
      <c r="V8" s="46"/>
      <c r="W8" s="16"/>
      <c r="X8" s="1"/>
    </row>
    <row r="9" spans="1:30" x14ac:dyDescent="0.3">
      <c r="D9" s="7" t="s">
        <v>46</v>
      </c>
      <c r="E9" s="23"/>
      <c r="G9" s="7" t="s">
        <v>52</v>
      </c>
      <c r="H9" s="8"/>
      <c r="I9" s="7">
        <v>2003</v>
      </c>
      <c r="J9" s="23"/>
      <c r="L9" s="3" t="s">
        <v>57</v>
      </c>
      <c r="M9" s="3"/>
      <c r="N9" s="23" t="s">
        <v>57</v>
      </c>
      <c r="O9" s="25"/>
      <c r="P9" s="1" t="s">
        <v>59</v>
      </c>
      <c r="Q9" s="1"/>
      <c r="R9" s="23" t="s">
        <v>60</v>
      </c>
      <c r="S9" s="16"/>
      <c r="T9" s="1" t="s">
        <v>59</v>
      </c>
      <c r="U9" s="25"/>
      <c r="V9" s="23" t="s">
        <v>60</v>
      </c>
      <c r="W9" s="25"/>
      <c r="X9" s="1"/>
    </row>
    <row r="10" spans="1:30" x14ac:dyDescent="0.3">
      <c r="N10" s="26"/>
      <c r="O10" s="16"/>
      <c r="P10" s="16"/>
      <c r="Q10" s="16"/>
      <c r="R10" s="22"/>
      <c r="S10" s="16"/>
      <c r="T10" s="16"/>
      <c r="U10" s="16"/>
      <c r="V10" s="22"/>
      <c r="W10" s="16"/>
      <c r="X10" s="16"/>
    </row>
    <row r="11" spans="1:30" x14ac:dyDescent="0.3">
      <c r="A11" s="4" t="s">
        <v>20</v>
      </c>
      <c r="D11" s="9">
        <v>839168</v>
      </c>
      <c r="E11" s="21">
        <v>1</v>
      </c>
      <c r="G11" s="27">
        <v>0</v>
      </c>
      <c r="I11" s="9">
        <v>839168</v>
      </c>
      <c r="J11" s="21">
        <f>+I11/$I$11</f>
        <v>1</v>
      </c>
      <c r="L11" s="28">
        <f>+E11-'2nd QTR 02'!E11</f>
        <v>0</v>
      </c>
      <c r="N11" s="22">
        <f>+J11-'2nd QTR 02'!J11</f>
        <v>0</v>
      </c>
      <c r="O11" s="13"/>
      <c r="P11" s="13">
        <f>+D11-'2nd QTR 02'!D11</f>
        <v>46451</v>
      </c>
      <c r="Q11" s="13"/>
      <c r="R11" s="22">
        <f>+P11/'2nd QTR 02'!$D11</f>
        <v>5.8597204298633687E-2</v>
      </c>
      <c r="S11" s="16"/>
      <c r="T11" s="13">
        <f>+I11-'2nd QTR 02'!I11</f>
        <v>46451</v>
      </c>
      <c r="U11" s="13"/>
      <c r="V11" s="22">
        <f>+T11/'2nd QTR 02'!$I11</f>
        <v>5.8597204298633687E-2</v>
      </c>
      <c r="W11" s="13"/>
      <c r="X11" s="11"/>
    </row>
    <row r="12" spans="1:30" ht="5.15" customHeight="1" x14ac:dyDescent="0.3">
      <c r="D12" s="12"/>
      <c r="G12" s="12"/>
      <c r="I12" s="12"/>
      <c r="N12" s="22"/>
      <c r="O12" s="16"/>
      <c r="P12" s="16"/>
      <c r="Q12" s="16"/>
      <c r="R12" s="22"/>
      <c r="S12" s="16"/>
      <c r="T12" s="13"/>
      <c r="U12" s="13"/>
      <c r="V12" s="22"/>
      <c r="W12" s="13"/>
      <c r="X12" s="16"/>
    </row>
    <row r="13" spans="1:30" x14ac:dyDescent="0.3">
      <c r="A13" s="4" t="s">
        <v>21</v>
      </c>
      <c r="D13" s="14">
        <v>457881</v>
      </c>
      <c r="E13" s="21">
        <v>0.54563686889871876</v>
      </c>
      <c r="G13" s="14">
        <v>0</v>
      </c>
      <c r="I13" s="14">
        <v>457881</v>
      </c>
      <c r="J13" s="21">
        <f>+I13/$I$11</f>
        <v>0.54563686889871876</v>
      </c>
      <c r="L13" s="28">
        <f>+E13-'2nd QTR 02'!E13</f>
        <v>-1.4087471565784937E-2</v>
      </c>
      <c r="N13" s="22">
        <f>+J13-'2nd QTR 02'!J13</f>
        <v>-1.4087471565784937E-2</v>
      </c>
      <c r="O13" s="29"/>
      <c r="P13" s="13">
        <f>+D13-'2nd QTR 02'!D13</f>
        <v>14178</v>
      </c>
      <c r="Q13" s="29"/>
      <c r="R13" s="22">
        <f>+P13/'2nd QTR 02'!$D13</f>
        <v>3.1953806938425026E-2</v>
      </c>
      <c r="S13" s="16"/>
      <c r="T13" s="13">
        <f>+I13-'2nd QTR 02'!I13</f>
        <v>14178</v>
      </c>
      <c r="U13" s="13"/>
      <c r="V13" s="22">
        <f>+T13/'2nd QTR 02'!$I13</f>
        <v>3.1953806938425026E-2</v>
      </c>
      <c r="W13" s="13"/>
      <c r="X13" s="13"/>
    </row>
    <row r="14" spans="1:30" ht="3.75" customHeight="1" x14ac:dyDescent="0.3">
      <c r="D14" s="13"/>
      <c r="E14" s="22"/>
      <c r="G14" s="13"/>
      <c r="I14" s="13"/>
      <c r="J14" s="22"/>
      <c r="N14" s="22"/>
      <c r="O14" s="16"/>
      <c r="P14" s="16"/>
      <c r="Q14" s="16"/>
      <c r="R14" s="22"/>
      <c r="S14" s="16"/>
      <c r="T14" s="13"/>
      <c r="U14" s="13"/>
      <c r="V14" s="22"/>
      <c r="W14" s="13"/>
      <c r="X14" s="16"/>
    </row>
    <row r="15" spans="1:30" x14ac:dyDescent="0.3">
      <c r="B15" s="4" t="s">
        <v>22</v>
      </c>
      <c r="D15" s="12">
        <v>381287</v>
      </c>
      <c r="E15" s="21">
        <v>0.45436313110128129</v>
      </c>
      <c r="G15" s="12">
        <v>0</v>
      </c>
      <c r="I15" s="12">
        <v>381287</v>
      </c>
      <c r="J15" s="21">
        <f>+I15/$I$11</f>
        <v>0.45436313110128129</v>
      </c>
      <c r="L15" s="28">
        <f>+E15-'2nd QTR 02'!E15</f>
        <v>1.4087471565784992E-2</v>
      </c>
      <c r="M15" s="28"/>
      <c r="N15" s="22">
        <f>+J15-'2nd QTR 02'!J15</f>
        <v>1.4087471565784992E-2</v>
      </c>
      <c r="O15" s="13"/>
      <c r="P15" s="13">
        <f>+D15-'2nd QTR 02'!D15</f>
        <v>32273</v>
      </c>
      <c r="Q15" s="13"/>
      <c r="R15" s="22">
        <f>+P15/'2nd QTR 02'!$D15</f>
        <v>9.2469070008652954E-2</v>
      </c>
      <c r="S15" s="16"/>
      <c r="T15" s="13">
        <f>+I15-'2nd QTR 02'!I15</f>
        <v>32273</v>
      </c>
      <c r="U15" s="13"/>
      <c r="V15" s="22">
        <f>+T15/'2nd QTR 02'!$I15</f>
        <v>9.2469070008652954E-2</v>
      </c>
      <c r="W15" s="13"/>
      <c r="X15" s="29"/>
    </row>
    <row r="16" spans="1:30" ht="5.15" customHeight="1" x14ac:dyDescent="0.3">
      <c r="D16" s="12"/>
      <c r="G16" s="12"/>
      <c r="I16" s="12"/>
      <c r="N16" s="22"/>
      <c r="O16" s="16"/>
      <c r="P16" s="16"/>
      <c r="Q16" s="16"/>
      <c r="R16" s="22"/>
      <c r="S16" s="16"/>
      <c r="T16" s="13"/>
      <c r="U16" s="16"/>
      <c r="V16" s="22"/>
      <c r="W16" s="16"/>
      <c r="X16" s="16"/>
    </row>
    <row r="17" spans="1:24" x14ac:dyDescent="0.3">
      <c r="A17" s="4" t="s">
        <v>23</v>
      </c>
      <c r="D17" s="14">
        <v>303310</v>
      </c>
      <c r="E17" s="21">
        <v>0.36144133236729714</v>
      </c>
      <c r="G17" s="14">
        <v>-2890</v>
      </c>
      <c r="H17" s="4" t="s">
        <v>34</v>
      </c>
      <c r="I17" s="14">
        <v>300420</v>
      </c>
      <c r="J17" s="21">
        <f>+I17/$I$11</f>
        <v>0.35799744508846859</v>
      </c>
      <c r="L17" s="28">
        <f>+E17-'2nd QTR 02'!E17</f>
        <v>-6.6143545928664671E-3</v>
      </c>
      <c r="M17" s="28"/>
      <c r="N17" s="22">
        <f>+J17-'2nd QTR 02'!J17</f>
        <v>-4.3437862667816685E-4</v>
      </c>
      <c r="O17" s="19"/>
      <c r="P17" s="13">
        <f>+D17-'2nd QTR 02'!D17</f>
        <v>11546</v>
      </c>
      <c r="Q17" s="19"/>
      <c r="R17" s="22">
        <f>+P17/'2nd QTR 02'!$D17</f>
        <v>3.9573079612289383E-2</v>
      </c>
      <c r="S17" s="16"/>
      <c r="T17" s="13">
        <f>+I17-'2nd QTR 02'!I17</f>
        <v>16285</v>
      </c>
      <c r="U17" s="19"/>
      <c r="V17" s="22">
        <f>+T17/'2nd QTR 02'!$I17</f>
        <v>5.7314304819891949E-2</v>
      </c>
      <c r="W17" s="19"/>
      <c r="X17" s="22"/>
    </row>
    <row r="18" spans="1:24" ht="5.15" customHeight="1" x14ac:dyDescent="0.3">
      <c r="D18" s="13"/>
      <c r="E18" s="22"/>
      <c r="F18" s="16"/>
      <c r="G18" s="13"/>
      <c r="H18" s="16"/>
      <c r="I18" s="13"/>
      <c r="J18" s="22"/>
      <c r="L18" s="28"/>
      <c r="M18" s="28"/>
      <c r="N18" s="22"/>
      <c r="O18" s="16"/>
      <c r="P18" s="16"/>
      <c r="Q18" s="16"/>
      <c r="R18" s="22"/>
      <c r="S18" s="16"/>
      <c r="T18" s="13"/>
      <c r="U18" s="16"/>
      <c r="V18" s="22"/>
      <c r="W18" s="16"/>
      <c r="X18" s="16"/>
    </row>
    <row r="19" spans="1:24" x14ac:dyDescent="0.3">
      <c r="B19" s="4" t="s">
        <v>24</v>
      </c>
      <c r="D19" s="14">
        <v>77977</v>
      </c>
      <c r="E19" s="21">
        <v>9.2921798733984137E-2</v>
      </c>
      <c r="G19" s="14">
        <v>2890</v>
      </c>
      <c r="I19" s="14">
        <v>80867</v>
      </c>
      <c r="J19" s="21">
        <f>+I19/$I$11</f>
        <v>9.6365686012812687E-2</v>
      </c>
      <c r="L19" s="28">
        <f>+E19-'2nd QTR 02'!E19</f>
        <v>2.0701826158651446E-2</v>
      </c>
      <c r="M19" s="28"/>
      <c r="N19" s="22">
        <f>+J19-'2nd QTR 02'!J19</f>
        <v>1.4521850192463187E-2</v>
      </c>
      <c r="O19" s="16"/>
      <c r="P19" s="13">
        <f>+D19-'2nd QTR 02'!D19</f>
        <v>20727</v>
      </c>
      <c r="Q19" s="16"/>
      <c r="R19" s="22">
        <f>+P19/'2nd QTR 02'!$D19</f>
        <v>0.36204366812227073</v>
      </c>
      <c r="S19" s="16"/>
      <c r="T19" s="13">
        <f>+I19-'2nd QTR 02'!I19</f>
        <v>15988</v>
      </c>
      <c r="U19" s="16"/>
      <c r="V19" s="22">
        <f>+T19/'2nd QTR 02'!$I19</f>
        <v>0.24642796590576305</v>
      </c>
      <c r="W19" s="16"/>
      <c r="X19" s="16"/>
    </row>
    <row r="20" spans="1:24" ht="5.15" customHeight="1" x14ac:dyDescent="0.3">
      <c r="D20" s="13"/>
      <c r="E20" s="22"/>
      <c r="G20" s="13"/>
      <c r="I20" s="13"/>
      <c r="J20" s="22"/>
      <c r="N20" s="22"/>
      <c r="O20" s="16"/>
      <c r="P20" s="16"/>
      <c r="Q20" s="16"/>
      <c r="R20" s="22"/>
      <c r="S20" s="16"/>
      <c r="T20" s="16"/>
      <c r="U20" s="16"/>
      <c r="V20" s="22"/>
      <c r="W20" s="16"/>
      <c r="X20" s="16"/>
    </row>
    <row r="21" spans="1:24" x14ac:dyDescent="0.3">
      <c r="A21" s="4" t="s">
        <v>39</v>
      </c>
      <c r="D21" s="12"/>
      <c r="G21" s="12"/>
      <c r="I21" s="12"/>
      <c r="N21" s="22"/>
      <c r="O21" s="16"/>
      <c r="P21" s="16"/>
      <c r="Q21" s="16"/>
      <c r="R21" s="22"/>
      <c r="S21" s="16"/>
      <c r="T21" s="16"/>
      <c r="U21" s="16"/>
      <c r="V21" s="22"/>
      <c r="W21" s="30"/>
      <c r="X21" s="16"/>
    </row>
    <row r="22" spans="1:24" x14ac:dyDescent="0.3">
      <c r="A22" s="4" t="s">
        <v>25</v>
      </c>
      <c r="D22" s="12">
        <v>-7182</v>
      </c>
      <c r="E22" s="21">
        <v>-8.5584769676632089E-3</v>
      </c>
      <c r="G22" s="12">
        <v>0</v>
      </c>
      <c r="I22" s="12">
        <v>-7182</v>
      </c>
      <c r="J22" s="21">
        <f>+I22/$I$11</f>
        <v>-8.5584769676632089E-3</v>
      </c>
      <c r="L22" s="28">
        <f>+E22-'2nd QTR 02'!E22</f>
        <v>1.5561101646142224E-2</v>
      </c>
      <c r="N22" s="22">
        <f>+J22-'2nd QTR 02'!J22</f>
        <v>1.5561101646142224E-2</v>
      </c>
      <c r="O22" s="16"/>
      <c r="P22" s="13">
        <f>+D22-'2nd QTR 02'!D22</f>
        <v>11938</v>
      </c>
      <c r="Q22" s="16"/>
      <c r="R22" s="22">
        <f>+P22/'2nd QTR 02'!$D22</f>
        <v>-0.62437238493723846</v>
      </c>
      <c r="S22" s="16"/>
      <c r="T22" s="13">
        <f>+I22-'2nd QTR 02'!I22</f>
        <v>11938</v>
      </c>
      <c r="U22" s="16"/>
      <c r="V22" s="22">
        <f>+T22/'2nd QTR 02'!$I22</f>
        <v>-0.62437238493723846</v>
      </c>
      <c r="W22" s="16"/>
      <c r="X22" s="16"/>
    </row>
    <row r="23" spans="1:24" x14ac:dyDescent="0.3">
      <c r="A23" s="4" t="s">
        <v>50</v>
      </c>
      <c r="D23" s="12">
        <v>-254</v>
      </c>
      <c r="E23" s="21">
        <v>-3.0268075045759607E-4</v>
      </c>
      <c r="G23" s="12">
        <v>0</v>
      </c>
      <c r="H23" s="16"/>
      <c r="I23" s="12">
        <v>-254</v>
      </c>
      <c r="J23" s="21">
        <f>+I23/$I$11</f>
        <v>-3.0268075045759607E-4</v>
      </c>
      <c r="L23" s="28">
        <f>+E23-'2nd QTR 02'!E23</f>
        <v>1.5412889875629646E-2</v>
      </c>
      <c r="N23" s="22">
        <f>+J23-'2nd QTR 02'!J23</f>
        <v>-3.0268075045759607E-4</v>
      </c>
      <c r="O23" s="16"/>
      <c r="P23" s="13">
        <f>+D23-'2nd QTR 02'!D23</f>
        <v>12204</v>
      </c>
      <c r="Q23" s="16"/>
      <c r="R23" s="22">
        <f>+P23/'2nd QTR 02'!$D23</f>
        <v>-0.97961149462192965</v>
      </c>
      <c r="S23" s="16"/>
      <c r="T23" s="13">
        <f>+I23-'2nd QTR 02'!I23</f>
        <v>-254</v>
      </c>
      <c r="U23" s="16"/>
      <c r="V23" s="22" t="e">
        <f>+T23/'2nd QTR 02'!$I23</f>
        <v>#DIV/0!</v>
      </c>
      <c r="W23" s="16"/>
      <c r="X23" s="16"/>
    </row>
    <row r="24" spans="1:24" x14ac:dyDescent="0.3">
      <c r="A24" s="4" t="s">
        <v>40</v>
      </c>
      <c r="D24" s="14">
        <v>121</v>
      </c>
      <c r="E24" s="21">
        <v>1.4419043624161075E-4</v>
      </c>
      <c r="G24" s="14">
        <v>0</v>
      </c>
      <c r="I24" s="14">
        <v>121</v>
      </c>
      <c r="J24" s="21">
        <f>+I24/$I$11</f>
        <v>1.4419043624161075E-4</v>
      </c>
      <c r="L24" s="28">
        <f>+E24-'2nd QTR 02'!E24</f>
        <v>-3.3138912115402981E-4</v>
      </c>
      <c r="N24" s="22">
        <f>+J24-'2nd QTR 02'!J24</f>
        <v>-3.3138912115402981E-4</v>
      </c>
      <c r="O24" s="16"/>
      <c r="P24" s="13">
        <f>+D24-'2nd QTR 02'!D24</f>
        <v>-256</v>
      </c>
      <c r="Q24" s="16"/>
      <c r="R24" s="22">
        <f>+P24/'2nd QTR 02'!$D24</f>
        <v>-0.67904509283819625</v>
      </c>
      <c r="S24" s="16"/>
      <c r="T24" s="13">
        <f>+I24-'2nd QTR 02'!I24</f>
        <v>-256</v>
      </c>
      <c r="U24" s="16"/>
      <c r="V24" s="22">
        <f>+T24/'2nd QTR 02'!$I24</f>
        <v>-0.67904509283819625</v>
      </c>
      <c r="W24" s="16"/>
      <c r="X24" s="16"/>
    </row>
    <row r="25" spans="1:24" x14ac:dyDescent="0.3">
      <c r="B25" s="4" t="s">
        <v>41</v>
      </c>
      <c r="D25" s="31">
        <v>-7315</v>
      </c>
      <c r="E25" s="21">
        <v>-8.7169672818791944E-3</v>
      </c>
      <c r="G25" s="31">
        <v>0</v>
      </c>
      <c r="I25" s="31">
        <v>-7315</v>
      </c>
      <c r="J25" s="21">
        <f>+I25/$I$11</f>
        <v>-8.7169672818791944E-3</v>
      </c>
      <c r="L25" s="28">
        <f>+E25-'2nd QTR 02'!E25</f>
        <v>3.0642602400617842E-2</v>
      </c>
      <c r="N25" s="22">
        <f>+J25-'2nd QTR 02'!J25</f>
        <v>1.4927031774530595E-2</v>
      </c>
      <c r="O25" s="16"/>
      <c r="P25" s="13">
        <f>+D25-'2nd QTR 02'!D25</f>
        <v>23886</v>
      </c>
      <c r="Q25" s="16"/>
      <c r="R25" s="22">
        <f>+P25/'2nd QTR 02'!$D25</f>
        <v>-0.76555238614146981</v>
      </c>
      <c r="S25" s="16"/>
      <c r="T25" s="13">
        <f>+I25-'2nd QTR 02'!I25</f>
        <v>11428</v>
      </c>
      <c r="U25" s="16"/>
      <c r="V25" s="22">
        <f>+T25/'2nd QTR 02'!$I25</f>
        <v>-0.60972096249266394</v>
      </c>
      <c r="W25" s="16"/>
      <c r="X25" s="16"/>
    </row>
    <row r="26" spans="1:24" ht="5.15" customHeight="1" x14ac:dyDescent="0.3">
      <c r="D26" s="13"/>
      <c r="E26" s="22"/>
      <c r="G26" s="13"/>
      <c r="I26" s="13"/>
      <c r="J26" s="22"/>
      <c r="N26" s="22"/>
    </row>
    <row r="27" spans="1:24" ht="12.75" customHeight="1" x14ac:dyDescent="0.3">
      <c r="A27" s="4" t="s">
        <v>51</v>
      </c>
      <c r="D27" s="12">
        <v>70662</v>
      </c>
      <c r="E27" s="21">
        <v>8.4204831452104945E-2</v>
      </c>
      <c r="G27" s="12">
        <v>2890</v>
      </c>
      <c r="I27" s="12">
        <v>73552</v>
      </c>
      <c r="J27" s="21">
        <f>+I27/$I$11</f>
        <v>8.7648718730933495E-2</v>
      </c>
      <c r="L27" s="28">
        <f>+E27-'2nd QTR 02'!E27</f>
        <v>5.1344428559269295E-2</v>
      </c>
      <c r="N27" s="22">
        <f>+J27-'2nd QTR 02'!J27</f>
        <v>2.944888196699378E-2</v>
      </c>
      <c r="P27" s="13">
        <f>+D27-'2nd QTR 02'!D27</f>
        <v>44613</v>
      </c>
      <c r="R27" s="22">
        <f>+P27/'2nd QTR 02'!$D27</f>
        <v>1.7126569158125071</v>
      </c>
      <c r="T27" s="13">
        <f>+I27-'2nd QTR 02'!I27</f>
        <v>27416</v>
      </c>
      <c r="V27" s="22">
        <f>+T27/'2nd QTR 02'!$I27</f>
        <v>0.5942431073348361</v>
      </c>
    </row>
    <row r="28" spans="1:24" ht="5.15" customHeight="1" x14ac:dyDescent="0.3">
      <c r="D28" s="12"/>
      <c r="G28" s="12"/>
      <c r="I28" s="12"/>
      <c r="N28" s="22"/>
    </row>
    <row r="29" spans="1:24" x14ac:dyDescent="0.3">
      <c r="A29" s="4" t="s">
        <v>37</v>
      </c>
      <c r="D29" s="14">
        <v>27204</v>
      </c>
      <c r="E29" s="21">
        <v>3.2417823367907259E-2</v>
      </c>
      <c r="G29" s="14">
        <v>1112.6500000000001</v>
      </c>
      <c r="H29" s="16" t="s">
        <v>35</v>
      </c>
      <c r="I29" s="14">
        <v>28316.65</v>
      </c>
      <c r="J29" s="21">
        <f>+I29/$I$11</f>
        <v>3.3743719970256256E-2</v>
      </c>
      <c r="L29" s="28">
        <f>+E29-'2nd QTR 02'!E29</f>
        <v>1.9666740699060749E-2</v>
      </c>
      <c r="N29" s="22">
        <f>+J29-'2nd QTR 02'!J29</f>
        <v>1.1160936959421365E-2</v>
      </c>
      <c r="P29" s="13">
        <f>+D29-'2nd QTR 02'!D29</f>
        <v>17096</v>
      </c>
      <c r="R29" s="22">
        <f>+P29/'2nd QTR 02'!$D29</f>
        <v>1.6913335971507717</v>
      </c>
      <c r="T29" s="13">
        <f>+I29-'2nd QTR 02'!I29</f>
        <v>10414.894</v>
      </c>
      <c r="V29" s="22">
        <f>+T29/'2nd QTR 02'!$I29</f>
        <v>0.58178058063130789</v>
      </c>
    </row>
    <row r="30" spans="1:24" ht="5.25" customHeight="1" x14ac:dyDescent="0.3">
      <c r="D30" s="12"/>
      <c r="G30" s="12"/>
      <c r="I30" s="12"/>
    </row>
    <row r="31" spans="1:24" ht="13.5" thickBot="1" x14ac:dyDescent="0.35">
      <c r="A31" s="4" t="s">
        <v>38</v>
      </c>
      <c r="D31" s="32">
        <v>43458</v>
      </c>
      <c r="E31" s="21">
        <v>5.1787008084197679E-2</v>
      </c>
      <c r="G31" s="32">
        <v>1777.35</v>
      </c>
      <c r="I31" s="32">
        <v>45235.35</v>
      </c>
      <c r="J31" s="21">
        <f>+I31/$I$11</f>
        <v>5.3904998760677239E-2</v>
      </c>
      <c r="L31" s="28">
        <f>+E31-'2nd QTR 02'!E31</f>
        <v>3.1677687860208539E-2</v>
      </c>
      <c r="N31" s="22">
        <f>+J31-'2nd QTR 02'!J31</f>
        <v>1.8287945007572415E-2</v>
      </c>
      <c r="P31" s="13">
        <f>+D31-'2nd QTR 02'!D31</f>
        <v>27517</v>
      </c>
      <c r="R31" s="22">
        <f>+P31/'2nd QTR 02'!$D31</f>
        <v>1.7261777805658365</v>
      </c>
      <c r="T31" s="13">
        <f>+I31-'2nd QTR 02'!I31</f>
        <v>17001.106</v>
      </c>
      <c r="V31" s="22">
        <f>+T31/'2nd QTR 02'!$I31</f>
        <v>0.60214489893903311</v>
      </c>
    </row>
    <row r="32" spans="1:24" ht="13.5" thickTop="1" x14ac:dyDescent="0.3">
      <c r="N32" s="22"/>
    </row>
    <row r="33" spans="1:51" x14ac:dyDescent="0.3">
      <c r="A33" s="4" t="s">
        <v>54</v>
      </c>
      <c r="F33" s="16"/>
      <c r="G33" s="16"/>
      <c r="H33" s="16"/>
      <c r="I33" s="16"/>
      <c r="J33" s="22"/>
      <c r="K33" s="16"/>
      <c r="L33" s="16"/>
      <c r="M33" s="16"/>
      <c r="N33" s="22"/>
      <c r="O33" s="16"/>
      <c r="P33" s="16"/>
      <c r="Q33" s="16"/>
      <c r="R33" s="22"/>
      <c r="S33" s="16"/>
      <c r="T33" s="16"/>
      <c r="U33" s="16"/>
      <c r="V33" s="22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</row>
    <row r="34" spans="1:51" x14ac:dyDescent="0.3">
      <c r="B34" s="4" t="s">
        <v>55</v>
      </c>
      <c r="D34" s="33">
        <v>1.1891315054999179</v>
      </c>
      <c r="E34" s="22"/>
      <c r="F34" s="16"/>
      <c r="G34" s="33">
        <v>4.8633229354785749E-2</v>
      </c>
      <c r="H34" s="16"/>
      <c r="I34" s="33">
        <v>1.2377647348547036</v>
      </c>
      <c r="J34" s="22"/>
      <c r="K34" s="16"/>
      <c r="L34" s="16"/>
      <c r="M34" s="16"/>
      <c r="N34" s="22"/>
      <c r="O34" s="16"/>
      <c r="P34" s="34">
        <f>+D34-'2nd QTR 02'!D34</f>
        <v>0.73864261158707101</v>
      </c>
      <c r="Q34" s="16"/>
      <c r="R34" s="22">
        <f>+P34/'2nd QTR 02'!$D34</f>
        <v>1.6396466629207762</v>
      </c>
      <c r="S34" s="16"/>
      <c r="T34" s="34">
        <f>+I34-'2nd QTR 02'!I34</f>
        <v>0.43987166980072745</v>
      </c>
      <c r="U34" s="16"/>
      <c r="V34" s="22">
        <f>+T34/'2nd QTR 02'!$I34</f>
        <v>0.55129150642632896</v>
      </c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</row>
    <row r="35" spans="1:51" x14ac:dyDescent="0.3">
      <c r="B35" s="4" t="s">
        <v>56</v>
      </c>
      <c r="D35" s="35">
        <v>1.1615127622611252</v>
      </c>
      <c r="F35" s="35"/>
      <c r="G35" s="35">
        <v>4.7503674996659091E-2</v>
      </c>
      <c r="H35" s="35"/>
      <c r="I35" s="35">
        <v>1.2090164372577843</v>
      </c>
      <c r="K35" s="16"/>
      <c r="L35" s="16"/>
      <c r="M35" s="16"/>
      <c r="N35" s="22"/>
      <c r="O35" s="16"/>
      <c r="P35" s="34">
        <f>+D35-'2nd QTR 02'!D35</f>
        <v>0.72527500844360016</v>
      </c>
      <c r="Q35" s="16"/>
      <c r="R35" s="22">
        <f>+P35/'2nd QTR 02'!$D35</f>
        <v>1.6625681800731469</v>
      </c>
      <c r="S35" s="16"/>
      <c r="T35" s="34">
        <f>+I35-'2nd QTR 02'!I35</f>
        <v>0.43636458459509486</v>
      </c>
      <c r="U35" s="16"/>
      <c r="V35" s="22">
        <f>+T35/'2nd QTR 02'!$I35</f>
        <v>0.56476223164586803</v>
      </c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</row>
    <row r="36" spans="1:51" x14ac:dyDescent="0.3">
      <c r="D36" s="36"/>
      <c r="E36" s="22"/>
      <c r="G36" s="36"/>
      <c r="I36" s="36"/>
      <c r="J36" s="22"/>
      <c r="K36" s="16"/>
      <c r="L36" s="16"/>
      <c r="M36" s="16"/>
      <c r="N36" s="22"/>
      <c r="O36" s="16"/>
      <c r="P36" s="16"/>
      <c r="Q36" s="16"/>
      <c r="R36" s="22"/>
      <c r="S36" s="16"/>
      <c r="T36" s="13"/>
      <c r="U36" s="16"/>
      <c r="V36" s="22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</row>
    <row r="37" spans="1:51" x14ac:dyDescent="0.3">
      <c r="K37" s="16"/>
      <c r="L37" s="16"/>
      <c r="M37" s="16"/>
      <c r="N37" s="22"/>
      <c r="O37" s="16"/>
      <c r="P37" s="16"/>
      <c r="Q37" s="16"/>
      <c r="R37" s="22"/>
      <c r="S37" s="16"/>
      <c r="T37" s="16"/>
      <c r="U37" s="16"/>
      <c r="V37" s="22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</row>
    <row r="38" spans="1:51" x14ac:dyDescent="0.3">
      <c r="A38" s="4" t="s">
        <v>68</v>
      </c>
      <c r="D38" s="12">
        <v>36546</v>
      </c>
      <c r="G38" s="12">
        <v>36546</v>
      </c>
      <c r="I38" s="12">
        <v>36546</v>
      </c>
      <c r="K38" s="16"/>
      <c r="L38" s="16"/>
      <c r="M38" s="16"/>
      <c r="N38" s="22"/>
      <c r="O38" s="16"/>
      <c r="P38" s="16"/>
      <c r="Q38" s="16"/>
      <c r="R38" s="22"/>
      <c r="S38" s="16"/>
      <c r="T38" s="16"/>
      <c r="U38" s="16"/>
      <c r="V38" s="22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</row>
    <row r="39" spans="1:51" x14ac:dyDescent="0.3">
      <c r="A39" s="4" t="s">
        <v>26</v>
      </c>
      <c r="D39" s="14">
        <v>869</v>
      </c>
      <c r="E39" s="22"/>
      <c r="G39" s="14">
        <v>869</v>
      </c>
      <c r="I39" s="14">
        <v>869</v>
      </c>
      <c r="J39" s="22"/>
      <c r="K39" s="16"/>
      <c r="L39" s="16"/>
      <c r="M39" s="16"/>
      <c r="N39" s="22"/>
      <c r="O39" s="16"/>
      <c r="P39" s="16"/>
      <c r="Q39" s="16"/>
      <c r="R39" s="22"/>
      <c r="S39" s="16"/>
      <c r="T39" s="16"/>
      <c r="U39" s="16"/>
      <c r="V39" s="22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</row>
    <row r="40" spans="1:51" ht="13.5" thickBot="1" x14ac:dyDescent="0.35">
      <c r="A40" s="4" t="s">
        <v>31</v>
      </c>
      <c r="D40" s="37">
        <v>37415</v>
      </c>
      <c r="E40" s="22"/>
      <c r="G40" s="37">
        <v>37415</v>
      </c>
      <c r="I40" s="37">
        <v>37415</v>
      </c>
      <c r="J40" s="22"/>
      <c r="K40" s="16"/>
      <c r="L40" s="16"/>
      <c r="M40" s="16"/>
      <c r="N40" s="22"/>
      <c r="O40" s="16"/>
      <c r="P40" s="16"/>
      <c r="Q40" s="16"/>
      <c r="R40" s="22"/>
      <c r="S40" s="16"/>
      <c r="T40" s="16"/>
      <c r="U40" s="16"/>
      <c r="V40" s="22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</row>
    <row r="41" spans="1:51" ht="13.5" thickTop="1" x14ac:dyDescent="0.3">
      <c r="F41" s="16"/>
      <c r="G41" s="13"/>
      <c r="H41" s="16"/>
      <c r="I41" s="13"/>
      <c r="J41" s="22"/>
      <c r="K41" s="16"/>
      <c r="L41" s="16"/>
      <c r="M41" s="16"/>
      <c r="N41" s="22"/>
      <c r="O41" s="16"/>
      <c r="P41" s="16"/>
      <c r="Q41" s="16"/>
      <c r="R41" s="22"/>
      <c r="S41" s="16"/>
      <c r="T41" s="16"/>
      <c r="U41" s="16"/>
      <c r="V41" s="22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</row>
    <row r="42" spans="1:51" x14ac:dyDescent="0.3">
      <c r="F42" s="16"/>
      <c r="G42" s="13"/>
      <c r="H42" s="16"/>
      <c r="I42" s="13"/>
      <c r="J42" s="22"/>
      <c r="K42" s="16"/>
      <c r="L42" s="16"/>
      <c r="M42" s="16"/>
      <c r="N42" s="22"/>
      <c r="O42" s="16"/>
      <c r="P42" s="16"/>
      <c r="Q42" s="16"/>
      <c r="R42" s="22"/>
      <c r="S42" s="16"/>
      <c r="T42" s="16"/>
      <c r="U42" s="16"/>
      <c r="V42" s="22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</row>
    <row r="43" spans="1:51" x14ac:dyDescent="0.3">
      <c r="A43" s="38" t="s">
        <v>49</v>
      </c>
      <c r="F43" s="16"/>
      <c r="G43" s="13"/>
      <c r="H43" s="16"/>
      <c r="I43" s="13"/>
      <c r="J43" s="22"/>
      <c r="K43" s="16"/>
      <c r="L43" s="16"/>
      <c r="M43" s="16"/>
      <c r="N43" s="22"/>
      <c r="O43" s="16"/>
      <c r="P43" s="16"/>
      <c r="Q43" s="16"/>
      <c r="R43" s="22"/>
      <c r="S43" s="16"/>
      <c r="T43" s="16"/>
      <c r="U43" s="16"/>
      <c r="V43" s="22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</row>
    <row r="44" spans="1:51" x14ac:dyDescent="0.3">
      <c r="A44" s="38" t="s">
        <v>69</v>
      </c>
      <c r="F44" s="16"/>
      <c r="G44" s="13"/>
      <c r="H44" s="16"/>
      <c r="I44" s="13"/>
      <c r="J44" s="22"/>
      <c r="K44" s="16"/>
      <c r="L44" s="16"/>
      <c r="M44" s="16"/>
      <c r="N44" s="22"/>
      <c r="O44" s="16"/>
      <c r="P44" s="16"/>
      <c r="Q44" s="16"/>
      <c r="R44" s="22"/>
      <c r="S44" s="16"/>
      <c r="T44" s="16"/>
      <c r="U44" s="16"/>
      <c r="V44" s="22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</row>
    <row r="45" spans="1:51" x14ac:dyDescent="0.3">
      <c r="A45" s="38" t="s">
        <v>70</v>
      </c>
      <c r="F45" s="16"/>
      <c r="G45" s="13"/>
      <c r="H45" s="16"/>
      <c r="I45" s="13"/>
      <c r="J45" s="22"/>
      <c r="K45" s="16"/>
      <c r="L45" s="16"/>
      <c r="M45" s="16"/>
      <c r="N45" s="22"/>
      <c r="O45" s="16"/>
      <c r="P45" s="16"/>
      <c r="Q45" s="16"/>
      <c r="R45" s="22"/>
      <c r="S45" s="16"/>
      <c r="T45" s="16"/>
      <c r="U45" s="16"/>
      <c r="V45" s="22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</row>
    <row r="46" spans="1:51" x14ac:dyDescent="0.3">
      <c r="A46" s="39" t="s">
        <v>67</v>
      </c>
      <c r="B46" s="40"/>
      <c r="F46" s="16"/>
      <c r="G46" s="13"/>
      <c r="H46" s="16"/>
      <c r="I46" s="13"/>
      <c r="K46" s="16"/>
      <c r="L46" s="16"/>
      <c r="M46" s="16"/>
      <c r="N46" s="22"/>
      <c r="O46" s="16"/>
      <c r="P46" s="16"/>
      <c r="Q46" s="16"/>
      <c r="R46" s="22"/>
      <c r="S46" s="16"/>
      <c r="T46" s="16"/>
      <c r="U46" s="16"/>
      <c r="V46" s="22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</row>
    <row r="48" spans="1:51" x14ac:dyDescent="0.3">
      <c r="C48" s="40"/>
    </row>
    <row r="49" spans="1:1" x14ac:dyDescent="0.3">
      <c r="A49" s="38"/>
    </row>
    <row r="50" spans="1:1" x14ac:dyDescent="0.3">
      <c r="A50" s="38" t="s">
        <v>47</v>
      </c>
    </row>
    <row r="51" spans="1:1" x14ac:dyDescent="0.3">
      <c r="A51" s="38" t="s">
        <v>48</v>
      </c>
    </row>
  </sheetData>
  <mergeCells count="7">
    <mergeCell ref="P8:R8"/>
    <mergeCell ref="T8:V8"/>
    <mergeCell ref="D6:I6"/>
    <mergeCell ref="A1:L1"/>
    <mergeCell ref="A2:L2"/>
    <mergeCell ref="A3:L3"/>
    <mergeCell ref="A4:L4"/>
  </mergeCells>
  <pageMargins left="1" right="0.5" top="0.5" bottom="0.5" header="0.5" footer="0.5"/>
  <pageSetup scale="88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Y51"/>
  <sheetViews>
    <sheetView topLeftCell="A8" workbookViewId="0">
      <selection activeCell="D40" sqref="D40"/>
    </sheetView>
  </sheetViews>
  <sheetFormatPr defaultColWidth="9.1796875" defaultRowHeight="13" x14ac:dyDescent="0.3"/>
  <cols>
    <col min="1" max="1" width="4.26953125" style="4" customWidth="1"/>
    <col min="2" max="2" width="5" style="4" customWidth="1"/>
    <col min="3" max="3" width="43" style="4" customWidth="1"/>
    <col min="4" max="4" width="13" style="4" customWidth="1"/>
    <col min="5" max="5" width="8.26953125" style="21" hidden="1" customWidth="1"/>
    <col min="6" max="6" width="4" style="4" customWidth="1"/>
    <col min="7" max="7" width="14.54296875" style="4" customWidth="1"/>
    <col min="8" max="8" width="4" style="4" customWidth="1"/>
    <col min="9" max="9" width="13.26953125" style="4" customWidth="1"/>
    <col min="10" max="10" width="8.26953125" style="21" hidden="1" customWidth="1"/>
    <col min="11" max="11" width="1.54296875" style="4" customWidth="1"/>
    <col min="12" max="12" width="8.7265625" style="4" hidden="1" customWidth="1"/>
    <col min="13" max="13" width="1.453125" style="4" customWidth="1"/>
    <col min="14" max="14" width="10.453125" style="21" hidden="1" customWidth="1"/>
    <col min="15" max="15" width="1.7265625" style="4" hidden="1" customWidth="1"/>
    <col min="16" max="16" width="12.1796875" style="4" hidden="1" customWidth="1"/>
    <col min="17" max="17" width="0.81640625" style="4" hidden="1" customWidth="1"/>
    <col min="18" max="18" width="0" style="21" hidden="1" customWidth="1"/>
    <col min="19" max="19" width="2.1796875" style="4" hidden="1" customWidth="1"/>
    <col min="20" max="20" width="11.26953125" style="4" hidden="1" customWidth="1"/>
    <col min="21" max="21" width="0.7265625" style="4" hidden="1" customWidth="1"/>
    <col min="22" max="22" width="10.26953125" style="21" hidden="1" customWidth="1"/>
    <col min="23" max="23" width="10.26953125" style="4" hidden="1" customWidth="1"/>
    <col min="24" max="24" width="11.26953125" style="4" customWidth="1"/>
    <col min="25" max="25" width="9.1796875" style="4"/>
    <col min="26" max="26" width="9.7265625" style="4" customWidth="1"/>
    <col min="27" max="29" width="10.26953125" style="4" customWidth="1"/>
    <col min="30" max="30" width="11.26953125" style="4" customWidth="1"/>
    <col min="31" max="16384" width="9.1796875" style="4"/>
  </cols>
  <sheetData>
    <row r="1" spans="1:30" x14ac:dyDescent="0.3">
      <c r="A1" s="44" t="s">
        <v>28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T1" s="16"/>
      <c r="U1" s="16"/>
      <c r="V1" s="22"/>
      <c r="W1" s="16"/>
      <c r="X1" s="16"/>
      <c r="Y1" s="16"/>
      <c r="Z1" s="16"/>
      <c r="AA1" s="16"/>
      <c r="AB1" s="16"/>
      <c r="AC1" s="16"/>
      <c r="AD1" s="16"/>
    </row>
    <row r="2" spans="1:30" x14ac:dyDescent="0.3">
      <c r="A2" s="44" t="s">
        <v>45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T2" s="16"/>
      <c r="U2" s="16"/>
      <c r="V2" s="22"/>
      <c r="W2" s="16"/>
      <c r="X2" s="16"/>
      <c r="Y2" s="16"/>
      <c r="Z2" s="16"/>
      <c r="AA2" s="16"/>
      <c r="AB2" s="16"/>
      <c r="AC2" s="16"/>
      <c r="AD2" s="16"/>
    </row>
    <row r="3" spans="1:30" x14ac:dyDescent="0.3">
      <c r="A3" s="44" t="s">
        <v>65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T3" s="16"/>
      <c r="U3" s="16"/>
      <c r="V3" s="22"/>
      <c r="W3" s="16"/>
      <c r="X3" s="16"/>
      <c r="Y3" s="16"/>
      <c r="Z3" s="16"/>
      <c r="AA3" s="16"/>
      <c r="AB3" s="16"/>
      <c r="AC3" s="16"/>
      <c r="AD3" s="16"/>
    </row>
    <row r="4" spans="1:30" x14ac:dyDescent="0.3">
      <c r="A4" s="45" t="s">
        <v>29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T4" s="16"/>
      <c r="U4" s="16"/>
      <c r="V4" s="22"/>
      <c r="W4" s="16"/>
      <c r="X4" s="16"/>
      <c r="Y4" s="16"/>
      <c r="Z4" s="16"/>
      <c r="AA4" s="16"/>
      <c r="AB4" s="16"/>
      <c r="AC4" s="16"/>
      <c r="AD4" s="16"/>
    </row>
    <row r="5" spans="1:30" x14ac:dyDescent="0.3">
      <c r="K5" s="3"/>
      <c r="T5" s="16"/>
      <c r="U5" s="16"/>
      <c r="V5" s="22"/>
      <c r="W5" s="16"/>
      <c r="X5" s="16"/>
      <c r="Y5" s="16"/>
      <c r="Z5" s="16"/>
      <c r="AA5" s="16"/>
      <c r="AB5" s="16"/>
      <c r="AC5" s="16"/>
      <c r="AD5" s="16"/>
    </row>
    <row r="6" spans="1:30" x14ac:dyDescent="0.3">
      <c r="D6" s="47">
        <v>37814</v>
      </c>
      <c r="E6" s="47"/>
      <c r="F6" s="47"/>
      <c r="G6" s="47"/>
      <c r="H6" s="47"/>
      <c r="I6" s="47"/>
      <c r="J6" s="23"/>
      <c r="N6" s="22"/>
      <c r="O6" s="16"/>
      <c r="P6" s="16"/>
      <c r="Q6" s="16"/>
      <c r="R6" s="23"/>
      <c r="S6" s="16"/>
      <c r="T6" s="16"/>
      <c r="U6" s="16"/>
      <c r="V6" s="22"/>
      <c r="W6" s="16"/>
      <c r="X6" s="1"/>
    </row>
    <row r="7" spans="1:30" x14ac:dyDescent="0.3">
      <c r="D7" s="3"/>
      <c r="E7" s="2"/>
      <c r="G7" s="3" t="s">
        <v>30</v>
      </c>
      <c r="H7" s="8"/>
      <c r="N7" s="23"/>
      <c r="O7" s="16"/>
      <c r="P7" s="16"/>
      <c r="Q7" s="16"/>
      <c r="R7" s="23"/>
      <c r="S7" s="16"/>
      <c r="T7" s="1"/>
      <c r="U7" s="16"/>
      <c r="V7" s="22"/>
      <c r="W7" s="16"/>
      <c r="X7" s="1"/>
    </row>
    <row r="8" spans="1:30" x14ac:dyDescent="0.3">
      <c r="D8" s="24"/>
      <c r="E8" s="2"/>
      <c r="G8" s="1" t="s">
        <v>53</v>
      </c>
      <c r="H8" s="8"/>
      <c r="I8" s="3" t="s">
        <v>27</v>
      </c>
      <c r="J8" s="2"/>
      <c r="L8" s="3" t="s">
        <v>46</v>
      </c>
      <c r="M8" s="3"/>
      <c r="N8" s="23" t="s">
        <v>27</v>
      </c>
      <c r="O8" s="16"/>
      <c r="P8" s="46" t="s">
        <v>58</v>
      </c>
      <c r="Q8" s="46"/>
      <c r="R8" s="46"/>
      <c r="S8" s="16"/>
      <c r="T8" s="46" t="s">
        <v>61</v>
      </c>
      <c r="U8" s="46"/>
      <c r="V8" s="46"/>
      <c r="W8" s="16"/>
      <c r="X8" s="1"/>
    </row>
    <row r="9" spans="1:30" x14ac:dyDescent="0.3">
      <c r="D9" s="7" t="s">
        <v>46</v>
      </c>
      <c r="E9" s="23"/>
      <c r="G9" s="7" t="s">
        <v>52</v>
      </c>
      <c r="H9" s="8"/>
      <c r="I9" s="7">
        <v>2003</v>
      </c>
      <c r="J9" s="23"/>
      <c r="L9" s="3" t="s">
        <v>57</v>
      </c>
      <c r="M9" s="3"/>
      <c r="N9" s="23" t="s">
        <v>57</v>
      </c>
      <c r="O9" s="25"/>
      <c r="P9" s="1" t="s">
        <v>59</v>
      </c>
      <c r="Q9" s="1"/>
      <c r="R9" s="23" t="s">
        <v>60</v>
      </c>
      <c r="S9" s="16"/>
      <c r="T9" s="1" t="s">
        <v>59</v>
      </c>
      <c r="U9" s="25"/>
      <c r="V9" s="23" t="s">
        <v>60</v>
      </c>
      <c r="W9" s="25"/>
      <c r="X9" s="1"/>
    </row>
    <row r="10" spans="1:30" x14ac:dyDescent="0.3">
      <c r="N10" s="26"/>
      <c r="O10" s="16"/>
      <c r="P10" s="16"/>
      <c r="Q10" s="16"/>
      <c r="R10" s="22"/>
      <c r="S10" s="16"/>
      <c r="T10" s="16"/>
      <c r="U10" s="16"/>
      <c r="V10" s="22"/>
      <c r="W10" s="16"/>
      <c r="X10" s="16"/>
    </row>
    <row r="11" spans="1:30" x14ac:dyDescent="0.3">
      <c r="A11" s="4" t="s">
        <v>20</v>
      </c>
      <c r="D11" s="9">
        <v>1872705</v>
      </c>
      <c r="E11" s="21">
        <v>1</v>
      </c>
      <c r="G11" s="27">
        <v>0</v>
      </c>
      <c r="I11" s="9">
        <v>1872705</v>
      </c>
      <c r="J11" s="21">
        <f>+I11/$I$11</f>
        <v>1</v>
      </c>
      <c r="L11" s="28">
        <f>+E11-'2nd QTR 02'!E11</f>
        <v>0</v>
      </c>
      <c r="N11" s="22">
        <f>+J11-'2nd QTR 02'!J11</f>
        <v>0</v>
      </c>
      <c r="O11" s="13"/>
      <c r="P11" s="13">
        <f>+D11-'2nd QTR 02'!D11</f>
        <v>1079988</v>
      </c>
      <c r="Q11" s="13"/>
      <c r="R11" s="22">
        <f>+P11/'2nd QTR 02'!$D11</f>
        <v>1.3623878382827668</v>
      </c>
      <c r="S11" s="16"/>
      <c r="T11" s="13">
        <f>+I11-'2nd QTR 02'!I11</f>
        <v>1079988</v>
      </c>
      <c r="U11" s="13"/>
      <c r="V11" s="22">
        <f>+T11/'2nd QTR 02'!$I11</f>
        <v>1.3623878382827668</v>
      </c>
      <c r="W11" s="13"/>
      <c r="X11" s="11"/>
    </row>
    <row r="12" spans="1:30" ht="5.15" customHeight="1" x14ac:dyDescent="0.3">
      <c r="D12" s="12"/>
      <c r="G12" s="12"/>
      <c r="I12" s="12"/>
      <c r="N12" s="22"/>
      <c r="O12" s="16"/>
      <c r="P12" s="16"/>
      <c r="Q12" s="16"/>
      <c r="R12" s="22"/>
      <c r="S12" s="16"/>
      <c r="T12" s="13"/>
      <c r="U12" s="13"/>
      <c r="V12" s="22"/>
      <c r="W12" s="13"/>
      <c r="X12" s="16"/>
    </row>
    <row r="13" spans="1:30" x14ac:dyDescent="0.3">
      <c r="A13" s="4" t="s">
        <v>21</v>
      </c>
      <c r="D13" s="14">
        <v>1023609</v>
      </c>
      <c r="E13" s="21">
        <v>0.54659383084895907</v>
      </c>
      <c r="G13" s="14">
        <v>0</v>
      </c>
      <c r="I13" s="14">
        <v>1023609</v>
      </c>
      <c r="J13" s="21">
        <f>+I13/$I$11</f>
        <v>0.54659383084895907</v>
      </c>
      <c r="L13" s="28">
        <f>+E13-'2nd QTR 02'!E13</f>
        <v>-1.3130509615544628E-2</v>
      </c>
      <c r="N13" s="22">
        <f>+J13-'2nd QTR 02'!J13</f>
        <v>-1.3130509615544628E-2</v>
      </c>
      <c r="O13" s="29"/>
      <c r="P13" s="13">
        <f>+D13-'2nd QTR 02'!D13</f>
        <v>579906</v>
      </c>
      <c r="Q13" s="29"/>
      <c r="R13" s="22">
        <f>+P13/'2nd QTR 02'!$D13</f>
        <v>1.3069688507853225</v>
      </c>
      <c r="S13" s="16"/>
      <c r="T13" s="13">
        <f>+I13-'2nd QTR 02'!I13</f>
        <v>579906</v>
      </c>
      <c r="U13" s="13"/>
      <c r="V13" s="22">
        <f>+T13/'2nd QTR 02'!$I13</f>
        <v>1.3069688507853225</v>
      </c>
      <c r="W13" s="13"/>
      <c r="X13" s="13"/>
    </row>
    <row r="14" spans="1:30" ht="3.75" customHeight="1" x14ac:dyDescent="0.3">
      <c r="D14" s="13"/>
      <c r="E14" s="22"/>
      <c r="G14" s="13"/>
      <c r="I14" s="13"/>
      <c r="J14" s="22"/>
      <c r="N14" s="22"/>
      <c r="O14" s="16"/>
      <c r="P14" s="16"/>
      <c r="Q14" s="16"/>
      <c r="R14" s="22"/>
      <c r="S14" s="16"/>
      <c r="T14" s="13"/>
      <c r="U14" s="13"/>
      <c r="V14" s="22"/>
      <c r="W14" s="13"/>
      <c r="X14" s="16"/>
    </row>
    <row r="15" spans="1:30" x14ac:dyDescent="0.3">
      <c r="B15" s="4" t="s">
        <v>22</v>
      </c>
      <c r="D15" s="12">
        <v>849096</v>
      </c>
      <c r="E15" s="21">
        <v>0.45340616915104087</v>
      </c>
      <c r="G15" s="12">
        <v>0</v>
      </c>
      <c r="I15" s="12">
        <v>849096</v>
      </c>
      <c r="J15" s="21">
        <f>+I15/$I$11</f>
        <v>0.45340616915104087</v>
      </c>
      <c r="L15" s="28">
        <f>+E15-'2nd QTR 02'!E15</f>
        <v>1.3130509615544572E-2</v>
      </c>
      <c r="M15" s="28"/>
      <c r="N15" s="22">
        <f>+J15-'2nd QTR 02'!J15</f>
        <v>1.3130509615544572E-2</v>
      </c>
      <c r="O15" s="13"/>
      <c r="P15" s="13">
        <f>+D15-'2nd QTR 02'!D15</f>
        <v>500082</v>
      </c>
      <c r="Q15" s="13"/>
      <c r="R15" s="22">
        <f>+P15/'2nd QTR 02'!$D15</f>
        <v>1.4328422355550208</v>
      </c>
      <c r="S15" s="16"/>
      <c r="T15" s="13">
        <f>+I15-'2nd QTR 02'!I15</f>
        <v>500082</v>
      </c>
      <c r="U15" s="13"/>
      <c r="V15" s="22">
        <f>+T15/'2nd QTR 02'!$I15</f>
        <v>1.4328422355550208</v>
      </c>
      <c r="W15" s="13"/>
      <c r="X15" s="29"/>
    </row>
    <row r="16" spans="1:30" ht="5.15" customHeight="1" x14ac:dyDescent="0.3">
      <c r="D16" s="12"/>
      <c r="G16" s="12"/>
      <c r="I16" s="12"/>
      <c r="N16" s="22"/>
      <c r="O16" s="16"/>
      <c r="P16" s="16"/>
      <c r="Q16" s="16"/>
      <c r="R16" s="22"/>
      <c r="S16" s="16"/>
      <c r="T16" s="13"/>
      <c r="U16" s="16"/>
      <c r="V16" s="22"/>
      <c r="W16" s="16"/>
      <c r="X16" s="16"/>
    </row>
    <row r="17" spans="1:24" x14ac:dyDescent="0.3">
      <c r="A17" s="4" t="s">
        <v>23</v>
      </c>
      <c r="D17" s="14">
        <v>696586</v>
      </c>
      <c r="E17" s="21">
        <v>0.37196782194739697</v>
      </c>
      <c r="G17" s="14">
        <v>-6271</v>
      </c>
      <c r="H17" s="4" t="s">
        <v>34</v>
      </c>
      <c r="I17" s="14">
        <v>690315</v>
      </c>
      <c r="J17" s="21">
        <f>+I17/$I$11</f>
        <v>0.3686191898884234</v>
      </c>
      <c r="L17" s="28">
        <f>+E17-'2nd QTR 02'!E17</f>
        <v>3.9121349872333622E-3</v>
      </c>
      <c r="M17" s="28"/>
      <c r="N17" s="22">
        <f>+J17-'2nd QTR 02'!J17</f>
        <v>1.0187366173276646E-2</v>
      </c>
      <c r="O17" s="19"/>
      <c r="P17" s="13">
        <f>+D17-'2nd QTR 02'!D17</f>
        <v>404822</v>
      </c>
      <c r="Q17" s="19"/>
      <c r="R17" s="22">
        <f>+P17/'2nd QTR 02'!$D17</f>
        <v>1.3874981149147942</v>
      </c>
      <c r="S17" s="16"/>
      <c r="T17" s="13">
        <f>+I17-'2nd QTR 02'!I17</f>
        <v>406180</v>
      </c>
      <c r="U17" s="19"/>
      <c r="V17" s="22">
        <f>+T17/'2nd QTR 02'!$I17</f>
        <v>1.4295317366744682</v>
      </c>
      <c r="W17" s="19"/>
      <c r="X17" s="22"/>
    </row>
    <row r="18" spans="1:24" ht="5.15" customHeight="1" x14ac:dyDescent="0.3">
      <c r="D18" s="13"/>
      <c r="E18" s="22"/>
      <c r="F18" s="16"/>
      <c r="G18" s="13"/>
      <c r="H18" s="16"/>
      <c r="I18" s="13"/>
      <c r="J18" s="22"/>
      <c r="L18" s="28"/>
      <c r="M18" s="28"/>
      <c r="N18" s="22"/>
      <c r="O18" s="16"/>
      <c r="P18" s="16"/>
      <c r="Q18" s="16"/>
      <c r="R18" s="22"/>
      <c r="S18" s="16"/>
      <c r="T18" s="13"/>
      <c r="U18" s="16"/>
      <c r="V18" s="22"/>
      <c r="W18" s="16"/>
      <c r="X18" s="16"/>
    </row>
    <row r="19" spans="1:24" x14ac:dyDescent="0.3">
      <c r="B19" s="4" t="s">
        <v>24</v>
      </c>
      <c r="D19" s="14">
        <v>152510</v>
      </c>
      <c r="E19" s="21">
        <v>8.1438347203643929E-2</v>
      </c>
      <c r="G19" s="14">
        <v>6271</v>
      </c>
      <c r="I19" s="14">
        <v>158781</v>
      </c>
      <c r="J19" s="21">
        <f>+I19/$I$11</f>
        <v>8.478697926261744E-2</v>
      </c>
      <c r="L19" s="28">
        <f>+E19-'2nd QTR 02'!E19</f>
        <v>9.2183746283112378E-3</v>
      </c>
      <c r="M19" s="28"/>
      <c r="N19" s="22">
        <f>+J19-'2nd QTR 02'!J19</f>
        <v>2.9431434422679398E-3</v>
      </c>
      <c r="O19" s="16"/>
      <c r="P19" s="13">
        <f>+D19-'2nd QTR 02'!D19</f>
        <v>95260</v>
      </c>
      <c r="Q19" s="16"/>
      <c r="R19" s="22">
        <f>+P19/'2nd QTR 02'!$D19</f>
        <v>1.6639301310043668</v>
      </c>
      <c r="S19" s="16"/>
      <c r="T19" s="13">
        <f>+I19-'2nd QTR 02'!I19</f>
        <v>93902</v>
      </c>
      <c r="U19" s="16"/>
      <c r="V19" s="22">
        <f>+T19/'2nd QTR 02'!$I19</f>
        <v>1.4473404337304829</v>
      </c>
      <c r="W19" s="16"/>
      <c r="X19" s="16"/>
    </row>
    <row r="20" spans="1:24" ht="5.15" customHeight="1" x14ac:dyDescent="0.3">
      <c r="D20" s="13"/>
      <c r="E20" s="22"/>
      <c r="G20" s="13"/>
      <c r="I20" s="13"/>
      <c r="J20" s="22"/>
      <c r="N20" s="22"/>
      <c r="O20" s="16"/>
      <c r="P20" s="16"/>
      <c r="Q20" s="16"/>
      <c r="R20" s="22"/>
      <c r="S20" s="16"/>
      <c r="T20" s="16"/>
      <c r="U20" s="16"/>
      <c r="V20" s="22"/>
      <c r="W20" s="16"/>
      <c r="X20" s="16"/>
    </row>
    <row r="21" spans="1:24" x14ac:dyDescent="0.3">
      <c r="A21" s="4" t="s">
        <v>39</v>
      </c>
      <c r="D21" s="12"/>
      <c r="G21" s="12"/>
      <c r="I21" s="12"/>
      <c r="N21" s="22"/>
      <c r="O21" s="16"/>
      <c r="P21" s="16"/>
      <c r="Q21" s="16"/>
      <c r="R21" s="22"/>
      <c r="S21" s="16"/>
      <c r="T21" s="16"/>
      <c r="U21" s="16"/>
      <c r="V21" s="22"/>
      <c r="W21" s="30"/>
      <c r="X21" s="16"/>
    </row>
    <row r="22" spans="1:24" x14ac:dyDescent="0.3">
      <c r="A22" s="4" t="s">
        <v>25</v>
      </c>
      <c r="D22" s="12">
        <v>-26749</v>
      </c>
      <c r="E22" s="21">
        <v>-1.4283616479904736E-2</v>
      </c>
      <c r="G22" s="12">
        <v>0</v>
      </c>
      <c r="I22" s="12">
        <v>-26749</v>
      </c>
      <c r="J22" s="21">
        <f>+I22/$I$11</f>
        <v>-1.4283616479904736E-2</v>
      </c>
      <c r="L22" s="28">
        <f>+E22-'2nd QTR 02'!E22</f>
        <v>9.8359621339006963E-3</v>
      </c>
      <c r="N22" s="22">
        <f>+J22-'2nd QTR 02'!J22</f>
        <v>9.8359621339006963E-3</v>
      </c>
      <c r="O22" s="16"/>
      <c r="P22" s="13">
        <f>+D22-'2nd QTR 02'!D22</f>
        <v>-7629</v>
      </c>
      <c r="Q22" s="16"/>
      <c r="R22" s="22">
        <f>+P22/'2nd QTR 02'!$D22</f>
        <v>0.39900627615062761</v>
      </c>
      <c r="S22" s="16"/>
      <c r="T22" s="13">
        <f>+I22-'2nd QTR 02'!I22</f>
        <v>-7629</v>
      </c>
      <c r="U22" s="16"/>
      <c r="V22" s="22">
        <f>+T22/'2nd QTR 02'!$I22</f>
        <v>0.39900627615062761</v>
      </c>
      <c r="W22" s="16"/>
      <c r="X22" s="16"/>
    </row>
    <row r="23" spans="1:24" x14ac:dyDescent="0.3">
      <c r="A23" s="4" t="s">
        <v>50</v>
      </c>
      <c r="D23" s="12">
        <v>-47141</v>
      </c>
      <c r="E23" s="21">
        <v>-2.517267802456874E-2</v>
      </c>
      <c r="G23" s="12">
        <v>46887</v>
      </c>
      <c r="H23" s="16" t="s">
        <v>35</v>
      </c>
      <c r="I23" s="12">
        <v>-254</v>
      </c>
      <c r="J23" s="21">
        <f>+I23/$I$11</f>
        <v>-1.3563268106829427E-4</v>
      </c>
      <c r="L23" s="28">
        <f>+E23-'2nd QTR 02'!E23</f>
        <v>-9.4571073984814971E-3</v>
      </c>
      <c r="N23" s="22">
        <f>+J23-'2nd QTR 02'!J23</f>
        <v>-1.3563268106829427E-4</v>
      </c>
      <c r="O23" s="16"/>
      <c r="P23" s="13">
        <f>+D23-'2nd QTR 02'!D23</f>
        <v>-34683</v>
      </c>
      <c r="Q23" s="16"/>
      <c r="R23" s="22">
        <f>+P23/'2nd QTR 02'!$D23</f>
        <v>2.7839942205811528</v>
      </c>
      <c r="S23" s="16"/>
      <c r="T23" s="13">
        <f>+I23-'2nd QTR 02'!I23</f>
        <v>-254</v>
      </c>
      <c r="U23" s="16"/>
      <c r="V23" s="22" t="e">
        <f>+T23/'2nd QTR 02'!$I23</f>
        <v>#DIV/0!</v>
      </c>
      <c r="W23" s="16"/>
      <c r="X23" s="16"/>
    </row>
    <row r="24" spans="1:24" x14ac:dyDescent="0.3">
      <c r="A24" s="4" t="s">
        <v>40</v>
      </c>
      <c r="D24" s="14">
        <v>239</v>
      </c>
      <c r="E24" s="21">
        <v>1.2762287706819813E-4</v>
      </c>
      <c r="G24" s="14">
        <v>0</v>
      </c>
      <c r="I24" s="14">
        <v>239</v>
      </c>
      <c r="J24" s="21">
        <f>+I24/$I$11</f>
        <v>1.2762287706819813E-4</v>
      </c>
      <c r="L24" s="28">
        <f>+E24-'2nd QTR 02'!E24</f>
        <v>-3.4795668032744245E-4</v>
      </c>
      <c r="N24" s="22">
        <f>+J24-'2nd QTR 02'!J24</f>
        <v>-3.4795668032744245E-4</v>
      </c>
      <c r="O24" s="16"/>
      <c r="P24" s="13">
        <f>+D24-'2nd QTR 02'!D24</f>
        <v>-138</v>
      </c>
      <c r="Q24" s="16"/>
      <c r="R24" s="22">
        <f>+P24/'2nd QTR 02'!$D24</f>
        <v>-0.3660477453580902</v>
      </c>
      <c r="S24" s="16"/>
      <c r="T24" s="13">
        <f>+I24-'2nd QTR 02'!I24</f>
        <v>-138</v>
      </c>
      <c r="U24" s="16"/>
      <c r="V24" s="22">
        <f>+T24/'2nd QTR 02'!$I24</f>
        <v>-0.3660477453580902</v>
      </c>
      <c r="W24" s="16"/>
      <c r="X24" s="16"/>
    </row>
    <row r="25" spans="1:24" x14ac:dyDescent="0.3">
      <c r="B25" s="4" t="s">
        <v>41</v>
      </c>
      <c r="D25" s="31">
        <v>-73651</v>
      </c>
      <c r="E25" s="21">
        <v>-3.9328671627405276E-2</v>
      </c>
      <c r="G25" s="31">
        <v>46887</v>
      </c>
      <c r="I25" s="31">
        <v>-26764</v>
      </c>
      <c r="J25" s="21">
        <f>+I25/$I$11</f>
        <v>-1.4291626283904834E-2</v>
      </c>
      <c r="L25" s="28">
        <f>+E25-'2nd QTR 02'!E25</f>
        <v>3.0898055091758969E-5</v>
      </c>
      <c r="N25" s="22">
        <f>+J25-'2nd QTR 02'!J25</f>
        <v>9.3523727725049553E-3</v>
      </c>
      <c r="O25" s="16"/>
      <c r="P25" s="13">
        <f>+D25-'2nd QTR 02'!D25</f>
        <v>-42450</v>
      </c>
      <c r="Q25" s="16"/>
      <c r="R25" s="22">
        <f>+P25/'2nd QTR 02'!$D25</f>
        <v>1.3605333162398641</v>
      </c>
      <c r="S25" s="16"/>
      <c r="T25" s="13">
        <f>+I25-'2nd QTR 02'!I25</f>
        <v>-8021</v>
      </c>
      <c r="U25" s="16"/>
      <c r="V25" s="22">
        <f>+T25/'2nd QTR 02'!$I25</f>
        <v>0.42794643333511179</v>
      </c>
      <c r="W25" s="16"/>
      <c r="X25" s="16"/>
    </row>
    <row r="26" spans="1:24" ht="5.15" customHeight="1" x14ac:dyDescent="0.3">
      <c r="D26" s="13"/>
      <c r="E26" s="22"/>
      <c r="G26" s="13"/>
      <c r="I26" s="13"/>
      <c r="J26" s="22"/>
      <c r="N26" s="22"/>
    </row>
    <row r="27" spans="1:24" ht="12.75" customHeight="1" x14ac:dyDescent="0.3">
      <c r="A27" s="4" t="s">
        <v>51</v>
      </c>
      <c r="D27" s="12">
        <v>78859</v>
      </c>
      <c r="E27" s="21">
        <v>4.2109675576238646E-2</v>
      </c>
      <c r="G27" s="12">
        <v>53158</v>
      </c>
      <c r="I27" s="12">
        <v>132017</v>
      </c>
      <c r="J27" s="21">
        <f>+I27/$I$11</f>
        <v>7.0495352978712608E-2</v>
      </c>
      <c r="L27" s="28">
        <f>+E27-'2nd QTR 02'!E27</f>
        <v>9.2492726834029967E-3</v>
      </c>
      <c r="N27" s="22">
        <f>+J27-'2nd QTR 02'!J27</f>
        <v>1.2295516214772893E-2</v>
      </c>
      <c r="P27" s="13">
        <f>+D27-'2nd QTR 02'!D27</f>
        <v>52810</v>
      </c>
      <c r="R27" s="22">
        <f>+P27/'2nd QTR 02'!$D27</f>
        <v>2.0273331029981958</v>
      </c>
      <c r="T27" s="13">
        <f>+I27-'2nd QTR 02'!I27</f>
        <v>85881</v>
      </c>
      <c r="V27" s="22">
        <f>+T27/'2nd QTR 02'!$I27</f>
        <v>1.8614747702444945</v>
      </c>
    </row>
    <row r="28" spans="1:24" ht="5.15" customHeight="1" x14ac:dyDescent="0.3">
      <c r="D28" s="12"/>
      <c r="G28" s="12"/>
      <c r="I28" s="12"/>
      <c r="N28" s="22"/>
    </row>
    <row r="29" spans="1:24" x14ac:dyDescent="0.3">
      <c r="A29" s="4" t="s">
        <v>37</v>
      </c>
      <c r="D29" s="14">
        <v>30360</v>
      </c>
      <c r="E29" s="21">
        <v>1.6211843296194541E-2</v>
      </c>
      <c r="G29" s="14">
        <v>20465.830000000002</v>
      </c>
      <c r="H29" s="16" t="s">
        <v>71</v>
      </c>
      <c r="I29" s="14">
        <v>50825.83</v>
      </c>
      <c r="J29" s="21">
        <f>+I29/$I$11</f>
        <v>2.7140329096147019E-2</v>
      </c>
      <c r="L29" s="28">
        <f>+E29-'2nd QTR 02'!E29</f>
        <v>3.4607606273480297E-3</v>
      </c>
      <c r="N29" s="22">
        <f>+J29-'2nd QTR 02'!J29</f>
        <v>4.557546085312128E-3</v>
      </c>
      <c r="P29" s="13">
        <f>+D29-'2nd QTR 02'!D29</f>
        <v>20252</v>
      </c>
      <c r="R29" s="22">
        <f>+P29/'2nd QTR 02'!$D29</f>
        <v>2.0035615354174912</v>
      </c>
      <c r="T29" s="13">
        <f>+I29-'2nd QTR 02'!I29</f>
        <v>32924.074000000001</v>
      </c>
      <c r="V29" s="22">
        <f>+T29/'2nd QTR 02'!$I29</f>
        <v>1.8391533210485049</v>
      </c>
    </row>
    <row r="30" spans="1:24" ht="5.25" customHeight="1" x14ac:dyDescent="0.3">
      <c r="D30" s="12"/>
      <c r="G30" s="12"/>
      <c r="I30" s="12"/>
    </row>
    <row r="31" spans="1:24" ht="13.5" thickBot="1" x14ac:dyDescent="0.35">
      <c r="A31" s="4" t="s">
        <v>38</v>
      </c>
      <c r="D31" s="32">
        <v>48499</v>
      </c>
      <c r="E31" s="21">
        <v>2.5897832280044109E-2</v>
      </c>
      <c r="G31" s="32">
        <v>32692.17</v>
      </c>
      <c r="I31" s="32">
        <v>81191.17</v>
      </c>
      <c r="J31" s="21">
        <f>+I31/$I$11</f>
        <v>4.335502388256559E-2</v>
      </c>
      <c r="L31" s="28">
        <f>+E31-'2nd QTR 02'!E31</f>
        <v>5.7885120560549688E-3</v>
      </c>
      <c r="N31" s="22">
        <f>+J31-'2nd QTR 02'!J31</f>
        <v>7.7379701294607653E-3</v>
      </c>
      <c r="P31" s="13">
        <f>+D31-'2nd QTR 02'!D31</f>
        <v>32558</v>
      </c>
      <c r="R31" s="22">
        <f>+P31/'2nd QTR 02'!$D31</f>
        <v>2.0424063735022897</v>
      </c>
      <c r="T31" s="13">
        <f>+I31-'2nd QTR 02'!I31</f>
        <v>52956.925999999999</v>
      </c>
      <c r="V31" s="22">
        <f>+T31/'2nd QTR 02'!$I31</f>
        <v>1.8756275535480957</v>
      </c>
    </row>
    <row r="32" spans="1:24" ht="13.5" thickTop="1" x14ac:dyDescent="0.3">
      <c r="N32" s="22"/>
    </row>
    <row r="33" spans="1:51" x14ac:dyDescent="0.3">
      <c r="A33" s="4" t="s">
        <v>54</v>
      </c>
      <c r="F33" s="16"/>
      <c r="G33" s="16"/>
      <c r="H33" s="16"/>
      <c r="I33" s="16"/>
      <c r="J33" s="22"/>
      <c r="K33" s="16"/>
      <c r="L33" s="16"/>
      <c r="M33" s="16"/>
      <c r="N33" s="22"/>
      <c r="O33" s="16"/>
      <c r="P33" s="16"/>
      <c r="Q33" s="16"/>
      <c r="R33" s="22"/>
      <c r="S33" s="16"/>
      <c r="T33" s="16"/>
      <c r="U33" s="16"/>
      <c r="V33" s="22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</row>
    <row r="34" spans="1:51" x14ac:dyDescent="0.3">
      <c r="B34" s="4" t="s">
        <v>55</v>
      </c>
      <c r="D34" s="33">
        <v>1.3405660898888827</v>
      </c>
      <c r="E34" s="22"/>
      <c r="F34" s="16"/>
      <c r="G34" s="33">
        <v>0.9036477970037039</v>
      </c>
      <c r="H34" s="16"/>
      <c r="I34" s="33">
        <v>2.2442138868925867</v>
      </c>
      <c r="J34" s="22"/>
      <c r="K34" s="16"/>
      <c r="L34" s="16"/>
      <c r="M34" s="16"/>
      <c r="N34" s="22"/>
      <c r="O34" s="16"/>
      <c r="P34" s="34">
        <f>+D34-'2nd QTR 02'!D34</f>
        <v>0.89007719597603585</v>
      </c>
      <c r="Q34" s="16"/>
      <c r="R34" s="22">
        <f>+P34/'2nd QTR 02'!$D34</f>
        <v>1.9758027511955336</v>
      </c>
      <c r="S34" s="16"/>
      <c r="T34" s="34">
        <f>+I34-'2nd QTR 02'!I34</f>
        <v>1.4463208218386105</v>
      </c>
      <c r="U34" s="16"/>
      <c r="V34" s="22">
        <f>+T34/'2nd QTR 02'!$I34</f>
        <v>1.812675012710844</v>
      </c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</row>
    <row r="35" spans="1:51" x14ac:dyDescent="0.3">
      <c r="B35" s="4" t="s">
        <v>56</v>
      </c>
      <c r="D35" s="35">
        <v>1.3122023809523808</v>
      </c>
      <c r="F35" s="35"/>
      <c r="G35" s="35">
        <v>0.89452840909090903</v>
      </c>
      <c r="H35" s="35"/>
      <c r="I35" s="35">
        <v>2.19673079004329</v>
      </c>
      <c r="K35" s="16"/>
      <c r="L35" s="16"/>
      <c r="M35" s="16"/>
      <c r="N35" s="22"/>
      <c r="O35" s="16"/>
      <c r="P35" s="34">
        <f>+D35-'2nd QTR 02'!D35</f>
        <v>0.87596462713485579</v>
      </c>
      <c r="Q35" s="16"/>
      <c r="R35" s="22">
        <f>+P35/'2nd QTR 02'!$D35</f>
        <v>2.007998206182918</v>
      </c>
      <c r="S35" s="16"/>
      <c r="T35" s="34">
        <f>+I35-'2nd QTR 02'!I35</f>
        <v>1.4240789373806004</v>
      </c>
      <c r="U35" s="16"/>
      <c r="V35" s="22">
        <f>+T35/'2nd QTR 02'!$I35</f>
        <v>1.8431055752639209</v>
      </c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</row>
    <row r="36" spans="1:51" x14ac:dyDescent="0.3">
      <c r="D36" s="36"/>
      <c r="E36" s="22"/>
      <c r="G36" s="36"/>
      <c r="I36" s="36"/>
      <c r="J36" s="22"/>
      <c r="K36" s="16"/>
      <c r="L36" s="16"/>
      <c r="M36" s="16"/>
      <c r="N36" s="22"/>
      <c r="O36" s="16"/>
      <c r="P36" s="16"/>
      <c r="Q36" s="16"/>
      <c r="R36" s="22"/>
      <c r="S36" s="16"/>
      <c r="T36" s="13"/>
      <c r="U36" s="16"/>
      <c r="V36" s="22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</row>
    <row r="37" spans="1:51" x14ac:dyDescent="0.3">
      <c r="K37" s="16"/>
      <c r="L37" s="16"/>
      <c r="M37" s="16"/>
      <c r="N37" s="22"/>
      <c r="O37" s="16"/>
      <c r="P37" s="16"/>
      <c r="Q37" s="16"/>
      <c r="R37" s="22"/>
      <c r="S37" s="16"/>
      <c r="T37" s="16"/>
      <c r="U37" s="16"/>
      <c r="V37" s="22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</row>
    <row r="38" spans="1:51" x14ac:dyDescent="0.3">
      <c r="A38" s="4" t="s">
        <v>75</v>
      </c>
      <c r="D38" s="12">
        <v>36178</v>
      </c>
      <c r="G38" s="12">
        <v>36178</v>
      </c>
      <c r="I38" s="12">
        <v>36178</v>
      </c>
      <c r="K38" s="16"/>
      <c r="L38" s="16"/>
      <c r="M38" s="16"/>
      <c r="N38" s="22"/>
      <c r="O38" s="16"/>
      <c r="P38" s="16"/>
      <c r="Q38" s="16"/>
      <c r="R38" s="22"/>
      <c r="S38" s="16"/>
      <c r="T38" s="16"/>
      <c r="U38" s="16"/>
      <c r="V38" s="22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</row>
    <row r="39" spans="1:51" x14ac:dyDescent="0.3">
      <c r="A39" s="4" t="s">
        <v>26</v>
      </c>
      <c r="D39" s="14">
        <v>782</v>
      </c>
      <c r="E39" s="22"/>
      <c r="G39" s="14">
        <v>782</v>
      </c>
      <c r="I39" s="14">
        <v>782</v>
      </c>
      <c r="J39" s="22"/>
      <c r="K39" s="16"/>
      <c r="L39" s="16"/>
      <c r="M39" s="16"/>
      <c r="N39" s="22"/>
      <c r="O39" s="16"/>
      <c r="P39" s="16"/>
      <c r="Q39" s="16"/>
      <c r="R39" s="22"/>
      <c r="S39" s="16"/>
      <c r="T39" s="16"/>
      <c r="U39" s="16"/>
      <c r="V39" s="22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</row>
    <row r="40" spans="1:51" ht="13.5" thickBot="1" x14ac:dyDescent="0.35">
      <c r="A40" s="4" t="s">
        <v>31</v>
      </c>
      <c r="D40" s="37">
        <v>36960</v>
      </c>
      <c r="E40" s="22"/>
      <c r="G40" s="37">
        <v>36960</v>
      </c>
      <c r="I40" s="37">
        <v>36960</v>
      </c>
      <c r="J40" s="22"/>
      <c r="K40" s="16"/>
      <c r="L40" s="16"/>
      <c r="M40" s="16"/>
      <c r="N40" s="22"/>
      <c r="O40" s="16"/>
      <c r="P40" s="16"/>
      <c r="Q40" s="16"/>
      <c r="R40" s="22"/>
      <c r="S40" s="16"/>
      <c r="T40" s="16"/>
      <c r="U40" s="16"/>
      <c r="V40" s="22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</row>
    <row r="41" spans="1:51" ht="13.5" thickTop="1" x14ac:dyDescent="0.3">
      <c r="F41" s="16"/>
      <c r="G41" s="13"/>
      <c r="H41" s="16"/>
      <c r="I41" s="13"/>
      <c r="J41" s="22"/>
      <c r="K41" s="16"/>
      <c r="L41" s="16"/>
      <c r="M41" s="16"/>
      <c r="N41" s="22"/>
      <c r="O41" s="16"/>
      <c r="P41" s="16"/>
      <c r="Q41" s="16"/>
      <c r="R41" s="22"/>
      <c r="S41" s="16"/>
      <c r="T41" s="16"/>
      <c r="U41" s="16"/>
      <c r="V41" s="22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</row>
    <row r="42" spans="1:51" x14ac:dyDescent="0.3">
      <c r="F42" s="16"/>
      <c r="G42" s="13"/>
      <c r="H42" s="16"/>
      <c r="I42" s="13"/>
      <c r="J42" s="22"/>
      <c r="K42" s="16"/>
      <c r="L42" s="16"/>
      <c r="M42" s="16"/>
      <c r="N42" s="22"/>
      <c r="O42" s="16"/>
      <c r="P42" s="16"/>
      <c r="Q42" s="16"/>
      <c r="R42" s="22"/>
      <c r="S42" s="16"/>
      <c r="T42" s="16"/>
      <c r="U42" s="16"/>
      <c r="V42" s="22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</row>
    <row r="43" spans="1:51" x14ac:dyDescent="0.3">
      <c r="A43" s="38" t="s">
        <v>49</v>
      </c>
      <c r="F43" s="16"/>
      <c r="G43" s="13"/>
      <c r="H43" s="16"/>
      <c r="I43" s="13"/>
      <c r="J43" s="22"/>
      <c r="K43" s="16"/>
      <c r="L43" s="16"/>
      <c r="M43" s="16"/>
      <c r="N43" s="22"/>
      <c r="O43" s="16"/>
      <c r="P43" s="16"/>
      <c r="Q43" s="16"/>
      <c r="R43" s="22"/>
      <c r="S43" s="16"/>
      <c r="T43" s="16"/>
      <c r="U43" s="16"/>
      <c r="V43" s="22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</row>
    <row r="44" spans="1:51" x14ac:dyDescent="0.3">
      <c r="A44" s="38" t="s">
        <v>72</v>
      </c>
      <c r="B44" s="41"/>
      <c r="F44" s="16"/>
      <c r="G44" s="13"/>
      <c r="H44" s="16"/>
      <c r="I44" s="13"/>
      <c r="J44" s="22"/>
      <c r="K44" s="16"/>
      <c r="L44" s="16"/>
      <c r="M44" s="16"/>
      <c r="N44" s="22"/>
      <c r="O44" s="16"/>
      <c r="P44" s="16"/>
      <c r="Q44" s="16"/>
      <c r="R44" s="22"/>
      <c r="S44" s="16"/>
      <c r="T44" s="16"/>
      <c r="U44" s="16"/>
      <c r="V44" s="22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</row>
    <row r="45" spans="1:51" x14ac:dyDescent="0.3">
      <c r="A45" s="38" t="s">
        <v>77</v>
      </c>
      <c r="B45" s="38"/>
      <c r="F45" s="16"/>
      <c r="G45" s="13"/>
      <c r="H45" s="16"/>
      <c r="I45" s="13"/>
      <c r="J45" s="22"/>
      <c r="K45" s="16"/>
      <c r="L45" s="16"/>
      <c r="M45" s="16"/>
      <c r="N45" s="22"/>
      <c r="O45" s="16"/>
      <c r="P45" s="16"/>
      <c r="Q45" s="16"/>
      <c r="R45" s="22"/>
      <c r="S45" s="16"/>
      <c r="T45" s="16"/>
      <c r="U45" s="16"/>
      <c r="V45" s="22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</row>
    <row r="46" spans="1:51" x14ac:dyDescent="0.3">
      <c r="A46" s="38" t="s">
        <v>73</v>
      </c>
      <c r="F46" s="16"/>
      <c r="G46" s="13"/>
      <c r="H46" s="16"/>
      <c r="I46" s="13"/>
      <c r="J46" s="22"/>
      <c r="K46" s="16"/>
      <c r="L46" s="16"/>
      <c r="M46" s="16"/>
      <c r="N46" s="22"/>
      <c r="O46" s="16"/>
      <c r="P46" s="16"/>
      <c r="Q46" s="16"/>
      <c r="R46" s="22"/>
      <c r="S46" s="16"/>
      <c r="T46" s="16"/>
      <c r="U46" s="16"/>
      <c r="V46" s="22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</row>
    <row r="47" spans="1:51" x14ac:dyDescent="0.3">
      <c r="A47" s="38" t="s">
        <v>74</v>
      </c>
      <c r="F47" s="16"/>
      <c r="G47" s="13"/>
      <c r="H47" s="16"/>
      <c r="I47" s="13"/>
      <c r="J47" s="22"/>
      <c r="K47" s="16"/>
      <c r="L47" s="16"/>
      <c r="M47" s="16"/>
      <c r="N47" s="22"/>
      <c r="O47" s="16"/>
      <c r="P47" s="16"/>
      <c r="Q47" s="16"/>
      <c r="R47" s="22"/>
      <c r="S47" s="16"/>
      <c r="T47" s="16"/>
      <c r="U47" s="16"/>
      <c r="V47" s="22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</row>
    <row r="48" spans="1:51" x14ac:dyDescent="0.3">
      <c r="A48" s="39" t="s">
        <v>67</v>
      </c>
      <c r="B48" s="40"/>
      <c r="F48" s="16"/>
      <c r="G48" s="13"/>
      <c r="H48" s="16"/>
      <c r="I48" s="13"/>
      <c r="K48" s="16"/>
      <c r="L48" s="16"/>
      <c r="M48" s="16"/>
      <c r="N48" s="22"/>
      <c r="O48" s="16"/>
      <c r="P48" s="16"/>
      <c r="Q48" s="16"/>
      <c r="R48" s="22"/>
      <c r="S48" s="16"/>
      <c r="T48" s="16"/>
      <c r="U48" s="16"/>
      <c r="V48" s="22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</row>
    <row r="49" spans="1:1" x14ac:dyDescent="0.3">
      <c r="A49" s="38"/>
    </row>
    <row r="50" spans="1:1" x14ac:dyDescent="0.3">
      <c r="A50" s="38" t="s">
        <v>47</v>
      </c>
    </row>
    <row r="51" spans="1:1" x14ac:dyDescent="0.3">
      <c r="A51" s="38" t="s">
        <v>48</v>
      </c>
    </row>
  </sheetData>
  <mergeCells count="7">
    <mergeCell ref="D6:I6"/>
    <mergeCell ref="P8:R8"/>
    <mergeCell ref="T8:V8"/>
    <mergeCell ref="A1:L1"/>
    <mergeCell ref="A2:L2"/>
    <mergeCell ref="A3:L3"/>
    <mergeCell ref="A4:L4"/>
  </mergeCells>
  <pageMargins left="0.75" right="0.75" top="1" bottom="1" header="0.5" footer="0.5"/>
  <pageSetup scale="87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Y51"/>
  <sheetViews>
    <sheetView topLeftCell="A10" zoomScaleNormal="100" workbookViewId="0">
      <selection activeCell="G19" sqref="G19"/>
    </sheetView>
  </sheetViews>
  <sheetFormatPr defaultColWidth="9.1796875" defaultRowHeight="13" x14ac:dyDescent="0.3"/>
  <cols>
    <col min="1" max="1" width="4.26953125" style="4" customWidth="1"/>
    <col min="2" max="2" width="5" style="4" customWidth="1"/>
    <col min="3" max="3" width="50.453125" style="4" customWidth="1"/>
    <col min="4" max="4" width="12.81640625" style="4" customWidth="1"/>
    <col min="5" max="5" width="8.26953125" style="21" hidden="1" customWidth="1"/>
    <col min="6" max="6" width="4" style="4" customWidth="1"/>
    <col min="7" max="7" width="14.54296875" style="4" customWidth="1"/>
    <col min="8" max="8" width="4" style="4" customWidth="1"/>
    <col min="9" max="9" width="12.7265625" style="4" customWidth="1"/>
    <col min="10" max="10" width="8.26953125" style="21" hidden="1" customWidth="1"/>
    <col min="11" max="11" width="4" style="4" customWidth="1"/>
    <col min="12" max="12" width="17.453125" style="4" bestFit="1" customWidth="1"/>
    <col min="13" max="13" width="3" style="4" customWidth="1"/>
    <col min="14" max="14" width="19" style="4" bestFit="1" customWidth="1"/>
    <col min="15" max="15" width="2.81640625" style="4" customWidth="1"/>
    <col min="16" max="16" width="12.1796875" style="4" bestFit="1" customWidth="1"/>
    <col min="17" max="17" width="3.81640625" style="4" customWidth="1"/>
    <col min="18" max="19" width="9.1796875" style="4"/>
    <col min="20" max="20" width="11.26953125" style="4" bestFit="1" customWidth="1"/>
    <col min="21" max="22" width="10.26953125" style="4" bestFit="1" customWidth="1"/>
    <col min="23" max="23" width="10.26953125" style="4" customWidth="1"/>
    <col min="24" max="24" width="11.26953125" style="4" customWidth="1"/>
    <col min="25" max="25" width="9.1796875" style="4"/>
    <col min="26" max="26" width="9.7265625" style="4" bestFit="1" customWidth="1"/>
    <col min="27" max="28" width="10.26953125" style="4" bestFit="1" customWidth="1"/>
    <col min="29" max="29" width="10.26953125" style="4" customWidth="1"/>
    <col min="30" max="30" width="11.26953125" style="4" bestFit="1" customWidth="1"/>
    <col min="31" max="16384" width="9.1796875" style="4"/>
  </cols>
  <sheetData>
    <row r="1" spans="1:30" x14ac:dyDescent="0.3">
      <c r="A1" s="44" t="s">
        <v>28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</row>
    <row r="2" spans="1:30" x14ac:dyDescent="0.3">
      <c r="A2" s="44" t="s">
        <v>45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</row>
    <row r="3" spans="1:30" x14ac:dyDescent="0.3">
      <c r="A3" s="44" t="s">
        <v>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</row>
    <row r="4" spans="1:30" x14ac:dyDescent="0.3">
      <c r="A4" s="45" t="s">
        <v>29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</row>
    <row r="5" spans="1:30" x14ac:dyDescent="0.3">
      <c r="K5" s="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</row>
    <row r="6" spans="1:30" x14ac:dyDescent="0.3">
      <c r="D6" s="47">
        <v>37450</v>
      </c>
      <c r="E6" s="47"/>
      <c r="F6" s="47"/>
      <c r="G6" s="47"/>
      <c r="H6" s="47"/>
      <c r="I6" s="47"/>
      <c r="J6" s="23"/>
      <c r="N6" s="16"/>
      <c r="O6" s="16"/>
      <c r="P6" s="16"/>
      <c r="Q6" s="16"/>
      <c r="R6" s="1"/>
      <c r="S6" s="16"/>
      <c r="T6" s="16"/>
      <c r="U6" s="16"/>
      <c r="V6" s="16"/>
      <c r="W6" s="16"/>
      <c r="X6" s="1"/>
    </row>
    <row r="7" spans="1:30" x14ac:dyDescent="0.3">
      <c r="D7" s="3"/>
      <c r="E7" s="2"/>
      <c r="G7" s="3" t="s">
        <v>30</v>
      </c>
      <c r="H7" s="8"/>
      <c r="N7" s="1"/>
      <c r="O7" s="16"/>
      <c r="P7" s="16"/>
      <c r="Q7" s="16"/>
      <c r="R7" s="1"/>
      <c r="S7" s="16"/>
      <c r="T7" s="1"/>
      <c r="U7" s="16"/>
      <c r="V7" s="16"/>
      <c r="W7" s="16"/>
      <c r="X7" s="1"/>
    </row>
    <row r="8" spans="1:30" x14ac:dyDescent="0.3">
      <c r="D8" s="24"/>
      <c r="E8" s="2"/>
      <c r="G8" s="1" t="s">
        <v>53</v>
      </c>
      <c r="H8" s="8"/>
      <c r="I8" s="3" t="s">
        <v>27</v>
      </c>
      <c r="J8" s="2"/>
      <c r="N8" s="1"/>
      <c r="O8" s="16"/>
      <c r="P8" s="16"/>
      <c r="Q8" s="16"/>
      <c r="R8" s="1"/>
      <c r="S8" s="16"/>
      <c r="T8" s="1"/>
      <c r="U8" s="16"/>
      <c r="V8" s="16"/>
      <c r="W8" s="16"/>
      <c r="X8" s="1"/>
    </row>
    <row r="9" spans="1:30" x14ac:dyDescent="0.3">
      <c r="D9" s="7" t="s">
        <v>46</v>
      </c>
      <c r="E9" s="23"/>
      <c r="G9" s="7" t="s">
        <v>52</v>
      </c>
      <c r="H9" s="8"/>
      <c r="I9" s="7">
        <v>2002</v>
      </c>
      <c r="J9" s="23"/>
      <c r="N9" s="1"/>
      <c r="O9" s="25"/>
      <c r="P9" s="25"/>
      <c r="Q9" s="25"/>
      <c r="R9" s="1"/>
      <c r="S9" s="16"/>
      <c r="T9" s="1"/>
      <c r="U9" s="25"/>
      <c r="V9" s="25"/>
      <c r="W9" s="25"/>
      <c r="X9" s="1"/>
    </row>
    <row r="10" spans="1:30" x14ac:dyDescent="0.3">
      <c r="N10" s="25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 spans="1:30" x14ac:dyDescent="0.3">
      <c r="A11" s="4" t="s">
        <v>20</v>
      </c>
      <c r="D11" s="9">
        <v>792717</v>
      </c>
      <c r="E11" s="21">
        <v>1</v>
      </c>
      <c r="G11" s="27">
        <v>0</v>
      </c>
      <c r="I11" s="9">
        <v>792717</v>
      </c>
      <c r="J11" s="21">
        <f>+I11/$I$11</f>
        <v>1</v>
      </c>
      <c r="N11" s="10"/>
      <c r="O11" s="13"/>
      <c r="P11" s="13"/>
      <c r="Q11" s="13"/>
      <c r="R11" s="11"/>
      <c r="S11" s="16"/>
      <c r="T11" s="10"/>
      <c r="U11" s="13"/>
      <c r="V11" s="13"/>
      <c r="W11" s="13"/>
      <c r="X11" s="11"/>
    </row>
    <row r="12" spans="1:30" ht="5.15" customHeight="1" x14ac:dyDescent="0.3">
      <c r="D12" s="12"/>
      <c r="G12" s="12"/>
      <c r="I12" s="12"/>
      <c r="N12" s="13"/>
      <c r="O12" s="16"/>
      <c r="P12" s="16"/>
      <c r="Q12" s="16"/>
      <c r="R12" s="16"/>
      <c r="S12" s="16"/>
      <c r="T12" s="13"/>
      <c r="U12" s="13"/>
      <c r="V12" s="13"/>
      <c r="W12" s="13"/>
      <c r="X12" s="16"/>
    </row>
    <row r="13" spans="1:30" x14ac:dyDescent="0.3">
      <c r="A13" s="4" t="s">
        <v>21</v>
      </c>
      <c r="D13" s="14">
        <v>443703</v>
      </c>
      <c r="E13" s="21">
        <v>0.5597243404645037</v>
      </c>
      <c r="G13" s="14">
        <v>0</v>
      </c>
      <c r="I13" s="14">
        <v>443703</v>
      </c>
      <c r="J13" s="21">
        <f>+I13/$I$11</f>
        <v>0.5597243404645037</v>
      </c>
      <c r="N13" s="13"/>
      <c r="O13" s="29"/>
      <c r="P13" s="29"/>
      <c r="Q13" s="29"/>
      <c r="R13" s="34"/>
      <c r="S13" s="16"/>
      <c r="T13" s="13"/>
      <c r="U13" s="13"/>
      <c r="V13" s="13"/>
      <c r="W13" s="13"/>
      <c r="X13" s="13"/>
    </row>
    <row r="14" spans="1:30" ht="3.75" customHeight="1" x14ac:dyDescent="0.3">
      <c r="D14" s="13"/>
      <c r="E14" s="22"/>
      <c r="G14" s="13"/>
      <c r="I14" s="13"/>
      <c r="J14" s="22"/>
      <c r="N14" s="13"/>
      <c r="O14" s="16"/>
      <c r="P14" s="16"/>
      <c r="Q14" s="16"/>
      <c r="R14" s="16"/>
      <c r="S14" s="16"/>
      <c r="T14" s="13"/>
      <c r="U14" s="13"/>
      <c r="V14" s="13"/>
      <c r="W14" s="13"/>
      <c r="X14" s="16"/>
    </row>
    <row r="15" spans="1:30" x14ac:dyDescent="0.3">
      <c r="B15" s="4" t="s">
        <v>22</v>
      </c>
      <c r="D15" s="12">
        <v>349014</v>
      </c>
      <c r="E15" s="21">
        <v>0.4402756595354963</v>
      </c>
      <c r="G15" s="12">
        <v>0</v>
      </c>
      <c r="I15" s="12">
        <v>349014</v>
      </c>
      <c r="J15" s="21">
        <f>+I15/$I$11</f>
        <v>0.4402756595354963</v>
      </c>
      <c r="L15" s="28"/>
      <c r="M15" s="28"/>
      <c r="N15" s="13"/>
      <c r="O15" s="13"/>
      <c r="P15" s="13"/>
      <c r="Q15" s="13"/>
      <c r="R15" s="29"/>
      <c r="S15" s="16"/>
      <c r="T15" s="13"/>
      <c r="U15" s="13"/>
      <c r="V15" s="13"/>
      <c r="W15" s="13"/>
      <c r="X15" s="29"/>
    </row>
    <row r="16" spans="1:30" ht="5.15" customHeight="1" x14ac:dyDescent="0.3">
      <c r="D16" s="12"/>
      <c r="G16" s="12"/>
      <c r="I16" s="12"/>
      <c r="N16" s="13"/>
      <c r="O16" s="16"/>
      <c r="P16" s="16"/>
      <c r="Q16" s="16"/>
      <c r="R16" s="16"/>
      <c r="S16" s="16"/>
      <c r="T16" s="16"/>
      <c r="U16" s="16"/>
      <c r="V16" s="16"/>
      <c r="W16" s="16"/>
      <c r="X16" s="16"/>
    </row>
    <row r="17" spans="1:24" x14ac:dyDescent="0.3">
      <c r="A17" s="4" t="s">
        <v>23</v>
      </c>
      <c r="D17" s="14">
        <v>291764</v>
      </c>
      <c r="E17" s="21">
        <v>0.36805568696016361</v>
      </c>
      <c r="G17" s="14">
        <v>-7629</v>
      </c>
      <c r="H17" s="4" t="s">
        <v>34</v>
      </c>
      <c r="I17" s="14">
        <v>284135</v>
      </c>
      <c r="J17" s="21">
        <f>+I17/$I$11</f>
        <v>0.35843182371514676</v>
      </c>
      <c r="L17" s="28"/>
      <c r="M17" s="28"/>
      <c r="N17" s="19"/>
      <c r="O17" s="19"/>
      <c r="P17" s="19"/>
      <c r="Q17" s="19"/>
      <c r="R17" s="22"/>
      <c r="S17" s="16"/>
      <c r="T17" s="16"/>
      <c r="U17" s="19"/>
      <c r="V17" s="19"/>
      <c r="W17" s="19"/>
      <c r="X17" s="22"/>
    </row>
    <row r="18" spans="1:24" ht="5.15" customHeight="1" x14ac:dyDescent="0.3">
      <c r="D18" s="13"/>
      <c r="E18" s="22"/>
      <c r="F18" s="16"/>
      <c r="G18" s="13"/>
      <c r="H18" s="16"/>
      <c r="I18" s="13"/>
      <c r="J18" s="22"/>
      <c r="L18" s="28"/>
      <c r="M18" s="28"/>
      <c r="N18" s="13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 spans="1:24" x14ac:dyDescent="0.3">
      <c r="B19" s="4" t="s">
        <v>24</v>
      </c>
      <c r="D19" s="14">
        <v>57250</v>
      </c>
      <c r="E19" s="21">
        <v>7.2219972575332692E-2</v>
      </c>
      <c r="G19" s="14">
        <v>7629</v>
      </c>
      <c r="I19" s="14">
        <v>64879</v>
      </c>
      <c r="J19" s="21">
        <f>+I19/$I$11</f>
        <v>8.18438358203495E-2</v>
      </c>
      <c r="L19" s="28"/>
      <c r="M19" s="28"/>
      <c r="N19" s="13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 spans="1:24" ht="5.15" customHeight="1" x14ac:dyDescent="0.3">
      <c r="D20" s="13"/>
      <c r="E20" s="22"/>
      <c r="G20" s="13"/>
      <c r="I20" s="13"/>
      <c r="J20" s="22"/>
      <c r="N20" s="13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 spans="1:24" x14ac:dyDescent="0.3">
      <c r="A21" s="4" t="s">
        <v>39</v>
      </c>
      <c r="D21" s="12"/>
      <c r="G21" s="12"/>
      <c r="I21" s="12"/>
      <c r="N21" s="13"/>
      <c r="O21" s="16"/>
      <c r="P21" s="16"/>
      <c r="Q21" s="16"/>
      <c r="R21" s="16"/>
      <c r="S21" s="16"/>
      <c r="T21" s="16"/>
      <c r="U21" s="16"/>
      <c r="V21" s="30"/>
      <c r="W21" s="30"/>
      <c r="X21" s="16"/>
    </row>
    <row r="22" spans="1:24" x14ac:dyDescent="0.3">
      <c r="A22" s="4" t="s">
        <v>25</v>
      </c>
      <c r="D22" s="12">
        <v>-19120</v>
      </c>
      <c r="E22" s="21">
        <v>-2.4119578613805433E-2</v>
      </c>
      <c r="G22" s="12">
        <v>0</v>
      </c>
      <c r="I22" s="12">
        <v>-19120</v>
      </c>
      <c r="J22" s="21">
        <f>+I22/$I$11</f>
        <v>-2.4119578613805433E-2</v>
      </c>
      <c r="N22" s="13"/>
      <c r="O22" s="16"/>
      <c r="P22" s="16"/>
      <c r="Q22" s="16"/>
      <c r="R22" s="16"/>
      <c r="S22" s="16"/>
      <c r="T22" s="16"/>
      <c r="U22" s="16"/>
      <c r="V22" s="16"/>
      <c r="W22" s="16"/>
      <c r="X22" s="16"/>
    </row>
    <row r="23" spans="1:24" x14ac:dyDescent="0.3">
      <c r="A23" s="4" t="s">
        <v>50</v>
      </c>
      <c r="D23" s="12">
        <v>-12458</v>
      </c>
      <c r="E23" s="21">
        <v>-1.5715570626087243E-2</v>
      </c>
      <c r="G23" s="12">
        <v>12458</v>
      </c>
      <c r="H23" s="16" t="s">
        <v>35</v>
      </c>
      <c r="I23" s="12">
        <v>0</v>
      </c>
      <c r="J23" s="21">
        <f>+I23/$I$11</f>
        <v>0</v>
      </c>
      <c r="N23" s="13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 spans="1:24" x14ac:dyDescent="0.3">
      <c r="A24" s="4" t="s">
        <v>40</v>
      </c>
      <c r="D24" s="14">
        <v>377</v>
      </c>
      <c r="E24" s="21">
        <v>4.7557955739564056E-4</v>
      </c>
      <c r="G24" s="14">
        <v>0</v>
      </c>
      <c r="I24" s="14">
        <v>377</v>
      </c>
      <c r="J24" s="21">
        <f>+I24/$I$11</f>
        <v>4.7557955739564056E-4</v>
      </c>
      <c r="N24" s="13"/>
      <c r="O24" s="16"/>
      <c r="P24" s="16"/>
      <c r="Q24" s="16"/>
      <c r="R24" s="16"/>
      <c r="S24" s="16"/>
      <c r="T24" s="16"/>
      <c r="U24" s="16"/>
      <c r="V24" s="16"/>
      <c r="W24" s="16"/>
      <c r="X24" s="16"/>
    </row>
    <row r="25" spans="1:24" x14ac:dyDescent="0.3">
      <c r="B25" s="4" t="s">
        <v>41</v>
      </c>
      <c r="D25" s="31">
        <v>-31201</v>
      </c>
      <c r="E25" s="21">
        <v>-3.9359569682497035E-2</v>
      </c>
      <c r="G25" s="31">
        <v>12458</v>
      </c>
      <c r="I25" s="31">
        <v>-18743</v>
      </c>
      <c r="J25" s="21">
        <f>+I25/$I$11</f>
        <v>-2.3643999056409789E-2</v>
      </c>
      <c r="N25" s="13"/>
      <c r="O25" s="16"/>
      <c r="P25" s="16"/>
      <c r="Q25" s="16"/>
      <c r="R25" s="16"/>
      <c r="S25" s="16"/>
      <c r="T25" s="16"/>
      <c r="U25" s="16"/>
      <c r="V25" s="16"/>
      <c r="W25" s="16"/>
      <c r="X25" s="16"/>
    </row>
    <row r="26" spans="1:24" ht="5.15" customHeight="1" x14ac:dyDescent="0.3">
      <c r="D26" s="13"/>
      <c r="E26" s="22"/>
      <c r="G26" s="13"/>
      <c r="I26" s="13"/>
      <c r="J26" s="22"/>
      <c r="N26" s="13"/>
    </row>
    <row r="27" spans="1:24" ht="12.75" customHeight="1" x14ac:dyDescent="0.3">
      <c r="A27" s="4" t="s">
        <v>51</v>
      </c>
      <c r="D27" s="12">
        <v>26049</v>
      </c>
      <c r="E27" s="21">
        <v>3.286040289283565E-2</v>
      </c>
      <c r="G27" s="12">
        <v>20087</v>
      </c>
      <c r="I27" s="12">
        <v>46136</v>
      </c>
      <c r="J27" s="21">
        <f>+I27/$I$11</f>
        <v>5.8199836763939715E-2</v>
      </c>
      <c r="N27" s="13"/>
    </row>
    <row r="28" spans="1:24" ht="5.15" customHeight="1" x14ac:dyDescent="0.3">
      <c r="D28" s="12"/>
      <c r="G28" s="12"/>
      <c r="I28" s="12"/>
      <c r="N28" s="13"/>
    </row>
    <row r="29" spans="1:24" x14ac:dyDescent="0.3">
      <c r="A29" s="4" t="s">
        <v>37</v>
      </c>
      <c r="D29" s="14">
        <v>10108</v>
      </c>
      <c r="E29" s="21">
        <v>1.2751082668846512E-2</v>
      </c>
      <c r="G29" s="14">
        <v>7793.7560000000003</v>
      </c>
      <c r="H29" s="16" t="s">
        <v>71</v>
      </c>
      <c r="I29" s="14">
        <v>17901.756000000001</v>
      </c>
      <c r="J29" s="21">
        <f>+I29/$I$11</f>
        <v>2.2582783010834891E-2</v>
      </c>
      <c r="N29" s="13"/>
    </row>
    <row r="30" spans="1:24" ht="5.25" customHeight="1" x14ac:dyDescent="0.3">
      <c r="D30" s="12"/>
      <c r="G30" s="12"/>
      <c r="I30" s="12"/>
    </row>
    <row r="31" spans="1:24" ht="13.5" thickBot="1" x14ac:dyDescent="0.35">
      <c r="A31" s="4" t="s">
        <v>38</v>
      </c>
      <c r="D31" s="32">
        <v>15941</v>
      </c>
      <c r="E31" s="21">
        <v>2.010932022398914E-2</v>
      </c>
      <c r="G31" s="32">
        <v>12293.243999999999</v>
      </c>
      <c r="I31" s="32">
        <v>28234.243999999999</v>
      </c>
      <c r="J31" s="21">
        <f>+I31/$I$11</f>
        <v>3.5617053753104824E-2</v>
      </c>
      <c r="N31" s="10"/>
    </row>
    <row r="32" spans="1:24" ht="13.5" thickTop="1" x14ac:dyDescent="0.3">
      <c r="N32" s="16"/>
    </row>
    <row r="33" spans="1:51" x14ac:dyDescent="0.3">
      <c r="A33" s="4" t="s">
        <v>54</v>
      </c>
      <c r="F33" s="16"/>
      <c r="G33" s="16"/>
      <c r="H33" s="16"/>
      <c r="I33" s="16"/>
      <c r="J33" s="22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</row>
    <row r="34" spans="1:51" x14ac:dyDescent="0.3">
      <c r="B34" s="4" t="s">
        <v>55</v>
      </c>
      <c r="D34" s="33">
        <v>0.45048889391284691</v>
      </c>
      <c r="E34" s="22"/>
      <c r="F34" s="16"/>
      <c r="G34" s="33">
        <v>0.3474041711411292</v>
      </c>
      <c r="H34" s="16"/>
      <c r="I34" s="33">
        <v>0.79789306505397617</v>
      </c>
      <c r="J34" s="22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</row>
    <row r="35" spans="1:51" x14ac:dyDescent="0.3">
      <c r="B35" s="4" t="s">
        <v>56</v>
      </c>
      <c r="D35" s="35">
        <v>0.43623775381752505</v>
      </c>
      <c r="F35" s="35"/>
      <c r="G35" s="35">
        <v>0.33</v>
      </c>
      <c r="H35" s="35"/>
      <c r="I35" s="35">
        <v>0.77265185266268943</v>
      </c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</row>
    <row r="36" spans="1:51" x14ac:dyDescent="0.3">
      <c r="D36" s="36"/>
      <c r="E36" s="22"/>
      <c r="G36" s="36"/>
      <c r="I36" s="36"/>
      <c r="J36" s="22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</row>
    <row r="37" spans="1:51" x14ac:dyDescent="0.3"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</row>
    <row r="38" spans="1:51" x14ac:dyDescent="0.3">
      <c r="A38" s="4" t="s">
        <v>75</v>
      </c>
      <c r="D38" s="12">
        <v>35386</v>
      </c>
      <c r="G38" s="12">
        <v>35386</v>
      </c>
      <c r="I38" s="12">
        <v>35386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</row>
    <row r="39" spans="1:51" x14ac:dyDescent="0.3">
      <c r="A39" s="4" t="s">
        <v>26</v>
      </c>
      <c r="D39" s="14">
        <v>1156</v>
      </c>
      <c r="E39" s="22"/>
      <c r="G39" s="14">
        <v>1156</v>
      </c>
      <c r="I39" s="14">
        <v>1156</v>
      </c>
      <c r="J39" s="22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</row>
    <row r="40" spans="1:51" ht="13.5" thickBot="1" x14ac:dyDescent="0.35">
      <c r="A40" s="4" t="s">
        <v>31</v>
      </c>
      <c r="D40" s="37">
        <v>36542</v>
      </c>
      <c r="E40" s="22"/>
      <c r="G40" s="37">
        <v>36542</v>
      </c>
      <c r="I40" s="37">
        <v>36542</v>
      </c>
      <c r="J40" s="22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</row>
    <row r="41" spans="1:51" ht="13.5" thickTop="1" x14ac:dyDescent="0.3">
      <c r="F41" s="16"/>
      <c r="G41" s="13"/>
      <c r="H41" s="16"/>
      <c r="I41" s="13"/>
      <c r="J41" s="22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</row>
    <row r="42" spans="1:51" x14ac:dyDescent="0.3">
      <c r="F42" s="16"/>
      <c r="G42" s="13"/>
      <c r="H42" s="16"/>
      <c r="I42" s="13"/>
      <c r="J42" s="22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</row>
    <row r="43" spans="1:51" x14ac:dyDescent="0.3">
      <c r="A43" s="38" t="s">
        <v>49</v>
      </c>
      <c r="F43" s="16"/>
      <c r="G43" s="13"/>
      <c r="H43" s="16"/>
      <c r="I43" s="13"/>
      <c r="J43" s="22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</row>
    <row r="44" spans="1:51" x14ac:dyDescent="0.3">
      <c r="A44" s="38" t="s">
        <v>79</v>
      </c>
      <c r="E44" s="4"/>
      <c r="H44" s="16"/>
      <c r="I44" s="13"/>
      <c r="J44" s="22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</row>
    <row r="45" spans="1:51" x14ac:dyDescent="0.3">
      <c r="B45" s="38" t="s">
        <v>78</v>
      </c>
      <c r="E45" s="4"/>
      <c r="H45" s="16"/>
      <c r="I45" s="13"/>
      <c r="J45" s="22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</row>
    <row r="46" spans="1:51" x14ac:dyDescent="0.3">
      <c r="A46" s="38" t="s">
        <v>76</v>
      </c>
      <c r="F46" s="16"/>
      <c r="G46" s="13"/>
      <c r="H46" s="16"/>
      <c r="I46" s="13"/>
      <c r="J46" s="22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</row>
    <row r="47" spans="1:51" x14ac:dyDescent="0.3">
      <c r="A47" s="38" t="s">
        <v>74</v>
      </c>
      <c r="F47" s="16"/>
      <c r="G47" s="13"/>
      <c r="H47" s="16"/>
      <c r="I47" s="13"/>
      <c r="J47" s="22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</row>
    <row r="48" spans="1:51" x14ac:dyDescent="0.3">
      <c r="A48" s="38" t="s">
        <v>66</v>
      </c>
      <c r="F48" s="16"/>
      <c r="G48" s="13"/>
      <c r="H48" s="16"/>
      <c r="I48" s="13"/>
      <c r="J48" s="22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</row>
    <row r="50" spans="1:1" x14ac:dyDescent="0.3">
      <c r="A50" s="38" t="s">
        <v>47</v>
      </c>
    </row>
    <row r="51" spans="1:1" x14ac:dyDescent="0.3">
      <c r="A51" s="38" t="s">
        <v>48</v>
      </c>
    </row>
  </sheetData>
  <mergeCells count="5">
    <mergeCell ref="D6:I6"/>
    <mergeCell ref="A1:L1"/>
    <mergeCell ref="A2:L2"/>
    <mergeCell ref="A3:L3"/>
    <mergeCell ref="A4:L4"/>
  </mergeCells>
  <pageMargins left="0.75" right="0.75" top="1" bottom="1" header="0.5" footer="0.5"/>
  <pageSetup scale="81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Y51"/>
  <sheetViews>
    <sheetView topLeftCell="A17" zoomScaleNormal="100" workbookViewId="0">
      <selection activeCell="I40" sqref="I40"/>
    </sheetView>
  </sheetViews>
  <sheetFormatPr defaultColWidth="9.1796875" defaultRowHeight="13" x14ac:dyDescent="0.3"/>
  <cols>
    <col min="1" max="1" width="4.26953125" style="4" customWidth="1"/>
    <col min="2" max="2" width="5" style="4" customWidth="1"/>
    <col min="3" max="3" width="50.453125" style="4" customWidth="1"/>
    <col min="4" max="4" width="12.81640625" style="4" customWidth="1"/>
    <col min="5" max="5" width="8.26953125" style="21" hidden="1" customWidth="1"/>
    <col min="6" max="6" width="4" style="4" customWidth="1"/>
    <col min="7" max="7" width="14.54296875" style="4" customWidth="1"/>
    <col min="8" max="8" width="4" style="4" customWidth="1"/>
    <col min="9" max="9" width="12.7265625" style="4" customWidth="1"/>
    <col min="10" max="10" width="8.26953125" style="21" hidden="1" customWidth="1"/>
    <col min="11" max="11" width="4" style="4" customWidth="1"/>
    <col min="12" max="12" width="17.453125" style="4" customWidth="1"/>
    <col min="13" max="13" width="3" style="4" customWidth="1"/>
    <col min="14" max="14" width="19" style="4" customWidth="1"/>
    <col min="15" max="15" width="2.81640625" style="4" customWidth="1"/>
    <col min="16" max="16" width="12.1796875" style="4" customWidth="1"/>
    <col min="17" max="17" width="3.81640625" style="4" customWidth="1"/>
    <col min="18" max="19" width="9.1796875" style="4"/>
    <col min="20" max="20" width="11.26953125" style="4" customWidth="1"/>
    <col min="21" max="23" width="10.26953125" style="4" customWidth="1"/>
    <col min="24" max="24" width="11.26953125" style="4" customWidth="1"/>
    <col min="25" max="25" width="9.1796875" style="4"/>
    <col min="26" max="26" width="9.7265625" style="4" customWidth="1"/>
    <col min="27" max="29" width="10.26953125" style="4" customWidth="1"/>
    <col min="30" max="30" width="11.26953125" style="4" customWidth="1"/>
    <col min="31" max="16384" width="9.1796875" style="4"/>
  </cols>
  <sheetData>
    <row r="1" spans="1:30" x14ac:dyDescent="0.3">
      <c r="A1" s="44" t="s">
        <v>28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</row>
    <row r="2" spans="1:30" x14ac:dyDescent="0.3">
      <c r="A2" s="44" t="s">
        <v>45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</row>
    <row r="3" spans="1:30" x14ac:dyDescent="0.3">
      <c r="A3" s="44" t="s">
        <v>65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</row>
    <row r="4" spans="1:30" x14ac:dyDescent="0.3">
      <c r="A4" s="45" t="s">
        <v>29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</row>
    <row r="5" spans="1:30" x14ac:dyDescent="0.3">
      <c r="K5" s="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</row>
    <row r="6" spans="1:30" x14ac:dyDescent="0.3">
      <c r="D6" s="47">
        <v>37450</v>
      </c>
      <c r="E6" s="47"/>
      <c r="F6" s="47"/>
      <c r="G6" s="47"/>
      <c r="H6" s="47"/>
      <c r="I6" s="47"/>
      <c r="J6" s="23"/>
      <c r="N6" s="16"/>
      <c r="O6" s="16"/>
      <c r="P6" s="16"/>
      <c r="Q6" s="16"/>
      <c r="R6" s="1"/>
      <c r="S6" s="16"/>
      <c r="T6" s="16"/>
      <c r="U6" s="16"/>
      <c r="V6" s="16"/>
      <c r="W6" s="16"/>
      <c r="X6" s="1"/>
    </row>
    <row r="7" spans="1:30" x14ac:dyDescent="0.3">
      <c r="D7" s="3"/>
      <c r="E7" s="2"/>
      <c r="G7" s="3" t="s">
        <v>30</v>
      </c>
      <c r="H7" s="8"/>
      <c r="N7" s="1"/>
      <c r="O7" s="16"/>
      <c r="P7" s="16"/>
      <c r="Q7" s="16"/>
      <c r="R7" s="1"/>
      <c r="S7" s="16"/>
      <c r="T7" s="1"/>
      <c r="U7" s="16"/>
      <c r="V7" s="16"/>
      <c r="W7" s="16"/>
      <c r="X7" s="1"/>
    </row>
    <row r="8" spans="1:30" x14ac:dyDescent="0.3">
      <c r="D8" s="24"/>
      <c r="E8" s="2"/>
      <c r="G8" s="1" t="s">
        <v>53</v>
      </c>
      <c r="H8" s="8"/>
      <c r="I8" s="3" t="s">
        <v>27</v>
      </c>
      <c r="J8" s="2"/>
      <c r="N8" s="1"/>
      <c r="O8" s="16"/>
      <c r="P8" s="16"/>
      <c r="Q8" s="16"/>
      <c r="R8" s="1"/>
      <c r="S8" s="16"/>
      <c r="T8" s="1"/>
      <c r="U8" s="16"/>
      <c r="V8" s="16"/>
      <c r="W8" s="16"/>
      <c r="X8" s="1"/>
    </row>
    <row r="9" spans="1:30" x14ac:dyDescent="0.3">
      <c r="D9" s="7" t="s">
        <v>46</v>
      </c>
      <c r="E9" s="23"/>
      <c r="G9" s="7" t="s">
        <v>52</v>
      </c>
      <c r="H9" s="8"/>
      <c r="I9" s="7">
        <v>2002</v>
      </c>
      <c r="J9" s="23"/>
      <c r="N9" s="1"/>
      <c r="O9" s="25"/>
      <c r="P9" s="25"/>
      <c r="Q9" s="25"/>
      <c r="R9" s="1"/>
      <c r="S9" s="16"/>
      <c r="T9" s="1"/>
      <c r="U9" s="25"/>
      <c r="V9" s="25"/>
      <c r="W9" s="25"/>
      <c r="X9" s="1"/>
    </row>
    <row r="10" spans="1:30" x14ac:dyDescent="0.3">
      <c r="N10" s="25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 spans="1:30" x14ac:dyDescent="0.3">
      <c r="A11" s="4" t="s">
        <v>20</v>
      </c>
      <c r="D11" s="9">
        <v>1796804</v>
      </c>
      <c r="E11" s="21">
        <v>1</v>
      </c>
      <c r="G11" s="27">
        <v>0</v>
      </c>
      <c r="I11" s="9">
        <v>1796804</v>
      </c>
      <c r="J11" s="21">
        <f>+I11/$I$11</f>
        <v>1</v>
      </c>
      <c r="N11" s="10"/>
      <c r="O11" s="13"/>
      <c r="P11" s="13"/>
      <c r="Q11" s="13"/>
      <c r="R11" s="11"/>
      <c r="S11" s="16"/>
      <c r="T11" s="10"/>
      <c r="U11" s="13"/>
      <c r="V11" s="13"/>
      <c r="W11" s="13"/>
      <c r="X11" s="11"/>
    </row>
    <row r="12" spans="1:30" ht="5.15" customHeight="1" x14ac:dyDescent="0.3">
      <c r="D12" s="12"/>
      <c r="G12" s="12"/>
      <c r="I12" s="12"/>
      <c r="N12" s="13"/>
      <c r="O12" s="16"/>
      <c r="P12" s="16"/>
      <c r="Q12" s="16"/>
      <c r="R12" s="16"/>
      <c r="S12" s="16"/>
      <c r="T12" s="13"/>
      <c r="U12" s="13"/>
      <c r="V12" s="13"/>
      <c r="W12" s="13"/>
      <c r="X12" s="16"/>
    </row>
    <row r="13" spans="1:30" x14ac:dyDescent="0.3">
      <c r="A13" s="4" t="s">
        <v>21</v>
      </c>
      <c r="D13" s="14">
        <v>1011282</v>
      </c>
      <c r="E13" s="21">
        <v>0.56282265622739036</v>
      </c>
      <c r="G13" s="14">
        <v>0</v>
      </c>
      <c r="I13" s="14">
        <v>1011282</v>
      </c>
      <c r="J13" s="21">
        <f>+I13/$I$11</f>
        <v>0.56282265622739036</v>
      </c>
      <c r="N13" s="13"/>
      <c r="O13" s="29"/>
      <c r="P13" s="29"/>
      <c r="Q13" s="29"/>
      <c r="R13" s="34"/>
      <c r="S13" s="16"/>
      <c r="T13" s="13"/>
      <c r="U13" s="13"/>
      <c r="V13" s="13"/>
      <c r="W13" s="13"/>
      <c r="X13" s="13"/>
    </row>
    <row r="14" spans="1:30" ht="3.75" customHeight="1" x14ac:dyDescent="0.3">
      <c r="D14" s="13"/>
      <c r="E14" s="22"/>
      <c r="G14" s="13"/>
      <c r="I14" s="13"/>
      <c r="J14" s="22"/>
      <c r="N14" s="13"/>
      <c r="O14" s="16"/>
      <c r="P14" s="16"/>
      <c r="Q14" s="16"/>
      <c r="R14" s="16"/>
      <c r="S14" s="16"/>
      <c r="T14" s="13"/>
      <c r="U14" s="13"/>
      <c r="V14" s="13"/>
      <c r="W14" s="13"/>
      <c r="X14" s="16"/>
    </row>
    <row r="15" spans="1:30" x14ac:dyDescent="0.3">
      <c r="B15" s="4" t="s">
        <v>22</v>
      </c>
      <c r="D15" s="12">
        <v>785522</v>
      </c>
      <c r="E15" s="21">
        <v>0.43717734377260958</v>
      </c>
      <c r="G15" s="12">
        <v>0</v>
      </c>
      <c r="I15" s="12">
        <v>785522</v>
      </c>
      <c r="J15" s="21">
        <f>+I15/$I$11</f>
        <v>0.43717734377260958</v>
      </c>
      <c r="L15" s="28"/>
      <c r="M15" s="28"/>
      <c r="N15" s="13"/>
      <c r="O15" s="13"/>
      <c r="P15" s="13"/>
      <c r="Q15" s="13"/>
      <c r="R15" s="29"/>
      <c r="S15" s="16"/>
      <c r="T15" s="13"/>
      <c r="U15" s="13"/>
      <c r="V15" s="13"/>
      <c r="W15" s="13"/>
      <c r="X15" s="29"/>
    </row>
    <row r="16" spans="1:30" ht="5.15" customHeight="1" x14ac:dyDescent="0.3">
      <c r="D16" s="12"/>
      <c r="G16" s="12"/>
      <c r="I16" s="12"/>
      <c r="N16" s="13"/>
      <c r="O16" s="16"/>
      <c r="P16" s="16"/>
      <c r="Q16" s="16"/>
      <c r="R16" s="16"/>
      <c r="S16" s="16"/>
      <c r="T16" s="16"/>
      <c r="U16" s="16"/>
      <c r="V16" s="16"/>
      <c r="W16" s="16"/>
      <c r="X16" s="16"/>
    </row>
    <row r="17" spans="1:24" x14ac:dyDescent="0.3">
      <c r="A17" s="4" t="s">
        <v>23</v>
      </c>
      <c r="D17" s="14">
        <v>679918</v>
      </c>
      <c r="E17" s="21">
        <v>0.37840409972373168</v>
      </c>
      <c r="G17" s="14">
        <v>-18194</v>
      </c>
      <c r="H17" s="4" t="s">
        <v>34</v>
      </c>
      <c r="I17" s="14">
        <v>661724</v>
      </c>
      <c r="J17" s="21">
        <f>+I17/$I$11</f>
        <v>0.36827834310253094</v>
      </c>
      <c r="L17" s="28"/>
      <c r="M17" s="28"/>
      <c r="N17" s="19"/>
      <c r="O17" s="19"/>
      <c r="P17" s="19"/>
      <c r="Q17" s="19"/>
      <c r="R17" s="22"/>
      <c r="S17" s="16"/>
      <c r="T17" s="16"/>
      <c r="U17" s="19"/>
      <c r="V17" s="19"/>
      <c r="W17" s="19"/>
      <c r="X17" s="22"/>
    </row>
    <row r="18" spans="1:24" ht="5.15" customHeight="1" x14ac:dyDescent="0.3">
      <c r="D18" s="13"/>
      <c r="E18" s="22"/>
      <c r="F18" s="16"/>
      <c r="G18" s="13"/>
      <c r="H18" s="16"/>
      <c r="I18" s="13"/>
      <c r="J18" s="22"/>
      <c r="L18" s="28"/>
      <c r="M18" s="28"/>
      <c r="N18" s="13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 spans="1:24" x14ac:dyDescent="0.3">
      <c r="B19" s="4" t="s">
        <v>24</v>
      </c>
      <c r="D19" s="14">
        <v>105604</v>
      </c>
      <c r="E19" s="21">
        <v>5.8773244048877897E-2</v>
      </c>
      <c r="G19" s="14">
        <v>18194</v>
      </c>
      <c r="I19" s="14">
        <v>123798</v>
      </c>
      <c r="J19" s="21">
        <f>+I19/$I$11</f>
        <v>6.8899000670078647E-2</v>
      </c>
      <c r="L19" s="28"/>
      <c r="M19" s="28"/>
      <c r="N19" s="13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 spans="1:24" ht="5.15" customHeight="1" x14ac:dyDescent="0.3">
      <c r="D20" s="13"/>
      <c r="E20" s="22"/>
      <c r="G20" s="13"/>
      <c r="I20" s="13"/>
      <c r="J20" s="22"/>
      <c r="N20" s="13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 spans="1:24" x14ac:dyDescent="0.3">
      <c r="A21" s="4" t="s">
        <v>39</v>
      </c>
      <c r="D21" s="12"/>
      <c r="G21" s="12"/>
      <c r="I21" s="12"/>
      <c r="N21" s="13"/>
      <c r="O21" s="16"/>
      <c r="P21" s="16"/>
      <c r="Q21" s="16"/>
      <c r="R21" s="16"/>
      <c r="S21" s="16"/>
      <c r="T21" s="16"/>
      <c r="U21" s="16"/>
      <c r="V21" s="30"/>
      <c r="W21" s="30"/>
      <c r="X21" s="16"/>
    </row>
    <row r="22" spans="1:24" x14ac:dyDescent="0.3">
      <c r="A22" s="4" t="s">
        <v>25</v>
      </c>
      <c r="D22" s="12">
        <v>-46718</v>
      </c>
      <c r="E22" s="21">
        <v>-2.6000609971927935E-2</v>
      </c>
      <c r="G22" s="12">
        <v>0</v>
      </c>
      <c r="I22" s="12">
        <v>-46718</v>
      </c>
      <c r="J22" s="21">
        <f>+I22/$I$11</f>
        <v>-2.6000609971927935E-2</v>
      </c>
      <c r="N22" s="13"/>
      <c r="O22" s="16"/>
      <c r="P22" s="16"/>
      <c r="Q22" s="16"/>
      <c r="R22" s="16"/>
      <c r="S22" s="16"/>
      <c r="T22" s="16"/>
      <c r="U22" s="16"/>
      <c r="V22" s="16"/>
      <c r="W22" s="16"/>
      <c r="X22" s="16"/>
    </row>
    <row r="23" spans="1:24" x14ac:dyDescent="0.3">
      <c r="A23" s="4" t="s">
        <v>50</v>
      </c>
      <c r="D23" s="12">
        <v>-13724</v>
      </c>
      <c r="E23" s="21">
        <v>-7.6380061486951275E-3</v>
      </c>
      <c r="G23" s="12">
        <v>13724</v>
      </c>
      <c r="H23" s="16" t="s">
        <v>35</v>
      </c>
      <c r="I23" s="12">
        <v>0</v>
      </c>
      <c r="J23" s="21">
        <f>+I23/$I$11</f>
        <v>0</v>
      </c>
      <c r="N23" s="13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 spans="1:24" x14ac:dyDescent="0.3">
      <c r="A24" s="4" t="s">
        <v>40</v>
      </c>
      <c r="D24" s="14">
        <v>650</v>
      </c>
      <c r="E24" s="21">
        <v>3.6175342441356986E-4</v>
      </c>
      <c r="G24" s="14">
        <v>0</v>
      </c>
      <c r="I24" s="14">
        <v>650</v>
      </c>
      <c r="J24" s="21">
        <f>+I24/$I$11</f>
        <v>3.6175342441356986E-4</v>
      </c>
      <c r="N24" s="13"/>
      <c r="O24" s="16"/>
      <c r="P24" s="16"/>
      <c r="Q24" s="16"/>
      <c r="R24" s="16"/>
      <c r="S24" s="16"/>
      <c r="T24" s="16"/>
      <c r="U24" s="16"/>
      <c r="V24" s="16"/>
      <c r="W24" s="16"/>
      <c r="X24" s="16"/>
    </row>
    <row r="25" spans="1:24" x14ac:dyDescent="0.3">
      <c r="B25" s="4" t="s">
        <v>41</v>
      </c>
      <c r="D25" s="31">
        <v>-59792</v>
      </c>
      <c r="E25" s="21">
        <v>-3.327686269620949E-2</v>
      </c>
      <c r="G25" s="31">
        <v>13724</v>
      </c>
      <c r="I25" s="31">
        <v>-46068</v>
      </c>
      <c r="J25" s="21">
        <f>+I25/$I$11</f>
        <v>-2.5638856547514365E-2</v>
      </c>
      <c r="N25" s="13"/>
      <c r="O25" s="16"/>
      <c r="P25" s="16"/>
      <c r="Q25" s="16"/>
      <c r="R25" s="16"/>
      <c r="S25" s="16"/>
      <c r="T25" s="16"/>
      <c r="U25" s="16"/>
      <c r="V25" s="16"/>
      <c r="W25" s="16"/>
      <c r="X25" s="16"/>
    </row>
    <row r="26" spans="1:24" ht="5.15" customHeight="1" x14ac:dyDescent="0.3">
      <c r="D26" s="13"/>
      <c r="E26" s="22"/>
      <c r="G26" s="13"/>
      <c r="I26" s="13"/>
      <c r="J26" s="22"/>
      <c r="N26" s="13"/>
    </row>
    <row r="27" spans="1:24" ht="12.75" customHeight="1" x14ac:dyDescent="0.3">
      <c r="A27" s="4" t="s">
        <v>51</v>
      </c>
      <c r="D27" s="12">
        <v>45812</v>
      </c>
      <c r="E27" s="21">
        <v>2.5496381352668403E-2</v>
      </c>
      <c r="G27" s="12">
        <v>31918</v>
      </c>
      <c r="I27" s="12">
        <v>77730</v>
      </c>
      <c r="J27" s="21">
        <f>+I27/$I$11</f>
        <v>4.3260144122564285E-2</v>
      </c>
      <c r="N27" s="13"/>
    </row>
    <row r="28" spans="1:24" ht="5.15" customHeight="1" x14ac:dyDescent="0.3">
      <c r="D28" s="12"/>
      <c r="G28" s="12"/>
      <c r="I28" s="12"/>
      <c r="N28" s="13"/>
    </row>
    <row r="29" spans="1:24" x14ac:dyDescent="0.3">
      <c r="A29" s="4" t="s">
        <v>37</v>
      </c>
      <c r="D29" s="14">
        <v>17775</v>
      </c>
      <c r="E29" s="21">
        <v>9.8925647983864676E-3</v>
      </c>
      <c r="G29" s="14">
        <v>12384.184000000001</v>
      </c>
      <c r="H29" s="16" t="s">
        <v>71</v>
      </c>
      <c r="I29" s="14">
        <v>30159.184000000001</v>
      </c>
      <c r="J29" s="21">
        <f>+I29/$I$11</f>
        <v>1.678490475310607E-2</v>
      </c>
      <c r="N29" s="13"/>
    </row>
    <row r="30" spans="1:24" ht="5.25" customHeight="1" x14ac:dyDescent="0.3">
      <c r="D30" s="12"/>
      <c r="G30" s="12"/>
      <c r="I30" s="12"/>
    </row>
    <row r="31" spans="1:24" ht="13.5" thickBot="1" x14ac:dyDescent="0.35">
      <c r="A31" s="4" t="s">
        <v>38</v>
      </c>
      <c r="D31" s="32">
        <v>28037</v>
      </c>
      <c r="E31" s="21">
        <v>1.5603816554281936E-2</v>
      </c>
      <c r="G31" s="32">
        <v>19533.815999999999</v>
      </c>
      <c r="I31" s="32">
        <v>47570.815999999999</v>
      </c>
      <c r="J31" s="21">
        <f>+I31/$I$11</f>
        <v>2.6475239369458215E-2</v>
      </c>
      <c r="N31" s="10"/>
    </row>
    <row r="32" spans="1:24" ht="13.5" thickTop="1" x14ac:dyDescent="0.3">
      <c r="N32" s="16"/>
    </row>
    <row r="33" spans="1:51" x14ac:dyDescent="0.3">
      <c r="A33" s="4" t="s">
        <v>54</v>
      </c>
      <c r="F33" s="16"/>
      <c r="G33" s="16"/>
      <c r="H33" s="16"/>
      <c r="I33" s="16"/>
      <c r="J33" s="22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</row>
    <row r="34" spans="1:51" x14ac:dyDescent="0.3">
      <c r="B34" s="4" t="s">
        <v>55</v>
      </c>
      <c r="D34" s="33">
        <v>0.81271378050901499</v>
      </c>
      <c r="E34" s="22"/>
      <c r="F34" s="16"/>
      <c r="G34" s="33">
        <v>0.56623039016754595</v>
      </c>
      <c r="H34" s="16"/>
      <c r="I34" s="33">
        <v>1.3789441706765608</v>
      </c>
      <c r="J34" s="22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</row>
    <row r="35" spans="1:51" x14ac:dyDescent="0.3">
      <c r="B35" s="4" t="s">
        <v>56</v>
      </c>
      <c r="D35" s="35">
        <v>0.78513021562587515</v>
      </c>
      <c r="F35" s="35"/>
      <c r="G35" s="35">
        <v>0.54</v>
      </c>
      <c r="H35" s="35"/>
      <c r="I35" s="35">
        <v>1.3321427051246149</v>
      </c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</row>
    <row r="36" spans="1:51" x14ac:dyDescent="0.3">
      <c r="D36" s="36"/>
      <c r="E36" s="22"/>
      <c r="G36" s="36"/>
      <c r="I36" s="36"/>
      <c r="J36" s="22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</row>
    <row r="37" spans="1:51" x14ac:dyDescent="0.3"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</row>
    <row r="38" spans="1:51" x14ac:dyDescent="0.3">
      <c r="A38" s="4" t="s">
        <v>75</v>
      </c>
      <c r="D38" s="12">
        <v>34498</v>
      </c>
      <c r="G38" s="12">
        <v>34498</v>
      </c>
      <c r="I38" s="12">
        <v>34498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</row>
    <row r="39" spans="1:51" x14ac:dyDescent="0.3">
      <c r="A39" s="4" t="s">
        <v>26</v>
      </c>
      <c r="D39" s="14">
        <v>1212</v>
      </c>
      <c r="E39" s="22"/>
      <c r="G39" s="14">
        <v>1212</v>
      </c>
      <c r="I39" s="14">
        <v>1212</v>
      </c>
      <c r="J39" s="22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</row>
    <row r="40" spans="1:51" ht="13.5" thickBot="1" x14ac:dyDescent="0.35">
      <c r="A40" s="4" t="s">
        <v>31</v>
      </c>
      <c r="D40" s="37">
        <v>35710</v>
      </c>
      <c r="E40" s="22"/>
      <c r="G40" s="37">
        <v>35710</v>
      </c>
      <c r="I40" s="37">
        <v>35710</v>
      </c>
      <c r="J40" s="22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</row>
    <row r="41" spans="1:51" ht="13.5" thickTop="1" x14ac:dyDescent="0.3">
      <c r="F41" s="16"/>
      <c r="G41" s="13"/>
      <c r="H41" s="16"/>
      <c r="I41" s="13"/>
      <c r="J41" s="22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</row>
    <row r="42" spans="1:51" x14ac:dyDescent="0.3">
      <c r="F42" s="16"/>
      <c r="G42" s="13"/>
      <c r="H42" s="16"/>
      <c r="I42" s="13"/>
      <c r="J42" s="22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</row>
    <row r="43" spans="1:51" x14ac:dyDescent="0.3">
      <c r="A43" s="38" t="s">
        <v>49</v>
      </c>
      <c r="F43" s="16"/>
      <c r="G43" s="13"/>
      <c r="H43" s="16"/>
      <c r="I43" s="13"/>
      <c r="J43" s="22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</row>
    <row r="44" spans="1:51" x14ac:dyDescent="0.3">
      <c r="A44" s="38" t="s">
        <v>79</v>
      </c>
      <c r="F44" s="16"/>
      <c r="G44" s="13"/>
      <c r="H44" s="16"/>
      <c r="I44" s="13"/>
      <c r="J44" s="22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</row>
    <row r="45" spans="1:51" x14ac:dyDescent="0.3">
      <c r="B45" s="38" t="s">
        <v>78</v>
      </c>
      <c r="F45" s="16"/>
      <c r="G45" s="13"/>
      <c r="H45" s="16"/>
      <c r="I45" s="13"/>
      <c r="J45" s="22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</row>
    <row r="46" spans="1:51" x14ac:dyDescent="0.3">
      <c r="A46" s="38" t="s">
        <v>76</v>
      </c>
      <c r="F46" s="16"/>
      <c r="G46" s="13"/>
      <c r="H46" s="16"/>
      <c r="I46" s="13"/>
      <c r="J46" s="22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</row>
    <row r="47" spans="1:51" x14ac:dyDescent="0.3">
      <c r="A47" s="38" t="s">
        <v>74</v>
      </c>
    </row>
    <row r="48" spans="1:51" x14ac:dyDescent="0.3">
      <c r="A48" s="38" t="s">
        <v>66</v>
      </c>
    </row>
    <row r="49" spans="1:1" x14ac:dyDescent="0.3">
      <c r="A49" s="38"/>
    </row>
    <row r="50" spans="1:1" x14ac:dyDescent="0.3">
      <c r="A50" s="38" t="s">
        <v>47</v>
      </c>
    </row>
    <row r="51" spans="1:1" x14ac:dyDescent="0.3">
      <c r="A51" s="38" t="s">
        <v>48</v>
      </c>
    </row>
  </sheetData>
  <mergeCells count="5">
    <mergeCell ref="D6:I6"/>
    <mergeCell ref="A1:L1"/>
    <mergeCell ref="A2:L2"/>
    <mergeCell ref="A3:L3"/>
    <mergeCell ref="A4:L4"/>
  </mergeCells>
  <pageMargins left="0.75" right="0.75" top="1" bottom="1" header="0.5" footer="0.5"/>
  <pageSetup scale="81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8"/>
  <sheetViews>
    <sheetView tabSelected="1" topLeftCell="A13" workbookViewId="0">
      <selection activeCell="E21" sqref="E21"/>
    </sheetView>
  </sheetViews>
  <sheetFormatPr defaultColWidth="9.1796875" defaultRowHeight="13" x14ac:dyDescent="0.3"/>
  <cols>
    <col min="1" max="1" width="1.54296875" style="8" customWidth="1"/>
    <col min="2" max="2" width="1.81640625" style="4" customWidth="1"/>
    <col min="3" max="3" width="1.7265625" style="4" customWidth="1"/>
    <col min="4" max="4" width="9.1796875" style="4"/>
    <col min="5" max="5" width="36.1796875" style="4" customWidth="1"/>
    <col min="6" max="7" width="3.81640625" style="4" customWidth="1"/>
    <col min="8" max="8" width="1.81640625" style="4" customWidth="1"/>
    <col min="9" max="9" width="9.81640625" style="4" bestFit="1" customWidth="1"/>
    <col min="10" max="10" width="2" style="4" customWidth="1"/>
    <col min="11" max="11" width="10.453125" style="4" bestFit="1" customWidth="1"/>
    <col min="12" max="16384" width="9.1796875" style="4"/>
  </cols>
  <sheetData>
    <row r="1" spans="1:30" x14ac:dyDescent="0.3">
      <c r="A1" s="44" t="s">
        <v>28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</row>
    <row r="2" spans="1:30" x14ac:dyDescent="0.3">
      <c r="A2" s="44" t="s">
        <v>83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</row>
    <row r="3" spans="1:30" x14ac:dyDescent="0.3">
      <c r="A3" s="44" t="s">
        <v>65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</row>
    <row r="4" spans="1:30" x14ac:dyDescent="0.3">
      <c r="A4" s="45" t="s">
        <v>29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</row>
    <row r="7" spans="1:30" x14ac:dyDescent="0.3">
      <c r="I7" s="3" t="s">
        <v>80</v>
      </c>
      <c r="J7" s="8"/>
      <c r="K7" s="3" t="s">
        <v>81</v>
      </c>
    </row>
    <row r="8" spans="1:30" x14ac:dyDescent="0.3">
      <c r="I8" s="42">
        <v>2003</v>
      </c>
      <c r="J8" s="8"/>
      <c r="K8" s="7">
        <v>2002</v>
      </c>
    </row>
    <row r="10" spans="1:30" x14ac:dyDescent="0.3">
      <c r="A10" s="8" t="s">
        <v>82</v>
      </c>
    </row>
    <row r="11" spans="1:30" x14ac:dyDescent="0.3">
      <c r="B11" s="4" t="s">
        <v>38</v>
      </c>
      <c r="I11" s="9">
        <v>48499</v>
      </c>
      <c r="J11" s="9"/>
      <c r="K11" s="9">
        <v>28037</v>
      </c>
    </row>
    <row r="12" spans="1:30" x14ac:dyDescent="0.3">
      <c r="B12" s="4" t="s">
        <v>84</v>
      </c>
      <c r="I12" s="12">
        <v>53807</v>
      </c>
      <c r="J12" s="12"/>
      <c r="K12" s="12">
        <v>48983</v>
      </c>
    </row>
    <row r="13" spans="1:30" x14ac:dyDescent="0.3">
      <c r="B13" s="4" t="s">
        <v>85</v>
      </c>
      <c r="I13" s="12">
        <v>47141</v>
      </c>
      <c r="J13" s="12"/>
      <c r="K13" s="12">
        <v>13724</v>
      </c>
    </row>
    <row r="14" spans="1:30" x14ac:dyDescent="0.3">
      <c r="B14" s="4" t="s">
        <v>106</v>
      </c>
      <c r="I14" s="12">
        <v>30142</v>
      </c>
      <c r="J14" s="12"/>
      <c r="K14" s="12">
        <v>17706</v>
      </c>
    </row>
    <row r="15" spans="1:30" x14ac:dyDescent="0.3">
      <c r="B15" s="4" t="s">
        <v>86</v>
      </c>
      <c r="I15" s="12">
        <v>10742</v>
      </c>
      <c r="J15" s="12"/>
      <c r="K15" s="12">
        <v>15764</v>
      </c>
    </row>
    <row r="16" spans="1:30" x14ac:dyDescent="0.3">
      <c r="B16" s="4" t="s">
        <v>109</v>
      </c>
      <c r="I16" s="12"/>
      <c r="J16" s="12"/>
      <c r="K16" s="12"/>
    </row>
    <row r="17" spans="1:11" x14ac:dyDescent="0.3">
      <c r="C17" s="4" t="s">
        <v>3</v>
      </c>
      <c r="I17" s="12">
        <v>9224</v>
      </c>
      <c r="J17" s="12"/>
      <c r="K17" s="12">
        <v>-24397</v>
      </c>
    </row>
    <row r="18" spans="1:11" x14ac:dyDescent="0.3">
      <c r="C18" s="4" t="s">
        <v>42</v>
      </c>
      <c r="I18" s="12">
        <v>-31081</v>
      </c>
      <c r="J18" s="12"/>
      <c r="K18" s="12">
        <v>-101427</v>
      </c>
    </row>
    <row r="19" spans="1:11" x14ac:dyDescent="0.3">
      <c r="C19" s="4" t="s">
        <v>87</v>
      </c>
      <c r="I19" s="12">
        <v>-18609</v>
      </c>
      <c r="J19" s="12"/>
      <c r="K19" s="12">
        <v>-18005</v>
      </c>
    </row>
    <row r="20" spans="1:11" x14ac:dyDescent="0.3">
      <c r="B20" s="4" t="s">
        <v>103</v>
      </c>
      <c r="I20" s="12"/>
      <c r="J20" s="12"/>
      <c r="K20" s="12"/>
    </row>
    <row r="21" spans="1:11" x14ac:dyDescent="0.3">
      <c r="C21" s="4" t="s">
        <v>88</v>
      </c>
      <c r="I21" s="12">
        <v>121087</v>
      </c>
      <c r="J21" s="12"/>
      <c r="K21" s="12">
        <v>156078</v>
      </c>
    </row>
    <row r="22" spans="1:11" x14ac:dyDescent="0.3">
      <c r="C22" s="4" t="s">
        <v>15</v>
      </c>
      <c r="I22" s="12">
        <v>6687</v>
      </c>
      <c r="J22" s="12"/>
      <c r="K22" s="12">
        <v>40589</v>
      </c>
    </row>
    <row r="23" spans="1:11" x14ac:dyDescent="0.3">
      <c r="C23" s="4" t="s">
        <v>89</v>
      </c>
      <c r="I23" s="14">
        <v>-1707</v>
      </c>
      <c r="J23" s="12"/>
      <c r="K23" s="14">
        <v>4852</v>
      </c>
    </row>
    <row r="24" spans="1:11" x14ac:dyDescent="0.3">
      <c r="D24" s="4" t="s">
        <v>90</v>
      </c>
      <c r="I24" s="12">
        <v>275932</v>
      </c>
      <c r="J24" s="12"/>
      <c r="K24" s="12">
        <v>181904</v>
      </c>
    </row>
    <row r="25" spans="1:11" x14ac:dyDescent="0.3">
      <c r="I25" s="12"/>
      <c r="J25" s="12"/>
      <c r="K25" s="12"/>
    </row>
    <row r="26" spans="1:11" x14ac:dyDescent="0.3">
      <c r="A26" s="8" t="s">
        <v>91</v>
      </c>
      <c r="I26" s="12"/>
      <c r="J26" s="12"/>
      <c r="K26" s="12"/>
    </row>
    <row r="27" spans="1:11" x14ac:dyDescent="0.3">
      <c r="B27" s="4" t="s">
        <v>92</v>
      </c>
      <c r="I27" s="12">
        <v>-50595</v>
      </c>
      <c r="J27" s="12"/>
      <c r="K27" s="12">
        <v>-46638</v>
      </c>
    </row>
    <row r="28" spans="1:11" x14ac:dyDescent="0.3">
      <c r="B28" s="4" t="s">
        <v>93</v>
      </c>
      <c r="I28" s="14">
        <v>8974</v>
      </c>
      <c r="J28" s="12"/>
      <c r="K28" s="14">
        <v>9410</v>
      </c>
    </row>
    <row r="29" spans="1:11" x14ac:dyDescent="0.3">
      <c r="D29" s="4" t="s">
        <v>94</v>
      </c>
      <c r="I29" s="12">
        <v>-41621</v>
      </c>
      <c r="J29" s="12"/>
      <c r="K29" s="12">
        <v>-37228</v>
      </c>
    </row>
    <row r="30" spans="1:11" x14ac:dyDescent="0.3">
      <c r="I30" s="12"/>
      <c r="J30" s="12"/>
      <c r="K30" s="12"/>
    </row>
    <row r="31" spans="1:11" x14ac:dyDescent="0.3">
      <c r="A31" s="8" t="s">
        <v>95</v>
      </c>
      <c r="I31" s="12"/>
      <c r="J31" s="12"/>
      <c r="K31" s="12"/>
    </row>
    <row r="32" spans="1:11" x14ac:dyDescent="0.3">
      <c r="B32" s="4" t="s">
        <v>96</v>
      </c>
      <c r="I32" s="12">
        <v>13503</v>
      </c>
      <c r="J32" s="12"/>
      <c r="K32" s="12">
        <v>-34748</v>
      </c>
    </row>
    <row r="33" spans="1:11" x14ac:dyDescent="0.3">
      <c r="B33" s="4" t="s">
        <v>97</v>
      </c>
      <c r="I33" s="12">
        <v>-551374</v>
      </c>
      <c r="J33" s="12"/>
      <c r="K33" s="12">
        <v>-429214</v>
      </c>
    </row>
    <row r="34" spans="1:11" x14ac:dyDescent="0.3">
      <c r="B34" s="4" t="s">
        <v>111</v>
      </c>
      <c r="I34" s="12">
        <v>348300</v>
      </c>
      <c r="J34" s="12"/>
      <c r="K34" s="12">
        <v>240000</v>
      </c>
    </row>
    <row r="35" spans="1:11" x14ac:dyDescent="0.3">
      <c r="B35" s="4" t="s">
        <v>110</v>
      </c>
      <c r="I35" s="12">
        <v>-36895</v>
      </c>
      <c r="J35" s="12"/>
      <c r="K35" s="12">
        <v>-8098</v>
      </c>
    </row>
    <row r="36" spans="1:11" x14ac:dyDescent="0.3">
      <c r="B36" s="4" t="s">
        <v>108</v>
      </c>
      <c r="I36" s="12">
        <v>18824</v>
      </c>
      <c r="J36" s="12"/>
      <c r="K36" s="12">
        <v>16089</v>
      </c>
    </row>
    <row r="37" spans="1:11" x14ac:dyDescent="0.3">
      <c r="B37" s="4" t="s">
        <v>107</v>
      </c>
      <c r="I37" s="12">
        <v>0</v>
      </c>
      <c r="J37" s="12"/>
      <c r="K37" s="12">
        <v>88695</v>
      </c>
    </row>
    <row r="38" spans="1:11" x14ac:dyDescent="0.3">
      <c r="B38" s="4" t="s">
        <v>98</v>
      </c>
      <c r="I38" s="14">
        <v>5520</v>
      </c>
      <c r="J38" s="12"/>
      <c r="K38" s="14">
        <v>4027</v>
      </c>
    </row>
    <row r="39" spans="1:11" x14ac:dyDescent="0.3">
      <c r="D39" s="4" t="s">
        <v>99</v>
      </c>
      <c r="I39" s="31">
        <v>-202122</v>
      </c>
      <c r="J39" s="12"/>
      <c r="K39" s="31">
        <v>-123249</v>
      </c>
    </row>
    <row r="40" spans="1:11" x14ac:dyDescent="0.3">
      <c r="I40" s="12"/>
      <c r="J40" s="12"/>
      <c r="K40" s="12"/>
    </row>
    <row r="41" spans="1:11" x14ac:dyDescent="0.3">
      <c r="A41" s="8" t="s">
        <v>100</v>
      </c>
      <c r="I41" s="12">
        <v>32189</v>
      </c>
      <c r="J41" s="12"/>
      <c r="K41" s="12">
        <v>21427</v>
      </c>
    </row>
    <row r="42" spans="1:11" x14ac:dyDescent="0.3">
      <c r="A42" s="8" t="s">
        <v>101</v>
      </c>
      <c r="I42" s="14">
        <v>13885</v>
      </c>
      <c r="J42" s="13"/>
      <c r="K42" s="14">
        <v>18117</v>
      </c>
    </row>
    <row r="43" spans="1:11" ht="13.5" thickBot="1" x14ac:dyDescent="0.35">
      <c r="A43" s="8" t="s">
        <v>102</v>
      </c>
      <c r="I43" s="32">
        <v>46074</v>
      </c>
      <c r="J43" s="9"/>
      <c r="K43" s="32">
        <v>39544</v>
      </c>
    </row>
    <row r="44" spans="1:11" ht="13.5" thickTop="1" x14ac:dyDescent="0.3"/>
    <row r="47" spans="1:11" x14ac:dyDescent="0.3">
      <c r="B47" s="38" t="s">
        <v>104</v>
      </c>
      <c r="F47" s="21"/>
    </row>
    <row r="48" spans="1:11" x14ac:dyDescent="0.3">
      <c r="B48" s="38" t="s">
        <v>105</v>
      </c>
      <c r="F48" s="21"/>
    </row>
  </sheetData>
  <mergeCells count="4">
    <mergeCell ref="A1:L1"/>
    <mergeCell ref="A2:L2"/>
    <mergeCell ref="A3:L3"/>
    <mergeCell ref="A4:L4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Balance Sheet</vt:lpstr>
      <vt:lpstr>2nd QTR 03</vt:lpstr>
      <vt:lpstr>YTD 03</vt:lpstr>
      <vt:lpstr>2nd QTR 02</vt:lpstr>
      <vt:lpstr>YTD 02</vt:lpstr>
      <vt:lpstr>Cash Flow</vt:lpstr>
      <vt:lpstr>'2nd QTR 02'!Print_Area</vt:lpstr>
      <vt:lpstr>'2nd QTR 03'!Print_Area</vt:lpstr>
      <vt:lpstr>'Balance Sheet'!Print_Area</vt:lpstr>
      <vt:lpstr>'YTD 02'!Print_Area</vt:lpstr>
    </vt:vector>
  </TitlesOfParts>
  <Company>Advance Auto Stores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JGRAY</dc:creator>
  <cp:lastModifiedBy>Carina Negreanu</cp:lastModifiedBy>
  <cp:lastPrinted>2003-07-31T22:36:02Z</cp:lastPrinted>
  <dcterms:created xsi:type="dcterms:W3CDTF">2002-02-15T16:01:02Z</dcterms:created>
  <dcterms:modified xsi:type="dcterms:W3CDTF">2020-01-27T11:35:20Z</dcterms:modified>
</cp:coreProperties>
</file>