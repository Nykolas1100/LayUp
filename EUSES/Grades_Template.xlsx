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1BE3F2-5F3C-4F8E-8F23-3546090E232A}" xr6:coauthVersionLast="45" xr6:coauthVersionMax="45" xr10:uidLastSave="{00000000-0000-0000-0000-000000000000}"/>
  <bookViews>
    <workbookView xWindow="380" yWindow="380" windowWidth="28800" windowHeight="15460"/>
  </bookViews>
  <sheets>
    <sheet name="GradeSheet" sheetId="1" r:id="rId1"/>
    <sheet name="Scales" sheetId="2" r:id="rId2"/>
  </sheets>
  <definedNames>
    <definedName name="FinalInsert">GradeSheet!$A$22</definedName>
    <definedName name="FinalRangeAvailable">GradeSheet!$B$20:$B$23</definedName>
    <definedName name="FinalRangeScore">GradeSheet!$C$20:$C$23</definedName>
    <definedName name="FinalScale">Scales!$C$15</definedName>
    <definedName name="FinalTotalA">GradeSheet!$F$20</definedName>
    <definedName name="FinalTotalS">GradeSheet!$G$20</definedName>
    <definedName name="HWInsert">GradeSheet!$A$7</definedName>
    <definedName name="HWRangeAvailable">GradeSheet!$B$5:$B$8</definedName>
    <definedName name="HWRangeScore">GradeSheet!$C$5:$C$8</definedName>
    <definedName name="HWScale">Scales!$C$10</definedName>
    <definedName name="HWTotalA">GradeSheet!$F$5</definedName>
    <definedName name="HWTotalS">GradeSheet!$G$5</definedName>
    <definedName name="LabInsert">GradeSheet!$A$13</definedName>
    <definedName name="LabRangeAvailable">GradeSheet!$B$11:$B$14</definedName>
    <definedName name="LabRangeScore">GradeSheet!$C$11:$C$14</definedName>
    <definedName name="LabScale">Scales!$C$12</definedName>
    <definedName name="LabTotalA">GradeSheet!$F$11</definedName>
    <definedName name="LabTotalS">GradeSheet!$G$11</definedName>
    <definedName name="MidInsert">GradeSheet!$A$19</definedName>
    <definedName name="MidRangeAvailable">GradeSheet!$B$17:$B$20</definedName>
    <definedName name="MidRangeScore">GradeSheet!$C$17:$C$20</definedName>
    <definedName name="MidScale">Scales!$C$14</definedName>
    <definedName name="MidTotalA">GradeSheet!$F$17</definedName>
    <definedName name="MidTotalS">GradeSheet!$G$17</definedName>
    <definedName name="QuizInsert">GradeSheet!$A$10</definedName>
    <definedName name="QuizRangeAvailable">GradeSheet!$B$8:$B$11</definedName>
    <definedName name="QuizRangeScore">GradeSheet!$C$8:$C$11</definedName>
    <definedName name="QuizScale">Scales!$C$11</definedName>
    <definedName name="QuizTotalA">GradeSheet!$F$8</definedName>
    <definedName name="QuizTotalS">GradeSheet!$G$8</definedName>
    <definedName name="TestInsert">GradeSheet!$A$16</definedName>
    <definedName name="TestRangeAvailable">GradeSheet!$B$14:$B$17</definedName>
    <definedName name="TestRangeScore">GradeSheet!$C$14:$C$17</definedName>
    <definedName name="TestScale">Scales!$C$13</definedName>
    <definedName name="TestTotalA">GradeSheet!$F$14</definedName>
    <definedName name="TestTotalS">GradeSheet!$G$14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1" l="1"/>
  <c r="E18" i="1"/>
  <c r="S1" i="1"/>
  <c r="T1" i="1"/>
  <c r="D4" i="1"/>
  <c r="E4" i="1"/>
  <c r="F17" i="1"/>
  <c r="H17" i="1" s="1"/>
  <c r="I17" i="1" s="1"/>
  <c r="G17" i="1"/>
  <c r="G8" i="1"/>
  <c r="F8" i="1"/>
  <c r="H8" i="1" s="1"/>
  <c r="I8" i="1" s="1"/>
  <c r="G5" i="1"/>
  <c r="G23" i="1" s="1"/>
  <c r="G11" i="1"/>
  <c r="G14" i="1"/>
  <c r="G20" i="1"/>
  <c r="F5" i="1"/>
  <c r="F23" i="1" s="1"/>
  <c r="H23" i="1" s="1"/>
  <c r="I23" i="1" s="1"/>
  <c r="F11" i="1"/>
  <c r="H11" i="1" s="1"/>
  <c r="I11" i="1" s="1"/>
  <c r="F14" i="1"/>
  <c r="H14" i="1" s="1"/>
  <c r="I14" i="1" s="1"/>
  <c r="F20" i="1"/>
  <c r="H20" i="1" s="1"/>
  <c r="I20" i="1" s="1"/>
  <c r="H24" i="1"/>
  <c r="I24" i="1" s="1"/>
  <c r="D6" i="1"/>
  <c r="E6" i="1"/>
  <c r="D7" i="1"/>
  <c r="E7" i="1"/>
  <c r="D8" i="1"/>
  <c r="D9" i="1"/>
  <c r="D10" i="1"/>
  <c r="D11" i="1"/>
  <c r="D12" i="1"/>
  <c r="D13" i="1"/>
  <c r="E13" i="1" s="1"/>
  <c r="D14" i="1"/>
  <c r="E14" i="1" s="1"/>
  <c r="D15" i="1"/>
  <c r="E15" i="1" s="1"/>
  <c r="D16" i="1"/>
  <c r="E16" i="1" s="1"/>
  <c r="D17" i="1"/>
  <c r="E17" i="1" s="1"/>
  <c r="D19" i="1"/>
  <c r="E19" i="1" s="1"/>
  <c r="D20" i="1"/>
  <c r="E20" i="1" s="1"/>
  <c r="D21" i="1"/>
  <c r="E21" i="1" s="1"/>
  <c r="D22" i="1"/>
  <c r="E22" i="1"/>
  <c r="E8" i="1"/>
  <c r="E9" i="1"/>
  <c r="E10" i="1"/>
  <c r="E11" i="1"/>
  <c r="E12" i="1"/>
  <c r="H5" i="1" l="1"/>
  <c r="I5" i="1" s="1"/>
</calcChain>
</file>

<file path=xl/sharedStrings.xml><?xml version="1.0" encoding="utf-8"?>
<sst xmlns="http://schemas.openxmlformats.org/spreadsheetml/2006/main" count="41" uniqueCount="34">
  <si>
    <t>Assignment</t>
  </si>
  <si>
    <t>Homework</t>
  </si>
  <si>
    <t>Score</t>
  </si>
  <si>
    <t>Available</t>
  </si>
  <si>
    <t>Grade</t>
  </si>
  <si>
    <t>Quiz's</t>
  </si>
  <si>
    <t>A</t>
  </si>
  <si>
    <t>B</t>
  </si>
  <si>
    <t>C</t>
  </si>
  <si>
    <t>D</t>
  </si>
  <si>
    <t>E</t>
  </si>
  <si>
    <t>Grading Scale</t>
  </si>
  <si>
    <t>Lab's</t>
  </si>
  <si>
    <t>Test's</t>
  </si>
  <si>
    <t>Final</t>
  </si>
  <si>
    <t>Percentage Scale</t>
  </si>
  <si>
    <t>Mid Term</t>
  </si>
  <si>
    <t>Mid Term's</t>
  </si>
  <si>
    <t>Total Available</t>
  </si>
  <si>
    <t>Total Score</t>
  </si>
  <si>
    <t>%</t>
  </si>
  <si>
    <t xml:space="preserve">Class:  </t>
  </si>
  <si>
    <t>Scaled</t>
  </si>
  <si>
    <t>*If class does not scale different types of work put in 100% for each one.</t>
  </si>
  <si>
    <t>*Grading Scale means A is the percentage and up to the next one or 100%</t>
  </si>
  <si>
    <t>WWW.EYESPYTECHNOLOGIES.NET</t>
  </si>
  <si>
    <t>© 2004 EyeSpy Technologies</t>
  </si>
  <si>
    <t xml:space="preserve">Opensource free to use but don’t take credit. </t>
  </si>
  <si>
    <t>Example Homework</t>
  </si>
  <si>
    <t>Example Quiz</t>
  </si>
  <si>
    <t>Example Lab</t>
  </si>
  <si>
    <t>Example Test</t>
  </si>
  <si>
    <t>Example Mid Term</t>
  </si>
  <si>
    <t xml:space="preserve">Example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</si>
</sst>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8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9" fontId="0" fillId="0" borderId="8" xfId="0" applyNumberFormat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0" xfId="0" applyFill="1" applyBorder="1"/>
    <xf numFmtId="0" fontId="3" fillId="3" borderId="1" xfId="0" applyFont="1" applyFill="1" applyBorder="1"/>
    <xf numFmtId="0" fontId="0" fillId="3" borderId="8" xfId="0" applyFill="1" applyBorder="1"/>
    <xf numFmtId="0" fontId="0" fillId="3" borderId="2" xfId="0" applyFill="1" applyBorder="1"/>
    <xf numFmtId="9" fontId="0" fillId="3" borderId="8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1" xfId="0" applyFill="1" applyBorder="1"/>
    <xf numFmtId="0" fontId="2" fillId="4" borderId="13" xfId="0" applyFont="1" applyFill="1" applyBorder="1" applyAlignment="1">
      <alignment horizontal="center"/>
    </xf>
    <xf numFmtId="0" fontId="0" fillId="0" borderId="0" xfId="0" applyFill="1"/>
    <xf numFmtId="10" fontId="0" fillId="3" borderId="14" xfId="0" applyNumberFormat="1" applyFill="1" applyBorder="1"/>
    <xf numFmtId="0" fontId="0" fillId="3" borderId="15" xfId="0" applyFill="1" applyBorder="1"/>
    <xf numFmtId="10" fontId="0" fillId="3" borderId="16" xfId="0" applyNumberFormat="1" applyFill="1" applyBorder="1"/>
    <xf numFmtId="0" fontId="0" fillId="3" borderId="17" xfId="0" applyFill="1" applyBorder="1"/>
    <xf numFmtId="10" fontId="0" fillId="3" borderId="18" xfId="0" applyNumberFormat="1" applyFill="1" applyBorder="1"/>
    <xf numFmtId="0" fontId="0" fillId="2" borderId="19" xfId="0" applyFill="1" applyBorder="1"/>
    <xf numFmtId="10" fontId="0" fillId="2" borderId="19" xfId="0" applyNumberFormat="1" applyFill="1" applyBorder="1"/>
    <xf numFmtId="0" fontId="0" fillId="2" borderId="20" xfId="0" applyFill="1" applyBorder="1"/>
    <xf numFmtId="10" fontId="0" fillId="2" borderId="20" xfId="0" applyNumberFormat="1" applyFill="1" applyBorder="1"/>
    <xf numFmtId="0" fontId="0" fillId="0" borderId="21" xfId="0" applyBorder="1"/>
    <xf numFmtId="0" fontId="0" fillId="0" borderId="15" xfId="0" applyBorder="1"/>
    <xf numFmtId="9" fontId="0" fillId="0" borderId="15" xfId="0" applyNumberFormat="1" applyBorder="1"/>
    <xf numFmtId="0" fontId="0" fillId="0" borderId="22" xfId="0" applyBorder="1" applyAlignment="1">
      <alignment horizontal="center"/>
    </xf>
    <xf numFmtId="0" fontId="2" fillId="0" borderId="0" xfId="0" applyFont="1"/>
    <xf numFmtId="0" fontId="0" fillId="4" borderId="23" xfId="0" applyFill="1" applyBorder="1"/>
    <xf numFmtId="0" fontId="0" fillId="4" borderId="24" xfId="0" applyFill="1" applyBorder="1"/>
    <xf numFmtId="0" fontId="0" fillId="0" borderId="0" xfId="0" applyFill="1" applyBorder="1" applyAlignment="1">
      <alignment horizontal="left"/>
    </xf>
    <xf numFmtId="10" fontId="0" fillId="4" borderId="24" xfId="0" applyNumberFormat="1" applyFill="1" applyBorder="1"/>
    <xf numFmtId="0" fontId="0" fillId="2" borderId="25" xfId="0" applyFill="1" applyBorder="1"/>
    <xf numFmtId="0" fontId="0" fillId="3" borderId="22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10" fontId="0" fillId="0" borderId="30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31" xfId="0" applyNumberForma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0" fontId="0" fillId="5" borderId="13" xfId="0" applyNumberFormat="1" applyFill="1" applyBorder="1"/>
    <xf numFmtId="0" fontId="0" fillId="5" borderId="13" xfId="0" applyFill="1" applyBorder="1" applyAlignment="1">
      <alignment horizontal="center"/>
    </xf>
    <xf numFmtId="10" fontId="4" fillId="0" borderId="30" xfId="0" applyNumberFormat="1" applyFont="1" applyBorder="1" applyAlignment="1">
      <alignment horizontal="center"/>
    </xf>
    <xf numFmtId="10" fontId="0" fillId="2" borderId="0" xfId="0" applyNumberFormat="1" applyFill="1" applyBorder="1"/>
    <xf numFmtId="0" fontId="0" fillId="2" borderId="32" xfId="0" applyFill="1" applyBorder="1" applyAlignment="1">
      <alignment horizontal="center"/>
    </xf>
    <xf numFmtId="9" fontId="6" fillId="6" borderId="35" xfId="1" applyNumberFormat="1" applyFill="1" applyBorder="1" applyAlignment="1" applyProtection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9" xfId="0" applyBorder="1" applyAlignment="1"/>
    <xf numFmtId="0" fontId="2" fillId="0" borderId="23" xfId="0" applyFont="1" applyFill="1" applyBorder="1" applyAlignment="1">
      <alignment horizontal="center"/>
    </xf>
    <xf numFmtId="0" fontId="2" fillId="0" borderId="29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44450</xdr:rowOff>
        </xdr:from>
        <xdr:to>
          <xdr:col>0</xdr:col>
          <xdr:colOff>1390650</xdr:colOff>
          <xdr:row>6</xdr:row>
          <xdr:rowOff>120650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71F4433-8AA1-4955-BBC9-E1E1314405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GB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50800</xdr:colOff>
          <xdr:row>9</xdr:row>
          <xdr:rowOff>38100</xdr:rowOff>
        </xdr:from>
        <xdr:to>
          <xdr:col>0</xdr:col>
          <xdr:colOff>1397000</xdr:colOff>
          <xdr:row>9</xdr:row>
          <xdr:rowOff>114300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3549515-0971-48D3-AAC0-F362D85C01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GB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12</xdr:row>
          <xdr:rowOff>38100</xdr:rowOff>
        </xdr:from>
        <xdr:to>
          <xdr:col>0</xdr:col>
          <xdr:colOff>1397000</xdr:colOff>
          <xdr:row>12</xdr:row>
          <xdr:rowOff>114300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8123392-F0ED-418D-9C1B-47D86B297D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GB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50800</xdr:colOff>
          <xdr:row>15</xdr:row>
          <xdr:rowOff>25400</xdr:rowOff>
        </xdr:from>
        <xdr:to>
          <xdr:col>0</xdr:col>
          <xdr:colOff>1409700</xdr:colOff>
          <xdr:row>15</xdr:row>
          <xdr:rowOff>101600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A3A30A4-0F50-4E98-B6F9-4F18CC9300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GB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18</xdr:row>
          <xdr:rowOff>44450</xdr:rowOff>
        </xdr:from>
        <xdr:to>
          <xdr:col>0</xdr:col>
          <xdr:colOff>1416050</xdr:colOff>
          <xdr:row>18</xdr:row>
          <xdr:rowOff>120650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9E345A70-68D3-4016-895A-47A64CD9F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GB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21</xdr:row>
          <xdr:rowOff>44450</xdr:rowOff>
        </xdr:from>
        <xdr:to>
          <xdr:col>0</xdr:col>
          <xdr:colOff>1416050</xdr:colOff>
          <xdr:row>21</xdr:row>
          <xdr:rowOff>120650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4E8031BA-51A9-4D11-B201-418312026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GB"/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yespytechnologies.net/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T32"/>
  <sheetViews>
    <sheetView tabSelected="1" workbookViewId="0">
      <selection activeCell="A22" sqref="A22"/>
    </sheetView>
  </sheetViews>
  <sheetFormatPr defaultRowHeight="12.5" x14ac:dyDescent="0.25"/>
  <cols>
    <col min="1" max="1" width="20.7265625" customWidth="1"/>
    <col min="2" max="2" width="11.1796875" customWidth="1"/>
    <col min="3" max="3" width="9.453125" customWidth="1"/>
    <col min="4" max="4" width="9.26953125" customWidth="1"/>
    <col min="5" max="5" width="8" customWidth="1"/>
    <col min="6" max="6" width="14.7265625" customWidth="1"/>
    <col min="7" max="7" width="12.453125" customWidth="1"/>
    <col min="8" max="8" width="7.81640625" customWidth="1"/>
    <col min="9" max="9" width="8.1796875" customWidth="1"/>
  </cols>
  <sheetData>
    <row r="1" spans="1:20" ht="13" x14ac:dyDescent="0.3">
      <c r="A1" s="42" t="s">
        <v>21</v>
      </c>
      <c r="P1" s="14"/>
      <c r="Q1" s="13"/>
      <c r="R1" s="13"/>
      <c r="S1" s="15" t="str">
        <f>IF(Q1="","",IF(R1="","",R1/Q1))</f>
        <v/>
      </c>
      <c r="T1" s="4" t="str">
        <f>IF(S1="","",IF(S1&gt;=Scales!$C$3,Scales!$B$3,IF((S1&gt;=Scales!$C$4),Scales!$B$4,IF(S1&gt;=Scales!$C$5,Scales!$B$5,IF(S1&gt;=Scales!$C$6,Scales!$B$6,IF(S1&gt;=Scales!$C$7,Scales!$B$7,IF(S1="","",Scales!$B$7)))))))</f>
        <v/>
      </c>
    </row>
    <row r="2" spans="1:20" ht="13" thickBot="1" x14ac:dyDescent="0.3"/>
    <row r="3" spans="1:20" ht="14" thickTop="1" thickBot="1" x14ac:dyDescent="0.35">
      <c r="A3" s="27" t="s">
        <v>0</v>
      </c>
      <c r="B3" s="27" t="s">
        <v>3</v>
      </c>
      <c r="C3" s="27" t="s">
        <v>2</v>
      </c>
      <c r="D3" s="27" t="s">
        <v>20</v>
      </c>
      <c r="E3" s="27" t="s">
        <v>4</v>
      </c>
      <c r="F3" s="27" t="s">
        <v>18</v>
      </c>
      <c r="G3" s="27" t="s">
        <v>19</v>
      </c>
      <c r="H3" s="27" t="s">
        <v>20</v>
      </c>
      <c r="I3" s="27" t="s">
        <v>4</v>
      </c>
      <c r="J3" s="2"/>
      <c r="K3" s="2"/>
      <c r="L3" s="2"/>
    </row>
    <row r="4" spans="1:20" ht="13" thickTop="1" x14ac:dyDescent="0.25">
      <c r="A4" s="11"/>
      <c r="B4" s="12"/>
      <c r="C4" s="12"/>
      <c r="D4" s="12" t="str">
        <f>IF(B4="","",IF(C4="","",C4/B4))</f>
        <v/>
      </c>
      <c r="E4" s="10" t="str">
        <f>IF(D4="","",IF(D4&gt;=Scales!$C$3,Scales!$B$3,IF((D4&gt;=Scales!$C$4),Scales!$B$4,IF(D4&gt;=Scales!$C$5,Scales!$B$5,IF(D4&gt;=Scales!$C$6,Scales!$B$6,IF(D4&gt;=Scales!$C$7,Scales!$B$7,IF(D4="","",Scales!$B$7)))))))</f>
        <v/>
      </c>
      <c r="F4" s="16"/>
      <c r="G4" s="17"/>
      <c r="H4" s="17"/>
      <c r="I4" s="18"/>
    </row>
    <row r="5" spans="1:20" ht="13" x14ac:dyDescent="0.3">
      <c r="A5" s="21" t="s">
        <v>1</v>
      </c>
      <c r="B5" s="22"/>
      <c r="C5" s="22"/>
      <c r="D5" s="22"/>
      <c r="E5" s="23"/>
      <c r="F5" s="26">
        <f>SUM(HWRangeAvailable)</f>
        <v>20</v>
      </c>
      <c r="G5" s="30">
        <f>SUM(HWRangeScore)</f>
        <v>19</v>
      </c>
      <c r="H5" s="31">
        <f>IF(OR(F5="",F5=0),"",IF(G5="","",G5/F5))</f>
        <v>0.95</v>
      </c>
      <c r="I5" s="48" t="str">
        <f>IF(H5="","",IF(H5&gt;=Scales!$C$3,Scales!$B$3,IF((H5&gt;=Scales!$C$4),Scales!$B$4,IF(H5&gt;=Scales!$C$5,Scales!$B$5,IF(H5&gt;=Scales!$C$6,Scales!$B$6,IF(H5&gt;=Scales!$C$7,Scales!$B$7,IF(H5="","",Scales!$B$7)))))))</f>
        <v>A</v>
      </c>
    </row>
    <row r="6" spans="1:20" x14ac:dyDescent="0.25">
      <c r="A6" s="14" t="s">
        <v>28</v>
      </c>
      <c r="B6" s="13">
        <v>20</v>
      </c>
      <c r="C6" s="13">
        <v>19</v>
      </c>
      <c r="D6" s="15">
        <f>IF(B6="","",IF(C6="","",C6/B6))</f>
        <v>0.95</v>
      </c>
      <c r="E6" s="4" t="str">
        <f>IF(D6="","",IF(D6&gt;=Scales!$C$3,Scales!$B$3,IF((D6&gt;=Scales!$C$4),Scales!$B$4,IF(D6&gt;=Scales!$C$5,Scales!$B$5,IF(D6&gt;=Scales!$C$6,Scales!$B$6,IF(D6&gt;=Scales!$C$7,Scales!$B$7,IF(D6="","",Scales!$B$7)))))))</f>
        <v>A</v>
      </c>
      <c r="F6" s="19"/>
      <c r="G6" s="34"/>
      <c r="H6" s="35"/>
      <c r="I6" s="49"/>
    </row>
    <row r="7" spans="1:20" x14ac:dyDescent="0.25">
      <c r="A7" s="14"/>
      <c r="B7" s="13"/>
      <c r="C7" s="13"/>
      <c r="D7" s="15" t="str">
        <f t="shared" ref="D7:D22" si="0">IF(B7="","",IF(C7="","",C7/B7))</f>
        <v/>
      </c>
      <c r="E7" s="4" t="str">
        <f>IF(D7="","",IF(D7&gt;=Scales!$C$3,Scales!$B$3,IF((D7&gt;=Scales!$C$4),Scales!$B$4,IF(D7&gt;=Scales!$C$5,Scales!$B$5,IF(D7&gt;=Scales!$C$6,Scales!$B$6,IF(D7&gt;=Scales!$C$7,Scales!$B$7,IF(D7="","",Scales!$B$7)))))))</f>
        <v/>
      </c>
      <c r="F7" s="19"/>
      <c r="G7" s="36"/>
      <c r="H7" s="37"/>
      <c r="I7" s="50"/>
    </row>
    <row r="8" spans="1:20" ht="13" x14ac:dyDescent="0.3">
      <c r="A8" s="21" t="s">
        <v>5</v>
      </c>
      <c r="B8" s="22"/>
      <c r="C8" s="22"/>
      <c r="D8" s="24" t="str">
        <f t="shared" si="0"/>
        <v/>
      </c>
      <c r="E8" s="25" t="str">
        <f>IF(D8="","",IF(D8&gt;=Scales!$C$3,Scales!$B$3,IF((D8&gt;=Scales!$C$4),Scales!$B$4,IF(D8&gt;=Scales!$C$5,Scales!$B$5,IF(D8&gt;=Scales!$C$6,Scales!$B$6,IF(D8&gt;=Scales!$C$7,Scales!$B$7,IF(D8="","",Scales!$B$7)))))))</f>
        <v/>
      </c>
      <c r="F8" s="26">
        <f>SUM(QuizRangeAvailable)</f>
        <v>20</v>
      </c>
      <c r="G8" s="32">
        <f>SUM(QuizRangeScore)</f>
        <v>18.5</v>
      </c>
      <c r="H8" s="33">
        <f>IF(OR(F8="",F8=0),"",IF(G8="","",G8/F8))</f>
        <v>0.92500000000000004</v>
      </c>
      <c r="I8" s="48" t="str">
        <f>IF(H8="","",IF(H8&gt;=Scales!$C$3,Scales!$B$3,IF((H8&gt;=Scales!$C$4),Scales!$B$4,IF(H8&gt;=Scales!$C$5,Scales!$B$5,IF(H8&gt;=Scales!$C$6,Scales!$B$6,IF(H8&gt;=Scales!$C$7,Scales!$B$7,IF(H8="","",Scales!$B$7)))))))</f>
        <v>A</v>
      </c>
    </row>
    <row r="9" spans="1:20" x14ac:dyDescent="0.25">
      <c r="A9" s="14" t="s">
        <v>29</v>
      </c>
      <c r="B9" s="13">
        <v>20</v>
      </c>
      <c r="C9" s="13">
        <v>18.5</v>
      </c>
      <c r="D9" s="15">
        <f t="shared" si="0"/>
        <v>0.92500000000000004</v>
      </c>
      <c r="E9" s="4" t="str">
        <f>IF(D9="","",IF(D9&gt;=Scales!$C$3,Scales!$B$3,IF((D9&gt;=Scales!$C$4),Scales!$B$4,IF(D9&gt;=Scales!$C$5,Scales!$B$5,IF(D9&gt;=Scales!$C$6,Scales!$B$6,IF(D9&gt;=Scales!$C$7,Scales!$B$7,IF(D9="","",Scales!$B$7)))))))</f>
        <v>A</v>
      </c>
      <c r="F9" s="19"/>
      <c r="G9" s="34"/>
      <c r="H9" s="35"/>
      <c r="I9" s="49"/>
      <c r="K9" s="28"/>
    </row>
    <row r="10" spans="1:20" x14ac:dyDescent="0.25">
      <c r="A10" s="14"/>
      <c r="B10" s="13"/>
      <c r="C10" s="13"/>
      <c r="D10" s="15" t="str">
        <f t="shared" si="0"/>
        <v/>
      </c>
      <c r="E10" s="4" t="str">
        <f>IF(D10="","",IF(D10&gt;=Scales!$C$3,Scales!$B$3,IF((D10&gt;=Scales!$C$4),Scales!$B$4,IF(D10&gt;=Scales!$C$5,Scales!$B$5,IF(D10&gt;=Scales!$C$6,Scales!$B$6,IF(D10&gt;=Scales!$C$7,Scales!$B$7,IF(D10="","",Scales!$B$7)))))))</f>
        <v/>
      </c>
      <c r="F10" s="19"/>
      <c r="G10" s="36"/>
      <c r="H10" s="37"/>
      <c r="I10" s="50"/>
    </row>
    <row r="11" spans="1:20" ht="13" x14ac:dyDescent="0.3">
      <c r="A11" s="21" t="s">
        <v>12</v>
      </c>
      <c r="B11" s="22"/>
      <c r="C11" s="22"/>
      <c r="D11" s="24" t="str">
        <f t="shared" si="0"/>
        <v/>
      </c>
      <c r="E11" s="25" t="str">
        <f>IF(D11="","",IF(D11&gt;=Scales!$C$3,Scales!$B$3,IF((D11&gt;=Scales!$C$4),Scales!$B$4,IF(D11&gt;=Scales!$C$5,Scales!$B$5,IF(D11&gt;=Scales!$C$6,Scales!$B$6,IF(D11&gt;=Scales!$C$7,Scales!$B$7,IF(D11="","",Scales!$B$7)))))))</f>
        <v/>
      </c>
      <c r="F11" s="26">
        <f>SUM(LabRangeAvailable)</f>
        <v>40</v>
      </c>
      <c r="G11" s="22">
        <f>SUM(LabRangeScore)</f>
        <v>35</v>
      </c>
      <c r="H11" s="29">
        <f>IF(OR(F11="",F11=0),"",IF(G11="","",G11/F11))</f>
        <v>0.875</v>
      </c>
      <c r="I11" s="48" t="str">
        <f>IF(H11="","",IF(H11&gt;=Scales!$C$3,Scales!$B$3,IF((H11&gt;=Scales!$C$4),Scales!$B$4,IF(H11&gt;=Scales!$C$5,Scales!$B$5,IF(H11&gt;=Scales!$C$6,Scales!$B$6,IF(H11&gt;=Scales!$C$7,Scales!$B$7,IF(H11="","",Scales!$B$7)))))))</f>
        <v>B</v>
      </c>
    </row>
    <row r="12" spans="1:20" x14ac:dyDescent="0.25">
      <c r="A12" s="14" t="s">
        <v>30</v>
      </c>
      <c r="B12" s="13">
        <v>40</v>
      </c>
      <c r="C12" s="13">
        <v>35</v>
      </c>
      <c r="D12" s="15">
        <f t="shared" si="0"/>
        <v>0.875</v>
      </c>
      <c r="E12" s="4" t="str">
        <f>IF(D12="","",IF(D12&gt;=Scales!$C$3,Scales!$B$3,IF((D12&gt;=Scales!$C$4),Scales!$B$4,IF(D12&gt;=Scales!$C$5,Scales!$B$5,IF(D12&gt;=Scales!$C$6,Scales!$B$6,IF(D12&gt;=Scales!$C$7,Scales!$B$7,IF(D12="","",Scales!$B$7)))))))</f>
        <v>B</v>
      </c>
      <c r="F12" s="19"/>
      <c r="G12" s="34"/>
      <c r="H12" s="35"/>
      <c r="I12" s="49"/>
    </row>
    <row r="13" spans="1:20" x14ac:dyDescent="0.25">
      <c r="A13" s="14"/>
      <c r="B13" s="13"/>
      <c r="C13" s="13"/>
      <c r="D13" s="15" t="str">
        <f t="shared" si="0"/>
        <v/>
      </c>
      <c r="E13" s="4" t="str">
        <f>IF(D13="","",IF(D13&gt;=Scales!$C$3,Scales!$B$3,IF((D13&gt;=Scales!$C$4),Scales!$B$4,IF(D13&gt;=Scales!$C$5,Scales!$B$5,IF(D13&gt;=Scales!$C$6,Scales!$B$6,IF(D13&gt;=Scales!$C$7,Scales!$B$7,IF(D13="","",Scales!$B$7)))))))</f>
        <v/>
      </c>
      <c r="F13" s="19"/>
      <c r="G13" s="36"/>
      <c r="H13" s="37"/>
      <c r="I13" s="50"/>
    </row>
    <row r="14" spans="1:20" ht="13" x14ac:dyDescent="0.3">
      <c r="A14" s="21" t="s">
        <v>13</v>
      </c>
      <c r="B14" s="22"/>
      <c r="C14" s="22"/>
      <c r="D14" s="24" t="str">
        <f t="shared" si="0"/>
        <v/>
      </c>
      <c r="E14" s="25" t="str">
        <f>IF(D14="","",IF(D14&gt;=Scales!$C$3,Scales!$B$3,IF((D14&gt;=Scales!$C$4),Scales!$B$4,IF(D14&gt;=Scales!$C$5,Scales!$B$5,IF(D14&gt;=Scales!$C$6,Scales!$B$6,IF(D14&gt;=Scales!$C$7,Scales!$B$7,IF(D14="","",Scales!$B$7)))))))</f>
        <v/>
      </c>
      <c r="F14" s="26">
        <f>SUM(TestRangeAvailable)</f>
        <v>100</v>
      </c>
      <c r="G14" s="22">
        <f>SUM(TestRangeScore)</f>
        <v>98</v>
      </c>
      <c r="H14" s="29">
        <f>IF(OR(F14="",F14=0),"",IF(G14="","",G14/F14))</f>
        <v>0.98</v>
      </c>
      <c r="I14" s="48" t="str">
        <f>IF(H14="","",IF(H14&gt;=Scales!$C$3,Scales!$B$3,IF((H14&gt;=Scales!$C$4),Scales!$B$4,IF(H14&gt;=Scales!$C$5,Scales!$B$5,IF(H14&gt;=Scales!$C$6,Scales!$B$6,IF(H14&gt;=Scales!$C$7,Scales!$B$7,IF(H14="","",Scales!$B$7)))))))</f>
        <v>A</v>
      </c>
    </row>
    <row r="15" spans="1:20" x14ac:dyDescent="0.25">
      <c r="A15" s="14" t="s">
        <v>31</v>
      </c>
      <c r="B15" s="13">
        <v>100</v>
      </c>
      <c r="C15" s="13">
        <v>98</v>
      </c>
      <c r="D15" s="15">
        <f t="shared" si="0"/>
        <v>0.98</v>
      </c>
      <c r="E15" s="4" t="str">
        <f>IF(D15="","",IF(D15&gt;=Scales!$C$3,Scales!$B$3,IF((D15&gt;=Scales!$C$4),Scales!$B$4,IF(D15&gt;=Scales!$C$5,Scales!$B$5,IF(D15&gt;=Scales!$C$6,Scales!$B$6,IF(D15&gt;=Scales!$C$7,Scales!$B$7,IF(D15="","",Scales!$B$7)))))))</f>
        <v>A</v>
      </c>
      <c r="F15" s="19"/>
      <c r="G15" s="34"/>
      <c r="H15" s="35"/>
      <c r="I15" s="49"/>
    </row>
    <row r="16" spans="1:20" x14ac:dyDescent="0.25">
      <c r="A16" s="14"/>
      <c r="B16" s="13"/>
      <c r="C16" s="13"/>
      <c r="D16" s="15" t="str">
        <f t="shared" si="0"/>
        <v/>
      </c>
      <c r="E16" s="4" t="str">
        <f>IF(D16="","",IF(D16&gt;=Scales!$C$3,Scales!$B$3,IF((D16&gt;=Scales!$C$4),Scales!$B$4,IF(D16&gt;=Scales!$C$5,Scales!$B$5,IF(D16&gt;=Scales!$C$6,Scales!$B$6,IF(D16&gt;=Scales!$C$7,Scales!$B$7,IF(D16="","",Scales!$B$7)))))))</f>
        <v/>
      </c>
      <c r="F16" s="19"/>
      <c r="G16" s="36"/>
      <c r="H16" s="37"/>
      <c r="I16" s="50"/>
    </row>
    <row r="17" spans="1:9" ht="13" x14ac:dyDescent="0.3">
      <c r="A17" s="21" t="s">
        <v>17</v>
      </c>
      <c r="B17" s="22"/>
      <c r="C17" s="22"/>
      <c r="D17" s="24" t="str">
        <f t="shared" si="0"/>
        <v/>
      </c>
      <c r="E17" s="25" t="str">
        <f>IF(D17="","",IF(D17&gt;=Scales!$C$3,Scales!$B$3,IF((D17&gt;=Scales!$C$4),Scales!$B$4,IF(D17&gt;=Scales!$C$5,Scales!$B$5,IF(D17&gt;=Scales!$C$6,Scales!$B$6,IF(D17&gt;=Scales!$C$7,Scales!$B$7,IF(D17="","",Scales!$B$7)))))))</f>
        <v/>
      </c>
      <c r="F17" s="26">
        <f>SUM(MidRangeAvailable)</f>
        <v>200</v>
      </c>
      <c r="G17" s="22">
        <f>SUM(MidRangeScore)</f>
        <v>165</v>
      </c>
      <c r="H17" s="29">
        <f>IF(OR(F17="",F17=0),"",IF(G17="","",G17/F17))</f>
        <v>0.82499999999999996</v>
      </c>
      <c r="I17" s="25" t="str">
        <f>IF(H17="","",IF(H17&gt;=Scales!$C$3,Scales!$B$3,IF((H17&gt;=Scales!$C$4),Scales!$B$4,IF(H17&gt;=Scales!$C$5,Scales!$B$5,IF(H17&gt;=Scales!$C$6,Scales!$B$6,IF(H17&gt;=Scales!$C$7,Scales!$B$7,IF(H17="","",Scales!$B$7)))))))</f>
        <v>B</v>
      </c>
    </row>
    <row r="18" spans="1:9" x14ac:dyDescent="0.25">
      <c r="A18" s="14" t="s">
        <v>32</v>
      </c>
      <c r="B18" s="13">
        <v>200</v>
      </c>
      <c r="C18" s="13">
        <v>165</v>
      </c>
      <c r="D18" s="15">
        <f t="shared" si="0"/>
        <v>0.82499999999999996</v>
      </c>
      <c r="E18" s="4" t="str">
        <f>IF(D18="","",IF(D18&gt;=Scales!$C$3,Scales!$B$3,IF((D18&gt;=Scales!$C$4),Scales!$B$4,IF(D18&gt;=Scales!$C$5,Scales!$B$5,IF(D18&gt;=Scales!$C$6,Scales!$B$6,IF(D18&gt;=Scales!$C$7,Scales!$B$7,IF(D18="","",Scales!$B$7)))))))</f>
        <v>B</v>
      </c>
      <c r="F18" s="19"/>
      <c r="G18" s="20"/>
      <c r="H18" s="60"/>
      <c r="I18" s="61"/>
    </row>
    <row r="19" spans="1:9" x14ac:dyDescent="0.25">
      <c r="A19" s="14"/>
      <c r="B19" s="13"/>
      <c r="C19" s="13"/>
      <c r="D19" s="15" t="str">
        <f t="shared" si="0"/>
        <v/>
      </c>
      <c r="E19" s="4" t="str">
        <f>IF(D19="","",IF(D19&gt;=Scales!$C$3,Scales!$B$3,IF((D19&gt;=Scales!$C$4),Scales!$B$4,IF(D19&gt;=Scales!$C$5,Scales!$B$5,IF(D19&gt;=Scales!$C$6,Scales!$B$6,IF(D19&gt;=Scales!$C$7,Scales!$B$7,IF(D19="","",Scales!$B$7)))))))</f>
        <v/>
      </c>
      <c r="F19" s="19"/>
      <c r="G19" s="36"/>
      <c r="H19" s="37"/>
      <c r="I19" s="50"/>
    </row>
    <row r="20" spans="1:9" ht="13" x14ac:dyDescent="0.3">
      <c r="A20" s="21" t="s">
        <v>14</v>
      </c>
      <c r="B20" s="22"/>
      <c r="C20" s="22"/>
      <c r="D20" s="24" t="str">
        <f t="shared" si="0"/>
        <v/>
      </c>
      <c r="E20" s="25" t="str">
        <f>IF(D20="","",IF(D20&gt;=Scales!$C$3,Scales!$B$3,IF((D20&gt;=Scales!$C$4),Scales!$B$4,IF(D20&gt;=Scales!$C$5,Scales!$B$5,IF(D20&gt;=Scales!$C$6,Scales!$B$6,IF(D20&gt;=Scales!$C$7,Scales!$B$7,IF(D20="","",Scales!$B$7)))))))</f>
        <v/>
      </c>
      <c r="F20" s="26">
        <f>SUM(FinalRangeAvailable)</f>
        <v>200</v>
      </c>
      <c r="G20" s="22">
        <f>SUM(FinalRangeScore)</f>
        <v>190</v>
      </c>
      <c r="H20" s="29">
        <f>IF(OR(F20="",F20=0),"",IF(G20="","",G20/F20))</f>
        <v>0.95</v>
      </c>
      <c r="I20" s="25" t="str">
        <f>IF(H20="","",IF(H20&gt;=Scales!$C$3,Scales!$B$3,IF((H20&gt;=Scales!$C$4),Scales!$B$4,IF(H20&gt;=Scales!$C$5,Scales!$B$5,IF(H20&gt;=Scales!$C$6,Scales!$B$6,IF(H20&gt;=Scales!$C$7,Scales!$B$7,IF(H20="","",Scales!$B$7)))))))</f>
        <v>A</v>
      </c>
    </row>
    <row r="21" spans="1:9" x14ac:dyDescent="0.25">
      <c r="A21" s="14" t="s">
        <v>33</v>
      </c>
      <c r="B21" s="13">
        <v>200</v>
      </c>
      <c r="C21" s="13">
        <v>190</v>
      </c>
      <c r="D21" s="15">
        <f t="shared" si="0"/>
        <v>0.95</v>
      </c>
      <c r="E21" s="4" t="str">
        <f>IF(D21="","",IF(D21&gt;=Scales!$C$3,Scales!$B$3,IF((D21&gt;=Scales!$C$4),Scales!$B$4,IF(D21&gt;=Scales!$C$5,Scales!$B$5,IF(D21&gt;=Scales!$C$6,Scales!$B$6,IF(D21&gt;=Scales!$C$7,Scales!$B$7,IF(D21="","",Scales!$B$7)))))))</f>
        <v>A</v>
      </c>
      <c r="F21" s="19"/>
      <c r="G21" s="20"/>
      <c r="H21" s="34"/>
      <c r="I21" s="49"/>
    </row>
    <row r="22" spans="1:9" ht="13" thickBot="1" x14ac:dyDescent="0.3">
      <c r="A22" s="38"/>
      <c r="B22" s="39"/>
      <c r="C22" s="39"/>
      <c r="D22" s="40" t="str">
        <f t="shared" si="0"/>
        <v/>
      </c>
      <c r="E22" s="41" t="str">
        <f>IF(D22="","",IF(D22&gt;=Scales!$C$3,Scales!$B$3,IF((D22&gt;=Scales!$C$4),Scales!$B$4,IF(D22&gt;=Scales!$C$5,Scales!$B$5,IF(D22&gt;=Scales!$C$6,Scales!$B$6,IF(D22&gt;=Scales!$C$7,Scales!$B$7,IF(D22="","",Scales!$B$7)))))))</f>
        <v/>
      </c>
      <c r="F22" s="19"/>
      <c r="G22" s="20"/>
      <c r="H22" s="47"/>
      <c r="I22" s="51"/>
    </row>
    <row r="23" spans="1:9" ht="13.5" thickTop="1" thickBot="1" x14ac:dyDescent="0.3">
      <c r="A23" s="62" t="s">
        <v>25</v>
      </c>
      <c r="B23" s="63"/>
      <c r="C23" s="63"/>
      <c r="D23" s="63"/>
      <c r="E23" s="64"/>
      <c r="F23" s="43">
        <f>SUM(HWTotalA,QuizTotalA,LabTotalA,TestTotalA,MidTotalA,FinalTotalA)</f>
        <v>580</v>
      </c>
      <c r="G23" s="44">
        <f>SUM(HWTotalS,QuizTotalS,LabTotalS,TestTotalS,MidTotalS,FinalTotalS)</f>
        <v>525.5</v>
      </c>
      <c r="H23" s="46">
        <f>IF(OR(F23="",F23=0),"",IF(G23="","",G23/F23))</f>
        <v>0.90603448275862064</v>
      </c>
      <c r="I23" s="52" t="str">
        <f>IF(H23="","",IF(H23&gt;=Scales!$C$3,Scales!$B$3,IF((H23&gt;=Scales!$C$4),Scales!$B$4,IF(H23&gt;=Scales!$C$5,Scales!$B$5,IF(H23&gt;=Scales!$C$6,Scales!$B$6,IF(H23&gt;=Scales!$C$7,Scales!$B$7,IF(H23="","",Scales!$B$7)))))))</f>
        <v>A</v>
      </c>
    </row>
    <row r="24" spans="1:9" ht="14" thickTop="1" thickBot="1" x14ac:dyDescent="0.35">
      <c r="E24" s="1"/>
      <c r="G24" s="56" t="s">
        <v>22</v>
      </c>
      <c r="H24" s="57">
        <f>SUM(HWTotalS*HWScale,QuizTotalS*QuizScale,LabTotalS*LabScale,TestTotalS*LabScale,MidTotalS*MidScale,FinalTotalS*FinalScale) / SUM(HWTotalA*HWScale,QuizTotalA*QuizScale,LabTotalA*LabScale,TestTotalA*LabScale,MidTotalA*MidScale,FinalTotalA*FinalScale)</f>
        <v>0.89295454545454545</v>
      </c>
      <c r="I24" s="58" t="str">
        <f>IF(H24="","",IF(H24&gt;=Scales!$C$3,Scales!$B$3,IF((H24&gt;=Scales!$C$4),Scales!$B$4,IF(H24&gt;=Scales!$C$5,Scales!$B$5,IF(H24&gt;=Scales!$C$6,Scales!$B$6,IF(H24&gt;=Scales!$C$7,Scales!$B$7,IF(H24="","",Scales!$B$7)))))))</f>
        <v>B</v>
      </c>
    </row>
    <row r="25" spans="1:9" ht="13" thickTop="1" x14ac:dyDescent="0.25">
      <c r="E25" s="1"/>
    </row>
    <row r="26" spans="1:9" x14ac:dyDescent="0.25">
      <c r="E26" s="1"/>
    </row>
    <row r="27" spans="1:9" x14ac:dyDescent="0.25">
      <c r="E27" s="1"/>
    </row>
    <row r="28" spans="1:9" x14ac:dyDescent="0.25">
      <c r="E28" s="1"/>
    </row>
    <row r="29" spans="1:9" x14ac:dyDescent="0.25">
      <c r="E29" s="1"/>
    </row>
    <row r="30" spans="1:9" x14ac:dyDescent="0.25">
      <c r="E30" s="1"/>
    </row>
    <row r="31" spans="1:9" x14ac:dyDescent="0.25">
      <c r="E31" s="1"/>
    </row>
    <row r="32" spans="1:9" x14ac:dyDescent="0.25">
      <c r="E32" s="1"/>
    </row>
  </sheetData>
  <mergeCells count="1">
    <mergeCell ref="A23:E23"/>
  </mergeCells>
  <phoneticPr fontId="1" type="noConversion"/>
  <hyperlinks>
    <hyperlink ref="A23" r:id="rId1"/>
  </hyperlinks>
  <pageMargins left="0.75" right="0.75" top="1" bottom="1" header="0.5" footer="0.5"/>
  <pageSetup orientation="portrait" horizontalDpi="300" verticalDpi="300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Button 1">
              <controlPr defaultSize="0" print="0" autoFill="0" autoPict="0" macro="[0]!Module3.HWInsert">
                <anchor moveWithCells="1" sizeWithCells="1">
                  <from>
                    <xdr:col>0</xdr:col>
                    <xdr:colOff>69850</xdr:colOff>
                    <xdr:row>6</xdr:row>
                    <xdr:rowOff>44450</xdr:rowOff>
                  </from>
                  <to>
                    <xdr:col>0</xdr:col>
                    <xdr:colOff>1390650</xdr:colOff>
                    <xdr:row>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0]!Module3.QuizInsert">
                <anchor moveWithCells="1" sizeWithCells="1">
                  <from>
                    <xdr:col>0</xdr:col>
                    <xdr:colOff>50800</xdr:colOff>
                    <xdr:row>9</xdr:row>
                    <xdr:rowOff>38100</xdr:rowOff>
                  </from>
                  <to>
                    <xdr:col>0</xdr:col>
                    <xdr:colOff>1397000</xdr:colOff>
                    <xdr:row>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Pict="0" macro="[0]!Module3.LabInsert">
                <anchor moveWithCells="1" sizeWithCells="1">
                  <from>
                    <xdr:col>0</xdr:col>
                    <xdr:colOff>57150</xdr:colOff>
                    <xdr:row>12</xdr:row>
                    <xdr:rowOff>38100</xdr:rowOff>
                  </from>
                  <to>
                    <xdr:col>0</xdr:col>
                    <xdr:colOff>1397000</xdr:colOff>
                    <xdr:row>12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5">
              <controlPr defaultSize="0" print="0" autoFill="0" autoPict="0" macro="[0]!Module3.TestInsert">
                <anchor moveWithCells="1" sizeWithCells="1">
                  <from>
                    <xdr:col>0</xdr:col>
                    <xdr:colOff>50800</xdr:colOff>
                    <xdr:row>15</xdr:row>
                    <xdr:rowOff>25400</xdr:rowOff>
                  </from>
                  <to>
                    <xdr:col>0</xdr:col>
                    <xdr:colOff>1409700</xdr:colOff>
                    <xdr:row>15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Pict="0" macro="[0]!Module3.MidInsert">
                <anchor moveWithCells="1" sizeWithCells="1">
                  <from>
                    <xdr:col>0</xdr:col>
                    <xdr:colOff>57150</xdr:colOff>
                    <xdr:row>18</xdr:row>
                    <xdr:rowOff>44450</xdr:rowOff>
                  </from>
                  <to>
                    <xdr:col>0</xdr:col>
                    <xdr:colOff>1416050</xdr:colOff>
                    <xdr:row>18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utton 7">
              <controlPr defaultSize="0" print="0" autoFill="0" autoPict="0" macro="[0]!Module3.FinalInsert">
                <anchor moveWithCells="1" sizeWithCells="1">
                  <from>
                    <xdr:col>0</xdr:col>
                    <xdr:colOff>57150</xdr:colOff>
                    <xdr:row>21</xdr:row>
                    <xdr:rowOff>44450</xdr:rowOff>
                  </from>
                  <to>
                    <xdr:col>0</xdr:col>
                    <xdr:colOff>1416050</xdr:colOff>
                    <xdr:row>21</xdr:row>
                    <xdr:rowOff>120650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C22"/>
  <sheetViews>
    <sheetView workbookViewId="0">
      <selection activeCell="C12" sqref="C12"/>
    </sheetView>
  </sheetViews>
  <sheetFormatPr defaultRowHeight="12.5" x14ac:dyDescent="0.25"/>
  <cols>
    <col min="2" max="2" width="10.54296875" customWidth="1"/>
    <col min="3" max="3" width="10" customWidth="1"/>
  </cols>
  <sheetData>
    <row r="1" spans="2:3" ht="13" thickBot="1" x14ac:dyDescent="0.3"/>
    <row r="2" spans="2:3" ht="14" thickTop="1" thickBot="1" x14ac:dyDescent="0.35">
      <c r="B2" s="65" t="s">
        <v>11</v>
      </c>
      <c r="C2" s="66"/>
    </row>
    <row r="3" spans="2:3" ht="13" thickTop="1" x14ac:dyDescent="0.25">
      <c r="B3" s="6" t="s">
        <v>6</v>
      </c>
      <c r="C3" s="59">
        <v>0.9</v>
      </c>
    </row>
    <row r="4" spans="2:3" x14ac:dyDescent="0.25">
      <c r="B4" s="3" t="s">
        <v>7</v>
      </c>
      <c r="C4" s="54">
        <v>0.8</v>
      </c>
    </row>
    <row r="5" spans="2:3" x14ac:dyDescent="0.25">
      <c r="B5" s="3" t="s">
        <v>8</v>
      </c>
      <c r="C5" s="54">
        <v>0.7</v>
      </c>
    </row>
    <row r="6" spans="2:3" x14ac:dyDescent="0.25">
      <c r="B6" s="3" t="s">
        <v>9</v>
      </c>
      <c r="C6" s="54">
        <v>0.6</v>
      </c>
    </row>
    <row r="7" spans="2:3" ht="13" thickBot="1" x14ac:dyDescent="0.3">
      <c r="B7" s="5" t="s">
        <v>10</v>
      </c>
      <c r="C7" s="55">
        <v>0.5</v>
      </c>
    </row>
    <row r="8" spans="2:3" ht="13.5" thickTop="1" thickBot="1" x14ac:dyDescent="0.3"/>
    <row r="9" spans="2:3" ht="14" thickTop="1" thickBot="1" x14ac:dyDescent="0.35">
      <c r="B9" s="67" t="s">
        <v>15</v>
      </c>
      <c r="C9" s="68"/>
    </row>
    <row r="10" spans="2:3" ht="13" thickTop="1" x14ac:dyDescent="0.25">
      <c r="B10" s="9" t="s">
        <v>1</v>
      </c>
      <c r="C10" s="53">
        <v>0.1</v>
      </c>
    </row>
    <row r="11" spans="2:3" x14ac:dyDescent="0.25">
      <c r="B11" s="7" t="s">
        <v>5</v>
      </c>
      <c r="C11" s="54">
        <v>0.05</v>
      </c>
    </row>
    <row r="12" spans="2:3" x14ac:dyDescent="0.25">
      <c r="B12" s="7" t="s">
        <v>12</v>
      </c>
      <c r="C12" s="54">
        <v>0.05</v>
      </c>
    </row>
    <row r="13" spans="2:3" x14ac:dyDescent="0.25">
      <c r="B13" s="7" t="s">
        <v>13</v>
      </c>
      <c r="C13" s="54">
        <v>0.3</v>
      </c>
    </row>
    <row r="14" spans="2:3" x14ac:dyDescent="0.25">
      <c r="B14" s="7" t="s">
        <v>16</v>
      </c>
      <c r="C14" s="54">
        <v>0.25</v>
      </c>
    </row>
    <row r="15" spans="2:3" ht="13" thickBot="1" x14ac:dyDescent="0.3">
      <c r="B15" s="8" t="s">
        <v>14</v>
      </c>
      <c r="C15" s="55">
        <v>0.25</v>
      </c>
    </row>
    <row r="16" spans="2:3" ht="13" thickTop="1" x14ac:dyDescent="0.25"/>
    <row r="17" spans="2:2" x14ac:dyDescent="0.25">
      <c r="B17" s="45" t="s">
        <v>24</v>
      </c>
    </row>
    <row r="18" spans="2:2" x14ac:dyDescent="0.25">
      <c r="B18" s="45" t="s">
        <v>23</v>
      </c>
    </row>
    <row r="21" spans="2:2" x14ac:dyDescent="0.25">
      <c r="B21" t="s">
        <v>26</v>
      </c>
    </row>
    <row r="22" spans="2:2" x14ac:dyDescent="0.25">
      <c r="B22" t="s">
        <v>27</v>
      </c>
    </row>
  </sheetData>
  <mergeCells count="2">
    <mergeCell ref="B2:C2"/>
    <mergeCell ref="B9:C9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GradeSheet</vt:lpstr>
      <vt:lpstr>Scales</vt:lpstr>
      <vt:lpstr>FinalInsert</vt:lpstr>
      <vt:lpstr>FinalRangeAvailable</vt:lpstr>
      <vt:lpstr>FinalRangeScore</vt:lpstr>
      <vt:lpstr>FinalScale</vt:lpstr>
      <vt:lpstr>FinalTotalA</vt:lpstr>
      <vt:lpstr>FinalTotalS</vt:lpstr>
      <vt:lpstr>HWInsert</vt:lpstr>
      <vt:lpstr>HWRangeAvailable</vt:lpstr>
      <vt:lpstr>HWRangeScore</vt:lpstr>
      <vt:lpstr>HWScale</vt:lpstr>
      <vt:lpstr>HWTotalA</vt:lpstr>
      <vt:lpstr>HWTotalS</vt:lpstr>
      <vt:lpstr>LabInsert</vt:lpstr>
      <vt:lpstr>LabRangeAvailable</vt:lpstr>
      <vt:lpstr>LabRangeScore</vt:lpstr>
      <vt:lpstr>LabScale</vt:lpstr>
      <vt:lpstr>LabTotalA</vt:lpstr>
      <vt:lpstr>LabTotalS</vt:lpstr>
      <vt:lpstr>MidInsert</vt:lpstr>
      <vt:lpstr>MidRangeAvailable</vt:lpstr>
      <vt:lpstr>MidRangeScore</vt:lpstr>
      <vt:lpstr>MidScale</vt:lpstr>
      <vt:lpstr>MidTotalA</vt:lpstr>
      <vt:lpstr>MidTotalS</vt:lpstr>
      <vt:lpstr>QuizInsert</vt:lpstr>
      <vt:lpstr>QuizRangeAvailable</vt:lpstr>
      <vt:lpstr>QuizRangeScore</vt:lpstr>
      <vt:lpstr>QuizScale</vt:lpstr>
      <vt:lpstr>QuizTotalA</vt:lpstr>
      <vt:lpstr>QuizTotalS</vt:lpstr>
      <vt:lpstr>TestInsert</vt:lpstr>
      <vt:lpstr>TestRangeAvailable</vt:lpstr>
      <vt:lpstr>TestRangeScore</vt:lpstr>
      <vt:lpstr>TestScale</vt:lpstr>
      <vt:lpstr>TestTotalA</vt:lpstr>
      <vt:lpstr>TestTotalS</vt:lpstr>
    </vt:vector>
  </TitlesOfParts>
  <Company>EyeSpy Technologies </Company>
  <LinksUpToDate>false</LinksUpToDate>
  <SharedDoc>false</SharedDoc>
  <HyperlinkBase>www.eyespytechnologies.net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Grades SpreadSheet</dc:title>
  <dc:creator>Scott Bartuska</dc:creator>
  <dc:description>Copyright 2004 EyeSpy Technologies </dc:description>
  <cp:lastModifiedBy>Carina Negreanu</cp:lastModifiedBy>
  <cp:revision>1</cp:revision>
  <dcterms:created xsi:type="dcterms:W3CDTF">2004-02-03T20:43:03Z</dcterms:created>
  <dcterms:modified xsi:type="dcterms:W3CDTF">2020-01-27T11:40:17Z</dcterms:modified>
</cp:coreProperties>
</file>