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48ED5E2-EAD3-4611-A8FC-30E4D26343BE}" xr6:coauthVersionLast="45" xr6:coauthVersionMax="45" xr10:uidLastSave="{00000000-0000-0000-0000-000000000000}"/>
  <bookViews>
    <workbookView xWindow="380" yWindow="380" windowWidth="28800" windowHeight="15460"/>
  </bookViews>
  <sheets>
    <sheet name="hmwk4" sheetId="1" r:id="rId1"/>
  </sheets>
  <externalReferences>
    <externalReference r:id="rId2"/>
  </externalReferences>
  <definedNames>
    <definedName name="_xlnm.Print_Titles" localSheetId="0">hmwk4!$4:$4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" i="1" l="1"/>
  <c r="AB5" i="1" s="1"/>
  <c r="AD5" i="1" s="1"/>
  <c r="AA5" i="1"/>
  <c r="Y5" i="1"/>
  <c r="AC5" i="1" s="1"/>
  <c r="AE5" i="1" s="1"/>
  <c r="AJ5" i="1" s="1"/>
  <c r="AP5" i="1" s="1"/>
  <c r="AG45" i="1"/>
  <c r="AG35" i="1"/>
  <c r="AG25" i="1"/>
  <c r="AG15" i="1"/>
  <c r="AG5" i="1"/>
  <c r="U1" i="1"/>
  <c r="V135" i="1" s="1"/>
  <c r="S2" i="1"/>
  <c r="S1" i="1"/>
  <c r="T125" i="1" s="1"/>
  <c r="U125" i="1" s="1"/>
  <c r="S3" i="1"/>
  <c r="T35" i="1"/>
  <c r="U35" i="1"/>
  <c r="V35" i="1" s="1"/>
  <c r="AH35" i="1" s="1"/>
  <c r="AN8" i="1" s="1"/>
  <c r="T25" i="1"/>
  <c r="U25" i="1"/>
  <c r="V25" i="1" s="1"/>
  <c r="AH25" i="1" s="1"/>
  <c r="AN7" i="1" s="1"/>
  <c r="Y165" i="1"/>
  <c r="AA165" i="1"/>
  <c r="AC165" i="1"/>
  <c r="X165" i="1"/>
  <c r="Z165" i="1"/>
  <c r="AB165" i="1" s="1"/>
  <c r="Y155" i="1"/>
  <c r="AA155" i="1"/>
  <c r="AC155" i="1"/>
  <c r="X155" i="1"/>
  <c r="Z155" i="1"/>
  <c r="AB155" i="1"/>
  <c r="AE155" i="1"/>
  <c r="AD155" i="1"/>
  <c r="Y145" i="1"/>
  <c r="AC145" i="1" s="1"/>
  <c r="AA145" i="1"/>
  <c r="X145" i="1"/>
  <c r="AB145" i="1" s="1"/>
  <c r="AD145" i="1" s="1"/>
  <c r="Z145" i="1"/>
  <c r="Y135" i="1"/>
  <c r="AA135" i="1"/>
  <c r="AC135" i="1"/>
  <c r="X135" i="1"/>
  <c r="Z135" i="1"/>
  <c r="AB135" i="1" s="1"/>
  <c r="Y125" i="1"/>
  <c r="AA125" i="1"/>
  <c r="AC125" i="1"/>
  <c r="X125" i="1"/>
  <c r="Z125" i="1"/>
  <c r="AB125" i="1"/>
  <c r="AE125" i="1" s="1"/>
  <c r="AD125" i="1"/>
  <c r="Y115" i="1"/>
  <c r="AA115" i="1"/>
  <c r="AC115" i="1"/>
  <c r="X115" i="1"/>
  <c r="Z115" i="1"/>
  <c r="AB115" i="1" s="1"/>
  <c r="Y105" i="1"/>
  <c r="AA105" i="1"/>
  <c r="AC105" i="1"/>
  <c r="X105" i="1"/>
  <c r="Z105" i="1"/>
  <c r="AB105" i="1"/>
  <c r="AE105" i="1"/>
  <c r="AD105" i="1"/>
  <c r="Y95" i="1"/>
  <c r="AC95" i="1" s="1"/>
  <c r="AE95" i="1" s="1"/>
  <c r="AA95" i="1"/>
  <c r="X95" i="1"/>
  <c r="AB95" i="1" s="1"/>
  <c r="AD95" i="1" s="1"/>
  <c r="Z95" i="1"/>
  <c r="Y85" i="1"/>
  <c r="AC85" i="1" s="1"/>
  <c r="AE85" i="1" s="1"/>
  <c r="AA85" i="1"/>
  <c r="X85" i="1"/>
  <c r="Z85" i="1"/>
  <c r="AB85" i="1"/>
  <c r="AD85" i="1"/>
  <c r="Y75" i="1"/>
  <c r="AA75" i="1"/>
  <c r="AC75" i="1"/>
  <c r="X75" i="1"/>
  <c r="Z75" i="1"/>
  <c r="AB75" i="1"/>
  <c r="AE75" i="1" s="1"/>
  <c r="AD75" i="1"/>
  <c r="Y65" i="1"/>
  <c r="AA65" i="1"/>
  <c r="AC65" i="1"/>
  <c r="X65" i="1"/>
  <c r="Z65" i="1"/>
  <c r="AB65" i="1"/>
  <c r="AE65" i="1" s="1"/>
  <c r="Y55" i="1"/>
  <c r="AA55" i="1"/>
  <c r="AC55" i="1"/>
  <c r="X55" i="1"/>
  <c r="Z55" i="1"/>
  <c r="AB55" i="1"/>
  <c r="AE55" i="1"/>
  <c r="AD55" i="1"/>
  <c r="Y45" i="1"/>
  <c r="AC45" i="1" s="1"/>
  <c r="AA45" i="1"/>
  <c r="X45" i="1"/>
  <c r="AB45" i="1" s="1"/>
  <c r="AD45" i="1" s="1"/>
  <c r="Z45" i="1"/>
  <c r="Y35" i="1"/>
  <c r="AC35" i="1" s="1"/>
  <c r="AE35" i="1" s="1"/>
  <c r="AJ35" i="1" s="1"/>
  <c r="AP8" i="1" s="1"/>
  <c r="AA35" i="1"/>
  <c r="X35" i="1"/>
  <c r="Z35" i="1"/>
  <c r="AB35" i="1"/>
  <c r="AD35" i="1"/>
  <c r="AK35" i="1" s="1"/>
  <c r="Y25" i="1"/>
  <c r="AA25" i="1"/>
  <c r="AC25" i="1"/>
  <c r="X25" i="1"/>
  <c r="Z25" i="1"/>
  <c r="AB25" i="1"/>
  <c r="AE25" i="1" s="1"/>
  <c r="AJ25" i="1" s="1"/>
  <c r="AP7" i="1" s="1"/>
  <c r="AD25" i="1"/>
  <c r="Y15" i="1"/>
  <c r="AA15" i="1"/>
  <c r="AC15" i="1"/>
  <c r="X15" i="1"/>
  <c r="Z15" i="1"/>
  <c r="AB15" i="1"/>
  <c r="AE15" i="1" s="1"/>
  <c r="AJ15" i="1" s="1"/>
  <c r="AP6" i="1" s="1"/>
  <c r="Z5" i="1"/>
  <c r="T145" i="1"/>
  <c r="U145" i="1"/>
  <c r="V145" i="1"/>
  <c r="T135" i="1"/>
  <c r="U135" i="1"/>
  <c r="T75" i="1"/>
  <c r="U75" i="1"/>
  <c r="V75" i="1" s="1"/>
  <c r="T65" i="1"/>
  <c r="U65" i="1" s="1"/>
  <c r="W165" i="1"/>
  <c r="W155" i="1"/>
  <c r="W145" i="1"/>
  <c r="W135" i="1"/>
  <c r="W125" i="1"/>
  <c r="W115" i="1"/>
  <c r="W105" i="1"/>
  <c r="W95" i="1"/>
  <c r="W85" i="1"/>
  <c r="W75" i="1"/>
  <c r="W65" i="1"/>
  <c r="W55" i="1"/>
  <c r="W45" i="1"/>
  <c r="W35" i="1"/>
  <c r="W25" i="1"/>
  <c r="W15" i="1"/>
  <c r="W5" i="1"/>
  <c r="R165" i="1"/>
  <c r="R155" i="1"/>
  <c r="R145" i="1"/>
  <c r="R135" i="1"/>
  <c r="R125" i="1"/>
  <c r="R115" i="1"/>
  <c r="R105" i="1"/>
  <c r="R95" i="1"/>
  <c r="R85" i="1"/>
  <c r="R75" i="1"/>
  <c r="R65" i="1"/>
  <c r="R55" i="1"/>
  <c r="AE45" i="1" l="1"/>
  <c r="AJ45" i="1" s="1"/>
  <c r="AP9" i="1" s="1"/>
  <c r="AE115" i="1"/>
  <c r="AD115" i="1"/>
  <c r="AE145" i="1"/>
  <c r="AE135" i="1"/>
  <c r="AD135" i="1"/>
  <c r="AI45" i="1"/>
  <c r="AO9" i="1" s="1"/>
  <c r="AK25" i="1"/>
  <c r="AE165" i="1"/>
  <c r="AD165" i="1"/>
  <c r="AI5" i="1"/>
  <c r="AO5" i="1" s="1"/>
  <c r="V45" i="1"/>
  <c r="AH45" i="1" s="1"/>
  <c r="AN9" i="1" s="1"/>
  <c r="T5" i="1"/>
  <c r="U5" i="1" s="1"/>
  <c r="V5" i="1" s="1"/>
  <c r="AH5" i="1" s="1"/>
  <c r="AN5" i="1" s="1"/>
  <c r="V165" i="1"/>
  <c r="T155" i="1"/>
  <c r="U155" i="1" s="1"/>
  <c r="V155" i="1" s="1"/>
  <c r="T95" i="1"/>
  <c r="U95" i="1" s="1"/>
  <c r="V95" i="1" s="1"/>
  <c r="T15" i="1"/>
  <c r="U15" i="1" s="1"/>
  <c r="V15" i="1" s="1"/>
  <c r="AH15" i="1" s="1"/>
  <c r="AN6" i="1" s="1"/>
  <c r="T105" i="1"/>
  <c r="U105" i="1" s="1"/>
  <c r="AD15" i="1"/>
  <c r="AD65" i="1"/>
  <c r="T165" i="1"/>
  <c r="U165" i="1" s="1"/>
  <c r="AI25" i="1"/>
  <c r="AO7" i="1" s="1"/>
  <c r="T85" i="1"/>
  <c r="U85" i="1" s="1"/>
  <c r="V85" i="1" s="1"/>
  <c r="V125" i="1"/>
  <c r="AI35" i="1"/>
  <c r="AO8" i="1" s="1"/>
  <c r="T55" i="1"/>
  <c r="U55" i="1" s="1"/>
  <c r="V55" i="1" s="1"/>
  <c r="T45" i="1"/>
  <c r="U45" i="1" s="1"/>
  <c r="T115" i="1"/>
  <c r="U115" i="1" s="1"/>
  <c r="V115" i="1" s="1"/>
  <c r="V65" i="1"/>
  <c r="V105" i="1"/>
  <c r="AK5" i="1" l="1"/>
  <c r="AK45" i="1"/>
  <c r="AK15" i="1"/>
  <c r="AI15" i="1"/>
  <c r="AO6" i="1" s="1"/>
</calcChain>
</file>

<file path=xl/sharedStrings.xml><?xml version="1.0" encoding="utf-8"?>
<sst xmlns="http://schemas.openxmlformats.org/spreadsheetml/2006/main" count="403" uniqueCount="62">
  <si>
    <t>Photometry Logsheets</t>
  </si>
  <si>
    <t>Date</t>
  </si>
  <si>
    <t>Observer</t>
  </si>
  <si>
    <t>Latitude</t>
  </si>
  <si>
    <t>Telescope</t>
  </si>
  <si>
    <t>Obj+sky</t>
  </si>
  <si>
    <t>Sky</t>
  </si>
  <si>
    <t>Obj</t>
  </si>
  <si>
    <t>Sidereal Time @ 0UT</t>
  </si>
  <si>
    <t>Object</t>
  </si>
  <si>
    <t>a (2000)</t>
  </si>
  <si>
    <t>d (2000)</t>
  </si>
  <si>
    <t>UT</t>
  </si>
  <si>
    <t>Exp</t>
  </si>
  <si>
    <t>Filt</t>
  </si>
  <si>
    <t>Gain</t>
  </si>
  <si>
    <t>Counts</t>
  </si>
  <si>
    <t>Comments</t>
  </si>
  <si>
    <t>UT Mid</t>
  </si>
  <si>
    <t>ST</t>
  </si>
  <si>
    <t>HA</t>
  </si>
  <si>
    <t>filt</t>
  </si>
  <si>
    <t>cnts/s</t>
  </si>
  <si>
    <t>s</t>
  </si>
  <si>
    <t>mag</t>
  </si>
  <si>
    <t>V</t>
  </si>
  <si>
    <t>c</t>
  </si>
  <si>
    <r>
      <t>b</t>
    </r>
    <r>
      <rPr>
        <sz val="10"/>
        <rFont val="New Century Schlbk"/>
      </rPr>
      <t xml:space="preserve"> CMi</t>
    </r>
  </si>
  <si>
    <t>True Mag: V = 2.886</t>
  </si>
  <si>
    <t>Homework 4</t>
  </si>
  <si>
    <t>C-8 + OPTEC SSP-3 Photom</t>
  </si>
  <si>
    <r>
      <t>b</t>
    </r>
    <r>
      <rPr>
        <sz val="10"/>
        <rFont val="New Century Schlbk"/>
      </rPr>
      <t xml:space="preserve"> Cmi = HR2845</t>
    </r>
  </si>
  <si>
    <r>
      <t>p</t>
    </r>
    <r>
      <rPr>
        <sz val="10"/>
        <rFont val="New Century Schlbk"/>
      </rPr>
      <t>3 Ori=HR 1543</t>
    </r>
  </si>
  <si>
    <t>True Mag: V = 3.19</t>
  </si>
  <si>
    <r>
      <t>p</t>
    </r>
    <r>
      <rPr>
        <sz val="10"/>
        <rFont val="New Century Schlbk"/>
      </rPr>
      <t>3 Ori</t>
    </r>
  </si>
  <si>
    <t>True Mag: V = 3.61</t>
  </si>
  <si>
    <r>
      <t>l</t>
    </r>
    <r>
      <rPr>
        <sz val="10"/>
        <rFont val="New Century Schlbk"/>
      </rPr>
      <t xml:space="preserve"> Hya = HR 3994</t>
    </r>
  </si>
  <si>
    <r>
      <t>l</t>
    </r>
    <r>
      <rPr>
        <sz val="10"/>
        <rFont val="New Century Schlbk"/>
      </rPr>
      <t xml:space="preserve"> Hya</t>
    </r>
  </si>
  <si>
    <t>30 Mon = HR 3314</t>
  </si>
  <si>
    <t xml:space="preserve">30 Mon  </t>
  </si>
  <si>
    <t>True Mag: V = 3.90</t>
  </si>
  <si>
    <t>35 Tau = HR 1239</t>
  </si>
  <si>
    <t xml:space="preserve">35 Tau  </t>
  </si>
  <si>
    <t>True Mag: V = 3.408</t>
  </si>
  <si>
    <t>R CMa</t>
  </si>
  <si>
    <t>35 Tau</t>
  </si>
  <si>
    <t>55 Comp</t>
  </si>
  <si>
    <t>R</t>
  </si>
  <si>
    <t>Latitude/Longitude</t>
  </si>
  <si>
    <t>N</t>
  </si>
  <si>
    <t>West</t>
  </si>
  <si>
    <t>W Longitude</t>
  </si>
  <si>
    <t>GMST</t>
  </si>
  <si>
    <t>rad/deg</t>
  </si>
  <si>
    <t>mT</t>
  </si>
  <si>
    <t>off</t>
  </si>
  <si>
    <t>mi</t>
  </si>
  <si>
    <t>Linear fit excluding point at X=1.81</t>
  </si>
  <si>
    <t xml:space="preserve">0.14 +/- 0.04 </t>
  </si>
  <si>
    <t>mag/airmass</t>
  </si>
  <si>
    <t>V filter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</si>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</sst>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0"/>
      <name val="Geneva"/>
    </font>
    <font>
      <b/>
      <sz val="10"/>
      <name val="Geneva"/>
    </font>
    <font>
      <b/>
      <sz val="10"/>
      <name val="New Century Schlbk"/>
    </font>
    <font>
      <b/>
      <sz val="10"/>
      <name val="Symbol"/>
      <family val="1"/>
      <charset val="2"/>
    </font>
    <font>
      <sz val="8"/>
      <name val="Geneva"/>
    </font>
    <font>
      <sz val="10"/>
      <name val="New Century Schlbk"/>
    </font>
    <font>
      <sz val="10"/>
      <name val="Symbol"/>
      <family val="1"/>
      <charset val="2"/>
    </font>
    <font>
      <sz val="10"/>
      <name val="Genev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15" fontId="2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21" fontId="5" fillId="0" borderId="0" xfId="0" applyNumberFormat="1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21" fontId="7" fillId="0" borderId="0" xfId="0" applyNumberFormat="1" applyFont="1" applyAlignment="1">
      <alignment horizontal="center"/>
    </xf>
    <xf numFmtId="2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21" fontId="7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21" fontId="5" fillId="0" borderId="1" xfId="0" applyNumberFormat="1" applyFont="1" applyBorder="1" applyAlignment="1">
      <alignment horizontal="center"/>
    </xf>
    <xf numFmtId="0" fontId="5" fillId="0" borderId="1" xfId="0" applyFont="1" applyBorder="1"/>
    <xf numFmtId="21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0" xfId="0" applyBorder="1" applyAlignment="1">
      <alignment horizontal="center"/>
    </xf>
    <xf numFmtId="21" fontId="0" fillId="0" borderId="0" xfId="0" applyNumberForma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1" fillId="0" borderId="0" xfId="0" applyFont="1"/>
    <xf numFmtId="2" fontId="2" fillId="0" borderId="0" xfId="0" applyNumberFormat="1" applyFont="1"/>
    <xf numFmtId="2" fontId="2" fillId="0" borderId="1" xfId="0" applyNumberFormat="1" applyFont="1" applyBorder="1"/>
    <xf numFmtId="2" fontId="5" fillId="0" borderId="0" xfId="0" applyNumberFormat="1" applyFont="1"/>
    <xf numFmtId="2" fontId="7" fillId="0" borderId="0" xfId="0" applyNumberFormat="1" applyFont="1"/>
    <xf numFmtId="2" fontId="7" fillId="0" borderId="1" xfId="0" applyNumberFormat="1" applyFont="1" applyBorder="1"/>
    <xf numFmtId="2" fontId="5" fillId="0" borderId="1" xfId="0" applyNumberFormat="1" applyFont="1" applyBorder="1"/>
    <xf numFmtId="2" fontId="0" fillId="0" borderId="0" xfId="0" applyNumberFormat="1"/>
    <xf numFmtId="2" fontId="0" fillId="0" borderId="1" xfId="0" applyNumberFormat="1" applyBorder="1"/>
    <xf numFmtId="2" fontId="0" fillId="0" borderId="0" xfId="0" applyNumberFormat="1" applyBorder="1"/>
    <xf numFmtId="2" fontId="5" fillId="0" borderId="0" xfId="0" applyNumberFormat="1" applyFont="1" applyBorder="1"/>
    <xf numFmtId="2" fontId="2" fillId="0" borderId="0" xfId="0" applyNumberFormat="1" applyFont="1" applyBorder="1"/>
    <xf numFmtId="2" fontId="3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Extinction</a:t>
            </a:r>
          </a:p>
        </c:rich>
      </c:tx>
      <c:layout>
        <c:manualLayout>
          <c:xMode val="edge"/>
          <c:yMode val="edge"/>
          <c:x val="0.42045343954688813"/>
          <c:y val="3.76118053816475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783175269144725"/>
          <c:y val="0.21460853658940052"/>
          <c:w val="0.64943885123857803"/>
          <c:h val="0.5597521624445188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hmwk4!$AN$5:$AN$9</c:f>
              <c:numCache>
                <c:formatCode>0.00</c:formatCode>
                <c:ptCount val="5"/>
                <c:pt idx="0">
                  <c:v>1.676117994075214</c:v>
                </c:pt>
                <c:pt idx="1">
                  <c:v>1.1388812072769905</c:v>
                </c:pt>
                <c:pt idx="2">
                  <c:v>1.0314982846613709</c:v>
                </c:pt>
                <c:pt idx="3">
                  <c:v>1.5613173287686128</c:v>
                </c:pt>
                <c:pt idx="4">
                  <c:v>2.2946462002043466</c:v>
                </c:pt>
              </c:numCache>
            </c:numRef>
          </c:xVal>
          <c:yVal>
            <c:numRef>
              <c:f>hmwk4!$AO$5:$AO$9</c:f>
              <c:numCache>
                <c:formatCode>0.00</c:formatCode>
                <c:ptCount val="5"/>
                <c:pt idx="0">
                  <c:v>-3.8647824342957415</c:v>
                </c:pt>
                <c:pt idx="1">
                  <c:v>-4.014650211040335</c:v>
                </c:pt>
                <c:pt idx="2">
                  <c:v>-4.0416220523570132</c:v>
                </c:pt>
                <c:pt idx="3">
                  <c:v>-3.3939076456751676</c:v>
                </c:pt>
                <c:pt idx="4">
                  <c:v>-3.7141231937569619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F6-4C13-961F-067741E64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6915551"/>
        <c:axId val="1"/>
      </c:scatterChart>
      <c:valAx>
        <c:axId val="876915551"/>
        <c:scaling>
          <c:orientation val="minMax"/>
          <c:min val="1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Airmass</a:t>
                </a:r>
              </a:p>
            </c:rich>
          </c:tx>
          <c:layout>
            <c:manualLayout>
              <c:xMode val="edge"/>
              <c:yMode val="edge"/>
              <c:x val="0.42950935978328264"/>
              <c:y val="0.8739213603382805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midCat"/>
      </c:valAx>
      <c:valAx>
        <c:axId val="1"/>
        <c:scaling>
          <c:orientation val="maxMin"/>
          <c:max val="-3.65"/>
          <c:min val="-4.0999999999999996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Norm Mag</a:t>
                </a:r>
              </a:p>
            </c:rich>
          </c:tx>
          <c:layout>
            <c:manualLayout>
              <c:xMode val="edge"/>
              <c:yMode val="edge"/>
              <c:x val="2.8461463600097044E-2"/>
              <c:y val="0.38054297209666899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76915551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5643131378473836"/>
          <c:y val="0.46240396028025471"/>
          <c:w val="0.1293702890913502"/>
          <c:h val="6.637377420290738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V Extinction, MKO</a:t>
            </a:r>
          </a:p>
        </c:rich>
      </c:tx>
      <c:layout>
        <c:manualLayout>
          <c:xMode val="edge"/>
          <c:yMode val="edge"/>
          <c:x val="0.36001185144861275"/>
          <c:y val="3.345176283545212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613417213362776"/>
          <c:y val="0.1831043860466853"/>
          <c:w val="0.62840778371137784"/>
          <c:h val="0.6250197792939739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[1]coeffsumV!$A$1:$A$47</c:f>
              <c:numCache>
                <c:formatCode>General</c:formatCode>
                <c:ptCount val="47"/>
                <c:pt idx="0">
                  <c:v>47124</c:v>
                </c:pt>
                <c:pt idx="1">
                  <c:v>47125</c:v>
                </c:pt>
                <c:pt idx="2">
                  <c:v>47201</c:v>
                </c:pt>
                <c:pt idx="3">
                  <c:v>47202</c:v>
                </c:pt>
                <c:pt idx="4">
                  <c:v>47203</c:v>
                </c:pt>
                <c:pt idx="5">
                  <c:v>47204</c:v>
                </c:pt>
                <c:pt idx="6">
                  <c:v>47205</c:v>
                </c:pt>
                <c:pt idx="7">
                  <c:v>47206</c:v>
                </c:pt>
                <c:pt idx="8">
                  <c:v>47207</c:v>
                </c:pt>
                <c:pt idx="9">
                  <c:v>47266</c:v>
                </c:pt>
                <c:pt idx="10">
                  <c:v>47504</c:v>
                </c:pt>
                <c:pt idx="11">
                  <c:v>47505</c:v>
                </c:pt>
                <c:pt idx="12">
                  <c:v>47506</c:v>
                </c:pt>
                <c:pt idx="13">
                  <c:v>48242</c:v>
                </c:pt>
                <c:pt idx="14">
                  <c:v>48301</c:v>
                </c:pt>
                <c:pt idx="15">
                  <c:v>48302</c:v>
                </c:pt>
                <c:pt idx="16">
                  <c:v>48625</c:v>
                </c:pt>
                <c:pt idx="17">
                  <c:v>48626</c:v>
                </c:pt>
                <c:pt idx="18">
                  <c:v>48627</c:v>
                </c:pt>
                <c:pt idx="19">
                  <c:v>49721</c:v>
                </c:pt>
                <c:pt idx="20">
                  <c:v>48836</c:v>
                </c:pt>
                <c:pt idx="21">
                  <c:v>48838</c:v>
                </c:pt>
                <c:pt idx="22">
                  <c:v>49011</c:v>
                </c:pt>
                <c:pt idx="23">
                  <c:v>49012</c:v>
                </c:pt>
                <c:pt idx="24">
                  <c:v>49368</c:v>
                </c:pt>
                <c:pt idx="25">
                  <c:v>49369</c:v>
                </c:pt>
                <c:pt idx="26">
                  <c:v>49370</c:v>
                </c:pt>
                <c:pt idx="27">
                  <c:v>50248</c:v>
                </c:pt>
                <c:pt idx="28">
                  <c:v>50908</c:v>
                </c:pt>
                <c:pt idx="29">
                  <c:v>50909</c:v>
                </c:pt>
                <c:pt idx="30">
                  <c:v>50910</c:v>
                </c:pt>
                <c:pt idx="31">
                  <c:v>51082</c:v>
                </c:pt>
                <c:pt idx="32">
                  <c:v>51199</c:v>
                </c:pt>
                <c:pt idx="33">
                  <c:v>51777</c:v>
                </c:pt>
                <c:pt idx="34">
                  <c:v>51814</c:v>
                </c:pt>
                <c:pt idx="35">
                  <c:v>51816</c:v>
                </c:pt>
                <c:pt idx="36">
                  <c:v>51817</c:v>
                </c:pt>
                <c:pt idx="37">
                  <c:v>51818</c:v>
                </c:pt>
                <c:pt idx="38">
                  <c:v>51826</c:v>
                </c:pt>
                <c:pt idx="39">
                  <c:v>51826</c:v>
                </c:pt>
                <c:pt idx="40">
                  <c:v>52545</c:v>
                </c:pt>
                <c:pt idx="41">
                  <c:v>52547</c:v>
                </c:pt>
                <c:pt idx="42">
                  <c:v>52577</c:v>
                </c:pt>
                <c:pt idx="43">
                  <c:v>52578</c:v>
                </c:pt>
                <c:pt idx="44">
                  <c:v>52608</c:v>
                </c:pt>
                <c:pt idx="45">
                  <c:v>52609</c:v>
                </c:pt>
                <c:pt idx="46">
                  <c:v>52610</c:v>
                </c:pt>
              </c:numCache>
            </c:numRef>
          </c:xVal>
          <c:yVal>
            <c:numRef>
              <c:f>[1]coeffsumV!$B$1:$B$47</c:f>
              <c:numCache>
                <c:formatCode>General</c:formatCode>
                <c:ptCount val="47"/>
                <c:pt idx="0">
                  <c:v>9.5000000000000001E-2</c:v>
                </c:pt>
                <c:pt idx="1">
                  <c:v>0.122</c:v>
                </c:pt>
                <c:pt idx="2">
                  <c:v>0.104</c:v>
                </c:pt>
                <c:pt idx="3">
                  <c:v>0.104</c:v>
                </c:pt>
                <c:pt idx="4">
                  <c:v>0.10100000000000001</c:v>
                </c:pt>
                <c:pt idx="5">
                  <c:v>0.10100000000000001</c:v>
                </c:pt>
                <c:pt idx="6">
                  <c:v>0.08</c:v>
                </c:pt>
                <c:pt idx="7">
                  <c:v>9.2999999999999999E-2</c:v>
                </c:pt>
                <c:pt idx="8">
                  <c:v>8.3000000000000004E-2</c:v>
                </c:pt>
                <c:pt idx="9">
                  <c:v>7.9000000000000001E-2</c:v>
                </c:pt>
                <c:pt idx="10">
                  <c:v>5.8999999999999997E-2</c:v>
                </c:pt>
                <c:pt idx="11">
                  <c:v>8.6999999999999994E-2</c:v>
                </c:pt>
                <c:pt idx="12">
                  <c:v>0.107</c:v>
                </c:pt>
                <c:pt idx="13">
                  <c:v>0.11799999999999999</c:v>
                </c:pt>
                <c:pt idx="14">
                  <c:v>0.12</c:v>
                </c:pt>
                <c:pt idx="15">
                  <c:v>0.123</c:v>
                </c:pt>
                <c:pt idx="16">
                  <c:v>0.159</c:v>
                </c:pt>
                <c:pt idx="17">
                  <c:v>0.20200000000000001</c:v>
                </c:pt>
                <c:pt idx="18">
                  <c:v>0.21199999999999999</c:v>
                </c:pt>
                <c:pt idx="19">
                  <c:v>8.7999999999999995E-2</c:v>
                </c:pt>
                <c:pt idx="20">
                  <c:v>0.185</c:v>
                </c:pt>
                <c:pt idx="21">
                  <c:v>0.217</c:v>
                </c:pt>
                <c:pt idx="22">
                  <c:v>0.126</c:v>
                </c:pt>
                <c:pt idx="23">
                  <c:v>0.123</c:v>
                </c:pt>
                <c:pt idx="24">
                  <c:v>0.13600000000000001</c:v>
                </c:pt>
                <c:pt idx="25">
                  <c:v>0.16200000000000001</c:v>
                </c:pt>
                <c:pt idx="26">
                  <c:v>0.12</c:v>
                </c:pt>
                <c:pt idx="27">
                  <c:v>0.11799999999999999</c:v>
                </c:pt>
                <c:pt idx="28">
                  <c:v>0.124</c:v>
                </c:pt>
                <c:pt idx="29">
                  <c:v>0.111</c:v>
                </c:pt>
                <c:pt idx="30">
                  <c:v>0.108</c:v>
                </c:pt>
                <c:pt idx="31">
                  <c:v>0.29899999999999999</c:v>
                </c:pt>
                <c:pt idx="32">
                  <c:v>0.107</c:v>
                </c:pt>
                <c:pt idx="33">
                  <c:v>6.6000000000000003E-2</c:v>
                </c:pt>
                <c:pt idx="34">
                  <c:v>0.109</c:v>
                </c:pt>
                <c:pt idx="35">
                  <c:v>0.121</c:v>
                </c:pt>
                <c:pt idx="36">
                  <c:v>0.11</c:v>
                </c:pt>
                <c:pt idx="37">
                  <c:v>0.11</c:v>
                </c:pt>
                <c:pt idx="38">
                  <c:v>0.1</c:v>
                </c:pt>
                <c:pt idx="39">
                  <c:v>9.2999999999999999E-2</c:v>
                </c:pt>
                <c:pt idx="40">
                  <c:v>9.1999999999999998E-2</c:v>
                </c:pt>
                <c:pt idx="41">
                  <c:v>0.122</c:v>
                </c:pt>
                <c:pt idx="42">
                  <c:v>0.13400000000000001</c:v>
                </c:pt>
                <c:pt idx="43">
                  <c:v>0.151</c:v>
                </c:pt>
                <c:pt idx="44">
                  <c:v>0.126</c:v>
                </c:pt>
                <c:pt idx="45">
                  <c:v>0.115</c:v>
                </c:pt>
                <c:pt idx="46">
                  <c:v>0.109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D8-4653-9C25-8FF70B9342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696767"/>
        <c:axId val="1"/>
      </c:scatterChart>
      <c:valAx>
        <c:axId val="6986967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JD (1987-2002)</a:t>
                </a:r>
              </a:p>
            </c:rich>
          </c:tx>
          <c:layout>
            <c:manualLayout>
              <c:xMode val="edge"/>
              <c:yMode val="edge"/>
              <c:x val="0.36904440686130197"/>
              <c:y val="0.897915739267399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0.25"/>
          <c:min val="0.0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Mag/Airmass</a:t>
                </a:r>
              </a:p>
            </c:rich>
          </c:tx>
          <c:layout>
            <c:manualLayout>
              <c:xMode val="edge"/>
              <c:yMode val="edge"/>
              <c:x val="2.838803129702323E-2"/>
              <c:y val="0.3750118675763843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8696767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4776984373383002"/>
          <c:y val="0.46832467969632974"/>
          <c:w val="0.13806906130824934"/>
          <c:h val="5.6339811091287786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</xdr:colOff>
      <xdr:row>0</xdr:row>
      <xdr:rowOff>31750</xdr:rowOff>
    </xdr:from>
    <xdr:to>
      <xdr:col>16</xdr:col>
      <xdr:colOff>1847850</xdr:colOff>
      <xdr:row>0</xdr:row>
      <xdr:rowOff>234950</xdr:rowOff>
    </xdr:to>
    <xdr:sp macro="" textlink="">
      <xdr:nvSpPr>
        <xdr:cNvPr id="1025" name="Rectangle 1">
          <a:extLst>
            <a:ext uri="{FF2B5EF4-FFF2-40B4-BE49-F238E27FC236}">
              <a16:creationId xmlns:a16="http://schemas.microsoft.com/office/drawing/2014/main" id="{9640C307-D9F7-45CA-A35C-41F4384779A6}"/>
            </a:ext>
          </a:extLst>
        </xdr:cNvPr>
        <xdr:cNvSpPr>
          <a:spLocks noChangeArrowheads="1"/>
        </xdr:cNvSpPr>
      </xdr:nvSpPr>
      <xdr:spPr bwMode="auto">
        <a:xfrm>
          <a:off x="5791200" y="31750"/>
          <a:ext cx="1828800" cy="2032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31750</xdr:colOff>
      <xdr:row>44</xdr:row>
      <xdr:rowOff>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CA61FDAF-9E70-405F-BEBC-241787341C7D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3F37560C-D54F-4969-8259-3790778668DA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36" name="Line 12">
          <a:extLst>
            <a:ext uri="{FF2B5EF4-FFF2-40B4-BE49-F238E27FC236}">
              <a16:creationId xmlns:a16="http://schemas.microsoft.com/office/drawing/2014/main" id="{1EE23794-9DB6-41AF-BA10-AA633263B3A0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37" name="Line 13">
          <a:extLst>
            <a:ext uri="{FF2B5EF4-FFF2-40B4-BE49-F238E27FC236}">
              <a16:creationId xmlns:a16="http://schemas.microsoft.com/office/drawing/2014/main" id="{F7FE9C61-6038-4B3A-9769-2D255F8E639F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38" name="Line 14">
          <a:extLst>
            <a:ext uri="{FF2B5EF4-FFF2-40B4-BE49-F238E27FC236}">
              <a16:creationId xmlns:a16="http://schemas.microsoft.com/office/drawing/2014/main" id="{4C1DFDAB-6645-43DE-9738-1BDD7E7EBCE1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39" name="Line 15">
          <a:extLst>
            <a:ext uri="{FF2B5EF4-FFF2-40B4-BE49-F238E27FC236}">
              <a16:creationId xmlns:a16="http://schemas.microsoft.com/office/drawing/2014/main" id="{00FDFA5E-E552-414C-83F1-721C48DDDA55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40" name="Line 16">
          <a:extLst>
            <a:ext uri="{FF2B5EF4-FFF2-40B4-BE49-F238E27FC236}">
              <a16:creationId xmlns:a16="http://schemas.microsoft.com/office/drawing/2014/main" id="{C7B6D2C3-86D1-4B99-9FC4-E23B9123529B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41" name="Line 17">
          <a:extLst>
            <a:ext uri="{FF2B5EF4-FFF2-40B4-BE49-F238E27FC236}">
              <a16:creationId xmlns:a16="http://schemas.microsoft.com/office/drawing/2014/main" id="{C4DC0405-4A5D-4F30-B3D1-686EA7AACE9F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42" name="Line 18">
          <a:extLst>
            <a:ext uri="{FF2B5EF4-FFF2-40B4-BE49-F238E27FC236}">
              <a16:creationId xmlns:a16="http://schemas.microsoft.com/office/drawing/2014/main" id="{6201BCEB-CCE2-4C72-B78C-642E06F83529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43" name="Line 19">
          <a:extLst>
            <a:ext uri="{FF2B5EF4-FFF2-40B4-BE49-F238E27FC236}">
              <a16:creationId xmlns:a16="http://schemas.microsoft.com/office/drawing/2014/main" id="{FE0698C1-E86A-4B36-BAB4-BA77B4DCF4F4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44" name="Line 20">
          <a:extLst>
            <a:ext uri="{FF2B5EF4-FFF2-40B4-BE49-F238E27FC236}">
              <a16:creationId xmlns:a16="http://schemas.microsoft.com/office/drawing/2014/main" id="{158D2C16-2DEA-447A-944E-B57E1B8DE55D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45" name="Line 21">
          <a:extLst>
            <a:ext uri="{FF2B5EF4-FFF2-40B4-BE49-F238E27FC236}">
              <a16:creationId xmlns:a16="http://schemas.microsoft.com/office/drawing/2014/main" id="{217FC19A-B433-40A2-95C3-FC6424E41F0B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46" name="Line 22">
          <a:extLst>
            <a:ext uri="{FF2B5EF4-FFF2-40B4-BE49-F238E27FC236}">
              <a16:creationId xmlns:a16="http://schemas.microsoft.com/office/drawing/2014/main" id="{4EA4DBDC-8557-48ED-98AC-513E09B80747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47" name="Line 23">
          <a:extLst>
            <a:ext uri="{FF2B5EF4-FFF2-40B4-BE49-F238E27FC236}">
              <a16:creationId xmlns:a16="http://schemas.microsoft.com/office/drawing/2014/main" id="{337422B9-5539-40E7-95BD-168522EFCC4F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48" name="Line 24">
          <a:extLst>
            <a:ext uri="{FF2B5EF4-FFF2-40B4-BE49-F238E27FC236}">
              <a16:creationId xmlns:a16="http://schemas.microsoft.com/office/drawing/2014/main" id="{C1D5EA43-6283-41F5-AAFF-8EA4AC435039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49" name="Line 25">
          <a:extLst>
            <a:ext uri="{FF2B5EF4-FFF2-40B4-BE49-F238E27FC236}">
              <a16:creationId xmlns:a16="http://schemas.microsoft.com/office/drawing/2014/main" id="{360F7B9B-1B3A-4BBA-BA93-66D97685BCAA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50" name="Line 26">
          <a:extLst>
            <a:ext uri="{FF2B5EF4-FFF2-40B4-BE49-F238E27FC236}">
              <a16:creationId xmlns:a16="http://schemas.microsoft.com/office/drawing/2014/main" id="{3B8E0EF8-B8D8-4AA0-AAD2-3DCA41AEBE5A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51" name="Line 27">
          <a:extLst>
            <a:ext uri="{FF2B5EF4-FFF2-40B4-BE49-F238E27FC236}">
              <a16:creationId xmlns:a16="http://schemas.microsoft.com/office/drawing/2014/main" id="{A85A9B47-C85D-4959-B45A-D55B4C5959D2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52" name="Line 28">
          <a:extLst>
            <a:ext uri="{FF2B5EF4-FFF2-40B4-BE49-F238E27FC236}">
              <a16:creationId xmlns:a16="http://schemas.microsoft.com/office/drawing/2014/main" id="{C956F1C3-596B-4F45-95FD-2A8B06DC0AC2}"/>
            </a:ext>
          </a:extLst>
        </xdr:cNvPr>
        <xdr:cNvSpPr>
          <a:spLocks noChangeShapeType="1"/>
        </xdr:cNvSpPr>
      </xdr:nvSpPr>
      <xdr:spPr bwMode="auto">
        <a:xfrm flipH="1"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53" name="Line 29">
          <a:extLst>
            <a:ext uri="{FF2B5EF4-FFF2-40B4-BE49-F238E27FC236}">
              <a16:creationId xmlns:a16="http://schemas.microsoft.com/office/drawing/2014/main" id="{246C3CC9-9F3E-46CE-9AA4-BCC784BE9BB6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54" name="Line 30">
          <a:extLst>
            <a:ext uri="{FF2B5EF4-FFF2-40B4-BE49-F238E27FC236}">
              <a16:creationId xmlns:a16="http://schemas.microsoft.com/office/drawing/2014/main" id="{0271B68F-95EB-4ACB-AB6F-411015E17D15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55" name="Line 31">
          <a:extLst>
            <a:ext uri="{FF2B5EF4-FFF2-40B4-BE49-F238E27FC236}">
              <a16:creationId xmlns:a16="http://schemas.microsoft.com/office/drawing/2014/main" id="{8A29D424-32E3-404E-A2F8-F036D81A4E3D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56" name="Line 32">
          <a:extLst>
            <a:ext uri="{FF2B5EF4-FFF2-40B4-BE49-F238E27FC236}">
              <a16:creationId xmlns:a16="http://schemas.microsoft.com/office/drawing/2014/main" id="{51F9FC20-30DD-4824-98A0-B58D5379C029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31750</xdr:colOff>
      <xdr:row>44</xdr:row>
      <xdr:rowOff>0</xdr:rowOff>
    </xdr:to>
    <xdr:sp macro="" textlink="">
      <xdr:nvSpPr>
        <xdr:cNvPr id="1061" name="Line 37">
          <a:extLst>
            <a:ext uri="{FF2B5EF4-FFF2-40B4-BE49-F238E27FC236}">
              <a16:creationId xmlns:a16="http://schemas.microsoft.com/office/drawing/2014/main" id="{B84EA376-DB6C-4C4B-B57D-2C715A86224B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62" name="Line 38">
          <a:extLst>
            <a:ext uri="{FF2B5EF4-FFF2-40B4-BE49-F238E27FC236}">
              <a16:creationId xmlns:a16="http://schemas.microsoft.com/office/drawing/2014/main" id="{939AD27E-8452-4CA7-A05E-C506EF0CAD8E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63" name="Line 39">
          <a:extLst>
            <a:ext uri="{FF2B5EF4-FFF2-40B4-BE49-F238E27FC236}">
              <a16:creationId xmlns:a16="http://schemas.microsoft.com/office/drawing/2014/main" id="{EC54B323-8F8C-4697-9CF9-7811F6A7C6A9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64" name="Line 40">
          <a:extLst>
            <a:ext uri="{FF2B5EF4-FFF2-40B4-BE49-F238E27FC236}">
              <a16:creationId xmlns:a16="http://schemas.microsoft.com/office/drawing/2014/main" id="{C6BA67EB-B1DA-4063-BFC4-5F79A5A73FD6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65" name="Line 41">
          <a:extLst>
            <a:ext uri="{FF2B5EF4-FFF2-40B4-BE49-F238E27FC236}">
              <a16:creationId xmlns:a16="http://schemas.microsoft.com/office/drawing/2014/main" id="{3844B8E8-92B0-46A8-A6C7-A56905036BC5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66" name="Line 42">
          <a:extLst>
            <a:ext uri="{FF2B5EF4-FFF2-40B4-BE49-F238E27FC236}">
              <a16:creationId xmlns:a16="http://schemas.microsoft.com/office/drawing/2014/main" id="{72BC08E4-FA63-4906-BA10-A3502732655C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67" name="Line 43">
          <a:extLst>
            <a:ext uri="{FF2B5EF4-FFF2-40B4-BE49-F238E27FC236}">
              <a16:creationId xmlns:a16="http://schemas.microsoft.com/office/drawing/2014/main" id="{AEFB4136-3F58-4752-BF55-CA9E67BE1B86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68" name="Line 44">
          <a:extLst>
            <a:ext uri="{FF2B5EF4-FFF2-40B4-BE49-F238E27FC236}">
              <a16:creationId xmlns:a16="http://schemas.microsoft.com/office/drawing/2014/main" id="{BCB1EBED-88AD-423A-AB18-179A130B9D23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69" name="Line 45">
          <a:extLst>
            <a:ext uri="{FF2B5EF4-FFF2-40B4-BE49-F238E27FC236}">
              <a16:creationId xmlns:a16="http://schemas.microsoft.com/office/drawing/2014/main" id="{2B8B1CAF-FE33-41AB-BA52-0FAFF2C8C5F6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70" name="Line 46">
          <a:extLst>
            <a:ext uri="{FF2B5EF4-FFF2-40B4-BE49-F238E27FC236}">
              <a16:creationId xmlns:a16="http://schemas.microsoft.com/office/drawing/2014/main" id="{1CBD2362-5812-4BD5-A432-9493AFDFF016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71" name="Line 47">
          <a:extLst>
            <a:ext uri="{FF2B5EF4-FFF2-40B4-BE49-F238E27FC236}">
              <a16:creationId xmlns:a16="http://schemas.microsoft.com/office/drawing/2014/main" id="{E73579BA-0F2F-42BD-B258-94F44E138A25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72" name="Line 48">
          <a:extLst>
            <a:ext uri="{FF2B5EF4-FFF2-40B4-BE49-F238E27FC236}">
              <a16:creationId xmlns:a16="http://schemas.microsoft.com/office/drawing/2014/main" id="{F67A5FDE-98C8-482E-84F3-DBAF7CD247BA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73" name="Line 49">
          <a:extLst>
            <a:ext uri="{FF2B5EF4-FFF2-40B4-BE49-F238E27FC236}">
              <a16:creationId xmlns:a16="http://schemas.microsoft.com/office/drawing/2014/main" id="{3B28D49B-7550-496D-A3A2-FE1E2370547C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74" name="Line 50">
          <a:extLst>
            <a:ext uri="{FF2B5EF4-FFF2-40B4-BE49-F238E27FC236}">
              <a16:creationId xmlns:a16="http://schemas.microsoft.com/office/drawing/2014/main" id="{D948B952-183A-4E8B-84DB-FDDA783C4F15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75" name="Line 51">
          <a:extLst>
            <a:ext uri="{FF2B5EF4-FFF2-40B4-BE49-F238E27FC236}">
              <a16:creationId xmlns:a16="http://schemas.microsoft.com/office/drawing/2014/main" id="{E703458F-AAEB-49BE-9D59-FA97DD2FFB71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76" name="Line 52">
          <a:extLst>
            <a:ext uri="{FF2B5EF4-FFF2-40B4-BE49-F238E27FC236}">
              <a16:creationId xmlns:a16="http://schemas.microsoft.com/office/drawing/2014/main" id="{7D2C7615-D4DF-48B2-8332-46181E0D27FF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77" name="Line 53">
          <a:extLst>
            <a:ext uri="{FF2B5EF4-FFF2-40B4-BE49-F238E27FC236}">
              <a16:creationId xmlns:a16="http://schemas.microsoft.com/office/drawing/2014/main" id="{6AAEB8B9-1ABF-43F5-8841-2CD85947CA65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78" name="Line 54">
          <a:extLst>
            <a:ext uri="{FF2B5EF4-FFF2-40B4-BE49-F238E27FC236}">
              <a16:creationId xmlns:a16="http://schemas.microsoft.com/office/drawing/2014/main" id="{8B53128E-F2F7-42E9-97F0-04A20C25475D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79" name="Line 55">
          <a:extLst>
            <a:ext uri="{FF2B5EF4-FFF2-40B4-BE49-F238E27FC236}">
              <a16:creationId xmlns:a16="http://schemas.microsoft.com/office/drawing/2014/main" id="{0C37F19F-5301-49BE-B56D-54D62242FD6F}"/>
            </a:ext>
          </a:extLst>
        </xdr:cNvPr>
        <xdr:cNvSpPr>
          <a:spLocks noChangeShapeType="1"/>
        </xdr:cNvSpPr>
      </xdr:nvSpPr>
      <xdr:spPr bwMode="auto">
        <a:xfrm flipH="1"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80" name="Line 56">
          <a:extLst>
            <a:ext uri="{FF2B5EF4-FFF2-40B4-BE49-F238E27FC236}">
              <a16:creationId xmlns:a16="http://schemas.microsoft.com/office/drawing/2014/main" id="{4B075E68-83B4-4504-8CB0-0F6257251534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81" name="Line 57">
          <a:extLst>
            <a:ext uri="{FF2B5EF4-FFF2-40B4-BE49-F238E27FC236}">
              <a16:creationId xmlns:a16="http://schemas.microsoft.com/office/drawing/2014/main" id="{6CE2B8C3-281C-49CA-9BCB-50A90C89D233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82" name="Line 58">
          <a:extLst>
            <a:ext uri="{FF2B5EF4-FFF2-40B4-BE49-F238E27FC236}">
              <a16:creationId xmlns:a16="http://schemas.microsoft.com/office/drawing/2014/main" id="{358D488F-1C3E-4DA4-A416-0CB8DFC88B69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83" name="Line 59">
          <a:extLst>
            <a:ext uri="{FF2B5EF4-FFF2-40B4-BE49-F238E27FC236}">
              <a16:creationId xmlns:a16="http://schemas.microsoft.com/office/drawing/2014/main" id="{FCA8DB86-81FC-4045-BFF5-BC63A3361E46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31750</xdr:colOff>
      <xdr:row>44</xdr:row>
      <xdr:rowOff>0</xdr:rowOff>
    </xdr:to>
    <xdr:sp macro="" textlink="">
      <xdr:nvSpPr>
        <xdr:cNvPr id="1085" name="Line 61">
          <a:extLst>
            <a:ext uri="{FF2B5EF4-FFF2-40B4-BE49-F238E27FC236}">
              <a16:creationId xmlns:a16="http://schemas.microsoft.com/office/drawing/2014/main" id="{1FAC5AD6-2041-4CCE-B0CC-D69CBED1886B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86" name="Line 62">
          <a:extLst>
            <a:ext uri="{FF2B5EF4-FFF2-40B4-BE49-F238E27FC236}">
              <a16:creationId xmlns:a16="http://schemas.microsoft.com/office/drawing/2014/main" id="{DAF92C3C-7FEF-4870-96E4-137ED6E82FC1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87" name="Line 63">
          <a:extLst>
            <a:ext uri="{FF2B5EF4-FFF2-40B4-BE49-F238E27FC236}">
              <a16:creationId xmlns:a16="http://schemas.microsoft.com/office/drawing/2014/main" id="{658CCFED-1DFF-4564-AC8C-F74F091FF45B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88" name="Line 64">
          <a:extLst>
            <a:ext uri="{FF2B5EF4-FFF2-40B4-BE49-F238E27FC236}">
              <a16:creationId xmlns:a16="http://schemas.microsoft.com/office/drawing/2014/main" id="{4DBA386E-5FEE-4F01-87B9-55ECE0E0C5E4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89" name="Line 65">
          <a:extLst>
            <a:ext uri="{FF2B5EF4-FFF2-40B4-BE49-F238E27FC236}">
              <a16:creationId xmlns:a16="http://schemas.microsoft.com/office/drawing/2014/main" id="{816C81F2-9893-436A-B784-7E14BC44B84C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90" name="Line 66">
          <a:extLst>
            <a:ext uri="{FF2B5EF4-FFF2-40B4-BE49-F238E27FC236}">
              <a16:creationId xmlns:a16="http://schemas.microsoft.com/office/drawing/2014/main" id="{B125DE71-B416-430A-8109-0BC1B24E629F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91" name="Line 67">
          <a:extLst>
            <a:ext uri="{FF2B5EF4-FFF2-40B4-BE49-F238E27FC236}">
              <a16:creationId xmlns:a16="http://schemas.microsoft.com/office/drawing/2014/main" id="{7C8553C9-D41D-4E5C-B549-784A28D41B22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92" name="Line 68">
          <a:extLst>
            <a:ext uri="{FF2B5EF4-FFF2-40B4-BE49-F238E27FC236}">
              <a16:creationId xmlns:a16="http://schemas.microsoft.com/office/drawing/2014/main" id="{0EC80266-2543-4DE4-BBE2-E557C9AF99C2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93" name="Line 69">
          <a:extLst>
            <a:ext uri="{FF2B5EF4-FFF2-40B4-BE49-F238E27FC236}">
              <a16:creationId xmlns:a16="http://schemas.microsoft.com/office/drawing/2014/main" id="{4A14B9F3-AE2F-4189-8BE0-9B6F275CA427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94" name="Line 70">
          <a:extLst>
            <a:ext uri="{FF2B5EF4-FFF2-40B4-BE49-F238E27FC236}">
              <a16:creationId xmlns:a16="http://schemas.microsoft.com/office/drawing/2014/main" id="{6F54F654-DAE5-4807-81D3-03A13674C29F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95" name="Line 71">
          <a:extLst>
            <a:ext uri="{FF2B5EF4-FFF2-40B4-BE49-F238E27FC236}">
              <a16:creationId xmlns:a16="http://schemas.microsoft.com/office/drawing/2014/main" id="{64A69983-CCFD-48C4-A6DB-7011E8B11C83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96" name="Line 72">
          <a:extLst>
            <a:ext uri="{FF2B5EF4-FFF2-40B4-BE49-F238E27FC236}">
              <a16:creationId xmlns:a16="http://schemas.microsoft.com/office/drawing/2014/main" id="{6BADA21A-C8FA-464C-A869-3816BA475612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97" name="Line 73">
          <a:extLst>
            <a:ext uri="{FF2B5EF4-FFF2-40B4-BE49-F238E27FC236}">
              <a16:creationId xmlns:a16="http://schemas.microsoft.com/office/drawing/2014/main" id="{C701744D-0E39-4BF9-9E95-8088EC3382AC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98" name="Line 74">
          <a:extLst>
            <a:ext uri="{FF2B5EF4-FFF2-40B4-BE49-F238E27FC236}">
              <a16:creationId xmlns:a16="http://schemas.microsoft.com/office/drawing/2014/main" id="{7CD80007-D13E-40B3-8320-BE9213B53161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099" name="Line 75">
          <a:extLst>
            <a:ext uri="{FF2B5EF4-FFF2-40B4-BE49-F238E27FC236}">
              <a16:creationId xmlns:a16="http://schemas.microsoft.com/office/drawing/2014/main" id="{1C641628-7482-4648-9331-FB4BE336603B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00" name="Line 76">
          <a:extLst>
            <a:ext uri="{FF2B5EF4-FFF2-40B4-BE49-F238E27FC236}">
              <a16:creationId xmlns:a16="http://schemas.microsoft.com/office/drawing/2014/main" id="{AD4F11E6-07BF-4EB7-8A60-4CA813EFA37D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01" name="Line 77">
          <a:extLst>
            <a:ext uri="{FF2B5EF4-FFF2-40B4-BE49-F238E27FC236}">
              <a16:creationId xmlns:a16="http://schemas.microsoft.com/office/drawing/2014/main" id="{C37880C2-8629-46B3-A44D-91F9C211DBB9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02" name="Line 78">
          <a:extLst>
            <a:ext uri="{FF2B5EF4-FFF2-40B4-BE49-F238E27FC236}">
              <a16:creationId xmlns:a16="http://schemas.microsoft.com/office/drawing/2014/main" id="{A1F9356E-4A22-4CE1-8231-47658B22EFBB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03" name="Line 79">
          <a:extLst>
            <a:ext uri="{FF2B5EF4-FFF2-40B4-BE49-F238E27FC236}">
              <a16:creationId xmlns:a16="http://schemas.microsoft.com/office/drawing/2014/main" id="{54738D53-9D2E-4730-8023-425C4211D87B}"/>
            </a:ext>
          </a:extLst>
        </xdr:cNvPr>
        <xdr:cNvSpPr>
          <a:spLocks noChangeShapeType="1"/>
        </xdr:cNvSpPr>
      </xdr:nvSpPr>
      <xdr:spPr bwMode="auto">
        <a:xfrm flipH="1"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04" name="Line 80">
          <a:extLst>
            <a:ext uri="{FF2B5EF4-FFF2-40B4-BE49-F238E27FC236}">
              <a16:creationId xmlns:a16="http://schemas.microsoft.com/office/drawing/2014/main" id="{5D5722BA-A712-448E-976D-56986696B4D7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05" name="Line 81">
          <a:extLst>
            <a:ext uri="{FF2B5EF4-FFF2-40B4-BE49-F238E27FC236}">
              <a16:creationId xmlns:a16="http://schemas.microsoft.com/office/drawing/2014/main" id="{9D9E50CC-D610-4A5F-B12E-D6C6DA66AA6E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06" name="Line 82">
          <a:extLst>
            <a:ext uri="{FF2B5EF4-FFF2-40B4-BE49-F238E27FC236}">
              <a16:creationId xmlns:a16="http://schemas.microsoft.com/office/drawing/2014/main" id="{E8CEE00B-B374-4308-A34B-2047388E61EE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07" name="Line 83">
          <a:extLst>
            <a:ext uri="{FF2B5EF4-FFF2-40B4-BE49-F238E27FC236}">
              <a16:creationId xmlns:a16="http://schemas.microsoft.com/office/drawing/2014/main" id="{30105AB6-015A-4A63-B1F4-52719B5BA959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31750</xdr:colOff>
      <xdr:row>44</xdr:row>
      <xdr:rowOff>0</xdr:rowOff>
    </xdr:to>
    <xdr:sp macro="" textlink="">
      <xdr:nvSpPr>
        <xdr:cNvPr id="1109" name="Line 85">
          <a:extLst>
            <a:ext uri="{FF2B5EF4-FFF2-40B4-BE49-F238E27FC236}">
              <a16:creationId xmlns:a16="http://schemas.microsoft.com/office/drawing/2014/main" id="{5C4B8D82-9A36-4616-88BB-BF3B5A1790BD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10" name="Line 86">
          <a:extLst>
            <a:ext uri="{FF2B5EF4-FFF2-40B4-BE49-F238E27FC236}">
              <a16:creationId xmlns:a16="http://schemas.microsoft.com/office/drawing/2014/main" id="{72C09696-E9D2-4624-9A44-C6075F832671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11" name="Line 87">
          <a:extLst>
            <a:ext uri="{FF2B5EF4-FFF2-40B4-BE49-F238E27FC236}">
              <a16:creationId xmlns:a16="http://schemas.microsoft.com/office/drawing/2014/main" id="{9DC6965C-25B7-46F9-962F-57286E053158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12" name="Line 88">
          <a:extLst>
            <a:ext uri="{FF2B5EF4-FFF2-40B4-BE49-F238E27FC236}">
              <a16:creationId xmlns:a16="http://schemas.microsoft.com/office/drawing/2014/main" id="{AD7723D8-984E-4D75-B2F5-3846736A5FF1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13" name="Line 89">
          <a:extLst>
            <a:ext uri="{FF2B5EF4-FFF2-40B4-BE49-F238E27FC236}">
              <a16:creationId xmlns:a16="http://schemas.microsoft.com/office/drawing/2014/main" id="{E7760A28-FFDC-4DF9-BFA3-5FA6ABADE745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14" name="Line 90">
          <a:extLst>
            <a:ext uri="{FF2B5EF4-FFF2-40B4-BE49-F238E27FC236}">
              <a16:creationId xmlns:a16="http://schemas.microsoft.com/office/drawing/2014/main" id="{3394B562-7B65-4922-867A-3DFCE09B2364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15" name="Line 91">
          <a:extLst>
            <a:ext uri="{FF2B5EF4-FFF2-40B4-BE49-F238E27FC236}">
              <a16:creationId xmlns:a16="http://schemas.microsoft.com/office/drawing/2014/main" id="{0C3B8135-DC45-4E96-97D7-47C7347038AB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16" name="Line 92">
          <a:extLst>
            <a:ext uri="{FF2B5EF4-FFF2-40B4-BE49-F238E27FC236}">
              <a16:creationId xmlns:a16="http://schemas.microsoft.com/office/drawing/2014/main" id="{FD4FEF84-A668-4E5A-A808-2AF1871F45F8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17" name="Line 93">
          <a:extLst>
            <a:ext uri="{FF2B5EF4-FFF2-40B4-BE49-F238E27FC236}">
              <a16:creationId xmlns:a16="http://schemas.microsoft.com/office/drawing/2014/main" id="{FB31C66B-F79C-4747-998C-E1DDC1D61139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18" name="Line 94">
          <a:extLst>
            <a:ext uri="{FF2B5EF4-FFF2-40B4-BE49-F238E27FC236}">
              <a16:creationId xmlns:a16="http://schemas.microsoft.com/office/drawing/2014/main" id="{21EC490B-F4B7-4FD3-A2FD-E425BC25641C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19" name="Line 95">
          <a:extLst>
            <a:ext uri="{FF2B5EF4-FFF2-40B4-BE49-F238E27FC236}">
              <a16:creationId xmlns:a16="http://schemas.microsoft.com/office/drawing/2014/main" id="{9200D72F-E8C0-4D02-8C22-B808EAFEC4CD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20" name="Line 96">
          <a:extLst>
            <a:ext uri="{FF2B5EF4-FFF2-40B4-BE49-F238E27FC236}">
              <a16:creationId xmlns:a16="http://schemas.microsoft.com/office/drawing/2014/main" id="{1A4170D4-CABF-450A-9552-D6C2A8793059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21" name="Line 97">
          <a:extLst>
            <a:ext uri="{FF2B5EF4-FFF2-40B4-BE49-F238E27FC236}">
              <a16:creationId xmlns:a16="http://schemas.microsoft.com/office/drawing/2014/main" id="{E66383B8-4CEB-4B79-91F1-9DF5E054A6C0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22" name="Line 98">
          <a:extLst>
            <a:ext uri="{FF2B5EF4-FFF2-40B4-BE49-F238E27FC236}">
              <a16:creationId xmlns:a16="http://schemas.microsoft.com/office/drawing/2014/main" id="{A791B43D-0949-483E-B7EE-622D110F64E0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23" name="Line 99">
          <a:extLst>
            <a:ext uri="{FF2B5EF4-FFF2-40B4-BE49-F238E27FC236}">
              <a16:creationId xmlns:a16="http://schemas.microsoft.com/office/drawing/2014/main" id="{66480E2D-CDE3-4688-91F6-BC533F46D2AE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24" name="Line 100">
          <a:extLst>
            <a:ext uri="{FF2B5EF4-FFF2-40B4-BE49-F238E27FC236}">
              <a16:creationId xmlns:a16="http://schemas.microsoft.com/office/drawing/2014/main" id="{7992EE64-5FB6-412B-85FC-075AE656F30C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25" name="Line 101">
          <a:extLst>
            <a:ext uri="{FF2B5EF4-FFF2-40B4-BE49-F238E27FC236}">
              <a16:creationId xmlns:a16="http://schemas.microsoft.com/office/drawing/2014/main" id="{D9CB583D-B6A3-463A-BD9B-B057641373B8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26" name="Line 102">
          <a:extLst>
            <a:ext uri="{FF2B5EF4-FFF2-40B4-BE49-F238E27FC236}">
              <a16:creationId xmlns:a16="http://schemas.microsoft.com/office/drawing/2014/main" id="{6D635696-0A72-4A73-BAFD-1EFB27965CAE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27" name="Line 103">
          <a:extLst>
            <a:ext uri="{FF2B5EF4-FFF2-40B4-BE49-F238E27FC236}">
              <a16:creationId xmlns:a16="http://schemas.microsoft.com/office/drawing/2014/main" id="{0F013CE7-F228-486F-910E-D1A448284589}"/>
            </a:ext>
          </a:extLst>
        </xdr:cNvPr>
        <xdr:cNvSpPr>
          <a:spLocks noChangeShapeType="1"/>
        </xdr:cNvSpPr>
      </xdr:nvSpPr>
      <xdr:spPr bwMode="auto">
        <a:xfrm flipH="1"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28" name="Line 104">
          <a:extLst>
            <a:ext uri="{FF2B5EF4-FFF2-40B4-BE49-F238E27FC236}">
              <a16:creationId xmlns:a16="http://schemas.microsoft.com/office/drawing/2014/main" id="{DA70F1E2-E728-43B7-9C7F-874D82649F25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29" name="Line 105">
          <a:extLst>
            <a:ext uri="{FF2B5EF4-FFF2-40B4-BE49-F238E27FC236}">
              <a16:creationId xmlns:a16="http://schemas.microsoft.com/office/drawing/2014/main" id="{ADB26D4E-BD5F-46AE-B483-D9DA8FA01348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30" name="Line 106">
          <a:extLst>
            <a:ext uri="{FF2B5EF4-FFF2-40B4-BE49-F238E27FC236}">
              <a16:creationId xmlns:a16="http://schemas.microsoft.com/office/drawing/2014/main" id="{1FD8901E-B703-48FB-9141-343770D839EE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31" name="Line 107">
          <a:extLst>
            <a:ext uri="{FF2B5EF4-FFF2-40B4-BE49-F238E27FC236}">
              <a16:creationId xmlns:a16="http://schemas.microsoft.com/office/drawing/2014/main" id="{707A04DD-F90F-4727-B772-89930347458A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31750</xdr:colOff>
      <xdr:row>44</xdr:row>
      <xdr:rowOff>0</xdr:rowOff>
    </xdr:to>
    <xdr:sp macro="" textlink="">
      <xdr:nvSpPr>
        <xdr:cNvPr id="1133" name="Line 109">
          <a:extLst>
            <a:ext uri="{FF2B5EF4-FFF2-40B4-BE49-F238E27FC236}">
              <a16:creationId xmlns:a16="http://schemas.microsoft.com/office/drawing/2014/main" id="{13086CD0-1BB3-45F9-A736-8202D40B3841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34" name="Line 110">
          <a:extLst>
            <a:ext uri="{FF2B5EF4-FFF2-40B4-BE49-F238E27FC236}">
              <a16:creationId xmlns:a16="http://schemas.microsoft.com/office/drawing/2014/main" id="{D30D5C6D-C738-45AF-AE67-157E9564A807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35" name="Line 111">
          <a:extLst>
            <a:ext uri="{FF2B5EF4-FFF2-40B4-BE49-F238E27FC236}">
              <a16:creationId xmlns:a16="http://schemas.microsoft.com/office/drawing/2014/main" id="{45C79317-8194-43D8-855E-A9187AA247D4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36" name="Line 112">
          <a:extLst>
            <a:ext uri="{FF2B5EF4-FFF2-40B4-BE49-F238E27FC236}">
              <a16:creationId xmlns:a16="http://schemas.microsoft.com/office/drawing/2014/main" id="{D5F8255D-598F-4CF3-BC9D-E86E319A7685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37" name="Line 113">
          <a:extLst>
            <a:ext uri="{FF2B5EF4-FFF2-40B4-BE49-F238E27FC236}">
              <a16:creationId xmlns:a16="http://schemas.microsoft.com/office/drawing/2014/main" id="{5EE8E51E-B9E0-4A27-82ED-819F11150323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38" name="Line 114">
          <a:extLst>
            <a:ext uri="{FF2B5EF4-FFF2-40B4-BE49-F238E27FC236}">
              <a16:creationId xmlns:a16="http://schemas.microsoft.com/office/drawing/2014/main" id="{3A0A6014-494E-4C73-AD38-C69957B6F922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39" name="Line 115">
          <a:extLst>
            <a:ext uri="{FF2B5EF4-FFF2-40B4-BE49-F238E27FC236}">
              <a16:creationId xmlns:a16="http://schemas.microsoft.com/office/drawing/2014/main" id="{BAA9AD26-26D4-4AF3-B992-FF08B72D4C61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40" name="Line 116">
          <a:extLst>
            <a:ext uri="{FF2B5EF4-FFF2-40B4-BE49-F238E27FC236}">
              <a16:creationId xmlns:a16="http://schemas.microsoft.com/office/drawing/2014/main" id="{5417F735-F2E7-44DE-93F9-75A9A627B101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41" name="Line 117">
          <a:extLst>
            <a:ext uri="{FF2B5EF4-FFF2-40B4-BE49-F238E27FC236}">
              <a16:creationId xmlns:a16="http://schemas.microsoft.com/office/drawing/2014/main" id="{451088CE-E5D9-457E-B1A1-521A012D1AED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42" name="Line 118">
          <a:extLst>
            <a:ext uri="{FF2B5EF4-FFF2-40B4-BE49-F238E27FC236}">
              <a16:creationId xmlns:a16="http://schemas.microsoft.com/office/drawing/2014/main" id="{40D44C78-5B36-4BBE-80F3-6EF227EDF53E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43" name="Line 119">
          <a:extLst>
            <a:ext uri="{FF2B5EF4-FFF2-40B4-BE49-F238E27FC236}">
              <a16:creationId xmlns:a16="http://schemas.microsoft.com/office/drawing/2014/main" id="{53FCFAA0-3879-44EB-BC8E-7AA28B2D7D0C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44" name="Line 120">
          <a:extLst>
            <a:ext uri="{FF2B5EF4-FFF2-40B4-BE49-F238E27FC236}">
              <a16:creationId xmlns:a16="http://schemas.microsoft.com/office/drawing/2014/main" id="{EAC2CCEC-577D-496D-9848-0BFEAA80A1B4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45" name="Line 121">
          <a:extLst>
            <a:ext uri="{FF2B5EF4-FFF2-40B4-BE49-F238E27FC236}">
              <a16:creationId xmlns:a16="http://schemas.microsoft.com/office/drawing/2014/main" id="{4085914D-4E1C-409D-A6CD-02156DC94BC1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46" name="Line 122">
          <a:extLst>
            <a:ext uri="{FF2B5EF4-FFF2-40B4-BE49-F238E27FC236}">
              <a16:creationId xmlns:a16="http://schemas.microsoft.com/office/drawing/2014/main" id="{5164C06C-5A69-47A3-AE30-26F51CB6783C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47" name="Line 123">
          <a:extLst>
            <a:ext uri="{FF2B5EF4-FFF2-40B4-BE49-F238E27FC236}">
              <a16:creationId xmlns:a16="http://schemas.microsoft.com/office/drawing/2014/main" id="{B592B16F-CF56-4497-BE33-0FF90E248681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48" name="Line 124">
          <a:extLst>
            <a:ext uri="{FF2B5EF4-FFF2-40B4-BE49-F238E27FC236}">
              <a16:creationId xmlns:a16="http://schemas.microsoft.com/office/drawing/2014/main" id="{54550EDE-2930-42DF-A2C0-5A9C3439CD94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49" name="Line 125">
          <a:extLst>
            <a:ext uri="{FF2B5EF4-FFF2-40B4-BE49-F238E27FC236}">
              <a16:creationId xmlns:a16="http://schemas.microsoft.com/office/drawing/2014/main" id="{15943844-D97B-455F-BF3F-1E266017918C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50" name="Line 126">
          <a:extLst>
            <a:ext uri="{FF2B5EF4-FFF2-40B4-BE49-F238E27FC236}">
              <a16:creationId xmlns:a16="http://schemas.microsoft.com/office/drawing/2014/main" id="{8182F279-290B-4A58-9EF4-15520011C6E6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51" name="Line 127">
          <a:extLst>
            <a:ext uri="{FF2B5EF4-FFF2-40B4-BE49-F238E27FC236}">
              <a16:creationId xmlns:a16="http://schemas.microsoft.com/office/drawing/2014/main" id="{39ECAAF1-9B4C-482C-9CE8-4633FAD47990}"/>
            </a:ext>
          </a:extLst>
        </xdr:cNvPr>
        <xdr:cNvSpPr>
          <a:spLocks noChangeShapeType="1"/>
        </xdr:cNvSpPr>
      </xdr:nvSpPr>
      <xdr:spPr bwMode="auto">
        <a:xfrm flipH="1"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52" name="Line 128">
          <a:extLst>
            <a:ext uri="{FF2B5EF4-FFF2-40B4-BE49-F238E27FC236}">
              <a16:creationId xmlns:a16="http://schemas.microsoft.com/office/drawing/2014/main" id="{0378759E-2A8C-4DAF-811B-111C6983CEF9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53" name="Line 129">
          <a:extLst>
            <a:ext uri="{FF2B5EF4-FFF2-40B4-BE49-F238E27FC236}">
              <a16:creationId xmlns:a16="http://schemas.microsoft.com/office/drawing/2014/main" id="{440473E0-9E0A-4D1B-B951-EDE39B5586E7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54" name="Line 130">
          <a:extLst>
            <a:ext uri="{FF2B5EF4-FFF2-40B4-BE49-F238E27FC236}">
              <a16:creationId xmlns:a16="http://schemas.microsoft.com/office/drawing/2014/main" id="{C3A207EE-730C-4FFF-9C78-1589CF61D6C2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55" name="Line 131">
          <a:extLst>
            <a:ext uri="{FF2B5EF4-FFF2-40B4-BE49-F238E27FC236}">
              <a16:creationId xmlns:a16="http://schemas.microsoft.com/office/drawing/2014/main" id="{C573590B-91B3-477C-86F0-163297756059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31750</xdr:colOff>
      <xdr:row>44</xdr:row>
      <xdr:rowOff>0</xdr:rowOff>
    </xdr:to>
    <xdr:sp macro="" textlink="">
      <xdr:nvSpPr>
        <xdr:cNvPr id="1181" name="Line 157">
          <a:extLst>
            <a:ext uri="{FF2B5EF4-FFF2-40B4-BE49-F238E27FC236}">
              <a16:creationId xmlns:a16="http://schemas.microsoft.com/office/drawing/2014/main" id="{C37DA2BA-C764-4D16-A3D5-5DF56CC049D6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82" name="Line 158">
          <a:extLst>
            <a:ext uri="{FF2B5EF4-FFF2-40B4-BE49-F238E27FC236}">
              <a16:creationId xmlns:a16="http://schemas.microsoft.com/office/drawing/2014/main" id="{46D5D028-F10A-4F78-936D-9CFFAA6094A7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83" name="Line 159">
          <a:extLst>
            <a:ext uri="{FF2B5EF4-FFF2-40B4-BE49-F238E27FC236}">
              <a16:creationId xmlns:a16="http://schemas.microsoft.com/office/drawing/2014/main" id="{55C08BF4-A60B-4700-860A-152ECB366FBB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84" name="Line 160">
          <a:extLst>
            <a:ext uri="{FF2B5EF4-FFF2-40B4-BE49-F238E27FC236}">
              <a16:creationId xmlns:a16="http://schemas.microsoft.com/office/drawing/2014/main" id="{294D19B1-1959-4829-B2A3-C079808BCBB6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85" name="Line 161">
          <a:extLst>
            <a:ext uri="{FF2B5EF4-FFF2-40B4-BE49-F238E27FC236}">
              <a16:creationId xmlns:a16="http://schemas.microsoft.com/office/drawing/2014/main" id="{59F66F03-CA26-4503-85CA-4CC34329D8A2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86" name="Line 162">
          <a:extLst>
            <a:ext uri="{FF2B5EF4-FFF2-40B4-BE49-F238E27FC236}">
              <a16:creationId xmlns:a16="http://schemas.microsoft.com/office/drawing/2014/main" id="{9AA67D3D-FA90-4F72-9184-CC27D784A791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87" name="Line 163">
          <a:extLst>
            <a:ext uri="{FF2B5EF4-FFF2-40B4-BE49-F238E27FC236}">
              <a16:creationId xmlns:a16="http://schemas.microsoft.com/office/drawing/2014/main" id="{A2A18277-21DE-4BFD-9DA7-FA0D88EF6601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88" name="Line 164">
          <a:extLst>
            <a:ext uri="{FF2B5EF4-FFF2-40B4-BE49-F238E27FC236}">
              <a16:creationId xmlns:a16="http://schemas.microsoft.com/office/drawing/2014/main" id="{6182652A-6BC0-441E-BE26-E73318C6693C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89" name="Line 165">
          <a:extLst>
            <a:ext uri="{FF2B5EF4-FFF2-40B4-BE49-F238E27FC236}">
              <a16:creationId xmlns:a16="http://schemas.microsoft.com/office/drawing/2014/main" id="{56DA79B8-325A-4032-AB46-4AB5C5008033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90" name="Line 166">
          <a:extLst>
            <a:ext uri="{FF2B5EF4-FFF2-40B4-BE49-F238E27FC236}">
              <a16:creationId xmlns:a16="http://schemas.microsoft.com/office/drawing/2014/main" id="{F5694C14-1E6B-4056-92C8-3417F7C6CDE1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91" name="Line 167">
          <a:extLst>
            <a:ext uri="{FF2B5EF4-FFF2-40B4-BE49-F238E27FC236}">
              <a16:creationId xmlns:a16="http://schemas.microsoft.com/office/drawing/2014/main" id="{37C77A8C-1C91-4D6E-8B4B-85805AEFD619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92" name="Line 168">
          <a:extLst>
            <a:ext uri="{FF2B5EF4-FFF2-40B4-BE49-F238E27FC236}">
              <a16:creationId xmlns:a16="http://schemas.microsoft.com/office/drawing/2014/main" id="{B9B6A77C-7DDA-45C1-AC11-85BC727B4DC5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93" name="Line 169">
          <a:extLst>
            <a:ext uri="{FF2B5EF4-FFF2-40B4-BE49-F238E27FC236}">
              <a16:creationId xmlns:a16="http://schemas.microsoft.com/office/drawing/2014/main" id="{BA6D6E68-4B65-4D27-8EC6-F7551F9A6C73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94" name="Line 170">
          <a:extLst>
            <a:ext uri="{FF2B5EF4-FFF2-40B4-BE49-F238E27FC236}">
              <a16:creationId xmlns:a16="http://schemas.microsoft.com/office/drawing/2014/main" id="{FCE47DC0-B345-4CD1-A8B9-AB6D74C9069C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95" name="Line 171">
          <a:extLst>
            <a:ext uri="{FF2B5EF4-FFF2-40B4-BE49-F238E27FC236}">
              <a16:creationId xmlns:a16="http://schemas.microsoft.com/office/drawing/2014/main" id="{827852B2-769C-481B-B5D8-EE1E5B5C5BC5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96" name="Line 172">
          <a:extLst>
            <a:ext uri="{FF2B5EF4-FFF2-40B4-BE49-F238E27FC236}">
              <a16:creationId xmlns:a16="http://schemas.microsoft.com/office/drawing/2014/main" id="{A6D9AF0B-FD1E-43F7-9DD7-6248662AEEA0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97" name="Line 173">
          <a:extLst>
            <a:ext uri="{FF2B5EF4-FFF2-40B4-BE49-F238E27FC236}">
              <a16:creationId xmlns:a16="http://schemas.microsoft.com/office/drawing/2014/main" id="{67AF18F2-C011-428E-ACF9-4EF863CFC0F8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98" name="Line 174">
          <a:extLst>
            <a:ext uri="{FF2B5EF4-FFF2-40B4-BE49-F238E27FC236}">
              <a16:creationId xmlns:a16="http://schemas.microsoft.com/office/drawing/2014/main" id="{3F1803F7-F452-4EA3-A8B8-21FC93B7D0C2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199" name="Line 175">
          <a:extLst>
            <a:ext uri="{FF2B5EF4-FFF2-40B4-BE49-F238E27FC236}">
              <a16:creationId xmlns:a16="http://schemas.microsoft.com/office/drawing/2014/main" id="{C5318BE9-0911-4065-A47A-8E6BE81B1EE6}"/>
            </a:ext>
          </a:extLst>
        </xdr:cNvPr>
        <xdr:cNvSpPr>
          <a:spLocks noChangeShapeType="1"/>
        </xdr:cNvSpPr>
      </xdr:nvSpPr>
      <xdr:spPr bwMode="auto">
        <a:xfrm flipH="1"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00" name="Line 176">
          <a:extLst>
            <a:ext uri="{FF2B5EF4-FFF2-40B4-BE49-F238E27FC236}">
              <a16:creationId xmlns:a16="http://schemas.microsoft.com/office/drawing/2014/main" id="{4F31E860-EED1-442F-9034-12EAE835CE25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01" name="Line 177">
          <a:extLst>
            <a:ext uri="{FF2B5EF4-FFF2-40B4-BE49-F238E27FC236}">
              <a16:creationId xmlns:a16="http://schemas.microsoft.com/office/drawing/2014/main" id="{C14A44A3-AA26-44C4-B2A9-3B9DC582A417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02" name="Line 178">
          <a:extLst>
            <a:ext uri="{FF2B5EF4-FFF2-40B4-BE49-F238E27FC236}">
              <a16:creationId xmlns:a16="http://schemas.microsoft.com/office/drawing/2014/main" id="{1E82A368-6724-4ECC-B32C-BF1214D4686D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03" name="Line 179">
          <a:extLst>
            <a:ext uri="{FF2B5EF4-FFF2-40B4-BE49-F238E27FC236}">
              <a16:creationId xmlns:a16="http://schemas.microsoft.com/office/drawing/2014/main" id="{93A25BCB-31C6-48E4-9F93-45BD907A7D0D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31750</xdr:colOff>
      <xdr:row>44</xdr:row>
      <xdr:rowOff>0</xdr:rowOff>
    </xdr:to>
    <xdr:sp macro="" textlink="">
      <xdr:nvSpPr>
        <xdr:cNvPr id="1204" name="Line 180">
          <a:extLst>
            <a:ext uri="{FF2B5EF4-FFF2-40B4-BE49-F238E27FC236}">
              <a16:creationId xmlns:a16="http://schemas.microsoft.com/office/drawing/2014/main" id="{F2EDD744-0917-4E30-BBB4-9315D86578DB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05" name="Line 181">
          <a:extLst>
            <a:ext uri="{FF2B5EF4-FFF2-40B4-BE49-F238E27FC236}">
              <a16:creationId xmlns:a16="http://schemas.microsoft.com/office/drawing/2014/main" id="{84F0D348-55BA-499D-A60E-6BA551C5F8CF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06" name="Line 182">
          <a:extLst>
            <a:ext uri="{FF2B5EF4-FFF2-40B4-BE49-F238E27FC236}">
              <a16:creationId xmlns:a16="http://schemas.microsoft.com/office/drawing/2014/main" id="{F1DFC866-09EE-49DF-BC08-04CD4F52FA77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07" name="Line 183">
          <a:extLst>
            <a:ext uri="{FF2B5EF4-FFF2-40B4-BE49-F238E27FC236}">
              <a16:creationId xmlns:a16="http://schemas.microsoft.com/office/drawing/2014/main" id="{225BD60E-B795-4846-83B0-FA905882D9A3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08" name="Line 184">
          <a:extLst>
            <a:ext uri="{FF2B5EF4-FFF2-40B4-BE49-F238E27FC236}">
              <a16:creationId xmlns:a16="http://schemas.microsoft.com/office/drawing/2014/main" id="{E66D9CDA-F204-49D9-884F-E307EB716DCF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09" name="Line 185">
          <a:extLst>
            <a:ext uri="{FF2B5EF4-FFF2-40B4-BE49-F238E27FC236}">
              <a16:creationId xmlns:a16="http://schemas.microsoft.com/office/drawing/2014/main" id="{5A5AF5C5-86A3-4670-8320-F9EF20D36F1B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10" name="Line 186">
          <a:extLst>
            <a:ext uri="{FF2B5EF4-FFF2-40B4-BE49-F238E27FC236}">
              <a16:creationId xmlns:a16="http://schemas.microsoft.com/office/drawing/2014/main" id="{5F397362-972B-4F69-A459-FE0DB3A53CF5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11" name="Line 187">
          <a:extLst>
            <a:ext uri="{FF2B5EF4-FFF2-40B4-BE49-F238E27FC236}">
              <a16:creationId xmlns:a16="http://schemas.microsoft.com/office/drawing/2014/main" id="{0E111B93-E2EF-4D3C-9F9A-A8FB06A499D5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12" name="Line 188">
          <a:extLst>
            <a:ext uri="{FF2B5EF4-FFF2-40B4-BE49-F238E27FC236}">
              <a16:creationId xmlns:a16="http://schemas.microsoft.com/office/drawing/2014/main" id="{4BB92C54-5841-4C4F-9273-E6707D8520B9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13" name="Line 189">
          <a:extLst>
            <a:ext uri="{FF2B5EF4-FFF2-40B4-BE49-F238E27FC236}">
              <a16:creationId xmlns:a16="http://schemas.microsoft.com/office/drawing/2014/main" id="{EF2BCA53-228A-4930-A513-722D3D5BB2E7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14" name="Line 190">
          <a:extLst>
            <a:ext uri="{FF2B5EF4-FFF2-40B4-BE49-F238E27FC236}">
              <a16:creationId xmlns:a16="http://schemas.microsoft.com/office/drawing/2014/main" id="{CF2AFD4B-E603-44EB-A40A-150701AF589E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15" name="Line 191">
          <a:extLst>
            <a:ext uri="{FF2B5EF4-FFF2-40B4-BE49-F238E27FC236}">
              <a16:creationId xmlns:a16="http://schemas.microsoft.com/office/drawing/2014/main" id="{8F7512FE-80A9-4F0B-9590-C4D349931F2B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16" name="Line 192">
          <a:extLst>
            <a:ext uri="{FF2B5EF4-FFF2-40B4-BE49-F238E27FC236}">
              <a16:creationId xmlns:a16="http://schemas.microsoft.com/office/drawing/2014/main" id="{660C50F1-A45E-4E68-8F83-7280E424949B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17" name="Line 193">
          <a:extLst>
            <a:ext uri="{FF2B5EF4-FFF2-40B4-BE49-F238E27FC236}">
              <a16:creationId xmlns:a16="http://schemas.microsoft.com/office/drawing/2014/main" id="{6A76CAF7-3615-4D2E-9731-5737D05B3BD4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18" name="Line 194">
          <a:extLst>
            <a:ext uri="{FF2B5EF4-FFF2-40B4-BE49-F238E27FC236}">
              <a16:creationId xmlns:a16="http://schemas.microsoft.com/office/drawing/2014/main" id="{E3262E15-72F7-4915-8D54-CD0DC2CB93E6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19" name="Line 195">
          <a:extLst>
            <a:ext uri="{FF2B5EF4-FFF2-40B4-BE49-F238E27FC236}">
              <a16:creationId xmlns:a16="http://schemas.microsoft.com/office/drawing/2014/main" id="{67F16A40-C801-4D4D-A6CB-F48D7DC57AAB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20" name="Line 196">
          <a:extLst>
            <a:ext uri="{FF2B5EF4-FFF2-40B4-BE49-F238E27FC236}">
              <a16:creationId xmlns:a16="http://schemas.microsoft.com/office/drawing/2014/main" id="{56E9D27E-8DD6-4164-A3C5-E406A0EA1365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21" name="Line 197">
          <a:extLst>
            <a:ext uri="{FF2B5EF4-FFF2-40B4-BE49-F238E27FC236}">
              <a16:creationId xmlns:a16="http://schemas.microsoft.com/office/drawing/2014/main" id="{328483EB-BD8B-43CF-8592-CB63703F3DE3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22" name="Line 198">
          <a:extLst>
            <a:ext uri="{FF2B5EF4-FFF2-40B4-BE49-F238E27FC236}">
              <a16:creationId xmlns:a16="http://schemas.microsoft.com/office/drawing/2014/main" id="{19AEE7B5-36D8-4174-A8A7-6A3D3953F2D4}"/>
            </a:ext>
          </a:extLst>
        </xdr:cNvPr>
        <xdr:cNvSpPr>
          <a:spLocks noChangeShapeType="1"/>
        </xdr:cNvSpPr>
      </xdr:nvSpPr>
      <xdr:spPr bwMode="auto">
        <a:xfrm flipH="1"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23" name="Line 199">
          <a:extLst>
            <a:ext uri="{FF2B5EF4-FFF2-40B4-BE49-F238E27FC236}">
              <a16:creationId xmlns:a16="http://schemas.microsoft.com/office/drawing/2014/main" id="{AC0CC2B2-441C-45F1-AD5C-09E5358D1131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24" name="Line 200">
          <a:extLst>
            <a:ext uri="{FF2B5EF4-FFF2-40B4-BE49-F238E27FC236}">
              <a16:creationId xmlns:a16="http://schemas.microsoft.com/office/drawing/2014/main" id="{584432C5-3055-4FEA-9880-3837EC1B8432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25" name="Line 201">
          <a:extLst>
            <a:ext uri="{FF2B5EF4-FFF2-40B4-BE49-F238E27FC236}">
              <a16:creationId xmlns:a16="http://schemas.microsoft.com/office/drawing/2014/main" id="{C4DD895F-6EB5-4CDA-B5F3-FE3CCB2D39B5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26" name="Line 202">
          <a:extLst>
            <a:ext uri="{FF2B5EF4-FFF2-40B4-BE49-F238E27FC236}">
              <a16:creationId xmlns:a16="http://schemas.microsoft.com/office/drawing/2014/main" id="{0C8567C9-EDE7-41BD-8CE5-BA5003F17095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31750</xdr:colOff>
      <xdr:row>44</xdr:row>
      <xdr:rowOff>0</xdr:rowOff>
    </xdr:to>
    <xdr:sp macro="" textlink="">
      <xdr:nvSpPr>
        <xdr:cNvPr id="1227" name="Line 203">
          <a:extLst>
            <a:ext uri="{FF2B5EF4-FFF2-40B4-BE49-F238E27FC236}">
              <a16:creationId xmlns:a16="http://schemas.microsoft.com/office/drawing/2014/main" id="{59164283-AF16-4E48-AC34-4709A55173DA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28" name="Line 204">
          <a:extLst>
            <a:ext uri="{FF2B5EF4-FFF2-40B4-BE49-F238E27FC236}">
              <a16:creationId xmlns:a16="http://schemas.microsoft.com/office/drawing/2014/main" id="{5B0D5BC9-8B6B-415D-B219-FFD0FD3F6D80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29" name="Line 205">
          <a:extLst>
            <a:ext uri="{FF2B5EF4-FFF2-40B4-BE49-F238E27FC236}">
              <a16:creationId xmlns:a16="http://schemas.microsoft.com/office/drawing/2014/main" id="{00B9CDC9-700F-463E-A3C8-AA110C5B038B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30" name="Line 206">
          <a:extLst>
            <a:ext uri="{FF2B5EF4-FFF2-40B4-BE49-F238E27FC236}">
              <a16:creationId xmlns:a16="http://schemas.microsoft.com/office/drawing/2014/main" id="{4B46E32A-8C68-47F1-AE1B-B6849884589C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31" name="Line 207">
          <a:extLst>
            <a:ext uri="{FF2B5EF4-FFF2-40B4-BE49-F238E27FC236}">
              <a16:creationId xmlns:a16="http://schemas.microsoft.com/office/drawing/2014/main" id="{310FAC04-3092-4760-B8E8-657615DACAA3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32" name="Line 208">
          <a:extLst>
            <a:ext uri="{FF2B5EF4-FFF2-40B4-BE49-F238E27FC236}">
              <a16:creationId xmlns:a16="http://schemas.microsoft.com/office/drawing/2014/main" id="{B90997E3-9A08-4EED-B326-F41C5DB747C2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33" name="Line 209">
          <a:extLst>
            <a:ext uri="{FF2B5EF4-FFF2-40B4-BE49-F238E27FC236}">
              <a16:creationId xmlns:a16="http://schemas.microsoft.com/office/drawing/2014/main" id="{45522370-753F-4EB5-820B-8889058847F0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34" name="Line 210">
          <a:extLst>
            <a:ext uri="{FF2B5EF4-FFF2-40B4-BE49-F238E27FC236}">
              <a16:creationId xmlns:a16="http://schemas.microsoft.com/office/drawing/2014/main" id="{1EE4AC5B-E226-42FA-A1DA-3586B0D3713C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35" name="Line 211">
          <a:extLst>
            <a:ext uri="{FF2B5EF4-FFF2-40B4-BE49-F238E27FC236}">
              <a16:creationId xmlns:a16="http://schemas.microsoft.com/office/drawing/2014/main" id="{2CB9F075-DE50-4181-ACA2-806AF08E003A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36" name="Line 212">
          <a:extLst>
            <a:ext uri="{FF2B5EF4-FFF2-40B4-BE49-F238E27FC236}">
              <a16:creationId xmlns:a16="http://schemas.microsoft.com/office/drawing/2014/main" id="{44978BCB-89E9-4BB0-89D7-FD3AA5E254A8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37" name="Line 213">
          <a:extLst>
            <a:ext uri="{FF2B5EF4-FFF2-40B4-BE49-F238E27FC236}">
              <a16:creationId xmlns:a16="http://schemas.microsoft.com/office/drawing/2014/main" id="{FFF18FD0-2F72-4F7D-A562-A691EB28935E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38" name="Line 214">
          <a:extLst>
            <a:ext uri="{FF2B5EF4-FFF2-40B4-BE49-F238E27FC236}">
              <a16:creationId xmlns:a16="http://schemas.microsoft.com/office/drawing/2014/main" id="{7F34F527-8F6A-4AD0-8804-298E8BB64E21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39" name="Line 215">
          <a:extLst>
            <a:ext uri="{FF2B5EF4-FFF2-40B4-BE49-F238E27FC236}">
              <a16:creationId xmlns:a16="http://schemas.microsoft.com/office/drawing/2014/main" id="{15BF43EB-AF9F-4ED0-9B2F-DEF6C998E274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40" name="Line 216">
          <a:extLst>
            <a:ext uri="{FF2B5EF4-FFF2-40B4-BE49-F238E27FC236}">
              <a16:creationId xmlns:a16="http://schemas.microsoft.com/office/drawing/2014/main" id="{D07C179A-8D02-476D-9AA9-B205B1D59B43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41" name="Line 217">
          <a:extLst>
            <a:ext uri="{FF2B5EF4-FFF2-40B4-BE49-F238E27FC236}">
              <a16:creationId xmlns:a16="http://schemas.microsoft.com/office/drawing/2014/main" id="{810788F1-D0EA-4E35-9E03-977A3CB57D3D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42" name="Line 218">
          <a:extLst>
            <a:ext uri="{FF2B5EF4-FFF2-40B4-BE49-F238E27FC236}">
              <a16:creationId xmlns:a16="http://schemas.microsoft.com/office/drawing/2014/main" id="{B7C9CEF4-2753-4CC5-A781-19B4DAC78BC4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43" name="Line 219">
          <a:extLst>
            <a:ext uri="{FF2B5EF4-FFF2-40B4-BE49-F238E27FC236}">
              <a16:creationId xmlns:a16="http://schemas.microsoft.com/office/drawing/2014/main" id="{DCA946BA-BA09-4C48-A01B-0B23C62C5041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44" name="Line 220">
          <a:extLst>
            <a:ext uri="{FF2B5EF4-FFF2-40B4-BE49-F238E27FC236}">
              <a16:creationId xmlns:a16="http://schemas.microsoft.com/office/drawing/2014/main" id="{B19F38B9-BC76-4185-886C-10D908974E86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45" name="Line 221">
          <a:extLst>
            <a:ext uri="{FF2B5EF4-FFF2-40B4-BE49-F238E27FC236}">
              <a16:creationId xmlns:a16="http://schemas.microsoft.com/office/drawing/2014/main" id="{87A60113-B8C6-4902-B32C-20734EB680D5}"/>
            </a:ext>
          </a:extLst>
        </xdr:cNvPr>
        <xdr:cNvSpPr>
          <a:spLocks noChangeShapeType="1"/>
        </xdr:cNvSpPr>
      </xdr:nvSpPr>
      <xdr:spPr bwMode="auto">
        <a:xfrm flipH="1"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46" name="Line 222">
          <a:extLst>
            <a:ext uri="{FF2B5EF4-FFF2-40B4-BE49-F238E27FC236}">
              <a16:creationId xmlns:a16="http://schemas.microsoft.com/office/drawing/2014/main" id="{4E7423CF-A154-49EE-AFCE-7A3929155C38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47" name="Line 223">
          <a:extLst>
            <a:ext uri="{FF2B5EF4-FFF2-40B4-BE49-F238E27FC236}">
              <a16:creationId xmlns:a16="http://schemas.microsoft.com/office/drawing/2014/main" id="{2CDDE1A3-5BEF-44B5-84ED-07349641CA94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48" name="Line 224">
          <a:extLst>
            <a:ext uri="{FF2B5EF4-FFF2-40B4-BE49-F238E27FC236}">
              <a16:creationId xmlns:a16="http://schemas.microsoft.com/office/drawing/2014/main" id="{B0B03949-00D5-41A6-86EB-01B4B059C852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49" name="Line 225">
          <a:extLst>
            <a:ext uri="{FF2B5EF4-FFF2-40B4-BE49-F238E27FC236}">
              <a16:creationId xmlns:a16="http://schemas.microsoft.com/office/drawing/2014/main" id="{EB99D780-851F-47FE-886D-A85AB7E0C946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31750</xdr:colOff>
      <xdr:row>44</xdr:row>
      <xdr:rowOff>0</xdr:rowOff>
    </xdr:to>
    <xdr:sp macro="" textlink="">
      <xdr:nvSpPr>
        <xdr:cNvPr id="1250" name="Line 226">
          <a:extLst>
            <a:ext uri="{FF2B5EF4-FFF2-40B4-BE49-F238E27FC236}">
              <a16:creationId xmlns:a16="http://schemas.microsoft.com/office/drawing/2014/main" id="{BABB0751-905C-4642-8296-FB19C0E4061C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51" name="Line 227">
          <a:extLst>
            <a:ext uri="{FF2B5EF4-FFF2-40B4-BE49-F238E27FC236}">
              <a16:creationId xmlns:a16="http://schemas.microsoft.com/office/drawing/2014/main" id="{13AC198A-087C-49AB-86E5-CA88A839BB0A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52" name="Line 228">
          <a:extLst>
            <a:ext uri="{FF2B5EF4-FFF2-40B4-BE49-F238E27FC236}">
              <a16:creationId xmlns:a16="http://schemas.microsoft.com/office/drawing/2014/main" id="{623DED84-4FE9-47D4-8194-071BD725C1BC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53" name="Line 229">
          <a:extLst>
            <a:ext uri="{FF2B5EF4-FFF2-40B4-BE49-F238E27FC236}">
              <a16:creationId xmlns:a16="http://schemas.microsoft.com/office/drawing/2014/main" id="{50CA9229-853B-4D6F-AC41-A98B50375E14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54" name="Line 230">
          <a:extLst>
            <a:ext uri="{FF2B5EF4-FFF2-40B4-BE49-F238E27FC236}">
              <a16:creationId xmlns:a16="http://schemas.microsoft.com/office/drawing/2014/main" id="{15E5B2BF-4DF5-44A3-9A04-1EE62E8EEF3A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55" name="Line 231">
          <a:extLst>
            <a:ext uri="{FF2B5EF4-FFF2-40B4-BE49-F238E27FC236}">
              <a16:creationId xmlns:a16="http://schemas.microsoft.com/office/drawing/2014/main" id="{52B02C01-3878-4BD2-AAC8-018D2BFDE538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56" name="Line 232">
          <a:extLst>
            <a:ext uri="{FF2B5EF4-FFF2-40B4-BE49-F238E27FC236}">
              <a16:creationId xmlns:a16="http://schemas.microsoft.com/office/drawing/2014/main" id="{E32DBF07-2E7A-42FC-A401-0C30EBD22985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57" name="Line 233">
          <a:extLst>
            <a:ext uri="{FF2B5EF4-FFF2-40B4-BE49-F238E27FC236}">
              <a16:creationId xmlns:a16="http://schemas.microsoft.com/office/drawing/2014/main" id="{3932DD3E-8916-4F78-9CE7-660D861A3422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58" name="Line 234">
          <a:extLst>
            <a:ext uri="{FF2B5EF4-FFF2-40B4-BE49-F238E27FC236}">
              <a16:creationId xmlns:a16="http://schemas.microsoft.com/office/drawing/2014/main" id="{3F543221-F305-4C75-86E3-308CCD91936F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59" name="Line 235">
          <a:extLst>
            <a:ext uri="{FF2B5EF4-FFF2-40B4-BE49-F238E27FC236}">
              <a16:creationId xmlns:a16="http://schemas.microsoft.com/office/drawing/2014/main" id="{147AC3FC-EB37-4250-90BB-3717FBFD97CC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60" name="Line 236">
          <a:extLst>
            <a:ext uri="{FF2B5EF4-FFF2-40B4-BE49-F238E27FC236}">
              <a16:creationId xmlns:a16="http://schemas.microsoft.com/office/drawing/2014/main" id="{123AE28D-7496-4E7E-84FD-EA28961B65D6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61" name="Line 237">
          <a:extLst>
            <a:ext uri="{FF2B5EF4-FFF2-40B4-BE49-F238E27FC236}">
              <a16:creationId xmlns:a16="http://schemas.microsoft.com/office/drawing/2014/main" id="{7F5D6F90-741D-4944-B392-E8888C344C55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62" name="Line 238">
          <a:extLst>
            <a:ext uri="{FF2B5EF4-FFF2-40B4-BE49-F238E27FC236}">
              <a16:creationId xmlns:a16="http://schemas.microsoft.com/office/drawing/2014/main" id="{470B9C5F-C03D-4097-85A6-CCCEF8226436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63" name="Line 239">
          <a:extLst>
            <a:ext uri="{FF2B5EF4-FFF2-40B4-BE49-F238E27FC236}">
              <a16:creationId xmlns:a16="http://schemas.microsoft.com/office/drawing/2014/main" id="{40714DC0-2C15-441D-81A7-458E054C25F6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64" name="Line 240">
          <a:extLst>
            <a:ext uri="{FF2B5EF4-FFF2-40B4-BE49-F238E27FC236}">
              <a16:creationId xmlns:a16="http://schemas.microsoft.com/office/drawing/2014/main" id="{F4B1A996-8411-4568-B9C3-BF92AC0A214F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65" name="Line 241">
          <a:extLst>
            <a:ext uri="{FF2B5EF4-FFF2-40B4-BE49-F238E27FC236}">
              <a16:creationId xmlns:a16="http://schemas.microsoft.com/office/drawing/2014/main" id="{173B444A-EE02-402D-90AA-3EF8DA6476B5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66" name="Line 242">
          <a:extLst>
            <a:ext uri="{FF2B5EF4-FFF2-40B4-BE49-F238E27FC236}">
              <a16:creationId xmlns:a16="http://schemas.microsoft.com/office/drawing/2014/main" id="{EB9B18C0-5D9E-407A-81F9-84A679BB0B45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67" name="Line 243">
          <a:extLst>
            <a:ext uri="{FF2B5EF4-FFF2-40B4-BE49-F238E27FC236}">
              <a16:creationId xmlns:a16="http://schemas.microsoft.com/office/drawing/2014/main" id="{F5894394-F34C-4FC9-890B-3AE0183DA1C3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68" name="Line 244">
          <a:extLst>
            <a:ext uri="{FF2B5EF4-FFF2-40B4-BE49-F238E27FC236}">
              <a16:creationId xmlns:a16="http://schemas.microsoft.com/office/drawing/2014/main" id="{ECB36E79-92BF-4A80-AC32-1FB45B9759B1}"/>
            </a:ext>
          </a:extLst>
        </xdr:cNvPr>
        <xdr:cNvSpPr>
          <a:spLocks noChangeShapeType="1"/>
        </xdr:cNvSpPr>
      </xdr:nvSpPr>
      <xdr:spPr bwMode="auto">
        <a:xfrm flipH="1"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69" name="Line 245">
          <a:extLst>
            <a:ext uri="{FF2B5EF4-FFF2-40B4-BE49-F238E27FC236}">
              <a16:creationId xmlns:a16="http://schemas.microsoft.com/office/drawing/2014/main" id="{C41182C7-72D4-440C-B440-1F7D7D2381BB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70" name="Line 246">
          <a:extLst>
            <a:ext uri="{FF2B5EF4-FFF2-40B4-BE49-F238E27FC236}">
              <a16:creationId xmlns:a16="http://schemas.microsoft.com/office/drawing/2014/main" id="{E551C54B-33DF-4AB8-829A-9A5D39A6A7CD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71" name="Line 247">
          <a:extLst>
            <a:ext uri="{FF2B5EF4-FFF2-40B4-BE49-F238E27FC236}">
              <a16:creationId xmlns:a16="http://schemas.microsoft.com/office/drawing/2014/main" id="{DFC0BACE-A574-44F7-AC1B-E24EEA0A3F05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72" name="Line 248">
          <a:extLst>
            <a:ext uri="{FF2B5EF4-FFF2-40B4-BE49-F238E27FC236}">
              <a16:creationId xmlns:a16="http://schemas.microsoft.com/office/drawing/2014/main" id="{C079C197-FA20-4D02-A509-470D5B023854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31750</xdr:colOff>
      <xdr:row>44</xdr:row>
      <xdr:rowOff>0</xdr:rowOff>
    </xdr:to>
    <xdr:sp macro="" textlink="">
      <xdr:nvSpPr>
        <xdr:cNvPr id="1273" name="Line 249">
          <a:extLst>
            <a:ext uri="{FF2B5EF4-FFF2-40B4-BE49-F238E27FC236}">
              <a16:creationId xmlns:a16="http://schemas.microsoft.com/office/drawing/2014/main" id="{33E12FB8-A993-4849-B643-233DF30C9BC8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74" name="Line 250">
          <a:extLst>
            <a:ext uri="{FF2B5EF4-FFF2-40B4-BE49-F238E27FC236}">
              <a16:creationId xmlns:a16="http://schemas.microsoft.com/office/drawing/2014/main" id="{FF8AAEA9-1826-438F-8222-8C70C9F5C12A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75" name="Line 251">
          <a:extLst>
            <a:ext uri="{FF2B5EF4-FFF2-40B4-BE49-F238E27FC236}">
              <a16:creationId xmlns:a16="http://schemas.microsoft.com/office/drawing/2014/main" id="{56EF2832-5840-467A-8E4D-E3F8B57C4273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76" name="Line 252">
          <a:extLst>
            <a:ext uri="{FF2B5EF4-FFF2-40B4-BE49-F238E27FC236}">
              <a16:creationId xmlns:a16="http://schemas.microsoft.com/office/drawing/2014/main" id="{8D1028A7-BA7E-425E-823D-2820AD780974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77" name="Line 253">
          <a:extLst>
            <a:ext uri="{FF2B5EF4-FFF2-40B4-BE49-F238E27FC236}">
              <a16:creationId xmlns:a16="http://schemas.microsoft.com/office/drawing/2014/main" id="{61DE8131-8E07-41AD-81DC-B02C12964E9D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78" name="Line 254">
          <a:extLst>
            <a:ext uri="{FF2B5EF4-FFF2-40B4-BE49-F238E27FC236}">
              <a16:creationId xmlns:a16="http://schemas.microsoft.com/office/drawing/2014/main" id="{B28AA740-1420-4543-B7C0-403DFEBF9837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79" name="Line 255">
          <a:extLst>
            <a:ext uri="{FF2B5EF4-FFF2-40B4-BE49-F238E27FC236}">
              <a16:creationId xmlns:a16="http://schemas.microsoft.com/office/drawing/2014/main" id="{342FDC21-1742-4E62-981C-3D45AA687500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80" name="Line 256">
          <a:extLst>
            <a:ext uri="{FF2B5EF4-FFF2-40B4-BE49-F238E27FC236}">
              <a16:creationId xmlns:a16="http://schemas.microsoft.com/office/drawing/2014/main" id="{12F29AB0-E603-4BE7-95F0-AAAE3BBDF645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81" name="Line 257">
          <a:extLst>
            <a:ext uri="{FF2B5EF4-FFF2-40B4-BE49-F238E27FC236}">
              <a16:creationId xmlns:a16="http://schemas.microsoft.com/office/drawing/2014/main" id="{CA3FDA56-FB1D-438C-83C1-A412C240090D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82" name="Line 258">
          <a:extLst>
            <a:ext uri="{FF2B5EF4-FFF2-40B4-BE49-F238E27FC236}">
              <a16:creationId xmlns:a16="http://schemas.microsoft.com/office/drawing/2014/main" id="{E8FD79AB-715B-45F7-8E53-2C77387D3C17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83" name="Line 259">
          <a:extLst>
            <a:ext uri="{FF2B5EF4-FFF2-40B4-BE49-F238E27FC236}">
              <a16:creationId xmlns:a16="http://schemas.microsoft.com/office/drawing/2014/main" id="{B5E9F891-E268-4A33-9BE2-1B8D679F88F9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84" name="Line 260">
          <a:extLst>
            <a:ext uri="{FF2B5EF4-FFF2-40B4-BE49-F238E27FC236}">
              <a16:creationId xmlns:a16="http://schemas.microsoft.com/office/drawing/2014/main" id="{68BACC13-2959-4C79-A991-C9C86D6C8227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85" name="Line 261">
          <a:extLst>
            <a:ext uri="{FF2B5EF4-FFF2-40B4-BE49-F238E27FC236}">
              <a16:creationId xmlns:a16="http://schemas.microsoft.com/office/drawing/2014/main" id="{668063A6-5919-4629-94C5-282C9D030590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86" name="Line 262">
          <a:extLst>
            <a:ext uri="{FF2B5EF4-FFF2-40B4-BE49-F238E27FC236}">
              <a16:creationId xmlns:a16="http://schemas.microsoft.com/office/drawing/2014/main" id="{00ECACBB-3ECB-4655-B9BB-522BE43554D0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87" name="Line 263">
          <a:extLst>
            <a:ext uri="{FF2B5EF4-FFF2-40B4-BE49-F238E27FC236}">
              <a16:creationId xmlns:a16="http://schemas.microsoft.com/office/drawing/2014/main" id="{33F93041-845A-49B3-A77F-400466A364BC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88" name="Line 264">
          <a:extLst>
            <a:ext uri="{FF2B5EF4-FFF2-40B4-BE49-F238E27FC236}">
              <a16:creationId xmlns:a16="http://schemas.microsoft.com/office/drawing/2014/main" id="{19FFDC1D-AE91-4B28-87DF-74413EB2F441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89" name="Line 265">
          <a:extLst>
            <a:ext uri="{FF2B5EF4-FFF2-40B4-BE49-F238E27FC236}">
              <a16:creationId xmlns:a16="http://schemas.microsoft.com/office/drawing/2014/main" id="{CADDF39A-BB42-49F0-B120-05AD81D401DD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90" name="Line 266">
          <a:extLst>
            <a:ext uri="{FF2B5EF4-FFF2-40B4-BE49-F238E27FC236}">
              <a16:creationId xmlns:a16="http://schemas.microsoft.com/office/drawing/2014/main" id="{793CE828-8875-4E4A-9B9F-B0CA044CB1E0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91" name="Line 267">
          <a:extLst>
            <a:ext uri="{FF2B5EF4-FFF2-40B4-BE49-F238E27FC236}">
              <a16:creationId xmlns:a16="http://schemas.microsoft.com/office/drawing/2014/main" id="{ACB2BDAB-BC88-4F98-843C-A9557CD7A260}"/>
            </a:ext>
          </a:extLst>
        </xdr:cNvPr>
        <xdr:cNvSpPr>
          <a:spLocks noChangeShapeType="1"/>
        </xdr:cNvSpPr>
      </xdr:nvSpPr>
      <xdr:spPr bwMode="auto">
        <a:xfrm flipH="1"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92" name="Line 268">
          <a:extLst>
            <a:ext uri="{FF2B5EF4-FFF2-40B4-BE49-F238E27FC236}">
              <a16:creationId xmlns:a16="http://schemas.microsoft.com/office/drawing/2014/main" id="{A9AD34C4-6EFE-4231-9336-E30A3E1426C1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93" name="Line 269">
          <a:extLst>
            <a:ext uri="{FF2B5EF4-FFF2-40B4-BE49-F238E27FC236}">
              <a16:creationId xmlns:a16="http://schemas.microsoft.com/office/drawing/2014/main" id="{969A9BE5-E0DB-48D6-99B6-B462BDF2B749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94" name="Line 270">
          <a:extLst>
            <a:ext uri="{FF2B5EF4-FFF2-40B4-BE49-F238E27FC236}">
              <a16:creationId xmlns:a16="http://schemas.microsoft.com/office/drawing/2014/main" id="{2B56901C-4118-4D53-B718-E2B8A0313276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95" name="Line 271">
          <a:extLst>
            <a:ext uri="{FF2B5EF4-FFF2-40B4-BE49-F238E27FC236}">
              <a16:creationId xmlns:a16="http://schemas.microsoft.com/office/drawing/2014/main" id="{D375C83F-5D30-453A-9CC9-B93E3BC470E3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31750</xdr:colOff>
      <xdr:row>44</xdr:row>
      <xdr:rowOff>0</xdr:rowOff>
    </xdr:to>
    <xdr:sp macro="" textlink="">
      <xdr:nvSpPr>
        <xdr:cNvPr id="1296" name="Line 272">
          <a:extLst>
            <a:ext uri="{FF2B5EF4-FFF2-40B4-BE49-F238E27FC236}">
              <a16:creationId xmlns:a16="http://schemas.microsoft.com/office/drawing/2014/main" id="{42B32F58-BF59-46EB-947C-AD70E74E79B0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97" name="Line 273">
          <a:extLst>
            <a:ext uri="{FF2B5EF4-FFF2-40B4-BE49-F238E27FC236}">
              <a16:creationId xmlns:a16="http://schemas.microsoft.com/office/drawing/2014/main" id="{230A2473-272C-4A73-8440-4A6D4A128EBB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98" name="Line 274">
          <a:extLst>
            <a:ext uri="{FF2B5EF4-FFF2-40B4-BE49-F238E27FC236}">
              <a16:creationId xmlns:a16="http://schemas.microsoft.com/office/drawing/2014/main" id="{2428A72B-6894-4706-9153-968F450A9DBB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299" name="Line 275">
          <a:extLst>
            <a:ext uri="{FF2B5EF4-FFF2-40B4-BE49-F238E27FC236}">
              <a16:creationId xmlns:a16="http://schemas.microsoft.com/office/drawing/2014/main" id="{8D6CEDAB-0016-4B65-8E3A-DCE54BE224F1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00" name="Line 276">
          <a:extLst>
            <a:ext uri="{FF2B5EF4-FFF2-40B4-BE49-F238E27FC236}">
              <a16:creationId xmlns:a16="http://schemas.microsoft.com/office/drawing/2014/main" id="{8FF5F8DB-B9AC-4647-8859-19EA9E7A8237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01" name="Line 277">
          <a:extLst>
            <a:ext uri="{FF2B5EF4-FFF2-40B4-BE49-F238E27FC236}">
              <a16:creationId xmlns:a16="http://schemas.microsoft.com/office/drawing/2014/main" id="{C7BE402F-CAC8-4A24-A711-779FD7041909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02" name="Line 278">
          <a:extLst>
            <a:ext uri="{FF2B5EF4-FFF2-40B4-BE49-F238E27FC236}">
              <a16:creationId xmlns:a16="http://schemas.microsoft.com/office/drawing/2014/main" id="{A1A64568-A371-45A7-BA09-A9919A5B12F3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03" name="Line 279">
          <a:extLst>
            <a:ext uri="{FF2B5EF4-FFF2-40B4-BE49-F238E27FC236}">
              <a16:creationId xmlns:a16="http://schemas.microsoft.com/office/drawing/2014/main" id="{08C70932-6E2F-4CA9-9E8A-5F7715E7B038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04" name="Line 280">
          <a:extLst>
            <a:ext uri="{FF2B5EF4-FFF2-40B4-BE49-F238E27FC236}">
              <a16:creationId xmlns:a16="http://schemas.microsoft.com/office/drawing/2014/main" id="{30730CFA-5D0B-4746-813D-B2F700B3EA67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05" name="Line 281">
          <a:extLst>
            <a:ext uri="{FF2B5EF4-FFF2-40B4-BE49-F238E27FC236}">
              <a16:creationId xmlns:a16="http://schemas.microsoft.com/office/drawing/2014/main" id="{1ECD7E33-240F-4E76-A9FD-E51BEE748366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06" name="Line 282">
          <a:extLst>
            <a:ext uri="{FF2B5EF4-FFF2-40B4-BE49-F238E27FC236}">
              <a16:creationId xmlns:a16="http://schemas.microsoft.com/office/drawing/2014/main" id="{A370E2D4-F39F-4575-8794-B383A022B46F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07" name="Line 283">
          <a:extLst>
            <a:ext uri="{FF2B5EF4-FFF2-40B4-BE49-F238E27FC236}">
              <a16:creationId xmlns:a16="http://schemas.microsoft.com/office/drawing/2014/main" id="{E7E3C1AE-F105-4493-A3AF-34A982FCAD76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08" name="Line 284">
          <a:extLst>
            <a:ext uri="{FF2B5EF4-FFF2-40B4-BE49-F238E27FC236}">
              <a16:creationId xmlns:a16="http://schemas.microsoft.com/office/drawing/2014/main" id="{D0A26678-3F02-494A-93A4-962CE9FD2328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09" name="Line 285">
          <a:extLst>
            <a:ext uri="{FF2B5EF4-FFF2-40B4-BE49-F238E27FC236}">
              <a16:creationId xmlns:a16="http://schemas.microsoft.com/office/drawing/2014/main" id="{72F0D2CF-6974-4B90-B7CA-4DDE875D01B2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10" name="Line 286">
          <a:extLst>
            <a:ext uri="{FF2B5EF4-FFF2-40B4-BE49-F238E27FC236}">
              <a16:creationId xmlns:a16="http://schemas.microsoft.com/office/drawing/2014/main" id="{43AE5B88-CDAE-4984-B9B2-D961190DCBE9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11" name="Line 287">
          <a:extLst>
            <a:ext uri="{FF2B5EF4-FFF2-40B4-BE49-F238E27FC236}">
              <a16:creationId xmlns:a16="http://schemas.microsoft.com/office/drawing/2014/main" id="{FA22385B-EE9F-46DB-9001-D61AF3A173D1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12" name="Line 288">
          <a:extLst>
            <a:ext uri="{FF2B5EF4-FFF2-40B4-BE49-F238E27FC236}">
              <a16:creationId xmlns:a16="http://schemas.microsoft.com/office/drawing/2014/main" id="{60736C13-FCEA-4251-AD2D-0BF4BA446E1D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13" name="Line 289">
          <a:extLst>
            <a:ext uri="{FF2B5EF4-FFF2-40B4-BE49-F238E27FC236}">
              <a16:creationId xmlns:a16="http://schemas.microsoft.com/office/drawing/2014/main" id="{389630A1-C6F4-4978-819A-947B6A5618E8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14" name="Line 290">
          <a:extLst>
            <a:ext uri="{FF2B5EF4-FFF2-40B4-BE49-F238E27FC236}">
              <a16:creationId xmlns:a16="http://schemas.microsoft.com/office/drawing/2014/main" id="{C742F53D-4A7C-4A1C-BEE4-B8672811D6CE}"/>
            </a:ext>
          </a:extLst>
        </xdr:cNvPr>
        <xdr:cNvSpPr>
          <a:spLocks noChangeShapeType="1"/>
        </xdr:cNvSpPr>
      </xdr:nvSpPr>
      <xdr:spPr bwMode="auto">
        <a:xfrm flipH="1"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15" name="Line 291">
          <a:extLst>
            <a:ext uri="{FF2B5EF4-FFF2-40B4-BE49-F238E27FC236}">
              <a16:creationId xmlns:a16="http://schemas.microsoft.com/office/drawing/2014/main" id="{21CA4F94-05B6-4C02-84F0-FEFA3C29B4E4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16" name="Line 292">
          <a:extLst>
            <a:ext uri="{FF2B5EF4-FFF2-40B4-BE49-F238E27FC236}">
              <a16:creationId xmlns:a16="http://schemas.microsoft.com/office/drawing/2014/main" id="{56AF4AA1-7CD8-46ED-A253-DBB7725AEB9A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17" name="Line 293">
          <a:extLst>
            <a:ext uri="{FF2B5EF4-FFF2-40B4-BE49-F238E27FC236}">
              <a16:creationId xmlns:a16="http://schemas.microsoft.com/office/drawing/2014/main" id="{1EC3C51D-7008-4A6A-B38F-BE2D8F447D62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18" name="Line 294">
          <a:extLst>
            <a:ext uri="{FF2B5EF4-FFF2-40B4-BE49-F238E27FC236}">
              <a16:creationId xmlns:a16="http://schemas.microsoft.com/office/drawing/2014/main" id="{D6BC8119-30B5-4354-B499-8B2844A0ABDA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31750</xdr:colOff>
      <xdr:row>44</xdr:row>
      <xdr:rowOff>0</xdr:rowOff>
    </xdr:to>
    <xdr:sp macro="" textlink="">
      <xdr:nvSpPr>
        <xdr:cNvPr id="1319" name="Line 295">
          <a:extLst>
            <a:ext uri="{FF2B5EF4-FFF2-40B4-BE49-F238E27FC236}">
              <a16:creationId xmlns:a16="http://schemas.microsoft.com/office/drawing/2014/main" id="{632BC873-7FDE-4803-95C6-44DBEDC10B08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20" name="Line 296">
          <a:extLst>
            <a:ext uri="{FF2B5EF4-FFF2-40B4-BE49-F238E27FC236}">
              <a16:creationId xmlns:a16="http://schemas.microsoft.com/office/drawing/2014/main" id="{5AD68357-AAF9-4599-8463-24C9945146EA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21" name="Line 297">
          <a:extLst>
            <a:ext uri="{FF2B5EF4-FFF2-40B4-BE49-F238E27FC236}">
              <a16:creationId xmlns:a16="http://schemas.microsoft.com/office/drawing/2014/main" id="{2D4C0E66-D1AD-4687-85E1-4F5513384B49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22" name="Line 298">
          <a:extLst>
            <a:ext uri="{FF2B5EF4-FFF2-40B4-BE49-F238E27FC236}">
              <a16:creationId xmlns:a16="http://schemas.microsoft.com/office/drawing/2014/main" id="{79069FAB-4BD9-402E-B834-945CD0E0C044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23" name="Line 299">
          <a:extLst>
            <a:ext uri="{FF2B5EF4-FFF2-40B4-BE49-F238E27FC236}">
              <a16:creationId xmlns:a16="http://schemas.microsoft.com/office/drawing/2014/main" id="{5B4348AE-AFB3-4E1B-8210-41316A2E99DD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24" name="Line 300">
          <a:extLst>
            <a:ext uri="{FF2B5EF4-FFF2-40B4-BE49-F238E27FC236}">
              <a16:creationId xmlns:a16="http://schemas.microsoft.com/office/drawing/2014/main" id="{8742BC51-6205-4717-9790-6B7EC25D9B0A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25" name="Line 301">
          <a:extLst>
            <a:ext uri="{FF2B5EF4-FFF2-40B4-BE49-F238E27FC236}">
              <a16:creationId xmlns:a16="http://schemas.microsoft.com/office/drawing/2014/main" id="{A3D39E7D-A1AF-46BE-BDE9-210F069B1D06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26" name="Line 302">
          <a:extLst>
            <a:ext uri="{FF2B5EF4-FFF2-40B4-BE49-F238E27FC236}">
              <a16:creationId xmlns:a16="http://schemas.microsoft.com/office/drawing/2014/main" id="{3DF7BC13-BA88-4CEA-910D-4E1C98699473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27" name="Line 303">
          <a:extLst>
            <a:ext uri="{FF2B5EF4-FFF2-40B4-BE49-F238E27FC236}">
              <a16:creationId xmlns:a16="http://schemas.microsoft.com/office/drawing/2014/main" id="{D115CBEA-EE58-488A-A1AC-04BE064C55D7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28" name="Line 304">
          <a:extLst>
            <a:ext uri="{FF2B5EF4-FFF2-40B4-BE49-F238E27FC236}">
              <a16:creationId xmlns:a16="http://schemas.microsoft.com/office/drawing/2014/main" id="{BBCAF7CC-E5CF-4FB6-92D7-E56D86224FF4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29" name="Line 305">
          <a:extLst>
            <a:ext uri="{FF2B5EF4-FFF2-40B4-BE49-F238E27FC236}">
              <a16:creationId xmlns:a16="http://schemas.microsoft.com/office/drawing/2014/main" id="{51120DCF-B2E7-495D-8445-72B19CD43AB1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30" name="Line 306">
          <a:extLst>
            <a:ext uri="{FF2B5EF4-FFF2-40B4-BE49-F238E27FC236}">
              <a16:creationId xmlns:a16="http://schemas.microsoft.com/office/drawing/2014/main" id="{7954198F-96AD-4F39-87B2-F47C98027BE2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31" name="Line 307">
          <a:extLst>
            <a:ext uri="{FF2B5EF4-FFF2-40B4-BE49-F238E27FC236}">
              <a16:creationId xmlns:a16="http://schemas.microsoft.com/office/drawing/2014/main" id="{DB16FB40-ECA8-4148-81FB-AAA625877729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32" name="Line 308">
          <a:extLst>
            <a:ext uri="{FF2B5EF4-FFF2-40B4-BE49-F238E27FC236}">
              <a16:creationId xmlns:a16="http://schemas.microsoft.com/office/drawing/2014/main" id="{69AFB3B5-3350-4715-973F-9DD4E38E344E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33" name="Line 309">
          <a:extLst>
            <a:ext uri="{FF2B5EF4-FFF2-40B4-BE49-F238E27FC236}">
              <a16:creationId xmlns:a16="http://schemas.microsoft.com/office/drawing/2014/main" id="{ECBD3005-8DD5-4CC3-85F6-F77E2752DF95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34" name="Line 310">
          <a:extLst>
            <a:ext uri="{FF2B5EF4-FFF2-40B4-BE49-F238E27FC236}">
              <a16:creationId xmlns:a16="http://schemas.microsoft.com/office/drawing/2014/main" id="{8FFF7FE8-FAB3-46A6-A988-2A45B6F79CD6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35" name="Line 311">
          <a:extLst>
            <a:ext uri="{FF2B5EF4-FFF2-40B4-BE49-F238E27FC236}">
              <a16:creationId xmlns:a16="http://schemas.microsoft.com/office/drawing/2014/main" id="{6AF7D4AB-5AFB-4B48-86B3-837A73437557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36" name="Line 312">
          <a:extLst>
            <a:ext uri="{FF2B5EF4-FFF2-40B4-BE49-F238E27FC236}">
              <a16:creationId xmlns:a16="http://schemas.microsoft.com/office/drawing/2014/main" id="{EF069B33-31B9-4851-815B-2598CB9ED476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37" name="Line 313">
          <a:extLst>
            <a:ext uri="{FF2B5EF4-FFF2-40B4-BE49-F238E27FC236}">
              <a16:creationId xmlns:a16="http://schemas.microsoft.com/office/drawing/2014/main" id="{FF99E531-7CCE-419E-A519-978FDEEFBC68}"/>
            </a:ext>
          </a:extLst>
        </xdr:cNvPr>
        <xdr:cNvSpPr>
          <a:spLocks noChangeShapeType="1"/>
        </xdr:cNvSpPr>
      </xdr:nvSpPr>
      <xdr:spPr bwMode="auto">
        <a:xfrm flipH="1"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38" name="Line 314">
          <a:extLst>
            <a:ext uri="{FF2B5EF4-FFF2-40B4-BE49-F238E27FC236}">
              <a16:creationId xmlns:a16="http://schemas.microsoft.com/office/drawing/2014/main" id="{9B2D4DAE-55D4-4AF6-9CC4-B45CBC26B812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39" name="Line 315">
          <a:extLst>
            <a:ext uri="{FF2B5EF4-FFF2-40B4-BE49-F238E27FC236}">
              <a16:creationId xmlns:a16="http://schemas.microsoft.com/office/drawing/2014/main" id="{45E85A20-C5A0-4E51-9C14-BF9C62C78AFE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40" name="Line 316">
          <a:extLst>
            <a:ext uri="{FF2B5EF4-FFF2-40B4-BE49-F238E27FC236}">
              <a16:creationId xmlns:a16="http://schemas.microsoft.com/office/drawing/2014/main" id="{A05D81CC-202E-4D9B-B91A-5DB3464F55BC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41" name="Line 317">
          <a:extLst>
            <a:ext uri="{FF2B5EF4-FFF2-40B4-BE49-F238E27FC236}">
              <a16:creationId xmlns:a16="http://schemas.microsoft.com/office/drawing/2014/main" id="{E226751A-03D8-4850-8DB0-13F166000496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31750</xdr:colOff>
      <xdr:row>44</xdr:row>
      <xdr:rowOff>0</xdr:rowOff>
    </xdr:to>
    <xdr:sp macro="" textlink="">
      <xdr:nvSpPr>
        <xdr:cNvPr id="1342" name="Line 318">
          <a:extLst>
            <a:ext uri="{FF2B5EF4-FFF2-40B4-BE49-F238E27FC236}">
              <a16:creationId xmlns:a16="http://schemas.microsoft.com/office/drawing/2014/main" id="{3DE30040-694B-4AB8-9ED1-B301D70096D1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43" name="Line 319">
          <a:extLst>
            <a:ext uri="{FF2B5EF4-FFF2-40B4-BE49-F238E27FC236}">
              <a16:creationId xmlns:a16="http://schemas.microsoft.com/office/drawing/2014/main" id="{79081439-3ED4-4775-BB37-7749C0A5D159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44" name="Line 320">
          <a:extLst>
            <a:ext uri="{FF2B5EF4-FFF2-40B4-BE49-F238E27FC236}">
              <a16:creationId xmlns:a16="http://schemas.microsoft.com/office/drawing/2014/main" id="{2D7BCE08-7820-4495-8757-8B5A168CB150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45" name="Line 321">
          <a:extLst>
            <a:ext uri="{FF2B5EF4-FFF2-40B4-BE49-F238E27FC236}">
              <a16:creationId xmlns:a16="http://schemas.microsoft.com/office/drawing/2014/main" id="{4A9092BA-D625-4E9B-AF27-6FE71DE16CE7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46" name="Line 322">
          <a:extLst>
            <a:ext uri="{FF2B5EF4-FFF2-40B4-BE49-F238E27FC236}">
              <a16:creationId xmlns:a16="http://schemas.microsoft.com/office/drawing/2014/main" id="{7825C748-E08D-4BBE-950B-B26CCA629710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47" name="Line 323">
          <a:extLst>
            <a:ext uri="{FF2B5EF4-FFF2-40B4-BE49-F238E27FC236}">
              <a16:creationId xmlns:a16="http://schemas.microsoft.com/office/drawing/2014/main" id="{1C5FE0AD-D77B-4A80-A7DC-E61B73F7672F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48" name="Line 324">
          <a:extLst>
            <a:ext uri="{FF2B5EF4-FFF2-40B4-BE49-F238E27FC236}">
              <a16:creationId xmlns:a16="http://schemas.microsoft.com/office/drawing/2014/main" id="{73FBE9DA-3C49-44F4-9B71-20E4AA757427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49" name="Line 325">
          <a:extLst>
            <a:ext uri="{FF2B5EF4-FFF2-40B4-BE49-F238E27FC236}">
              <a16:creationId xmlns:a16="http://schemas.microsoft.com/office/drawing/2014/main" id="{7BFD334F-937F-41AB-B0ED-CCE99783544B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50" name="Line 326">
          <a:extLst>
            <a:ext uri="{FF2B5EF4-FFF2-40B4-BE49-F238E27FC236}">
              <a16:creationId xmlns:a16="http://schemas.microsoft.com/office/drawing/2014/main" id="{2F8F2429-7C35-49E0-B64D-2B5DCDBA7D15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51" name="Line 327">
          <a:extLst>
            <a:ext uri="{FF2B5EF4-FFF2-40B4-BE49-F238E27FC236}">
              <a16:creationId xmlns:a16="http://schemas.microsoft.com/office/drawing/2014/main" id="{FB77DDFF-B6FB-493F-9F07-EA48F547E72B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52" name="Line 328">
          <a:extLst>
            <a:ext uri="{FF2B5EF4-FFF2-40B4-BE49-F238E27FC236}">
              <a16:creationId xmlns:a16="http://schemas.microsoft.com/office/drawing/2014/main" id="{ABACB984-F8A9-4E28-AF6F-02476C7EBA82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53" name="Line 329">
          <a:extLst>
            <a:ext uri="{FF2B5EF4-FFF2-40B4-BE49-F238E27FC236}">
              <a16:creationId xmlns:a16="http://schemas.microsoft.com/office/drawing/2014/main" id="{06184EE1-B586-4017-B99F-0791EFC8CBE5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54" name="Line 330">
          <a:extLst>
            <a:ext uri="{FF2B5EF4-FFF2-40B4-BE49-F238E27FC236}">
              <a16:creationId xmlns:a16="http://schemas.microsoft.com/office/drawing/2014/main" id="{E908112E-FABE-4E29-A521-F3A3305B6F60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55" name="Line 331">
          <a:extLst>
            <a:ext uri="{FF2B5EF4-FFF2-40B4-BE49-F238E27FC236}">
              <a16:creationId xmlns:a16="http://schemas.microsoft.com/office/drawing/2014/main" id="{CA3BE539-FBC7-4806-82B7-DA2FC21420F3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56" name="Line 332">
          <a:extLst>
            <a:ext uri="{FF2B5EF4-FFF2-40B4-BE49-F238E27FC236}">
              <a16:creationId xmlns:a16="http://schemas.microsoft.com/office/drawing/2014/main" id="{02F39580-FBBD-40A7-81E0-6B7B1F570609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57" name="Line 333">
          <a:extLst>
            <a:ext uri="{FF2B5EF4-FFF2-40B4-BE49-F238E27FC236}">
              <a16:creationId xmlns:a16="http://schemas.microsoft.com/office/drawing/2014/main" id="{9B584C68-D890-45BE-952D-B128D51C6D62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58" name="Line 334">
          <a:extLst>
            <a:ext uri="{FF2B5EF4-FFF2-40B4-BE49-F238E27FC236}">
              <a16:creationId xmlns:a16="http://schemas.microsoft.com/office/drawing/2014/main" id="{7DE0821A-6CC5-4983-A2E9-D72EAB3725EB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59" name="Line 335">
          <a:extLst>
            <a:ext uri="{FF2B5EF4-FFF2-40B4-BE49-F238E27FC236}">
              <a16:creationId xmlns:a16="http://schemas.microsoft.com/office/drawing/2014/main" id="{E758B594-CD24-45D5-BBEC-2EE80AE72E65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60" name="Line 336">
          <a:extLst>
            <a:ext uri="{FF2B5EF4-FFF2-40B4-BE49-F238E27FC236}">
              <a16:creationId xmlns:a16="http://schemas.microsoft.com/office/drawing/2014/main" id="{773A4D2D-8CC5-46A1-BEFA-5BC68689D897}"/>
            </a:ext>
          </a:extLst>
        </xdr:cNvPr>
        <xdr:cNvSpPr>
          <a:spLocks noChangeShapeType="1"/>
        </xdr:cNvSpPr>
      </xdr:nvSpPr>
      <xdr:spPr bwMode="auto">
        <a:xfrm flipH="1"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61" name="Line 337">
          <a:extLst>
            <a:ext uri="{FF2B5EF4-FFF2-40B4-BE49-F238E27FC236}">
              <a16:creationId xmlns:a16="http://schemas.microsoft.com/office/drawing/2014/main" id="{68DA5D97-5184-485E-BE22-18B4BF891DFB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62" name="Line 338">
          <a:extLst>
            <a:ext uri="{FF2B5EF4-FFF2-40B4-BE49-F238E27FC236}">
              <a16:creationId xmlns:a16="http://schemas.microsoft.com/office/drawing/2014/main" id="{CCFB00E0-1996-4CDD-B7A2-8568F6EE983D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63" name="Line 339">
          <a:extLst>
            <a:ext uri="{FF2B5EF4-FFF2-40B4-BE49-F238E27FC236}">
              <a16:creationId xmlns:a16="http://schemas.microsoft.com/office/drawing/2014/main" id="{F24DD3AE-DE4E-4922-9CD3-1D9AEA614BEA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64" name="Line 340">
          <a:extLst>
            <a:ext uri="{FF2B5EF4-FFF2-40B4-BE49-F238E27FC236}">
              <a16:creationId xmlns:a16="http://schemas.microsoft.com/office/drawing/2014/main" id="{FDB2CB03-166B-4DC1-BF05-C8D5C1A4F2F0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31750</xdr:colOff>
      <xdr:row>44</xdr:row>
      <xdr:rowOff>0</xdr:rowOff>
    </xdr:to>
    <xdr:sp macro="" textlink="">
      <xdr:nvSpPr>
        <xdr:cNvPr id="1365" name="Line 341">
          <a:extLst>
            <a:ext uri="{FF2B5EF4-FFF2-40B4-BE49-F238E27FC236}">
              <a16:creationId xmlns:a16="http://schemas.microsoft.com/office/drawing/2014/main" id="{649A63D8-047D-4F3D-B0E8-B77E08A79221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66" name="Line 342">
          <a:extLst>
            <a:ext uri="{FF2B5EF4-FFF2-40B4-BE49-F238E27FC236}">
              <a16:creationId xmlns:a16="http://schemas.microsoft.com/office/drawing/2014/main" id="{AD262571-3B4B-47F8-AEC0-C1C0D554E5B7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67" name="Line 343">
          <a:extLst>
            <a:ext uri="{FF2B5EF4-FFF2-40B4-BE49-F238E27FC236}">
              <a16:creationId xmlns:a16="http://schemas.microsoft.com/office/drawing/2014/main" id="{8E9410A0-8937-4938-AC48-8C564A849155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68" name="Line 344">
          <a:extLst>
            <a:ext uri="{FF2B5EF4-FFF2-40B4-BE49-F238E27FC236}">
              <a16:creationId xmlns:a16="http://schemas.microsoft.com/office/drawing/2014/main" id="{C8573E6D-967A-4E39-AA91-CD027E2FD5B7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69" name="Line 345">
          <a:extLst>
            <a:ext uri="{FF2B5EF4-FFF2-40B4-BE49-F238E27FC236}">
              <a16:creationId xmlns:a16="http://schemas.microsoft.com/office/drawing/2014/main" id="{A76D21BE-985A-4BE1-91E5-67D4BDDE2F5D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70" name="Line 346">
          <a:extLst>
            <a:ext uri="{FF2B5EF4-FFF2-40B4-BE49-F238E27FC236}">
              <a16:creationId xmlns:a16="http://schemas.microsoft.com/office/drawing/2014/main" id="{46B9A6AA-EDC2-40EA-88A3-C8AE077B249F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71" name="Line 347">
          <a:extLst>
            <a:ext uri="{FF2B5EF4-FFF2-40B4-BE49-F238E27FC236}">
              <a16:creationId xmlns:a16="http://schemas.microsoft.com/office/drawing/2014/main" id="{094764E4-1890-4A5B-A63E-00E64B0FE6F5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72" name="Line 348">
          <a:extLst>
            <a:ext uri="{FF2B5EF4-FFF2-40B4-BE49-F238E27FC236}">
              <a16:creationId xmlns:a16="http://schemas.microsoft.com/office/drawing/2014/main" id="{35200CAD-0911-405E-A10B-7BC70E6C9658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73" name="Line 349">
          <a:extLst>
            <a:ext uri="{FF2B5EF4-FFF2-40B4-BE49-F238E27FC236}">
              <a16:creationId xmlns:a16="http://schemas.microsoft.com/office/drawing/2014/main" id="{02E1C4F8-01D7-4734-AC50-A5D5F5DA7F34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74" name="Line 350">
          <a:extLst>
            <a:ext uri="{FF2B5EF4-FFF2-40B4-BE49-F238E27FC236}">
              <a16:creationId xmlns:a16="http://schemas.microsoft.com/office/drawing/2014/main" id="{710AF514-0EFA-42A9-ABB9-BD93024DDD4F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75" name="Line 351">
          <a:extLst>
            <a:ext uri="{FF2B5EF4-FFF2-40B4-BE49-F238E27FC236}">
              <a16:creationId xmlns:a16="http://schemas.microsoft.com/office/drawing/2014/main" id="{96B08B74-4B5F-4AA8-ACC5-E22E6B238C9C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76" name="Line 352">
          <a:extLst>
            <a:ext uri="{FF2B5EF4-FFF2-40B4-BE49-F238E27FC236}">
              <a16:creationId xmlns:a16="http://schemas.microsoft.com/office/drawing/2014/main" id="{C31C3299-0FBC-4EAB-BDDF-82B982501730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77" name="Line 353">
          <a:extLst>
            <a:ext uri="{FF2B5EF4-FFF2-40B4-BE49-F238E27FC236}">
              <a16:creationId xmlns:a16="http://schemas.microsoft.com/office/drawing/2014/main" id="{178B584B-651F-45FE-AFDD-60BA58DC5967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78" name="Line 354">
          <a:extLst>
            <a:ext uri="{FF2B5EF4-FFF2-40B4-BE49-F238E27FC236}">
              <a16:creationId xmlns:a16="http://schemas.microsoft.com/office/drawing/2014/main" id="{48B136DF-E207-4EB0-B5B4-024D9E4B7E08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79" name="Line 355">
          <a:extLst>
            <a:ext uri="{FF2B5EF4-FFF2-40B4-BE49-F238E27FC236}">
              <a16:creationId xmlns:a16="http://schemas.microsoft.com/office/drawing/2014/main" id="{C5899664-8424-4151-9408-82D61EC4D57D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80" name="Line 356">
          <a:extLst>
            <a:ext uri="{FF2B5EF4-FFF2-40B4-BE49-F238E27FC236}">
              <a16:creationId xmlns:a16="http://schemas.microsoft.com/office/drawing/2014/main" id="{5055382F-1D17-40B0-9FEF-F7CA51F12AA1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81" name="Line 357">
          <a:extLst>
            <a:ext uri="{FF2B5EF4-FFF2-40B4-BE49-F238E27FC236}">
              <a16:creationId xmlns:a16="http://schemas.microsoft.com/office/drawing/2014/main" id="{4F1A5668-C307-4EF1-AE1B-0842E28D89EA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82" name="Line 358">
          <a:extLst>
            <a:ext uri="{FF2B5EF4-FFF2-40B4-BE49-F238E27FC236}">
              <a16:creationId xmlns:a16="http://schemas.microsoft.com/office/drawing/2014/main" id="{6BFB9F3F-AEED-40F6-9E4B-1A74C771CF07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83" name="Line 359">
          <a:extLst>
            <a:ext uri="{FF2B5EF4-FFF2-40B4-BE49-F238E27FC236}">
              <a16:creationId xmlns:a16="http://schemas.microsoft.com/office/drawing/2014/main" id="{CF01B459-81D2-46EB-A4BD-C00755A9D3D2}"/>
            </a:ext>
          </a:extLst>
        </xdr:cNvPr>
        <xdr:cNvSpPr>
          <a:spLocks noChangeShapeType="1"/>
        </xdr:cNvSpPr>
      </xdr:nvSpPr>
      <xdr:spPr bwMode="auto">
        <a:xfrm flipH="1"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84" name="Line 360">
          <a:extLst>
            <a:ext uri="{FF2B5EF4-FFF2-40B4-BE49-F238E27FC236}">
              <a16:creationId xmlns:a16="http://schemas.microsoft.com/office/drawing/2014/main" id="{E0AAB3FD-5BF5-4E69-A665-CC1C3EC1D2D3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85" name="Line 361">
          <a:extLst>
            <a:ext uri="{FF2B5EF4-FFF2-40B4-BE49-F238E27FC236}">
              <a16:creationId xmlns:a16="http://schemas.microsoft.com/office/drawing/2014/main" id="{4DA2270A-1FF6-405E-946E-2E3CCC3DCB62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86" name="Line 362">
          <a:extLst>
            <a:ext uri="{FF2B5EF4-FFF2-40B4-BE49-F238E27FC236}">
              <a16:creationId xmlns:a16="http://schemas.microsoft.com/office/drawing/2014/main" id="{6C7D0BFE-B2E1-4283-A025-45AEE9A54541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87" name="Line 363">
          <a:extLst>
            <a:ext uri="{FF2B5EF4-FFF2-40B4-BE49-F238E27FC236}">
              <a16:creationId xmlns:a16="http://schemas.microsoft.com/office/drawing/2014/main" id="{1F149F5B-07A6-4455-9A82-E594012E7211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31750</xdr:colOff>
      <xdr:row>44</xdr:row>
      <xdr:rowOff>0</xdr:rowOff>
    </xdr:to>
    <xdr:sp macro="" textlink="">
      <xdr:nvSpPr>
        <xdr:cNvPr id="1388" name="Line 364">
          <a:extLst>
            <a:ext uri="{FF2B5EF4-FFF2-40B4-BE49-F238E27FC236}">
              <a16:creationId xmlns:a16="http://schemas.microsoft.com/office/drawing/2014/main" id="{46F61283-5AC9-453C-A1B6-39B098CCD14D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89" name="Line 365">
          <a:extLst>
            <a:ext uri="{FF2B5EF4-FFF2-40B4-BE49-F238E27FC236}">
              <a16:creationId xmlns:a16="http://schemas.microsoft.com/office/drawing/2014/main" id="{7C2E4354-2995-4896-989E-E4F41F217BC5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90" name="Line 366">
          <a:extLst>
            <a:ext uri="{FF2B5EF4-FFF2-40B4-BE49-F238E27FC236}">
              <a16:creationId xmlns:a16="http://schemas.microsoft.com/office/drawing/2014/main" id="{86DFE988-7EBB-41C7-8A26-1150807545F2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91" name="Line 367">
          <a:extLst>
            <a:ext uri="{FF2B5EF4-FFF2-40B4-BE49-F238E27FC236}">
              <a16:creationId xmlns:a16="http://schemas.microsoft.com/office/drawing/2014/main" id="{B130B594-ACB1-45DB-827A-C1E3875FADA0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92" name="Line 368">
          <a:extLst>
            <a:ext uri="{FF2B5EF4-FFF2-40B4-BE49-F238E27FC236}">
              <a16:creationId xmlns:a16="http://schemas.microsoft.com/office/drawing/2014/main" id="{BE0FE336-E5BD-48C7-806B-469F1C1D5B07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93" name="Line 369">
          <a:extLst>
            <a:ext uri="{FF2B5EF4-FFF2-40B4-BE49-F238E27FC236}">
              <a16:creationId xmlns:a16="http://schemas.microsoft.com/office/drawing/2014/main" id="{9508FC3A-DFBC-433D-8DAA-DF1494A6BF59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94" name="Line 370">
          <a:extLst>
            <a:ext uri="{FF2B5EF4-FFF2-40B4-BE49-F238E27FC236}">
              <a16:creationId xmlns:a16="http://schemas.microsoft.com/office/drawing/2014/main" id="{0847A99B-645A-48D2-8C1E-E9D680C61D02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95" name="Line 371">
          <a:extLst>
            <a:ext uri="{FF2B5EF4-FFF2-40B4-BE49-F238E27FC236}">
              <a16:creationId xmlns:a16="http://schemas.microsoft.com/office/drawing/2014/main" id="{99400FA0-5767-42F9-A44A-C0E4EAA60C71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96" name="Line 372">
          <a:extLst>
            <a:ext uri="{FF2B5EF4-FFF2-40B4-BE49-F238E27FC236}">
              <a16:creationId xmlns:a16="http://schemas.microsoft.com/office/drawing/2014/main" id="{D6BEE32F-302E-430F-9CF7-1C6AC42785B7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97" name="Line 373">
          <a:extLst>
            <a:ext uri="{FF2B5EF4-FFF2-40B4-BE49-F238E27FC236}">
              <a16:creationId xmlns:a16="http://schemas.microsoft.com/office/drawing/2014/main" id="{26DBE364-B938-4EC7-9263-25B954A943A6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98" name="Line 374">
          <a:extLst>
            <a:ext uri="{FF2B5EF4-FFF2-40B4-BE49-F238E27FC236}">
              <a16:creationId xmlns:a16="http://schemas.microsoft.com/office/drawing/2014/main" id="{8B9BE3F1-B175-4E92-8B39-759E5B47851D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399" name="Line 375">
          <a:extLst>
            <a:ext uri="{FF2B5EF4-FFF2-40B4-BE49-F238E27FC236}">
              <a16:creationId xmlns:a16="http://schemas.microsoft.com/office/drawing/2014/main" id="{0591995F-AFF3-4D92-B8FD-25ACC865A09A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00" name="Line 376">
          <a:extLst>
            <a:ext uri="{FF2B5EF4-FFF2-40B4-BE49-F238E27FC236}">
              <a16:creationId xmlns:a16="http://schemas.microsoft.com/office/drawing/2014/main" id="{C808D574-1C93-4AE9-B2E5-B07A96A9E937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01" name="Line 377">
          <a:extLst>
            <a:ext uri="{FF2B5EF4-FFF2-40B4-BE49-F238E27FC236}">
              <a16:creationId xmlns:a16="http://schemas.microsoft.com/office/drawing/2014/main" id="{03958B22-C0B7-4A4A-8C6D-E46E6F24BA6B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02" name="Line 378">
          <a:extLst>
            <a:ext uri="{FF2B5EF4-FFF2-40B4-BE49-F238E27FC236}">
              <a16:creationId xmlns:a16="http://schemas.microsoft.com/office/drawing/2014/main" id="{CBC1B291-7BDE-40E6-A7C0-71FDE7E163A3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03" name="Line 379">
          <a:extLst>
            <a:ext uri="{FF2B5EF4-FFF2-40B4-BE49-F238E27FC236}">
              <a16:creationId xmlns:a16="http://schemas.microsoft.com/office/drawing/2014/main" id="{B2C2604B-CF71-4F5E-A60D-0EE82BEDB88B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04" name="Line 380">
          <a:extLst>
            <a:ext uri="{FF2B5EF4-FFF2-40B4-BE49-F238E27FC236}">
              <a16:creationId xmlns:a16="http://schemas.microsoft.com/office/drawing/2014/main" id="{86F0359B-8A8C-4009-8ACA-8F0ED060DEDB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05" name="Line 381">
          <a:extLst>
            <a:ext uri="{FF2B5EF4-FFF2-40B4-BE49-F238E27FC236}">
              <a16:creationId xmlns:a16="http://schemas.microsoft.com/office/drawing/2014/main" id="{CDA8BE91-90FE-4070-BDBC-5E852A2945D9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06" name="Line 382">
          <a:extLst>
            <a:ext uri="{FF2B5EF4-FFF2-40B4-BE49-F238E27FC236}">
              <a16:creationId xmlns:a16="http://schemas.microsoft.com/office/drawing/2014/main" id="{B1D064EC-9A2C-43EF-9907-1150B4ED55A3}"/>
            </a:ext>
          </a:extLst>
        </xdr:cNvPr>
        <xdr:cNvSpPr>
          <a:spLocks noChangeShapeType="1"/>
        </xdr:cNvSpPr>
      </xdr:nvSpPr>
      <xdr:spPr bwMode="auto">
        <a:xfrm flipH="1"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07" name="Line 383">
          <a:extLst>
            <a:ext uri="{FF2B5EF4-FFF2-40B4-BE49-F238E27FC236}">
              <a16:creationId xmlns:a16="http://schemas.microsoft.com/office/drawing/2014/main" id="{61A059CE-1B1A-4324-828A-8EE57AA7B051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08" name="Line 384">
          <a:extLst>
            <a:ext uri="{FF2B5EF4-FFF2-40B4-BE49-F238E27FC236}">
              <a16:creationId xmlns:a16="http://schemas.microsoft.com/office/drawing/2014/main" id="{FC42568B-0D01-4EFB-99FC-246B87CBDE5D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09" name="Line 385">
          <a:extLst>
            <a:ext uri="{FF2B5EF4-FFF2-40B4-BE49-F238E27FC236}">
              <a16:creationId xmlns:a16="http://schemas.microsoft.com/office/drawing/2014/main" id="{0D51B5EB-0BDC-44F0-8E34-2004EF454358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10" name="Line 386">
          <a:extLst>
            <a:ext uri="{FF2B5EF4-FFF2-40B4-BE49-F238E27FC236}">
              <a16:creationId xmlns:a16="http://schemas.microsoft.com/office/drawing/2014/main" id="{DD754441-E315-4A5B-816E-E35A4D336A75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31750</xdr:colOff>
      <xdr:row>44</xdr:row>
      <xdr:rowOff>0</xdr:rowOff>
    </xdr:to>
    <xdr:sp macro="" textlink="">
      <xdr:nvSpPr>
        <xdr:cNvPr id="1411" name="Line 387">
          <a:extLst>
            <a:ext uri="{FF2B5EF4-FFF2-40B4-BE49-F238E27FC236}">
              <a16:creationId xmlns:a16="http://schemas.microsoft.com/office/drawing/2014/main" id="{54CB727E-D9F1-4B82-ADB8-90C036342C3C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12" name="Line 388">
          <a:extLst>
            <a:ext uri="{FF2B5EF4-FFF2-40B4-BE49-F238E27FC236}">
              <a16:creationId xmlns:a16="http://schemas.microsoft.com/office/drawing/2014/main" id="{2D843390-5C64-4AE8-AFFA-890FD781160B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13" name="Line 389">
          <a:extLst>
            <a:ext uri="{FF2B5EF4-FFF2-40B4-BE49-F238E27FC236}">
              <a16:creationId xmlns:a16="http://schemas.microsoft.com/office/drawing/2014/main" id="{8F7F446E-09F4-4B2D-BC74-D009B0EF5B8D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14" name="Line 390">
          <a:extLst>
            <a:ext uri="{FF2B5EF4-FFF2-40B4-BE49-F238E27FC236}">
              <a16:creationId xmlns:a16="http://schemas.microsoft.com/office/drawing/2014/main" id="{7C69DBC7-3365-4431-B485-F80E12ACB4F5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15" name="Line 391">
          <a:extLst>
            <a:ext uri="{FF2B5EF4-FFF2-40B4-BE49-F238E27FC236}">
              <a16:creationId xmlns:a16="http://schemas.microsoft.com/office/drawing/2014/main" id="{48C84C7A-3863-4EC3-B7CF-E334DBD02A2C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16" name="Line 392">
          <a:extLst>
            <a:ext uri="{FF2B5EF4-FFF2-40B4-BE49-F238E27FC236}">
              <a16:creationId xmlns:a16="http://schemas.microsoft.com/office/drawing/2014/main" id="{7637F5DE-3195-4B71-BE35-8DAD0D7CF189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17" name="Line 393">
          <a:extLst>
            <a:ext uri="{FF2B5EF4-FFF2-40B4-BE49-F238E27FC236}">
              <a16:creationId xmlns:a16="http://schemas.microsoft.com/office/drawing/2014/main" id="{E79D2BE0-D037-4406-A349-9884FA9FB7D4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18" name="Line 394">
          <a:extLst>
            <a:ext uri="{FF2B5EF4-FFF2-40B4-BE49-F238E27FC236}">
              <a16:creationId xmlns:a16="http://schemas.microsoft.com/office/drawing/2014/main" id="{8078013E-D7C7-437C-A214-BAEF907FC082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19" name="Line 395">
          <a:extLst>
            <a:ext uri="{FF2B5EF4-FFF2-40B4-BE49-F238E27FC236}">
              <a16:creationId xmlns:a16="http://schemas.microsoft.com/office/drawing/2014/main" id="{905D55F1-4625-4932-9B2E-566AAE21B212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20" name="Line 396">
          <a:extLst>
            <a:ext uri="{FF2B5EF4-FFF2-40B4-BE49-F238E27FC236}">
              <a16:creationId xmlns:a16="http://schemas.microsoft.com/office/drawing/2014/main" id="{BC0EC36B-E49E-4902-8E35-ADD900F8BF94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21" name="Line 397">
          <a:extLst>
            <a:ext uri="{FF2B5EF4-FFF2-40B4-BE49-F238E27FC236}">
              <a16:creationId xmlns:a16="http://schemas.microsoft.com/office/drawing/2014/main" id="{B68CE8DF-FD13-4E28-B714-2D8C280C7BD7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22" name="Line 398">
          <a:extLst>
            <a:ext uri="{FF2B5EF4-FFF2-40B4-BE49-F238E27FC236}">
              <a16:creationId xmlns:a16="http://schemas.microsoft.com/office/drawing/2014/main" id="{0B99CC3C-0F2E-477D-A6EC-D59DB4091DF0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23" name="Line 399">
          <a:extLst>
            <a:ext uri="{FF2B5EF4-FFF2-40B4-BE49-F238E27FC236}">
              <a16:creationId xmlns:a16="http://schemas.microsoft.com/office/drawing/2014/main" id="{DA323C2E-BC9B-4FC8-8C37-6C0F9E4A093F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24" name="Line 400">
          <a:extLst>
            <a:ext uri="{FF2B5EF4-FFF2-40B4-BE49-F238E27FC236}">
              <a16:creationId xmlns:a16="http://schemas.microsoft.com/office/drawing/2014/main" id="{F019F2D8-8951-4FD4-A026-945E89D5B37E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25" name="Line 401">
          <a:extLst>
            <a:ext uri="{FF2B5EF4-FFF2-40B4-BE49-F238E27FC236}">
              <a16:creationId xmlns:a16="http://schemas.microsoft.com/office/drawing/2014/main" id="{F727C212-6058-4A08-A3C9-D6EF2AF7AEB4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26" name="Line 402">
          <a:extLst>
            <a:ext uri="{FF2B5EF4-FFF2-40B4-BE49-F238E27FC236}">
              <a16:creationId xmlns:a16="http://schemas.microsoft.com/office/drawing/2014/main" id="{A1EC7713-237E-4457-A3F1-BC21EB16FDEF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27" name="Line 403">
          <a:extLst>
            <a:ext uri="{FF2B5EF4-FFF2-40B4-BE49-F238E27FC236}">
              <a16:creationId xmlns:a16="http://schemas.microsoft.com/office/drawing/2014/main" id="{9B4F9CE5-F55F-437D-B828-690F3AFDEE95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28" name="Line 404">
          <a:extLst>
            <a:ext uri="{FF2B5EF4-FFF2-40B4-BE49-F238E27FC236}">
              <a16:creationId xmlns:a16="http://schemas.microsoft.com/office/drawing/2014/main" id="{2B402644-E84E-4A9C-A59E-FF68DBEFA39A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29" name="Line 405">
          <a:extLst>
            <a:ext uri="{FF2B5EF4-FFF2-40B4-BE49-F238E27FC236}">
              <a16:creationId xmlns:a16="http://schemas.microsoft.com/office/drawing/2014/main" id="{4B1BCAB8-1077-4194-9A5F-F3B3BBA1CB01}"/>
            </a:ext>
          </a:extLst>
        </xdr:cNvPr>
        <xdr:cNvSpPr>
          <a:spLocks noChangeShapeType="1"/>
        </xdr:cNvSpPr>
      </xdr:nvSpPr>
      <xdr:spPr bwMode="auto">
        <a:xfrm flipH="1"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30" name="Line 406">
          <a:extLst>
            <a:ext uri="{FF2B5EF4-FFF2-40B4-BE49-F238E27FC236}">
              <a16:creationId xmlns:a16="http://schemas.microsoft.com/office/drawing/2014/main" id="{7A71466F-F788-4FB7-BFD4-2A40AF72F3BF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31" name="Line 407">
          <a:extLst>
            <a:ext uri="{FF2B5EF4-FFF2-40B4-BE49-F238E27FC236}">
              <a16:creationId xmlns:a16="http://schemas.microsoft.com/office/drawing/2014/main" id="{2F5B7B4C-9CD8-4D2F-B30C-E5E211FF4BAF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32" name="Line 408">
          <a:extLst>
            <a:ext uri="{FF2B5EF4-FFF2-40B4-BE49-F238E27FC236}">
              <a16:creationId xmlns:a16="http://schemas.microsoft.com/office/drawing/2014/main" id="{82390456-2CCA-41C6-A896-F4531D6D5332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33" name="Line 409">
          <a:extLst>
            <a:ext uri="{FF2B5EF4-FFF2-40B4-BE49-F238E27FC236}">
              <a16:creationId xmlns:a16="http://schemas.microsoft.com/office/drawing/2014/main" id="{69DEFAB4-2842-42CA-935B-A96F77092BDE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31750</xdr:colOff>
      <xdr:row>44</xdr:row>
      <xdr:rowOff>0</xdr:rowOff>
    </xdr:to>
    <xdr:sp macro="" textlink="">
      <xdr:nvSpPr>
        <xdr:cNvPr id="1434" name="Line 410">
          <a:extLst>
            <a:ext uri="{FF2B5EF4-FFF2-40B4-BE49-F238E27FC236}">
              <a16:creationId xmlns:a16="http://schemas.microsoft.com/office/drawing/2014/main" id="{3C997E10-9D8E-467B-B52F-4B35F825CB37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35" name="Line 411">
          <a:extLst>
            <a:ext uri="{FF2B5EF4-FFF2-40B4-BE49-F238E27FC236}">
              <a16:creationId xmlns:a16="http://schemas.microsoft.com/office/drawing/2014/main" id="{A752E020-B06C-4E03-813A-3FC40E202F61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36" name="Line 412">
          <a:extLst>
            <a:ext uri="{FF2B5EF4-FFF2-40B4-BE49-F238E27FC236}">
              <a16:creationId xmlns:a16="http://schemas.microsoft.com/office/drawing/2014/main" id="{D68DEC94-3C48-4EAE-90EA-D80D2EF72FE9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37" name="Line 413">
          <a:extLst>
            <a:ext uri="{FF2B5EF4-FFF2-40B4-BE49-F238E27FC236}">
              <a16:creationId xmlns:a16="http://schemas.microsoft.com/office/drawing/2014/main" id="{EA1BF227-397C-456F-A1FC-8EB2DA6B1B5D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38" name="Line 414">
          <a:extLst>
            <a:ext uri="{FF2B5EF4-FFF2-40B4-BE49-F238E27FC236}">
              <a16:creationId xmlns:a16="http://schemas.microsoft.com/office/drawing/2014/main" id="{5380AA5F-E114-4FDC-86BC-0C4EA057A948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39" name="Line 415">
          <a:extLst>
            <a:ext uri="{FF2B5EF4-FFF2-40B4-BE49-F238E27FC236}">
              <a16:creationId xmlns:a16="http://schemas.microsoft.com/office/drawing/2014/main" id="{926C9B83-B875-4B0D-8AEB-AE0BEB29CEC3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40" name="Line 416">
          <a:extLst>
            <a:ext uri="{FF2B5EF4-FFF2-40B4-BE49-F238E27FC236}">
              <a16:creationId xmlns:a16="http://schemas.microsoft.com/office/drawing/2014/main" id="{E78AA22C-D5F7-40FE-BC74-175B9FD387FA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41" name="Line 417">
          <a:extLst>
            <a:ext uri="{FF2B5EF4-FFF2-40B4-BE49-F238E27FC236}">
              <a16:creationId xmlns:a16="http://schemas.microsoft.com/office/drawing/2014/main" id="{593449FF-6AB0-403C-BA43-D632A4E2D2BD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42" name="Line 418">
          <a:extLst>
            <a:ext uri="{FF2B5EF4-FFF2-40B4-BE49-F238E27FC236}">
              <a16:creationId xmlns:a16="http://schemas.microsoft.com/office/drawing/2014/main" id="{8DB6EFCD-16F1-4896-AB82-0A24A2D72162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43" name="Line 419">
          <a:extLst>
            <a:ext uri="{FF2B5EF4-FFF2-40B4-BE49-F238E27FC236}">
              <a16:creationId xmlns:a16="http://schemas.microsoft.com/office/drawing/2014/main" id="{085F5E45-00D1-42CF-A23B-8E66DCBB5026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44" name="Line 420">
          <a:extLst>
            <a:ext uri="{FF2B5EF4-FFF2-40B4-BE49-F238E27FC236}">
              <a16:creationId xmlns:a16="http://schemas.microsoft.com/office/drawing/2014/main" id="{0DB88120-8C54-4900-97A4-7EE714F58A73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45" name="Line 421">
          <a:extLst>
            <a:ext uri="{FF2B5EF4-FFF2-40B4-BE49-F238E27FC236}">
              <a16:creationId xmlns:a16="http://schemas.microsoft.com/office/drawing/2014/main" id="{A2BC532A-00E2-4299-9BCA-3243665BDAAD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46" name="Line 422">
          <a:extLst>
            <a:ext uri="{FF2B5EF4-FFF2-40B4-BE49-F238E27FC236}">
              <a16:creationId xmlns:a16="http://schemas.microsoft.com/office/drawing/2014/main" id="{477D05F9-54DB-4711-A924-03E06D930823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47" name="Line 423">
          <a:extLst>
            <a:ext uri="{FF2B5EF4-FFF2-40B4-BE49-F238E27FC236}">
              <a16:creationId xmlns:a16="http://schemas.microsoft.com/office/drawing/2014/main" id="{1F2D8E1E-E6BD-4A15-8CDB-29F23C476CC7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48" name="Line 424">
          <a:extLst>
            <a:ext uri="{FF2B5EF4-FFF2-40B4-BE49-F238E27FC236}">
              <a16:creationId xmlns:a16="http://schemas.microsoft.com/office/drawing/2014/main" id="{EA9EFC6F-5E12-4908-B74E-4113D612A419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49" name="Line 425">
          <a:extLst>
            <a:ext uri="{FF2B5EF4-FFF2-40B4-BE49-F238E27FC236}">
              <a16:creationId xmlns:a16="http://schemas.microsoft.com/office/drawing/2014/main" id="{9F9D8977-18E1-40E5-9356-D4751A5899B2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50" name="Line 426">
          <a:extLst>
            <a:ext uri="{FF2B5EF4-FFF2-40B4-BE49-F238E27FC236}">
              <a16:creationId xmlns:a16="http://schemas.microsoft.com/office/drawing/2014/main" id="{FDAD540D-E20F-4540-8245-CC5F1EB66B4B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51" name="Line 427">
          <a:extLst>
            <a:ext uri="{FF2B5EF4-FFF2-40B4-BE49-F238E27FC236}">
              <a16:creationId xmlns:a16="http://schemas.microsoft.com/office/drawing/2014/main" id="{7A3233BD-C480-4185-994D-9DB8F93A7A30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52" name="Line 428">
          <a:extLst>
            <a:ext uri="{FF2B5EF4-FFF2-40B4-BE49-F238E27FC236}">
              <a16:creationId xmlns:a16="http://schemas.microsoft.com/office/drawing/2014/main" id="{6EFF9D9C-A8D1-4E0A-A05D-F9C523B33A9A}"/>
            </a:ext>
          </a:extLst>
        </xdr:cNvPr>
        <xdr:cNvSpPr>
          <a:spLocks noChangeShapeType="1"/>
        </xdr:cNvSpPr>
      </xdr:nvSpPr>
      <xdr:spPr bwMode="auto">
        <a:xfrm flipH="1"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53" name="Line 429">
          <a:extLst>
            <a:ext uri="{FF2B5EF4-FFF2-40B4-BE49-F238E27FC236}">
              <a16:creationId xmlns:a16="http://schemas.microsoft.com/office/drawing/2014/main" id="{F0B3AB4F-8B75-40A3-AA49-2A95CC7DAF60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54" name="Line 430">
          <a:extLst>
            <a:ext uri="{FF2B5EF4-FFF2-40B4-BE49-F238E27FC236}">
              <a16:creationId xmlns:a16="http://schemas.microsoft.com/office/drawing/2014/main" id="{1DAF31BB-1E89-4394-8A89-9E77CE292710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55" name="Line 431">
          <a:extLst>
            <a:ext uri="{FF2B5EF4-FFF2-40B4-BE49-F238E27FC236}">
              <a16:creationId xmlns:a16="http://schemas.microsoft.com/office/drawing/2014/main" id="{EFF8DE8F-A2F5-40EC-B5E5-3B018C4D460C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56" name="Line 432">
          <a:extLst>
            <a:ext uri="{FF2B5EF4-FFF2-40B4-BE49-F238E27FC236}">
              <a16:creationId xmlns:a16="http://schemas.microsoft.com/office/drawing/2014/main" id="{595A34ED-DCDE-4E85-91F8-A3F7BD49E95C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31750</xdr:colOff>
      <xdr:row>44</xdr:row>
      <xdr:rowOff>0</xdr:rowOff>
    </xdr:to>
    <xdr:sp macro="" textlink="">
      <xdr:nvSpPr>
        <xdr:cNvPr id="1457" name="Line 433">
          <a:extLst>
            <a:ext uri="{FF2B5EF4-FFF2-40B4-BE49-F238E27FC236}">
              <a16:creationId xmlns:a16="http://schemas.microsoft.com/office/drawing/2014/main" id="{ED411F79-97DA-4F85-8372-573FB186BA4A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58" name="Line 434">
          <a:extLst>
            <a:ext uri="{FF2B5EF4-FFF2-40B4-BE49-F238E27FC236}">
              <a16:creationId xmlns:a16="http://schemas.microsoft.com/office/drawing/2014/main" id="{2DE4A90A-B3C5-4D16-A97F-D1C409C85050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59" name="Line 435">
          <a:extLst>
            <a:ext uri="{FF2B5EF4-FFF2-40B4-BE49-F238E27FC236}">
              <a16:creationId xmlns:a16="http://schemas.microsoft.com/office/drawing/2014/main" id="{C0867013-562C-4F62-BF18-0B4F52AC4461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60" name="Line 436">
          <a:extLst>
            <a:ext uri="{FF2B5EF4-FFF2-40B4-BE49-F238E27FC236}">
              <a16:creationId xmlns:a16="http://schemas.microsoft.com/office/drawing/2014/main" id="{F730DABF-995F-4D16-B315-00C7DA88C531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61" name="Line 437">
          <a:extLst>
            <a:ext uri="{FF2B5EF4-FFF2-40B4-BE49-F238E27FC236}">
              <a16:creationId xmlns:a16="http://schemas.microsoft.com/office/drawing/2014/main" id="{1A0F7CAA-E19D-4F0F-A3D7-E5038866BC3D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62" name="Line 438">
          <a:extLst>
            <a:ext uri="{FF2B5EF4-FFF2-40B4-BE49-F238E27FC236}">
              <a16:creationId xmlns:a16="http://schemas.microsoft.com/office/drawing/2014/main" id="{9A3E72DE-4AED-4D06-9D35-C372AF980373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63" name="Line 439">
          <a:extLst>
            <a:ext uri="{FF2B5EF4-FFF2-40B4-BE49-F238E27FC236}">
              <a16:creationId xmlns:a16="http://schemas.microsoft.com/office/drawing/2014/main" id="{B1213DD0-6EB3-4DE6-BF22-8322F4E657EB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64" name="Line 440">
          <a:extLst>
            <a:ext uri="{FF2B5EF4-FFF2-40B4-BE49-F238E27FC236}">
              <a16:creationId xmlns:a16="http://schemas.microsoft.com/office/drawing/2014/main" id="{8AC72474-6695-4969-B824-A17D3CAE7FC6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65" name="Line 441">
          <a:extLst>
            <a:ext uri="{FF2B5EF4-FFF2-40B4-BE49-F238E27FC236}">
              <a16:creationId xmlns:a16="http://schemas.microsoft.com/office/drawing/2014/main" id="{93BFD0A0-9EC5-4620-87A8-44BE91FEB211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66" name="Line 442">
          <a:extLst>
            <a:ext uri="{FF2B5EF4-FFF2-40B4-BE49-F238E27FC236}">
              <a16:creationId xmlns:a16="http://schemas.microsoft.com/office/drawing/2014/main" id="{D09A6010-EAC1-42B0-8974-CA269A7B86A0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67" name="Line 443">
          <a:extLst>
            <a:ext uri="{FF2B5EF4-FFF2-40B4-BE49-F238E27FC236}">
              <a16:creationId xmlns:a16="http://schemas.microsoft.com/office/drawing/2014/main" id="{554F00A8-F877-444C-8B2B-B1E0E73A4856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68" name="Line 444">
          <a:extLst>
            <a:ext uri="{FF2B5EF4-FFF2-40B4-BE49-F238E27FC236}">
              <a16:creationId xmlns:a16="http://schemas.microsoft.com/office/drawing/2014/main" id="{0E27D26A-4C1D-4413-93D2-962CA99BBB22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69" name="Line 445">
          <a:extLst>
            <a:ext uri="{FF2B5EF4-FFF2-40B4-BE49-F238E27FC236}">
              <a16:creationId xmlns:a16="http://schemas.microsoft.com/office/drawing/2014/main" id="{3974B249-4BD2-4529-A98D-B04D5238A06E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70" name="Line 446">
          <a:extLst>
            <a:ext uri="{FF2B5EF4-FFF2-40B4-BE49-F238E27FC236}">
              <a16:creationId xmlns:a16="http://schemas.microsoft.com/office/drawing/2014/main" id="{345532C3-1863-4960-AE43-5DDF32871CBE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71" name="Line 447">
          <a:extLst>
            <a:ext uri="{FF2B5EF4-FFF2-40B4-BE49-F238E27FC236}">
              <a16:creationId xmlns:a16="http://schemas.microsoft.com/office/drawing/2014/main" id="{2F282400-CC3E-4872-93B6-4451C13BDCF3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72" name="Line 448">
          <a:extLst>
            <a:ext uri="{FF2B5EF4-FFF2-40B4-BE49-F238E27FC236}">
              <a16:creationId xmlns:a16="http://schemas.microsoft.com/office/drawing/2014/main" id="{AB9EF93B-4E7F-4BA6-8E77-5B4BE860E67C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73" name="Line 449">
          <a:extLst>
            <a:ext uri="{FF2B5EF4-FFF2-40B4-BE49-F238E27FC236}">
              <a16:creationId xmlns:a16="http://schemas.microsoft.com/office/drawing/2014/main" id="{B152E199-1892-4C41-AD79-3E6C730F510A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74" name="Line 450">
          <a:extLst>
            <a:ext uri="{FF2B5EF4-FFF2-40B4-BE49-F238E27FC236}">
              <a16:creationId xmlns:a16="http://schemas.microsoft.com/office/drawing/2014/main" id="{E738346C-DB6F-45BD-BBF7-6A16FE977C54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75" name="Line 451">
          <a:extLst>
            <a:ext uri="{FF2B5EF4-FFF2-40B4-BE49-F238E27FC236}">
              <a16:creationId xmlns:a16="http://schemas.microsoft.com/office/drawing/2014/main" id="{76A04E8C-0BF5-4665-AA8D-C4CD7CD69E9D}"/>
            </a:ext>
          </a:extLst>
        </xdr:cNvPr>
        <xdr:cNvSpPr>
          <a:spLocks noChangeShapeType="1"/>
        </xdr:cNvSpPr>
      </xdr:nvSpPr>
      <xdr:spPr bwMode="auto">
        <a:xfrm flipH="1"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76" name="Line 452">
          <a:extLst>
            <a:ext uri="{FF2B5EF4-FFF2-40B4-BE49-F238E27FC236}">
              <a16:creationId xmlns:a16="http://schemas.microsoft.com/office/drawing/2014/main" id="{5703A6FB-1BEB-4134-B3AE-92DB322CFCAC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77" name="Line 453">
          <a:extLst>
            <a:ext uri="{FF2B5EF4-FFF2-40B4-BE49-F238E27FC236}">
              <a16:creationId xmlns:a16="http://schemas.microsoft.com/office/drawing/2014/main" id="{97799F78-542B-4AE7-ACAC-4ABC1766A2E8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78" name="Line 454">
          <a:extLst>
            <a:ext uri="{FF2B5EF4-FFF2-40B4-BE49-F238E27FC236}">
              <a16:creationId xmlns:a16="http://schemas.microsoft.com/office/drawing/2014/main" id="{948F8ABA-B528-4FFD-B287-247066C9A4F2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79" name="Line 455">
          <a:extLst>
            <a:ext uri="{FF2B5EF4-FFF2-40B4-BE49-F238E27FC236}">
              <a16:creationId xmlns:a16="http://schemas.microsoft.com/office/drawing/2014/main" id="{DB3BC1DB-5247-4C66-AB5A-7B65047996F0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31750</xdr:colOff>
      <xdr:row>44</xdr:row>
      <xdr:rowOff>0</xdr:rowOff>
    </xdr:to>
    <xdr:sp macro="" textlink="">
      <xdr:nvSpPr>
        <xdr:cNvPr id="1480" name="Line 456">
          <a:extLst>
            <a:ext uri="{FF2B5EF4-FFF2-40B4-BE49-F238E27FC236}">
              <a16:creationId xmlns:a16="http://schemas.microsoft.com/office/drawing/2014/main" id="{ABF3D8D0-C950-473F-86F8-35331F40D802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81" name="Line 457">
          <a:extLst>
            <a:ext uri="{FF2B5EF4-FFF2-40B4-BE49-F238E27FC236}">
              <a16:creationId xmlns:a16="http://schemas.microsoft.com/office/drawing/2014/main" id="{DBB94C9F-74B1-4325-B508-A7FCCEF73205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82" name="Line 458">
          <a:extLst>
            <a:ext uri="{FF2B5EF4-FFF2-40B4-BE49-F238E27FC236}">
              <a16:creationId xmlns:a16="http://schemas.microsoft.com/office/drawing/2014/main" id="{75BDB1BC-2E96-4A82-B4D8-9256D53D4061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83" name="Line 459">
          <a:extLst>
            <a:ext uri="{FF2B5EF4-FFF2-40B4-BE49-F238E27FC236}">
              <a16:creationId xmlns:a16="http://schemas.microsoft.com/office/drawing/2014/main" id="{D7E62DB1-2616-4D93-A954-942AD900877C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84" name="Line 460">
          <a:extLst>
            <a:ext uri="{FF2B5EF4-FFF2-40B4-BE49-F238E27FC236}">
              <a16:creationId xmlns:a16="http://schemas.microsoft.com/office/drawing/2014/main" id="{678281F6-E4E1-410E-ABEA-EAE2F0E23AB5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85" name="Line 461">
          <a:extLst>
            <a:ext uri="{FF2B5EF4-FFF2-40B4-BE49-F238E27FC236}">
              <a16:creationId xmlns:a16="http://schemas.microsoft.com/office/drawing/2014/main" id="{3178AFD3-8715-48D5-9AFE-CBED50C624A9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86" name="Line 462">
          <a:extLst>
            <a:ext uri="{FF2B5EF4-FFF2-40B4-BE49-F238E27FC236}">
              <a16:creationId xmlns:a16="http://schemas.microsoft.com/office/drawing/2014/main" id="{A2979D9C-360C-41CB-8633-4B7ED063654D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87" name="Line 463">
          <a:extLst>
            <a:ext uri="{FF2B5EF4-FFF2-40B4-BE49-F238E27FC236}">
              <a16:creationId xmlns:a16="http://schemas.microsoft.com/office/drawing/2014/main" id="{C41046DC-A19F-477C-90E0-1AA2D5B89CB6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88" name="Line 464">
          <a:extLst>
            <a:ext uri="{FF2B5EF4-FFF2-40B4-BE49-F238E27FC236}">
              <a16:creationId xmlns:a16="http://schemas.microsoft.com/office/drawing/2014/main" id="{C1E485E7-D522-4BE4-A308-724EBF7902F1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89" name="Line 465">
          <a:extLst>
            <a:ext uri="{FF2B5EF4-FFF2-40B4-BE49-F238E27FC236}">
              <a16:creationId xmlns:a16="http://schemas.microsoft.com/office/drawing/2014/main" id="{3A7A3AA6-6893-44FC-8CD2-737AC1CA0420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90" name="Line 466">
          <a:extLst>
            <a:ext uri="{FF2B5EF4-FFF2-40B4-BE49-F238E27FC236}">
              <a16:creationId xmlns:a16="http://schemas.microsoft.com/office/drawing/2014/main" id="{7C3BF770-67F4-48B4-8C32-93D74423E7CB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91" name="Line 467">
          <a:extLst>
            <a:ext uri="{FF2B5EF4-FFF2-40B4-BE49-F238E27FC236}">
              <a16:creationId xmlns:a16="http://schemas.microsoft.com/office/drawing/2014/main" id="{7D71D5A6-A0A8-4A9C-BDDA-96349946F2D1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92" name="Line 468">
          <a:extLst>
            <a:ext uri="{FF2B5EF4-FFF2-40B4-BE49-F238E27FC236}">
              <a16:creationId xmlns:a16="http://schemas.microsoft.com/office/drawing/2014/main" id="{5A1B57E0-9E7C-4ED1-84DC-D026418DA495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93" name="Line 469">
          <a:extLst>
            <a:ext uri="{FF2B5EF4-FFF2-40B4-BE49-F238E27FC236}">
              <a16:creationId xmlns:a16="http://schemas.microsoft.com/office/drawing/2014/main" id="{3F74D10C-8624-463F-AABD-BFD1D695977A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94" name="Line 470">
          <a:extLst>
            <a:ext uri="{FF2B5EF4-FFF2-40B4-BE49-F238E27FC236}">
              <a16:creationId xmlns:a16="http://schemas.microsoft.com/office/drawing/2014/main" id="{2C318623-C6F4-42DF-B8CF-8AAE028AA458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95" name="Line 471">
          <a:extLst>
            <a:ext uri="{FF2B5EF4-FFF2-40B4-BE49-F238E27FC236}">
              <a16:creationId xmlns:a16="http://schemas.microsoft.com/office/drawing/2014/main" id="{581A6D38-B8E8-4A79-93A0-DF30B672C21C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96" name="Line 472">
          <a:extLst>
            <a:ext uri="{FF2B5EF4-FFF2-40B4-BE49-F238E27FC236}">
              <a16:creationId xmlns:a16="http://schemas.microsoft.com/office/drawing/2014/main" id="{5D47EF72-D240-4843-B4D4-C6792539771B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97" name="Line 473">
          <a:extLst>
            <a:ext uri="{FF2B5EF4-FFF2-40B4-BE49-F238E27FC236}">
              <a16:creationId xmlns:a16="http://schemas.microsoft.com/office/drawing/2014/main" id="{ED5CC5A4-60EC-40D9-B423-4B3BAB0AFB80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98" name="Line 474">
          <a:extLst>
            <a:ext uri="{FF2B5EF4-FFF2-40B4-BE49-F238E27FC236}">
              <a16:creationId xmlns:a16="http://schemas.microsoft.com/office/drawing/2014/main" id="{AD314198-7C87-4D16-9C38-1BE6B3A12825}"/>
            </a:ext>
          </a:extLst>
        </xdr:cNvPr>
        <xdr:cNvSpPr>
          <a:spLocks noChangeShapeType="1"/>
        </xdr:cNvSpPr>
      </xdr:nvSpPr>
      <xdr:spPr bwMode="auto">
        <a:xfrm flipH="1"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499" name="Line 475">
          <a:extLst>
            <a:ext uri="{FF2B5EF4-FFF2-40B4-BE49-F238E27FC236}">
              <a16:creationId xmlns:a16="http://schemas.microsoft.com/office/drawing/2014/main" id="{77F2DD11-1EEC-47A5-A7B2-277C353386D2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00" name="Line 476">
          <a:extLst>
            <a:ext uri="{FF2B5EF4-FFF2-40B4-BE49-F238E27FC236}">
              <a16:creationId xmlns:a16="http://schemas.microsoft.com/office/drawing/2014/main" id="{50B88820-0EA9-4F11-9435-415EBD8F9171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01" name="Line 477">
          <a:extLst>
            <a:ext uri="{FF2B5EF4-FFF2-40B4-BE49-F238E27FC236}">
              <a16:creationId xmlns:a16="http://schemas.microsoft.com/office/drawing/2014/main" id="{320E5D8A-CCD3-4650-984D-CFC137C18E81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02" name="Line 478">
          <a:extLst>
            <a:ext uri="{FF2B5EF4-FFF2-40B4-BE49-F238E27FC236}">
              <a16:creationId xmlns:a16="http://schemas.microsoft.com/office/drawing/2014/main" id="{91A8A4E8-0E59-44AE-A9FF-3C1B16720631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31750</xdr:colOff>
      <xdr:row>44</xdr:row>
      <xdr:rowOff>0</xdr:rowOff>
    </xdr:to>
    <xdr:sp macro="" textlink="">
      <xdr:nvSpPr>
        <xdr:cNvPr id="1503" name="Line 479">
          <a:extLst>
            <a:ext uri="{FF2B5EF4-FFF2-40B4-BE49-F238E27FC236}">
              <a16:creationId xmlns:a16="http://schemas.microsoft.com/office/drawing/2014/main" id="{BBBA5669-6758-4606-AD0E-3A8C5B5EAB80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04" name="Line 480">
          <a:extLst>
            <a:ext uri="{FF2B5EF4-FFF2-40B4-BE49-F238E27FC236}">
              <a16:creationId xmlns:a16="http://schemas.microsoft.com/office/drawing/2014/main" id="{FAE42656-368C-4664-BCD3-13E1490931F7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05" name="Line 481">
          <a:extLst>
            <a:ext uri="{FF2B5EF4-FFF2-40B4-BE49-F238E27FC236}">
              <a16:creationId xmlns:a16="http://schemas.microsoft.com/office/drawing/2014/main" id="{BA3530B4-1839-475C-8A91-8DB697D81A64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06" name="Line 482">
          <a:extLst>
            <a:ext uri="{FF2B5EF4-FFF2-40B4-BE49-F238E27FC236}">
              <a16:creationId xmlns:a16="http://schemas.microsoft.com/office/drawing/2014/main" id="{E33C1F05-3A57-44A7-ABAD-525B6D3CCB48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07" name="Line 483">
          <a:extLst>
            <a:ext uri="{FF2B5EF4-FFF2-40B4-BE49-F238E27FC236}">
              <a16:creationId xmlns:a16="http://schemas.microsoft.com/office/drawing/2014/main" id="{FB9CFFA7-B1E7-4E14-A01F-E63772D4D4C3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08" name="Line 484">
          <a:extLst>
            <a:ext uri="{FF2B5EF4-FFF2-40B4-BE49-F238E27FC236}">
              <a16:creationId xmlns:a16="http://schemas.microsoft.com/office/drawing/2014/main" id="{DB4EA6F4-F84F-403E-9B50-312BD8B94FEA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09" name="Line 485">
          <a:extLst>
            <a:ext uri="{FF2B5EF4-FFF2-40B4-BE49-F238E27FC236}">
              <a16:creationId xmlns:a16="http://schemas.microsoft.com/office/drawing/2014/main" id="{EB6F06A3-FFC4-4FDE-8B64-A7320B94157D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10" name="Line 486">
          <a:extLst>
            <a:ext uri="{FF2B5EF4-FFF2-40B4-BE49-F238E27FC236}">
              <a16:creationId xmlns:a16="http://schemas.microsoft.com/office/drawing/2014/main" id="{9E33A340-539B-49A7-8FD8-89466D7E6455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11" name="Line 487">
          <a:extLst>
            <a:ext uri="{FF2B5EF4-FFF2-40B4-BE49-F238E27FC236}">
              <a16:creationId xmlns:a16="http://schemas.microsoft.com/office/drawing/2014/main" id="{7789DA5F-4A63-4244-9376-1F7C5444DB5F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12" name="Line 488">
          <a:extLst>
            <a:ext uri="{FF2B5EF4-FFF2-40B4-BE49-F238E27FC236}">
              <a16:creationId xmlns:a16="http://schemas.microsoft.com/office/drawing/2014/main" id="{B84F66CC-F1ED-40B3-9B93-C6578ABAFC69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13" name="Line 489">
          <a:extLst>
            <a:ext uri="{FF2B5EF4-FFF2-40B4-BE49-F238E27FC236}">
              <a16:creationId xmlns:a16="http://schemas.microsoft.com/office/drawing/2014/main" id="{8135577E-1B2D-408F-88E9-E00220EA1B6F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14" name="Line 490">
          <a:extLst>
            <a:ext uri="{FF2B5EF4-FFF2-40B4-BE49-F238E27FC236}">
              <a16:creationId xmlns:a16="http://schemas.microsoft.com/office/drawing/2014/main" id="{96D4FBB1-3BA9-45ED-AA9F-73DD11FDB153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15" name="Line 491">
          <a:extLst>
            <a:ext uri="{FF2B5EF4-FFF2-40B4-BE49-F238E27FC236}">
              <a16:creationId xmlns:a16="http://schemas.microsoft.com/office/drawing/2014/main" id="{A9112FAD-238B-4BEC-A891-BC97D9804F7F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16" name="Line 492">
          <a:extLst>
            <a:ext uri="{FF2B5EF4-FFF2-40B4-BE49-F238E27FC236}">
              <a16:creationId xmlns:a16="http://schemas.microsoft.com/office/drawing/2014/main" id="{2746AB90-0C73-4735-905F-76F9273B56CC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17" name="Line 493">
          <a:extLst>
            <a:ext uri="{FF2B5EF4-FFF2-40B4-BE49-F238E27FC236}">
              <a16:creationId xmlns:a16="http://schemas.microsoft.com/office/drawing/2014/main" id="{3FB8DDC0-68D2-4472-8E0E-54A3112EE842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18" name="Line 494">
          <a:extLst>
            <a:ext uri="{FF2B5EF4-FFF2-40B4-BE49-F238E27FC236}">
              <a16:creationId xmlns:a16="http://schemas.microsoft.com/office/drawing/2014/main" id="{68389610-E3EB-44A1-A681-851471F5F2AB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19" name="Line 495">
          <a:extLst>
            <a:ext uri="{FF2B5EF4-FFF2-40B4-BE49-F238E27FC236}">
              <a16:creationId xmlns:a16="http://schemas.microsoft.com/office/drawing/2014/main" id="{74276F38-2A7C-47B7-968A-1C5E4FF4BBD9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20" name="Line 496">
          <a:extLst>
            <a:ext uri="{FF2B5EF4-FFF2-40B4-BE49-F238E27FC236}">
              <a16:creationId xmlns:a16="http://schemas.microsoft.com/office/drawing/2014/main" id="{B8CDA073-6852-485E-A51A-8069E25C9B03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21" name="Line 497">
          <a:extLst>
            <a:ext uri="{FF2B5EF4-FFF2-40B4-BE49-F238E27FC236}">
              <a16:creationId xmlns:a16="http://schemas.microsoft.com/office/drawing/2014/main" id="{C2D5BDA6-A24E-4ADA-99BA-4EEC592345F3}"/>
            </a:ext>
          </a:extLst>
        </xdr:cNvPr>
        <xdr:cNvSpPr>
          <a:spLocks noChangeShapeType="1"/>
        </xdr:cNvSpPr>
      </xdr:nvSpPr>
      <xdr:spPr bwMode="auto">
        <a:xfrm flipH="1"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22" name="Line 498">
          <a:extLst>
            <a:ext uri="{FF2B5EF4-FFF2-40B4-BE49-F238E27FC236}">
              <a16:creationId xmlns:a16="http://schemas.microsoft.com/office/drawing/2014/main" id="{83656A59-6FF8-422B-BB57-66E3FC263C5C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23" name="Line 499">
          <a:extLst>
            <a:ext uri="{FF2B5EF4-FFF2-40B4-BE49-F238E27FC236}">
              <a16:creationId xmlns:a16="http://schemas.microsoft.com/office/drawing/2014/main" id="{33C6344D-1582-44EC-8514-203385AEA6C7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24" name="Line 500">
          <a:extLst>
            <a:ext uri="{FF2B5EF4-FFF2-40B4-BE49-F238E27FC236}">
              <a16:creationId xmlns:a16="http://schemas.microsoft.com/office/drawing/2014/main" id="{13CD2090-1BED-48CF-8F37-3CFA81CC5205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25" name="Line 501">
          <a:extLst>
            <a:ext uri="{FF2B5EF4-FFF2-40B4-BE49-F238E27FC236}">
              <a16:creationId xmlns:a16="http://schemas.microsoft.com/office/drawing/2014/main" id="{69EE3C8A-316A-43B7-BF20-5B560D591FEE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28" name="Line 504">
          <a:extLst>
            <a:ext uri="{FF2B5EF4-FFF2-40B4-BE49-F238E27FC236}">
              <a16:creationId xmlns:a16="http://schemas.microsoft.com/office/drawing/2014/main" id="{B67FE988-A8FE-4D77-82B6-034AD085F0D7}"/>
            </a:ext>
          </a:extLst>
        </xdr:cNvPr>
        <xdr:cNvSpPr>
          <a:spLocks noChangeShapeType="1"/>
        </xdr:cNvSpPr>
      </xdr:nvSpPr>
      <xdr:spPr bwMode="auto">
        <a:xfrm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29" name="Line 505">
          <a:extLst>
            <a:ext uri="{FF2B5EF4-FFF2-40B4-BE49-F238E27FC236}">
              <a16:creationId xmlns:a16="http://schemas.microsoft.com/office/drawing/2014/main" id="{8F3CE346-75FD-447C-BA15-85236889FD34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30" name="Line 506">
          <a:extLst>
            <a:ext uri="{FF2B5EF4-FFF2-40B4-BE49-F238E27FC236}">
              <a16:creationId xmlns:a16="http://schemas.microsoft.com/office/drawing/2014/main" id="{D36D2436-3831-4341-BA61-5A18C7A0232B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31" name="Line 507">
          <a:extLst>
            <a:ext uri="{FF2B5EF4-FFF2-40B4-BE49-F238E27FC236}">
              <a16:creationId xmlns:a16="http://schemas.microsoft.com/office/drawing/2014/main" id="{259E2142-5C2D-4402-AC87-2BDD2FB2791B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32" name="Line 508">
          <a:extLst>
            <a:ext uri="{FF2B5EF4-FFF2-40B4-BE49-F238E27FC236}">
              <a16:creationId xmlns:a16="http://schemas.microsoft.com/office/drawing/2014/main" id="{800B0CBC-329F-4E39-BC17-45B08D3BDA2F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33" name="Line 509">
          <a:extLst>
            <a:ext uri="{FF2B5EF4-FFF2-40B4-BE49-F238E27FC236}">
              <a16:creationId xmlns:a16="http://schemas.microsoft.com/office/drawing/2014/main" id="{6D15DDAC-4278-43F1-B103-3317DB013839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34" name="Line 510">
          <a:extLst>
            <a:ext uri="{FF2B5EF4-FFF2-40B4-BE49-F238E27FC236}">
              <a16:creationId xmlns:a16="http://schemas.microsoft.com/office/drawing/2014/main" id="{2019DD07-2F60-4333-9A93-E2AF7D504B42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35" name="Line 511">
          <a:extLst>
            <a:ext uri="{FF2B5EF4-FFF2-40B4-BE49-F238E27FC236}">
              <a16:creationId xmlns:a16="http://schemas.microsoft.com/office/drawing/2014/main" id="{8163BC8C-71BD-4334-954C-8EDE682E9256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36" name="Line 512">
          <a:extLst>
            <a:ext uri="{FF2B5EF4-FFF2-40B4-BE49-F238E27FC236}">
              <a16:creationId xmlns:a16="http://schemas.microsoft.com/office/drawing/2014/main" id="{CBB9512A-E03D-4837-B83B-DA61135C1D1F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37" name="Line 513">
          <a:extLst>
            <a:ext uri="{FF2B5EF4-FFF2-40B4-BE49-F238E27FC236}">
              <a16:creationId xmlns:a16="http://schemas.microsoft.com/office/drawing/2014/main" id="{2E42662A-B2F1-46D6-95D3-BB024CB97BBC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38" name="Line 514">
          <a:extLst>
            <a:ext uri="{FF2B5EF4-FFF2-40B4-BE49-F238E27FC236}">
              <a16:creationId xmlns:a16="http://schemas.microsoft.com/office/drawing/2014/main" id="{58FBEC59-950C-48E8-9911-12C28ECD67A8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39" name="Line 515">
          <a:extLst>
            <a:ext uri="{FF2B5EF4-FFF2-40B4-BE49-F238E27FC236}">
              <a16:creationId xmlns:a16="http://schemas.microsoft.com/office/drawing/2014/main" id="{4EBA6BEB-BFBF-42D5-A3DA-3BDA371A131F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40" name="Line 516">
          <a:extLst>
            <a:ext uri="{FF2B5EF4-FFF2-40B4-BE49-F238E27FC236}">
              <a16:creationId xmlns:a16="http://schemas.microsoft.com/office/drawing/2014/main" id="{098C3FBC-07D8-4329-AE53-B779F1EAC8A8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41" name="Line 517">
          <a:extLst>
            <a:ext uri="{FF2B5EF4-FFF2-40B4-BE49-F238E27FC236}">
              <a16:creationId xmlns:a16="http://schemas.microsoft.com/office/drawing/2014/main" id="{8C3423DC-6197-46ED-9E98-2E7C58A9253F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42" name="Line 518">
          <a:extLst>
            <a:ext uri="{FF2B5EF4-FFF2-40B4-BE49-F238E27FC236}">
              <a16:creationId xmlns:a16="http://schemas.microsoft.com/office/drawing/2014/main" id="{A0C882CA-E54A-4E9C-8631-C2E0D17C3A03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43" name="Line 519">
          <a:extLst>
            <a:ext uri="{FF2B5EF4-FFF2-40B4-BE49-F238E27FC236}">
              <a16:creationId xmlns:a16="http://schemas.microsoft.com/office/drawing/2014/main" id="{B3BA1BE5-0F0B-4B94-9E8E-9A9D79078F20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44" name="Line 520">
          <a:extLst>
            <a:ext uri="{FF2B5EF4-FFF2-40B4-BE49-F238E27FC236}">
              <a16:creationId xmlns:a16="http://schemas.microsoft.com/office/drawing/2014/main" id="{5540CFBE-5D59-4D61-AEB5-BC2A0DA7767B}"/>
            </a:ext>
          </a:extLst>
        </xdr:cNvPr>
        <xdr:cNvSpPr>
          <a:spLocks noChangeShapeType="1"/>
        </xdr:cNvSpPr>
      </xdr:nvSpPr>
      <xdr:spPr bwMode="auto">
        <a:xfrm flipH="1"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45" name="Line 521">
          <a:extLst>
            <a:ext uri="{FF2B5EF4-FFF2-40B4-BE49-F238E27FC236}">
              <a16:creationId xmlns:a16="http://schemas.microsoft.com/office/drawing/2014/main" id="{827504C7-DBA3-42B4-B183-6287D2A97774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47" name="Line 523">
          <a:extLst>
            <a:ext uri="{FF2B5EF4-FFF2-40B4-BE49-F238E27FC236}">
              <a16:creationId xmlns:a16="http://schemas.microsoft.com/office/drawing/2014/main" id="{B3C500DD-7604-4F8C-BD65-B849A4F2891B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44</xdr:row>
      <xdr:rowOff>0</xdr:rowOff>
    </xdr:from>
    <xdr:to>
      <xdr:col>16</xdr:col>
      <xdr:colOff>0</xdr:colOff>
      <xdr:row>44</xdr:row>
      <xdr:rowOff>0</xdr:rowOff>
    </xdr:to>
    <xdr:sp macro="" textlink="">
      <xdr:nvSpPr>
        <xdr:cNvPr id="1548" name="Line 524">
          <a:extLst>
            <a:ext uri="{FF2B5EF4-FFF2-40B4-BE49-F238E27FC236}">
              <a16:creationId xmlns:a16="http://schemas.microsoft.com/office/drawing/2014/main" id="{B466DE77-A737-4CB1-9486-0BD2F05D6BE6}"/>
            </a:ext>
          </a:extLst>
        </xdr:cNvPr>
        <xdr:cNvSpPr>
          <a:spLocks noChangeShapeType="1"/>
        </xdr:cNvSpPr>
      </xdr:nvSpPr>
      <xdr:spPr bwMode="auto">
        <a:xfrm flipV="1">
          <a:off x="5772150" y="8636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19050</xdr:colOff>
      <xdr:row>1</xdr:row>
      <xdr:rowOff>12700</xdr:rowOff>
    </xdr:from>
    <xdr:to>
      <xdr:col>16</xdr:col>
      <xdr:colOff>1835150</xdr:colOff>
      <xdr:row>1</xdr:row>
      <xdr:rowOff>234950</xdr:rowOff>
    </xdr:to>
    <xdr:sp macro="" textlink="">
      <xdr:nvSpPr>
        <xdr:cNvPr id="1552" name="Rectangle 528">
          <a:extLst>
            <a:ext uri="{FF2B5EF4-FFF2-40B4-BE49-F238E27FC236}">
              <a16:creationId xmlns:a16="http://schemas.microsoft.com/office/drawing/2014/main" id="{40D9F3D1-30FE-4C1C-A5B2-0AC05DDA5590}"/>
            </a:ext>
          </a:extLst>
        </xdr:cNvPr>
        <xdr:cNvSpPr>
          <a:spLocks noChangeArrowheads="1"/>
        </xdr:cNvSpPr>
      </xdr:nvSpPr>
      <xdr:spPr bwMode="auto">
        <a:xfrm>
          <a:off x="5791200" y="266700"/>
          <a:ext cx="1816100" cy="222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8</xdr:col>
      <xdr:colOff>12700</xdr:colOff>
      <xdr:row>0</xdr:row>
      <xdr:rowOff>31750</xdr:rowOff>
    </xdr:from>
    <xdr:to>
      <xdr:col>8</xdr:col>
      <xdr:colOff>742950</xdr:colOff>
      <xdr:row>0</xdr:row>
      <xdr:rowOff>234950</xdr:rowOff>
    </xdr:to>
    <xdr:sp macro="" textlink="">
      <xdr:nvSpPr>
        <xdr:cNvPr id="1553" name="Rectangle 529">
          <a:extLst>
            <a:ext uri="{FF2B5EF4-FFF2-40B4-BE49-F238E27FC236}">
              <a16:creationId xmlns:a16="http://schemas.microsoft.com/office/drawing/2014/main" id="{79748203-5D18-42A5-A3FB-55AF7059A101}"/>
            </a:ext>
          </a:extLst>
        </xdr:cNvPr>
        <xdr:cNvSpPr>
          <a:spLocks noChangeArrowheads="1"/>
        </xdr:cNvSpPr>
      </xdr:nvSpPr>
      <xdr:spPr bwMode="auto">
        <a:xfrm>
          <a:off x="2305050" y="31750"/>
          <a:ext cx="730250" cy="20320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31750</xdr:colOff>
      <xdr:row>5</xdr:row>
      <xdr:rowOff>0</xdr:rowOff>
    </xdr:to>
    <xdr:sp macro="" textlink="">
      <xdr:nvSpPr>
        <xdr:cNvPr id="1554" name="Line 530">
          <a:extLst>
            <a:ext uri="{FF2B5EF4-FFF2-40B4-BE49-F238E27FC236}">
              <a16:creationId xmlns:a16="http://schemas.microsoft.com/office/drawing/2014/main" id="{EA10EA5B-AE37-49F2-9E2E-5B7B101C84EC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55" name="Line 531">
          <a:extLst>
            <a:ext uri="{FF2B5EF4-FFF2-40B4-BE49-F238E27FC236}">
              <a16:creationId xmlns:a16="http://schemas.microsoft.com/office/drawing/2014/main" id="{DEF59C95-02C1-45E5-8817-46A4EC1ADBA5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56" name="Line 532">
          <a:extLst>
            <a:ext uri="{FF2B5EF4-FFF2-40B4-BE49-F238E27FC236}">
              <a16:creationId xmlns:a16="http://schemas.microsoft.com/office/drawing/2014/main" id="{C5F3B48F-7CEC-4DD5-963C-5830D68BC659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57" name="Line 533">
          <a:extLst>
            <a:ext uri="{FF2B5EF4-FFF2-40B4-BE49-F238E27FC236}">
              <a16:creationId xmlns:a16="http://schemas.microsoft.com/office/drawing/2014/main" id="{12AFDCF4-441A-4CA5-A9D7-D5B4F3D0EC89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58" name="Line 534">
          <a:extLst>
            <a:ext uri="{FF2B5EF4-FFF2-40B4-BE49-F238E27FC236}">
              <a16:creationId xmlns:a16="http://schemas.microsoft.com/office/drawing/2014/main" id="{C0AE97FE-2FDB-473A-A72A-698C1AD319EA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59" name="Line 535">
          <a:extLst>
            <a:ext uri="{FF2B5EF4-FFF2-40B4-BE49-F238E27FC236}">
              <a16:creationId xmlns:a16="http://schemas.microsoft.com/office/drawing/2014/main" id="{67EF0DA5-EB7B-48F2-9FBF-AA0BC2525E39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60" name="Line 536">
          <a:extLst>
            <a:ext uri="{FF2B5EF4-FFF2-40B4-BE49-F238E27FC236}">
              <a16:creationId xmlns:a16="http://schemas.microsoft.com/office/drawing/2014/main" id="{B7F14485-E7E7-4FC7-9C4E-1161B486E9D9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61" name="Line 537">
          <a:extLst>
            <a:ext uri="{FF2B5EF4-FFF2-40B4-BE49-F238E27FC236}">
              <a16:creationId xmlns:a16="http://schemas.microsoft.com/office/drawing/2014/main" id="{BE172FE5-A741-4F7B-B0A2-46D72CDF03A5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62" name="Line 538">
          <a:extLst>
            <a:ext uri="{FF2B5EF4-FFF2-40B4-BE49-F238E27FC236}">
              <a16:creationId xmlns:a16="http://schemas.microsoft.com/office/drawing/2014/main" id="{3E0D1C54-08D8-42AA-A068-9F8C63BCDE9E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63" name="Line 539">
          <a:extLst>
            <a:ext uri="{FF2B5EF4-FFF2-40B4-BE49-F238E27FC236}">
              <a16:creationId xmlns:a16="http://schemas.microsoft.com/office/drawing/2014/main" id="{438BC0D3-E4E7-49F6-86D7-E3B6CFCBA435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64" name="Line 540">
          <a:extLst>
            <a:ext uri="{FF2B5EF4-FFF2-40B4-BE49-F238E27FC236}">
              <a16:creationId xmlns:a16="http://schemas.microsoft.com/office/drawing/2014/main" id="{64805B95-2849-4E75-A595-CED44465B68B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65" name="Line 541">
          <a:extLst>
            <a:ext uri="{FF2B5EF4-FFF2-40B4-BE49-F238E27FC236}">
              <a16:creationId xmlns:a16="http://schemas.microsoft.com/office/drawing/2014/main" id="{FA25FD79-AEA6-4E8A-98A0-C17DF2ED834D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66" name="Line 542">
          <a:extLst>
            <a:ext uri="{FF2B5EF4-FFF2-40B4-BE49-F238E27FC236}">
              <a16:creationId xmlns:a16="http://schemas.microsoft.com/office/drawing/2014/main" id="{7F493732-841B-46D0-A435-CA37A6289B18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67" name="Line 543">
          <a:extLst>
            <a:ext uri="{FF2B5EF4-FFF2-40B4-BE49-F238E27FC236}">
              <a16:creationId xmlns:a16="http://schemas.microsoft.com/office/drawing/2014/main" id="{05B44C34-86B5-4ABB-9381-19BD9C873719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68" name="Line 544">
          <a:extLst>
            <a:ext uri="{FF2B5EF4-FFF2-40B4-BE49-F238E27FC236}">
              <a16:creationId xmlns:a16="http://schemas.microsoft.com/office/drawing/2014/main" id="{8287E6B1-9109-4658-A838-12E185F56694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69" name="Line 545">
          <a:extLst>
            <a:ext uri="{FF2B5EF4-FFF2-40B4-BE49-F238E27FC236}">
              <a16:creationId xmlns:a16="http://schemas.microsoft.com/office/drawing/2014/main" id="{B0268A30-DC73-4D14-A33D-41B6C567F26E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70" name="Line 546">
          <a:extLst>
            <a:ext uri="{FF2B5EF4-FFF2-40B4-BE49-F238E27FC236}">
              <a16:creationId xmlns:a16="http://schemas.microsoft.com/office/drawing/2014/main" id="{0AF99A4C-FE94-4AC1-8DCD-9B18CA1B7E70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71" name="Line 547">
          <a:extLst>
            <a:ext uri="{FF2B5EF4-FFF2-40B4-BE49-F238E27FC236}">
              <a16:creationId xmlns:a16="http://schemas.microsoft.com/office/drawing/2014/main" id="{4B0EB005-5EDC-4BBA-B906-24E26364BF7E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72" name="Line 548">
          <a:extLst>
            <a:ext uri="{FF2B5EF4-FFF2-40B4-BE49-F238E27FC236}">
              <a16:creationId xmlns:a16="http://schemas.microsoft.com/office/drawing/2014/main" id="{5078872E-158C-42C6-9216-DC42A3F4A4AD}"/>
            </a:ext>
          </a:extLst>
        </xdr:cNvPr>
        <xdr:cNvSpPr>
          <a:spLocks noChangeShapeType="1"/>
        </xdr:cNvSpPr>
      </xdr:nvSpPr>
      <xdr:spPr bwMode="auto">
        <a:xfrm flipH="1"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73" name="Line 549">
          <a:extLst>
            <a:ext uri="{FF2B5EF4-FFF2-40B4-BE49-F238E27FC236}">
              <a16:creationId xmlns:a16="http://schemas.microsoft.com/office/drawing/2014/main" id="{88B05564-7E25-4BB8-B013-B1195F04F5D8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74" name="Line 550">
          <a:extLst>
            <a:ext uri="{FF2B5EF4-FFF2-40B4-BE49-F238E27FC236}">
              <a16:creationId xmlns:a16="http://schemas.microsoft.com/office/drawing/2014/main" id="{0D1BF220-1705-4180-A514-B67CFBC713E5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75" name="Line 551">
          <a:extLst>
            <a:ext uri="{FF2B5EF4-FFF2-40B4-BE49-F238E27FC236}">
              <a16:creationId xmlns:a16="http://schemas.microsoft.com/office/drawing/2014/main" id="{819A30F5-FA4A-4791-9630-D7E5F32D1F14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76" name="Line 552">
          <a:extLst>
            <a:ext uri="{FF2B5EF4-FFF2-40B4-BE49-F238E27FC236}">
              <a16:creationId xmlns:a16="http://schemas.microsoft.com/office/drawing/2014/main" id="{2E5715D3-20C2-4BA2-9DA9-F9D9FAB0C0EF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31750</xdr:colOff>
      <xdr:row>5</xdr:row>
      <xdr:rowOff>0</xdr:rowOff>
    </xdr:to>
    <xdr:sp macro="" textlink="">
      <xdr:nvSpPr>
        <xdr:cNvPr id="1577" name="Line 553">
          <a:extLst>
            <a:ext uri="{FF2B5EF4-FFF2-40B4-BE49-F238E27FC236}">
              <a16:creationId xmlns:a16="http://schemas.microsoft.com/office/drawing/2014/main" id="{CA478E6D-DF54-4676-A9A3-347465692A25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78" name="Line 554">
          <a:extLst>
            <a:ext uri="{FF2B5EF4-FFF2-40B4-BE49-F238E27FC236}">
              <a16:creationId xmlns:a16="http://schemas.microsoft.com/office/drawing/2014/main" id="{FC6523B4-63CB-4B9E-B1A2-CA8F8CAF8802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79" name="Line 555">
          <a:extLst>
            <a:ext uri="{FF2B5EF4-FFF2-40B4-BE49-F238E27FC236}">
              <a16:creationId xmlns:a16="http://schemas.microsoft.com/office/drawing/2014/main" id="{2998C144-0416-45B5-B747-89DC9B050895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80" name="Line 556">
          <a:extLst>
            <a:ext uri="{FF2B5EF4-FFF2-40B4-BE49-F238E27FC236}">
              <a16:creationId xmlns:a16="http://schemas.microsoft.com/office/drawing/2014/main" id="{C2759530-C70D-4503-AEDD-EB6543656739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81" name="Line 557">
          <a:extLst>
            <a:ext uri="{FF2B5EF4-FFF2-40B4-BE49-F238E27FC236}">
              <a16:creationId xmlns:a16="http://schemas.microsoft.com/office/drawing/2014/main" id="{436D9DEE-DAD1-4132-854C-8DDC836647FE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82" name="Line 558">
          <a:extLst>
            <a:ext uri="{FF2B5EF4-FFF2-40B4-BE49-F238E27FC236}">
              <a16:creationId xmlns:a16="http://schemas.microsoft.com/office/drawing/2014/main" id="{60AD70CA-59F5-4696-A699-9F37043877F2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83" name="Line 559">
          <a:extLst>
            <a:ext uri="{FF2B5EF4-FFF2-40B4-BE49-F238E27FC236}">
              <a16:creationId xmlns:a16="http://schemas.microsoft.com/office/drawing/2014/main" id="{B4C3DE69-FD81-4909-95B0-3D3B40081F7C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84" name="Line 560">
          <a:extLst>
            <a:ext uri="{FF2B5EF4-FFF2-40B4-BE49-F238E27FC236}">
              <a16:creationId xmlns:a16="http://schemas.microsoft.com/office/drawing/2014/main" id="{3EB6CDBE-85F4-48FC-93FA-5CA79C72BF4B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85" name="Line 561">
          <a:extLst>
            <a:ext uri="{FF2B5EF4-FFF2-40B4-BE49-F238E27FC236}">
              <a16:creationId xmlns:a16="http://schemas.microsoft.com/office/drawing/2014/main" id="{B77939C5-EBD4-4B28-B25F-8566D7BCD615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86" name="Line 562">
          <a:extLst>
            <a:ext uri="{FF2B5EF4-FFF2-40B4-BE49-F238E27FC236}">
              <a16:creationId xmlns:a16="http://schemas.microsoft.com/office/drawing/2014/main" id="{3AE7ED84-C1EF-4ECD-BA7B-706B76241341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87" name="Line 563">
          <a:extLst>
            <a:ext uri="{FF2B5EF4-FFF2-40B4-BE49-F238E27FC236}">
              <a16:creationId xmlns:a16="http://schemas.microsoft.com/office/drawing/2014/main" id="{ADF154E6-8567-47D6-84C4-5AFB64D0716B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88" name="Line 564">
          <a:extLst>
            <a:ext uri="{FF2B5EF4-FFF2-40B4-BE49-F238E27FC236}">
              <a16:creationId xmlns:a16="http://schemas.microsoft.com/office/drawing/2014/main" id="{215B30BA-A755-4C4D-B335-837966E328BC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89" name="Line 565">
          <a:extLst>
            <a:ext uri="{FF2B5EF4-FFF2-40B4-BE49-F238E27FC236}">
              <a16:creationId xmlns:a16="http://schemas.microsoft.com/office/drawing/2014/main" id="{41561000-CC6A-45F7-91AB-112D6FFD04B8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90" name="Line 566">
          <a:extLst>
            <a:ext uri="{FF2B5EF4-FFF2-40B4-BE49-F238E27FC236}">
              <a16:creationId xmlns:a16="http://schemas.microsoft.com/office/drawing/2014/main" id="{219B1C71-BC64-45C0-8AB4-F202B3BAB64C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91" name="Line 567">
          <a:extLst>
            <a:ext uri="{FF2B5EF4-FFF2-40B4-BE49-F238E27FC236}">
              <a16:creationId xmlns:a16="http://schemas.microsoft.com/office/drawing/2014/main" id="{4D67CB66-1DB3-40CD-AD52-46C193587B20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92" name="Line 568">
          <a:extLst>
            <a:ext uri="{FF2B5EF4-FFF2-40B4-BE49-F238E27FC236}">
              <a16:creationId xmlns:a16="http://schemas.microsoft.com/office/drawing/2014/main" id="{AB04A2E2-B27E-442F-AC6B-CBC68A8CDD5F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93" name="Line 569">
          <a:extLst>
            <a:ext uri="{FF2B5EF4-FFF2-40B4-BE49-F238E27FC236}">
              <a16:creationId xmlns:a16="http://schemas.microsoft.com/office/drawing/2014/main" id="{A05EB4F3-CF14-4860-8CB8-E1FD0018DA79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94" name="Line 570">
          <a:extLst>
            <a:ext uri="{FF2B5EF4-FFF2-40B4-BE49-F238E27FC236}">
              <a16:creationId xmlns:a16="http://schemas.microsoft.com/office/drawing/2014/main" id="{8915CEF7-DA3A-4DA7-A024-7294ACBB13A0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95" name="Line 571">
          <a:extLst>
            <a:ext uri="{FF2B5EF4-FFF2-40B4-BE49-F238E27FC236}">
              <a16:creationId xmlns:a16="http://schemas.microsoft.com/office/drawing/2014/main" id="{B513F890-55BB-49A6-B67C-260D4FAB8F5C}"/>
            </a:ext>
          </a:extLst>
        </xdr:cNvPr>
        <xdr:cNvSpPr>
          <a:spLocks noChangeShapeType="1"/>
        </xdr:cNvSpPr>
      </xdr:nvSpPr>
      <xdr:spPr bwMode="auto">
        <a:xfrm flipH="1"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96" name="Line 572">
          <a:extLst>
            <a:ext uri="{FF2B5EF4-FFF2-40B4-BE49-F238E27FC236}">
              <a16:creationId xmlns:a16="http://schemas.microsoft.com/office/drawing/2014/main" id="{07FDE7A0-C154-437E-8DBB-EC77D6A0C0A7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97" name="Line 573">
          <a:extLst>
            <a:ext uri="{FF2B5EF4-FFF2-40B4-BE49-F238E27FC236}">
              <a16:creationId xmlns:a16="http://schemas.microsoft.com/office/drawing/2014/main" id="{109F553B-5B7F-4807-8025-75F925E0E893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98" name="Line 574">
          <a:extLst>
            <a:ext uri="{FF2B5EF4-FFF2-40B4-BE49-F238E27FC236}">
              <a16:creationId xmlns:a16="http://schemas.microsoft.com/office/drawing/2014/main" id="{56BCFB9F-74BE-4F04-9364-232B3B7B3F61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599" name="Line 575">
          <a:extLst>
            <a:ext uri="{FF2B5EF4-FFF2-40B4-BE49-F238E27FC236}">
              <a16:creationId xmlns:a16="http://schemas.microsoft.com/office/drawing/2014/main" id="{25B9A10B-5264-4B2C-A6D3-28A29FDBA400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31750</xdr:colOff>
      <xdr:row>5</xdr:row>
      <xdr:rowOff>0</xdr:rowOff>
    </xdr:to>
    <xdr:sp macro="" textlink="">
      <xdr:nvSpPr>
        <xdr:cNvPr id="1600" name="Line 576">
          <a:extLst>
            <a:ext uri="{FF2B5EF4-FFF2-40B4-BE49-F238E27FC236}">
              <a16:creationId xmlns:a16="http://schemas.microsoft.com/office/drawing/2014/main" id="{E88E43D3-E79C-448F-84FB-B191F8967940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01" name="Line 577">
          <a:extLst>
            <a:ext uri="{FF2B5EF4-FFF2-40B4-BE49-F238E27FC236}">
              <a16:creationId xmlns:a16="http://schemas.microsoft.com/office/drawing/2014/main" id="{490A6359-B04E-4842-9231-93CCE4A4539C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02" name="Line 578">
          <a:extLst>
            <a:ext uri="{FF2B5EF4-FFF2-40B4-BE49-F238E27FC236}">
              <a16:creationId xmlns:a16="http://schemas.microsoft.com/office/drawing/2014/main" id="{ADD56CEE-6BF2-4381-A0C9-4805EDB34F81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03" name="Line 579">
          <a:extLst>
            <a:ext uri="{FF2B5EF4-FFF2-40B4-BE49-F238E27FC236}">
              <a16:creationId xmlns:a16="http://schemas.microsoft.com/office/drawing/2014/main" id="{9B7F76B0-0A7A-4B6E-A6F5-63C14F245C7D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04" name="Line 580">
          <a:extLst>
            <a:ext uri="{FF2B5EF4-FFF2-40B4-BE49-F238E27FC236}">
              <a16:creationId xmlns:a16="http://schemas.microsoft.com/office/drawing/2014/main" id="{2CDF8A47-7FF9-4B92-BFF4-38951D7B6EE2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05" name="Line 581">
          <a:extLst>
            <a:ext uri="{FF2B5EF4-FFF2-40B4-BE49-F238E27FC236}">
              <a16:creationId xmlns:a16="http://schemas.microsoft.com/office/drawing/2014/main" id="{F1B81473-5657-4C9C-9690-4EBFEF8EA97D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06" name="Line 582">
          <a:extLst>
            <a:ext uri="{FF2B5EF4-FFF2-40B4-BE49-F238E27FC236}">
              <a16:creationId xmlns:a16="http://schemas.microsoft.com/office/drawing/2014/main" id="{A442C514-3DCF-49D5-83EE-D9F1D00C6752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07" name="Line 583">
          <a:extLst>
            <a:ext uri="{FF2B5EF4-FFF2-40B4-BE49-F238E27FC236}">
              <a16:creationId xmlns:a16="http://schemas.microsoft.com/office/drawing/2014/main" id="{4C8317AD-D980-4D0E-A688-BCE30C7B3058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08" name="Line 584">
          <a:extLst>
            <a:ext uri="{FF2B5EF4-FFF2-40B4-BE49-F238E27FC236}">
              <a16:creationId xmlns:a16="http://schemas.microsoft.com/office/drawing/2014/main" id="{68273BD5-7DD4-4CB4-9D36-4D694808D4B5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09" name="Line 585">
          <a:extLst>
            <a:ext uri="{FF2B5EF4-FFF2-40B4-BE49-F238E27FC236}">
              <a16:creationId xmlns:a16="http://schemas.microsoft.com/office/drawing/2014/main" id="{96AAA70C-3B59-423E-A8DB-7264FFE763BF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10" name="Line 586">
          <a:extLst>
            <a:ext uri="{FF2B5EF4-FFF2-40B4-BE49-F238E27FC236}">
              <a16:creationId xmlns:a16="http://schemas.microsoft.com/office/drawing/2014/main" id="{BF3061A0-2265-431F-B186-55852FE2AA4F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11" name="Line 587">
          <a:extLst>
            <a:ext uri="{FF2B5EF4-FFF2-40B4-BE49-F238E27FC236}">
              <a16:creationId xmlns:a16="http://schemas.microsoft.com/office/drawing/2014/main" id="{A62A3E4D-23EE-4753-B6A1-98D313F5171D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12" name="Line 588">
          <a:extLst>
            <a:ext uri="{FF2B5EF4-FFF2-40B4-BE49-F238E27FC236}">
              <a16:creationId xmlns:a16="http://schemas.microsoft.com/office/drawing/2014/main" id="{62A3DAD4-3568-4262-AC6A-5F50C267CA36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13" name="Line 589">
          <a:extLst>
            <a:ext uri="{FF2B5EF4-FFF2-40B4-BE49-F238E27FC236}">
              <a16:creationId xmlns:a16="http://schemas.microsoft.com/office/drawing/2014/main" id="{F169690F-81B2-4FCB-BDF3-17A94D5908F9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14" name="Line 590">
          <a:extLst>
            <a:ext uri="{FF2B5EF4-FFF2-40B4-BE49-F238E27FC236}">
              <a16:creationId xmlns:a16="http://schemas.microsoft.com/office/drawing/2014/main" id="{602FB4BB-55C6-4A1B-82EB-0C2F1F569B7E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15" name="Line 591">
          <a:extLst>
            <a:ext uri="{FF2B5EF4-FFF2-40B4-BE49-F238E27FC236}">
              <a16:creationId xmlns:a16="http://schemas.microsoft.com/office/drawing/2014/main" id="{E4754788-B918-42A8-81D8-00A4F13CEB3D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16" name="Line 592">
          <a:extLst>
            <a:ext uri="{FF2B5EF4-FFF2-40B4-BE49-F238E27FC236}">
              <a16:creationId xmlns:a16="http://schemas.microsoft.com/office/drawing/2014/main" id="{E3F8AB66-CC9B-4075-A00D-D43399CDA3EF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17" name="Line 593">
          <a:extLst>
            <a:ext uri="{FF2B5EF4-FFF2-40B4-BE49-F238E27FC236}">
              <a16:creationId xmlns:a16="http://schemas.microsoft.com/office/drawing/2014/main" id="{270DC9B8-2BF0-4FC1-86E9-9F09E21416A7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18" name="Line 594">
          <a:extLst>
            <a:ext uri="{FF2B5EF4-FFF2-40B4-BE49-F238E27FC236}">
              <a16:creationId xmlns:a16="http://schemas.microsoft.com/office/drawing/2014/main" id="{501437DE-1D01-4DCA-9BE2-BA252AC301ED}"/>
            </a:ext>
          </a:extLst>
        </xdr:cNvPr>
        <xdr:cNvSpPr>
          <a:spLocks noChangeShapeType="1"/>
        </xdr:cNvSpPr>
      </xdr:nvSpPr>
      <xdr:spPr bwMode="auto">
        <a:xfrm flipH="1"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19" name="Line 595">
          <a:extLst>
            <a:ext uri="{FF2B5EF4-FFF2-40B4-BE49-F238E27FC236}">
              <a16:creationId xmlns:a16="http://schemas.microsoft.com/office/drawing/2014/main" id="{385EB97B-0E94-4501-8658-18C62F7C7AA0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20" name="Line 596">
          <a:extLst>
            <a:ext uri="{FF2B5EF4-FFF2-40B4-BE49-F238E27FC236}">
              <a16:creationId xmlns:a16="http://schemas.microsoft.com/office/drawing/2014/main" id="{10226FFC-70D8-4CC1-A2F4-36BF5CFCE8A7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21" name="Line 597">
          <a:extLst>
            <a:ext uri="{FF2B5EF4-FFF2-40B4-BE49-F238E27FC236}">
              <a16:creationId xmlns:a16="http://schemas.microsoft.com/office/drawing/2014/main" id="{00342CCB-CE79-4116-8EA4-62BC59718D82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22" name="Line 598">
          <a:extLst>
            <a:ext uri="{FF2B5EF4-FFF2-40B4-BE49-F238E27FC236}">
              <a16:creationId xmlns:a16="http://schemas.microsoft.com/office/drawing/2014/main" id="{8E8C5CFD-5044-4AD9-B31A-D0B07A78AF73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31750</xdr:colOff>
      <xdr:row>5</xdr:row>
      <xdr:rowOff>0</xdr:rowOff>
    </xdr:to>
    <xdr:sp macro="" textlink="">
      <xdr:nvSpPr>
        <xdr:cNvPr id="1623" name="Line 599">
          <a:extLst>
            <a:ext uri="{FF2B5EF4-FFF2-40B4-BE49-F238E27FC236}">
              <a16:creationId xmlns:a16="http://schemas.microsoft.com/office/drawing/2014/main" id="{A6EC1588-57A1-40C0-AD3A-A6AA1B95B14D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24" name="Line 600">
          <a:extLst>
            <a:ext uri="{FF2B5EF4-FFF2-40B4-BE49-F238E27FC236}">
              <a16:creationId xmlns:a16="http://schemas.microsoft.com/office/drawing/2014/main" id="{23AE3C1B-53F2-4D54-BF4F-05BFB7E93CF3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25" name="Line 601">
          <a:extLst>
            <a:ext uri="{FF2B5EF4-FFF2-40B4-BE49-F238E27FC236}">
              <a16:creationId xmlns:a16="http://schemas.microsoft.com/office/drawing/2014/main" id="{4C696198-37C2-4724-883D-1571A1A33A58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26" name="Line 602">
          <a:extLst>
            <a:ext uri="{FF2B5EF4-FFF2-40B4-BE49-F238E27FC236}">
              <a16:creationId xmlns:a16="http://schemas.microsoft.com/office/drawing/2014/main" id="{9686D806-AE0B-4C95-9D60-B177464AC1C1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27" name="Line 603">
          <a:extLst>
            <a:ext uri="{FF2B5EF4-FFF2-40B4-BE49-F238E27FC236}">
              <a16:creationId xmlns:a16="http://schemas.microsoft.com/office/drawing/2014/main" id="{F7BBC8A3-1959-4C00-81EC-F68E15B14CC9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28" name="Line 604">
          <a:extLst>
            <a:ext uri="{FF2B5EF4-FFF2-40B4-BE49-F238E27FC236}">
              <a16:creationId xmlns:a16="http://schemas.microsoft.com/office/drawing/2014/main" id="{C1FAB69D-1A9D-4248-9D1A-75C961DB4891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29" name="Line 605">
          <a:extLst>
            <a:ext uri="{FF2B5EF4-FFF2-40B4-BE49-F238E27FC236}">
              <a16:creationId xmlns:a16="http://schemas.microsoft.com/office/drawing/2014/main" id="{15E1AD45-8341-4C80-8901-766DB000BF29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30" name="Line 606">
          <a:extLst>
            <a:ext uri="{FF2B5EF4-FFF2-40B4-BE49-F238E27FC236}">
              <a16:creationId xmlns:a16="http://schemas.microsoft.com/office/drawing/2014/main" id="{27971A9B-1884-42C2-8DB8-7ABC4B3BE6B3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31" name="Line 607">
          <a:extLst>
            <a:ext uri="{FF2B5EF4-FFF2-40B4-BE49-F238E27FC236}">
              <a16:creationId xmlns:a16="http://schemas.microsoft.com/office/drawing/2014/main" id="{4DBAD85E-71F5-4EB9-B45E-FF2E5131E58A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32" name="Line 608">
          <a:extLst>
            <a:ext uri="{FF2B5EF4-FFF2-40B4-BE49-F238E27FC236}">
              <a16:creationId xmlns:a16="http://schemas.microsoft.com/office/drawing/2014/main" id="{530EAECB-E9C0-4B63-A6F4-0D78A2B536FB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33" name="Line 609">
          <a:extLst>
            <a:ext uri="{FF2B5EF4-FFF2-40B4-BE49-F238E27FC236}">
              <a16:creationId xmlns:a16="http://schemas.microsoft.com/office/drawing/2014/main" id="{27EE0999-E7F9-46BA-AEC6-FD9A7E6528E3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34" name="Line 610">
          <a:extLst>
            <a:ext uri="{FF2B5EF4-FFF2-40B4-BE49-F238E27FC236}">
              <a16:creationId xmlns:a16="http://schemas.microsoft.com/office/drawing/2014/main" id="{D9F240C8-685A-43B2-842D-92F270A995A3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35" name="Line 611">
          <a:extLst>
            <a:ext uri="{FF2B5EF4-FFF2-40B4-BE49-F238E27FC236}">
              <a16:creationId xmlns:a16="http://schemas.microsoft.com/office/drawing/2014/main" id="{A473274C-7981-4A79-AF06-573AAB268DA2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36" name="Line 612">
          <a:extLst>
            <a:ext uri="{FF2B5EF4-FFF2-40B4-BE49-F238E27FC236}">
              <a16:creationId xmlns:a16="http://schemas.microsoft.com/office/drawing/2014/main" id="{08E0E5EB-98AC-4261-85D1-01C26760B0AE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37" name="Line 613">
          <a:extLst>
            <a:ext uri="{FF2B5EF4-FFF2-40B4-BE49-F238E27FC236}">
              <a16:creationId xmlns:a16="http://schemas.microsoft.com/office/drawing/2014/main" id="{C81FF0E1-8D16-4B3A-B713-4C4D455E3FF9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38" name="Line 614">
          <a:extLst>
            <a:ext uri="{FF2B5EF4-FFF2-40B4-BE49-F238E27FC236}">
              <a16:creationId xmlns:a16="http://schemas.microsoft.com/office/drawing/2014/main" id="{AD5E670D-C3A9-4A15-A925-8600B32E9485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39" name="Line 615">
          <a:extLst>
            <a:ext uri="{FF2B5EF4-FFF2-40B4-BE49-F238E27FC236}">
              <a16:creationId xmlns:a16="http://schemas.microsoft.com/office/drawing/2014/main" id="{39178B65-EA47-4546-88CF-F80F29DFDA1D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40" name="Line 616">
          <a:extLst>
            <a:ext uri="{FF2B5EF4-FFF2-40B4-BE49-F238E27FC236}">
              <a16:creationId xmlns:a16="http://schemas.microsoft.com/office/drawing/2014/main" id="{71B92CD6-4639-41CC-BD01-86AAF2F4BB47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41" name="Line 617">
          <a:extLst>
            <a:ext uri="{FF2B5EF4-FFF2-40B4-BE49-F238E27FC236}">
              <a16:creationId xmlns:a16="http://schemas.microsoft.com/office/drawing/2014/main" id="{DD482E00-36F8-4C3A-9D07-212A25B5215B}"/>
            </a:ext>
          </a:extLst>
        </xdr:cNvPr>
        <xdr:cNvSpPr>
          <a:spLocks noChangeShapeType="1"/>
        </xdr:cNvSpPr>
      </xdr:nvSpPr>
      <xdr:spPr bwMode="auto">
        <a:xfrm flipH="1"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42" name="Line 618">
          <a:extLst>
            <a:ext uri="{FF2B5EF4-FFF2-40B4-BE49-F238E27FC236}">
              <a16:creationId xmlns:a16="http://schemas.microsoft.com/office/drawing/2014/main" id="{8213DADA-8BD7-4A18-B545-BB86A97A5495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43" name="Line 619">
          <a:extLst>
            <a:ext uri="{FF2B5EF4-FFF2-40B4-BE49-F238E27FC236}">
              <a16:creationId xmlns:a16="http://schemas.microsoft.com/office/drawing/2014/main" id="{59E97F91-2DBE-48F9-B34C-F5A67C043E38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44" name="Line 620">
          <a:extLst>
            <a:ext uri="{FF2B5EF4-FFF2-40B4-BE49-F238E27FC236}">
              <a16:creationId xmlns:a16="http://schemas.microsoft.com/office/drawing/2014/main" id="{0B15C368-262F-4019-B7EA-22A92B331EDE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45" name="Line 621">
          <a:extLst>
            <a:ext uri="{FF2B5EF4-FFF2-40B4-BE49-F238E27FC236}">
              <a16:creationId xmlns:a16="http://schemas.microsoft.com/office/drawing/2014/main" id="{C8F43623-8FCE-4CD7-AD37-174D13AB8E47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31750</xdr:colOff>
      <xdr:row>5</xdr:row>
      <xdr:rowOff>0</xdr:rowOff>
    </xdr:to>
    <xdr:sp macro="" textlink="">
      <xdr:nvSpPr>
        <xdr:cNvPr id="1646" name="Line 622">
          <a:extLst>
            <a:ext uri="{FF2B5EF4-FFF2-40B4-BE49-F238E27FC236}">
              <a16:creationId xmlns:a16="http://schemas.microsoft.com/office/drawing/2014/main" id="{98317C03-3302-46D6-B90B-98693870B971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47" name="Line 623">
          <a:extLst>
            <a:ext uri="{FF2B5EF4-FFF2-40B4-BE49-F238E27FC236}">
              <a16:creationId xmlns:a16="http://schemas.microsoft.com/office/drawing/2014/main" id="{7B6604F4-8F16-47AF-8440-5EEE6E3EC127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48" name="Line 624">
          <a:extLst>
            <a:ext uri="{FF2B5EF4-FFF2-40B4-BE49-F238E27FC236}">
              <a16:creationId xmlns:a16="http://schemas.microsoft.com/office/drawing/2014/main" id="{A3284EEE-E476-4CD2-AD1D-B5CA5CE7AED7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49" name="Line 625">
          <a:extLst>
            <a:ext uri="{FF2B5EF4-FFF2-40B4-BE49-F238E27FC236}">
              <a16:creationId xmlns:a16="http://schemas.microsoft.com/office/drawing/2014/main" id="{143B2ACA-7025-4BE4-9B18-37A174327CD7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50" name="Line 626">
          <a:extLst>
            <a:ext uri="{FF2B5EF4-FFF2-40B4-BE49-F238E27FC236}">
              <a16:creationId xmlns:a16="http://schemas.microsoft.com/office/drawing/2014/main" id="{F66682C7-EBB1-454C-82FB-637FF934E2F7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51" name="Line 627">
          <a:extLst>
            <a:ext uri="{FF2B5EF4-FFF2-40B4-BE49-F238E27FC236}">
              <a16:creationId xmlns:a16="http://schemas.microsoft.com/office/drawing/2014/main" id="{CCFBFF43-DC32-436E-A3BA-F3F8E96C569C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52" name="Line 628">
          <a:extLst>
            <a:ext uri="{FF2B5EF4-FFF2-40B4-BE49-F238E27FC236}">
              <a16:creationId xmlns:a16="http://schemas.microsoft.com/office/drawing/2014/main" id="{90FC85D0-1BAF-486F-8B6E-7B43F9AF1489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53" name="Line 629">
          <a:extLst>
            <a:ext uri="{FF2B5EF4-FFF2-40B4-BE49-F238E27FC236}">
              <a16:creationId xmlns:a16="http://schemas.microsoft.com/office/drawing/2014/main" id="{37019D32-0738-45FC-8A0D-2F088E20B9EB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54" name="Line 630">
          <a:extLst>
            <a:ext uri="{FF2B5EF4-FFF2-40B4-BE49-F238E27FC236}">
              <a16:creationId xmlns:a16="http://schemas.microsoft.com/office/drawing/2014/main" id="{AD1D7301-F8F3-49F6-8754-802FE37DD2F4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55" name="Line 631">
          <a:extLst>
            <a:ext uri="{FF2B5EF4-FFF2-40B4-BE49-F238E27FC236}">
              <a16:creationId xmlns:a16="http://schemas.microsoft.com/office/drawing/2014/main" id="{BFBED8B2-E8F2-4156-ABC0-D80679F03046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56" name="Line 632">
          <a:extLst>
            <a:ext uri="{FF2B5EF4-FFF2-40B4-BE49-F238E27FC236}">
              <a16:creationId xmlns:a16="http://schemas.microsoft.com/office/drawing/2014/main" id="{45B0D309-1126-41E4-8CB9-E487418D8D2A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57" name="Line 633">
          <a:extLst>
            <a:ext uri="{FF2B5EF4-FFF2-40B4-BE49-F238E27FC236}">
              <a16:creationId xmlns:a16="http://schemas.microsoft.com/office/drawing/2014/main" id="{60606AE4-91E3-4EF6-B509-7F6C133286AB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58" name="Line 634">
          <a:extLst>
            <a:ext uri="{FF2B5EF4-FFF2-40B4-BE49-F238E27FC236}">
              <a16:creationId xmlns:a16="http://schemas.microsoft.com/office/drawing/2014/main" id="{170B29F3-8288-4988-98E8-F61E4E4545B9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59" name="Line 635">
          <a:extLst>
            <a:ext uri="{FF2B5EF4-FFF2-40B4-BE49-F238E27FC236}">
              <a16:creationId xmlns:a16="http://schemas.microsoft.com/office/drawing/2014/main" id="{F17B06E1-1AB8-475E-AE6A-232FD25ABFE4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60" name="Line 636">
          <a:extLst>
            <a:ext uri="{FF2B5EF4-FFF2-40B4-BE49-F238E27FC236}">
              <a16:creationId xmlns:a16="http://schemas.microsoft.com/office/drawing/2014/main" id="{42BB3794-F647-4825-B43B-E3C84C00E600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61" name="Line 637">
          <a:extLst>
            <a:ext uri="{FF2B5EF4-FFF2-40B4-BE49-F238E27FC236}">
              <a16:creationId xmlns:a16="http://schemas.microsoft.com/office/drawing/2014/main" id="{02993449-EC95-47D5-9D62-D2440B1D47BF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62" name="Line 638">
          <a:extLst>
            <a:ext uri="{FF2B5EF4-FFF2-40B4-BE49-F238E27FC236}">
              <a16:creationId xmlns:a16="http://schemas.microsoft.com/office/drawing/2014/main" id="{576D50B3-4786-43B2-8C3B-C7BFABF96720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63" name="Line 639">
          <a:extLst>
            <a:ext uri="{FF2B5EF4-FFF2-40B4-BE49-F238E27FC236}">
              <a16:creationId xmlns:a16="http://schemas.microsoft.com/office/drawing/2014/main" id="{7AF549BC-1F51-4BC2-824E-F9A658C3AA99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64" name="Line 640">
          <a:extLst>
            <a:ext uri="{FF2B5EF4-FFF2-40B4-BE49-F238E27FC236}">
              <a16:creationId xmlns:a16="http://schemas.microsoft.com/office/drawing/2014/main" id="{999B14C9-98E9-4635-9F5C-CABEB1D714FB}"/>
            </a:ext>
          </a:extLst>
        </xdr:cNvPr>
        <xdr:cNvSpPr>
          <a:spLocks noChangeShapeType="1"/>
        </xdr:cNvSpPr>
      </xdr:nvSpPr>
      <xdr:spPr bwMode="auto">
        <a:xfrm flipH="1"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65" name="Line 641">
          <a:extLst>
            <a:ext uri="{FF2B5EF4-FFF2-40B4-BE49-F238E27FC236}">
              <a16:creationId xmlns:a16="http://schemas.microsoft.com/office/drawing/2014/main" id="{31163948-A060-40B7-8389-F08C248FD40D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66" name="Line 642">
          <a:extLst>
            <a:ext uri="{FF2B5EF4-FFF2-40B4-BE49-F238E27FC236}">
              <a16:creationId xmlns:a16="http://schemas.microsoft.com/office/drawing/2014/main" id="{B677EB67-7171-424B-9858-3D419E8571CB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67" name="Line 643">
          <a:extLst>
            <a:ext uri="{FF2B5EF4-FFF2-40B4-BE49-F238E27FC236}">
              <a16:creationId xmlns:a16="http://schemas.microsoft.com/office/drawing/2014/main" id="{A0509EE1-A6E4-4E5E-8CD6-0BE749E9C9B2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68" name="Line 644">
          <a:extLst>
            <a:ext uri="{FF2B5EF4-FFF2-40B4-BE49-F238E27FC236}">
              <a16:creationId xmlns:a16="http://schemas.microsoft.com/office/drawing/2014/main" id="{945C6DC3-3414-4633-BE1E-B045E77F017F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31750</xdr:colOff>
      <xdr:row>5</xdr:row>
      <xdr:rowOff>0</xdr:rowOff>
    </xdr:to>
    <xdr:sp macro="" textlink="">
      <xdr:nvSpPr>
        <xdr:cNvPr id="1669" name="Line 645">
          <a:extLst>
            <a:ext uri="{FF2B5EF4-FFF2-40B4-BE49-F238E27FC236}">
              <a16:creationId xmlns:a16="http://schemas.microsoft.com/office/drawing/2014/main" id="{1F6EA482-2113-47EB-B1D6-30C6526DEFC4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70" name="Line 646">
          <a:extLst>
            <a:ext uri="{FF2B5EF4-FFF2-40B4-BE49-F238E27FC236}">
              <a16:creationId xmlns:a16="http://schemas.microsoft.com/office/drawing/2014/main" id="{15252ACB-348B-43F4-ACAD-50B2C19FEAFD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71" name="Line 647">
          <a:extLst>
            <a:ext uri="{FF2B5EF4-FFF2-40B4-BE49-F238E27FC236}">
              <a16:creationId xmlns:a16="http://schemas.microsoft.com/office/drawing/2014/main" id="{8325EDB8-9BDA-4C57-AD73-AAB46602A64E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72" name="Line 648">
          <a:extLst>
            <a:ext uri="{FF2B5EF4-FFF2-40B4-BE49-F238E27FC236}">
              <a16:creationId xmlns:a16="http://schemas.microsoft.com/office/drawing/2014/main" id="{62995017-EA28-4ADA-B513-1ADB7392D07B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73" name="Line 649">
          <a:extLst>
            <a:ext uri="{FF2B5EF4-FFF2-40B4-BE49-F238E27FC236}">
              <a16:creationId xmlns:a16="http://schemas.microsoft.com/office/drawing/2014/main" id="{E0961717-3F55-479C-B0FB-1EE9502D8877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74" name="Line 650">
          <a:extLst>
            <a:ext uri="{FF2B5EF4-FFF2-40B4-BE49-F238E27FC236}">
              <a16:creationId xmlns:a16="http://schemas.microsoft.com/office/drawing/2014/main" id="{AE7938D4-9BA8-4855-BFA9-46736B0C7436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75" name="Line 651">
          <a:extLst>
            <a:ext uri="{FF2B5EF4-FFF2-40B4-BE49-F238E27FC236}">
              <a16:creationId xmlns:a16="http://schemas.microsoft.com/office/drawing/2014/main" id="{FE2B9139-D04C-4A8D-9FB9-C37F6E633985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76" name="Line 652">
          <a:extLst>
            <a:ext uri="{FF2B5EF4-FFF2-40B4-BE49-F238E27FC236}">
              <a16:creationId xmlns:a16="http://schemas.microsoft.com/office/drawing/2014/main" id="{6F0EDF62-8CB3-484D-BA1F-ACFB0608512E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77" name="Line 653">
          <a:extLst>
            <a:ext uri="{FF2B5EF4-FFF2-40B4-BE49-F238E27FC236}">
              <a16:creationId xmlns:a16="http://schemas.microsoft.com/office/drawing/2014/main" id="{E4068B59-A668-4747-A111-B37AA281E861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78" name="Line 654">
          <a:extLst>
            <a:ext uri="{FF2B5EF4-FFF2-40B4-BE49-F238E27FC236}">
              <a16:creationId xmlns:a16="http://schemas.microsoft.com/office/drawing/2014/main" id="{FA96B1DE-6D37-41DA-A8D1-DFE2A6ACE549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79" name="Line 655">
          <a:extLst>
            <a:ext uri="{FF2B5EF4-FFF2-40B4-BE49-F238E27FC236}">
              <a16:creationId xmlns:a16="http://schemas.microsoft.com/office/drawing/2014/main" id="{AE207FDE-5E36-4DF3-A59C-8C7510D98AF2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80" name="Line 656">
          <a:extLst>
            <a:ext uri="{FF2B5EF4-FFF2-40B4-BE49-F238E27FC236}">
              <a16:creationId xmlns:a16="http://schemas.microsoft.com/office/drawing/2014/main" id="{DD20F5CD-485F-43E8-8736-A639E7262D09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81" name="Line 657">
          <a:extLst>
            <a:ext uri="{FF2B5EF4-FFF2-40B4-BE49-F238E27FC236}">
              <a16:creationId xmlns:a16="http://schemas.microsoft.com/office/drawing/2014/main" id="{A3FE3519-D270-4D71-B0E5-96F06026FDA0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82" name="Line 658">
          <a:extLst>
            <a:ext uri="{FF2B5EF4-FFF2-40B4-BE49-F238E27FC236}">
              <a16:creationId xmlns:a16="http://schemas.microsoft.com/office/drawing/2014/main" id="{9BD6B2DC-07FA-4B75-9CAF-665172DD36F6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83" name="Line 659">
          <a:extLst>
            <a:ext uri="{FF2B5EF4-FFF2-40B4-BE49-F238E27FC236}">
              <a16:creationId xmlns:a16="http://schemas.microsoft.com/office/drawing/2014/main" id="{088A70CA-62C0-4243-B73E-BC38075A95FF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84" name="Line 660">
          <a:extLst>
            <a:ext uri="{FF2B5EF4-FFF2-40B4-BE49-F238E27FC236}">
              <a16:creationId xmlns:a16="http://schemas.microsoft.com/office/drawing/2014/main" id="{A44DF9C9-F1E9-4D7E-AC01-E59F55F69FDE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85" name="Line 661">
          <a:extLst>
            <a:ext uri="{FF2B5EF4-FFF2-40B4-BE49-F238E27FC236}">
              <a16:creationId xmlns:a16="http://schemas.microsoft.com/office/drawing/2014/main" id="{F9F3A78D-27FA-4705-9056-C458DB83F4A9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86" name="Line 662">
          <a:extLst>
            <a:ext uri="{FF2B5EF4-FFF2-40B4-BE49-F238E27FC236}">
              <a16:creationId xmlns:a16="http://schemas.microsoft.com/office/drawing/2014/main" id="{75A147DB-DB7A-49FC-BE4C-A4BF220F8882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87" name="Line 663">
          <a:extLst>
            <a:ext uri="{FF2B5EF4-FFF2-40B4-BE49-F238E27FC236}">
              <a16:creationId xmlns:a16="http://schemas.microsoft.com/office/drawing/2014/main" id="{CA7B7AC7-F739-46B7-8433-5F7C69288CFE}"/>
            </a:ext>
          </a:extLst>
        </xdr:cNvPr>
        <xdr:cNvSpPr>
          <a:spLocks noChangeShapeType="1"/>
        </xdr:cNvSpPr>
      </xdr:nvSpPr>
      <xdr:spPr bwMode="auto">
        <a:xfrm flipH="1"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88" name="Line 664">
          <a:extLst>
            <a:ext uri="{FF2B5EF4-FFF2-40B4-BE49-F238E27FC236}">
              <a16:creationId xmlns:a16="http://schemas.microsoft.com/office/drawing/2014/main" id="{A6A502F5-CC3B-42C1-9A12-26C5A13566C4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89" name="Line 665">
          <a:extLst>
            <a:ext uri="{FF2B5EF4-FFF2-40B4-BE49-F238E27FC236}">
              <a16:creationId xmlns:a16="http://schemas.microsoft.com/office/drawing/2014/main" id="{4B905C9E-F6EA-40F4-81A7-24A2C7694DCC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90" name="Line 666">
          <a:extLst>
            <a:ext uri="{FF2B5EF4-FFF2-40B4-BE49-F238E27FC236}">
              <a16:creationId xmlns:a16="http://schemas.microsoft.com/office/drawing/2014/main" id="{754A937A-BC75-4F4F-86E0-0F0CC1A14588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91" name="Line 667">
          <a:extLst>
            <a:ext uri="{FF2B5EF4-FFF2-40B4-BE49-F238E27FC236}">
              <a16:creationId xmlns:a16="http://schemas.microsoft.com/office/drawing/2014/main" id="{42368F5F-E1C3-4878-BB29-2AF04F1402EA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31750</xdr:colOff>
      <xdr:row>5</xdr:row>
      <xdr:rowOff>0</xdr:rowOff>
    </xdr:to>
    <xdr:sp macro="" textlink="">
      <xdr:nvSpPr>
        <xdr:cNvPr id="1692" name="Line 668">
          <a:extLst>
            <a:ext uri="{FF2B5EF4-FFF2-40B4-BE49-F238E27FC236}">
              <a16:creationId xmlns:a16="http://schemas.microsoft.com/office/drawing/2014/main" id="{AEE25225-522B-4544-9579-D79BBDDACDFC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93" name="Line 669">
          <a:extLst>
            <a:ext uri="{FF2B5EF4-FFF2-40B4-BE49-F238E27FC236}">
              <a16:creationId xmlns:a16="http://schemas.microsoft.com/office/drawing/2014/main" id="{A688DF08-B445-491A-96AE-2F0BFBE2CA38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94" name="Line 670">
          <a:extLst>
            <a:ext uri="{FF2B5EF4-FFF2-40B4-BE49-F238E27FC236}">
              <a16:creationId xmlns:a16="http://schemas.microsoft.com/office/drawing/2014/main" id="{9F062489-CC71-4280-835D-7C06A2796C62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95" name="Line 671">
          <a:extLst>
            <a:ext uri="{FF2B5EF4-FFF2-40B4-BE49-F238E27FC236}">
              <a16:creationId xmlns:a16="http://schemas.microsoft.com/office/drawing/2014/main" id="{71E8748C-AA4C-4A8C-B40F-8DB63F044F97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96" name="Line 672">
          <a:extLst>
            <a:ext uri="{FF2B5EF4-FFF2-40B4-BE49-F238E27FC236}">
              <a16:creationId xmlns:a16="http://schemas.microsoft.com/office/drawing/2014/main" id="{C68EF597-1AFB-434C-8448-E67AD994D7B5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97" name="Line 673">
          <a:extLst>
            <a:ext uri="{FF2B5EF4-FFF2-40B4-BE49-F238E27FC236}">
              <a16:creationId xmlns:a16="http://schemas.microsoft.com/office/drawing/2014/main" id="{F3A624C5-EF2F-473B-9057-4885B5CB1CE2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98" name="Line 674">
          <a:extLst>
            <a:ext uri="{FF2B5EF4-FFF2-40B4-BE49-F238E27FC236}">
              <a16:creationId xmlns:a16="http://schemas.microsoft.com/office/drawing/2014/main" id="{F10A9385-F243-4F1E-BC56-32397E33DB20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699" name="Line 675">
          <a:extLst>
            <a:ext uri="{FF2B5EF4-FFF2-40B4-BE49-F238E27FC236}">
              <a16:creationId xmlns:a16="http://schemas.microsoft.com/office/drawing/2014/main" id="{8EFF8251-2986-47EC-9019-0E56B85CC434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00" name="Line 676">
          <a:extLst>
            <a:ext uri="{FF2B5EF4-FFF2-40B4-BE49-F238E27FC236}">
              <a16:creationId xmlns:a16="http://schemas.microsoft.com/office/drawing/2014/main" id="{2C338C13-8A2E-40C5-B1FE-FE0569A40F07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01" name="Line 677">
          <a:extLst>
            <a:ext uri="{FF2B5EF4-FFF2-40B4-BE49-F238E27FC236}">
              <a16:creationId xmlns:a16="http://schemas.microsoft.com/office/drawing/2014/main" id="{EB21DEFE-D6C1-478A-BF86-6004EFDC75CA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02" name="Line 678">
          <a:extLst>
            <a:ext uri="{FF2B5EF4-FFF2-40B4-BE49-F238E27FC236}">
              <a16:creationId xmlns:a16="http://schemas.microsoft.com/office/drawing/2014/main" id="{5C6C1C18-4598-42F6-A808-6AFCCF0E22D4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03" name="Line 679">
          <a:extLst>
            <a:ext uri="{FF2B5EF4-FFF2-40B4-BE49-F238E27FC236}">
              <a16:creationId xmlns:a16="http://schemas.microsoft.com/office/drawing/2014/main" id="{DE0CAFE6-16AF-41AC-9FA6-0D70F6DCF36A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04" name="Line 680">
          <a:extLst>
            <a:ext uri="{FF2B5EF4-FFF2-40B4-BE49-F238E27FC236}">
              <a16:creationId xmlns:a16="http://schemas.microsoft.com/office/drawing/2014/main" id="{30803AA4-6655-43B2-9A73-825335CDB178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05" name="Line 681">
          <a:extLst>
            <a:ext uri="{FF2B5EF4-FFF2-40B4-BE49-F238E27FC236}">
              <a16:creationId xmlns:a16="http://schemas.microsoft.com/office/drawing/2014/main" id="{AE6CA5E0-26A0-4254-B22F-984628C87BA8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06" name="Line 682">
          <a:extLst>
            <a:ext uri="{FF2B5EF4-FFF2-40B4-BE49-F238E27FC236}">
              <a16:creationId xmlns:a16="http://schemas.microsoft.com/office/drawing/2014/main" id="{C8C17CA9-4D0B-4293-B6F3-623174334B1B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07" name="Line 683">
          <a:extLst>
            <a:ext uri="{FF2B5EF4-FFF2-40B4-BE49-F238E27FC236}">
              <a16:creationId xmlns:a16="http://schemas.microsoft.com/office/drawing/2014/main" id="{0D98D566-5A80-4F60-B844-A82A051651CB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08" name="Line 684">
          <a:extLst>
            <a:ext uri="{FF2B5EF4-FFF2-40B4-BE49-F238E27FC236}">
              <a16:creationId xmlns:a16="http://schemas.microsoft.com/office/drawing/2014/main" id="{A9101551-16CE-4F37-934E-FE3D31751D72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09" name="Line 685">
          <a:extLst>
            <a:ext uri="{FF2B5EF4-FFF2-40B4-BE49-F238E27FC236}">
              <a16:creationId xmlns:a16="http://schemas.microsoft.com/office/drawing/2014/main" id="{D56F07C2-89EA-4325-8566-E3601E5C6570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10" name="Line 686">
          <a:extLst>
            <a:ext uri="{FF2B5EF4-FFF2-40B4-BE49-F238E27FC236}">
              <a16:creationId xmlns:a16="http://schemas.microsoft.com/office/drawing/2014/main" id="{3D4CFBAA-D48C-49FF-BE4B-402A11EBE8A7}"/>
            </a:ext>
          </a:extLst>
        </xdr:cNvPr>
        <xdr:cNvSpPr>
          <a:spLocks noChangeShapeType="1"/>
        </xdr:cNvSpPr>
      </xdr:nvSpPr>
      <xdr:spPr bwMode="auto">
        <a:xfrm flipH="1"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11" name="Line 687">
          <a:extLst>
            <a:ext uri="{FF2B5EF4-FFF2-40B4-BE49-F238E27FC236}">
              <a16:creationId xmlns:a16="http://schemas.microsoft.com/office/drawing/2014/main" id="{540100EB-9653-4F30-9F68-75E5A3A70F7D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12" name="Line 688">
          <a:extLst>
            <a:ext uri="{FF2B5EF4-FFF2-40B4-BE49-F238E27FC236}">
              <a16:creationId xmlns:a16="http://schemas.microsoft.com/office/drawing/2014/main" id="{53FCAE8C-A1B2-4BAD-9CEC-A69D58B726CB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13" name="Line 689">
          <a:extLst>
            <a:ext uri="{FF2B5EF4-FFF2-40B4-BE49-F238E27FC236}">
              <a16:creationId xmlns:a16="http://schemas.microsoft.com/office/drawing/2014/main" id="{764EA144-F77D-48CE-8541-DE0DE52DAA94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14" name="Line 690">
          <a:extLst>
            <a:ext uri="{FF2B5EF4-FFF2-40B4-BE49-F238E27FC236}">
              <a16:creationId xmlns:a16="http://schemas.microsoft.com/office/drawing/2014/main" id="{FDDF1208-A10D-4CEE-BC64-06DE45055C26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31750</xdr:colOff>
      <xdr:row>5</xdr:row>
      <xdr:rowOff>0</xdr:rowOff>
    </xdr:to>
    <xdr:sp macro="" textlink="">
      <xdr:nvSpPr>
        <xdr:cNvPr id="1715" name="Line 691">
          <a:extLst>
            <a:ext uri="{FF2B5EF4-FFF2-40B4-BE49-F238E27FC236}">
              <a16:creationId xmlns:a16="http://schemas.microsoft.com/office/drawing/2014/main" id="{A0BFED20-17A4-46DE-85E6-53F4644DB87F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16" name="Line 692">
          <a:extLst>
            <a:ext uri="{FF2B5EF4-FFF2-40B4-BE49-F238E27FC236}">
              <a16:creationId xmlns:a16="http://schemas.microsoft.com/office/drawing/2014/main" id="{367A9EDB-C30D-4068-A45D-C4BAA27362AD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17" name="Line 693">
          <a:extLst>
            <a:ext uri="{FF2B5EF4-FFF2-40B4-BE49-F238E27FC236}">
              <a16:creationId xmlns:a16="http://schemas.microsoft.com/office/drawing/2014/main" id="{AA082C4B-15B6-4D63-9F61-854CFF679D06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18" name="Line 694">
          <a:extLst>
            <a:ext uri="{FF2B5EF4-FFF2-40B4-BE49-F238E27FC236}">
              <a16:creationId xmlns:a16="http://schemas.microsoft.com/office/drawing/2014/main" id="{299D9111-8E0F-47B6-9AB7-C24249421A81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19" name="Line 695">
          <a:extLst>
            <a:ext uri="{FF2B5EF4-FFF2-40B4-BE49-F238E27FC236}">
              <a16:creationId xmlns:a16="http://schemas.microsoft.com/office/drawing/2014/main" id="{912BF5E2-7AA7-4196-958C-7368852070F2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20" name="Line 696">
          <a:extLst>
            <a:ext uri="{FF2B5EF4-FFF2-40B4-BE49-F238E27FC236}">
              <a16:creationId xmlns:a16="http://schemas.microsoft.com/office/drawing/2014/main" id="{AB22FBCF-D92C-487A-8A9C-DB1D25ACC2A2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21" name="Line 697">
          <a:extLst>
            <a:ext uri="{FF2B5EF4-FFF2-40B4-BE49-F238E27FC236}">
              <a16:creationId xmlns:a16="http://schemas.microsoft.com/office/drawing/2014/main" id="{3FB6740D-51B5-4B54-A74D-B0E5FB0695D8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22" name="Line 698">
          <a:extLst>
            <a:ext uri="{FF2B5EF4-FFF2-40B4-BE49-F238E27FC236}">
              <a16:creationId xmlns:a16="http://schemas.microsoft.com/office/drawing/2014/main" id="{72049AB8-4C1F-46A6-ABF4-672D5C85E271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23" name="Line 699">
          <a:extLst>
            <a:ext uri="{FF2B5EF4-FFF2-40B4-BE49-F238E27FC236}">
              <a16:creationId xmlns:a16="http://schemas.microsoft.com/office/drawing/2014/main" id="{2A377D08-6CF0-4D9E-92FF-8137885B4C2B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24" name="Line 700">
          <a:extLst>
            <a:ext uri="{FF2B5EF4-FFF2-40B4-BE49-F238E27FC236}">
              <a16:creationId xmlns:a16="http://schemas.microsoft.com/office/drawing/2014/main" id="{573BD65A-0AC6-4764-A7D7-11D1D632D0D0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25" name="Line 701">
          <a:extLst>
            <a:ext uri="{FF2B5EF4-FFF2-40B4-BE49-F238E27FC236}">
              <a16:creationId xmlns:a16="http://schemas.microsoft.com/office/drawing/2014/main" id="{C4135854-F5E1-4565-B506-EE1D49CBF2D7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26" name="Line 702">
          <a:extLst>
            <a:ext uri="{FF2B5EF4-FFF2-40B4-BE49-F238E27FC236}">
              <a16:creationId xmlns:a16="http://schemas.microsoft.com/office/drawing/2014/main" id="{D0C90EE1-598D-4EC8-A39C-584958BBF1C7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27" name="Line 703">
          <a:extLst>
            <a:ext uri="{FF2B5EF4-FFF2-40B4-BE49-F238E27FC236}">
              <a16:creationId xmlns:a16="http://schemas.microsoft.com/office/drawing/2014/main" id="{311BDD16-C89D-40D1-B443-9AAD886ED956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28" name="Line 704">
          <a:extLst>
            <a:ext uri="{FF2B5EF4-FFF2-40B4-BE49-F238E27FC236}">
              <a16:creationId xmlns:a16="http://schemas.microsoft.com/office/drawing/2014/main" id="{5329325A-8636-4F6B-88DF-4797FE4BEA49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29" name="Line 705">
          <a:extLst>
            <a:ext uri="{FF2B5EF4-FFF2-40B4-BE49-F238E27FC236}">
              <a16:creationId xmlns:a16="http://schemas.microsoft.com/office/drawing/2014/main" id="{E60468D2-3AE1-41EA-9034-7E49FEF94FCE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30" name="Line 706">
          <a:extLst>
            <a:ext uri="{FF2B5EF4-FFF2-40B4-BE49-F238E27FC236}">
              <a16:creationId xmlns:a16="http://schemas.microsoft.com/office/drawing/2014/main" id="{D9307415-DDBA-4F2B-9594-80930F42DC9D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31" name="Line 707">
          <a:extLst>
            <a:ext uri="{FF2B5EF4-FFF2-40B4-BE49-F238E27FC236}">
              <a16:creationId xmlns:a16="http://schemas.microsoft.com/office/drawing/2014/main" id="{406344BA-7F36-4D61-AFA5-4CE451A2F462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32" name="Line 708">
          <a:extLst>
            <a:ext uri="{FF2B5EF4-FFF2-40B4-BE49-F238E27FC236}">
              <a16:creationId xmlns:a16="http://schemas.microsoft.com/office/drawing/2014/main" id="{E479261D-3166-4B89-8C1A-1A27F816E5D7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33" name="Line 709">
          <a:extLst>
            <a:ext uri="{FF2B5EF4-FFF2-40B4-BE49-F238E27FC236}">
              <a16:creationId xmlns:a16="http://schemas.microsoft.com/office/drawing/2014/main" id="{09BEF902-A1A7-4B18-9197-65AB7C5F4668}"/>
            </a:ext>
          </a:extLst>
        </xdr:cNvPr>
        <xdr:cNvSpPr>
          <a:spLocks noChangeShapeType="1"/>
        </xdr:cNvSpPr>
      </xdr:nvSpPr>
      <xdr:spPr bwMode="auto">
        <a:xfrm flipH="1"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34" name="Line 710">
          <a:extLst>
            <a:ext uri="{FF2B5EF4-FFF2-40B4-BE49-F238E27FC236}">
              <a16:creationId xmlns:a16="http://schemas.microsoft.com/office/drawing/2014/main" id="{14B26FA8-9E27-4EAD-837B-821A3875D64D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35" name="Line 711">
          <a:extLst>
            <a:ext uri="{FF2B5EF4-FFF2-40B4-BE49-F238E27FC236}">
              <a16:creationId xmlns:a16="http://schemas.microsoft.com/office/drawing/2014/main" id="{8D0215DF-E38D-4875-BD83-2109A5744AEE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36" name="Line 712">
          <a:extLst>
            <a:ext uri="{FF2B5EF4-FFF2-40B4-BE49-F238E27FC236}">
              <a16:creationId xmlns:a16="http://schemas.microsoft.com/office/drawing/2014/main" id="{BBCDD7BD-A2C1-4DFB-9018-D61708F49EC1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37" name="Line 713">
          <a:extLst>
            <a:ext uri="{FF2B5EF4-FFF2-40B4-BE49-F238E27FC236}">
              <a16:creationId xmlns:a16="http://schemas.microsoft.com/office/drawing/2014/main" id="{B842BC8C-FA00-4BFA-93B3-48207EEB3F2C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31750</xdr:colOff>
      <xdr:row>5</xdr:row>
      <xdr:rowOff>0</xdr:rowOff>
    </xdr:to>
    <xdr:sp macro="" textlink="">
      <xdr:nvSpPr>
        <xdr:cNvPr id="1738" name="Line 714">
          <a:extLst>
            <a:ext uri="{FF2B5EF4-FFF2-40B4-BE49-F238E27FC236}">
              <a16:creationId xmlns:a16="http://schemas.microsoft.com/office/drawing/2014/main" id="{D07A0FB3-CDAB-4517-967D-1BC5D374A44C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39" name="Line 715">
          <a:extLst>
            <a:ext uri="{FF2B5EF4-FFF2-40B4-BE49-F238E27FC236}">
              <a16:creationId xmlns:a16="http://schemas.microsoft.com/office/drawing/2014/main" id="{CD21D482-21D9-428D-8BEF-A741912D2D21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40" name="Line 716">
          <a:extLst>
            <a:ext uri="{FF2B5EF4-FFF2-40B4-BE49-F238E27FC236}">
              <a16:creationId xmlns:a16="http://schemas.microsoft.com/office/drawing/2014/main" id="{38DFF153-243F-4E30-B442-85E359861C7B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41" name="Line 717">
          <a:extLst>
            <a:ext uri="{FF2B5EF4-FFF2-40B4-BE49-F238E27FC236}">
              <a16:creationId xmlns:a16="http://schemas.microsoft.com/office/drawing/2014/main" id="{0C7F70EF-7BF1-4492-A2BA-622787AA4102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42" name="Line 718">
          <a:extLst>
            <a:ext uri="{FF2B5EF4-FFF2-40B4-BE49-F238E27FC236}">
              <a16:creationId xmlns:a16="http://schemas.microsoft.com/office/drawing/2014/main" id="{1F2B0FC2-B62D-4FCC-A9B4-27BE5A5C4079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43" name="Line 719">
          <a:extLst>
            <a:ext uri="{FF2B5EF4-FFF2-40B4-BE49-F238E27FC236}">
              <a16:creationId xmlns:a16="http://schemas.microsoft.com/office/drawing/2014/main" id="{D1B9240D-FB42-4FA3-BDBB-90222D86B4B9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44" name="Line 720">
          <a:extLst>
            <a:ext uri="{FF2B5EF4-FFF2-40B4-BE49-F238E27FC236}">
              <a16:creationId xmlns:a16="http://schemas.microsoft.com/office/drawing/2014/main" id="{ADC1827A-A2D8-4D54-A73B-85E7E55E9D0C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45" name="Line 721">
          <a:extLst>
            <a:ext uri="{FF2B5EF4-FFF2-40B4-BE49-F238E27FC236}">
              <a16:creationId xmlns:a16="http://schemas.microsoft.com/office/drawing/2014/main" id="{08C6B095-0023-494E-9DF6-6F5F19EB7816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46" name="Line 722">
          <a:extLst>
            <a:ext uri="{FF2B5EF4-FFF2-40B4-BE49-F238E27FC236}">
              <a16:creationId xmlns:a16="http://schemas.microsoft.com/office/drawing/2014/main" id="{31F06A13-2CAD-4D38-B671-F3A76F1C3AFA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47" name="Line 723">
          <a:extLst>
            <a:ext uri="{FF2B5EF4-FFF2-40B4-BE49-F238E27FC236}">
              <a16:creationId xmlns:a16="http://schemas.microsoft.com/office/drawing/2014/main" id="{8A5B671F-5841-43E9-8612-B82C6FAFE253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48" name="Line 724">
          <a:extLst>
            <a:ext uri="{FF2B5EF4-FFF2-40B4-BE49-F238E27FC236}">
              <a16:creationId xmlns:a16="http://schemas.microsoft.com/office/drawing/2014/main" id="{6F2BD6F8-3D0B-469A-A47D-0AE384875A75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49" name="Line 725">
          <a:extLst>
            <a:ext uri="{FF2B5EF4-FFF2-40B4-BE49-F238E27FC236}">
              <a16:creationId xmlns:a16="http://schemas.microsoft.com/office/drawing/2014/main" id="{E92F6B28-55B5-414D-A9AF-EB2E911B0987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50" name="Line 726">
          <a:extLst>
            <a:ext uri="{FF2B5EF4-FFF2-40B4-BE49-F238E27FC236}">
              <a16:creationId xmlns:a16="http://schemas.microsoft.com/office/drawing/2014/main" id="{5F837450-46CF-4688-9CA3-F1C668845B6D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51" name="Line 727">
          <a:extLst>
            <a:ext uri="{FF2B5EF4-FFF2-40B4-BE49-F238E27FC236}">
              <a16:creationId xmlns:a16="http://schemas.microsoft.com/office/drawing/2014/main" id="{D3E951A6-ACF2-4FB8-989D-FBE532996148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52" name="Line 728">
          <a:extLst>
            <a:ext uri="{FF2B5EF4-FFF2-40B4-BE49-F238E27FC236}">
              <a16:creationId xmlns:a16="http://schemas.microsoft.com/office/drawing/2014/main" id="{65530EE2-BA42-476B-84C5-E297B80D6D5D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53" name="Line 729">
          <a:extLst>
            <a:ext uri="{FF2B5EF4-FFF2-40B4-BE49-F238E27FC236}">
              <a16:creationId xmlns:a16="http://schemas.microsoft.com/office/drawing/2014/main" id="{CAB4204F-425D-4637-9D72-2DDD2D89596E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54" name="Line 730">
          <a:extLst>
            <a:ext uri="{FF2B5EF4-FFF2-40B4-BE49-F238E27FC236}">
              <a16:creationId xmlns:a16="http://schemas.microsoft.com/office/drawing/2014/main" id="{EF0AE312-D098-4337-A5DE-E958444DDCD1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55" name="Line 731">
          <a:extLst>
            <a:ext uri="{FF2B5EF4-FFF2-40B4-BE49-F238E27FC236}">
              <a16:creationId xmlns:a16="http://schemas.microsoft.com/office/drawing/2014/main" id="{AE1EBEA3-E941-4C3C-B78B-60F5ED1B22D1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56" name="Line 732">
          <a:extLst>
            <a:ext uri="{FF2B5EF4-FFF2-40B4-BE49-F238E27FC236}">
              <a16:creationId xmlns:a16="http://schemas.microsoft.com/office/drawing/2014/main" id="{0B169DDF-D097-46F8-A195-A7B972AA569E}"/>
            </a:ext>
          </a:extLst>
        </xdr:cNvPr>
        <xdr:cNvSpPr>
          <a:spLocks noChangeShapeType="1"/>
        </xdr:cNvSpPr>
      </xdr:nvSpPr>
      <xdr:spPr bwMode="auto">
        <a:xfrm flipH="1"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57" name="Line 733">
          <a:extLst>
            <a:ext uri="{FF2B5EF4-FFF2-40B4-BE49-F238E27FC236}">
              <a16:creationId xmlns:a16="http://schemas.microsoft.com/office/drawing/2014/main" id="{666730A5-AB77-4746-A26F-D72BBC10B214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58" name="Line 734">
          <a:extLst>
            <a:ext uri="{FF2B5EF4-FFF2-40B4-BE49-F238E27FC236}">
              <a16:creationId xmlns:a16="http://schemas.microsoft.com/office/drawing/2014/main" id="{BEBBC969-FA83-4A91-A588-BBD45C939872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59" name="Line 735">
          <a:extLst>
            <a:ext uri="{FF2B5EF4-FFF2-40B4-BE49-F238E27FC236}">
              <a16:creationId xmlns:a16="http://schemas.microsoft.com/office/drawing/2014/main" id="{D365479E-0A32-4480-A124-CE3D49C285EF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60" name="Line 736">
          <a:extLst>
            <a:ext uri="{FF2B5EF4-FFF2-40B4-BE49-F238E27FC236}">
              <a16:creationId xmlns:a16="http://schemas.microsoft.com/office/drawing/2014/main" id="{425DA93C-1600-45C6-AB64-F755C362D8DF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31750</xdr:colOff>
      <xdr:row>5</xdr:row>
      <xdr:rowOff>0</xdr:rowOff>
    </xdr:to>
    <xdr:sp macro="" textlink="">
      <xdr:nvSpPr>
        <xdr:cNvPr id="1761" name="Line 737">
          <a:extLst>
            <a:ext uri="{FF2B5EF4-FFF2-40B4-BE49-F238E27FC236}">
              <a16:creationId xmlns:a16="http://schemas.microsoft.com/office/drawing/2014/main" id="{3D375767-FA75-420E-B750-E40014EB686A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62" name="Line 738">
          <a:extLst>
            <a:ext uri="{FF2B5EF4-FFF2-40B4-BE49-F238E27FC236}">
              <a16:creationId xmlns:a16="http://schemas.microsoft.com/office/drawing/2014/main" id="{A23C9293-E308-4D73-A1C6-962B7227C6B4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63" name="Line 739">
          <a:extLst>
            <a:ext uri="{FF2B5EF4-FFF2-40B4-BE49-F238E27FC236}">
              <a16:creationId xmlns:a16="http://schemas.microsoft.com/office/drawing/2014/main" id="{C3591CCA-A383-4E7E-9834-9A4AE35D1903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64" name="Line 740">
          <a:extLst>
            <a:ext uri="{FF2B5EF4-FFF2-40B4-BE49-F238E27FC236}">
              <a16:creationId xmlns:a16="http://schemas.microsoft.com/office/drawing/2014/main" id="{8AEDD14C-6130-4BE9-BB8D-9B9400189B6B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65" name="Line 741">
          <a:extLst>
            <a:ext uri="{FF2B5EF4-FFF2-40B4-BE49-F238E27FC236}">
              <a16:creationId xmlns:a16="http://schemas.microsoft.com/office/drawing/2014/main" id="{31D8EC12-1480-43A0-8A56-2FC3174D008C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66" name="Line 742">
          <a:extLst>
            <a:ext uri="{FF2B5EF4-FFF2-40B4-BE49-F238E27FC236}">
              <a16:creationId xmlns:a16="http://schemas.microsoft.com/office/drawing/2014/main" id="{B05E148B-ADD6-4E4C-AAD6-7344BC78059A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67" name="Line 743">
          <a:extLst>
            <a:ext uri="{FF2B5EF4-FFF2-40B4-BE49-F238E27FC236}">
              <a16:creationId xmlns:a16="http://schemas.microsoft.com/office/drawing/2014/main" id="{5628394C-F448-4131-A3D3-164EEB116E5D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68" name="Line 744">
          <a:extLst>
            <a:ext uri="{FF2B5EF4-FFF2-40B4-BE49-F238E27FC236}">
              <a16:creationId xmlns:a16="http://schemas.microsoft.com/office/drawing/2014/main" id="{2D6F76C8-599D-4414-86DF-E36CC7258909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69" name="Line 745">
          <a:extLst>
            <a:ext uri="{FF2B5EF4-FFF2-40B4-BE49-F238E27FC236}">
              <a16:creationId xmlns:a16="http://schemas.microsoft.com/office/drawing/2014/main" id="{A975B1EB-3BC6-43D1-8904-1A2BD955CF48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70" name="Line 746">
          <a:extLst>
            <a:ext uri="{FF2B5EF4-FFF2-40B4-BE49-F238E27FC236}">
              <a16:creationId xmlns:a16="http://schemas.microsoft.com/office/drawing/2014/main" id="{89B1F913-AA3B-42F1-9808-95A386827909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71" name="Line 747">
          <a:extLst>
            <a:ext uri="{FF2B5EF4-FFF2-40B4-BE49-F238E27FC236}">
              <a16:creationId xmlns:a16="http://schemas.microsoft.com/office/drawing/2014/main" id="{B30C2216-68E6-46BC-A374-CBC2377CBD8B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72" name="Line 748">
          <a:extLst>
            <a:ext uri="{FF2B5EF4-FFF2-40B4-BE49-F238E27FC236}">
              <a16:creationId xmlns:a16="http://schemas.microsoft.com/office/drawing/2014/main" id="{2DB70284-9DA0-4445-AE26-8834FA8546CE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73" name="Line 749">
          <a:extLst>
            <a:ext uri="{FF2B5EF4-FFF2-40B4-BE49-F238E27FC236}">
              <a16:creationId xmlns:a16="http://schemas.microsoft.com/office/drawing/2014/main" id="{A50DB943-D66D-42C4-AF45-D8A52D77FCC8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74" name="Line 750">
          <a:extLst>
            <a:ext uri="{FF2B5EF4-FFF2-40B4-BE49-F238E27FC236}">
              <a16:creationId xmlns:a16="http://schemas.microsoft.com/office/drawing/2014/main" id="{0E582ED5-748D-429A-96A0-FFCEBD0996B9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75" name="Line 751">
          <a:extLst>
            <a:ext uri="{FF2B5EF4-FFF2-40B4-BE49-F238E27FC236}">
              <a16:creationId xmlns:a16="http://schemas.microsoft.com/office/drawing/2014/main" id="{853B9A7A-CE82-478D-A888-7AA0D7451992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76" name="Line 752">
          <a:extLst>
            <a:ext uri="{FF2B5EF4-FFF2-40B4-BE49-F238E27FC236}">
              <a16:creationId xmlns:a16="http://schemas.microsoft.com/office/drawing/2014/main" id="{9800BDF8-EEAC-46AD-A4D9-A6125614AE10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77" name="Line 753">
          <a:extLst>
            <a:ext uri="{FF2B5EF4-FFF2-40B4-BE49-F238E27FC236}">
              <a16:creationId xmlns:a16="http://schemas.microsoft.com/office/drawing/2014/main" id="{212DD69B-8AA5-4802-AE54-0E577B00B2B3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78" name="Line 754">
          <a:extLst>
            <a:ext uri="{FF2B5EF4-FFF2-40B4-BE49-F238E27FC236}">
              <a16:creationId xmlns:a16="http://schemas.microsoft.com/office/drawing/2014/main" id="{868E9849-4324-4136-95AF-7D0FBF1B8910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79" name="Line 755">
          <a:extLst>
            <a:ext uri="{FF2B5EF4-FFF2-40B4-BE49-F238E27FC236}">
              <a16:creationId xmlns:a16="http://schemas.microsoft.com/office/drawing/2014/main" id="{6E4F231B-D70D-4885-B4E7-293AF8C4E058}"/>
            </a:ext>
          </a:extLst>
        </xdr:cNvPr>
        <xdr:cNvSpPr>
          <a:spLocks noChangeShapeType="1"/>
        </xdr:cNvSpPr>
      </xdr:nvSpPr>
      <xdr:spPr bwMode="auto">
        <a:xfrm flipH="1"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80" name="Line 756">
          <a:extLst>
            <a:ext uri="{FF2B5EF4-FFF2-40B4-BE49-F238E27FC236}">
              <a16:creationId xmlns:a16="http://schemas.microsoft.com/office/drawing/2014/main" id="{1CEF15DE-35DB-4DF0-A269-0D95E8499A83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81" name="Line 757">
          <a:extLst>
            <a:ext uri="{FF2B5EF4-FFF2-40B4-BE49-F238E27FC236}">
              <a16:creationId xmlns:a16="http://schemas.microsoft.com/office/drawing/2014/main" id="{961FF00F-029E-4EE2-9C96-B79BF3AE3A13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82" name="Line 758">
          <a:extLst>
            <a:ext uri="{FF2B5EF4-FFF2-40B4-BE49-F238E27FC236}">
              <a16:creationId xmlns:a16="http://schemas.microsoft.com/office/drawing/2014/main" id="{20435911-D2C5-4961-A1CD-5C9958408036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83" name="Line 759">
          <a:extLst>
            <a:ext uri="{FF2B5EF4-FFF2-40B4-BE49-F238E27FC236}">
              <a16:creationId xmlns:a16="http://schemas.microsoft.com/office/drawing/2014/main" id="{D0C29455-98E6-44E7-8478-86042F14460F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31750</xdr:colOff>
      <xdr:row>5</xdr:row>
      <xdr:rowOff>0</xdr:rowOff>
    </xdr:to>
    <xdr:sp macro="" textlink="">
      <xdr:nvSpPr>
        <xdr:cNvPr id="1784" name="Line 760">
          <a:extLst>
            <a:ext uri="{FF2B5EF4-FFF2-40B4-BE49-F238E27FC236}">
              <a16:creationId xmlns:a16="http://schemas.microsoft.com/office/drawing/2014/main" id="{9ACE8CC9-06D4-4F81-BE0E-39253425F7DC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85" name="Line 761">
          <a:extLst>
            <a:ext uri="{FF2B5EF4-FFF2-40B4-BE49-F238E27FC236}">
              <a16:creationId xmlns:a16="http://schemas.microsoft.com/office/drawing/2014/main" id="{139C2A16-C3C6-4010-93B6-145DA41E3B00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86" name="Line 762">
          <a:extLst>
            <a:ext uri="{FF2B5EF4-FFF2-40B4-BE49-F238E27FC236}">
              <a16:creationId xmlns:a16="http://schemas.microsoft.com/office/drawing/2014/main" id="{52D48150-6724-498C-BBF3-BC2B3D764568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87" name="Line 763">
          <a:extLst>
            <a:ext uri="{FF2B5EF4-FFF2-40B4-BE49-F238E27FC236}">
              <a16:creationId xmlns:a16="http://schemas.microsoft.com/office/drawing/2014/main" id="{49BE54A3-7B88-4384-951E-6F43E72FD773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88" name="Line 764">
          <a:extLst>
            <a:ext uri="{FF2B5EF4-FFF2-40B4-BE49-F238E27FC236}">
              <a16:creationId xmlns:a16="http://schemas.microsoft.com/office/drawing/2014/main" id="{E05B5D1A-2B04-434E-872E-02F25F599314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89" name="Line 765">
          <a:extLst>
            <a:ext uri="{FF2B5EF4-FFF2-40B4-BE49-F238E27FC236}">
              <a16:creationId xmlns:a16="http://schemas.microsoft.com/office/drawing/2014/main" id="{F45C27BA-84E2-4D0F-81AD-D514DE3DE403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90" name="Line 766">
          <a:extLst>
            <a:ext uri="{FF2B5EF4-FFF2-40B4-BE49-F238E27FC236}">
              <a16:creationId xmlns:a16="http://schemas.microsoft.com/office/drawing/2014/main" id="{0A7E2885-EAE8-4FD5-B629-9ADF44E40A65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91" name="Line 767">
          <a:extLst>
            <a:ext uri="{FF2B5EF4-FFF2-40B4-BE49-F238E27FC236}">
              <a16:creationId xmlns:a16="http://schemas.microsoft.com/office/drawing/2014/main" id="{EA1BA222-9F1A-4C9C-BF66-4E80AB945233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92" name="Line 768">
          <a:extLst>
            <a:ext uri="{FF2B5EF4-FFF2-40B4-BE49-F238E27FC236}">
              <a16:creationId xmlns:a16="http://schemas.microsoft.com/office/drawing/2014/main" id="{27E0A705-2255-4FDB-BDAB-5572E62C3B3B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93" name="Line 769">
          <a:extLst>
            <a:ext uri="{FF2B5EF4-FFF2-40B4-BE49-F238E27FC236}">
              <a16:creationId xmlns:a16="http://schemas.microsoft.com/office/drawing/2014/main" id="{61A8D605-AD4E-46E3-A005-F75AAC05F5FD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94" name="Line 770">
          <a:extLst>
            <a:ext uri="{FF2B5EF4-FFF2-40B4-BE49-F238E27FC236}">
              <a16:creationId xmlns:a16="http://schemas.microsoft.com/office/drawing/2014/main" id="{0669047A-1048-43F6-9A1E-CFA3962979BF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95" name="Line 771">
          <a:extLst>
            <a:ext uri="{FF2B5EF4-FFF2-40B4-BE49-F238E27FC236}">
              <a16:creationId xmlns:a16="http://schemas.microsoft.com/office/drawing/2014/main" id="{25F7E0AB-41B5-4EDF-A38F-B02EBACB945D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96" name="Line 772">
          <a:extLst>
            <a:ext uri="{FF2B5EF4-FFF2-40B4-BE49-F238E27FC236}">
              <a16:creationId xmlns:a16="http://schemas.microsoft.com/office/drawing/2014/main" id="{B0D86342-6853-47AC-B1CB-77D98B45643B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97" name="Line 773">
          <a:extLst>
            <a:ext uri="{FF2B5EF4-FFF2-40B4-BE49-F238E27FC236}">
              <a16:creationId xmlns:a16="http://schemas.microsoft.com/office/drawing/2014/main" id="{5EB95EBD-BB0D-43A1-8B61-BAE55C460A42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98" name="Line 774">
          <a:extLst>
            <a:ext uri="{FF2B5EF4-FFF2-40B4-BE49-F238E27FC236}">
              <a16:creationId xmlns:a16="http://schemas.microsoft.com/office/drawing/2014/main" id="{9E27D1CE-5184-47FC-B798-C8089931AC65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799" name="Line 775">
          <a:extLst>
            <a:ext uri="{FF2B5EF4-FFF2-40B4-BE49-F238E27FC236}">
              <a16:creationId xmlns:a16="http://schemas.microsoft.com/office/drawing/2014/main" id="{808E8A83-77E3-490A-ABC7-5C413A71B3A3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00" name="Line 776">
          <a:extLst>
            <a:ext uri="{FF2B5EF4-FFF2-40B4-BE49-F238E27FC236}">
              <a16:creationId xmlns:a16="http://schemas.microsoft.com/office/drawing/2014/main" id="{B43178D0-3955-451D-85CA-B3E58B9B61CF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01" name="Line 777">
          <a:extLst>
            <a:ext uri="{FF2B5EF4-FFF2-40B4-BE49-F238E27FC236}">
              <a16:creationId xmlns:a16="http://schemas.microsoft.com/office/drawing/2014/main" id="{8D29712C-9BAB-4BE5-B6CE-3485B4BEC89A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02" name="Line 778">
          <a:extLst>
            <a:ext uri="{FF2B5EF4-FFF2-40B4-BE49-F238E27FC236}">
              <a16:creationId xmlns:a16="http://schemas.microsoft.com/office/drawing/2014/main" id="{9B5EDB5E-9801-4B33-AF08-7ED4F76433CA}"/>
            </a:ext>
          </a:extLst>
        </xdr:cNvPr>
        <xdr:cNvSpPr>
          <a:spLocks noChangeShapeType="1"/>
        </xdr:cNvSpPr>
      </xdr:nvSpPr>
      <xdr:spPr bwMode="auto">
        <a:xfrm flipH="1"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03" name="Line 779">
          <a:extLst>
            <a:ext uri="{FF2B5EF4-FFF2-40B4-BE49-F238E27FC236}">
              <a16:creationId xmlns:a16="http://schemas.microsoft.com/office/drawing/2014/main" id="{6E1006FF-7CE8-450D-83C0-C15794C49931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04" name="Line 780">
          <a:extLst>
            <a:ext uri="{FF2B5EF4-FFF2-40B4-BE49-F238E27FC236}">
              <a16:creationId xmlns:a16="http://schemas.microsoft.com/office/drawing/2014/main" id="{F4C72A01-7D3B-447F-9247-CA81DD40D8B1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05" name="Line 781">
          <a:extLst>
            <a:ext uri="{FF2B5EF4-FFF2-40B4-BE49-F238E27FC236}">
              <a16:creationId xmlns:a16="http://schemas.microsoft.com/office/drawing/2014/main" id="{460E7561-D9BC-4D8E-869C-AD1CD6FD3036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06" name="Line 782">
          <a:extLst>
            <a:ext uri="{FF2B5EF4-FFF2-40B4-BE49-F238E27FC236}">
              <a16:creationId xmlns:a16="http://schemas.microsoft.com/office/drawing/2014/main" id="{F786FD96-600C-4D78-B1A4-045ECAC34EEC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31750</xdr:colOff>
      <xdr:row>5</xdr:row>
      <xdr:rowOff>0</xdr:rowOff>
    </xdr:to>
    <xdr:sp macro="" textlink="">
      <xdr:nvSpPr>
        <xdr:cNvPr id="1807" name="Line 783">
          <a:extLst>
            <a:ext uri="{FF2B5EF4-FFF2-40B4-BE49-F238E27FC236}">
              <a16:creationId xmlns:a16="http://schemas.microsoft.com/office/drawing/2014/main" id="{3ED44273-0F76-4B5D-8AAF-907C915C5662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08" name="Line 784">
          <a:extLst>
            <a:ext uri="{FF2B5EF4-FFF2-40B4-BE49-F238E27FC236}">
              <a16:creationId xmlns:a16="http://schemas.microsoft.com/office/drawing/2014/main" id="{568E7D39-4B43-435C-B1BC-1D6AB9A1453F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09" name="Line 785">
          <a:extLst>
            <a:ext uri="{FF2B5EF4-FFF2-40B4-BE49-F238E27FC236}">
              <a16:creationId xmlns:a16="http://schemas.microsoft.com/office/drawing/2014/main" id="{D92505BF-FD17-4E8E-9A2B-37EFABBA8391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10" name="Line 786">
          <a:extLst>
            <a:ext uri="{FF2B5EF4-FFF2-40B4-BE49-F238E27FC236}">
              <a16:creationId xmlns:a16="http://schemas.microsoft.com/office/drawing/2014/main" id="{2E431A02-6E07-4E4E-B5A3-9D4F191C8BBF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11" name="Line 787">
          <a:extLst>
            <a:ext uri="{FF2B5EF4-FFF2-40B4-BE49-F238E27FC236}">
              <a16:creationId xmlns:a16="http://schemas.microsoft.com/office/drawing/2014/main" id="{513AD52A-7A49-49DD-AED7-62575FC60D83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12" name="Line 788">
          <a:extLst>
            <a:ext uri="{FF2B5EF4-FFF2-40B4-BE49-F238E27FC236}">
              <a16:creationId xmlns:a16="http://schemas.microsoft.com/office/drawing/2014/main" id="{989C1646-5C56-404F-97E2-2E1E38AB43AF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13" name="Line 789">
          <a:extLst>
            <a:ext uri="{FF2B5EF4-FFF2-40B4-BE49-F238E27FC236}">
              <a16:creationId xmlns:a16="http://schemas.microsoft.com/office/drawing/2014/main" id="{429BE205-89E1-4959-8B50-1EC81A8425AD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14" name="Line 790">
          <a:extLst>
            <a:ext uri="{FF2B5EF4-FFF2-40B4-BE49-F238E27FC236}">
              <a16:creationId xmlns:a16="http://schemas.microsoft.com/office/drawing/2014/main" id="{DC65D7A4-AC43-41FF-9B6E-66830851D8E8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15" name="Line 791">
          <a:extLst>
            <a:ext uri="{FF2B5EF4-FFF2-40B4-BE49-F238E27FC236}">
              <a16:creationId xmlns:a16="http://schemas.microsoft.com/office/drawing/2014/main" id="{F2AA2801-C05E-4263-A303-DEAD0D59603E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16" name="Line 792">
          <a:extLst>
            <a:ext uri="{FF2B5EF4-FFF2-40B4-BE49-F238E27FC236}">
              <a16:creationId xmlns:a16="http://schemas.microsoft.com/office/drawing/2014/main" id="{F4D07BC9-BFC0-47DF-8B76-7B782ABEE64C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17" name="Line 793">
          <a:extLst>
            <a:ext uri="{FF2B5EF4-FFF2-40B4-BE49-F238E27FC236}">
              <a16:creationId xmlns:a16="http://schemas.microsoft.com/office/drawing/2014/main" id="{7F571977-DA15-4DBD-830F-A58204ED54F0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18" name="Line 794">
          <a:extLst>
            <a:ext uri="{FF2B5EF4-FFF2-40B4-BE49-F238E27FC236}">
              <a16:creationId xmlns:a16="http://schemas.microsoft.com/office/drawing/2014/main" id="{3607E618-6C39-45E7-B353-849DDDD25F85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19" name="Line 795">
          <a:extLst>
            <a:ext uri="{FF2B5EF4-FFF2-40B4-BE49-F238E27FC236}">
              <a16:creationId xmlns:a16="http://schemas.microsoft.com/office/drawing/2014/main" id="{4DFC3F91-1629-4404-8BE9-984C8FBAAA32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20" name="Line 796">
          <a:extLst>
            <a:ext uri="{FF2B5EF4-FFF2-40B4-BE49-F238E27FC236}">
              <a16:creationId xmlns:a16="http://schemas.microsoft.com/office/drawing/2014/main" id="{2E89FEF6-A280-4140-879A-D581B6D887D1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21" name="Line 797">
          <a:extLst>
            <a:ext uri="{FF2B5EF4-FFF2-40B4-BE49-F238E27FC236}">
              <a16:creationId xmlns:a16="http://schemas.microsoft.com/office/drawing/2014/main" id="{033B4950-1C3B-4E2F-8CD5-244C604AA596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22" name="Line 798">
          <a:extLst>
            <a:ext uri="{FF2B5EF4-FFF2-40B4-BE49-F238E27FC236}">
              <a16:creationId xmlns:a16="http://schemas.microsoft.com/office/drawing/2014/main" id="{C12EC840-6C04-4D52-A6F4-7313FB85664A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23" name="Line 799">
          <a:extLst>
            <a:ext uri="{FF2B5EF4-FFF2-40B4-BE49-F238E27FC236}">
              <a16:creationId xmlns:a16="http://schemas.microsoft.com/office/drawing/2014/main" id="{96BFEEB0-F463-4631-9C5D-D4937A29DBCE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24" name="Line 800">
          <a:extLst>
            <a:ext uri="{FF2B5EF4-FFF2-40B4-BE49-F238E27FC236}">
              <a16:creationId xmlns:a16="http://schemas.microsoft.com/office/drawing/2014/main" id="{432049FB-5482-456B-BB54-574A42476A12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25" name="Line 801">
          <a:extLst>
            <a:ext uri="{FF2B5EF4-FFF2-40B4-BE49-F238E27FC236}">
              <a16:creationId xmlns:a16="http://schemas.microsoft.com/office/drawing/2014/main" id="{5C7E5D52-1D05-4193-ACA9-C360419D7F9C}"/>
            </a:ext>
          </a:extLst>
        </xdr:cNvPr>
        <xdr:cNvSpPr>
          <a:spLocks noChangeShapeType="1"/>
        </xdr:cNvSpPr>
      </xdr:nvSpPr>
      <xdr:spPr bwMode="auto">
        <a:xfrm flipH="1"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26" name="Line 802">
          <a:extLst>
            <a:ext uri="{FF2B5EF4-FFF2-40B4-BE49-F238E27FC236}">
              <a16:creationId xmlns:a16="http://schemas.microsoft.com/office/drawing/2014/main" id="{3D73DB72-5B6B-4777-9163-CDC2186E4B04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27" name="Line 803">
          <a:extLst>
            <a:ext uri="{FF2B5EF4-FFF2-40B4-BE49-F238E27FC236}">
              <a16:creationId xmlns:a16="http://schemas.microsoft.com/office/drawing/2014/main" id="{C041675B-EB4E-4BE4-82D2-C6C6F7D2AF16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28" name="Line 804">
          <a:extLst>
            <a:ext uri="{FF2B5EF4-FFF2-40B4-BE49-F238E27FC236}">
              <a16:creationId xmlns:a16="http://schemas.microsoft.com/office/drawing/2014/main" id="{3FD29501-1299-4232-9FAC-CF9844091CB4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29" name="Line 805">
          <a:extLst>
            <a:ext uri="{FF2B5EF4-FFF2-40B4-BE49-F238E27FC236}">
              <a16:creationId xmlns:a16="http://schemas.microsoft.com/office/drawing/2014/main" id="{E2E026E5-CF39-47AB-8F4F-7072C2CF5AE6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31750</xdr:colOff>
      <xdr:row>5</xdr:row>
      <xdr:rowOff>0</xdr:rowOff>
    </xdr:to>
    <xdr:sp macro="" textlink="">
      <xdr:nvSpPr>
        <xdr:cNvPr id="1830" name="Line 806">
          <a:extLst>
            <a:ext uri="{FF2B5EF4-FFF2-40B4-BE49-F238E27FC236}">
              <a16:creationId xmlns:a16="http://schemas.microsoft.com/office/drawing/2014/main" id="{B1FB4E0F-95C1-4268-9184-4CF9329D32FE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31" name="Line 807">
          <a:extLst>
            <a:ext uri="{FF2B5EF4-FFF2-40B4-BE49-F238E27FC236}">
              <a16:creationId xmlns:a16="http://schemas.microsoft.com/office/drawing/2014/main" id="{CE0934EC-216F-40E5-B8B4-6DA76EEB3E99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32" name="Line 808">
          <a:extLst>
            <a:ext uri="{FF2B5EF4-FFF2-40B4-BE49-F238E27FC236}">
              <a16:creationId xmlns:a16="http://schemas.microsoft.com/office/drawing/2014/main" id="{5F0200E2-F858-485A-A438-D4C6D33BED4B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33" name="Line 809">
          <a:extLst>
            <a:ext uri="{FF2B5EF4-FFF2-40B4-BE49-F238E27FC236}">
              <a16:creationId xmlns:a16="http://schemas.microsoft.com/office/drawing/2014/main" id="{10DB7E8C-56E2-4106-A281-0BED84090F36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34" name="Line 810">
          <a:extLst>
            <a:ext uri="{FF2B5EF4-FFF2-40B4-BE49-F238E27FC236}">
              <a16:creationId xmlns:a16="http://schemas.microsoft.com/office/drawing/2014/main" id="{C4982746-6C23-4D93-A301-FC75358190D8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35" name="Line 811">
          <a:extLst>
            <a:ext uri="{FF2B5EF4-FFF2-40B4-BE49-F238E27FC236}">
              <a16:creationId xmlns:a16="http://schemas.microsoft.com/office/drawing/2014/main" id="{B96DB476-1EA8-491A-916B-249F76F4D671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36" name="Line 812">
          <a:extLst>
            <a:ext uri="{FF2B5EF4-FFF2-40B4-BE49-F238E27FC236}">
              <a16:creationId xmlns:a16="http://schemas.microsoft.com/office/drawing/2014/main" id="{3A1A06CA-48D3-459E-892D-0D7079760692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37" name="Line 813">
          <a:extLst>
            <a:ext uri="{FF2B5EF4-FFF2-40B4-BE49-F238E27FC236}">
              <a16:creationId xmlns:a16="http://schemas.microsoft.com/office/drawing/2014/main" id="{7D9AA67B-F976-407E-9975-D307C6FAA670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38" name="Line 814">
          <a:extLst>
            <a:ext uri="{FF2B5EF4-FFF2-40B4-BE49-F238E27FC236}">
              <a16:creationId xmlns:a16="http://schemas.microsoft.com/office/drawing/2014/main" id="{F81DF7AE-7CA4-45D5-93D9-AB76FCCDCE5C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39" name="Line 815">
          <a:extLst>
            <a:ext uri="{FF2B5EF4-FFF2-40B4-BE49-F238E27FC236}">
              <a16:creationId xmlns:a16="http://schemas.microsoft.com/office/drawing/2014/main" id="{D8CB9936-A5CB-4FFD-88BA-70B330E4D2E6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40" name="Line 816">
          <a:extLst>
            <a:ext uri="{FF2B5EF4-FFF2-40B4-BE49-F238E27FC236}">
              <a16:creationId xmlns:a16="http://schemas.microsoft.com/office/drawing/2014/main" id="{A4F4D0D5-82FD-4AE1-A649-7D8173915BCD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41" name="Line 817">
          <a:extLst>
            <a:ext uri="{FF2B5EF4-FFF2-40B4-BE49-F238E27FC236}">
              <a16:creationId xmlns:a16="http://schemas.microsoft.com/office/drawing/2014/main" id="{A4763B03-0087-44C4-8606-2FE02B2ABB36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42" name="Line 818">
          <a:extLst>
            <a:ext uri="{FF2B5EF4-FFF2-40B4-BE49-F238E27FC236}">
              <a16:creationId xmlns:a16="http://schemas.microsoft.com/office/drawing/2014/main" id="{195E8C1F-1440-4836-847C-FA4E4F284F64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43" name="Line 819">
          <a:extLst>
            <a:ext uri="{FF2B5EF4-FFF2-40B4-BE49-F238E27FC236}">
              <a16:creationId xmlns:a16="http://schemas.microsoft.com/office/drawing/2014/main" id="{16D89B94-7188-4BC7-9F22-5DD6DCF44914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44" name="Line 820">
          <a:extLst>
            <a:ext uri="{FF2B5EF4-FFF2-40B4-BE49-F238E27FC236}">
              <a16:creationId xmlns:a16="http://schemas.microsoft.com/office/drawing/2014/main" id="{E2DD77C5-9C13-49FA-8A35-28EDF126B80E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45" name="Line 821">
          <a:extLst>
            <a:ext uri="{FF2B5EF4-FFF2-40B4-BE49-F238E27FC236}">
              <a16:creationId xmlns:a16="http://schemas.microsoft.com/office/drawing/2014/main" id="{B4397492-44E9-45CB-B5F0-10A3016A82A3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46" name="Line 822">
          <a:extLst>
            <a:ext uri="{FF2B5EF4-FFF2-40B4-BE49-F238E27FC236}">
              <a16:creationId xmlns:a16="http://schemas.microsoft.com/office/drawing/2014/main" id="{983C7120-F32C-46CC-8AAF-11D682EB8019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47" name="Line 823">
          <a:extLst>
            <a:ext uri="{FF2B5EF4-FFF2-40B4-BE49-F238E27FC236}">
              <a16:creationId xmlns:a16="http://schemas.microsoft.com/office/drawing/2014/main" id="{6891EEF6-1949-42D8-85A5-305BBB633CEB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48" name="Line 824">
          <a:extLst>
            <a:ext uri="{FF2B5EF4-FFF2-40B4-BE49-F238E27FC236}">
              <a16:creationId xmlns:a16="http://schemas.microsoft.com/office/drawing/2014/main" id="{E453F20C-EA2E-4514-AE01-2115D3B14ABF}"/>
            </a:ext>
          </a:extLst>
        </xdr:cNvPr>
        <xdr:cNvSpPr>
          <a:spLocks noChangeShapeType="1"/>
        </xdr:cNvSpPr>
      </xdr:nvSpPr>
      <xdr:spPr bwMode="auto">
        <a:xfrm flipH="1"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49" name="Line 825">
          <a:extLst>
            <a:ext uri="{FF2B5EF4-FFF2-40B4-BE49-F238E27FC236}">
              <a16:creationId xmlns:a16="http://schemas.microsoft.com/office/drawing/2014/main" id="{3A0BAEB0-CBCC-4FA9-8D88-F1797E30036B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50" name="Line 826">
          <a:extLst>
            <a:ext uri="{FF2B5EF4-FFF2-40B4-BE49-F238E27FC236}">
              <a16:creationId xmlns:a16="http://schemas.microsoft.com/office/drawing/2014/main" id="{1A9D9225-A8C4-48B7-BAE4-BADA7B799E8B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51" name="Line 827">
          <a:extLst>
            <a:ext uri="{FF2B5EF4-FFF2-40B4-BE49-F238E27FC236}">
              <a16:creationId xmlns:a16="http://schemas.microsoft.com/office/drawing/2014/main" id="{B1802993-3938-439B-AE9A-E9FA62413782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52" name="Line 828">
          <a:extLst>
            <a:ext uri="{FF2B5EF4-FFF2-40B4-BE49-F238E27FC236}">
              <a16:creationId xmlns:a16="http://schemas.microsoft.com/office/drawing/2014/main" id="{0E3C8B44-2825-4750-8019-71D47AEEBE23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31750</xdr:colOff>
      <xdr:row>5</xdr:row>
      <xdr:rowOff>0</xdr:rowOff>
    </xdr:to>
    <xdr:sp macro="" textlink="">
      <xdr:nvSpPr>
        <xdr:cNvPr id="1853" name="Line 829">
          <a:extLst>
            <a:ext uri="{FF2B5EF4-FFF2-40B4-BE49-F238E27FC236}">
              <a16:creationId xmlns:a16="http://schemas.microsoft.com/office/drawing/2014/main" id="{A8BD022A-9320-49AE-9249-45918F167FCD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54" name="Line 830">
          <a:extLst>
            <a:ext uri="{FF2B5EF4-FFF2-40B4-BE49-F238E27FC236}">
              <a16:creationId xmlns:a16="http://schemas.microsoft.com/office/drawing/2014/main" id="{6EE9B2C7-785E-49D9-8FEC-4DAFCC4623BE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55" name="Line 831">
          <a:extLst>
            <a:ext uri="{FF2B5EF4-FFF2-40B4-BE49-F238E27FC236}">
              <a16:creationId xmlns:a16="http://schemas.microsoft.com/office/drawing/2014/main" id="{D4745A76-79DB-4BAD-B2A0-84216A9D43E2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56" name="Line 832">
          <a:extLst>
            <a:ext uri="{FF2B5EF4-FFF2-40B4-BE49-F238E27FC236}">
              <a16:creationId xmlns:a16="http://schemas.microsoft.com/office/drawing/2014/main" id="{2EAB37F5-FB17-44D1-AF78-7ED8F0B4A343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57" name="Line 833">
          <a:extLst>
            <a:ext uri="{FF2B5EF4-FFF2-40B4-BE49-F238E27FC236}">
              <a16:creationId xmlns:a16="http://schemas.microsoft.com/office/drawing/2014/main" id="{531FCEBD-B64F-49E5-854B-AF292851D68A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58" name="Line 834">
          <a:extLst>
            <a:ext uri="{FF2B5EF4-FFF2-40B4-BE49-F238E27FC236}">
              <a16:creationId xmlns:a16="http://schemas.microsoft.com/office/drawing/2014/main" id="{2D80BA4E-964F-4DD6-A198-910FB5834392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59" name="Line 835">
          <a:extLst>
            <a:ext uri="{FF2B5EF4-FFF2-40B4-BE49-F238E27FC236}">
              <a16:creationId xmlns:a16="http://schemas.microsoft.com/office/drawing/2014/main" id="{CEF912AB-A492-4C97-B6EB-6BCDE8FAB057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60" name="Line 836">
          <a:extLst>
            <a:ext uri="{FF2B5EF4-FFF2-40B4-BE49-F238E27FC236}">
              <a16:creationId xmlns:a16="http://schemas.microsoft.com/office/drawing/2014/main" id="{1C9FC652-1983-4818-B2B6-C6F0A3F62AA7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61" name="Line 837">
          <a:extLst>
            <a:ext uri="{FF2B5EF4-FFF2-40B4-BE49-F238E27FC236}">
              <a16:creationId xmlns:a16="http://schemas.microsoft.com/office/drawing/2014/main" id="{67C9B69C-727F-453F-BD5D-C0BEB65211E9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62" name="Line 838">
          <a:extLst>
            <a:ext uri="{FF2B5EF4-FFF2-40B4-BE49-F238E27FC236}">
              <a16:creationId xmlns:a16="http://schemas.microsoft.com/office/drawing/2014/main" id="{635C794C-9724-4FFA-9066-87B2B65FAD92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63" name="Line 839">
          <a:extLst>
            <a:ext uri="{FF2B5EF4-FFF2-40B4-BE49-F238E27FC236}">
              <a16:creationId xmlns:a16="http://schemas.microsoft.com/office/drawing/2014/main" id="{F2992BD0-9489-421C-8839-12CFB2667513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64" name="Line 840">
          <a:extLst>
            <a:ext uri="{FF2B5EF4-FFF2-40B4-BE49-F238E27FC236}">
              <a16:creationId xmlns:a16="http://schemas.microsoft.com/office/drawing/2014/main" id="{F79AD207-CC48-4CD9-9ADD-029CC3831628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65" name="Line 841">
          <a:extLst>
            <a:ext uri="{FF2B5EF4-FFF2-40B4-BE49-F238E27FC236}">
              <a16:creationId xmlns:a16="http://schemas.microsoft.com/office/drawing/2014/main" id="{DD43ADC6-A9D7-41A1-BF30-C6904F83ED33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66" name="Line 842">
          <a:extLst>
            <a:ext uri="{FF2B5EF4-FFF2-40B4-BE49-F238E27FC236}">
              <a16:creationId xmlns:a16="http://schemas.microsoft.com/office/drawing/2014/main" id="{41D1E312-5D30-4268-8AE7-8AE9BE2FF2D2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67" name="Line 843">
          <a:extLst>
            <a:ext uri="{FF2B5EF4-FFF2-40B4-BE49-F238E27FC236}">
              <a16:creationId xmlns:a16="http://schemas.microsoft.com/office/drawing/2014/main" id="{3508845F-8918-4988-AA5C-6508813C71AD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68" name="Line 844">
          <a:extLst>
            <a:ext uri="{FF2B5EF4-FFF2-40B4-BE49-F238E27FC236}">
              <a16:creationId xmlns:a16="http://schemas.microsoft.com/office/drawing/2014/main" id="{5F497574-0882-4F8A-A204-F580A3A5D93F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69" name="Line 845">
          <a:extLst>
            <a:ext uri="{FF2B5EF4-FFF2-40B4-BE49-F238E27FC236}">
              <a16:creationId xmlns:a16="http://schemas.microsoft.com/office/drawing/2014/main" id="{90EC6928-52FE-4714-9081-5C7EF207972A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70" name="Line 846">
          <a:extLst>
            <a:ext uri="{FF2B5EF4-FFF2-40B4-BE49-F238E27FC236}">
              <a16:creationId xmlns:a16="http://schemas.microsoft.com/office/drawing/2014/main" id="{102225BC-883E-4FAC-975B-FC43798F00C7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71" name="Line 847">
          <a:extLst>
            <a:ext uri="{FF2B5EF4-FFF2-40B4-BE49-F238E27FC236}">
              <a16:creationId xmlns:a16="http://schemas.microsoft.com/office/drawing/2014/main" id="{E46D8839-0F28-4DF9-8DA6-E4BE88FC88A5}"/>
            </a:ext>
          </a:extLst>
        </xdr:cNvPr>
        <xdr:cNvSpPr>
          <a:spLocks noChangeShapeType="1"/>
        </xdr:cNvSpPr>
      </xdr:nvSpPr>
      <xdr:spPr bwMode="auto">
        <a:xfrm flipH="1"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72" name="Line 848">
          <a:extLst>
            <a:ext uri="{FF2B5EF4-FFF2-40B4-BE49-F238E27FC236}">
              <a16:creationId xmlns:a16="http://schemas.microsoft.com/office/drawing/2014/main" id="{3E7D0FCF-3D41-4F1A-80C5-D9FCEBA0C946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73" name="Line 849">
          <a:extLst>
            <a:ext uri="{FF2B5EF4-FFF2-40B4-BE49-F238E27FC236}">
              <a16:creationId xmlns:a16="http://schemas.microsoft.com/office/drawing/2014/main" id="{48D39793-2594-4281-9A32-406F1182E300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74" name="Line 850">
          <a:extLst>
            <a:ext uri="{FF2B5EF4-FFF2-40B4-BE49-F238E27FC236}">
              <a16:creationId xmlns:a16="http://schemas.microsoft.com/office/drawing/2014/main" id="{F22E1B27-8CDE-4695-9C32-01E2EA7D6207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75" name="Line 851">
          <a:extLst>
            <a:ext uri="{FF2B5EF4-FFF2-40B4-BE49-F238E27FC236}">
              <a16:creationId xmlns:a16="http://schemas.microsoft.com/office/drawing/2014/main" id="{9EE45E41-CB8A-4E22-B747-48E543D4775F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31750</xdr:colOff>
      <xdr:row>5</xdr:row>
      <xdr:rowOff>0</xdr:rowOff>
    </xdr:to>
    <xdr:sp macro="" textlink="">
      <xdr:nvSpPr>
        <xdr:cNvPr id="1876" name="Line 852">
          <a:extLst>
            <a:ext uri="{FF2B5EF4-FFF2-40B4-BE49-F238E27FC236}">
              <a16:creationId xmlns:a16="http://schemas.microsoft.com/office/drawing/2014/main" id="{C5558D57-65A5-445E-BA2D-9600B049BD58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77" name="Line 853">
          <a:extLst>
            <a:ext uri="{FF2B5EF4-FFF2-40B4-BE49-F238E27FC236}">
              <a16:creationId xmlns:a16="http://schemas.microsoft.com/office/drawing/2014/main" id="{04FCAA16-3614-4C45-BFB2-6B18AE77B24D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78" name="Line 854">
          <a:extLst>
            <a:ext uri="{FF2B5EF4-FFF2-40B4-BE49-F238E27FC236}">
              <a16:creationId xmlns:a16="http://schemas.microsoft.com/office/drawing/2014/main" id="{E68197C7-0AAB-4A9C-97F2-4782AF41C16D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79" name="Line 855">
          <a:extLst>
            <a:ext uri="{FF2B5EF4-FFF2-40B4-BE49-F238E27FC236}">
              <a16:creationId xmlns:a16="http://schemas.microsoft.com/office/drawing/2014/main" id="{E194246C-1085-4332-B61C-80271726C56F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80" name="Line 856">
          <a:extLst>
            <a:ext uri="{FF2B5EF4-FFF2-40B4-BE49-F238E27FC236}">
              <a16:creationId xmlns:a16="http://schemas.microsoft.com/office/drawing/2014/main" id="{83270885-4F47-49E9-AC82-353521316B9F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81" name="Line 857">
          <a:extLst>
            <a:ext uri="{FF2B5EF4-FFF2-40B4-BE49-F238E27FC236}">
              <a16:creationId xmlns:a16="http://schemas.microsoft.com/office/drawing/2014/main" id="{BFC412A6-6007-44D7-8BCB-958422CDEE56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82" name="Line 858">
          <a:extLst>
            <a:ext uri="{FF2B5EF4-FFF2-40B4-BE49-F238E27FC236}">
              <a16:creationId xmlns:a16="http://schemas.microsoft.com/office/drawing/2014/main" id="{930BA6DB-70DD-4293-B3C5-CE0E20102424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83" name="Line 859">
          <a:extLst>
            <a:ext uri="{FF2B5EF4-FFF2-40B4-BE49-F238E27FC236}">
              <a16:creationId xmlns:a16="http://schemas.microsoft.com/office/drawing/2014/main" id="{57237386-FD3C-4D3F-97EF-F290A4853B77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84" name="Line 860">
          <a:extLst>
            <a:ext uri="{FF2B5EF4-FFF2-40B4-BE49-F238E27FC236}">
              <a16:creationId xmlns:a16="http://schemas.microsoft.com/office/drawing/2014/main" id="{230892B1-69E3-4DBF-872A-BBB9DDF9C021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85" name="Line 861">
          <a:extLst>
            <a:ext uri="{FF2B5EF4-FFF2-40B4-BE49-F238E27FC236}">
              <a16:creationId xmlns:a16="http://schemas.microsoft.com/office/drawing/2014/main" id="{E6C2A6DE-816A-4568-BACA-B193A4465E1F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86" name="Line 862">
          <a:extLst>
            <a:ext uri="{FF2B5EF4-FFF2-40B4-BE49-F238E27FC236}">
              <a16:creationId xmlns:a16="http://schemas.microsoft.com/office/drawing/2014/main" id="{9037D3C6-F092-4471-9D9A-70DDDE8FC03F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87" name="Line 863">
          <a:extLst>
            <a:ext uri="{FF2B5EF4-FFF2-40B4-BE49-F238E27FC236}">
              <a16:creationId xmlns:a16="http://schemas.microsoft.com/office/drawing/2014/main" id="{7CF26BB2-F1C0-4586-BFFB-1DA233428293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88" name="Line 864">
          <a:extLst>
            <a:ext uri="{FF2B5EF4-FFF2-40B4-BE49-F238E27FC236}">
              <a16:creationId xmlns:a16="http://schemas.microsoft.com/office/drawing/2014/main" id="{89C3A656-3C23-4D64-ACD6-0F9B58A3FE3A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89" name="Line 865">
          <a:extLst>
            <a:ext uri="{FF2B5EF4-FFF2-40B4-BE49-F238E27FC236}">
              <a16:creationId xmlns:a16="http://schemas.microsoft.com/office/drawing/2014/main" id="{CFFCCD8B-0977-4000-804E-D7DF0ADED46D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90" name="Line 866">
          <a:extLst>
            <a:ext uri="{FF2B5EF4-FFF2-40B4-BE49-F238E27FC236}">
              <a16:creationId xmlns:a16="http://schemas.microsoft.com/office/drawing/2014/main" id="{AA605F58-3293-4581-8653-7C9F32A09FCD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91" name="Line 867">
          <a:extLst>
            <a:ext uri="{FF2B5EF4-FFF2-40B4-BE49-F238E27FC236}">
              <a16:creationId xmlns:a16="http://schemas.microsoft.com/office/drawing/2014/main" id="{48F37246-5C0D-498E-B8B3-4DAA08F7BD29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92" name="Line 868">
          <a:extLst>
            <a:ext uri="{FF2B5EF4-FFF2-40B4-BE49-F238E27FC236}">
              <a16:creationId xmlns:a16="http://schemas.microsoft.com/office/drawing/2014/main" id="{30DF23AE-BBD9-4B27-828E-4219714663A3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93" name="Line 869">
          <a:extLst>
            <a:ext uri="{FF2B5EF4-FFF2-40B4-BE49-F238E27FC236}">
              <a16:creationId xmlns:a16="http://schemas.microsoft.com/office/drawing/2014/main" id="{14314672-B1B8-4313-A060-44188D4DCC9C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94" name="Line 870">
          <a:extLst>
            <a:ext uri="{FF2B5EF4-FFF2-40B4-BE49-F238E27FC236}">
              <a16:creationId xmlns:a16="http://schemas.microsoft.com/office/drawing/2014/main" id="{90EFFD20-B12B-4DF5-B30B-3F1672BFBF16}"/>
            </a:ext>
          </a:extLst>
        </xdr:cNvPr>
        <xdr:cNvSpPr>
          <a:spLocks noChangeShapeType="1"/>
        </xdr:cNvSpPr>
      </xdr:nvSpPr>
      <xdr:spPr bwMode="auto">
        <a:xfrm flipH="1"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95" name="Line 871">
          <a:extLst>
            <a:ext uri="{FF2B5EF4-FFF2-40B4-BE49-F238E27FC236}">
              <a16:creationId xmlns:a16="http://schemas.microsoft.com/office/drawing/2014/main" id="{4D8BEAE2-8EE1-42E6-A8B6-0C02DD694F8D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96" name="Line 872">
          <a:extLst>
            <a:ext uri="{FF2B5EF4-FFF2-40B4-BE49-F238E27FC236}">
              <a16:creationId xmlns:a16="http://schemas.microsoft.com/office/drawing/2014/main" id="{9D6628BE-7E4F-495A-9BC6-014899C75DF9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97" name="Line 873">
          <a:extLst>
            <a:ext uri="{FF2B5EF4-FFF2-40B4-BE49-F238E27FC236}">
              <a16:creationId xmlns:a16="http://schemas.microsoft.com/office/drawing/2014/main" id="{ED8CFC5D-FF30-4550-B2B8-EC8685259234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898" name="Line 874">
          <a:extLst>
            <a:ext uri="{FF2B5EF4-FFF2-40B4-BE49-F238E27FC236}">
              <a16:creationId xmlns:a16="http://schemas.microsoft.com/office/drawing/2014/main" id="{7DE8B244-14F9-46E8-B967-81E31BC65EE3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31750</xdr:colOff>
      <xdr:row>5</xdr:row>
      <xdr:rowOff>0</xdr:rowOff>
    </xdr:to>
    <xdr:sp macro="" textlink="">
      <xdr:nvSpPr>
        <xdr:cNvPr id="1899" name="Line 875">
          <a:extLst>
            <a:ext uri="{FF2B5EF4-FFF2-40B4-BE49-F238E27FC236}">
              <a16:creationId xmlns:a16="http://schemas.microsoft.com/office/drawing/2014/main" id="{32B0CAC9-FE70-4767-AFAD-D9E32E6C06FC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00" name="Line 876">
          <a:extLst>
            <a:ext uri="{FF2B5EF4-FFF2-40B4-BE49-F238E27FC236}">
              <a16:creationId xmlns:a16="http://schemas.microsoft.com/office/drawing/2014/main" id="{3315BF43-D9CE-4F91-A313-771A13A3823A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01" name="Line 877">
          <a:extLst>
            <a:ext uri="{FF2B5EF4-FFF2-40B4-BE49-F238E27FC236}">
              <a16:creationId xmlns:a16="http://schemas.microsoft.com/office/drawing/2014/main" id="{1867F650-273F-49D7-BCDF-1F3D457FA0E6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02" name="Line 878">
          <a:extLst>
            <a:ext uri="{FF2B5EF4-FFF2-40B4-BE49-F238E27FC236}">
              <a16:creationId xmlns:a16="http://schemas.microsoft.com/office/drawing/2014/main" id="{4036C59B-C3C1-4F6A-BAFC-A8F07A95CA52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03" name="Line 879">
          <a:extLst>
            <a:ext uri="{FF2B5EF4-FFF2-40B4-BE49-F238E27FC236}">
              <a16:creationId xmlns:a16="http://schemas.microsoft.com/office/drawing/2014/main" id="{AFFF2B2F-1FBC-4FD7-90A9-46D1AA79AE68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04" name="Line 880">
          <a:extLst>
            <a:ext uri="{FF2B5EF4-FFF2-40B4-BE49-F238E27FC236}">
              <a16:creationId xmlns:a16="http://schemas.microsoft.com/office/drawing/2014/main" id="{D6FEC5B9-468D-4468-AF65-F2CF6300A0AE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05" name="Line 881">
          <a:extLst>
            <a:ext uri="{FF2B5EF4-FFF2-40B4-BE49-F238E27FC236}">
              <a16:creationId xmlns:a16="http://schemas.microsoft.com/office/drawing/2014/main" id="{3FB026DE-7F47-4F0B-8E86-6E2AE51C6FFF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06" name="Line 882">
          <a:extLst>
            <a:ext uri="{FF2B5EF4-FFF2-40B4-BE49-F238E27FC236}">
              <a16:creationId xmlns:a16="http://schemas.microsoft.com/office/drawing/2014/main" id="{C4242F56-3DCD-47FC-BF1C-95A3D6CB6DB2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07" name="Line 883">
          <a:extLst>
            <a:ext uri="{FF2B5EF4-FFF2-40B4-BE49-F238E27FC236}">
              <a16:creationId xmlns:a16="http://schemas.microsoft.com/office/drawing/2014/main" id="{90864424-742E-456B-8F41-0B794C52ACB1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08" name="Line 884">
          <a:extLst>
            <a:ext uri="{FF2B5EF4-FFF2-40B4-BE49-F238E27FC236}">
              <a16:creationId xmlns:a16="http://schemas.microsoft.com/office/drawing/2014/main" id="{94321F54-1694-45DE-AF78-9D55DDFB915A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09" name="Line 885">
          <a:extLst>
            <a:ext uri="{FF2B5EF4-FFF2-40B4-BE49-F238E27FC236}">
              <a16:creationId xmlns:a16="http://schemas.microsoft.com/office/drawing/2014/main" id="{5020DBD5-17C6-41A6-B224-677E4F702150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10" name="Line 886">
          <a:extLst>
            <a:ext uri="{FF2B5EF4-FFF2-40B4-BE49-F238E27FC236}">
              <a16:creationId xmlns:a16="http://schemas.microsoft.com/office/drawing/2014/main" id="{29304E07-F7A1-4C37-9422-1056CDB9A117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11" name="Line 887">
          <a:extLst>
            <a:ext uri="{FF2B5EF4-FFF2-40B4-BE49-F238E27FC236}">
              <a16:creationId xmlns:a16="http://schemas.microsoft.com/office/drawing/2014/main" id="{ED5D459A-B9FD-418B-9DC9-35B4C14D94C6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12" name="Line 888">
          <a:extLst>
            <a:ext uri="{FF2B5EF4-FFF2-40B4-BE49-F238E27FC236}">
              <a16:creationId xmlns:a16="http://schemas.microsoft.com/office/drawing/2014/main" id="{A394A7FE-9907-4B1A-AED0-895FDF888C10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13" name="Line 889">
          <a:extLst>
            <a:ext uri="{FF2B5EF4-FFF2-40B4-BE49-F238E27FC236}">
              <a16:creationId xmlns:a16="http://schemas.microsoft.com/office/drawing/2014/main" id="{D933C57B-D700-4E7B-8790-ED86983F7F95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14" name="Line 890">
          <a:extLst>
            <a:ext uri="{FF2B5EF4-FFF2-40B4-BE49-F238E27FC236}">
              <a16:creationId xmlns:a16="http://schemas.microsoft.com/office/drawing/2014/main" id="{B6954A1F-EEF5-447E-9743-62A3311172FD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15" name="Line 891">
          <a:extLst>
            <a:ext uri="{FF2B5EF4-FFF2-40B4-BE49-F238E27FC236}">
              <a16:creationId xmlns:a16="http://schemas.microsoft.com/office/drawing/2014/main" id="{0C04C278-39BA-441B-BCF2-5D0FBA374DAE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16" name="Line 892">
          <a:extLst>
            <a:ext uri="{FF2B5EF4-FFF2-40B4-BE49-F238E27FC236}">
              <a16:creationId xmlns:a16="http://schemas.microsoft.com/office/drawing/2014/main" id="{4231EEE1-9268-4D9C-8A9D-F9421272DAB7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17" name="Line 893">
          <a:extLst>
            <a:ext uri="{FF2B5EF4-FFF2-40B4-BE49-F238E27FC236}">
              <a16:creationId xmlns:a16="http://schemas.microsoft.com/office/drawing/2014/main" id="{76D7CF5A-4250-48DE-B885-71B669A876BD}"/>
            </a:ext>
          </a:extLst>
        </xdr:cNvPr>
        <xdr:cNvSpPr>
          <a:spLocks noChangeShapeType="1"/>
        </xdr:cNvSpPr>
      </xdr:nvSpPr>
      <xdr:spPr bwMode="auto">
        <a:xfrm flipH="1"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18" name="Line 894">
          <a:extLst>
            <a:ext uri="{FF2B5EF4-FFF2-40B4-BE49-F238E27FC236}">
              <a16:creationId xmlns:a16="http://schemas.microsoft.com/office/drawing/2014/main" id="{30825553-3446-4C8E-85D7-9F8D2DA1D09C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19" name="Line 895">
          <a:extLst>
            <a:ext uri="{FF2B5EF4-FFF2-40B4-BE49-F238E27FC236}">
              <a16:creationId xmlns:a16="http://schemas.microsoft.com/office/drawing/2014/main" id="{E8EDE12E-444B-4F5D-8D76-6F6E322BE7A8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20" name="Line 896">
          <a:extLst>
            <a:ext uri="{FF2B5EF4-FFF2-40B4-BE49-F238E27FC236}">
              <a16:creationId xmlns:a16="http://schemas.microsoft.com/office/drawing/2014/main" id="{7BF11C64-5C93-4934-9BA9-0B15C5DBCE51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21" name="Line 897">
          <a:extLst>
            <a:ext uri="{FF2B5EF4-FFF2-40B4-BE49-F238E27FC236}">
              <a16:creationId xmlns:a16="http://schemas.microsoft.com/office/drawing/2014/main" id="{49590002-EB74-4460-ABD9-396E876AEFD5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31750</xdr:colOff>
      <xdr:row>5</xdr:row>
      <xdr:rowOff>0</xdr:rowOff>
    </xdr:to>
    <xdr:sp macro="" textlink="">
      <xdr:nvSpPr>
        <xdr:cNvPr id="1922" name="Line 898">
          <a:extLst>
            <a:ext uri="{FF2B5EF4-FFF2-40B4-BE49-F238E27FC236}">
              <a16:creationId xmlns:a16="http://schemas.microsoft.com/office/drawing/2014/main" id="{A1082111-F6D1-4F24-92B9-B85DDA98F10A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23" name="Line 899">
          <a:extLst>
            <a:ext uri="{FF2B5EF4-FFF2-40B4-BE49-F238E27FC236}">
              <a16:creationId xmlns:a16="http://schemas.microsoft.com/office/drawing/2014/main" id="{07DAB16E-B0A2-4907-ABCA-37345245B8B0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24" name="Line 900">
          <a:extLst>
            <a:ext uri="{FF2B5EF4-FFF2-40B4-BE49-F238E27FC236}">
              <a16:creationId xmlns:a16="http://schemas.microsoft.com/office/drawing/2014/main" id="{8B86907A-F45A-404C-9EAB-1A33D7E53D0A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25" name="Line 901">
          <a:extLst>
            <a:ext uri="{FF2B5EF4-FFF2-40B4-BE49-F238E27FC236}">
              <a16:creationId xmlns:a16="http://schemas.microsoft.com/office/drawing/2014/main" id="{AAB250DC-9404-4007-B80F-31A2C5A2018D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26" name="Line 902">
          <a:extLst>
            <a:ext uri="{FF2B5EF4-FFF2-40B4-BE49-F238E27FC236}">
              <a16:creationId xmlns:a16="http://schemas.microsoft.com/office/drawing/2014/main" id="{420900DA-67DC-4D08-9EE4-E5473AF7494E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27" name="Line 903">
          <a:extLst>
            <a:ext uri="{FF2B5EF4-FFF2-40B4-BE49-F238E27FC236}">
              <a16:creationId xmlns:a16="http://schemas.microsoft.com/office/drawing/2014/main" id="{5A3A9C34-3F95-4E80-AFF2-ADEFF9DF408F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28" name="Line 904">
          <a:extLst>
            <a:ext uri="{FF2B5EF4-FFF2-40B4-BE49-F238E27FC236}">
              <a16:creationId xmlns:a16="http://schemas.microsoft.com/office/drawing/2014/main" id="{91A938A3-0FCE-4F6F-AA2F-BEE3BEE43B7A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29" name="Line 905">
          <a:extLst>
            <a:ext uri="{FF2B5EF4-FFF2-40B4-BE49-F238E27FC236}">
              <a16:creationId xmlns:a16="http://schemas.microsoft.com/office/drawing/2014/main" id="{2A86BFC9-D167-4897-92E0-6782E96FF88D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30" name="Line 906">
          <a:extLst>
            <a:ext uri="{FF2B5EF4-FFF2-40B4-BE49-F238E27FC236}">
              <a16:creationId xmlns:a16="http://schemas.microsoft.com/office/drawing/2014/main" id="{E6501E65-3B39-4BFD-A99C-E15F2D2B8768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31" name="Line 907">
          <a:extLst>
            <a:ext uri="{FF2B5EF4-FFF2-40B4-BE49-F238E27FC236}">
              <a16:creationId xmlns:a16="http://schemas.microsoft.com/office/drawing/2014/main" id="{2A29A9B1-6F86-4EB3-A1A8-AEBBBE32FEAC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32" name="Line 908">
          <a:extLst>
            <a:ext uri="{FF2B5EF4-FFF2-40B4-BE49-F238E27FC236}">
              <a16:creationId xmlns:a16="http://schemas.microsoft.com/office/drawing/2014/main" id="{A4100535-4C37-404C-BE52-FC758692ED5F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33" name="Line 909">
          <a:extLst>
            <a:ext uri="{FF2B5EF4-FFF2-40B4-BE49-F238E27FC236}">
              <a16:creationId xmlns:a16="http://schemas.microsoft.com/office/drawing/2014/main" id="{01628D0C-C92F-434C-8660-E84FF768DB08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34" name="Line 910">
          <a:extLst>
            <a:ext uri="{FF2B5EF4-FFF2-40B4-BE49-F238E27FC236}">
              <a16:creationId xmlns:a16="http://schemas.microsoft.com/office/drawing/2014/main" id="{34A4AE96-C61F-4D8E-8729-FC19BBC07771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35" name="Line 911">
          <a:extLst>
            <a:ext uri="{FF2B5EF4-FFF2-40B4-BE49-F238E27FC236}">
              <a16:creationId xmlns:a16="http://schemas.microsoft.com/office/drawing/2014/main" id="{B1EBC6A9-866D-4ABD-A760-1F924F1E2D7B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36" name="Line 912">
          <a:extLst>
            <a:ext uri="{FF2B5EF4-FFF2-40B4-BE49-F238E27FC236}">
              <a16:creationId xmlns:a16="http://schemas.microsoft.com/office/drawing/2014/main" id="{097DA408-E5F8-4FB4-A22E-10756D1ECFD8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37" name="Line 913">
          <a:extLst>
            <a:ext uri="{FF2B5EF4-FFF2-40B4-BE49-F238E27FC236}">
              <a16:creationId xmlns:a16="http://schemas.microsoft.com/office/drawing/2014/main" id="{5DBAE27A-02F5-4C9F-9E12-903CBBA26045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38" name="Line 914">
          <a:extLst>
            <a:ext uri="{FF2B5EF4-FFF2-40B4-BE49-F238E27FC236}">
              <a16:creationId xmlns:a16="http://schemas.microsoft.com/office/drawing/2014/main" id="{CB76EAE0-25F1-4700-A4F4-298CF7B6ED8A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39" name="Line 915">
          <a:extLst>
            <a:ext uri="{FF2B5EF4-FFF2-40B4-BE49-F238E27FC236}">
              <a16:creationId xmlns:a16="http://schemas.microsoft.com/office/drawing/2014/main" id="{1F837F48-088F-4383-9306-107CBAE49B99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40" name="Line 916">
          <a:extLst>
            <a:ext uri="{FF2B5EF4-FFF2-40B4-BE49-F238E27FC236}">
              <a16:creationId xmlns:a16="http://schemas.microsoft.com/office/drawing/2014/main" id="{3C9B72A0-167D-428C-9F18-294A65BBB2FB}"/>
            </a:ext>
          </a:extLst>
        </xdr:cNvPr>
        <xdr:cNvSpPr>
          <a:spLocks noChangeShapeType="1"/>
        </xdr:cNvSpPr>
      </xdr:nvSpPr>
      <xdr:spPr bwMode="auto">
        <a:xfrm flipH="1"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41" name="Line 917">
          <a:extLst>
            <a:ext uri="{FF2B5EF4-FFF2-40B4-BE49-F238E27FC236}">
              <a16:creationId xmlns:a16="http://schemas.microsoft.com/office/drawing/2014/main" id="{3F6FBB22-2196-496B-B3D2-6E0F9A7EBB24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42" name="Line 918">
          <a:extLst>
            <a:ext uri="{FF2B5EF4-FFF2-40B4-BE49-F238E27FC236}">
              <a16:creationId xmlns:a16="http://schemas.microsoft.com/office/drawing/2014/main" id="{6485FF4E-8DC3-48EE-82B0-FD6E90612B0B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43" name="Line 919">
          <a:extLst>
            <a:ext uri="{FF2B5EF4-FFF2-40B4-BE49-F238E27FC236}">
              <a16:creationId xmlns:a16="http://schemas.microsoft.com/office/drawing/2014/main" id="{D80736ED-ADDC-4BC8-9248-4ABD326EAE70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44" name="Line 920">
          <a:extLst>
            <a:ext uri="{FF2B5EF4-FFF2-40B4-BE49-F238E27FC236}">
              <a16:creationId xmlns:a16="http://schemas.microsoft.com/office/drawing/2014/main" id="{CE3D8F16-51C5-43FC-A524-C5BAEE02B0C8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31750</xdr:colOff>
      <xdr:row>5</xdr:row>
      <xdr:rowOff>0</xdr:rowOff>
    </xdr:to>
    <xdr:sp macro="" textlink="">
      <xdr:nvSpPr>
        <xdr:cNvPr id="1945" name="Line 921">
          <a:extLst>
            <a:ext uri="{FF2B5EF4-FFF2-40B4-BE49-F238E27FC236}">
              <a16:creationId xmlns:a16="http://schemas.microsoft.com/office/drawing/2014/main" id="{73D9CE19-B1C5-4767-A702-D715FF63BB57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46" name="Line 922">
          <a:extLst>
            <a:ext uri="{FF2B5EF4-FFF2-40B4-BE49-F238E27FC236}">
              <a16:creationId xmlns:a16="http://schemas.microsoft.com/office/drawing/2014/main" id="{8DB849A5-D6CA-4CAE-8847-0B3E061E0F8A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47" name="Line 923">
          <a:extLst>
            <a:ext uri="{FF2B5EF4-FFF2-40B4-BE49-F238E27FC236}">
              <a16:creationId xmlns:a16="http://schemas.microsoft.com/office/drawing/2014/main" id="{BA0C65DC-FEFB-473E-882E-EC2D56A1B53E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48" name="Line 924">
          <a:extLst>
            <a:ext uri="{FF2B5EF4-FFF2-40B4-BE49-F238E27FC236}">
              <a16:creationId xmlns:a16="http://schemas.microsoft.com/office/drawing/2014/main" id="{CBEA62DB-B49A-4D04-A73A-31B404BD0DE9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49" name="Line 925">
          <a:extLst>
            <a:ext uri="{FF2B5EF4-FFF2-40B4-BE49-F238E27FC236}">
              <a16:creationId xmlns:a16="http://schemas.microsoft.com/office/drawing/2014/main" id="{5D0FBB93-BDB7-4AB3-A60C-A82D20466A97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50" name="Line 926">
          <a:extLst>
            <a:ext uri="{FF2B5EF4-FFF2-40B4-BE49-F238E27FC236}">
              <a16:creationId xmlns:a16="http://schemas.microsoft.com/office/drawing/2014/main" id="{707762B6-7474-4D9B-BFE0-E1E89A431FA1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51" name="Line 927">
          <a:extLst>
            <a:ext uri="{FF2B5EF4-FFF2-40B4-BE49-F238E27FC236}">
              <a16:creationId xmlns:a16="http://schemas.microsoft.com/office/drawing/2014/main" id="{CC448307-14E8-4240-8331-EF02256923E3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52" name="Line 928">
          <a:extLst>
            <a:ext uri="{FF2B5EF4-FFF2-40B4-BE49-F238E27FC236}">
              <a16:creationId xmlns:a16="http://schemas.microsoft.com/office/drawing/2014/main" id="{AC858377-CB04-4543-A782-A5A64DC629C1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53" name="Line 929">
          <a:extLst>
            <a:ext uri="{FF2B5EF4-FFF2-40B4-BE49-F238E27FC236}">
              <a16:creationId xmlns:a16="http://schemas.microsoft.com/office/drawing/2014/main" id="{DE6EE50B-193C-4DB6-BA0A-50E926BC769F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54" name="Line 930">
          <a:extLst>
            <a:ext uri="{FF2B5EF4-FFF2-40B4-BE49-F238E27FC236}">
              <a16:creationId xmlns:a16="http://schemas.microsoft.com/office/drawing/2014/main" id="{D3ABF3B3-FF07-4578-B6AE-10F1032C5965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55" name="Line 931">
          <a:extLst>
            <a:ext uri="{FF2B5EF4-FFF2-40B4-BE49-F238E27FC236}">
              <a16:creationId xmlns:a16="http://schemas.microsoft.com/office/drawing/2014/main" id="{ECA7A46A-AD35-42B0-9D3B-750CE1608318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56" name="Line 932">
          <a:extLst>
            <a:ext uri="{FF2B5EF4-FFF2-40B4-BE49-F238E27FC236}">
              <a16:creationId xmlns:a16="http://schemas.microsoft.com/office/drawing/2014/main" id="{7DBCD1A9-0EA7-4D2D-A26F-4CDBEB358057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57" name="Line 933">
          <a:extLst>
            <a:ext uri="{FF2B5EF4-FFF2-40B4-BE49-F238E27FC236}">
              <a16:creationId xmlns:a16="http://schemas.microsoft.com/office/drawing/2014/main" id="{856F135F-EF0D-4A68-8566-156E2D30C459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58" name="Line 934">
          <a:extLst>
            <a:ext uri="{FF2B5EF4-FFF2-40B4-BE49-F238E27FC236}">
              <a16:creationId xmlns:a16="http://schemas.microsoft.com/office/drawing/2014/main" id="{A290D834-20FC-4531-B96A-97CE034BDBC3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59" name="Line 935">
          <a:extLst>
            <a:ext uri="{FF2B5EF4-FFF2-40B4-BE49-F238E27FC236}">
              <a16:creationId xmlns:a16="http://schemas.microsoft.com/office/drawing/2014/main" id="{1B4410E7-7260-4963-A3F1-2881B1FEE4E7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60" name="Line 936">
          <a:extLst>
            <a:ext uri="{FF2B5EF4-FFF2-40B4-BE49-F238E27FC236}">
              <a16:creationId xmlns:a16="http://schemas.microsoft.com/office/drawing/2014/main" id="{C8CA20B4-4F91-4140-9E53-486344CD22BE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61" name="Line 937">
          <a:extLst>
            <a:ext uri="{FF2B5EF4-FFF2-40B4-BE49-F238E27FC236}">
              <a16:creationId xmlns:a16="http://schemas.microsoft.com/office/drawing/2014/main" id="{CEFA2D91-9E58-4FF8-BCAF-45B6EB0222FE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62" name="Line 938">
          <a:extLst>
            <a:ext uri="{FF2B5EF4-FFF2-40B4-BE49-F238E27FC236}">
              <a16:creationId xmlns:a16="http://schemas.microsoft.com/office/drawing/2014/main" id="{05C1EFBF-87A3-4E22-9040-AD6C6B46C25C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63" name="Line 939">
          <a:extLst>
            <a:ext uri="{FF2B5EF4-FFF2-40B4-BE49-F238E27FC236}">
              <a16:creationId xmlns:a16="http://schemas.microsoft.com/office/drawing/2014/main" id="{0A6609F2-4FC4-4B13-88B5-0CBCE2FC62AB}"/>
            </a:ext>
          </a:extLst>
        </xdr:cNvPr>
        <xdr:cNvSpPr>
          <a:spLocks noChangeShapeType="1"/>
        </xdr:cNvSpPr>
      </xdr:nvSpPr>
      <xdr:spPr bwMode="auto">
        <a:xfrm flipH="1"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64" name="Line 940">
          <a:extLst>
            <a:ext uri="{FF2B5EF4-FFF2-40B4-BE49-F238E27FC236}">
              <a16:creationId xmlns:a16="http://schemas.microsoft.com/office/drawing/2014/main" id="{58BB89BA-30B4-4F04-937D-0B7166BD281C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65" name="Line 941">
          <a:extLst>
            <a:ext uri="{FF2B5EF4-FFF2-40B4-BE49-F238E27FC236}">
              <a16:creationId xmlns:a16="http://schemas.microsoft.com/office/drawing/2014/main" id="{D1B11462-4CFA-4FBB-A298-9BB68F4D1F59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66" name="Line 942">
          <a:extLst>
            <a:ext uri="{FF2B5EF4-FFF2-40B4-BE49-F238E27FC236}">
              <a16:creationId xmlns:a16="http://schemas.microsoft.com/office/drawing/2014/main" id="{1E748A1E-DE44-4EE0-916C-90F30A8602DB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67" name="Line 943">
          <a:extLst>
            <a:ext uri="{FF2B5EF4-FFF2-40B4-BE49-F238E27FC236}">
              <a16:creationId xmlns:a16="http://schemas.microsoft.com/office/drawing/2014/main" id="{02C71B44-C114-491C-9D3D-98CB1C6FACD9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31750</xdr:colOff>
      <xdr:row>5</xdr:row>
      <xdr:rowOff>0</xdr:rowOff>
    </xdr:to>
    <xdr:sp macro="" textlink="">
      <xdr:nvSpPr>
        <xdr:cNvPr id="1968" name="Line 944">
          <a:extLst>
            <a:ext uri="{FF2B5EF4-FFF2-40B4-BE49-F238E27FC236}">
              <a16:creationId xmlns:a16="http://schemas.microsoft.com/office/drawing/2014/main" id="{E16D9D78-E420-429A-B853-1E3514801F09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69" name="Line 945">
          <a:extLst>
            <a:ext uri="{FF2B5EF4-FFF2-40B4-BE49-F238E27FC236}">
              <a16:creationId xmlns:a16="http://schemas.microsoft.com/office/drawing/2014/main" id="{4A6568BC-265F-4B7C-B2F0-7131D32DAF40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70" name="Line 946">
          <a:extLst>
            <a:ext uri="{FF2B5EF4-FFF2-40B4-BE49-F238E27FC236}">
              <a16:creationId xmlns:a16="http://schemas.microsoft.com/office/drawing/2014/main" id="{E368DDEA-6AD1-47D7-BD6C-F5BF54392999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71" name="Line 947">
          <a:extLst>
            <a:ext uri="{FF2B5EF4-FFF2-40B4-BE49-F238E27FC236}">
              <a16:creationId xmlns:a16="http://schemas.microsoft.com/office/drawing/2014/main" id="{C7BDAA3E-DA01-419F-A0D3-84F79A2A8573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72" name="Line 948">
          <a:extLst>
            <a:ext uri="{FF2B5EF4-FFF2-40B4-BE49-F238E27FC236}">
              <a16:creationId xmlns:a16="http://schemas.microsoft.com/office/drawing/2014/main" id="{CB9AF397-E9D0-4EAD-B0F3-90F891C08E1A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73" name="Line 949">
          <a:extLst>
            <a:ext uri="{FF2B5EF4-FFF2-40B4-BE49-F238E27FC236}">
              <a16:creationId xmlns:a16="http://schemas.microsoft.com/office/drawing/2014/main" id="{08D6A79A-6EFA-4127-9C62-EB4DC4CA18A4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74" name="Line 950">
          <a:extLst>
            <a:ext uri="{FF2B5EF4-FFF2-40B4-BE49-F238E27FC236}">
              <a16:creationId xmlns:a16="http://schemas.microsoft.com/office/drawing/2014/main" id="{CB403665-2DF6-4ED9-81D4-4C51B585D753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75" name="Line 951">
          <a:extLst>
            <a:ext uri="{FF2B5EF4-FFF2-40B4-BE49-F238E27FC236}">
              <a16:creationId xmlns:a16="http://schemas.microsoft.com/office/drawing/2014/main" id="{C7245C63-2AFC-4895-A1D6-A7FF22EEBB5E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76" name="Line 952">
          <a:extLst>
            <a:ext uri="{FF2B5EF4-FFF2-40B4-BE49-F238E27FC236}">
              <a16:creationId xmlns:a16="http://schemas.microsoft.com/office/drawing/2014/main" id="{5FAD70B9-8319-46A0-B563-1A6A5D2A811D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77" name="Line 953">
          <a:extLst>
            <a:ext uri="{FF2B5EF4-FFF2-40B4-BE49-F238E27FC236}">
              <a16:creationId xmlns:a16="http://schemas.microsoft.com/office/drawing/2014/main" id="{F29C8228-A46B-4236-A147-9B97BA76E742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78" name="Line 954">
          <a:extLst>
            <a:ext uri="{FF2B5EF4-FFF2-40B4-BE49-F238E27FC236}">
              <a16:creationId xmlns:a16="http://schemas.microsoft.com/office/drawing/2014/main" id="{515531DC-31C0-4D6A-AD32-55D11CE3F2B2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79" name="Line 955">
          <a:extLst>
            <a:ext uri="{FF2B5EF4-FFF2-40B4-BE49-F238E27FC236}">
              <a16:creationId xmlns:a16="http://schemas.microsoft.com/office/drawing/2014/main" id="{6FDB1D6C-E061-41B0-A302-8656F896BC5E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80" name="Line 956">
          <a:extLst>
            <a:ext uri="{FF2B5EF4-FFF2-40B4-BE49-F238E27FC236}">
              <a16:creationId xmlns:a16="http://schemas.microsoft.com/office/drawing/2014/main" id="{E105436E-725E-4837-A194-9C5F2333C467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81" name="Line 957">
          <a:extLst>
            <a:ext uri="{FF2B5EF4-FFF2-40B4-BE49-F238E27FC236}">
              <a16:creationId xmlns:a16="http://schemas.microsoft.com/office/drawing/2014/main" id="{11EF7FF2-E093-4296-93E5-ACCA837F2090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82" name="Line 958">
          <a:extLst>
            <a:ext uri="{FF2B5EF4-FFF2-40B4-BE49-F238E27FC236}">
              <a16:creationId xmlns:a16="http://schemas.microsoft.com/office/drawing/2014/main" id="{6DADE46A-3BD3-477D-9927-5B5B22CFD68E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83" name="Line 959">
          <a:extLst>
            <a:ext uri="{FF2B5EF4-FFF2-40B4-BE49-F238E27FC236}">
              <a16:creationId xmlns:a16="http://schemas.microsoft.com/office/drawing/2014/main" id="{788274E6-8FB6-47DD-8FDC-4A147CAF07E9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84" name="Line 960">
          <a:extLst>
            <a:ext uri="{FF2B5EF4-FFF2-40B4-BE49-F238E27FC236}">
              <a16:creationId xmlns:a16="http://schemas.microsoft.com/office/drawing/2014/main" id="{A06FC8C7-8EB7-4CD6-87F2-BE32297EAB7D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85" name="Line 961">
          <a:extLst>
            <a:ext uri="{FF2B5EF4-FFF2-40B4-BE49-F238E27FC236}">
              <a16:creationId xmlns:a16="http://schemas.microsoft.com/office/drawing/2014/main" id="{DFD8787F-8E0C-48AC-BB31-A7A68A1EF1D6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86" name="Line 962">
          <a:extLst>
            <a:ext uri="{FF2B5EF4-FFF2-40B4-BE49-F238E27FC236}">
              <a16:creationId xmlns:a16="http://schemas.microsoft.com/office/drawing/2014/main" id="{5CB413E8-7861-4B9A-86C3-813C9B345B57}"/>
            </a:ext>
          </a:extLst>
        </xdr:cNvPr>
        <xdr:cNvSpPr>
          <a:spLocks noChangeShapeType="1"/>
        </xdr:cNvSpPr>
      </xdr:nvSpPr>
      <xdr:spPr bwMode="auto">
        <a:xfrm flipH="1"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87" name="Line 963">
          <a:extLst>
            <a:ext uri="{FF2B5EF4-FFF2-40B4-BE49-F238E27FC236}">
              <a16:creationId xmlns:a16="http://schemas.microsoft.com/office/drawing/2014/main" id="{4100F669-5447-4718-B617-5229381F39B0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88" name="Line 964">
          <a:extLst>
            <a:ext uri="{FF2B5EF4-FFF2-40B4-BE49-F238E27FC236}">
              <a16:creationId xmlns:a16="http://schemas.microsoft.com/office/drawing/2014/main" id="{E4037125-B7D0-494E-838A-B3881EB0CEB9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89" name="Line 965">
          <a:extLst>
            <a:ext uri="{FF2B5EF4-FFF2-40B4-BE49-F238E27FC236}">
              <a16:creationId xmlns:a16="http://schemas.microsoft.com/office/drawing/2014/main" id="{173C760D-DDAE-479B-AD31-A66BD9EF9227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90" name="Line 966">
          <a:extLst>
            <a:ext uri="{FF2B5EF4-FFF2-40B4-BE49-F238E27FC236}">
              <a16:creationId xmlns:a16="http://schemas.microsoft.com/office/drawing/2014/main" id="{BEA1BDBE-D5B5-49DC-BE88-B4886D23887D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31750</xdr:colOff>
      <xdr:row>5</xdr:row>
      <xdr:rowOff>0</xdr:rowOff>
    </xdr:to>
    <xdr:sp macro="" textlink="">
      <xdr:nvSpPr>
        <xdr:cNvPr id="1991" name="Line 967">
          <a:extLst>
            <a:ext uri="{FF2B5EF4-FFF2-40B4-BE49-F238E27FC236}">
              <a16:creationId xmlns:a16="http://schemas.microsoft.com/office/drawing/2014/main" id="{4F2837FB-EC7C-49BC-96C0-D7CA5C8836FF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317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92" name="Line 968">
          <a:extLst>
            <a:ext uri="{FF2B5EF4-FFF2-40B4-BE49-F238E27FC236}">
              <a16:creationId xmlns:a16="http://schemas.microsoft.com/office/drawing/2014/main" id="{A21B0012-0737-41A0-AC18-70E43E31434C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93" name="Line 969">
          <a:extLst>
            <a:ext uri="{FF2B5EF4-FFF2-40B4-BE49-F238E27FC236}">
              <a16:creationId xmlns:a16="http://schemas.microsoft.com/office/drawing/2014/main" id="{F784A542-638C-43F3-97AC-0D6945F61F12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94" name="Line 970">
          <a:extLst>
            <a:ext uri="{FF2B5EF4-FFF2-40B4-BE49-F238E27FC236}">
              <a16:creationId xmlns:a16="http://schemas.microsoft.com/office/drawing/2014/main" id="{5ED80B27-E82A-467F-B74B-7D3D7AA1F740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95" name="Line 971">
          <a:extLst>
            <a:ext uri="{FF2B5EF4-FFF2-40B4-BE49-F238E27FC236}">
              <a16:creationId xmlns:a16="http://schemas.microsoft.com/office/drawing/2014/main" id="{FE64C8F2-93F2-4309-BFE6-068A1D12DD43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96" name="Line 972">
          <a:extLst>
            <a:ext uri="{FF2B5EF4-FFF2-40B4-BE49-F238E27FC236}">
              <a16:creationId xmlns:a16="http://schemas.microsoft.com/office/drawing/2014/main" id="{A4349FFB-F815-4867-9971-84AA4D04CACE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97" name="Line 973">
          <a:extLst>
            <a:ext uri="{FF2B5EF4-FFF2-40B4-BE49-F238E27FC236}">
              <a16:creationId xmlns:a16="http://schemas.microsoft.com/office/drawing/2014/main" id="{A274CA48-4F0B-4460-98CE-4E8AE2268800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98" name="Line 974">
          <a:extLst>
            <a:ext uri="{FF2B5EF4-FFF2-40B4-BE49-F238E27FC236}">
              <a16:creationId xmlns:a16="http://schemas.microsoft.com/office/drawing/2014/main" id="{BF69C64A-38BA-41B3-99F5-F3417229DCE2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1999" name="Line 975">
          <a:extLst>
            <a:ext uri="{FF2B5EF4-FFF2-40B4-BE49-F238E27FC236}">
              <a16:creationId xmlns:a16="http://schemas.microsoft.com/office/drawing/2014/main" id="{A334574F-51F5-4AE4-81FB-829637657AA6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2000" name="Line 976">
          <a:extLst>
            <a:ext uri="{FF2B5EF4-FFF2-40B4-BE49-F238E27FC236}">
              <a16:creationId xmlns:a16="http://schemas.microsoft.com/office/drawing/2014/main" id="{2AB79237-4823-43B8-83EF-BBD8A5CA419C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2001" name="Line 977">
          <a:extLst>
            <a:ext uri="{FF2B5EF4-FFF2-40B4-BE49-F238E27FC236}">
              <a16:creationId xmlns:a16="http://schemas.microsoft.com/office/drawing/2014/main" id="{CBBD610A-4065-409F-901A-87722456479E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2002" name="Line 978">
          <a:extLst>
            <a:ext uri="{FF2B5EF4-FFF2-40B4-BE49-F238E27FC236}">
              <a16:creationId xmlns:a16="http://schemas.microsoft.com/office/drawing/2014/main" id="{CA0310A7-8076-42C9-88D6-67FB47E8BD63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2003" name="Line 979">
          <a:extLst>
            <a:ext uri="{FF2B5EF4-FFF2-40B4-BE49-F238E27FC236}">
              <a16:creationId xmlns:a16="http://schemas.microsoft.com/office/drawing/2014/main" id="{A81877C9-15D1-433F-8305-4B0B846FFFAB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2004" name="Line 980">
          <a:extLst>
            <a:ext uri="{FF2B5EF4-FFF2-40B4-BE49-F238E27FC236}">
              <a16:creationId xmlns:a16="http://schemas.microsoft.com/office/drawing/2014/main" id="{3BA6EA31-DE4E-4A1E-B491-7A3B9EB6CA33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2005" name="Line 981">
          <a:extLst>
            <a:ext uri="{FF2B5EF4-FFF2-40B4-BE49-F238E27FC236}">
              <a16:creationId xmlns:a16="http://schemas.microsoft.com/office/drawing/2014/main" id="{0B5B2A3A-FFCF-494A-A72C-808DB254F7EC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2006" name="Line 982">
          <a:extLst>
            <a:ext uri="{FF2B5EF4-FFF2-40B4-BE49-F238E27FC236}">
              <a16:creationId xmlns:a16="http://schemas.microsoft.com/office/drawing/2014/main" id="{629271D7-FA21-49C6-AD6A-A8240C560DC4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2007" name="Line 983">
          <a:extLst>
            <a:ext uri="{FF2B5EF4-FFF2-40B4-BE49-F238E27FC236}">
              <a16:creationId xmlns:a16="http://schemas.microsoft.com/office/drawing/2014/main" id="{0D6D04EE-4677-4BE0-8108-AFE3643FEC50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2008" name="Line 984">
          <a:extLst>
            <a:ext uri="{FF2B5EF4-FFF2-40B4-BE49-F238E27FC236}">
              <a16:creationId xmlns:a16="http://schemas.microsoft.com/office/drawing/2014/main" id="{9B7CFF03-BE6A-4D81-88B0-9B0228075E37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2009" name="Line 985">
          <a:extLst>
            <a:ext uri="{FF2B5EF4-FFF2-40B4-BE49-F238E27FC236}">
              <a16:creationId xmlns:a16="http://schemas.microsoft.com/office/drawing/2014/main" id="{E16511BD-99CB-49F9-9879-E2250AAC26F6}"/>
            </a:ext>
          </a:extLst>
        </xdr:cNvPr>
        <xdr:cNvSpPr>
          <a:spLocks noChangeShapeType="1"/>
        </xdr:cNvSpPr>
      </xdr:nvSpPr>
      <xdr:spPr bwMode="auto">
        <a:xfrm flipH="1"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2010" name="Line 986">
          <a:extLst>
            <a:ext uri="{FF2B5EF4-FFF2-40B4-BE49-F238E27FC236}">
              <a16:creationId xmlns:a16="http://schemas.microsoft.com/office/drawing/2014/main" id="{A34EA3FF-7A95-4AC3-9F1D-33DB1DF11FC5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2011" name="Line 987">
          <a:extLst>
            <a:ext uri="{FF2B5EF4-FFF2-40B4-BE49-F238E27FC236}">
              <a16:creationId xmlns:a16="http://schemas.microsoft.com/office/drawing/2014/main" id="{F1C41CDD-077E-4E90-A133-187C62AA4620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2012" name="Line 988">
          <a:extLst>
            <a:ext uri="{FF2B5EF4-FFF2-40B4-BE49-F238E27FC236}">
              <a16:creationId xmlns:a16="http://schemas.microsoft.com/office/drawing/2014/main" id="{BF33CE3C-6079-4317-BB26-BA87BE5E31C3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2013" name="Line 989">
          <a:extLst>
            <a:ext uri="{FF2B5EF4-FFF2-40B4-BE49-F238E27FC236}">
              <a16:creationId xmlns:a16="http://schemas.microsoft.com/office/drawing/2014/main" id="{F65C870D-234A-4B1E-BBE6-C038326FE4AE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2014" name="Line 990">
          <a:extLst>
            <a:ext uri="{FF2B5EF4-FFF2-40B4-BE49-F238E27FC236}">
              <a16:creationId xmlns:a16="http://schemas.microsoft.com/office/drawing/2014/main" id="{33BCA120-997E-411E-B1BB-5B8A93C36201}"/>
            </a:ext>
          </a:extLst>
        </xdr:cNvPr>
        <xdr:cNvSpPr>
          <a:spLocks noChangeShapeType="1"/>
        </xdr:cNvSpPr>
      </xdr:nvSpPr>
      <xdr:spPr bwMode="auto">
        <a:xfrm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2015" name="Line 991">
          <a:extLst>
            <a:ext uri="{FF2B5EF4-FFF2-40B4-BE49-F238E27FC236}">
              <a16:creationId xmlns:a16="http://schemas.microsoft.com/office/drawing/2014/main" id="{7AC2CF16-53B2-4D9E-9F72-8D2179519525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2016" name="Line 992">
          <a:extLst>
            <a:ext uri="{FF2B5EF4-FFF2-40B4-BE49-F238E27FC236}">
              <a16:creationId xmlns:a16="http://schemas.microsoft.com/office/drawing/2014/main" id="{EE029C2C-59A4-4B9E-BDFC-A9FDA902FB02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2017" name="Line 993">
          <a:extLst>
            <a:ext uri="{FF2B5EF4-FFF2-40B4-BE49-F238E27FC236}">
              <a16:creationId xmlns:a16="http://schemas.microsoft.com/office/drawing/2014/main" id="{308F8941-C815-42A2-AAFC-5CB70E65642F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2018" name="Line 994">
          <a:extLst>
            <a:ext uri="{FF2B5EF4-FFF2-40B4-BE49-F238E27FC236}">
              <a16:creationId xmlns:a16="http://schemas.microsoft.com/office/drawing/2014/main" id="{7D4F4021-F400-4151-870D-E46508A7C8D9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2019" name="Line 995">
          <a:extLst>
            <a:ext uri="{FF2B5EF4-FFF2-40B4-BE49-F238E27FC236}">
              <a16:creationId xmlns:a16="http://schemas.microsoft.com/office/drawing/2014/main" id="{2E43D9B6-8FA8-4B22-9788-A45F4089F3CB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2020" name="Line 996">
          <a:extLst>
            <a:ext uri="{FF2B5EF4-FFF2-40B4-BE49-F238E27FC236}">
              <a16:creationId xmlns:a16="http://schemas.microsoft.com/office/drawing/2014/main" id="{DE17902D-1558-4303-A106-940A13E34E54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2021" name="Line 997">
          <a:extLst>
            <a:ext uri="{FF2B5EF4-FFF2-40B4-BE49-F238E27FC236}">
              <a16:creationId xmlns:a16="http://schemas.microsoft.com/office/drawing/2014/main" id="{FF202A33-9535-4A81-86EF-5754FC0B688C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2022" name="Line 998">
          <a:extLst>
            <a:ext uri="{FF2B5EF4-FFF2-40B4-BE49-F238E27FC236}">
              <a16:creationId xmlns:a16="http://schemas.microsoft.com/office/drawing/2014/main" id="{2F718F60-BA68-49A8-9D4D-FA56DE7B1ECD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2023" name="Line 999">
          <a:extLst>
            <a:ext uri="{FF2B5EF4-FFF2-40B4-BE49-F238E27FC236}">
              <a16:creationId xmlns:a16="http://schemas.microsoft.com/office/drawing/2014/main" id="{FE6D61BC-B8BB-4CDB-999F-DBF43D5BFA8D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2024" name="Line 1000">
          <a:extLst>
            <a:ext uri="{FF2B5EF4-FFF2-40B4-BE49-F238E27FC236}">
              <a16:creationId xmlns:a16="http://schemas.microsoft.com/office/drawing/2014/main" id="{F6621A3B-A85B-441A-AD5B-71CA83DF31C8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2025" name="Line 1001">
          <a:extLst>
            <a:ext uri="{FF2B5EF4-FFF2-40B4-BE49-F238E27FC236}">
              <a16:creationId xmlns:a16="http://schemas.microsoft.com/office/drawing/2014/main" id="{C4C33C7C-689E-4F42-8AA8-F146F461F4C5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2026" name="Line 1002">
          <a:extLst>
            <a:ext uri="{FF2B5EF4-FFF2-40B4-BE49-F238E27FC236}">
              <a16:creationId xmlns:a16="http://schemas.microsoft.com/office/drawing/2014/main" id="{6DDD3116-1980-4CA0-9A7D-47C717669156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2027" name="Line 1003">
          <a:extLst>
            <a:ext uri="{FF2B5EF4-FFF2-40B4-BE49-F238E27FC236}">
              <a16:creationId xmlns:a16="http://schemas.microsoft.com/office/drawing/2014/main" id="{32695718-80A9-4C5A-AE96-0F85CBC031FC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2028" name="Line 1004">
          <a:extLst>
            <a:ext uri="{FF2B5EF4-FFF2-40B4-BE49-F238E27FC236}">
              <a16:creationId xmlns:a16="http://schemas.microsoft.com/office/drawing/2014/main" id="{D2FE0382-DC29-4FFF-8743-2A9D8280064B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2029" name="Line 1005">
          <a:extLst>
            <a:ext uri="{FF2B5EF4-FFF2-40B4-BE49-F238E27FC236}">
              <a16:creationId xmlns:a16="http://schemas.microsoft.com/office/drawing/2014/main" id="{029657BF-AC3D-46C0-8655-E34B691A0C20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2030" name="Line 1006">
          <a:extLst>
            <a:ext uri="{FF2B5EF4-FFF2-40B4-BE49-F238E27FC236}">
              <a16:creationId xmlns:a16="http://schemas.microsoft.com/office/drawing/2014/main" id="{4D3867E8-B91D-4FFE-B695-1FC801D33363}"/>
            </a:ext>
          </a:extLst>
        </xdr:cNvPr>
        <xdr:cNvSpPr>
          <a:spLocks noChangeShapeType="1"/>
        </xdr:cNvSpPr>
      </xdr:nvSpPr>
      <xdr:spPr bwMode="auto">
        <a:xfrm flipH="1"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2031" name="Line 1007">
          <a:extLst>
            <a:ext uri="{FF2B5EF4-FFF2-40B4-BE49-F238E27FC236}">
              <a16:creationId xmlns:a16="http://schemas.microsoft.com/office/drawing/2014/main" id="{DFB19FAB-F3EF-4203-A945-321ACB241917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2032" name="Line 1008">
          <a:extLst>
            <a:ext uri="{FF2B5EF4-FFF2-40B4-BE49-F238E27FC236}">
              <a16:creationId xmlns:a16="http://schemas.microsoft.com/office/drawing/2014/main" id="{5F1F2E95-5032-45C7-9A4D-55F4C20E317C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5</xdr:row>
      <xdr:rowOff>0</xdr:rowOff>
    </xdr:from>
    <xdr:to>
      <xdr:col>16</xdr:col>
      <xdr:colOff>0</xdr:colOff>
      <xdr:row>5</xdr:row>
      <xdr:rowOff>0</xdr:rowOff>
    </xdr:to>
    <xdr:sp macro="" textlink="">
      <xdr:nvSpPr>
        <xdr:cNvPr id="2033" name="Line 1009">
          <a:extLst>
            <a:ext uri="{FF2B5EF4-FFF2-40B4-BE49-F238E27FC236}">
              <a16:creationId xmlns:a16="http://schemas.microsoft.com/office/drawing/2014/main" id="{DAA56648-712F-47EC-9AC6-5310D7B2D3CA}"/>
            </a:ext>
          </a:extLst>
        </xdr:cNvPr>
        <xdr:cNvSpPr>
          <a:spLocks noChangeShapeType="1"/>
        </xdr:cNvSpPr>
      </xdr:nvSpPr>
      <xdr:spPr bwMode="auto">
        <a:xfrm flipV="1">
          <a:off x="5772150" y="12065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42</xdr:col>
      <xdr:colOff>120650</xdr:colOff>
      <xdr:row>4</xdr:row>
      <xdr:rowOff>0</xdr:rowOff>
    </xdr:from>
    <xdr:to>
      <xdr:col>48</xdr:col>
      <xdr:colOff>228600</xdr:colOff>
      <xdr:row>19</xdr:row>
      <xdr:rowOff>12700</xdr:rowOff>
    </xdr:to>
    <xdr:graphicFrame macro="">
      <xdr:nvGraphicFramePr>
        <xdr:cNvPr id="2035" name="Chart 1011">
          <a:extLst>
            <a:ext uri="{FF2B5EF4-FFF2-40B4-BE49-F238E27FC236}">
              <a16:creationId xmlns:a16="http://schemas.microsoft.com/office/drawing/2014/main" id="{4E939448-AEB3-4305-9B13-328705A244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120650</xdr:colOff>
      <xdr:row>24</xdr:row>
      <xdr:rowOff>0</xdr:rowOff>
    </xdr:from>
    <xdr:to>
      <xdr:col>48</xdr:col>
      <xdr:colOff>241300</xdr:colOff>
      <xdr:row>42</xdr:row>
      <xdr:rowOff>177800</xdr:rowOff>
    </xdr:to>
    <xdr:graphicFrame macro="">
      <xdr:nvGraphicFramePr>
        <xdr:cNvPr id="2036" name="Chart 1012">
          <a:extLst>
            <a:ext uri="{FF2B5EF4-FFF2-40B4-BE49-F238E27FC236}">
              <a16:creationId xmlns:a16="http://schemas.microsoft.com/office/drawing/2014/main" id="{7966E5F9-59DA-4211-AC30-0ED2AD85C2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effsum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effsumV"/>
    </sheetNames>
    <sheetDataSet>
      <sheetData sheetId="0">
        <row r="1">
          <cell r="A1">
            <v>47124</v>
          </cell>
          <cell r="B1">
            <v>9.5000000000000001E-2</v>
          </cell>
        </row>
        <row r="2">
          <cell r="A2">
            <v>47125</v>
          </cell>
          <cell r="B2">
            <v>0.122</v>
          </cell>
        </row>
        <row r="3">
          <cell r="A3">
            <v>47201</v>
          </cell>
          <cell r="B3">
            <v>0.104</v>
          </cell>
        </row>
        <row r="4">
          <cell r="A4">
            <v>47202</v>
          </cell>
          <cell r="B4">
            <v>0.104</v>
          </cell>
        </row>
        <row r="5">
          <cell r="A5">
            <v>47203</v>
          </cell>
          <cell r="B5">
            <v>0.10100000000000001</v>
          </cell>
        </row>
        <row r="6">
          <cell r="A6">
            <v>47204</v>
          </cell>
          <cell r="B6">
            <v>0.10100000000000001</v>
          </cell>
        </row>
        <row r="7">
          <cell r="A7">
            <v>47205</v>
          </cell>
          <cell r="B7">
            <v>0.08</v>
          </cell>
        </row>
        <row r="8">
          <cell r="A8">
            <v>47206</v>
          </cell>
          <cell r="B8">
            <v>9.2999999999999999E-2</v>
          </cell>
        </row>
        <row r="9">
          <cell r="A9">
            <v>47207</v>
          </cell>
          <cell r="B9">
            <v>8.3000000000000004E-2</v>
          </cell>
        </row>
        <row r="10">
          <cell r="A10">
            <v>47266</v>
          </cell>
          <cell r="B10">
            <v>7.9000000000000001E-2</v>
          </cell>
        </row>
        <row r="11">
          <cell r="A11">
            <v>47504</v>
          </cell>
          <cell r="B11">
            <v>5.8999999999999997E-2</v>
          </cell>
        </row>
        <row r="12">
          <cell r="A12">
            <v>47505</v>
          </cell>
          <cell r="B12">
            <v>8.6999999999999994E-2</v>
          </cell>
        </row>
        <row r="13">
          <cell r="A13">
            <v>47506</v>
          </cell>
          <cell r="B13">
            <v>0.107</v>
          </cell>
        </row>
        <row r="14">
          <cell r="A14">
            <v>48242</v>
          </cell>
          <cell r="B14">
            <v>0.11799999999999999</v>
          </cell>
        </row>
        <row r="15">
          <cell r="A15">
            <v>48301</v>
          </cell>
          <cell r="B15">
            <v>0.12</v>
          </cell>
        </row>
        <row r="16">
          <cell r="A16">
            <v>48302</v>
          </cell>
          <cell r="B16">
            <v>0.123</v>
          </cell>
        </row>
        <row r="17">
          <cell r="A17">
            <v>48625</v>
          </cell>
          <cell r="B17">
            <v>0.159</v>
          </cell>
        </row>
        <row r="18">
          <cell r="A18">
            <v>48626</v>
          </cell>
          <cell r="B18">
            <v>0.20200000000000001</v>
          </cell>
        </row>
        <row r="19">
          <cell r="A19">
            <v>48627</v>
          </cell>
          <cell r="B19">
            <v>0.21199999999999999</v>
          </cell>
        </row>
        <row r="20">
          <cell r="A20">
            <v>49721</v>
          </cell>
          <cell r="B20">
            <v>8.7999999999999995E-2</v>
          </cell>
        </row>
        <row r="21">
          <cell r="A21">
            <v>48836</v>
          </cell>
          <cell r="B21">
            <v>0.185</v>
          </cell>
        </row>
        <row r="22">
          <cell r="A22">
            <v>48838</v>
          </cell>
          <cell r="B22">
            <v>0.217</v>
          </cell>
        </row>
        <row r="23">
          <cell r="A23">
            <v>49011</v>
          </cell>
          <cell r="B23">
            <v>0.126</v>
          </cell>
        </row>
        <row r="24">
          <cell r="A24">
            <v>49012</v>
          </cell>
          <cell r="B24">
            <v>0.123</v>
          </cell>
        </row>
        <row r="25">
          <cell r="A25">
            <v>49368</v>
          </cell>
          <cell r="B25">
            <v>0.13600000000000001</v>
          </cell>
        </row>
        <row r="26">
          <cell r="A26">
            <v>49369</v>
          </cell>
          <cell r="B26">
            <v>0.16200000000000001</v>
          </cell>
        </row>
        <row r="27">
          <cell r="A27">
            <v>49370</v>
          </cell>
          <cell r="B27">
            <v>0.12</v>
          </cell>
        </row>
        <row r="28">
          <cell r="A28">
            <v>50248</v>
          </cell>
          <cell r="B28">
            <v>0.11799999999999999</v>
          </cell>
        </row>
        <row r="29">
          <cell r="A29">
            <v>50908</v>
          </cell>
          <cell r="B29">
            <v>0.124</v>
          </cell>
        </row>
        <row r="30">
          <cell r="A30">
            <v>50909</v>
          </cell>
          <cell r="B30">
            <v>0.111</v>
          </cell>
        </row>
        <row r="31">
          <cell r="A31">
            <v>50910</v>
          </cell>
          <cell r="B31">
            <v>0.108</v>
          </cell>
        </row>
        <row r="32">
          <cell r="A32">
            <v>51082</v>
          </cell>
          <cell r="B32">
            <v>0.29899999999999999</v>
          </cell>
        </row>
        <row r="33">
          <cell r="A33">
            <v>51199</v>
          </cell>
          <cell r="B33">
            <v>0.107</v>
          </cell>
        </row>
        <row r="34">
          <cell r="A34">
            <v>51777</v>
          </cell>
          <cell r="B34">
            <v>6.6000000000000003E-2</v>
          </cell>
        </row>
        <row r="35">
          <cell r="A35">
            <v>51814</v>
          </cell>
          <cell r="B35">
            <v>0.109</v>
          </cell>
        </row>
        <row r="36">
          <cell r="A36">
            <v>51816</v>
          </cell>
          <cell r="B36">
            <v>0.121</v>
          </cell>
        </row>
        <row r="37">
          <cell r="A37">
            <v>51817</v>
          </cell>
          <cell r="B37">
            <v>0.11</v>
          </cell>
        </row>
        <row r="38">
          <cell r="A38">
            <v>51818</v>
          </cell>
          <cell r="B38">
            <v>0.11</v>
          </cell>
        </row>
        <row r="39">
          <cell r="A39">
            <v>51826</v>
          </cell>
          <cell r="B39">
            <v>0.1</v>
          </cell>
        </row>
        <row r="40">
          <cell r="A40">
            <v>51826</v>
          </cell>
          <cell r="B40">
            <v>9.2999999999999999E-2</v>
          </cell>
        </row>
        <row r="41">
          <cell r="A41">
            <v>52545</v>
          </cell>
          <cell r="B41">
            <v>9.1999999999999998E-2</v>
          </cell>
        </row>
        <row r="42">
          <cell r="A42">
            <v>52547</v>
          </cell>
          <cell r="B42">
            <v>0.122</v>
          </cell>
        </row>
        <row r="43">
          <cell r="A43">
            <v>52577</v>
          </cell>
          <cell r="B43">
            <v>0.13400000000000001</v>
          </cell>
        </row>
        <row r="44">
          <cell r="A44">
            <v>52578</v>
          </cell>
          <cell r="B44">
            <v>0.151</v>
          </cell>
        </row>
        <row r="45">
          <cell r="A45">
            <v>52608</v>
          </cell>
          <cell r="B45">
            <v>0.126</v>
          </cell>
        </row>
        <row r="46">
          <cell r="A46">
            <v>52609</v>
          </cell>
          <cell r="B46">
            <v>0.115</v>
          </cell>
        </row>
        <row r="47">
          <cell r="A47">
            <v>52610</v>
          </cell>
          <cell r="B47">
            <v>0.109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99"/>
  <sheetViews>
    <sheetView tabSelected="1" topLeftCell="T1" workbookViewId="0">
      <selection activeCell="AC11" sqref="AC11"/>
    </sheetView>
  </sheetViews>
  <sheetFormatPr defaultColWidth="11.453125" defaultRowHeight="12.5"/>
  <cols>
    <col min="1" max="1" width="15.7265625" style="1" customWidth="1"/>
    <col min="2" max="4" width="2.7265625" style="1" customWidth="1"/>
    <col min="5" max="5" width="0.1796875" style="1" customWidth="1"/>
    <col min="6" max="6" width="3.26953125" style="1" customWidth="1"/>
    <col min="7" max="8" width="2.7265625" style="1" customWidth="1"/>
    <col min="9" max="9" width="10.7265625" style="1" customWidth="1"/>
    <col min="10" max="11" width="3.7265625" style="1" customWidth="1"/>
    <col min="12" max="12" width="4.7265625" style="1" customWidth="1"/>
    <col min="13" max="13" width="8.7265625" style="1" customWidth="1"/>
    <col min="14" max="14" width="3.7265625" style="1" customWidth="1"/>
    <col min="15" max="15" width="5.7265625" style="1" customWidth="1"/>
    <col min="16" max="16" width="8.7265625" style="1" customWidth="1"/>
    <col min="17" max="17" width="50.7265625" customWidth="1"/>
    <col min="18" max="18" width="11.453125" customWidth="1"/>
    <col min="19" max="21" width="8.7265625" customWidth="1"/>
    <col min="22" max="22" width="4.7265625" customWidth="1"/>
    <col min="23" max="23" width="4.7265625" style="1" customWidth="1"/>
    <col min="24" max="24" width="8.54296875" bestFit="1" customWidth="1"/>
    <col min="25" max="31" width="5.26953125" customWidth="1"/>
    <col min="32" max="32" width="4.54296875" style="40" customWidth="1"/>
    <col min="33" max="33" width="5.1796875" bestFit="1" customWidth="1"/>
    <col min="34" max="34" width="4.7265625" customWidth="1"/>
    <col min="35" max="35" width="5.1796875" style="40" bestFit="1" customWidth="1"/>
    <col min="36" max="36" width="4.54296875" style="40" customWidth="1"/>
    <col min="37" max="37" width="5.1796875" style="40" bestFit="1" customWidth="1"/>
    <col min="38" max="38" width="4.54296875" style="40" customWidth="1"/>
    <col min="39" max="39" width="11.453125" customWidth="1"/>
    <col min="40" max="42" width="5.7265625" style="40" customWidth="1"/>
  </cols>
  <sheetData>
    <row r="1" spans="1:42" s="3" customFormat="1" ht="20.149999999999999" customHeight="1">
      <c r="A1" s="4" t="s">
        <v>0</v>
      </c>
      <c r="B1" s="4"/>
      <c r="C1"/>
      <c r="D1" s="2"/>
      <c r="E1" s="2"/>
      <c r="F1" s="2"/>
      <c r="G1" s="2" t="s">
        <v>1</v>
      </c>
      <c r="H1" s="2"/>
      <c r="I1" s="5">
        <v>36221</v>
      </c>
      <c r="J1" s="2"/>
      <c r="K1" s="2"/>
      <c r="L1" s="2"/>
      <c r="M1" s="2" t="s">
        <v>2</v>
      </c>
      <c r="N1" s="2"/>
      <c r="O1" s="2"/>
      <c r="P1" s="2"/>
      <c r="Q1" s="3" t="s">
        <v>29</v>
      </c>
      <c r="R1" s="3" t="s">
        <v>52</v>
      </c>
      <c r="S1" s="3">
        <f>F3+G3/60+H3/3600</f>
        <v>10.690786527777778</v>
      </c>
      <c r="T1" s="3" t="s">
        <v>53</v>
      </c>
      <c r="U1" s="3">
        <f>3.14159265/180</f>
        <v>1.7453292500000002E-2</v>
      </c>
      <c r="W1" s="2"/>
      <c r="AF1" s="34"/>
      <c r="AI1" s="34"/>
      <c r="AJ1" s="34"/>
      <c r="AK1" s="34"/>
      <c r="AL1" s="34"/>
      <c r="AN1" s="34"/>
      <c r="AO1" s="34"/>
      <c r="AP1" s="34"/>
    </row>
    <row r="2" spans="1:42" s="3" customFormat="1" ht="20.149999999999999" customHeight="1">
      <c r="A2" s="4" t="s">
        <v>48</v>
      </c>
      <c r="B2" s="2"/>
      <c r="C2" s="2"/>
      <c r="D2" s="2" t="s">
        <v>49</v>
      </c>
      <c r="E2" s="2"/>
      <c r="F2" s="2">
        <v>21</v>
      </c>
      <c r="G2" s="33">
        <v>21</v>
      </c>
      <c r="H2" s="33">
        <v>47</v>
      </c>
      <c r="I2" s="2" t="s">
        <v>50</v>
      </c>
      <c r="J2" s="2">
        <v>157</v>
      </c>
      <c r="K2" s="2">
        <v>55</v>
      </c>
      <c r="L2" s="2">
        <v>19.3</v>
      </c>
      <c r="M2" s="2" t="s">
        <v>4</v>
      </c>
      <c r="N2" s="2"/>
      <c r="O2" s="2"/>
      <c r="P2" s="2"/>
      <c r="Q2" s="3" t="s">
        <v>30</v>
      </c>
      <c r="R2" s="3" t="s">
        <v>3</v>
      </c>
      <c r="S2" s="3">
        <f>F2+G2/60+H2/3600</f>
        <v>21.363055555555558</v>
      </c>
      <c r="W2" s="2"/>
      <c r="X2" s="3" t="s">
        <v>5</v>
      </c>
      <c r="Z2" s="3" t="s">
        <v>6</v>
      </c>
      <c r="AB2" s="3" t="s">
        <v>7</v>
      </c>
      <c r="AF2" s="34"/>
      <c r="AI2" s="34"/>
      <c r="AJ2" s="34"/>
      <c r="AK2" s="34"/>
      <c r="AL2" s="34"/>
      <c r="AN2" s="34"/>
      <c r="AO2" s="34"/>
      <c r="AP2" s="34"/>
    </row>
    <row r="3" spans="1:42" s="3" customFormat="1" ht="20.149999999999999" customHeight="1">
      <c r="A3" s="4" t="s">
        <v>8</v>
      </c>
      <c r="B3" s="2"/>
      <c r="C3" s="2"/>
      <c r="D3" s="2"/>
      <c r="E3" s="2"/>
      <c r="F3" s="2">
        <v>10</v>
      </c>
      <c r="G3" s="33">
        <v>41</v>
      </c>
      <c r="H3" s="33">
        <v>26.831499999999998</v>
      </c>
      <c r="I3" s="6"/>
      <c r="J3" s="2"/>
      <c r="K3" s="2"/>
      <c r="L3" s="2"/>
      <c r="M3" s="2"/>
      <c r="N3" s="2"/>
      <c r="O3" s="2"/>
      <c r="P3" s="2"/>
      <c r="R3" s="3" t="s">
        <v>51</v>
      </c>
      <c r="S3" s="3">
        <f>(J2+K2/60+L2/3600)/15</f>
        <v>10.528135185185185</v>
      </c>
      <c r="W3" s="2"/>
      <c r="AF3" s="34"/>
      <c r="AI3" s="34"/>
      <c r="AJ3" s="34"/>
      <c r="AK3" s="34"/>
      <c r="AL3" s="34"/>
      <c r="AN3" s="34"/>
      <c r="AO3" s="34"/>
      <c r="AP3" s="34"/>
    </row>
    <row r="4" spans="1:42" s="32" customFormat="1" ht="20.149999999999999" customHeight="1">
      <c r="A4" s="15" t="s">
        <v>9</v>
      </c>
      <c r="B4" s="15"/>
      <c r="C4" s="16" t="s">
        <v>10</v>
      </c>
      <c r="D4" s="16"/>
      <c r="E4" s="16"/>
      <c r="F4" s="16"/>
      <c r="G4" s="16" t="s">
        <v>11</v>
      </c>
      <c r="H4" s="16"/>
      <c r="I4" s="15" t="s">
        <v>12</v>
      </c>
      <c r="J4" s="15" t="s">
        <v>14</v>
      </c>
      <c r="K4" s="15" t="s">
        <v>13</v>
      </c>
      <c r="L4" s="15" t="s">
        <v>15</v>
      </c>
      <c r="M4" s="15" t="s">
        <v>16</v>
      </c>
      <c r="N4" s="15" t="s">
        <v>13</v>
      </c>
      <c r="O4" s="15" t="s">
        <v>15</v>
      </c>
      <c r="P4" s="15" t="s">
        <v>6</v>
      </c>
      <c r="Q4" s="17" t="s">
        <v>17</v>
      </c>
      <c r="R4" s="15" t="s">
        <v>9</v>
      </c>
      <c r="S4" s="15" t="s">
        <v>18</v>
      </c>
      <c r="T4" s="15" t="s">
        <v>19</v>
      </c>
      <c r="U4" s="15" t="s">
        <v>20</v>
      </c>
      <c r="V4" s="16" t="s">
        <v>26</v>
      </c>
      <c r="W4" s="15" t="s">
        <v>21</v>
      </c>
      <c r="X4" s="15" t="s">
        <v>22</v>
      </c>
      <c r="Y4" s="16" t="s">
        <v>23</v>
      </c>
      <c r="Z4" s="15" t="s">
        <v>22</v>
      </c>
      <c r="AA4" s="16" t="s">
        <v>23</v>
      </c>
      <c r="AB4" s="15" t="s">
        <v>22</v>
      </c>
      <c r="AC4" s="16" t="s">
        <v>23</v>
      </c>
      <c r="AD4" s="15" t="s">
        <v>24</v>
      </c>
      <c r="AE4" s="16" t="s">
        <v>23</v>
      </c>
      <c r="AF4" s="35" t="s">
        <v>54</v>
      </c>
      <c r="AG4" s="17" t="s">
        <v>55</v>
      </c>
      <c r="AH4" s="16" t="s">
        <v>26</v>
      </c>
      <c r="AI4" s="35" t="s">
        <v>56</v>
      </c>
      <c r="AJ4" s="45" t="s">
        <v>23</v>
      </c>
      <c r="AK4" s="46" t="s">
        <v>61</v>
      </c>
      <c r="AL4" s="35"/>
      <c r="AM4" s="17"/>
      <c r="AN4" s="44"/>
      <c r="AO4" s="44"/>
      <c r="AP4" s="44"/>
    </row>
    <row r="5" spans="1:42" s="9" customFormat="1" ht="15" customHeight="1">
      <c r="A5" s="10" t="s">
        <v>36</v>
      </c>
      <c r="B5" s="6">
        <v>10</v>
      </c>
      <c r="C5" s="6">
        <v>10</v>
      </c>
      <c r="D5" s="6">
        <v>35.28</v>
      </c>
      <c r="E5" s="6">
        <v>-1</v>
      </c>
      <c r="F5" s="6">
        <v>-12</v>
      </c>
      <c r="G5" s="7">
        <v>21</v>
      </c>
      <c r="H5" s="7">
        <v>14.7</v>
      </c>
      <c r="I5" s="8">
        <v>0.29930555555555555</v>
      </c>
      <c r="J5" s="6" t="s">
        <v>25</v>
      </c>
      <c r="K5" s="6">
        <v>1</v>
      </c>
      <c r="L5" s="6">
        <v>100</v>
      </c>
      <c r="M5" s="1">
        <v>4155</v>
      </c>
      <c r="N5" s="6">
        <v>1</v>
      </c>
      <c r="O5" s="6">
        <v>100</v>
      </c>
      <c r="P5" s="1">
        <v>605</v>
      </c>
      <c r="Q5" s="9" t="s">
        <v>35</v>
      </c>
      <c r="R5" s="10" t="s">
        <v>37</v>
      </c>
      <c r="S5" s="9">
        <v>7.1847222000000004</v>
      </c>
      <c r="T5" s="9">
        <f>$S$1+1.0027379093*S5-$S$3</f>
        <v>7.3670446603218878</v>
      </c>
      <c r="U5" s="9">
        <f>T5-(B5+C5/60+D5/3600)</f>
        <v>-2.8094220063447786</v>
      </c>
      <c r="V5" s="9">
        <f>1/(SIN(-1*$U$1*((ABS(F5)+G5/60+H5/3600)))*SIN($U$1*$S$2)+COS($U$1*((ABS(F5)+G5/60+H5/3600)))*COS($U$1*$S$2)*COS($U$1*U5*15))</f>
        <v>1.676117994075214</v>
      </c>
      <c r="W5" s="6" t="str">
        <f>J5</f>
        <v>V</v>
      </c>
      <c r="X5" s="9">
        <f>AVERAGE(M5:M14)/K5/L5</f>
        <v>41.18</v>
      </c>
      <c r="Y5" s="9">
        <f>STDEV(M5:M14)/K5/L5</f>
        <v>0.79155262336471066</v>
      </c>
      <c r="Z5" s="9">
        <f>AVERAGE(P5:P14)/N5/O5</f>
        <v>6.0310000000000006</v>
      </c>
      <c r="AA5" s="9">
        <f>STDEV(P5:P14)/N5/O5</f>
        <v>3.1073389830457113E-2</v>
      </c>
      <c r="AB5" s="9">
        <f>X5-Z5</f>
        <v>35.149000000000001</v>
      </c>
      <c r="AC5" s="9">
        <f>(Y5^2+AA5^2)^0.5</f>
        <v>0.79216230099084561</v>
      </c>
      <c r="AD5" s="9">
        <f>-2.5*LOG10(AB5)</f>
        <v>-3.8647824342957415</v>
      </c>
      <c r="AE5" s="9">
        <f>0.43429448*AC5/AB5</f>
        <v>9.7878094564403766E-3</v>
      </c>
      <c r="AF5" s="36">
        <v>3.61</v>
      </c>
      <c r="AG5" s="36">
        <f>$AF$5-AF5</f>
        <v>0</v>
      </c>
      <c r="AH5" s="9">
        <f>V5</f>
        <v>1.676117994075214</v>
      </c>
      <c r="AI5" s="43">
        <f>AD5+AG5</f>
        <v>-3.8647824342957415</v>
      </c>
      <c r="AJ5" s="36">
        <f>AE5</f>
        <v>9.7878094564403766E-3</v>
      </c>
      <c r="AK5" s="36">
        <f>AF5-AD5+AH5*$AT$22</f>
        <v>7.9218031033156011</v>
      </c>
      <c r="AL5" s="36"/>
      <c r="AN5" s="36">
        <f>AH5</f>
        <v>1.676117994075214</v>
      </c>
      <c r="AO5" s="36">
        <f>AI5</f>
        <v>-3.8647824342957415</v>
      </c>
      <c r="AP5" s="36">
        <f>AJ5</f>
        <v>9.7878094564403766E-3</v>
      </c>
    </row>
    <row r="6" spans="1:42" s="11" customFormat="1" ht="15" customHeight="1">
      <c r="A6" s="10" t="s">
        <v>37</v>
      </c>
      <c r="B6" s="6">
        <v>10</v>
      </c>
      <c r="C6" s="6">
        <v>10</v>
      </c>
      <c r="D6" s="6">
        <v>35.28</v>
      </c>
      <c r="E6" s="6">
        <v>-1</v>
      </c>
      <c r="F6" s="6">
        <v>-12</v>
      </c>
      <c r="G6" s="7">
        <v>21</v>
      </c>
      <c r="H6" s="7">
        <v>14.7</v>
      </c>
      <c r="I6" s="13">
        <v>0.29931712962962964</v>
      </c>
      <c r="J6" s="6" t="s">
        <v>25</v>
      </c>
      <c r="K6" s="6">
        <v>1</v>
      </c>
      <c r="L6" s="6">
        <v>100</v>
      </c>
      <c r="M6" s="1">
        <v>4067</v>
      </c>
      <c r="N6" s="6">
        <v>1</v>
      </c>
      <c r="O6" s="6">
        <v>100</v>
      </c>
      <c r="P6" s="1">
        <v>600</v>
      </c>
      <c r="W6" s="12"/>
      <c r="Z6" s="9"/>
      <c r="AF6" s="37"/>
      <c r="AI6" s="37"/>
      <c r="AJ6" s="37"/>
      <c r="AK6" s="37"/>
      <c r="AL6" s="37"/>
      <c r="AN6" s="37">
        <f>AH15</f>
        <v>1.1388812072769905</v>
      </c>
      <c r="AO6" s="37">
        <f>AI15</f>
        <v>-4.014650211040335</v>
      </c>
      <c r="AP6" s="37">
        <f>AJ15</f>
        <v>5.6561790377340763E-2</v>
      </c>
    </row>
    <row r="7" spans="1:42" s="11" customFormat="1" ht="15" customHeight="1">
      <c r="A7" s="10" t="s">
        <v>37</v>
      </c>
      <c r="B7" s="6">
        <v>10</v>
      </c>
      <c r="C7" s="6">
        <v>10</v>
      </c>
      <c r="D7" s="6">
        <v>35.28</v>
      </c>
      <c r="E7" s="6">
        <v>-1</v>
      </c>
      <c r="F7" s="6">
        <v>-12</v>
      </c>
      <c r="G7" s="7">
        <v>21</v>
      </c>
      <c r="H7" s="7">
        <v>14.7</v>
      </c>
      <c r="I7" s="13">
        <v>0.29932870370370374</v>
      </c>
      <c r="J7" s="6" t="s">
        <v>25</v>
      </c>
      <c r="K7" s="6">
        <v>1</v>
      </c>
      <c r="L7" s="6">
        <v>100</v>
      </c>
      <c r="M7" s="1">
        <v>4089</v>
      </c>
      <c r="N7" s="6">
        <v>1</v>
      </c>
      <c r="O7" s="6">
        <v>100</v>
      </c>
      <c r="P7" s="1">
        <v>598</v>
      </c>
      <c r="W7" s="12"/>
      <c r="Z7" s="9"/>
      <c r="AF7" s="37"/>
      <c r="AI7" s="37"/>
      <c r="AJ7" s="37"/>
      <c r="AK7" s="37"/>
      <c r="AL7" s="37"/>
      <c r="AN7" s="37">
        <f>AH25</f>
        <v>1.0314982846613709</v>
      </c>
      <c r="AO7" s="37">
        <f>AI25</f>
        <v>-4.0416220523570132</v>
      </c>
      <c r="AP7" s="37">
        <f>AJ25</f>
        <v>1.6185053782138376E-2</v>
      </c>
    </row>
    <row r="8" spans="1:42" s="11" customFormat="1" ht="15" customHeight="1">
      <c r="A8" s="10" t="s">
        <v>37</v>
      </c>
      <c r="B8" s="6">
        <v>10</v>
      </c>
      <c r="C8" s="6">
        <v>10</v>
      </c>
      <c r="D8" s="6">
        <v>35.28</v>
      </c>
      <c r="E8" s="6">
        <v>-1</v>
      </c>
      <c r="F8" s="6">
        <v>-12</v>
      </c>
      <c r="G8" s="7">
        <v>21</v>
      </c>
      <c r="H8" s="7">
        <v>14.7</v>
      </c>
      <c r="I8" s="13">
        <v>0.29934027777777777</v>
      </c>
      <c r="J8" s="6" t="s">
        <v>25</v>
      </c>
      <c r="K8" s="6">
        <v>1</v>
      </c>
      <c r="L8" s="6">
        <v>100</v>
      </c>
      <c r="M8" s="1">
        <v>4047</v>
      </c>
      <c r="N8" s="6">
        <v>1</v>
      </c>
      <c r="O8" s="6">
        <v>100</v>
      </c>
      <c r="P8" s="1">
        <v>599</v>
      </c>
      <c r="W8" s="12"/>
      <c r="Z8" s="9"/>
      <c r="AF8" s="37"/>
      <c r="AI8" s="37"/>
      <c r="AJ8" s="37"/>
      <c r="AK8" s="37"/>
      <c r="AL8" s="37"/>
      <c r="AN8" s="37">
        <f>AH35</f>
        <v>1.5613173287686128</v>
      </c>
      <c r="AO8" s="37">
        <f>AI35</f>
        <v>-3.3939076456751676</v>
      </c>
      <c r="AP8" s="37">
        <f>AJ35</f>
        <v>6.2391583205288641E-2</v>
      </c>
    </row>
    <row r="9" spans="1:42" s="11" customFormat="1" ht="15" customHeight="1">
      <c r="A9" s="10" t="s">
        <v>37</v>
      </c>
      <c r="B9" s="6">
        <v>10</v>
      </c>
      <c r="C9" s="6">
        <v>10</v>
      </c>
      <c r="D9" s="6">
        <v>35.28</v>
      </c>
      <c r="E9" s="6">
        <v>-1</v>
      </c>
      <c r="F9" s="6">
        <v>-12</v>
      </c>
      <c r="G9" s="7">
        <v>21</v>
      </c>
      <c r="H9" s="7">
        <v>14.7</v>
      </c>
      <c r="I9" s="13">
        <v>0.29935185185185187</v>
      </c>
      <c r="J9" s="6" t="s">
        <v>25</v>
      </c>
      <c r="K9" s="6">
        <v>1</v>
      </c>
      <c r="L9" s="6">
        <v>100</v>
      </c>
      <c r="M9" s="1">
        <v>4104</v>
      </c>
      <c r="N9" s="6">
        <v>1</v>
      </c>
      <c r="O9" s="6">
        <v>100</v>
      </c>
      <c r="P9" s="1">
        <v>604</v>
      </c>
      <c r="W9" s="12"/>
      <c r="Z9" s="9"/>
      <c r="AF9" s="37"/>
      <c r="AI9" s="37"/>
      <c r="AJ9" s="37"/>
      <c r="AK9" s="37"/>
      <c r="AL9" s="37"/>
      <c r="AN9" s="37">
        <f>AH45</f>
        <v>2.2946462002043466</v>
      </c>
      <c r="AO9" s="37">
        <f>AI45</f>
        <v>-3.7141231937569619</v>
      </c>
      <c r="AP9" s="37">
        <f>AJ45</f>
        <v>5.8757711452570346E-2</v>
      </c>
    </row>
    <row r="10" spans="1:42" s="11" customFormat="1" ht="15" customHeight="1">
      <c r="A10" s="10" t="s">
        <v>37</v>
      </c>
      <c r="B10" s="6">
        <v>10</v>
      </c>
      <c r="C10" s="6">
        <v>10</v>
      </c>
      <c r="D10" s="6">
        <v>35.28</v>
      </c>
      <c r="E10" s="6">
        <v>-1</v>
      </c>
      <c r="F10" s="6">
        <v>-12</v>
      </c>
      <c r="G10" s="7">
        <v>21</v>
      </c>
      <c r="H10" s="7">
        <v>14.7</v>
      </c>
      <c r="I10" s="13">
        <v>0.29936342592592591</v>
      </c>
      <c r="J10" s="6" t="s">
        <v>25</v>
      </c>
      <c r="K10" s="6">
        <v>1</v>
      </c>
      <c r="L10" s="6">
        <v>100</v>
      </c>
      <c r="M10" s="1">
        <v>4214</v>
      </c>
      <c r="N10" s="6">
        <v>1</v>
      </c>
      <c r="O10" s="6">
        <v>100</v>
      </c>
      <c r="P10" s="1">
        <v>604</v>
      </c>
      <c r="W10" s="12"/>
      <c r="Z10" s="9"/>
      <c r="AF10" s="37"/>
      <c r="AI10" s="37"/>
      <c r="AJ10" s="37"/>
      <c r="AK10" s="37"/>
      <c r="AL10" s="37"/>
      <c r="AN10" s="37"/>
      <c r="AO10" s="37"/>
      <c r="AP10" s="37"/>
    </row>
    <row r="11" spans="1:42" s="11" customFormat="1" ht="15" customHeight="1">
      <c r="A11" s="10" t="s">
        <v>37</v>
      </c>
      <c r="B11" s="6">
        <v>10</v>
      </c>
      <c r="C11" s="6">
        <v>10</v>
      </c>
      <c r="D11" s="6">
        <v>35.28</v>
      </c>
      <c r="E11" s="6">
        <v>-1</v>
      </c>
      <c r="F11" s="6">
        <v>-12</v>
      </c>
      <c r="G11" s="7">
        <v>21</v>
      </c>
      <c r="H11" s="7">
        <v>14.7</v>
      </c>
      <c r="I11" s="13">
        <v>0.299375</v>
      </c>
      <c r="J11" s="6" t="s">
        <v>25</v>
      </c>
      <c r="K11" s="6">
        <v>1</v>
      </c>
      <c r="L11" s="6">
        <v>100</v>
      </c>
      <c r="M11" s="1">
        <v>4218</v>
      </c>
      <c r="N11" s="6">
        <v>1</v>
      </c>
      <c r="O11" s="6">
        <v>100</v>
      </c>
      <c r="P11" s="1">
        <v>605</v>
      </c>
      <c r="W11" s="12"/>
      <c r="Z11" s="9"/>
      <c r="AF11" s="37"/>
      <c r="AI11" s="37"/>
      <c r="AJ11" s="37"/>
      <c r="AK11" s="36"/>
      <c r="AL11" s="37"/>
      <c r="AN11" s="37"/>
      <c r="AO11" s="37"/>
      <c r="AP11" s="37"/>
    </row>
    <row r="12" spans="1:42" s="11" customFormat="1" ht="15" customHeight="1">
      <c r="A12" s="10" t="s">
        <v>37</v>
      </c>
      <c r="B12" s="6">
        <v>10</v>
      </c>
      <c r="C12" s="6">
        <v>10</v>
      </c>
      <c r="D12" s="6">
        <v>35.28</v>
      </c>
      <c r="E12" s="6">
        <v>-1</v>
      </c>
      <c r="F12" s="6">
        <v>-12</v>
      </c>
      <c r="G12" s="7">
        <v>21</v>
      </c>
      <c r="H12" s="7">
        <v>14.7</v>
      </c>
      <c r="I12" s="13">
        <v>0.29938657407407404</v>
      </c>
      <c r="J12" s="6" t="s">
        <v>25</v>
      </c>
      <c r="K12" s="6">
        <v>1</v>
      </c>
      <c r="L12" s="6">
        <v>100</v>
      </c>
      <c r="M12" s="1">
        <v>4225</v>
      </c>
      <c r="N12" s="6">
        <v>1</v>
      </c>
      <c r="O12" s="6">
        <v>100</v>
      </c>
      <c r="P12" s="1">
        <v>604</v>
      </c>
      <c r="W12" s="12"/>
      <c r="Z12" s="9"/>
      <c r="AF12" s="37"/>
      <c r="AI12" s="37"/>
      <c r="AJ12" s="37"/>
      <c r="AK12" s="37"/>
      <c r="AL12" s="37"/>
      <c r="AN12" s="37"/>
      <c r="AO12" s="37"/>
      <c r="AP12" s="37"/>
    </row>
    <row r="13" spans="1:42" s="11" customFormat="1" ht="15" customHeight="1">
      <c r="A13" s="10" t="s">
        <v>37</v>
      </c>
      <c r="B13" s="6">
        <v>10</v>
      </c>
      <c r="C13" s="6">
        <v>10</v>
      </c>
      <c r="D13" s="6">
        <v>35.28</v>
      </c>
      <c r="E13" s="6">
        <v>-1</v>
      </c>
      <c r="F13" s="6">
        <v>-12</v>
      </c>
      <c r="G13" s="7">
        <v>21</v>
      </c>
      <c r="H13" s="7">
        <v>14.7</v>
      </c>
      <c r="I13" s="13">
        <v>0.29939814814814814</v>
      </c>
      <c r="J13" s="6" t="s">
        <v>25</v>
      </c>
      <c r="K13" s="6">
        <v>1</v>
      </c>
      <c r="L13" s="6">
        <v>100</v>
      </c>
      <c r="M13" s="1">
        <v>4044</v>
      </c>
      <c r="N13" s="6">
        <v>1</v>
      </c>
      <c r="O13" s="6">
        <v>100</v>
      </c>
      <c r="P13" s="1">
        <v>604</v>
      </c>
      <c r="W13" s="12"/>
      <c r="Z13" s="9"/>
      <c r="AF13" s="37"/>
      <c r="AI13" s="37"/>
      <c r="AJ13" s="37"/>
      <c r="AK13" s="37"/>
      <c r="AL13" s="37"/>
      <c r="AN13" s="37"/>
      <c r="AO13" s="37"/>
      <c r="AP13" s="37"/>
    </row>
    <row r="14" spans="1:42" s="11" customFormat="1" ht="15" customHeight="1">
      <c r="A14" s="18" t="s">
        <v>37</v>
      </c>
      <c r="B14" s="19">
        <v>10</v>
      </c>
      <c r="C14" s="19">
        <v>10</v>
      </c>
      <c r="D14" s="19">
        <v>35.28</v>
      </c>
      <c r="E14" s="6">
        <v>-1</v>
      </c>
      <c r="F14" s="19">
        <v>-12</v>
      </c>
      <c r="G14" s="20">
        <v>21</v>
      </c>
      <c r="H14" s="20">
        <v>14.7</v>
      </c>
      <c r="I14" s="21">
        <v>0.29940972222222223</v>
      </c>
      <c r="J14" s="19" t="s">
        <v>25</v>
      </c>
      <c r="K14" s="19">
        <v>1</v>
      </c>
      <c r="L14" s="19">
        <v>100</v>
      </c>
      <c r="M14" s="22">
        <v>4017</v>
      </c>
      <c r="N14" s="19">
        <v>1</v>
      </c>
      <c r="O14" s="19">
        <v>100</v>
      </c>
      <c r="P14" s="22">
        <v>608</v>
      </c>
      <c r="Q14" s="23"/>
      <c r="R14" s="23"/>
      <c r="S14" s="23"/>
      <c r="T14" s="23"/>
      <c r="U14" s="23"/>
      <c r="V14" s="23"/>
      <c r="W14" s="24"/>
      <c r="X14" s="23"/>
      <c r="Y14" s="23"/>
      <c r="Z14" s="26"/>
      <c r="AA14" s="23"/>
      <c r="AB14" s="23"/>
      <c r="AC14" s="23"/>
      <c r="AD14" s="23"/>
      <c r="AE14" s="23"/>
      <c r="AF14" s="38"/>
      <c r="AG14" s="23"/>
      <c r="AH14" s="23"/>
      <c r="AI14" s="38"/>
      <c r="AJ14" s="38"/>
      <c r="AK14" s="38"/>
      <c r="AL14" s="38"/>
      <c r="AM14" s="23"/>
      <c r="AN14" s="37"/>
      <c r="AO14" s="37"/>
      <c r="AP14" s="37"/>
    </row>
    <row r="15" spans="1:42" s="11" customFormat="1" ht="15" customHeight="1">
      <c r="A15" s="12" t="s">
        <v>38</v>
      </c>
      <c r="B15" s="12">
        <v>8</v>
      </c>
      <c r="C15" s="12">
        <v>25</v>
      </c>
      <c r="D15" s="12">
        <v>39.630000000000003</v>
      </c>
      <c r="E15" s="12"/>
      <c r="F15" s="12">
        <v>-3</v>
      </c>
      <c r="G15" s="12">
        <v>54</v>
      </c>
      <c r="H15" s="12">
        <v>23.1</v>
      </c>
      <c r="I15" s="13">
        <v>0.30555555555555552</v>
      </c>
      <c r="J15" s="6" t="s">
        <v>25</v>
      </c>
      <c r="K15" s="6">
        <v>1</v>
      </c>
      <c r="L15" s="6">
        <v>100</v>
      </c>
      <c r="M15" s="1">
        <v>3628</v>
      </c>
      <c r="N15" s="6">
        <v>1</v>
      </c>
      <c r="O15" s="6">
        <v>100</v>
      </c>
      <c r="P15" s="1">
        <v>569</v>
      </c>
      <c r="Q15" s="11" t="s">
        <v>40</v>
      </c>
      <c r="R15" s="12" t="s">
        <v>39</v>
      </c>
      <c r="S15" s="11">
        <v>7.3347220000000002</v>
      </c>
      <c r="T15" s="9">
        <f>$S$1+1.0027379093*S15-$S$3</f>
        <v>7.5174551461693078</v>
      </c>
      <c r="U15" s="9">
        <f>T15-(B15+C15/60+D15/3600)</f>
        <v>-0.91021985383069115</v>
      </c>
      <c r="V15" s="9">
        <f>1/(SIN(-1*$U$1*((ABS(F15)+G15/60+H15/3600)))*SIN($U$1*$S$2)+COS($U$1*((ABS(F15)+G15/60+H15/3600)))*COS($U$1*$S$2)*COS($U$1*U15*15))</f>
        <v>1.1388812072769905</v>
      </c>
      <c r="W15" s="12" t="str">
        <f>J15</f>
        <v>V</v>
      </c>
      <c r="X15" s="9">
        <f>AVERAGE(M15:M24)/K15/L15</f>
        <v>36.631999999999998</v>
      </c>
      <c r="Y15" s="9">
        <f>STDEV(M15:M24)/K15/L15</f>
        <v>0.55713154241665008</v>
      </c>
      <c r="Z15" s="9">
        <f>AVERAGE(P15:P24)/N15/O15</f>
        <v>5.7389999999999999</v>
      </c>
      <c r="AA15" s="9">
        <f>STDEV(P15:P24)/N15/N24</f>
        <v>3.9846929339382946</v>
      </c>
      <c r="AB15" s="9">
        <f>X15-Z15</f>
        <v>30.892999999999997</v>
      </c>
      <c r="AC15" s="9">
        <f>(Y15^2+AA15^2)^0.5</f>
        <v>4.0234529117827798</v>
      </c>
      <c r="AD15" s="9">
        <f>-2.5*LOG10(AB15)</f>
        <v>-3.7246502110403346</v>
      </c>
      <c r="AE15" s="9">
        <f>0.43429448*AC15/AB15</f>
        <v>5.6561790377340763E-2</v>
      </c>
      <c r="AF15" s="37">
        <v>3.9</v>
      </c>
      <c r="AG15" s="36">
        <f>$AF$5-AF15</f>
        <v>-0.29000000000000004</v>
      </c>
      <c r="AH15" s="9">
        <f>V15</f>
        <v>1.1388812072769905</v>
      </c>
      <c r="AI15" s="43">
        <f>AD15+AG15</f>
        <v>-4.014650211040335</v>
      </c>
      <c r="AJ15" s="36">
        <f>AE15</f>
        <v>5.6561790377340763E-2</v>
      </c>
      <c r="AK15" s="36">
        <f>AF15-AD15+AH15*$AT$22</f>
        <v>7.9283898290211079</v>
      </c>
      <c r="AL15" s="37"/>
      <c r="AN15" s="37"/>
      <c r="AO15" s="37"/>
      <c r="AP15" s="37"/>
    </row>
    <row r="16" spans="1:42" s="11" customFormat="1" ht="15" customHeight="1">
      <c r="A16" s="12" t="s">
        <v>39</v>
      </c>
      <c r="B16" s="12">
        <v>8</v>
      </c>
      <c r="C16" s="12">
        <v>25</v>
      </c>
      <c r="D16" s="12">
        <v>39.630000000000003</v>
      </c>
      <c r="E16" s="12"/>
      <c r="F16" s="12">
        <v>-3</v>
      </c>
      <c r="G16" s="12">
        <v>54</v>
      </c>
      <c r="H16" s="12">
        <v>23.1</v>
      </c>
      <c r="I16" s="13">
        <v>0.30556712962962962</v>
      </c>
      <c r="J16" s="6" t="s">
        <v>25</v>
      </c>
      <c r="K16" s="6">
        <v>1</v>
      </c>
      <c r="L16" s="6">
        <v>100</v>
      </c>
      <c r="M16" s="1">
        <v>3677</v>
      </c>
      <c r="N16" s="6">
        <v>1</v>
      </c>
      <c r="O16" s="6">
        <v>100</v>
      </c>
      <c r="P16" s="1">
        <v>578</v>
      </c>
      <c r="W16" s="12"/>
      <c r="AF16" s="37"/>
      <c r="AI16" s="37"/>
      <c r="AJ16" s="37"/>
      <c r="AK16" s="37"/>
      <c r="AL16" s="37"/>
      <c r="AN16" s="37"/>
      <c r="AO16" s="37"/>
      <c r="AP16" s="37"/>
    </row>
    <row r="17" spans="1:48" s="11" customFormat="1" ht="15" customHeight="1">
      <c r="A17" s="12" t="s">
        <v>39</v>
      </c>
      <c r="B17" s="12">
        <v>8</v>
      </c>
      <c r="C17" s="12">
        <v>25</v>
      </c>
      <c r="D17" s="12">
        <v>39.630000000000003</v>
      </c>
      <c r="E17" s="12"/>
      <c r="F17" s="12">
        <v>-3</v>
      </c>
      <c r="G17" s="12">
        <v>54</v>
      </c>
      <c r="H17" s="12">
        <v>23.1</v>
      </c>
      <c r="I17" s="13">
        <v>0.30557870370370371</v>
      </c>
      <c r="J17" s="6" t="s">
        <v>25</v>
      </c>
      <c r="K17" s="6">
        <v>1</v>
      </c>
      <c r="L17" s="6">
        <v>100</v>
      </c>
      <c r="M17" s="1">
        <v>3555</v>
      </c>
      <c r="N17" s="6">
        <v>1</v>
      </c>
      <c r="O17" s="6">
        <v>100</v>
      </c>
      <c r="P17" s="1">
        <v>576</v>
      </c>
      <c r="W17" s="12"/>
      <c r="AF17" s="37"/>
      <c r="AI17" s="37"/>
      <c r="AJ17" s="37"/>
      <c r="AK17" s="37"/>
      <c r="AL17" s="37"/>
      <c r="AN17" s="37"/>
      <c r="AO17" s="37"/>
      <c r="AP17" s="37"/>
    </row>
    <row r="18" spans="1:48" s="11" customFormat="1" ht="15" customHeight="1">
      <c r="A18" s="12" t="s">
        <v>39</v>
      </c>
      <c r="B18" s="12">
        <v>8</v>
      </c>
      <c r="C18" s="12">
        <v>25</v>
      </c>
      <c r="D18" s="12">
        <v>39.630000000000003</v>
      </c>
      <c r="E18" s="12"/>
      <c r="F18" s="12">
        <v>-3</v>
      </c>
      <c r="G18" s="12">
        <v>54</v>
      </c>
      <c r="H18" s="12">
        <v>23.1</v>
      </c>
      <c r="I18" s="13">
        <v>0.30559027777777775</v>
      </c>
      <c r="J18" s="6" t="s">
        <v>25</v>
      </c>
      <c r="K18" s="6">
        <v>1</v>
      </c>
      <c r="L18" s="6">
        <v>100</v>
      </c>
      <c r="M18" s="1">
        <v>3666</v>
      </c>
      <c r="N18" s="6">
        <v>1</v>
      </c>
      <c r="O18" s="6">
        <v>100</v>
      </c>
      <c r="P18" s="1">
        <v>571</v>
      </c>
      <c r="W18" s="12"/>
      <c r="AF18" s="37"/>
      <c r="AI18" s="37"/>
      <c r="AJ18" s="37"/>
      <c r="AK18" s="37"/>
      <c r="AL18" s="37"/>
      <c r="AN18" s="37"/>
      <c r="AO18" s="37"/>
      <c r="AP18" s="37"/>
    </row>
    <row r="19" spans="1:48" s="11" customFormat="1" ht="15" customHeight="1">
      <c r="A19" s="12" t="s">
        <v>39</v>
      </c>
      <c r="B19" s="12">
        <v>8</v>
      </c>
      <c r="C19" s="12">
        <v>25</v>
      </c>
      <c r="D19" s="12">
        <v>39.630000000000003</v>
      </c>
      <c r="E19" s="12"/>
      <c r="F19" s="12">
        <v>-3</v>
      </c>
      <c r="G19" s="12">
        <v>54</v>
      </c>
      <c r="H19" s="12">
        <v>23.1</v>
      </c>
      <c r="I19" s="13">
        <v>0.30560185185185185</v>
      </c>
      <c r="J19" s="6" t="s">
        <v>25</v>
      </c>
      <c r="K19" s="6">
        <v>1</v>
      </c>
      <c r="L19" s="6">
        <v>100</v>
      </c>
      <c r="M19" s="1">
        <v>3756</v>
      </c>
      <c r="N19" s="6">
        <v>1</v>
      </c>
      <c r="O19" s="6">
        <v>100</v>
      </c>
      <c r="P19" s="1">
        <v>570</v>
      </c>
      <c r="W19" s="12"/>
      <c r="AF19" s="37"/>
      <c r="AI19" s="37"/>
      <c r="AJ19" s="37"/>
      <c r="AK19" s="37"/>
      <c r="AL19" s="37"/>
      <c r="AN19" s="37"/>
      <c r="AO19" s="37"/>
      <c r="AP19" s="37"/>
    </row>
    <row r="20" spans="1:48" s="11" customFormat="1" ht="15" customHeight="1">
      <c r="A20" s="12" t="s">
        <v>39</v>
      </c>
      <c r="B20" s="12">
        <v>8</v>
      </c>
      <c r="C20" s="12">
        <v>25</v>
      </c>
      <c r="D20" s="12">
        <v>39.630000000000003</v>
      </c>
      <c r="E20" s="12"/>
      <c r="F20" s="12">
        <v>-3</v>
      </c>
      <c r="G20" s="12">
        <v>54</v>
      </c>
      <c r="H20" s="12">
        <v>23.1</v>
      </c>
      <c r="I20" s="13">
        <v>0.30561342592592594</v>
      </c>
      <c r="J20" s="6" t="s">
        <v>25</v>
      </c>
      <c r="K20" s="6">
        <v>1</v>
      </c>
      <c r="L20" s="6">
        <v>100</v>
      </c>
      <c r="M20" s="1">
        <v>3687</v>
      </c>
      <c r="N20" s="6">
        <v>1</v>
      </c>
      <c r="O20" s="6">
        <v>100</v>
      </c>
      <c r="P20" s="1">
        <v>572</v>
      </c>
      <c r="W20" s="12"/>
      <c r="AF20" s="37"/>
      <c r="AI20" s="37"/>
      <c r="AJ20" s="37"/>
      <c r="AK20" s="37"/>
      <c r="AL20" s="37"/>
      <c r="AN20" s="37"/>
      <c r="AO20" s="37"/>
      <c r="AP20" s="37"/>
    </row>
    <row r="21" spans="1:48" s="11" customFormat="1" ht="15" customHeight="1">
      <c r="A21" s="12" t="s">
        <v>39</v>
      </c>
      <c r="B21" s="12">
        <v>8</v>
      </c>
      <c r="C21" s="12">
        <v>25</v>
      </c>
      <c r="D21" s="12">
        <v>39.630000000000003</v>
      </c>
      <c r="E21" s="12"/>
      <c r="F21" s="12">
        <v>-3</v>
      </c>
      <c r="G21" s="12">
        <v>54</v>
      </c>
      <c r="H21" s="12">
        <v>23.1</v>
      </c>
      <c r="I21" s="13">
        <v>0.30562499999999998</v>
      </c>
      <c r="J21" s="6" t="s">
        <v>25</v>
      </c>
      <c r="K21" s="6">
        <v>1</v>
      </c>
      <c r="L21" s="6">
        <v>100</v>
      </c>
      <c r="M21" s="1">
        <v>3609</v>
      </c>
      <c r="N21" s="6">
        <v>1</v>
      </c>
      <c r="O21" s="6">
        <v>100</v>
      </c>
      <c r="P21" s="1">
        <v>579</v>
      </c>
      <c r="W21" s="12"/>
      <c r="AF21" s="37"/>
      <c r="AI21" s="37"/>
      <c r="AJ21" s="37"/>
      <c r="AK21" s="37"/>
      <c r="AL21" s="37"/>
      <c r="AN21" s="37"/>
      <c r="AO21" s="37"/>
      <c r="AP21" s="37"/>
    </row>
    <row r="22" spans="1:48" s="11" customFormat="1" ht="15" customHeight="1">
      <c r="A22" s="12" t="s">
        <v>39</v>
      </c>
      <c r="B22" s="12">
        <v>8</v>
      </c>
      <c r="C22" s="12">
        <v>25</v>
      </c>
      <c r="D22" s="12">
        <v>39.630000000000003</v>
      </c>
      <c r="E22" s="12"/>
      <c r="F22" s="12">
        <v>-3</v>
      </c>
      <c r="G22" s="12">
        <v>54</v>
      </c>
      <c r="H22" s="12">
        <v>23.1</v>
      </c>
      <c r="I22" s="13">
        <v>0.30563657407407407</v>
      </c>
      <c r="J22" s="6" t="s">
        <v>25</v>
      </c>
      <c r="K22" s="6">
        <v>1</v>
      </c>
      <c r="L22" s="6">
        <v>100</v>
      </c>
      <c r="M22" s="1">
        <v>3657</v>
      </c>
      <c r="N22" s="6">
        <v>1</v>
      </c>
      <c r="O22" s="6">
        <v>100</v>
      </c>
      <c r="P22" s="1">
        <v>580</v>
      </c>
      <c r="W22" s="12"/>
      <c r="AF22" s="37"/>
      <c r="AI22" s="37"/>
      <c r="AJ22" s="37"/>
      <c r="AK22" s="37"/>
      <c r="AL22" s="37"/>
      <c r="AN22" s="37"/>
      <c r="AO22" s="37"/>
      <c r="AP22" s="37"/>
      <c r="AT22" s="11">
        <v>0.26669999999999999</v>
      </c>
      <c r="AU22" s="11">
        <v>5.7000000000000002E-2</v>
      </c>
    </row>
    <row r="23" spans="1:48" s="11" customFormat="1" ht="15" customHeight="1">
      <c r="A23" s="12" t="s">
        <v>39</v>
      </c>
      <c r="B23" s="12">
        <v>8</v>
      </c>
      <c r="C23" s="12">
        <v>25</v>
      </c>
      <c r="D23" s="12">
        <v>39.630000000000003</v>
      </c>
      <c r="E23" s="12"/>
      <c r="F23" s="12">
        <v>-3</v>
      </c>
      <c r="G23" s="12">
        <v>54</v>
      </c>
      <c r="H23" s="12">
        <v>23.1</v>
      </c>
      <c r="I23" s="13">
        <v>0.30564814814814817</v>
      </c>
      <c r="J23" s="6" t="s">
        <v>25</v>
      </c>
      <c r="K23" s="6">
        <v>1</v>
      </c>
      <c r="L23" s="6">
        <v>100</v>
      </c>
      <c r="M23" s="1">
        <v>3690</v>
      </c>
      <c r="N23" s="6">
        <v>1</v>
      </c>
      <c r="O23" s="6">
        <v>100</v>
      </c>
      <c r="P23" s="1">
        <v>572</v>
      </c>
      <c r="W23" s="12"/>
      <c r="AF23" s="37"/>
      <c r="AI23" s="37"/>
      <c r="AJ23" s="37"/>
      <c r="AK23" s="37"/>
      <c r="AL23" s="37"/>
      <c r="AN23" s="37"/>
      <c r="AO23" s="37"/>
      <c r="AP23" s="37"/>
      <c r="AQ23" s="11" t="s">
        <v>57</v>
      </c>
      <c r="AT23" s="11" t="s">
        <v>58</v>
      </c>
      <c r="AU23" s="11" t="s">
        <v>59</v>
      </c>
      <c r="AV23" s="11" t="s">
        <v>60</v>
      </c>
    </row>
    <row r="24" spans="1:48" s="11" customFormat="1" ht="15" customHeight="1">
      <c r="A24" s="24" t="s">
        <v>39</v>
      </c>
      <c r="B24" s="24">
        <v>8</v>
      </c>
      <c r="C24" s="24">
        <v>25</v>
      </c>
      <c r="D24" s="24">
        <v>39.630000000000003</v>
      </c>
      <c r="E24" s="24"/>
      <c r="F24" s="24">
        <v>-3</v>
      </c>
      <c r="G24" s="24">
        <v>54</v>
      </c>
      <c r="H24" s="24">
        <v>23.1</v>
      </c>
      <c r="I24" s="21">
        <v>0.30565972222222221</v>
      </c>
      <c r="J24" s="19" t="s">
        <v>25</v>
      </c>
      <c r="K24" s="19">
        <v>1</v>
      </c>
      <c r="L24" s="19">
        <v>100</v>
      </c>
      <c r="M24" s="22">
        <v>3707</v>
      </c>
      <c r="N24" s="19">
        <v>1</v>
      </c>
      <c r="O24" s="19">
        <v>100</v>
      </c>
      <c r="P24" s="22">
        <v>572</v>
      </c>
      <c r="Q24" s="23"/>
      <c r="R24" s="23"/>
      <c r="S24" s="23"/>
      <c r="T24" s="23"/>
      <c r="U24" s="23"/>
      <c r="V24" s="23"/>
      <c r="W24" s="24"/>
      <c r="X24" s="23"/>
      <c r="Y24" s="23"/>
      <c r="Z24" s="23"/>
      <c r="AA24" s="23"/>
      <c r="AB24" s="23"/>
      <c r="AC24" s="23"/>
      <c r="AD24" s="23"/>
      <c r="AE24" s="23"/>
      <c r="AF24" s="38"/>
      <c r="AG24" s="23"/>
      <c r="AH24" s="23"/>
      <c r="AI24" s="38"/>
      <c r="AJ24" s="38"/>
      <c r="AK24" s="38"/>
      <c r="AL24" s="38"/>
      <c r="AM24" s="23"/>
      <c r="AN24" s="37"/>
      <c r="AO24" s="37"/>
      <c r="AP24" s="37"/>
    </row>
    <row r="25" spans="1:48" s="9" customFormat="1" ht="15" customHeight="1">
      <c r="A25" s="10" t="s">
        <v>31</v>
      </c>
      <c r="B25" s="6">
        <v>7</v>
      </c>
      <c r="C25" s="6">
        <v>27</v>
      </c>
      <c r="D25" s="6">
        <v>9.0399999999999991</v>
      </c>
      <c r="E25" s="6"/>
      <c r="F25" s="6">
        <v>8</v>
      </c>
      <c r="G25" s="7">
        <v>17</v>
      </c>
      <c r="H25" s="7">
        <v>21.5</v>
      </c>
      <c r="I25" s="8">
        <v>0.31874999999999998</v>
      </c>
      <c r="J25" s="6" t="s">
        <v>25</v>
      </c>
      <c r="K25" s="6">
        <v>1</v>
      </c>
      <c r="L25" s="6">
        <v>100</v>
      </c>
      <c r="M25" s="6">
        <v>8858</v>
      </c>
      <c r="N25" s="6">
        <v>1</v>
      </c>
      <c r="O25" s="6">
        <v>100</v>
      </c>
      <c r="P25" s="6">
        <v>576</v>
      </c>
      <c r="Q25" s="9" t="s">
        <v>28</v>
      </c>
      <c r="R25" s="10" t="s">
        <v>27</v>
      </c>
      <c r="S25" s="9">
        <v>7.6513879999999999</v>
      </c>
      <c r="T25" s="9">
        <f>$S$1+1.0027379093*S25-$S$3</f>
        <v>7.8349881489557021</v>
      </c>
      <c r="U25" s="9">
        <f>T25-(B25+C25/60+D25/3600)</f>
        <v>0.38247703784459119</v>
      </c>
      <c r="V25" s="9">
        <f>1/(SIN($U$1*((ABS(F25)+G25/60+H25/3600)))*SIN($U$1*$S$2)+COS($U$1*((ABS(F25)+G25/60+H25/3600)))*COS($U$1*$S$2)*COS($U$1*U25*15))</f>
        <v>1.0314982846613709</v>
      </c>
      <c r="W25" s="6" t="str">
        <f>J25</f>
        <v>V</v>
      </c>
      <c r="X25" s="9">
        <f>AVERAGE(M25:M34)/K25/L25</f>
        <v>86.32</v>
      </c>
      <c r="Y25" s="9">
        <f>STDEV(M25:M34)/K25/L25</f>
        <v>1.0939632331827043</v>
      </c>
      <c r="Z25" s="9">
        <f>AVERAGE(P25:P34)/N25/O25</f>
        <v>5.7360000000000007</v>
      </c>
      <c r="AA25" s="9">
        <f>STDEV(P25:P34)/N25/N34</f>
        <v>2.7968235951204043</v>
      </c>
      <c r="AB25" s="9">
        <f>X25-Z25</f>
        <v>80.583999999999989</v>
      </c>
      <c r="AC25" s="9">
        <f>(Y25^2+AA25^2)^0.5</f>
        <v>3.0031612973294957</v>
      </c>
      <c r="AD25" s="9">
        <f>-2.5*LOG10(AB25)</f>
        <v>-4.7656220523570134</v>
      </c>
      <c r="AE25" s="9">
        <f>0.43429448*AC25/AB25</f>
        <v>1.6185053782138376E-2</v>
      </c>
      <c r="AF25" s="36">
        <v>2.8860000000000001</v>
      </c>
      <c r="AG25" s="36">
        <f>$AF$5-AF25</f>
        <v>0.72399999999999975</v>
      </c>
      <c r="AH25" s="9">
        <f>V25</f>
        <v>1.0314982846613709</v>
      </c>
      <c r="AI25" s="43">
        <f>AD25+AG25</f>
        <v>-4.0416220523570132</v>
      </c>
      <c r="AJ25" s="36">
        <f>AE25</f>
        <v>1.6185053782138376E-2</v>
      </c>
      <c r="AK25" s="36">
        <f>AF25-AD25+AH25*$AT$22</f>
        <v>7.9267226448762012</v>
      </c>
      <c r="AL25" s="36"/>
      <c r="AN25" s="36"/>
      <c r="AO25" s="36"/>
      <c r="AP25" s="36"/>
    </row>
    <row r="26" spans="1:48" s="9" customFormat="1" ht="15" customHeight="1">
      <c r="A26" s="10" t="s">
        <v>27</v>
      </c>
      <c r="B26" s="6">
        <v>7</v>
      </c>
      <c r="C26" s="6">
        <v>27</v>
      </c>
      <c r="D26" s="6">
        <v>9.0399999999999991</v>
      </c>
      <c r="E26" s="6"/>
      <c r="F26" s="6">
        <v>8</v>
      </c>
      <c r="G26" s="7">
        <v>17</v>
      </c>
      <c r="H26" s="7">
        <v>21.5</v>
      </c>
      <c r="I26" s="8">
        <v>0.31876157407407407</v>
      </c>
      <c r="J26" s="6" t="s">
        <v>25</v>
      </c>
      <c r="K26" s="6">
        <v>1</v>
      </c>
      <c r="L26" s="6">
        <v>100</v>
      </c>
      <c r="M26" s="6">
        <v>8781</v>
      </c>
      <c r="N26" s="6">
        <v>1</v>
      </c>
      <c r="O26" s="6">
        <v>100</v>
      </c>
      <c r="P26" s="1">
        <v>577</v>
      </c>
      <c r="R26" s="10"/>
      <c r="W26" s="6"/>
      <c r="AF26" s="36"/>
      <c r="AI26" s="36"/>
      <c r="AJ26" s="36"/>
      <c r="AK26" s="36"/>
      <c r="AL26" s="36"/>
      <c r="AN26" s="36"/>
      <c r="AO26" s="36"/>
      <c r="AP26" s="36"/>
    </row>
    <row r="27" spans="1:48" s="9" customFormat="1" ht="15" customHeight="1">
      <c r="A27" s="10" t="s">
        <v>27</v>
      </c>
      <c r="B27" s="6">
        <v>7</v>
      </c>
      <c r="C27" s="6">
        <v>27</v>
      </c>
      <c r="D27" s="6">
        <v>9.0399999999999991</v>
      </c>
      <c r="E27" s="6"/>
      <c r="F27" s="6">
        <v>8</v>
      </c>
      <c r="G27" s="7">
        <v>17</v>
      </c>
      <c r="H27" s="7">
        <v>21.5</v>
      </c>
      <c r="I27" s="8">
        <v>0.31877314814814817</v>
      </c>
      <c r="J27" s="6" t="s">
        <v>25</v>
      </c>
      <c r="K27" s="6">
        <v>1</v>
      </c>
      <c r="L27" s="6">
        <v>100</v>
      </c>
      <c r="M27" s="6">
        <v>8641</v>
      </c>
      <c r="N27" s="6">
        <v>1</v>
      </c>
      <c r="O27" s="6">
        <v>100</v>
      </c>
      <c r="P27" s="1">
        <v>572</v>
      </c>
      <c r="W27" s="6"/>
      <c r="AF27" s="36"/>
      <c r="AI27" s="36"/>
      <c r="AJ27" s="36"/>
      <c r="AK27" s="36"/>
      <c r="AL27" s="36"/>
      <c r="AN27" s="36"/>
      <c r="AO27" s="36"/>
      <c r="AP27" s="36"/>
    </row>
    <row r="28" spans="1:48" s="9" customFormat="1" ht="15" customHeight="1">
      <c r="A28" s="10" t="s">
        <v>27</v>
      </c>
      <c r="B28" s="6">
        <v>7</v>
      </c>
      <c r="C28" s="6">
        <v>27</v>
      </c>
      <c r="D28" s="6">
        <v>9.0399999999999991</v>
      </c>
      <c r="E28" s="6"/>
      <c r="F28" s="6">
        <v>8</v>
      </c>
      <c r="G28" s="7">
        <v>17</v>
      </c>
      <c r="H28" s="7">
        <v>21.5</v>
      </c>
      <c r="I28" s="8">
        <v>0.31878472222222221</v>
      </c>
      <c r="J28" s="6" t="s">
        <v>25</v>
      </c>
      <c r="K28" s="6">
        <v>1</v>
      </c>
      <c r="L28" s="6">
        <v>100</v>
      </c>
      <c r="M28" s="6">
        <v>8482</v>
      </c>
      <c r="N28" s="6">
        <v>1</v>
      </c>
      <c r="O28" s="6">
        <v>100</v>
      </c>
      <c r="P28" s="1">
        <v>570</v>
      </c>
      <c r="R28" s="10"/>
      <c r="W28" s="6"/>
      <c r="AF28" s="36"/>
      <c r="AI28" s="36"/>
      <c r="AJ28" s="36"/>
      <c r="AK28" s="36"/>
      <c r="AL28" s="36"/>
      <c r="AN28" s="36"/>
      <c r="AO28" s="36"/>
      <c r="AP28" s="36"/>
    </row>
    <row r="29" spans="1:48" s="9" customFormat="1" ht="15" customHeight="1">
      <c r="A29" s="10" t="s">
        <v>27</v>
      </c>
      <c r="B29" s="6">
        <v>7</v>
      </c>
      <c r="C29" s="6">
        <v>27</v>
      </c>
      <c r="D29" s="6">
        <v>9.0399999999999991</v>
      </c>
      <c r="E29" s="6"/>
      <c r="F29" s="6">
        <v>8</v>
      </c>
      <c r="G29" s="7">
        <v>17</v>
      </c>
      <c r="H29" s="7">
        <v>21.5</v>
      </c>
      <c r="I29" s="8">
        <v>0.3187962962962963</v>
      </c>
      <c r="J29" s="6" t="s">
        <v>25</v>
      </c>
      <c r="K29" s="6">
        <v>1</v>
      </c>
      <c r="L29" s="6">
        <v>100</v>
      </c>
      <c r="M29" s="6">
        <v>8587</v>
      </c>
      <c r="N29" s="6">
        <v>1</v>
      </c>
      <c r="O29" s="6">
        <v>100</v>
      </c>
      <c r="P29" s="1">
        <v>574</v>
      </c>
      <c r="R29" s="10"/>
      <c r="W29" s="6"/>
      <c r="AF29" s="36"/>
      <c r="AI29" s="36"/>
      <c r="AJ29" s="36"/>
      <c r="AK29" s="36"/>
      <c r="AL29" s="36"/>
      <c r="AN29" s="36"/>
      <c r="AO29" s="36"/>
      <c r="AP29" s="36"/>
    </row>
    <row r="30" spans="1:48" s="9" customFormat="1" ht="15" customHeight="1">
      <c r="A30" s="10" t="s">
        <v>27</v>
      </c>
      <c r="B30" s="6">
        <v>7</v>
      </c>
      <c r="C30" s="6">
        <v>27</v>
      </c>
      <c r="D30" s="6">
        <v>9.0399999999999991</v>
      </c>
      <c r="E30" s="6"/>
      <c r="F30" s="6">
        <v>8</v>
      </c>
      <c r="G30" s="7">
        <v>17</v>
      </c>
      <c r="H30" s="7">
        <v>21.5</v>
      </c>
      <c r="I30" s="8">
        <v>0.31880787037037034</v>
      </c>
      <c r="J30" s="6" t="s">
        <v>25</v>
      </c>
      <c r="K30" s="6">
        <v>1</v>
      </c>
      <c r="L30" s="6">
        <v>100</v>
      </c>
      <c r="M30" s="6">
        <v>8602</v>
      </c>
      <c r="N30" s="6">
        <v>1</v>
      </c>
      <c r="O30" s="6">
        <v>100</v>
      </c>
      <c r="P30" s="1">
        <v>575</v>
      </c>
      <c r="R30" s="10"/>
      <c r="W30" s="6"/>
      <c r="AF30" s="36"/>
      <c r="AI30" s="36"/>
      <c r="AJ30" s="36"/>
      <c r="AK30" s="36"/>
      <c r="AL30" s="36"/>
      <c r="AN30" s="36"/>
      <c r="AO30" s="36"/>
      <c r="AP30" s="36"/>
    </row>
    <row r="31" spans="1:48" s="9" customFormat="1" ht="15" customHeight="1">
      <c r="A31" s="10" t="s">
        <v>27</v>
      </c>
      <c r="B31" s="6">
        <v>7</v>
      </c>
      <c r="C31" s="6">
        <v>27</v>
      </c>
      <c r="D31" s="6">
        <v>9.0399999999999991</v>
      </c>
      <c r="E31" s="6"/>
      <c r="F31" s="6">
        <v>8</v>
      </c>
      <c r="G31" s="7">
        <v>17</v>
      </c>
      <c r="H31" s="7">
        <v>21.5</v>
      </c>
      <c r="I31" s="8">
        <v>0.31881944444444443</v>
      </c>
      <c r="J31" s="6" t="s">
        <v>25</v>
      </c>
      <c r="K31" s="6">
        <v>1</v>
      </c>
      <c r="L31" s="6">
        <v>100</v>
      </c>
      <c r="M31" s="6">
        <v>8590</v>
      </c>
      <c r="N31" s="6">
        <v>1</v>
      </c>
      <c r="O31" s="6">
        <v>100</v>
      </c>
      <c r="P31" s="1">
        <v>578</v>
      </c>
      <c r="R31" s="10"/>
      <c r="W31" s="6"/>
      <c r="AF31" s="36"/>
      <c r="AI31" s="36"/>
      <c r="AJ31" s="36"/>
      <c r="AK31" s="36"/>
      <c r="AL31" s="36"/>
      <c r="AN31" s="36"/>
      <c r="AO31" s="36"/>
      <c r="AP31" s="36"/>
    </row>
    <row r="32" spans="1:48" s="9" customFormat="1" ht="15" customHeight="1">
      <c r="A32" s="10" t="s">
        <v>27</v>
      </c>
      <c r="B32" s="6">
        <v>7</v>
      </c>
      <c r="C32" s="6">
        <v>27</v>
      </c>
      <c r="D32" s="6">
        <v>9.0399999999999991</v>
      </c>
      <c r="E32" s="6"/>
      <c r="F32" s="6">
        <v>8</v>
      </c>
      <c r="G32" s="7">
        <v>17</v>
      </c>
      <c r="H32" s="7">
        <v>21.5</v>
      </c>
      <c r="I32" s="8">
        <v>0.31883101851851853</v>
      </c>
      <c r="J32" s="6" t="s">
        <v>25</v>
      </c>
      <c r="K32" s="6">
        <v>1</v>
      </c>
      <c r="L32" s="6">
        <v>100</v>
      </c>
      <c r="M32" s="6">
        <v>8558</v>
      </c>
      <c r="N32" s="6">
        <v>1</v>
      </c>
      <c r="O32" s="6">
        <v>100</v>
      </c>
      <c r="P32" s="1">
        <v>571</v>
      </c>
      <c r="R32" s="10"/>
      <c r="W32" s="6"/>
      <c r="AF32" s="36"/>
      <c r="AI32" s="36"/>
      <c r="AJ32" s="36"/>
      <c r="AK32" s="36"/>
      <c r="AL32" s="36"/>
      <c r="AN32" s="36"/>
      <c r="AO32" s="36"/>
      <c r="AP32" s="36"/>
    </row>
    <row r="33" spans="1:42" s="9" customFormat="1" ht="15" customHeight="1">
      <c r="A33" s="10" t="s">
        <v>27</v>
      </c>
      <c r="B33" s="6">
        <v>7</v>
      </c>
      <c r="C33" s="6">
        <v>27</v>
      </c>
      <c r="D33" s="6">
        <v>9.0399999999999991</v>
      </c>
      <c r="E33" s="6"/>
      <c r="F33" s="6">
        <v>8</v>
      </c>
      <c r="G33" s="7">
        <v>17</v>
      </c>
      <c r="H33" s="7">
        <v>21.5</v>
      </c>
      <c r="I33" s="8">
        <v>0.31884259259259257</v>
      </c>
      <c r="J33" s="6" t="s">
        <v>25</v>
      </c>
      <c r="K33" s="6">
        <v>1</v>
      </c>
      <c r="L33" s="6">
        <v>100</v>
      </c>
      <c r="M33" s="6">
        <v>8591</v>
      </c>
      <c r="N33" s="6">
        <v>1</v>
      </c>
      <c r="O33" s="6">
        <v>100</v>
      </c>
      <c r="P33" s="1">
        <v>572</v>
      </c>
      <c r="R33" s="10"/>
      <c r="W33" s="6"/>
      <c r="AF33" s="36"/>
      <c r="AI33" s="36"/>
      <c r="AJ33" s="36"/>
      <c r="AK33" s="36"/>
      <c r="AL33" s="36"/>
      <c r="AN33" s="36"/>
      <c r="AO33" s="36"/>
      <c r="AP33" s="36"/>
    </row>
    <row r="34" spans="1:42" s="9" customFormat="1" ht="15" customHeight="1">
      <c r="A34" s="18" t="s">
        <v>27</v>
      </c>
      <c r="B34" s="19">
        <v>7</v>
      </c>
      <c r="C34" s="19">
        <v>27</v>
      </c>
      <c r="D34" s="19">
        <v>9.0399999999999991</v>
      </c>
      <c r="E34" s="19"/>
      <c r="F34" s="19">
        <v>8</v>
      </c>
      <c r="G34" s="20">
        <v>17</v>
      </c>
      <c r="H34" s="20">
        <v>21.5</v>
      </c>
      <c r="I34" s="25">
        <v>0.31885416666666666</v>
      </c>
      <c r="J34" s="19" t="s">
        <v>25</v>
      </c>
      <c r="K34" s="19">
        <v>1</v>
      </c>
      <c r="L34" s="19">
        <v>100</v>
      </c>
      <c r="M34" s="19">
        <v>8630</v>
      </c>
      <c r="N34" s="19">
        <v>1</v>
      </c>
      <c r="O34" s="19">
        <v>100</v>
      </c>
      <c r="P34" s="22">
        <v>571</v>
      </c>
      <c r="Q34" s="26"/>
      <c r="R34" s="18"/>
      <c r="S34" s="26"/>
      <c r="T34" s="26"/>
      <c r="U34" s="26"/>
      <c r="V34" s="26"/>
      <c r="W34" s="19"/>
      <c r="X34" s="26"/>
      <c r="Y34" s="26"/>
      <c r="Z34" s="26"/>
      <c r="AA34" s="26"/>
      <c r="AB34" s="26"/>
      <c r="AC34" s="26"/>
      <c r="AD34" s="26"/>
      <c r="AE34" s="26"/>
      <c r="AF34" s="39"/>
      <c r="AG34" s="26"/>
      <c r="AH34" s="26"/>
      <c r="AI34" s="39"/>
      <c r="AJ34" s="39"/>
      <c r="AK34" s="39"/>
      <c r="AL34" s="39"/>
      <c r="AM34" s="26"/>
      <c r="AN34" s="36"/>
      <c r="AO34" s="36"/>
      <c r="AP34" s="36"/>
    </row>
    <row r="35" spans="1:42" s="9" customFormat="1" ht="15" customHeight="1">
      <c r="A35" s="10" t="s">
        <v>32</v>
      </c>
      <c r="B35" s="6">
        <v>4</v>
      </c>
      <c r="C35" s="6">
        <v>49</v>
      </c>
      <c r="D35" s="6">
        <v>50.41</v>
      </c>
      <c r="E35" s="6"/>
      <c r="F35" s="6">
        <v>6</v>
      </c>
      <c r="G35" s="7">
        <v>57</v>
      </c>
      <c r="H35" s="7">
        <v>40.6</v>
      </c>
      <c r="I35" s="8">
        <v>0.33194444444444443</v>
      </c>
      <c r="J35" s="6" t="s">
        <v>25</v>
      </c>
      <c r="K35" s="6">
        <v>1</v>
      </c>
      <c r="L35" s="6">
        <v>100</v>
      </c>
      <c r="M35" s="1">
        <v>3724</v>
      </c>
      <c r="N35" s="6">
        <v>1</v>
      </c>
      <c r="O35" s="6">
        <v>100</v>
      </c>
      <c r="P35" s="1">
        <v>602</v>
      </c>
      <c r="Q35" s="9" t="s">
        <v>33</v>
      </c>
      <c r="R35" s="10" t="s">
        <v>34</v>
      </c>
      <c r="S35" s="9">
        <v>7.9680555000000002</v>
      </c>
      <c r="T35" s="9">
        <f>$S$1+1.0027379093*S35-$S$3</f>
        <v>8.1525226558489585</v>
      </c>
      <c r="U35" s="9">
        <f>T35-(B35+C35/60+D35/3600)</f>
        <v>3.3218532114045143</v>
      </c>
      <c r="V35" s="9">
        <f>1/(SIN($U$1*((ABS(F35)+G35/60+H35/3600)))*SIN($U$1*$S$2)+COS(1*$U$1*((ABS(F35)+G35/60+H35/3600)))*COS($U$1*$S$2)*COS($U$1*U35*15))</f>
        <v>1.5613173287686128</v>
      </c>
      <c r="W35" s="6" t="str">
        <f>J35</f>
        <v>V</v>
      </c>
      <c r="X35" s="9">
        <f>AVERAGE(M35:M44)/K35/L35</f>
        <v>39.544000000000004</v>
      </c>
      <c r="Y35" s="9">
        <f>STDEV(M35:M44)/K35/L35</f>
        <v>1.0829301813957251</v>
      </c>
      <c r="Z35" s="9">
        <f>AVERAGE(P35:P44)/N35/O35</f>
        <v>6.0039999999999996</v>
      </c>
      <c r="AA35" s="9">
        <f>STDEV(P35:P44)/N35/N44</f>
        <v>4.6951511631090685</v>
      </c>
      <c r="AB35" s="9">
        <f>X35-Z35</f>
        <v>33.540000000000006</v>
      </c>
      <c r="AC35" s="9">
        <f>(Y35^2+AA35^2)^0.5</f>
        <v>4.8184211337555602</v>
      </c>
      <c r="AD35" s="9">
        <f>-2.5*LOG10(AB35)</f>
        <v>-3.8139076456751675</v>
      </c>
      <c r="AE35" s="9">
        <f>0.43429448*AC35/AB35</f>
        <v>6.2391583205288641E-2</v>
      </c>
      <c r="AF35" s="36">
        <v>3.19</v>
      </c>
      <c r="AG35" s="36">
        <f>$AF$5-AF35</f>
        <v>0.41999999999999993</v>
      </c>
      <c r="AH35" s="9">
        <f>V35</f>
        <v>1.5613173287686128</v>
      </c>
      <c r="AI35" s="43">
        <f>AD35+AG35</f>
        <v>-3.3939076456751676</v>
      </c>
      <c r="AJ35" s="36">
        <f>AE35</f>
        <v>6.2391583205288641E-2</v>
      </c>
      <c r="AK35" s="36">
        <f>AF35-AD35+AH35*$AT$22</f>
        <v>7.4203109772577562</v>
      </c>
      <c r="AL35" s="36"/>
      <c r="AN35" s="36"/>
      <c r="AO35" s="36"/>
      <c r="AP35" s="36"/>
    </row>
    <row r="36" spans="1:42" s="9" customFormat="1" ht="15" customHeight="1">
      <c r="A36" s="10" t="s">
        <v>34</v>
      </c>
      <c r="B36" s="6">
        <v>4</v>
      </c>
      <c r="C36" s="6">
        <v>49</v>
      </c>
      <c r="D36" s="6">
        <v>50.41</v>
      </c>
      <c r="E36" s="6"/>
      <c r="F36" s="6">
        <v>6</v>
      </c>
      <c r="G36" s="7">
        <v>57</v>
      </c>
      <c r="H36" s="7">
        <v>40.6</v>
      </c>
      <c r="I36" s="8">
        <v>0.33195601851851853</v>
      </c>
      <c r="J36" s="6" t="s">
        <v>25</v>
      </c>
      <c r="K36" s="6">
        <v>1</v>
      </c>
      <c r="L36" s="6">
        <v>100</v>
      </c>
      <c r="M36" s="1">
        <v>4103</v>
      </c>
      <c r="N36" s="6">
        <v>1</v>
      </c>
      <c r="O36" s="6">
        <v>100</v>
      </c>
      <c r="P36" s="1">
        <v>598</v>
      </c>
      <c r="W36" s="6"/>
      <c r="AF36" s="36"/>
      <c r="AI36" s="36"/>
      <c r="AJ36" s="36"/>
      <c r="AK36" s="36"/>
      <c r="AL36" s="36"/>
      <c r="AN36" s="36"/>
      <c r="AO36" s="36"/>
      <c r="AP36" s="36"/>
    </row>
    <row r="37" spans="1:42" s="9" customFormat="1" ht="15" customHeight="1">
      <c r="A37" s="10" t="s">
        <v>34</v>
      </c>
      <c r="B37" s="6">
        <v>4</v>
      </c>
      <c r="C37" s="6">
        <v>49</v>
      </c>
      <c r="D37" s="6">
        <v>50.41</v>
      </c>
      <c r="E37" s="6"/>
      <c r="F37" s="6">
        <v>6</v>
      </c>
      <c r="G37" s="7">
        <v>57</v>
      </c>
      <c r="H37" s="7">
        <v>40.6</v>
      </c>
      <c r="I37" s="8">
        <v>0.33196759259259262</v>
      </c>
      <c r="J37" s="6" t="s">
        <v>25</v>
      </c>
      <c r="K37" s="6">
        <v>1</v>
      </c>
      <c r="L37" s="6">
        <v>100</v>
      </c>
      <c r="M37" s="1">
        <v>4018</v>
      </c>
      <c r="N37" s="6">
        <v>1</v>
      </c>
      <c r="O37" s="6">
        <v>100</v>
      </c>
      <c r="P37" s="1">
        <v>597</v>
      </c>
      <c r="W37" s="6"/>
      <c r="AF37" s="36"/>
      <c r="AI37" s="36"/>
      <c r="AJ37" s="36"/>
      <c r="AK37" s="36"/>
      <c r="AL37" s="36"/>
      <c r="AN37" s="36"/>
      <c r="AO37" s="36"/>
      <c r="AP37" s="36"/>
    </row>
    <row r="38" spans="1:42" s="9" customFormat="1" ht="15" customHeight="1">
      <c r="A38" s="10" t="s">
        <v>34</v>
      </c>
      <c r="B38" s="6">
        <v>4</v>
      </c>
      <c r="C38" s="6">
        <v>49</v>
      </c>
      <c r="D38" s="6">
        <v>50.41</v>
      </c>
      <c r="E38" s="6"/>
      <c r="F38" s="6">
        <v>6</v>
      </c>
      <c r="G38" s="7">
        <v>57</v>
      </c>
      <c r="H38" s="7">
        <v>40.6</v>
      </c>
      <c r="I38" s="8">
        <v>0.33197916666666666</v>
      </c>
      <c r="J38" s="6" t="s">
        <v>25</v>
      </c>
      <c r="K38" s="6">
        <v>1</v>
      </c>
      <c r="L38" s="6">
        <v>100</v>
      </c>
      <c r="M38" s="1">
        <v>3854</v>
      </c>
      <c r="N38" s="6">
        <v>1</v>
      </c>
      <c r="O38" s="6">
        <v>100</v>
      </c>
      <c r="P38" s="1">
        <v>603</v>
      </c>
      <c r="W38" s="6"/>
      <c r="AF38" s="36"/>
      <c r="AI38" s="36"/>
      <c r="AJ38" s="36"/>
      <c r="AK38" s="36"/>
      <c r="AL38" s="36"/>
      <c r="AN38" s="36"/>
      <c r="AO38" s="36"/>
      <c r="AP38" s="36"/>
    </row>
    <row r="39" spans="1:42" s="9" customFormat="1" ht="15" customHeight="1">
      <c r="A39" s="10" t="s">
        <v>34</v>
      </c>
      <c r="B39" s="6">
        <v>4</v>
      </c>
      <c r="C39" s="6">
        <v>49</v>
      </c>
      <c r="D39" s="6">
        <v>50.41</v>
      </c>
      <c r="E39" s="6"/>
      <c r="F39" s="6">
        <v>6</v>
      </c>
      <c r="G39" s="7">
        <v>57</v>
      </c>
      <c r="H39" s="7">
        <v>40.6</v>
      </c>
      <c r="I39" s="8">
        <v>0.33199074074074075</v>
      </c>
      <c r="J39" s="6" t="s">
        <v>25</v>
      </c>
      <c r="K39" s="6">
        <v>1</v>
      </c>
      <c r="L39" s="6">
        <v>100</v>
      </c>
      <c r="M39" s="1">
        <v>3938</v>
      </c>
      <c r="N39" s="6">
        <v>1</v>
      </c>
      <c r="O39" s="6">
        <v>100</v>
      </c>
      <c r="P39" s="1">
        <v>606</v>
      </c>
      <c r="W39" s="6"/>
      <c r="AF39" s="36"/>
      <c r="AI39" s="36"/>
      <c r="AJ39" s="36"/>
      <c r="AK39" s="36"/>
      <c r="AL39" s="36"/>
      <c r="AN39" s="36"/>
      <c r="AO39" s="36"/>
      <c r="AP39" s="36"/>
    </row>
    <row r="40" spans="1:42" s="9" customFormat="1" ht="15" customHeight="1">
      <c r="A40" s="10" t="s">
        <v>34</v>
      </c>
      <c r="B40" s="6">
        <v>4</v>
      </c>
      <c r="C40" s="6">
        <v>49</v>
      </c>
      <c r="D40" s="6">
        <v>50.41</v>
      </c>
      <c r="E40" s="6"/>
      <c r="F40" s="6">
        <v>6</v>
      </c>
      <c r="G40" s="7">
        <v>57</v>
      </c>
      <c r="H40" s="7">
        <v>40.6</v>
      </c>
      <c r="I40" s="8">
        <v>0.33200231481481485</v>
      </c>
      <c r="J40" s="6" t="s">
        <v>25</v>
      </c>
      <c r="K40" s="6">
        <v>1</v>
      </c>
      <c r="L40" s="6">
        <v>100</v>
      </c>
      <c r="M40" s="1">
        <v>4016</v>
      </c>
      <c r="N40" s="6">
        <v>1</v>
      </c>
      <c r="O40" s="6">
        <v>100</v>
      </c>
      <c r="P40" s="1">
        <v>594</v>
      </c>
      <c r="W40" s="6"/>
      <c r="AF40" s="36"/>
      <c r="AI40" s="36"/>
      <c r="AJ40" s="36"/>
      <c r="AK40" s="36"/>
      <c r="AL40" s="36"/>
      <c r="AN40" s="36"/>
      <c r="AO40" s="36"/>
      <c r="AP40" s="36"/>
    </row>
    <row r="41" spans="1:42" s="9" customFormat="1" ht="15" customHeight="1">
      <c r="A41" s="10" t="s">
        <v>34</v>
      </c>
      <c r="B41" s="6">
        <v>4</v>
      </c>
      <c r="C41" s="6">
        <v>49</v>
      </c>
      <c r="D41" s="6">
        <v>50.41</v>
      </c>
      <c r="E41" s="6"/>
      <c r="F41" s="6">
        <v>6</v>
      </c>
      <c r="G41" s="7">
        <v>57</v>
      </c>
      <c r="H41" s="7">
        <v>40.6</v>
      </c>
      <c r="I41" s="8">
        <v>0.33201388888888889</v>
      </c>
      <c r="J41" s="6" t="s">
        <v>25</v>
      </c>
      <c r="K41" s="6">
        <v>1</v>
      </c>
      <c r="L41" s="6">
        <v>100</v>
      </c>
      <c r="M41" s="1">
        <v>3985</v>
      </c>
      <c r="N41" s="6">
        <v>1</v>
      </c>
      <c r="O41" s="6">
        <v>100</v>
      </c>
      <c r="P41" s="1">
        <v>604</v>
      </c>
      <c r="W41" s="6"/>
      <c r="AF41" s="36"/>
      <c r="AI41" s="36"/>
      <c r="AJ41" s="36"/>
      <c r="AK41" s="36"/>
      <c r="AL41" s="36"/>
      <c r="AN41" s="36"/>
      <c r="AO41" s="36"/>
      <c r="AP41" s="36"/>
    </row>
    <row r="42" spans="1:42" s="9" customFormat="1" ht="15" customHeight="1">
      <c r="A42" s="10" t="s">
        <v>34</v>
      </c>
      <c r="B42" s="6">
        <v>4</v>
      </c>
      <c r="C42" s="6">
        <v>49</v>
      </c>
      <c r="D42" s="6">
        <v>50.41</v>
      </c>
      <c r="E42" s="6"/>
      <c r="F42" s="6">
        <v>6</v>
      </c>
      <c r="G42" s="7">
        <v>57</v>
      </c>
      <c r="H42" s="7">
        <v>40.6</v>
      </c>
      <c r="I42" s="8">
        <v>0.33202546296296293</v>
      </c>
      <c r="J42" s="6" t="s">
        <v>25</v>
      </c>
      <c r="K42" s="6">
        <v>1</v>
      </c>
      <c r="L42" s="6">
        <v>100</v>
      </c>
      <c r="M42" s="1">
        <v>3947</v>
      </c>
      <c r="N42" s="6">
        <v>1</v>
      </c>
      <c r="O42" s="6">
        <v>100</v>
      </c>
      <c r="P42" s="1">
        <v>606</v>
      </c>
      <c r="W42" s="6"/>
      <c r="AF42" s="36"/>
      <c r="AI42" s="36"/>
      <c r="AJ42" s="36"/>
      <c r="AK42" s="36"/>
      <c r="AL42" s="36"/>
      <c r="AN42" s="36"/>
      <c r="AO42" s="36"/>
      <c r="AP42" s="36"/>
    </row>
    <row r="43" spans="1:42" s="9" customFormat="1" ht="15" customHeight="1">
      <c r="A43" s="10" t="s">
        <v>34</v>
      </c>
      <c r="B43" s="6">
        <v>4</v>
      </c>
      <c r="C43" s="6">
        <v>49</v>
      </c>
      <c r="D43" s="6">
        <v>50.41</v>
      </c>
      <c r="E43" s="6"/>
      <c r="F43" s="6">
        <v>6</v>
      </c>
      <c r="G43" s="7">
        <v>57</v>
      </c>
      <c r="H43" s="7">
        <v>40.6</v>
      </c>
      <c r="I43" s="8">
        <v>0.33203703703703707</v>
      </c>
      <c r="J43" s="6" t="s">
        <v>25</v>
      </c>
      <c r="K43" s="6">
        <v>1</v>
      </c>
      <c r="L43" s="6">
        <v>100</v>
      </c>
      <c r="M43" s="1">
        <v>3909</v>
      </c>
      <c r="N43" s="6">
        <v>1</v>
      </c>
      <c r="O43" s="6">
        <v>100</v>
      </c>
      <c r="P43" s="1">
        <v>601</v>
      </c>
      <c r="W43" s="6"/>
      <c r="AF43" s="36"/>
      <c r="AI43" s="36"/>
      <c r="AJ43" s="36"/>
      <c r="AK43" s="36"/>
      <c r="AL43" s="36"/>
      <c r="AN43" s="36"/>
      <c r="AO43" s="36"/>
      <c r="AP43" s="36"/>
    </row>
    <row r="44" spans="1:42" s="9" customFormat="1" ht="15" customHeight="1">
      <c r="A44" s="18" t="s">
        <v>34</v>
      </c>
      <c r="B44" s="19">
        <v>4</v>
      </c>
      <c r="C44" s="19">
        <v>49</v>
      </c>
      <c r="D44" s="19">
        <v>50.41</v>
      </c>
      <c r="E44" s="19"/>
      <c r="F44" s="19">
        <v>6</v>
      </c>
      <c r="G44" s="20">
        <v>57</v>
      </c>
      <c r="H44" s="20">
        <v>40.6</v>
      </c>
      <c r="I44" s="25">
        <v>0.33204861111111111</v>
      </c>
      <c r="J44" s="19" t="s">
        <v>25</v>
      </c>
      <c r="K44" s="19">
        <v>1</v>
      </c>
      <c r="L44" s="19">
        <v>100</v>
      </c>
      <c r="M44" s="22">
        <v>4050</v>
      </c>
      <c r="N44" s="19">
        <v>1</v>
      </c>
      <c r="O44" s="19">
        <v>100</v>
      </c>
      <c r="P44" s="22">
        <v>593</v>
      </c>
      <c r="Q44" s="26"/>
      <c r="R44" s="26"/>
      <c r="S44" s="26"/>
      <c r="T44" s="26"/>
      <c r="U44" s="26"/>
      <c r="V44" s="26"/>
      <c r="W44" s="19"/>
      <c r="X44" s="26"/>
      <c r="Y44" s="26"/>
      <c r="Z44" s="26"/>
      <c r="AA44" s="26"/>
      <c r="AB44" s="26"/>
      <c r="AC44" s="26"/>
      <c r="AD44" s="26"/>
      <c r="AE44" s="26"/>
      <c r="AF44" s="39"/>
      <c r="AG44" s="26"/>
      <c r="AH44" s="26"/>
      <c r="AI44" s="39"/>
      <c r="AJ44" s="39"/>
      <c r="AK44" s="39"/>
      <c r="AL44" s="39"/>
      <c r="AM44" s="26"/>
      <c r="AN44" s="36"/>
      <c r="AO44" s="36"/>
      <c r="AP44" s="36"/>
    </row>
    <row r="45" spans="1:42" s="11" customFormat="1" ht="15" customHeight="1">
      <c r="A45" s="12" t="s">
        <v>41</v>
      </c>
      <c r="B45" s="12">
        <v>4</v>
      </c>
      <c r="C45" s="12">
        <v>0</v>
      </c>
      <c r="D45" s="12">
        <v>40.82</v>
      </c>
      <c r="E45" s="12"/>
      <c r="F45" s="12">
        <v>12</v>
      </c>
      <c r="G45" s="12">
        <v>29</v>
      </c>
      <c r="H45" s="12">
        <v>25.2</v>
      </c>
      <c r="I45" s="13">
        <v>0.34513888888888888</v>
      </c>
      <c r="J45" s="6" t="s">
        <v>25</v>
      </c>
      <c r="K45" s="6">
        <v>1</v>
      </c>
      <c r="L45" s="6">
        <v>100</v>
      </c>
      <c r="M45" s="1">
        <v>4229</v>
      </c>
      <c r="N45" s="6">
        <v>1</v>
      </c>
      <c r="O45" s="6">
        <v>100</v>
      </c>
      <c r="P45" s="1">
        <v>629</v>
      </c>
      <c r="Q45" s="11" t="s">
        <v>43</v>
      </c>
      <c r="R45" s="12" t="s">
        <v>42</v>
      </c>
      <c r="S45" s="11">
        <v>8.2847220000000004</v>
      </c>
      <c r="T45" s="9">
        <f>$S$1+1.0027379093*S45-$S$3</f>
        <v>8.4700561600043081</v>
      </c>
      <c r="U45" s="9">
        <f>T45-(B45+C45/60+D45/3600)</f>
        <v>4.458717271115419</v>
      </c>
      <c r="V45" s="9">
        <f>1/(SIN($U$1*((ABS(F45)+G45/60+H45/3600)))*SIN($U$1*$S$2)+COS($U$1*((ABS(F45)+G45/60+H45/3600)))*COS($U$1*$S$2)*COS($U$1*U45*15))</f>
        <v>2.2946462002043466</v>
      </c>
      <c r="W45" s="12" t="str">
        <f>J45</f>
        <v>V</v>
      </c>
      <c r="X45" s="9">
        <f>AVERAGE(M45:M54)/K45/L45</f>
        <v>43.174999999999997</v>
      </c>
      <c r="Y45" s="9">
        <f>STDEV(M45:M54)/K45/L45</f>
        <v>1.3871894046756716</v>
      </c>
      <c r="Z45" s="9">
        <f>AVERAGE(P45:P54)/N45/O45</f>
        <v>6.3239999999999998</v>
      </c>
      <c r="AA45" s="9">
        <f>STDEV(P45:P54)/N45/N54</f>
        <v>4.7888759989514593</v>
      </c>
      <c r="AB45" s="9">
        <f>X45-Z45</f>
        <v>36.850999999999999</v>
      </c>
      <c r="AC45" s="9">
        <f>(Y45^2+AA45^2)^0.5</f>
        <v>4.985742450004591</v>
      </c>
      <c r="AD45" s="9">
        <f>-2.5*LOG10(AB45)</f>
        <v>-3.9161231937569618</v>
      </c>
      <c r="AE45" s="9">
        <f>0.43429448*AC45/AB45</f>
        <v>5.8757711452570346E-2</v>
      </c>
      <c r="AF45" s="37">
        <v>3.4079999999999999</v>
      </c>
      <c r="AG45" s="43">
        <f>$AF$5-AF45</f>
        <v>0.20199999999999996</v>
      </c>
      <c r="AH45" s="9">
        <f>V45</f>
        <v>2.2946462002043466</v>
      </c>
      <c r="AI45" s="43">
        <f>AD45+AG45</f>
        <v>-3.7141231937569619</v>
      </c>
      <c r="AJ45" s="36">
        <f>AE45</f>
        <v>5.8757711452570346E-2</v>
      </c>
      <c r="AK45" s="36">
        <f>AF45-AD45+AH45*$AT$22</f>
        <v>7.9361053353514608</v>
      </c>
      <c r="AL45" s="37"/>
      <c r="AN45" s="37"/>
      <c r="AO45" s="37"/>
      <c r="AP45" s="37"/>
    </row>
    <row r="46" spans="1:42" s="11" customFormat="1" ht="15" customHeight="1">
      <c r="A46" s="12" t="s">
        <v>45</v>
      </c>
      <c r="B46" s="12">
        <v>4</v>
      </c>
      <c r="C46" s="12">
        <v>0</v>
      </c>
      <c r="D46" s="12">
        <v>40.82</v>
      </c>
      <c r="E46" s="12"/>
      <c r="F46" s="12">
        <v>12</v>
      </c>
      <c r="G46" s="12">
        <v>29</v>
      </c>
      <c r="H46" s="12">
        <v>25.2</v>
      </c>
      <c r="I46" s="13">
        <v>0.34515046296296298</v>
      </c>
      <c r="J46" s="6" t="s">
        <v>25</v>
      </c>
      <c r="K46" s="6">
        <v>1</v>
      </c>
      <c r="L46" s="6">
        <v>100</v>
      </c>
      <c r="M46" s="1">
        <v>4302</v>
      </c>
      <c r="N46" s="6">
        <v>1</v>
      </c>
      <c r="O46" s="6">
        <v>100</v>
      </c>
      <c r="P46" s="1">
        <v>635</v>
      </c>
      <c r="W46" s="12"/>
      <c r="AF46" s="37"/>
      <c r="AI46" s="37"/>
      <c r="AJ46" s="37"/>
      <c r="AK46" s="37"/>
      <c r="AL46" s="37"/>
      <c r="AN46" s="37"/>
      <c r="AO46" s="37"/>
      <c r="AP46" s="37"/>
    </row>
    <row r="47" spans="1:42" s="11" customFormat="1" ht="15" customHeight="1">
      <c r="A47" s="12" t="s">
        <v>45</v>
      </c>
      <c r="B47" s="12">
        <v>4</v>
      </c>
      <c r="C47" s="12">
        <v>0</v>
      </c>
      <c r="D47" s="12">
        <v>40.82</v>
      </c>
      <c r="E47" s="12"/>
      <c r="F47" s="12">
        <v>12</v>
      </c>
      <c r="G47" s="12">
        <v>29</v>
      </c>
      <c r="H47" s="12">
        <v>25.2</v>
      </c>
      <c r="I47" s="13">
        <v>0.34516203703703702</v>
      </c>
      <c r="J47" s="6" t="s">
        <v>25</v>
      </c>
      <c r="K47" s="6">
        <v>1</v>
      </c>
      <c r="L47" s="6">
        <v>100</v>
      </c>
      <c r="M47" s="1">
        <v>4124</v>
      </c>
      <c r="N47" s="6">
        <v>1</v>
      </c>
      <c r="O47" s="6">
        <v>100</v>
      </c>
      <c r="P47" s="1">
        <v>636</v>
      </c>
      <c r="W47" s="12"/>
      <c r="AF47" s="37"/>
      <c r="AI47" s="37"/>
      <c r="AJ47" s="37"/>
      <c r="AK47" s="37"/>
      <c r="AL47" s="37"/>
      <c r="AN47" s="37"/>
      <c r="AO47" s="37"/>
      <c r="AP47" s="37"/>
    </row>
    <row r="48" spans="1:42" ht="15" customHeight="1">
      <c r="A48" s="12" t="s">
        <v>45</v>
      </c>
      <c r="B48" s="12">
        <v>4</v>
      </c>
      <c r="C48" s="12">
        <v>0</v>
      </c>
      <c r="D48" s="12">
        <v>40.82</v>
      </c>
      <c r="E48" s="12"/>
      <c r="F48" s="12">
        <v>12</v>
      </c>
      <c r="G48" s="12">
        <v>29</v>
      </c>
      <c r="H48" s="12">
        <v>25.2</v>
      </c>
      <c r="I48" s="14">
        <v>0.34517361111111117</v>
      </c>
      <c r="J48" s="6" t="s">
        <v>25</v>
      </c>
      <c r="K48" s="6">
        <v>1</v>
      </c>
      <c r="L48" s="6">
        <v>100</v>
      </c>
      <c r="M48" s="1">
        <v>4243</v>
      </c>
      <c r="N48" s="6">
        <v>1</v>
      </c>
      <c r="O48" s="6">
        <v>100</v>
      </c>
      <c r="P48" s="1">
        <v>629</v>
      </c>
    </row>
    <row r="49" spans="1:39" ht="15" customHeight="1">
      <c r="A49" s="12" t="s">
        <v>45</v>
      </c>
      <c r="B49" s="12">
        <v>4</v>
      </c>
      <c r="C49" s="12">
        <v>0</v>
      </c>
      <c r="D49" s="12">
        <v>40.82</v>
      </c>
      <c r="E49" s="12"/>
      <c r="F49" s="12">
        <v>12</v>
      </c>
      <c r="G49" s="12">
        <v>29</v>
      </c>
      <c r="H49" s="12">
        <v>25.2</v>
      </c>
      <c r="I49" s="14">
        <v>0.34518518518518521</v>
      </c>
      <c r="J49" s="6" t="s">
        <v>25</v>
      </c>
      <c r="K49" s="6">
        <v>1</v>
      </c>
      <c r="L49" s="6">
        <v>100</v>
      </c>
      <c r="M49" s="1">
        <v>4639</v>
      </c>
      <c r="N49" s="6">
        <v>1</v>
      </c>
      <c r="O49" s="6">
        <v>100</v>
      </c>
      <c r="P49" s="1">
        <v>635</v>
      </c>
      <c r="Q49" s="9"/>
      <c r="R49" s="9"/>
      <c r="S49" s="9"/>
    </row>
    <row r="50" spans="1:39" ht="15" customHeight="1">
      <c r="A50" s="12" t="s">
        <v>45</v>
      </c>
      <c r="B50" s="12">
        <v>4</v>
      </c>
      <c r="C50" s="12">
        <v>0</v>
      </c>
      <c r="D50" s="12">
        <v>40.82</v>
      </c>
      <c r="E50" s="12"/>
      <c r="F50" s="12">
        <v>12</v>
      </c>
      <c r="G50" s="12">
        <v>29</v>
      </c>
      <c r="H50" s="12">
        <v>25.2</v>
      </c>
      <c r="I50" s="14">
        <v>0.34519675925925924</v>
      </c>
      <c r="J50" s="6" t="s">
        <v>25</v>
      </c>
      <c r="K50" s="6">
        <v>1</v>
      </c>
      <c r="L50" s="6">
        <v>100</v>
      </c>
      <c r="M50" s="1">
        <v>4286</v>
      </c>
      <c r="N50" s="6">
        <v>1</v>
      </c>
      <c r="O50" s="6">
        <v>100</v>
      </c>
      <c r="P50" s="1">
        <v>636</v>
      </c>
    </row>
    <row r="51" spans="1:39" ht="15" customHeight="1">
      <c r="A51" s="12" t="s">
        <v>45</v>
      </c>
      <c r="B51" s="12">
        <v>4</v>
      </c>
      <c r="C51" s="12">
        <v>0</v>
      </c>
      <c r="D51" s="12">
        <v>40.82</v>
      </c>
      <c r="E51" s="12"/>
      <c r="F51" s="12">
        <v>12</v>
      </c>
      <c r="G51" s="12">
        <v>29</v>
      </c>
      <c r="H51" s="12">
        <v>25.2</v>
      </c>
      <c r="I51" s="14">
        <v>0.34520833333333334</v>
      </c>
      <c r="J51" s="6" t="s">
        <v>25</v>
      </c>
      <c r="K51" s="6">
        <v>1</v>
      </c>
      <c r="L51" s="6">
        <v>100</v>
      </c>
      <c r="M51" s="1">
        <v>4433</v>
      </c>
      <c r="N51" s="6">
        <v>1</v>
      </c>
      <c r="O51" s="6">
        <v>100</v>
      </c>
      <c r="P51" s="1">
        <v>629</v>
      </c>
    </row>
    <row r="52" spans="1:39" ht="15" customHeight="1">
      <c r="A52" s="12" t="s">
        <v>45</v>
      </c>
      <c r="B52" s="12">
        <v>4</v>
      </c>
      <c r="C52" s="12">
        <v>0</v>
      </c>
      <c r="D52" s="12">
        <v>40.82</v>
      </c>
      <c r="E52" s="12"/>
      <c r="F52" s="12">
        <v>12</v>
      </c>
      <c r="G52" s="12">
        <v>29</v>
      </c>
      <c r="H52" s="12">
        <v>25.2</v>
      </c>
      <c r="I52" s="14">
        <v>0.34521990740740738</v>
      </c>
      <c r="J52" s="6" t="s">
        <v>25</v>
      </c>
      <c r="K52" s="6">
        <v>1</v>
      </c>
      <c r="L52" s="6">
        <v>100</v>
      </c>
      <c r="M52" s="1">
        <v>4352</v>
      </c>
      <c r="N52" s="6">
        <v>1</v>
      </c>
      <c r="O52" s="6">
        <v>100</v>
      </c>
      <c r="P52" s="1">
        <v>639</v>
      </c>
    </row>
    <row r="53" spans="1:39" ht="15" customHeight="1">
      <c r="A53" s="12" t="s">
        <v>45</v>
      </c>
      <c r="B53" s="12">
        <v>4</v>
      </c>
      <c r="C53" s="12">
        <v>0</v>
      </c>
      <c r="D53" s="12">
        <v>40.82</v>
      </c>
      <c r="E53" s="12"/>
      <c r="F53" s="12">
        <v>12</v>
      </c>
      <c r="G53" s="12">
        <v>29</v>
      </c>
      <c r="H53" s="12">
        <v>25.2</v>
      </c>
      <c r="I53" s="14">
        <v>0.34523148148148147</v>
      </c>
      <c r="J53" s="6" t="s">
        <v>25</v>
      </c>
      <c r="K53" s="6">
        <v>1</v>
      </c>
      <c r="L53" s="6">
        <v>100</v>
      </c>
      <c r="M53" s="1">
        <v>4305</v>
      </c>
      <c r="N53" s="6">
        <v>1</v>
      </c>
      <c r="O53" s="6">
        <v>100</v>
      </c>
      <c r="P53" s="1">
        <v>633</v>
      </c>
    </row>
    <row r="54" spans="1:39" ht="15" customHeight="1">
      <c r="A54" s="24" t="s">
        <v>45</v>
      </c>
      <c r="B54" s="24">
        <v>4</v>
      </c>
      <c r="C54" s="24">
        <v>0</v>
      </c>
      <c r="D54" s="24">
        <v>40.82</v>
      </c>
      <c r="E54" s="24"/>
      <c r="F54" s="24">
        <v>12</v>
      </c>
      <c r="G54" s="24">
        <v>29</v>
      </c>
      <c r="H54" s="24">
        <v>25.2</v>
      </c>
      <c r="I54" s="27">
        <v>0.34524305555555551</v>
      </c>
      <c r="J54" s="19" t="s">
        <v>25</v>
      </c>
      <c r="K54" s="19">
        <v>1</v>
      </c>
      <c r="L54" s="19">
        <v>100</v>
      </c>
      <c r="M54" s="22">
        <v>4262</v>
      </c>
      <c r="N54" s="19">
        <v>1</v>
      </c>
      <c r="O54" s="19">
        <v>100</v>
      </c>
      <c r="P54" s="22">
        <v>623</v>
      </c>
      <c r="Q54" s="28"/>
      <c r="R54" s="28"/>
      <c r="S54" s="28"/>
      <c r="T54" s="28"/>
      <c r="U54" s="28"/>
      <c r="V54" s="28"/>
      <c r="W54" s="22"/>
      <c r="X54" s="28"/>
      <c r="Y54" s="28"/>
      <c r="Z54" s="28"/>
      <c r="AA54" s="28"/>
      <c r="AB54" s="28"/>
      <c r="AC54" s="28"/>
      <c r="AD54" s="28"/>
      <c r="AE54" s="28"/>
      <c r="AF54" s="41"/>
      <c r="AG54" s="28"/>
      <c r="AH54" s="28"/>
      <c r="AI54" s="41"/>
      <c r="AJ54" s="41"/>
      <c r="AK54" s="41"/>
      <c r="AL54" s="41"/>
      <c r="AM54" s="28"/>
    </row>
    <row r="55" spans="1:39" ht="15" customHeight="1">
      <c r="A55" s="1" t="s">
        <v>44</v>
      </c>
      <c r="B55" s="1">
        <v>7</v>
      </c>
      <c r="C55" s="1">
        <v>19</v>
      </c>
      <c r="D55" s="1">
        <v>28.18</v>
      </c>
      <c r="F55" s="1">
        <v>-16</v>
      </c>
      <c r="G55" s="1">
        <v>23</v>
      </c>
      <c r="H55" s="1">
        <v>42.9</v>
      </c>
      <c r="I55" s="14">
        <v>0.28541666666666665</v>
      </c>
      <c r="J55" s="1" t="s">
        <v>25</v>
      </c>
      <c r="K55" s="1">
        <v>1</v>
      </c>
      <c r="L55" s="1">
        <v>100</v>
      </c>
      <c r="M55" s="1">
        <v>1145</v>
      </c>
      <c r="N55" s="1">
        <v>1</v>
      </c>
      <c r="O55" s="1">
        <v>100</v>
      </c>
      <c r="P55" s="1">
        <v>569</v>
      </c>
      <c r="R55" t="str">
        <f>A55</f>
        <v>R CMa</v>
      </c>
      <c r="S55" s="1">
        <v>6.851388</v>
      </c>
      <c r="T55" s="9">
        <f>$S$1+1.0027379093*S55-$S$3</f>
        <v>7.0327978215157003</v>
      </c>
      <c r="U55" s="9">
        <f>T55-(B55+C55/60+D55/3600)</f>
        <v>-0.2916966229287441</v>
      </c>
      <c r="V55" s="9">
        <f>1/(SIN(-1*$U$1*((ABS(F55)+G55/60+H55*3600)))*SIN($U$1*$S$2)+COS(-1*$U$1*((ABS(F55)+G55/60+H55*3600)))*COS($U$1*$S$2)*COS($U$1*U55*15))</f>
        <v>1.2688325947331509</v>
      </c>
      <c r="W55" s="1" t="str">
        <f>J55</f>
        <v>V</v>
      </c>
      <c r="X55" s="9">
        <f>AVERAGE(M55:M64)/K55/L55</f>
        <v>11.425999999999998</v>
      </c>
      <c r="Y55" s="9">
        <f>STDEV(M55:M64)/K55/L55</f>
        <v>0.10405126941400893</v>
      </c>
      <c r="Z55" s="9">
        <f>AVERAGE(P55:P64)/N55/O55</f>
        <v>5.6890000000000001</v>
      </c>
      <c r="AA55" s="9">
        <f>STDEV(P55:P64)/N55/N64</f>
        <v>2.766867462592951</v>
      </c>
      <c r="AB55" s="9">
        <f>X55-Z55</f>
        <v>5.7369999999999983</v>
      </c>
      <c r="AC55" s="9">
        <f>(Y55^2+AA55^2)^0.5</f>
        <v>2.7688232558656072</v>
      </c>
      <c r="AD55" s="9">
        <f>-2.5*LOG10(AB55)</f>
        <v>-1.8967121247061023</v>
      </c>
      <c r="AE55" s="9">
        <f>0.43429448*AC55/AB55</f>
        <v>0.20960164826879227</v>
      </c>
      <c r="AH55" s="9"/>
    </row>
    <row r="56" spans="1:39" ht="15" customHeight="1">
      <c r="A56" s="1" t="s">
        <v>44</v>
      </c>
      <c r="B56" s="1">
        <v>7</v>
      </c>
      <c r="C56" s="1">
        <v>19</v>
      </c>
      <c r="D56" s="1">
        <v>28.18</v>
      </c>
      <c r="F56" s="1">
        <v>-16</v>
      </c>
      <c r="G56" s="1">
        <v>23</v>
      </c>
      <c r="H56" s="1">
        <v>42.9</v>
      </c>
      <c r="I56" s="14">
        <v>0.28542824074074075</v>
      </c>
      <c r="J56" s="1" t="s">
        <v>25</v>
      </c>
      <c r="K56" s="1">
        <v>1</v>
      </c>
      <c r="L56" s="1">
        <v>100</v>
      </c>
      <c r="M56" s="1">
        <v>1127</v>
      </c>
      <c r="N56" s="1">
        <v>1</v>
      </c>
      <c r="O56" s="1">
        <v>100</v>
      </c>
      <c r="P56" s="1">
        <v>563</v>
      </c>
    </row>
    <row r="57" spans="1:39" ht="15" customHeight="1">
      <c r="A57" s="1" t="s">
        <v>44</v>
      </c>
      <c r="B57" s="1">
        <v>7</v>
      </c>
      <c r="C57" s="1">
        <v>19</v>
      </c>
      <c r="D57" s="1">
        <v>28.18</v>
      </c>
      <c r="F57" s="1">
        <v>-16</v>
      </c>
      <c r="G57" s="1">
        <v>23</v>
      </c>
      <c r="H57" s="1">
        <v>42.9</v>
      </c>
      <c r="I57" s="14">
        <v>0.28543981481481479</v>
      </c>
      <c r="J57" s="1" t="s">
        <v>25</v>
      </c>
      <c r="K57" s="1">
        <v>1</v>
      </c>
      <c r="L57" s="1">
        <v>100</v>
      </c>
      <c r="M57" s="1">
        <v>1162</v>
      </c>
      <c r="N57" s="1">
        <v>1</v>
      </c>
      <c r="O57" s="1">
        <v>100</v>
      </c>
      <c r="P57" s="1">
        <v>568</v>
      </c>
    </row>
    <row r="58" spans="1:39" ht="15" customHeight="1">
      <c r="A58" s="1" t="s">
        <v>44</v>
      </c>
      <c r="B58" s="1">
        <v>7</v>
      </c>
      <c r="C58" s="1">
        <v>19</v>
      </c>
      <c r="D58" s="1">
        <v>28.18</v>
      </c>
      <c r="F58" s="1">
        <v>-16</v>
      </c>
      <c r="G58" s="1">
        <v>23</v>
      </c>
      <c r="H58" s="1">
        <v>42.9</v>
      </c>
      <c r="I58" s="14">
        <v>0.28545138888888888</v>
      </c>
      <c r="J58" s="1" t="s">
        <v>25</v>
      </c>
      <c r="K58" s="1">
        <v>1</v>
      </c>
      <c r="L58" s="1">
        <v>100</v>
      </c>
      <c r="M58" s="1">
        <v>1127</v>
      </c>
      <c r="N58" s="1">
        <v>1</v>
      </c>
      <c r="O58" s="1">
        <v>100</v>
      </c>
      <c r="P58" s="1">
        <v>571</v>
      </c>
    </row>
    <row r="59" spans="1:39" ht="15" customHeight="1">
      <c r="A59" s="1" t="s">
        <v>44</v>
      </c>
      <c r="B59" s="1">
        <v>7</v>
      </c>
      <c r="C59" s="1">
        <v>19</v>
      </c>
      <c r="D59" s="1">
        <v>28.18</v>
      </c>
      <c r="F59" s="1">
        <v>-16</v>
      </c>
      <c r="G59" s="1">
        <v>23</v>
      </c>
      <c r="H59" s="1">
        <v>42.9</v>
      </c>
      <c r="I59" s="14">
        <v>0.28546296296296297</v>
      </c>
      <c r="J59" s="1" t="s">
        <v>25</v>
      </c>
      <c r="K59" s="1">
        <v>1</v>
      </c>
      <c r="L59" s="1">
        <v>100</v>
      </c>
      <c r="M59" s="1">
        <v>1141</v>
      </c>
      <c r="N59" s="1">
        <v>1</v>
      </c>
      <c r="O59" s="1">
        <v>100</v>
      </c>
      <c r="P59" s="1">
        <v>570</v>
      </c>
    </row>
    <row r="60" spans="1:39" ht="15" customHeight="1">
      <c r="A60" s="1" t="s">
        <v>44</v>
      </c>
      <c r="B60" s="1">
        <v>7</v>
      </c>
      <c r="C60" s="1">
        <v>19</v>
      </c>
      <c r="D60" s="1">
        <v>28.18</v>
      </c>
      <c r="F60" s="1">
        <v>-16</v>
      </c>
      <c r="G60" s="1">
        <v>23</v>
      </c>
      <c r="H60" s="1">
        <v>42.9</v>
      </c>
      <c r="I60" s="14">
        <v>0.28547453703703701</v>
      </c>
      <c r="J60" s="1" t="s">
        <v>25</v>
      </c>
      <c r="K60" s="1">
        <v>1</v>
      </c>
      <c r="L60" s="1">
        <v>100</v>
      </c>
      <c r="M60" s="1">
        <v>1145</v>
      </c>
      <c r="N60" s="1">
        <v>1</v>
      </c>
      <c r="O60" s="1">
        <v>100</v>
      </c>
      <c r="P60" s="1">
        <v>573</v>
      </c>
    </row>
    <row r="61" spans="1:39" ht="15" customHeight="1">
      <c r="A61" s="1" t="s">
        <v>44</v>
      </c>
      <c r="B61" s="1">
        <v>7</v>
      </c>
      <c r="C61" s="1">
        <v>19</v>
      </c>
      <c r="D61" s="1">
        <v>28.18</v>
      </c>
      <c r="F61" s="1">
        <v>-16</v>
      </c>
      <c r="G61" s="1">
        <v>23</v>
      </c>
      <c r="H61" s="1">
        <v>42.9</v>
      </c>
      <c r="I61" s="14">
        <v>0.28548611111111111</v>
      </c>
      <c r="J61" s="1" t="s">
        <v>25</v>
      </c>
      <c r="K61" s="1">
        <v>1</v>
      </c>
      <c r="L61" s="1">
        <v>100</v>
      </c>
      <c r="M61" s="1">
        <v>1139</v>
      </c>
      <c r="N61" s="1">
        <v>1</v>
      </c>
      <c r="O61" s="1">
        <v>100</v>
      </c>
      <c r="P61" s="1">
        <v>569</v>
      </c>
    </row>
    <row r="62" spans="1:39" ht="15" customHeight="1">
      <c r="A62" s="1" t="s">
        <v>44</v>
      </c>
      <c r="B62" s="1">
        <v>7</v>
      </c>
      <c r="C62" s="1">
        <v>19</v>
      </c>
      <c r="D62" s="1">
        <v>28.18</v>
      </c>
      <c r="F62" s="1">
        <v>-16</v>
      </c>
      <c r="G62" s="1">
        <v>23</v>
      </c>
      <c r="H62" s="1">
        <v>42.9</v>
      </c>
      <c r="I62" s="14">
        <v>0.2854976851851852</v>
      </c>
      <c r="J62" s="1" t="s">
        <v>25</v>
      </c>
      <c r="K62" s="1">
        <v>1</v>
      </c>
      <c r="L62" s="1">
        <v>100</v>
      </c>
      <c r="M62" s="1">
        <v>1142</v>
      </c>
      <c r="N62" s="1">
        <v>1</v>
      </c>
      <c r="O62" s="1">
        <v>100</v>
      </c>
      <c r="P62" s="1">
        <v>566</v>
      </c>
    </row>
    <row r="63" spans="1:39" ht="15" customHeight="1">
      <c r="A63" s="1" t="s">
        <v>44</v>
      </c>
      <c r="B63" s="1">
        <v>7</v>
      </c>
      <c r="C63" s="1">
        <v>19</v>
      </c>
      <c r="D63" s="1">
        <v>28.18</v>
      </c>
      <c r="F63" s="1">
        <v>-16</v>
      </c>
      <c r="G63" s="1">
        <v>23</v>
      </c>
      <c r="H63" s="1">
        <v>42.9</v>
      </c>
      <c r="I63" s="14">
        <v>0.28550925925925924</v>
      </c>
      <c r="J63" s="1" t="s">
        <v>25</v>
      </c>
      <c r="K63" s="1">
        <v>1</v>
      </c>
      <c r="L63" s="1">
        <v>100</v>
      </c>
      <c r="M63" s="1">
        <v>1150</v>
      </c>
      <c r="N63" s="1">
        <v>1</v>
      </c>
      <c r="O63" s="1">
        <v>100</v>
      </c>
      <c r="P63" s="1">
        <v>570</v>
      </c>
    </row>
    <row r="64" spans="1:39" ht="15" customHeight="1">
      <c r="A64" s="22" t="s">
        <v>44</v>
      </c>
      <c r="B64" s="22">
        <v>7</v>
      </c>
      <c r="C64" s="22">
        <v>19</v>
      </c>
      <c r="D64" s="22">
        <v>28.18</v>
      </c>
      <c r="E64" s="22"/>
      <c r="F64" s="22">
        <v>-16</v>
      </c>
      <c r="G64" s="22">
        <v>23</v>
      </c>
      <c r="H64" s="22">
        <v>42.9</v>
      </c>
      <c r="I64" s="27">
        <v>0.28552083333333333</v>
      </c>
      <c r="J64" s="22" t="s">
        <v>25</v>
      </c>
      <c r="K64" s="22">
        <v>1</v>
      </c>
      <c r="L64" s="22">
        <v>100</v>
      </c>
      <c r="M64" s="22">
        <v>1148</v>
      </c>
      <c r="N64" s="22">
        <v>1</v>
      </c>
      <c r="O64" s="22">
        <v>100</v>
      </c>
      <c r="P64" s="22">
        <v>570</v>
      </c>
      <c r="Q64" s="28"/>
      <c r="R64" s="28"/>
      <c r="S64" s="28"/>
      <c r="T64" s="28"/>
      <c r="U64" s="28"/>
      <c r="V64" s="28"/>
      <c r="W64" s="22"/>
      <c r="X64" s="28"/>
      <c r="Y64" s="28"/>
      <c r="Z64" s="28"/>
      <c r="AA64" s="28"/>
      <c r="AB64" s="28"/>
      <c r="AC64" s="28"/>
      <c r="AD64" s="28"/>
      <c r="AE64" s="28"/>
      <c r="AF64" s="41"/>
      <c r="AG64" s="28"/>
      <c r="AH64" s="28"/>
      <c r="AI64" s="41"/>
      <c r="AJ64" s="41"/>
      <c r="AK64" s="41"/>
      <c r="AL64" s="41"/>
      <c r="AM64" s="28"/>
    </row>
    <row r="65" spans="1:42" s="31" customFormat="1" ht="15" customHeight="1">
      <c r="A65" s="29" t="s">
        <v>44</v>
      </c>
      <c r="B65" s="29">
        <v>7</v>
      </c>
      <c r="C65" s="29">
        <v>19</v>
      </c>
      <c r="D65" s="29">
        <v>28.18</v>
      </c>
      <c r="E65" s="29"/>
      <c r="F65" s="29">
        <v>-16</v>
      </c>
      <c r="G65" s="29">
        <v>23</v>
      </c>
      <c r="H65" s="29">
        <v>42.9</v>
      </c>
      <c r="I65" s="30">
        <v>0.28749999999999998</v>
      </c>
      <c r="J65" s="29" t="s">
        <v>47</v>
      </c>
      <c r="K65" s="29">
        <v>1</v>
      </c>
      <c r="L65" s="29">
        <v>100</v>
      </c>
      <c r="M65" s="1">
        <v>1281</v>
      </c>
      <c r="N65" s="29">
        <v>1</v>
      </c>
      <c r="O65" s="29">
        <v>100</v>
      </c>
      <c r="P65" s="1">
        <v>577</v>
      </c>
      <c r="R65" s="31" t="str">
        <f>A65</f>
        <v>R CMa</v>
      </c>
      <c r="S65" s="29">
        <v>6.9013888000000003</v>
      </c>
      <c r="T65" s="9">
        <f>$S$1+1.0027379093*S65-$S$3</f>
        <v>7.0829355191710306</v>
      </c>
      <c r="U65" s="9">
        <f>T65-(B65+C65/60+D65/3600)</f>
        <v>-0.24155892527341383</v>
      </c>
      <c r="V65" s="9">
        <f>1/(SIN(-1*$U$1*((ABS(F65)+G65/60+H65*3600)))*SIN($U$1*$S$2)+COS(-1*$U$1*((ABS(F65)+G65/60+H65*3600)))*COS($U$1*$S$2)*COS($U$1*U65*15))</f>
        <v>1.2675170882164657</v>
      </c>
      <c r="W65" s="29" t="str">
        <f>J65</f>
        <v>R</v>
      </c>
      <c r="X65" s="9">
        <f>AVERAGE(M65:M74)/K65/L65</f>
        <v>12.823</v>
      </c>
      <c r="Y65" s="9">
        <f>STDEV(M65:M74)/K65/L65</f>
        <v>9.7416631023660424E-2</v>
      </c>
      <c r="Z65" s="9">
        <f>AVERAGE(P65:P74)/N65/O65</f>
        <v>5.7450000000000001</v>
      </c>
      <c r="AA65" s="9">
        <f>STDEV(P65:P74)/N65/N74</f>
        <v>2.7988092706244441</v>
      </c>
      <c r="AB65" s="9">
        <f>X65-Z65</f>
        <v>7.0780000000000003</v>
      </c>
      <c r="AC65" s="9">
        <f>(Y65^2+AA65^2)^0.5</f>
        <v>2.8005041212848325</v>
      </c>
      <c r="AD65" s="9">
        <f>-2.5*LOG10(AB65)</f>
        <v>-2.1247763957537402</v>
      </c>
      <c r="AE65" s="9">
        <f>0.43429448*AC65/AB65</f>
        <v>0.17183434318893093</v>
      </c>
      <c r="AF65" s="42"/>
      <c r="AH65" s="9"/>
      <c r="AI65" s="42"/>
      <c r="AJ65" s="42"/>
      <c r="AK65" s="42"/>
      <c r="AL65" s="42"/>
      <c r="AN65" s="42"/>
      <c r="AO65" s="42"/>
      <c r="AP65" s="42"/>
    </row>
    <row r="66" spans="1:42" s="31" customFormat="1" ht="15" customHeight="1">
      <c r="A66" s="29" t="s">
        <v>44</v>
      </c>
      <c r="B66" s="29">
        <v>7</v>
      </c>
      <c r="C66" s="29">
        <v>19</v>
      </c>
      <c r="D66" s="29">
        <v>28.18</v>
      </c>
      <c r="E66" s="29"/>
      <c r="F66" s="29">
        <v>-16</v>
      </c>
      <c r="G66" s="29">
        <v>23</v>
      </c>
      <c r="H66" s="29">
        <v>42.9</v>
      </c>
      <c r="I66" s="30">
        <v>0.28751157407407407</v>
      </c>
      <c r="J66" s="29" t="s">
        <v>47</v>
      </c>
      <c r="K66" s="29">
        <v>1</v>
      </c>
      <c r="L66" s="29">
        <v>100</v>
      </c>
      <c r="M66" s="1">
        <v>1276</v>
      </c>
      <c r="N66" s="29">
        <v>1</v>
      </c>
      <c r="O66" s="29">
        <v>100</v>
      </c>
      <c r="P66" s="1">
        <v>572</v>
      </c>
      <c r="W66" s="29"/>
      <c r="AF66" s="42"/>
      <c r="AI66" s="42"/>
      <c r="AJ66" s="42"/>
      <c r="AK66" s="42"/>
      <c r="AL66" s="42"/>
      <c r="AN66" s="42"/>
      <c r="AO66" s="42"/>
      <c r="AP66" s="42"/>
    </row>
    <row r="67" spans="1:42" s="31" customFormat="1" ht="15" customHeight="1">
      <c r="A67" s="29" t="s">
        <v>44</v>
      </c>
      <c r="B67" s="29">
        <v>7</v>
      </c>
      <c r="C67" s="29">
        <v>19</v>
      </c>
      <c r="D67" s="29">
        <v>28.18</v>
      </c>
      <c r="E67" s="29"/>
      <c r="F67" s="29">
        <v>-16</v>
      </c>
      <c r="G67" s="29">
        <v>23</v>
      </c>
      <c r="H67" s="29">
        <v>42.9</v>
      </c>
      <c r="I67" s="30">
        <v>0.28752314814814817</v>
      </c>
      <c r="J67" s="29" t="s">
        <v>47</v>
      </c>
      <c r="K67" s="29">
        <v>1</v>
      </c>
      <c r="L67" s="29">
        <v>100</v>
      </c>
      <c r="M67" s="1">
        <v>1277</v>
      </c>
      <c r="N67" s="29">
        <v>1</v>
      </c>
      <c r="O67" s="29">
        <v>100</v>
      </c>
      <c r="P67" s="1">
        <v>577</v>
      </c>
      <c r="W67" s="29"/>
      <c r="AF67" s="42"/>
      <c r="AI67" s="42"/>
      <c r="AJ67" s="42"/>
      <c r="AK67" s="42"/>
      <c r="AL67" s="42"/>
      <c r="AN67" s="42"/>
      <c r="AO67" s="42"/>
      <c r="AP67" s="42"/>
    </row>
    <row r="68" spans="1:42" s="31" customFormat="1" ht="15" customHeight="1">
      <c r="A68" s="29" t="s">
        <v>44</v>
      </c>
      <c r="B68" s="29">
        <v>7</v>
      </c>
      <c r="C68" s="29">
        <v>19</v>
      </c>
      <c r="D68" s="29">
        <v>28.18</v>
      </c>
      <c r="E68" s="29"/>
      <c r="F68" s="29">
        <v>-16</v>
      </c>
      <c r="G68" s="29">
        <v>23</v>
      </c>
      <c r="H68" s="29">
        <v>42.9</v>
      </c>
      <c r="I68" s="30">
        <v>0.28753472222222221</v>
      </c>
      <c r="J68" s="29" t="s">
        <v>47</v>
      </c>
      <c r="K68" s="29">
        <v>1</v>
      </c>
      <c r="L68" s="29">
        <v>100</v>
      </c>
      <c r="M68" s="1">
        <v>1295</v>
      </c>
      <c r="N68" s="29">
        <v>1</v>
      </c>
      <c r="O68" s="29">
        <v>100</v>
      </c>
      <c r="P68" s="1">
        <v>569</v>
      </c>
      <c r="W68" s="29"/>
      <c r="AF68" s="42"/>
      <c r="AI68" s="42"/>
      <c r="AJ68" s="42"/>
      <c r="AK68" s="42"/>
      <c r="AL68" s="42"/>
      <c r="AN68" s="42"/>
      <c r="AO68" s="42"/>
      <c r="AP68" s="42"/>
    </row>
    <row r="69" spans="1:42" s="31" customFormat="1" ht="15" customHeight="1">
      <c r="A69" s="29" t="s">
        <v>44</v>
      </c>
      <c r="B69" s="29">
        <v>7</v>
      </c>
      <c r="C69" s="29">
        <v>19</v>
      </c>
      <c r="D69" s="29">
        <v>28.18</v>
      </c>
      <c r="E69" s="29"/>
      <c r="F69" s="29">
        <v>-16</v>
      </c>
      <c r="G69" s="29">
        <v>23</v>
      </c>
      <c r="H69" s="29">
        <v>42.9</v>
      </c>
      <c r="I69" s="30">
        <v>0.2875462962962963</v>
      </c>
      <c r="J69" s="29" t="s">
        <v>47</v>
      </c>
      <c r="K69" s="29">
        <v>1</v>
      </c>
      <c r="L69" s="29">
        <v>100</v>
      </c>
      <c r="M69" s="1">
        <v>1294</v>
      </c>
      <c r="N69" s="29">
        <v>1</v>
      </c>
      <c r="O69" s="29">
        <v>100</v>
      </c>
      <c r="P69" s="1">
        <v>576</v>
      </c>
      <c r="W69" s="29"/>
      <c r="AF69" s="42"/>
      <c r="AI69" s="42"/>
      <c r="AJ69" s="42"/>
      <c r="AK69" s="42"/>
      <c r="AL69" s="42"/>
      <c r="AN69" s="42"/>
      <c r="AO69" s="42"/>
      <c r="AP69" s="42"/>
    </row>
    <row r="70" spans="1:42" s="31" customFormat="1" ht="15" customHeight="1">
      <c r="A70" s="29" t="s">
        <v>44</v>
      </c>
      <c r="B70" s="29">
        <v>7</v>
      </c>
      <c r="C70" s="29">
        <v>19</v>
      </c>
      <c r="D70" s="29">
        <v>28.18</v>
      </c>
      <c r="E70" s="29"/>
      <c r="F70" s="29">
        <v>-16</v>
      </c>
      <c r="G70" s="29">
        <v>23</v>
      </c>
      <c r="H70" s="29">
        <v>42.9</v>
      </c>
      <c r="I70" s="30">
        <v>0.28755787037037034</v>
      </c>
      <c r="J70" s="29" t="s">
        <v>47</v>
      </c>
      <c r="K70" s="29">
        <v>1</v>
      </c>
      <c r="L70" s="29">
        <v>100</v>
      </c>
      <c r="M70" s="1">
        <v>1283</v>
      </c>
      <c r="N70" s="29">
        <v>1</v>
      </c>
      <c r="O70" s="29">
        <v>100</v>
      </c>
      <c r="P70" s="1">
        <v>574</v>
      </c>
      <c r="W70" s="29"/>
      <c r="AF70" s="42"/>
      <c r="AI70" s="42"/>
      <c r="AJ70" s="42"/>
      <c r="AK70" s="42"/>
      <c r="AL70" s="42"/>
      <c r="AN70" s="42"/>
      <c r="AO70" s="42"/>
      <c r="AP70" s="42"/>
    </row>
    <row r="71" spans="1:42" s="31" customFormat="1" ht="15" customHeight="1">
      <c r="A71" s="29" t="s">
        <v>44</v>
      </c>
      <c r="B71" s="29">
        <v>7</v>
      </c>
      <c r="C71" s="29">
        <v>19</v>
      </c>
      <c r="D71" s="29">
        <v>28.18</v>
      </c>
      <c r="E71" s="29"/>
      <c r="F71" s="29">
        <v>-16</v>
      </c>
      <c r="G71" s="29">
        <v>23</v>
      </c>
      <c r="H71" s="29">
        <v>42.9</v>
      </c>
      <c r="I71" s="30">
        <v>0.28756944444444443</v>
      </c>
      <c r="J71" s="29" t="s">
        <v>47</v>
      </c>
      <c r="K71" s="29">
        <v>1</v>
      </c>
      <c r="L71" s="29">
        <v>100</v>
      </c>
      <c r="M71" s="1">
        <v>1297</v>
      </c>
      <c r="N71" s="29">
        <v>1</v>
      </c>
      <c r="O71" s="29">
        <v>100</v>
      </c>
      <c r="P71" s="1">
        <v>572</v>
      </c>
      <c r="W71" s="29"/>
      <c r="AF71" s="42"/>
      <c r="AI71" s="42"/>
      <c r="AJ71" s="42"/>
      <c r="AK71" s="42"/>
      <c r="AL71" s="42"/>
      <c r="AN71" s="42"/>
      <c r="AO71" s="42"/>
      <c r="AP71" s="42"/>
    </row>
    <row r="72" spans="1:42" s="31" customFormat="1" ht="15" customHeight="1">
      <c r="A72" s="29" t="s">
        <v>44</v>
      </c>
      <c r="B72" s="29">
        <v>7</v>
      </c>
      <c r="C72" s="29">
        <v>19</v>
      </c>
      <c r="D72" s="29">
        <v>28.18</v>
      </c>
      <c r="E72" s="29"/>
      <c r="F72" s="29">
        <v>-16</v>
      </c>
      <c r="G72" s="29">
        <v>23</v>
      </c>
      <c r="H72" s="29">
        <v>42.9</v>
      </c>
      <c r="I72" s="30">
        <v>0.28758101851851853</v>
      </c>
      <c r="J72" s="29" t="s">
        <v>47</v>
      </c>
      <c r="K72" s="29">
        <v>1</v>
      </c>
      <c r="L72" s="29">
        <v>100</v>
      </c>
      <c r="M72" s="1">
        <v>1276</v>
      </c>
      <c r="N72" s="29">
        <v>1</v>
      </c>
      <c r="O72" s="29">
        <v>100</v>
      </c>
      <c r="P72" s="1">
        <v>575</v>
      </c>
      <c r="W72" s="29"/>
      <c r="AF72" s="42"/>
      <c r="AI72" s="42"/>
      <c r="AJ72" s="42"/>
      <c r="AK72" s="42"/>
      <c r="AL72" s="42"/>
      <c r="AN72" s="42"/>
      <c r="AO72" s="42"/>
      <c r="AP72" s="42"/>
    </row>
    <row r="73" spans="1:42" s="31" customFormat="1" ht="15" customHeight="1">
      <c r="A73" s="29" t="s">
        <v>44</v>
      </c>
      <c r="B73" s="29">
        <v>7</v>
      </c>
      <c r="C73" s="29">
        <v>19</v>
      </c>
      <c r="D73" s="29">
        <v>28.18</v>
      </c>
      <c r="E73" s="29"/>
      <c r="F73" s="29">
        <v>-16</v>
      </c>
      <c r="G73" s="29">
        <v>23</v>
      </c>
      <c r="H73" s="29">
        <v>42.9</v>
      </c>
      <c r="I73" s="30">
        <v>0.28759259259259257</v>
      </c>
      <c r="J73" s="29" t="s">
        <v>47</v>
      </c>
      <c r="K73" s="29">
        <v>1</v>
      </c>
      <c r="L73" s="29">
        <v>100</v>
      </c>
      <c r="M73" s="1">
        <v>1275</v>
      </c>
      <c r="N73" s="29">
        <v>1</v>
      </c>
      <c r="O73" s="29">
        <v>100</v>
      </c>
      <c r="P73" s="1">
        <v>575</v>
      </c>
      <c r="W73" s="29"/>
      <c r="AF73" s="42"/>
      <c r="AI73" s="42"/>
      <c r="AJ73" s="42"/>
      <c r="AK73" s="42"/>
      <c r="AL73" s="42"/>
      <c r="AN73" s="42"/>
      <c r="AO73" s="42"/>
      <c r="AP73" s="42"/>
    </row>
    <row r="74" spans="1:42" s="31" customFormat="1" ht="15" customHeight="1">
      <c r="A74" s="22" t="s">
        <v>44</v>
      </c>
      <c r="B74" s="22">
        <v>7</v>
      </c>
      <c r="C74" s="22">
        <v>19</v>
      </c>
      <c r="D74" s="22">
        <v>28.18</v>
      </c>
      <c r="E74" s="22"/>
      <c r="F74" s="22">
        <v>-16</v>
      </c>
      <c r="G74" s="22">
        <v>23</v>
      </c>
      <c r="H74" s="22">
        <v>42.9</v>
      </c>
      <c r="I74" s="27">
        <v>0.28760416666666666</v>
      </c>
      <c r="J74" s="22" t="s">
        <v>47</v>
      </c>
      <c r="K74" s="22">
        <v>1</v>
      </c>
      <c r="L74" s="22">
        <v>100</v>
      </c>
      <c r="M74" s="22">
        <v>1269</v>
      </c>
      <c r="N74" s="22">
        <v>1</v>
      </c>
      <c r="O74" s="22">
        <v>100</v>
      </c>
      <c r="P74" s="22">
        <v>578</v>
      </c>
      <c r="Q74" s="28"/>
      <c r="R74" s="28"/>
      <c r="S74" s="28"/>
      <c r="T74" s="28"/>
      <c r="U74" s="28"/>
      <c r="V74" s="28"/>
      <c r="W74" s="22"/>
      <c r="X74" s="28"/>
      <c r="Y74" s="28"/>
      <c r="Z74" s="28"/>
      <c r="AA74" s="28"/>
      <c r="AB74" s="28"/>
      <c r="AC74" s="28"/>
      <c r="AD74" s="28"/>
      <c r="AE74" s="28"/>
      <c r="AF74" s="41"/>
      <c r="AG74" s="28"/>
      <c r="AH74" s="28"/>
      <c r="AI74" s="41"/>
      <c r="AJ74" s="41"/>
      <c r="AK74" s="41"/>
      <c r="AL74" s="41"/>
      <c r="AM74" s="28"/>
      <c r="AN74" s="42"/>
      <c r="AO74" s="42"/>
      <c r="AP74" s="42"/>
    </row>
    <row r="75" spans="1:42" ht="15" customHeight="1">
      <c r="A75" s="29" t="s">
        <v>46</v>
      </c>
      <c r="B75" s="29">
        <v>7</v>
      </c>
      <c r="C75" s="29">
        <v>16</v>
      </c>
      <c r="D75" s="29">
        <v>0</v>
      </c>
      <c r="E75" s="29"/>
      <c r="F75" s="29">
        <v>-16</v>
      </c>
      <c r="G75" s="29">
        <v>23</v>
      </c>
      <c r="H75" s="29">
        <v>0</v>
      </c>
      <c r="I75" s="14">
        <v>0.29166666666666669</v>
      </c>
      <c r="J75" s="29" t="s">
        <v>25</v>
      </c>
      <c r="K75" s="29">
        <v>1</v>
      </c>
      <c r="L75" s="29">
        <v>100</v>
      </c>
      <c r="M75" s="1">
        <v>1288</v>
      </c>
      <c r="N75" s="29">
        <v>1</v>
      </c>
      <c r="O75" s="29">
        <v>100</v>
      </c>
      <c r="P75" s="1">
        <v>570</v>
      </c>
      <c r="R75" t="str">
        <f>A75</f>
        <v>55 Comp</v>
      </c>
      <c r="S75" s="1">
        <v>7.0013889000000002</v>
      </c>
      <c r="T75" s="9">
        <f>$S$1+1.0027379093*S75-$S$3</f>
        <v>7.1832094103748183</v>
      </c>
      <c r="U75" s="9">
        <f>T75-(B75+C75/60+D75/3600)</f>
        <v>-8.3457256291848303E-2</v>
      </c>
      <c r="V75" s="9">
        <f>1/(SIN(-1*$U$1*((ABS(F75)+G75/60+H75*3600)))*SIN($U$1*$S$2)+COS(-1*$U$1*((ABS(F75)+G75/60+H75*3600)))*COS($U$1*$S$2)*COS($U$1*U75*15))</f>
        <v>1.2649982909512236</v>
      </c>
      <c r="W75" s="1" t="str">
        <f>J75</f>
        <v>V</v>
      </c>
      <c r="X75" s="9">
        <f>AVERAGE(M75:M84)/K75/L75</f>
        <v>12.970999999999998</v>
      </c>
      <c r="Y75" s="9">
        <f>STDEV(M75:M84)/K75/L75</f>
        <v>0.147305427221433</v>
      </c>
      <c r="Z75" s="9">
        <f>AVERAGE(P75:P84)/N75/O75</f>
        <v>5.7360000000000007</v>
      </c>
      <c r="AA75" s="9">
        <f>STDEV(P75:P84)/N75/N84</f>
        <v>3.7475918193480524</v>
      </c>
      <c r="AB75" s="9">
        <f>X75-Z75</f>
        <v>7.2349999999999977</v>
      </c>
      <c r="AC75" s="9">
        <f>(Y75^2+AA75^2)^0.5</f>
        <v>3.7504857463178465</v>
      </c>
      <c r="AD75" s="9">
        <f>-2.5*LOG10(AB75)</f>
        <v>-2.1485963386376401</v>
      </c>
      <c r="AE75" s="9">
        <f>0.43429448*AC75/AB75</f>
        <v>0.2251299594947507</v>
      </c>
      <c r="AH75" s="9"/>
    </row>
    <row r="76" spans="1:42" ht="15" customHeight="1">
      <c r="A76" s="29" t="s">
        <v>46</v>
      </c>
      <c r="B76" s="29">
        <v>7</v>
      </c>
      <c r="C76" s="29">
        <v>16</v>
      </c>
      <c r="D76" s="29">
        <v>0</v>
      </c>
      <c r="E76" s="29"/>
      <c r="F76" s="29">
        <v>-16</v>
      </c>
      <c r="G76" s="29">
        <v>23</v>
      </c>
      <c r="H76" s="29">
        <v>0</v>
      </c>
      <c r="I76" s="14">
        <v>0.29167824074074072</v>
      </c>
      <c r="J76" s="29" t="s">
        <v>25</v>
      </c>
      <c r="K76" s="29">
        <v>1</v>
      </c>
      <c r="L76" s="29">
        <v>100</v>
      </c>
      <c r="M76" s="1">
        <v>1301</v>
      </c>
      <c r="N76" s="29">
        <v>1</v>
      </c>
      <c r="O76" s="29">
        <v>100</v>
      </c>
      <c r="P76" s="1">
        <v>576</v>
      </c>
    </row>
    <row r="77" spans="1:42" ht="15" customHeight="1">
      <c r="A77" s="29" t="s">
        <v>46</v>
      </c>
      <c r="B77" s="29">
        <v>7</v>
      </c>
      <c r="C77" s="29">
        <v>16</v>
      </c>
      <c r="D77" s="29">
        <v>0</v>
      </c>
      <c r="E77" s="29"/>
      <c r="F77" s="29">
        <v>-16</v>
      </c>
      <c r="G77" s="29">
        <v>23</v>
      </c>
      <c r="H77" s="29">
        <v>0</v>
      </c>
      <c r="I77" s="14">
        <v>0.29168981481481482</v>
      </c>
      <c r="J77" s="29" t="s">
        <v>25</v>
      </c>
      <c r="K77" s="29">
        <v>1</v>
      </c>
      <c r="L77" s="29">
        <v>100</v>
      </c>
      <c r="M77" s="1">
        <v>1289</v>
      </c>
      <c r="N77" s="29">
        <v>1</v>
      </c>
      <c r="O77" s="29">
        <v>100</v>
      </c>
      <c r="P77" s="1">
        <v>578</v>
      </c>
    </row>
    <row r="78" spans="1:42" ht="15" customHeight="1">
      <c r="A78" s="29" t="s">
        <v>46</v>
      </c>
      <c r="B78" s="29">
        <v>7</v>
      </c>
      <c r="C78" s="29">
        <v>16</v>
      </c>
      <c r="D78" s="29">
        <v>0</v>
      </c>
      <c r="E78" s="29"/>
      <c r="F78" s="29">
        <v>-16</v>
      </c>
      <c r="G78" s="29">
        <v>23</v>
      </c>
      <c r="H78" s="29">
        <v>0</v>
      </c>
      <c r="I78" s="14">
        <v>0.29170138888888891</v>
      </c>
      <c r="J78" s="29" t="s">
        <v>25</v>
      </c>
      <c r="K78" s="29">
        <v>1</v>
      </c>
      <c r="L78" s="29">
        <v>100</v>
      </c>
      <c r="M78" s="1">
        <v>1315</v>
      </c>
      <c r="N78" s="29">
        <v>1</v>
      </c>
      <c r="O78" s="29">
        <v>100</v>
      </c>
      <c r="P78" s="1">
        <v>571</v>
      </c>
    </row>
    <row r="79" spans="1:42" ht="15" customHeight="1">
      <c r="A79" s="29" t="s">
        <v>46</v>
      </c>
      <c r="B79" s="29">
        <v>7</v>
      </c>
      <c r="C79" s="29">
        <v>16</v>
      </c>
      <c r="D79" s="29">
        <v>0</v>
      </c>
      <c r="E79" s="29"/>
      <c r="F79" s="29">
        <v>-16</v>
      </c>
      <c r="G79" s="29">
        <v>23</v>
      </c>
      <c r="H79" s="29">
        <v>0</v>
      </c>
      <c r="I79" s="14">
        <v>0.29171296296296295</v>
      </c>
      <c r="J79" s="29" t="s">
        <v>25</v>
      </c>
      <c r="K79" s="29">
        <v>1</v>
      </c>
      <c r="L79" s="29">
        <v>100</v>
      </c>
      <c r="M79" s="1">
        <v>1316</v>
      </c>
      <c r="N79" s="29">
        <v>1</v>
      </c>
      <c r="O79" s="29">
        <v>100</v>
      </c>
      <c r="P79" s="1">
        <v>568</v>
      </c>
    </row>
    <row r="80" spans="1:42" ht="15" customHeight="1">
      <c r="A80" s="29" t="s">
        <v>46</v>
      </c>
      <c r="B80" s="29">
        <v>7</v>
      </c>
      <c r="C80" s="29">
        <v>16</v>
      </c>
      <c r="D80" s="29">
        <v>0</v>
      </c>
      <c r="E80" s="29"/>
      <c r="F80" s="29">
        <v>-16</v>
      </c>
      <c r="G80" s="29">
        <v>23</v>
      </c>
      <c r="H80" s="29">
        <v>0</v>
      </c>
      <c r="I80" s="14">
        <v>0.29172453703703705</v>
      </c>
      <c r="J80" s="29" t="s">
        <v>25</v>
      </c>
      <c r="K80" s="29">
        <v>1</v>
      </c>
      <c r="L80" s="29">
        <v>100</v>
      </c>
      <c r="M80" s="1">
        <v>1282</v>
      </c>
      <c r="N80" s="29">
        <v>1</v>
      </c>
      <c r="O80" s="29">
        <v>100</v>
      </c>
      <c r="P80" s="1">
        <v>572</v>
      </c>
    </row>
    <row r="81" spans="1:39" ht="15" customHeight="1">
      <c r="A81" s="29" t="s">
        <v>46</v>
      </c>
      <c r="B81" s="29">
        <v>7</v>
      </c>
      <c r="C81" s="29">
        <v>16</v>
      </c>
      <c r="D81" s="29">
        <v>0</v>
      </c>
      <c r="E81" s="29"/>
      <c r="F81" s="29">
        <v>-16</v>
      </c>
      <c r="G81" s="29">
        <v>23</v>
      </c>
      <c r="H81" s="29">
        <v>0</v>
      </c>
      <c r="I81" s="14">
        <v>0.29173611111111114</v>
      </c>
      <c r="J81" s="29" t="s">
        <v>25</v>
      </c>
      <c r="K81" s="29">
        <v>1</v>
      </c>
      <c r="L81" s="29">
        <v>100</v>
      </c>
      <c r="M81" s="1">
        <v>1286</v>
      </c>
      <c r="N81" s="29">
        <v>1</v>
      </c>
      <c r="O81" s="29">
        <v>100</v>
      </c>
      <c r="P81" s="1">
        <v>579</v>
      </c>
    </row>
    <row r="82" spans="1:39" ht="15" customHeight="1">
      <c r="A82" s="29" t="s">
        <v>46</v>
      </c>
      <c r="B82" s="29">
        <v>7</v>
      </c>
      <c r="C82" s="29">
        <v>16</v>
      </c>
      <c r="D82" s="29">
        <v>0</v>
      </c>
      <c r="E82" s="29"/>
      <c r="F82" s="29">
        <v>-16</v>
      </c>
      <c r="G82" s="29">
        <v>23</v>
      </c>
      <c r="H82" s="29">
        <v>0</v>
      </c>
      <c r="I82" s="14">
        <v>0.29174768518518518</v>
      </c>
      <c r="J82" s="29" t="s">
        <v>25</v>
      </c>
      <c r="K82" s="29">
        <v>1</v>
      </c>
      <c r="L82" s="29">
        <v>100</v>
      </c>
      <c r="M82" s="1">
        <v>1291</v>
      </c>
      <c r="N82" s="29">
        <v>1</v>
      </c>
      <c r="O82" s="29">
        <v>100</v>
      </c>
      <c r="P82" s="1">
        <v>577</v>
      </c>
    </row>
    <row r="83" spans="1:39" ht="15" customHeight="1">
      <c r="A83" s="29" t="s">
        <v>46</v>
      </c>
      <c r="B83" s="29">
        <v>7</v>
      </c>
      <c r="C83" s="29">
        <v>16</v>
      </c>
      <c r="D83" s="29">
        <v>0</v>
      </c>
      <c r="E83" s="29"/>
      <c r="F83" s="29">
        <v>-16</v>
      </c>
      <c r="G83" s="29">
        <v>23</v>
      </c>
      <c r="H83" s="29">
        <v>0</v>
      </c>
      <c r="I83" s="14">
        <v>0.29175925925925927</v>
      </c>
      <c r="J83" s="29" t="s">
        <v>25</v>
      </c>
      <c r="K83" s="29">
        <v>1</v>
      </c>
      <c r="L83" s="29">
        <v>100</v>
      </c>
      <c r="M83" s="1">
        <v>1320</v>
      </c>
      <c r="N83" s="29">
        <v>1</v>
      </c>
      <c r="O83" s="29">
        <v>100</v>
      </c>
      <c r="P83" s="1">
        <v>571</v>
      </c>
    </row>
    <row r="84" spans="1:39" ht="15" customHeight="1">
      <c r="A84" s="22" t="s">
        <v>46</v>
      </c>
      <c r="B84" s="22">
        <v>7</v>
      </c>
      <c r="C84" s="22">
        <v>16</v>
      </c>
      <c r="D84" s="22">
        <v>0</v>
      </c>
      <c r="E84" s="22"/>
      <c r="F84" s="22">
        <v>-16</v>
      </c>
      <c r="G84" s="22">
        <v>23</v>
      </c>
      <c r="H84" s="22">
        <v>0</v>
      </c>
      <c r="I84" s="27">
        <v>0.29177083333333337</v>
      </c>
      <c r="J84" s="22" t="s">
        <v>25</v>
      </c>
      <c r="K84" s="22">
        <v>1</v>
      </c>
      <c r="L84" s="22">
        <v>100</v>
      </c>
      <c r="M84" s="22">
        <v>1283</v>
      </c>
      <c r="N84" s="22">
        <v>1</v>
      </c>
      <c r="O84" s="22">
        <v>100</v>
      </c>
      <c r="P84" s="22">
        <v>574</v>
      </c>
      <c r="Q84" s="28"/>
      <c r="R84" s="28"/>
      <c r="S84" s="28"/>
      <c r="T84" s="28"/>
      <c r="U84" s="28"/>
      <c r="V84" s="28"/>
      <c r="W84" s="22"/>
      <c r="X84" s="28"/>
      <c r="Y84" s="28"/>
      <c r="Z84" s="28"/>
      <c r="AA84" s="28"/>
      <c r="AB84" s="28"/>
      <c r="AC84" s="28"/>
      <c r="AD84" s="28"/>
      <c r="AE84" s="28"/>
      <c r="AF84" s="41"/>
      <c r="AG84" s="28"/>
      <c r="AH84" s="28"/>
      <c r="AI84" s="41"/>
      <c r="AJ84" s="41"/>
      <c r="AK84" s="41"/>
      <c r="AL84" s="41"/>
      <c r="AM84" s="28"/>
    </row>
    <row r="85" spans="1:39" ht="15" customHeight="1">
      <c r="A85" s="29" t="s">
        <v>46</v>
      </c>
      <c r="B85" s="29">
        <v>7</v>
      </c>
      <c r="C85" s="29">
        <v>16</v>
      </c>
      <c r="D85" s="29">
        <v>0</v>
      </c>
      <c r="E85" s="29"/>
      <c r="F85" s="29">
        <v>-16</v>
      </c>
      <c r="G85" s="29">
        <v>23</v>
      </c>
      <c r="H85" s="29">
        <v>0</v>
      </c>
      <c r="I85" s="14">
        <v>0.29375000000000001</v>
      </c>
      <c r="J85" s="29" t="s">
        <v>47</v>
      </c>
      <c r="K85" s="29">
        <v>1</v>
      </c>
      <c r="L85" s="29">
        <v>100</v>
      </c>
      <c r="M85" s="1">
        <v>1332</v>
      </c>
      <c r="N85" s="29">
        <v>1</v>
      </c>
      <c r="O85" s="29">
        <v>100</v>
      </c>
      <c r="P85" s="1">
        <v>575</v>
      </c>
      <c r="R85" t="str">
        <f>A85</f>
        <v>55 Comp</v>
      </c>
      <c r="S85" s="1">
        <v>7.0513880000000002</v>
      </c>
      <c r="T85" s="9">
        <f>$S$1+1.0027379093*S85-$S$3</f>
        <v>7.2333454033757008</v>
      </c>
      <c r="U85" s="9">
        <f>T85-(B85+C85/60+D85/3600)</f>
        <v>-3.3321263290965852E-2</v>
      </c>
      <c r="V85" s="9">
        <f>1/(SIN(-1*$U$1*((ABS(F85)+G85/60+H85*3600)))*SIN($U$1*$S$2)+COS(-1*$U$1*((ABS(F85)+G85/60+H85*3600)))*COS($U$1*$S$2)*COS($U$1*U85*15))</f>
        <v>1.2647115006183434</v>
      </c>
      <c r="W85" s="1" t="str">
        <f>J85</f>
        <v>R</v>
      </c>
      <c r="X85" s="9">
        <f>AVERAGE(M85:M94)/K85/L85</f>
        <v>12.845000000000001</v>
      </c>
      <c r="Y85" s="9">
        <f>STDEV(M85:M94)/K85/L85</f>
        <v>0.30682061353319939</v>
      </c>
      <c r="Z85" s="9">
        <f>AVERAGE(P85:P94)/N85/O85</f>
        <v>5.7670000000000003</v>
      </c>
      <c r="AA85" s="9">
        <f>STDEV(P85:P94)/N85/N94</f>
        <v>2.8693785622209793</v>
      </c>
      <c r="AB85" s="9">
        <f>X85-Z85</f>
        <v>7.0780000000000003</v>
      </c>
      <c r="AC85" s="9">
        <f>(Y85^2+AA85^2)^0.5</f>
        <v>2.8857359931605355</v>
      </c>
      <c r="AD85" s="9">
        <f>-2.5*LOG10(AB85)</f>
        <v>-2.1247763957537402</v>
      </c>
      <c r="AE85" s="9">
        <f>0.43429448*AC85/AB85</f>
        <v>0.17706403116232525</v>
      </c>
      <c r="AH85" s="9"/>
    </row>
    <row r="86" spans="1:39" ht="15" customHeight="1">
      <c r="A86" s="29" t="s">
        <v>46</v>
      </c>
      <c r="B86" s="29">
        <v>7</v>
      </c>
      <c r="C86" s="29">
        <v>16</v>
      </c>
      <c r="D86" s="29">
        <v>0</v>
      </c>
      <c r="E86" s="29"/>
      <c r="F86" s="29">
        <v>-16</v>
      </c>
      <c r="G86" s="29">
        <v>23</v>
      </c>
      <c r="H86" s="29">
        <v>0</v>
      </c>
      <c r="I86" s="14">
        <v>0.29376157407407405</v>
      </c>
      <c r="J86" s="29" t="s">
        <v>47</v>
      </c>
      <c r="K86" s="29">
        <v>1</v>
      </c>
      <c r="L86" s="29">
        <v>100</v>
      </c>
      <c r="M86" s="1">
        <v>1289</v>
      </c>
      <c r="N86" s="29">
        <v>1</v>
      </c>
      <c r="O86" s="29">
        <v>100</v>
      </c>
      <c r="P86" s="1">
        <v>573</v>
      </c>
    </row>
    <row r="87" spans="1:39" ht="15" customHeight="1">
      <c r="A87" s="29" t="s">
        <v>46</v>
      </c>
      <c r="B87" s="29">
        <v>7</v>
      </c>
      <c r="C87" s="29">
        <v>16</v>
      </c>
      <c r="D87" s="29">
        <v>0</v>
      </c>
      <c r="E87" s="29"/>
      <c r="F87" s="29">
        <v>-16</v>
      </c>
      <c r="G87" s="29">
        <v>23</v>
      </c>
      <c r="H87" s="29">
        <v>0</v>
      </c>
      <c r="I87" s="14">
        <v>0.29377314814814814</v>
      </c>
      <c r="J87" s="29" t="s">
        <v>47</v>
      </c>
      <c r="K87" s="29">
        <v>1</v>
      </c>
      <c r="L87" s="29">
        <v>100</v>
      </c>
      <c r="M87" s="1">
        <v>1232</v>
      </c>
      <c r="N87" s="29">
        <v>1</v>
      </c>
      <c r="O87" s="29">
        <v>100</v>
      </c>
      <c r="P87" s="1">
        <v>574</v>
      </c>
    </row>
    <row r="88" spans="1:39" ht="15" customHeight="1">
      <c r="A88" s="29" t="s">
        <v>46</v>
      </c>
      <c r="B88" s="29">
        <v>7</v>
      </c>
      <c r="C88" s="29">
        <v>16</v>
      </c>
      <c r="D88" s="29">
        <v>0</v>
      </c>
      <c r="E88" s="29"/>
      <c r="F88" s="29">
        <v>-16</v>
      </c>
      <c r="G88" s="29">
        <v>23</v>
      </c>
      <c r="H88" s="29">
        <v>0</v>
      </c>
      <c r="I88" s="14">
        <v>0.29378472222222224</v>
      </c>
      <c r="J88" s="29" t="s">
        <v>47</v>
      </c>
      <c r="K88" s="29">
        <v>1</v>
      </c>
      <c r="L88" s="29">
        <v>100</v>
      </c>
      <c r="M88" s="1">
        <v>1273</v>
      </c>
      <c r="N88" s="29">
        <v>1</v>
      </c>
      <c r="O88" s="29">
        <v>100</v>
      </c>
      <c r="P88" s="1">
        <v>573</v>
      </c>
    </row>
    <row r="89" spans="1:39" ht="15" customHeight="1">
      <c r="A89" s="29" t="s">
        <v>46</v>
      </c>
      <c r="B89" s="29">
        <v>7</v>
      </c>
      <c r="C89" s="29">
        <v>16</v>
      </c>
      <c r="D89" s="29">
        <v>0</v>
      </c>
      <c r="E89" s="29"/>
      <c r="F89" s="29">
        <v>-16</v>
      </c>
      <c r="G89" s="29">
        <v>23</v>
      </c>
      <c r="H89" s="29">
        <v>0</v>
      </c>
      <c r="I89" s="14">
        <v>0.29379629629629628</v>
      </c>
      <c r="J89" s="29" t="s">
        <v>47</v>
      </c>
      <c r="K89" s="29">
        <v>1</v>
      </c>
      <c r="L89" s="29">
        <v>100</v>
      </c>
      <c r="M89" s="1">
        <v>1297</v>
      </c>
      <c r="N89" s="29">
        <v>1</v>
      </c>
      <c r="O89" s="29">
        <v>100</v>
      </c>
      <c r="P89" s="1">
        <v>580</v>
      </c>
    </row>
    <row r="90" spans="1:39" ht="15" customHeight="1">
      <c r="A90" s="29" t="s">
        <v>46</v>
      </c>
      <c r="B90" s="29">
        <v>7</v>
      </c>
      <c r="C90" s="29">
        <v>16</v>
      </c>
      <c r="D90" s="29">
        <v>0</v>
      </c>
      <c r="E90" s="29"/>
      <c r="F90" s="29">
        <v>-16</v>
      </c>
      <c r="G90" s="29">
        <v>23</v>
      </c>
      <c r="H90" s="29">
        <v>0</v>
      </c>
      <c r="I90" s="14">
        <v>0.29380787037037037</v>
      </c>
      <c r="J90" s="29" t="s">
        <v>47</v>
      </c>
      <c r="K90" s="29">
        <v>1</v>
      </c>
      <c r="L90" s="29">
        <v>100</v>
      </c>
      <c r="M90" s="1">
        <v>1273</v>
      </c>
      <c r="N90" s="29">
        <v>1</v>
      </c>
      <c r="O90" s="29">
        <v>100</v>
      </c>
      <c r="P90" s="1">
        <v>578</v>
      </c>
    </row>
    <row r="91" spans="1:39" ht="15" customHeight="1">
      <c r="A91" s="29" t="s">
        <v>46</v>
      </c>
      <c r="B91" s="29">
        <v>7</v>
      </c>
      <c r="C91" s="29">
        <v>16</v>
      </c>
      <c r="D91" s="29">
        <v>0</v>
      </c>
      <c r="E91" s="29"/>
      <c r="F91" s="29">
        <v>-16</v>
      </c>
      <c r="G91" s="29">
        <v>23</v>
      </c>
      <c r="H91" s="29">
        <v>0</v>
      </c>
      <c r="I91" s="14">
        <v>0.29381944444444447</v>
      </c>
      <c r="J91" s="29" t="s">
        <v>47</v>
      </c>
      <c r="K91" s="29">
        <v>1</v>
      </c>
      <c r="L91" s="29">
        <v>100</v>
      </c>
      <c r="M91" s="1">
        <v>1290</v>
      </c>
      <c r="N91" s="29">
        <v>1</v>
      </c>
      <c r="O91" s="29">
        <v>100</v>
      </c>
      <c r="P91" s="1">
        <v>578</v>
      </c>
    </row>
    <row r="92" spans="1:39" ht="15" customHeight="1">
      <c r="A92" s="29" t="s">
        <v>46</v>
      </c>
      <c r="B92" s="29">
        <v>7</v>
      </c>
      <c r="C92" s="29">
        <v>16</v>
      </c>
      <c r="D92" s="29">
        <v>0</v>
      </c>
      <c r="E92" s="29"/>
      <c r="F92" s="29">
        <v>-16</v>
      </c>
      <c r="G92" s="29">
        <v>23</v>
      </c>
      <c r="H92" s="29">
        <v>0</v>
      </c>
      <c r="I92" s="14">
        <v>0.29383101851851851</v>
      </c>
      <c r="J92" s="29" t="s">
        <v>47</v>
      </c>
      <c r="K92" s="29">
        <v>1</v>
      </c>
      <c r="L92" s="29">
        <v>100</v>
      </c>
      <c r="M92" s="1">
        <v>1299</v>
      </c>
      <c r="N92" s="29">
        <v>1</v>
      </c>
      <c r="O92" s="29">
        <v>100</v>
      </c>
      <c r="P92" s="1">
        <v>576</v>
      </c>
    </row>
    <row r="93" spans="1:39" ht="15" customHeight="1">
      <c r="A93" s="29" t="s">
        <v>46</v>
      </c>
      <c r="B93" s="29">
        <v>7</v>
      </c>
      <c r="C93" s="29">
        <v>16</v>
      </c>
      <c r="D93" s="29">
        <v>0</v>
      </c>
      <c r="E93" s="29"/>
      <c r="F93" s="29">
        <v>-16</v>
      </c>
      <c r="G93" s="29">
        <v>23</v>
      </c>
      <c r="H93" s="29">
        <v>0</v>
      </c>
      <c r="I93" s="14">
        <v>0.2938425925925926</v>
      </c>
      <c r="J93" s="29" t="s">
        <v>47</v>
      </c>
      <c r="K93" s="29">
        <v>1</v>
      </c>
      <c r="L93" s="29">
        <v>100</v>
      </c>
      <c r="M93" s="1">
        <v>1317</v>
      </c>
      <c r="N93" s="29">
        <v>1</v>
      </c>
      <c r="O93" s="29">
        <v>100</v>
      </c>
      <c r="P93" s="1">
        <v>580</v>
      </c>
    </row>
    <row r="94" spans="1:39" ht="15" customHeight="1">
      <c r="A94" s="22" t="s">
        <v>46</v>
      </c>
      <c r="B94" s="22">
        <v>7</v>
      </c>
      <c r="C94" s="22">
        <v>16</v>
      </c>
      <c r="D94" s="22">
        <v>0</v>
      </c>
      <c r="E94" s="22"/>
      <c r="F94" s="22">
        <v>-16</v>
      </c>
      <c r="G94" s="22">
        <v>23</v>
      </c>
      <c r="H94" s="22">
        <v>0</v>
      </c>
      <c r="I94" s="27">
        <v>0.29385416666666669</v>
      </c>
      <c r="J94" s="22" t="s">
        <v>47</v>
      </c>
      <c r="K94" s="22">
        <v>1</v>
      </c>
      <c r="L94" s="22">
        <v>100</v>
      </c>
      <c r="M94" s="22">
        <v>1243</v>
      </c>
      <c r="N94" s="22">
        <v>1</v>
      </c>
      <c r="O94" s="22">
        <v>100</v>
      </c>
      <c r="P94" s="22">
        <v>580</v>
      </c>
      <c r="Q94" s="28"/>
      <c r="R94" s="28"/>
      <c r="S94" s="28"/>
      <c r="T94" s="28"/>
      <c r="U94" s="28"/>
      <c r="V94" s="28"/>
      <c r="W94" s="22"/>
      <c r="X94" s="28"/>
      <c r="Y94" s="28"/>
      <c r="Z94" s="28"/>
      <c r="AA94" s="28"/>
      <c r="AB94" s="28"/>
      <c r="AC94" s="28"/>
      <c r="AD94" s="28"/>
      <c r="AE94" s="28"/>
      <c r="AF94" s="41"/>
      <c r="AG94" s="28"/>
      <c r="AH94" s="28"/>
      <c r="AI94" s="41"/>
      <c r="AJ94" s="41"/>
      <c r="AK94" s="41"/>
      <c r="AL94" s="41"/>
      <c r="AM94" s="28"/>
    </row>
    <row r="95" spans="1:39" ht="15" customHeight="1">
      <c r="A95" s="29" t="s">
        <v>44</v>
      </c>
      <c r="B95" s="29">
        <v>7</v>
      </c>
      <c r="C95" s="29">
        <v>19</v>
      </c>
      <c r="D95" s="29">
        <v>28.18</v>
      </c>
      <c r="E95" s="29"/>
      <c r="F95" s="29">
        <v>-16</v>
      </c>
      <c r="G95" s="29">
        <v>23</v>
      </c>
      <c r="H95" s="29">
        <v>42.9</v>
      </c>
      <c r="I95" s="14">
        <v>0.3125</v>
      </c>
      <c r="J95" s="29" t="s">
        <v>25</v>
      </c>
      <c r="K95" s="29">
        <v>1</v>
      </c>
      <c r="L95" s="29">
        <v>100</v>
      </c>
      <c r="M95" s="1">
        <v>1149</v>
      </c>
      <c r="N95" s="29">
        <v>1</v>
      </c>
      <c r="O95" s="29">
        <v>100</v>
      </c>
      <c r="P95" s="1">
        <v>582</v>
      </c>
      <c r="R95" t="str">
        <f>A95</f>
        <v>R CMa</v>
      </c>
      <c r="S95" s="1">
        <v>7.5013888</v>
      </c>
      <c r="T95" s="9">
        <f>$S$1+1.0027379093*S95-$S$3</f>
        <v>7.6845782647510283</v>
      </c>
      <c r="U95" s="9">
        <f>T95-(B95+C95/60+D95/3600)</f>
        <v>0.36008382030658392</v>
      </c>
      <c r="V95" s="9">
        <f>1/(SIN(-1*$U$1*((ABS(F95)+G95/60+H95*3600)))*SIN($U$1*$S$2)+COS(-1*$U$1*((ABS(F95)+G95/60+H95*3600)))*COS($U$1*$S$2)*COS($U$1*U95*15))</f>
        <v>1.2710309339524613</v>
      </c>
      <c r="W95" s="1" t="str">
        <f>J95</f>
        <v>V</v>
      </c>
      <c r="X95" s="9">
        <f>AVERAGE(M95:M104)/K95/L95</f>
        <v>11.477</v>
      </c>
      <c r="Y95" s="9">
        <f>STDEV(M95:M104)/K95/L95</f>
        <v>0.18631216337701148</v>
      </c>
      <c r="Z95" s="9">
        <f>AVERAGE(P95:P104)/N95/O95</f>
        <v>5.8889999999999993</v>
      </c>
      <c r="AA95" s="9">
        <f>STDEV(P95:P104)/N95/N104</f>
        <v>4.3320510923425948</v>
      </c>
      <c r="AB95" s="9">
        <f>X95-Z95</f>
        <v>5.588000000000001</v>
      </c>
      <c r="AC95" s="9">
        <f>(Y95^2+AA95^2)^0.5</f>
        <v>4.3360556833242914</v>
      </c>
      <c r="AD95" s="9">
        <f>-2.5*LOG10(AB95)</f>
        <v>-1.8681409936053608</v>
      </c>
      <c r="AE95" s="9">
        <f>0.43429448*AC95/AB95</f>
        <v>0.33699446103084596</v>
      </c>
      <c r="AH95" s="9"/>
    </row>
    <row r="96" spans="1:39" ht="15" customHeight="1">
      <c r="A96" s="29" t="s">
        <v>44</v>
      </c>
      <c r="B96" s="29">
        <v>7</v>
      </c>
      <c r="C96" s="29">
        <v>19</v>
      </c>
      <c r="D96" s="29">
        <v>28.18</v>
      </c>
      <c r="E96" s="29"/>
      <c r="F96" s="29">
        <v>-16</v>
      </c>
      <c r="G96" s="29">
        <v>23</v>
      </c>
      <c r="H96" s="29">
        <v>42.9</v>
      </c>
      <c r="I96" s="14">
        <v>0.31251157407407409</v>
      </c>
      <c r="J96" s="29" t="s">
        <v>25</v>
      </c>
      <c r="K96" s="29">
        <v>1</v>
      </c>
      <c r="L96" s="29">
        <v>100</v>
      </c>
      <c r="M96" s="1">
        <v>1131</v>
      </c>
      <c r="N96" s="29">
        <v>1</v>
      </c>
      <c r="O96" s="29">
        <v>100</v>
      </c>
      <c r="P96" s="1">
        <v>589</v>
      </c>
    </row>
    <row r="97" spans="1:46" ht="15" customHeight="1">
      <c r="A97" s="29" t="s">
        <v>44</v>
      </c>
      <c r="B97" s="29">
        <v>7</v>
      </c>
      <c r="C97" s="29">
        <v>19</v>
      </c>
      <c r="D97" s="29">
        <v>28.18</v>
      </c>
      <c r="E97" s="29"/>
      <c r="F97" s="29">
        <v>-16</v>
      </c>
      <c r="G97" s="29">
        <v>23</v>
      </c>
      <c r="H97" s="29">
        <v>42.9</v>
      </c>
      <c r="I97" s="14">
        <v>0.31252314814814813</v>
      </c>
      <c r="J97" s="29" t="s">
        <v>25</v>
      </c>
      <c r="K97" s="29">
        <v>1</v>
      </c>
      <c r="L97" s="29">
        <v>100</v>
      </c>
      <c r="M97" s="1">
        <v>1144</v>
      </c>
      <c r="N97" s="29">
        <v>1</v>
      </c>
      <c r="O97" s="29">
        <v>100</v>
      </c>
      <c r="P97" s="1">
        <v>586</v>
      </c>
    </row>
    <row r="98" spans="1:46" ht="15" customHeight="1">
      <c r="A98" s="29" t="s">
        <v>44</v>
      </c>
      <c r="B98" s="29">
        <v>7</v>
      </c>
      <c r="C98" s="29">
        <v>19</v>
      </c>
      <c r="D98" s="29">
        <v>28.18</v>
      </c>
      <c r="E98" s="29"/>
      <c r="F98" s="29">
        <v>-16</v>
      </c>
      <c r="G98" s="29">
        <v>23</v>
      </c>
      <c r="H98" s="29">
        <v>42.9</v>
      </c>
      <c r="I98" s="14">
        <v>0.31253472222222223</v>
      </c>
      <c r="J98" s="29" t="s">
        <v>25</v>
      </c>
      <c r="K98" s="29">
        <v>1</v>
      </c>
      <c r="L98" s="29">
        <v>100</v>
      </c>
      <c r="M98" s="1">
        <v>1134</v>
      </c>
      <c r="N98" s="29">
        <v>1</v>
      </c>
      <c r="O98" s="29">
        <v>100</v>
      </c>
      <c r="P98" s="1">
        <v>593</v>
      </c>
    </row>
    <row r="99" spans="1:46" ht="15" customHeight="1">
      <c r="A99" s="29" t="s">
        <v>44</v>
      </c>
      <c r="B99" s="29">
        <v>7</v>
      </c>
      <c r="C99" s="29">
        <v>19</v>
      </c>
      <c r="D99" s="29">
        <v>28.18</v>
      </c>
      <c r="E99" s="29"/>
      <c r="F99" s="29">
        <v>-16</v>
      </c>
      <c r="G99" s="29">
        <v>23</v>
      </c>
      <c r="H99" s="29">
        <v>42.9</v>
      </c>
      <c r="I99" s="14">
        <v>0.31254629629629632</v>
      </c>
      <c r="J99" s="29" t="s">
        <v>25</v>
      </c>
      <c r="K99" s="29">
        <v>1</v>
      </c>
      <c r="L99" s="29">
        <v>100</v>
      </c>
      <c r="M99" s="1">
        <v>1134</v>
      </c>
      <c r="N99" s="29">
        <v>1</v>
      </c>
      <c r="O99" s="29">
        <v>100</v>
      </c>
      <c r="P99" s="1">
        <v>585</v>
      </c>
    </row>
    <row r="100" spans="1:46" ht="15" customHeight="1">
      <c r="A100" s="29" t="s">
        <v>44</v>
      </c>
      <c r="B100" s="29">
        <v>7</v>
      </c>
      <c r="C100" s="29">
        <v>19</v>
      </c>
      <c r="D100" s="29">
        <v>28.18</v>
      </c>
      <c r="E100" s="29"/>
      <c r="F100" s="29">
        <v>-16</v>
      </c>
      <c r="G100" s="29">
        <v>23</v>
      </c>
      <c r="H100" s="29">
        <v>42.9</v>
      </c>
      <c r="I100" s="14">
        <v>0.31255787037037036</v>
      </c>
      <c r="J100" s="29" t="s">
        <v>25</v>
      </c>
      <c r="K100" s="29">
        <v>1</v>
      </c>
      <c r="L100" s="29">
        <v>100</v>
      </c>
      <c r="M100" s="1">
        <v>1180</v>
      </c>
      <c r="N100" s="29">
        <v>1</v>
      </c>
      <c r="O100" s="29">
        <v>100</v>
      </c>
      <c r="P100" s="1">
        <v>594</v>
      </c>
    </row>
    <row r="101" spans="1:46" ht="15" customHeight="1">
      <c r="A101" s="29" t="s">
        <v>44</v>
      </c>
      <c r="B101" s="29">
        <v>7</v>
      </c>
      <c r="C101" s="29">
        <v>19</v>
      </c>
      <c r="D101" s="29">
        <v>28.18</v>
      </c>
      <c r="E101" s="29"/>
      <c r="F101" s="29">
        <v>-16</v>
      </c>
      <c r="G101" s="29">
        <v>23</v>
      </c>
      <c r="H101" s="29">
        <v>42.9</v>
      </c>
      <c r="I101" s="14">
        <v>0.31256944444444446</v>
      </c>
      <c r="J101" s="29" t="s">
        <v>25</v>
      </c>
      <c r="K101" s="29">
        <v>1</v>
      </c>
      <c r="L101" s="29">
        <v>100</v>
      </c>
      <c r="M101" s="1">
        <v>1165</v>
      </c>
      <c r="N101" s="29">
        <v>1</v>
      </c>
      <c r="O101" s="29">
        <v>100</v>
      </c>
      <c r="P101" s="1">
        <v>592</v>
      </c>
    </row>
    <row r="102" spans="1:46" ht="15" customHeight="1">
      <c r="A102" s="29" t="s">
        <v>44</v>
      </c>
      <c r="B102" s="29">
        <v>7</v>
      </c>
      <c r="C102" s="29">
        <v>19</v>
      </c>
      <c r="D102" s="29">
        <v>28.18</v>
      </c>
      <c r="E102" s="29"/>
      <c r="F102" s="29">
        <v>-16</v>
      </c>
      <c r="G102" s="29">
        <v>23</v>
      </c>
      <c r="H102" s="29">
        <v>42.9</v>
      </c>
      <c r="I102" s="14">
        <v>0.31258101851851855</v>
      </c>
      <c r="J102" s="29" t="s">
        <v>25</v>
      </c>
      <c r="K102" s="29">
        <v>1</v>
      </c>
      <c r="L102" s="29">
        <v>100</v>
      </c>
      <c r="M102" s="1">
        <v>1145</v>
      </c>
      <c r="N102" s="29">
        <v>1</v>
      </c>
      <c r="O102" s="29">
        <v>100</v>
      </c>
      <c r="P102" s="1">
        <v>584</v>
      </c>
    </row>
    <row r="103" spans="1:46" ht="15" customHeight="1">
      <c r="A103" s="29" t="s">
        <v>44</v>
      </c>
      <c r="B103" s="29">
        <v>7</v>
      </c>
      <c r="C103" s="29">
        <v>19</v>
      </c>
      <c r="D103" s="29">
        <v>28.18</v>
      </c>
      <c r="E103" s="29"/>
      <c r="F103" s="29">
        <v>-16</v>
      </c>
      <c r="G103" s="29">
        <v>23</v>
      </c>
      <c r="H103" s="29">
        <v>42.9</v>
      </c>
      <c r="I103" s="14">
        <v>0.31259259259259259</v>
      </c>
      <c r="J103" s="29" t="s">
        <v>25</v>
      </c>
      <c r="K103" s="29">
        <v>1</v>
      </c>
      <c r="L103" s="29">
        <v>100</v>
      </c>
      <c r="M103" s="1">
        <v>1171</v>
      </c>
      <c r="N103" s="29">
        <v>1</v>
      </c>
      <c r="O103" s="29">
        <v>100</v>
      </c>
      <c r="P103" s="1">
        <v>593</v>
      </c>
    </row>
    <row r="104" spans="1:46" ht="15" customHeight="1">
      <c r="A104" s="22" t="s">
        <v>44</v>
      </c>
      <c r="B104" s="22">
        <v>7</v>
      </c>
      <c r="C104" s="22">
        <v>19</v>
      </c>
      <c r="D104" s="22">
        <v>28.18</v>
      </c>
      <c r="E104" s="22"/>
      <c r="F104" s="22">
        <v>-16</v>
      </c>
      <c r="G104" s="22">
        <v>23</v>
      </c>
      <c r="H104" s="22">
        <v>42.9</v>
      </c>
      <c r="I104" s="27">
        <v>0.31260416666666663</v>
      </c>
      <c r="J104" s="22" t="s">
        <v>25</v>
      </c>
      <c r="K104" s="22">
        <v>1</v>
      </c>
      <c r="L104" s="22">
        <v>100</v>
      </c>
      <c r="M104" s="22">
        <v>1124</v>
      </c>
      <c r="N104" s="22">
        <v>1</v>
      </c>
      <c r="O104" s="22">
        <v>100</v>
      </c>
      <c r="P104" s="22">
        <v>591</v>
      </c>
      <c r="Q104" s="28"/>
      <c r="R104" s="28"/>
      <c r="S104" s="28"/>
      <c r="T104" s="28"/>
      <c r="U104" s="28"/>
      <c r="V104" s="28"/>
      <c r="W104" s="22"/>
      <c r="X104" s="28"/>
      <c r="Y104" s="28"/>
      <c r="Z104" s="28"/>
      <c r="AA104" s="28"/>
      <c r="AB104" s="28"/>
      <c r="AC104" s="28"/>
      <c r="AD104" s="28"/>
      <c r="AE104" s="28"/>
      <c r="AF104" s="41"/>
      <c r="AG104" s="28"/>
      <c r="AH104" s="28"/>
      <c r="AI104" s="41"/>
      <c r="AJ104" s="41"/>
      <c r="AK104" s="41"/>
      <c r="AL104" s="41"/>
      <c r="AM104" s="28"/>
      <c r="AN104" s="41"/>
      <c r="AO104" s="41"/>
      <c r="AP104" s="41"/>
      <c r="AQ104" s="28"/>
      <c r="AR104" s="28"/>
      <c r="AS104" s="28"/>
      <c r="AT104" s="28"/>
    </row>
    <row r="105" spans="1:46" ht="15" customHeight="1">
      <c r="A105" s="29" t="s">
        <v>44</v>
      </c>
      <c r="B105" s="29">
        <v>7</v>
      </c>
      <c r="C105" s="29">
        <v>19</v>
      </c>
      <c r="D105" s="29">
        <v>28.18</v>
      </c>
      <c r="E105" s="29"/>
      <c r="F105" s="29">
        <v>-16</v>
      </c>
      <c r="G105" s="29">
        <v>23</v>
      </c>
      <c r="H105" s="29">
        <v>42.9</v>
      </c>
      <c r="I105" s="14">
        <v>0.31388888888888888</v>
      </c>
      <c r="J105" s="29" t="s">
        <v>47</v>
      </c>
      <c r="K105" s="29">
        <v>1</v>
      </c>
      <c r="L105" s="29">
        <v>100</v>
      </c>
      <c r="M105" s="1">
        <v>1298</v>
      </c>
      <c r="N105" s="29">
        <v>1</v>
      </c>
      <c r="O105" s="29">
        <v>100</v>
      </c>
      <c r="P105" s="1">
        <v>591</v>
      </c>
      <c r="R105" t="str">
        <f>A105</f>
        <v>R CMa</v>
      </c>
      <c r="S105" s="1">
        <v>7.5347222</v>
      </c>
      <c r="T105" s="9">
        <f>$S$1+1.0027379093*S105-$S$3</f>
        <v>7.7180029285768903</v>
      </c>
      <c r="U105" s="9">
        <f>T105-(B105+C105/60+D105/3600)</f>
        <v>0.39350848413244588</v>
      </c>
      <c r="V105" s="9">
        <f>1/(SIN(-1*$U$1*((ABS(F105)+G105/60+H105*3600)))*SIN($U$1*$S$2)+COS(-1*$U$1*((ABS(F105)+G105/60+H105*3600)))*COS($U$1*$S$2)*COS($U$1*U105*15))</f>
        <v>1.2722760962864406</v>
      </c>
      <c r="W105" s="1" t="str">
        <f>J105</f>
        <v>R</v>
      </c>
      <c r="X105" s="9">
        <f>AVERAGE(M105:M114)/K105/L105</f>
        <v>12.902000000000001</v>
      </c>
      <c r="Y105" s="9">
        <f>STDEV(M105:M114)/K105/L105</f>
        <v>0.16982343772283023</v>
      </c>
      <c r="Z105" s="9">
        <f>AVERAGE(P105:P114)/N105/O105</f>
        <v>5.9420000000000002</v>
      </c>
      <c r="AA105" s="9">
        <f>STDEV(P105:P114)/N105/N114</f>
        <v>2.8205594401741574</v>
      </c>
      <c r="AB105" s="9">
        <f>X105-Z105</f>
        <v>6.9600000000000009</v>
      </c>
      <c r="AC105" s="9">
        <f>(Y105^2+AA105^2)^0.5</f>
        <v>2.8256672761589527</v>
      </c>
      <c r="AD105" s="9">
        <f>-2.5*LOG10(AB105)</f>
        <v>-2.1065230990264054</v>
      </c>
      <c r="AE105" s="9">
        <f>0.43429448*AC105/AB105</f>
        <v>0.17631777303914778</v>
      </c>
      <c r="AH105" s="9"/>
    </row>
    <row r="106" spans="1:46" ht="15" customHeight="1">
      <c r="A106" s="29" t="s">
        <v>44</v>
      </c>
      <c r="B106" s="29">
        <v>7</v>
      </c>
      <c r="C106" s="29">
        <v>19</v>
      </c>
      <c r="D106" s="29">
        <v>28.18</v>
      </c>
      <c r="E106" s="29"/>
      <c r="F106" s="29">
        <v>-16</v>
      </c>
      <c r="G106" s="29">
        <v>23</v>
      </c>
      <c r="H106" s="29">
        <v>42.9</v>
      </c>
      <c r="I106" s="14">
        <v>0.31390046296296298</v>
      </c>
      <c r="J106" s="29" t="s">
        <v>47</v>
      </c>
      <c r="K106" s="29">
        <v>1</v>
      </c>
      <c r="L106" s="29">
        <v>100</v>
      </c>
      <c r="M106" s="1">
        <v>1301</v>
      </c>
      <c r="N106" s="29">
        <v>1</v>
      </c>
      <c r="O106" s="29">
        <v>100</v>
      </c>
      <c r="P106" s="1">
        <v>592</v>
      </c>
    </row>
    <row r="107" spans="1:46" ht="15" customHeight="1">
      <c r="A107" s="29" t="s">
        <v>44</v>
      </c>
      <c r="B107" s="29">
        <v>7</v>
      </c>
      <c r="C107" s="29">
        <v>19</v>
      </c>
      <c r="D107" s="29">
        <v>28.18</v>
      </c>
      <c r="E107" s="29"/>
      <c r="F107" s="29">
        <v>-16</v>
      </c>
      <c r="G107" s="29">
        <v>23</v>
      </c>
      <c r="H107" s="29">
        <v>42.9</v>
      </c>
      <c r="I107" s="14">
        <v>0.31391203703703702</v>
      </c>
      <c r="J107" s="29" t="s">
        <v>47</v>
      </c>
      <c r="K107" s="29">
        <v>1</v>
      </c>
      <c r="L107" s="29">
        <v>100</v>
      </c>
      <c r="M107" s="1">
        <v>1267</v>
      </c>
      <c r="N107" s="29">
        <v>1</v>
      </c>
      <c r="O107" s="29">
        <v>100</v>
      </c>
      <c r="P107" s="1">
        <v>593</v>
      </c>
    </row>
    <row r="108" spans="1:46" ht="15" customHeight="1">
      <c r="A108" s="29" t="s">
        <v>44</v>
      </c>
      <c r="B108" s="29">
        <v>7</v>
      </c>
      <c r="C108" s="29">
        <v>19</v>
      </c>
      <c r="D108" s="29">
        <v>28.18</v>
      </c>
      <c r="E108" s="29"/>
      <c r="F108" s="29">
        <v>-16</v>
      </c>
      <c r="G108" s="29">
        <v>23</v>
      </c>
      <c r="H108" s="29">
        <v>42.9</v>
      </c>
      <c r="I108" s="14">
        <v>0.31392361111111111</v>
      </c>
      <c r="J108" s="29" t="s">
        <v>47</v>
      </c>
      <c r="K108" s="29">
        <v>1</v>
      </c>
      <c r="L108" s="29">
        <v>100</v>
      </c>
      <c r="M108" s="1">
        <v>1300</v>
      </c>
      <c r="N108" s="29">
        <v>1</v>
      </c>
      <c r="O108" s="29">
        <v>100</v>
      </c>
      <c r="P108" s="1">
        <v>597</v>
      </c>
    </row>
    <row r="109" spans="1:46" ht="15" customHeight="1">
      <c r="A109" s="29" t="s">
        <v>44</v>
      </c>
      <c r="B109" s="29">
        <v>7</v>
      </c>
      <c r="C109" s="29">
        <v>19</v>
      </c>
      <c r="D109" s="29">
        <v>28.18</v>
      </c>
      <c r="E109" s="29"/>
      <c r="F109" s="29">
        <v>-16</v>
      </c>
      <c r="G109" s="29">
        <v>23</v>
      </c>
      <c r="H109" s="29">
        <v>42.9</v>
      </c>
      <c r="I109" s="14">
        <v>0.31393518518518521</v>
      </c>
      <c r="J109" s="29" t="s">
        <v>47</v>
      </c>
      <c r="K109" s="29">
        <v>1</v>
      </c>
      <c r="L109" s="29">
        <v>100</v>
      </c>
      <c r="M109" s="1">
        <v>1260</v>
      </c>
      <c r="N109" s="29">
        <v>1</v>
      </c>
      <c r="O109" s="29">
        <v>100</v>
      </c>
      <c r="P109" s="1">
        <v>599</v>
      </c>
    </row>
    <row r="110" spans="1:46" ht="15" customHeight="1">
      <c r="A110" s="29" t="s">
        <v>44</v>
      </c>
      <c r="B110" s="29">
        <v>7</v>
      </c>
      <c r="C110" s="29">
        <v>19</v>
      </c>
      <c r="D110" s="29">
        <v>28.18</v>
      </c>
      <c r="E110" s="29"/>
      <c r="F110" s="29">
        <v>-16</v>
      </c>
      <c r="G110" s="29">
        <v>23</v>
      </c>
      <c r="H110" s="29">
        <v>42.9</v>
      </c>
      <c r="I110" s="14">
        <v>0.31394675925925924</v>
      </c>
      <c r="J110" s="29" t="s">
        <v>47</v>
      </c>
      <c r="K110" s="29">
        <v>1</v>
      </c>
      <c r="L110" s="29">
        <v>100</v>
      </c>
      <c r="M110" s="1">
        <v>1306</v>
      </c>
      <c r="N110" s="29">
        <v>1</v>
      </c>
      <c r="O110" s="29">
        <v>100</v>
      </c>
      <c r="P110" s="1">
        <v>596</v>
      </c>
    </row>
    <row r="111" spans="1:46" ht="15" customHeight="1">
      <c r="A111" s="29" t="s">
        <v>44</v>
      </c>
      <c r="B111" s="29">
        <v>7</v>
      </c>
      <c r="C111" s="29">
        <v>19</v>
      </c>
      <c r="D111" s="29">
        <v>28.18</v>
      </c>
      <c r="E111" s="29"/>
      <c r="F111" s="29">
        <v>-16</v>
      </c>
      <c r="G111" s="29">
        <v>23</v>
      </c>
      <c r="H111" s="29">
        <v>42.9</v>
      </c>
      <c r="I111" s="14">
        <v>0.31395833333333334</v>
      </c>
      <c r="J111" s="29" t="s">
        <v>47</v>
      </c>
      <c r="K111" s="29">
        <v>1</v>
      </c>
      <c r="L111" s="29">
        <v>100</v>
      </c>
      <c r="M111" s="1">
        <v>1281</v>
      </c>
      <c r="N111" s="29">
        <v>1</v>
      </c>
      <c r="O111" s="29">
        <v>100</v>
      </c>
      <c r="P111" s="1">
        <v>593</v>
      </c>
    </row>
    <row r="112" spans="1:46" ht="15" customHeight="1">
      <c r="A112" s="29" t="s">
        <v>44</v>
      </c>
      <c r="B112" s="29">
        <v>7</v>
      </c>
      <c r="C112" s="29">
        <v>19</v>
      </c>
      <c r="D112" s="29">
        <v>28.18</v>
      </c>
      <c r="E112" s="29"/>
      <c r="F112" s="29">
        <v>-16</v>
      </c>
      <c r="G112" s="29">
        <v>23</v>
      </c>
      <c r="H112" s="29">
        <v>42.9</v>
      </c>
      <c r="I112" s="14">
        <v>0.31396990740740743</v>
      </c>
      <c r="J112" s="29" t="s">
        <v>47</v>
      </c>
      <c r="K112" s="29">
        <v>1</v>
      </c>
      <c r="L112" s="29">
        <v>100</v>
      </c>
      <c r="M112" s="1">
        <v>1286</v>
      </c>
      <c r="N112" s="29">
        <v>1</v>
      </c>
      <c r="O112" s="29">
        <v>100</v>
      </c>
      <c r="P112" s="1">
        <v>591</v>
      </c>
    </row>
    <row r="113" spans="1:39" ht="15" customHeight="1">
      <c r="A113" s="29" t="s">
        <v>44</v>
      </c>
      <c r="B113" s="29">
        <v>7</v>
      </c>
      <c r="C113" s="29">
        <v>19</v>
      </c>
      <c r="D113" s="29">
        <v>28.18</v>
      </c>
      <c r="E113" s="29"/>
      <c r="F113" s="29">
        <v>-16</v>
      </c>
      <c r="G113" s="29">
        <v>23</v>
      </c>
      <c r="H113" s="29">
        <v>42.9</v>
      </c>
      <c r="I113" s="14">
        <v>0.31398148148148147</v>
      </c>
      <c r="J113" s="29" t="s">
        <v>47</v>
      </c>
      <c r="K113" s="29">
        <v>1</v>
      </c>
      <c r="L113" s="29">
        <v>100</v>
      </c>
      <c r="M113" s="1">
        <v>1313</v>
      </c>
      <c r="N113" s="29">
        <v>1</v>
      </c>
      <c r="O113" s="29">
        <v>100</v>
      </c>
      <c r="P113" s="1">
        <v>597</v>
      </c>
    </row>
    <row r="114" spans="1:39" ht="15" customHeight="1">
      <c r="A114" s="22" t="s">
        <v>44</v>
      </c>
      <c r="B114" s="22">
        <v>7</v>
      </c>
      <c r="C114" s="22">
        <v>19</v>
      </c>
      <c r="D114" s="22">
        <v>28.18</v>
      </c>
      <c r="E114" s="22"/>
      <c r="F114" s="22">
        <v>-16</v>
      </c>
      <c r="G114" s="22">
        <v>23</v>
      </c>
      <c r="H114" s="22">
        <v>42.9</v>
      </c>
      <c r="I114" s="27">
        <v>0.31399305555555557</v>
      </c>
      <c r="J114" s="22" t="s">
        <v>47</v>
      </c>
      <c r="K114" s="22">
        <v>1</v>
      </c>
      <c r="L114" s="22">
        <v>100</v>
      </c>
      <c r="M114" s="22">
        <v>1290</v>
      </c>
      <c r="N114" s="22">
        <v>1</v>
      </c>
      <c r="O114" s="22">
        <v>100</v>
      </c>
      <c r="P114" s="22">
        <v>593</v>
      </c>
      <c r="Q114" s="28"/>
      <c r="R114" s="28"/>
      <c r="S114" s="28"/>
      <c r="T114" s="28"/>
      <c r="U114" s="28"/>
      <c r="V114" s="28"/>
      <c r="W114" s="22"/>
      <c r="X114" s="28"/>
      <c r="Y114" s="28"/>
      <c r="Z114" s="28"/>
      <c r="AA114" s="28"/>
      <c r="AB114" s="28"/>
      <c r="AC114" s="28"/>
      <c r="AD114" s="28"/>
      <c r="AE114" s="28"/>
      <c r="AF114" s="41"/>
      <c r="AG114" s="28"/>
      <c r="AH114" s="28"/>
      <c r="AI114" s="41"/>
      <c r="AJ114" s="41"/>
      <c r="AK114" s="41"/>
      <c r="AL114" s="41"/>
      <c r="AM114" s="28"/>
    </row>
    <row r="115" spans="1:39" ht="15" customHeight="1">
      <c r="A115" s="29" t="s">
        <v>44</v>
      </c>
      <c r="B115" s="29">
        <v>7</v>
      </c>
      <c r="C115" s="29">
        <v>19</v>
      </c>
      <c r="D115" s="29">
        <v>28.18</v>
      </c>
      <c r="E115" s="29"/>
      <c r="F115" s="29">
        <v>-16</v>
      </c>
      <c r="G115" s="29">
        <v>23</v>
      </c>
      <c r="H115" s="29">
        <v>42.9</v>
      </c>
      <c r="I115" s="14">
        <v>0.33819444444444446</v>
      </c>
      <c r="J115" s="29" t="s">
        <v>47</v>
      </c>
      <c r="K115" s="29">
        <v>1</v>
      </c>
      <c r="L115" s="29">
        <v>100</v>
      </c>
      <c r="M115" s="1">
        <v>1271</v>
      </c>
      <c r="N115" s="29">
        <v>1</v>
      </c>
      <c r="O115" s="29">
        <v>100</v>
      </c>
      <c r="P115" s="1">
        <v>591</v>
      </c>
      <c r="R115" t="str">
        <f>A115</f>
        <v>R CMa</v>
      </c>
      <c r="S115" s="1">
        <v>8.1180555000000005</v>
      </c>
      <c r="T115" s="9">
        <f>$S$1+1.0027379093*S115-$S$3</f>
        <v>8.3029333422439606</v>
      </c>
      <c r="U115" s="9">
        <f>T115-(B115+C115/60+D115/3600)</f>
        <v>0.97843889779951621</v>
      </c>
      <c r="V115" s="9">
        <f>1/(SIN(-1*$U$1*((ABS(F115)+G115/60+H115*3600)))*SIN($U$1*$S$2)+COS(-1*$U$1*((ABS(F115)+G115/60+H115*3600)))*COS($U$1*$S$2)*COS($U$1*U115*15))</f>
        <v>1.3130646861587378</v>
      </c>
      <c r="W115" s="1" t="str">
        <f>J115</f>
        <v>R</v>
      </c>
      <c r="X115" s="9">
        <f>AVERAGE(M115:M124)/K115/L115</f>
        <v>12.823</v>
      </c>
      <c r="Y115" s="9">
        <f>STDEV(M115:M124)/K115/L115</f>
        <v>0.11264990013311151</v>
      </c>
      <c r="Z115" s="9">
        <f>AVERAGE(P115:P124)/N115/O115</f>
        <v>5.9420000000000002</v>
      </c>
      <c r="AA115" s="9">
        <f>STDEV(P115:P124)/N115/N124</f>
        <v>3.8528488738133042</v>
      </c>
      <c r="AB115" s="9">
        <f>X115-Z115</f>
        <v>6.8810000000000002</v>
      </c>
      <c r="AC115" s="9">
        <f>(Y115^2+AA115^2)^0.5</f>
        <v>3.8544953553538557</v>
      </c>
      <c r="AD115" s="9">
        <f>-2.5*LOG10(AB115)</f>
        <v>-2.0941288946159813</v>
      </c>
      <c r="AE115" s="9">
        <f>0.43429448*AC115/AB115</f>
        <v>0.24327656678038337</v>
      </c>
      <c r="AH115" s="9"/>
    </row>
    <row r="116" spans="1:39" ht="15" customHeight="1">
      <c r="A116" s="29" t="s">
        <v>44</v>
      </c>
      <c r="B116" s="29">
        <v>7</v>
      </c>
      <c r="C116" s="29">
        <v>19</v>
      </c>
      <c r="D116" s="29">
        <v>28.18</v>
      </c>
      <c r="E116" s="29"/>
      <c r="F116" s="29">
        <v>-16</v>
      </c>
      <c r="G116" s="29">
        <v>23</v>
      </c>
      <c r="H116" s="29">
        <v>42.9</v>
      </c>
      <c r="I116" s="14">
        <v>0.3382060185185185</v>
      </c>
      <c r="J116" s="29" t="s">
        <v>47</v>
      </c>
      <c r="K116" s="29">
        <v>1</v>
      </c>
      <c r="L116" s="29">
        <v>100</v>
      </c>
      <c r="M116" s="1">
        <v>1303</v>
      </c>
      <c r="N116" s="29">
        <v>1</v>
      </c>
      <c r="O116" s="29">
        <v>100</v>
      </c>
      <c r="P116" s="1">
        <v>595</v>
      </c>
    </row>
    <row r="117" spans="1:39" ht="15" customHeight="1">
      <c r="A117" s="29" t="s">
        <v>44</v>
      </c>
      <c r="B117" s="29">
        <v>7</v>
      </c>
      <c r="C117" s="29">
        <v>19</v>
      </c>
      <c r="D117" s="29">
        <v>28.18</v>
      </c>
      <c r="E117" s="29"/>
      <c r="F117" s="29">
        <v>-16</v>
      </c>
      <c r="G117" s="29">
        <v>23</v>
      </c>
      <c r="H117" s="29">
        <v>42.9</v>
      </c>
      <c r="I117" s="14">
        <v>0.3382175925925926</v>
      </c>
      <c r="J117" s="29" t="s">
        <v>47</v>
      </c>
      <c r="K117" s="29">
        <v>1</v>
      </c>
      <c r="L117" s="29">
        <v>100</v>
      </c>
      <c r="M117" s="1">
        <v>1284</v>
      </c>
      <c r="N117" s="29">
        <v>1</v>
      </c>
      <c r="O117" s="29">
        <v>100</v>
      </c>
      <c r="P117" s="1">
        <v>595</v>
      </c>
    </row>
    <row r="118" spans="1:39" ht="15" customHeight="1">
      <c r="A118" s="29" t="s">
        <v>44</v>
      </c>
      <c r="B118" s="29">
        <v>7</v>
      </c>
      <c r="C118" s="29">
        <v>19</v>
      </c>
      <c r="D118" s="29">
        <v>28.18</v>
      </c>
      <c r="E118" s="29"/>
      <c r="F118" s="29">
        <v>-16</v>
      </c>
      <c r="G118" s="29">
        <v>23</v>
      </c>
      <c r="H118" s="29">
        <v>42.9</v>
      </c>
      <c r="I118" s="14">
        <v>0.33822916666666664</v>
      </c>
      <c r="J118" s="29" t="s">
        <v>47</v>
      </c>
      <c r="K118" s="29">
        <v>1</v>
      </c>
      <c r="L118" s="29">
        <v>100</v>
      </c>
      <c r="M118" s="1">
        <v>1280</v>
      </c>
      <c r="N118" s="29">
        <v>1</v>
      </c>
      <c r="O118" s="29">
        <v>100</v>
      </c>
      <c r="P118" s="1">
        <v>595</v>
      </c>
    </row>
    <row r="119" spans="1:39" ht="15" customHeight="1">
      <c r="A119" s="29" t="s">
        <v>44</v>
      </c>
      <c r="B119" s="29">
        <v>7</v>
      </c>
      <c r="C119" s="29">
        <v>19</v>
      </c>
      <c r="D119" s="29">
        <v>28.18</v>
      </c>
      <c r="E119" s="29"/>
      <c r="F119" s="29">
        <v>-16</v>
      </c>
      <c r="G119" s="29">
        <v>23</v>
      </c>
      <c r="H119" s="29">
        <v>42.9</v>
      </c>
      <c r="I119" s="14">
        <v>0.33824074074074079</v>
      </c>
      <c r="J119" s="29" t="s">
        <v>47</v>
      </c>
      <c r="K119" s="29">
        <v>1</v>
      </c>
      <c r="L119" s="29">
        <v>100</v>
      </c>
      <c r="M119" s="1">
        <v>1286</v>
      </c>
      <c r="N119" s="29">
        <v>1</v>
      </c>
      <c r="O119" s="29">
        <v>100</v>
      </c>
      <c r="P119" s="1">
        <v>600</v>
      </c>
    </row>
    <row r="120" spans="1:39" ht="15" customHeight="1">
      <c r="A120" s="29" t="s">
        <v>44</v>
      </c>
      <c r="B120" s="29">
        <v>7</v>
      </c>
      <c r="C120" s="29">
        <v>19</v>
      </c>
      <c r="D120" s="29">
        <v>28.18</v>
      </c>
      <c r="E120" s="29"/>
      <c r="F120" s="29">
        <v>-16</v>
      </c>
      <c r="G120" s="29">
        <v>23</v>
      </c>
      <c r="H120" s="29">
        <v>42.9</v>
      </c>
      <c r="I120" s="14">
        <v>0.33825231481481483</v>
      </c>
      <c r="J120" s="29" t="s">
        <v>47</v>
      </c>
      <c r="K120" s="29">
        <v>1</v>
      </c>
      <c r="L120" s="29">
        <v>100</v>
      </c>
      <c r="M120" s="1">
        <v>1284</v>
      </c>
      <c r="N120" s="29">
        <v>1</v>
      </c>
      <c r="O120" s="29">
        <v>100</v>
      </c>
      <c r="P120" s="1">
        <v>595</v>
      </c>
    </row>
    <row r="121" spans="1:39" ht="15" customHeight="1">
      <c r="A121" s="29" t="s">
        <v>44</v>
      </c>
      <c r="B121" s="29">
        <v>7</v>
      </c>
      <c r="C121" s="29">
        <v>19</v>
      </c>
      <c r="D121" s="29">
        <v>28.18</v>
      </c>
      <c r="E121" s="29"/>
      <c r="F121" s="29">
        <v>-16</v>
      </c>
      <c r="G121" s="29">
        <v>23</v>
      </c>
      <c r="H121" s="29">
        <v>42.9</v>
      </c>
      <c r="I121" s="14">
        <v>0.33826388888888892</v>
      </c>
      <c r="J121" s="29" t="s">
        <v>47</v>
      </c>
      <c r="K121" s="29">
        <v>1</v>
      </c>
      <c r="L121" s="29">
        <v>100</v>
      </c>
      <c r="M121" s="1">
        <v>1276</v>
      </c>
      <c r="N121" s="29">
        <v>1</v>
      </c>
      <c r="O121" s="29">
        <v>100</v>
      </c>
      <c r="P121" s="1">
        <v>598</v>
      </c>
    </row>
    <row r="122" spans="1:39" ht="15" customHeight="1">
      <c r="A122" s="29" t="s">
        <v>44</v>
      </c>
      <c r="B122" s="29">
        <v>7</v>
      </c>
      <c r="C122" s="29">
        <v>19</v>
      </c>
      <c r="D122" s="29">
        <v>28.18</v>
      </c>
      <c r="E122" s="29"/>
      <c r="F122" s="29">
        <v>-16</v>
      </c>
      <c r="G122" s="29">
        <v>23</v>
      </c>
      <c r="H122" s="29">
        <v>42.9</v>
      </c>
      <c r="I122" s="14">
        <v>0.33827546296296296</v>
      </c>
      <c r="J122" s="29" t="s">
        <v>47</v>
      </c>
      <c r="K122" s="29">
        <v>1</v>
      </c>
      <c r="L122" s="29">
        <v>100</v>
      </c>
      <c r="M122" s="1">
        <v>1276</v>
      </c>
      <c r="N122" s="29">
        <v>1</v>
      </c>
      <c r="O122" s="29">
        <v>100</v>
      </c>
      <c r="P122" s="1">
        <v>595</v>
      </c>
    </row>
    <row r="123" spans="1:39" ht="15" customHeight="1">
      <c r="A123" s="29" t="s">
        <v>44</v>
      </c>
      <c r="B123" s="29">
        <v>7</v>
      </c>
      <c r="C123" s="29">
        <v>19</v>
      </c>
      <c r="D123" s="29">
        <v>28.18</v>
      </c>
      <c r="E123" s="29"/>
      <c r="F123" s="29">
        <v>-16</v>
      </c>
      <c r="G123" s="29">
        <v>23</v>
      </c>
      <c r="H123" s="29">
        <v>42.9</v>
      </c>
      <c r="I123" s="14">
        <v>0.33828703703703705</v>
      </c>
      <c r="J123" s="29" t="s">
        <v>47</v>
      </c>
      <c r="K123" s="29">
        <v>1</v>
      </c>
      <c r="L123" s="29">
        <v>100</v>
      </c>
      <c r="M123" s="1">
        <v>1266</v>
      </c>
      <c r="N123" s="29">
        <v>1</v>
      </c>
      <c r="O123" s="29">
        <v>100</v>
      </c>
      <c r="P123" s="1">
        <v>592</v>
      </c>
    </row>
    <row r="124" spans="1:39" ht="15" customHeight="1">
      <c r="A124" s="22" t="s">
        <v>44</v>
      </c>
      <c r="B124" s="22">
        <v>7</v>
      </c>
      <c r="C124" s="22">
        <v>19</v>
      </c>
      <c r="D124" s="22">
        <v>28.18</v>
      </c>
      <c r="E124" s="22"/>
      <c r="F124" s="22">
        <v>-16</v>
      </c>
      <c r="G124" s="22">
        <v>23</v>
      </c>
      <c r="H124" s="22">
        <v>42.9</v>
      </c>
      <c r="I124" s="27">
        <v>0.33829861111111109</v>
      </c>
      <c r="J124" s="22" t="s">
        <v>47</v>
      </c>
      <c r="K124" s="22">
        <v>1</v>
      </c>
      <c r="L124" s="22">
        <v>100</v>
      </c>
      <c r="M124" s="22">
        <v>1297</v>
      </c>
      <c r="N124" s="22">
        <v>1</v>
      </c>
      <c r="O124" s="22">
        <v>100</v>
      </c>
      <c r="P124" s="22">
        <v>586</v>
      </c>
      <c r="Q124" s="28"/>
      <c r="R124" s="28"/>
      <c r="S124" s="28"/>
      <c r="T124" s="28"/>
      <c r="U124" s="28"/>
      <c r="V124" s="28"/>
      <c r="W124" s="22"/>
      <c r="X124" s="28"/>
      <c r="Y124" s="28"/>
      <c r="Z124" s="28"/>
      <c r="AA124" s="28"/>
      <c r="AB124" s="28"/>
      <c r="AC124" s="28"/>
      <c r="AD124" s="28"/>
      <c r="AE124" s="28"/>
      <c r="AF124" s="41"/>
      <c r="AG124" s="28"/>
      <c r="AH124" s="28"/>
      <c r="AI124" s="41"/>
      <c r="AJ124" s="41"/>
      <c r="AK124" s="41"/>
      <c r="AL124" s="41"/>
      <c r="AM124" s="28"/>
    </row>
    <row r="125" spans="1:39" ht="15" customHeight="1">
      <c r="A125" s="29" t="s">
        <v>44</v>
      </c>
      <c r="B125" s="29">
        <v>7</v>
      </c>
      <c r="C125" s="29">
        <v>19</v>
      </c>
      <c r="D125" s="29">
        <v>28.18</v>
      </c>
      <c r="E125" s="29"/>
      <c r="F125" s="29">
        <v>-16</v>
      </c>
      <c r="G125" s="29">
        <v>23</v>
      </c>
      <c r="H125" s="29">
        <v>42.9</v>
      </c>
      <c r="I125" s="14">
        <v>0.33958333333333335</v>
      </c>
      <c r="J125" s="29" t="s">
        <v>25</v>
      </c>
      <c r="K125" s="29">
        <v>1</v>
      </c>
      <c r="L125" s="29">
        <v>100</v>
      </c>
      <c r="M125" s="1">
        <v>1140</v>
      </c>
      <c r="N125" s="29">
        <v>1</v>
      </c>
      <c r="O125" s="29">
        <v>100</v>
      </c>
      <c r="P125" s="1">
        <v>586</v>
      </c>
      <c r="R125" t="str">
        <f>A125</f>
        <v>R CMa</v>
      </c>
      <c r="S125" s="1">
        <v>8.1513887999999994</v>
      </c>
      <c r="T125" s="9">
        <f>$S$1+1.0027379093*S125-$S$3</f>
        <v>8.336357905796028</v>
      </c>
      <c r="U125" s="9">
        <f>T125-(B125+C125/60+D125/3600)</f>
        <v>1.0118634613515836</v>
      </c>
      <c r="V125" s="9">
        <f>1/(SIN(-1*$U$1*((ABS(F125)+G125/60+H125*3600)))*SIN($U$1*$S$2)+COS(-1*$U$1*((ABS(F125)+G125/60+H125*3600)))*COS($U$1*$S$2)*COS($U$1*U125*15))</f>
        <v>1.3165462343468981</v>
      </c>
      <c r="W125" s="1" t="str">
        <f>J125</f>
        <v>V</v>
      </c>
      <c r="X125" s="9">
        <f>AVERAGE(M125:M134)/K125/L125</f>
        <v>11.332000000000001</v>
      </c>
      <c r="Y125" s="9">
        <f>STDEV(M125:M134)/K125/L125</f>
        <v>0.10747609553343063</v>
      </c>
      <c r="Z125" s="9">
        <f>AVERAGE(P125:P134)/N125/O125</f>
        <v>5.8770000000000007</v>
      </c>
      <c r="AA125" s="9">
        <f>STDEV(P125:P134)/N125/N134</f>
        <v>3.4009802508492561</v>
      </c>
      <c r="AB125" s="9">
        <f>X125-Z125</f>
        <v>5.4550000000000001</v>
      </c>
      <c r="AC125" s="9">
        <f>(Y125^2+AA125^2)^0.5</f>
        <v>3.4026780302840556</v>
      </c>
      <c r="AD125" s="9">
        <f>-2.5*LOG10(AB125)</f>
        <v>-1.8419868873109015</v>
      </c>
      <c r="AE125" s="9">
        <f>0.43429448*AC125/AB125</f>
        <v>0.27090087731799045</v>
      </c>
      <c r="AH125" s="9"/>
    </row>
    <row r="126" spans="1:39" ht="15" customHeight="1">
      <c r="A126" s="29" t="s">
        <v>44</v>
      </c>
      <c r="B126" s="29">
        <v>7</v>
      </c>
      <c r="C126" s="29">
        <v>19</v>
      </c>
      <c r="D126" s="29">
        <v>28.18</v>
      </c>
      <c r="E126" s="29"/>
      <c r="F126" s="29">
        <v>-16</v>
      </c>
      <c r="G126" s="29">
        <v>23</v>
      </c>
      <c r="H126" s="29">
        <v>42.9</v>
      </c>
      <c r="I126" s="14">
        <v>0.33959490740740739</v>
      </c>
      <c r="J126" s="29" t="s">
        <v>25</v>
      </c>
      <c r="K126" s="29">
        <v>1</v>
      </c>
      <c r="L126" s="29">
        <v>100</v>
      </c>
      <c r="M126" s="1">
        <v>1131</v>
      </c>
      <c r="N126" s="29">
        <v>1</v>
      </c>
      <c r="O126" s="29">
        <v>100</v>
      </c>
      <c r="P126" s="1">
        <v>590</v>
      </c>
    </row>
    <row r="127" spans="1:39" ht="15" customHeight="1">
      <c r="A127" s="29" t="s">
        <v>44</v>
      </c>
      <c r="B127" s="29">
        <v>7</v>
      </c>
      <c r="C127" s="29">
        <v>19</v>
      </c>
      <c r="D127" s="29">
        <v>28.18</v>
      </c>
      <c r="E127" s="29"/>
      <c r="F127" s="29">
        <v>-16</v>
      </c>
      <c r="G127" s="29">
        <v>23</v>
      </c>
      <c r="H127" s="29">
        <v>42.9</v>
      </c>
      <c r="I127" s="14">
        <v>0.33960648148148148</v>
      </c>
      <c r="J127" s="29" t="s">
        <v>25</v>
      </c>
      <c r="K127" s="29">
        <v>1</v>
      </c>
      <c r="L127" s="29">
        <v>100</v>
      </c>
      <c r="M127" s="1">
        <v>1127</v>
      </c>
      <c r="N127" s="29">
        <v>1</v>
      </c>
      <c r="O127" s="29">
        <v>100</v>
      </c>
      <c r="P127" s="1">
        <v>593</v>
      </c>
    </row>
    <row r="128" spans="1:39" ht="15" customHeight="1">
      <c r="A128" s="29" t="s">
        <v>44</v>
      </c>
      <c r="B128" s="29">
        <v>7</v>
      </c>
      <c r="C128" s="29">
        <v>19</v>
      </c>
      <c r="D128" s="29">
        <v>28.18</v>
      </c>
      <c r="E128" s="29"/>
      <c r="F128" s="29">
        <v>-16</v>
      </c>
      <c r="G128" s="29">
        <v>23</v>
      </c>
      <c r="H128" s="29">
        <v>42.9</v>
      </c>
      <c r="I128" s="14">
        <v>0.33961805555555552</v>
      </c>
      <c r="J128" s="29" t="s">
        <v>25</v>
      </c>
      <c r="K128" s="29">
        <v>1</v>
      </c>
      <c r="L128" s="29">
        <v>100</v>
      </c>
      <c r="M128" s="1">
        <v>1113</v>
      </c>
      <c r="N128" s="29">
        <v>1</v>
      </c>
      <c r="O128" s="29">
        <v>100</v>
      </c>
      <c r="P128" s="1">
        <v>589</v>
      </c>
    </row>
    <row r="129" spans="1:39" ht="15" customHeight="1">
      <c r="A129" s="29" t="s">
        <v>44</v>
      </c>
      <c r="B129" s="29">
        <v>7</v>
      </c>
      <c r="C129" s="29">
        <v>19</v>
      </c>
      <c r="D129" s="29">
        <v>28.18</v>
      </c>
      <c r="E129" s="29"/>
      <c r="F129" s="29">
        <v>-16</v>
      </c>
      <c r="G129" s="29">
        <v>23</v>
      </c>
      <c r="H129" s="29">
        <v>42.9</v>
      </c>
      <c r="I129" s="14">
        <v>0.33962962962962967</v>
      </c>
      <c r="J129" s="29" t="s">
        <v>25</v>
      </c>
      <c r="K129" s="29">
        <v>1</v>
      </c>
      <c r="L129" s="29">
        <v>100</v>
      </c>
      <c r="M129" s="1">
        <v>1151</v>
      </c>
      <c r="N129" s="29">
        <v>1</v>
      </c>
      <c r="O129" s="29">
        <v>100</v>
      </c>
      <c r="P129" s="1">
        <v>585</v>
      </c>
    </row>
    <row r="130" spans="1:39" ht="15" customHeight="1">
      <c r="A130" s="29" t="s">
        <v>44</v>
      </c>
      <c r="B130" s="29">
        <v>7</v>
      </c>
      <c r="C130" s="29">
        <v>19</v>
      </c>
      <c r="D130" s="29">
        <v>28.18</v>
      </c>
      <c r="E130" s="29"/>
      <c r="F130" s="29">
        <v>-16</v>
      </c>
      <c r="G130" s="29">
        <v>23</v>
      </c>
      <c r="H130" s="29">
        <v>42.9</v>
      </c>
      <c r="I130" s="14">
        <v>0.33964120370370371</v>
      </c>
      <c r="J130" s="29" t="s">
        <v>25</v>
      </c>
      <c r="K130" s="29">
        <v>1</v>
      </c>
      <c r="L130" s="29">
        <v>100</v>
      </c>
      <c r="M130" s="1">
        <v>1126</v>
      </c>
      <c r="N130" s="29">
        <v>1</v>
      </c>
      <c r="O130" s="29">
        <v>100</v>
      </c>
      <c r="P130" s="1">
        <v>586</v>
      </c>
    </row>
    <row r="131" spans="1:39" ht="15" customHeight="1">
      <c r="A131" s="29" t="s">
        <v>44</v>
      </c>
      <c r="B131" s="29">
        <v>7</v>
      </c>
      <c r="C131" s="29">
        <v>19</v>
      </c>
      <c r="D131" s="29">
        <v>28.18</v>
      </c>
      <c r="E131" s="29"/>
      <c r="F131" s="29">
        <v>-16</v>
      </c>
      <c r="G131" s="29">
        <v>23</v>
      </c>
      <c r="H131" s="29">
        <v>42.9</v>
      </c>
      <c r="I131" s="14">
        <v>0.3396527777777778</v>
      </c>
      <c r="J131" s="29" t="s">
        <v>25</v>
      </c>
      <c r="K131" s="29">
        <v>1</v>
      </c>
      <c r="L131" s="29">
        <v>100</v>
      </c>
      <c r="M131" s="1">
        <v>1146</v>
      </c>
      <c r="N131" s="29">
        <v>1</v>
      </c>
      <c r="O131" s="29">
        <v>100</v>
      </c>
      <c r="P131" s="1">
        <v>590</v>
      </c>
    </row>
    <row r="132" spans="1:39" ht="15" customHeight="1">
      <c r="A132" s="29" t="s">
        <v>44</v>
      </c>
      <c r="B132" s="29">
        <v>7</v>
      </c>
      <c r="C132" s="29">
        <v>19</v>
      </c>
      <c r="D132" s="29">
        <v>28.18</v>
      </c>
      <c r="E132" s="29"/>
      <c r="F132" s="29">
        <v>-16</v>
      </c>
      <c r="G132" s="29">
        <v>23</v>
      </c>
      <c r="H132" s="29">
        <v>42.9</v>
      </c>
      <c r="I132" s="14">
        <v>0.33966435185185184</v>
      </c>
      <c r="J132" s="29" t="s">
        <v>25</v>
      </c>
      <c r="K132" s="29">
        <v>1</v>
      </c>
      <c r="L132" s="29">
        <v>100</v>
      </c>
      <c r="M132" s="1">
        <v>1135</v>
      </c>
      <c r="N132" s="29">
        <v>1</v>
      </c>
      <c r="O132" s="29">
        <v>100</v>
      </c>
      <c r="P132" s="1">
        <v>590</v>
      </c>
    </row>
    <row r="133" spans="1:39" ht="15" customHeight="1">
      <c r="A133" s="29" t="s">
        <v>44</v>
      </c>
      <c r="B133" s="29">
        <v>7</v>
      </c>
      <c r="C133" s="29">
        <v>19</v>
      </c>
      <c r="D133" s="29">
        <v>28.18</v>
      </c>
      <c r="E133" s="29"/>
      <c r="F133" s="29">
        <v>-16</v>
      </c>
      <c r="G133" s="29">
        <v>23</v>
      </c>
      <c r="H133" s="29">
        <v>42.9</v>
      </c>
      <c r="I133" s="14">
        <v>0.33967592592592594</v>
      </c>
      <c r="J133" s="29" t="s">
        <v>25</v>
      </c>
      <c r="K133" s="29">
        <v>1</v>
      </c>
      <c r="L133" s="29">
        <v>100</v>
      </c>
      <c r="M133" s="1">
        <v>1132</v>
      </c>
      <c r="N133" s="29">
        <v>1</v>
      </c>
      <c r="O133" s="29">
        <v>100</v>
      </c>
      <c r="P133" s="1">
        <v>581</v>
      </c>
    </row>
    <row r="134" spans="1:39" ht="15" customHeight="1">
      <c r="A134" s="22" t="s">
        <v>44</v>
      </c>
      <c r="B134" s="22">
        <v>7</v>
      </c>
      <c r="C134" s="22">
        <v>19</v>
      </c>
      <c r="D134" s="22">
        <v>28.18</v>
      </c>
      <c r="E134" s="22"/>
      <c r="F134" s="22">
        <v>-16</v>
      </c>
      <c r="G134" s="22">
        <v>23</v>
      </c>
      <c r="H134" s="22">
        <v>42.9</v>
      </c>
      <c r="I134" s="27">
        <v>0.33968749999999998</v>
      </c>
      <c r="J134" s="22" t="s">
        <v>25</v>
      </c>
      <c r="K134" s="22">
        <v>1</v>
      </c>
      <c r="L134" s="22">
        <v>100</v>
      </c>
      <c r="M134" s="22">
        <v>1131</v>
      </c>
      <c r="N134" s="22">
        <v>1</v>
      </c>
      <c r="O134" s="22">
        <v>100</v>
      </c>
      <c r="P134" s="22">
        <v>587</v>
      </c>
      <c r="Q134" s="28"/>
      <c r="R134" s="28"/>
      <c r="S134" s="28"/>
      <c r="T134" s="28"/>
      <c r="U134" s="28"/>
      <c r="V134" s="28"/>
      <c r="W134" s="22"/>
      <c r="X134" s="28"/>
      <c r="Y134" s="28"/>
      <c r="Z134" s="28"/>
      <c r="AA134" s="28"/>
      <c r="AB134" s="28"/>
      <c r="AC134" s="28"/>
      <c r="AD134" s="28"/>
      <c r="AE134" s="28"/>
      <c r="AF134" s="41"/>
      <c r="AG134" s="28"/>
      <c r="AH134" s="28"/>
      <c r="AI134" s="41"/>
      <c r="AJ134" s="41"/>
      <c r="AK134" s="41"/>
      <c r="AL134" s="41"/>
      <c r="AM134" s="28"/>
    </row>
    <row r="135" spans="1:39" ht="15" customHeight="1">
      <c r="A135" s="29" t="s">
        <v>44</v>
      </c>
      <c r="B135" s="29">
        <v>7</v>
      </c>
      <c r="C135" s="29">
        <v>19</v>
      </c>
      <c r="D135" s="29">
        <v>28.18</v>
      </c>
      <c r="E135" s="29"/>
      <c r="F135" s="29">
        <v>-16</v>
      </c>
      <c r="G135" s="29">
        <v>23</v>
      </c>
      <c r="H135" s="29">
        <v>42.9</v>
      </c>
      <c r="I135" s="14">
        <v>0.35069444444444442</v>
      </c>
      <c r="J135" s="29" t="s">
        <v>25</v>
      </c>
      <c r="K135" s="29">
        <v>1</v>
      </c>
      <c r="L135" s="29">
        <v>100</v>
      </c>
      <c r="M135" s="1">
        <v>1143</v>
      </c>
      <c r="N135" s="29">
        <v>1</v>
      </c>
      <c r="O135" s="29">
        <v>100</v>
      </c>
      <c r="P135" s="1">
        <v>586</v>
      </c>
      <c r="R135" t="str">
        <f>A135</f>
        <v>R CMa</v>
      </c>
      <c r="S135" s="1">
        <v>8.4180554999999995</v>
      </c>
      <c r="T135" s="9">
        <f>$S$1+1.0027379093*S135-$S$3</f>
        <v>8.6037547150339577</v>
      </c>
      <c r="U135" s="9">
        <f>T135-(B135+C135/60+D135/3600)</f>
        <v>1.2792602705895133</v>
      </c>
      <c r="V135" s="9">
        <f>1/(SIN(-1*$U$1*((ABS(F135)+G135/60+H135*3600)))*SIN($U$1*$S$2)+COS(-1*$U$1*((ABS(F135)+G135/60+H135*3600)))*COS($U$1*$S$2)*COS($U$1*U135*15))</f>
        <v>1.3493665728748232</v>
      </c>
      <c r="W135" s="1" t="str">
        <f>J135</f>
        <v>V</v>
      </c>
      <c r="X135" s="9">
        <f>AVERAGE(M135:M144)/K135/L135</f>
        <v>11.339</v>
      </c>
      <c r="Y135" s="9">
        <f>STDEV(M135:M144)/K135/L135</f>
        <v>0.10598217879540986</v>
      </c>
      <c r="Z135" s="9">
        <f>AVERAGE(P135:P144)/N135/O135</f>
        <v>5.8959999999999999</v>
      </c>
      <c r="AA135" s="9">
        <f>STDEV(P135:P144)/N135/N144</f>
        <v>3.0983866769659336</v>
      </c>
      <c r="AB135" s="9">
        <f>X135-Z135</f>
        <v>5.4430000000000005</v>
      </c>
      <c r="AC135" s="9">
        <f>(Y135^2+AA135^2)^0.5</f>
        <v>3.1001987391491896</v>
      </c>
      <c r="AD135" s="9">
        <f>-2.5*LOG10(AB135)</f>
        <v>-1.8395958357926845</v>
      </c>
      <c r="AE135" s="9">
        <f>0.43429448*AC135/AB135</f>
        <v>0.24736343915404241</v>
      </c>
      <c r="AH135" s="9"/>
    </row>
    <row r="136" spans="1:39" ht="15" customHeight="1">
      <c r="A136" s="29" t="s">
        <v>44</v>
      </c>
      <c r="B136" s="29">
        <v>7</v>
      </c>
      <c r="C136" s="29">
        <v>19</v>
      </c>
      <c r="D136" s="29">
        <v>28.18</v>
      </c>
      <c r="E136" s="29"/>
      <c r="F136" s="29">
        <v>-16</v>
      </c>
      <c r="G136" s="29">
        <v>23</v>
      </c>
      <c r="H136" s="29">
        <v>42.9</v>
      </c>
      <c r="I136" s="14">
        <v>0.35070601851851851</v>
      </c>
      <c r="J136" s="29" t="s">
        <v>25</v>
      </c>
      <c r="K136" s="29">
        <v>1</v>
      </c>
      <c r="L136" s="29">
        <v>100</v>
      </c>
      <c r="M136" s="1">
        <v>1117</v>
      </c>
      <c r="N136" s="29">
        <v>1</v>
      </c>
      <c r="O136" s="29">
        <v>100</v>
      </c>
      <c r="P136" s="1">
        <v>588</v>
      </c>
    </row>
    <row r="137" spans="1:39" ht="15" customHeight="1">
      <c r="A137" s="29" t="s">
        <v>44</v>
      </c>
      <c r="B137" s="29">
        <v>7</v>
      </c>
      <c r="C137" s="29">
        <v>19</v>
      </c>
      <c r="D137" s="29">
        <v>28.18</v>
      </c>
      <c r="E137" s="29"/>
      <c r="F137" s="29">
        <v>-16</v>
      </c>
      <c r="G137" s="29">
        <v>23</v>
      </c>
      <c r="H137" s="29">
        <v>42.9</v>
      </c>
      <c r="I137" s="14">
        <v>0.35071759259259255</v>
      </c>
      <c r="J137" s="29" t="s">
        <v>25</v>
      </c>
      <c r="K137" s="29">
        <v>1</v>
      </c>
      <c r="L137" s="29">
        <v>100</v>
      </c>
      <c r="M137" s="1">
        <v>1134</v>
      </c>
      <c r="N137" s="29">
        <v>1</v>
      </c>
      <c r="O137" s="29">
        <v>100</v>
      </c>
      <c r="P137" s="1">
        <v>588</v>
      </c>
    </row>
    <row r="138" spans="1:39" ht="15" customHeight="1">
      <c r="A138" s="29" t="s">
        <v>44</v>
      </c>
      <c r="B138" s="29">
        <v>7</v>
      </c>
      <c r="C138" s="29">
        <v>19</v>
      </c>
      <c r="D138" s="29">
        <v>28.18</v>
      </c>
      <c r="E138" s="29"/>
      <c r="F138" s="29">
        <v>-16</v>
      </c>
      <c r="G138" s="29">
        <v>23</v>
      </c>
      <c r="H138" s="29">
        <v>42.9</v>
      </c>
      <c r="I138" s="14">
        <v>0.3507291666666667</v>
      </c>
      <c r="J138" s="29" t="s">
        <v>25</v>
      </c>
      <c r="K138" s="29">
        <v>1</v>
      </c>
      <c r="L138" s="29">
        <v>100</v>
      </c>
      <c r="M138" s="1">
        <v>1143</v>
      </c>
      <c r="N138" s="29">
        <v>1</v>
      </c>
      <c r="O138" s="29">
        <v>100</v>
      </c>
      <c r="P138" s="1">
        <v>592</v>
      </c>
    </row>
    <row r="139" spans="1:39" ht="15" customHeight="1">
      <c r="A139" s="29" t="s">
        <v>44</v>
      </c>
      <c r="B139" s="29">
        <v>7</v>
      </c>
      <c r="C139" s="29">
        <v>19</v>
      </c>
      <c r="D139" s="29">
        <v>28.18</v>
      </c>
      <c r="E139" s="29"/>
      <c r="F139" s="29">
        <v>-16</v>
      </c>
      <c r="G139" s="29">
        <v>23</v>
      </c>
      <c r="H139" s="29">
        <v>42.9</v>
      </c>
      <c r="I139" s="14">
        <v>0.35074074074074074</v>
      </c>
      <c r="J139" s="29" t="s">
        <v>25</v>
      </c>
      <c r="K139" s="29">
        <v>1</v>
      </c>
      <c r="L139" s="29">
        <v>100</v>
      </c>
      <c r="M139" s="1">
        <v>1130</v>
      </c>
      <c r="N139" s="29">
        <v>1</v>
      </c>
      <c r="O139" s="29">
        <v>100</v>
      </c>
      <c r="P139" s="1">
        <v>590</v>
      </c>
    </row>
    <row r="140" spans="1:39" ht="15" customHeight="1">
      <c r="A140" s="29" t="s">
        <v>44</v>
      </c>
      <c r="B140" s="29">
        <v>7</v>
      </c>
      <c r="C140" s="29">
        <v>19</v>
      </c>
      <c r="D140" s="29">
        <v>28.18</v>
      </c>
      <c r="E140" s="29"/>
      <c r="F140" s="29">
        <v>-16</v>
      </c>
      <c r="G140" s="29">
        <v>23</v>
      </c>
      <c r="H140" s="29">
        <v>42.9</v>
      </c>
      <c r="I140" s="14">
        <v>0.35075231481481484</v>
      </c>
      <c r="J140" s="29" t="s">
        <v>25</v>
      </c>
      <c r="K140" s="29">
        <v>1</v>
      </c>
      <c r="L140" s="29">
        <v>100</v>
      </c>
      <c r="M140" s="1">
        <v>1116</v>
      </c>
      <c r="N140" s="29">
        <v>1</v>
      </c>
      <c r="O140" s="29">
        <v>100</v>
      </c>
      <c r="P140" s="1">
        <v>589</v>
      </c>
    </row>
    <row r="141" spans="1:39" ht="15" customHeight="1">
      <c r="A141" s="29" t="s">
        <v>44</v>
      </c>
      <c r="B141" s="29">
        <v>7</v>
      </c>
      <c r="C141" s="29">
        <v>19</v>
      </c>
      <c r="D141" s="29">
        <v>28.18</v>
      </c>
      <c r="E141" s="29"/>
      <c r="F141" s="29">
        <v>-16</v>
      </c>
      <c r="G141" s="29">
        <v>23</v>
      </c>
      <c r="H141" s="29">
        <v>42.9</v>
      </c>
      <c r="I141" s="14">
        <v>0.35076388888888888</v>
      </c>
      <c r="J141" s="29" t="s">
        <v>25</v>
      </c>
      <c r="K141" s="29">
        <v>1</v>
      </c>
      <c r="L141" s="29">
        <v>100</v>
      </c>
      <c r="M141" s="1">
        <v>1147</v>
      </c>
      <c r="N141" s="29">
        <v>1</v>
      </c>
      <c r="O141" s="29">
        <v>100</v>
      </c>
      <c r="P141" s="1">
        <v>590</v>
      </c>
    </row>
    <row r="142" spans="1:39" ht="15" customHeight="1">
      <c r="A142" s="29" t="s">
        <v>44</v>
      </c>
      <c r="B142" s="29">
        <v>7</v>
      </c>
      <c r="C142" s="29">
        <v>19</v>
      </c>
      <c r="D142" s="29">
        <v>28.18</v>
      </c>
      <c r="E142" s="29"/>
      <c r="F142" s="29">
        <v>-16</v>
      </c>
      <c r="G142" s="29">
        <v>23</v>
      </c>
      <c r="H142" s="29">
        <v>42.9</v>
      </c>
      <c r="I142" s="14">
        <v>0.35077546296296297</v>
      </c>
      <c r="J142" s="29" t="s">
        <v>25</v>
      </c>
      <c r="K142" s="29">
        <v>1</v>
      </c>
      <c r="L142" s="29">
        <v>100</v>
      </c>
      <c r="M142" s="1">
        <v>1141</v>
      </c>
      <c r="N142" s="29">
        <v>1</v>
      </c>
      <c r="O142" s="29">
        <v>100</v>
      </c>
      <c r="P142" s="1">
        <v>597</v>
      </c>
    </row>
    <row r="143" spans="1:39" ht="15" customHeight="1">
      <c r="A143" s="29" t="s">
        <v>44</v>
      </c>
      <c r="B143" s="29">
        <v>7</v>
      </c>
      <c r="C143" s="29">
        <v>19</v>
      </c>
      <c r="D143" s="29">
        <v>28.18</v>
      </c>
      <c r="E143" s="29"/>
      <c r="F143" s="29">
        <v>-16</v>
      </c>
      <c r="G143" s="29">
        <v>23</v>
      </c>
      <c r="H143" s="29">
        <v>42.9</v>
      </c>
      <c r="I143" s="14">
        <v>0.35078703703703701</v>
      </c>
      <c r="J143" s="29" t="s">
        <v>25</v>
      </c>
      <c r="K143" s="29">
        <v>1</v>
      </c>
      <c r="L143" s="29">
        <v>100</v>
      </c>
      <c r="M143" s="1">
        <v>1133</v>
      </c>
      <c r="N143" s="29">
        <v>1</v>
      </c>
      <c r="O143" s="29">
        <v>100</v>
      </c>
      <c r="P143" s="1">
        <v>589</v>
      </c>
    </row>
    <row r="144" spans="1:39" ht="15" customHeight="1">
      <c r="A144" s="22" t="s">
        <v>44</v>
      </c>
      <c r="B144" s="22">
        <v>7</v>
      </c>
      <c r="C144" s="22">
        <v>19</v>
      </c>
      <c r="D144" s="22">
        <v>28.18</v>
      </c>
      <c r="E144" s="22"/>
      <c r="F144" s="22">
        <v>-16</v>
      </c>
      <c r="G144" s="22">
        <v>23</v>
      </c>
      <c r="H144" s="22">
        <v>42.9</v>
      </c>
      <c r="I144" s="27">
        <v>0.35079861111111116</v>
      </c>
      <c r="J144" s="22" t="s">
        <v>25</v>
      </c>
      <c r="K144" s="22">
        <v>1</v>
      </c>
      <c r="L144" s="22">
        <v>100</v>
      </c>
      <c r="M144" s="22">
        <v>1135</v>
      </c>
      <c r="N144" s="22">
        <v>1</v>
      </c>
      <c r="O144" s="22">
        <v>100</v>
      </c>
      <c r="P144" s="22">
        <v>587</v>
      </c>
      <c r="Q144" s="28"/>
      <c r="R144" s="28"/>
      <c r="S144" s="28"/>
      <c r="T144" s="28"/>
      <c r="U144" s="28"/>
      <c r="V144" s="28"/>
      <c r="W144" s="22"/>
      <c r="X144" s="28"/>
      <c r="Y144" s="28"/>
      <c r="Z144" s="28"/>
      <c r="AA144" s="28"/>
      <c r="AB144" s="28"/>
      <c r="AC144" s="28"/>
      <c r="AD144" s="28"/>
      <c r="AE144" s="28"/>
      <c r="AF144" s="41"/>
      <c r="AG144" s="28"/>
      <c r="AH144" s="28"/>
      <c r="AI144" s="41"/>
      <c r="AJ144" s="41"/>
      <c r="AK144" s="41"/>
      <c r="AL144" s="41"/>
      <c r="AM144" s="28"/>
    </row>
    <row r="145" spans="1:39" ht="15" customHeight="1">
      <c r="A145" s="29" t="s">
        <v>44</v>
      </c>
      <c r="B145" s="29">
        <v>7</v>
      </c>
      <c r="C145" s="29">
        <v>19</v>
      </c>
      <c r="D145" s="29">
        <v>28.18</v>
      </c>
      <c r="E145" s="29"/>
      <c r="F145" s="29">
        <v>-16</v>
      </c>
      <c r="G145" s="29">
        <v>23</v>
      </c>
      <c r="H145" s="29">
        <v>42.9</v>
      </c>
      <c r="I145" s="14">
        <v>0.3520833333333333</v>
      </c>
      <c r="J145" s="29" t="s">
        <v>47</v>
      </c>
      <c r="K145" s="29">
        <v>1</v>
      </c>
      <c r="L145" s="29">
        <v>100</v>
      </c>
      <c r="M145" s="1">
        <v>1275</v>
      </c>
      <c r="N145" s="29">
        <v>1</v>
      </c>
      <c r="O145" s="29">
        <v>100</v>
      </c>
      <c r="P145" s="1">
        <v>598</v>
      </c>
      <c r="R145" t="str">
        <f>A145</f>
        <v>R CMa</v>
      </c>
      <c r="S145" s="1">
        <v>8.4513888000000001</v>
      </c>
      <c r="T145" s="9">
        <f>$S$1+1.0027379093*S145-$S$3</f>
        <v>8.6371792785860286</v>
      </c>
      <c r="U145" s="9">
        <f>T145-(B145+C145/60+D145/3600)</f>
        <v>1.3126848341415842</v>
      </c>
      <c r="V145" s="9">
        <f>1/(SIN(-1*$U$1*((ABS(F145)+G145/60+H145*3600)))*SIN($U$1*$S$2)+COS(-1*$U$1*((ABS(F145)+G145/60+H145*3600)))*COS($U$1*$S$2)*COS($U$1*U145*15))</f>
        <v>1.3541210645266271</v>
      </c>
      <c r="W145" s="1" t="str">
        <f>J145</f>
        <v>R</v>
      </c>
      <c r="X145" s="9">
        <f>AVERAGE(M145:M154)/K145/L145</f>
        <v>12.659000000000001</v>
      </c>
      <c r="Y145" s="9">
        <f>STDEV(M145:M154)/K145/L145</f>
        <v>0.12573782247199927</v>
      </c>
      <c r="Z145" s="9">
        <f>AVERAGE(P145:P154)/N145/O145</f>
        <v>5.9850000000000003</v>
      </c>
      <c r="AA145" s="9">
        <f>STDEV(P145:P154)/N145/N154</f>
        <v>3.5039660069381067</v>
      </c>
      <c r="AB145" s="9">
        <f>X145-Z145</f>
        <v>6.6740000000000004</v>
      </c>
      <c r="AC145" s="9">
        <f>(Y145^2+AA145^2)^0.5</f>
        <v>3.5062212961788051</v>
      </c>
      <c r="AD145" s="9">
        <f>-2.5*LOG10(AB145)</f>
        <v>-2.0609655057969349</v>
      </c>
      <c r="AE145" s="9">
        <f>0.43429448*AC145/AB145</f>
        <v>0.22815890838910699</v>
      </c>
      <c r="AH145" s="9"/>
    </row>
    <row r="146" spans="1:39" ht="15" customHeight="1">
      <c r="A146" s="29" t="s">
        <v>44</v>
      </c>
      <c r="B146" s="29">
        <v>7</v>
      </c>
      <c r="C146" s="29">
        <v>19</v>
      </c>
      <c r="D146" s="29">
        <v>28.18</v>
      </c>
      <c r="E146" s="29"/>
      <c r="F146" s="29">
        <v>-16</v>
      </c>
      <c r="G146" s="29">
        <v>23</v>
      </c>
      <c r="H146" s="29">
        <v>42.9</v>
      </c>
      <c r="I146" s="14">
        <v>0.3520949074074074</v>
      </c>
      <c r="J146" s="29" t="s">
        <v>47</v>
      </c>
      <c r="K146" s="29">
        <v>1</v>
      </c>
      <c r="L146" s="29">
        <v>100</v>
      </c>
      <c r="M146" s="1">
        <v>1275</v>
      </c>
      <c r="N146" s="29">
        <v>1</v>
      </c>
      <c r="O146" s="29">
        <v>100</v>
      </c>
      <c r="P146" s="1">
        <v>598</v>
      </c>
    </row>
    <row r="147" spans="1:39" ht="15" customHeight="1">
      <c r="A147" s="29" t="s">
        <v>44</v>
      </c>
      <c r="B147" s="29">
        <v>7</v>
      </c>
      <c r="C147" s="29">
        <v>19</v>
      </c>
      <c r="D147" s="29">
        <v>28.18</v>
      </c>
      <c r="E147" s="29"/>
      <c r="F147" s="29">
        <v>-16</v>
      </c>
      <c r="G147" s="29">
        <v>23</v>
      </c>
      <c r="H147" s="29">
        <v>42.9</v>
      </c>
      <c r="I147" s="14">
        <v>0.35210648148148144</v>
      </c>
      <c r="J147" s="29" t="s">
        <v>47</v>
      </c>
      <c r="K147" s="29">
        <v>1</v>
      </c>
      <c r="L147" s="29">
        <v>100</v>
      </c>
      <c r="M147" s="1">
        <v>1264</v>
      </c>
      <c r="N147" s="29">
        <v>1</v>
      </c>
      <c r="O147" s="29">
        <v>100</v>
      </c>
      <c r="P147" s="1">
        <v>604</v>
      </c>
    </row>
    <row r="148" spans="1:39" ht="15" customHeight="1">
      <c r="A148" s="29" t="s">
        <v>44</v>
      </c>
      <c r="B148" s="29">
        <v>7</v>
      </c>
      <c r="C148" s="29">
        <v>19</v>
      </c>
      <c r="D148" s="29">
        <v>28.18</v>
      </c>
      <c r="E148" s="29"/>
      <c r="F148" s="29">
        <v>-16</v>
      </c>
      <c r="G148" s="29">
        <v>23</v>
      </c>
      <c r="H148" s="29">
        <v>42.9</v>
      </c>
      <c r="I148" s="14">
        <v>0.35211805555555559</v>
      </c>
      <c r="J148" s="29" t="s">
        <v>47</v>
      </c>
      <c r="K148" s="29">
        <v>1</v>
      </c>
      <c r="L148" s="29">
        <v>100</v>
      </c>
      <c r="M148" s="1">
        <v>1265</v>
      </c>
      <c r="N148" s="29">
        <v>1</v>
      </c>
      <c r="O148" s="29">
        <v>100</v>
      </c>
      <c r="P148" s="1">
        <v>594</v>
      </c>
    </row>
    <row r="149" spans="1:39" ht="15" customHeight="1">
      <c r="A149" s="29" t="s">
        <v>44</v>
      </c>
      <c r="B149" s="29">
        <v>7</v>
      </c>
      <c r="C149" s="29">
        <v>19</v>
      </c>
      <c r="D149" s="29">
        <v>28.18</v>
      </c>
      <c r="E149" s="29"/>
      <c r="F149" s="29">
        <v>-16</v>
      </c>
      <c r="G149" s="29">
        <v>23</v>
      </c>
      <c r="H149" s="29">
        <v>42.9</v>
      </c>
      <c r="I149" s="14">
        <v>0.35212962962962963</v>
      </c>
      <c r="J149" s="29" t="s">
        <v>47</v>
      </c>
      <c r="K149" s="29">
        <v>1</v>
      </c>
      <c r="L149" s="29">
        <v>100</v>
      </c>
      <c r="M149" s="1">
        <v>1237</v>
      </c>
      <c r="N149" s="29">
        <v>1</v>
      </c>
      <c r="O149" s="29">
        <v>100</v>
      </c>
      <c r="P149" s="1">
        <v>596</v>
      </c>
    </row>
    <row r="150" spans="1:39" ht="15" customHeight="1">
      <c r="A150" s="29" t="s">
        <v>44</v>
      </c>
      <c r="B150" s="29">
        <v>7</v>
      </c>
      <c r="C150" s="29">
        <v>19</v>
      </c>
      <c r="D150" s="29">
        <v>28.18</v>
      </c>
      <c r="E150" s="29"/>
      <c r="F150" s="29">
        <v>-16</v>
      </c>
      <c r="G150" s="29">
        <v>23</v>
      </c>
      <c r="H150" s="29">
        <v>42.9</v>
      </c>
      <c r="I150" s="14">
        <v>0.35214120370370372</v>
      </c>
      <c r="J150" s="29" t="s">
        <v>47</v>
      </c>
      <c r="K150" s="29">
        <v>1</v>
      </c>
      <c r="L150" s="29">
        <v>100</v>
      </c>
      <c r="M150" s="1">
        <v>1265</v>
      </c>
      <c r="N150" s="29">
        <v>1</v>
      </c>
      <c r="O150" s="29">
        <v>100</v>
      </c>
      <c r="P150" s="1">
        <v>604</v>
      </c>
    </row>
    <row r="151" spans="1:39" ht="15" customHeight="1">
      <c r="A151" s="29" t="s">
        <v>44</v>
      </c>
      <c r="B151" s="29">
        <v>7</v>
      </c>
      <c r="C151" s="29">
        <v>19</v>
      </c>
      <c r="D151" s="29">
        <v>28.18</v>
      </c>
      <c r="E151" s="29"/>
      <c r="F151" s="29">
        <v>-16</v>
      </c>
      <c r="G151" s="29">
        <v>23</v>
      </c>
      <c r="H151" s="29">
        <v>42.9</v>
      </c>
      <c r="I151" s="14">
        <v>0.35215277777777776</v>
      </c>
      <c r="J151" s="29" t="s">
        <v>47</v>
      </c>
      <c r="K151" s="29">
        <v>1</v>
      </c>
      <c r="L151" s="29">
        <v>100</v>
      </c>
      <c r="M151" s="1">
        <v>1281</v>
      </c>
      <c r="N151" s="29">
        <v>1</v>
      </c>
      <c r="O151" s="29">
        <v>100</v>
      </c>
      <c r="P151" s="1">
        <v>600</v>
      </c>
    </row>
    <row r="152" spans="1:39" ht="15" customHeight="1">
      <c r="A152" s="29" t="s">
        <v>44</v>
      </c>
      <c r="B152" s="29">
        <v>7</v>
      </c>
      <c r="C152" s="29">
        <v>19</v>
      </c>
      <c r="D152" s="29">
        <v>28.18</v>
      </c>
      <c r="E152" s="29"/>
      <c r="F152" s="29">
        <v>-16</v>
      </c>
      <c r="G152" s="29">
        <v>23</v>
      </c>
      <c r="H152" s="29">
        <v>42.9</v>
      </c>
      <c r="I152" s="14">
        <v>0.35216435185185185</v>
      </c>
      <c r="J152" s="29" t="s">
        <v>47</v>
      </c>
      <c r="K152" s="29">
        <v>1</v>
      </c>
      <c r="L152" s="29">
        <v>100</v>
      </c>
      <c r="M152" s="1">
        <v>1268</v>
      </c>
      <c r="N152" s="29">
        <v>1</v>
      </c>
      <c r="O152" s="29">
        <v>100</v>
      </c>
      <c r="P152" s="1">
        <v>595</v>
      </c>
    </row>
    <row r="153" spans="1:39" ht="15" customHeight="1">
      <c r="A153" s="29" t="s">
        <v>44</v>
      </c>
      <c r="B153" s="29">
        <v>7</v>
      </c>
      <c r="C153" s="29">
        <v>19</v>
      </c>
      <c r="D153" s="29">
        <v>28.18</v>
      </c>
      <c r="E153" s="29"/>
      <c r="F153" s="29">
        <v>-16</v>
      </c>
      <c r="G153" s="29">
        <v>23</v>
      </c>
      <c r="H153" s="29">
        <v>42.9</v>
      </c>
      <c r="I153" s="14">
        <v>0.35217592592592589</v>
      </c>
      <c r="J153" s="29" t="s">
        <v>47</v>
      </c>
      <c r="K153" s="29">
        <v>1</v>
      </c>
      <c r="L153" s="29">
        <v>100</v>
      </c>
      <c r="M153" s="1">
        <v>1274</v>
      </c>
      <c r="N153" s="29">
        <v>1</v>
      </c>
      <c r="O153" s="29">
        <v>100</v>
      </c>
      <c r="P153" s="1">
        <v>600</v>
      </c>
    </row>
    <row r="154" spans="1:39" ht="15" customHeight="1">
      <c r="A154" s="22" t="s">
        <v>44</v>
      </c>
      <c r="B154" s="22">
        <v>7</v>
      </c>
      <c r="C154" s="22">
        <v>19</v>
      </c>
      <c r="D154" s="22">
        <v>28.18</v>
      </c>
      <c r="E154" s="22"/>
      <c r="F154" s="22">
        <v>-16</v>
      </c>
      <c r="G154" s="22">
        <v>23</v>
      </c>
      <c r="H154" s="22">
        <v>42.9</v>
      </c>
      <c r="I154" s="27">
        <v>0.35218749999999999</v>
      </c>
      <c r="J154" s="22" t="s">
        <v>47</v>
      </c>
      <c r="K154" s="22">
        <v>1</v>
      </c>
      <c r="L154" s="22">
        <v>100</v>
      </c>
      <c r="M154" s="22">
        <v>1255</v>
      </c>
      <c r="N154" s="22">
        <v>1</v>
      </c>
      <c r="O154" s="22">
        <v>100</v>
      </c>
      <c r="P154" s="22">
        <v>596</v>
      </c>
      <c r="Q154" s="28"/>
      <c r="R154" s="28"/>
      <c r="S154" s="28"/>
      <c r="T154" s="28"/>
      <c r="U154" s="28"/>
      <c r="V154" s="28"/>
      <c r="W154" s="22"/>
      <c r="X154" s="28"/>
      <c r="Y154" s="28"/>
      <c r="Z154" s="28"/>
      <c r="AA154" s="28"/>
      <c r="AB154" s="28"/>
      <c r="AC154" s="28"/>
      <c r="AD154" s="28"/>
      <c r="AE154" s="28"/>
      <c r="AF154" s="41"/>
      <c r="AG154" s="28"/>
      <c r="AH154" s="28"/>
      <c r="AI154" s="41"/>
      <c r="AJ154" s="41"/>
      <c r="AK154" s="41"/>
      <c r="AL154" s="41"/>
      <c r="AM154" s="28"/>
    </row>
    <row r="155" spans="1:39" ht="15" customHeight="1">
      <c r="A155" s="29" t="s">
        <v>46</v>
      </c>
      <c r="B155" s="29">
        <v>7</v>
      </c>
      <c r="C155" s="29">
        <v>16</v>
      </c>
      <c r="D155" s="29">
        <v>0</v>
      </c>
      <c r="E155" s="29"/>
      <c r="F155" s="29">
        <v>-16</v>
      </c>
      <c r="G155" s="29">
        <v>23</v>
      </c>
      <c r="H155" s="29">
        <v>0</v>
      </c>
      <c r="I155" s="14">
        <v>0.35555555555555557</v>
      </c>
      <c r="J155" s="29" t="s">
        <v>47</v>
      </c>
      <c r="K155" s="29">
        <v>1</v>
      </c>
      <c r="L155" s="29">
        <v>100</v>
      </c>
      <c r="M155" s="1">
        <v>1222</v>
      </c>
      <c r="N155" s="29">
        <v>1</v>
      </c>
      <c r="O155" s="29">
        <v>100</v>
      </c>
      <c r="P155" s="1">
        <v>598</v>
      </c>
      <c r="R155" t="str">
        <f>A155</f>
        <v>55 Comp</v>
      </c>
      <c r="S155" s="1">
        <v>8.5347221999999991</v>
      </c>
      <c r="T155" s="9">
        <f>$S$1+1.0027379093*S155-$S$3</f>
        <v>8.7207408378768889</v>
      </c>
      <c r="U155" s="9">
        <f>T155-(B155+C155/60+D155/3600)</f>
        <v>1.4540741712102223</v>
      </c>
      <c r="V155" s="9">
        <f>1/(SIN(-1*$U$1*((ABS(F155)+G155/60+H155*3600)))*SIN($U$1*$S$2)+COS(-1*$U$1*((ABS(F155)+G155/60+H155*3600)))*COS($U$1*$S$2)*COS($U$1*U155*15))</f>
        <v>1.3759557985350088</v>
      </c>
      <c r="W155" s="1" t="str">
        <f>J155</f>
        <v>R</v>
      </c>
      <c r="X155" s="9">
        <f>AVERAGE(M155:M164)/K155/L155</f>
        <v>12.482000000000001</v>
      </c>
      <c r="Y155" s="9">
        <f>STDEV(M155:M164)/K155/L155</f>
        <v>0.13595750970227588</v>
      </c>
      <c r="Z155" s="9">
        <f>AVERAGE(P155:P164)/N155/O155</f>
        <v>5.976</v>
      </c>
      <c r="AA155" s="9">
        <f>STDEV(P155:P164)/N155/N164</f>
        <v>4.2478752858863968</v>
      </c>
      <c r="AB155" s="9">
        <f>X155-Z155</f>
        <v>6.5060000000000011</v>
      </c>
      <c r="AC155" s="9">
        <f>(Y155^2+AA155^2)^0.5</f>
        <v>4.2500504572168172</v>
      </c>
      <c r="AD155" s="9">
        <f>-2.5*LOG10(AB155)</f>
        <v>-2.033285147364587</v>
      </c>
      <c r="AE155" s="9">
        <f>0.43429448*AC155/AB155</f>
        <v>0.28370326672160151</v>
      </c>
      <c r="AH155" s="9"/>
    </row>
    <row r="156" spans="1:39" ht="15" customHeight="1">
      <c r="A156" s="29" t="s">
        <v>46</v>
      </c>
      <c r="B156" s="29">
        <v>7</v>
      </c>
      <c r="C156" s="29">
        <v>16</v>
      </c>
      <c r="D156" s="29">
        <v>0</v>
      </c>
      <c r="E156" s="29"/>
      <c r="F156" s="29">
        <v>-16</v>
      </c>
      <c r="G156" s="29">
        <v>23</v>
      </c>
      <c r="H156" s="29">
        <v>0</v>
      </c>
      <c r="I156" s="14">
        <v>0.35556712962962966</v>
      </c>
      <c r="J156" s="29" t="s">
        <v>47</v>
      </c>
      <c r="K156" s="29">
        <v>1</v>
      </c>
      <c r="L156" s="29">
        <v>100</v>
      </c>
      <c r="M156" s="1">
        <v>1250</v>
      </c>
      <c r="N156" s="29">
        <v>1</v>
      </c>
      <c r="O156" s="29">
        <v>100</v>
      </c>
      <c r="P156" s="1">
        <v>600</v>
      </c>
    </row>
    <row r="157" spans="1:39" ht="15" customHeight="1">
      <c r="A157" s="29" t="s">
        <v>46</v>
      </c>
      <c r="B157" s="29">
        <v>7</v>
      </c>
      <c r="C157" s="29">
        <v>16</v>
      </c>
      <c r="D157" s="29">
        <v>0</v>
      </c>
      <c r="E157" s="29"/>
      <c r="F157" s="29">
        <v>-16</v>
      </c>
      <c r="G157" s="29">
        <v>23</v>
      </c>
      <c r="H157" s="29">
        <v>0</v>
      </c>
      <c r="I157" s="14">
        <v>0.3555787037037037</v>
      </c>
      <c r="J157" s="29" t="s">
        <v>47</v>
      </c>
      <c r="K157" s="29">
        <v>1</v>
      </c>
      <c r="L157" s="29">
        <v>100</v>
      </c>
      <c r="M157" s="1">
        <v>1257</v>
      </c>
      <c r="N157" s="29">
        <v>1</v>
      </c>
      <c r="O157" s="29">
        <v>100</v>
      </c>
      <c r="P157" s="1">
        <v>598</v>
      </c>
    </row>
    <row r="158" spans="1:39" ht="15" customHeight="1">
      <c r="A158" s="29" t="s">
        <v>46</v>
      </c>
      <c r="B158" s="29">
        <v>7</v>
      </c>
      <c r="C158" s="29">
        <v>16</v>
      </c>
      <c r="D158" s="29">
        <v>0</v>
      </c>
      <c r="E158" s="29"/>
      <c r="F158" s="29">
        <v>-16</v>
      </c>
      <c r="G158" s="29">
        <v>23</v>
      </c>
      <c r="H158" s="29">
        <v>0</v>
      </c>
      <c r="I158" s="14">
        <v>0.35559027777777774</v>
      </c>
      <c r="J158" s="29" t="s">
        <v>47</v>
      </c>
      <c r="K158" s="29">
        <v>1</v>
      </c>
      <c r="L158" s="29">
        <v>100</v>
      </c>
      <c r="M158" s="1">
        <v>1252</v>
      </c>
      <c r="N158" s="29">
        <v>1</v>
      </c>
      <c r="O158" s="29">
        <v>100</v>
      </c>
      <c r="P158" s="1">
        <v>591</v>
      </c>
    </row>
    <row r="159" spans="1:39" ht="15" customHeight="1">
      <c r="A159" s="29" t="s">
        <v>46</v>
      </c>
      <c r="B159" s="29">
        <v>7</v>
      </c>
      <c r="C159" s="29">
        <v>16</v>
      </c>
      <c r="D159" s="29">
        <v>0</v>
      </c>
      <c r="E159" s="29"/>
      <c r="F159" s="29">
        <v>-16</v>
      </c>
      <c r="G159" s="29">
        <v>23</v>
      </c>
      <c r="H159" s="29">
        <v>0</v>
      </c>
      <c r="I159" s="14">
        <v>0.35560185185185184</v>
      </c>
      <c r="J159" s="29" t="s">
        <v>47</v>
      </c>
      <c r="K159" s="29">
        <v>1</v>
      </c>
      <c r="L159" s="29">
        <v>100</v>
      </c>
      <c r="M159" s="1">
        <v>1245</v>
      </c>
      <c r="N159" s="29">
        <v>1</v>
      </c>
      <c r="O159" s="29">
        <v>100</v>
      </c>
      <c r="P159" s="1">
        <v>592</v>
      </c>
    </row>
    <row r="160" spans="1:39" ht="15" customHeight="1">
      <c r="A160" s="29" t="s">
        <v>46</v>
      </c>
      <c r="B160" s="29">
        <v>7</v>
      </c>
      <c r="C160" s="29">
        <v>16</v>
      </c>
      <c r="D160" s="29">
        <v>0</v>
      </c>
      <c r="E160" s="29"/>
      <c r="F160" s="29">
        <v>-16</v>
      </c>
      <c r="G160" s="29">
        <v>23</v>
      </c>
      <c r="H160" s="29">
        <v>0</v>
      </c>
      <c r="I160" s="14">
        <v>0.35561342592592587</v>
      </c>
      <c r="J160" s="29" t="s">
        <v>47</v>
      </c>
      <c r="K160" s="29">
        <v>1</v>
      </c>
      <c r="L160" s="29">
        <v>100</v>
      </c>
      <c r="M160" s="1">
        <v>1242</v>
      </c>
      <c r="N160" s="29">
        <v>1</v>
      </c>
      <c r="O160" s="29">
        <v>100</v>
      </c>
      <c r="P160" s="1">
        <v>600</v>
      </c>
    </row>
    <row r="161" spans="1:39" ht="15" customHeight="1">
      <c r="A161" s="29" t="s">
        <v>46</v>
      </c>
      <c r="B161" s="29">
        <v>7</v>
      </c>
      <c r="C161" s="29">
        <v>16</v>
      </c>
      <c r="D161" s="29">
        <v>0</v>
      </c>
      <c r="E161" s="29"/>
      <c r="F161" s="29">
        <v>-16</v>
      </c>
      <c r="G161" s="29">
        <v>23</v>
      </c>
      <c r="H161" s="29">
        <v>0</v>
      </c>
      <c r="I161" s="14">
        <v>0.35562500000000002</v>
      </c>
      <c r="J161" s="29" t="s">
        <v>47</v>
      </c>
      <c r="K161" s="29">
        <v>1</v>
      </c>
      <c r="L161" s="29">
        <v>100</v>
      </c>
      <c r="M161" s="1">
        <v>1239</v>
      </c>
      <c r="N161" s="29">
        <v>1</v>
      </c>
      <c r="O161" s="29">
        <v>100</v>
      </c>
      <c r="P161" s="1">
        <v>601</v>
      </c>
    </row>
    <row r="162" spans="1:39" ht="15" customHeight="1">
      <c r="A162" s="29" t="s">
        <v>46</v>
      </c>
      <c r="B162" s="29">
        <v>7</v>
      </c>
      <c r="C162" s="29">
        <v>16</v>
      </c>
      <c r="D162" s="29">
        <v>0</v>
      </c>
      <c r="E162" s="29"/>
      <c r="F162" s="29">
        <v>-16</v>
      </c>
      <c r="G162" s="29">
        <v>23</v>
      </c>
      <c r="H162" s="29">
        <v>0</v>
      </c>
      <c r="I162" s="14">
        <v>0.35563657407407406</v>
      </c>
      <c r="J162" s="29" t="s">
        <v>47</v>
      </c>
      <c r="K162" s="29">
        <v>1</v>
      </c>
      <c r="L162" s="29">
        <v>100</v>
      </c>
      <c r="M162" s="1">
        <v>1242</v>
      </c>
      <c r="N162" s="29">
        <v>1</v>
      </c>
      <c r="O162" s="29">
        <v>100</v>
      </c>
      <c r="P162" s="1">
        <v>604</v>
      </c>
    </row>
    <row r="163" spans="1:39" ht="15" customHeight="1">
      <c r="A163" s="29" t="s">
        <v>46</v>
      </c>
      <c r="B163" s="29">
        <v>7</v>
      </c>
      <c r="C163" s="29">
        <v>16</v>
      </c>
      <c r="D163" s="29">
        <v>0</v>
      </c>
      <c r="E163" s="29"/>
      <c r="F163" s="29">
        <v>-16</v>
      </c>
      <c r="G163" s="29">
        <v>23</v>
      </c>
      <c r="H163" s="29">
        <v>0</v>
      </c>
      <c r="I163" s="14">
        <v>0.35564814814814816</v>
      </c>
      <c r="J163" s="29" t="s">
        <v>47</v>
      </c>
      <c r="K163" s="29">
        <v>1</v>
      </c>
      <c r="L163" s="29">
        <v>100</v>
      </c>
      <c r="M163" s="1">
        <v>1262</v>
      </c>
      <c r="N163" s="29">
        <v>1</v>
      </c>
      <c r="O163" s="29">
        <v>100</v>
      </c>
      <c r="P163" s="1">
        <v>599</v>
      </c>
    </row>
    <row r="164" spans="1:39" ht="15" customHeight="1">
      <c r="A164" s="22" t="s">
        <v>46</v>
      </c>
      <c r="B164" s="22">
        <v>7</v>
      </c>
      <c r="C164" s="22">
        <v>16</v>
      </c>
      <c r="D164" s="22">
        <v>0</v>
      </c>
      <c r="E164" s="22"/>
      <c r="F164" s="22">
        <v>-16</v>
      </c>
      <c r="G164" s="22">
        <v>23</v>
      </c>
      <c r="H164" s="22">
        <v>0</v>
      </c>
      <c r="I164" s="27">
        <v>0.3556597222222222</v>
      </c>
      <c r="J164" s="22" t="s">
        <v>47</v>
      </c>
      <c r="K164" s="22">
        <v>1</v>
      </c>
      <c r="L164" s="22">
        <v>100</v>
      </c>
      <c r="M164" s="22">
        <v>1271</v>
      </c>
      <c r="N164" s="22">
        <v>1</v>
      </c>
      <c r="O164" s="22">
        <v>100</v>
      </c>
      <c r="P164" s="22">
        <v>593</v>
      </c>
      <c r="Q164" s="28"/>
      <c r="R164" s="28"/>
      <c r="S164" s="28"/>
      <c r="T164" s="28"/>
      <c r="U164" s="28"/>
      <c r="V164" s="28"/>
      <c r="W164" s="22"/>
      <c r="X164" s="28"/>
      <c r="Y164" s="28"/>
      <c r="Z164" s="28"/>
      <c r="AA164" s="28"/>
      <c r="AB164" s="28"/>
      <c r="AC164" s="28"/>
      <c r="AD164" s="28"/>
      <c r="AE164" s="28"/>
      <c r="AF164" s="41"/>
      <c r="AG164" s="28"/>
      <c r="AH164" s="28"/>
      <c r="AI164" s="41"/>
      <c r="AJ164" s="41"/>
      <c r="AK164" s="41"/>
      <c r="AL164" s="41"/>
      <c r="AM164" s="28"/>
    </row>
    <row r="165" spans="1:39" ht="15" customHeight="1">
      <c r="A165" s="29" t="s">
        <v>46</v>
      </c>
      <c r="B165" s="29">
        <v>7</v>
      </c>
      <c r="C165" s="29">
        <v>16</v>
      </c>
      <c r="D165" s="29">
        <v>0</v>
      </c>
      <c r="E165" s="29"/>
      <c r="F165" s="29">
        <v>-16</v>
      </c>
      <c r="G165" s="29">
        <v>23</v>
      </c>
      <c r="H165" s="29">
        <v>0</v>
      </c>
      <c r="I165" s="14">
        <v>0.3576388888888889</v>
      </c>
      <c r="J165" s="29" t="s">
        <v>25</v>
      </c>
      <c r="K165" s="29">
        <v>1</v>
      </c>
      <c r="L165" s="29">
        <v>100</v>
      </c>
      <c r="M165" s="1">
        <v>1238</v>
      </c>
      <c r="N165" s="29">
        <v>1</v>
      </c>
      <c r="O165" s="29">
        <v>100</v>
      </c>
      <c r="P165" s="1">
        <v>598</v>
      </c>
      <c r="R165" t="str">
        <f>A165</f>
        <v>55 Comp</v>
      </c>
      <c r="S165" s="1">
        <v>8.5847221999999999</v>
      </c>
      <c r="T165" s="9">
        <f>$S$1+1.0027379093*S165-$S$3</f>
        <v>8.7708777333418908</v>
      </c>
      <c r="U165" s="9">
        <f>T165-(B165+C165/60+D165/3600)</f>
        <v>1.5042110666752242</v>
      </c>
      <c r="V165" s="9">
        <f>1/(SIN(-1*$U$1*((ABS(F165)+G165/60+H165*3600)))*SIN($U$1*$S$2)+COS(-1*$U$1*((ABS(F165)+G165/60+H165*3600)))*COS($U$1*$S$2)*COS($U$1*U165*15))</f>
        <v>1.3843918581875683</v>
      </c>
      <c r="W165" s="1" t="str">
        <f>J165</f>
        <v>V</v>
      </c>
      <c r="X165" s="9">
        <f>AVERAGE(M165:M174)/K165/L165</f>
        <v>12.482999999999999</v>
      </c>
      <c r="Y165" s="9">
        <f>STDEV(M165:M174)/K165/L165</f>
        <v>9.7985259662416085E-2</v>
      </c>
      <c r="Z165" s="9">
        <f>AVERAGE(P165:P174)/N165/O165</f>
        <v>5.9349999999999996</v>
      </c>
      <c r="AA165" s="9">
        <f>STDEV(P165:P174)/N165/N174</f>
        <v>2.9533408577782247</v>
      </c>
      <c r="AB165" s="9">
        <f>X165-Z165</f>
        <v>6.5479999999999992</v>
      </c>
      <c r="AC165" s="9">
        <f>(Y165^2+AA165^2)^0.5</f>
        <v>2.9549658768475364</v>
      </c>
      <c r="AD165" s="9">
        <f>-2.5*LOG10(AB165)</f>
        <v>-2.0402716768497595</v>
      </c>
      <c r="AE165" s="9">
        <f>0.43429448*AC165/AB165</f>
        <v>0.19598738071216326</v>
      </c>
      <c r="AH165" s="9"/>
    </row>
    <row r="166" spans="1:39" ht="15" customHeight="1">
      <c r="A166" s="29" t="s">
        <v>46</v>
      </c>
      <c r="B166" s="29">
        <v>7</v>
      </c>
      <c r="C166" s="29">
        <v>16</v>
      </c>
      <c r="D166" s="29">
        <v>0</v>
      </c>
      <c r="E166" s="29"/>
      <c r="F166" s="29">
        <v>-16</v>
      </c>
      <c r="G166" s="29">
        <v>23</v>
      </c>
      <c r="H166" s="29">
        <v>0</v>
      </c>
      <c r="I166" s="14">
        <v>0.35765046296296293</v>
      </c>
      <c r="J166" s="29" t="s">
        <v>25</v>
      </c>
      <c r="K166" s="29">
        <v>1</v>
      </c>
      <c r="L166" s="29">
        <v>100</v>
      </c>
      <c r="M166" s="1">
        <v>1271</v>
      </c>
      <c r="N166" s="29">
        <v>1</v>
      </c>
      <c r="O166" s="29">
        <v>100</v>
      </c>
      <c r="P166" s="1">
        <v>590</v>
      </c>
    </row>
    <row r="167" spans="1:39" ht="15" customHeight="1">
      <c r="A167" s="29" t="s">
        <v>46</v>
      </c>
      <c r="B167" s="29">
        <v>7</v>
      </c>
      <c r="C167" s="29">
        <v>16</v>
      </c>
      <c r="D167" s="29">
        <v>0</v>
      </c>
      <c r="E167" s="29"/>
      <c r="F167" s="29">
        <v>-16</v>
      </c>
      <c r="G167" s="29">
        <v>23</v>
      </c>
      <c r="H167" s="29">
        <v>0</v>
      </c>
      <c r="I167" s="14">
        <v>0.35766203703703708</v>
      </c>
      <c r="J167" s="29" t="s">
        <v>25</v>
      </c>
      <c r="K167" s="29">
        <v>1</v>
      </c>
      <c r="L167" s="29">
        <v>100</v>
      </c>
      <c r="M167" s="1">
        <v>1255</v>
      </c>
      <c r="N167" s="29">
        <v>1</v>
      </c>
      <c r="O167" s="29">
        <v>100</v>
      </c>
      <c r="P167" s="1">
        <v>594</v>
      </c>
    </row>
    <row r="168" spans="1:39" ht="15" customHeight="1">
      <c r="A168" s="29" t="s">
        <v>46</v>
      </c>
      <c r="B168" s="29">
        <v>7</v>
      </c>
      <c r="C168" s="29">
        <v>16</v>
      </c>
      <c r="D168" s="29">
        <v>0</v>
      </c>
      <c r="E168" s="29"/>
      <c r="F168" s="29">
        <v>-16</v>
      </c>
      <c r="G168" s="29">
        <v>23</v>
      </c>
      <c r="H168" s="29">
        <v>0</v>
      </c>
      <c r="I168" s="14">
        <v>0.35767361111111112</v>
      </c>
      <c r="J168" s="29" t="s">
        <v>25</v>
      </c>
      <c r="K168" s="29">
        <v>1</v>
      </c>
      <c r="L168" s="29">
        <v>100</v>
      </c>
      <c r="M168" s="1">
        <v>1246</v>
      </c>
      <c r="N168" s="29">
        <v>1</v>
      </c>
      <c r="O168" s="29">
        <v>100</v>
      </c>
      <c r="P168" s="1">
        <v>592</v>
      </c>
    </row>
    <row r="169" spans="1:39" ht="15" customHeight="1">
      <c r="A169" s="29" t="s">
        <v>46</v>
      </c>
      <c r="B169" s="29">
        <v>7</v>
      </c>
      <c r="C169" s="29">
        <v>16</v>
      </c>
      <c r="D169" s="29">
        <v>0</v>
      </c>
      <c r="E169" s="29"/>
      <c r="F169" s="29">
        <v>-16</v>
      </c>
      <c r="G169" s="29">
        <v>23</v>
      </c>
      <c r="H169" s="29">
        <v>0</v>
      </c>
      <c r="I169" s="14">
        <v>0.35768518518518522</v>
      </c>
      <c r="J169" s="29" t="s">
        <v>25</v>
      </c>
      <c r="K169" s="29">
        <v>1</v>
      </c>
      <c r="L169" s="29">
        <v>100</v>
      </c>
      <c r="M169" s="1">
        <v>1245</v>
      </c>
      <c r="N169" s="29">
        <v>1</v>
      </c>
      <c r="O169" s="29">
        <v>100</v>
      </c>
      <c r="P169" s="1">
        <v>591</v>
      </c>
    </row>
    <row r="170" spans="1:39" ht="15" customHeight="1">
      <c r="A170" s="29" t="s">
        <v>46</v>
      </c>
      <c r="B170" s="29">
        <v>7</v>
      </c>
      <c r="C170" s="29">
        <v>16</v>
      </c>
      <c r="D170" s="29">
        <v>0</v>
      </c>
      <c r="E170" s="29"/>
      <c r="F170" s="29">
        <v>-16</v>
      </c>
      <c r="G170" s="29">
        <v>23</v>
      </c>
      <c r="H170" s="29">
        <v>0</v>
      </c>
      <c r="I170" s="14">
        <v>0.35769675925925926</v>
      </c>
      <c r="J170" s="29" t="s">
        <v>25</v>
      </c>
      <c r="K170" s="29">
        <v>1</v>
      </c>
      <c r="L170" s="29">
        <v>100</v>
      </c>
      <c r="M170" s="1">
        <v>1246</v>
      </c>
      <c r="N170" s="29">
        <v>1</v>
      </c>
      <c r="O170" s="29">
        <v>100</v>
      </c>
      <c r="P170" s="1">
        <v>595</v>
      </c>
    </row>
    <row r="171" spans="1:39" ht="15" customHeight="1">
      <c r="A171" s="29" t="s">
        <v>46</v>
      </c>
      <c r="B171" s="29">
        <v>7</v>
      </c>
      <c r="C171" s="29">
        <v>16</v>
      </c>
      <c r="D171" s="29">
        <v>0</v>
      </c>
      <c r="E171" s="29"/>
      <c r="F171" s="29">
        <v>-16</v>
      </c>
      <c r="G171" s="29">
        <v>23</v>
      </c>
      <c r="H171" s="29">
        <v>0</v>
      </c>
      <c r="I171" s="14">
        <v>0.35770833333333335</v>
      </c>
      <c r="J171" s="29" t="s">
        <v>25</v>
      </c>
      <c r="K171" s="29">
        <v>1</v>
      </c>
      <c r="L171" s="29">
        <v>100</v>
      </c>
      <c r="M171" s="1">
        <v>1239</v>
      </c>
      <c r="N171" s="29">
        <v>1</v>
      </c>
      <c r="O171" s="29">
        <v>100</v>
      </c>
      <c r="P171" s="1">
        <v>597</v>
      </c>
    </row>
    <row r="172" spans="1:39" ht="15" customHeight="1">
      <c r="A172" s="29" t="s">
        <v>46</v>
      </c>
      <c r="B172" s="29">
        <v>7</v>
      </c>
      <c r="C172" s="29">
        <v>16</v>
      </c>
      <c r="D172" s="29">
        <v>0</v>
      </c>
      <c r="E172" s="29"/>
      <c r="F172" s="29">
        <v>-16</v>
      </c>
      <c r="G172" s="29">
        <v>23</v>
      </c>
      <c r="H172" s="29">
        <v>0</v>
      </c>
      <c r="I172" s="14">
        <v>0.35771990740740739</v>
      </c>
      <c r="J172" s="29" t="s">
        <v>25</v>
      </c>
      <c r="K172" s="29">
        <v>1</v>
      </c>
      <c r="L172" s="29">
        <v>100</v>
      </c>
      <c r="M172" s="1">
        <v>1240</v>
      </c>
      <c r="N172" s="29">
        <v>1</v>
      </c>
      <c r="O172" s="29">
        <v>100</v>
      </c>
      <c r="P172" s="1">
        <v>594</v>
      </c>
    </row>
    <row r="173" spans="1:39" ht="15" customHeight="1">
      <c r="A173" s="29" t="s">
        <v>46</v>
      </c>
      <c r="B173" s="29">
        <v>7</v>
      </c>
      <c r="C173" s="29">
        <v>16</v>
      </c>
      <c r="D173" s="29">
        <v>0</v>
      </c>
      <c r="E173" s="29"/>
      <c r="F173" s="29">
        <v>-16</v>
      </c>
      <c r="G173" s="29">
        <v>23</v>
      </c>
      <c r="H173" s="29">
        <v>0</v>
      </c>
      <c r="I173" s="14">
        <v>0.35773148148148143</v>
      </c>
      <c r="J173" s="29" t="s">
        <v>25</v>
      </c>
      <c r="K173" s="29">
        <v>1</v>
      </c>
      <c r="L173" s="29">
        <v>100</v>
      </c>
      <c r="M173" s="1">
        <v>1252</v>
      </c>
      <c r="N173" s="29">
        <v>1</v>
      </c>
      <c r="O173" s="29">
        <v>100</v>
      </c>
      <c r="P173" s="1">
        <v>589</v>
      </c>
    </row>
    <row r="174" spans="1:39" ht="15" customHeight="1">
      <c r="A174" s="22" t="s">
        <v>46</v>
      </c>
      <c r="B174" s="22">
        <v>7</v>
      </c>
      <c r="C174" s="22">
        <v>16</v>
      </c>
      <c r="D174" s="22">
        <v>0</v>
      </c>
      <c r="E174" s="22"/>
      <c r="F174" s="22">
        <v>-16</v>
      </c>
      <c r="G174" s="22">
        <v>23</v>
      </c>
      <c r="H174" s="22">
        <v>0</v>
      </c>
      <c r="I174" s="27">
        <v>0.35774305555555558</v>
      </c>
      <c r="J174" s="22" t="s">
        <v>25</v>
      </c>
      <c r="K174" s="22">
        <v>1</v>
      </c>
      <c r="L174" s="22">
        <v>100</v>
      </c>
      <c r="M174" s="22">
        <v>1251</v>
      </c>
      <c r="N174" s="22">
        <v>1</v>
      </c>
      <c r="O174" s="22">
        <v>100</v>
      </c>
      <c r="P174" s="22">
        <v>595</v>
      </c>
      <c r="Q174" s="28"/>
      <c r="R174" s="28"/>
      <c r="S174" s="28"/>
      <c r="T174" s="28"/>
      <c r="U174" s="28"/>
      <c r="V174" s="28"/>
      <c r="W174" s="22"/>
      <c r="X174" s="28"/>
      <c r="Y174" s="28"/>
      <c r="Z174" s="28"/>
      <c r="AA174" s="28"/>
      <c r="AB174" s="28"/>
      <c r="AC174" s="28"/>
      <c r="AD174" s="28"/>
      <c r="AE174" s="28"/>
      <c r="AF174" s="41"/>
      <c r="AG174" s="28"/>
      <c r="AH174" s="28"/>
      <c r="AI174" s="41"/>
      <c r="AJ174" s="41"/>
      <c r="AK174" s="41"/>
      <c r="AL174" s="41"/>
      <c r="AM174" s="28"/>
    </row>
    <row r="175" spans="1:39" ht="15" customHeight="1"/>
    <row r="176" spans="1:39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</sheetData>
  <phoneticPr fontId="4" type="noConversion"/>
  <printOptions gridLines="1" gridLinesSet="0"/>
  <pageMargins left="0.4" right="0.4" top="0.8" bottom="0.5" header="0.5" footer="0.5"/>
  <pageSetup scale="95" orientation="landscape" verticalDpi="0" r:id="rId1"/>
  <headerFooter alignWithMargins="0">
    <oddHeader>&amp;C&amp;F&amp;RPage 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hmwk4</vt:lpstr>
      <vt:lpstr>hmwk4!Print_Titles</vt:lpstr>
    </vt:vector>
  </TitlesOfParts>
  <Company>UH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Institute for Astronomy</dc:creator>
  <cp:lastModifiedBy>Carina Negreanu</cp:lastModifiedBy>
  <cp:lastPrinted>2003-04-14T12:45:45Z</cp:lastPrinted>
  <dcterms:created xsi:type="dcterms:W3CDTF">2003-04-07T09:01:47Z</dcterms:created>
  <dcterms:modified xsi:type="dcterms:W3CDTF">2020-01-27T11:42:01Z</dcterms:modified>
</cp:coreProperties>
</file>