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41AE94-517B-4B00-B2A0-90798C22C1C6}" xr6:coauthVersionLast="45" xr6:coauthVersionMax="45" xr10:uidLastSave="{00000000-0000-0000-0000-000000000000}"/>
  <bookViews>
    <workbookView xWindow="3420" yWindow="3420" windowWidth="28800" windowHeight="15460"/>
  </bookViews>
  <sheets>
    <sheet name="Summary Sheet" sheetId="1" r:id="rId1"/>
    <sheet name="Charge Adjustment Detail" sheetId="2" r:id="rId2"/>
    <sheet name="Credit Adjustment Detail" sheetId="3" r:id="rId3"/>
  </sheets>
  <definedNames>
    <definedName name="_xlnm.Print_Area" localSheetId="1">'Charge Adjustment Detail'!$A$1:$I$31</definedName>
    <definedName name="_xlnm.Print_Area" localSheetId="2">'Credit Adjustment Detail'!$A$1:$H$32</definedName>
    <definedName name="_xlnm.Print_Area" localSheetId="0">'Summary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2" l="1"/>
  <c r="H6" i="2" s="1"/>
  <c r="G7" i="2"/>
  <c r="H7" i="2" s="1"/>
  <c r="G8" i="2"/>
  <c r="H8" i="2"/>
  <c r="G9" i="2"/>
  <c r="H9" i="2" s="1"/>
  <c r="G10" i="2"/>
  <c r="G30" i="2" s="1"/>
  <c r="G11" i="2"/>
  <c r="H11" i="2" s="1"/>
  <c r="G12" i="2"/>
  <c r="H12" i="2"/>
  <c r="G13" i="2"/>
  <c r="H13" i="2" s="1"/>
  <c r="G14" i="2"/>
  <c r="H14" i="2"/>
  <c r="G15" i="2"/>
  <c r="H15" i="2"/>
  <c r="G16" i="2"/>
  <c r="H16" i="2" s="1"/>
  <c r="G17" i="2"/>
  <c r="H17" i="2" s="1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 s="1"/>
  <c r="G27" i="2"/>
  <c r="H27" i="2" s="1"/>
  <c r="G28" i="2"/>
  <c r="H28" i="2"/>
  <c r="E30" i="2"/>
  <c r="G6" i="3"/>
  <c r="H6" i="3" s="1"/>
  <c r="H30" i="3" s="1"/>
  <c r="H30" i="1" s="1"/>
  <c r="G7" i="3"/>
  <c r="H7" i="3"/>
  <c r="E8" i="3"/>
  <c r="G8" i="3"/>
  <c r="H8" i="3" s="1"/>
  <c r="G9" i="3"/>
  <c r="H9" i="3"/>
  <c r="G10" i="3"/>
  <c r="G30" i="3" s="1"/>
  <c r="H10" i="3"/>
  <c r="G11" i="3"/>
  <c r="H11" i="3" s="1"/>
  <c r="G12" i="3"/>
  <c r="H12" i="3" s="1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 s="1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E30" i="3"/>
  <c r="H21" i="1"/>
  <c r="H10" i="2" l="1"/>
  <c r="H30" i="2" s="1"/>
  <c r="H25" i="1" s="1"/>
  <c r="H32" i="1" s="1"/>
</calcChain>
</file>

<file path=xl/sharedStrings.xml><?xml version="1.0" encoding="utf-8"?>
<sst xmlns="http://schemas.openxmlformats.org/spreadsheetml/2006/main" count="67" uniqueCount="44">
  <si>
    <t>Financial Reporting Reconciliation Worksheet</t>
  </si>
  <si>
    <t>SUMMARY</t>
  </si>
  <si>
    <t>Account Number</t>
  </si>
  <si>
    <t>Award Number</t>
  </si>
  <si>
    <t>Budget/Period End Date</t>
  </si>
  <si>
    <t>Indirect Cost Rate for Account</t>
  </si>
  <si>
    <t>NOTES FOR WORKSHEET COMPLETION:</t>
  </si>
  <si>
    <t>Please fill in the required shaded areas.</t>
  </si>
  <si>
    <t>Please place a Y in the column noted "IDC Y or N" for each transaction that indirect</t>
  </si>
  <si>
    <t>cost should be calculated on.  The "Indirect Amount" column will then automatically</t>
  </si>
  <si>
    <t>calculate based on the rate entered above.</t>
  </si>
  <si>
    <t>Balance remaining on monthly statement as of budget/project end date:</t>
  </si>
  <si>
    <t>Plus:</t>
  </si>
  <si>
    <t>Less:</t>
  </si>
  <si>
    <t>Total amount of charge adjustments from page 2 of this worksheet:</t>
  </si>
  <si>
    <t>Total amount of credit adjustments from page 3 of this worksheet:</t>
  </si>
  <si>
    <t>BALANCE TO BE REPORTED TO AGENCY:</t>
  </si>
  <si>
    <t>I,</t>
  </si>
  <si>
    <t xml:space="preserve">attest that the expenditures referenced in this </t>
  </si>
  <si>
    <t>Signature of Administrator</t>
  </si>
  <si>
    <t xml:space="preserve">Final Reconciliation Worksheet, are appropriate expenditures for the </t>
  </si>
  <si>
    <t>award number referenced above.</t>
  </si>
  <si>
    <t>CHARGE DETAIL</t>
  </si>
  <si>
    <t>Charge</t>
  </si>
  <si>
    <t>IDC</t>
  </si>
  <si>
    <t>Total Amount</t>
  </si>
  <si>
    <t>Object</t>
  </si>
  <si>
    <t>Adjustment</t>
  </si>
  <si>
    <t>Y or</t>
  </si>
  <si>
    <t>Indirect</t>
  </si>
  <si>
    <t>of Charge</t>
  </si>
  <si>
    <t>Code</t>
  </si>
  <si>
    <t>Description</t>
  </si>
  <si>
    <t>Amount</t>
  </si>
  <si>
    <t>N</t>
  </si>
  <si>
    <t>TOTALS</t>
  </si>
  <si>
    <t>CREDIT DETAIL</t>
  </si>
  <si>
    <t>Credit</t>
  </si>
  <si>
    <t>of Credit</t>
  </si>
  <si>
    <t>y</t>
  </si>
  <si>
    <t/>
  </si>
  <si>
    <t>Total Award:</t>
  </si>
  <si>
    <t>Total Expended on monthly statement as of budget/project end date</t>
  </si>
  <si>
    <t>**Include current system and other charge adjustments***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</si>
</sst>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sz val="10"/>
      <name val="Comic Sans MS"/>
    </font>
    <font>
      <b/>
      <sz val="12"/>
      <name val="Comic Sans MS"/>
    </font>
    <font>
      <sz val="12"/>
      <name val="Comic Sans MS"/>
    </font>
    <font>
      <b/>
      <sz val="10"/>
      <name val="Comic Sans MS"/>
    </font>
    <font>
      <sz val="8"/>
      <name val="Comic Sans M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0" xfId="0" applyFont="1" applyBorder="1"/>
    <xf numFmtId="0" fontId="4" fillId="2" borderId="5" xfId="0" applyFont="1" applyFill="1" applyBorder="1"/>
    <xf numFmtId="0" fontId="2" fillId="0" borderId="6" xfId="0" applyFont="1" applyBorder="1"/>
    <xf numFmtId="0" fontId="4" fillId="2" borderId="5" xfId="0" quotePrefix="1" applyFont="1" applyFill="1" applyBorder="1"/>
    <xf numFmtId="10" fontId="4" fillId="2" borderId="5" xfId="0" applyNumberFormat="1" applyFont="1" applyFill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Fill="1" applyBorder="1"/>
    <xf numFmtId="39" fontId="4" fillId="3" borderId="0" xfId="0" applyNumberFormat="1" applyFont="1" applyFill="1" applyBorder="1"/>
    <xf numFmtId="0" fontId="3" fillId="0" borderId="0" xfId="0" applyFont="1"/>
    <xf numFmtId="39" fontId="4" fillId="0" borderId="10" xfId="0" applyNumberFormat="1" applyFont="1" applyBorder="1"/>
    <xf numFmtId="0" fontId="6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3" borderId="5" xfId="0" applyFont="1" applyFill="1" applyBorder="1"/>
    <xf numFmtId="39" fontId="3" fillId="0" borderId="0" xfId="0" applyNumberFormat="1" applyFont="1" applyBorder="1"/>
    <xf numFmtId="171" fontId="4" fillId="0" borderId="0" xfId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3" borderId="11" xfId="0" quotePrefix="1" applyFont="1" applyFill="1" applyBorder="1" applyAlignment="1">
      <alignment horizontal="center"/>
    </xf>
    <xf numFmtId="0" fontId="4" fillId="3" borderId="11" xfId="0" applyFont="1" applyFill="1" applyBorder="1"/>
    <xf numFmtId="39" fontId="4" fillId="3" borderId="11" xfId="0" applyNumberFormat="1" applyFont="1" applyFill="1" applyBorder="1"/>
    <xf numFmtId="39" fontId="4" fillId="3" borderId="11" xfId="0" applyNumberFormat="1" applyFont="1" applyFill="1" applyBorder="1" applyAlignment="1">
      <alignment horizontal="center"/>
    </xf>
    <xf numFmtId="39" fontId="4" fillId="0" borderId="12" xfId="0" applyNumberFormat="1" applyFont="1" applyBorder="1"/>
    <xf numFmtId="39" fontId="4" fillId="0" borderId="13" xfId="0" applyNumberFormat="1" applyFont="1" applyBorder="1"/>
    <xf numFmtId="0" fontId="4" fillId="0" borderId="0" xfId="0" applyFont="1" applyBorder="1"/>
    <xf numFmtId="39" fontId="4" fillId="0" borderId="0" xfId="0" applyNumberFormat="1" applyFont="1" applyBorder="1"/>
    <xf numFmtId="39" fontId="4" fillId="0" borderId="0" xfId="0" applyNumberFormat="1" applyFont="1"/>
    <xf numFmtId="39" fontId="3" fillId="0" borderId="14" xfId="0" applyNumberFormat="1" applyFont="1" applyBorder="1"/>
    <xf numFmtId="39" fontId="3" fillId="0" borderId="2" xfId="0" applyNumberFormat="1" applyFont="1" applyBorder="1" applyAlignment="1">
      <alignment horizontal="center"/>
    </xf>
    <xf numFmtId="39" fontId="3" fillId="0" borderId="3" xfId="0" applyNumberFormat="1" applyFont="1" applyBorder="1" applyAlignment="1">
      <alignment horizontal="center"/>
    </xf>
    <xf numFmtId="39" fontId="3" fillId="0" borderId="0" xfId="0" applyNumberFormat="1" applyFont="1" applyBorder="1" applyAlignment="1">
      <alignment horizontal="center"/>
    </xf>
    <xf numFmtId="39" fontId="3" fillId="0" borderId="6" xfId="0" applyNumberFormat="1" applyFont="1" applyBorder="1" applyAlignment="1">
      <alignment horizontal="center"/>
    </xf>
    <xf numFmtId="39" fontId="3" fillId="0" borderId="8" xfId="0" applyNumberFormat="1" applyFont="1" applyBorder="1" applyAlignment="1">
      <alignment horizontal="center"/>
    </xf>
    <xf numFmtId="39" fontId="3" fillId="0" borderId="9" xfId="0" applyNumberFormat="1" applyFont="1" applyBorder="1" applyAlignment="1">
      <alignment horizontal="center"/>
    </xf>
    <xf numFmtId="0" fontId="4" fillId="3" borderId="0" xfId="0" quotePrefix="1" applyFont="1" applyFill="1" applyBorder="1"/>
    <xf numFmtId="0" fontId="4" fillId="3" borderId="13" xfId="0" applyFont="1" applyFill="1" applyBorder="1"/>
    <xf numFmtId="39" fontId="4" fillId="3" borderId="11" xfId="0" quotePrefix="1" applyNumberFormat="1" applyFont="1" applyFill="1" applyBorder="1"/>
    <xf numFmtId="0" fontId="4" fillId="3" borderId="0" xfId="0" applyFont="1" applyFill="1" applyBorder="1"/>
    <xf numFmtId="0" fontId="4" fillId="3" borderId="0" xfId="0" applyFont="1" applyFill="1"/>
    <xf numFmtId="39" fontId="4" fillId="3" borderId="0" xfId="0" applyNumberFormat="1" applyFont="1" applyFill="1"/>
    <xf numFmtId="39" fontId="4" fillId="3" borderId="14" xfId="0" applyNumberFormat="1" applyFont="1" applyFill="1" applyBorder="1"/>
    <xf numFmtId="39" fontId="4" fillId="0" borderId="1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8"/>
  <sheetViews>
    <sheetView showGridLines="0" tabSelected="1" topLeftCell="A8" workbookViewId="0">
      <selection activeCell="I20" sqref="I20"/>
    </sheetView>
  </sheetViews>
  <sheetFormatPr defaultColWidth="9.1796875" defaultRowHeight="15.5" x14ac:dyDescent="0.45"/>
  <cols>
    <col min="1" max="1" width="10.81640625" style="1" customWidth="1"/>
    <col min="2" max="2" width="6.6328125" style="1" customWidth="1"/>
    <col min="3" max="3" width="2.453125" style="1" customWidth="1"/>
    <col min="4" max="4" width="25.453125" style="1" customWidth="1"/>
    <col min="5" max="5" width="11.6328125" style="1" customWidth="1"/>
    <col min="6" max="6" width="5.1796875" style="1" customWidth="1"/>
    <col min="7" max="7" width="14.81640625" style="1" customWidth="1"/>
    <col min="8" max="8" width="11.6328125" style="1" customWidth="1"/>
    <col min="9" max="16384" width="9.1796875" style="1"/>
  </cols>
  <sheetData>
    <row r="1" spans="2:9" ht="19.5" x14ac:dyDescent="0.6">
      <c r="B1" s="18" t="s">
        <v>0</v>
      </c>
      <c r="G1" s="18" t="s">
        <v>1</v>
      </c>
    </row>
    <row r="2" spans="2:9" ht="12.75" customHeight="1" thickBot="1" x14ac:dyDescent="0.5"/>
    <row r="3" spans="2:9" ht="6" customHeight="1" x14ac:dyDescent="0.45">
      <c r="B3" s="2"/>
      <c r="C3" s="3"/>
      <c r="D3" s="3"/>
      <c r="E3" s="3"/>
      <c r="F3" s="3"/>
      <c r="G3" s="3"/>
      <c r="H3" s="3"/>
      <c r="I3" s="4"/>
    </row>
    <row r="4" spans="2:9" ht="19.5" x14ac:dyDescent="0.6">
      <c r="B4" s="5" t="s">
        <v>2</v>
      </c>
      <c r="C4" s="6"/>
      <c r="D4" s="6"/>
      <c r="E4" s="6"/>
      <c r="F4" s="6"/>
      <c r="G4" s="7"/>
      <c r="H4" s="7"/>
      <c r="I4" s="8"/>
    </row>
    <row r="5" spans="2:9" ht="19.5" x14ac:dyDescent="0.6">
      <c r="B5" s="5" t="s">
        <v>3</v>
      </c>
      <c r="C5" s="6"/>
      <c r="D5" s="6"/>
      <c r="E5" s="6"/>
      <c r="F5" s="6"/>
      <c r="G5" s="7"/>
      <c r="H5" s="7"/>
      <c r="I5" s="8"/>
    </row>
    <row r="6" spans="2:9" ht="19.5" x14ac:dyDescent="0.6">
      <c r="B6" s="5" t="s">
        <v>4</v>
      </c>
      <c r="C6" s="6"/>
      <c r="D6" s="6"/>
      <c r="E6" s="6"/>
      <c r="F6" s="6"/>
      <c r="G6" s="9"/>
      <c r="H6" s="7"/>
      <c r="I6" s="8"/>
    </row>
    <row r="7" spans="2:9" ht="19.5" x14ac:dyDescent="0.6">
      <c r="B7" s="5" t="s">
        <v>5</v>
      </c>
      <c r="C7" s="6"/>
      <c r="D7" s="6"/>
      <c r="E7" s="6"/>
      <c r="F7" s="6"/>
      <c r="G7" s="10">
        <v>0.25</v>
      </c>
      <c r="H7" s="7"/>
      <c r="I7" s="8"/>
    </row>
    <row r="8" spans="2:9" ht="6" customHeight="1" thickBot="1" x14ac:dyDescent="0.5">
      <c r="B8" s="11"/>
      <c r="C8" s="12"/>
      <c r="D8" s="12"/>
      <c r="E8" s="12"/>
      <c r="F8" s="12"/>
      <c r="G8" s="12"/>
      <c r="H8" s="12"/>
      <c r="I8" s="13"/>
    </row>
    <row r="9" spans="2:9" ht="7.5" customHeight="1" x14ac:dyDescent="0.45"/>
    <row r="10" spans="2:9" ht="15.75" customHeight="1" x14ac:dyDescent="0.45">
      <c r="B10" s="1" t="s">
        <v>6</v>
      </c>
    </row>
    <row r="11" spans="2:9" s="14" customFormat="1" ht="17" customHeight="1" x14ac:dyDescent="0.5">
      <c r="B11" s="14" t="s">
        <v>7</v>
      </c>
    </row>
    <row r="12" spans="2:9" s="14" customFormat="1" ht="6" customHeight="1" x14ac:dyDescent="0.5"/>
    <row r="13" spans="2:9" s="14" customFormat="1" ht="13.5" customHeight="1" x14ac:dyDescent="0.5">
      <c r="B13" s="14" t="s">
        <v>8</v>
      </c>
    </row>
    <row r="14" spans="2:9" s="14" customFormat="1" ht="13.5" customHeight="1" x14ac:dyDescent="0.5">
      <c r="B14" s="14" t="s">
        <v>9</v>
      </c>
    </row>
    <row r="15" spans="2:9" s="14" customFormat="1" ht="18" x14ac:dyDescent="0.5">
      <c r="B15" s="14" t="s">
        <v>10</v>
      </c>
    </row>
    <row r="16" spans="2:9" s="14" customFormat="1" ht="18" x14ac:dyDescent="0.5"/>
    <row r="17" spans="2:8" s="14" customFormat="1" ht="19.5" x14ac:dyDescent="0.6">
      <c r="B17" s="18" t="s">
        <v>41</v>
      </c>
      <c r="H17" s="25">
        <v>0</v>
      </c>
    </row>
    <row r="18" spans="2:8" s="14" customFormat="1" ht="18" x14ac:dyDescent="0.5"/>
    <row r="19" spans="2:8" s="14" customFormat="1" ht="18" x14ac:dyDescent="0.5">
      <c r="B19" s="14" t="s">
        <v>42</v>
      </c>
      <c r="H19" s="25">
        <v>0</v>
      </c>
    </row>
    <row r="20" spans="2:8" s="14" customFormat="1" ht="18" x14ac:dyDescent="0.5"/>
    <row r="21" spans="2:8" s="14" customFormat="1" ht="18" x14ac:dyDescent="0.5">
      <c r="B21" s="14" t="s">
        <v>11</v>
      </c>
      <c r="H21" s="25">
        <f>H17-H19</f>
        <v>0</v>
      </c>
    </row>
    <row r="22" spans="2:8" s="14" customFormat="1" ht="18" x14ac:dyDescent="0.5">
      <c r="H22" s="25"/>
    </row>
    <row r="23" spans="2:8" s="14" customFormat="1" ht="19.5" x14ac:dyDescent="0.6">
      <c r="B23" s="18" t="s">
        <v>13</v>
      </c>
      <c r="G23" s="16"/>
    </row>
    <row r="24" spans="2:8" s="14" customFormat="1" ht="19.5" x14ac:dyDescent="0.6">
      <c r="B24" s="18"/>
      <c r="C24" s="1"/>
      <c r="G24" s="16"/>
    </row>
    <row r="25" spans="2:8" s="14" customFormat="1" ht="18" x14ac:dyDescent="0.5">
      <c r="B25" s="14" t="s">
        <v>14</v>
      </c>
      <c r="H25" s="14">
        <f>'Charge Adjustment Detail'!H30</f>
        <v>0</v>
      </c>
    </row>
    <row r="26" spans="2:8" s="14" customFormat="1" ht="19.5" x14ac:dyDescent="0.6">
      <c r="B26" s="18" t="s">
        <v>43</v>
      </c>
      <c r="C26" s="1"/>
      <c r="G26" s="16"/>
    </row>
    <row r="27" spans="2:8" s="14" customFormat="1" ht="19.5" x14ac:dyDescent="0.6">
      <c r="B27" s="18"/>
      <c r="C27" s="1"/>
      <c r="G27" s="16"/>
    </row>
    <row r="28" spans="2:8" s="14" customFormat="1" ht="19.5" x14ac:dyDescent="0.6">
      <c r="B28" s="18" t="s">
        <v>12</v>
      </c>
      <c r="G28" s="16"/>
    </row>
    <row r="29" spans="2:8" s="14" customFormat="1" ht="18" x14ac:dyDescent="0.5">
      <c r="B29" s="15"/>
      <c r="C29" s="1"/>
      <c r="G29" s="16"/>
    </row>
    <row r="30" spans="2:8" s="14" customFormat="1" ht="18" x14ac:dyDescent="0.5">
      <c r="B30" s="14" t="s">
        <v>15</v>
      </c>
      <c r="H30" s="14">
        <f>'Credit Adjustment Detail'!H30</f>
        <v>0</v>
      </c>
    </row>
    <row r="31" spans="2:8" s="14" customFormat="1" ht="18" x14ac:dyDescent="0.5">
      <c r="G31" s="16"/>
    </row>
    <row r="32" spans="2:8" s="14" customFormat="1" ht="20" thickBot="1" x14ac:dyDescent="0.65">
      <c r="B32" s="18" t="s">
        <v>16</v>
      </c>
      <c r="C32" s="1"/>
      <c r="G32" s="16"/>
      <c r="H32" s="19">
        <f>-H25+H30</f>
        <v>0</v>
      </c>
    </row>
    <row r="33" spans="3:5" ht="16" thickTop="1" x14ac:dyDescent="0.45"/>
    <row r="35" spans="3:5" s="14" customFormat="1" ht="18" x14ac:dyDescent="0.5">
      <c r="C35" s="14" t="s">
        <v>17</v>
      </c>
      <c r="D35" s="23"/>
      <c r="E35" s="14" t="s">
        <v>18</v>
      </c>
    </row>
    <row r="36" spans="3:5" x14ac:dyDescent="0.45">
      <c r="D36" s="20" t="s">
        <v>19</v>
      </c>
    </row>
    <row r="37" spans="3:5" s="14" customFormat="1" ht="18" x14ac:dyDescent="0.5">
      <c r="D37" s="14" t="s">
        <v>20</v>
      </c>
    </row>
    <row r="38" spans="3:5" s="14" customFormat="1" ht="18" x14ac:dyDescent="0.5">
      <c r="D38" s="14" t="s">
        <v>21</v>
      </c>
    </row>
  </sheetData>
  <printOptions horizontalCentered="1"/>
  <pageMargins left="0.75" right="0.75" top="1" bottom="1" header="0.5" footer="0.5"/>
  <pageSetup scale="85" orientation="portrait" horizontalDpi="300" verticalDpi="300"/>
  <headerFooter alignWithMargins="0">
    <oddHeader>&amp;F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1"/>
  <sheetViews>
    <sheetView showGridLines="0" workbookViewId="0">
      <selection activeCell="D8" sqref="D8"/>
    </sheetView>
  </sheetViews>
  <sheetFormatPr defaultColWidth="9.1796875" defaultRowHeight="18" x14ac:dyDescent="0.5"/>
  <cols>
    <col min="1" max="1" width="9.81640625" style="14" customWidth="1"/>
    <col min="2" max="2" width="7.6328125" style="14" customWidth="1"/>
    <col min="3" max="3" width="1.453125" style="14" customWidth="1"/>
    <col min="4" max="4" width="29.1796875" style="14" customWidth="1"/>
    <col min="5" max="5" width="11.6328125" style="14" customWidth="1"/>
    <col min="6" max="6" width="5.1796875" style="14" customWidth="1"/>
    <col min="7" max="7" width="11.6328125" style="14" customWidth="1"/>
    <col min="8" max="8" width="13.1796875" style="14" customWidth="1"/>
    <col min="9" max="16384" width="9.1796875" style="14"/>
  </cols>
  <sheetData>
    <row r="1" spans="2:8" ht="19.5" x14ac:dyDescent="0.6">
      <c r="B1" s="18" t="s">
        <v>0</v>
      </c>
      <c r="C1" s="18"/>
      <c r="G1" s="18" t="s">
        <v>22</v>
      </c>
    </row>
    <row r="2" spans="2:8" ht="18.5" thickBot="1" x14ac:dyDescent="0.55000000000000004"/>
    <row r="3" spans="2:8" ht="19.5" x14ac:dyDescent="0.6">
      <c r="B3" s="26"/>
      <c r="C3" s="27"/>
      <c r="D3" s="27"/>
      <c r="E3" s="27" t="s">
        <v>23</v>
      </c>
      <c r="F3" s="27" t="s">
        <v>24</v>
      </c>
      <c r="G3" s="27"/>
      <c r="H3" s="28" t="s">
        <v>25</v>
      </c>
    </row>
    <row r="4" spans="2:8" ht="19.5" x14ac:dyDescent="0.6">
      <c r="B4" s="29" t="s">
        <v>26</v>
      </c>
      <c r="C4" s="21"/>
      <c r="D4" s="21"/>
      <c r="E4" s="21" t="s">
        <v>27</v>
      </c>
      <c r="F4" s="21" t="s">
        <v>28</v>
      </c>
      <c r="G4" s="21" t="s">
        <v>29</v>
      </c>
      <c r="H4" s="30" t="s">
        <v>30</v>
      </c>
    </row>
    <row r="5" spans="2:8" ht="20" thickBot="1" x14ac:dyDescent="0.65">
      <c r="B5" s="31" t="s">
        <v>31</v>
      </c>
      <c r="C5" s="32"/>
      <c r="D5" s="32" t="s">
        <v>32</v>
      </c>
      <c r="E5" s="32"/>
      <c r="F5" s="32" t="s">
        <v>34</v>
      </c>
      <c r="G5" s="32" t="s">
        <v>33</v>
      </c>
      <c r="H5" s="33" t="s">
        <v>27</v>
      </c>
    </row>
    <row r="6" spans="2:8" x14ac:dyDescent="0.5">
      <c r="B6" s="34"/>
      <c r="C6" s="35"/>
      <c r="D6" s="35"/>
      <c r="E6" s="36">
        <v>0</v>
      </c>
      <c r="F6" s="37" t="s">
        <v>39</v>
      </c>
      <c r="G6" s="38">
        <f>IF(F6="Y",E6*'Summary Sheet'!G7,0)</f>
        <v>0</v>
      </c>
      <c r="H6" s="38">
        <f t="shared" ref="H6:H28" si="0">E6+G6</f>
        <v>0</v>
      </c>
    </row>
    <row r="7" spans="2:8" x14ac:dyDescent="0.5">
      <c r="B7" s="34" t="s">
        <v>40</v>
      </c>
      <c r="C7" s="35"/>
      <c r="D7" s="35"/>
      <c r="E7" s="36">
        <v>0</v>
      </c>
      <c r="F7" s="37" t="s">
        <v>39</v>
      </c>
      <c r="G7" s="39">
        <f>IF(F7="Y",E7*'Summary Sheet'!G7,0)</f>
        <v>0</v>
      </c>
      <c r="H7" s="39">
        <f t="shared" si="0"/>
        <v>0</v>
      </c>
    </row>
    <row r="8" spans="2:8" x14ac:dyDescent="0.5">
      <c r="B8" s="34"/>
      <c r="C8" s="35"/>
      <c r="D8" s="35"/>
      <c r="E8" s="36">
        <v>0</v>
      </c>
      <c r="F8" s="37" t="s">
        <v>39</v>
      </c>
      <c r="G8" s="39">
        <f>IF(F8="Y",E8*'Summary Sheet'!G7,0)</f>
        <v>0</v>
      </c>
      <c r="H8" s="39">
        <f t="shared" si="0"/>
        <v>0</v>
      </c>
    </row>
    <row r="9" spans="2:8" x14ac:dyDescent="0.5">
      <c r="B9" s="34"/>
      <c r="C9" s="35"/>
      <c r="D9" s="35"/>
      <c r="E9" s="36">
        <v>0</v>
      </c>
      <c r="F9" s="37" t="s">
        <v>39</v>
      </c>
      <c r="G9" s="39">
        <f>IF(F9="Y",E9*'Summary Sheet'!G7,0)</f>
        <v>0</v>
      </c>
      <c r="H9" s="39">
        <f t="shared" si="0"/>
        <v>0</v>
      </c>
    </row>
    <row r="10" spans="2:8" x14ac:dyDescent="0.5">
      <c r="B10" s="34"/>
      <c r="C10" s="35"/>
      <c r="D10" s="35"/>
      <c r="E10" s="36">
        <v>0</v>
      </c>
      <c r="F10" s="37" t="s">
        <v>39</v>
      </c>
      <c r="G10" s="39">
        <f>IF(F10="Y",E10*'Summary Sheet'!G7,0)</f>
        <v>0</v>
      </c>
      <c r="H10" s="39">
        <f t="shared" si="0"/>
        <v>0</v>
      </c>
    </row>
    <row r="11" spans="2:8" x14ac:dyDescent="0.5">
      <c r="B11" s="34"/>
      <c r="C11" s="35"/>
      <c r="D11" s="35"/>
      <c r="E11" s="36">
        <v>0</v>
      </c>
      <c r="F11" s="37" t="s">
        <v>39</v>
      </c>
      <c r="G11" s="39">
        <f>IF(F11="Y",E11*'Summary Sheet'!G7,0)</f>
        <v>0</v>
      </c>
      <c r="H11" s="39">
        <f t="shared" si="0"/>
        <v>0</v>
      </c>
    </row>
    <row r="12" spans="2:8" x14ac:dyDescent="0.5">
      <c r="B12" s="34"/>
      <c r="C12" s="35"/>
      <c r="D12" s="35"/>
      <c r="E12" s="36">
        <v>0</v>
      </c>
      <c r="F12" s="37" t="s">
        <v>39</v>
      </c>
      <c r="G12" s="39">
        <f>IF(F12="Y",E12*'Summary Sheet'!G7,0)</f>
        <v>0</v>
      </c>
      <c r="H12" s="39">
        <f t="shared" si="0"/>
        <v>0</v>
      </c>
    </row>
    <row r="13" spans="2:8" x14ac:dyDescent="0.5">
      <c r="B13" s="34"/>
      <c r="C13" s="35"/>
      <c r="D13" s="35"/>
      <c r="E13" s="36">
        <v>0</v>
      </c>
      <c r="F13" s="37" t="s">
        <v>39</v>
      </c>
      <c r="G13" s="39">
        <f>IF(F13="Y",E13*'Summary Sheet'!G7,0)</f>
        <v>0</v>
      </c>
      <c r="H13" s="39">
        <f t="shared" si="0"/>
        <v>0</v>
      </c>
    </row>
    <row r="14" spans="2:8" x14ac:dyDescent="0.5">
      <c r="B14" s="34"/>
      <c r="C14" s="35"/>
      <c r="D14" s="35"/>
      <c r="E14" s="36"/>
      <c r="F14" s="37"/>
      <c r="G14" s="39">
        <f>IF(F14="Y",E14*'Summary Sheet'!G7,0)</f>
        <v>0</v>
      </c>
      <c r="H14" s="39">
        <f t="shared" si="0"/>
        <v>0</v>
      </c>
    </row>
    <row r="15" spans="2:8" x14ac:dyDescent="0.5">
      <c r="B15" s="35"/>
      <c r="C15" s="35"/>
      <c r="D15" s="35"/>
      <c r="E15" s="36"/>
      <c r="F15" s="37"/>
      <c r="G15" s="39">
        <f>IF(F15="Y",E15*'Summary Sheet'!G7,0)</f>
        <v>0</v>
      </c>
      <c r="H15" s="39">
        <f t="shared" si="0"/>
        <v>0</v>
      </c>
    </row>
    <row r="16" spans="2:8" x14ac:dyDescent="0.5">
      <c r="B16" s="35"/>
      <c r="C16" s="35"/>
      <c r="D16" s="35"/>
      <c r="E16" s="36"/>
      <c r="F16" s="37"/>
      <c r="G16" s="39">
        <f>IF(F16="Y",E16*'Summary Sheet'!G7,0)</f>
        <v>0</v>
      </c>
      <c r="H16" s="39">
        <f t="shared" si="0"/>
        <v>0</v>
      </c>
    </row>
    <row r="17" spans="2:8" x14ac:dyDescent="0.5">
      <c r="B17" s="35"/>
      <c r="C17" s="35"/>
      <c r="D17" s="35"/>
      <c r="E17" s="36"/>
      <c r="F17" s="37"/>
      <c r="G17" s="39">
        <f>IF(F17="Y",E17*'Summary Sheet'!G7,0)</f>
        <v>0</v>
      </c>
      <c r="H17" s="39">
        <f t="shared" si="0"/>
        <v>0</v>
      </c>
    </row>
    <row r="18" spans="2:8" x14ac:dyDescent="0.5">
      <c r="B18" s="35"/>
      <c r="C18" s="35"/>
      <c r="D18" s="35"/>
      <c r="E18" s="36"/>
      <c r="F18" s="37"/>
      <c r="G18" s="39">
        <f>IF(F18="Y",E18*'Summary Sheet'!G7,0)</f>
        <v>0</v>
      </c>
      <c r="H18" s="39">
        <f t="shared" si="0"/>
        <v>0</v>
      </c>
    </row>
    <row r="19" spans="2:8" x14ac:dyDescent="0.5">
      <c r="B19" s="35"/>
      <c r="C19" s="35"/>
      <c r="D19" s="35"/>
      <c r="E19" s="36"/>
      <c r="F19" s="37"/>
      <c r="G19" s="39">
        <f>IF(F19="Y",E19*'Summary Sheet'!G7,0)</f>
        <v>0</v>
      </c>
      <c r="H19" s="39">
        <f t="shared" si="0"/>
        <v>0</v>
      </c>
    </row>
    <row r="20" spans="2:8" x14ac:dyDescent="0.5">
      <c r="B20" s="35"/>
      <c r="C20" s="35"/>
      <c r="D20" s="35"/>
      <c r="E20" s="36"/>
      <c r="F20" s="37"/>
      <c r="G20" s="39">
        <f>IF(F20="Y",E20*'Summary Sheet'!G7,0)</f>
        <v>0</v>
      </c>
      <c r="H20" s="39">
        <f t="shared" si="0"/>
        <v>0</v>
      </c>
    </row>
    <row r="21" spans="2:8" x14ac:dyDescent="0.5">
      <c r="B21" s="35"/>
      <c r="C21" s="35"/>
      <c r="D21" s="35"/>
      <c r="E21" s="36"/>
      <c r="F21" s="37"/>
      <c r="G21" s="39">
        <f>IF(F21="Y",E21*'Summary Sheet'!G7,0)</f>
        <v>0</v>
      </c>
      <c r="H21" s="39">
        <f t="shared" si="0"/>
        <v>0</v>
      </c>
    </row>
    <row r="22" spans="2:8" x14ac:dyDescent="0.5">
      <c r="B22" s="35"/>
      <c r="C22" s="35"/>
      <c r="D22" s="35"/>
      <c r="E22" s="36"/>
      <c r="F22" s="36"/>
      <c r="G22" s="39">
        <f>IF(F22="Y",E22*'Summary Sheet'!G7,0)</f>
        <v>0</v>
      </c>
      <c r="H22" s="39">
        <f t="shared" si="0"/>
        <v>0</v>
      </c>
    </row>
    <row r="23" spans="2:8" x14ac:dyDescent="0.5">
      <c r="B23" s="35"/>
      <c r="C23" s="35"/>
      <c r="D23" s="35"/>
      <c r="E23" s="36"/>
      <c r="F23" s="36"/>
      <c r="G23" s="39">
        <f>IF(F23="Y",E23*'Summary Sheet'!G7,0)</f>
        <v>0</v>
      </c>
      <c r="H23" s="39">
        <f t="shared" si="0"/>
        <v>0</v>
      </c>
    </row>
    <row r="24" spans="2:8" x14ac:dyDescent="0.5">
      <c r="B24" s="35"/>
      <c r="C24" s="35"/>
      <c r="D24" s="35"/>
      <c r="E24" s="36"/>
      <c r="F24" s="36"/>
      <c r="G24" s="39">
        <f>IF(F24="Y",E24*'Summary Sheet'!G7,0)</f>
        <v>0</v>
      </c>
      <c r="H24" s="39">
        <f t="shared" si="0"/>
        <v>0</v>
      </c>
    </row>
    <row r="25" spans="2:8" x14ac:dyDescent="0.5">
      <c r="B25" s="35"/>
      <c r="C25" s="35"/>
      <c r="D25" s="35"/>
      <c r="E25" s="36"/>
      <c r="F25" s="36"/>
      <c r="G25" s="39">
        <f>IF(F25="Y",E25*'Summary Sheet'!G7,0)</f>
        <v>0</v>
      </c>
      <c r="H25" s="39">
        <f t="shared" si="0"/>
        <v>0</v>
      </c>
    </row>
    <row r="26" spans="2:8" x14ac:dyDescent="0.5">
      <c r="B26" s="35"/>
      <c r="C26" s="35"/>
      <c r="D26" s="35"/>
      <c r="E26" s="36"/>
      <c r="F26" s="36"/>
      <c r="G26" s="39">
        <f>IF(F26="Y",E26*'Summary Sheet'!G7,0)</f>
        <v>0</v>
      </c>
      <c r="H26" s="39">
        <f t="shared" si="0"/>
        <v>0</v>
      </c>
    </row>
    <row r="27" spans="2:8" x14ac:dyDescent="0.5">
      <c r="B27" s="35"/>
      <c r="C27" s="35"/>
      <c r="D27" s="35"/>
      <c r="E27" s="36"/>
      <c r="F27" s="36"/>
      <c r="G27" s="39">
        <f>IF(F27="Y",E27*'Summary Sheet'!G7,0)</f>
        <v>0</v>
      </c>
      <c r="H27" s="39">
        <f t="shared" si="0"/>
        <v>0</v>
      </c>
    </row>
    <row r="28" spans="2:8" x14ac:dyDescent="0.5">
      <c r="B28" s="35"/>
      <c r="C28" s="35"/>
      <c r="D28" s="35"/>
      <c r="E28" s="36"/>
      <c r="F28" s="36"/>
      <c r="G28" s="39">
        <f>IF(F28="Y",E28*'Summary Sheet'!G7,0)</f>
        <v>0</v>
      </c>
      <c r="H28" s="39">
        <f t="shared" si="0"/>
        <v>0</v>
      </c>
    </row>
    <row r="29" spans="2:8" x14ac:dyDescent="0.5">
      <c r="B29" s="40"/>
      <c r="D29" s="40"/>
      <c r="E29" s="41"/>
      <c r="F29" s="42"/>
      <c r="G29" s="41"/>
      <c r="H29" s="41"/>
    </row>
    <row r="30" spans="2:8" ht="20" thickBot="1" x14ac:dyDescent="0.65">
      <c r="B30" s="40"/>
      <c r="D30" s="21" t="s">
        <v>35</v>
      </c>
      <c r="E30" s="43">
        <f>SUM(E6:E28)</f>
        <v>0</v>
      </c>
      <c r="F30" s="24"/>
      <c r="G30" s="43">
        <f>SUM(G6:G28)</f>
        <v>0</v>
      </c>
      <c r="H30" s="43">
        <f>SUM(H6:H28)</f>
        <v>0</v>
      </c>
    </row>
    <row r="31" spans="2:8" ht="18.5" thickTop="1" x14ac:dyDescent="0.5">
      <c r="B31" s="40"/>
      <c r="D31" s="40"/>
      <c r="E31" s="41"/>
      <c r="F31" s="42"/>
      <c r="G31" s="41"/>
      <c r="H31" s="41"/>
    </row>
  </sheetData>
  <printOptions horizontalCentered="1"/>
  <pageMargins left="0.5" right="0.5" top="1" bottom="1" header="0.5" footer="0.5"/>
  <pageSetup scale="90" orientation="portrait" horizontalDpi="300" verticalDpi="300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2"/>
  <sheetViews>
    <sheetView showGridLines="0" workbookViewId="0">
      <selection activeCell="H30" sqref="B1:H30"/>
    </sheetView>
  </sheetViews>
  <sheetFormatPr defaultColWidth="9.1796875" defaultRowHeight="18" x14ac:dyDescent="0.5"/>
  <cols>
    <col min="1" max="1" width="10.81640625" style="14" customWidth="1"/>
    <col min="2" max="2" width="9.36328125" style="14" customWidth="1"/>
    <col min="3" max="3" width="1.453125" style="14" customWidth="1"/>
    <col min="4" max="4" width="24.453125" style="14" customWidth="1"/>
    <col min="5" max="5" width="11.6328125" style="14" customWidth="1"/>
    <col min="6" max="6" width="5.1796875" style="14" customWidth="1"/>
    <col min="7" max="7" width="11.6328125" style="14" customWidth="1"/>
    <col min="8" max="8" width="14" style="14" customWidth="1"/>
    <col min="9" max="16384" width="9.1796875" style="14"/>
  </cols>
  <sheetData>
    <row r="1" spans="2:8" ht="19.5" x14ac:dyDescent="0.6">
      <c r="B1" s="18" t="s">
        <v>0</v>
      </c>
      <c r="D1" s="40"/>
      <c r="E1" s="41"/>
      <c r="F1" s="42"/>
      <c r="G1" s="24" t="s">
        <v>36</v>
      </c>
      <c r="H1" s="41"/>
    </row>
    <row r="2" spans="2:8" ht="18.5" thickBot="1" x14ac:dyDescent="0.55000000000000004">
      <c r="E2" s="42"/>
      <c r="F2" s="42"/>
      <c r="G2" s="42"/>
      <c r="H2" s="42"/>
    </row>
    <row r="3" spans="2:8" ht="19.5" x14ac:dyDescent="0.6">
      <c r="B3" s="26"/>
      <c r="C3" s="27"/>
      <c r="D3" s="27"/>
      <c r="E3" s="44" t="s">
        <v>37</v>
      </c>
      <c r="F3" s="44" t="s">
        <v>24</v>
      </c>
      <c r="G3" s="44"/>
      <c r="H3" s="45" t="s">
        <v>25</v>
      </c>
    </row>
    <row r="4" spans="2:8" ht="19.5" x14ac:dyDescent="0.6">
      <c r="B4" s="29" t="s">
        <v>26</v>
      </c>
      <c r="C4" s="21"/>
      <c r="D4" s="21"/>
      <c r="E4" s="46" t="s">
        <v>27</v>
      </c>
      <c r="F4" s="46" t="s">
        <v>28</v>
      </c>
      <c r="G4" s="46" t="s">
        <v>29</v>
      </c>
      <c r="H4" s="47" t="s">
        <v>38</v>
      </c>
    </row>
    <row r="5" spans="2:8" ht="20" thickBot="1" x14ac:dyDescent="0.65">
      <c r="B5" s="31" t="s">
        <v>31</v>
      </c>
      <c r="C5" s="32"/>
      <c r="D5" s="32" t="s">
        <v>32</v>
      </c>
      <c r="E5" s="48" t="s">
        <v>33</v>
      </c>
      <c r="F5" s="48" t="s">
        <v>34</v>
      </c>
      <c r="G5" s="48" t="s">
        <v>33</v>
      </c>
      <c r="H5" s="49" t="s">
        <v>27</v>
      </c>
    </row>
    <row r="6" spans="2:8" x14ac:dyDescent="0.5">
      <c r="B6" s="50"/>
      <c r="C6" s="51"/>
      <c r="D6" s="35"/>
      <c r="E6" s="36">
        <v>0</v>
      </c>
      <c r="F6" s="52"/>
      <c r="G6" s="38">
        <f>IF(F6="Y",E6*'Summary Sheet'!G7,0)</f>
        <v>0</v>
      </c>
      <c r="H6" s="38">
        <f t="shared" ref="H6:H21" si="0">E6+G6</f>
        <v>0</v>
      </c>
    </row>
    <row r="7" spans="2:8" x14ac:dyDescent="0.5">
      <c r="B7" s="50"/>
      <c r="C7" s="51"/>
      <c r="D7" s="35"/>
      <c r="E7" s="36">
        <v>0</v>
      </c>
      <c r="F7" s="52"/>
      <c r="G7" s="39">
        <f>IF(F7="Y",E7*'Summary Sheet'!G7,0)</f>
        <v>0</v>
      </c>
      <c r="H7" s="39">
        <f t="shared" si="0"/>
        <v>0</v>
      </c>
    </row>
    <row r="8" spans="2:8" x14ac:dyDescent="0.5">
      <c r="B8" s="53"/>
      <c r="C8" s="51"/>
      <c r="D8" s="35"/>
      <c r="E8" s="36">
        <f>(+E6+E7)*0.28</f>
        <v>0</v>
      </c>
      <c r="F8" s="36"/>
      <c r="G8" s="39">
        <f>IF(F8="Y",E8*'Summary Sheet'!G7,0)</f>
        <v>0</v>
      </c>
      <c r="H8" s="39">
        <f t="shared" si="0"/>
        <v>0</v>
      </c>
    </row>
    <row r="9" spans="2:8" x14ac:dyDescent="0.5">
      <c r="B9" s="50"/>
      <c r="C9" s="51"/>
      <c r="D9" s="35"/>
      <c r="E9" s="36">
        <v>0</v>
      </c>
      <c r="F9" s="36"/>
      <c r="G9" s="39">
        <f>IF(F9="Y",E9*'Summary Sheet'!G7,0)</f>
        <v>0</v>
      </c>
      <c r="H9" s="39">
        <f t="shared" si="0"/>
        <v>0</v>
      </c>
    </row>
    <row r="10" spans="2:8" x14ac:dyDescent="0.5">
      <c r="B10" s="50"/>
      <c r="C10" s="51"/>
      <c r="D10" s="35"/>
      <c r="E10" s="36">
        <v>0</v>
      </c>
      <c r="F10" s="36"/>
      <c r="G10" s="39">
        <f>IF(F10="Y",E10*'Summary Sheet'!G7,0)</f>
        <v>0</v>
      </c>
      <c r="H10" s="39">
        <f t="shared" si="0"/>
        <v>0</v>
      </c>
    </row>
    <row r="11" spans="2:8" x14ac:dyDescent="0.5">
      <c r="B11" s="50"/>
      <c r="C11" s="51"/>
      <c r="D11" s="35"/>
      <c r="E11" s="36">
        <v>0</v>
      </c>
      <c r="F11" s="36"/>
      <c r="G11" s="39">
        <f>IF(F11="Y",E11*'Summary Sheet'!G7,0)</f>
        <v>0</v>
      </c>
      <c r="H11" s="39">
        <f t="shared" si="0"/>
        <v>0</v>
      </c>
    </row>
    <row r="12" spans="2:8" x14ac:dyDescent="0.5">
      <c r="B12" s="50"/>
      <c r="C12" s="51"/>
      <c r="D12" s="35"/>
      <c r="E12" s="36">
        <v>0</v>
      </c>
      <c r="F12" s="36"/>
      <c r="G12" s="39">
        <f>IF(F12="Y",E12*'Summary Sheet'!G7,0)</f>
        <v>0</v>
      </c>
      <c r="H12" s="39">
        <f t="shared" si="0"/>
        <v>0</v>
      </c>
    </row>
    <row r="13" spans="2:8" x14ac:dyDescent="0.5">
      <c r="B13" s="53"/>
      <c r="C13" s="51"/>
      <c r="D13" s="35"/>
      <c r="E13" s="36">
        <v>0</v>
      </c>
      <c r="F13" s="36"/>
      <c r="G13" s="39">
        <f>IF(F13="Y",E13*'Summary Sheet'!G7,0)</f>
        <v>0</v>
      </c>
      <c r="H13" s="39">
        <f t="shared" si="0"/>
        <v>0</v>
      </c>
    </row>
    <row r="14" spans="2:8" x14ac:dyDescent="0.5">
      <c r="B14" s="53"/>
      <c r="C14" s="51"/>
      <c r="D14" s="35"/>
      <c r="E14" s="36">
        <v>0</v>
      </c>
      <c r="F14" s="36"/>
      <c r="G14" s="39">
        <f>IF(F14="Y",E14*'Summary Sheet'!G7,0)</f>
        <v>0</v>
      </c>
      <c r="H14" s="39">
        <f t="shared" si="0"/>
        <v>0</v>
      </c>
    </row>
    <row r="15" spans="2:8" x14ac:dyDescent="0.5">
      <c r="B15" s="53"/>
      <c r="C15" s="51"/>
      <c r="D15" s="35"/>
      <c r="E15" s="36">
        <v>0</v>
      </c>
      <c r="F15" s="36"/>
      <c r="G15" s="39">
        <f>IF(F15="Y",E15*'Summary Sheet'!G7,0)</f>
        <v>0</v>
      </c>
      <c r="H15" s="39">
        <f t="shared" si="0"/>
        <v>0</v>
      </c>
    </row>
    <row r="16" spans="2:8" x14ac:dyDescent="0.5">
      <c r="B16" s="53"/>
      <c r="C16" s="51"/>
      <c r="D16" s="35"/>
      <c r="E16" s="36">
        <v>0</v>
      </c>
      <c r="F16" s="36"/>
      <c r="G16" s="39">
        <f>IF(F16="Y",E16*'Summary Sheet'!G7,0)</f>
        <v>0</v>
      </c>
      <c r="H16" s="39">
        <f t="shared" si="0"/>
        <v>0</v>
      </c>
    </row>
    <row r="17" spans="2:10" x14ac:dyDescent="0.5">
      <c r="B17" s="53"/>
      <c r="C17" s="51"/>
      <c r="D17" s="35"/>
      <c r="E17" s="36">
        <v>0</v>
      </c>
      <c r="F17" s="36"/>
      <c r="G17" s="39">
        <f>IF(F17="Y",E17*'Summary Sheet'!G7,0)</f>
        <v>0</v>
      </c>
      <c r="H17" s="39">
        <f t="shared" si="0"/>
        <v>0</v>
      </c>
    </row>
    <row r="18" spans="2:10" x14ac:dyDescent="0.5">
      <c r="B18" s="53"/>
      <c r="C18" s="51"/>
      <c r="D18" s="35"/>
      <c r="E18" s="36">
        <v>0</v>
      </c>
      <c r="F18" s="36"/>
      <c r="G18" s="39">
        <f>IF(F18="Y",E18*'Summary Sheet'!G7,0)</f>
        <v>0</v>
      </c>
      <c r="H18" s="39">
        <f t="shared" si="0"/>
        <v>0</v>
      </c>
    </row>
    <row r="19" spans="2:10" x14ac:dyDescent="0.5">
      <c r="B19" s="53"/>
      <c r="C19" s="51"/>
      <c r="D19" s="35"/>
      <c r="E19" s="36">
        <v>0</v>
      </c>
      <c r="F19" s="36"/>
      <c r="G19" s="39">
        <f>IF(F19="Y",E19*'Summary Sheet'!G7,0)</f>
        <v>0</v>
      </c>
      <c r="H19" s="39">
        <f t="shared" si="0"/>
        <v>0</v>
      </c>
    </row>
    <row r="20" spans="2:10" x14ac:dyDescent="0.5">
      <c r="B20" s="53"/>
      <c r="C20" s="51"/>
      <c r="D20" s="35"/>
      <c r="E20" s="36">
        <v>0</v>
      </c>
      <c r="F20" s="36"/>
      <c r="G20" s="39">
        <f>IF(F20="Y",E20*'Summary Sheet'!G7,0)</f>
        <v>0</v>
      </c>
      <c r="H20" s="39">
        <f t="shared" si="0"/>
        <v>0</v>
      </c>
    </row>
    <row r="21" spans="2:10" x14ac:dyDescent="0.5">
      <c r="B21" s="53"/>
      <c r="C21" s="51"/>
      <c r="D21" s="35"/>
      <c r="E21" s="36">
        <v>0</v>
      </c>
      <c r="F21" s="36"/>
      <c r="G21" s="39">
        <f>IF(F21="Y",E21*'Summary Sheet'!G7,0)</f>
        <v>0</v>
      </c>
      <c r="H21" s="39">
        <f t="shared" si="0"/>
        <v>0</v>
      </c>
    </row>
    <row r="22" spans="2:10" x14ac:dyDescent="0.5">
      <c r="B22" s="53"/>
      <c r="C22" s="51"/>
      <c r="D22" s="35"/>
      <c r="E22" s="36">
        <v>0</v>
      </c>
      <c r="F22" s="36"/>
      <c r="G22" s="39">
        <f>IF(F22="Y",E22*'Summary Sheet'!G7,0)</f>
        <v>0</v>
      </c>
      <c r="H22" s="39">
        <f t="shared" ref="H22:H28" si="1">E22+G22</f>
        <v>0</v>
      </c>
    </row>
    <row r="23" spans="2:10" x14ac:dyDescent="0.5">
      <c r="B23" s="53"/>
      <c r="C23" s="51"/>
      <c r="D23" s="35"/>
      <c r="E23" s="36">
        <v>0</v>
      </c>
      <c r="F23" s="36"/>
      <c r="G23" s="39">
        <f>IF(F23="Y",E23*'Summary Sheet'!G7,0)</f>
        <v>0</v>
      </c>
      <c r="H23" s="39">
        <f t="shared" si="1"/>
        <v>0</v>
      </c>
    </row>
    <row r="24" spans="2:10" x14ac:dyDescent="0.5">
      <c r="B24" s="50"/>
      <c r="C24" s="51"/>
      <c r="D24" s="35"/>
      <c r="E24" s="36">
        <v>0</v>
      </c>
      <c r="F24" s="36"/>
      <c r="G24" s="39">
        <f>IF(F24="Y",E24*'Summary Sheet'!G7,0)</f>
        <v>0</v>
      </c>
      <c r="H24" s="39">
        <f t="shared" si="1"/>
        <v>0</v>
      </c>
    </row>
    <row r="25" spans="2:10" x14ac:dyDescent="0.5">
      <c r="B25" s="53"/>
      <c r="C25" s="51"/>
      <c r="D25" s="35"/>
      <c r="E25" s="36">
        <v>0</v>
      </c>
      <c r="F25" s="36"/>
      <c r="G25" s="39">
        <f>IF(F25="Y",E25*'Summary Sheet'!G7,0)</f>
        <v>0</v>
      </c>
      <c r="H25" s="39">
        <f t="shared" si="1"/>
        <v>0</v>
      </c>
    </row>
    <row r="26" spans="2:10" x14ac:dyDescent="0.5">
      <c r="B26" s="53"/>
      <c r="C26" s="51"/>
      <c r="D26" s="35"/>
      <c r="E26" s="36">
        <v>0</v>
      </c>
      <c r="F26" s="36"/>
      <c r="G26" s="39">
        <f>IF(F26="Y",E26*'Summary Sheet'!G7,0)</f>
        <v>0</v>
      </c>
      <c r="H26" s="39">
        <f t="shared" si="1"/>
        <v>0</v>
      </c>
    </row>
    <row r="27" spans="2:10" x14ac:dyDescent="0.5">
      <c r="B27" s="53"/>
      <c r="C27" s="51"/>
      <c r="D27" s="35"/>
      <c r="E27" s="36">
        <v>0</v>
      </c>
      <c r="F27" s="36"/>
      <c r="G27" s="39">
        <f>IF(F27="Y",E27*'Summary Sheet'!G7,0)</f>
        <v>0</v>
      </c>
      <c r="H27" s="39">
        <f t="shared" si="1"/>
        <v>0</v>
      </c>
    </row>
    <row r="28" spans="2:10" x14ac:dyDescent="0.5">
      <c r="B28" s="53"/>
      <c r="C28" s="51"/>
      <c r="D28" s="35"/>
      <c r="E28" s="36">
        <v>0</v>
      </c>
      <c r="F28" s="36"/>
      <c r="G28" s="39">
        <f>IF(F28="Y",E28*'Summary Sheet'!G7,0)</f>
        <v>0</v>
      </c>
      <c r="H28" s="39">
        <f t="shared" si="1"/>
        <v>0</v>
      </c>
    </row>
    <row r="29" spans="2:10" x14ac:dyDescent="0.5">
      <c r="B29" s="54"/>
      <c r="C29" s="54"/>
      <c r="D29" s="54"/>
      <c r="E29" s="55"/>
      <c r="F29" s="55"/>
      <c r="G29" s="42"/>
      <c r="H29" s="42"/>
    </row>
    <row r="30" spans="2:10" ht="20" thickBot="1" x14ac:dyDescent="0.65">
      <c r="B30" s="53"/>
      <c r="C30" s="54"/>
      <c r="D30" s="22" t="s">
        <v>35</v>
      </c>
      <c r="E30" s="56">
        <f>SUM(E6:E29)</f>
        <v>0</v>
      </c>
      <c r="F30" s="17"/>
      <c r="G30" s="57">
        <f>SUM(G6:G28)</f>
        <v>0</v>
      </c>
      <c r="H30" s="57">
        <f>SUM(H6:H28)</f>
        <v>0</v>
      </c>
      <c r="I30" s="40"/>
      <c r="J30" s="40"/>
    </row>
    <row r="31" spans="2:10" ht="18.5" thickTop="1" x14ac:dyDescent="0.5">
      <c r="B31" s="54"/>
      <c r="C31" s="54"/>
      <c r="D31" s="54"/>
      <c r="E31" s="54"/>
      <c r="F31" s="54"/>
    </row>
    <row r="32" spans="2:10" x14ac:dyDescent="0.5">
      <c r="B32" s="54"/>
      <c r="C32" s="54"/>
      <c r="D32" s="54"/>
      <c r="E32" s="54"/>
      <c r="F32" s="54"/>
    </row>
  </sheetData>
  <printOptions horizontalCentered="1"/>
  <pageMargins left="0.5" right="0.5" top="1" bottom="1" header="0.5" footer="0.5"/>
  <pageSetup orientation="portrait" horizontalDpi="300" verticalDpi="300"/>
  <headerFooter alignWithMargins="0">
    <oddHeader>&amp;F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 Sheet</vt:lpstr>
      <vt:lpstr>Charge Adjustment Detail</vt:lpstr>
      <vt:lpstr>Credit Adjustment Detail</vt:lpstr>
      <vt:lpstr>'Charge Adjustment Detail'!Print_Area</vt:lpstr>
      <vt:lpstr>'Credit Adjustment Detail'!Print_Area</vt:lpstr>
      <vt:lpstr>'Summary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Reconciliation - Page 1</dc:title>
  <dc:creator>Michelle Besse</dc:creator>
  <cp:lastModifiedBy>Carina Negreanu</cp:lastModifiedBy>
  <cp:lastPrinted>2001-07-26T14:39:33Z</cp:lastPrinted>
  <dcterms:created xsi:type="dcterms:W3CDTF">1998-03-18T15:20:41Z</dcterms:created>
  <dcterms:modified xsi:type="dcterms:W3CDTF">2020-01-27T11:12:21Z</dcterms:modified>
</cp:coreProperties>
</file>