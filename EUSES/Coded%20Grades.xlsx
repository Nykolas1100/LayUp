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3B2922-D555-4ED4-A189-034765CB669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1" l="1"/>
  <c r="AA2" i="1" s="1"/>
  <c r="AB2" i="1" s="1"/>
  <c r="Y2" i="1"/>
  <c r="N3" i="1"/>
  <c r="AA3" i="1" s="1"/>
  <c r="AB3" i="1" s="1"/>
  <c r="Y3" i="1"/>
  <c r="N4" i="1"/>
  <c r="AA4" i="1" s="1"/>
  <c r="AB4" i="1" s="1"/>
  <c r="Y4" i="1"/>
  <c r="N5" i="1"/>
  <c r="Y5" i="1"/>
  <c r="AA5" i="1"/>
  <c r="AB5" i="1"/>
  <c r="N6" i="1"/>
  <c r="Y6" i="1"/>
  <c r="AA6" i="1"/>
  <c r="AB6" i="1"/>
  <c r="N7" i="1"/>
  <c r="AA7" i="1" s="1"/>
  <c r="AB7" i="1" s="1"/>
  <c r="Y7" i="1"/>
  <c r="N8" i="1"/>
  <c r="Y8" i="1"/>
  <c r="AA8" i="1"/>
  <c r="AB8" i="1"/>
  <c r="N9" i="1"/>
  <c r="AA9" i="1" s="1"/>
  <c r="AB9" i="1" s="1"/>
  <c r="Y9" i="1"/>
  <c r="N10" i="1"/>
  <c r="Y10" i="1"/>
  <c r="AA10" i="1"/>
  <c r="AB10" i="1" s="1"/>
  <c r="N11" i="1"/>
  <c r="Y11" i="1"/>
  <c r="AA11" i="1"/>
  <c r="AB11" i="1"/>
  <c r="N12" i="1"/>
  <c r="AA12" i="1" s="1"/>
  <c r="AB12" i="1" s="1"/>
  <c r="Y12" i="1"/>
  <c r="N13" i="1"/>
  <c r="Y13" i="1"/>
  <c r="AA13" i="1"/>
  <c r="AB13" i="1"/>
  <c r="N14" i="1"/>
  <c r="Y14" i="1"/>
  <c r="AA14" i="1"/>
  <c r="AB14" i="1"/>
  <c r="N15" i="1"/>
  <c r="Y15" i="1"/>
  <c r="AA15" i="1"/>
  <c r="AB15" i="1" s="1"/>
  <c r="N16" i="1"/>
  <c r="Y16" i="1"/>
  <c r="AA16" i="1"/>
  <c r="AB16" i="1"/>
  <c r="N17" i="1"/>
  <c r="AA17" i="1" s="1"/>
  <c r="AB17" i="1" s="1"/>
  <c r="Y17" i="1"/>
  <c r="N18" i="1"/>
  <c r="Y18" i="1"/>
  <c r="AA18" i="1"/>
  <c r="AB18" i="1"/>
  <c r="N19" i="1"/>
  <c r="Y19" i="1"/>
  <c r="AA19" i="1"/>
  <c r="AB19" i="1"/>
  <c r="N20" i="1"/>
  <c r="Y20" i="1"/>
  <c r="AA20" i="1"/>
  <c r="AB20" i="1"/>
  <c r="N21" i="1"/>
  <c r="Y21" i="1"/>
  <c r="AA21" i="1"/>
  <c r="AB21" i="1"/>
  <c r="N22" i="1"/>
  <c r="AA22" i="1" s="1"/>
  <c r="AB22" i="1" s="1"/>
  <c r="Y22" i="1"/>
  <c r="N23" i="1"/>
  <c r="Y23" i="1"/>
  <c r="AA23" i="1"/>
  <c r="AB23" i="1"/>
  <c r="N24" i="1"/>
  <c r="Y24" i="1"/>
  <c r="AA24" i="1"/>
  <c r="AB24" i="1"/>
  <c r="N25" i="1"/>
  <c r="Y25" i="1"/>
  <c r="AA25" i="1"/>
  <c r="AB25" i="1"/>
  <c r="N26" i="1"/>
  <c r="Y26" i="1"/>
  <c r="AA26" i="1"/>
  <c r="AB26" i="1"/>
  <c r="N27" i="1"/>
  <c r="AA27" i="1" s="1"/>
  <c r="AB27" i="1" s="1"/>
  <c r="Y27" i="1"/>
  <c r="N28" i="1"/>
  <c r="Y28" i="1"/>
  <c r="AA28" i="1"/>
  <c r="AB28" i="1"/>
  <c r="N29" i="1"/>
  <c r="Y29" i="1"/>
  <c r="AA29" i="1"/>
  <c r="AB29" i="1" s="1"/>
  <c r="N30" i="1"/>
  <c r="Y30" i="1"/>
  <c r="AA30" i="1"/>
  <c r="AB30" i="1"/>
  <c r="N31" i="1"/>
  <c r="Y31" i="1"/>
  <c r="AA31" i="1"/>
  <c r="AB31" i="1"/>
  <c r="N32" i="1"/>
  <c r="AA32" i="1" s="1"/>
  <c r="AB32" i="1" s="1"/>
  <c r="Y32" i="1"/>
  <c r="N33" i="1"/>
  <c r="Y33" i="1"/>
  <c r="AA33" i="1"/>
  <c r="AB33" i="1"/>
  <c r="N34" i="1"/>
  <c r="Y34" i="1"/>
  <c r="AA34" i="1"/>
  <c r="AB34" i="1"/>
  <c r="N35" i="1"/>
  <c r="Y35" i="1"/>
  <c r="AA35" i="1"/>
  <c r="AB35" i="1"/>
  <c r="N36" i="1"/>
  <c r="Y36" i="1"/>
  <c r="AA36" i="1"/>
  <c r="AB36" i="1"/>
  <c r="N37" i="1"/>
  <c r="AA37" i="1" s="1"/>
  <c r="AB37" i="1" s="1"/>
  <c r="Y37" i="1"/>
  <c r="N38" i="1"/>
  <c r="AA38" i="1" s="1"/>
  <c r="AB38" i="1" s="1"/>
  <c r="Y38" i="1"/>
  <c r="N39" i="1"/>
  <c r="Y39" i="1"/>
  <c r="AA39" i="1"/>
  <c r="AB39" i="1"/>
</calcChain>
</file>

<file path=xl/sharedStrings.xml><?xml version="1.0" encoding="utf-8"?>
<sst xmlns="http://schemas.openxmlformats.org/spreadsheetml/2006/main" count="52" uniqueCount="52">
  <si>
    <t>Code</t>
  </si>
  <si>
    <t>Exam 2</t>
  </si>
  <si>
    <t>Case assignment</t>
  </si>
  <si>
    <t>Quiz 1</t>
  </si>
  <si>
    <t>Quiz 2</t>
  </si>
  <si>
    <t>Quiz 3</t>
  </si>
  <si>
    <t>Quiz 4</t>
  </si>
  <si>
    <t>Quiz 5</t>
  </si>
  <si>
    <t>Quiz 6</t>
  </si>
  <si>
    <t>HW 1-41</t>
  </si>
  <si>
    <t>HW 2-23</t>
  </si>
  <si>
    <t>HW 3-6</t>
  </si>
  <si>
    <t>HW 3-65</t>
  </si>
  <si>
    <t>HW 4-29</t>
  </si>
  <si>
    <t>HW 5-18</t>
  </si>
  <si>
    <t>Meruin</t>
  </si>
  <si>
    <t>Saltogirl</t>
  </si>
  <si>
    <t>Soccer12</t>
  </si>
  <si>
    <t>Basqo</t>
  </si>
  <si>
    <t>Rikkitikkitavi</t>
  </si>
  <si>
    <t>KIT</t>
  </si>
  <si>
    <t>Tinkerbell</t>
  </si>
  <si>
    <t>Sakura</t>
  </si>
  <si>
    <t>RhLhCh</t>
  </si>
  <si>
    <t>Nikolle</t>
  </si>
  <si>
    <t>Cowex</t>
  </si>
  <si>
    <t>FerrisM</t>
  </si>
  <si>
    <t>Oscar</t>
  </si>
  <si>
    <t>albatross</t>
  </si>
  <si>
    <t>HM700</t>
  </si>
  <si>
    <t>BanditD7</t>
  </si>
  <si>
    <t>Cabby</t>
  </si>
  <si>
    <t>Biggie</t>
  </si>
  <si>
    <t>sequoia</t>
  </si>
  <si>
    <t>Maxfio</t>
  </si>
  <si>
    <t>latino29</t>
  </si>
  <si>
    <t>faithful</t>
  </si>
  <si>
    <t>Marissa</t>
  </si>
  <si>
    <t>Zed</t>
  </si>
  <si>
    <t>Exam 1(adjusted)</t>
  </si>
  <si>
    <t>Quiz 7</t>
  </si>
  <si>
    <t>HW 6-40</t>
  </si>
  <si>
    <t>HW 7-Gift</t>
  </si>
  <si>
    <t>Final Exam</t>
  </si>
  <si>
    <t>Quiz 8</t>
  </si>
  <si>
    <t>Quiz Total</t>
  </si>
  <si>
    <t>HW-8-66</t>
  </si>
  <si>
    <t>HW 9-19</t>
  </si>
  <si>
    <t>HW Total</t>
  </si>
  <si>
    <t>Name?</t>
  </si>
  <si>
    <t>Total (700)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</si>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</sst>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Views>
    <sheetView tabSelected="1" workbookViewId="0">
      <selection activeCell="F15" sqref="F15"/>
    </sheetView>
  </sheetViews>
  <sheetFormatPr defaultRowHeight="12.5" x14ac:dyDescent="0.25"/>
  <cols>
    <col min="2" max="2" width="15.7265625" bestFit="1" customWidth="1"/>
    <col min="4" max="5" width="15.54296875" bestFit="1" customWidth="1"/>
  </cols>
  <sheetData>
    <row r="1" spans="1:28" x14ac:dyDescent="0.25">
      <c r="A1" t="s">
        <v>0</v>
      </c>
      <c r="B1" s="4" t="s">
        <v>39</v>
      </c>
      <c r="C1" s="4" t="s">
        <v>1</v>
      </c>
      <c r="D1" s="4" t="s">
        <v>43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40</v>
      </c>
      <c r="M1" s="4" t="s">
        <v>44</v>
      </c>
      <c r="N1" s="4" t="s">
        <v>45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41</v>
      </c>
      <c r="V1" s="4" t="s">
        <v>42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</row>
    <row r="2" spans="1:28" x14ac:dyDescent="0.25">
      <c r="A2" s="1">
        <v>2169</v>
      </c>
      <c r="B2" s="5">
        <v>58</v>
      </c>
      <c r="C2" s="5">
        <v>68</v>
      </c>
      <c r="D2" s="5">
        <v>92</v>
      </c>
      <c r="E2" s="5">
        <v>85</v>
      </c>
      <c r="F2" s="5">
        <v>80</v>
      </c>
      <c r="G2" s="11">
        <v>70</v>
      </c>
      <c r="H2" s="10">
        <v>40</v>
      </c>
      <c r="I2" s="10">
        <v>100</v>
      </c>
      <c r="J2" s="10">
        <v>100</v>
      </c>
      <c r="K2" s="10">
        <v>100</v>
      </c>
      <c r="L2" s="10">
        <v>100</v>
      </c>
      <c r="M2" s="10">
        <v>100</v>
      </c>
      <c r="N2" s="7">
        <f t="shared" ref="N2:N39" si="0">ROUND((SUM(F2:M2)-MIN(F2:M2))/700*100,0)</f>
        <v>93</v>
      </c>
      <c r="O2" s="4">
        <v>10</v>
      </c>
      <c r="P2" s="4">
        <v>6</v>
      </c>
      <c r="Q2" s="4">
        <v>10</v>
      </c>
      <c r="R2" s="4">
        <v>10</v>
      </c>
      <c r="S2" s="4">
        <v>10</v>
      </c>
      <c r="T2" s="4">
        <v>10</v>
      </c>
      <c r="U2" s="4">
        <v>8</v>
      </c>
      <c r="V2" s="4">
        <v>10</v>
      </c>
      <c r="W2" s="4">
        <v>10</v>
      </c>
      <c r="X2" s="4">
        <v>10</v>
      </c>
      <c r="Y2" s="4">
        <f t="shared" ref="Y2:Y39" si="1">SUM(O2:X2)</f>
        <v>94</v>
      </c>
      <c r="Z2" s="4">
        <v>10</v>
      </c>
      <c r="AA2" s="4">
        <f t="shared" ref="AA2:AA39" si="2">+B2+C2+D2+E2+N2+Z2+Y2</f>
        <v>500</v>
      </c>
      <c r="AB2" s="4">
        <f t="shared" ref="AB2:AB39" si="3">AA2/700*100</f>
        <v>71.428571428571431</v>
      </c>
    </row>
    <row r="3" spans="1:28" x14ac:dyDescent="0.25">
      <c r="A3" s="1">
        <v>947343</v>
      </c>
      <c r="B3" s="5">
        <v>88</v>
      </c>
      <c r="C3" s="5">
        <v>83</v>
      </c>
      <c r="D3" s="5">
        <v>150</v>
      </c>
      <c r="E3" s="5">
        <v>90</v>
      </c>
      <c r="F3" s="5">
        <v>80</v>
      </c>
      <c r="G3" s="7">
        <v>80</v>
      </c>
      <c r="H3" s="7">
        <v>100</v>
      </c>
      <c r="I3" s="7">
        <v>100</v>
      </c>
      <c r="J3" s="7">
        <v>100</v>
      </c>
      <c r="K3" s="7">
        <v>100</v>
      </c>
      <c r="L3" s="7">
        <v>80</v>
      </c>
      <c r="M3" s="7">
        <v>100</v>
      </c>
      <c r="N3" s="7">
        <f t="shared" si="0"/>
        <v>94</v>
      </c>
      <c r="O3" s="4">
        <v>10</v>
      </c>
      <c r="P3" s="4">
        <v>10</v>
      </c>
      <c r="Q3" s="4">
        <v>10</v>
      </c>
      <c r="R3" s="4">
        <v>10</v>
      </c>
      <c r="S3" s="4">
        <v>8</v>
      </c>
      <c r="T3" s="4">
        <v>10</v>
      </c>
      <c r="U3" s="4">
        <v>8</v>
      </c>
      <c r="V3" s="4">
        <v>10</v>
      </c>
      <c r="W3" s="4">
        <v>10</v>
      </c>
      <c r="X3" s="4">
        <v>10</v>
      </c>
      <c r="Y3" s="4">
        <f t="shared" si="1"/>
        <v>96</v>
      </c>
      <c r="Z3" s="4">
        <v>10</v>
      </c>
      <c r="AA3" s="4">
        <f t="shared" si="2"/>
        <v>611</v>
      </c>
      <c r="AB3" s="4">
        <f t="shared" si="3"/>
        <v>87.285714285714292</v>
      </c>
    </row>
    <row r="4" spans="1:28" x14ac:dyDescent="0.25">
      <c r="A4" s="1">
        <v>5947779</v>
      </c>
      <c r="B4" s="5">
        <v>93</v>
      </c>
      <c r="C4" s="5">
        <v>87</v>
      </c>
      <c r="D4" s="5">
        <v>156</v>
      </c>
      <c r="E4" s="5">
        <v>94</v>
      </c>
      <c r="F4" s="5">
        <v>80</v>
      </c>
      <c r="G4" s="7">
        <v>0</v>
      </c>
      <c r="H4" s="7">
        <v>100</v>
      </c>
      <c r="I4" s="7">
        <v>40</v>
      </c>
      <c r="J4" s="7">
        <v>100</v>
      </c>
      <c r="K4" s="7">
        <v>100</v>
      </c>
      <c r="L4" s="7">
        <v>90</v>
      </c>
      <c r="M4" s="11">
        <v>100</v>
      </c>
      <c r="N4" s="7">
        <f t="shared" si="0"/>
        <v>87</v>
      </c>
      <c r="O4" s="4">
        <v>10</v>
      </c>
      <c r="P4" s="4">
        <v>9</v>
      </c>
      <c r="Q4" s="4">
        <v>10</v>
      </c>
      <c r="R4" s="4">
        <v>10</v>
      </c>
      <c r="S4" s="4"/>
      <c r="T4" s="4">
        <v>10</v>
      </c>
      <c r="U4" s="4"/>
      <c r="V4" s="4">
        <v>10</v>
      </c>
      <c r="W4" s="4"/>
      <c r="X4" s="4"/>
      <c r="Y4" s="4">
        <f t="shared" si="1"/>
        <v>59</v>
      </c>
      <c r="Z4" s="4">
        <v>10</v>
      </c>
      <c r="AA4" s="4">
        <f t="shared" si="2"/>
        <v>586</v>
      </c>
      <c r="AB4" s="4">
        <f t="shared" si="3"/>
        <v>83.714285714285722</v>
      </c>
    </row>
    <row r="5" spans="1:28" x14ac:dyDescent="0.25">
      <c r="A5" s="1" t="s">
        <v>28</v>
      </c>
      <c r="B5" s="5">
        <v>80</v>
      </c>
      <c r="C5" s="5">
        <v>48</v>
      </c>
      <c r="D5" s="5">
        <v>59</v>
      </c>
      <c r="E5" s="5">
        <v>89</v>
      </c>
      <c r="F5" s="5">
        <v>100</v>
      </c>
      <c r="G5" s="7">
        <v>0</v>
      </c>
      <c r="H5" s="7">
        <v>80</v>
      </c>
      <c r="I5" s="7">
        <v>60</v>
      </c>
      <c r="J5" s="7">
        <v>100</v>
      </c>
      <c r="K5" s="7">
        <v>100</v>
      </c>
      <c r="L5" s="7">
        <v>40</v>
      </c>
      <c r="M5" s="7">
        <v>100</v>
      </c>
      <c r="N5" s="7">
        <f t="shared" si="0"/>
        <v>83</v>
      </c>
      <c r="O5" s="4">
        <v>10</v>
      </c>
      <c r="P5" s="4">
        <v>9</v>
      </c>
      <c r="Q5" s="4">
        <v>9</v>
      </c>
      <c r="R5" s="4">
        <v>10</v>
      </c>
      <c r="S5" s="4"/>
      <c r="T5" s="4">
        <v>10</v>
      </c>
      <c r="U5" s="4"/>
      <c r="V5" s="4">
        <v>10</v>
      </c>
      <c r="W5" s="4">
        <v>10</v>
      </c>
      <c r="X5" s="4"/>
      <c r="Y5" s="4">
        <f t="shared" si="1"/>
        <v>68</v>
      </c>
      <c r="Z5" s="4">
        <v>10</v>
      </c>
      <c r="AA5" s="4">
        <f t="shared" si="2"/>
        <v>437</v>
      </c>
      <c r="AB5" s="4">
        <f t="shared" si="3"/>
        <v>62.428571428571431</v>
      </c>
    </row>
    <row r="6" spans="1:28" x14ac:dyDescent="0.25">
      <c r="A6" s="1" t="s">
        <v>30</v>
      </c>
      <c r="B6" s="5">
        <v>62</v>
      </c>
      <c r="C6" s="5">
        <v>56</v>
      </c>
      <c r="D6" s="5">
        <v>97</v>
      </c>
      <c r="E6" s="5">
        <v>85</v>
      </c>
      <c r="F6" s="5">
        <v>80</v>
      </c>
      <c r="G6" s="7">
        <v>55</v>
      </c>
      <c r="H6" s="7">
        <v>80</v>
      </c>
      <c r="I6" s="7">
        <v>100</v>
      </c>
      <c r="J6" s="7">
        <v>100</v>
      </c>
      <c r="K6" s="7">
        <v>100</v>
      </c>
      <c r="L6" s="7">
        <v>100</v>
      </c>
      <c r="M6" s="7">
        <v>100</v>
      </c>
      <c r="N6" s="7">
        <f t="shared" si="0"/>
        <v>94</v>
      </c>
      <c r="O6" s="4">
        <v>10</v>
      </c>
      <c r="P6" s="4">
        <v>5</v>
      </c>
      <c r="Q6" s="4">
        <v>9</v>
      </c>
      <c r="R6" s="4">
        <v>10</v>
      </c>
      <c r="S6" s="4">
        <v>10</v>
      </c>
      <c r="T6" s="4">
        <v>10</v>
      </c>
      <c r="U6" s="4"/>
      <c r="V6" s="4">
        <v>10</v>
      </c>
      <c r="W6" s="4">
        <v>10</v>
      </c>
      <c r="X6" s="4">
        <v>10</v>
      </c>
      <c r="Y6" s="4">
        <f t="shared" si="1"/>
        <v>84</v>
      </c>
      <c r="Z6" s="4">
        <v>10</v>
      </c>
      <c r="AA6" s="4">
        <f t="shared" si="2"/>
        <v>488</v>
      </c>
      <c r="AB6" s="4">
        <f t="shared" si="3"/>
        <v>69.714285714285722</v>
      </c>
    </row>
    <row r="7" spans="1:28" x14ac:dyDescent="0.25">
      <c r="A7" s="1" t="s">
        <v>18</v>
      </c>
      <c r="B7" s="5">
        <v>86</v>
      </c>
      <c r="C7" s="5">
        <v>83</v>
      </c>
      <c r="D7" s="5">
        <v>157</v>
      </c>
      <c r="E7" s="5">
        <v>75</v>
      </c>
      <c r="F7" s="5">
        <v>80</v>
      </c>
      <c r="G7" s="7">
        <v>45</v>
      </c>
      <c r="H7" s="7">
        <v>100</v>
      </c>
      <c r="I7" s="7">
        <v>60</v>
      </c>
      <c r="J7" s="7">
        <v>100</v>
      </c>
      <c r="K7" s="7">
        <v>75</v>
      </c>
      <c r="L7" s="7">
        <v>80</v>
      </c>
      <c r="M7" s="7">
        <v>100</v>
      </c>
      <c r="N7" s="7">
        <f t="shared" si="0"/>
        <v>85</v>
      </c>
      <c r="O7" s="4">
        <v>10</v>
      </c>
      <c r="P7" s="4">
        <v>9</v>
      </c>
      <c r="Q7" s="4">
        <v>10</v>
      </c>
      <c r="R7" s="4">
        <v>9</v>
      </c>
      <c r="S7" s="4">
        <v>10</v>
      </c>
      <c r="T7" s="4">
        <v>10</v>
      </c>
      <c r="U7" s="4">
        <v>7</v>
      </c>
      <c r="V7" s="4">
        <v>10</v>
      </c>
      <c r="W7" s="4">
        <v>10</v>
      </c>
      <c r="X7" s="4">
        <v>10</v>
      </c>
      <c r="Y7" s="4">
        <f t="shared" si="1"/>
        <v>95</v>
      </c>
      <c r="Z7" s="4">
        <v>10</v>
      </c>
      <c r="AA7" s="4">
        <f t="shared" si="2"/>
        <v>591</v>
      </c>
      <c r="AB7" s="4">
        <f t="shared" si="3"/>
        <v>84.428571428571431</v>
      </c>
    </row>
    <row r="8" spans="1:28" x14ac:dyDescent="0.25">
      <c r="A8" s="1" t="s">
        <v>32</v>
      </c>
      <c r="B8" s="5">
        <v>87</v>
      </c>
      <c r="C8" s="5">
        <v>85</v>
      </c>
      <c r="D8" s="5">
        <v>171</v>
      </c>
      <c r="E8" s="5">
        <v>87</v>
      </c>
      <c r="F8" s="5">
        <v>100</v>
      </c>
      <c r="G8" s="7">
        <v>75</v>
      </c>
      <c r="H8" s="7">
        <v>80</v>
      </c>
      <c r="I8" s="7">
        <v>100</v>
      </c>
      <c r="J8" s="7">
        <v>100</v>
      </c>
      <c r="K8" s="7">
        <v>100</v>
      </c>
      <c r="L8" s="7">
        <v>100</v>
      </c>
      <c r="M8" s="7">
        <v>100</v>
      </c>
      <c r="N8" s="7">
        <f t="shared" si="0"/>
        <v>97</v>
      </c>
      <c r="O8" s="4">
        <v>10</v>
      </c>
      <c r="P8" s="4">
        <v>7</v>
      </c>
      <c r="Q8" s="4">
        <v>9</v>
      </c>
      <c r="R8" s="4">
        <v>10</v>
      </c>
      <c r="S8" s="4">
        <v>10</v>
      </c>
      <c r="T8" s="4">
        <v>10</v>
      </c>
      <c r="U8" s="4">
        <v>8</v>
      </c>
      <c r="V8" s="4">
        <v>10</v>
      </c>
      <c r="W8" s="4">
        <v>10</v>
      </c>
      <c r="X8" s="4"/>
      <c r="Y8" s="4">
        <f t="shared" si="1"/>
        <v>84</v>
      </c>
      <c r="Z8" s="4">
        <v>10</v>
      </c>
      <c r="AA8" s="4">
        <f t="shared" si="2"/>
        <v>621</v>
      </c>
      <c r="AB8" s="4">
        <f t="shared" si="3"/>
        <v>88.714285714285708</v>
      </c>
    </row>
    <row r="9" spans="1:28" x14ac:dyDescent="0.25">
      <c r="A9" s="1" t="s">
        <v>31</v>
      </c>
      <c r="B9" s="5">
        <v>82</v>
      </c>
      <c r="C9" s="5">
        <v>78</v>
      </c>
      <c r="D9" s="5">
        <v>145</v>
      </c>
      <c r="E9" s="5">
        <v>92</v>
      </c>
      <c r="F9" s="5">
        <v>100</v>
      </c>
      <c r="G9" s="7">
        <v>20</v>
      </c>
      <c r="H9" s="7">
        <v>60</v>
      </c>
      <c r="I9" s="7">
        <v>60</v>
      </c>
      <c r="J9" s="7">
        <v>100</v>
      </c>
      <c r="K9" s="7">
        <v>100</v>
      </c>
      <c r="L9" s="7">
        <v>100</v>
      </c>
      <c r="M9" s="7">
        <v>70</v>
      </c>
      <c r="N9" s="7">
        <f t="shared" si="0"/>
        <v>84</v>
      </c>
      <c r="O9" s="4">
        <v>10</v>
      </c>
      <c r="P9" s="4">
        <v>10</v>
      </c>
      <c r="Q9" s="4">
        <v>9</v>
      </c>
      <c r="R9" s="4">
        <v>8</v>
      </c>
      <c r="S9" s="4">
        <v>10</v>
      </c>
      <c r="T9" s="4">
        <v>10</v>
      </c>
      <c r="U9" s="4">
        <v>7</v>
      </c>
      <c r="V9" s="4">
        <v>10</v>
      </c>
      <c r="W9" s="4">
        <v>10</v>
      </c>
      <c r="X9" s="4">
        <v>10</v>
      </c>
      <c r="Y9" s="4">
        <f t="shared" si="1"/>
        <v>94</v>
      </c>
      <c r="Z9" s="4">
        <v>10</v>
      </c>
      <c r="AA9" s="4">
        <f t="shared" si="2"/>
        <v>585</v>
      </c>
      <c r="AB9" s="4">
        <f t="shared" si="3"/>
        <v>83.571428571428569</v>
      </c>
    </row>
    <row r="10" spans="1:28" x14ac:dyDescent="0.25">
      <c r="A10" s="1" t="s">
        <v>25</v>
      </c>
      <c r="B10" s="5">
        <v>95</v>
      </c>
      <c r="C10" s="5">
        <v>91</v>
      </c>
      <c r="D10" s="5">
        <v>146</v>
      </c>
      <c r="E10" s="5">
        <v>87</v>
      </c>
      <c r="F10" s="5">
        <v>100</v>
      </c>
      <c r="G10" s="6">
        <v>70</v>
      </c>
      <c r="H10" s="7">
        <v>100</v>
      </c>
      <c r="I10" s="11">
        <v>100</v>
      </c>
      <c r="J10" s="11">
        <v>100</v>
      </c>
      <c r="K10" s="11">
        <v>90</v>
      </c>
      <c r="L10" s="11">
        <v>60</v>
      </c>
      <c r="M10" s="11">
        <v>100</v>
      </c>
      <c r="N10" s="7">
        <f t="shared" si="0"/>
        <v>94</v>
      </c>
      <c r="O10" s="4">
        <v>10</v>
      </c>
      <c r="P10" s="4">
        <v>7</v>
      </c>
      <c r="Q10" s="4">
        <v>9</v>
      </c>
      <c r="R10" s="4">
        <v>10</v>
      </c>
      <c r="S10" s="4">
        <v>10</v>
      </c>
      <c r="T10" s="4">
        <v>10</v>
      </c>
      <c r="U10" s="4"/>
      <c r="V10" s="4">
        <v>10</v>
      </c>
      <c r="W10" s="4"/>
      <c r="X10" s="4"/>
      <c r="Y10" s="4">
        <f t="shared" si="1"/>
        <v>66</v>
      </c>
      <c r="Z10" s="4"/>
      <c r="AA10" s="4">
        <f t="shared" si="2"/>
        <v>579</v>
      </c>
      <c r="AB10" s="4">
        <f t="shared" si="3"/>
        <v>82.714285714285722</v>
      </c>
    </row>
    <row r="11" spans="1:28" x14ac:dyDescent="0.25">
      <c r="A11" s="1" t="s">
        <v>36</v>
      </c>
      <c r="B11" s="5">
        <v>98</v>
      </c>
      <c r="C11" s="5">
        <v>67</v>
      </c>
      <c r="D11" s="5">
        <v>191</v>
      </c>
      <c r="E11" s="5">
        <v>83</v>
      </c>
      <c r="F11" s="5">
        <v>80</v>
      </c>
      <c r="G11" s="7">
        <v>100</v>
      </c>
      <c r="H11" s="7">
        <v>100</v>
      </c>
      <c r="I11" s="11">
        <v>0</v>
      </c>
      <c r="J11" s="7">
        <v>100</v>
      </c>
      <c r="K11" s="7">
        <v>90</v>
      </c>
      <c r="L11" s="7">
        <v>100</v>
      </c>
      <c r="M11" s="11">
        <v>100</v>
      </c>
      <c r="N11" s="7">
        <f t="shared" si="0"/>
        <v>96</v>
      </c>
      <c r="O11" s="4">
        <v>10</v>
      </c>
      <c r="P11" s="4"/>
      <c r="Q11" s="4">
        <v>8</v>
      </c>
      <c r="R11" s="4">
        <v>10</v>
      </c>
      <c r="S11" s="4">
        <v>10</v>
      </c>
      <c r="T11" s="4">
        <v>10</v>
      </c>
      <c r="U11" s="4">
        <v>9</v>
      </c>
      <c r="V11" s="4">
        <v>10</v>
      </c>
      <c r="W11" s="4">
        <v>10</v>
      </c>
      <c r="X11" s="4">
        <v>10</v>
      </c>
      <c r="Y11" s="4">
        <f t="shared" si="1"/>
        <v>87</v>
      </c>
      <c r="Z11" s="4">
        <v>10</v>
      </c>
      <c r="AA11" s="4">
        <f t="shared" si="2"/>
        <v>632</v>
      </c>
      <c r="AB11" s="4">
        <f t="shared" si="3"/>
        <v>90.285714285714278</v>
      </c>
    </row>
    <row r="12" spans="1:28" x14ac:dyDescent="0.25">
      <c r="A12" s="1" t="s">
        <v>26</v>
      </c>
      <c r="B12" s="5">
        <v>94</v>
      </c>
      <c r="C12" s="5">
        <v>66</v>
      </c>
      <c r="D12" s="5">
        <v>175</v>
      </c>
      <c r="E12" s="5">
        <v>83</v>
      </c>
      <c r="F12" s="5">
        <v>100</v>
      </c>
      <c r="G12" s="12">
        <v>20</v>
      </c>
      <c r="H12" s="7">
        <v>80</v>
      </c>
      <c r="I12" s="7">
        <v>40</v>
      </c>
      <c r="J12" s="7">
        <v>0</v>
      </c>
      <c r="K12" s="7">
        <v>0</v>
      </c>
      <c r="L12" s="7">
        <v>60</v>
      </c>
      <c r="M12" s="7">
        <v>70</v>
      </c>
      <c r="N12" s="7">
        <f t="shared" si="0"/>
        <v>53</v>
      </c>
      <c r="O12" s="4">
        <v>10</v>
      </c>
      <c r="P12" s="4">
        <v>10</v>
      </c>
      <c r="Q12" s="4">
        <v>10</v>
      </c>
      <c r="R12" s="4"/>
      <c r="S12" s="4">
        <v>10</v>
      </c>
      <c r="T12" s="4">
        <v>10</v>
      </c>
      <c r="U12" s="4">
        <v>4</v>
      </c>
      <c r="V12" s="4">
        <v>10</v>
      </c>
      <c r="W12" s="4">
        <v>10</v>
      </c>
      <c r="X12" s="4">
        <v>10</v>
      </c>
      <c r="Y12" s="4">
        <f t="shared" si="1"/>
        <v>84</v>
      </c>
      <c r="Z12" s="4">
        <v>10</v>
      </c>
      <c r="AA12" s="4">
        <f t="shared" si="2"/>
        <v>565</v>
      </c>
      <c r="AB12" s="4">
        <f t="shared" si="3"/>
        <v>80.714285714285722</v>
      </c>
    </row>
    <row r="13" spans="1:28" x14ac:dyDescent="0.25">
      <c r="A13" s="1" t="s">
        <v>29</v>
      </c>
      <c r="B13" s="5">
        <v>82</v>
      </c>
      <c r="C13" s="5">
        <v>87</v>
      </c>
      <c r="D13" s="5">
        <v>98</v>
      </c>
      <c r="E13" s="5">
        <v>85</v>
      </c>
      <c r="F13" s="5">
        <v>100</v>
      </c>
      <c r="G13" s="7">
        <v>80</v>
      </c>
      <c r="H13" s="7">
        <v>0</v>
      </c>
      <c r="I13" s="7">
        <v>100</v>
      </c>
      <c r="J13" s="7">
        <v>100</v>
      </c>
      <c r="K13" s="7">
        <v>100</v>
      </c>
      <c r="L13" s="7">
        <v>100</v>
      </c>
      <c r="M13" s="7">
        <v>100</v>
      </c>
      <c r="N13" s="7">
        <f t="shared" si="0"/>
        <v>97</v>
      </c>
      <c r="O13" s="4">
        <v>10</v>
      </c>
      <c r="P13" s="4">
        <v>7</v>
      </c>
      <c r="Q13" s="4">
        <v>9</v>
      </c>
      <c r="R13" s="4">
        <v>8</v>
      </c>
      <c r="S13" s="4">
        <v>10</v>
      </c>
      <c r="T13" s="4">
        <v>10</v>
      </c>
      <c r="U13" s="4">
        <v>8</v>
      </c>
      <c r="V13" s="4">
        <v>10</v>
      </c>
      <c r="W13" s="4">
        <v>10</v>
      </c>
      <c r="X13" s="4"/>
      <c r="Y13" s="4">
        <f t="shared" si="1"/>
        <v>82</v>
      </c>
      <c r="Z13" s="4">
        <v>10</v>
      </c>
      <c r="AA13" s="4">
        <f t="shared" si="2"/>
        <v>541</v>
      </c>
      <c r="AB13" s="4">
        <f t="shared" si="3"/>
        <v>77.285714285714292</v>
      </c>
    </row>
    <row r="14" spans="1:28" x14ac:dyDescent="0.25">
      <c r="A14" s="1" t="s">
        <v>20</v>
      </c>
      <c r="B14" s="5">
        <v>93</v>
      </c>
      <c r="C14" s="5">
        <v>88</v>
      </c>
      <c r="D14" s="5">
        <v>178</v>
      </c>
      <c r="E14" s="5">
        <v>85</v>
      </c>
      <c r="F14" s="5">
        <v>100</v>
      </c>
      <c r="G14" s="12">
        <v>70</v>
      </c>
      <c r="H14" s="7">
        <v>100</v>
      </c>
      <c r="I14" s="7">
        <v>100</v>
      </c>
      <c r="J14" s="7">
        <v>100</v>
      </c>
      <c r="K14" s="7">
        <v>100</v>
      </c>
      <c r="L14" s="7">
        <v>100</v>
      </c>
      <c r="M14" s="7">
        <v>70</v>
      </c>
      <c r="N14" s="7">
        <f t="shared" si="0"/>
        <v>96</v>
      </c>
      <c r="O14" s="4">
        <v>10</v>
      </c>
      <c r="P14" s="4">
        <v>9</v>
      </c>
      <c r="Q14" s="4">
        <v>8</v>
      </c>
      <c r="R14" s="4">
        <v>10</v>
      </c>
      <c r="S14" s="4">
        <v>10</v>
      </c>
      <c r="T14" s="4">
        <v>10</v>
      </c>
      <c r="U14" s="4"/>
      <c r="V14" s="4">
        <v>10</v>
      </c>
      <c r="W14" s="4">
        <v>10</v>
      </c>
      <c r="X14" s="4"/>
      <c r="Y14" s="4">
        <f t="shared" si="1"/>
        <v>77</v>
      </c>
      <c r="Z14" s="4">
        <v>10</v>
      </c>
      <c r="AA14" s="4">
        <f t="shared" si="2"/>
        <v>627</v>
      </c>
      <c r="AB14" s="4">
        <f t="shared" si="3"/>
        <v>89.571428571428569</v>
      </c>
    </row>
    <row r="15" spans="1:28" x14ac:dyDescent="0.25">
      <c r="A15" s="1" t="s">
        <v>35</v>
      </c>
      <c r="B15" s="5">
        <v>82</v>
      </c>
      <c r="C15" s="5">
        <v>66</v>
      </c>
      <c r="D15" s="5">
        <v>119</v>
      </c>
      <c r="E15" s="5">
        <v>94</v>
      </c>
      <c r="F15" s="5">
        <v>80</v>
      </c>
      <c r="G15" s="17">
        <v>55</v>
      </c>
      <c r="H15" s="11">
        <v>60</v>
      </c>
      <c r="I15" s="11">
        <v>60</v>
      </c>
      <c r="J15" s="11">
        <v>100</v>
      </c>
      <c r="K15" s="11">
        <v>100</v>
      </c>
      <c r="L15" s="11">
        <v>40</v>
      </c>
      <c r="M15" s="11">
        <v>100</v>
      </c>
      <c r="N15" s="7">
        <f t="shared" si="0"/>
        <v>79</v>
      </c>
      <c r="O15" s="4">
        <v>10</v>
      </c>
      <c r="P15" s="4">
        <v>9</v>
      </c>
      <c r="Q15" s="4">
        <v>10</v>
      </c>
      <c r="R15" s="4">
        <v>10</v>
      </c>
      <c r="S15" s="4"/>
      <c r="T15" s="4">
        <v>10</v>
      </c>
      <c r="U15" s="4"/>
      <c r="V15" s="4">
        <v>10</v>
      </c>
      <c r="W15" s="4"/>
      <c r="X15" s="4"/>
      <c r="Y15" s="4">
        <f t="shared" si="1"/>
        <v>59</v>
      </c>
      <c r="Z15" s="4"/>
      <c r="AA15" s="4">
        <f t="shared" si="2"/>
        <v>499</v>
      </c>
      <c r="AB15" s="4">
        <f t="shared" si="3"/>
        <v>71.285714285714292</v>
      </c>
    </row>
    <row r="16" spans="1:28" x14ac:dyDescent="0.25">
      <c r="A16" s="1" t="s">
        <v>37</v>
      </c>
      <c r="B16" s="5">
        <v>88</v>
      </c>
      <c r="C16" s="5">
        <v>71</v>
      </c>
      <c r="D16" s="5">
        <v>122</v>
      </c>
      <c r="E16" s="5">
        <v>75</v>
      </c>
      <c r="F16" s="5">
        <v>100</v>
      </c>
      <c r="G16" s="7">
        <v>95</v>
      </c>
      <c r="H16" s="7">
        <v>100</v>
      </c>
      <c r="I16" s="7">
        <v>60</v>
      </c>
      <c r="J16" s="7">
        <v>100</v>
      </c>
      <c r="K16" s="7">
        <v>100</v>
      </c>
      <c r="L16" s="7">
        <v>100</v>
      </c>
      <c r="M16" s="7">
        <v>100</v>
      </c>
      <c r="N16" s="7">
        <f t="shared" si="0"/>
        <v>99</v>
      </c>
      <c r="O16" s="4">
        <v>10</v>
      </c>
      <c r="P16" s="4">
        <v>5</v>
      </c>
      <c r="Q16" s="4">
        <v>10</v>
      </c>
      <c r="R16" s="4">
        <v>10</v>
      </c>
      <c r="S16" s="4">
        <v>10</v>
      </c>
      <c r="T16" s="4">
        <v>10</v>
      </c>
      <c r="U16" s="4">
        <v>6</v>
      </c>
      <c r="V16" s="4">
        <v>10</v>
      </c>
      <c r="W16" s="4"/>
      <c r="X16" s="4"/>
      <c r="Y16" s="4">
        <f t="shared" si="1"/>
        <v>71</v>
      </c>
      <c r="Z16" s="4">
        <v>10</v>
      </c>
      <c r="AA16" s="4">
        <f t="shared" si="2"/>
        <v>536</v>
      </c>
      <c r="AB16" s="4">
        <f t="shared" si="3"/>
        <v>76.571428571428569</v>
      </c>
    </row>
    <row r="17" spans="1:28" s="3" customFormat="1" ht="13" x14ac:dyDescent="0.3">
      <c r="A17" s="13" t="s">
        <v>34</v>
      </c>
      <c r="B17" s="14">
        <v>77</v>
      </c>
      <c r="C17" s="14">
        <v>88</v>
      </c>
      <c r="D17" s="14">
        <v>153</v>
      </c>
      <c r="E17" s="14">
        <v>75</v>
      </c>
      <c r="F17" s="14">
        <v>80</v>
      </c>
      <c r="G17" s="15">
        <v>55</v>
      </c>
      <c r="H17" s="15">
        <v>100</v>
      </c>
      <c r="I17" s="15">
        <v>60</v>
      </c>
      <c r="J17" s="15">
        <v>100</v>
      </c>
      <c r="K17" s="15">
        <v>100</v>
      </c>
      <c r="L17" s="15">
        <v>90</v>
      </c>
      <c r="M17" s="15">
        <v>100</v>
      </c>
      <c r="N17" s="7">
        <f t="shared" si="0"/>
        <v>90</v>
      </c>
      <c r="O17" s="4">
        <v>10</v>
      </c>
      <c r="P17" s="4"/>
      <c r="Q17" s="16">
        <v>8</v>
      </c>
      <c r="R17" s="16">
        <v>8</v>
      </c>
      <c r="S17" s="16">
        <v>10</v>
      </c>
      <c r="T17" s="4"/>
      <c r="U17" s="4"/>
      <c r="V17" s="4">
        <v>10</v>
      </c>
      <c r="W17" s="4">
        <v>8</v>
      </c>
      <c r="X17" s="4">
        <v>10</v>
      </c>
      <c r="Y17" s="4">
        <f t="shared" si="1"/>
        <v>64</v>
      </c>
      <c r="Z17" s="4">
        <v>10</v>
      </c>
      <c r="AA17" s="4">
        <f t="shared" si="2"/>
        <v>557</v>
      </c>
      <c r="AB17" s="4">
        <f t="shared" si="3"/>
        <v>79.571428571428569</v>
      </c>
    </row>
    <row r="18" spans="1:28" x14ac:dyDescent="0.25">
      <c r="A18" s="1" t="s">
        <v>15</v>
      </c>
      <c r="B18" s="5">
        <v>92</v>
      </c>
      <c r="C18" s="5">
        <v>86</v>
      </c>
      <c r="D18" s="5">
        <v>131</v>
      </c>
      <c r="E18" s="5">
        <v>87</v>
      </c>
      <c r="F18" s="5">
        <v>100</v>
      </c>
      <c r="G18" s="6">
        <v>95</v>
      </c>
      <c r="H18" s="7">
        <v>60</v>
      </c>
      <c r="I18" s="7">
        <v>60</v>
      </c>
      <c r="J18" s="7">
        <v>100</v>
      </c>
      <c r="K18" s="7">
        <v>100</v>
      </c>
      <c r="L18" s="7">
        <v>90</v>
      </c>
      <c r="M18" s="7">
        <v>100</v>
      </c>
      <c r="N18" s="7">
        <f>ROUND((SUM(F18:M18)-MIN(F18:M18))/700*100,0)</f>
        <v>92</v>
      </c>
      <c r="O18" s="4">
        <v>10</v>
      </c>
      <c r="P18" s="4">
        <v>8</v>
      </c>
      <c r="Q18" s="4">
        <v>9</v>
      </c>
      <c r="R18" s="4">
        <v>10</v>
      </c>
      <c r="S18" s="4">
        <v>10</v>
      </c>
      <c r="T18" s="4">
        <v>10</v>
      </c>
      <c r="U18" s="4">
        <v>8</v>
      </c>
      <c r="V18" s="4">
        <v>10</v>
      </c>
      <c r="W18" s="4">
        <v>10</v>
      </c>
      <c r="X18" s="4">
        <v>10</v>
      </c>
      <c r="Y18" s="4">
        <f>SUM(O18:X18)</f>
        <v>95</v>
      </c>
      <c r="Z18" s="4">
        <v>10</v>
      </c>
      <c r="AA18" s="4">
        <f>+B18+C18+D18+E18+N18+Z18+Y18</f>
        <v>593</v>
      </c>
      <c r="AB18" s="4">
        <f>AA18/700*100</f>
        <v>84.714285714285722</v>
      </c>
    </row>
    <row r="19" spans="1:28" x14ac:dyDescent="0.25">
      <c r="A19" s="1" t="s">
        <v>24</v>
      </c>
      <c r="B19" s="5">
        <v>88</v>
      </c>
      <c r="C19" s="5">
        <v>87</v>
      </c>
      <c r="D19" s="5">
        <v>177</v>
      </c>
      <c r="E19" s="5">
        <v>94</v>
      </c>
      <c r="F19" s="5">
        <v>80</v>
      </c>
      <c r="G19" s="6">
        <v>50</v>
      </c>
      <c r="H19" s="7">
        <v>40</v>
      </c>
      <c r="I19" s="11">
        <v>60</v>
      </c>
      <c r="J19" s="11">
        <v>100</v>
      </c>
      <c r="K19" s="11">
        <v>100</v>
      </c>
      <c r="L19" s="11">
        <v>40</v>
      </c>
      <c r="M19" s="11">
        <v>70</v>
      </c>
      <c r="N19" s="7">
        <f t="shared" si="0"/>
        <v>71</v>
      </c>
      <c r="O19" s="4">
        <v>10</v>
      </c>
      <c r="P19" s="4">
        <v>9</v>
      </c>
      <c r="Q19" s="4">
        <v>4</v>
      </c>
      <c r="R19" s="4">
        <v>10</v>
      </c>
      <c r="S19" s="4"/>
      <c r="T19" s="4">
        <v>10</v>
      </c>
      <c r="U19" s="4"/>
      <c r="V19" s="4">
        <v>10</v>
      </c>
      <c r="W19" s="4"/>
      <c r="X19" s="4">
        <v>10</v>
      </c>
      <c r="Y19" s="4">
        <f t="shared" si="1"/>
        <v>63</v>
      </c>
      <c r="Z19" s="4">
        <v>10</v>
      </c>
      <c r="AA19" s="4">
        <f t="shared" si="2"/>
        <v>590</v>
      </c>
      <c r="AB19" s="4">
        <f t="shared" si="3"/>
        <v>84.285714285714292</v>
      </c>
    </row>
    <row r="20" spans="1:28" x14ac:dyDescent="0.25">
      <c r="A20" s="1" t="s">
        <v>27</v>
      </c>
      <c r="B20" s="5">
        <v>77</v>
      </c>
      <c r="C20" s="5">
        <v>78</v>
      </c>
      <c r="D20" s="5">
        <v>132</v>
      </c>
      <c r="E20" s="5">
        <v>90</v>
      </c>
      <c r="F20" s="5">
        <v>100</v>
      </c>
      <c r="G20" s="7">
        <v>10</v>
      </c>
      <c r="H20" s="7">
        <v>60</v>
      </c>
      <c r="I20" s="7">
        <v>100</v>
      </c>
      <c r="J20" s="7">
        <v>100</v>
      </c>
      <c r="K20" s="7">
        <v>100</v>
      </c>
      <c r="L20" s="7">
        <v>80</v>
      </c>
      <c r="M20" s="7">
        <v>100</v>
      </c>
      <c r="N20" s="7">
        <f t="shared" si="0"/>
        <v>91</v>
      </c>
      <c r="O20" s="4">
        <v>10</v>
      </c>
      <c r="P20" s="4">
        <v>7</v>
      </c>
      <c r="Q20" s="4">
        <v>10</v>
      </c>
      <c r="R20" s="4">
        <v>8</v>
      </c>
      <c r="S20" s="4">
        <v>10</v>
      </c>
      <c r="T20" s="4">
        <v>10</v>
      </c>
      <c r="U20" s="4">
        <v>8</v>
      </c>
      <c r="V20" s="4">
        <v>10</v>
      </c>
      <c r="W20" s="4">
        <v>10</v>
      </c>
      <c r="X20" s="4">
        <v>10</v>
      </c>
      <c r="Y20" s="4">
        <f t="shared" si="1"/>
        <v>93</v>
      </c>
      <c r="Z20" s="4">
        <v>10</v>
      </c>
      <c r="AA20" s="4">
        <f t="shared" si="2"/>
        <v>571</v>
      </c>
      <c r="AB20" s="4">
        <f t="shared" si="3"/>
        <v>81.571428571428569</v>
      </c>
    </row>
    <row r="21" spans="1:28" x14ac:dyDescent="0.25">
      <c r="A21" s="1" t="s">
        <v>23</v>
      </c>
      <c r="B21" s="5">
        <v>89</v>
      </c>
      <c r="C21" s="5">
        <v>74</v>
      </c>
      <c r="D21" s="5">
        <v>128</v>
      </c>
      <c r="E21" s="5">
        <v>92</v>
      </c>
      <c r="F21" s="5">
        <v>100</v>
      </c>
      <c r="G21" s="7">
        <v>0</v>
      </c>
      <c r="H21" s="7">
        <v>60</v>
      </c>
      <c r="I21" s="11">
        <v>80</v>
      </c>
      <c r="J21" s="11">
        <v>100</v>
      </c>
      <c r="K21" s="11">
        <v>100</v>
      </c>
      <c r="L21" s="11">
        <v>90</v>
      </c>
      <c r="M21" s="11">
        <v>40</v>
      </c>
      <c r="N21" s="7">
        <f t="shared" si="0"/>
        <v>81</v>
      </c>
      <c r="O21" s="4">
        <v>10</v>
      </c>
      <c r="P21" s="4"/>
      <c r="Q21" s="4">
        <v>10</v>
      </c>
      <c r="R21" s="4">
        <v>10</v>
      </c>
      <c r="S21" s="4">
        <v>10</v>
      </c>
      <c r="T21" s="4">
        <v>10</v>
      </c>
      <c r="U21" s="4">
        <v>6</v>
      </c>
      <c r="V21" s="4">
        <v>10</v>
      </c>
      <c r="W21" s="4"/>
      <c r="X21" s="4"/>
      <c r="Y21" s="4">
        <f t="shared" si="1"/>
        <v>66</v>
      </c>
      <c r="Z21" s="4"/>
      <c r="AA21" s="4">
        <f t="shared" si="2"/>
        <v>530</v>
      </c>
      <c r="AB21" s="4">
        <f t="shared" si="3"/>
        <v>75.714285714285708</v>
      </c>
    </row>
    <row r="22" spans="1:28" x14ac:dyDescent="0.25">
      <c r="A22" s="1" t="s">
        <v>19</v>
      </c>
      <c r="B22" s="5">
        <v>78</v>
      </c>
      <c r="C22" s="5">
        <v>59</v>
      </c>
      <c r="D22" s="5">
        <v>99</v>
      </c>
      <c r="E22" s="5">
        <v>92</v>
      </c>
      <c r="F22" s="5">
        <v>60</v>
      </c>
      <c r="G22" s="12">
        <v>70</v>
      </c>
      <c r="H22" s="7">
        <v>80</v>
      </c>
      <c r="I22" s="7">
        <v>60</v>
      </c>
      <c r="J22" s="7">
        <v>50</v>
      </c>
      <c r="K22" s="7">
        <v>25</v>
      </c>
      <c r="L22" s="7">
        <v>60</v>
      </c>
      <c r="M22" s="7">
        <v>70</v>
      </c>
      <c r="N22" s="7">
        <f t="shared" si="0"/>
        <v>64</v>
      </c>
      <c r="O22" s="4">
        <v>10</v>
      </c>
      <c r="P22" s="4">
        <v>5</v>
      </c>
      <c r="Q22" s="4">
        <v>10</v>
      </c>
      <c r="R22" s="4">
        <v>10</v>
      </c>
      <c r="S22" s="4">
        <v>10</v>
      </c>
      <c r="T22" s="4">
        <v>10</v>
      </c>
      <c r="U22" s="4">
        <v>2</v>
      </c>
      <c r="V22" s="4">
        <v>10</v>
      </c>
      <c r="W22" s="4">
        <v>6</v>
      </c>
      <c r="X22" s="4">
        <v>10</v>
      </c>
      <c r="Y22" s="4">
        <f t="shared" si="1"/>
        <v>83</v>
      </c>
      <c r="Z22" s="4">
        <v>10</v>
      </c>
      <c r="AA22" s="4">
        <f t="shared" si="2"/>
        <v>485</v>
      </c>
      <c r="AB22" s="4">
        <f t="shared" si="3"/>
        <v>69.285714285714278</v>
      </c>
    </row>
    <row r="23" spans="1:28" x14ac:dyDescent="0.25">
      <c r="A23" s="1" t="s">
        <v>22</v>
      </c>
      <c r="B23" s="5">
        <v>82</v>
      </c>
      <c r="C23" s="5">
        <v>98</v>
      </c>
      <c r="D23" s="5">
        <v>122</v>
      </c>
      <c r="E23" s="5">
        <v>89</v>
      </c>
      <c r="F23" s="5">
        <v>80</v>
      </c>
      <c r="G23" s="7">
        <v>0</v>
      </c>
      <c r="H23" s="7">
        <v>100</v>
      </c>
      <c r="I23" s="11">
        <v>100</v>
      </c>
      <c r="J23" s="11">
        <v>100</v>
      </c>
      <c r="K23" s="11">
        <v>100</v>
      </c>
      <c r="L23" s="11">
        <v>100</v>
      </c>
      <c r="M23" s="11">
        <v>100</v>
      </c>
      <c r="N23" s="7">
        <f t="shared" si="0"/>
        <v>97</v>
      </c>
      <c r="O23" s="4"/>
      <c r="P23" s="4">
        <v>3</v>
      </c>
      <c r="Q23" s="4">
        <v>9</v>
      </c>
      <c r="R23" s="4">
        <v>8</v>
      </c>
      <c r="S23" s="4">
        <v>10</v>
      </c>
      <c r="T23" s="4">
        <v>10</v>
      </c>
      <c r="U23" s="4">
        <v>8</v>
      </c>
      <c r="V23" s="4">
        <v>10</v>
      </c>
      <c r="W23" s="4">
        <v>10</v>
      </c>
      <c r="X23" s="4">
        <v>10</v>
      </c>
      <c r="Y23" s="4">
        <f t="shared" si="1"/>
        <v>78</v>
      </c>
      <c r="Z23" s="4">
        <v>10</v>
      </c>
      <c r="AA23" s="4">
        <f t="shared" si="2"/>
        <v>576</v>
      </c>
      <c r="AB23" s="4">
        <f t="shared" si="3"/>
        <v>82.285714285714278</v>
      </c>
    </row>
    <row r="24" spans="1:28" x14ac:dyDescent="0.25">
      <c r="A24" s="2" t="s">
        <v>16</v>
      </c>
      <c r="B24" s="8">
        <v>96</v>
      </c>
      <c r="C24" s="8">
        <v>71</v>
      </c>
      <c r="D24" s="8">
        <v>151</v>
      </c>
      <c r="E24" s="8">
        <v>90</v>
      </c>
      <c r="F24" s="8">
        <v>60</v>
      </c>
      <c r="G24" s="9">
        <v>80</v>
      </c>
      <c r="H24" s="10">
        <v>80</v>
      </c>
      <c r="I24" s="10">
        <v>100</v>
      </c>
      <c r="J24" s="10">
        <v>100</v>
      </c>
      <c r="K24" s="10">
        <v>100</v>
      </c>
      <c r="L24" s="10">
        <v>80</v>
      </c>
      <c r="M24" s="10">
        <v>100</v>
      </c>
      <c r="N24" s="7">
        <f t="shared" si="0"/>
        <v>91</v>
      </c>
      <c r="O24" s="4">
        <v>10</v>
      </c>
      <c r="P24" s="4">
        <v>10</v>
      </c>
      <c r="Q24" s="4">
        <v>8</v>
      </c>
      <c r="R24" s="4">
        <v>10</v>
      </c>
      <c r="S24" s="4">
        <v>10</v>
      </c>
      <c r="T24" s="4">
        <v>10</v>
      </c>
      <c r="U24" s="4">
        <v>9</v>
      </c>
      <c r="V24" s="4">
        <v>10</v>
      </c>
      <c r="W24" s="4">
        <v>10</v>
      </c>
      <c r="X24" s="4">
        <v>10</v>
      </c>
      <c r="Y24" s="4">
        <f t="shared" si="1"/>
        <v>97</v>
      </c>
      <c r="Z24" s="4">
        <v>10</v>
      </c>
      <c r="AA24" s="4">
        <f t="shared" si="2"/>
        <v>606</v>
      </c>
      <c r="AB24" s="4">
        <f t="shared" si="3"/>
        <v>86.571428571428584</v>
      </c>
    </row>
    <row r="25" spans="1:28" x14ac:dyDescent="0.25">
      <c r="A25" s="2" t="s">
        <v>33</v>
      </c>
      <c r="B25" s="8">
        <v>95</v>
      </c>
      <c r="C25" s="8">
        <v>97</v>
      </c>
      <c r="D25" s="8">
        <v>145</v>
      </c>
      <c r="E25" s="8">
        <v>83</v>
      </c>
      <c r="F25" s="8">
        <v>80</v>
      </c>
      <c r="G25" s="11">
        <v>95</v>
      </c>
      <c r="H25" s="11">
        <v>80</v>
      </c>
      <c r="I25" s="11">
        <v>100</v>
      </c>
      <c r="J25" s="11">
        <v>100</v>
      </c>
      <c r="K25" s="11">
        <v>100</v>
      </c>
      <c r="L25" s="11">
        <v>100</v>
      </c>
      <c r="M25" s="11">
        <v>100</v>
      </c>
      <c r="N25" s="7">
        <f t="shared" si="0"/>
        <v>96</v>
      </c>
      <c r="O25" s="4">
        <v>10</v>
      </c>
      <c r="P25" s="4">
        <v>10</v>
      </c>
      <c r="Q25" s="4">
        <v>10</v>
      </c>
      <c r="R25" s="4">
        <v>10</v>
      </c>
      <c r="S25" s="4">
        <v>10</v>
      </c>
      <c r="T25" s="4">
        <v>10</v>
      </c>
      <c r="U25" s="4">
        <v>9</v>
      </c>
      <c r="V25" s="4">
        <v>10</v>
      </c>
      <c r="W25" s="4">
        <v>10</v>
      </c>
      <c r="X25" s="4">
        <v>10</v>
      </c>
      <c r="Y25" s="4">
        <f t="shared" si="1"/>
        <v>99</v>
      </c>
      <c r="Z25" s="4">
        <v>10</v>
      </c>
      <c r="AA25" s="4">
        <f t="shared" si="2"/>
        <v>625</v>
      </c>
      <c r="AB25" s="4">
        <f t="shared" si="3"/>
        <v>89.285714285714292</v>
      </c>
    </row>
    <row r="26" spans="1:28" x14ac:dyDescent="0.25">
      <c r="A26" s="1" t="s">
        <v>17</v>
      </c>
      <c r="B26" s="5">
        <v>74</v>
      </c>
      <c r="C26" s="5">
        <v>49</v>
      </c>
      <c r="D26" s="5">
        <v>115</v>
      </c>
      <c r="E26" s="5">
        <v>85</v>
      </c>
      <c r="F26" s="5">
        <v>80</v>
      </c>
      <c r="G26" s="6">
        <v>50</v>
      </c>
      <c r="H26" s="7">
        <v>60</v>
      </c>
      <c r="I26" s="7">
        <v>80</v>
      </c>
      <c r="J26" s="7">
        <v>100</v>
      </c>
      <c r="K26" s="7">
        <v>100</v>
      </c>
      <c r="L26" s="7">
        <v>90</v>
      </c>
      <c r="M26" s="7">
        <v>100</v>
      </c>
      <c r="N26" s="7">
        <f t="shared" si="0"/>
        <v>87</v>
      </c>
      <c r="O26" s="4">
        <v>7</v>
      </c>
      <c r="P26" s="4">
        <v>10</v>
      </c>
      <c r="Q26" s="4">
        <v>10</v>
      </c>
      <c r="R26" s="4">
        <v>10</v>
      </c>
      <c r="S26" s="4">
        <v>10</v>
      </c>
      <c r="T26" s="4">
        <v>10</v>
      </c>
      <c r="U26" s="4">
        <v>10</v>
      </c>
      <c r="V26" s="4">
        <v>10</v>
      </c>
      <c r="W26" s="4">
        <v>10</v>
      </c>
      <c r="X26" s="4">
        <v>10</v>
      </c>
      <c r="Y26" s="4">
        <f t="shared" si="1"/>
        <v>97</v>
      </c>
      <c r="Z26" s="4">
        <v>10</v>
      </c>
      <c r="AA26" s="4">
        <f t="shared" si="2"/>
        <v>517</v>
      </c>
      <c r="AB26" s="4">
        <f t="shared" si="3"/>
        <v>73.857142857142861</v>
      </c>
    </row>
    <row r="27" spans="1:28" x14ac:dyDescent="0.25">
      <c r="A27" s="1" t="s">
        <v>21</v>
      </c>
      <c r="B27" s="5">
        <v>72</v>
      </c>
      <c r="C27" s="5">
        <v>88</v>
      </c>
      <c r="D27" s="5">
        <v>113</v>
      </c>
      <c r="E27" s="5">
        <v>85</v>
      </c>
      <c r="F27" s="5">
        <v>80</v>
      </c>
      <c r="G27" s="6">
        <v>20</v>
      </c>
      <c r="H27" s="7">
        <v>100</v>
      </c>
      <c r="I27" s="11">
        <v>80</v>
      </c>
      <c r="J27" s="11">
        <v>100</v>
      </c>
      <c r="K27" s="11">
        <v>100</v>
      </c>
      <c r="L27" s="11">
        <v>100</v>
      </c>
      <c r="M27" s="11">
        <v>100</v>
      </c>
      <c r="N27" s="7">
        <f t="shared" si="0"/>
        <v>94</v>
      </c>
      <c r="O27" s="4">
        <v>10</v>
      </c>
      <c r="P27" s="4"/>
      <c r="Q27" s="4">
        <v>10</v>
      </c>
      <c r="R27" s="4">
        <v>10</v>
      </c>
      <c r="S27" s="4">
        <v>10</v>
      </c>
      <c r="T27" s="4">
        <v>10</v>
      </c>
      <c r="U27" s="4">
        <v>8</v>
      </c>
      <c r="V27" s="4">
        <v>10</v>
      </c>
      <c r="W27" s="4">
        <v>10</v>
      </c>
      <c r="X27" s="4">
        <v>10</v>
      </c>
      <c r="Y27" s="4">
        <f t="shared" si="1"/>
        <v>88</v>
      </c>
      <c r="Z27" s="4">
        <v>10</v>
      </c>
      <c r="AA27" s="4">
        <f t="shared" si="2"/>
        <v>550</v>
      </c>
      <c r="AB27" s="4">
        <f t="shared" si="3"/>
        <v>78.571428571428569</v>
      </c>
    </row>
    <row r="28" spans="1:28" x14ac:dyDescent="0.25">
      <c r="A28" s="1" t="s">
        <v>38</v>
      </c>
      <c r="B28" s="5">
        <v>82</v>
      </c>
      <c r="C28" s="5">
        <v>91</v>
      </c>
      <c r="D28" s="5">
        <v>143</v>
      </c>
      <c r="E28" s="5">
        <v>85</v>
      </c>
      <c r="F28" s="5">
        <v>80</v>
      </c>
      <c r="G28" s="7">
        <v>100</v>
      </c>
      <c r="H28" s="7">
        <v>100</v>
      </c>
      <c r="I28" s="7">
        <v>40</v>
      </c>
      <c r="J28" s="7">
        <v>70</v>
      </c>
      <c r="K28" s="7">
        <v>80</v>
      </c>
      <c r="L28" s="7">
        <v>70</v>
      </c>
      <c r="M28" s="7">
        <v>100</v>
      </c>
      <c r="N28" s="7">
        <f t="shared" si="0"/>
        <v>86</v>
      </c>
      <c r="O28" s="4">
        <v>10</v>
      </c>
      <c r="P28" s="4">
        <v>10</v>
      </c>
      <c r="Q28" s="4">
        <v>9</v>
      </c>
      <c r="R28" s="4">
        <v>10</v>
      </c>
      <c r="S28" s="4">
        <v>10</v>
      </c>
      <c r="T28" s="4">
        <v>10</v>
      </c>
      <c r="U28" s="4">
        <v>10</v>
      </c>
      <c r="V28" s="4">
        <v>10</v>
      </c>
      <c r="W28" s="4">
        <v>10</v>
      </c>
      <c r="X28" s="4">
        <v>10</v>
      </c>
      <c r="Y28" s="4">
        <f t="shared" si="1"/>
        <v>99</v>
      </c>
      <c r="Z28" s="4">
        <v>10</v>
      </c>
      <c r="AA28" s="4">
        <f t="shared" si="2"/>
        <v>596</v>
      </c>
      <c r="AB28" s="4">
        <f t="shared" si="3"/>
        <v>85.142857142857139</v>
      </c>
    </row>
    <row r="29" spans="1:28" x14ac:dyDescent="0.25">
      <c r="A29" s="1"/>
      <c r="B29" s="5">
        <v>0</v>
      </c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7">
        <f t="shared" si="0"/>
        <v>0</v>
      </c>
      <c r="O29" s="4"/>
      <c r="P29" s="4"/>
      <c r="Q29" s="4"/>
      <c r="R29" s="4"/>
      <c r="S29" s="4"/>
      <c r="T29" s="4"/>
      <c r="U29" s="4"/>
      <c r="V29" s="4">
        <v>10</v>
      </c>
      <c r="W29" s="4"/>
      <c r="X29" s="4"/>
      <c r="Y29" s="4">
        <f t="shared" si="1"/>
        <v>10</v>
      </c>
      <c r="Z29" s="4"/>
      <c r="AA29" s="4">
        <f t="shared" si="2"/>
        <v>10</v>
      </c>
      <c r="AB29" s="4">
        <f t="shared" si="3"/>
        <v>1.4285714285714286</v>
      </c>
    </row>
    <row r="30" spans="1:28" x14ac:dyDescent="0.25">
      <c r="A30" s="1"/>
      <c r="B30" s="5">
        <v>0</v>
      </c>
      <c r="C30" s="5"/>
      <c r="D30" s="5"/>
      <c r="E30" s="5"/>
      <c r="F30" s="5">
        <v>100</v>
      </c>
      <c r="G30" s="6"/>
      <c r="H30" s="6"/>
      <c r="I30" s="6"/>
      <c r="J30" s="6"/>
      <c r="K30" s="6"/>
      <c r="L30" s="6"/>
      <c r="M30" s="6"/>
      <c r="N30" s="7">
        <f t="shared" si="0"/>
        <v>0</v>
      </c>
      <c r="O30" s="4">
        <v>10</v>
      </c>
      <c r="P30" s="4"/>
      <c r="Q30" s="4"/>
      <c r="R30" s="4"/>
      <c r="S30" s="4"/>
      <c r="T30" s="4"/>
      <c r="U30" s="4"/>
      <c r="V30" s="4">
        <v>10</v>
      </c>
      <c r="W30" s="4"/>
      <c r="X30" s="4"/>
      <c r="Y30" s="4">
        <f t="shared" si="1"/>
        <v>20</v>
      </c>
      <c r="Z30" s="4"/>
      <c r="AA30" s="4">
        <f t="shared" si="2"/>
        <v>20</v>
      </c>
      <c r="AB30" s="4">
        <f t="shared" si="3"/>
        <v>2.8571428571428572</v>
      </c>
    </row>
    <row r="31" spans="1:28" x14ac:dyDescent="0.25">
      <c r="A31" s="1"/>
      <c r="B31" s="5">
        <v>0</v>
      </c>
      <c r="C31" s="5"/>
      <c r="D31" s="5"/>
      <c r="E31" s="5"/>
      <c r="F31" s="5">
        <v>80</v>
      </c>
      <c r="G31" s="7">
        <v>45</v>
      </c>
      <c r="H31" s="7">
        <v>40</v>
      </c>
      <c r="I31" s="7"/>
      <c r="J31" s="7"/>
      <c r="K31" s="7"/>
      <c r="L31" s="7"/>
      <c r="M31" s="7"/>
      <c r="N31" s="7">
        <f t="shared" si="0"/>
        <v>18</v>
      </c>
      <c r="O31" s="4">
        <v>10</v>
      </c>
      <c r="P31" s="4">
        <v>9</v>
      </c>
      <c r="Q31" s="4"/>
      <c r="R31" s="4"/>
      <c r="S31" s="4"/>
      <c r="T31" s="4"/>
      <c r="U31" s="4"/>
      <c r="V31" s="4">
        <v>10</v>
      </c>
      <c r="W31" s="4"/>
      <c r="X31" s="4"/>
      <c r="Y31" s="4">
        <f t="shared" si="1"/>
        <v>29</v>
      </c>
      <c r="Z31" s="4"/>
      <c r="AA31" s="4">
        <f t="shared" si="2"/>
        <v>47</v>
      </c>
      <c r="AB31" s="4">
        <f t="shared" si="3"/>
        <v>6.7142857142857144</v>
      </c>
    </row>
    <row r="32" spans="1:28" x14ac:dyDescent="0.25">
      <c r="A32" s="2"/>
      <c r="B32" s="8">
        <v>0</v>
      </c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7">
        <f t="shared" si="0"/>
        <v>0</v>
      </c>
      <c r="O32" s="4"/>
      <c r="P32" s="4"/>
      <c r="Q32" s="4"/>
      <c r="R32" s="4"/>
      <c r="S32" s="4"/>
      <c r="T32" s="4"/>
      <c r="U32" s="4"/>
      <c r="V32" s="4">
        <v>10</v>
      </c>
      <c r="W32" s="4"/>
      <c r="X32" s="4"/>
      <c r="Y32" s="4">
        <f t="shared" si="1"/>
        <v>10</v>
      </c>
      <c r="Z32" s="4"/>
      <c r="AA32" s="4">
        <f t="shared" si="2"/>
        <v>10</v>
      </c>
      <c r="AB32" s="4">
        <f t="shared" si="3"/>
        <v>1.4285714285714286</v>
      </c>
    </row>
    <row r="33" spans="1:28" x14ac:dyDescent="0.25">
      <c r="A33" s="1"/>
      <c r="B33" s="5">
        <v>61</v>
      </c>
      <c r="C33" s="5"/>
      <c r="D33" s="5"/>
      <c r="E33" s="5"/>
      <c r="F33" s="5">
        <v>80</v>
      </c>
      <c r="G33" s="6">
        <v>30</v>
      </c>
      <c r="H33" s="7">
        <v>100</v>
      </c>
      <c r="I33" s="7"/>
      <c r="J33" s="7"/>
      <c r="K33" s="7"/>
      <c r="L33" s="7"/>
      <c r="M33" s="7"/>
      <c r="N33" s="7">
        <f t="shared" si="0"/>
        <v>26</v>
      </c>
      <c r="O33" s="4">
        <v>10</v>
      </c>
      <c r="P33" s="4">
        <v>7</v>
      </c>
      <c r="Q33" s="4">
        <v>9</v>
      </c>
      <c r="R33" s="4"/>
      <c r="S33" s="4"/>
      <c r="T33" s="4"/>
      <c r="U33" s="4"/>
      <c r="V33" s="4">
        <v>10</v>
      </c>
      <c r="W33" s="4"/>
      <c r="X33" s="4"/>
      <c r="Y33" s="4">
        <f t="shared" si="1"/>
        <v>36</v>
      </c>
      <c r="Z33" s="4"/>
      <c r="AA33" s="4">
        <f t="shared" si="2"/>
        <v>123</v>
      </c>
      <c r="AB33" s="4">
        <f t="shared" si="3"/>
        <v>17.571428571428569</v>
      </c>
    </row>
    <row r="34" spans="1:28" x14ac:dyDescent="0.25">
      <c r="A34" s="1"/>
      <c r="B34" s="5">
        <v>0</v>
      </c>
      <c r="C34" s="5"/>
      <c r="D34" s="5"/>
      <c r="E34" s="5"/>
      <c r="F34" s="5">
        <v>100</v>
      </c>
      <c r="G34" s="6"/>
      <c r="H34" s="6"/>
      <c r="I34" s="6"/>
      <c r="J34" s="6"/>
      <c r="K34" s="6"/>
      <c r="L34" s="6"/>
      <c r="M34" s="6"/>
      <c r="N34" s="7">
        <f t="shared" si="0"/>
        <v>0</v>
      </c>
      <c r="O34" s="4">
        <v>10</v>
      </c>
      <c r="P34" s="4"/>
      <c r="Q34" s="4"/>
      <c r="R34" s="4"/>
      <c r="S34" s="4"/>
      <c r="T34" s="4"/>
      <c r="U34" s="4"/>
      <c r="V34" s="4">
        <v>10</v>
      </c>
      <c r="W34" s="4"/>
      <c r="X34" s="4"/>
      <c r="Y34" s="4">
        <f t="shared" si="1"/>
        <v>20</v>
      </c>
      <c r="Z34" s="4"/>
      <c r="AA34" s="4">
        <f t="shared" si="2"/>
        <v>20</v>
      </c>
      <c r="AB34" s="4">
        <f t="shared" si="3"/>
        <v>2.8571428571428572</v>
      </c>
    </row>
    <row r="35" spans="1:28" x14ac:dyDescent="0.25">
      <c r="A35" s="1"/>
      <c r="B35" s="5">
        <v>72</v>
      </c>
      <c r="C35" s="5">
        <v>74</v>
      </c>
      <c r="D35" s="5">
        <v>119</v>
      </c>
      <c r="E35" s="5">
        <v>85</v>
      </c>
      <c r="F35" s="5">
        <v>80</v>
      </c>
      <c r="G35" s="7">
        <v>20</v>
      </c>
      <c r="H35" s="7">
        <v>40</v>
      </c>
      <c r="I35" s="7">
        <v>60</v>
      </c>
      <c r="J35" s="7">
        <v>100</v>
      </c>
      <c r="K35" s="7">
        <v>80</v>
      </c>
      <c r="L35" s="7">
        <v>50</v>
      </c>
      <c r="M35" s="7">
        <v>70</v>
      </c>
      <c r="N35" s="7">
        <f t="shared" si="0"/>
        <v>69</v>
      </c>
      <c r="O35" s="4">
        <v>10</v>
      </c>
      <c r="P35" s="4">
        <v>9</v>
      </c>
      <c r="Q35" s="4">
        <v>7</v>
      </c>
      <c r="R35" s="4"/>
      <c r="S35" s="4"/>
      <c r="T35" s="4">
        <v>10</v>
      </c>
      <c r="U35" s="4">
        <v>6</v>
      </c>
      <c r="V35" s="4">
        <v>10</v>
      </c>
      <c r="W35" s="4">
        <v>10</v>
      </c>
      <c r="X35" s="4">
        <v>10</v>
      </c>
      <c r="Y35" s="4">
        <f t="shared" si="1"/>
        <v>72</v>
      </c>
      <c r="Z35" s="4">
        <v>10</v>
      </c>
      <c r="AA35" s="4">
        <f t="shared" si="2"/>
        <v>501</v>
      </c>
      <c r="AB35" s="4">
        <f t="shared" si="3"/>
        <v>71.571428571428569</v>
      </c>
    </row>
    <row r="36" spans="1:28" x14ac:dyDescent="0.25">
      <c r="A36" s="1"/>
      <c r="B36" s="5">
        <v>0</v>
      </c>
      <c r="C36" s="5"/>
      <c r="D36" s="5"/>
      <c r="E36" s="5"/>
      <c r="F36" s="5"/>
      <c r="G36" s="18"/>
      <c r="H36" s="6"/>
      <c r="I36" s="6"/>
      <c r="J36" s="6"/>
      <c r="K36" s="6"/>
      <c r="L36" s="6"/>
      <c r="M36" s="6"/>
      <c r="N36" s="7">
        <f t="shared" si="0"/>
        <v>0</v>
      </c>
      <c r="O36" s="4">
        <v>10</v>
      </c>
      <c r="P36" s="4"/>
      <c r="Q36" s="4"/>
      <c r="R36" s="4"/>
      <c r="S36" s="4"/>
      <c r="T36" s="4"/>
      <c r="U36" s="4"/>
      <c r="V36" s="4">
        <v>10</v>
      </c>
      <c r="W36" s="4"/>
      <c r="X36" s="4"/>
      <c r="Y36" s="4">
        <f t="shared" si="1"/>
        <v>20</v>
      </c>
      <c r="Z36" s="4"/>
      <c r="AA36" s="4">
        <f t="shared" si="2"/>
        <v>20</v>
      </c>
      <c r="AB36" s="4">
        <f t="shared" si="3"/>
        <v>2.8571428571428572</v>
      </c>
    </row>
    <row r="37" spans="1:28" x14ac:dyDescent="0.25">
      <c r="A37" s="1"/>
      <c r="B37" s="5">
        <v>0</v>
      </c>
      <c r="C37" s="5"/>
      <c r="D37" s="5"/>
      <c r="E37" s="5"/>
      <c r="F37" s="5">
        <v>80</v>
      </c>
      <c r="G37" s="6"/>
      <c r="H37" s="6"/>
      <c r="I37" s="6"/>
      <c r="J37" s="6"/>
      <c r="K37" s="6"/>
      <c r="L37" s="6"/>
      <c r="M37" s="6"/>
      <c r="N37" s="7">
        <f t="shared" si="0"/>
        <v>0</v>
      </c>
      <c r="O37" s="4">
        <v>10</v>
      </c>
      <c r="P37" s="4"/>
      <c r="Q37" s="4"/>
      <c r="R37" s="4"/>
      <c r="S37" s="4"/>
      <c r="T37" s="4"/>
      <c r="U37" s="4"/>
      <c r="V37" s="4">
        <v>10</v>
      </c>
      <c r="W37" s="4"/>
      <c r="X37" s="4"/>
      <c r="Y37" s="4">
        <f t="shared" si="1"/>
        <v>20</v>
      </c>
      <c r="Z37" s="4"/>
      <c r="AA37" s="4">
        <f t="shared" si="2"/>
        <v>20</v>
      </c>
      <c r="AB37" s="4">
        <f t="shared" si="3"/>
        <v>2.8571428571428572</v>
      </c>
    </row>
    <row r="38" spans="1:28" s="3" customFormat="1" ht="13" x14ac:dyDescent="0.3">
      <c r="A38" s="13"/>
      <c r="B38" s="14">
        <v>0</v>
      </c>
      <c r="C38" s="14"/>
      <c r="D38" s="14"/>
      <c r="E38" s="14"/>
      <c r="F38" s="14">
        <v>100</v>
      </c>
      <c r="G38" s="15"/>
      <c r="H38" s="15"/>
      <c r="I38" s="15"/>
      <c r="J38" s="15"/>
      <c r="K38" s="15"/>
      <c r="L38" s="15"/>
      <c r="M38" s="15"/>
      <c r="N38" s="7">
        <f t="shared" si="0"/>
        <v>0</v>
      </c>
      <c r="O38" s="4">
        <v>10</v>
      </c>
      <c r="P38" s="4"/>
      <c r="Q38" s="4"/>
      <c r="R38" s="4"/>
      <c r="S38" s="4"/>
      <c r="T38" s="4"/>
      <c r="U38" s="4"/>
      <c r="V38" s="4">
        <v>10</v>
      </c>
      <c r="W38" s="4"/>
      <c r="X38" s="4"/>
      <c r="Y38" s="4">
        <f t="shared" si="1"/>
        <v>20</v>
      </c>
      <c r="Z38" s="4"/>
      <c r="AA38" s="4">
        <f t="shared" si="2"/>
        <v>20</v>
      </c>
      <c r="AB38" s="4">
        <f t="shared" si="3"/>
        <v>2.8571428571428572</v>
      </c>
    </row>
    <row r="39" spans="1:28" x14ac:dyDescent="0.25">
      <c r="A39" s="1"/>
      <c r="B39" s="5">
        <v>0</v>
      </c>
      <c r="C39" s="5"/>
      <c r="D39" s="5"/>
      <c r="E39" s="5"/>
      <c r="F39" s="5"/>
      <c r="G39" s="6"/>
      <c r="H39" s="6"/>
      <c r="I39" s="6"/>
      <c r="J39" s="6"/>
      <c r="K39" s="6"/>
      <c r="L39" s="6"/>
      <c r="M39" s="6"/>
      <c r="N39" s="7">
        <f t="shared" si="0"/>
        <v>0</v>
      </c>
      <c r="O39" s="4"/>
      <c r="P39" s="4"/>
      <c r="Q39" s="4"/>
      <c r="R39" s="4"/>
      <c r="S39" s="4"/>
      <c r="T39" s="4"/>
      <c r="U39" s="4"/>
      <c r="V39" s="4">
        <v>10</v>
      </c>
      <c r="W39" s="4"/>
      <c r="X39" s="4"/>
      <c r="Y39" s="4">
        <f t="shared" si="1"/>
        <v>10</v>
      </c>
      <c r="Z39" s="4">
        <v>10</v>
      </c>
      <c r="AA39" s="4">
        <f t="shared" si="2"/>
        <v>20</v>
      </c>
      <c r="AB39" s="4">
        <f t="shared" si="3"/>
        <v>2.8571428571428572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Boise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Shannon</dc:creator>
  <cp:lastModifiedBy>Carina Negreanu</cp:lastModifiedBy>
  <dcterms:created xsi:type="dcterms:W3CDTF">2002-06-04T13:04:10Z</dcterms:created>
  <dcterms:modified xsi:type="dcterms:W3CDTF">2020-01-27T11:20:13Z</dcterms:modified>
</cp:coreProperties>
</file>