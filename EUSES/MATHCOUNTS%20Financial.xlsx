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05797D3E-1F44-4CF4-9083-AE3AB59CCA3D}" xr6:coauthVersionLast="45" xr6:coauthVersionMax="45" xr10:uidLastSave="{00000000-0000-0000-0000-000000000000}"/>
  <bookViews>
    <workbookView xWindow="2280" yWindow="2280" windowWidth="28800" windowHeight="15460" firstSheet="1" activeTab="2"/>
  </bookViews>
  <sheets>
    <sheet name="XXXX" sheetId="4" state="veryHidden" r:id="rId1"/>
    <sheet name="Sheet1" sheetId="1" r:id="rId2"/>
    <sheet name="Sheet2" sheetId="2" r:id="rId3"/>
    <sheet name="Sheet3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11" i="1" l="1"/>
  <c r="C20" i="1"/>
  <c r="E21" i="1" s="1"/>
  <c r="B13" i="2"/>
  <c r="B27" i="2"/>
  <c r="B30" i="2"/>
  <c r="E25" i="1" l="1"/>
</calcChain>
</file>

<file path=xl/sharedStrings.xml><?xml version="1.0" encoding="utf-8"?>
<sst xmlns="http://schemas.openxmlformats.org/spreadsheetml/2006/main" count="32" uniqueCount="30">
  <si>
    <t>INCOME</t>
  </si>
  <si>
    <t>School registrations</t>
  </si>
  <si>
    <t>Contributions with dues</t>
  </si>
  <si>
    <t xml:space="preserve">EXPENSES </t>
  </si>
  <si>
    <t>TOTAL INCOME</t>
  </si>
  <si>
    <t>State competition:</t>
  </si>
  <si>
    <t xml:space="preserve">   Food Service</t>
  </si>
  <si>
    <t xml:space="preserve">   Awards</t>
  </si>
  <si>
    <t>2000/2001 MATHCOUNTS INCOME AND EXPENSES</t>
  </si>
  <si>
    <t>7/1/00 - 6/30/01</t>
  </si>
  <si>
    <t>Interest earned (2000 Audit Report))</t>
  </si>
  <si>
    <t xml:space="preserve">   1/2 Cost of MATHCOUNTS Buzzer System</t>
  </si>
  <si>
    <t>Postage &amp; Copying</t>
  </si>
  <si>
    <t>ISPE FOUNDATION</t>
  </si>
  <si>
    <t>MATHCOUNTS PROGRAM</t>
  </si>
  <si>
    <t>School Registration Fees</t>
  </si>
  <si>
    <t>Interest Earned</t>
  </si>
  <si>
    <t>EXPENSES</t>
  </si>
  <si>
    <t>State Competition</t>
  </si>
  <si>
    <t xml:space="preserve">  Food Service</t>
  </si>
  <si>
    <t xml:space="preserve">  Awards</t>
  </si>
  <si>
    <t>Postage</t>
  </si>
  <si>
    <t>Supplies</t>
  </si>
  <si>
    <t>Printing</t>
  </si>
  <si>
    <t>Publicity Photos &amp; Slides</t>
  </si>
  <si>
    <t>TOTAL EXPENSES</t>
  </si>
  <si>
    <t>SURPLUS</t>
  </si>
  <si>
    <t>Dues Checkoff Contributions</t>
  </si>
  <si>
    <t>PROPOSED STATE BUDGET FOR 2002-2003</t>
  </si>
  <si>
    <t>Travel (State Finals Staff)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</si>
</sst>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6">
    <numFmt numFmtId="6" formatCode="&quot;£&quot;#,##0_);[Red]\(&quot;£&quot;#,##0\)"/>
    <numFmt numFmtId="8" formatCode="&quot;£&quot;#,##0.00_);[Red]\(&quot;£&quot;#,##0.00\)"/>
    <numFmt numFmtId="42" formatCode="_(&quot;£&quot;* #,##0_);_(&quot;£&quot;* \(#,##0\);_(&quot;£&quot;* &quot;-&quot;_);_(@_)"/>
    <numFmt numFmtId="41" formatCode="_(* #,##0_);_(* \(#,##0\);_(* &quot;-&quot;_);_(@_)"/>
    <numFmt numFmtId="44" formatCode="_(&quot;£&quot;* #,##0.00_);_(&quot;£&quot;* \(#,##0.00\);_(&quot;£&quot;* &quot;-&quot;??_);_(@_)"/>
    <numFmt numFmtId="43" formatCode="_(* #,##0.00_);_(* \(#,##0.00\);_(* &quot;-&quot;??_);_(@_)"/>
    <numFmt numFmtId="165" formatCode="&quot;$&quot;#,##0_);[Red]\(&quot;$&quot;#,##0\)"/>
    <numFmt numFmtId="166" formatCode="&quot;$&quot;#,##0.00_);\(&quot;$&quot;#,##0.00\)"/>
    <numFmt numFmtId="167" formatCode="&quot;$&quot;#,##0.00_);[Red]\(&quot;$&quot;#,##0.00\)"/>
    <numFmt numFmtId="168" formatCode="_(&quot;$&quot;* #,##0_);_(&quot;$&quot;* \(#,##0\);_(&quot;$&quot;* &quot;-&quot;_);_(@_)"/>
    <numFmt numFmtId="169" formatCode="_(* #,##0_);_(* \(#,##0\);_(* &quot;-&quot;_);_(@_)"/>
    <numFmt numFmtId="170" formatCode="_(&quot;$&quot;* #,##0.00_);_(&quot;$&quot;* \(#,##0.00\);_(&quot;$&quot;* &quot;-&quot;??_);_(@_)"/>
    <numFmt numFmtId="171" formatCode="_(* #,##0.00_);_(* \(#,##0.00\);_(* &quot;-&quot;??_);_(@_)"/>
    <numFmt numFmtId="207" formatCode="m\-d\-yy"/>
    <numFmt numFmtId="209" formatCode="General_)"/>
    <numFmt numFmtId="210" formatCode="0.00_)"/>
    <numFmt numFmtId="238" formatCode="#,##0.0_);\(#,##0.0\)"/>
    <numFmt numFmtId="252" formatCode="_-* #,##0\ &quot;F&quot;_-;\-* #,##0\ &quot;F&quot;_-;_-* &quot;-&quot;\ &quot;F&quot;_-;_-@_-"/>
    <numFmt numFmtId="253" formatCode="_-* #,##0\ _F_-;\-* #,##0\ _F_-;_-* &quot;-&quot;\ _F_-;_-@_-"/>
    <numFmt numFmtId="254" formatCode="_-* #,##0.00\ &quot;F&quot;_-;\-* #,##0.00\ &quot;F&quot;_-;_-* &quot;-&quot;??\ &quot;F&quot;_-;_-@_-"/>
    <numFmt numFmtId="255" formatCode="_-* #,##0.00\ _F_-;\-* #,##0.00\ _F_-;_-* &quot;-&quot;??\ _F_-;_-@_-"/>
    <numFmt numFmtId="265" formatCode="#,##0.00&quot; $&quot;;[Red]\-#,##0.00&quot; $&quot;"/>
    <numFmt numFmtId="312" formatCode="&quot;$&quot;#,##0;[Red]\-&quot;$&quot;#,##0"/>
    <numFmt numFmtId="314" formatCode="&quot;$&quot;#,##0.00;[Red]\-&quot;$&quot;#,##0.00"/>
    <numFmt numFmtId="315" formatCode="_-&quot;$&quot;* #,##0_-;\-&quot;$&quot;* #,##0_-;_-&quot;$&quot;* &quot;-&quot;_-;_-@_-"/>
    <numFmt numFmtId="316" formatCode="_-&quot;$&quot;* #,##0.00_-;\-&quot;$&quot;* #,##0.00_-;_-&quot;$&quot;* &quot;-&quot;??_-;_-@_-"/>
  </numFmts>
  <fonts count="29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10"/>
      <name val="Arial"/>
      <family val="2"/>
    </font>
    <font>
      <sz val="10"/>
      <name val="MS Sans Serif"/>
    </font>
    <font>
      <sz val="10"/>
      <name val="Times New Roman"/>
      <family val="1"/>
    </font>
    <font>
      <sz val="12"/>
      <name val="Arial"/>
      <family val="2"/>
    </font>
    <font>
      <sz val="10"/>
      <name val="MS Sans Serif"/>
      <family val="2"/>
    </font>
    <font>
      <sz val="10"/>
      <name val="Helv"/>
    </font>
    <font>
      <sz val="8"/>
      <name val="Arial"/>
      <family val="2"/>
    </font>
    <font>
      <sz val="7"/>
      <name val="Small Fonts"/>
    </font>
    <font>
      <b/>
      <i/>
      <sz val="16"/>
      <name val="Helv"/>
    </font>
    <font>
      <sz val="10"/>
      <name val="Courier"/>
    </font>
    <font>
      <sz val="10"/>
      <color indexed="8"/>
      <name val="MS Sans Serif"/>
    </font>
    <font>
      <sz val="10"/>
      <name val="Univers (W1)"/>
    </font>
    <font>
      <sz val="12"/>
      <name val="Times New Roman"/>
      <family val="1"/>
    </font>
    <font>
      <b/>
      <sz val="14"/>
      <name val="Times New Roman"/>
      <family val="1"/>
    </font>
    <font>
      <b/>
      <sz val="14"/>
      <name val="Times New Roman"/>
      <family val="1"/>
    </font>
    <font>
      <sz val="10"/>
      <name val="Geneva"/>
    </font>
    <font>
      <sz val="7"/>
      <name val="Arial"/>
      <family val="2"/>
    </font>
    <font>
      <sz val="7"/>
      <name val="Arial"/>
      <family val="2"/>
    </font>
    <font>
      <sz val="10"/>
      <name val="Times"/>
    </font>
    <font>
      <sz val="12"/>
      <name val="PathWay Access 3.0"/>
      <family val="3"/>
    </font>
    <font>
      <sz val="12"/>
      <name val="Helv"/>
    </font>
    <font>
      <sz val="10"/>
      <name val="Tms Rmn"/>
    </font>
    <font>
      <sz val="8"/>
      <name val="Times New Roman"/>
      <family val="1"/>
    </font>
    <font>
      <sz val="8"/>
      <name val="Times New Roman"/>
      <family val="1"/>
    </font>
    <font>
      <sz val="10"/>
      <name val="Arial"/>
      <family val="2"/>
    </font>
    <font>
      <b/>
      <sz val="14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6">
    <border>
      <left/>
      <right/>
      <top/>
      <bottom/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8">
    <xf numFmtId="0" fontId="0" fillId="0" borderId="0"/>
    <xf numFmtId="207" fontId="3" fillId="2" borderId="1">
      <alignment horizontal="center" vertical="center"/>
    </xf>
    <xf numFmtId="170" fontId="1" fillId="0" borderId="0" applyFont="0" applyFill="0" applyBorder="0" applyAlignment="0" applyProtection="0"/>
    <xf numFmtId="38" fontId="9" fillId="3" borderId="0" applyNumberFormat="0" applyBorder="0" applyAlignment="0" applyProtection="0"/>
    <xf numFmtId="10" fontId="9" fillId="4" borderId="2" applyNumberFormat="0" applyBorder="0" applyAlignment="0" applyProtection="0"/>
    <xf numFmtId="37" fontId="10" fillId="0" borderId="0"/>
    <xf numFmtId="210" fontId="11" fillId="0" borderId="0"/>
    <xf numFmtId="10" fontId="1" fillId="0" borderId="0" applyFont="0" applyFill="0" applyBorder="0" applyAlignment="0" applyProtection="0"/>
  </cellStyleXfs>
  <cellXfs count="23">
    <xf numFmtId="0" fontId="0" fillId="0" borderId="0" xfId="0"/>
    <xf numFmtId="14" fontId="0" fillId="0" borderId="0" xfId="0" applyNumberFormat="1"/>
    <xf numFmtId="167" fontId="0" fillId="0" borderId="0" xfId="0" applyNumberFormat="1"/>
    <xf numFmtId="0" fontId="2" fillId="0" borderId="0" xfId="0" applyFont="1"/>
    <xf numFmtId="170" fontId="0" fillId="0" borderId="0" xfId="2" applyFont="1"/>
    <xf numFmtId="0" fontId="2" fillId="0" borderId="0" xfId="0" applyFont="1" applyAlignment="1">
      <alignment horizontal="center"/>
    </xf>
    <xf numFmtId="4" fontId="0" fillId="0" borderId="0" xfId="0" applyNumberFormat="1"/>
    <xf numFmtId="0" fontId="27" fillId="0" borderId="0" xfId="0" applyFont="1" applyBorder="1"/>
    <xf numFmtId="0" fontId="2" fillId="0" borderId="0" xfId="0" applyFont="1" applyBorder="1"/>
    <xf numFmtId="0" fontId="0" fillId="0" borderId="0" xfId="0" applyBorder="1"/>
    <xf numFmtId="166" fontId="0" fillId="0" borderId="0" xfId="2" applyNumberFormat="1" applyFont="1"/>
    <xf numFmtId="39" fontId="0" fillId="0" borderId="0" xfId="2" applyNumberFormat="1" applyFont="1"/>
    <xf numFmtId="39" fontId="0" fillId="0" borderId="0" xfId="2" applyNumberFormat="1" applyFont="1" applyBorder="1"/>
    <xf numFmtId="39" fontId="0" fillId="0" borderId="3" xfId="2" applyNumberFormat="1" applyFont="1" applyBorder="1"/>
    <xf numFmtId="166" fontId="2" fillId="0" borderId="4" xfId="2" applyNumberFormat="1" applyFont="1" applyBorder="1"/>
    <xf numFmtId="166" fontId="2" fillId="0" borderId="4" xfId="0" applyNumberFormat="1" applyFont="1" applyBorder="1"/>
    <xf numFmtId="166" fontId="0" fillId="0" borderId="0" xfId="0" applyNumberFormat="1"/>
    <xf numFmtId="170" fontId="0" fillId="0" borderId="3" xfId="2" applyFont="1" applyBorder="1"/>
    <xf numFmtId="170" fontId="2" fillId="0" borderId="0" xfId="2" applyFont="1"/>
    <xf numFmtId="170" fontId="2" fillId="0" borderId="5" xfId="2" applyFont="1" applyBorder="1"/>
    <xf numFmtId="0" fontId="0" fillId="0" borderId="2" xfId="0" applyBorder="1"/>
    <xf numFmtId="0" fontId="2" fillId="0" borderId="0" xfId="0" applyFont="1" applyAlignment="1">
      <alignment horizontal="center"/>
    </xf>
    <xf numFmtId="0" fontId="28" fillId="0" borderId="0" xfId="0" applyFont="1" applyAlignment="1">
      <alignment horizontal="center"/>
    </xf>
  </cellXfs>
  <cellStyles count="8">
    <cellStyle name="Actual Date" xfId="1"/>
    <cellStyle name="Currency" xfId="2" builtinId="4"/>
    <cellStyle name="Grey" xfId="3"/>
    <cellStyle name="Input [yellow]" xfId="4"/>
    <cellStyle name="no dec" xfId="5"/>
    <cellStyle name="Normal" xfId="0" builtinId="0"/>
    <cellStyle name="Normal - Style1" xfId="6"/>
    <cellStyle name="Percent [2]" xfId="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Normal="111" zoomScaleSheetLayoutView="70" workbookViewId="0"/>
  </sheetViews>
  <sheetFormatPr defaultRowHeight="12.5"/>
  <sheetData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"/>
  <sheetViews>
    <sheetView view="pageBreakPreview" zoomScaleNormal="100" workbookViewId="0">
      <selection sqref="A1:E1"/>
    </sheetView>
  </sheetViews>
  <sheetFormatPr defaultRowHeight="12.5"/>
  <cols>
    <col min="1" max="1" width="39.7265625" customWidth="1"/>
    <col min="2" max="2" width="15.26953125" customWidth="1"/>
    <col min="3" max="3" width="14.81640625" customWidth="1"/>
    <col min="4" max="4" width="3.54296875" customWidth="1"/>
    <col min="5" max="5" width="17.7265625" customWidth="1"/>
    <col min="6" max="6" width="28.7265625" customWidth="1"/>
  </cols>
  <sheetData>
    <row r="1" spans="1:5" ht="13">
      <c r="A1" s="21" t="s">
        <v>8</v>
      </c>
      <c r="B1" s="21"/>
      <c r="C1" s="21"/>
      <c r="D1" s="21"/>
      <c r="E1" s="21"/>
    </row>
    <row r="2" spans="1:5" ht="13">
      <c r="A2" s="21" t="s">
        <v>9</v>
      </c>
      <c r="B2" s="21"/>
      <c r="C2" s="21"/>
      <c r="D2" s="21"/>
      <c r="E2" s="21"/>
    </row>
    <row r="3" spans="1:5" ht="13">
      <c r="A3" s="5"/>
      <c r="B3" s="5"/>
      <c r="C3" s="5"/>
      <c r="D3" s="5"/>
      <c r="E3" s="5"/>
    </row>
    <row r="5" spans="1:5" ht="13">
      <c r="A5" s="3" t="s">
        <v>0</v>
      </c>
      <c r="B5" s="3"/>
    </row>
    <row r="6" spans="1:5" ht="13">
      <c r="A6" s="3"/>
      <c r="B6" s="3"/>
    </row>
    <row r="7" spans="1:5">
      <c r="A7" t="s">
        <v>1</v>
      </c>
      <c r="C7" s="10">
        <v>7475</v>
      </c>
      <c r="D7" s="10"/>
    </row>
    <row r="8" spans="1:5">
      <c r="A8" t="s">
        <v>2</v>
      </c>
      <c r="C8" s="12">
        <v>2186</v>
      </c>
      <c r="D8" s="12"/>
    </row>
    <row r="9" spans="1:5">
      <c r="A9" t="s">
        <v>10</v>
      </c>
      <c r="C9" s="13">
        <v>1224</v>
      </c>
      <c r="D9" s="12"/>
    </row>
    <row r="10" spans="1:5" ht="13">
      <c r="A10" s="3"/>
      <c r="B10" s="3"/>
      <c r="C10" s="4"/>
      <c r="D10" s="4"/>
    </row>
    <row r="11" spans="1:5" ht="13.5" thickBot="1">
      <c r="A11" s="3" t="s">
        <v>4</v>
      </c>
      <c r="B11" s="3"/>
      <c r="E11" s="14">
        <f>SUM(C7:C10)</f>
        <v>10885</v>
      </c>
    </row>
    <row r="12" spans="1:5" ht="13.5" thickTop="1">
      <c r="A12" s="3"/>
      <c r="B12" s="3"/>
      <c r="C12" s="4"/>
      <c r="D12" s="4"/>
    </row>
    <row r="13" spans="1:5" ht="13">
      <c r="A13" s="3"/>
      <c r="B13" s="3"/>
    </row>
    <row r="14" spans="1:5" ht="13">
      <c r="A14" s="3"/>
      <c r="B14" s="3"/>
      <c r="C14" s="4"/>
      <c r="D14" s="4"/>
    </row>
    <row r="15" spans="1:5" ht="13">
      <c r="A15" s="3" t="s">
        <v>3</v>
      </c>
      <c r="B15" s="3"/>
    </row>
    <row r="17" spans="1:10" ht="13">
      <c r="A17" s="7" t="s">
        <v>5</v>
      </c>
      <c r="B17" s="7"/>
      <c r="C17" s="8"/>
      <c r="D17" s="8"/>
      <c r="E17" s="8"/>
      <c r="F17" s="8"/>
      <c r="G17" s="9"/>
      <c r="H17" s="9"/>
      <c r="I17" s="9"/>
      <c r="J17" s="9"/>
    </row>
    <row r="18" spans="1:10">
      <c r="A18" s="1" t="s">
        <v>6</v>
      </c>
      <c r="B18" s="10"/>
    </row>
    <row r="19" spans="1:10">
      <c r="A19" s="1" t="s">
        <v>11</v>
      </c>
      <c r="B19" s="11">
        <v>257</v>
      </c>
      <c r="C19" s="4"/>
      <c r="D19" s="4"/>
    </row>
    <row r="20" spans="1:10">
      <c r="A20" s="1" t="s">
        <v>7</v>
      </c>
      <c r="B20" s="13">
        <v>2010.73</v>
      </c>
      <c r="C20" s="10">
        <f>B18+B19+B20</f>
        <v>2267.73</v>
      </c>
      <c r="D20" s="10"/>
      <c r="F20" s="2"/>
    </row>
    <row r="21" spans="1:10" ht="13.5" thickBot="1">
      <c r="A21" t="s">
        <v>12</v>
      </c>
      <c r="B21" s="6"/>
      <c r="C21" s="13">
        <v>161.75</v>
      </c>
      <c r="D21" s="12"/>
      <c r="E21" s="15">
        <f>C20+C21</f>
        <v>2429.48</v>
      </c>
    </row>
    <row r="22" spans="1:10" ht="13" thickTop="1">
      <c r="A22" s="1"/>
      <c r="B22" s="6"/>
      <c r="C22" s="4"/>
      <c r="D22" s="4"/>
    </row>
    <row r="23" spans="1:10">
      <c r="A23" s="1"/>
      <c r="B23" s="6"/>
      <c r="C23" s="4"/>
      <c r="D23" s="4"/>
    </row>
    <row r="24" spans="1:10">
      <c r="A24" s="1"/>
      <c r="B24" s="6"/>
      <c r="C24" s="4"/>
      <c r="D24" s="4"/>
    </row>
    <row r="25" spans="1:10">
      <c r="A25" s="1"/>
      <c r="B25" s="1"/>
      <c r="C25" s="4"/>
      <c r="D25" s="4"/>
      <c r="E25" s="16">
        <f>E11-E21</f>
        <v>8455.52</v>
      </c>
    </row>
    <row r="26" spans="1:10">
      <c r="C26" s="4"/>
      <c r="D26" s="4"/>
    </row>
    <row r="27" spans="1:10">
      <c r="A27" s="1"/>
      <c r="B27" s="1"/>
      <c r="C27" s="4"/>
      <c r="D27" s="4"/>
    </row>
    <row r="28" spans="1:10">
      <c r="C28" s="4"/>
      <c r="D28" s="4"/>
    </row>
    <row r="29" spans="1:10">
      <c r="C29" s="4"/>
      <c r="D29" s="4"/>
    </row>
    <row r="30" spans="1:10">
      <c r="C30" s="4"/>
      <c r="D30" s="4"/>
    </row>
  </sheetData>
  <mergeCells count="2">
    <mergeCell ref="A1:E1"/>
    <mergeCell ref="A2:E2"/>
  </mergeCells>
  <pageMargins left="0.9" right="0.75" top="1" bottom="1" header="0.5" footer="0.5"/>
  <pageSetup scale="97"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327"/>
  <sheetViews>
    <sheetView tabSelected="1" topLeftCell="A5" workbookViewId="0">
      <selection activeCell="B27" sqref="B27"/>
    </sheetView>
  </sheetViews>
  <sheetFormatPr defaultRowHeight="12.5"/>
  <cols>
    <col min="1" max="1" width="55.1796875" customWidth="1"/>
    <col min="2" max="2" width="15.54296875" customWidth="1"/>
    <col min="3" max="3" width="22.7265625" customWidth="1"/>
  </cols>
  <sheetData>
    <row r="3" spans="1:2" ht="18">
      <c r="A3" s="22" t="s">
        <v>13</v>
      </c>
      <c r="B3" s="22"/>
    </row>
    <row r="4" spans="1:2" ht="18">
      <c r="A4" s="22" t="s">
        <v>14</v>
      </c>
      <c r="B4" s="22"/>
    </row>
    <row r="5" spans="1:2" ht="18">
      <c r="A5" s="22" t="s">
        <v>28</v>
      </c>
      <c r="B5" s="22"/>
    </row>
    <row r="8" spans="1:2">
      <c r="A8" s="20" t="s">
        <v>0</v>
      </c>
    </row>
    <row r="10" spans="1:2">
      <c r="A10" t="s">
        <v>15</v>
      </c>
      <c r="B10" s="4">
        <v>6500</v>
      </c>
    </row>
    <row r="11" spans="1:2">
      <c r="A11" t="s">
        <v>27</v>
      </c>
      <c r="B11" s="4">
        <v>2000</v>
      </c>
    </row>
    <row r="12" spans="1:2">
      <c r="A12" t="s">
        <v>16</v>
      </c>
      <c r="B12" s="17">
        <v>500</v>
      </c>
    </row>
    <row r="13" spans="1:2" ht="13.5" thickBot="1">
      <c r="A13" s="3" t="s">
        <v>4</v>
      </c>
      <c r="B13" s="19">
        <f>SUM(B10:B12)</f>
        <v>9000</v>
      </c>
    </row>
    <row r="14" spans="1:2" ht="13" thickTop="1">
      <c r="B14" s="4"/>
    </row>
    <row r="15" spans="1:2">
      <c r="B15" s="4"/>
    </row>
    <row r="16" spans="1:2">
      <c r="B16" s="4"/>
    </row>
    <row r="17" spans="1:2">
      <c r="A17" s="20" t="s">
        <v>17</v>
      </c>
      <c r="B17" s="4"/>
    </row>
    <row r="18" spans="1:2">
      <c r="B18" s="4"/>
    </row>
    <row r="19" spans="1:2">
      <c r="A19" t="s">
        <v>18</v>
      </c>
      <c r="B19" s="4"/>
    </row>
    <row r="20" spans="1:2">
      <c r="A20" t="s">
        <v>19</v>
      </c>
      <c r="B20" s="4">
        <v>3000</v>
      </c>
    </row>
    <row r="21" spans="1:2">
      <c r="A21" t="s">
        <v>20</v>
      </c>
      <c r="B21" s="4">
        <v>2400</v>
      </c>
    </row>
    <row r="22" spans="1:2">
      <c r="A22" t="s">
        <v>21</v>
      </c>
      <c r="B22" s="4">
        <v>300</v>
      </c>
    </row>
    <row r="23" spans="1:2">
      <c r="A23" t="s">
        <v>22</v>
      </c>
      <c r="B23" s="4">
        <v>100</v>
      </c>
    </row>
    <row r="24" spans="1:2">
      <c r="A24" t="s">
        <v>23</v>
      </c>
      <c r="B24" s="4">
        <v>50</v>
      </c>
    </row>
    <row r="25" spans="1:2">
      <c r="A25" t="s">
        <v>24</v>
      </c>
      <c r="B25" s="4">
        <v>100</v>
      </c>
    </row>
    <row r="26" spans="1:2">
      <c r="A26" t="s">
        <v>29</v>
      </c>
      <c r="B26" s="17">
        <v>200</v>
      </c>
    </row>
    <row r="27" spans="1:2" ht="13.5" thickBot="1">
      <c r="A27" s="3" t="s">
        <v>25</v>
      </c>
      <c r="B27" s="19">
        <f>SUM(B20:B26)</f>
        <v>6150</v>
      </c>
    </row>
    <row r="28" spans="1:2" ht="13" thickTop="1">
      <c r="B28" s="4"/>
    </row>
    <row r="29" spans="1:2">
      <c r="B29" s="4"/>
    </row>
    <row r="30" spans="1:2" ht="13">
      <c r="A30" s="3" t="s">
        <v>26</v>
      </c>
      <c r="B30" s="18">
        <f>B13-B27</f>
        <v>2850</v>
      </c>
    </row>
    <row r="31" spans="1:2">
      <c r="B31" s="4"/>
    </row>
    <row r="32" spans="1:2">
      <c r="B32" s="4"/>
    </row>
    <row r="33" spans="2:2">
      <c r="B33" s="4"/>
    </row>
    <row r="34" spans="2:2">
      <c r="B34" s="4"/>
    </row>
    <row r="35" spans="2:2">
      <c r="B35" s="4"/>
    </row>
    <row r="36" spans="2:2">
      <c r="B36" s="4"/>
    </row>
    <row r="37" spans="2:2">
      <c r="B37" s="4"/>
    </row>
    <row r="38" spans="2:2">
      <c r="B38" s="4"/>
    </row>
    <row r="39" spans="2:2">
      <c r="B39" s="4"/>
    </row>
    <row r="40" spans="2:2">
      <c r="B40" s="4"/>
    </row>
    <row r="41" spans="2:2">
      <c r="B41" s="4"/>
    </row>
    <row r="42" spans="2:2">
      <c r="B42" s="4"/>
    </row>
    <row r="43" spans="2:2">
      <c r="B43" s="4"/>
    </row>
    <row r="44" spans="2:2">
      <c r="B44" s="4"/>
    </row>
    <row r="45" spans="2:2">
      <c r="B45" s="4"/>
    </row>
    <row r="46" spans="2:2">
      <c r="B46" s="4"/>
    </row>
    <row r="47" spans="2:2">
      <c r="B47" s="4"/>
    </row>
    <row r="48" spans="2:2">
      <c r="B48" s="4"/>
    </row>
    <row r="49" spans="2:2">
      <c r="B49" s="4"/>
    </row>
    <row r="50" spans="2:2">
      <c r="B50" s="4"/>
    </row>
    <row r="51" spans="2:2">
      <c r="B51" s="4"/>
    </row>
    <row r="52" spans="2:2">
      <c r="B52" s="4"/>
    </row>
    <row r="53" spans="2:2">
      <c r="B53" s="4"/>
    </row>
    <row r="54" spans="2:2">
      <c r="B54" s="4"/>
    </row>
    <row r="55" spans="2:2">
      <c r="B55" s="4"/>
    </row>
    <row r="56" spans="2:2">
      <c r="B56" s="4"/>
    </row>
    <row r="57" spans="2:2">
      <c r="B57" s="4"/>
    </row>
    <row r="58" spans="2:2">
      <c r="B58" s="4"/>
    </row>
    <row r="59" spans="2:2">
      <c r="B59" s="4"/>
    </row>
    <row r="60" spans="2:2">
      <c r="B60" s="4"/>
    </row>
    <row r="61" spans="2:2">
      <c r="B61" s="4"/>
    </row>
    <row r="62" spans="2:2">
      <c r="B62" s="4"/>
    </row>
    <row r="63" spans="2:2">
      <c r="B63" s="4"/>
    </row>
    <row r="64" spans="2:2">
      <c r="B64" s="4"/>
    </row>
    <row r="65" spans="2:2">
      <c r="B65" s="4"/>
    </row>
    <row r="66" spans="2:2">
      <c r="B66" s="4"/>
    </row>
    <row r="67" spans="2:2">
      <c r="B67" s="4"/>
    </row>
    <row r="68" spans="2:2">
      <c r="B68" s="4"/>
    </row>
    <row r="69" spans="2:2">
      <c r="B69" s="4"/>
    </row>
    <row r="70" spans="2:2">
      <c r="B70" s="4"/>
    </row>
    <row r="71" spans="2:2">
      <c r="B71" s="4"/>
    </row>
    <row r="72" spans="2:2">
      <c r="B72" s="4"/>
    </row>
    <row r="73" spans="2:2">
      <c r="B73" s="4"/>
    </row>
    <row r="74" spans="2:2">
      <c r="B74" s="4"/>
    </row>
    <row r="75" spans="2:2">
      <c r="B75" s="4"/>
    </row>
    <row r="76" spans="2:2">
      <c r="B76" s="4"/>
    </row>
    <row r="77" spans="2:2">
      <c r="B77" s="4"/>
    </row>
    <row r="78" spans="2:2">
      <c r="B78" s="4"/>
    </row>
    <row r="79" spans="2:2">
      <c r="B79" s="4"/>
    </row>
    <row r="80" spans="2:2">
      <c r="B80" s="4"/>
    </row>
    <row r="81" spans="2:2">
      <c r="B81" s="4"/>
    </row>
    <row r="82" spans="2:2">
      <c r="B82" s="4"/>
    </row>
    <row r="83" spans="2:2">
      <c r="B83" s="4"/>
    </row>
    <row r="84" spans="2:2">
      <c r="B84" s="4"/>
    </row>
    <row r="85" spans="2:2">
      <c r="B85" s="4"/>
    </row>
    <row r="86" spans="2:2">
      <c r="B86" s="4"/>
    </row>
    <row r="87" spans="2:2">
      <c r="B87" s="4"/>
    </row>
    <row r="88" spans="2:2">
      <c r="B88" s="4"/>
    </row>
    <row r="89" spans="2:2">
      <c r="B89" s="4"/>
    </row>
    <row r="90" spans="2:2">
      <c r="B90" s="4"/>
    </row>
    <row r="91" spans="2:2">
      <c r="B91" s="4"/>
    </row>
    <row r="92" spans="2:2">
      <c r="B92" s="4"/>
    </row>
    <row r="93" spans="2:2">
      <c r="B93" s="4"/>
    </row>
    <row r="94" spans="2:2">
      <c r="B94" s="4"/>
    </row>
    <row r="95" spans="2:2">
      <c r="B95" s="4"/>
    </row>
    <row r="96" spans="2:2">
      <c r="B96" s="4"/>
    </row>
    <row r="97" spans="2:2">
      <c r="B97" s="4"/>
    </row>
    <row r="98" spans="2:2">
      <c r="B98" s="4"/>
    </row>
    <row r="99" spans="2:2">
      <c r="B99" s="4"/>
    </row>
    <row r="100" spans="2:2">
      <c r="B100" s="4"/>
    </row>
    <row r="101" spans="2:2">
      <c r="B101" s="4"/>
    </row>
    <row r="102" spans="2:2">
      <c r="B102" s="4"/>
    </row>
    <row r="103" spans="2:2">
      <c r="B103" s="4"/>
    </row>
    <row r="104" spans="2:2">
      <c r="B104" s="4"/>
    </row>
    <row r="105" spans="2:2">
      <c r="B105" s="4"/>
    </row>
    <row r="106" spans="2:2">
      <c r="B106" s="4"/>
    </row>
    <row r="107" spans="2:2">
      <c r="B107" s="4"/>
    </row>
    <row r="108" spans="2:2">
      <c r="B108" s="4"/>
    </row>
    <row r="109" spans="2:2">
      <c r="B109" s="4"/>
    </row>
    <row r="110" spans="2:2">
      <c r="B110" s="4"/>
    </row>
    <row r="111" spans="2:2">
      <c r="B111" s="4"/>
    </row>
    <row r="112" spans="2:2">
      <c r="B112" s="4"/>
    </row>
    <row r="113" spans="2:2">
      <c r="B113" s="4"/>
    </row>
    <row r="114" spans="2:2">
      <c r="B114" s="4"/>
    </row>
    <row r="115" spans="2:2">
      <c r="B115" s="4"/>
    </row>
    <row r="116" spans="2:2">
      <c r="B116" s="4"/>
    </row>
    <row r="117" spans="2:2">
      <c r="B117" s="4"/>
    </row>
    <row r="118" spans="2:2">
      <c r="B118" s="4"/>
    </row>
    <row r="119" spans="2:2">
      <c r="B119" s="4"/>
    </row>
    <row r="120" spans="2:2">
      <c r="B120" s="4"/>
    </row>
    <row r="121" spans="2:2">
      <c r="B121" s="4"/>
    </row>
    <row r="122" spans="2:2">
      <c r="B122" s="4"/>
    </row>
    <row r="123" spans="2:2">
      <c r="B123" s="4"/>
    </row>
    <row r="124" spans="2:2">
      <c r="B124" s="4"/>
    </row>
    <row r="125" spans="2:2">
      <c r="B125" s="4"/>
    </row>
    <row r="126" spans="2:2">
      <c r="B126" s="4"/>
    </row>
    <row r="127" spans="2:2">
      <c r="B127" s="4"/>
    </row>
    <row r="128" spans="2:2">
      <c r="B128" s="4"/>
    </row>
    <row r="129" spans="2:2">
      <c r="B129" s="4"/>
    </row>
    <row r="130" spans="2:2">
      <c r="B130" s="4"/>
    </row>
    <row r="131" spans="2:2">
      <c r="B131" s="4"/>
    </row>
    <row r="132" spans="2:2">
      <c r="B132" s="4"/>
    </row>
    <row r="133" spans="2:2">
      <c r="B133" s="4"/>
    </row>
    <row r="134" spans="2:2">
      <c r="B134" s="4"/>
    </row>
    <row r="135" spans="2:2">
      <c r="B135" s="4"/>
    </row>
    <row r="136" spans="2:2">
      <c r="B136" s="4"/>
    </row>
    <row r="137" spans="2:2">
      <c r="B137" s="4"/>
    </row>
    <row r="138" spans="2:2">
      <c r="B138" s="4"/>
    </row>
    <row r="139" spans="2:2">
      <c r="B139" s="4"/>
    </row>
    <row r="140" spans="2:2">
      <c r="B140" s="4"/>
    </row>
    <row r="141" spans="2:2">
      <c r="B141" s="4"/>
    </row>
    <row r="142" spans="2:2">
      <c r="B142" s="4"/>
    </row>
    <row r="143" spans="2:2">
      <c r="B143" s="4"/>
    </row>
    <row r="144" spans="2:2">
      <c r="B144" s="4"/>
    </row>
    <row r="145" spans="2:2">
      <c r="B145" s="4"/>
    </row>
    <row r="146" spans="2:2">
      <c r="B146" s="4"/>
    </row>
    <row r="147" spans="2:2">
      <c r="B147" s="4"/>
    </row>
    <row r="148" spans="2:2">
      <c r="B148" s="4"/>
    </row>
    <row r="149" spans="2:2">
      <c r="B149" s="4"/>
    </row>
    <row r="150" spans="2:2">
      <c r="B150" s="4"/>
    </row>
    <row r="151" spans="2:2">
      <c r="B151" s="4"/>
    </row>
    <row r="152" spans="2:2">
      <c r="B152" s="4"/>
    </row>
    <row r="153" spans="2:2">
      <c r="B153" s="4"/>
    </row>
    <row r="154" spans="2:2">
      <c r="B154" s="4"/>
    </row>
    <row r="155" spans="2:2">
      <c r="B155" s="4"/>
    </row>
    <row r="156" spans="2:2">
      <c r="B156" s="4"/>
    </row>
    <row r="157" spans="2:2">
      <c r="B157" s="4"/>
    </row>
    <row r="158" spans="2:2">
      <c r="B158" s="4"/>
    </row>
    <row r="159" spans="2:2">
      <c r="B159" s="4"/>
    </row>
    <row r="160" spans="2:2">
      <c r="B160" s="4"/>
    </row>
    <row r="161" spans="2:2">
      <c r="B161" s="4"/>
    </row>
    <row r="162" spans="2:2">
      <c r="B162" s="4"/>
    </row>
    <row r="163" spans="2:2">
      <c r="B163" s="4"/>
    </row>
    <row r="164" spans="2:2">
      <c r="B164" s="4"/>
    </row>
    <row r="165" spans="2:2">
      <c r="B165" s="4"/>
    </row>
    <row r="166" spans="2:2">
      <c r="B166" s="4"/>
    </row>
    <row r="167" spans="2:2">
      <c r="B167" s="4"/>
    </row>
    <row r="168" spans="2:2">
      <c r="B168" s="4"/>
    </row>
    <row r="169" spans="2:2">
      <c r="B169" s="4"/>
    </row>
    <row r="170" spans="2:2">
      <c r="B170" s="4"/>
    </row>
    <row r="171" spans="2:2">
      <c r="B171" s="4"/>
    </row>
    <row r="172" spans="2:2">
      <c r="B172" s="4"/>
    </row>
    <row r="173" spans="2:2">
      <c r="B173" s="4"/>
    </row>
    <row r="174" spans="2:2">
      <c r="B174" s="4"/>
    </row>
    <row r="175" spans="2:2">
      <c r="B175" s="4"/>
    </row>
    <row r="176" spans="2:2">
      <c r="B176" s="4"/>
    </row>
    <row r="177" spans="2:2">
      <c r="B177" s="4"/>
    </row>
    <row r="178" spans="2:2">
      <c r="B178" s="4"/>
    </row>
    <row r="179" spans="2:2">
      <c r="B179" s="4"/>
    </row>
    <row r="180" spans="2:2">
      <c r="B180" s="4"/>
    </row>
    <row r="181" spans="2:2">
      <c r="B181" s="4"/>
    </row>
    <row r="182" spans="2:2">
      <c r="B182" s="4"/>
    </row>
    <row r="183" spans="2:2">
      <c r="B183" s="4"/>
    </row>
    <row r="184" spans="2:2">
      <c r="B184" s="4"/>
    </row>
    <row r="185" spans="2:2">
      <c r="B185" s="4"/>
    </row>
    <row r="186" spans="2:2">
      <c r="B186" s="4"/>
    </row>
    <row r="187" spans="2:2">
      <c r="B187" s="4"/>
    </row>
    <row r="188" spans="2:2">
      <c r="B188" s="4"/>
    </row>
    <row r="189" spans="2:2">
      <c r="B189" s="4"/>
    </row>
    <row r="190" spans="2:2">
      <c r="B190" s="4"/>
    </row>
    <row r="191" spans="2:2">
      <c r="B191" s="4"/>
    </row>
    <row r="192" spans="2:2">
      <c r="B192" s="4"/>
    </row>
    <row r="193" spans="2:2">
      <c r="B193" s="4"/>
    </row>
    <row r="194" spans="2:2">
      <c r="B194" s="4"/>
    </row>
    <row r="195" spans="2:2">
      <c r="B195" s="4"/>
    </row>
    <row r="196" spans="2:2">
      <c r="B196" s="4"/>
    </row>
    <row r="197" spans="2:2">
      <c r="B197" s="4"/>
    </row>
    <row r="198" spans="2:2">
      <c r="B198" s="4"/>
    </row>
    <row r="199" spans="2:2">
      <c r="B199" s="4"/>
    </row>
    <row r="200" spans="2:2">
      <c r="B200" s="4"/>
    </row>
    <row r="201" spans="2:2">
      <c r="B201" s="4"/>
    </row>
    <row r="202" spans="2:2">
      <c r="B202" s="4"/>
    </row>
    <row r="203" spans="2:2">
      <c r="B203" s="4"/>
    </row>
    <row r="204" spans="2:2">
      <c r="B204" s="4"/>
    </row>
    <row r="205" spans="2:2">
      <c r="B205" s="4"/>
    </row>
    <row r="206" spans="2:2">
      <c r="B206" s="4"/>
    </row>
    <row r="207" spans="2:2">
      <c r="B207" s="4"/>
    </row>
    <row r="208" spans="2:2">
      <c r="B208" s="4"/>
    </row>
    <row r="209" spans="2:2">
      <c r="B209" s="4"/>
    </row>
    <row r="210" spans="2:2">
      <c r="B210" s="4"/>
    </row>
    <row r="211" spans="2:2">
      <c r="B211" s="4"/>
    </row>
    <row r="212" spans="2:2">
      <c r="B212" s="4"/>
    </row>
    <row r="213" spans="2:2">
      <c r="B213" s="4"/>
    </row>
    <row r="214" spans="2:2">
      <c r="B214" s="4"/>
    </row>
    <row r="215" spans="2:2">
      <c r="B215" s="4"/>
    </row>
    <row r="216" spans="2:2">
      <c r="B216" s="4"/>
    </row>
    <row r="217" spans="2:2">
      <c r="B217" s="4"/>
    </row>
    <row r="218" spans="2:2">
      <c r="B218" s="4"/>
    </row>
    <row r="219" spans="2:2">
      <c r="B219" s="4"/>
    </row>
    <row r="220" spans="2:2">
      <c r="B220" s="4"/>
    </row>
    <row r="221" spans="2:2">
      <c r="B221" s="4"/>
    </row>
    <row r="222" spans="2:2">
      <c r="B222" s="4"/>
    </row>
    <row r="223" spans="2:2">
      <c r="B223" s="4"/>
    </row>
    <row r="224" spans="2:2">
      <c r="B224" s="4"/>
    </row>
    <row r="225" spans="2:2">
      <c r="B225" s="4"/>
    </row>
    <row r="226" spans="2:2">
      <c r="B226" s="4"/>
    </row>
    <row r="227" spans="2:2">
      <c r="B227" s="4"/>
    </row>
    <row r="228" spans="2:2">
      <c r="B228" s="4"/>
    </row>
    <row r="229" spans="2:2">
      <c r="B229" s="4"/>
    </row>
    <row r="230" spans="2:2">
      <c r="B230" s="4"/>
    </row>
    <row r="231" spans="2:2">
      <c r="B231" s="4"/>
    </row>
    <row r="232" spans="2:2">
      <c r="B232" s="4"/>
    </row>
    <row r="233" spans="2:2">
      <c r="B233" s="4"/>
    </row>
    <row r="234" spans="2:2">
      <c r="B234" s="4"/>
    </row>
    <row r="235" spans="2:2">
      <c r="B235" s="4"/>
    </row>
    <row r="236" spans="2:2">
      <c r="B236" s="4"/>
    </row>
    <row r="237" spans="2:2">
      <c r="B237" s="4"/>
    </row>
    <row r="238" spans="2:2">
      <c r="B238" s="4"/>
    </row>
    <row r="239" spans="2:2">
      <c r="B239" s="4"/>
    </row>
    <row r="240" spans="2:2">
      <c r="B240" s="4"/>
    </row>
    <row r="241" spans="2:2">
      <c r="B241" s="4"/>
    </row>
    <row r="242" spans="2:2">
      <c r="B242" s="4"/>
    </row>
    <row r="243" spans="2:2">
      <c r="B243" s="4"/>
    </row>
    <row r="244" spans="2:2">
      <c r="B244" s="4"/>
    </row>
    <row r="245" spans="2:2">
      <c r="B245" s="4"/>
    </row>
    <row r="246" spans="2:2">
      <c r="B246" s="4"/>
    </row>
    <row r="247" spans="2:2">
      <c r="B247" s="4"/>
    </row>
    <row r="248" spans="2:2">
      <c r="B248" s="4"/>
    </row>
    <row r="249" spans="2:2">
      <c r="B249" s="4"/>
    </row>
    <row r="250" spans="2:2">
      <c r="B250" s="4"/>
    </row>
    <row r="251" spans="2:2">
      <c r="B251" s="4"/>
    </row>
    <row r="252" spans="2:2">
      <c r="B252" s="4"/>
    </row>
    <row r="253" spans="2:2">
      <c r="B253" s="4"/>
    </row>
    <row r="254" spans="2:2">
      <c r="B254" s="4"/>
    </row>
    <row r="255" spans="2:2">
      <c r="B255" s="4"/>
    </row>
    <row r="256" spans="2:2">
      <c r="B256" s="4"/>
    </row>
    <row r="257" spans="2:2">
      <c r="B257" s="4"/>
    </row>
    <row r="258" spans="2:2">
      <c r="B258" s="4"/>
    </row>
    <row r="259" spans="2:2">
      <c r="B259" s="4"/>
    </row>
    <row r="260" spans="2:2">
      <c r="B260" s="4"/>
    </row>
    <row r="261" spans="2:2">
      <c r="B261" s="4"/>
    </row>
    <row r="262" spans="2:2">
      <c r="B262" s="4"/>
    </row>
    <row r="263" spans="2:2">
      <c r="B263" s="4"/>
    </row>
    <row r="264" spans="2:2">
      <c r="B264" s="4"/>
    </row>
    <row r="265" spans="2:2">
      <c r="B265" s="4"/>
    </row>
    <row r="266" spans="2:2">
      <c r="B266" s="4"/>
    </row>
    <row r="267" spans="2:2">
      <c r="B267" s="4"/>
    </row>
    <row r="268" spans="2:2">
      <c r="B268" s="4"/>
    </row>
    <row r="269" spans="2:2">
      <c r="B269" s="4"/>
    </row>
    <row r="270" spans="2:2">
      <c r="B270" s="4"/>
    </row>
    <row r="271" spans="2:2">
      <c r="B271" s="4"/>
    </row>
    <row r="272" spans="2:2">
      <c r="B272" s="4"/>
    </row>
    <row r="273" spans="2:2">
      <c r="B273" s="4"/>
    </row>
    <row r="274" spans="2:2">
      <c r="B274" s="4"/>
    </row>
    <row r="275" spans="2:2">
      <c r="B275" s="4"/>
    </row>
    <row r="276" spans="2:2">
      <c r="B276" s="4"/>
    </row>
    <row r="277" spans="2:2">
      <c r="B277" s="4"/>
    </row>
    <row r="278" spans="2:2">
      <c r="B278" s="4"/>
    </row>
    <row r="279" spans="2:2">
      <c r="B279" s="4"/>
    </row>
    <row r="280" spans="2:2">
      <c r="B280" s="4"/>
    </row>
    <row r="281" spans="2:2">
      <c r="B281" s="4"/>
    </row>
    <row r="282" spans="2:2">
      <c r="B282" s="4"/>
    </row>
    <row r="283" spans="2:2">
      <c r="B283" s="4"/>
    </row>
    <row r="284" spans="2:2">
      <c r="B284" s="4"/>
    </row>
    <row r="285" spans="2:2">
      <c r="B285" s="4"/>
    </row>
    <row r="286" spans="2:2">
      <c r="B286" s="4"/>
    </row>
    <row r="287" spans="2:2">
      <c r="B287" s="4"/>
    </row>
    <row r="288" spans="2:2">
      <c r="B288" s="4"/>
    </row>
    <row r="289" spans="2:2">
      <c r="B289" s="4"/>
    </row>
    <row r="290" spans="2:2">
      <c r="B290" s="4"/>
    </row>
    <row r="291" spans="2:2">
      <c r="B291" s="4"/>
    </row>
    <row r="292" spans="2:2">
      <c r="B292" s="4"/>
    </row>
    <row r="293" spans="2:2">
      <c r="B293" s="4"/>
    </row>
    <row r="294" spans="2:2">
      <c r="B294" s="4"/>
    </row>
    <row r="295" spans="2:2">
      <c r="B295" s="4"/>
    </row>
    <row r="296" spans="2:2">
      <c r="B296" s="4"/>
    </row>
    <row r="297" spans="2:2">
      <c r="B297" s="4"/>
    </row>
    <row r="298" spans="2:2">
      <c r="B298" s="4"/>
    </row>
    <row r="299" spans="2:2">
      <c r="B299" s="4"/>
    </row>
    <row r="300" spans="2:2">
      <c r="B300" s="4"/>
    </row>
    <row r="301" spans="2:2">
      <c r="B301" s="4"/>
    </row>
    <row r="302" spans="2:2">
      <c r="B302" s="4"/>
    </row>
    <row r="303" spans="2:2">
      <c r="B303" s="4"/>
    </row>
    <row r="304" spans="2:2">
      <c r="B304" s="4"/>
    </row>
    <row r="305" spans="2:2">
      <c r="B305" s="4"/>
    </row>
    <row r="306" spans="2:2">
      <c r="B306" s="4"/>
    </row>
    <row r="307" spans="2:2">
      <c r="B307" s="4"/>
    </row>
    <row r="308" spans="2:2">
      <c r="B308" s="4"/>
    </row>
    <row r="309" spans="2:2">
      <c r="B309" s="4"/>
    </row>
    <row r="310" spans="2:2">
      <c r="B310" s="4"/>
    </row>
    <row r="311" spans="2:2">
      <c r="B311" s="4"/>
    </row>
    <row r="312" spans="2:2">
      <c r="B312" s="4"/>
    </row>
    <row r="313" spans="2:2">
      <c r="B313" s="4"/>
    </row>
    <row r="314" spans="2:2">
      <c r="B314" s="4"/>
    </row>
    <row r="315" spans="2:2">
      <c r="B315" s="4"/>
    </row>
    <row r="316" spans="2:2">
      <c r="B316" s="4"/>
    </row>
    <row r="317" spans="2:2">
      <c r="B317" s="4"/>
    </row>
    <row r="318" spans="2:2">
      <c r="B318" s="4"/>
    </row>
    <row r="319" spans="2:2">
      <c r="B319" s="4"/>
    </row>
    <row r="320" spans="2:2">
      <c r="B320" s="4"/>
    </row>
    <row r="321" spans="2:2">
      <c r="B321" s="4"/>
    </row>
    <row r="322" spans="2:2">
      <c r="B322" s="4"/>
    </row>
    <row r="323" spans="2:2">
      <c r="B323" s="4"/>
    </row>
    <row r="324" spans="2:2">
      <c r="B324" s="4"/>
    </row>
    <row r="325" spans="2:2">
      <c r="B325" s="4"/>
    </row>
    <row r="326" spans="2:2">
      <c r="B326" s="4"/>
    </row>
    <row r="327" spans="2:2">
      <c r="B327" s="4"/>
    </row>
  </sheetData>
  <mergeCells count="3">
    <mergeCell ref="A3:B3"/>
    <mergeCell ref="A4:B4"/>
    <mergeCell ref="A5:B5"/>
  </mergeCells>
  <pageMargins left="1.44" right="0.75" top="1" bottom="1" header="0.5" footer="0.5"/>
  <pageSetup orientation="portrait" horizontalDpi="4294967293" verticalDpi="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/>
  <sheetData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Dell Computer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Preferred Customer</dc:creator>
  <cp:lastModifiedBy>Carina Negreanu</cp:lastModifiedBy>
  <cp:lastPrinted>2001-10-24T21:30:13Z</cp:lastPrinted>
  <dcterms:created xsi:type="dcterms:W3CDTF">1998-10-08T15:29:27Z</dcterms:created>
  <dcterms:modified xsi:type="dcterms:W3CDTF">2020-01-27T11:50:34Z</dcterms:modified>
</cp:coreProperties>
</file>