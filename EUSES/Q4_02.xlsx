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13F083E-F333-412E-AD1E-773F515CED4D}" xr6:coauthVersionLast="45" xr6:coauthVersionMax="45" xr10:uidLastSave="{00000000-0000-0000-0000-000000000000}"/>
  <bookViews>
    <workbookView xWindow="4180" yWindow="4180" windowWidth="28800" windowHeight="15460"/>
  </bookViews>
  <sheets>
    <sheet name="Sheet1" sheetId="1" r:id="rId1"/>
    <sheet name="Sheet2" sheetId="2" r:id="rId2"/>
    <sheet name="Sheet3" sheetId="3" r:id="rId3"/>
  </sheets>
  <definedNames>
    <definedName name="_xlnm.Print_Area" localSheetId="0">Sheet1!$A$1:$K$57,Sheet1!$A$59:$J$120,Sheet1!$A$123:$J$185,Sheet1!$A$188:$L$231,Sheet1!$A$234:$J$273</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8" i="1" l="1"/>
  <c r="H8" i="1"/>
  <c r="D9" i="1"/>
  <c r="H9" i="1"/>
  <c r="D10" i="1"/>
  <c r="D11" i="1" s="1"/>
  <c r="H10" i="1"/>
  <c r="F11" i="1"/>
  <c r="H11" i="1"/>
  <c r="J11" i="1"/>
  <c r="D18" i="1"/>
  <c r="F18" i="1"/>
  <c r="H18" i="1"/>
  <c r="J18" i="1"/>
  <c r="H26" i="1"/>
  <c r="H29" i="1" s="1"/>
  <c r="H31" i="1" s="1"/>
  <c r="J26" i="1"/>
  <c r="J29" i="1" s="1"/>
  <c r="J31" i="1" s="1"/>
  <c r="D27" i="1"/>
  <c r="F27" i="1"/>
  <c r="F28" i="1"/>
  <c r="H28" i="1"/>
  <c r="D28" i="1" s="1"/>
  <c r="J28" i="1"/>
  <c r="D30" i="1"/>
  <c r="F30" i="1"/>
  <c r="D34" i="1"/>
  <c r="D38" i="1" s="1"/>
  <c r="F34" i="1"/>
  <c r="D35" i="1"/>
  <c r="F35" i="1"/>
  <c r="D36" i="1"/>
  <c r="F36" i="1"/>
  <c r="D37" i="1"/>
  <c r="J37" i="1"/>
  <c r="F37" i="1" s="1"/>
  <c r="H38" i="1"/>
  <c r="J38" i="1"/>
  <c r="D41" i="1"/>
  <c r="F41" i="1"/>
  <c r="D42" i="1"/>
  <c r="F42" i="1"/>
  <c r="D43" i="1"/>
  <c r="F43" i="1"/>
  <c r="D44" i="1"/>
  <c r="F44" i="1"/>
  <c r="D45" i="1"/>
  <c r="F45" i="1"/>
  <c r="D46" i="1"/>
  <c r="F46" i="1"/>
  <c r="F49" i="1" s="1"/>
  <c r="H46" i="1"/>
  <c r="H49" i="1" s="1"/>
  <c r="J46" i="1"/>
  <c r="D47" i="1"/>
  <c r="F48" i="1"/>
  <c r="H48" i="1"/>
  <c r="D48" i="1" s="1"/>
  <c r="J49" i="1"/>
  <c r="D63" i="1"/>
  <c r="F63" i="1"/>
  <c r="H63" i="1"/>
  <c r="J63" i="1"/>
  <c r="J65" i="1" s="1"/>
  <c r="D64" i="1"/>
  <c r="F64" i="1"/>
  <c r="H64" i="1"/>
  <c r="J64" i="1"/>
  <c r="D65" i="1"/>
  <c r="F65" i="1"/>
  <c r="H65" i="1"/>
  <c r="D68" i="1"/>
  <c r="F68" i="1"/>
  <c r="H68" i="1"/>
  <c r="J68" i="1"/>
  <c r="D69" i="1"/>
  <c r="D73" i="1" s="1"/>
  <c r="D76" i="1" s="1"/>
  <c r="F69" i="1"/>
  <c r="F73" i="1" s="1"/>
  <c r="F76" i="1" s="1"/>
  <c r="H69" i="1"/>
  <c r="H73" i="1" s="1"/>
  <c r="H76" i="1" s="1"/>
  <c r="J69" i="1"/>
  <c r="J73" i="1" s="1"/>
  <c r="J76" i="1" s="1"/>
  <c r="D70" i="1"/>
  <c r="F70" i="1"/>
  <c r="H70" i="1"/>
  <c r="J70" i="1"/>
  <c r="D71" i="1"/>
  <c r="F71" i="1"/>
  <c r="H71" i="1"/>
  <c r="J71" i="1"/>
  <c r="D72" i="1"/>
  <c r="F72" i="1"/>
  <c r="H72" i="1"/>
  <c r="J72" i="1"/>
  <c r="D74" i="1"/>
  <c r="H74" i="1"/>
  <c r="D75" i="1"/>
  <c r="F75" i="1"/>
  <c r="H75" i="1"/>
  <c r="J75" i="1"/>
  <c r="D88" i="1"/>
  <c r="D92" i="1" s="1"/>
  <c r="H88" i="1"/>
  <c r="H92" i="1" s="1"/>
  <c r="D90" i="1"/>
  <c r="F90" i="1"/>
  <c r="F92" i="1" s="1"/>
  <c r="H90" i="1"/>
  <c r="J90" i="1"/>
  <c r="J92" i="1"/>
  <c r="H105" i="1"/>
  <c r="H108" i="1"/>
  <c r="H109" i="1"/>
  <c r="D111" i="1"/>
  <c r="H111" i="1" s="1"/>
  <c r="H114" i="1" s="1"/>
  <c r="H116" i="1" s="1"/>
  <c r="F111" i="1"/>
  <c r="J111" i="1"/>
  <c r="H112" i="1"/>
  <c r="H113" i="1"/>
  <c r="D114" i="1"/>
  <c r="F114" i="1"/>
  <c r="F116" i="1" s="1"/>
  <c r="J114" i="1"/>
  <c r="J116" i="1" s="1"/>
  <c r="H115" i="1"/>
  <c r="D116" i="1"/>
  <c r="F127" i="1"/>
  <c r="J127" i="1"/>
  <c r="D129" i="1"/>
  <c r="F129" i="1"/>
  <c r="H129" i="1"/>
  <c r="J129" i="1"/>
  <c r="J136" i="1"/>
  <c r="D137" i="1"/>
  <c r="F137" i="1"/>
  <c r="H137" i="1"/>
  <c r="J137" i="1"/>
  <c r="D138" i="1"/>
  <c r="F138" i="1"/>
  <c r="H138" i="1"/>
  <c r="J138" i="1"/>
  <c r="H145" i="1"/>
  <c r="H150" i="1" s="1"/>
  <c r="H147" i="1"/>
  <c r="D151" i="1"/>
  <c r="F151" i="1"/>
  <c r="J151" i="1"/>
  <c r="H159" i="1"/>
  <c r="D161" i="1"/>
  <c r="F161" i="1"/>
  <c r="F162" i="1" s="1"/>
  <c r="H161" i="1"/>
  <c r="J161" i="1"/>
  <c r="D162" i="1"/>
  <c r="H162" i="1"/>
  <c r="J162" i="1"/>
  <c r="D171" i="1"/>
  <c r="D177" i="1" s="1"/>
  <c r="D179" i="1" s="1"/>
  <c r="D172" i="1"/>
  <c r="D173" i="1"/>
  <c r="D174" i="1"/>
  <c r="D175" i="1"/>
  <c r="D176" i="1"/>
  <c r="F177" i="1"/>
  <c r="D178" i="1"/>
  <c r="F179" i="1"/>
  <c r="H184" i="1"/>
  <c r="H193" i="1"/>
  <c r="H194" i="1"/>
  <c r="F195" i="1"/>
  <c r="H195" i="1"/>
  <c r="H196" i="1"/>
  <c r="H197" i="1"/>
  <c r="D198" i="1"/>
  <c r="F198" i="1"/>
  <c r="H198" i="1"/>
  <c r="F201" i="1"/>
  <c r="H201" i="1"/>
  <c r="D210" i="1"/>
  <c r="D219" i="1" s="1"/>
  <c r="D212" i="1"/>
  <c r="D213" i="1"/>
  <c r="D216" i="1"/>
  <c r="D218" i="1"/>
  <c r="F219" i="1"/>
  <c r="H219" i="1"/>
  <c r="J219" i="1"/>
  <c r="L219" i="1"/>
  <c r="J239" i="1"/>
  <c r="D241" i="1"/>
  <c r="F241" i="1"/>
  <c r="H241" i="1"/>
  <c r="J241" i="1"/>
  <c r="D244" i="1"/>
  <c r="D247" i="1" s="1"/>
  <c r="F244" i="1"/>
  <c r="F247" i="1" s="1"/>
  <c r="H244" i="1"/>
  <c r="H247" i="1" s="1"/>
  <c r="J244" i="1"/>
  <c r="J247" i="1" s="1"/>
  <c r="D246" i="1"/>
  <c r="F246" i="1"/>
  <c r="H246" i="1"/>
  <c r="J246" i="1"/>
  <c r="H252" i="1"/>
  <c r="H253" i="1" s="1"/>
  <c r="J252" i="1"/>
  <c r="D253" i="1"/>
  <c r="F253" i="1"/>
  <c r="J253" i="1"/>
  <c r="D265" i="1"/>
  <c r="F265" i="1"/>
  <c r="H265" i="1"/>
  <c r="J265" i="1"/>
  <c r="D270" i="1"/>
  <c r="F270" i="1"/>
  <c r="H270" i="1"/>
  <c r="J270" i="1"/>
  <c r="F38" i="1" l="1"/>
  <c r="D49" i="1"/>
  <c r="D26" i="1"/>
  <c r="D29" i="1" s="1"/>
  <c r="D31" i="1" s="1"/>
  <c r="F26" i="1"/>
  <c r="F29" i="1" s="1"/>
  <c r="F31" i="1" s="1"/>
  <c r="H151" i="1"/>
</calcChain>
</file>

<file path=xl/sharedStrings.xml><?xml version="1.0" encoding="utf-8"?>
<sst xmlns="http://schemas.openxmlformats.org/spreadsheetml/2006/main" count="319" uniqueCount="204">
  <si>
    <t>Petroleum Geo-Services ASA</t>
  </si>
  <si>
    <t>Supporting Tables</t>
  </si>
  <si>
    <t>Geographic Distribution of Revenue</t>
  </si>
  <si>
    <t>Revenue</t>
  </si>
  <si>
    <t>Percentage</t>
  </si>
  <si>
    <t>(In thousands of dollars, except percentage)</t>
  </si>
  <si>
    <t>North and South America</t>
  </si>
  <si>
    <t>Europe, Africa and Middle East</t>
  </si>
  <si>
    <t>Asia Pacific</t>
  </si>
  <si>
    <t xml:space="preserve">     Total</t>
  </si>
  <si>
    <t>Year ended December 31,</t>
  </si>
  <si>
    <t>Quarter ended December 31,</t>
  </si>
  <si>
    <t>2002</t>
  </si>
  <si>
    <t>Geophysical operations</t>
  </si>
  <si>
    <t>Unusual Items</t>
  </si>
  <si>
    <t>2001</t>
  </si>
  <si>
    <r>
      <t xml:space="preserve">Impairment of </t>
    </r>
    <r>
      <rPr>
        <i/>
        <sz val="10"/>
        <rFont val="Times New Roman"/>
        <family val="1"/>
      </rPr>
      <t>Ramform Banff</t>
    </r>
  </si>
  <si>
    <t xml:space="preserve">Impairment of seismic equipment and </t>
  </si>
  <si>
    <t xml:space="preserve">     other geophysical assets</t>
  </si>
  <si>
    <t>Impairments of seismic and oil and gas investments</t>
  </si>
  <si>
    <t>Other unusual items, net</t>
  </si>
  <si>
    <t xml:space="preserve">     Net Income effect of Unusual Items</t>
  </si>
  <si>
    <t>Revenue Distribution by Operating Segment</t>
  </si>
  <si>
    <t xml:space="preserve">     - Multi-client pre-funding</t>
  </si>
  <si>
    <t xml:space="preserve">     - Multi-client late sales</t>
  </si>
  <si>
    <t xml:space="preserve">     - Marine seismic</t>
  </si>
  <si>
    <t xml:space="preserve">     - Land seismic</t>
  </si>
  <si>
    <t xml:space="preserve">     - Data processing, reservoir consultants &amp; other</t>
  </si>
  <si>
    <t>Geophysical revenue:</t>
  </si>
  <si>
    <t xml:space="preserve">     - Contract seismic</t>
  </si>
  <si>
    <t xml:space="preserve">     - Other</t>
  </si>
  <si>
    <t xml:space="preserve">     Total </t>
  </si>
  <si>
    <t>Production revenue split by operations:</t>
  </si>
  <si>
    <r>
      <t xml:space="preserve">     - </t>
    </r>
    <r>
      <rPr>
        <i/>
        <sz val="10"/>
        <rFont val="Times New Roman"/>
        <family val="1"/>
      </rPr>
      <t>Petrojarl I</t>
    </r>
  </si>
  <si>
    <r>
      <t xml:space="preserve">     - </t>
    </r>
    <r>
      <rPr>
        <i/>
        <sz val="10"/>
        <rFont val="Times New Roman"/>
        <family val="1"/>
      </rPr>
      <t>Petrojarl Foinaven</t>
    </r>
  </si>
  <si>
    <r>
      <t xml:space="preserve">     - </t>
    </r>
    <r>
      <rPr>
        <i/>
        <sz val="10"/>
        <rFont val="Times New Roman"/>
        <family val="1"/>
      </rPr>
      <t>Ramform Banff</t>
    </r>
  </si>
  <si>
    <r>
      <t xml:space="preserve">     - </t>
    </r>
    <r>
      <rPr>
        <i/>
        <sz val="10"/>
        <rFont val="Times New Roman"/>
        <family val="1"/>
      </rPr>
      <t>Petrojarl Varg</t>
    </r>
  </si>
  <si>
    <t xml:space="preserve">     Total FPSO revenue</t>
  </si>
  <si>
    <t xml:space="preserve">     - Other FPSO  (a)</t>
  </si>
  <si>
    <t xml:space="preserve">     Other  (b)</t>
  </si>
  <si>
    <t>Sale of subsidiaries  (a)</t>
  </si>
  <si>
    <t xml:space="preserve">(a) </t>
  </si>
  <si>
    <t>(b)</t>
  </si>
  <si>
    <t>Gain/(loss) on tax equalization swap contracts</t>
  </si>
  <si>
    <t>Summary of Debt, Capital Leases and Other Contractual Obligations</t>
  </si>
  <si>
    <t>The following table summarizes our contractual obligations as of December 31, 2002, to make future principal/redemption</t>
  </si>
  <si>
    <t>payments through 2005 and thereafter:</t>
  </si>
  <si>
    <t>Total</t>
  </si>
  <si>
    <t>obligation</t>
  </si>
  <si>
    <t>Due in</t>
  </si>
  <si>
    <t>2003</t>
  </si>
  <si>
    <t>2004</t>
  </si>
  <si>
    <t>2005</t>
  </si>
  <si>
    <t>and thereafter</t>
  </si>
  <si>
    <t>(In millions of dollars)</t>
  </si>
  <si>
    <t xml:space="preserve">Short-term and long-term debt, including current </t>
  </si>
  <si>
    <t xml:space="preserve">Capital lease obligations, including current </t>
  </si>
  <si>
    <t xml:space="preserve">     portion, at gross contractual commitment</t>
  </si>
  <si>
    <t>Guaranteed preferred beneficial interest in junior</t>
  </si>
  <si>
    <t xml:space="preserve">     subordinated debt securities, exclusive of</t>
  </si>
  <si>
    <t>Mandatorily redeemable cumulative preferred</t>
  </si>
  <si>
    <t xml:space="preserve">     securities, exclusive of issue costs</t>
  </si>
  <si>
    <t>Operating lease obligations</t>
  </si>
  <si>
    <t>Due in 2006</t>
  </si>
  <si>
    <t>(a)</t>
  </si>
  <si>
    <t xml:space="preserve">     Total  (a)</t>
  </si>
  <si>
    <t>Depreciation and amortization</t>
  </si>
  <si>
    <t xml:space="preserve">     Total FPSO </t>
  </si>
  <si>
    <t>Production split by operations:</t>
  </si>
  <si>
    <t>Quarter ended Dec. 31, 2002</t>
  </si>
  <si>
    <t>Year ended Dec. 31, 2002</t>
  </si>
  <si>
    <t>Year ended Dec. 31, 2001</t>
  </si>
  <si>
    <t>Quarter ended Dec. 31, 2001</t>
  </si>
  <si>
    <t>Depreciation and amortization comprise following items for the periods presented:</t>
  </si>
  <si>
    <t>(In thousands of dollars)</t>
  </si>
  <si>
    <t>Depreciation capitalized to MCS library</t>
  </si>
  <si>
    <t>Sales related amortization of MCS library</t>
  </si>
  <si>
    <t>Includes operating loss for several FPSO shuttle tankers that were leased into the spot market during 2001.</t>
  </si>
  <si>
    <t>Consist of our oil and gas exploration and production activities.</t>
  </si>
  <si>
    <t>Includes revenue for several FPSO shuttle tankers that were leased into the spot market during 2001.</t>
  </si>
  <si>
    <r>
      <t xml:space="preserve">     - </t>
    </r>
    <r>
      <rPr>
        <i/>
        <sz val="10"/>
        <rFont val="Times New Roman"/>
        <family val="1"/>
      </rPr>
      <t>Ramform Banff  (a)</t>
    </r>
  </si>
  <si>
    <t xml:space="preserve">     - Other FPSO  (b)</t>
  </si>
  <si>
    <t xml:space="preserve">     Other  (c)</t>
  </si>
  <si>
    <t>(c)</t>
  </si>
  <si>
    <t>Included $5.0M loss contract accrual reversal for the quarter ended December 31, 2001, and $ 8.2M and $16.5M for the</t>
  </si>
  <si>
    <t>year ended December 31, 2002 and 2001, respectively.</t>
  </si>
  <si>
    <t>Other loss, net</t>
  </si>
  <si>
    <t>Foreign exchange gain/(loss)</t>
  </si>
  <si>
    <t>Tax effect of exchange fluctuations</t>
  </si>
  <si>
    <t>Tax effect on unusual items</t>
  </si>
  <si>
    <t>Net gains associated with resolution of</t>
  </si>
  <si>
    <t xml:space="preserve">     uncertainties outstanding tax issues</t>
  </si>
  <si>
    <t xml:space="preserve">(b) </t>
  </si>
  <si>
    <t>Forced amortization MCS Library  (b)</t>
  </si>
  <si>
    <t>as of January 1, 2002 a $185.9M impairment charge, excluding taxes, against our goodwill. We did not recognize any goodwill amortization</t>
  </si>
  <si>
    <t>for the quarter ended December 31, 2001 and $5.9M for the year ended December 31, 2001.</t>
  </si>
  <si>
    <t xml:space="preserve">during 2002; during 2001 we recognized goodwill amortization (excluding goodwill amortization on operations as held-for-sale) of $1.4M </t>
  </si>
  <si>
    <t xml:space="preserve">     Total Unusual Items</t>
  </si>
  <si>
    <t>Multi-client library</t>
  </si>
  <si>
    <t>The net book-value of our multi-client library by year of completion is as follows:</t>
  </si>
  <si>
    <t>December 31,</t>
  </si>
  <si>
    <t>Completed during 1997 and years prior</t>
  </si>
  <si>
    <t>Completed during 1998</t>
  </si>
  <si>
    <t>Completed during 1999</t>
  </si>
  <si>
    <t>Completed during 2000</t>
  </si>
  <si>
    <t>Completed during 2001</t>
  </si>
  <si>
    <t>Completed during 2002</t>
  </si>
  <si>
    <t xml:space="preserve">     Completed surveys</t>
  </si>
  <si>
    <t xml:space="preserve">     Surveys in progress</t>
  </si>
  <si>
    <t xml:space="preserve">     Multi-client library, net</t>
  </si>
  <si>
    <t>Depreciation and interest capitalized into the multi-client library was as follows for the periods presented:</t>
  </si>
  <si>
    <t>Capitalized depreciation</t>
  </si>
  <si>
    <t>Capitalized interest</t>
  </si>
  <si>
    <t xml:space="preserve">Short-term and long-term debt, </t>
  </si>
  <si>
    <t>Capital lease obligations, current and</t>
  </si>
  <si>
    <t>Trust preferred securities</t>
  </si>
  <si>
    <t>Net</t>
  </si>
  <si>
    <t>change</t>
  </si>
  <si>
    <t xml:space="preserve">     issue costs  (b)</t>
  </si>
  <si>
    <t>For information regarding the $143.8M liquidation amount of 9.625% trust preferred securities issued by PGS Trust I, a statutory business trust formed</t>
  </si>
  <si>
    <t xml:space="preserve">for the fiscal year ended December 31, 2001. The sole assets of the trust are junior subordinated debentures of the Company that bear </t>
  </si>
  <si>
    <t>by the Company, see Note 11 in the Notes to Consolidated Financial Statements contained in the Company's Annual Report on Form 20-F</t>
  </si>
  <si>
    <t>Capital expenditures</t>
  </si>
  <si>
    <t>Our capital expenditures were as follows for the periods presented:</t>
  </si>
  <si>
    <t>Production split by FPSO:</t>
  </si>
  <si>
    <t xml:space="preserve">     Ramform Banff</t>
  </si>
  <si>
    <t xml:space="preserve">     Petrojarl I</t>
  </si>
  <si>
    <t xml:space="preserve">     Other</t>
  </si>
  <si>
    <t>Tax effect from ongoing operations</t>
  </si>
  <si>
    <t>Financial expense, net</t>
  </si>
  <si>
    <t>Financial expense, net consist of following items for the periods presented:</t>
  </si>
  <si>
    <t>Financial expense</t>
  </si>
  <si>
    <t>The distribution of our revenue by geographic region for the periods presented was as follows:</t>
  </si>
  <si>
    <t>The distribution of our revenue by operating segment for the periods presented was as follows:</t>
  </si>
  <si>
    <t>In addition debt included in operations held for sale</t>
  </si>
  <si>
    <t xml:space="preserve">interest rate of 9.625% per year and mature on June 30, 2039. As of December 31, 2002 and 2001, the trust held $148.2M principal amount of such </t>
  </si>
  <si>
    <t>debentures.</t>
  </si>
  <si>
    <t>Geophysical operations  (a)</t>
  </si>
  <si>
    <t>Production FPSO operations  (b)</t>
  </si>
  <si>
    <t xml:space="preserve">     Marine seismic</t>
  </si>
  <si>
    <t xml:space="preserve">     Land seismic</t>
  </si>
  <si>
    <t xml:space="preserve">     Data Processing, reservoir consutlants &amp; other</t>
  </si>
  <si>
    <t>Geophysical split by operation:</t>
  </si>
  <si>
    <t>Production operations  (A)</t>
  </si>
  <si>
    <t>(A)</t>
  </si>
  <si>
    <t>Under the guidelines of Statement of Financial Accounting Standards No. 142, "Goodwill and Other Intangible Assets", we have recognized</t>
  </si>
  <si>
    <t>Gross depreciation  (a)</t>
  </si>
  <si>
    <t xml:space="preserve">     current and long-term portion  </t>
  </si>
  <si>
    <t xml:space="preserve">Securitization preferred securities </t>
  </si>
  <si>
    <t xml:space="preserve">     portion, excluding debt held for sale </t>
  </si>
  <si>
    <t>Total Geophysical revenue  (A)</t>
  </si>
  <si>
    <t>Production revenue  (B)</t>
  </si>
  <si>
    <t xml:space="preserve">(A) </t>
  </si>
  <si>
    <t>(B)</t>
  </si>
  <si>
    <t>Forced amortization charges required to conform with our minimum amortization policy for the multi-client library.</t>
  </si>
  <si>
    <t>Impairment of MCS library</t>
  </si>
  <si>
    <t>Discontinued operations/operations held for sale consist of the following items for the periods presented:</t>
  </si>
  <si>
    <t>Pretax income from operations held for sale</t>
  </si>
  <si>
    <t>Impairment of Atlantis  (a)</t>
  </si>
  <si>
    <t>Excludes tax benefits for $14.0M in Q4 2002 and $53.2M for the full year of 2002.</t>
  </si>
  <si>
    <t>In addition debt held for sale, $15.8M, all due in 2003.</t>
  </si>
  <si>
    <t>Earnings/(loss) per share</t>
  </si>
  <si>
    <t>Cumulative effect of accounting change, net of tax</t>
  </si>
  <si>
    <t xml:space="preserve"> Basic earnings (loss) per share</t>
  </si>
  <si>
    <t xml:space="preserve">Cumulative effect of accounting change, net of tax </t>
  </si>
  <si>
    <t xml:space="preserve"> Diluted earnings (loss) per share</t>
  </si>
  <si>
    <r>
      <t xml:space="preserve"> </t>
    </r>
    <r>
      <rPr>
        <sz val="10"/>
        <rFont val="Times New Roman"/>
        <family val="1"/>
      </rPr>
      <t>Basic shares outstanding</t>
    </r>
  </si>
  <si>
    <t xml:space="preserve"> Diluted shares outstanding</t>
  </si>
  <si>
    <t xml:space="preserve">Basic earnings (loss) per share before cumulative </t>
  </si>
  <si>
    <t>effect of accounting change</t>
  </si>
  <si>
    <t xml:space="preserve"> Diluted earnings (loss) per share before cumulative</t>
  </si>
  <si>
    <t>(In dollars, except for numbers of shares)</t>
  </si>
  <si>
    <t>Earnings/(loss) per share for the periods presented was as follows:</t>
  </si>
  <si>
    <t>Loss on sale of Production Services division</t>
  </si>
  <si>
    <t xml:space="preserve"> </t>
  </si>
  <si>
    <t>Gain on the sale of our data management business in Q1 2001.</t>
  </si>
  <si>
    <t>Other loss, net consist of following items for the periods presented:</t>
  </si>
  <si>
    <t>Other, net</t>
  </si>
  <si>
    <t>Discontinued operations/operations held for sale, net of tax</t>
  </si>
  <si>
    <t xml:space="preserve">     long-term portion  (a)</t>
  </si>
  <si>
    <t xml:space="preserve">     Total debt and preferred securities  (b)</t>
  </si>
  <si>
    <t>Increase in capital lease obligations includes leases for part of our Onshore equipment, previously accounted for as operating leases.</t>
  </si>
  <si>
    <t>Minority interest Trust securities</t>
  </si>
  <si>
    <t>Geophysical revenue by service type:</t>
  </si>
  <si>
    <t xml:space="preserve">     Varg Field (PL038) revenue (b)</t>
  </si>
  <si>
    <t>EBITDA, as defined, by operating segment</t>
  </si>
  <si>
    <t>The distribution of our EBITDA, as defined, by operating segment for the periods presented was as follows:</t>
  </si>
  <si>
    <t xml:space="preserve">     Varg Field (PL038) (c) </t>
  </si>
  <si>
    <t>Debt restructuring/refinancing costs  (b)</t>
  </si>
  <si>
    <t>Costs in relation to restructuring/refinancing of the PGS Group.</t>
  </si>
  <si>
    <t>Outstanding financial obligations</t>
  </si>
  <si>
    <t>Financial expense, includes minority interest related to the trust's securitites for the periods presented:</t>
  </si>
  <si>
    <t>Production Varg Field (PL038)  (c)</t>
  </si>
  <si>
    <t xml:space="preserve">Capital expenditures for the Varg field (PL038) for the quarter and year ended December 31, 2002, includes $4.7 million in drilling expenses.  </t>
  </si>
  <si>
    <t>Unusual items consist of the following items for the periods presented:</t>
  </si>
  <si>
    <t>Outstanding financial obligatons (including capital leases) and preferred securities were as follows:</t>
  </si>
  <si>
    <t xml:space="preserve">Year ended December 31, </t>
  </si>
  <si>
    <t xml:space="preserve">Quarter ended December 31, </t>
  </si>
  <si>
    <t>Tax effect on above entries  (c)</t>
  </si>
  <si>
    <t>(Provision)/benefit for income taxes</t>
  </si>
  <si>
    <t>(Provision)/benefit for income taxes consist of the following items for the periods presented:</t>
  </si>
  <si>
    <t xml:space="preserve">Valuation allowance relating to deferred tax assets </t>
  </si>
  <si>
    <t>Tax expense on operations held for sale</t>
  </si>
  <si>
    <t>Any tax benefit is offset towards valuation allowance. See note; (Provision)/benefit for income taxes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</si>
</sst>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8" formatCode="_(&quot;$&quot;\ * #,##0_);_(&quot;$&quot;\ * \(#,##0\);_(&quot;$&quot;\ * &quot;-&quot;_);_(@_)"/>
    <numFmt numFmtId="169" formatCode="_(* #,##0_);_(* \(#,##0\);_(* &quot;-&quot;_);_(@_)"/>
    <numFmt numFmtId="171" formatCode="_(* #,##0.00_);_(* \(#,##0.00\);_(* &quot;-&quot;??_);_(@_)"/>
    <numFmt numFmtId="183" formatCode="_ * #,##0_ ;_ * \-#,##0_ ;_ * &quot;-&quot;_ ;_ @_ "/>
    <numFmt numFmtId="185" formatCode="_ * #,##0.00_ ;_ * \-#,##0.00_ ;_ * &quot;-&quot;??_ ;_ @_ "/>
    <numFmt numFmtId="186" formatCode="_(* #,##0.0_);_(* \(#,##0.0\);_(* &quot;-&quot;?_);_(@_)"/>
    <numFmt numFmtId="187" formatCode="_(&quot;$&quot;\ * #,##0.0_);_(&quot;$&quot;\ * \(#,##0.0\);_(&quot;$&quot;\ * &quot;-&quot;?_);_(@_)"/>
    <numFmt numFmtId="188" formatCode="_(* #,##0_);_(* \(#,##0\);_(* &quot;-&quot;??_);_(@_)"/>
    <numFmt numFmtId="189" formatCode="_(&quot;$&quot;* #,##0.00_);_(&quot;$&quot;* \(#,##0.00\);_(&quot;$&quot;* &quot;-&quot;??_);_(@_)"/>
  </numFmts>
  <fonts count="16">
    <font>
      <sz val="10"/>
      <name val="Arial"/>
    </font>
    <font>
      <sz val="10"/>
      <name val="Arial"/>
    </font>
    <font>
      <sz val="14"/>
      <name val="Univers 55"/>
    </font>
    <font>
      <sz val="10"/>
      <name val="Times New Roman"/>
      <family val="1"/>
    </font>
    <font>
      <sz val="8"/>
      <name val="Times New Roman"/>
      <family val="1"/>
    </font>
    <font>
      <b/>
      <i/>
      <sz val="11"/>
      <name val="Times New Roman"/>
      <family val="1"/>
    </font>
    <font>
      <sz val="14"/>
      <name val="Times New Roman"/>
      <family val="1"/>
    </font>
    <font>
      <sz val="11"/>
      <name val="Times New Roman"/>
      <family val="1"/>
    </font>
    <font>
      <b/>
      <sz val="11"/>
      <name val="Times New Roman"/>
      <family val="1"/>
    </font>
    <font>
      <i/>
      <sz val="10"/>
      <name val="Times New Roman"/>
      <family val="1"/>
    </font>
    <font>
      <sz val="9"/>
      <name val="Times New Roman"/>
      <family val="1"/>
    </font>
    <font>
      <b/>
      <i/>
      <sz val="10"/>
      <name val="Times New Roman"/>
      <family val="1"/>
    </font>
    <font>
      <sz val="10"/>
      <color indexed="10"/>
      <name val="Times New Roman"/>
      <family val="1"/>
    </font>
    <font>
      <b/>
      <sz val="10"/>
      <name val="Times New Roman"/>
      <family val="1"/>
    </font>
    <font>
      <sz val="10"/>
      <name val="Times New Roman"/>
      <family val="1"/>
    </font>
    <font>
      <b/>
      <sz val="10"/>
      <color indexed="53"/>
      <name val="Times New Roman"/>
      <family val="1"/>
    </font>
  </fonts>
  <fills count="3">
    <fill>
      <patternFill patternType="none"/>
    </fill>
    <fill>
      <patternFill patternType="gray125"/>
    </fill>
    <fill>
      <patternFill patternType="solid">
        <fgColor indexed="47"/>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diagonal/>
    </border>
    <border>
      <left/>
      <right/>
      <top style="medium">
        <color indexed="64"/>
      </top>
      <bottom style="thin">
        <color indexed="64"/>
      </bottom>
      <diagonal/>
    </border>
  </borders>
  <cellStyleXfs count="2">
    <xf numFmtId="0" fontId="0" fillId="0" borderId="0"/>
    <xf numFmtId="185" fontId="1" fillId="0" borderId="0" applyFont="0" applyFill="0" applyBorder="0" applyAlignment="0" applyProtection="0"/>
  </cellStyleXfs>
  <cellXfs count="130">
    <xf numFmtId="0" fontId="0" fillId="0" borderId="0" xfId="0"/>
    <xf numFmtId="0" fontId="3" fillId="0" borderId="0" xfId="0" applyFont="1" applyBorder="1" applyAlignment="1">
      <alignment horizontal="center"/>
    </xf>
    <xf numFmtId="0" fontId="3" fillId="0" borderId="1" xfId="0" applyFont="1" applyBorder="1" applyAlignment="1">
      <alignment horizontal="center"/>
    </xf>
    <xf numFmtId="0" fontId="2" fillId="0" borderId="0" xfId="0" applyFont="1" applyAlignment="1">
      <alignment horizontal="center"/>
    </xf>
    <xf numFmtId="0" fontId="4" fillId="0" borderId="1" xfId="0" quotePrefix="1" applyFont="1" applyBorder="1" applyAlignment="1">
      <alignment horizontal="left"/>
    </xf>
    <xf numFmtId="0" fontId="3" fillId="0" borderId="2" xfId="0" applyFont="1" applyBorder="1" applyAlignment="1">
      <alignment horizontal="center"/>
    </xf>
    <xf numFmtId="0" fontId="3" fillId="0" borderId="0" xfId="0" applyFont="1"/>
    <xf numFmtId="183" fontId="3" fillId="0" borderId="0" xfId="0" applyNumberFormat="1" applyFont="1"/>
    <xf numFmtId="0" fontId="3" fillId="0" borderId="2" xfId="0" applyFont="1" applyBorder="1"/>
    <xf numFmtId="0" fontId="3" fillId="0" borderId="0" xfId="0" applyFont="1" applyBorder="1"/>
    <xf numFmtId="9" fontId="3" fillId="0" borderId="0" xfId="0" applyNumberFormat="1" applyFont="1"/>
    <xf numFmtId="9" fontId="3" fillId="0" borderId="2" xfId="0" applyNumberFormat="1" applyFont="1" applyBorder="1"/>
    <xf numFmtId="0" fontId="3" fillId="0" borderId="3" xfId="0" applyFont="1" applyBorder="1"/>
    <xf numFmtId="183" fontId="3" fillId="0" borderId="3" xfId="0" applyNumberFormat="1" applyFont="1" applyBorder="1"/>
    <xf numFmtId="183" fontId="3" fillId="0" borderId="0" xfId="0" applyNumberFormat="1" applyFont="1" applyBorder="1"/>
    <xf numFmtId="0" fontId="5" fillId="0" borderId="0" xfId="0" applyFont="1" applyAlignment="1">
      <alignment horizontal="left"/>
    </xf>
    <xf numFmtId="0" fontId="6" fillId="0" borderId="0" xfId="0" applyFont="1" applyAlignment="1">
      <alignment horizontal="center"/>
    </xf>
    <xf numFmtId="0" fontId="3" fillId="0" borderId="0" xfId="0" quotePrefix="1" applyFont="1" applyAlignment="1">
      <alignment horizontal="left"/>
    </xf>
    <xf numFmtId="0" fontId="3" fillId="0" borderId="0" xfId="0" applyFont="1" applyAlignment="1">
      <alignment horizontal="left"/>
    </xf>
    <xf numFmtId="0" fontId="7" fillId="0" borderId="0" xfId="0" applyFont="1"/>
    <xf numFmtId="0" fontId="3" fillId="0" borderId="0" xfId="0" applyNumberFormat="1" applyFont="1" applyAlignment="1">
      <alignment horizontal="center"/>
    </xf>
    <xf numFmtId="0" fontId="3" fillId="0" borderId="2" xfId="0" applyNumberFormat="1" applyFont="1" applyBorder="1" applyAlignment="1">
      <alignment horizontal="center"/>
    </xf>
    <xf numFmtId="0" fontId="3" fillId="0" borderId="1" xfId="0" applyFont="1" applyBorder="1"/>
    <xf numFmtId="0" fontId="4" fillId="0" borderId="1" xfId="0" applyFont="1" applyBorder="1"/>
    <xf numFmtId="168" fontId="3" fillId="0" borderId="0" xfId="0" applyNumberFormat="1" applyFont="1"/>
    <xf numFmtId="168" fontId="3" fillId="0" borderId="2" xfId="0" applyNumberFormat="1" applyFont="1" applyBorder="1"/>
    <xf numFmtId="0" fontId="3" fillId="0" borderId="0" xfId="0" applyFont="1" applyAlignment="1">
      <alignment horizontal="center"/>
    </xf>
    <xf numFmtId="0" fontId="3" fillId="0" borderId="2" xfId="0" quotePrefix="1" applyFont="1" applyBorder="1" applyAlignment="1">
      <alignment horizontal="center"/>
    </xf>
    <xf numFmtId="169" fontId="3" fillId="0" borderId="0" xfId="0" applyNumberFormat="1" applyFont="1"/>
    <xf numFmtId="169" fontId="0" fillId="0" borderId="0" xfId="0" applyNumberFormat="1"/>
    <xf numFmtId="168" fontId="3" fillId="0" borderId="4" xfId="0" applyNumberFormat="1" applyFont="1" applyBorder="1"/>
    <xf numFmtId="0" fontId="3" fillId="0" borderId="1" xfId="0" applyFont="1" applyBorder="1" applyAlignment="1">
      <alignment horizontal="left"/>
    </xf>
    <xf numFmtId="0" fontId="3" fillId="0" borderId="0" xfId="0" quotePrefix="1" applyFont="1"/>
    <xf numFmtId="168" fontId="3" fillId="0" borderId="0" xfId="0" applyNumberFormat="1" applyFont="1" applyBorder="1"/>
    <xf numFmtId="169" fontId="3" fillId="0" borderId="1" xfId="0" applyNumberFormat="1" applyFont="1" applyBorder="1"/>
    <xf numFmtId="0" fontId="3" fillId="0" borderId="0" xfId="0" quotePrefix="1" applyFont="1" applyBorder="1"/>
    <xf numFmtId="0" fontId="3" fillId="0" borderId="0" xfId="0" quotePrefix="1" applyFont="1" applyBorder="1" applyAlignment="1">
      <alignment horizontal="center"/>
    </xf>
    <xf numFmtId="169" fontId="3" fillId="0" borderId="0" xfId="0" applyNumberFormat="1" applyFont="1" applyBorder="1"/>
    <xf numFmtId="0" fontId="10" fillId="0" borderId="0" xfId="0" applyFont="1"/>
    <xf numFmtId="169" fontId="3" fillId="0" borderId="3" xfId="0" applyNumberFormat="1" applyFont="1" applyBorder="1"/>
    <xf numFmtId="169" fontId="3" fillId="0" borderId="0" xfId="0" applyNumberFormat="1" applyFont="1" applyAlignment="1">
      <alignment horizontal="center"/>
    </xf>
    <xf numFmtId="169" fontId="3" fillId="0" borderId="1" xfId="0" quotePrefix="1" applyNumberFormat="1" applyFont="1" applyBorder="1" applyAlignment="1">
      <alignment horizontal="center"/>
    </xf>
    <xf numFmtId="169" fontId="3" fillId="0" borderId="1" xfId="0" applyNumberFormat="1" applyFont="1" applyBorder="1" applyAlignment="1">
      <alignment horizontal="center"/>
    </xf>
    <xf numFmtId="186" fontId="3" fillId="0" borderId="0" xfId="0" applyNumberFormat="1" applyFont="1"/>
    <xf numFmtId="169" fontId="10" fillId="0" borderId="0" xfId="0" applyNumberFormat="1" applyFont="1"/>
    <xf numFmtId="187" fontId="3" fillId="0" borderId="2" xfId="0" applyNumberFormat="1" applyFont="1" applyBorder="1"/>
    <xf numFmtId="187" fontId="3" fillId="0" borderId="0" xfId="0" applyNumberFormat="1" applyFont="1"/>
    <xf numFmtId="0" fontId="10" fillId="0" borderId="0" xfId="0" applyFont="1" applyBorder="1"/>
    <xf numFmtId="0" fontId="10" fillId="0" borderId="0" xfId="0" quotePrefix="1" applyFont="1" applyBorder="1" applyAlignment="1">
      <alignment horizontal="center"/>
    </xf>
    <xf numFmtId="0" fontId="10" fillId="0" borderId="0" xfId="0" applyFont="1" applyBorder="1" applyAlignment="1">
      <alignment horizontal="center"/>
    </xf>
    <xf numFmtId="169" fontId="3" fillId="0" borderId="2" xfId="0" applyNumberFormat="1" applyFont="1" applyBorder="1"/>
    <xf numFmtId="168" fontId="10" fillId="0" borderId="0" xfId="0" applyNumberFormat="1" applyFont="1" applyBorder="1"/>
    <xf numFmtId="0" fontId="3" fillId="0" borderId="3" xfId="0" applyFont="1" applyBorder="1" applyAlignment="1">
      <alignment horizontal="left"/>
    </xf>
    <xf numFmtId="0" fontId="8" fillId="0" borderId="3" xfId="0" applyFont="1" applyBorder="1" applyAlignment="1">
      <alignment horizontal="left"/>
    </xf>
    <xf numFmtId="0" fontId="5" fillId="0" borderId="3" xfId="0" applyFont="1" applyBorder="1" applyAlignment="1">
      <alignment horizontal="left"/>
    </xf>
    <xf numFmtId="0" fontId="11" fillId="0" borderId="0" xfId="0" applyFont="1" applyAlignment="1">
      <alignment horizontal="left"/>
    </xf>
    <xf numFmtId="0" fontId="5" fillId="0" borderId="0" xfId="0" applyFont="1" applyBorder="1" applyAlignment="1">
      <alignment horizontal="left"/>
    </xf>
    <xf numFmtId="0" fontId="11" fillId="0" borderId="2" xfId="0" applyFont="1" applyBorder="1" applyAlignment="1">
      <alignment horizontal="left"/>
    </xf>
    <xf numFmtId="168" fontId="3" fillId="0" borderId="1" xfId="0" applyNumberFormat="1" applyFont="1" applyBorder="1"/>
    <xf numFmtId="0" fontId="10" fillId="0" borderId="0" xfId="0" quotePrefix="1" applyFont="1" applyAlignment="1">
      <alignment horizontal="center"/>
    </xf>
    <xf numFmtId="168" fontId="3" fillId="0" borderId="0" xfId="0" applyNumberFormat="1" applyFont="1" applyAlignment="1">
      <alignment horizontal="center"/>
    </xf>
    <xf numFmtId="168" fontId="3" fillId="0" borderId="2" xfId="0" quotePrefix="1" applyNumberFormat="1" applyFont="1" applyBorder="1" applyAlignment="1">
      <alignment horizontal="center"/>
    </xf>
    <xf numFmtId="169" fontId="3" fillId="0" borderId="0" xfId="0" applyNumberFormat="1" applyFont="1" applyFill="1"/>
    <xf numFmtId="168" fontId="3" fillId="0" borderId="0" xfId="0" applyNumberFormat="1" applyFont="1" applyFill="1" applyBorder="1"/>
    <xf numFmtId="168" fontId="3" fillId="0" borderId="2" xfId="0" applyNumberFormat="1" applyFont="1" applyFill="1" applyBorder="1"/>
    <xf numFmtId="168" fontId="3" fillId="0" borderId="0" xfId="0" applyNumberFormat="1" applyFont="1" applyFill="1"/>
    <xf numFmtId="0" fontId="3" fillId="0" borderId="3" xfId="0" quotePrefix="1" applyFont="1" applyBorder="1" applyAlignment="1">
      <alignment horizontal="left"/>
    </xf>
    <xf numFmtId="0" fontId="6" fillId="0" borderId="3" xfId="0" applyFont="1" applyBorder="1" applyAlignment="1">
      <alignment horizontal="center"/>
    </xf>
    <xf numFmtId="169" fontId="10" fillId="0" borderId="0" xfId="0" applyNumberFormat="1" applyFont="1" applyFill="1"/>
    <xf numFmtId="0" fontId="3" fillId="0" borderId="0" xfId="0" quotePrefix="1" applyFont="1" applyAlignment="1">
      <alignment horizontal="center"/>
    </xf>
    <xf numFmtId="169" fontId="12" fillId="0" borderId="0" xfId="0" applyNumberFormat="1" applyFont="1"/>
    <xf numFmtId="169" fontId="12" fillId="0" borderId="0" xfId="0" applyNumberFormat="1" applyFont="1" applyBorder="1"/>
    <xf numFmtId="168" fontId="10" fillId="0" borderId="0" xfId="0" applyNumberFormat="1" applyFont="1" applyFill="1" applyBorder="1"/>
    <xf numFmtId="2" fontId="3" fillId="0" borderId="0" xfId="0" applyNumberFormat="1" applyFont="1" applyBorder="1" applyAlignment="1">
      <alignment horizontal="left"/>
    </xf>
    <xf numFmtId="188" fontId="3" fillId="0" borderId="0" xfId="1" applyNumberFormat="1" applyFont="1" applyAlignment="1">
      <alignment horizontal="center"/>
    </xf>
    <xf numFmtId="171" fontId="3" fillId="0" borderId="0" xfId="0" applyNumberFormat="1" applyFont="1" applyBorder="1"/>
    <xf numFmtId="2" fontId="3" fillId="0" borderId="1" xfId="0" applyNumberFormat="1" applyFont="1" applyBorder="1" applyAlignment="1">
      <alignment horizontal="left"/>
    </xf>
    <xf numFmtId="2" fontId="13" fillId="0" borderId="1" xfId="0" quotePrefix="1" applyNumberFormat="1" applyFont="1" applyBorder="1" applyAlignment="1">
      <alignment horizontal="left"/>
    </xf>
    <xf numFmtId="171" fontId="3" fillId="0" borderId="1" xfId="0" applyNumberFormat="1" applyFont="1" applyBorder="1"/>
    <xf numFmtId="2" fontId="13" fillId="0" borderId="3" xfId="0" applyNumberFormat="1" applyFont="1" applyBorder="1" applyAlignment="1">
      <alignment horizontal="left"/>
    </xf>
    <xf numFmtId="2" fontId="13" fillId="0" borderId="3" xfId="0" quotePrefix="1" applyNumberFormat="1" applyFont="1" applyBorder="1" applyAlignment="1">
      <alignment horizontal="left"/>
    </xf>
    <xf numFmtId="189" fontId="13" fillId="0" borderId="3" xfId="0" applyNumberFormat="1" applyFont="1" applyBorder="1"/>
    <xf numFmtId="2" fontId="13" fillId="0" borderId="0" xfId="0" applyNumberFormat="1" applyFont="1" applyBorder="1" applyAlignment="1">
      <alignment horizontal="left"/>
    </xf>
    <xf numFmtId="2" fontId="13" fillId="0" borderId="0" xfId="0" quotePrefix="1" applyNumberFormat="1" applyFont="1" applyBorder="1" applyAlignment="1">
      <alignment horizontal="left"/>
    </xf>
    <xf numFmtId="189" fontId="13" fillId="0" borderId="0" xfId="0" applyNumberFormat="1" applyFont="1" applyBorder="1"/>
    <xf numFmtId="188" fontId="3" fillId="0" borderId="0" xfId="1" applyNumberFormat="1" applyFont="1" applyBorder="1"/>
    <xf numFmtId="2" fontId="13" fillId="0" borderId="1" xfId="0" applyNumberFormat="1" applyFont="1" applyBorder="1" applyAlignment="1">
      <alignment horizontal="left"/>
    </xf>
    <xf numFmtId="2" fontId="3" fillId="0" borderId="3" xfId="0" applyNumberFormat="1" applyFont="1" applyBorder="1" applyAlignment="1">
      <alignment horizontal="left"/>
    </xf>
    <xf numFmtId="2" fontId="3" fillId="0" borderId="3" xfId="0" quotePrefix="1" applyNumberFormat="1" applyFont="1" applyBorder="1" applyAlignment="1">
      <alignment horizontal="left"/>
    </xf>
    <xf numFmtId="0" fontId="4" fillId="0" borderId="3" xfId="0" applyFont="1" applyBorder="1" applyAlignment="1">
      <alignment horizontal="left"/>
    </xf>
    <xf numFmtId="0" fontId="4" fillId="0" borderId="3" xfId="0" applyFont="1" applyBorder="1" applyAlignment="1">
      <alignment horizontal="center"/>
    </xf>
    <xf numFmtId="0" fontId="0" fillId="0" borderId="3" xfId="0" applyBorder="1"/>
    <xf numFmtId="0" fontId="0" fillId="0" borderId="0" xfId="0" applyBorder="1"/>
    <xf numFmtId="0" fontId="3" fillId="0" borderId="3" xfId="0" applyFont="1" applyBorder="1" applyAlignment="1">
      <alignment horizontal="center"/>
    </xf>
    <xf numFmtId="188" fontId="3" fillId="0" borderId="0" xfId="1" applyNumberFormat="1" applyFont="1" applyAlignment="1">
      <alignment horizontal="left"/>
    </xf>
    <xf numFmtId="171" fontId="3" fillId="0" borderId="0" xfId="1" applyNumberFormat="1" applyFont="1"/>
    <xf numFmtId="171" fontId="3" fillId="0" borderId="0" xfId="1" applyNumberFormat="1" applyFont="1" applyBorder="1"/>
    <xf numFmtId="0" fontId="3" fillId="0" borderId="0" xfId="0" applyFont="1" applyBorder="1" applyAlignment="1">
      <alignment horizontal="right"/>
    </xf>
    <xf numFmtId="168" fontId="3" fillId="2" borderId="2" xfId="0" quotePrefix="1" applyNumberFormat="1" applyFont="1" applyFill="1" applyBorder="1" applyAlignment="1">
      <alignment horizontal="center"/>
    </xf>
    <xf numFmtId="183" fontId="3" fillId="2" borderId="0" xfId="0" applyNumberFormat="1" applyFont="1" applyFill="1"/>
    <xf numFmtId="168" fontId="3" fillId="2" borderId="2" xfId="0" applyNumberFormat="1" applyFont="1" applyFill="1" applyBorder="1"/>
    <xf numFmtId="0" fontId="3" fillId="2" borderId="2" xfId="0" applyFont="1" applyFill="1" applyBorder="1" applyAlignment="1">
      <alignment horizontal="center"/>
    </xf>
    <xf numFmtId="168" fontId="3" fillId="2" borderId="0" xfId="0" applyNumberFormat="1" applyFont="1" applyFill="1"/>
    <xf numFmtId="168" fontId="13" fillId="2" borderId="2" xfId="0" applyNumberFormat="1" applyFont="1" applyFill="1" applyBorder="1"/>
    <xf numFmtId="0" fontId="3" fillId="2" borderId="2" xfId="0" quotePrefix="1" applyNumberFormat="1" applyFont="1" applyFill="1" applyBorder="1" applyAlignment="1">
      <alignment horizontal="center"/>
    </xf>
    <xf numFmtId="169" fontId="3" fillId="2" borderId="0" xfId="0" applyNumberFormat="1" applyFont="1" applyFill="1"/>
    <xf numFmtId="169" fontId="3" fillId="2" borderId="1" xfId="0" applyNumberFormat="1" applyFont="1" applyFill="1" applyBorder="1"/>
    <xf numFmtId="0" fontId="3" fillId="2" borderId="2" xfId="0" applyNumberFormat="1" applyFont="1" applyFill="1" applyBorder="1" applyAlignment="1">
      <alignment horizontal="center"/>
    </xf>
    <xf numFmtId="183" fontId="3" fillId="2" borderId="0" xfId="0" applyNumberFormat="1" applyFont="1" applyFill="1" applyBorder="1"/>
    <xf numFmtId="168" fontId="3" fillId="2" borderId="0" xfId="0" applyNumberFormat="1" applyFont="1" applyFill="1" applyBorder="1"/>
    <xf numFmtId="183" fontId="3" fillId="2" borderId="1" xfId="0" applyNumberFormat="1" applyFont="1" applyFill="1" applyBorder="1"/>
    <xf numFmtId="169" fontId="3" fillId="2" borderId="0" xfId="0" applyNumberFormat="1" applyFont="1" applyFill="1" applyBorder="1"/>
    <xf numFmtId="0" fontId="3" fillId="2" borderId="0" xfId="0" applyFont="1" applyFill="1"/>
    <xf numFmtId="183" fontId="3" fillId="2" borderId="2" xfId="0" quotePrefix="1" applyNumberFormat="1" applyFont="1" applyFill="1" applyBorder="1" applyAlignment="1">
      <alignment horizontal="center"/>
    </xf>
    <xf numFmtId="169" fontId="3" fillId="2" borderId="1" xfId="0" quotePrefix="1" applyNumberFormat="1" applyFont="1" applyFill="1" applyBorder="1" applyAlignment="1">
      <alignment horizontal="center"/>
    </xf>
    <xf numFmtId="169" fontId="13" fillId="2" borderId="2" xfId="0" applyNumberFormat="1" applyFont="1" applyFill="1" applyBorder="1"/>
    <xf numFmtId="169" fontId="15" fillId="0" borderId="0" xfId="0" applyNumberFormat="1" applyFont="1"/>
    <xf numFmtId="0" fontId="3" fillId="2" borderId="3" xfId="0" applyFont="1" applyFill="1" applyBorder="1" applyAlignment="1">
      <alignment horizontal="center"/>
    </xf>
    <xf numFmtId="171" fontId="3" fillId="2" borderId="0" xfId="0" applyNumberFormat="1" applyFont="1" applyFill="1" applyBorder="1"/>
    <xf numFmtId="171" fontId="3" fillId="2" borderId="1" xfId="0" applyNumberFormat="1" applyFont="1" applyFill="1" applyBorder="1"/>
    <xf numFmtId="189" fontId="13" fillId="2" borderId="3" xfId="0" applyNumberFormat="1" applyFont="1" applyFill="1" applyBorder="1"/>
    <xf numFmtId="169" fontId="3" fillId="2" borderId="3" xfId="0" applyNumberFormat="1" applyFont="1" applyFill="1" applyBorder="1"/>
    <xf numFmtId="0" fontId="3" fillId="0" borderId="0" xfId="0" applyFont="1" applyFill="1"/>
    <xf numFmtId="168" fontId="3" fillId="2" borderId="1" xfId="0" applyNumberFormat="1" applyFont="1" applyFill="1" applyBorder="1"/>
    <xf numFmtId="168" fontId="13" fillId="2" borderId="4" xfId="0" applyNumberFormat="1" applyFont="1" applyFill="1" applyBorder="1"/>
    <xf numFmtId="0" fontId="3" fillId="0" borderId="1" xfId="0" applyFont="1" applyBorder="1" applyAlignment="1">
      <alignment horizontal="center"/>
    </xf>
    <xf numFmtId="0" fontId="2" fillId="0" borderId="0" xfId="0" applyFont="1" applyAlignment="1">
      <alignment horizontal="center"/>
    </xf>
    <xf numFmtId="0" fontId="3" fillId="0" borderId="1" xfId="0" quotePrefix="1" applyFont="1" applyBorder="1" applyAlignment="1">
      <alignment horizontal="center"/>
    </xf>
    <xf numFmtId="169" fontId="3" fillId="0" borderId="5" xfId="0" applyNumberFormat="1" applyFont="1" applyBorder="1" applyAlignment="1">
      <alignment horizontal="center"/>
    </xf>
    <xf numFmtId="169" fontId="3" fillId="0" borderId="1" xfId="0" applyNumberFormat="1"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274</xdr:row>
      <xdr:rowOff>0</xdr:rowOff>
    </xdr:from>
    <xdr:to>
      <xdr:col>9</xdr:col>
      <xdr:colOff>736600</xdr:colOff>
      <xdr:row>274</xdr:row>
      <xdr:rowOff>0</xdr:rowOff>
    </xdr:to>
    <xdr:sp macro="" textlink="">
      <xdr:nvSpPr>
        <xdr:cNvPr id="1025" name="Text Box 1">
          <a:extLst>
            <a:ext uri="{FF2B5EF4-FFF2-40B4-BE49-F238E27FC236}">
              <a16:creationId xmlns:a16="http://schemas.microsoft.com/office/drawing/2014/main" id="{1D4814B4-DFC4-4369-83AE-D759C757E532}"/>
            </a:ext>
          </a:extLst>
        </xdr:cNvPr>
        <xdr:cNvSpPr txBox="1">
          <a:spLocks noChangeArrowheads="1"/>
        </xdr:cNvSpPr>
      </xdr:nvSpPr>
      <xdr:spPr bwMode="auto">
        <a:xfrm>
          <a:off x="0" y="45586650"/>
          <a:ext cx="67500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0" bIns="0" anchor="t" upright="1"/>
        <a:lstStyle/>
        <a:p>
          <a:pPr algn="l" rtl="0">
            <a:defRPr sz="1000"/>
          </a:pPr>
          <a:r>
            <a:rPr lang="en-GB" sz="1000" b="0" i="0" u="none" strike="noStrike" baseline="0">
              <a:solidFill>
                <a:srgbClr val="000000"/>
              </a:solidFill>
              <a:latin typeface="Arial"/>
              <a:cs typeface="Arial"/>
            </a:rPr>
            <a:t>The Company entered into certain lease structures from 1996 to 1998 relating to Ramforms Challenger, Valiant, Viking, Victory and Vanguard; Petrojarl Foinaven; and production equipment of the Ramform Banff.  The Company paid funds to large international banks (the “Payment Banks”), and in exchange, the Payment Banks assumed liability for making rental payments required under the leases (the “Defeased Rental Payments”) and the lessors legally released the Company as [primary] obligor of such rental payments.  Accordingly, the Company has recorded no capital lease obligations on its consolidated balance sheets with respect to these leases.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Defeased Rental Payments are based on assumed Sterling LIBOR rates of between 8% and 9% (the “Assumed Interest Rates”).  If actual interest rates are greater than the Assumed Interest Rates, the Company receives rental rebates.  Conversely, if actual interest rates are less than the Assumed Interest Rates, the Company is required to pay rentals in excess of the Defeased Rental Payments (the “Additional Required Rental Payments”).  Currently interest rates are below the Assumed Interest Rates, and based forward market rates for Sterling LIBOR, as of December 31, 2002 the net present value of Additional Required Rental Payments aggregated GBP 32 million million, using an 8% discount rate.  The Additional Required Rental Payments are reflected in other financial income (loss) as they are incurred and paid.</a:t>
          </a:r>
        </a:p>
        <a:p>
          <a:pPr algn="l" rtl="0">
            <a:defRPr sz="1000"/>
          </a:pPr>
          <a:endParaRPr lang="en-GB" sz="10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558800</xdr:colOff>
          <xdr:row>52</xdr:row>
          <xdr:rowOff>152400</xdr:rowOff>
        </xdr:from>
        <xdr:to>
          <xdr:col>9</xdr:col>
          <xdr:colOff>330200</xdr:colOff>
          <xdr:row>57</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C06FA579-9409-4116-B8D3-36551F9F2C4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468"/>
  <sheetViews>
    <sheetView tabSelected="1" topLeftCell="A137" zoomScale="120" workbookViewId="0">
      <selection activeCell="D150" sqref="D150"/>
    </sheetView>
  </sheetViews>
  <sheetFormatPr defaultRowHeight="12.5"/>
  <cols>
    <col min="1" max="1" width="3" customWidth="1"/>
    <col min="2" max="2" width="41" customWidth="1"/>
    <col min="3" max="3" width="1.7265625" customWidth="1"/>
    <col min="4" max="4" width="11.7265625" customWidth="1"/>
    <col min="5" max="5" width="1.7265625" customWidth="1"/>
    <col min="6" max="6" width="11.7265625" customWidth="1"/>
    <col min="7" max="7" width="1.7265625" customWidth="1"/>
    <col min="8" max="8" width="11.7265625" customWidth="1"/>
    <col min="9" max="9" width="1.7265625" customWidth="1"/>
    <col min="10" max="10" width="11.7265625" customWidth="1"/>
    <col min="11" max="11" width="1.7265625" customWidth="1"/>
    <col min="12" max="12" width="11.7265625" customWidth="1"/>
  </cols>
  <sheetData>
    <row r="1" spans="1:16" ht="18.75" customHeight="1">
      <c r="A1" s="126" t="s">
        <v>0</v>
      </c>
      <c r="B1" s="126"/>
      <c r="C1" s="126"/>
      <c r="D1" s="126"/>
      <c r="E1" s="126"/>
      <c r="F1" s="126"/>
      <c r="G1" s="126"/>
      <c r="H1" s="126"/>
      <c r="I1" s="126"/>
      <c r="J1" s="126"/>
      <c r="K1" s="126"/>
    </row>
    <row r="2" spans="1:16" ht="17.5">
      <c r="A2" s="126" t="s">
        <v>1</v>
      </c>
      <c r="B2" s="126"/>
      <c r="C2" s="126"/>
      <c r="D2" s="126"/>
      <c r="E2" s="126"/>
      <c r="F2" s="126"/>
      <c r="G2" s="126"/>
      <c r="H2" s="126"/>
      <c r="I2" s="126"/>
      <c r="J2" s="126"/>
      <c r="K2" s="126"/>
    </row>
    <row r="3" spans="1:16" ht="17.5">
      <c r="A3" s="3"/>
      <c r="B3" s="3"/>
      <c r="C3" s="3"/>
      <c r="D3" s="3"/>
      <c r="E3" s="3"/>
      <c r="F3" s="3"/>
      <c r="G3" s="3"/>
      <c r="H3" s="3"/>
      <c r="I3" s="3"/>
      <c r="J3" s="3"/>
      <c r="K3" s="3"/>
    </row>
    <row r="4" spans="1:16" ht="14.15" customHeight="1">
      <c r="A4" s="15" t="s">
        <v>2</v>
      </c>
      <c r="B4" s="19"/>
      <c r="C4" s="6"/>
      <c r="D4" s="16"/>
      <c r="E4" s="16"/>
      <c r="F4" s="16"/>
      <c r="G4" s="16"/>
      <c r="H4" s="16"/>
      <c r="I4" s="16"/>
      <c r="J4" s="16"/>
      <c r="K4" s="16"/>
    </row>
    <row r="5" spans="1:16" ht="14.15" customHeight="1" thickBot="1">
      <c r="A5" s="66" t="s">
        <v>132</v>
      </c>
      <c r="B5" s="53"/>
      <c r="C5" s="54"/>
      <c r="D5" s="67"/>
      <c r="E5" s="67"/>
      <c r="F5" s="67"/>
      <c r="G5" s="67"/>
      <c r="H5" s="67"/>
      <c r="I5" s="67"/>
      <c r="J5" s="67"/>
      <c r="K5" s="16"/>
    </row>
    <row r="6" spans="1:16" ht="13">
      <c r="A6" s="1"/>
      <c r="B6" s="1"/>
      <c r="C6" s="1"/>
      <c r="D6" s="125" t="s">
        <v>69</v>
      </c>
      <c r="E6" s="125"/>
      <c r="F6" s="125"/>
      <c r="G6" s="1"/>
      <c r="H6" s="125" t="s">
        <v>72</v>
      </c>
      <c r="I6" s="125"/>
      <c r="J6" s="125"/>
      <c r="K6" s="6"/>
      <c r="L6" s="6"/>
      <c r="M6" s="6"/>
      <c r="N6" s="6"/>
      <c r="O6" s="6"/>
      <c r="P6" s="6"/>
    </row>
    <row r="7" spans="1:16" ht="13">
      <c r="A7" s="4" t="s">
        <v>5</v>
      </c>
      <c r="B7" s="2"/>
      <c r="C7" s="1"/>
      <c r="D7" s="101" t="s">
        <v>3</v>
      </c>
      <c r="E7" s="1"/>
      <c r="F7" s="5" t="s">
        <v>4</v>
      </c>
      <c r="G7" s="1"/>
      <c r="H7" s="101" t="s">
        <v>3</v>
      </c>
      <c r="I7" s="1"/>
      <c r="J7" s="5" t="s">
        <v>4</v>
      </c>
      <c r="K7" s="6"/>
      <c r="L7" s="6"/>
      <c r="M7" s="6"/>
      <c r="N7" s="6"/>
      <c r="O7" s="6"/>
      <c r="P7" s="6"/>
    </row>
    <row r="8" spans="1:16" ht="13">
      <c r="A8" s="6"/>
      <c r="B8" s="6" t="s">
        <v>6</v>
      </c>
      <c r="C8" s="6"/>
      <c r="D8" s="99">
        <f>D15-174979</f>
        <v>46448</v>
      </c>
      <c r="E8" s="6"/>
      <c r="F8" s="10">
        <v>0.18</v>
      </c>
      <c r="G8" s="6"/>
      <c r="H8" s="99">
        <f>H15-160830</f>
        <v>23380</v>
      </c>
      <c r="I8" s="6"/>
      <c r="J8" s="10">
        <v>0.09</v>
      </c>
      <c r="K8" s="6"/>
      <c r="L8" s="6"/>
      <c r="M8" s="6"/>
      <c r="N8" s="6"/>
      <c r="O8" s="6"/>
      <c r="P8" s="6"/>
    </row>
    <row r="9" spans="1:16" ht="13">
      <c r="A9" s="6"/>
      <c r="B9" s="6" t="s">
        <v>7</v>
      </c>
      <c r="C9" s="6"/>
      <c r="D9" s="99">
        <f>D16-464939</f>
        <v>165483</v>
      </c>
      <c r="E9" s="6"/>
      <c r="F9" s="10">
        <v>0.63</v>
      </c>
      <c r="G9" s="6"/>
      <c r="H9" s="99">
        <f>H16-403075</f>
        <v>184279</v>
      </c>
      <c r="I9" s="6"/>
      <c r="J9" s="10">
        <v>0.73</v>
      </c>
      <c r="K9" s="6"/>
      <c r="L9" s="6"/>
      <c r="M9" s="6"/>
      <c r="N9" s="6"/>
      <c r="O9" s="6"/>
      <c r="P9" s="6"/>
    </row>
    <row r="10" spans="1:16" ht="13">
      <c r="A10" s="6"/>
      <c r="B10" s="6" t="s">
        <v>8</v>
      </c>
      <c r="C10" s="6"/>
      <c r="D10" s="99">
        <f>D17-92082</f>
        <v>50088</v>
      </c>
      <c r="E10" s="6"/>
      <c r="F10" s="10">
        <v>0.19</v>
      </c>
      <c r="G10" s="6"/>
      <c r="H10" s="99">
        <f>H17-66694</f>
        <v>46805</v>
      </c>
      <c r="I10" s="6"/>
      <c r="J10" s="10">
        <v>0.18</v>
      </c>
      <c r="K10" s="6"/>
      <c r="L10" s="6"/>
      <c r="M10" s="6"/>
      <c r="N10" s="6"/>
      <c r="O10" s="6"/>
      <c r="P10" s="6"/>
    </row>
    <row r="11" spans="1:16" ht="13">
      <c r="A11" s="8"/>
      <c r="B11" s="8" t="s">
        <v>9</v>
      </c>
      <c r="C11" s="9"/>
      <c r="D11" s="103">
        <f>SUM(D8:D10)</f>
        <v>262019</v>
      </c>
      <c r="E11" s="6"/>
      <c r="F11" s="11">
        <f>SUM(F8:F10)</f>
        <v>1</v>
      </c>
      <c r="G11" s="6"/>
      <c r="H11" s="103">
        <f>SUM(H8:H10)</f>
        <v>254464</v>
      </c>
      <c r="I11" s="6"/>
      <c r="J11" s="11">
        <f>SUM(J8:J10)</f>
        <v>1</v>
      </c>
      <c r="K11" s="6"/>
      <c r="L11" s="6"/>
      <c r="M11" s="6"/>
      <c r="N11" s="6"/>
      <c r="O11" s="6"/>
      <c r="P11" s="6"/>
    </row>
    <row r="12" spans="1:16" ht="13">
      <c r="A12" s="9"/>
      <c r="B12" s="9"/>
      <c r="C12" s="9"/>
      <c r="D12" s="14"/>
      <c r="E12" s="9"/>
      <c r="F12" s="9"/>
      <c r="G12" s="9"/>
      <c r="H12" s="14"/>
      <c r="I12" s="9"/>
      <c r="J12" s="9"/>
      <c r="K12" s="9"/>
      <c r="L12" s="6"/>
      <c r="M12" s="6"/>
      <c r="N12" s="6"/>
      <c r="O12" s="6"/>
      <c r="P12" s="6"/>
    </row>
    <row r="13" spans="1:16" ht="13">
      <c r="A13" s="1"/>
      <c r="B13" s="1"/>
      <c r="C13" s="1"/>
      <c r="D13" s="125" t="s">
        <v>70</v>
      </c>
      <c r="E13" s="125"/>
      <c r="F13" s="125"/>
      <c r="G13" s="1"/>
      <c r="H13" s="125" t="s">
        <v>71</v>
      </c>
      <c r="I13" s="125"/>
      <c r="J13" s="125"/>
      <c r="K13" s="6"/>
      <c r="L13" s="6"/>
      <c r="M13" s="6"/>
      <c r="N13" s="6"/>
      <c r="O13" s="6"/>
      <c r="P13" s="6"/>
    </row>
    <row r="14" spans="1:16" ht="13">
      <c r="A14" s="4" t="s">
        <v>5</v>
      </c>
      <c r="B14" s="2"/>
      <c r="C14" s="1"/>
      <c r="D14" s="101" t="s">
        <v>3</v>
      </c>
      <c r="E14" s="1"/>
      <c r="F14" s="5" t="s">
        <v>4</v>
      </c>
      <c r="G14" s="1"/>
      <c r="H14" s="101" t="s">
        <v>3</v>
      </c>
      <c r="I14" s="1"/>
      <c r="J14" s="5" t="s">
        <v>4</v>
      </c>
      <c r="K14" s="6"/>
      <c r="L14" s="6"/>
      <c r="M14" s="6"/>
      <c r="N14" s="6"/>
      <c r="O14" s="6"/>
      <c r="P14" s="6"/>
    </row>
    <row r="15" spans="1:16" ht="13">
      <c r="A15" s="6"/>
      <c r="B15" s="6" t="s">
        <v>6</v>
      </c>
      <c r="C15" s="6"/>
      <c r="D15" s="102">
        <v>221427</v>
      </c>
      <c r="E15" s="6"/>
      <c r="F15" s="10">
        <v>0.22</v>
      </c>
      <c r="G15" s="6"/>
      <c r="H15" s="102">
        <v>184210</v>
      </c>
      <c r="I15" s="6"/>
      <c r="J15" s="10">
        <v>0.21</v>
      </c>
      <c r="K15" s="6"/>
      <c r="L15" s="6"/>
      <c r="M15" s="6"/>
      <c r="N15" s="6"/>
      <c r="O15" s="6"/>
      <c r="P15" s="6"/>
    </row>
    <row r="16" spans="1:16" ht="13">
      <c r="A16" s="6"/>
      <c r="B16" s="6" t="s">
        <v>7</v>
      </c>
      <c r="C16" s="6"/>
      <c r="D16" s="99">
        <v>630422</v>
      </c>
      <c r="E16" s="6"/>
      <c r="F16" s="10">
        <v>0.64</v>
      </c>
      <c r="G16" s="6"/>
      <c r="H16" s="99">
        <v>587354</v>
      </c>
      <c r="I16" s="6"/>
      <c r="J16" s="10">
        <v>0.66</v>
      </c>
      <c r="K16" s="6"/>
      <c r="L16" s="6"/>
      <c r="M16" s="6"/>
      <c r="N16" s="6"/>
      <c r="O16" s="6"/>
      <c r="P16" s="6"/>
    </row>
    <row r="17" spans="1:16" ht="13">
      <c r="A17" s="6"/>
      <c r="B17" s="6" t="s">
        <v>8</v>
      </c>
      <c r="C17" s="6"/>
      <c r="D17" s="99">
        <v>142170</v>
      </c>
      <c r="E17" s="6"/>
      <c r="F17" s="10">
        <v>0.14000000000000001</v>
      </c>
      <c r="G17" s="6"/>
      <c r="H17" s="99">
        <v>113499</v>
      </c>
      <c r="I17" s="6"/>
      <c r="J17" s="10">
        <v>0.13</v>
      </c>
      <c r="K17" s="6"/>
      <c r="L17" s="6"/>
      <c r="M17" s="6"/>
      <c r="N17" s="6"/>
      <c r="O17" s="6"/>
      <c r="P17" s="6"/>
    </row>
    <row r="18" spans="1:16" ht="13">
      <c r="A18" s="8"/>
      <c r="B18" s="8" t="s">
        <v>9</v>
      </c>
      <c r="C18" s="9"/>
      <c r="D18" s="103">
        <f>SUM(D15:D17)</f>
        <v>994019</v>
      </c>
      <c r="E18" s="6"/>
      <c r="F18" s="11">
        <f>SUM(F15:F17)</f>
        <v>1</v>
      </c>
      <c r="G18" s="6"/>
      <c r="H18" s="103">
        <f>SUM(H15:H17)</f>
        <v>885063</v>
      </c>
      <c r="I18" s="6"/>
      <c r="J18" s="11">
        <f>SUM(J15:J17)</f>
        <v>1</v>
      </c>
      <c r="K18" s="6"/>
      <c r="L18" s="6"/>
      <c r="M18" s="6"/>
      <c r="N18" s="6"/>
      <c r="O18" s="6"/>
      <c r="P18" s="6"/>
    </row>
    <row r="19" spans="1:16" ht="13">
      <c r="A19" s="6"/>
      <c r="B19" s="6"/>
      <c r="C19" s="6"/>
      <c r="D19" s="7"/>
      <c r="E19" s="6"/>
      <c r="F19" s="6"/>
      <c r="G19" s="6"/>
      <c r="H19" s="7"/>
      <c r="I19" s="6"/>
      <c r="J19" s="6"/>
      <c r="K19" s="6"/>
      <c r="L19" s="6"/>
      <c r="M19" s="6"/>
      <c r="N19" s="6"/>
      <c r="O19" s="6"/>
      <c r="P19" s="6"/>
    </row>
    <row r="20" spans="1:16" ht="13">
      <c r="A20" s="6"/>
      <c r="B20" s="6"/>
      <c r="C20" s="6"/>
      <c r="D20" s="7"/>
      <c r="E20" s="6"/>
      <c r="F20" s="6"/>
      <c r="G20" s="6"/>
      <c r="H20" s="7"/>
      <c r="I20" s="6"/>
      <c r="J20" s="6"/>
      <c r="K20" s="6"/>
      <c r="L20" s="6"/>
      <c r="M20" s="6"/>
      <c r="N20" s="6"/>
      <c r="O20" s="6"/>
      <c r="P20" s="6"/>
    </row>
    <row r="21" spans="1:16" ht="14">
      <c r="A21" s="15" t="s">
        <v>22</v>
      </c>
      <c r="B21" s="6"/>
      <c r="C21" s="6"/>
      <c r="D21" s="7"/>
      <c r="E21" s="6"/>
      <c r="F21" s="6"/>
      <c r="G21" s="6"/>
      <c r="H21" s="7"/>
      <c r="I21" s="6"/>
      <c r="J21" s="6"/>
      <c r="K21" s="6"/>
      <c r="L21" s="6"/>
      <c r="M21" s="6"/>
      <c r="N21" s="6"/>
      <c r="O21" s="6"/>
      <c r="P21" s="6"/>
    </row>
    <row r="22" spans="1:16" ht="13.5" thickBot="1">
      <c r="A22" s="12" t="s">
        <v>133</v>
      </c>
      <c r="B22" s="12"/>
      <c r="C22" s="12"/>
      <c r="D22" s="13"/>
      <c r="E22" s="12"/>
      <c r="F22" s="12"/>
      <c r="G22" s="12"/>
      <c r="H22" s="13"/>
      <c r="I22" s="12"/>
      <c r="J22" s="12"/>
      <c r="K22" s="6"/>
      <c r="L22" s="6"/>
      <c r="M22" s="6"/>
      <c r="N22" s="6"/>
      <c r="O22" s="6"/>
      <c r="P22" s="6"/>
    </row>
    <row r="23" spans="1:16" ht="13">
      <c r="A23" s="1"/>
      <c r="B23" s="1"/>
      <c r="C23" s="1"/>
      <c r="D23" s="127" t="s">
        <v>11</v>
      </c>
      <c r="E23" s="125"/>
      <c r="F23" s="125"/>
      <c r="G23" s="1"/>
      <c r="H23" s="125" t="s">
        <v>10</v>
      </c>
      <c r="I23" s="125"/>
      <c r="J23" s="125"/>
      <c r="K23" s="9"/>
      <c r="L23" s="6"/>
      <c r="M23" s="6"/>
      <c r="N23" s="6"/>
      <c r="O23" s="6"/>
      <c r="P23" s="6"/>
    </row>
    <row r="24" spans="1:16" ht="13">
      <c r="A24" s="23" t="s">
        <v>74</v>
      </c>
      <c r="B24" s="22"/>
      <c r="C24" s="6"/>
      <c r="D24" s="104" t="s">
        <v>12</v>
      </c>
      <c r="E24" s="20"/>
      <c r="F24" s="21">
        <v>2001</v>
      </c>
      <c r="G24" s="20"/>
      <c r="H24" s="107">
        <v>2002</v>
      </c>
      <c r="I24" s="20"/>
      <c r="J24" s="21">
        <v>2001</v>
      </c>
      <c r="K24" s="6"/>
      <c r="L24" s="6"/>
      <c r="M24" s="6"/>
      <c r="N24" s="6"/>
      <c r="O24" s="6"/>
      <c r="P24" s="6"/>
    </row>
    <row r="25" spans="1:16" ht="13">
      <c r="A25" s="6"/>
      <c r="B25" s="17" t="s">
        <v>28</v>
      </c>
      <c r="C25" s="6"/>
      <c r="D25" s="102"/>
      <c r="E25" s="24"/>
      <c r="F25" s="24"/>
      <c r="G25" s="24"/>
      <c r="H25" s="102"/>
      <c r="I25" s="24"/>
      <c r="J25" s="24"/>
      <c r="K25" s="6"/>
      <c r="L25" s="6"/>
      <c r="M25" s="6"/>
      <c r="N25" s="6"/>
      <c r="O25" s="6"/>
      <c r="P25" s="6"/>
    </row>
    <row r="26" spans="1:16" ht="13">
      <c r="A26" s="6"/>
      <c r="B26" s="18" t="s">
        <v>25</v>
      </c>
      <c r="C26" s="6"/>
      <c r="D26" s="102">
        <f>H26-366860</f>
        <v>145098</v>
      </c>
      <c r="E26" s="24"/>
      <c r="F26" s="24">
        <f>J26-316647</f>
        <v>133845</v>
      </c>
      <c r="G26" s="24"/>
      <c r="H26" s="102">
        <f>430012+81946</f>
        <v>511958</v>
      </c>
      <c r="I26" s="24"/>
      <c r="J26" s="24">
        <f>196665+98573+110816+44438</f>
        <v>450492</v>
      </c>
      <c r="K26" s="6"/>
      <c r="L26" s="6"/>
      <c r="M26" s="6"/>
      <c r="N26" s="6"/>
      <c r="O26" s="6"/>
      <c r="P26" s="6"/>
    </row>
    <row r="27" spans="1:16" ht="13">
      <c r="A27" s="6"/>
      <c r="B27" s="18" t="s">
        <v>26</v>
      </c>
      <c r="C27" s="6"/>
      <c r="D27" s="105">
        <f>H27-83326</f>
        <v>25768</v>
      </c>
      <c r="E27" s="28"/>
      <c r="F27" s="28">
        <f>J27-71094</f>
        <v>20079</v>
      </c>
      <c r="G27" s="28"/>
      <c r="H27" s="105">
        <v>109094</v>
      </c>
      <c r="I27" s="28"/>
      <c r="J27" s="28">
        <v>91173</v>
      </c>
      <c r="K27" s="6"/>
      <c r="L27" s="6"/>
      <c r="M27" s="6"/>
      <c r="N27" s="6"/>
      <c r="O27" s="6"/>
      <c r="P27" s="6"/>
    </row>
    <row r="28" spans="1:16" ht="13">
      <c r="A28" s="22"/>
      <c r="B28" s="31" t="s">
        <v>27</v>
      </c>
      <c r="C28" s="6"/>
      <c r="D28" s="106">
        <f>H28-39100</f>
        <v>11253</v>
      </c>
      <c r="E28" s="28"/>
      <c r="F28" s="34">
        <f>J28-39945</f>
        <v>12897</v>
      </c>
      <c r="G28" s="28"/>
      <c r="H28" s="106">
        <f>35621+202+1684+487+12359</f>
        <v>50353</v>
      </c>
      <c r="I28" s="28"/>
      <c r="J28" s="34">
        <f>17139+2830+28737+1065+3071</f>
        <v>52842</v>
      </c>
      <c r="K28" s="6"/>
      <c r="L28" s="6"/>
      <c r="M28" s="6"/>
      <c r="N28" s="6"/>
      <c r="O28" s="6"/>
      <c r="P28" s="6"/>
    </row>
    <row r="29" spans="1:16" ht="13">
      <c r="A29" s="6"/>
      <c r="B29" s="18" t="s">
        <v>150</v>
      </c>
      <c r="C29" s="6"/>
      <c r="D29" s="105">
        <f>SUM(D26:D28)</f>
        <v>182119</v>
      </c>
      <c r="E29" s="28"/>
      <c r="F29" s="28">
        <f>SUM(F26:F28)</f>
        <v>166821</v>
      </c>
      <c r="G29" s="28"/>
      <c r="H29" s="105">
        <f>SUM(H26:H28)</f>
        <v>671405</v>
      </c>
      <c r="I29" s="28"/>
      <c r="J29" s="28">
        <f>SUM(J26:J28)</f>
        <v>594507</v>
      </c>
      <c r="K29" s="6"/>
      <c r="L29" s="6"/>
      <c r="M29" s="6"/>
      <c r="N29" s="6"/>
      <c r="O29" s="6"/>
      <c r="P29" s="6"/>
    </row>
    <row r="30" spans="1:16" ht="13">
      <c r="A30" s="6"/>
      <c r="B30" s="6" t="s">
        <v>151</v>
      </c>
      <c r="C30" s="6"/>
      <c r="D30" s="99">
        <f>H30-242714</f>
        <v>79900</v>
      </c>
      <c r="E30" s="6"/>
      <c r="F30" s="28">
        <f>J30-202913</f>
        <v>87643</v>
      </c>
      <c r="G30" s="6"/>
      <c r="H30" s="99">
        <v>322614</v>
      </c>
      <c r="I30" s="6"/>
      <c r="J30" s="28">
        <v>290556</v>
      </c>
      <c r="K30" s="6"/>
      <c r="L30" s="6"/>
      <c r="M30" s="6"/>
      <c r="N30" s="6"/>
      <c r="O30" s="6"/>
      <c r="P30" s="6"/>
    </row>
    <row r="31" spans="1:16" ht="13">
      <c r="A31" s="8"/>
      <c r="B31" s="8" t="s">
        <v>9</v>
      </c>
      <c r="C31" s="6"/>
      <c r="D31" s="103">
        <f>SUM(D29:D30)</f>
        <v>262019</v>
      </c>
      <c r="E31" s="24"/>
      <c r="F31" s="25">
        <f>SUM(F29:F30)</f>
        <v>254464</v>
      </c>
      <c r="G31" s="24"/>
      <c r="H31" s="103">
        <f>SUM(H29:H30)</f>
        <v>994019</v>
      </c>
      <c r="I31" s="24"/>
      <c r="J31" s="25">
        <f>SUM(J29:J30)</f>
        <v>885063</v>
      </c>
      <c r="K31" s="24"/>
      <c r="L31" s="6"/>
      <c r="M31" s="6"/>
      <c r="N31" s="6"/>
      <c r="O31" s="6"/>
      <c r="P31" s="6"/>
    </row>
    <row r="32" spans="1:16" ht="13">
      <c r="A32" s="6"/>
      <c r="B32" s="6"/>
      <c r="C32" s="6"/>
      <c r="D32" s="7"/>
      <c r="E32" s="6"/>
      <c r="F32" s="6"/>
      <c r="G32" s="6"/>
      <c r="H32" s="7"/>
      <c r="I32" s="6"/>
      <c r="J32" s="6"/>
      <c r="K32" s="6"/>
      <c r="L32" s="6"/>
      <c r="M32" s="6"/>
      <c r="N32" s="6"/>
      <c r="O32" s="6"/>
      <c r="P32" s="6"/>
    </row>
    <row r="33" spans="1:16" ht="13">
      <c r="A33" s="32" t="s">
        <v>152</v>
      </c>
      <c r="B33" s="6" t="s">
        <v>183</v>
      </c>
      <c r="C33" s="6"/>
      <c r="D33" s="7"/>
      <c r="E33" s="6"/>
      <c r="F33" s="6"/>
      <c r="G33" s="6"/>
      <c r="H33" s="7"/>
      <c r="I33" s="6"/>
      <c r="J33" s="6"/>
      <c r="K33" s="6"/>
      <c r="L33" s="6"/>
      <c r="M33" s="6"/>
      <c r="N33" s="6"/>
      <c r="O33" s="6"/>
      <c r="P33" s="6"/>
    </row>
    <row r="34" spans="1:16" ht="13">
      <c r="A34" s="6"/>
      <c r="B34" s="6" t="s">
        <v>23</v>
      </c>
      <c r="C34" s="6"/>
      <c r="D34" s="102">
        <f>H34-86679</f>
        <v>19865</v>
      </c>
      <c r="E34" s="24"/>
      <c r="F34" s="24">
        <f>J34-58415</f>
        <v>12091</v>
      </c>
      <c r="G34" s="24"/>
      <c r="H34" s="102">
        <v>106544</v>
      </c>
      <c r="I34" s="24"/>
      <c r="J34" s="24">
        <v>70506</v>
      </c>
      <c r="K34" s="6"/>
      <c r="L34" s="6"/>
      <c r="M34" s="6"/>
      <c r="N34" s="6"/>
      <c r="O34" s="6"/>
      <c r="P34" s="6"/>
    </row>
    <row r="35" spans="1:16" ht="13">
      <c r="A35" s="9"/>
      <c r="B35" s="9" t="s">
        <v>24</v>
      </c>
      <c r="C35" s="9"/>
      <c r="D35" s="108">
        <f>H35-99489</f>
        <v>63019</v>
      </c>
      <c r="E35" s="9"/>
      <c r="F35" s="37">
        <f>J35-113029</f>
        <v>55881</v>
      </c>
      <c r="G35" s="9"/>
      <c r="H35" s="108">
        <v>162508</v>
      </c>
      <c r="I35" s="9"/>
      <c r="J35" s="37">
        <v>168910</v>
      </c>
      <c r="K35" s="9"/>
      <c r="L35" s="6"/>
      <c r="M35" s="6"/>
      <c r="N35" s="6"/>
      <c r="O35" s="6"/>
      <c r="P35" s="6"/>
    </row>
    <row r="36" spans="1:16" ht="13">
      <c r="A36" s="9"/>
      <c r="B36" s="9" t="s">
        <v>29</v>
      </c>
      <c r="C36" s="9"/>
      <c r="D36" s="108">
        <f>H36-269173</f>
        <v>88190</v>
      </c>
      <c r="E36" s="9"/>
      <c r="F36" s="37">
        <f>J36-221785</f>
        <v>85487</v>
      </c>
      <c r="G36" s="9"/>
      <c r="H36" s="108">
        <v>357363</v>
      </c>
      <c r="I36" s="9"/>
      <c r="J36" s="37">
        <v>307272</v>
      </c>
      <c r="K36" s="9"/>
      <c r="L36" s="6"/>
      <c r="M36" s="6"/>
      <c r="N36" s="6"/>
      <c r="O36" s="6"/>
      <c r="P36" s="6"/>
    </row>
    <row r="37" spans="1:16" ht="13">
      <c r="A37" s="9"/>
      <c r="B37" s="9" t="s">
        <v>30</v>
      </c>
      <c r="C37" s="9"/>
      <c r="D37" s="108">
        <f>H37-33945</f>
        <v>11045</v>
      </c>
      <c r="E37" s="9"/>
      <c r="F37" s="37">
        <f>J37-33721-736</f>
        <v>13362</v>
      </c>
      <c r="G37" s="9"/>
      <c r="H37" s="108">
        <v>44990</v>
      </c>
      <c r="I37" s="9"/>
      <c r="J37" s="37">
        <f>46754+1065</f>
        <v>47819</v>
      </c>
      <c r="K37" s="9"/>
      <c r="L37" s="6"/>
      <c r="M37" s="6"/>
      <c r="N37" s="6"/>
      <c r="O37" s="6"/>
      <c r="P37" s="6"/>
    </row>
    <row r="38" spans="1:16" ht="13">
      <c r="A38" s="8"/>
      <c r="B38" s="8" t="s">
        <v>31</v>
      </c>
      <c r="C38" s="9"/>
      <c r="D38" s="103">
        <f>SUM(D34:D37)</f>
        <v>182119</v>
      </c>
      <c r="E38" s="33"/>
      <c r="F38" s="25">
        <f>SUM(F34:F37)</f>
        <v>166821</v>
      </c>
      <c r="G38" s="33"/>
      <c r="H38" s="103">
        <f>SUM(H34:H37)</f>
        <v>671405</v>
      </c>
      <c r="I38" s="33"/>
      <c r="J38" s="25">
        <f>SUM(J34:J37)</f>
        <v>594507</v>
      </c>
      <c r="K38" s="9"/>
      <c r="L38" s="6"/>
      <c r="M38" s="6"/>
      <c r="N38" s="6"/>
      <c r="O38" s="6"/>
      <c r="P38" s="6"/>
    </row>
    <row r="39" spans="1:16" ht="13">
      <c r="A39" s="9"/>
      <c r="B39" s="9"/>
      <c r="C39" s="9"/>
      <c r="D39" s="14"/>
      <c r="E39" s="9"/>
      <c r="F39" s="9"/>
      <c r="G39" s="9"/>
      <c r="H39" s="14"/>
      <c r="I39" s="9"/>
      <c r="J39" s="9"/>
      <c r="K39" s="9"/>
      <c r="L39" s="6"/>
      <c r="M39" s="6"/>
      <c r="N39" s="6"/>
      <c r="O39" s="6"/>
      <c r="P39" s="6"/>
    </row>
    <row r="40" spans="1:16" ht="13">
      <c r="A40" s="35" t="s">
        <v>153</v>
      </c>
      <c r="B40" s="9" t="s">
        <v>32</v>
      </c>
      <c r="C40" s="9"/>
      <c r="D40" s="14"/>
      <c r="E40" s="9"/>
      <c r="F40" s="9"/>
      <c r="G40" s="9"/>
      <c r="H40" s="14"/>
      <c r="I40" s="9"/>
      <c r="J40" s="9"/>
      <c r="K40" s="9"/>
      <c r="L40" s="6"/>
      <c r="M40" s="6"/>
      <c r="N40" s="6"/>
      <c r="O40" s="6"/>
      <c r="P40" s="6"/>
    </row>
    <row r="41" spans="1:16" ht="13">
      <c r="A41" s="9"/>
      <c r="B41" s="9" t="s">
        <v>33</v>
      </c>
      <c r="C41" s="9"/>
      <c r="D41" s="109">
        <f>H41-46346</f>
        <v>16285</v>
      </c>
      <c r="E41" s="33"/>
      <c r="F41" s="33">
        <f>J41-5190</f>
        <v>15079</v>
      </c>
      <c r="G41" s="33"/>
      <c r="H41" s="109">
        <v>62631</v>
      </c>
      <c r="I41" s="33"/>
      <c r="J41" s="33">
        <v>20269</v>
      </c>
      <c r="K41" s="9"/>
      <c r="L41" s="6"/>
      <c r="M41" s="6"/>
      <c r="N41" s="6"/>
      <c r="O41" s="6"/>
      <c r="P41" s="6"/>
    </row>
    <row r="42" spans="1:16" ht="13">
      <c r="A42" s="9"/>
      <c r="B42" s="9" t="s">
        <v>34</v>
      </c>
      <c r="C42" s="9"/>
      <c r="D42" s="108">
        <f>H42-100583</f>
        <v>32781</v>
      </c>
      <c r="E42" s="9"/>
      <c r="F42" s="37">
        <f>J42-88672</f>
        <v>35387</v>
      </c>
      <c r="G42" s="9"/>
      <c r="H42" s="108">
        <v>133364</v>
      </c>
      <c r="I42" s="9"/>
      <c r="J42" s="37">
        <v>124059</v>
      </c>
      <c r="K42" s="9"/>
      <c r="L42" s="6"/>
      <c r="M42" s="6"/>
      <c r="N42" s="6"/>
      <c r="O42" s="6"/>
      <c r="P42" s="6"/>
    </row>
    <row r="43" spans="1:16" ht="13">
      <c r="A43" s="9"/>
      <c r="B43" s="9" t="s">
        <v>35</v>
      </c>
      <c r="C43" s="9"/>
      <c r="D43" s="108">
        <f>H43-27753</f>
        <v>10133</v>
      </c>
      <c r="E43" s="9"/>
      <c r="F43" s="37">
        <f>J43-35131</f>
        <v>12226</v>
      </c>
      <c r="G43" s="9"/>
      <c r="H43" s="108">
        <v>37886</v>
      </c>
      <c r="I43" s="9"/>
      <c r="J43" s="37">
        <v>47357</v>
      </c>
      <c r="K43" s="9"/>
      <c r="L43" s="6"/>
      <c r="M43" s="6"/>
      <c r="N43" s="6"/>
      <c r="O43" s="6"/>
      <c r="P43" s="6"/>
    </row>
    <row r="44" spans="1:16" ht="13">
      <c r="A44" s="9"/>
      <c r="B44" s="9" t="s">
        <v>36</v>
      </c>
      <c r="C44" s="9"/>
      <c r="D44" s="108">
        <f>H44-50688</f>
        <v>3884</v>
      </c>
      <c r="E44" s="9"/>
      <c r="F44" s="37">
        <f>J44-63109</f>
        <v>24606</v>
      </c>
      <c r="G44" s="9"/>
      <c r="H44" s="108">
        <v>54572</v>
      </c>
      <c r="I44" s="9"/>
      <c r="J44" s="37">
        <v>87715</v>
      </c>
      <c r="K44" s="9"/>
      <c r="L44" s="6"/>
      <c r="M44" s="6"/>
      <c r="N44" s="6"/>
      <c r="O44" s="6"/>
      <c r="P44" s="6"/>
    </row>
    <row r="45" spans="1:16" ht="13">
      <c r="A45" s="22"/>
      <c r="B45" s="22" t="s">
        <v>38</v>
      </c>
      <c r="C45" s="9"/>
      <c r="D45" s="110">
        <f>H45-95</f>
        <v>147</v>
      </c>
      <c r="E45" s="9"/>
      <c r="F45" s="34">
        <f>J45-10063</f>
        <v>56</v>
      </c>
      <c r="G45" s="9"/>
      <c r="H45" s="110">
        <v>242</v>
      </c>
      <c r="I45" s="9"/>
      <c r="J45" s="34">
        <v>10119</v>
      </c>
      <c r="K45" s="9"/>
      <c r="L45" s="6"/>
      <c r="M45" s="6"/>
      <c r="N45" s="6"/>
      <c r="O45" s="6"/>
      <c r="P45" s="6"/>
    </row>
    <row r="46" spans="1:16" ht="13">
      <c r="A46" s="9"/>
      <c r="B46" s="9" t="s">
        <v>37</v>
      </c>
      <c r="C46" s="9"/>
      <c r="D46" s="108">
        <f>SUM(D41:D45)</f>
        <v>63230</v>
      </c>
      <c r="E46" s="9"/>
      <c r="F46" s="37">
        <f>SUM(F41:F45)</f>
        <v>87354</v>
      </c>
      <c r="G46" s="9"/>
      <c r="H46" s="108">
        <f>SUM(H41:H45)</f>
        <v>288695</v>
      </c>
      <c r="I46" s="9"/>
      <c r="J46" s="14">
        <f>SUM(J41:J45)</f>
        <v>289519</v>
      </c>
      <c r="K46" s="9"/>
      <c r="L46" s="6"/>
      <c r="M46" s="6"/>
      <c r="N46" s="6"/>
      <c r="O46" s="6"/>
      <c r="P46" s="6"/>
    </row>
    <row r="47" spans="1:16" ht="13">
      <c r="A47" s="9"/>
      <c r="B47" s="9" t="s">
        <v>184</v>
      </c>
      <c r="C47" s="9"/>
      <c r="D47" s="108">
        <f>H47-16337</f>
        <v>16360</v>
      </c>
      <c r="E47" s="9"/>
      <c r="F47" s="37">
        <v>0</v>
      </c>
      <c r="G47" s="9"/>
      <c r="H47" s="108">
        <v>32697</v>
      </c>
      <c r="I47" s="9"/>
      <c r="J47" s="37">
        <v>0</v>
      </c>
      <c r="K47" s="9"/>
      <c r="L47" s="6"/>
      <c r="M47" s="6"/>
      <c r="N47" s="6"/>
      <c r="O47" s="6"/>
      <c r="P47" s="6"/>
    </row>
    <row r="48" spans="1:16" ht="13">
      <c r="A48" s="9"/>
      <c r="B48" s="9" t="s">
        <v>39</v>
      </c>
      <c r="C48" s="9"/>
      <c r="D48" s="108">
        <f>H48-912</f>
        <v>310</v>
      </c>
      <c r="E48" s="9"/>
      <c r="F48" s="37">
        <f>J48-748</f>
        <v>289</v>
      </c>
      <c r="G48" s="9"/>
      <c r="H48" s="108">
        <f>121+698+403</f>
        <v>1222</v>
      </c>
      <c r="I48" s="9"/>
      <c r="J48" s="37">
        <v>1037</v>
      </c>
      <c r="K48" s="9"/>
      <c r="L48" s="6"/>
      <c r="M48" s="6"/>
      <c r="N48" s="6"/>
      <c r="O48" s="6"/>
      <c r="P48" s="6"/>
    </row>
    <row r="49" spans="1:16" ht="13">
      <c r="A49" s="8"/>
      <c r="B49" s="8" t="s">
        <v>31</v>
      </c>
      <c r="C49" s="9"/>
      <c r="D49" s="103">
        <f>SUM(D46:D48)</f>
        <v>79900</v>
      </c>
      <c r="E49" s="9"/>
      <c r="F49" s="25">
        <f>SUM(F46:F48)</f>
        <v>87643</v>
      </c>
      <c r="G49" s="9"/>
      <c r="H49" s="103">
        <f>SUM(H46:H48)</f>
        <v>322614</v>
      </c>
      <c r="I49" s="9"/>
      <c r="J49" s="25">
        <f>SUM(J46:J48)</f>
        <v>290556</v>
      </c>
      <c r="K49" s="9"/>
      <c r="L49" s="6"/>
      <c r="M49" s="6"/>
      <c r="N49" s="6"/>
      <c r="O49" s="6"/>
      <c r="P49" s="6"/>
    </row>
    <row r="50" spans="1:16" ht="13">
      <c r="A50" s="9"/>
      <c r="B50" s="9"/>
      <c r="C50" s="9"/>
      <c r="D50" s="33"/>
      <c r="E50" s="9"/>
      <c r="F50" s="33"/>
      <c r="G50" s="9"/>
      <c r="H50" s="33"/>
      <c r="I50" s="9"/>
      <c r="J50" s="33"/>
      <c r="K50" s="9"/>
      <c r="L50" s="6"/>
      <c r="M50" s="6"/>
      <c r="N50" s="6"/>
      <c r="O50" s="6"/>
      <c r="P50" s="6"/>
    </row>
    <row r="51" spans="1:16" ht="13">
      <c r="A51" s="48" t="s">
        <v>64</v>
      </c>
      <c r="B51" s="47" t="s">
        <v>79</v>
      </c>
      <c r="C51" s="9"/>
      <c r="D51" s="33"/>
      <c r="E51" s="9"/>
      <c r="F51" s="33"/>
      <c r="G51" s="9"/>
      <c r="H51" s="33"/>
      <c r="I51" s="9"/>
      <c r="J51" s="33"/>
      <c r="K51" s="9"/>
      <c r="L51" s="9"/>
      <c r="M51" s="9"/>
      <c r="N51" s="6"/>
      <c r="O51" s="6"/>
      <c r="P51" s="6"/>
    </row>
    <row r="52" spans="1:16" ht="13">
      <c r="A52" s="48" t="s">
        <v>42</v>
      </c>
      <c r="B52" s="47" t="s">
        <v>78</v>
      </c>
      <c r="C52" s="9"/>
      <c r="D52" s="33"/>
      <c r="E52" s="9"/>
      <c r="F52" s="33"/>
      <c r="G52" s="9"/>
      <c r="H52" s="33"/>
      <c r="I52" s="9"/>
      <c r="J52" s="33"/>
      <c r="K52" s="9"/>
      <c r="L52" s="9"/>
      <c r="M52" s="9"/>
      <c r="N52" s="6"/>
      <c r="O52" s="6"/>
      <c r="P52" s="6"/>
    </row>
    <row r="53" spans="1:16" ht="13">
      <c r="A53" s="9"/>
      <c r="B53" s="9"/>
      <c r="C53" s="9"/>
      <c r="D53" s="14"/>
      <c r="E53" s="9"/>
      <c r="F53" s="9"/>
      <c r="G53" s="9"/>
      <c r="H53" s="14"/>
      <c r="I53" s="9"/>
      <c r="J53" s="9"/>
      <c r="K53" s="9"/>
      <c r="L53" s="9"/>
      <c r="M53" s="9"/>
      <c r="N53" s="6"/>
      <c r="O53" s="6"/>
      <c r="P53" s="6"/>
    </row>
    <row r="54" spans="1:16" ht="13">
      <c r="A54" s="9"/>
      <c r="B54" s="9"/>
      <c r="C54" s="9"/>
      <c r="D54" s="14"/>
      <c r="E54" s="9"/>
      <c r="F54" s="9"/>
      <c r="G54" s="9"/>
      <c r="H54" s="14"/>
      <c r="I54" s="9"/>
      <c r="J54" s="9"/>
      <c r="K54" s="9"/>
      <c r="L54" s="9"/>
      <c r="M54" s="9"/>
      <c r="N54" s="6"/>
      <c r="O54" s="6"/>
      <c r="P54" s="6"/>
    </row>
    <row r="55" spans="1:16" ht="13">
      <c r="A55" s="9"/>
      <c r="B55" s="9"/>
      <c r="C55" s="9"/>
      <c r="D55" s="14"/>
      <c r="E55" s="9"/>
      <c r="F55" s="9"/>
      <c r="G55" s="9"/>
      <c r="H55" s="14"/>
      <c r="I55" s="9"/>
      <c r="J55" s="9"/>
      <c r="K55" s="9"/>
      <c r="L55" s="9"/>
      <c r="M55" s="9"/>
      <c r="N55" s="6"/>
      <c r="O55" s="6"/>
      <c r="P55" s="6"/>
    </row>
    <row r="56" spans="1:16" ht="13">
      <c r="A56" s="9"/>
      <c r="B56" s="9"/>
      <c r="C56" s="9"/>
      <c r="D56" s="14"/>
      <c r="E56" s="9"/>
      <c r="F56" s="9"/>
      <c r="G56" s="9"/>
      <c r="H56" s="14"/>
      <c r="I56" s="9"/>
      <c r="J56" s="9"/>
      <c r="K56" s="9"/>
      <c r="L56" s="9"/>
      <c r="M56" s="9"/>
      <c r="N56" s="6"/>
      <c r="O56" s="6"/>
      <c r="P56" s="6"/>
    </row>
    <row r="57" spans="1:16" ht="13">
      <c r="A57" s="9"/>
      <c r="B57" s="9"/>
      <c r="C57" s="9"/>
      <c r="D57" s="14"/>
      <c r="E57" s="9"/>
      <c r="F57" s="9"/>
      <c r="G57" s="9"/>
      <c r="H57" s="14"/>
      <c r="I57" s="9"/>
      <c r="J57" s="9"/>
      <c r="K57" s="9"/>
      <c r="L57" s="9"/>
      <c r="M57" s="9"/>
      <c r="N57" s="6"/>
      <c r="O57" s="6"/>
      <c r="P57" s="6"/>
    </row>
    <row r="58" spans="1:16" ht="13">
      <c r="A58" s="6"/>
      <c r="B58" s="6"/>
      <c r="C58" s="6"/>
      <c r="D58" s="7"/>
      <c r="E58" s="6"/>
      <c r="F58" s="6"/>
      <c r="G58" s="6"/>
      <c r="H58" s="7"/>
      <c r="I58" s="6"/>
      <c r="J58" s="6"/>
      <c r="K58" s="6"/>
      <c r="L58" s="9"/>
      <c r="M58" s="9"/>
      <c r="N58" s="6"/>
      <c r="O58" s="6"/>
      <c r="P58" s="6"/>
    </row>
    <row r="59" spans="1:16" ht="14">
      <c r="A59" s="15" t="s">
        <v>185</v>
      </c>
      <c r="B59" s="6"/>
      <c r="C59" s="6"/>
      <c r="D59" s="7"/>
      <c r="E59" s="6"/>
      <c r="F59" s="6"/>
      <c r="G59" s="6"/>
      <c r="H59" s="7"/>
      <c r="I59" s="6"/>
      <c r="J59" s="6"/>
      <c r="K59" s="6"/>
      <c r="L59" s="9"/>
      <c r="M59" s="9"/>
      <c r="N59" s="6"/>
      <c r="O59" s="6"/>
      <c r="P59" s="6"/>
    </row>
    <row r="60" spans="1:16" ht="13.5" thickBot="1">
      <c r="A60" s="12" t="s">
        <v>186</v>
      </c>
      <c r="B60" s="12"/>
      <c r="C60" s="12"/>
      <c r="D60" s="13"/>
      <c r="E60" s="12"/>
      <c r="F60" s="12"/>
      <c r="G60" s="12"/>
      <c r="H60" s="13"/>
      <c r="I60" s="12"/>
      <c r="J60" s="12"/>
      <c r="K60" s="6"/>
      <c r="L60" s="9"/>
      <c r="M60" s="9"/>
      <c r="N60" s="6"/>
      <c r="O60" s="6"/>
      <c r="P60" s="6"/>
    </row>
    <row r="61" spans="1:16" ht="13">
      <c r="A61" s="1"/>
      <c r="B61" s="1"/>
      <c r="C61" s="1"/>
      <c r="D61" s="127" t="s">
        <v>11</v>
      </c>
      <c r="E61" s="125"/>
      <c r="F61" s="125"/>
      <c r="G61" s="1"/>
      <c r="H61" s="125" t="s">
        <v>10</v>
      </c>
      <c r="I61" s="125"/>
      <c r="J61" s="125"/>
      <c r="K61" s="9"/>
      <c r="L61" s="9"/>
      <c r="M61" s="9"/>
      <c r="N61" s="6"/>
      <c r="O61" s="6"/>
      <c r="P61" s="6"/>
    </row>
    <row r="62" spans="1:16" ht="13">
      <c r="A62" s="23" t="s">
        <v>74</v>
      </c>
      <c r="B62" s="22"/>
      <c r="C62" s="6"/>
      <c r="D62" s="104" t="s">
        <v>12</v>
      </c>
      <c r="E62" s="20"/>
      <c r="F62" s="21">
        <v>2001</v>
      </c>
      <c r="G62" s="20"/>
      <c r="H62" s="107">
        <v>2002</v>
      </c>
      <c r="I62" s="20"/>
      <c r="J62" s="21">
        <v>2001</v>
      </c>
      <c r="K62" s="6"/>
      <c r="L62" s="9"/>
      <c r="M62" s="9"/>
      <c r="N62" s="6"/>
      <c r="O62" s="6"/>
      <c r="P62" s="6"/>
    </row>
    <row r="63" spans="1:16" ht="13">
      <c r="A63" s="6"/>
      <c r="B63" s="17" t="s">
        <v>13</v>
      </c>
      <c r="C63" s="6"/>
      <c r="D63" s="102">
        <f>-5570+96575+352</f>
        <v>91357</v>
      </c>
      <c r="E63" s="24"/>
      <c r="F63" s="24">
        <f>-33261+102630+685</f>
        <v>70054</v>
      </c>
      <c r="G63" s="24"/>
      <c r="H63" s="102">
        <f>2207+292544+1533</f>
        <v>296284</v>
      </c>
      <c r="I63" s="24"/>
      <c r="J63" s="24">
        <f>6880+265245+2355</f>
        <v>274480</v>
      </c>
      <c r="K63" s="6"/>
      <c r="L63" s="9"/>
      <c r="M63" s="9"/>
      <c r="N63" s="6"/>
      <c r="O63" s="6"/>
      <c r="P63" s="6"/>
    </row>
    <row r="64" spans="1:16" ht="13">
      <c r="A64" s="6"/>
      <c r="B64" s="6" t="s">
        <v>143</v>
      </c>
      <c r="C64" s="6"/>
      <c r="D64" s="105">
        <f>17802+43+17061</f>
        <v>34906</v>
      </c>
      <c r="E64" s="28"/>
      <c r="F64" s="28">
        <f>29272-149+19590</f>
        <v>48713</v>
      </c>
      <c r="G64" s="28"/>
      <c r="H64" s="105">
        <f>95430-1347+68476</f>
        <v>162559</v>
      </c>
      <c r="I64" s="28"/>
      <c r="J64" s="28">
        <f>94285-405+65427</f>
        <v>159307</v>
      </c>
      <c r="K64" s="6"/>
      <c r="L64" s="9"/>
      <c r="M64" s="9"/>
      <c r="N64" s="6"/>
      <c r="O64" s="6"/>
      <c r="P64" s="6"/>
    </row>
    <row r="65" spans="1:16" ht="13">
      <c r="A65" s="8"/>
      <c r="B65" s="8" t="s">
        <v>9</v>
      </c>
      <c r="C65" s="6"/>
      <c r="D65" s="103">
        <f>SUM(D63:D64)</f>
        <v>126263</v>
      </c>
      <c r="E65" s="24"/>
      <c r="F65" s="25">
        <f>SUM(F63:F64)</f>
        <v>118767</v>
      </c>
      <c r="G65" s="24"/>
      <c r="H65" s="103">
        <f>SUM(H63:H64)</f>
        <v>458843</v>
      </c>
      <c r="I65" s="24"/>
      <c r="J65" s="25">
        <f>SUM(J63:J64)</f>
        <v>433787</v>
      </c>
      <c r="K65" s="24"/>
      <c r="L65" s="9"/>
      <c r="M65" s="9"/>
      <c r="N65" s="6"/>
      <c r="O65" s="6"/>
      <c r="P65" s="6"/>
    </row>
    <row r="66" spans="1:16" ht="13">
      <c r="A66" s="9"/>
      <c r="B66" s="9"/>
      <c r="C66" s="6"/>
      <c r="D66" s="33"/>
      <c r="E66" s="24"/>
      <c r="F66" s="33"/>
      <c r="G66" s="24"/>
      <c r="H66" s="33"/>
      <c r="I66" s="24"/>
      <c r="J66" s="33"/>
      <c r="K66" s="24"/>
      <c r="L66" s="9"/>
      <c r="M66" s="9"/>
      <c r="N66" s="6"/>
      <c r="O66" s="6"/>
      <c r="P66" s="6"/>
    </row>
    <row r="67" spans="1:16" ht="13">
      <c r="A67" s="36" t="s">
        <v>144</v>
      </c>
      <c r="B67" s="9" t="s">
        <v>68</v>
      </c>
      <c r="C67" s="6"/>
      <c r="D67" s="33"/>
      <c r="E67" s="24"/>
      <c r="F67" s="33"/>
      <c r="G67" s="24"/>
      <c r="H67" s="33"/>
      <c r="I67" s="24"/>
      <c r="J67" s="33"/>
      <c r="K67" s="24"/>
      <c r="L67" s="9"/>
      <c r="M67" s="9"/>
      <c r="N67" s="6"/>
      <c r="O67" s="6"/>
      <c r="P67" s="6"/>
    </row>
    <row r="68" spans="1:16" ht="13">
      <c r="A68" s="9"/>
      <c r="B68" s="9" t="s">
        <v>33</v>
      </c>
      <c r="C68" s="9"/>
      <c r="D68" s="109">
        <f>6074+2248</f>
        <v>8322</v>
      </c>
      <c r="E68" s="33"/>
      <c r="F68" s="33">
        <f>6329+1704</f>
        <v>8033</v>
      </c>
      <c r="G68" s="33"/>
      <c r="H68" s="109">
        <f>20881+8970</f>
        <v>29851</v>
      </c>
      <c r="I68" s="33"/>
      <c r="J68" s="33">
        <f>6436+3007</f>
        <v>9443</v>
      </c>
      <c r="K68" s="24"/>
      <c r="L68" s="9"/>
      <c r="M68" s="9"/>
      <c r="N68" s="6"/>
      <c r="O68" s="6"/>
      <c r="P68" s="6"/>
    </row>
    <row r="69" spans="1:16" ht="13">
      <c r="A69" s="9"/>
      <c r="B69" s="9" t="s">
        <v>34</v>
      </c>
      <c r="C69" s="9"/>
      <c r="D69" s="111">
        <f>14217+4885</f>
        <v>19102</v>
      </c>
      <c r="E69" s="9"/>
      <c r="F69" s="37">
        <f>19780+4428</f>
        <v>24208</v>
      </c>
      <c r="G69" s="9"/>
      <c r="H69" s="111">
        <f>65949+20183</f>
        <v>86132</v>
      </c>
      <c r="I69" s="9"/>
      <c r="J69" s="37">
        <f>61880+17499</f>
        <v>79379</v>
      </c>
      <c r="K69" s="24"/>
      <c r="L69" s="9"/>
      <c r="M69" s="9"/>
      <c r="N69" s="6"/>
      <c r="O69" s="6"/>
      <c r="P69" s="6"/>
    </row>
    <row r="70" spans="1:16" ht="13">
      <c r="A70" s="9"/>
      <c r="B70" s="9" t="s">
        <v>80</v>
      </c>
      <c r="C70" s="9"/>
      <c r="D70" s="111">
        <f>-4402+1786</f>
        <v>-2616</v>
      </c>
      <c r="E70" s="9"/>
      <c r="F70" s="37">
        <f>-5240+9615</f>
        <v>4375</v>
      </c>
      <c r="G70" s="9"/>
      <c r="H70" s="111">
        <f>-24186+23170</f>
        <v>-1016</v>
      </c>
      <c r="I70" s="9"/>
      <c r="J70" s="37">
        <f>-3866+28761</f>
        <v>24895</v>
      </c>
      <c r="K70" s="24"/>
      <c r="L70" s="9"/>
      <c r="M70" s="9"/>
      <c r="N70" s="6"/>
      <c r="O70" s="6"/>
      <c r="P70" s="6"/>
    </row>
    <row r="71" spans="1:16" ht="13">
      <c r="A71" s="9"/>
      <c r="B71" s="9" t="s">
        <v>36</v>
      </c>
      <c r="C71" s="9"/>
      <c r="D71" s="111">
        <f>4867+2603</f>
        <v>7470</v>
      </c>
      <c r="E71" s="9"/>
      <c r="F71" s="37">
        <f>13752+2621</f>
        <v>16373</v>
      </c>
      <c r="G71" s="9"/>
      <c r="H71" s="111">
        <f>36776+10412</f>
        <v>47188</v>
      </c>
      <c r="I71" s="9"/>
      <c r="J71" s="37">
        <f>47830+10480</f>
        <v>58310</v>
      </c>
      <c r="K71" s="24"/>
      <c r="L71" s="9"/>
      <c r="M71" s="9"/>
      <c r="N71" s="6"/>
      <c r="O71" s="6"/>
      <c r="P71" s="6"/>
    </row>
    <row r="72" spans="1:16" ht="13">
      <c r="A72" s="22"/>
      <c r="B72" s="22" t="s">
        <v>81</v>
      </c>
      <c r="C72" s="9"/>
      <c r="D72" s="106">
        <f>-183+157</f>
        <v>-26</v>
      </c>
      <c r="E72" s="9"/>
      <c r="F72" s="34">
        <f>-830+1199</f>
        <v>369</v>
      </c>
      <c r="G72" s="9"/>
      <c r="H72" s="106">
        <f>-1849+331</f>
        <v>-1518</v>
      </c>
      <c r="I72" s="9"/>
      <c r="J72" s="34">
        <f>-3108+5583</f>
        <v>2475</v>
      </c>
      <c r="K72" s="24"/>
      <c r="L72" s="9"/>
      <c r="M72" s="9"/>
      <c r="N72" s="6"/>
      <c r="O72" s="6"/>
      <c r="P72" s="6"/>
    </row>
    <row r="73" spans="1:16" ht="13">
      <c r="A73" s="9"/>
      <c r="B73" s="9" t="s">
        <v>67</v>
      </c>
      <c r="C73" s="9"/>
      <c r="D73" s="111">
        <f>SUM(D68:D72)</f>
        <v>32252</v>
      </c>
      <c r="E73" s="9"/>
      <c r="F73" s="37">
        <f>SUM(F68:F72)</f>
        <v>53358</v>
      </c>
      <c r="G73" s="9"/>
      <c r="H73" s="111">
        <f>SUM(H68:H72)</f>
        <v>160637</v>
      </c>
      <c r="I73" s="9"/>
      <c r="J73" s="14">
        <f>SUM(J68:J72)</f>
        <v>174502</v>
      </c>
      <c r="K73" s="24"/>
      <c r="L73" s="9"/>
      <c r="M73" s="9"/>
      <c r="N73" s="6"/>
      <c r="O73" s="6"/>
      <c r="P73" s="6"/>
    </row>
    <row r="74" spans="1:16" ht="13">
      <c r="A74" s="9"/>
      <c r="B74" s="9" t="s">
        <v>187</v>
      </c>
      <c r="C74" s="9"/>
      <c r="D74" s="111">
        <f>-1265+5381</f>
        <v>4116</v>
      </c>
      <c r="E74" s="9"/>
      <c r="F74" s="37">
        <v>0</v>
      </c>
      <c r="G74" s="9"/>
      <c r="H74" s="111">
        <f>4080+5381</f>
        <v>9461</v>
      </c>
      <c r="I74" s="9"/>
      <c r="J74" s="37">
        <v>0</v>
      </c>
      <c r="K74" s="24"/>
      <c r="L74" s="9"/>
      <c r="M74" s="9"/>
      <c r="N74" s="6"/>
      <c r="O74" s="6"/>
      <c r="P74" s="6"/>
    </row>
    <row r="75" spans="1:16" ht="13">
      <c r="A75" s="9"/>
      <c r="B75" s="9" t="s">
        <v>82</v>
      </c>
      <c r="C75" s="9"/>
      <c r="D75" s="111">
        <f>-1463+1</f>
        <v>-1462</v>
      </c>
      <c r="E75" s="9"/>
      <c r="F75" s="37">
        <f>-4668+11+11+1</f>
        <v>-4645</v>
      </c>
      <c r="G75" s="9"/>
      <c r="H75" s="111">
        <f>-7567+15+14-1</f>
        <v>-7539</v>
      </c>
      <c r="I75" s="9"/>
      <c r="J75" s="37">
        <f>-15292+44+44+9</f>
        <v>-15195</v>
      </c>
      <c r="K75" s="24"/>
      <c r="L75" s="9"/>
      <c r="M75" s="9"/>
      <c r="N75" s="6"/>
      <c r="O75" s="6"/>
      <c r="P75" s="6"/>
    </row>
    <row r="76" spans="1:16" ht="13">
      <c r="A76" s="8"/>
      <c r="B76" s="8" t="s">
        <v>31</v>
      </c>
      <c r="C76" s="9"/>
      <c r="D76" s="103">
        <f>SUM(D73:D75)</f>
        <v>34906</v>
      </c>
      <c r="E76" s="9"/>
      <c r="F76" s="25">
        <f>SUM(F73:F75)</f>
        <v>48713</v>
      </c>
      <c r="G76" s="9"/>
      <c r="H76" s="103">
        <f>SUM(H73:H75)</f>
        <v>162559</v>
      </c>
      <c r="I76" s="9"/>
      <c r="J76" s="25">
        <f>SUM(J73:J75)</f>
        <v>159307</v>
      </c>
      <c r="K76" s="24"/>
      <c r="L76" s="9"/>
      <c r="M76" s="9"/>
      <c r="N76" s="6"/>
      <c r="O76" s="6"/>
      <c r="P76" s="6"/>
    </row>
    <row r="77" spans="1:16" ht="13">
      <c r="A77" s="9"/>
      <c r="B77" s="9"/>
      <c r="C77" s="6"/>
      <c r="D77" s="33"/>
      <c r="E77" s="24"/>
      <c r="F77" s="33"/>
      <c r="G77" s="24"/>
      <c r="H77" s="33"/>
      <c r="I77" s="24"/>
      <c r="J77" s="33"/>
      <c r="K77" s="24"/>
      <c r="L77" s="9"/>
      <c r="M77" s="9"/>
      <c r="N77" s="6"/>
      <c r="O77" s="6"/>
      <c r="P77" s="6"/>
    </row>
    <row r="78" spans="1:16" ht="13">
      <c r="A78" s="48" t="s">
        <v>64</v>
      </c>
      <c r="B78" s="47" t="s">
        <v>84</v>
      </c>
      <c r="C78" s="38"/>
      <c r="D78" s="33"/>
      <c r="E78" s="24"/>
      <c r="F78" s="33"/>
      <c r="G78" s="24"/>
      <c r="H78" s="33"/>
      <c r="I78" s="24"/>
      <c r="J78" s="33"/>
      <c r="K78" s="24"/>
      <c r="L78" s="9"/>
      <c r="M78" s="9"/>
      <c r="N78" s="6"/>
      <c r="O78" s="6"/>
      <c r="P78" s="6"/>
    </row>
    <row r="79" spans="1:16" ht="13">
      <c r="A79" s="49"/>
      <c r="B79" s="47" t="s">
        <v>85</v>
      </c>
      <c r="C79" s="38"/>
      <c r="D79" s="33"/>
      <c r="E79" s="24"/>
      <c r="F79" s="33"/>
      <c r="G79" s="24"/>
      <c r="H79" s="33"/>
      <c r="I79" s="24"/>
      <c r="J79" s="33"/>
      <c r="K79" s="24"/>
      <c r="L79" s="9"/>
      <c r="M79" s="9"/>
      <c r="N79" s="6"/>
      <c r="O79" s="6"/>
      <c r="P79" s="6"/>
    </row>
    <row r="80" spans="1:16" ht="13">
      <c r="A80" s="48" t="s">
        <v>42</v>
      </c>
      <c r="B80" s="47" t="s">
        <v>77</v>
      </c>
      <c r="C80" s="38"/>
      <c r="D80" s="33"/>
      <c r="E80" s="24"/>
      <c r="F80" s="33"/>
      <c r="G80" s="24"/>
      <c r="H80" s="33"/>
      <c r="I80" s="24"/>
      <c r="J80" s="33"/>
      <c r="K80" s="24"/>
      <c r="L80" s="9"/>
      <c r="M80" s="9"/>
      <c r="N80" s="6"/>
      <c r="O80" s="6"/>
      <c r="P80" s="6"/>
    </row>
    <row r="81" spans="1:16" ht="13">
      <c r="A81" s="48" t="s">
        <v>83</v>
      </c>
      <c r="B81" s="47" t="s">
        <v>78</v>
      </c>
      <c r="C81" s="38"/>
      <c r="D81" s="33"/>
      <c r="E81" s="24"/>
      <c r="F81" s="33"/>
      <c r="G81" s="24"/>
      <c r="H81" s="33"/>
      <c r="I81" s="24"/>
      <c r="J81" s="33"/>
      <c r="K81" s="24"/>
      <c r="L81" s="9"/>
      <c r="M81" s="9"/>
      <c r="N81" s="6"/>
      <c r="O81" s="6"/>
      <c r="P81" s="6"/>
    </row>
    <row r="82" spans="1:16" ht="13">
      <c r="A82" s="6"/>
      <c r="B82" s="6"/>
      <c r="C82" s="6"/>
      <c r="D82" s="7"/>
      <c r="E82" s="6"/>
      <c r="F82" s="6"/>
      <c r="G82" s="6"/>
      <c r="H82" s="7"/>
      <c r="I82" s="6"/>
      <c r="J82" s="6"/>
      <c r="K82" s="6"/>
      <c r="L82" s="9"/>
      <c r="M82" s="9"/>
      <c r="N82" s="6"/>
      <c r="O82" s="6"/>
      <c r="P82" s="6"/>
    </row>
    <row r="83" spans="1:16" ht="13">
      <c r="A83" s="6"/>
      <c r="B83" s="6"/>
      <c r="C83" s="6"/>
      <c r="D83" s="7"/>
      <c r="E83" s="6"/>
      <c r="F83" s="6"/>
      <c r="G83" s="6"/>
      <c r="H83" s="7"/>
      <c r="I83" s="6"/>
      <c r="J83" s="6"/>
      <c r="K83" s="6"/>
      <c r="L83" s="9"/>
      <c r="M83" s="9"/>
      <c r="N83" s="6"/>
      <c r="O83" s="6"/>
      <c r="P83" s="6"/>
    </row>
    <row r="84" spans="1:16" ht="14">
      <c r="A84" s="15" t="s">
        <v>66</v>
      </c>
      <c r="B84" s="6"/>
      <c r="C84" s="6"/>
      <c r="D84" s="7"/>
      <c r="E84" s="6"/>
      <c r="F84" s="6"/>
      <c r="G84" s="6"/>
      <c r="H84" s="7"/>
      <c r="I84" s="6"/>
      <c r="J84" s="6"/>
      <c r="K84" s="6"/>
      <c r="L84" s="9"/>
      <c r="M84" s="9"/>
      <c r="N84" s="6"/>
      <c r="O84" s="6"/>
      <c r="P84" s="6"/>
    </row>
    <row r="85" spans="1:16" ht="13.5" thickBot="1">
      <c r="A85" s="12" t="s">
        <v>73</v>
      </c>
      <c r="B85" s="12"/>
      <c r="C85" s="12"/>
      <c r="D85" s="13"/>
      <c r="E85" s="12"/>
      <c r="F85" s="12"/>
      <c r="G85" s="12"/>
      <c r="H85" s="13"/>
      <c r="I85" s="12"/>
      <c r="J85" s="12"/>
      <c r="K85" s="6"/>
      <c r="L85" s="9"/>
      <c r="M85" s="9"/>
      <c r="N85" s="6"/>
      <c r="O85" s="6"/>
      <c r="P85" s="6"/>
    </row>
    <row r="86" spans="1:16" ht="13">
      <c r="A86" s="6"/>
      <c r="B86" s="6"/>
      <c r="C86" s="6"/>
      <c r="D86" s="127" t="s">
        <v>11</v>
      </c>
      <c r="E86" s="125"/>
      <c r="F86" s="125"/>
      <c r="G86" s="1"/>
      <c r="H86" s="125" t="s">
        <v>10</v>
      </c>
      <c r="I86" s="125"/>
      <c r="J86" s="125"/>
      <c r="K86" s="6"/>
      <c r="L86" s="9"/>
      <c r="M86" s="9"/>
      <c r="N86" s="6"/>
      <c r="O86" s="6"/>
      <c r="P86" s="6"/>
    </row>
    <row r="87" spans="1:16" ht="13">
      <c r="A87" s="23" t="s">
        <v>74</v>
      </c>
      <c r="B87" s="22"/>
      <c r="C87" s="6"/>
      <c r="D87" s="104" t="s">
        <v>12</v>
      </c>
      <c r="E87" s="20"/>
      <c r="F87" s="21">
        <v>2001</v>
      </c>
      <c r="G87" s="20"/>
      <c r="H87" s="107">
        <v>2002</v>
      </c>
      <c r="I87" s="20"/>
      <c r="J87" s="21">
        <v>2001</v>
      </c>
      <c r="K87" s="6"/>
      <c r="L87" s="9"/>
      <c r="M87" s="9"/>
      <c r="N87" s="6"/>
      <c r="O87" s="6"/>
      <c r="P87" s="6"/>
    </row>
    <row r="88" spans="1:16" ht="13">
      <c r="A88" s="6"/>
      <c r="B88" s="6" t="s">
        <v>146</v>
      </c>
      <c r="C88" s="6"/>
      <c r="D88" s="102">
        <f>48004+838</f>
        <v>48842</v>
      </c>
      <c r="E88" s="24"/>
      <c r="F88" s="24">
        <v>45126</v>
      </c>
      <c r="G88" s="24"/>
      <c r="H88" s="102">
        <f>178136+3058</f>
        <v>181194</v>
      </c>
      <c r="I88" s="24"/>
      <c r="J88" s="24">
        <v>167860</v>
      </c>
      <c r="K88" s="6"/>
      <c r="L88" s="9"/>
      <c r="M88" s="9"/>
      <c r="N88" s="6"/>
      <c r="O88" s="6"/>
      <c r="P88" s="6"/>
    </row>
    <row r="89" spans="1:16" ht="13">
      <c r="A89" s="6"/>
      <c r="B89" s="6" t="s">
        <v>75</v>
      </c>
      <c r="C89" s="6"/>
      <c r="D89" s="105">
        <v>-5710</v>
      </c>
      <c r="E89" s="28"/>
      <c r="F89" s="28">
        <v>-6284</v>
      </c>
      <c r="G89" s="28"/>
      <c r="H89" s="105">
        <v>-31528</v>
      </c>
      <c r="I89" s="28"/>
      <c r="J89" s="28">
        <v>-30234</v>
      </c>
      <c r="K89" s="6"/>
      <c r="L89" s="9"/>
      <c r="M89" s="9"/>
      <c r="N89" s="6"/>
      <c r="O89" s="112"/>
      <c r="P89" s="6"/>
    </row>
    <row r="90" spans="1:16" ht="13">
      <c r="A90" s="6"/>
      <c r="B90" s="6" t="s">
        <v>76</v>
      </c>
      <c r="C90" s="6"/>
      <c r="D90" s="105">
        <f>70856-7737</f>
        <v>63119</v>
      </c>
      <c r="E90" s="28"/>
      <c r="F90" s="28">
        <f>84063-39070</f>
        <v>44993</v>
      </c>
      <c r="G90" s="28"/>
      <c r="H90" s="105">
        <f>212887-39780</f>
        <v>173107</v>
      </c>
      <c r="I90" s="28"/>
      <c r="J90" s="28">
        <f>195401-39070</f>
        <v>156331</v>
      </c>
      <c r="K90" s="6"/>
      <c r="L90" s="9"/>
      <c r="M90" s="9"/>
      <c r="N90" s="6"/>
      <c r="O90" s="6"/>
      <c r="P90" s="6"/>
    </row>
    <row r="91" spans="1:16" ht="13">
      <c r="A91" s="6"/>
      <c r="B91" s="6" t="s">
        <v>93</v>
      </c>
      <c r="C91" s="6"/>
      <c r="D91" s="105">
        <v>7737</v>
      </c>
      <c r="E91" s="28"/>
      <c r="F91" s="28">
        <v>39070</v>
      </c>
      <c r="G91" s="28"/>
      <c r="H91" s="105">
        <v>39780</v>
      </c>
      <c r="I91" s="28"/>
      <c r="J91" s="28">
        <v>39070</v>
      </c>
      <c r="K91" s="6"/>
      <c r="L91" s="9"/>
      <c r="M91" s="9"/>
      <c r="N91" s="6"/>
      <c r="O91" s="6"/>
      <c r="P91" s="6"/>
    </row>
    <row r="92" spans="1:16" ht="13">
      <c r="A92" s="8"/>
      <c r="B92" s="8" t="s">
        <v>9</v>
      </c>
      <c r="C92" s="6"/>
      <c r="D92" s="103">
        <f>SUM(D88:D91)</f>
        <v>113988</v>
      </c>
      <c r="E92" s="28"/>
      <c r="F92" s="25">
        <f>SUM(F88:F91)</f>
        <v>122905</v>
      </c>
      <c r="G92" s="28"/>
      <c r="H92" s="103">
        <f>SUM(H88:H91)</f>
        <v>362553</v>
      </c>
      <c r="I92" s="28"/>
      <c r="J92" s="25">
        <f>SUM(J88:J91)</f>
        <v>333027</v>
      </c>
      <c r="K92" s="6"/>
      <c r="L92" s="9"/>
      <c r="M92" s="9"/>
      <c r="N92" s="6"/>
      <c r="O92" s="6"/>
      <c r="P92" s="6"/>
    </row>
    <row r="93" spans="1:16" ht="13">
      <c r="A93" s="9"/>
      <c r="B93" s="9"/>
      <c r="C93" s="6"/>
      <c r="D93" s="33"/>
      <c r="E93" s="28"/>
      <c r="F93" s="33"/>
      <c r="G93" s="28"/>
      <c r="H93" s="33"/>
      <c r="I93" s="28"/>
      <c r="J93" s="33"/>
      <c r="K93" s="6"/>
      <c r="L93" s="9"/>
      <c r="M93" s="9"/>
      <c r="N93" s="6"/>
      <c r="O93" s="6"/>
      <c r="P93" s="6"/>
    </row>
    <row r="94" spans="1:16" ht="13">
      <c r="A94" s="48" t="s">
        <v>64</v>
      </c>
      <c r="B94" s="47" t="s">
        <v>145</v>
      </c>
      <c r="C94" s="38"/>
      <c r="D94" s="51"/>
      <c r="E94" s="44"/>
      <c r="F94" s="51"/>
      <c r="G94" s="44"/>
      <c r="H94" s="51"/>
      <c r="I94" s="44"/>
      <c r="J94" s="51"/>
      <c r="K94" s="6"/>
      <c r="L94" s="9"/>
      <c r="M94" s="9"/>
      <c r="N94" s="6"/>
      <c r="O94" s="6"/>
      <c r="P94" s="6"/>
    </row>
    <row r="95" spans="1:16" ht="13">
      <c r="A95" s="47"/>
      <c r="B95" s="47" t="s">
        <v>94</v>
      </c>
      <c r="C95" s="38"/>
      <c r="D95" s="51"/>
      <c r="E95" s="44"/>
      <c r="F95" s="51"/>
      <c r="G95" s="44"/>
      <c r="H95" s="51"/>
      <c r="I95" s="44"/>
      <c r="J95" s="51"/>
      <c r="K95" s="6"/>
      <c r="L95" s="9"/>
      <c r="M95" s="9"/>
      <c r="N95" s="6"/>
      <c r="O95" s="6"/>
      <c r="P95" s="6"/>
    </row>
    <row r="96" spans="1:16" ht="13">
      <c r="A96" s="47"/>
      <c r="B96" s="47" t="s">
        <v>96</v>
      </c>
      <c r="C96" s="38"/>
      <c r="D96" s="51"/>
      <c r="E96" s="44"/>
      <c r="F96" s="51"/>
      <c r="G96" s="44"/>
      <c r="H96" s="51"/>
      <c r="I96" s="44"/>
      <c r="J96" s="51"/>
      <c r="K96" s="6"/>
      <c r="L96" s="9"/>
      <c r="M96" s="9"/>
      <c r="N96" s="6"/>
      <c r="O96" s="6"/>
      <c r="P96" s="6"/>
    </row>
    <row r="97" spans="1:16" ht="13">
      <c r="A97" s="47"/>
      <c r="B97" s="47" t="s">
        <v>95</v>
      </c>
      <c r="C97" s="38"/>
      <c r="D97" s="51"/>
      <c r="E97" s="44"/>
      <c r="F97" s="51"/>
      <c r="G97" s="44"/>
      <c r="H97" s="51"/>
      <c r="I97" s="44"/>
      <c r="J97" s="51"/>
      <c r="K97" s="6"/>
      <c r="L97" s="9"/>
      <c r="M97" s="9"/>
      <c r="N97" s="6"/>
      <c r="O97" s="6"/>
      <c r="P97" s="6"/>
    </row>
    <row r="98" spans="1:16" ht="13">
      <c r="A98" s="48" t="s">
        <v>92</v>
      </c>
      <c r="B98" s="47" t="s">
        <v>154</v>
      </c>
      <c r="C98" s="38"/>
      <c r="D98" s="51"/>
      <c r="E98" s="44"/>
      <c r="F98" s="51"/>
      <c r="G98" s="44"/>
      <c r="H98" s="51"/>
      <c r="I98" s="44"/>
      <c r="J98" s="51"/>
      <c r="K98" s="6"/>
      <c r="L98" s="9"/>
      <c r="M98" s="9"/>
      <c r="N98" s="6"/>
      <c r="O98" s="6"/>
      <c r="P98" s="6"/>
    </row>
    <row r="99" spans="1:16" ht="13">
      <c r="A99" s="6"/>
      <c r="B99" s="6"/>
      <c r="C99" s="6"/>
      <c r="D99" s="28"/>
      <c r="E99" s="28"/>
      <c r="F99" s="28"/>
      <c r="G99" s="28"/>
      <c r="H99" s="28"/>
      <c r="I99" s="28"/>
      <c r="J99" s="28"/>
      <c r="K99" s="6"/>
      <c r="L99" s="9"/>
      <c r="M99" s="9"/>
      <c r="N99" s="6"/>
      <c r="O99" s="6"/>
      <c r="P99" s="6"/>
    </row>
    <row r="100" spans="1:16" ht="13">
      <c r="A100" s="6"/>
      <c r="B100" s="6"/>
      <c r="C100" s="6"/>
      <c r="D100" s="28"/>
      <c r="E100" s="28"/>
      <c r="F100" s="28"/>
      <c r="G100" s="28"/>
      <c r="H100" s="28"/>
      <c r="I100" s="28"/>
      <c r="J100" s="28"/>
      <c r="K100" s="6"/>
      <c r="L100" s="9"/>
      <c r="M100" s="9"/>
      <c r="N100" s="6"/>
      <c r="O100" s="6"/>
      <c r="P100" s="6"/>
    </row>
    <row r="101" spans="1:16" ht="14">
      <c r="A101" s="15" t="s">
        <v>14</v>
      </c>
      <c r="B101" s="6"/>
      <c r="C101" s="6"/>
      <c r="D101" s="7"/>
      <c r="E101" s="6"/>
      <c r="F101" s="6"/>
      <c r="G101" s="6"/>
      <c r="H101" s="7"/>
      <c r="I101" s="6"/>
      <c r="J101" s="6"/>
      <c r="K101" s="6"/>
      <c r="L101" s="9"/>
      <c r="M101" s="9"/>
      <c r="N101" s="6"/>
      <c r="O101" s="6"/>
      <c r="P101" s="6"/>
    </row>
    <row r="102" spans="1:16" ht="13.5" thickBot="1">
      <c r="A102" s="12" t="s">
        <v>194</v>
      </c>
      <c r="B102" s="12"/>
      <c r="C102" s="12"/>
      <c r="D102" s="13"/>
      <c r="E102" s="12"/>
      <c r="F102" s="12"/>
      <c r="G102" s="12"/>
      <c r="H102" s="13"/>
      <c r="I102" s="12"/>
      <c r="J102" s="12"/>
      <c r="K102" s="9"/>
      <c r="L102" s="9"/>
      <c r="M102" s="9"/>
      <c r="N102" s="6"/>
      <c r="O102" s="6"/>
      <c r="P102" s="6"/>
    </row>
    <row r="103" spans="1:16" ht="13">
      <c r="A103" s="6"/>
      <c r="B103" s="6"/>
      <c r="C103" s="6"/>
      <c r="D103" s="125" t="s">
        <v>11</v>
      </c>
      <c r="E103" s="125"/>
      <c r="F103" s="125"/>
      <c r="G103" s="6"/>
      <c r="H103" s="125" t="s">
        <v>10</v>
      </c>
      <c r="I103" s="125"/>
      <c r="J103" s="125"/>
      <c r="K103" s="6"/>
      <c r="L103" s="9"/>
      <c r="M103" s="9"/>
      <c r="N103" s="6"/>
      <c r="O103" s="6"/>
      <c r="P103" s="6"/>
    </row>
    <row r="104" spans="1:16" ht="13">
      <c r="A104" s="23" t="s">
        <v>74</v>
      </c>
      <c r="B104" s="22"/>
      <c r="C104" s="6"/>
      <c r="D104" s="113" t="s">
        <v>12</v>
      </c>
      <c r="E104" s="26"/>
      <c r="F104" s="27" t="s">
        <v>15</v>
      </c>
      <c r="G104" s="26"/>
      <c r="H104" s="113" t="s">
        <v>12</v>
      </c>
      <c r="I104" s="26"/>
      <c r="J104" s="27" t="s">
        <v>15</v>
      </c>
      <c r="K104" s="6"/>
      <c r="L104" s="9"/>
      <c r="M104" s="9"/>
      <c r="N104" s="6"/>
      <c r="O104" s="6"/>
      <c r="P104" s="6"/>
    </row>
    <row r="105" spans="1:16" ht="13">
      <c r="A105" s="6"/>
      <c r="B105" s="6" t="s">
        <v>155</v>
      </c>
      <c r="C105" s="6"/>
      <c r="D105" s="102">
        <v>0</v>
      </c>
      <c r="E105" s="24"/>
      <c r="F105" s="24">
        <v>0</v>
      </c>
      <c r="G105" s="24"/>
      <c r="H105" s="102">
        <f>-268403</f>
        <v>-268403</v>
      </c>
      <c r="I105" s="24"/>
      <c r="J105" s="24">
        <v>-13155</v>
      </c>
      <c r="K105" s="6"/>
      <c r="L105" s="9"/>
      <c r="M105" s="9"/>
      <c r="N105" s="6"/>
      <c r="O105" s="6"/>
      <c r="P105" s="6"/>
    </row>
    <row r="106" spans="1:16" ht="13">
      <c r="A106" s="6"/>
      <c r="B106" s="6" t="s">
        <v>16</v>
      </c>
      <c r="C106" s="6"/>
      <c r="D106" s="105">
        <v>0</v>
      </c>
      <c r="E106" s="28"/>
      <c r="F106" s="28">
        <v>0</v>
      </c>
      <c r="G106" s="28"/>
      <c r="H106" s="105">
        <v>-425214</v>
      </c>
      <c r="I106" s="28"/>
      <c r="J106" s="28">
        <v>0</v>
      </c>
      <c r="K106" s="28"/>
      <c r="L106" s="9"/>
      <c r="M106" s="9"/>
      <c r="N106" s="6"/>
      <c r="O106" s="6"/>
      <c r="P106" s="6"/>
    </row>
    <row r="107" spans="1:16" ht="13">
      <c r="A107" s="6"/>
      <c r="B107" s="6" t="s">
        <v>17</v>
      </c>
      <c r="C107" s="6"/>
      <c r="D107" s="105"/>
      <c r="E107" s="28"/>
      <c r="F107" s="28"/>
      <c r="G107" s="28"/>
      <c r="H107" s="105"/>
      <c r="I107" s="28"/>
      <c r="J107" s="28"/>
      <c r="K107" s="28"/>
      <c r="L107" s="9"/>
      <c r="M107" s="9"/>
      <c r="N107" s="6"/>
      <c r="O107" s="6"/>
      <c r="P107" s="6"/>
    </row>
    <row r="108" spans="1:16" ht="13">
      <c r="A108" s="6"/>
      <c r="B108" s="6" t="s">
        <v>18</v>
      </c>
      <c r="C108" s="6"/>
      <c r="D108" s="105">
        <v>0</v>
      </c>
      <c r="E108" s="28"/>
      <c r="F108" s="28">
        <v>0</v>
      </c>
      <c r="G108" s="28"/>
      <c r="H108" s="105">
        <f>-20821-11000-15000-8165-1183</f>
        <v>-56169</v>
      </c>
      <c r="I108" s="28"/>
      <c r="J108" s="28">
        <v>0</v>
      </c>
      <c r="K108" s="28"/>
      <c r="L108" s="9"/>
      <c r="M108" s="9"/>
      <c r="N108" s="6"/>
      <c r="O108" s="6"/>
      <c r="P108" s="6"/>
    </row>
    <row r="109" spans="1:16" ht="13">
      <c r="A109" s="6"/>
      <c r="B109" s="6" t="s">
        <v>19</v>
      </c>
      <c r="C109" s="6"/>
      <c r="D109" s="105">
        <v>0</v>
      </c>
      <c r="E109" s="28"/>
      <c r="F109" s="28">
        <v>0</v>
      </c>
      <c r="G109" s="28"/>
      <c r="H109" s="105">
        <f>-4500-6695-3549</f>
        <v>-14744</v>
      </c>
      <c r="I109" s="28"/>
      <c r="J109" s="28">
        <v>0</v>
      </c>
      <c r="K109" s="28"/>
      <c r="L109" s="9"/>
      <c r="M109" s="9"/>
      <c r="N109" s="6"/>
      <c r="O109" s="6"/>
      <c r="P109" s="6"/>
    </row>
    <row r="110" spans="1:16" ht="13">
      <c r="A110" s="6"/>
      <c r="B110" s="6" t="s">
        <v>43</v>
      </c>
      <c r="C110" s="6"/>
      <c r="D110" s="105">
        <v>0</v>
      </c>
      <c r="E110" s="28"/>
      <c r="F110" s="28">
        <v>-8507</v>
      </c>
      <c r="G110" s="28"/>
      <c r="H110" s="105">
        <v>54149</v>
      </c>
      <c r="I110" s="28"/>
      <c r="J110" s="28">
        <v>-17996</v>
      </c>
      <c r="K110" s="28"/>
      <c r="L110" s="9"/>
      <c r="M110" s="9"/>
      <c r="N110" s="6"/>
      <c r="O110" s="6"/>
      <c r="P110" s="6"/>
    </row>
    <row r="111" spans="1:16" ht="13">
      <c r="A111" s="6"/>
      <c r="B111" s="6" t="s">
        <v>20</v>
      </c>
      <c r="C111" s="6"/>
      <c r="D111" s="105">
        <f>407-359-5229</f>
        <v>-5181</v>
      </c>
      <c r="E111" s="28"/>
      <c r="F111" s="28">
        <f>-2230-13155-607+1</f>
        <v>-15991</v>
      </c>
      <c r="G111" s="28"/>
      <c r="H111" s="105">
        <f>-2625+6744-3619-4000-53+437+D111-3521</f>
        <v>-11818</v>
      </c>
      <c r="I111" s="28"/>
      <c r="J111" s="28">
        <f>-19535+634</f>
        <v>-18901</v>
      </c>
      <c r="K111" s="28"/>
      <c r="L111" s="9"/>
      <c r="M111" s="6"/>
      <c r="N111" s="6"/>
      <c r="O111" s="6"/>
      <c r="P111" s="6"/>
    </row>
    <row r="112" spans="1:16" ht="13">
      <c r="A112" s="6"/>
      <c r="B112" s="6" t="s">
        <v>40</v>
      </c>
      <c r="C112" s="6"/>
      <c r="D112" s="105">
        <v>0</v>
      </c>
      <c r="E112" s="28"/>
      <c r="F112" s="28">
        <v>0</v>
      </c>
      <c r="G112" s="28"/>
      <c r="H112" s="105">
        <f>D112</f>
        <v>0</v>
      </c>
      <c r="I112" s="28"/>
      <c r="J112" s="28">
        <v>138602</v>
      </c>
      <c r="K112" s="28"/>
      <c r="L112" s="9"/>
      <c r="M112" s="6"/>
      <c r="N112" s="6"/>
      <c r="O112" s="6"/>
      <c r="P112" s="6"/>
    </row>
    <row r="113" spans="1:16" ht="13">
      <c r="A113" s="22"/>
      <c r="B113" s="22" t="s">
        <v>188</v>
      </c>
      <c r="C113" s="6"/>
      <c r="D113" s="105">
        <v>-3616</v>
      </c>
      <c r="E113" s="28"/>
      <c r="F113" s="28">
        <v>0</v>
      </c>
      <c r="G113" s="28"/>
      <c r="H113" s="105">
        <f>D113</f>
        <v>-3616</v>
      </c>
      <c r="I113" s="28"/>
      <c r="J113" s="28">
        <v>0</v>
      </c>
      <c r="K113" s="28"/>
      <c r="L113" s="9"/>
      <c r="M113" s="6"/>
      <c r="N113" s="6"/>
      <c r="O113" s="6"/>
      <c r="P113" s="6"/>
    </row>
    <row r="114" spans="1:16" ht="13">
      <c r="A114" s="6"/>
      <c r="B114" s="6" t="s">
        <v>97</v>
      </c>
      <c r="C114" s="6"/>
      <c r="D114" s="124">
        <f>SUM(D105:D113)</f>
        <v>-8797</v>
      </c>
      <c r="E114" s="28"/>
      <c r="F114" s="30">
        <f>SUM(F105:F113)</f>
        <v>-24498</v>
      </c>
      <c r="G114" s="28"/>
      <c r="H114" s="124">
        <f>SUM(H105:H113)</f>
        <v>-725815</v>
      </c>
      <c r="I114" s="28"/>
      <c r="J114" s="30">
        <f>SUM(J105:J113)</f>
        <v>88550</v>
      </c>
      <c r="K114" s="28"/>
      <c r="L114" s="9"/>
      <c r="M114" s="6"/>
      <c r="N114" s="6"/>
      <c r="O114" s="6"/>
      <c r="P114" s="6"/>
    </row>
    <row r="115" spans="1:16" ht="13">
      <c r="A115" s="22"/>
      <c r="B115" s="22" t="s">
        <v>198</v>
      </c>
      <c r="C115" s="6"/>
      <c r="D115" s="105">
        <v>2531</v>
      </c>
      <c r="E115" s="28"/>
      <c r="F115" s="62">
        <v>6696</v>
      </c>
      <c r="G115" s="28"/>
      <c r="H115" s="105">
        <f>2531+115549+986-6499-8663</f>
        <v>103904</v>
      </c>
      <c r="I115" s="28"/>
      <c r="J115" s="62">
        <v>-26000</v>
      </c>
      <c r="K115" s="28"/>
      <c r="L115" s="9"/>
      <c r="M115" s="6"/>
      <c r="N115" s="6"/>
      <c r="O115" s="6"/>
      <c r="P115" s="6"/>
    </row>
    <row r="116" spans="1:16" ht="13">
      <c r="A116" s="8"/>
      <c r="B116" s="8" t="s">
        <v>21</v>
      </c>
      <c r="C116" s="6"/>
      <c r="D116" s="100">
        <f>SUM(D114:D115)</f>
        <v>-6266</v>
      </c>
      <c r="E116" s="28"/>
      <c r="F116" s="25">
        <f>SUM(F114:F115)</f>
        <v>-17802</v>
      </c>
      <c r="G116" s="28"/>
      <c r="H116" s="100">
        <f>SUM(H114:H115)</f>
        <v>-621911</v>
      </c>
      <c r="I116" s="28"/>
      <c r="J116" s="25">
        <f>SUM(J114:J115)</f>
        <v>62550</v>
      </c>
      <c r="K116" s="28"/>
      <c r="L116" s="9"/>
      <c r="M116" s="6"/>
      <c r="N116" s="6"/>
      <c r="O116" s="6"/>
      <c r="P116" s="6"/>
    </row>
    <row r="117" spans="1:16" ht="13">
      <c r="A117" s="6"/>
      <c r="B117" s="6"/>
      <c r="C117" s="6"/>
      <c r="D117" s="28"/>
      <c r="E117" s="28"/>
      <c r="F117" s="28"/>
      <c r="G117" s="28"/>
      <c r="H117" s="28"/>
      <c r="I117" s="28"/>
      <c r="J117" s="28"/>
      <c r="K117" s="28"/>
      <c r="L117" s="9"/>
      <c r="M117" s="6"/>
      <c r="N117" s="6"/>
      <c r="O117" s="6"/>
      <c r="P117" s="6"/>
    </row>
    <row r="118" spans="1:16" ht="13">
      <c r="A118" s="59" t="s">
        <v>41</v>
      </c>
      <c r="B118" s="38" t="s">
        <v>175</v>
      </c>
      <c r="C118" s="6"/>
      <c r="D118" s="28"/>
      <c r="E118" s="28"/>
      <c r="F118" s="28"/>
      <c r="G118" s="28"/>
      <c r="H118" s="28"/>
      <c r="I118" s="28"/>
      <c r="J118" s="28"/>
      <c r="K118" s="28"/>
      <c r="L118" s="9"/>
      <c r="M118" s="6"/>
      <c r="N118" s="6"/>
      <c r="O118" s="6"/>
      <c r="P118" s="6"/>
    </row>
    <row r="119" spans="1:16" ht="13">
      <c r="A119" s="59" t="s">
        <v>42</v>
      </c>
      <c r="B119" s="38" t="s">
        <v>189</v>
      </c>
      <c r="C119" s="6"/>
      <c r="D119" s="28"/>
      <c r="E119" s="28"/>
      <c r="F119" s="28"/>
      <c r="G119" s="28"/>
      <c r="H119" s="28"/>
      <c r="I119" s="28"/>
      <c r="J119" s="28"/>
      <c r="K119" s="28"/>
      <c r="L119" s="9"/>
      <c r="M119" s="6"/>
      <c r="N119" s="6"/>
      <c r="O119" s="6"/>
      <c r="P119" s="6"/>
    </row>
    <row r="120" spans="1:16" ht="13">
      <c r="A120" s="59" t="s">
        <v>83</v>
      </c>
      <c r="B120" s="38" t="s">
        <v>203</v>
      </c>
      <c r="C120" s="6"/>
      <c r="D120" s="28"/>
      <c r="E120" s="28"/>
      <c r="F120" s="28"/>
      <c r="G120" s="28"/>
      <c r="H120" s="28"/>
      <c r="I120" s="28"/>
      <c r="J120" s="28"/>
      <c r="K120" s="37"/>
      <c r="L120" s="6"/>
      <c r="M120" s="6"/>
      <c r="N120" s="6"/>
      <c r="O120" s="6"/>
      <c r="P120" s="6"/>
    </row>
    <row r="121" spans="1:16" ht="13">
      <c r="A121" s="59"/>
      <c r="B121" s="6"/>
      <c r="C121" s="6"/>
      <c r="D121" s="28"/>
      <c r="E121" s="28"/>
      <c r="F121" s="28"/>
      <c r="G121" s="28"/>
      <c r="H121" s="28"/>
      <c r="I121" s="28"/>
      <c r="J121" s="28"/>
      <c r="K121" s="37"/>
      <c r="L121" s="6"/>
      <c r="M121" s="6"/>
      <c r="N121" s="6"/>
      <c r="O121" s="6"/>
      <c r="P121" s="6"/>
    </row>
    <row r="122" spans="1:16" ht="13">
      <c r="A122" s="6"/>
      <c r="B122" s="6"/>
      <c r="C122" s="6"/>
      <c r="D122" s="28"/>
      <c r="E122" s="28"/>
      <c r="F122" s="28"/>
      <c r="G122" s="28"/>
      <c r="H122" s="28"/>
      <c r="I122" s="28"/>
      <c r="J122" s="28"/>
      <c r="K122" s="37"/>
      <c r="L122" s="6"/>
      <c r="M122" s="6"/>
      <c r="N122" s="6"/>
      <c r="O122" s="6"/>
      <c r="P122" s="6"/>
    </row>
    <row r="123" spans="1:16" ht="14">
      <c r="A123" s="15" t="s">
        <v>129</v>
      </c>
      <c r="B123" s="6"/>
      <c r="C123" s="6"/>
      <c r="D123" s="28"/>
      <c r="E123" s="28"/>
      <c r="F123" s="28"/>
      <c r="G123" s="28"/>
      <c r="H123" s="28"/>
      <c r="I123" s="28"/>
      <c r="J123" s="28"/>
      <c r="K123" s="37"/>
      <c r="L123" s="6"/>
      <c r="M123" s="6"/>
      <c r="N123" s="6"/>
      <c r="O123" s="6"/>
      <c r="P123" s="6"/>
    </row>
    <row r="124" spans="1:16" ht="13.5" thickBot="1">
      <c r="A124" s="12" t="s">
        <v>130</v>
      </c>
      <c r="B124" s="12"/>
      <c r="C124" s="12"/>
      <c r="D124" s="39"/>
      <c r="E124" s="39"/>
      <c r="F124" s="39"/>
      <c r="G124" s="39"/>
      <c r="H124" s="39"/>
      <c r="I124" s="39"/>
      <c r="J124" s="39"/>
      <c r="K124" s="37"/>
      <c r="L124" s="6"/>
      <c r="M124" s="6"/>
      <c r="N124" s="6"/>
      <c r="O124" s="6"/>
      <c r="P124" s="6"/>
    </row>
    <row r="125" spans="1:16" ht="13">
      <c r="A125" s="6"/>
      <c r="B125" s="6"/>
      <c r="C125" s="6"/>
      <c r="D125" s="125" t="s">
        <v>11</v>
      </c>
      <c r="E125" s="125"/>
      <c r="F125" s="125"/>
      <c r="G125" s="6"/>
      <c r="H125" s="125" t="s">
        <v>10</v>
      </c>
      <c r="I125" s="125"/>
      <c r="J125" s="125"/>
      <c r="K125" s="6"/>
      <c r="L125" s="6"/>
      <c r="M125" s="6"/>
      <c r="N125" s="6"/>
      <c r="O125" s="6"/>
      <c r="P125" s="6"/>
    </row>
    <row r="126" spans="1:16" ht="13">
      <c r="A126" s="23" t="s">
        <v>74</v>
      </c>
      <c r="B126" s="22"/>
      <c r="C126" s="6"/>
      <c r="D126" s="113" t="s">
        <v>12</v>
      </c>
      <c r="E126" s="26"/>
      <c r="F126" s="27" t="s">
        <v>15</v>
      </c>
      <c r="G126" s="26"/>
      <c r="H126" s="113" t="s">
        <v>12</v>
      </c>
      <c r="I126" s="26"/>
      <c r="J126" s="27" t="s">
        <v>15</v>
      </c>
      <c r="K126" s="6"/>
      <c r="L126" s="6"/>
      <c r="M126" s="6"/>
      <c r="N126" s="6"/>
      <c r="O126" s="6"/>
      <c r="P126" s="6"/>
    </row>
    <row r="127" spans="1:16" ht="13">
      <c r="A127" s="6"/>
      <c r="B127" s="6" t="s">
        <v>131</v>
      </c>
      <c r="C127" s="6"/>
      <c r="D127" s="102">
        <v>-42554</v>
      </c>
      <c r="E127" s="24"/>
      <c r="F127" s="24">
        <f>-39991-408</f>
        <v>-40399</v>
      </c>
      <c r="G127" s="24"/>
      <c r="H127" s="102">
        <v>-154051</v>
      </c>
      <c r="I127" s="24"/>
      <c r="J127" s="24">
        <f>-161205+654</f>
        <v>-160551</v>
      </c>
      <c r="K127" s="6"/>
      <c r="L127" s="6"/>
      <c r="M127" s="6"/>
      <c r="N127" s="6"/>
      <c r="O127" s="6"/>
      <c r="P127" s="6"/>
    </row>
    <row r="128" spans="1:16" ht="13">
      <c r="A128" s="6"/>
      <c r="B128" s="6" t="s">
        <v>112</v>
      </c>
      <c r="C128" s="6"/>
      <c r="D128" s="105">
        <v>686</v>
      </c>
      <c r="E128" s="28"/>
      <c r="F128" s="28">
        <v>2320</v>
      </c>
      <c r="G128" s="28"/>
      <c r="H128" s="105">
        <v>5578</v>
      </c>
      <c r="I128" s="28"/>
      <c r="J128" s="28">
        <v>19743</v>
      </c>
      <c r="K128" s="28"/>
      <c r="L128" s="6"/>
      <c r="M128" s="6"/>
      <c r="N128" s="6"/>
      <c r="O128" s="6"/>
      <c r="P128" s="6"/>
    </row>
    <row r="129" spans="1:16" ht="13">
      <c r="A129" s="8"/>
      <c r="B129" s="8" t="s">
        <v>9</v>
      </c>
      <c r="C129" s="6"/>
      <c r="D129" s="103">
        <f>SUM(D127:D128)</f>
        <v>-41868</v>
      </c>
      <c r="E129" s="28"/>
      <c r="F129" s="25">
        <f>SUM(F127:F128)</f>
        <v>-38079</v>
      </c>
      <c r="G129" s="28"/>
      <c r="H129" s="103">
        <f>SUM(H127:H128)</f>
        <v>-148473</v>
      </c>
      <c r="I129" s="28"/>
      <c r="J129" s="25">
        <f>SUM(J127:J128)</f>
        <v>-140808</v>
      </c>
      <c r="K129" s="28"/>
      <c r="L129" s="6"/>
      <c r="M129" s="6"/>
      <c r="N129" s="6"/>
      <c r="O129" s="6"/>
      <c r="P129" s="6"/>
    </row>
    <row r="130" spans="1:16" ht="13">
      <c r="A130" s="6"/>
      <c r="B130" s="6"/>
      <c r="C130" s="6"/>
      <c r="D130" s="28"/>
      <c r="E130" s="28"/>
      <c r="F130" s="28"/>
      <c r="G130" s="28"/>
      <c r="H130" s="28"/>
      <c r="I130" s="28"/>
      <c r="J130" s="28"/>
      <c r="K130" s="37"/>
      <c r="L130" s="6"/>
      <c r="M130" s="6"/>
      <c r="N130" s="6"/>
      <c r="O130" s="6"/>
      <c r="P130" s="6"/>
    </row>
    <row r="131" spans="1:16" ht="13">
      <c r="A131" s="6"/>
      <c r="B131" s="6"/>
      <c r="C131" s="6"/>
      <c r="D131" s="28"/>
      <c r="E131" s="28"/>
      <c r="F131" s="28"/>
      <c r="G131" s="28"/>
      <c r="H131" s="28"/>
      <c r="I131" s="28"/>
      <c r="J131" s="28"/>
      <c r="K131" s="37"/>
      <c r="L131" s="6"/>
      <c r="M131" s="6"/>
      <c r="N131" s="6"/>
      <c r="O131" s="6"/>
      <c r="P131" s="6"/>
    </row>
    <row r="132" spans="1:16" ht="14">
      <c r="A132" s="15" t="s">
        <v>86</v>
      </c>
      <c r="B132" s="6"/>
      <c r="C132" s="6"/>
      <c r="D132" s="28"/>
      <c r="E132" s="28"/>
      <c r="F132" s="28"/>
      <c r="G132" s="28"/>
      <c r="H132" s="28"/>
      <c r="I132" s="28"/>
      <c r="J132" s="28"/>
      <c r="K132" s="28"/>
      <c r="L132" s="6"/>
      <c r="M132" s="6"/>
      <c r="N132" s="6"/>
      <c r="O132" s="6"/>
      <c r="P132" s="6"/>
    </row>
    <row r="133" spans="1:16" ht="13.5" thickBot="1">
      <c r="A133" s="12" t="s">
        <v>176</v>
      </c>
      <c r="B133" s="12"/>
      <c r="C133" s="12"/>
      <c r="D133" s="39"/>
      <c r="E133" s="39"/>
      <c r="F133" s="39"/>
      <c r="G133" s="39"/>
      <c r="H133" s="39"/>
      <c r="I133" s="39"/>
      <c r="J133" s="39"/>
      <c r="K133" s="37"/>
      <c r="L133" s="6"/>
      <c r="M133" s="6"/>
      <c r="N133" s="6"/>
      <c r="O133" s="6"/>
      <c r="P133" s="6"/>
    </row>
    <row r="134" spans="1:16" ht="13">
      <c r="A134" s="6"/>
      <c r="B134" s="6"/>
      <c r="C134" s="6"/>
      <c r="D134" s="125" t="s">
        <v>11</v>
      </c>
      <c r="E134" s="125"/>
      <c r="F134" s="125"/>
      <c r="G134" s="6"/>
      <c r="H134" s="125" t="s">
        <v>10</v>
      </c>
      <c r="I134" s="125"/>
      <c r="J134" s="125"/>
      <c r="K134" s="6"/>
      <c r="L134" s="6"/>
      <c r="M134" s="6"/>
      <c r="N134" s="6"/>
      <c r="O134" s="6"/>
      <c r="P134" s="6"/>
    </row>
    <row r="135" spans="1:16" ht="13">
      <c r="A135" s="23" t="s">
        <v>74</v>
      </c>
      <c r="B135" s="22"/>
      <c r="C135" s="6"/>
      <c r="D135" s="113" t="s">
        <v>12</v>
      </c>
      <c r="E135" s="26"/>
      <c r="F135" s="27" t="s">
        <v>15</v>
      </c>
      <c r="G135" s="26"/>
      <c r="H135" s="113" t="s">
        <v>12</v>
      </c>
      <c r="I135" s="26"/>
      <c r="J135" s="27" t="s">
        <v>15</v>
      </c>
      <c r="K135" s="6"/>
      <c r="L135" s="6"/>
      <c r="M135" s="6"/>
      <c r="N135" s="6"/>
      <c r="O135" s="6"/>
      <c r="P135" s="6"/>
    </row>
    <row r="136" spans="1:16" ht="13">
      <c r="A136" s="6"/>
      <c r="B136" s="6" t="s">
        <v>87</v>
      </c>
      <c r="C136" s="6"/>
      <c r="D136" s="102">
        <v>3274</v>
      </c>
      <c r="E136" s="24"/>
      <c r="F136" s="24">
        <v>-532</v>
      </c>
      <c r="G136" s="24"/>
      <c r="H136" s="102">
        <v>-8970</v>
      </c>
      <c r="I136" s="24"/>
      <c r="J136" s="24">
        <f>-1724-230-4</f>
        <v>-1958</v>
      </c>
      <c r="K136" s="6"/>
      <c r="L136" s="6"/>
      <c r="M136" s="6"/>
      <c r="N136" s="6"/>
      <c r="O136" s="6"/>
      <c r="P136" s="6"/>
    </row>
    <row r="137" spans="1:16" ht="13">
      <c r="A137" s="6"/>
      <c r="B137" s="6" t="s">
        <v>177</v>
      </c>
      <c r="C137" s="6"/>
      <c r="D137" s="105">
        <f>3-3588</f>
        <v>-3585</v>
      </c>
      <c r="E137" s="28"/>
      <c r="F137" s="28">
        <f>-3079-9487+8507+3+2053-19</f>
        <v>-2022</v>
      </c>
      <c r="G137" s="28"/>
      <c r="H137" s="105">
        <f>-1691-5872</f>
        <v>-7563</v>
      </c>
      <c r="I137" s="28"/>
      <c r="J137" s="28">
        <f>-20327-491+17996+9-53-27-2</f>
        <v>-2895</v>
      </c>
      <c r="K137" s="28"/>
      <c r="L137" s="6"/>
      <c r="M137" s="6"/>
      <c r="N137" s="6"/>
      <c r="O137" s="6"/>
      <c r="P137" s="6"/>
    </row>
    <row r="138" spans="1:16" ht="13">
      <c r="A138" s="8"/>
      <c r="B138" s="8" t="s">
        <v>9</v>
      </c>
      <c r="C138" s="6"/>
      <c r="D138" s="103">
        <f>SUM(D136:D137)</f>
        <v>-311</v>
      </c>
      <c r="E138" s="28"/>
      <c r="F138" s="25">
        <f>SUM(F136:F137)</f>
        <v>-2554</v>
      </c>
      <c r="G138" s="28"/>
      <c r="H138" s="103">
        <f>SUM(H136:H137)</f>
        <v>-16533</v>
      </c>
      <c r="I138" s="28"/>
      <c r="J138" s="25">
        <f>SUM(J136:J137)</f>
        <v>-4853</v>
      </c>
      <c r="K138" s="28"/>
      <c r="L138" s="6"/>
      <c r="M138" s="6"/>
      <c r="N138" s="6"/>
      <c r="O138" s="6"/>
      <c r="P138" s="6"/>
    </row>
    <row r="139" spans="1:16" ht="13">
      <c r="A139" s="6"/>
      <c r="B139" s="6"/>
      <c r="C139" s="6"/>
      <c r="D139" s="28"/>
      <c r="E139" s="28"/>
      <c r="F139" s="28"/>
      <c r="G139" s="28"/>
      <c r="H139" s="28"/>
      <c r="I139" s="28"/>
      <c r="J139" s="28"/>
      <c r="K139" s="28"/>
      <c r="L139" s="6"/>
      <c r="M139" s="6"/>
      <c r="N139" s="6"/>
      <c r="O139" s="6"/>
      <c r="P139" s="6"/>
    </row>
    <row r="140" spans="1:16" ht="13">
      <c r="A140" s="6"/>
      <c r="B140" s="6"/>
      <c r="C140" s="6"/>
      <c r="D140" s="28"/>
      <c r="E140" s="28"/>
      <c r="F140" s="28"/>
      <c r="G140" s="28"/>
      <c r="H140" s="28"/>
      <c r="I140" s="28"/>
      <c r="J140" s="28"/>
      <c r="K140" s="28"/>
      <c r="L140" s="6"/>
      <c r="M140" s="6"/>
      <c r="N140" s="6"/>
      <c r="O140" s="6"/>
      <c r="P140" s="6"/>
    </row>
    <row r="141" spans="1:16" ht="14">
      <c r="A141" s="15" t="s">
        <v>199</v>
      </c>
      <c r="B141" s="6"/>
      <c r="C141" s="6"/>
      <c r="D141" s="116" t="s">
        <v>174</v>
      </c>
      <c r="E141" s="116"/>
      <c r="F141" s="116"/>
      <c r="G141" s="70"/>
      <c r="H141" s="70"/>
      <c r="I141" s="28"/>
      <c r="J141" s="28"/>
      <c r="K141" s="28"/>
      <c r="L141" s="6"/>
      <c r="M141" s="6"/>
      <c r="N141" s="6"/>
      <c r="O141" s="6"/>
      <c r="P141" s="6"/>
    </row>
    <row r="142" spans="1:16" ht="13.5" thickBot="1">
      <c r="A142" s="12" t="s">
        <v>200</v>
      </c>
      <c r="B142" s="12"/>
      <c r="C142" s="12"/>
      <c r="D142" s="39"/>
      <c r="E142" s="39"/>
      <c r="F142" s="39"/>
      <c r="G142" s="39"/>
      <c r="H142" s="39"/>
      <c r="I142" s="39"/>
      <c r="J142" s="39"/>
      <c r="K142" s="28"/>
      <c r="L142" s="6"/>
      <c r="M142" s="6"/>
      <c r="N142" s="6"/>
      <c r="O142" s="6"/>
      <c r="P142" s="6"/>
    </row>
    <row r="143" spans="1:16" ht="13">
      <c r="A143" s="6"/>
      <c r="B143" s="6"/>
      <c r="C143" s="6"/>
      <c r="D143" s="125" t="s">
        <v>11</v>
      </c>
      <c r="E143" s="125"/>
      <c r="F143" s="125"/>
      <c r="G143" s="6"/>
      <c r="H143" s="125" t="s">
        <v>10</v>
      </c>
      <c r="I143" s="125"/>
      <c r="J143" s="125"/>
      <c r="K143" s="28"/>
      <c r="L143" s="6"/>
      <c r="M143" s="6"/>
      <c r="N143" s="6"/>
      <c r="O143" s="6"/>
      <c r="P143" s="6"/>
    </row>
    <row r="144" spans="1:16" ht="13">
      <c r="A144" s="23" t="s">
        <v>74</v>
      </c>
      <c r="B144" s="22"/>
      <c r="C144" s="6"/>
      <c r="D144" s="113" t="s">
        <v>12</v>
      </c>
      <c r="E144" s="26"/>
      <c r="F144" s="27" t="s">
        <v>15</v>
      </c>
      <c r="G144" s="26"/>
      <c r="H144" s="113" t="s">
        <v>12</v>
      </c>
      <c r="I144" s="26"/>
      <c r="J144" s="27" t="s">
        <v>15</v>
      </c>
      <c r="K144" s="28"/>
      <c r="L144" s="6"/>
      <c r="M144" s="6"/>
      <c r="N144" s="6"/>
      <c r="O144" s="6"/>
      <c r="P144" s="6"/>
    </row>
    <row r="145" spans="1:16" ht="13">
      <c r="A145" s="6"/>
      <c r="B145" s="6" t="s">
        <v>201</v>
      </c>
      <c r="C145" s="6"/>
      <c r="D145" s="102">
        <v>5978</v>
      </c>
      <c r="E145" s="65"/>
      <c r="F145" s="65">
        <v>-65912</v>
      </c>
      <c r="G145" s="65"/>
      <c r="H145" s="102">
        <f>-258609+43455</f>
        <v>-215154</v>
      </c>
      <c r="I145" s="65"/>
      <c r="J145" s="65">
        <v>-65912</v>
      </c>
      <c r="K145" s="28"/>
      <c r="L145" s="6"/>
      <c r="M145" s="6"/>
      <c r="N145" s="6"/>
      <c r="O145" s="6"/>
      <c r="P145" s="6"/>
    </row>
    <row r="146" spans="1:16" ht="13">
      <c r="A146" s="6"/>
      <c r="B146" s="6" t="s">
        <v>88</v>
      </c>
      <c r="C146" s="6"/>
      <c r="D146" s="105">
        <v>-16815</v>
      </c>
      <c r="E146" s="62"/>
      <c r="F146" s="62">
        <v>4346</v>
      </c>
      <c r="G146" s="62"/>
      <c r="H146" s="105">
        <v>-91020</v>
      </c>
      <c r="I146" s="62"/>
      <c r="J146" s="62">
        <v>700</v>
      </c>
      <c r="K146" s="28"/>
      <c r="L146" s="6"/>
      <c r="M146" s="6"/>
      <c r="N146" s="6"/>
      <c r="O146" s="6"/>
      <c r="P146" s="6"/>
    </row>
    <row r="147" spans="1:16" ht="13">
      <c r="A147" s="6"/>
      <c r="B147" s="6" t="s">
        <v>89</v>
      </c>
      <c r="C147" s="6"/>
      <c r="D147" s="105">
        <v>2531</v>
      </c>
      <c r="E147" s="62"/>
      <c r="F147" s="62">
        <v>6696</v>
      </c>
      <c r="G147" s="62"/>
      <c r="H147" s="105">
        <f>154777-39228+2531+986-6499-8663</f>
        <v>103904</v>
      </c>
      <c r="I147" s="62"/>
      <c r="J147" s="62">
        <v>-26000</v>
      </c>
      <c r="K147" s="28"/>
      <c r="L147" s="6"/>
      <c r="M147" s="6"/>
      <c r="N147" s="6"/>
      <c r="O147" s="6"/>
      <c r="P147" s="6"/>
    </row>
    <row r="148" spans="1:16" ht="13">
      <c r="A148" s="6"/>
      <c r="B148" s="6" t="s">
        <v>90</v>
      </c>
      <c r="C148" s="6"/>
      <c r="D148" s="105"/>
      <c r="E148" s="62"/>
      <c r="F148" s="62"/>
      <c r="G148" s="62"/>
      <c r="H148" s="105"/>
      <c r="I148" s="62"/>
      <c r="J148" s="62"/>
      <c r="K148" s="28"/>
      <c r="L148" s="6"/>
      <c r="M148" s="6"/>
      <c r="N148" s="6"/>
      <c r="O148" s="6"/>
      <c r="P148" s="6"/>
    </row>
    <row r="149" spans="1:16" ht="13">
      <c r="A149" s="6"/>
      <c r="B149" s="6" t="s">
        <v>91</v>
      </c>
      <c r="C149" s="6"/>
      <c r="D149" s="105">
        <v>0</v>
      </c>
      <c r="E149" s="62"/>
      <c r="F149" s="62">
        <v>0</v>
      </c>
      <c r="G149" s="62"/>
      <c r="H149" s="105">
        <v>0</v>
      </c>
      <c r="I149" s="62"/>
      <c r="J149" s="62">
        <v>14400</v>
      </c>
      <c r="K149" s="28"/>
      <c r="L149" s="6"/>
      <c r="M149" s="6"/>
      <c r="N149" s="6"/>
      <c r="O149" s="6"/>
      <c r="P149" s="6"/>
    </row>
    <row r="150" spans="1:16" ht="13">
      <c r="A150" s="6"/>
      <c r="B150" s="6" t="s">
        <v>128</v>
      </c>
      <c r="C150" s="6"/>
      <c r="D150" s="105">
        <v>1359</v>
      </c>
      <c r="E150" s="62"/>
      <c r="F150" s="62">
        <v>18531</v>
      </c>
      <c r="G150" s="62"/>
      <c r="H150" s="105">
        <f>-204099-H145-H146-H147</f>
        <v>-1829</v>
      </c>
      <c r="I150" s="62"/>
      <c r="J150" s="62">
        <v>47426</v>
      </c>
      <c r="K150" s="28"/>
      <c r="L150" s="6"/>
      <c r="M150" s="6"/>
      <c r="N150" s="6"/>
      <c r="O150" s="6"/>
      <c r="P150" s="6"/>
    </row>
    <row r="151" spans="1:16" ht="13">
      <c r="A151" s="8"/>
      <c r="B151" s="8" t="s">
        <v>9</v>
      </c>
      <c r="C151" s="6"/>
      <c r="D151" s="103">
        <f>SUM(D145:D150)</f>
        <v>-6947</v>
      </c>
      <c r="E151" s="62"/>
      <c r="F151" s="64">
        <f>SUM(F145:F150)</f>
        <v>-36339</v>
      </c>
      <c r="G151" s="62"/>
      <c r="H151" s="103">
        <f>SUM(H145:H150)</f>
        <v>-204099</v>
      </c>
      <c r="I151" s="62"/>
      <c r="J151" s="64">
        <f>SUM(J145:J150)</f>
        <v>-29386</v>
      </c>
      <c r="K151" s="28"/>
      <c r="L151" s="6"/>
      <c r="M151" s="6"/>
      <c r="N151" s="6"/>
      <c r="O151" s="6"/>
      <c r="P151" s="6"/>
    </row>
    <row r="152" spans="1:16" ht="13">
      <c r="A152" s="6"/>
      <c r="B152" s="6"/>
      <c r="C152" s="6"/>
      <c r="D152" s="28"/>
      <c r="E152" s="28"/>
      <c r="F152" s="28"/>
      <c r="G152" s="28"/>
      <c r="H152" s="28"/>
      <c r="I152" s="28"/>
      <c r="J152" s="28"/>
      <c r="K152" s="28"/>
      <c r="L152" s="6"/>
      <c r="M152" s="6"/>
      <c r="N152" s="6"/>
      <c r="O152" s="6"/>
      <c r="P152" s="6"/>
    </row>
    <row r="153" spans="1:16" ht="13">
      <c r="A153" s="6"/>
      <c r="B153" s="6"/>
      <c r="C153" s="6"/>
      <c r="D153" s="28"/>
      <c r="E153" s="28"/>
      <c r="F153" s="28"/>
      <c r="G153" s="28"/>
      <c r="H153" s="28"/>
      <c r="I153" s="28"/>
      <c r="J153" s="28"/>
      <c r="K153" s="28"/>
      <c r="L153" s="6"/>
      <c r="M153" s="6"/>
      <c r="N153" s="6"/>
      <c r="O153" s="6"/>
      <c r="P153" s="6"/>
    </row>
    <row r="154" spans="1:16" ht="14">
      <c r="A154" s="56" t="s">
        <v>178</v>
      </c>
      <c r="B154" s="9"/>
      <c r="C154" s="9"/>
      <c r="D154" s="37"/>
      <c r="E154" s="37"/>
      <c r="F154" s="71" t="s">
        <v>174</v>
      </c>
      <c r="G154" s="37"/>
      <c r="H154" s="37"/>
      <c r="I154" s="37"/>
      <c r="J154" s="37"/>
      <c r="K154" s="37"/>
      <c r="L154" s="9"/>
      <c r="M154" s="6"/>
      <c r="N154" s="6"/>
      <c r="O154" s="6"/>
      <c r="P154" s="6"/>
    </row>
    <row r="155" spans="1:16" ht="13.5" thickBot="1">
      <c r="A155" s="12" t="s">
        <v>156</v>
      </c>
      <c r="B155" s="12"/>
      <c r="C155" s="12"/>
      <c r="D155" s="39"/>
      <c r="E155" s="39"/>
      <c r="F155" s="39"/>
      <c r="G155" s="39"/>
      <c r="H155" s="39"/>
      <c r="I155" s="39"/>
      <c r="J155" s="39"/>
      <c r="K155" s="28"/>
      <c r="L155" s="6"/>
      <c r="M155" s="6"/>
      <c r="N155" s="6"/>
      <c r="O155" s="6"/>
      <c r="P155" s="6"/>
    </row>
    <row r="156" spans="1:16" ht="13">
      <c r="A156" s="6"/>
      <c r="B156" s="6"/>
      <c r="C156" s="6"/>
      <c r="D156" s="125" t="s">
        <v>11</v>
      </c>
      <c r="E156" s="125"/>
      <c r="F156" s="125"/>
      <c r="G156" s="6"/>
      <c r="H156" s="125" t="s">
        <v>10</v>
      </c>
      <c r="I156" s="125"/>
      <c r="J156" s="125"/>
      <c r="K156" s="28"/>
      <c r="L156" s="6"/>
      <c r="M156" s="6"/>
      <c r="N156" s="6"/>
      <c r="O156" s="6"/>
      <c r="P156" s="6"/>
    </row>
    <row r="157" spans="1:16" ht="13">
      <c r="A157" s="23" t="s">
        <v>74</v>
      </c>
      <c r="B157" s="22"/>
      <c r="C157" s="6"/>
      <c r="D157" s="113" t="s">
        <v>12</v>
      </c>
      <c r="E157" s="26"/>
      <c r="F157" s="27" t="s">
        <v>15</v>
      </c>
      <c r="G157" s="26"/>
      <c r="H157" s="113" t="s">
        <v>12</v>
      </c>
      <c r="I157" s="26"/>
      <c r="J157" s="27" t="s">
        <v>15</v>
      </c>
      <c r="K157" s="28"/>
      <c r="L157" s="6"/>
      <c r="M157" s="6"/>
      <c r="N157" s="6"/>
      <c r="O157" s="6"/>
      <c r="P157" s="6"/>
    </row>
    <row r="158" spans="1:16" ht="13">
      <c r="A158" s="6"/>
      <c r="B158" s="6" t="s">
        <v>157</v>
      </c>
      <c r="C158" s="6"/>
      <c r="D158" s="102">
        <v>207</v>
      </c>
      <c r="E158" s="65"/>
      <c r="F158" s="65">
        <v>53</v>
      </c>
      <c r="G158" s="65"/>
      <c r="H158" s="102">
        <v>13292</v>
      </c>
      <c r="I158" s="65"/>
      <c r="J158" s="65">
        <v>-3393</v>
      </c>
      <c r="K158" s="28"/>
      <c r="L158" s="6"/>
      <c r="M158" s="6"/>
      <c r="N158" s="6"/>
      <c r="O158" s="6"/>
      <c r="P158" s="6"/>
    </row>
    <row r="159" spans="1:16" ht="13">
      <c r="A159" s="6"/>
      <c r="B159" s="6" t="s">
        <v>158</v>
      </c>
      <c r="C159" s="6"/>
      <c r="D159" s="105">
        <v>-50000</v>
      </c>
      <c r="E159" s="62"/>
      <c r="F159" s="62">
        <v>0</v>
      </c>
      <c r="G159" s="62"/>
      <c r="H159" s="105">
        <f>-50000-140101</f>
        <v>-190101</v>
      </c>
      <c r="I159" s="62"/>
      <c r="J159" s="62">
        <v>0</v>
      </c>
      <c r="K159" s="28"/>
      <c r="L159" s="6"/>
      <c r="M159" s="6"/>
      <c r="N159" s="6"/>
      <c r="O159" s="6"/>
      <c r="P159" s="6"/>
    </row>
    <row r="160" spans="1:16" ht="13">
      <c r="A160" s="6"/>
      <c r="B160" s="6" t="s">
        <v>173</v>
      </c>
      <c r="C160" s="6"/>
      <c r="D160" s="105">
        <v>-26791</v>
      </c>
      <c r="E160" s="62"/>
      <c r="F160" s="62">
        <v>0</v>
      </c>
      <c r="G160" s="62"/>
      <c r="H160" s="105">
        <v>-26791</v>
      </c>
      <c r="I160" s="62"/>
      <c r="J160" s="62">
        <v>0</v>
      </c>
      <c r="K160" s="28"/>
      <c r="L160" s="6"/>
      <c r="M160" s="6"/>
      <c r="N160" s="6"/>
      <c r="O160" s="6"/>
      <c r="P160" s="6"/>
    </row>
    <row r="161" spans="1:16" ht="13">
      <c r="A161" s="6"/>
      <c r="B161" s="6" t="s">
        <v>202</v>
      </c>
      <c r="C161" s="6"/>
      <c r="D161" s="105">
        <f>193-484</f>
        <v>-291</v>
      </c>
      <c r="E161" s="62"/>
      <c r="F161" s="62">
        <f>709-74</f>
        <v>635</v>
      </c>
      <c r="G161" s="62"/>
      <c r="H161" s="105">
        <f>-3759-186</f>
        <v>-3945</v>
      </c>
      <c r="I161" s="62"/>
      <c r="J161" s="62">
        <f>-6373-44</f>
        <v>-6417</v>
      </c>
      <c r="K161" s="28"/>
      <c r="L161" s="6"/>
      <c r="M161" s="122"/>
      <c r="N161" s="6"/>
      <c r="O161" s="6"/>
      <c r="P161" s="6"/>
    </row>
    <row r="162" spans="1:16" ht="13">
      <c r="A162" s="8"/>
      <c r="B162" s="8" t="s">
        <v>9</v>
      </c>
      <c r="C162" s="6"/>
      <c r="D162" s="103">
        <f>SUM(D158:D161)</f>
        <v>-76875</v>
      </c>
      <c r="E162" s="62"/>
      <c r="F162" s="64">
        <f>SUM(F158:F161)</f>
        <v>688</v>
      </c>
      <c r="G162" s="62"/>
      <c r="H162" s="103">
        <f>SUM(H158:H161)</f>
        <v>-207545</v>
      </c>
      <c r="I162" s="62"/>
      <c r="J162" s="64">
        <f>SUM(J158:J161)</f>
        <v>-9810</v>
      </c>
      <c r="K162" s="28"/>
      <c r="L162" s="6"/>
      <c r="M162" s="6"/>
      <c r="N162" s="6"/>
      <c r="O162" s="6"/>
      <c r="P162" s="6"/>
    </row>
    <row r="163" spans="1:16" ht="13">
      <c r="A163" s="9"/>
      <c r="B163" s="9"/>
      <c r="C163" s="6"/>
      <c r="D163" s="63"/>
      <c r="E163" s="62"/>
      <c r="F163" s="63"/>
      <c r="G163" s="62"/>
      <c r="H163" s="63"/>
      <c r="I163" s="62"/>
      <c r="J163" s="63"/>
      <c r="K163" s="28"/>
      <c r="L163" s="6"/>
      <c r="M163" s="6"/>
      <c r="N163" s="6"/>
      <c r="O163" s="6"/>
      <c r="P163" s="6"/>
    </row>
    <row r="164" spans="1:16" ht="13">
      <c r="A164" s="48" t="s">
        <v>64</v>
      </c>
      <c r="B164" s="47" t="s">
        <v>159</v>
      </c>
      <c r="C164" s="38"/>
      <c r="D164" s="72"/>
      <c r="E164" s="68"/>
      <c r="F164" s="63"/>
      <c r="G164" s="62"/>
      <c r="H164" s="63"/>
      <c r="I164" s="62"/>
      <c r="J164" s="63"/>
      <c r="K164" s="28"/>
      <c r="L164" s="6"/>
      <c r="M164" s="6"/>
      <c r="N164" s="6"/>
      <c r="O164" s="6"/>
      <c r="P164" s="6"/>
    </row>
    <row r="165" spans="1:16" ht="13">
      <c r="A165" s="9"/>
      <c r="B165" s="9"/>
      <c r="C165" s="6"/>
      <c r="D165" s="63"/>
      <c r="E165" s="62"/>
      <c r="F165" s="63"/>
      <c r="G165" s="62"/>
      <c r="H165" s="63"/>
      <c r="I165" s="62"/>
      <c r="J165" s="63"/>
      <c r="K165" s="28"/>
      <c r="L165" s="6"/>
      <c r="M165" s="6"/>
      <c r="N165" s="6"/>
      <c r="O165" s="6"/>
      <c r="P165" s="6"/>
    </row>
    <row r="166" spans="1:16" ht="13">
      <c r="A166" s="9"/>
      <c r="B166" s="9"/>
      <c r="C166" s="6"/>
      <c r="D166" s="63"/>
      <c r="E166" s="62"/>
      <c r="F166" s="63"/>
      <c r="G166" s="62"/>
      <c r="H166" s="63"/>
      <c r="I166" s="62"/>
      <c r="J166" s="63"/>
      <c r="K166" s="28"/>
      <c r="L166" s="6"/>
      <c r="M166" s="6"/>
      <c r="N166" s="6"/>
      <c r="O166" s="6"/>
      <c r="P166" s="6"/>
    </row>
    <row r="167" spans="1:16" ht="14">
      <c r="A167" s="15" t="s">
        <v>98</v>
      </c>
      <c r="B167" s="6"/>
      <c r="C167" s="6"/>
      <c r="D167" s="28"/>
      <c r="E167" s="28"/>
      <c r="F167" s="28"/>
      <c r="G167" s="28"/>
      <c r="H167" s="28"/>
      <c r="I167" s="28"/>
      <c r="J167" s="28"/>
      <c r="K167" s="28"/>
      <c r="L167" s="6"/>
      <c r="M167" s="6"/>
      <c r="N167" s="6"/>
      <c r="O167" s="6"/>
      <c r="P167" s="6"/>
    </row>
    <row r="168" spans="1:16" ht="13.5" thickBot="1">
      <c r="A168" s="12" t="s">
        <v>99</v>
      </c>
      <c r="B168" s="12"/>
      <c r="C168" s="12"/>
      <c r="D168" s="39"/>
      <c r="E168" s="39"/>
      <c r="F168" s="39"/>
      <c r="G168" s="39"/>
      <c r="H168" s="39"/>
      <c r="I168" s="39"/>
      <c r="J168" s="39"/>
      <c r="K168" s="28"/>
      <c r="L168" s="6"/>
      <c r="M168" s="6"/>
      <c r="N168" s="6"/>
      <c r="O168" s="6"/>
      <c r="P168" s="6"/>
    </row>
    <row r="169" spans="1:16" ht="13">
      <c r="A169" s="6"/>
      <c r="B169" s="6"/>
      <c r="C169" s="6"/>
      <c r="D169" s="128" t="s">
        <v>100</v>
      </c>
      <c r="E169" s="128"/>
      <c r="F169" s="128"/>
      <c r="G169" s="37"/>
      <c r="H169" s="37"/>
      <c r="I169" s="37"/>
      <c r="J169" s="37"/>
      <c r="K169" s="28"/>
      <c r="L169" s="6"/>
      <c r="M169" s="6"/>
      <c r="N169" s="6"/>
      <c r="O169" s="6"/>
      <c r="P169" s="6"/>
    </row>
    <row r="170" spans="1:16" ht="13">
      <c r="A170" s="23" t="s">
        <v>74</v>
      </c>
      <c r="B170" s="22"/>
      <c r="C170" s="6"/>
      <c r="D170" s="114" t="s">
        <v>12</v>
      </c>
      <c r="E170" s="40"/>
      <c r="F170" s="41" t="s">
        <v>15</v>
      </c>
      <c r="G170" s="28"/>
      <c r="H170" s="28"/>
      <c r="I170" s="28"/>
      <c r="J170" s="28"/>
      <c r="K170" s="28"/>
      <c r="L170" s="6"/>
      <c r="M170" s="6"/>
      <c r="N170" s="6"/>
      <c r="O170" s="6"/>
      <c r="P170" s="6"/>
    </row>
    <row r="171" spans="1:16" ht="13">
      <c r="A171" s="6"/>
      <c r="B171" s="6" t="s">
        <v>101</v>
      </c>
      <c r="C171" s="6"/>
      <c r="D171" s="102">
        <f>7768+12877+192</f>
        <v>20837</v>
      </c>
      <c r="E171" s="24"/>
      <c r="F171" s="24">
        <v>48086</v>
      </c>
      <c r="G171" s="28"/>
      <c r="H171" s="28"/>
      <c r="I171" s="28"/>
      <c r="J171" s="28"/>
      <c r="K171" s="28"/>
      <c r="L171" s="6"/>
      <c r="M171" s="6"/>
      <c r="N171" s="6"/>
      <c r="O171" s="6"/>
      <c r="P171" s="6"/>
    </row>
    <row r="172" spans="1:16" ht="13">
      <c r="A172" s="6"/>
      <c r="B172" s="6" t="s">
        <v>102</v>
      </c>
      <c r="C172" s="6"/>
      <c r="D172" s="105">
        <f>33990+178</f>
        <v>34168</v>
      </c>
      <c r="E172" s="28"/>
      <c r="F172" s="28">
        <v>69730</v>
      </c>
      <c r="G172" s="28"/>
      <c r="H172" s="28"/>
      <c r="I172" s="28"/>
      <c r="J172" s="28"/>
      <c r="K172" s="28"/>
      <c r="L172" s="6"/>
      <c r="M172" s="6"/>
      <c r="N172" s="6"/>
      <c r="O172" s="6"/>
      <c r="P172" s="6"/>
    </row>
    <row r="173" spans="1:16" ht="13">
      <c r="A173" s="6"/>
      <c r="B173" s="6" t="s">
        <v>103</v>
      </c>
      <c r="C173" s="6"/>
      <c r="D173" s="105">
        <f>69594+48</f>
        <v>69642</v>
      </c>
      <c r="E173" s="28"/>
      <c r="F173" s="28">
        <v>188373</v>
      </c>
      <c r="G173" s="28"/>
      <c r="H173" s="28"/>
      <c r="I173" s="28"/>
      <c r="J173" s="28"/>
      <c r="K173" s="28"/>
      <c r="L173" s="6"/>
      <c r="M173" s="6"/>
      <c r="N173" s="6"/>
      <c r="O173" s="6"/>
      <c r="P173" s="6"/>
    </row>
    <row r="174" spans="1:16" ht="13">
      <c r="A174" s="6"/>
      <c r="B174" s="6" t="s">
        <v>104</v>
      </c>
      <c r="C174" s="6"/>
      <c r="D174" s="105">
        <f>97849+330</f>
        <v>98179</v>
      </c>
      <c r="E174" s="28"/>
      <c r="F174" s="28">
        <v>234824</v>
      </c>
      <c r="G174" s="28"/>
      <c r="H174" s="28"/>
      <c r="I174" s="28"/>
      <c r="J174" s="28"/>
      <c r="K174" s="28"/>
      <c r="L174" s="6"/>
      <c r="M174" s="6"/>
      <c r="N174" s="6"/>
      <c r="O174" s="6"/>
      <c r="P174" s="6"/>
    </row>
    <row r="175" spans="1:16" ht="13">
      <c r="A175" s="6"/>
      <c r="B175" s="6" t="s">
        <v>105</v>
      </c>
      <c r="C175" s="6"/>
      <c r="D175" s="105">
        <f>267699+293</f>
        <v>267992</v>
      </c>
      <c r="E175" s="28"/>
      <c r="F175" s="28">
        <v>300095</v>
      </c>
      <c r="G175" s="28"/>
      <c r="H175" s="28"/>
      <c r="I175" s="28"/>
      <c r="J175" s="28"/>
      <c r="K175" s="28"/>
      <c r="L175" s="6"/>
      <c r="M175" s="6"/>
      <c r="N175" s="6"/>
      <c r="O175" s="6"/>
      <c r="P175" s="6"/>
    </row>
    <row r="176" spans="1:16" ht="13">
      <c r="A176" s="22"/>
      <c r="B176" s="22" t="s">
        <v>106</v>
      </c>
      <c r="C176" s="6"/>
      <c r="D176" s="106">
        <f>91845</f>
        <v>91845</v>
      </c>
      <c r="E176" s="28"/>
      <c r="F176" s="34">
        <v>0</v>
      </c>
      <c r="G176" s="28"/>
      <c r="H176" s="28"/>
      <c r="I176" s="28"/>
      <c r="J176" s="28"/>
      <c r="K176" s="28"/>
      <c r="L176" s="6"/>
      <c r="M176" s="6"/>
      <c r="N176" s="6"/>
      <c r="O176" s="6"/>
      <c r="P176" s="6"/>
    </row>
    <row r="177" spans="1:16" ht="13">
      <c r="A177" s="6"/>
      <c r="B177" s="6" t="s">
        <v>107</v>
      </c>
      <c r="C177" s="6"/>
      <c r="D177" s="105">
        <f>SUM(D171:D176)</f>
        <v>582663</v>
      </c>
      <c r="E177" s="28"/>
      <c r="F177" s="28">
        <f>SUM(F171:F176)</f>
        <v>841108</v>
      </c>
      <c r="G177" s="28"/>
      <c r="H177" s="28"/>
      <c r="I177" s="28"/>
      <c r="J177" s="28"/>
      <c r="K177" s="28"/>
      <c r="L177" s="6"/>
      <c r="M177" s="6"/>
      <c r="N177" s="6"/>
      <c r="O177" s="6"/>
      <c r="P177" s="6"/>
    </row>
    <row r="178" spans="1:16" ht="13">
      <c r="A178" s="6"/>
      <c r="B178" s="6" t="s">
        <v>108</v>
      </c>
      <c r="C178" s="6"/>
      <c r="D178" s="105">
        <f>77366+354</f>
        <v>77720</v>
      </c>
      <c r="E178" s="28"/>
      <c r="F178" s="28">
        <v>76964</v>
      </c>
      <c r="G178" s="28"/>
      <c r="H178" s="28"/>
      <c r="I178" s="28"/>
      <c r="J178" s="28"/>
      <c r="K178" s="28"/>
      <c r="L178" s="6"/>
      <c r="M178" s="6"/>
      <c r="N178" s="6"/>
      <c r="O178" s="6"/>
      <c r="P178" s="6"/>
    </row>
    <row r="179" spans="1:16" ht="13">
      <c r="A179" s="8"/>
      <c r="B179" s="8" t="s">
        <v>109</v>
      </c>
      <c r="C179" s="6"/>
      <c r="D179" s="103">
        <f>SUM(D177:D178)</f>
        <v>660383</v>
      </c>
      <c r="E179" s="28"/>
      <c r="F179" s="25">
        <f>SUM(F177:F178)</f>
        <v>918072</v>
      </c>
      <c r="G179" s="28"/>
      <c r="H179" s="28"/>
      <c r="I179" s="28"/>
      <c r="J179" s="28"/>
      <c r="K179" s="28"/>
      <c r="L179" s="6"/>
      <c r="M179" s="6"/>
      <c r="N179" s="6"/>
      <c r="O179" s="6"/>
      <c r="P179" s="6"/>
    </row>
    <row r="180" spans="1:16" ht="13">
      <c r="A180" s="6"/>
      <c r="B180" s="6"/>
      <c r="C180" s="6"/>
      <c r="D180" s="28"/>
      <c r="E180" s="28"/>
      <c r="F180" s="28"/>
      <c r="G180" s="28"/>
      <c r="H180" s="28"/>
      <c r="I180" s="28"/>
      <c r="J180" s="28"/>
      <c r="K180" s="28"/>
      <c r="L180" s="6"/>
      <c r="M180" s="6"/>
      <c r="N180" s="6"/>
      <c r="O180" s="6"/>
      <c r="P180" s="6"/>
    </row>
    <row r="181" spans="1:16" ht="13">
      <c r="A181" s="6" t="s">
        <v>110</v>
      </c>
      <c r="B181" s="6"/>
      <c r="C181" s="6"/>
      <c r="D181" s="28"/>
      <c r="E181" s="28"/>
      <c r="F181" s="28"/>
      <c r="G181" s="28"/>
      <c r="H181" s="28"/>
      <c r="I181" s="28"/>
      <c r="J181" s="28"/>
      <c r="K181" s="28"/>
      <c r="L181" s="6"/>
      <c r="M181" s="6"/>
      <c r="N181" s="6"/>
      <c r="O181" s="6"/>
      <c r="P181" s="6"/>
    </row>
    <row r="182" spans="1:16" ht="13">
      <c r="A182" s="6"/>
      <c r="B182" s="6"/>
      <c r="C182" s="6"/>
      <c r="D182" s="125" t="s">
        <v>11</v>
      </c>
      <c r="E182" s="125"/>
      <c r="F182" s="125"/>
      <c r="G182" s="6"/>
      <c r="H182" s="125" t="s">
        <v>10</v>
      </c>
      <c r="I182" s="125"/>
      <c r="J182" s="125"/>
      <c r="K182" s="28"/>
      <c r="L182" s="6"/>
      <c r="M182" s="6"/>
      <c r="N182" s="6"/>
      <c r="O182" s="6"/>
      <c r="P182" s="6"/>
    </row>
    <row r="183" spans="1:16" ht="13">
      <c r="A183" s="23" t="s">
        <v>74</v>
      </c>
      <c r="B183" s="22"/>
      <c r="C183" s="6"/>
      <c r="D183" s="113" t="s">
        <v>12</v>
      </c>
      <c r="E183" s="26"/>
      <c r="F183" s="27" t="s">
        <v>15</v>
      </c>
      <c r="G183" s="26"/>
      <c r="H183" s="113" t="s">
        <v>12</v>
      </c>
      <c r="I183" s="26"/>
      <c r="J183" s="27" t="s">
        <v>15</v>
      </c>
      <c r="K183" s="28"/>
      <c r="L183" s="6"/>
      <c r="M183" s="6"/>
      <c r="N183" s="6"/>
      <c r="O183" s="6"/>
      <c r="P183" s="6"/>
    </row>
    <row r="184" spans="1:16" ht="13">
      <c r="A184" s="6"/>
      <c r="B184" s="6" t="s">
        <v>111</v>
      </c>
      <c r="C184" s="6"/>
      <c r="D184" s="102">
        <v>5710</v>
      </c>
      <c r="E184" s="24"/>
      <c r="F184" s="24">
        <v>6284</v>
      </c>
      <c r="G184" s="24"/>
      <c r="H184" s="102">
        <f>5710+25818</f>
        <v>31528</v>
      </c>
      <c r="I184" s="24"/>
      <c r="J184" s="24">
        <v>30234</v>
      </c>
      <c r="K184" s="28"/>
      <c r="L184" s="6"/>
      <c r="M184" s="6"/>
      <c r="N184" s="6"/>
      <c r="O184" s="6"/>
      <c r="P184" s="6"/>
    </row>
    <row r="185" spans="1:16" ht="13">
      <c r="A185" s="22"/>
      <c r="B185" s="22" t="s">
        <v>112</v>
      </c>
      <c r="C185" s="6"/>
      <c r="D185" s="106">
        <v>686</v>
      </c>
      <c r="E185" s="28"/>
      <c r="F185" s="34">
        <v>2320</v>
      </c>
      <c r="G185" s="28"/>
      <c r="H185" s="106">
        <v>5578</v>
      </c>
      <c r="I185" s="28"/>
      <c r="J185" s="34">
        <v>15851</v>
      </c>
      <c r="K185" s="28"/>
      <c r="L185" s="6"/>
      <c r="M185" s="6"/>
      <c r="N185" s="6"/>
      <c r="O185" s="6"/>
      <c r="P185" s="6"/>
    </row>
    <row r="186" spans="1:16" ht="13">
      <c r="A186" s="6"/>
      <c r="B186" s="6"/>
      <c r="C186" s="6"/>
      <c r="D186" s="28"/>
      <c r="E186" s="28"/>
      <c r="F186" s="28"/>
      <c r="G186" s="28"/>
      <c r="H186" s="28"/>
      <c r="I186" s="28"/>
      <c r="J186" s="28"/>
      <c r="K186" s="28"/>
      <c r="L186" s="6"/>
      <c r="M186" s="6"/>
      <c r="N186" s="6"/>
      <c r="O186" s="6"/>
      <c r="P186" s="6"/>
    </row>
    <row r="187" spans="1:16" ht="13">
      <c r="A187" s="6"/>
      <c r="B187" s="6"/>
      <c r="C187" s="6"/>
      <c r="D187" s="28"/>
      <c r="E187" s="28"/>
      <c r="F187" s="28"/>
      <c r="G187" s="28"/>
      <c r="H187" s="28"/>
      <c r="I187" s="28"/>
      <c r="J187" s="28"/>
      <c r="K187" s="28"/>
      <c r="L187" s="6"/>
      <c r="M187" s="6"/>
      <c r="N187" s="6"/>
      <c r="O187" s="6"/>
      <c r="P187" s="6"/>
    </row>
    <row r="188" spans="1:16" ht="14">
      <c r="A188" s="56" t="s">
        <v>190</v>
      </c>
      <c r="B188" s="9"/>
      <c r="C188" s="9"/>
      <c r="D188" s="37"/>
      <c r="E188" s="37"/>
      <c r="F188" s="37"/>
      <c r="G188" s="37"/>
      <c r="H188" s="37"/>
      <c r="I188" s="37"/>
      <c r="J188" s="37"/>
      <c r="K188" s="37"/>
      <c r="L188" s="9"/>
      <c r="M188" s="6"/>
      <c r="N188" s="6"/>
      <c r="O188" s="6"/>
      <c r="P188" s="6"/>
    </row>
    <row r="189" spans="1:16" ht="12.75" customHeight="1" thickBot="1">
      <c r="A189" s="52" t="s">
        <v>195</v>
      </c>
      <c r="B189" s="12"/>
      <c r="C189" s="12"/>
      <c r="D189" s="39"/>
      <c r="E189" s="39"/>
      <c r="F189" s="39"/>
      <c r="G189" s="39"/>
      <c r="H189" s="39"/>
      <c r="I189" s="37"/>
      <c r="J189" s="37"/>
      <c r="K189" s="37"/>
      <c r="L189" s="9"/>
      <c r="M189" s="6"/>
      <c r="N189" s="6"/>
      <c r="O189" s="6"/>
      <c r="P189" s="6"/>
    </row>
    <row r="190" spans="1:16" ht="12.75" customHeight="1">
      <c r="A190" s="18"/>
      <c r="B190" s="6"/>
      <c r="C190" s="6"/>
      <c r="D190" s="129" t="s">
        <v>100</v>
      </c>
      <c r="E190" s="129"/>
      <c r="F190" s="129"/>
      <c r="G190" s="28"/>
      <c r="H190" s="40" t="s">
        <v>116</v>
      </c>
      <c r="I190" s="37"/>
      <c r="J190" s="37"/>
      <c r="K190" s="37"/>
      <c r="L190" s="9"/>
      <c r="M190" s="6"/>
      <c r="N190" s="6"/>
      <c r="O190" s="6"/>
      <c r="P190" s="6"/>
    </row>
    <row r="191" spans="1:16" ht="12.75" customHeight="1">
      <c r="A191" s="23" t="s">
        <v>74</v>
      </c>
      <c r="B191" s="22"/>
      <c r="C191" s="6"/>
      <c r="D191" s="114" t="s">
        <v>12</v>
      </c>
      <c r="E191" s="40"/>
      <c r="F191" s="41" t="s">
        <v>15</v>
      </c>
      <c r="G191" s="28"/>
      <c r="H191" s="42" t="s">
        <v>117</v>
      </c>
      <c r="I191" s="28"/>
      <c r="J191" s="28"/>
      <c r="K191" s="28"/>
      <c r="L191" s="6"/>
      <c r="M191" s="6"/>
      <c r="N191" s="6"/>
      <c r="O191" s="6"/>
      <c r="P191" s="6"/>
    </row>
    <row r="192" spans="1:16" ht="12.75" customHeight="1">
      <c r="A192" s="55"/>
      <c r="B192" s="6" t="s">
        <v>113</v>
      </c>
      <c r="C192" s="6"/>
      <c r="D192" s="102"/>
      <c r="E192" s="24"/>
      <c r="F192" s="24"/>
      <c r="G192" s="24"/>
      <c r="H192" s="24"/>
      <c r="I192" s="28"/>
      <c r="J192" s="28"/>
      <c r="K192" s="28"/>
      <c r="L192" s="6"/>
      <c r="M192" s="6"/>
      <c r="N192" s="6"/>
      <c r="O192" s="6"/>
      <c r="P192" s="6"/>
    </row>
    <row r="193" spans="1:16" ht="12.75" customHeight="1">
      <c r="A193" s="55"/>
      <c r="B193" s="6" t="s">
        <v>147</v>
      </c>
      <c r="C193" s="6"/>
      <c r="D193" s="102">
        <v>2251431</v>
      </c>
      <c r="E193" s="24"/>
      <c r="F193" s="24">
        <v>2140069</v>
      </c>
      <c r="G193" s="24"/>
      <c r="H193" s="24">
        <f>-F193+D193</f>
        <v>111362</v>
      </c>
      <c r="I193" s="28"/>
      <c r="J193" s="28"/>
      <c r="K193" s="28"/>
      <c r="L193" s="6"/>
      <c r="M193" s="6"/>
      <c r="N193" s="6"/>
      <c r="O193" s="6"/>
      <c r="P193" s="6"/>
    </row>
    <row r="194" spans="1:16" ht="12.75" customHeight="1">
      <c r="A194" s="55"/>
      <c r="B194" s="6" t="s">
        <v>114</v>
      </c>
      <c r="C194" s="6"/>
      <c r="D194" s="105"/>
      <c r="E194" s="28"/>
      <c r="F194" s="28"/>
      <c r="G194" s="28"/>
      <c r="H194" s="28">
        <f>-F194+D194</f>
        <v>0</v>
      </c>
      <c r="I194" s="28"/>
      <c r="J194" s="28"/>
      <c r="K194" s="28"/>
      <c r="L194" s="6"/>
      <c r="M194" s="6"/>
      <c r="N194" s="6"/>
      <c r="O194" s="6"/>
      <c r="P194" s="6"/>
    </row>
    <row r="195" spans="1:16" ht="12.75" customHeight="1">
      <c r="A195" s="55"/>
      <c r="B195" s="6" t="s">
        <v>179</v>
      </c>
      <c r="C195" s="6"/>
      <c r="D195" s="105">
        <v>94519</v>
      </c>
      <c r="E195" s="28"/>
      <c r="F195" s="28">
        <f>51616-2</f>
        <v>51614</v>
      </c>
      <c r="G195" s="28"/>
      <c r="H195" s="28">
        <f>-F195+D195</f>
        <v>42905</v>
      </c>
      <c r="I195" s="28"/>
      <c r="J195" s="28"/>
      <c r="K195" s="28"/>
      <c r="L195" s="6"/>
      <c r="M195" s="6"/>
      <c r="N195" s="6"/>
      <c r="O195" s="6"/>
      <c r="P195" s="6"/>
    </row>
    <row r="196" spans="1:16" ht="12.75" customHeight="1">
      <c r="A196" s="55"/>
      <c r="B196" s="6" t="s">
        <v>115</v>
      </c>
      <c r="C196" s="6"/>
      <c r="D196" s="105">
        <v>142322</v>
      </c>
      <c r="E196" s="28"/>
      <c r="F196" s="28">
        <v>141000</v>
      </c>
      <c r="G196" s="28"/>
      <c r="H196" s="28">
        <f>-F196+D196</f>
        <v>1322</v>
      </c>
      <c r="I196" s="28"/>
      <c r="J196" s="28"/>
      <c r="K196" s="28"/>
      <c r="L196" s="6"/>
      <c r="M196" s="6"/>
      <c r="N196" s="6"/>
      <c r="O196" s="6"/>
      <c r="P196" s="6"/>
    </row>
    <row r="197" spans="1:16" ht="12.75" customHeight="1">
      <c r="A197" s="55"/>
      <c r="B197" s="6" t="s">
        <v>148</v>
      </c>
      <c r="C197" s="6"/>
      <c r="D197" s="105">
        <v>63954</v>
      </c>
      <c r="E197" s="28"/>
      <c r="F197" s="28">
        <v>163588</v>
      </c>
      <c r="G197" s="28"/>
      <c r="H197" s="28">
        <f>-F197+D197</f>
        <v>-99634</v>
      </c>
      <c r="I197" s="28"/>
      <c r="J197" s="28"/>
      <c r="K197" s="28"/>
      <c r="L197" s="6"/>
      <c r="M197" s="6"/>
      <c r="N197" s="6"/>
      <c r="O197" s="6"/>
      <c r="P197" s="6"/>
    </row>
    <row r="198" spans="1:16" ht="12.75" customHeight="1">
      <c r="A198" s="57"/>
      <c r="B198" s="8" t="s">
        <v>180</v>
      </c>
      <c r="C198" s="6"/>
      <c r="D198" s="103">
        <f>SUM(D192:D197)</f>
        <v>2552226</v>
      </c>
      <c r="E198" s="24"/>
      <c r="F198" s="25">
        <f>SUM(F192:F197)</f>
        <v>2496271</v>
      </c>
      <c r="G198" s="24"/>
      <c r="H198" s="25">
        <f>SUM(H192:H197)</f>
        <v>55955</v>
      </c>
      <c r="I198" s="28"/>
      <c r="J198" s="28"/>
      <c r="K198" s="28"/>
      <c r="L198" s="6"/>
      <c r="M198" s="6"/>
      <c r="N198" s="6"/>
      <c r="O198" s="6"/>
      <c r="P198" s="6"/>
    </row>
    <row r="199" spans="1:16" ht="12.75" customHeight="1">
      <c r="A199" s="55"/>
      <c r="B199" s="6"/>
      <c r="C199" s="6"/>
      <c r="D199" s="28"/>
      <c r="E199" s="28"/>
      <c r="F199" s="28"/>
      <c r="G199" s="28"/>
      <c r="H199" s="28"/>
      <c r="I199" s="28"/>
      <c r="J199" s="28"/>
      <c r="K199" s="28"/>
      <c r="L199" s="6"/>
      <c r="M199" s="6"/>
      <c r="N199" s="6"/>
      <c r="O199" s="6"/>
      <c r="P199" s="6"/>
    </row>
    <row r="200" spans="1:16" ht="12.75" customHeight="1">
      <c r="A200" s="59" t="s">
        <v>64</v>
      </c>
      <c r="B200" s="38" t="s">
        <v>181</v>
      </c>
      <c r="C200" s="6"/>
      <c r="D200" s="28"/>
      <c r="E200" s="28"/>
      <c r="F200" s="28"/>
      <c r="G200" s="28"/>
      <c r="H200" s="28"/>
      <c r="I200" s="28"/>
      <c r="J200" s="28"/>
      <c r="K200" s="28"/>
      <c r="L200" s="6"/>
      <c r="M200" s="6"/>
      <c r="N200" s="6"/>
      <c r="O200" s="6"/>
      <c r="P200" s="6"/>
    </row>
    <row r="201" spans="1:16" ht="12.75" customHeight="1">
      <c r="A201" s="59" t="s">
        <v>42</v>
      </c>
      <c r="B201" s="6" t="s">
        <v>134</v>
      </c>
      <c r="C201" s="6"/>
      <c r="D201" s="123">
        <v>15800</v>
      </c>
      <c r="E201" s="24"/>
      <c r="F201" s="58">
        <f>726+20500+2</f>
        <v>21228</v>
      </c>
      <c r="G201" s="24"/>
      <c r="H201" s="58">
        <f>-F201+D201</f>
        <v>-5428</v>
      </c>
      <c r="I201" s="28"/>
      <c r="J201" s="28"/>
      <c r="K201" s="28"/>
      <c r="L201" s="6"/>
      <c r="M201" s="6"/>
      <c r="N201" s="6"/>
      <c r="O201" s="6"/>
      <c r="P201" s="6"/>
    </row>
    <row r="202" spans="1:16" ht="12.75" customHeight="1">
      <c r="A202" s="18"/>
      <c r="B202" s="6"/>
      <c r="C202" s="6"/>
      <c r="D202" s="28"/>
      <c r="E202" s="28"/>
      <c r="F202" s="28"/>
      <c r="G202" s="28"/>
      <c r="H202" s="28"/>
      <c r="I202" s="28"/>
      <c r="J202" s="28"/>
      <c r="K202" s="28"/>
      <c r="L202" s="6"/>
      <c r="M202" s="6"/>
      <c r="N202" s="6"/>
      <c r="O202" s="6"/>
      <c r="P202" s="6"/>
    </row>
    <row r="203" spans="1:16" ht="12.75" customHeight="1">
      <c r="A203" s="18"/>
      <c r="B203" s="6"/>
      <c r="C203" s="6"/>
      <c r="D203" s="28"/>
      <c r="E203" s="28"/>
      <c r="F203" s="28"/>
      <c r="G203" s="28"/>
      <c r="H203" s="28"/>
      <c r="I203" s="28"/>
      <c r="J203" s="28"/>
      <c r="K203" s="28"/>
      <c r="L203" s="6"/>
      <c r="M203" s="6"/>
      <c r="N203" s="6"/>
      <c r="O203" s="6"/>
      <c r="P203" s="6"/>
    </row>
    <row r="204" spans="1:16" ht="12.75" customHeight="1">
      <c r="A204" s="56" t="s">
        <v>44</v>
      </c>
      <c r="B204" s="6"/>
      <c r="C204" s="6"/>
      <c r="D204" s="28"/>
      <c r="E204" s="28"/>
      <c r="F204" s="28"/>
      <c r="G204" s="28"/>
      <c r="H204" s="28"/>
      <c r="I204" s="28"/>
      <c r="J204" s="28"/>
      <c r="K204" s="28"/>
      <c r="L204" s="6"/>
      <c r="M204" s="6"/>
      <c r="N204" s="6"/>
      <c r="O204" s="6"/>
      <c r="P204" s="6"/>
    </row>
    <row r="205" spans="1:16" ht="13">
      <c r="A205" s="6" t="s">
        <v>45</v>
      </c>
      <c r="B205" s="6"/>
      <c r="C205" s="6"/>
      <c r="D205" s="28"/>
      <c r="E205" s="28"/>
      <c r="F205" s="28"/>
      <c r="G205" s="28"/>
      <c r="H205" s="28"/>
      <c r="I205" s="28"/>
      <c r="J205" s="28"/>
      <c r="K205" s="28"/>
      <c r="L205" s="6"/>
      <c r="M205" s="6"/>
      <c r="N205" s="6"/>
      <c r="O205" s="6"/>
      <c r="P205" s="6"/>
    </row>
    <row r="206" spans="1:16" ht="13.5" thickBot="1">
      <c r="A206" s="12" t="s">
        <v>46</v>
      </c>
      <c r="B206" s="12"/>
      <c r="C206" s="12"/>
      <c r="D206" s="39"/>
      <c r="E206" s="39"/>
      <c r="F206" s="39"/>
      <c r="G206" s="39"/>
      <c r="H206" s="39"/>
      <c r="I206" s="39"/>
      <c r="J206" s="39"/>
      <c r="K206" s="39"/>
      <c r="L206" s="12"/>
      <c r="M206" s="6"/>
      <c r="N206" s="6"/>
      <c r="O206" s="6"/>
      <c r="P206" s="6"/>
    </row>
    <row r="207" spans="1:16" ht="13">
      <c r="A207" s="6"/>
      <c r="B207" s="6"/>
      <c r="C207" s="6"/>
      <c r="D207" s="40" t="s">
        <v>47</v>
      </c>
      <c r="E207" s="40"/>
      <c r="F207" s="40" t="s">
        <v>49</v>
      </c>
      <c r="G207" s="40"/>
      <c r="H207" s="40" t="s">
        <v>49</v>
      </c>
      <c r="I207" s="40"/>
      <c r="J207" s="40" t="s">
        <v>49</v>
      </c>
      <c r="K207" s="40"/>
      <c r="L207" s="26" t="s">
        <v>63</v>
      </c>
      <c r="M207" s="26"/>
      <c r="N207" s="6"/>
      <c r="O207" s="6"/>
      <c r="P207" s="6"/>
    </row>
    <row r="208" spans="1:16" ht="13">
      <c r="A208" s="23" t="s">
        <v>54</v>
      </c>
      <c r="B208" s="22"/>
      <c r="C208" s="6"/>
      <c r="D208" s="42" t="s">
        <v>48</v>
      </c>
      <c r="E208" s="40"/>
      <c r="F208" s="41" t="s">
        <v>50</v>
      </c>
      <c r="G208" s="40"/>
      <c r="H208" s="41" t="s">
        <v>51</v>
      </c>
      <c r="I208" s="40"/>
      <c r="J208" s="41" t="s">
        <v>52</v>
      </c>
      <c r="K208" s="40"/>
      <c r="L208" s="2" t="s">
        <v>53</v>
      </c>
      <c r="M208" s="26"/>
      <c r="N208" s="26"/>
      <c r="O208" s="6"/>
      <c r="P208" s="6"/>
    </row>
    <row r="209" spans="1:16" ht="13">
      <c r="A209" s="6"/>
      <c r="B209" s="6" t="s">
        <v>55</v>
      </c>
      <c r="C209" s="6"/>
      <c r="D209" s="28"/>
      <c r="E209" s="28"/>
      <c r="F209" s="28"/>
      <c r="G209" s="28"/>
      <c r="H209" s="28"/>
      <c r="I209" s="28"/>
      <c r="J209" s="28"/>
      <c r="K209" s="28"/>
      <c r="L209" s="6"/>
      <c r="M209" s="6"/>
      <c r="N209" s="6"/>
      <c r="O209" s="6"/>
      <c r="P209" s="6"/>
    </row>
    <row r="210" spans="1:16" ht="13">
      <c r="A210" s="6"/>
      <c r="B210" s="6" t="s">
        <v>149</v>
      </c>
      <c r="C210" s="6"/>
      <c r="D210" s="46">
        <f>SUM(F210:L210)</f>
        <v>2255.6999999999998</v>
      </c>
      <c r="E210" s="46"/>
      <c r="F210" s="46">
        <v>941.3</v>
      </c>
      <c r="G210" s="46"/>
      <c r="H210" s="46">
        <v>12.2</v>
      </c>
      <c r="I210" s="46"/>
      <c r="J210" s="46">
        <v>13</v>
      </c>
      <c r="K210" s="46"/>
      <c r="L210" s="46">
        <v>1289.2</v>
      </c>
      <c r="M210" s="6"/>
      <c r="N210" s="6"/>
      <c r="O210" s="6"/>
      <c r="P210" s="6"/>
    </row>
    <row r="211" spans="1:16" ht="13">
      <c r="A211" s="6"/>
      <c r="B211" s="6" t="s">
        <v>56</v>
      </c>
      <c r="C211" s="6"/>
      <c r="D211" s="43"/>
      <c r="E211" s="43"/>
      <c r="F211" s="43"/>
      <c r="G211" s="43"/>
      <c r="H211" s="43"/>
      <c r="I211" s="43"/>
      <c r="J211" s="43"/>
      <c r="K211" s="43"/>
      <c r="L211" s="43"/>
      <c r="M211" s="6"/>
      <c r="N211" s="6"/>
      <c r="O211" s="6"/>
      <c r="P211" s="6"/>
    </row>
    <row r="212" spans="1:16" ht="13">
      <c r="A212" s="6"/>
      <c r="B212" s="6" t="s">
        <v>57</v>
      </c>
      <c r="C212" s="6"/>
      <c r="D212" s="43">
        <f>SUM(F212:L212)</f>
        <v>101.7</v>
      </c>
      <c r="E212" s="43"/>
      <c r="F212" s="43">
        <v>20</v>
      </c>
      <c r="G212" s="43"/>
      <c r="H212" s="43">
        <v>18</v>
      </c>
      <c r="I212" s="43"/>
      <c r="J212" s="43">
        <v>28.4</v>
      </c>
      <c r="K212" s="43"/>
      <c r="L212" s="43">
        <v>35.299999999999997</v>
      </c>
      <c r="M212" s="6"/>
      <c r="N212" s="6"/>
      <c r="O212" s="6"/>
      <c r="P212" s="6"/>
    </row>
    <row r="213" spans="1:16" ht="13">
      <c r="A213" s="6"/>
      <c r="B213" s="6" t="s">
        <v>62</v>
      </c>
      <c r="C213" s="6"/>
      <c r="D213" s="43">
        <f>SUM(F213:L213)</f>
        <v>249.39999999999998</v>
      </c>
      <c r="E213" s="43"/>
      <c r="F213" s="43">
        <v>84</v>
      </c>
      <c r="G213" s="43"/>
      <c r="H213" s="43">
        <v>57</v>
      </c>
      <c r="I213" s="43"/>
      <c r="J213" s="43">
        <v>33.700000000000003</v>
      </c>
      <c r="K213" s="43"/>
      <c r="L213" s="43">
        <v>74.7</v>
      </c>
      <c r="M213" s="6"/>
      <c r="N213" s="6"/>
      <c r="O213" s="6"/>
      <c r="P213" s="6"/>
    </row>
    <row r="214" spans="1:16" ht="13">
      <c r="A214" s="6"/>
      <c r="B214" s="6" t="s">
        <v>58</v>
      </c>
      <c r="C214" s="6"/>
      <c r="D214" s="43"/>
      <c r="E214" s="43"/>
      <c r="F214" s="43"/>
      <c r="G214" s="43"/>
      <c r="H214" s="43"/>
      <c r="I214" s="43"/>
      <c r="J214" s="43"/>
      <c r="K214" s="43"/>
      <c r="L214" s="43"/>
      <c r="M214" s="6"/>
      <c r="N214" s="6"/>
      <c r="O214" s="6"/>
      <c r="P214" s="6"/>
    </row>
    <row r="215" spans="1:16" ht="13">
      <c r="A215" s="6"/>
      <c r="B215" s="6" t="s">
        <v>59</v>
      </c>
      <c r="C215" s="6"/>
      <c r="D215" s="43"/>
      <c r="E215" s="43"/>
      <c r="F215" s="43"/>
      <c r="G215" s="43"/>
      <c r="H215" s="43"/>
      <c r="I215" s="43"/>
      <c r="J215" s="43"/>
      <c r="K215" s="43"/>
      <c r="L215" s="43"/>
      <c r="M215" s="6"/>
      <c r="N215" s="6"/>
      <c r="O215" s="6"/>
      <c r="P215" s="6"/>
    </row>
    <row r="216" spans="1:16" ht="13">
      <c r="A216" s="6"/>
      <c r="B216" s="6" t="s">
        <v>118</v>
      </c>
      <c r="C216" s="6"/>
      <c r="D216" s="43">
        <f>SUM(F216:L216)</f>
        <v>143.80000000000001</v>
      </c>
      <c r="E216" s="43"/>
      <c r="F216" s="43">
        <v>0</v>
      </c>
      <c r="G216" s="43">
        <v>0</v>
      </c>
      <c r="H216" s="43">
        <v>0</v>
      </c>
      <c r="I216" s="43"/>
      <c r="J216" s="43">
        <v>0</v>
      </c>
      <c r="K216" s="43"/>
      <c r="L216" s="43">
        <v>143.80000000000001</v>
      </c>
      <c r="M216" s="6"/>
      <c r="N216" s="6"/>
      <c r="O216" s="6"/>
      <c r="P216" s="6"/>
    </row>
    <row r="217" spans="1:16" ht="13">
      <c r="A217" s="6"/>
      <c r="B217" s="6" t="s">
        <v>60</v>
      </c>
      <c r="C217" s="6"/>
      <c r="D217" s="43"/>
      <c r="E217" s="43"/>
      <c r="F217" s="43"/>
      <c r="G217" s="43"/>
      <c r="H217" s="43"/>
      <c r="I217" s="43"/>
      <c r="J217" s="43"/>
      <c r="K217" s="43"/>
      <c r="L217" s="43"/>
      <c r="M217" s="6"/>
      <c r="N217" s="6"/>
      <c r="O217" s="6"/>
      <c r="P217" s="6"/>
    </row>
    <row r="218" spans="1:16" ht="13">
      <c r="A218" s="22"/>
      <c r="B218" s="22" t="s">
        <v>61</v>
      </c>
      <c r="C218" s="6"/>
      <c r="D218" s="43">
        <f>SUM(F218:L218)</f>
        <v>64</v>
      </c>
      <c r="E218" s="43"/>
      <c r="F218" s="43">
        <v>64</v>
      </c>
      <c r="G218" s="43"/>
      <c r="H218" s="43">
        <v>0</v>
      </c>
      <c r="I218" s="43"/>
      <c r="J218" s="43">
        <v>0</v>
      </c>
      <c r="K218" s="43"/>
      <c r="L218" s="43">
        <v>0</v>
      </c>
      <c r="M218" s="6"/>
      <c r="N218" s="6"/>
      <c r="O218" s="6"/>
      <c r="P218" s="6"/>
    </row>
    <row r="219" spans="1:16" ht="13">
      <c r="A219" s="8"/>
      <c r="B219" s="8" t="s">
        <v>65</v>
      </c>
      <c r="C219" s="6"/>
      <c r="D219" s="45">
        <f>SUM(D210:D218)</f>
        <v>2814.6</v>
      </c>
      <c r="E219" s="46"/>
      <c r="F219" s="45">
        <f>SUM(F210:F218)</f>
        <v>1109.3</v>
      </c>
      <c r="G219" s="46"/>
      <c r="H219" s="45">
        <f>SUM(H210:H218)</f>
        <v>87.2</v>
      </c>
      <c r="I219" s="46"/>
      <c r="J219" s="45">
        <f>SUM(J210:J218)</f>
        <v>75.099999999999994</v>
      </c>
      <c r="K219" s="46"/>
      <c r="L219" s="45">
        <f>SUM(L210:L218)</f>
        <v>1543</v>
      </c>
      <c r="M219" s="6"/>
      <c r="N219" s="6"/>
      <c r="O219" s="6"/>
      <c r="P219" s="6"/>
    </row>
    <row r="220" spans="1:16" ht="13">
      <c r="A220" s="6"/>
      <c r="B220" s="6"/>
      <c r="C220" s="6"/>
      <c r="D220" s="28"/>
      <c r="E220" s="28"/>
      <c r="F220" s="28"/>
      <c r="G220" s="28"/>
      <c r="H220" s="28"/>
      <c r="I220" s="28"/>
      <c r="J220" s="28"/>
      <c r="K220" s="28"/>
      <c r="L220" s="28"/>
      <c r="M220" s="6"/>
      <c r="N220" s="6"/>
      <c r="O220" s="6"/>
      <c r="P220" s="6"/>
    </row>
    <row r="221" spans="1:16" ht="13">
      <c r="A221" s="59" t="s">
        <v>64</v>
      </c>
      <c r="B221" s="38" t="s">
        <v>160</v>
      </c>
      <c r="C221" s="38"/>
      <c r="D221" s="44"/>
      <c r="E221" s="44"/>
      <c r="F221" s="44"/>
      <c r="G221" s="44"/>
      <c r="H221" s="44"/>
      <c r="I221" s="44"/>
      <c r="J221" s="44"/>
      <c r="K221" s="44"/>
      <c r="L221" s="44"/>
      <c r="M221" s="6"/>
      <c r="N221" s="6"/>
      <c r="O221" s="6"/>
      <c r="P221" s="6"/>
    </row>
    <row r="222" spans="1:16" ht="13">
      <c r="A222" s="59" t="s">
        <v>42</v>
      </c>
      <c r="B222" s="38" t="s">
        <v>119</v>
      </c>
      <c r="C222" s="38"/>
      <c r="D222" s="44"/>
      <c r="E222" s="44"/>
      <c r="F222" s="44"/>
      <c r="G222" s="44"/>
      <c r="H222" s="44"/>
      <c r="I222" s="44"/>
      <c r="J222" s="44"/>
      <c r="K222" s="44"/>
      <c r="L222" s="44"/>
      <c r="M222" s="6"/>
      <c r="N222" s="6"/>
      <c r="O222" s="6"/>
      <c r="P222" s="6"/>
    </row>
    <row r="223" spans="1:16" ht="13">
      <c r="A223" s="38"/>
      <c r="B223" s="38" t="s">
        <v>121</v>
      </c>
      <c r="C223" s="38"/>
      <c r="D223" s="44"/>
      <c r="E223" s="44"/>
      <c r="F223" s="44"/>
      <c r="G223" s="44"/>
      <c r="H223" s="44"/>
      <c r="I223" s="44"/>
      <c r="J223" s="44"/>
      <c r="K223" s="44"/>
      <c r="L223" s="44"/>
      <c r="M223" s="6"/>
      <c r="N223" s="6"/>
      <c r="O223" s="6"/>
      <c r="P223" s="6"/>
    </row>
    <row r="224" spans="1:16" ht="13">
      <c r="A224" s="38"/>
      <c r="B224" s="38" t="s">
        <v>120</v>
      </c>
      <c r="C224" s="38"/>
      <c r="D224" s="44"/>
      <c r="E224" s="44"/>
      <c r="F224" s="44"/>
      <c r="G224" s="44"/>
      <c r="H224" s="44"/>
      <c r="I224" s="44"/>
      <c r="J224" s="44"/>
      <c r="K224" s="44"/>
      <c r="L224" s="44"/>
      <c r="M224" s="6"/>
      <c r="N224" s="6"/>
      <c r="O224" s="6"/>
      <c r="P224" s="6"/>
    </row>
    <row r="225" spans="1:16" ht="13">
      <c r="A225" s="38"/>
      <c r="B225" s="38" t="s">
        <v>135</v>
      </c>
      <c r="C225" s="38"/>
      <c r="D225" s="44"/>
      <c r="E225" s="44"/>
      <c r="F225" s="44"/>
      <c r="G225" s="44"/>
      <c r="H225" s="44"/>
      <c r="I225" s="44"/>
      <c r="J225" s="68"/>
      <c r="K225" s="44"/>
      <c r="L225" s="44"/>
      <c r="M225" s="6"/>
      <c r="N225" s="6"/>
      <c r="O225" s="6"/>
      <c r="P225" s="6"/>
    </row>
    <row r="226" spans="1:16" ht="13">
      <c r="A226" s="38"/>
      <c r="B226" s="38" t="s">
        <v>136</v>
      </c>
      <c r="C226" s="38"/>
      <c r="D226" s="44"/>
      <c r="E226" s="44"/>
      <c r="F226" s="44"/>
      <c r="G226" s="44"/>
      <c r="H226" s="44"/>
      <c r="I226" s="44"/>
      <c r="J226" s="68"/>
      <c r="K226" s="44"/>
      <c r="L226" s="44"/>
      <c r="M226" s="6"/>
      <c r="N226" s="6"/>
      <c r="O226" s="6"/>
      <c r="P226" s="6"/>
    </row>
    <row r="227" spans="1:16" ht="13">
      <c r="A227" s="6"/>
      <c r="B227" s="6"/>
      <c r="C227" s="6"/>
      <c r="D227" s="28"/>
      <c r="E227" s="28"/>
      <c r="F227" s="28"/>
      <c r="G227" s="28"/>
      <c r="H227" s="28"/>
      <c r="I227" s="28"/>
      <c r="J227" s="28"/>
      <c r="K227" s="44"/>
      <c r="L227" s="44"/>
      <c r="M227" s="6"/>
      <c r="N227" s="6"/>
      <c r="O227" s="6"/>
      <c r="P227" s="6"/>
    </row>
    <row r="228" spans="1:16" ht="13">
      <c r="A228" s="6"/>
      <c r="B228" s="6" t="s">
        <v>191</v>
      </c>
      <c r="C228" s="6"/>
      <c r="D228" s="28"/>
      <c r="E228" s="28"/>
      <c r="F228" s="28"/>
      <c r="G228" s="28"/>
      <c r="H228" s="28"/>
      <c r="I228" s="28"/>
      <c r="J228" s="28"/>
      <c r="K228" s="28"/>
      <c r="L228" s="28"/>
      <c r="M228" s="6"/>
      <c r="N228" s="6"/>
      <c r="O228" s="6"/>
      <c r="P228" s="6"/>
    </row>
    <row r="229" spans="1:16" ht="13">
      <c r="A229" s="6"/>
      <c r="B229" s="23" t="s">
        <v>74</v>
      </c>
      <c r="C229" s="6"/>
      <c r="D229" s="125" t="s">
        <v>11</v>
      </c>
      <c r="E229" s="125"/>
      <c r="F229" s="125"/>
      <c r="G229" s="6"/>
      <c r="H229" s="125" t="s">
        <v>10</v>
      </c>
      <c r="I229" s="125"/>
      <c r="J229" s="125"/>
      <c r="K229" s="28"/>
      <c r="L229" s="28"/>
      <c r="M229" s="6"/>
      <c r="N229" s="6"/>
      <c r="O229" s="6"/>
      <c r="P229" s="6"/>
    </row>
    <row r="230" spans="1:16" ht="13">
      <c r="A230" s="6"/>
      <c r="B230" s="6"/>
      <c r="C230" s="6"/>
      <c r="D230" s="98" t="s">
        <v>12</v>
      </c>
      <c r="E230" s="60"/>
      <c r="F230" s="61" t="s">
        <v>15</v>
      </c>
      <c r="G230" s="60"/>
      <c r="H230" s="98" t="s">
        <v>12</v>
      </c>
      <c r="I230" s="60"/>
      <c r="J230" s="61" t="s">
        <v>15</v>
      </c>
      <c r="K230" s="28"/>
      <c r="L230" s="28"/>
      <c r="M230" s="6"/>
      <c r="N230" s="6"/>
      <c r="O230" s="6"/>
      <c r="P230" s="6"/>
    </row>
    <row r="231" spans="1:16" ht="13">
      <c r="A231" s="6"/>
      <c r="B231" s="22" t="s">
        <v>182</v>
      </c>
      <c r="C231" s="6"/>
      <c r="D231" s="100">
        <v>3801</v>
      </c>
      <c r="E231" s="24"/>
      <c r="F231" s="25">
        <v>3647</v>
      </c>
      <c r="G231" s="24"/>
      <c r="H231" s="100">
        <v>14974</v>
      </c>
      <c r="I231" s="24"/>
      <c r="J231" s="25">
        <v>14935</v>
      </c>
      <c r="K231" s="28"/>
      <c r="L231" s="28"/>
      <c r="M231" s="6"/>
      <c r="N231" s="6"/>
      <c r="O231" s="6"/>
      <c r="P231" s="6"/>
    </row>
    <row r="232" spans="1:16" ht="13">
      <c r="A232" s="6"/>
      <c r="B232" s="6"/>
      <c r="C232" s="6"/>
      <c r="D232" s="28"/>
      <c r="E232" s="28"/>
      <c r="F232" s="28"/>
      <c r="G232" s="28"/>
      <c r="H232" s="28"/>
      <c r="I232" s="28"/>
      <c r="J232" s="28"/>
      <c r="K232" s="28"/>
      <c r="L232" s="28"/>
      <c r="M232" s="6"/>
      <c r="N232" s="6"/>
      <c r="O232" s="6"/>
      <c r="P232" s="6"/>
    </row>
    <row r="233" spans="1:16" ht="13">
      <c r="A233" s="6"/>
      <c r="B233" s="6"/>
      <c r="C233" s="6"/>
      <c r="D233" s="28"/>
      <c r="E233" s="28"/>
      <c r="F233" s="28"/>
      <c r="G233" s="28"/>
      <c r="H233" s="28"/>
      <c r="I233" s="28"/>
      <c r="J233" s="28"/>
      <c r="K233" s="28"/>
      <c r="L233" s="28"/>
      <c r="M233" s="6"/>
      <c r="N233" s="6"/>
      <c r="O233" s="6"/>
      <c r="P233" s="6"/>
    </row>
    <row r="234" spans="1:16" ht="14">
      <c r="A234" s="56" t="s">
        <v>122</v>
      </c>
      <c r="B234" s="6"/>
      <c r="C234" s="6"/>
      <c r="D234" s="28"/>
      <c r="E234" s="28"/>
      <c r="F234" s="28"/>
      <c r="G234" s="28"/>
      <c r="H234" s="28"/>
      <c r="I234" s="28"/>
      <c r="J234" s="28"/>
      <c r="K234" s="28"/>
      <c r="L234" s="28"/>
      <c r="M234" s="6"/>
      <c r="N234" s="6"/>
      <c r="O234" s="6"/>
      <c r="P234" s="112"/>
    </row>
    <row r="235" spans="1:16" ht="13.5" thickBot="1">
      <c r="A235" s="12" t="s">
        <v>123</v>
      </c>
      <c r="B235" s="12"/>
      <c r="C235" s="12"/>
      <c r="D235" s="39"/>
      <c r="E235" s="39"/>
      <c r="F235" s="39"/>
      <c r="G235" s="39"/>
      <c r="H235" s="39"/>
      <c r="I235" s="39"/>
      <c r="J235" s="39"/>
      <c r="K235" s="28"/>
      <c r="L235" s="28"/>
      <c r="M235" s="6"/>
      <c r="N235" s="6"/>
      <c r="O235" s="6"/>
      <c r="P235" s="6"/>
    </row>
    <row r="236" spans="1:16" ht="13">
      <c r="A236" s="6"/>
      <c r="B236" s="6"/>
      <c r="C236" s="6"/>
      <c r="D236" s="125" t="s">
        <v>11</v>
      </c>
      <c r="E236" s="125"/>
      <c r="F236" s="125"/>
      <c r="G236" s="28"/>
      <c r="H236" s="125" t="s">
        <v>10</v>
      </c>
      <c r="I236" s="125"/>
      <c r="J236" s="125"/>
      <c r="K236" s="28"/>
      <c r="L236" s="28"/>
      <c r="M236" s="6"/>
      <c r="N236" s="6"/>
      <c r="O236" s="6"/>
      <c r="P236" s="6"/>
    </row>
    <row r="237" spans="1:16" ht="13">
      <c r="A237" s="23" t="s">
        <v>74</v>
      </c>
      <c r="B237" s="23"/>
      <c r="C237" s="6"/>
      <c r="D237" s="98" t="s">
        <v>12</v>
      </c>
      <c r="E237" s="60"/>
      <c r="F237" s="61" t="s">
        <v>15</v>
      </c>
      <c r="G237" s="60"/>
      <c r="H237" s="98" t="s">
        <v>12</v>
      </c>
      <c r="I237" s="60"/>
      <c r="J237" s="61" t="s">
        <v>15</v>
      </c>
      <c r="K237" s="28"/>
      <c r="L237" s="28"/>
      <c r="M237" s="6"/>
      <c r="N237" s="6"/>
      <c r="O237" s="6"/>
      <c r="P237" s="6"/>
    </row>
    <row r="238" spans="1:16" ht="13">
      <c r="A238" s="6"/>
      <c r="B238" s="6" t="s">
        <v>137</v>
      </c>
      <c r="C238" s="6"/>
      <c r="D238" s="102">
        <v>3043</v>
      </c>
      <c r="E238" s="24"/>
      <c r="F238" s="24">
        <v>12000</v>
      </c>
      <c r="G238" s="24"/>
      <c r="H238" s="102">
        <v>41743</v>
      </c>
      <c r="I238" s="24"/>
      <c r="J238" s="24">
        <v>26389</v>
      </c>
      <c r="K238" s="28"/>
      <c r="L238" s="28"/>
      <c r="M238" s="6"/>
      <c r="N238" s="6"/>
      <c r="O238" s="6"/>
      <c r="P238" s="6"/>
    </row>
    <row r="239" spans="1:16" ht="13">
      <c r="A239" s="6"/>
      <c r="B239" s="6" t="s">
        <v>138</v>
      </c>
      <c r="C239" s="6"/>
      <c r="D239" s="105">
        <v>-1052</v>
      </c>
      <c r="E239" s="28"/>
      <c r="F239" s="28">
        <v>18904</v>
      </c>
      <c r="G239" s="28"/>
      <c r="H239" s="105">
        <v>10913</v>
      </c>
      <c r="I239" s="28"/>
      <c r="J239" s="28">
        <f>158905</f>
        <v>158905</v>
      </c>
      <c r="K239" s="28"/>
      <c r="L239" s="28"/>
      <c r="M239" s="6"/>
      <c r="N239" s="6"/>
      <c r="O239" s="6"/>
      <c r="P239" s="6"/>
    </row>
    <row r="240" spans="1:16" ht="13">
      <c r="A240" s="6"/>
      <c r="B240" s="6" t="s">
        <v>192</v>
      </c>
      <c r="C240" s="6"/>
      <c r="D240" s="105">
        <v>5249</v>
      </c>
      <c r="E240" s="28"/>
      <c r="F240" s="28">
        <v>0</v>
      </c>
      <c r="G240" s="28"/>
      <c r="H240" s="105">
        <v>8238</v>
      </c>
      <c r="I240" s="28"/>
      <c r="J240" s="28">
        <v>0</v>
      </c>
      <c r="K240" s="28"/>
      <c r="L240" s="28"/>
      <c r="M240" s="6"/>
      <c r="N240" s="6"/>
      <c r="O240" s="6"/>
      <c r="P240" s="6"/>
    </row>
    <row r="241" spans="1:16" ht="13">
      <c r="A241" s="8"/>
      <c r="B241" s="8" t="s">
        <v>9</v>
      </c>
      <c r="C241" s="6"/>
      <c r="D241" s="115">
        <f>SUM(D238:D240)</f>
        <v>7240</v>
      </c>
      <c r="E241" s="28"/>
      <c r="F241" s="50">
        <f>SUM(F238:F240)</f>
        <v>30904</v>
      </c>
      <c r="G241" s="28"/>
      <c r="H241" s="115">
        <f>SUM(H238:H240)</f>
        <v>60894</v>
      </c>
      <c r="I241" s="28"/>
      <c r="J241" s="50">
        <f>SUM(J238:J240)</f>
        <v>185294</v>
      </c>
      <c r="K241" s="28"/>
      <c r="L241" s="28"/>
      <c r="M241" s="6"/>
      <c r="N241" s="6"/>
      <c r="O241" s="6"/>
      <c r="P241" s="6"/>
    </row>
    <row r="242" spans="1:16" ht="13">
      <c r="A242" s="6"/>
      <c r="B242" s="6"/>
      <c r="C242" s="6"/>
      <c r="D242" s="28"/>
      <c r="E242" s="28"/>
      <c r="F242" s="28"/>
      <c r="G242" s="28"/>
      <c r="H242" s="28"/>
      <c r="I242" s="28"/>
      <c r="J242" s="28"/>
      <c r="K242" s="28"/>
      <c r="L242" s="28"/>
      <c r="M242" s="6"/>
      <c r="N242" s="6"/>
      <c r="O242" s="6"/>
      <c r="P242" s="6"/>
    </row>
    <row r="243" spans="1:16" ht="13">
      <c r="A243" s="32" t="s">
        <v>64</v>
      </c>
      <c r="B243" s="6" t="s">
        <v>142</v>
      </c>
      <c r="C243" s="6"/>
      <c r="D243" s="28"/>
      <c r="E243" s="28"/>
      <c r="F243" s="28"/>
      <c r="G243" s="28"/>
      <c r="H243" s="28"/>
      <c r="I243" s="28"/>
      <c r="J243" s="28"/>
      <c r="K243" s="28"/>
      <c r="L243" s="28"/>
      <c r="M243" s="6"/>
      <c r="N243" s="6"/>
      <c r="O243" s="6"/>
      <c r="P243" s="6"/>
    </row>
    <row r="244" spans="1:16" ht="13">
      <c r="A244" s="32"/>
      <c r="B244" s="6" t="s">
        <v>139</v>
      </c>
      <c r="C244" s="6"/>
      <c r="D244" s="102">
        <f>2082+6-6+38</f>
        <v>2120</v>
      </c>
      <c r="E244" s="24"/>
      <c r="F244" s="24">
        <f>9772+49+59+33+44+3</f>
        <v>9960</v>
      </c>
      <c r="G244" s="24"/>
      <c r="H244" s="102">
        <f>29697+2+99+5+255+910</f>
        <v>30968</v>
      </c>
      <c r="I244" s="24"/>
      <c r="J244" s="24">
        <f>17364+391+7+143+34+221+31+275</f>
        <v>18466</v>
      </c>
      <c r="K244" s="28"/>
      <c r="L244" s="28"/>
      <c r="M244" s="6"/>
      <c r="N244" s="6"/>
      <c r="O244" s="6"/>
      <c r="P244" s="6"/>
    </row>
    <row r="245" spans="1:16" ht="13">
      <c r="A245" s="6"/>
      <c r="B245" s="6" t="s">
        <v>140</v>
      </c>
      <c r="C245" s="6"/>
      <c r="D245" s="105">
        <v>-84</v>
      </c>
      <c r="E245" s="28"/>
      <c r="F245" s="28">
        <v>-471</v>
      </c>
      <c r="G245" s="28"/>
      <c r="H245" s="105">
        <v>7037</v>
      </c>
      <c r="I245" s="28"/>
      <c r="J245" s="28">
        <v>1757</v>
      </c>
      <c r="K245" s="28"/>
      <c r="L245" s="28"/>
      <c r="M245" s="6"/>
      <c r="N245" s="6"/>
      <c r="O245" s="6"/>
      <c r="P245" s="6"/>
    </row>
    <row r="246" spans="1:16" ht="13">
      <c r="A246" s="6"/>
      <c r="B246" s="6" t="s">
        <v>141</v>
      </c>
      <c r="C246" s="6"/>
      <c r="D246" s="105">
        <f>881+35+14+44+33</f>
        <v>1007</v>
      </c>
      <c r="E246" s="28"/>
      <c r="F246" s="28">
        <f>2016+31+413+1+50</f>
        <v>2511</v>
      </c>
      <c r="G246" s="28"/>
      <c r="H246" s="105">
        <f>2341+296+135+397+135+434</f>
        <v>3738</v>
      </c>
      <c r="I246" s="28"/>
      <c r="J246" s="28">
        <f>4816+3+206+979+24+138</f>
        <v>6166</v>
      </c>
      <c r="K246" s="28"/>
      <c r="L246" s="28"/>
      <c r="M246" s="6"/>
      <c r="N246" s="6"/>
      <c r="O246" s="6"/>
      <c r="P246" s="6"/>
    </row>
    <row r="247" spans="1:16" ht="13">
      <c r="A247" s="8"/>
      <c r="B247" s="8" t="s">
        <v>9</v>
      </c>
      <c r="C247" s="6"/>
      <c r="D247" s="115">
        <f>SUM(D244:D246)</f>
        <v>3043</v>
      </c>
      <c r="E247" s="28"/>
      <c r="F247" s="50">
        <f>SUM(F244:F246)</f>
        <v>12000</v>
      </c>
      <c r="G247" s="28"/>
      <c r="H247" s="115">
        <f>SUM(H244:H246)</f>
        <v>41743</v>
      </c>
      <c r="I247" s="28"/>
      <c r="J247" s="50">
        <f>SUM(J244:J246)</f>
        <v>26389</v>
      </c>
      <c r="K247" s="28"/>
      <c r="L247" s="28"/>
      <c r="M247" s="6"/>
      <c r="N247" s="6"/>
      <c r="O247" s="6"/>
      <c r="P247" s="6"/>
    </row>
    <row r="248" spans="1:16" ht="13">
      <c r="A248" s="6"/>
      <c r="B248" s="6"/>
      <c r="C248" s="6"/>
      <c r="D248" s="28"/>
      <c r="E248" s="28"/>
      <c r="F248" s="28"/>
      <c r="G248" s="28"/>
      <c r="H248" s="28"/>
      <c r="I248" s="28"/>
      <c r="J248" s="28"/>
      <c r="K248" s="28"/>
      <c r="L248" s="28"/>
      <c r="M248" s="6"/>
      <c r="N248" s="6"/>
      <c r="O248" s="6"/>
      <c r="P248" s="6"/>
    </row>
    <row r="249" spans="1:16" ht="13">
      <c r="A249" s="69" t="s">
        <v>42</v>
      </c>
      <c r="B249" s="6" t="s">
        <v>124</v>
      </c>
      <c r="C249" s="6"/>
      <c r="D249" s="28"/>
      <c r="E249" s="28"/>
      <c r="F249" s="28"/>
      <c r="G249" s="28"/>
      <c r="H249" s="28"/>
      <c r="I249" s="28"/>
      <c r="J249" s="28"/>
      <c r="K249" s="44"/>
      <c r="L249" s="28"/>
      <c r="M249" s="6"/>
      <c r="N249" s="6"/>
      <c r="O249" s="6"/>
      <c r="P249" s="6"/>
    </row>
    <row r="250" spans="1:16" ht="13">
      <c r="A250" s="26"/>
      <c r="B250" s="6" t="s">
        <v>125</v>
      </c>
      <c r="C250" s="6"/>
      <c r="D250" s="105">
        <v>0</v>
      </c>
      <c r="E250" s="28"/>
      <c r="F250" s="28">
        <v>4344</v>
      </c>
      <c r="G250" s="28"/>
      <c r="H250" s="105">
        <v>455</v>
      </c>
      <c r="I250" s="28"/>
      <c r="J250" s="28">
        <v>66150</v>
      </c>
      <c r="K250" s="44"/>
      <c r="L250" s="28"/>
      <c r="M250" s="6"/>
      <c r="N250" s="6"/>
      <c r="O250" s="6"/>
      <c r="P250" s="6"/>
    </row>
    <row r="251" spans="1:16" ht="13">
      <c r="A251" s="6"/>
      <c r="B251" s="6" t="s">
        <v>126</v>
      </c>
      <c r="C251" s="6"/>
      <c r="D251" s="105">
        <v>-1146</v>
      </c>
      <c r="E251" s="28"/>
      <c r="F251" s="28">
        <v>14560</v>
      </c>
      <c r="G251" s="28"/>
      <c r="H251" s="105">
        <v>10158</v>
      </c>
      <c r="I251" s="28"/>
      <c r="J251" s="28">
        <v>87169</v>
      </c>
      <c r="K251" s="44"/>
      <c r="L251" s="28"/>
      <c r="M251" s="6"/>
      <c r="N251" s="6"/>
      <c r="O251" s="6"/>
      <c r="P251" s="6"/>
    </row>
    <row r="252" spans="1:16" ht="13">
      <c r="A252" s="6"/>
      <c r="B252" s="6" t="s">
        <v>127</v>
      </c>
      <c r="C252" s="6"/>
      <c r="D252" s="105">
        <v>94</v>
      </c>
      <c r="E252" s="28"/>
      <c r="F252" s="28">
        <v>0</v>
      </c>
      <c r="G252" s="28"/>
      <c r="H252" s="105">
        <f>234+59+7</f>
        <v>300</v>
      </c>
      <c r="I252" s="28"/>
      <c r="J252" s="28">
        <f>5583+3</f>
        <v>5586</v>
      </c>
      <c r="K252" s="44"/>
      <c r="L252" s="28"/>
      <c r="M252" s="6"/>
      <c r="N252" s="6"/>
      <c r="O252" s="6"/>
      <c r="P252" s="6"/>
    </row>
    <row r="253" spans="1:16" ht="13">
      <c r="A253" s="8"/>
      <c r="B253" s="8" t="s">
        <v>9</v>
      </c>
      <c r="C253" s="6"/>
      <c r="D253" s="103">
        <f>SUM(D250:D252)</f>
        <v>-1052</v>
      </c>
      <c r="E253" s="28"/>
      <c r="F253" s="25">
        <f>SUM(F250:F252)</f>
        <v>18904</v>
      </c>
      <c r="G253" s="28"/>
      <c r="H253" s="103">
        <f>SUM(H250:H252)</f>
        <v>10913</v>
      </c>
      <c r="I253" s="28"/>
      <c r="J253" s="25">
        <f>SUM(J250:J252)</f>
        <v>158905</v>
      </c>
      <c r="K253" s="44"/>
      <c r="L253" s="28"/>
      <c r="M253" s="6"/>
      <c r="N253" s="6"/>
      <c r="O253" s="6"/>
      <c r="P253" s="6"/>
    </row>
    <row r="254" spans="1:16" ht="13">
      <c r="A254" s="38"/>
      <c r="B254" s="38"/>
      <c r="C254" s="38"/>
      <c r="D254" s="44"/>
      <c r="E254" s="44"/>
      <c r="F254" s="44"/>
      <c r="G254" s="44"/>
      <c r="H254" s="44"/>
      <c r="I254" s="44"/>
      <c r="J254" s="44"/>
      <c r="K254" s="44"/>
      <c r="L254" s="28"/>
      <c r="M254" s="6"/>
      <c r="N254" s="6"/>
      <c r="O254" s="6"/>
      <c r="P254" s="6"/>
    </row>
    <row r="255" spans="1:16" ht="13">
      <c r="A255" s="59" t="s">
        <v>83</v>
      </c>
      <c r="B255" s="38" t="s">
        <v>193</v>
      </c>
      <c r="C255" s="38"/>
      <c r="D255" s="44"/>
      <c r="E255" s="44"/>
      <c r="F255" s="44"/>
      <c r="G255" s="44"/>
      <c r="H255" s="44"/>
      <c r="I255" s="44"/>
      <c r="J255" s="44"/>
      <c r="K255" s="44"/>
      <c r="L255" s="28"/>
      <c r="M255" s="6"/>
      <c r="N255" s="6"/>
      <c r="O255" s="6"/>
      <c r="P255" s="6"/>
    </row>
    <row r="256" spans="1:16" ht="13">
      <c r="A256" s="38"/>
      <c r="B256" s="38"/>
      <c r="C256" s="38"/>
      <c r="D256" s="44"/>
      <c r="E256" s="44"/>
      <c r="F256" s="44"/>
      <c r="G256" s="44"/>
      <c r="H256" s="44"/>
      <c r="I256" s="44"/>
      <c r="J256" s="44"/>
      <c r="K256" s="44"/>
      <c r="L256" s="28"/>
      <c r="M256" s="6"/>
      <c r="N256" s="6"/>
      <c r="O256" s="6"/>
      <c r="P256" s="6"/>
    </row>
    <row r="257" spans="1:16" ht="13">
      <c r="A257" s="6"/>
      <c r="B257" s="6"/>
      <c r="C257" s="6"/>
      <c r="D257" s="28"/>
      <c r="E257" s="28"/>
      <c r="F257" s="28"/>
      <c r="G257" s="28"/>
      <c r="H257" s="28"/>
      <c r="I257" s="28"/>
      <c r="J257" s="28"/>
      <c r="K257" s="28"/>
      <c r="L257" s="28"/>
      <c r="M257" s="6"/>
      <c r="N257" s="6"/>
      <c r="O257" s="6"/>
      <c r="P257" s="6"/>
    </row>
    <row r="258" spans="1:16" ht="14">
      <c r="A258" s="56" t="s">
        <v>161</v>
      </c>
      <c r="B258" s="9"/>
      <c r="C258" s="92"/>
      <c r="D258" s="9"/>
      <c r="E258" s="37"/>
      <c r="F258" s="37"/>
      <c r="G258" s="37"/>
      <c r="H258" s="37"/>
      <c r="I258" s="37"/>
      <c r="J258" s="37"/>
      <c r="K258" s="28"/>
      <c r="L258" s="28"/>
      <c r="M258" s="6"/>
      <c r="N258" s="6"/>
      <c r="O258" s="6"/>
      <c r="P258" s="6"/>
    </row>
    <row r="259" spans="1:16" ht="12.75" customHeight="1" thickBot="1">
      <c r="A259" s="52" t="s">
        <v>172</v>
      </c>
      <c r="B259" s="12"/>
      <c r="C259" s="91"/>
      <c r="D259" s="12"/>
      <c r="E259" s="39"/>
      <c r="F259" s="39"/>
      <c r="G259" s="39"/>
      <c r="H259" s="39"/>
      <c r="I259" s="39"/>
      <c r="J259" s="39"/>
      <c r="K259" s="28"/>
      <c r="L259" s="28"/>
      <c r="M259" s="6"/>
      <c r="N259" s="6"/>
      <c r="O259" s="6"/>
      <c r="P259" s="6"/>
    </row>
    <row r="260" spans="1:16" ht="13">
      <c r="A260" s="1"/>
      <c r="B260" s="1"/>
      <c r="D260" s="125" t="s">
        <v>197</v>
      </c>
      <c r="E260" s="125"/>
      <c r="F260" s="125"/>
      <c r="G260" s="1"/>
      <c r="H260" s="125" t="s">
        <v>196</v>
      </c>
      <c r="I260" s="125"/>
      <c r="J260" s="125"/>
      <c r="K260" s="28"/>
      <c r="L260" s="28"/>
      <c r="M260" s="6"/>
      <c r="N260" s="6"/>
      <c r="O260" s="6"/>
      <c r="P260" s="6"/>
    </row>
    <row r="261" spans="1:16" ht="13.5" thickBot="1">
      <c r="A261" s="89" t="s">
        <v>171</v>
      </c>
      <c r="B261" s="90"/>
      <c r="D261" s="117">
        <v>2002</v>
      </c>
      <c r="E261" s="93"/>
      <c r="F261" s="93">
        <v>2001</v>
      </c>
      <c r="G261" s="97"/>
      <c r="H261" s="117">
        <v>2002</v>
      </c>
      <c r="I261" s="93"/>
      <c r="J261" s="93">
        <v>2001</v>
      </c>
      <c r="K261" s="28"/>
      <c r="L261" s="28"/>
      <c r="M261" s="6"/>
      <c r="N261" s="6"/>
      <c r="O261" s="6"/>
      <c r="P261" s="6"/>
    </row>
    <row r="262" spans="1:16" ht="13">
      <c r="A262" s="73" t="s">
        <v>168</v>
      </c>
      <c r="B262" s="74"/>
      <c r="C262" s="75"/>
      <c r="D262" s="118"/>
      <c r="E262" s="95"/>
      <c r="F262" s="75"/>
      <c r="G262" s="96"/>
      <c r="H262" s="118"/>
      <c r="I262" s="95"/>
      <c r="J262" s="75"/>
      <c r="K262" s="28"/>
      <c r="L262" s="28"/>
      <c r="M262" s="6"/>
      <c r="N262" s="6"/>
      <c r="O262" s="6"/>
      <c r="P262" s="6"/>
    </row>
    <row r="263" spans="1:16" ht="13">
      <c r="A263" s="73"/>
      <c r="B263" s="94" t="s">
        <v>169</v>
      </c>
      <c r="C263" s="75"/>
      <c r="D263" s="118">
        <v>-1.19</v>
      </c>
      <c r="E263" s="95"/>
      <c r="F263" s="75">
        <v>-1.02</v>
      </c>
      <c r="G263" s="96"/>
      <c r="H263" s="118">
        <v>-11.67</v>
      </c>
      <c r="I263" s="95"/>
      <c r="J263" s="75">
        <v>0.04</v>
      </c>
      <c r="K263" s="28"/>
      <c r="L263" s="28"/>
      <c r="M263" s="6"/>
      <c r="N263" s="6"/>
      <c r="O263" s="6"/>
      <c r="P263" s="6"/>
    </row>
    <row r="264" spans="1:16" ht="13">
      <c r="A264" s="76" t="s">
        <v>162</v>
      </c>
      <c r="B264" s="77"/>
      <c r="C264" s="78"/>
      <c r="D264" s="119">
        <v>0</v>
      </c>
      <c r="E264" s="78"/>
      <c r="F264" s="78">
        <v>0</v>
      </c>
      <c r="G264" s="75"/>
      <c r="H264" s="119">
        <v>0</v>
      </c>
      <c r="I264" s="78"/>
      <c r="J264" s="78">
        <v>0</v>
      </c>
      <c r="K264" s="28"/>
      <c r="L264" s="28"/>
      <c r="M264" s="6"/>
      <c r="N264" s="6"/>
      <c r="O264" s="6"/>
      <c r="P264" s="6"/>
    </row>
    <row r="265" spans="1:16" ht="13.5" thickBot="1">
      <c r="A265" s="79" t="s">
        <v>163</v>
      </c>
      <c r="B265" s="80"/>
      <c r="C265" s="81"/>
      <c r="D265" s="120">
        <f>SUM(D263:D264)</f>
        <v>-1.19</v>
      </c>
      <c r="E265" s="81"/>
      <c r="F265" s="81">
        <f>SUM(F263:F264)</f>
        <v>-1.02</v>
      </c>
      <c r="G265" s="84"/>
      <c r="H265" s="120">
        <f>SUM(H263:H264)</f>
        <v>-11.67</v>
      </c>
      <c r="I265" s="81"/>
      <c r="J265" s="81">
        <f>SUM(J263:J264)</f>
        <v>0.04</v>
      </c>
      <c r="K265" s="28"/>
      <c r="L265" s="28"/>
      <c r="M265" s="6"/>
      <c r="N265" s="6"/>
      <c r="O265" s="6"/>
      <c r="P265" s="6"/>
    </row>
    <row r="266" spans="1:16" ht="13">
      <c r="A266" s="82"/>
      <c r="B266" s="83"/>
      <c r="C266" s="84"/>
      <c r="D266" s="84"/>
      <c r="E266" s="84"/>
      <c r="F266" s="84"/>
      <c r="G266" s="84"/>
      <c r="H266" s="84"/>
      <c r="I266" s="84"/>
      <c r="J266" s="84"/>
      <c r="K266" s="28"/>
      <c r="L266" s="28"/>
      <c r="M266" s="6"/>
      <c r="N266" s="6"/>
      <c r="O266" s="6"/>
      <c r="P266" s="6"/>
    </row>
    <row r="267" spans="1:16" ht="13">
      <c r="A267" s="73" t="s">
        <v>170</v>
      </c>
      <c r="B267" s="74"/>
      <c r="C267" s="75"/>
      <c r="D267" s="75"/>
      <c r="E267" s="85"/>
      <c r="F267" s="75"/>
      <c r="G267" s="85"/>
      <c r="H267" s="75"/>
      <c r="I267" s="85"/>
      <c r="J267" s="75"/>
      <c r="K267" s="28"/>
      <c r="L267" s="28"/>
      <c r="M267" s="6"/>
      <c r="N267" s="6"/>
      <c r="O267" s="6"/>
      <c r="P267" s="6"/>
    </row>
    <row r="268" spans="1:16" ht="13">
      <c r="A268" s="73"/>
      <c r="B268" s="94" t="s">
        <v>169</v>
      </c>
      <c r="C268" s="75"/>
      <c r="D268" s="118">
        <v>-1.19</v>
      </c>
      <c r="E268" s="96"/>
      <c r="F268" s="75">
        <v>-1.02</v>
      </c>
      <c r="G268" s="96"/>
      <c r="H268" s="118">
        <v>-11.67</v>
      </c>
      <c r="I268" s="96"/>
      <c r="J268" s="75">
        <v>0.04</v>
      </c>
      <c r="K268" s="28"/>
      <c r="L268" s="28"/>
      <c r="M268" s="6"/>
      <c r="N268" s="6"/>
      <c r="O268" s="6"/>
      <c r="P268" s="6"/>
    </row>
    <row r="269" spans="1:16" ht="13">
      <c r="A269" s="76" t="s">
        <v>164</v>
      </c>
      <c r="B269" s="77"/>
      <c r="C269" s="78"/>
      <c r="D269" s="119">
        <v>0</v>
      </c>
      <c r="E269" s="78"/>
      <c r="F269" s="78">
        <v>0</v>
      </c>
      <c r="G269" s="75"/>
      <c r="H269" s="119">
        <v>-1.8</v>
      </c>
      <c r="I269" s="78"/>
      <c r="J269" s="78">
        <v>0</v>
      </c>
      <c r="K269" s="28"/>
      <c r="L269" s="28"/>
      <c r="M269" s="6"/>
      <c r="N269" s="6"/>
      <c r="O269" s="6"/>
      <c r="P269" s="6"/>
    </row>
    <row r="270" spans="1:16" ht="13.5" thickBot="1">
      <c r="A270" s="79" t="s">
        <v>165</v>
      </c>
      <c r="B270" s="80"/>
      <c r="C270" s="81"/>
      <c r="D270" s="120">
        <f>SUM(D268:D269)</f>
        <v>-1.19</v>
      </c>
      <c r="E270" s="81"/>
      <c r="F270" s="81">
        <f>SUM(F268:F269)</f>
        <v>-1.02</v>
      </c>
      <c r="G270" s="84"/>
      <c r="H270" s="120">
        <f>SUM(H268:H269)</f>
        <v>-13.47</v>
      </c>
      <c r="I270" s="81"/>
      <c r="J270" s="81">
        <f>SUM(J268:J269)</f>
        <v>0.04</v>
      </c>
      <c r="K270" s="28"/>
      <c r="L270" s="28"/>
      <c r="M270" s="6"/>
      <c r="N270" s="6"/>
      <c r="O270" s="6"/>
      <c r="P270" s="6"/>
    </row>
    <row r="271" spans="1:16" ht="13">
      <c r="A271" s="83"/>
      <c r="B271" s="83"/>
      <c r="C271" s="84"/>
      <c r="D271" s="84"/>
      <c r="E271" s="84"/>
      <c r="F271" s="84"/>
      <c r="G271" s="84"/>
      <c r="H271" s="84"/>
      <c r="I271" s="84"/>
      <c r="J271" s="84"/>
      <c r="K271" s="28"/>
      <c r="L271" s="28"/>
      <c r="M271" s="6"/>
      <c r="N271" s="6"/>
      <c r="O271" s="6"/>
      <c r="P271" s="6"/>
    </row>
    <row r="272" spans="1:16" ht="13">
      <c r="A272" s="86" t="s">
        <v>166</v>
      </c>
      <c r="B272" s="77"/>
      <c r="C272" s="34"/>
      <c r="D272" s="106">
        <v>103345987</v>
      </c>
      <c r="E272" s="34"/>
      <c r="F272" s="34">
        <v>103345987</v>
      </c>
      <c r="G272" s="37"/>
      <c r="H272" s="106">
        <v>103345987</v>
      </c>
      <c r="I272" s="34"/>
      <c r="J272" s="34">
        <v>102768283</v>
      </c>
      <c r="K272" s="28"/>
      <c r="L272" s="28"/>
      <c r="M272" s="6"/>
      <c r="N272" s="6"/>
      <c r="O272" s="6"/>
      <c r="P272" s="6"/>
    </row>
    <row r="273" spans="1:16" ht="13.5" thickBot="1">
      <c r="A273" s="87" t="s">
        <v>167</v>
      </c>
      <c r="B273" s="88"/>
      <c r="C273" s="39"/>
      <c r="D273" s="121">
        <v>103345987</v>
      </c>
      <c r="E273" s="39"/>
      <c r="F273" s="39">
        <v>103345987</v>
      </c>
      <c r="G273" s="37"/>
      <c r="H273" s="121">
        <v>103345987</v>
      </c>
      <c r="I273" s="39"/>
      <c r="J273" s="39">
        <v>102788055</v>
      </c>
      <c r="K273" s="28"/>
      <c r="L273" s="28"/>
      <c r="M273" s="6"/>
      <c r="N273" s="6"/>
      <c r="O273" s="6"/>
      <c r="P273" s="6"/>
    </row>
    <row r="274" spans="1:16" ht="13">
      <c r="A274" s="6"/>
      <c r="B274" s="6"/>
      <c r="C274" s="6"/>
      <c r="D274" s="37"/>
      <c r="E274" s="37"/>
      <c r="F274" s="37"/>
      <c r="G274" s="37"/>
      <c r="H274" s="37"/>
      <c r="I274" s="37"/>
      <c r="J274" s="37"/>
      <c r="K274" s="28"/>
      <c r="L274" s="28"/>
      <c r="M274" s="6"/>
      <c r="N274" s="6"/>
      <c r="O274" s="6"/>
      <c r="P274" s="6"/>
    </row>
    <row r="275" spans="1:16" ht="13">
      <c r="A275" s="6"/>
      <c r="B275" s="6"/>
      <c r="C275" s="6"/>
      <c r="D275" s="28"/>
      <c r="E275" s="28"/>
      <c r="F275" s="28"/>
      <c r="G275" s="28"/>
      <c r="H275" s="28"/>
      <c r="I275" s="28"/>
      <c r="J275" s="28"/>
      <c r="K275" s="28"/>
      <c r="L275" s="28"/>
      <c r="M275" s="6"/>
      <c r="N275" s="6"/>
      <c r="O275" s="6"/>
      <c r="P275" s="6"/>
    </row>
    <row r="276" spans="1:16" ht="13">
      <c r="A276" s="6"/>
      <c r="B276" s="6"/>
      <c r="C276" s="6"/>
      <c r="D276" s="28"/>
      <c r="E276" s="28"/>
      <c r="F276" s="28"/>
      <c r="G276" s="28"/>
      <c r="H276" s="28"/>
      <c r="I276" s="28"/>
      <c r="J276" s="28"/>
      <c r="K276" s="28"/>
      <c r="L276" s="28"/>
      <c r="M276" s="6"/>
      <c r="N276" s="6"/>
      <c r="O276" s="6"/>
      <c r="P276" s="6"/>
    </row>
    <row r="277" spans="1:16" ht="13">
      <c r="A277" s="6"/>
      <c r="B277" s="6"/>
      <c r="C277" s="6"/>
      <c r="D277" s="28"/>
      <c r="E277" s="28"/>
      <c r="F277" s="28"/>
      <c r="G277" s="28"/>
      <c r="H277" s="28"/>
      <c r="I277" s="28"/>
      <c r="J277" s="28"/>
      <c r="K277" s="28"/>
      <c r="L277" s="28"/>
      <c r="M277" s="6"/>
      <c r="N277" s="6"/>
      <c r="O277" s="6"/>
      <c r="P277" s="6"/>
    </row>
    <row r="278" spans="1:16" ht="13">
      <c r="A278" s="6"/>
      <c r="B278" s="6"/>
      <c r="C278" s="6"/>
      <c r="D278" s="28"/>
      <c r="E278" s="28"/>
      <c r="F278" s="28"/>
      <c r="G278" s="28"/>
      <c r="H278" s="28"/>
      <c r="I278" s="28"/>
      <c r="J278" s="28"/>
      <c r="K278" s="28"/>
      <c r="L278" s="28"/>
      <c r="M278" s="6"/>
      <c r="N278" s="6"/>
      <c r="O278" s="6"/>
      <c r="P278" s="6"/>
    </row>
    <row r="279" spans="1:16" ht="13">
      <c r="A279" s="6"/>
      <c r="B279" s="6"/>
      <c r="C279" s="6"/>
      <c r="D279" s="28"/>
      <c r="E279" s="28"/>
      <c r="F279" s="28"/>
      <c r="G279" s="28"/>
      <c r="H279" s="28"/>
      <c r="I279" s="28"/>
      <c r="J279" s="28"/>
      <c r="K279" s="28"/>
      <c r="L279" s="28"/>
      <c r="M279" s="6"/>
      <c r="N279" s="6"/>
      <c r="O279" s="6"/>
      <c r="P279" s="6"/>
    </row>
    <row r="280" spans="1:16" ht="13">
      <c r="A280" s="6"/>
      <c r="B280" s="6"/>
      <c r="C280" s="6"/>
      <c r="D280" s="28"/>
      <c r="E280" s="28"/>
      <c r="F280" s="28"/>
      <c r="G280" s="28"/>
      <c r="H280" s="28"/>
      <c r="I280" s="28"/>
      <c r="J280" s="28"/>
      <c r="K280" s="28"/>
      <c r="L280" s="28"/>
      <c r="M280" s="6"/>
      <c r="N280" s="6"/>
      <c r="O280" s="6"/>
      <c r="P280" s="6"/>
    </row>
    <row r="281" spans="1:16" ht="13">
      <c r="A281" s="6"/>
      <c r="B281" s="6"/>
      <c r="C281" s="6"/>
      <c r="D281" s="28"/>
      <c r="E281" s="28"/>
      <c r="F281" s="28"/>
      <c r="G281" s="28"/>
      <c r="H281" s="28"/>
      <c r="I281" s="28"/>
      <c r="J281" s="28"/>
      <c r="K281" s="28"/>
      <c r="L281" s="28"/>
      <c r="M281" s="6"/>
      <c r="N281" s="6"/>
      <c r="O281" s="6"/>
      <c r="P281" s="6"/>
    </row>
    <row r="282" spans="1:16" ht="13">
      <c r="A282" s="6"/>
      <c r="B282" s="6"/>
      <c r="C282" s="6"/>
      <c r="D282" s="28"/>
      <c r="E282" s="28"/>
      <c r="F282" s="28"/>
      <c r="G282" s="28"/>
      <c r="H282" s="28"/>
      <c r="I282" s="28"/>
      <c r="J282" s="28"/>
      <c r="K282" s="28"/>
      <c r="L282" s="28"/>
      <c r="M282" s="6"/>
      <c r="N282" s="6"/>
      <c r="O282" s="6"/>
      <c r="P282" s="6"/>
    </row>
    <row r="283" spans="1:16" ht="13">
      <c r="A283" s="6"/>
      <c r="B283" s="6"/>
      <c r="C283" s="6"/>
      <c r="D283" s="28"/>
      <c r="E283" s="28"/>
      <c r="F283" s="28"/>
      <c r="G283" s="28"/>
      <c r="H283" s="28"/>
      <c r="I283" s="28"/>
      <c r="J283" s="28"/>
      <c r="K283" s="28"/>
      <c r="L283" s="28"/>
      <c r="M283" s="6"/>
      <c r="N283" s="6"/>
      <c r="O283" s="6"/>
      <c r="P283" s="6"/>
    </row>
    <row r="284" spans="1:16" ht="13">
      <c r="A284" s="6"/>
      <c r="B284" s="6"/>
      <c r="C284" s="6"/>
      <c r="D284" s="28"/>
      <c r="E284" s="28"/>
      <c r="F284" s="28"/>
      <c r="G284" s="28"/>
      <c r="H284" s="28"/>
      <c r="I284" s="28"/>
      <c r="J284" s="28"/>
      <c r="K284" s="28"/>
      <c r="L284" s="28"/>
      <c r="M284" s="6"/>
      <c r="N284" s="6"/>
      <c r="O284" s="6"/>
      <c r="P284" s="6"/>
    </row>
    <row r="285" spans="1:16" ht="13">
      <c r="A285" s="6"/>
      <c r="B285" s="6"/>
      <c r="C285" s="6"/>
      <c r="D285" s="28"/>
      <c r="E285" s="28"/>
      <c r="F285" s="28"/>
      <c r="G285" s="28"/>
      <c r="H285" s="28"/>
      <c r="I285" s="28"/>
      <c r="J285" s="28"/>
      <c r="K285" s="28"/>
      <c r="L285" s="28"/>
      <c r="M285" s="6"/>
      <c r="N285" s="6"/>
      <c r="O285" s="6"/>
      <c r="P285" s="6"/>
    </row>
    <row r="286" spans="1:16" ht="13">
      <c r="A286" s="6"/>
      <c r="B286" s="6"/>
      <c r="C286" s="6"/>
      <c r="D286" s="28"/>
      <c r="E286" s="28"/>
      <c r="F286" s="28"/>
      <c r="G286" s="28"/>
      <c r="H286" s="28"/>
      <c r="I286" s="28"/>
      <c r="J286" s="28"/>
      <c r="K286" s="28"/>
      <c r="L286" s="28"/>
      <c r="M286" s="6"/>
      <c r="N286" s="6"/>
      <c r="O286" s="6"/>
      <c r="P286" s="6"/>
    </row>
    <row r="287" spans="1:16" ht="13">
      <c r="A287" s="6"/>
      <c r="B287" s="6"/>
      <c r="C287" s="6"/>
      <c r="D287" s="28"/>
      <c r="E287" s="28"/>
      <c r="F287" s="28"/>
      <c r="G287" s="28"/>
      <c r="H287" s="28"/>
      <c r="I287" s="28"/>
      <c r="J287" s="28"/>
      <c r="K287" s="28"/>
      <c r="L287" s="28"/>
      <c r="M287" s="6"/>
      <c r="N287" s="6"/>
      <c r="O287" s="6"/>
      <c r="P287" s="6"/>
    </row>
    <row r="288" spans="1:16" ht="13">
      <c r="A288" s="6"/>
      <c r="B288" s="6"/>
      <c r="C288" s="6"/>
      <c r="D288" s="28"/>
      <c r="E288" s="28"/>
      <c r="F288" s="28"/>
      <c r="G288" s="28"/>
      <c r="H288" s="28"/>
      <c r="I288" s="28"/>
      <c r="J288" s="28"/>
      <c r="K288" s="28"/>
      <c r="L288" s="28"/>
      <c r="M288" s="6"/>
      <c r="N288" s="6"/>
      <c r="O288" s="6"/>
      <c r="P288" s="6"/>
    </row>
    <row r="289" spans="1:16" ht="13">
      <c r="A289" s="6"/>
      <c r="B289" s="6"/>
      <c r="C289" s="6"/>
      <c r="D289" s="28"/>
      <c r="E289" s="28"/>
      <c r="F289" s="28"/>
      <c r="G289" s="28"/>
      <c r="H289" s="28"/>
      <c r="I289" s="28"/>
      <c r="J289" s="28"/>
      <c r="K289" s="28"/>
      <c r="L289" s="28"/>
      <c r="M289" s="6"/>
      <c r="N289" s="6"/>
      <c r="O289" s="6"/>
      <c r="P289" s="6"/>
    </row>
    <row r="290" spans="1:16" ht="13">
      <c r="A290" s="6"/>
      <c r="B290" s="6"/>
      <c r="C290" s="6"/>
      <c r="D290" s="28"/>
      <c r="E290" s="28"/>
      <c r="F290" s="28"/>
      <c r="G290" s="28"/>
      <c r="H290" s="28"/>
      <c r="I290" s="28"/>
      <c r="J290" s="28"/>
      <c r="K290" s="28"/>
      <c r="L290" s="28"/>
      <c r="M290" s="6"/>
      <c r="N290" s="6"/>
      <c r="O290" s="6"/>
      <c r="P290" s="6"/>
    </row>
    <row r="291" spans="1:16" ht="13">
      <c r="A291" s="6"/>
      <c r="B291" s="6"/>
      <c r="C291" s="6"/>
      <c r="D291" s="28"/>
      <c r="E291" s="28"/>
      <c r="F291" s="28"/>
      <c r="G291" s="28"/>
      <c r="H291" s="28"/>
      <c r="I291" s="28"/>
      <c r="J291" s="28"/>
      <c r="K291" s="28"/>
      <c r="L291" s="28"/>
      <c r="M291" s="6"/>
      <c r="N291" s="6"/>
      <c r="O291" s="6"/>
      <c r="P291" s="6"/>
    </row>
    <row r="292" spans="1:16" ht="13">
      <c r="A292" s="6"/>
      <c r="B292" s="6"/>
      <c r="C292" s="6"/>
      <c r="D292" s="28"/>
      <c r="E292" s="28"/>
      <c r="F292" s="28"/>
      <c r="G292" s="28"/>
      <c r="H292" s="28"/>
      <c r="I292" s="28"/>
      <c r="J292" s="28"/>
      <c r="K292" s="28"/>
      <c r="L292" s="28"/>
      <c r="M292" s="6"/>
      <c r="N292" s="6"/>
      <c r="O292" s="6"/>
      <c r="P292" s="6"/>
    </row>
    <row r="293" spans="1:16" ht="13">
      <c r="A293" s="6"/>
      <c r="B293" s="6"/>
      <c r="C293" s="6"/>
      <c r="D293" s="28"/>
      <c r="E293" s="28"/>
      <c r="F293" s="28"/>
      <c r="G293" s="28"/>
      <c r="H293" s="28"/>
      <c r="I293" s="28"/>
      <c r="J293" s="28"/>
      <c r="K293" s="28"/>
      <c r="L293" s="28"/>
      <c r="M293" s="6"/>
      <c r="N293" s="6"/>
      <c r="O293" s="6"/>
      <c r="P293" s="6"/>
    </row>
    <row r="294" spans="1:16" ht="13">
      <c r="A294" s="6"/>
      <c r="B294" s="6"/>
      <c r="C294" s="6"/>
      <c r="D294" s="28"/>
      <c r="E294" s="28"/>
      <c r="F294" s="28"/>
      <c r="G294" s="28"/>
      <c r="H294" s="28"/>
      <c r="I294" s="28"/>
      <c r="J294" s="28"/>
      <c r="K294" s="28"/>
      <c r="L294" s="28"/>
      <c r="M294" s="6"/>
      <c r="N294" s="6"/>
      <c r="O294" s="6"/>
      <c r="P294" s="6"/>
    </row>
    <row r="295" spans="1:16" ht="13">
      <c r="A295" s="6"/>
      <c r="B295" s="6"/>
      <c r="C295" s="6"/>
      <c r="D295" s="28"/>
      <c r="E295" s="28"/>
      <c r="F295" s="28"/>
      <c r="G295" s="28"/>
      <c r="H295" s="28"/>
      <c r="I295" s="28"/>
      <c r="J295" s="28"/>
      <c r="K295" s="28"/>
      <c r="L295" s="28"/>
      <c r="M295" s="6"/>
      <c r="N295" s="6"/>
      <c r="O295" s="6"/>
      <c r="P295" s="6"/>
    </row>
    <row r="296" spans="1:16" ht="13">
      <c r="A296" s="6"/>
      <c r="B296" s="6"/>
      <c r="C296" s="6"/>
      <c r="D296" s="28"/>
      <c r="E296" s="28"/>
      <c r="F296" s="28"/>
      <c r="G296" s="28"/>
      <c r="H296" s="28"/>
      <c r="I296" s="28"/>
      <c r="J296" s="28"/>
      <c r="K296" s="28"/>
      <c r="L296" s="28"/>
      <c r="M296" s="6"/>
      <c r="N296" s="6"/>
      <c r="O296" s="6"/>
      <c r="P296" s="6"/>
    </row>
    <row r="297" spans="1:16" ht="13">
      <c r="A297" s="6"/>
      <c r="B297" s="6"/>
      <c r="C297" s="6"/>
      <c r="D297" s="28"/>
      <c r="E297" s="28"/>
      <c r="F297" s="28"/>
      <c r="G297" s="28"/>
      <c r="H297" s="28"/>
      <c r="I297" s="28"/>
      <c r="J297" s="28"/>
      <c r="K297" s="28"/>
      <c r="L297" s="28"/>
      <c r="M297" s="6"/>
      <c r="N297" s="6"/>
      <c r="O297" s="6"/>
      <c r="P297" s="6"/>
    </row>
    <row r="298" spans="1:16" ht="13">
      <c r="A298" s="6"/>
      <c r="B298" s="6"/>
      <c r="C298" s="6"/>
      <c r="D298" s="28"/>
      <c r="E298" s="28"/>
      <c r="F298" s="28"/>
      <c r="G298" s="28"/>
      <c r="H298" s="28"/>
      <c r="I298" s="28"/>
      <c r="J298" s="28"/>
      <c r="K298" s="28"/>
      <c r="L298" s="28"/>
      <c r="M298" s="6"/>
      <c r="N298" s="6"/>
      <c r="O298" s="6"/>
      <c r="P298" s="6"/>
    </row>
    <row r="299" spans="1:16" ht="13">
      <c r="A299" s="6"/>
      <c r="B299" s="6"/>
      <c r="C299" s="6"/>
      <c r="D299" s="28"/>
      <c r="E299" s="28"/>
      <c r="F299" s="28"/>
      <c r="G299" s="28"/>
      <c r="H299" s="28"/>
      <c r="I299" s="28"/>
      <c r="J299" s="28"/>
      <c r="K299" s="28"/>
      <c r="L299" s="28"/>
      <c r="M299" s="6"/>
      <c r="N299" s="6"/>
      <c r="O299" s="6"/>
      <c r="P299" s="6"/>
    </row>
    <row r="300" spans="1:16" ht="13">
      <c r="A300" s="6"/>
      <c r="B300" s="6"/>
      <c r="C300" s="6"/>
      <c r="D300" s="28"/>
      <c r="E300" s="28"/>
      <c r="F300" s="28"/>
      <c r="G300" s="28"/>
      <c r="H300" s="28"/>
      <c r="I300" s="28"/>
      <c r="J300" s="28"/>
      <c r="K300" s="28"/>
      <c r="L300" s="28"/>
      <c r="M300" s="6"/>
      <c r="N300" s="6"/>
      <c r="O300" s="6"/>
      <c r="P300" s="6"/>
    </row>
    <row r="301" spans="1:16" ht="13">
      <c r="A301" s="6"/>
      <c r="B301" s="6"/>
      <c r="C301" s="6"/>
      <c r="D301" s="28"/>
      <c r="E301" s="28"/>
      <c r="F301" s="28"/>
      <c r="G301" s="28"/>
      <c r="H301" s="28"/>
      <c r="I301" s="28"/>
      <c r="J301" s="28"/>
      <c r="K301" s="28"/>
      <c r="L301" s="28"/>
      <c r="M301" s="6"/>
      <c r="N301" s="6"/>
      <c r="O301" s="6"/>
      <c r="P301" s="6"/>
    </row>
    <row r="302" spans="1:16" ht="13">
      <c r="A302" s="6"/>
      <c r="B302" s="6"/>
      <c r="C302" s="6"/>
      <c r="D302" s="28"/>
      <c r="E302" s="28"/>
      <c r="F302" s="28"/>
      <c r="G302" s="28"/>
      <c r="H302" s="28"/>
      <c r="I302" s="28"/>
      <c r="J302" s="28"/>
      <c r="K302" s="28"/>
      <c r="L302" s="28"/>
      <c r="M302" s="6"/>
      <c r="N302" s="6"/>
      <c r="O302" s="6"/>
      <c r="P302" s="6"/>
    </row>
    <row r="303" spans="1:16" ht="13">
      <c r="A303" s="6"/>
      <c r="B303" s="6"/>
      <c r="C303" s="6"/>
      <c r="D303" s="28"/>
      <c r="E303" s="28"/>
      <c r="F303" s="28"/>
      <c r="G303" s="28"/>
      <c r="H303" s="28"/>
      <c r="I303" s="28"/>
      <c r="J303" s="28"/>
      <c r="K303" s="28"/>
      <c r="L303" s="28"/>
      <c r="M303" s="6"/>
      <c r="N303" s="6"/>
      <c r="O303" s="6"/>
      <c r="P303" s="6"/>
    </row>
    <row r="304" spans="1:16" ht="13">
      <c r="A304" s="6"/>
      <c r="B304" s="6"/>
      <c r="C304" s="6"/>
      <c r="D304" s="28"/>
      <c r="E304" s="28"/>
      <c r="F304" s="28"/>
      <c r="G304" s="28"/>
      <c r="H304" s="28"/>
      <c r="I304" s="28"/>
      <c r="J304" s="28"/>
      <c r="K304" s="28"/>
      <c r="L304" s="28"/>
      <c r="M304" s="6"/>
      <c r="N304" s="6"/>
      <c r="O304" s="6"/>
      <c r="P304" s="6"/>
    </row>
    <row r="305" spans="1:16" ht="13">
      <c r="A305" s="6"/>
      <c r="B305" s="6"/>
      <c r="C305" s="6"/>
      <c r="D305" s="28"/>
      <c r="E305" s="28"/>
      <c r="F305" s="28"/>
      <c r="G305" s="28"/>
      <c r="H305" s="28"/>
      <c r="I305" s="28"/>
      <c r="J305" s="28"/>
      <c r="K305" s="28"/>
      <c r="L305" s="28"/>
      <c r="M305" s="6"/>
      <c r="N305" s="6"/>
      <c r="O305" s="6"/>
      <c r="P305" s="6"/>
    </row>
    <row r="306" spans="1:16" ht="13">
      <c r="A306" s="6"/>
      <c r="B306" s="6"/>
      <c r="C306" s="6"/>
      <c r="D306" s="28"/>
      <c r="E306" s="28"/>
      <c r="F306" s="28"/>
      <c r="G306" s="28"/>
      <c r="H306" s="28"/>
      <c r="I306" s="28"/>
      <c r="J306" s="28"/>
      <c r="K306" s="28"/>
      <c r="L306" s="28"/>
      <c r="M306" s="6"/>
      <c r="N306" s="6"/>
      <c r="O306" s="6"/>
      <c r="P306" s="6"/>
    </row>
    <row r="307" spans="1:16" ht="13">
      <c r="A307" s="6"/>
      <c r="B307" s="6"/>
      <c r="C307" s="6"/>
      <c r="D307" s="28"/>
      <c r="E307" s="28"/>
      <c r="F307" s="28"/>
      <c r="G307" s="28"/>
      <c r="H307" s="28"/>
      <c r="I307" s="28"/>
      <c r="J307" s="28"/>
      <c r="K307" s="28"/>
      <c r="L307" s="28"/>
      <c r="M307" s="6"/>
      <c r="N307" s="6"/>
      <c r="O307" s="6"/>
      <c r="P307" s="6"/>
    </row>
    <row r="308" spans="1:16" ht="13">
      <c r="A308" s="6"/>
      <c r="B308" s="6"/>
      <c r="C308" s="6"/>
      <c r="D308" s="28"/>
      <c r="E308" s="28"/>
      <c r="F308" s="28"/>
      <c r="G308" s="28"/>
      <c r="H308" s="28"/>
      <c r="I308" s="28"/>
      <c r="J308" s="28"/>
      <c r="K308" s="28"/>
      <c r="L308" s="28"/>
      <c r="M308" s="6"/>
      <c r="N308" s="6"/>
      <c r="O308" s="6"/>
      <c r="P308" s="6"/>
    </row>
    <row r="309" spans="1:16" ht="13">
      <c r="A309" s="6"/>
      <c r="B309" s="6"/>
      <c r="C309" s="6"/>
      <c r="D309" s="28"/>
      <c r="E309" s="28"/>
      <c r="F309" s="28"/>
      <c r="G309" s="28"/>
      <c r="H309" s="28"/>
      <c r="I309" s="28"/>
      <c r="J309" s="28"/>
      <c r="K309" s="28"/>
      <c r="L309" s="28"/>
      <c r="M309" s="6"/>
      <c r="N309" s="6"/>
      <c r="O309" s="6"/>
      <c r="P309" s="6"/>
    </row>
    <row r="310" spans="1:16" ht="13">
      <c r="A310" s="6"/>
      <c r="B310" s="6"/>
      <c r="C310" s="6"/>
      <c r="D310" s="28"/>
      <c r="E310" s="28"/>
      <c r="F310" s="28"/>
      <c r="G310" s="28"/>
      <c r="H310" s="28"/>
      <c r="I310" s="28"/>
      <c r="J310" s="28"/>
      <c r="K310" s="28"/>
      <c r="L310" s="28"/>
      <c r="M310" s="6"/>
      <c r="N310" s="6"/>
      <c r="O310" s="6"/>
      <c r="P310" s="6"/>
    </row>
    <row r="311" spans="1:16" ht="13">
      <c r="A311" s="6"/>
      <c r="B311" s="6"/>
      <c r="C311" s="6"/>
      <c r="D311" s="28"/>
      <c r="E311" s="28"/>
      <c r="F311" s="28"/>
      <c r="G311" s="28"/>
      <c r="H311" s="28"/>
      <c r="I311" s="28"/>
      <c r="J311" s="28"/>
      <c r="K311" s="28"/>
      <c r="L311" s="28"/>
      <c r="M311" s="6"/>
      <c r="N311" s="6"/>
      <c r="O311" s="6"/>
      <c r="P311" s="6"/>
    </row>
    <row r="312" spans="1:16" ht="13">
      <c r="A312" s="6"/>
      <c r="B312" s="6"/>
      <c r="C312" s="6"/>
      <c r="D312" s="28"/>
      <c r="E312" s="28"/>
      <c r="F312" s="28"/>
      <c r="G312" s="28"/>
      <c r="H312" s="28"/>
      <c r="I312" s="28"/>
      <c r="J312" s="28"/>
      <c r="K312" s="28"/>
      <c r="L312" s="28"/>
      <c r="M312" s="6"/>
      <c r="N312" s="6"/>
      <c r="O312" s="6"/>
      <c r="P312" s="6"/>
    </row>
    <row r="313" spans="1:16" ht="13">
      <c r="A313" s="6"/>
      <c r="B313" s="6"/>
      <c r="C313" s="6"/>
      <c r="D313" s="28"/>
      <c r="E313" s="28"/>
      <c r="F313" s="28"/>
      <c r="G313" s="28"/>
      <c r="H313" s="28"/>
      <c r="I313" s="28"/>
      <c r="J313" s="28"/>
      <c r="K313" s="28"/>
      <c r="L313" s="28"/>
      <c r="M313" s="6"/>
      <c r="N313" s="6"/>
      <c r="O313" s="6"/>
      <c r="P313" s="6"/>
    </row>
    <row r="314" spans="1:16" ht="13">
      <c r="A314" s="6"/>
      <c r="B314" s="6"/>
      <c r="C314" s="6"/>
      <c r="D314" s="28"/>
      <c r="E314" s="28"/>
      <c r="F314" s="28"/>
      <c r="G314" s="28"/>
      <c r="H314" s="28"/>
      <c r="I314" s="28"/>
      <c r="J314" s="28"/>
      <c r="K314" s="28"/>
      <c r="L314" s="28"/>
      <c r="M314" s="6"/>
      <c r="N314" s="6"/>
      <c r="O314" s="6"/>
      <c r="P314" s="6"/>
    </row>
    <row r="315" spans="1:16" ht="13">
      <c r="A315" s="6"/>
      <c r="B315" s="6"/>
      <c r="C315" s="6"/>
      <c r="D315" s="28"/>
      <c r="E315" s="28"/>
      <c r="F315" s="28"/>
      <c r="G315" s="28"/>
      <c r="H315" s="28"/>
      <c r="I315" s="28"/>
      <c r="J315" s="28"/>
      <c r="K315" s="28"/>
      <c r="L315" s="28"/>
      <c r="M315" s="6"/>
      <c r="N315" s="6"/>
      <c r="O315" s="6"/>
      <c r="P315" s="6"/>
    </row>
    <row r="316" spans="1:16" ht="13">
      <c r="A316" s="6"/>
      <c r="B316" s="6"/>
      <c r="C316" s="6"/>
      <c r="D316" s="28"/>
      <c r="E316" s="28"/>
      <c r="F316" s="28"/>
      <c r="G316" s="28"/>
      <c r="H316" s="28"/>
      <c r="I316" s="28"/>
      <c r="J316" s="28"/>
      <c r="K316" s="28"/>
      <c r="L316" s="28"/>
      <c r="M316" s="6"/>
      <c r="N316" s="6"/>
      <c r="O316" s="6"/>
      <c r="P316" s="6"/>
    </row>
    <row r="317" spans="1:16" ht="13">
      <c r="A317" s="6"/>
      <c r="B317" s="6"/>
      <c r="C317" s="6"/>
      <c r="D317" s="28"/>
      <c r="E317" s="28"/>
      <c r="F317" s="28"/>
      <c r="G317" s="28"/>
      <c r="H317" s="28"/>
      <c r="I317" s="28"/>
      <c r="J317" s="28"/>
      <c r="K317" s="28"/>
      <c r="L317" s="28"/>
      <c r="M317" s="6"/>
      <c r="N317" s="6"/>
      <c r="O317" s="6"/>
      <c r="P317" s="6"/>
    </row>
    <row r="318" spans="1:16" ht="13">
      <c r="A318" s="6"/>
      <c r="B318" s="6"/>
      <c r="C318" s="6"/>
      <c r="D318" s="28"/>
      <c r="E318" s="28"/>
      <c r="F318" s="28"/>
      <c r="G318" s="28"/>
      <c r="H318" s="28"/>
      <c r="I318" s="28"/>
      <c r="J318" s="28"/>
      <c r="K318" s="28"/>
      <c r="L318" s="28"/>
      <c r="M318" s="6"/>
      <c r="N318" s="6"/>
      <c r="O318" s="6"/>
      <c r="P318" s="6"/>
    </row>
    <row r="319" spans="1:16" ht="13">
      <c r="A319" s="6"/>
      <c r="B319" s="6"/>
      <c r="C319" s="6"/>
      <c r="D319" s="28"/>
      <c r="E319" s="28"/>
      <c r="F319" s="28"/>
      <c r="G319" s="28"/>
      <c r="H319" s="28"/>
      <c r="I319" s="28"/>
      <c r="J319" s="28"/>
      <c r="K319" s="28"/>
      <c r="L319" s="28"/>
      <c r="M319" s="6"/>
      <c r="N319" s="6"/>
      <c r="O319" s="6"/>
      <c r="P319" s="6"/>
    </row>
    <row r="320" spans="1:16" ht="13">
      <c r="A320" s="6"/>
      <c r="B320" s="6"/>
      <c r="C320" s="6"/>
      <c r="D320" s="28"/>
      <c r="E320" s="28"/>
      <c r="F320" s="28"/>
      <c r="G320" s="28"/>
      <c r="H320" s="28"/>
      <c r="I320" s="28"/>
      <c r="J320" s="28"/>
      <c r="K320" s="28"/>
      <c r="L320" s="28"/>
      <c r="M320" s="6"/>
      <c r="N320" s="6"/>
      <c r="O320" s="6"/>
      <c r="P320" s="6"/>
    </row>
    <row r="321" spans="1:16" ht="13">
      <c r="A321" s="6"/>
      <c r="B321" s="6"/>
      <c r="C321" s="6"/>
      <c r="D321" s="28"/>
      <c r="E321" s="28"/>
      <c r="F321" s="28"/>
      <c r="G321" s="28"/>
      <c r="H321" s="28"/>
      <c r="I321" s="28"/>
      <c r="J321" s="28"/>
      <c r="K321" s="28"/>
      <c r="L321" s="28"/>
      <c r="M321" s="6"/>
      <c r="N321" s="6"/>
      <c r="O321" s="6"/>
      <c r="P321" s="6"/>
    </row>
    <row r="322" spans="1:16" ht="13">
      <c r="A322" s="6"/>
      <c r="B322" s="6"/>
      <c r="C322" s="6"/>
      <c r="D322" s="28"/>
      <c r="E322" s="28"/>
      <c r="F322" s="28"/>
      <c r="G322" s="28"/>
      <c r="H322" s="28"/>
      <c r="I322" s="28"/>
      <c r="J322" s="28"/>
      <c r="K322" s="28"/>
      <c r="L322" s="28"/>
      <c r="M322" s="6"/>
      <c r="N322" s="6"/>
      <c r="O322" s="6"/>
      <c r="P322" s="6"/>
    </row>
    <row r="323" spans="1:16" ht="13">
      <c r="A323" s="6"/>
      <c r="B323" s="6"/>
      <c r="C323" s="6"/>
      <c r="D323" s="28"/>
      <c r="E323" s="28"/>
      <c r="F323" s="28"/>
      <c r="G323" s="28"/>
      <c r="H323" s="28"/>
      <c r="I323" s="28"/>
      <c r="J323" s="28"/>
      <c r="K323" s="28"/>
      <c r="L323" s="28"/>
      <c r="M323" s="6"/>
      <c r="N323" s="6"/>
      <c r="O323" s="6"/>
      <c r="P323" s="6"/>
    </row>
    <row r="324" spans="1:16" ht="13">
      <c r="A324" s="6"/>
      <c r="B324" s="6"/>
      <c r="C324" s="6"/>
      <c r="D324" s="28"/>
      <c r="E324" s="28"/>
      <c r="F324" s="28"/>
      <c r="G324" s="28"/>
      <c r="H324" s="28"/>
      <c r="I324" s="28"/>
      <c r="J324" s="28"/>
      <c r="K324" s="28"/>
      <c r="L324" s="28"/>
      <c r="M324" s="6"/>
      <c r="N324" s="6"/>
      <c r="O324" s="6"/>
      <c r="P324" s="6"/>
    </row>
    <row r="325" spans="1:16" ht="13">
      <c r="A325" s="6"/>
      <c r="B325" s="6"/>
      <c r="C325" s="6"/>
      <c r="D325" s="28"/>
      <c r="E325" s="28"/>
      <c r="F325" s="28"/>
      <c r="G325" s="28"/>
      <c r="H325" s="28"/>
      <c r="I325" s="28"/>
      <c r="J325" s="28"/>
      <c r="K325" s="28"/>
      <c r="L325" s="28"/>
      <c r="M325" s="6"/>
      <c r="N325" s="6"/>
      <c r="O325" s="6"/>
      <c r="P325" s="6"/>
    </row>
    <row r="326" spans="1:16" ht="13">
      <c r="A326" s="6"/>
      <c r="B326" s="6"/>
      <c r="C326" s="6"/>
      <c r="D326" s="28"/>
      <c r="E326" s="28"/>
      <c r="F326" s="28"/>
      <c r="G326" s="28"/>
      <c r="H326" s="28"/>
      <c r="I326" s="28"/>
      <c r="J326" s="28"/>
      <c r="K326" s="28"/>
      <c r="L326" s="28"/>
      <c r="M326" s="6"/>
      <c r="N326" s="6"/>
      <c r="O326" s="6"/>
      <c r="P326" s="6"/>
    </row>
    <row r="327" spans="1:16" ht="13">
      <c r="A327" s="6"/>
      <c r="B327" s="6"/>
      <c r="C327" s="6"/>
      <c r="D327" s="28"/>
      <c r="E327" s="28"/>
      <c r="F327" s="28"/>
      <c r="G327" s="28"/>
      <c r="H327" s="28"/>
      <c r="I327" s="28"/>
      <c r="J327" s="28"/>
      <c r="K327" s="28"/>
      <c r="L327" s="28"/>
      <c r="M327" s="6"/>
      <c r="N327" s="6"/>
      <c r="O327" s="6"/>
      <c r="P327" s="6"/>
    </row>
    <row r="328" spans="1:16" ht="13">
      <c r="A328" s="6"/>
      <c r="B328" s="6"/>
      <c r="C328" s="6"/>
      <c r="D328" s="28"/>
      <c r="E328" s="28"/>
      <c r="F328" s="28"/>
      <c r="G328" s="28"/>
      <c r="H328" s="28"/>
      <c r="I328" s="28"/>
      <c r="J328" s="28"/>
      <c r="K328" s="28"/>
      <c r="L328" s="28"/>
      <c r="M328" s="6"/>
      <c r="N328" s="6"/>
      <c r="O328" s="6"/>
      <c r="P328" s="6"/>
    </row>
    <row r="329" spans="1:16" ht="13">
      <c r="A329" s="6"/>
      <c r="B329" s="6"/>
      <c r="C329" s="6"/>
      <c r="D329" s="28"/>
      <c r="E329" s="28"/>
      <c r="F329" s="28"/>
      <c r="G329" s="28"/>
      <c r="H329" s="28"/>
      <c r="I329" s="28"/>
      <c r="J329" s="28"/>
      <c r="K329" s="28"/>
      <c r="L329" s="6"/>
      <c r="M329" s="6"/>
      <c r="N329" s="6"/>
      <c r="O329" s="6"/>
      <c r="P329" s="6"/>
    </row>
    <row r="330" spans="1:16" ht="13">
      <c r="A330" s="6"/>
      <c r="B330" s="6"/>
      <c r="C330" s="6"/>
      <c r="D330" s="28"/>
      <c r="E330" s="28"/>
      <c r="F330" s="28"/>
      <c r="G330" s="28"/>
      <c r="H330" s="28"/>
      <c r="I330" s="28"/>
      <c r="J330" s="28"/>
      <c r="K330" s="28"/>
      <c r="L330" s="6"/>
      <c r="M330" s="6"/>
      <c r="N330" s="6"/>
      <c r="O330" s="6"/>
      <c r="P330" s="6"/>
    </row>
    <row r="331" spans="1:16" ht="13">
      <c r="A331" s="6"/>
      <c r="B331" s="6"/>
      <c r="C331" s="6"/>
      <c r="D331" s="28"/>
      <c r="E331" s="28"/>
      <c r="F331" s="28"/>
      <c r="G331" s="28"/>
      <c r="H331" s="28"/>
      <c r="I331" s="28"/>
      <c r="J331" s="28"/>
      <c r="K331" s="28"/>
      <c r="L331" s="6"/>
      <c r="M331" s="6"/>
      <c r="N331" s="6"/>
      <c r="O331" s="6"/>
      <c r="P331" s="6"/>
    </row>
    <row r="332" spans="1:16" ht="13">
      <c r="A332" s="6"/>
      <c r="B332" s="6"/>
      <c r="C332" s="6"/>
      <c r="D332" s="28"/>
      <c r="E332" s="28"/>
      <c r="F332" s="28"/>
      <c r="G332" s="28"/>
      <c r="H332" s="28"/>
      <c r="I332" s="28"/>
      <c r="J332" s="28"/>
      <c r="K332" s="28"/>
      <c r="L332" s="6"/>
      <c r="M332" s="6"/>
      <c r="N332" s="6"/>
      <c r="O332" s="6"/>
      <c r="P332" s="6"/>
    </row>
    <row r="333" spans="1:16" ht="13">
      <c r="A333" s="6"/>
      <c r="B333" s="6"/>
      <c r="C333" s="6"/>
      <c r="D333" s="28"/>
      <c r="E333" s="28"/>
      <c r="F333" s="28"/>
      <c r="G333" s="28"/>
      <c r="H333" s="28"/>
      <c r="I333" s="28"/>
      <c r="J333" s="28"/>
      <c r="K333" s="28"/>
      <c r="L333" s="6"/>
      <c r="M333" s="6"/>
      <c r="N333" s="6"/>
      <c r="O333" s="6"/>
      <c r="P333" s="6"/>
    </row>
    <row r="334" spans="1:16" ht="13">
      <c r="A334" s="6"/>
      <c r="B334" s="6"/>
      <c r="C334" s="6"/>
      <c r="D334" s="28"/>
      <c r="E334" s="28"/>
      <c r="F334" s="28"/>
      <c r="G334" s="28"/>
      <c r="H334" s="28"/>
      <c r="I334" s="28"/>
      <c r="J334" s="28"/>
      <c r="K334" s="28"/>
      <c r="L334" s="6"/>
      <c r="M334" s="6"/>
      <c r="N334" s="6"/>
      <c r="O334" s="6"/>
      <c r="P334" s="6"/>
    </row>
    <row r="335" spans="1:16" ht="13">
      <c r="A335" s="6"/>
      <c r="B335" s="6"/>
      <c r="C335" s="6"/>
      <c r="D335" s="28"/>
      <c r="E335" s="28"/>
      <c r="F335" s="28"/>
      <c r="G335" s="28"/>
      <c r="H335" s="28"/>
      <c r="I335" s="28"/>
      <c r="J335" s="28"/>
      <c r="K335" s="28"/>
      <c r="L335" s="6"/>
      <c r="M335" s="6"/>
      <c r="N335" s="6"/>
      <c r="O335" s="6"/>
      <c r="P335" s="6"/>
    </row>
    <row r="336" spans="1:16" ht="13">
      <c r="A336" s="6"/>
      <c r="B336" s="6"/>
      <c r="C336" s="6"/>
      <c r="D336" s="28"/>
      <c r="E336" s="28"/>
      <c r="F336" s="28"/>
      <c r="G336" s="28"/>
      <c r="H336" s="28"/>
      <c r="I336" s="28"/>
      <c r="J336" s="28"/>
      <c r="K336" s="28"/>
      <c r="L336" s="6"/>
      <c r="M336" s="6"/>
      <c r="N336" s="6"/>
      <c r="O336" s="6"/>
      <c r="P336" s="6"/>
    </row>
    <row r="337" spans="1:16" ht="13">
      <c r="A337" s="6"/>
      <c r="B337" s="6"/>
      <c r="C337" s="6"/>
      <c r="D337" s="28"/>
      <c r="E337" s="28"/>
      <c r="F337" s="28"/>
      <c r="G337" s="28"/>
      <c r="H337" s="28"/>
      <c r="I337" s="28"/>
      <c r="J337" s="28"/>
      <c r="K337" s="28"/>
      <c r="L337" s="6"/>
      <c r="M337" s="6"/>
      <c r="N337" s="6"/>
      <c r="O337" s="6"/>
      <c r="P337" s="6"/>
    </row>
    <row r="338" spans="1:16" ht="13">
      <c r="A338" s="6"/>
      <c r="B338" s="6"/>
      <c r="C338" s="6"/>
      <c r="D338" s="28"/>
      <c r="E338" s="28"/>
      <c r="F338" s="28"/>
      <c r="G338" s="28"/>
      <c r="H338" s="28"/>
      <c r="I338" s="28"/>
      <c r="J338" s="28"/>
      <c r="K338" s="28"/>
      <c r="L338" s="6"/>
      <c r="M338" s="6"/>
      <c r="N338" s="6"/>
      <c r="O338" s="6"/>
      <c r="P338" s="6"/>
    </row>
    <row r="339" spans="1:16" ht="13">
      <c r="A339" s="6"/>
      <c r="B339" s="6"/>
      <c r="C339" s="6"/>
      <c r="D339" s="28"/>
      <c r="E339" s="28"/>
      <c r="F339" s="28"/>
      <c r="G339" s="28"/>
      <c r="H339" s="28"/>
      <c r="I339" s="28"/>
      <c r="J339" s="28"/>
      <c r="K339" s="28"/>
      <c r="L339" s="6"/>
      <c r="M339" s="6"/>
      <c r="N339" s="6"/>
      <c r="O339" s="6"/>
      <c r="P339" s="6"/>
    </row>
    <row r="340" spans="1:16" ht="13">
      <c r="A340" s="6"/>
      <c r="B340" s="6"/>
      <c r="C340" s="6"/>
      <c r="D340" s="28"/>
      <c r="E340" s="28"/>
      <c r="F340" s="28"/>
      <c r="G340" s="28"/>
      <c r="H340" s="28"/>
      <c r="I340" s="28"/>
      <c r="J340" s="28"/>
      <c r="K340" s="28"/>
      <c r="L340" s="6"/>
      <c r="M340" s="6"/>
      <c r="N340" s="6"/>
      <c r="O340" s="6"/>
      <c r="P340" s="6"/>
    </row>
    <row r="341" spans="1:16" ht="13">
      <c r="A341" s="6"/>
      <c r="B341" s="6"/>
      <c r="C341" s="6"/>
      <c r="D341" s="28"/>
      <c r="E341" s="28"/>
      <c r="F341" s="28"/>
      <c r="G341" s="28"/>
      <c r="H341" s="28"/>
      <c r="I341" s="28"/>
      <c r="J341" s="28"/>
      <c r="K341" s="28"/>
      <c r="L341" s="6"/>
      <c r="M341" s="6"/>
      <c r="N341" s="6"/>
      <c r="O341" s="6"/>
      <c r="P341" s="6"/>
    </row>
    <row r="342" spans="1:16" ht="13">
      <c r="A342" s="6"/>
      <c r="B342" s="6"/>
      <c r="C342" s="6"/>
      <c r="D342" s="28"/>
      <c r="E342" s="28"/>
      <c r="F342" s="28"/>
      <c r="G342" s="28"/>
      <c r="H342" s="28"/>
      <c r="I342" s="28"/>
      <c r="J342" s="28"/>
      <c r="K342" s="28"/>
      <c r="L342" s="6"/>
      <c r="M342" s="6"/>
      <c r="N342" s="6"/>
      <c r="O342" s="6"/>
      <c r="P342" s="6"/>
    </row>
    <row r="343" spans="1:16" ht="13">
      <c r="A343" s="6"/>
      <c r="B343" s="6"/>
      <c r="C343" s="6"/>
      <c r="D343" s="28"/>
      <c r="E343" s="28"/>
      <c r="F343" s="28"/>
      <c r="G343" s="28"/>
      <c r="H343" s="28"/>
      <c r="I343" s="28"/>
      <c r="J343" s="28"/>
      <c r="K343" s="28"/>
      <c r="L343" s="6"/>
      <c r="M343" s="6"/>
      <c r="N343" s="6"/>
      <c r="O343" s="6"/>
      <c r="P343" s="6"/>
    </row>
    <row r="344" spans="1:16" ht="13">
      <c r="A344" s="6"/>
      <c r="B344" s="6"/>
      <c r="C344" s="6"/>
      <c r="D344" s="28"/>
      <c r="E344" s="28"/>
      <c r="F344" s="28"/>
      <c r="G344" s="28"/>
      <c r="H344" s="28"/>
      <c r="I344" s="28"/>
      <c r="J344" s="28"/>
      <c r="K344" s="28"/>
      <c r="L344" s="6"/>
      <c r="M344" s="6"/>
      <c r="N344" s="6"/>
      <c r="O344" s="6"/>
      <c r="P344" s="6"/>
    </row>
    <row r="345" spans="1:16" ht="13">
      <c r="A345" s="6"/>
      <c r="B345" s="6"/>
      <c r="C345" s="6"/>
      <c r="D345" s="28"/>
      <c r="E345" s="28"/>
      <c r="F345" s="28"/>
      <c r="G345" s="28"/>
      <c r="H345" s="28"/>
      <c r="I345" s="28"/>
      <c r="J345" s="28"/>
      <c r="K345" s="28"/>
      <c r="L345" s="6"/>
      <c r="M345" s="6"/>
      <c r="N345" s="6"/>
      <c r="O345" s="6"/>
      <c r="P345" s="6"/>
    </row>
    <row r="346" spans="1:16" ht="13">
      <c r="A346" s="6"/>
      <c r="B346" s="6"/>
      <c r="C346" s="6"/>
      <c r="D346" s="28"/>
      <c r="E346" s="28"/>
      <c r="F346" s="28"/>
      <c r="G346" s="28"/>
      <c r="H346" s="28"/>
      <c r="I346" s="28"/>
      <c r="J346" s="28"/>
      <c r="K346" s="28"/>
      <c r="L346" s="6"/>
      <c r="M346" s="6"/>
      <c r="N346" s="6"/>
      <c r="O346" s="6"/>
      <c r="P346" s="6"/>
    </row>
    <row r="347" spans="1:16" ht="13">
      <c r="A347" s="6"/>
      <c r="B347" s="6"/>
      <c r="C347" s="6"/>
      <c r="D347" s="28"/>
      <c r="E347" s="28"/>
      <c r="F347" s="28"/>
      <c r="G347" s="28"/>
      <c r="H347" s="28"/>
      <c r="I347" s="28"/>
      <c r="J347" s="28"/>
      <c r="K347" s="28"/>
      <c r="L347" s="6"/>
      <c r="M347" s="6"/>
      <c r="N347" s="6"/>
      <c r="O347" s="6"/>
      <c r="P347" s="6"/>
    </row>
    <row r="348" spans="1:16" ht="13">
      <c r="A348" s="6"/>
      <c r="B348" s="6"/>
      <c r="C348" s="6"/>
      <c r="D348" s="28"/>
      <c r="E348" s="28"/>
      <c r="F348" s="28"/>
      <c r="G348" s="28"/>
      <c r="H348" s="28"/>
      <c r="I348" s="28"/>
      <c r="J348" s="28"/>
      <c r="K348" s="28"/>
      <c r="L348" s="6"/>
      <c r="M348" s="6"/>
      <c r="N348" s="6"/>
      <c r="O348" s="6"/>
      <c r="P348" s="6"/>
    </row>
    <row r="349" spans="1:16" ht="13">
      <c r="A349" s="6"/>
      <c r="B349" s="6"/>
      <c r="C349" s="6"/>
      <c r="D349" s="28"/>
      <c r="E349" s="28"/>
      <c r="F349" s="28"/>
      <c r="G349" s="28"/>
      <c r="H349" s="28"/>
      <c r="I349" s="28"/>
      <c r="J349" s="28"/>
      <c r="K349" s="28"/>
      <c r="L349" s="6"/>
      <c r="M349" s="6"/>
      <c r="N349" s="6"/>
      <c r="O349" s="6"/>
      <c r="P349" s="6"/>
    </row>
    <row r="350" spans="1:16" ht="13">
      <c r="A350" s="6"/>
      <c r="B350" s="6"/>
      <c r="C350" s="6"/>
      <c r="D350" s="28"/>
      <c r="E350" s="28"/>
      <c r="F350" s="28"/>
      <c r="G350" s="28"/>
      <c r="H350" s="28"/>
      <c r="I350" s="28"/>
      <c r="J350" s="28"/>
      <c r="K350" s="28"/>
      <c r="L350" s="6"/>
      <c r="M350" s="6"/>
      <c r="N350" s="6"/>
      <c r="O350" s="6"/>
      <c r="P350" s="6"/>
    </row>
    <row r="351" spans="1:16">
      <c r="D351" s="29"/>
      <c r="E351" s="29"/>
      <c r="F351" s="29"/>
      <c r="G351" s="29"/>
      <c r="H351" s="29"/>
      <c r="I351" s="29"/>
      <c r="J351" s="29"/>
      <c r="K351" s="29"/>
    </row>
    <row r="352" spans="1:16">
      <c r="D352" s="29"/>
      <c r="E352" s="29"/>
      <c r="F352" s="29"/>
      <c r="G352" s="29"/>
      <c r="H352" s="29"/>
      <c r="I352" s="29"/>
      <c r="J352" s="29"/>
      <c r="K352" s="29"/>
    </row>
    <row r="353" spans="4:11">
      <c r="D353" s="29"/>
      <c r="E353" s="29"/>
      <c r="F353" s="29"/>
      <c r="G353" s="29"/>
      <c r="H353" s="29"/>
      <c r="I353" s="29"/>
      <c r="J353" s="29"/>
      <c r="K353" s="29"/>
    </row>
    <row r="354" spans="4:11">
      <c r="D354" s="29"/>
      <c r="E354" s="29"/>
      <c r="F354" s="29"/>
      <c r="G354" s="29"/>
      <c r="H354" s="29"/>
      <c r="I354" s="29"/>
      <c r="J354" s="29"/>
      <c r="K354" s="29"/>
    </row>
    <row r="355" spans="4:11">
      <c r="D355" s="29"/>
      <c r="E355" s="29"/>
      <c r="F355" s="29"/>
      <c r="G355" s="29"/>
      <c r="H355" s="29"/>
      <c r="I355" s="29"/>
      <c r="J355" s="29"/>
      <c r="K355" s="29"/>
    </row>
    <row r="356" spans="4:11">
      <c r="D356" s="29"/>
      <c r="E356" s="29"/>
      <c r="F356" s="29"/>
      <c r="G356" s="29"/>
      <c r="H356" s="29"/>
      <c r="I356" s="29"/>
      <c r="J356" s="29"/>
      <c r="K356" s="29"/>
    </row>
    <row r="357" spans="4:11">
      <c r="D357" s="29"/>
      <c r="E357" s="29"/>
      <c r="F357" s="29"/>
      <c r="G357" s="29"/>
      <c r="H357" s="29"/>
      <c r="I357" s="29"/>
      <c r="J357" s="29"/>
      <c r="K357" s="29"/>
    </row>
    <row r="358" spans="4:11">
      <c r="D358" s="29"/>
      <c r="E358" s="29"/>
      <c r="F358" s="29"/>
      <c r="G358" s="29"/>
      <c r="H358" s="29"/>
      <c r="I358" s="29"/>
      <c r="J358" s="29"/>
      <c r="K358" s="29"/>
    </row>
    <row r="359" spans="4:11">
      <c r="D359" s="29"/>
      <c r="E359" s="29"/>
      <c r="F359" s="29"/>
      <c r="G359" s="29"/>
      <c r="H359" s="29"/>
      <c r="I359" s="29"/>
      <c r="J359" s="29"/>
      <c r="K359" s="29"/>
    </row>
    <row r="360" spans="4:11">
      <c r="D360" s="29"/>
      <c r="E360" s="29"/>
      <c r="F360" s="29"/>
      <c r="G360" s="29"/>
      <c r="H360" s="29"/>
      <c r="I360" s="29"/>
      <c r="J360" s="29"/>
      <c r="K360" s="29"/>
    </row>
    <row r="361" spans="4:11">
      <c r="D361" s="29"/>
      <c r="E361" s="29"/>
      <c r="F361" s="29"/>
      <c r="G361" s="29"/>
      <c r="H361" s="29"/>
      <c r="I361" s="29"/>
      <c r="J361" s="29"/>
      <c r="K361" s="29"/>
    </row>
    <row r="362" spans="4:11">
      <c r="D362" s="29"/>
      <c r="E362" s="29"/>
      <c r="F362" s="29"/>
      <c r="G362" s="29"/>
      <c r="H362" s="29"/>
      <c r="I362" s="29"/>
      <c r="J362" s="29"/>
      <c r="K362" s="29"/>
    </row>
    <row r="363" spans="4:11">
      <c r="D363" s="29"/>
      <c r="E363" s="29"/>
      <c r="F363" s="29"/>
      <c r="G363" s="29"/>
      <c r="H363" s="29"/>
      <c r="I363" s="29"/>
      <c r="J363" s="29"/>
      <c r="K363" s="29"/>
    </row>
    <row r="364" spans="4:11">
      <c r="D364" s="29"/>
      <c r="E364" s="29"/>
      <c r="F364" s="29"/>
      <c r="G364" s="29"/>
      <c r="H364" s="29"/>
      <c r="I364" s="29"/>
      <c r="J364" s="29"/>
      <c r="K364" s="29"/>
    </row>
    <row r="365" spans="4:11">
      <c r="D365" s="29"/>
      <c r="E365" s="29"/>
      <c r="F365" s="29"/>
      <c r="G365" s="29"/>
      <c r="H365" s="29"/>
      <c r="I365" s="29"/>
      <c r="J365" s="29"/>
      <c r="K365" s="29"/>
    </row>
    <row r="366" spans="4:11">
      <c r="D366" s="29"/>
      <c r="E366" s="29"/>
      <c r="F366" s="29"/>
      <c r="G366" s="29"/>
      <c r="H366" s="29"/>
      <c r="I366" s="29"/>
      <c r="J366" s="29"/>
      <c r="K366" s="29"/>
    </row>
    <row r="367" spans="4:11">
      <c r="D367" s="29"/>
      <c r="E367" s="29"/>
      <c r="F367" s="29"/>
      <c r="G367" s="29"/>
      <c r="H367" s="29"/>
      <c r="I367" s="29"/>
      <c r="J367" s="29"/>
      <c r="K367" s="29"/>
    </row>
    <row r="368" spans="4:11">
      <c r="D368" s="29"/>
      <c r="E368" s="29"/>
      <c r="F368" s="29"/>
      <c r="G368" s="29"/>
      <c r="H368" s="29"/>
      <c r="I368" s="29"/>
      <c r="J368" s="29"/>
      <c r="K368" s="29"/>
    </row>
    <row r="369" spans="4:11">
      <c r="D369" s="29"/>
      <c r="E369" s="29"/>
      <c r="F369" s="29"/>
      <c r="G369" s="29"/>
      <c r="H369" s="29"/>
      <c r="I369" s="29"/>
      <c r="J369" s="29"/>
      <c r="K369" s="29"/>
    </row>
    <row r="370" spans="4:11">
      <c r="D370" s="29"/>
      <c r="E370" s="29"/>
      <c r="F370" s="29"/>
      <c r="G370" s="29"/>
      <c r="H370" s="29"/>
      <c r="I370" s="29"/>
      <c r="J370" s="29"/>
      <c r="K370" s="29"/>
    </row>
    <row r="371" spans="4:11">
      <c r="D371" s="29"/>
      <c r="E371" s="29"/>
      <c r="F371" s="29"/>
      <c r="G371" s="29"/>
      <c r="H371" s="29"/>
      <c r="I371" s="29"/>
      <c r="J371" s="29"/>
      <c r="K371" s="29"/>
    </row>
    <row r="372" spans="4:11">
      <c r="D372" s="29"/>
      <c r="E372" s="29"/>
      <c r="F372" s="29"/>
      <c r="G372" s="29"/>
      <c r="H372" s="29"/>
      <c r="I372" s="29"/>
      <c r="J372" s="29"/>
      <c r="K372" s="29"/>
    </row>
    <row r="373" spans="4:11">
      <c r="D373" s="29"/>
      <c r="E373" s="29"/>
      <c r="F373" s="29"/>
      <c r="G373" s="29"/>
      <c r="H373" s="29"/>
      <c r="I373" s="29"/>
      <c r="J373" s="29"/>
      <c r="K373" s="29"/>
    </row>
    <row r="374" spans="4:11">
      <c r="D374" s="29"/>
      <c r="E374" s="29"/>
      <c r="F374" s="29"/>
      <c r="G374" s="29"/>
      <c r="H374" s="29"/>
      <c r="I374" s="29"/>
      <c r="J374" s="29"/>
      <c r="K374" s="29"/>
    </row>
    <row r="375" spans="4:11">
      <c r="D375" s="29"/>
      <c r="E375" s="29"/>
      <c r="F375" s="29"/>
      <c r="G375" s="29"/>
      <c r="H375" s="29"/>
      <c r="I375" s="29"/>
      <c r="J375" s="29"/>
      <c r="K375" s="29"/>
    </row>
    <row r="376" spans="4:11">
      <c r="D376" s="29"/>
      <c r="E376" s="29"/>
      <c r="F376" s="29"/>
      <c r="G376" s="29"/>
      <c r="H376" s="29"/>
      <c r="I376" s="29"/>
      <c r="J376" s="29"/>
      <c r="K376" s="29"/>
    </row>
    <row r="377" spans="4:11">
      <c r="D377" s="29"/>
      <c r="E377" s="29"/>
      <c r="F377" s="29"/>
      <c r="G377" s="29"/>
      <c r="H377" s="29"/>
      <c r="I377" s="29"/>
      <c r="J377" s="29"/>
      <c r="K377" s="29"/>
    </row>
    <row r="378" spans="4:11">
      <c r="D378" s="29"/>
      <c r="E378" s="29"/>
      <c r="F378" s="29"/>
      <c r="G378" s="29"/>
      <c r="H378" s="29"/>
      <c r="I378" s="29"/>
      <c r="J378" s="29"/>
      <c r="K378" s="29"/>
    </row>
    <row r="379" spans="4:11">
      <c r="D379" s="29"/>
      <c r="E379" s="29"/>
      <c r="F379" s="29"/>
      <c r="G379" s="29"/>
      <c r="H379" s="29"/>
      <c r="I379" s="29"/>
      <c r="J379" s="29"/>
      <c r="K379" s="29"/>
    </row>
    <row r="380" spans="4:11">
      <c r="D380" s="29"/>
      <c r="E380" s="29"/>
      <c r="F380" s="29"/>
      <c r="G380" s="29"/>
      <c r="H380" s="29"/>
      <c r="I380" s="29"/>
      <c r="J380" s="29"/>
      <c r="K380" s="29"/>
    </row>
    <row r="381" spans="4:11">
      <c r="D381" s="29"/>
      <c r="E381" s="29"/>
      <c r="F381" s="29"/>
      <c r="G381" s="29"/>
      <c r="H381" s="29"/>
      <c r="I381" s="29"/>
      <c r="J381" s="29"/>
      <c r="K381" s="29"/>
    </row>
    <row r="382" spans="4:11">
      <c r="D382" s="29"/>
      <c r="E382" s="29"/>
      <c r="F382" s="29"/>
      <c r="G382" s="29"/>
      <c r="H382" s="29"/>
      <c r="I382" s="29"/>
      <c r="J382" s="29"/>
      <c r="K382" s="29"/>
    </row>
    <row r="383" spans="4:11">
      <c r="D383" s="29"/>
      <c r="E383" s="29"/>
      <c r="F383" s="29"/>
      <c r="G383" s="29"/>
      <c r="H383" s="29"/>
      <c r="I383" s="29"/>
      <c r="J383" s="29"/>
      <c r="K383" s="29"/>
    </row>
    <row r="384" spans="4:11">
      <c r="D384" s="29"/>
      <c r="E384" s="29"/>
      <c r="F384" s="29"/>
      <c r="G384" s="29"/>
      <c r="H384" s="29"/>
      <c r="I384" s="29"/>
      <c r="J384" s="29"/>
      <c r="K384" s="29"/>
    </row>
    <row r="385" spans="4:11">
      <c r="D385" s="29"/>
      <c r="E385" s="29"/>
      <c r="F385" s="29"/>
      <c r="G385" s="29"/>
      <c r="H385" s="29"/>
      <c r="I385" s="29"/>
      <c r="J385" s="29"/>
      <c r="K385" s="29"/>
    </row>
    <row r="386" spans="4:11">
      <c r="D386" s="29"/>
      <c r="E386" s="29"/>
      <c r="F386" s="29"/>
      <c r="G386" s="29"/>
      <c r="H386" s="29"/>
      <c r="I386" s="29"/>
      <c r="J386" s="29"/>
      <c r="K386" s="29"/>
    </row>
    <row r="387" spans="4:11">
      <c r="D387" s="29"/>
      <c r="E387" s="29"/>
      <c r="F387" s="29"/>
      <c r="G387" s="29"/>
      <c r="H387" s="29"/>
      <c r="I387" s="29"/>
      <c r="J387" s="29"/>
      <c r="K387" s="29"/>
    </row>
    <row r="388" spans="4:11">
      <c r="D388" s="29"/>
      <c r="E388" s="29"/>
      <c r="F388" s="29"/>
      <c r="G388" s="29"/>
      <c r="H388" s="29"/>
      <c r="I388" s="29"/>
      <c r="J388" s="29"/>
      <c r="K388" s="29"/>
    </row>
    <row r="389" spans="4:11">
      <c r="D389" s="29"/>
      <c r="E389" s="29"/>
      <c r="F389" s="29"/>
      <c r="G389" s="29"/>
      <c r="H389" s="29"/>
      <c r="I389" s="29"/>
      <c r="J389" s="29"/>
      <c r="K389" s="29"/>
    </row>
    <row r="390" spans="4:11">
      <c r="D390" s="29"/>
      <c r="E390" s="29"/>
      <c r="F390" s="29"/>
      <c r="G390" s="29"/>
      <c r="H390" s="29"/>
      <c r="I390" s="29"/>
      <c r="J390" s="29"/>
      <c r="K390" s="29"/>
    </row>
    <row r="391" spans="4:11">
      <c r="D391" s="29"/>
      <c r="E391" s="29"/>
      <c r="F391" s="29"/>
      <c r="G391" s="29"/>
      <c r="H391" s="29"/>
      <c r="I391" s="29"/>
      <c r="J391" s="29"/>
      <c r="K391" s="29"/>
    </row>
    <row r="392" spans="4:11">
      <c r="D392" s="29"/>
      <c r="E392" s="29"/>
      <c r="F392" s="29"/>
      <c r="G392" s="29"/>
      <c r="H392" s="29"/>
      <c r="I392" s="29"/>
      <c r="J392" s="29"/>
      <c r="K392" s="29"/>
    </row>
    <row r="393" spans="4:11">
      <c r="D393" s="29"/>
      <c r="E393" s="29"/>
      <c r="F393" s="29"/>
      <c r="G393" s="29"/>
      <c r="H393" s="29"/>
      <c r="I393" s="29"/>
      <c r="J393" s="29"/>
      <c r="K393" s="29"/>
    </row>
    <row r="394" spans="4:11">
      <c r="D394" s="29"/>
      <c r="E394" s="29"/>
      <c r="F394" s="29"/>
      <c r="G394" s="29"/>
      <c r="H394" s="29"/>
      <c r="I394" s="29"/>
      <c r="J394" s="29"/>
      <c r="K394" s="29"/>
    </row>
    <row r="395" spans="4:11">
      <c r="D395" s="29"/>
      <c r="E395" s="29"/>
      <c r="F395" s="29"/>
      <c r="G395" s="29"/>
      <c r="H395" s="29"/>
      <c r="I395" s="29"/>
      <c r="J395" s="29"/>
      <c r="K395" s="29"/>
    </row>
    <row r="396" spans="4:11">
      <c r="D396" s="29"/>
      <c r="E396" s="29"/>
      <c r="F396" s="29"/>
      <c r="G396" s="29"/>
      <c r="H396" s="29"/>
      <c r="I396" s="29"/>
      <c r="J396" s="29"/>
      <c r="K396" s="29"/>
    </row>
    <row r="397" spans="4:11">
      <c r="D397" s="29"/>
      <c r="E397" s="29"/>
      <c r="F397" s="29"/>
      <c r="G397" s="29"/>
      <c r="H397" s="29"/>
      <c r="I397" s="29"/>
      <c r="J397" s="29"/>
      <c r="K397" s="29"/>
    </row>
    <row r="398" spans="4:11">
      <c r="D398" s="29"/>
      <c r="E398" s="29"/>
      <c r="F398" s="29"/>
      <c r="G398" s="29"/>
      <c r="H398" s="29"/>
      <c r="I398" s="29"/>
      <c r="J398" s="29"/>
      <c r="K398" s="29"/>
    </row>
    <row r="399" spans="4:11">
      <c r="D399" s="29"/>
      <c r="E399" s="29"/>
      <c r="F399" s="29"/>
      <c r="G399" s="29"/>
      <c r="H399" s="29"/>
      <c r="I399" s="29"/>
      <c r="J399" s="29"/>
      <c r="K399" s="29"/>
    </row>
    <row r="400" spans="4:11">
      <c r="D400" s="29"/>
      <c r="E400" s="29"/>
      <c r="F400" s="29"/>
      <c r="G400" s="29"/>
      <c r="H400" s="29"/>
      <c r="I400" s="29"/>
      <c r="J400" s="29"/>
      <c r="K400" s="29"/>
    </row>
    <row r="401" spans="4:11">
      <c r="D401" s="29"/>
      <c r="E401" s="29"/>
      <c r="F401" s="29"/>
      <c r="G401" s="29"/>
      <c r="H401" s="29"/>
      <c r="I401" s="29"/>
      <c r="J401" s="29"/>
      <c r="K401" s="29"/>
    </row>
    <row r="402" spans="4:11">
      <c r="D402" s="29"/>
      <c r="E402" s="29"/>
      <c r="F402" s="29"/>
      <c r="G402" s="29"/>
      <c r="H402" s="29"/>
      <c r="I402" s="29"/>
      <c r="J402" s="29"/>
      <c r="K402" s="29"/>
    </row>
    <row r="403" spans="4:11">
      <c r="D403" s="29"/>
      <c r="E403" s="29"/>
      <c r="F403" s="29"/>
      <c r="G403" s="29"/>
      <c r="H403" s="29"/>
      <c r="I403" s="29"/>
      <c r="J403" s="29"/>
      <c r="K403" s="29"/>
    </row>
    <row r="404" spans="4:11">
      <c r="D404" s="29"/>
      <c r="E404" s="29"/>
      <c r="F404" s="29"/>
      <c r="G404" s="29"/>
      <c r="H404" s="29"/>
      <c r="I404" s="29"/>
      <c r="J404" s="29"/>
      <c r="K404" s="29"/>
    </row>
    <row r="405" spans="4:11">
      <c r="D405" s="29"/>
      <c r="E405" s="29"/>
      <c r="F405" s="29"/>
      <c r="G405" s="29"/>
      <c r="H405" s="29"/>
      <c r="I405" s="29"/>
      <c r="J405" s="29"/>
      <c r="K405" s="29"/>
    </row>
    <row r="406" spans="4:11">
      <c r="D406" s="29"/>
      <c r="E406" s="29"/>
      <c r="F406" s="29"/>
      <c r="G406" s="29"/>
      <c r="H406" s="29"/>
      <c r="I406" s="29"/>
      <c r="J406" s="29"/>
      <c r="K406" s="29"/>
    </row>
    <row r="407" spans="4:11">
      <c r="D407" s="29"/>
      <c r="E407" s="29"/>
      <c r="F407" s="29"/>
      <c r="G407" s="29"/>
      <c r="H407" s="29"/>
      <c r="I407" s="29"/>
      <c r="J407" s="29"/>
      <c r="K407" s="29"/>
    </row>
    <row r="408" spans="4:11">
      <c r="D408" s="29"/>
      <c r="E408" s="29"/>
      <c r="F408" s="29"/>
      <c r="G408" s="29"/>
      <c r="H408" s="29"/>
      <c r="I408" s="29"/>
      <c r="J408" s="29"/>
      <c r="K408" s="29"/>
    </row>
    <row r="409" spans="4:11">
      <c r="D409" s="29"/>
      <c r="E409" s="29"/>
      <c r="F409" s="29"/>
      <c r="G409" s="29"/>
      <c r="H409" s="29"/>
      <c r="I409" s="29"/>
      <c r="J409" s="29"/>
      <c r="K409" s="29"/>
    </row>
    <row r="410" spans="4:11">
      <c r="D410" s="29"/>
      <c r="E410" s="29"/>
      <c r="F410" s="29"/>
      <c r="G410" s="29"/>
      <c r="H410" s="29"/>
      <c r="I410" s="29"/>
      <c r="J410" s="29"/>
      <c r="K410" s="29"/>
    </row>
    <row r="411" spans="4:11">
      <c r="D411" s="29"/>
      <c r="E411" s="29"/>
      <c r="F411" s="29"/>
      <c r="G411" s="29"/>
      <c r="H411" s="29"/>
      <c r="I411" s="29"/>
      <c r="J411" s="29"/>
      <c r="K411" s="29"/>
    </row>
    <row r="412" spans="4:11">
      <c r="D412" s="29"/>
      <c r="E412" s="29"/>
      <c r="F412" s="29"/>
      <c r="G412" s="29"/>
      <c r="H412" s="29"/>
      <c r="I412" s="29"/>
      <c r="J412" s="29"/>
      <c r="K412" s="29"/>
    </row>
    <row r="413" spans="4:11">
      <c r="D413" s="29"/>
      <c r="E413" s="29"/>
      <c r="F413" s="29"/>
      <c r="G413" s="29"/>
      <c r="H413" s="29"/>
      <c r="I413" s="29"/>
      <c r="J413" s="29"/>
      <c r="K413" s="29"/>
    </row>
    <row r="414" spans="4:11">
      <c r="D414" s="29"/>
      <c r="E414" s="29"/>
      <c r="F414" s="29"/>
      <c r="G414" s="29"/>
      <c r="H414" s="29"/>
      <c r="I414" s="29"/>
      <c r="J414" s="29"/>
      <c r="K414" s="29"/>
    </row>
    <row r="415" spans="4:11">
      <c r="D415" s="29"/>
      <c r="E415" s="29"/>
      <c r="F415" s="29"/>
      <c r="G415" s="29"/>
      <c r="H415" s="29"/>
      <c r="I415" s="29"/>
      <c r="J415" s="29"/>
      <c r="K415" s="29"/>
    </row>
    <row r="416" spans="4:11">
      <c r="D416" s="29"/>
      <c r="E416" s="29"/>
      <c r="F416" s="29"/>
      <c r="G416" s="29"/>
      <c r="H416" s="29"/>
      <c r="I416" s="29"/>
      <c r="J416" s="29"/>
      <c r="K416" s="29"/>
    </row>
    <row r="417" spans="4:11">
      <c r="D417" s="29"/>
      <c r="E417" s="29"/>
      <c r="F417" s="29"/>
      <c r="G417" s="29"/>
      <c r="H417" s="29"/>
      <c r="I417" s="29"/>
      <c r="J417" s="29"/>
      <c r="K417" s="29"/>
    </row>
    <row r="418" spans="4:11">
      <c r="D418" s="29"/>
      <c r="E418" s="29"/>
      <c r="F418" s="29"/>
      <c r="G418" s="29"/>
      <c r="H418" s="29"/>
      <c r="I418" s="29"/>
      <c r="J418" s="29"/>
      <c r="K418" s="29"/>
    </row>
    <row r="419" spans="4:11">
      <c r="D419" s="29"/>
      <c r="E419" s="29"/>
      <c r="F419" s="29"/>
      <c r="G419" s="29"/>
      <c r="H419" s="29"/>
      <c r="I419" s="29"/>
      <c r="J419" s="29"/>
      <c r="K419" s="29"/>
    </row>
    <row r="420" spans="4:11">
      <c r="D420" s="29"/>
      <c r="E420" s="29"/>
      <c r="F420" s="29"/>
      <c r="G420" s="29"/>
      <c r="H420" s="29"/>
      <c r="I420" s="29"/>
      <c r="J420" s="29"/>
      <c r="K420" s="29"/>
    </row>
    <row r="421" spans="4:11">
      <c r="D421" s="29"/>
      <c r="E421" s="29"/>
      <c r="F421" s="29"/>
      <c r="G421" s="29"/>
      <c r="H421" s="29"/>
      <c r="I421" s="29"/>
      <c r="J421" s="29"/>
      <c r="K421" s="29"/>
    </row>
    <row r="422" spans="4:11">
      <c r="D422" s="29"/>
      <c r="E422" s="29"/>
      <c r="F422" s="29"/>
      <c r="G422" s="29"/>
      <c r="H422" s="29"/>
      <c r="I422" s="29"/>
      <c r="J422" s="29"/>
      <c r="K422" s="29"/>
    </row>
    <row r="423" spans="4:11">
      <c r="D423" s="29"/>
      <c r="E423" s="29"/>
      <c r="F423" s="29"/>
      <c r="G423" s="29"/>
      <c r="H423" s="29"/>
      <c r="I423" s="29"/>
      <c r="J423" s="29"/>
      <c r="K423" s="29"/>
    </row>
    <row r="424" spans="4:11">
      <c r="D424" s="29"/>
      <c r="E424" s="29"/>
      <c r="F424" s="29"/>
      <c r="G424" s="29"/>
      <c r="H424" s="29"/>
      <c r="I424" s="29"/>
      <c r="J424" s="29"/>
      <c r="K424" s="29"/>
    </row>
    <row r="425" spans="4:11">
      <c r="D425" s="29"/>
      <c r="E425" s="29"/>
      <c r="F425" s="29"/>
      <c r="G425" s="29"/>
      <c r="H425" s="29"/>
      <c r="I425" s="29"/>
      <c r="J425" s="29"/>
      <c r="K425" s="29"/>
    </row>
    <row r="426" spans="4:11">
      <c r="D426" s="29"/>
      <c r="E426" s="29"/>
      <c r="F426" s="29"/>
      <c r="G426" s="29"/>
      <c r="H426" s="29"/>
      <c r="I426" s="29"/>
      <c r="J426" s="29"/>
      <c r="K426" s="29"/>
    </row>
    <row r="427" spans="4:11">
      <c r="D427" s="29"/>
      <c r="E427" s="29"/>
      <c r="F427" s="29"/>
      <c r="G427" s="29"/>
      <c r="H427" s="29"/>
      <c r="I427" s="29"/>
      <c r="J427" s="29"/>
      <c r="K427" s="29"/>
    </row>
    <row r="428" spans="4:11">
      <c r="D428" s="29"/>
      <c r="E428" s="29"/>
      <c r="F428" s="29"/>
      <c r="G428" s="29"/>
      <c r="H428" s="29"/>
      <c r="I428" s="29"/>
      <c r="J428" s="29"/>
      <c r="K428" s="29"/>
    </row>
    <row r="429" spans="4:11">
      <c r="D429" s="29"/>
      <c r="E429" s="29"/>
      <c r="F429" s="29"/>
      <c r="G429" s="29"/>
      <c r="H429" s="29"/>
      <c r="I429" s="29"/>
      <c r="J429" s="29"/>
      <c r="K429" s="29"/>
    </row>
    <row r="430" spans="4:11">
      <c r="D430" s="29"/>
      <c r="E430" s="29"/>
      <c r="F430" s="29"/>
      <c r="G430" s="29"/>
      <c r="H430" s="29"/>
      <c r="I430" s="29"/>
      <c r="J430" s="29"/>
      <c r="K430" s="29"/>
    </row>
    <row r="431" spans="4:11">
      <c r="D431" s="29"/>
      <c r="E431" s="29"/>
      <c r="F431" s="29"/>
      <c r="G431" s="29"/>
      <c r="H431" s="29"/>
      <c r="I431" s="29"/>
      <c r="J431" s="29"/>
      <c r="K431" s="29"/>
    </row>
    <row r="432" spans="4:11">
      <c r="D432" s="29"/>
      <c r="E432" s="29"/>
      <c r="F432" s="29"/>
      <c r="G432" s="29"/>
      <c r="H432" s="29"/>
      <c r="I432" s="29"/>
      <c r="J432" s="29"/>
      <c r="K432" s="29"/>
    </row>
    <row r="433" spans="4:11">
      <c r="D433" s="29"/>
      <c r="E433" s="29"/>
      <c r="F433" s="29"/>
      <c r="G433" s="29"/>
      <c r="H433" s="29"/>
      <c r="I433" s="29"/>
      <c r="J433" s="29"/>
      <c r="K433" s="29"/>
    </row>
    <row r="434" spans="4:11">
      <c r="D434" s="29"/>
      <c r="E434" s="29"/>
      <c r="F434" s="29"/>
      <c r="G434" s="29"/>
      <c r="H434" s="29"/>
      <c r="I434" s="29"/>
      <c r="J434" s="29"/>
      <c r="K434" s="29"/>
    </row>
    <row r="435" spans="4:11">
      <c r="D435" s="29"/>
      <c r="E435" s="29"/>
      <c r="F435" s="29"/>
      <c r="G435" s="29"/>
      <c r="H435" s="29"/>
      <c r="I435" s="29"/>
      <c r="J435" s="29"/>
      <c r="K435" s="29"/>
    </row>
    <row r="436" spans="4:11">
      <c r="D436" s="29"/>
      <c r="E436" s="29"/>
      <c r="F436" s="29"/>
      <c r="G436" s="29"/>
      <c r="H436" s="29"/>
      <c r="I436" s="29"/>
      <c r="J436" s="29"/>
      <c r="K436" s="29"/>
    </row>
    <row r="437" spans="4:11">
      <c r="D437" s="29"/>
      <c r="E437" s="29"/>
      <c r="F437" s="29"/>
      <c r="G437" s="29"/>
      <c r="H437" s="29"/>
      <c r="I437" s="29"/>
      <c r="J437" s="29"/>
      <c r="K437" s="29"/>
    </row>
    <row r="438" spans="4:11">
      <c r="D438" s="29"/>
      <c r="E438" s="29"/>
      <c r="F438" s="29"/>
      <c r="G438" s="29"/>
      <c r="H438" s="29"/>
      <c r="I438" s="29"/>
      <c r="J438" s="29"/>
      <c r="K438" s="29"/>
    </row>
    <row r="439" spans="4:11">
      <c r="D439" s="29"/>
      <c r="E439" s="29"/>
      <c r="F439" s="29"/>
      <c r="G439" s="29"/>
      <c r="H439" s="29"/>
      <c r="I439" s="29"/>
      <c r="J439" s="29"/>
      <c r="K439" s="29"/>
    </row>
    <row r="440" spans="4:11">
      <c r="D440" s="29"/>
      <c r="E440" s="29"/>
      <c r="F440" s="29"/>
      <c r="G440" s="29"/>
      <c r="H440" s="29"/>
      <c r="I440" s="29"/>
      <c r="J440" s="29"/>
      <c r="K440" s="29"/>
    </row>
    <row r="441" spans="4:11">
      <c r="D441" s="29"/>
      <c r="E441" s="29"/>
      <c r="F441" s="29"/>
      <c r="G441" s="29"/>
      <c r="H441" s="29"/>
      <c r="I441" s="29"/>
      <c r="J441" s="29"/>
      <c r="K441" s="29"/>
    </row>
    <row r="442" spans="4:11">
      <c r="D442" s="29"/>
      <c r="E442" s="29"/>
      <c r="F442" s="29"/>
      <c r="G442" s="29"/>
      <c r="H442" s="29"/>
      <c r="I442" s="29"/>
      <c r="J442" s="29"/>
      <c r="K442" s="29"/>
    </row>
    <row r="443" spans="4:11">
      <c r="D443" s="29"/>
      <c r="E443" s="29"/>
      <c r="F443" s="29"/>
      <c r="G443" s="29"/>
      <c r="H443" s="29"/>
      <c r="I443" s="29"/>
      <c r="J443" s="29"/>
      <c r="K443" s="29"/>
    </row>
    <row r="444" spans="4:11">
      <c r="D444" s="29"/>
      <c r="E444" s="29"/>
      <c r="F444" s="29"/>
      <c r="G444" s="29"/>
      <c r="H444" s="29"/>
      <c r="I444" s="29"/>
      <c r="J444" s="29"/>
      <c r="K444" s="29"/>
    </row>
    <row r="445" spans="4:11">
      <c r="D445" s="29"/>
      <c r="E445" s="29"/>
      <c r="F445" s="29"/>
      <c r="G445" s="29"/>
      <c r="H445" s="29"/>
      <c r="I445" s="29"/>
      <c r="J445" s="29"/>
      <c r="K445" s="29"/>
    </row>
    <row r="446" spans="4:11">
      <c r="D446" s="29"/>
      <c r="E446" s="29"/>
      <c r="F446" s="29"/>
      <c r="G446" s="29"/>
      <c r="H446" s="29"/>
      <c r="I446" s="29"/>
      <c r="J446" s="29"/>
      <c r="K446" s="29"/>
    </row>
    <row r="447" spans="4:11">
      <c r="D447" s="29"/>
      <c r="E447" s="29"/>
      <c r="F447" s="29"/>
      <c r="G447" s="29"/>
      <c r="H447" s="29"/>
      <c r="I447" s="29"/>
      <c r="J447" s="29"/>
      <c r="K447" s="29"/>
    </row>
    <row r="448" spans="4:11">
      <c r="D448" s="29"/>
      <c r="E448" s="29"/>
      <c r="F448" s="29"/>
      <c r="G448" s="29"/>
      <c r="H448" s="29"/>
      <c r="I448" s="29"/>
      <c r="J448" s="29"/>
      <c r="K448" s="29"/>
    </row>
    <row r="449" spans="4:11">
      <c r="D449" s="29"/>
      <c r="E449" s="29"/>
      <c r="F449" s="29"/>
      <c r="G449" s="29"/>
      <c r="H449" s="29"/>
      <c r="I449" s="29"/>
      <c r="J449" s="29"/>
      <c r="K449" s="29"/>
    </row>
    <row r="450" spans="4:11">
      <c r="D450" s="29"/>
      <c r="E450" s="29"/>
      <c r="F450" s="29"/>
      <c r="G450" s="29"/>
      <c r="H450" s="29"/>
      <c r="I450" s="29"/>
      <c r="J450" s="29"/>
      <c r="K450" s="29"/>
    </row>
    <row r="451" spans="4:11">
      <c r="D451" s="29"/>
      <c r="E451" s="29"/>
      <c r="F451" s="29"/>
      <c r="G451" s="29"/>
      <c r="H451" s="29"/>
      <c r="I451" s="29"/>
      <c r="J451" s="29"/>
      <c r="K451" s="29"/>
    </row>
    <row r="452" spans="4:11">
      <c r="D452" s="29"/>
      <c r="E452" s="29"/>
      <c r="F452" s="29"/>
      <c r="G452" s="29"/>
      <c r="H452" s="29"/>
      <c r="I452" s="29"/>
      <c r="J452" s="29"/>
      <c r="K452" s="29"/>
    </row>
    <row r="453" spans="4:11">
      <c r="D453" s="29"/>
      <c r="E453" s="29"/>
      <c r="F453" s="29"/>
      <c r="G453" s="29"/>
      <c r="H453" s="29"/>
      <c r="I453" s="29"/>
      <c r="J453" s="29"/>
      <c r="K453" s="29"/>
    </row>
    <row r="454" spans="4:11">
      <c r="D454" s="29"/>
      <c r="E454" s="29"/>
      <c r="F454" s="29"/>
      <c r="G454" s="29"/>
      <c r="H454" s="29"/>
      <c r="I454" s="29"/>
      <c r="J454" s="29"/>
      <c r="K454" s="29"/>
    </row>
    <row r="455" spans="4:11">
      <c r="D455" s="29"/>
      <c r="E455" s="29"/>
      <c r="F455" s="29"/>
      <c r="G455" s="29"/>
      <c r="H455" s="29"/>
      <c r="I455" s="29"/>
      <c r="J455" s="29"/>
      <c r="K455" s="29"/>
    </row>
    <row r="456" spans="4:11">
      <c r="D456" s="29"/>
      <c r="E456" s="29"/>
      <c r="F456" s="29"/>
      <c r="G456" s="29"/>
      <c r="H456" s="29"/>
      <c r="I456" s="29"/>
      <c r="J456" s="29"/>
      <c r="K456" s="29"/>
    </row>
    <row r="457" spans="4:11">
      <c r="D457" s="29"/>
      <c r="E457" s="29"/>
      <c r="F457" s="29"/>
      <c r="G457" s="29"/>
      <c r="H457" s="29"/>
      <c r="I457" s="29"/>
      <c r="J457" s="29"/>
      <c r="K457" s="29"/>
    </row>
    <row r="458" spans="4:11">
      <c r="D458" s="29"/>
      <c r="E458" s="29"/>
      <c r="F458" s="29"/>
      <c r="G458" s="29"/>
      <c r="H458" s="29"/>
      <c r="I458" s="29"/>
      <c r="J458" s="29"/>
      <c r="K458" s="29"/>
    </row>
    <row r="459" spans="4:11">
      <c r="D459" s="29"/>
      <c r="E459" s="29"/>
      <c r="F459" s="29"/>
      <c r="G459" s="29"/>
      <c r="H459" s="29"/>
      <c r="I459" s="29"/>
      <c r="J459" s="29"/>
      <c r="K459" s="29"/>
    </row>
    <row r="460" spans="4:11">
      <c r="D460" s="29"/>
      <c r="E460" s="29"/>
      <c r="F460" s="29"/>
      <c r="G460" s="29"/>
      <c r="H460" s="29"/>
      <c r="I460" s="29"/>
      <c r="J460" s="29"/>
      <c r="K460" s="29"/>
    </row>
    <row r="461" spans="4:11">
      <c r="D461" s="29"/>
      <c r="E461" s="29"/>
      <c r="F461" s="29"/>
      <c r="G461" s="29"/>
      <c r="H461" s="29"/>
      <c r="I461" s="29"/>
      <c r="J461" s="29"/>
      <c r="K461" s="29"/>
    </row>
    <row r="462" spans="4:11">
      <c r="D462" s="29"/>
      <c r="E462" s="29"/>
      <c r="F462" s="29"/>
      <c r="G462" s="29"/>
      <c r="H462" s="29"/>
      <c r="I462" s="29"/>
      <c r="J462" s="29"/>
      <c r="K462" s="29"/>
    </row>
    <row r="463" spans="4:11">
      <c r="D463" s="29"/>
      <c r="E463" s="29"/>
      <c r="F463" s="29"/>
      <c r="G463" s="29"/>
      <c r="H463" s="29"/>
      <c r="I463" s="29"/>
      <c r="J463" s="29"/>
      <c r="K463" s="29"/>
    </row>
    <row r="464" spans="4:11">
      <c r="D464" s="29"/>
      <c r="E464" s="29"/>
      <c r="F464" s="29"/>
      <c r="G464" s="29"/>
      <c r="H464" s="29"/>
      <c r="I464" s="29"/>
      <c r="J464" s="29"/>
      <c r="K464" s="29"/>
    </row>
    <row r="465" spans="4:11">
      <c r="D465" s="29"/>
      <c r="E465" s="29"/>
      <c r="F465" s="29"/>
      <c r="G465" s="29"/>
      <c r="H465" s="29"/>
      <c r="I465" s="29"/>
      <c r="J465" s="29"/>
      <c r="K465" s="29"/>
    </row>
    <row r="466" spans="4:11">
      <c r="D466" s="29"/>
      <c r="E466" s="29"/>
      <c r="F466" s="29"/>
      <c r="G466" s="29"/>
      <c r="H466" s="29"/>
      <c r="I466" s="29"/>
      <c r="J466" s="29"/>
      <c r="K466" s="29"/>
    </row>
    <row r="467" spans="4:11">
      <c r="D467" s="29"/>
      <c r="E467" s="29"/>
      <c r="F467" s="29"/>
      <c r="G467" s="29"/>
      <c r="H467" s="29"/>
      <c r="I467" s="29"/>
      <c r="J467" s="29"/>
      <c r="K467" s="29"/>
    </row>
    <row r="468" spans="4:11">
      <c r="D468" s="29"/>
      <c r="E468" s="29"/>
      <c r="F468" s="29"/>
      <c r="G468" s="29"/>
      <c r="H468" s="29"/>
      <c r="I468" s="29"/>
      <c r="J468" s="29"/>
      <c r="K468" s="29"/>
    </row>
  </sheetData>
  <mergeCells count="32">
    <mergeCell ref="D260:F260"/>
    <mergeCell ref="H260:J260"/>
    <mergeCell ref="D236:F236"/>
    <mergeCell ref="H236:J236"/>
    <mergeCell ref="D86:F86"/>
    <mergeCell ref="H86:J86"/>
    <mergeCell ref="D61:F61"/>
    <mergeCell ref="H61:J61"/>
    <mergeCell ref="D229:F229"/>
    <mergeCell ref="H229:J229"/>
    <mergeCell ref="D169:F169"/>
    <mergeCell ref="D182:F182"/>
    <mergeCell ref="H182:J182"/>
    <mergeCell ref="D190:F190"/>
    <mergeCell ref="D103:F103"/>
    <mergeCell ref="H103:J103"/>
    <mergeCell ref="H23:J23"/>
    <mergeCell ref="A1:K1"/>
    <mergeCell ref="A2:K2"/>
    <mergeCell ref="D6:F6"/>
    <mergeCell ref="H6:J6"/>
    <mergeCell ref="H13:J13"/>
    <mergeCell ref="D13:F13"/>
    <mergeCell ref="D23:F23"/>
    <mergeCell ref="D156:F156"/>
    <mergeCell ref="H156:J156"/>
    <mergeCell ref="D125:F125"/>
    <mergeCell ref="H125:J125"/>
    <mergeCell ref="D134:F134"/>
    <mergeCell ref="H134:J134"/>
    <mergeCell ref="D143:F143"/>
    <mergeCell ref="H143:J143"/>
  </mergeCells>
  <pageMargins left="0.74803149606299213" right="0.35433070866141736" top="0.6692913385826772" bottom="0.59055118110236227" header="0.51181102362204722" footer="0.31496062992125984"/>
  <pageSetup paperSize="9" scale="83" orientation="portrait" horizontalDpi="300" verticalDpi="300" r:id="rId1"/>
  <headerFooter alignWithMargins="0"/>
  <rowBreaks count="3" manualBreakCount="3">
    <brk id="52" max="10" man="1"/>
    <brk id="119" max="9" man="1"/>
    <brk id="185" max="11" man="1"/>
  </rowBreaks>
  <drawing r:id="rId2"/>
  <legacyDrawing r:id="rId3"/>
  <oleObjects>
    <mc:AlternateContent xmlns:mc="http://schemas.openxmlformats.org/markup-compatibility/2006">
      <mc:Choice Requires="x14">
        <oleObject progId="Word.Document.8" shapeId="1027" r:id="rId4">
          <objectPr defaultSize="0" autoPict="0" r:id="rId5">
            <anchor moveWithCells="1">
              <from>
                <xdr:col>1</xdr:col>
                <xdr:colOff>558800</xdr:colOff>
                <xdr:row>52</xdr:row>
                <xdr:rowOff>152400</xdr:rowOff>
              </from>
              <to>
                <xdr:col>9</xdr:col>
                <xdr:colOff>330200</xdr:colOff>
                <xdr:row>57</xdr:row>
                <xdr:rowOff>0</xdr:rowOff>
              </to>
            </anchor>
          </objectPr>
        </oleObject>
      </mc:Choice>
      <mc:Fallback>
        <oleObject progId="Word.Document.8" shapeId="102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 Steen-Nilsen</dc:creator>
  <cp:lastModifiedBy>Carina Negreanu</cp:lastModifiedBy>
  <cp:lastPrinted>2003-02-25T10:37:53Z</cp:lastPrinted>
  <dcterms:created xsi:type="dcterms:W3CDTF">2003-02-12T19:44:27Z</dcterms:created>
  <dcterms:modified xsi:type="dcterms:W3CDTF">2020-01-27T12:00:41Z</dcterms:modified>
</cp:coreProperties>
</file>