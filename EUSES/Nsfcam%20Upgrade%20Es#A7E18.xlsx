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51B3CF-8C74-42FE-BD11-2E31EEE8591C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F28" i="1"/>
  <c r="H29" i="1"/>
</calcChain>
</file>

<file path=xl/sharedStrings.xml><?xml version="1.0" encoding="utf-8"?>
<sst xmlns="http://schemas.openxmlformats.org/spreadsheetml/2006/main" count="83" uniqueCount="65">
  <si>
    <t>Radiation Shield</t>
  </si>
  <si>
    <t>Closed Cycle Cooler</t>
  </si>
  <si>
    <t>Cvf Housing</t>
  </si>
  <si>
    <t>Cvf Wheel</t>
  </si>
  <si>
    <t>Nsfcam 2K Upgrade</t>
  </si>
  <si>
    <t>Preamp Box</t>
  </si>
  <si>
    <t>Assembly Name</t>
  </si>
  <si>
    <t>Yes</t>
  </si>
  <si>
    <t>Cold Structure Turret Cell</t>
  </si>
  <si>
    <t>Lens Turret And Drive</t>
  </si>
  <si>
    <t>Dichroic Turret And Drive</t>
  </si>
  <si>
    <t>Ray Traces</t>
  </si>
  <si>
    <t>For Ref Only</t>
  </si>
  <si>
    <t>For Ref. Only</t>
  </si>
  <si>
    <t>Fit to New Vacuum Jacket</t>
  </si>
  <si>
    <t>Lens Cell Assemblies</t>
  </si>
  <si>
    <t>N</t>
  </si>
  <si>
    <t>Y</t>
  </si>
  <si>
    <t>Fit New Lens Cell Assemblies,Drive</t>
  </si>
  <si>
    <t xml:space="preserve">New </t>
  </si>
  <si>
    <t>Change Drive due to New VJ</t>
  </si>
  <si>
    <t>Thermal Straps 2K Array</t>
  </si>
  <si>
    <t xml:space="preserve">Required </t>
  </si>
  <si>
    <t>E.B.Weld vs Plate Constr.</t>
  </si>
  <si>
    <t>Array Mount Old</t>
  </si>
  <si>
    <t>1050 CTI, (needed?)</t>
  </si>
  <si>
    <t xml:space="preserve"> And Drive</t>
  </si>
  <si>
    <t>Filter Wheel And Drive</t>
  </si>
  <si>
    <t>Dichroic moves up ~ 3 inch</t>
  </si>
  <si>
    <t>Design 2 identical Lens Assys</t>
  </si>
  <si>
    <t>Redesign for 2K Array</t>
  </si>
  <si>
    <t>Nsfcam Interface</t>
  </si>
  <si>
    <t>Comments on Change/New</t>
  </si>
  <si>
    <t>Options and Comments</t>
  </si>
  <si>
    <t>Focal Plane Wheel, FPW</t>
  </si>
  <si>
    <t>Vacuum Jacket ,VJ</t>
  </si>
  <si>
    <t xml:space="preserve">Optics </t>
  </si>
  <si>
    <t>Due to Nsfcam 2K Upgrade (Array Mt)</t>
  </si>
  <si>
    <t>Extend (modify) existing Rad. Shield</t>
  </si>
  <si>
    <t>Possibility of using Old Mount</t>
  </si>
  <si>
    <t>Total Design/Detailing (no options)</t>
  </si>
  <si>
    <t>New FPW to Nsfcam Upgrade</t>
  </si>
  <si>
    <t>Additional Comments:</t>
  </si>
  <si>
    <t>1) The Vacuum Jacket has to be rebuilt/redesigned because of the new position for the Dichroic</t>
  </si>
  <si>
    <t xml:space="preserve"> 2 New Lens Cell Assys, no FPW</t>
  </si>
  <si>
    <t>Cold Mass Support</t>
  </si>
  <si>
    <t>Relocate shear webs closer to CofG</t>
  </si>
  <si>
    <t>Redesign Dewar for V-Trusses</t>
  </si>
  <si>
    <t>2) The Thermal Clamp will be removed. The available space can be used for the new FPW</t>
  </si>
  <si>
    <t>3) If a 1050 CTI is required for cooling, the CCC Box will have to be redesigned (incls in 160hrs)</t>
  </si>
  <si>
    <t>7) We may want to change to Animatics Motors. Only Fabrication time will be needed.</t>
  </si>
  <si>
    <t>4) Only selected parts of Nsfcam have been modeled in I-deas, time for further modeling is not included</t>
  </si>
  <si>
    <t>5) This estimate also includes the Detail Drawings</t>
  </si>
  <si>
    <t>6) A  preliminary estimate for Fabrication is about 1/3 to 1/2 of Design/Detailing Times</t>
  </si>
  <si>
    <t>Design New Radiation Shield</t>
  </si>
  <si>
    <t>Wollaston Prism in CVF Wheel</t>
  </si>
  <si>
    <t>Chng</t>
  </si>
  <si>
    <t>Modify Rockwell Array Mt</t>
  </si>
  <si>
    <t>eliminate making 2 Lens Cell Assys</t>
  </si>
  <si>
    <t>Ds/Dt Hrs</t>
  </si>
  <si>
    <t>1 LensCell+fix Turret (with FPW)</t>
  </si>
  <si>
    <t>Due to new location of Dichroic</t>
  </si>
  <si>
    <t>Total Ds/Dt (w.options)</t>
  </si>
  <si>
    <t>Ds/Dt Hrs (Opt)</t>
  </si>
  <si>
    <t>Mechanical Design &amp; Detail Estimates for NSFCAM2, with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</si>
</sst>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A3" sqref="A3"/>
    </sheetView>
  </sheetViews>
  <sheetFormatPr defaultRowHeight="12.5" x14ac:dyDescent="0.25"/>
  <cols>
    <col min="2" max="2" width="12.453125" customWidth="1"/>
    <col min="3" max="3" width="4.54296875" customWidth="1"/>
    <col min="4" max="4" width="4.453125" customWidth="1"/>
    <col min="5" max="5" width="31.6328125" customWidth="1"/>
    <col min="6" max="6" width="9.08984375" customWidth="1"/>
    <col min="7" max="7" width="27.1796875" customWidth="1"/>
    <col min="8" max="8" width="14.36328125" customWidth="1"/>
  </cols>
  <sheetData>
    <row r="1" spans="1:8" ht="18" x14ac:dyDescent="0.4">
      <c r="A1" s="1"/>
    </row>
    <row r="3" spans="1:8" ht="23" x14ac:dyDescent="0.5">
      <c r="A3" s="13" t="s">
        <v>64</v>
      </c>
    </row>
    <row r="4" spans="1:8" x14ac:dyDescent="0.25">
      <c r="A4" s="2">
        <f>DATE(2002,4,9)</f>
        <v>37355</v>
      </c>
    </row>
    <row r="5" spans="1:8" ht="17.5" x14ac:dyDescent="0.35">
      <c r="C5" s="4"/>
      <c r="D5" s="4"/>
      <c r="G5" s="4"/>
    </row>
    <row r="6" spans="1:8" ht="13" x14ac:dyDescent="0.3">
      <c r="A6" s="5" t="s">
        <v>6</v>
      </c>
      <c r="C6" s="7" t="s">
        <v>56</v>
      </c>
      <c r="D6" s="11" t="s">
        <v>19</v>
      </c>
      <c r="E6" s="11" t="s">
        <v>32</v>
      </c>
      <c r="F6" s="11" t="s">
        <v>59</v>
      </c>
      <c r="G6" s="11" t="s">
        <v>33</v>
      </c>
      <c r="H6" s="11" t="s">
        <v>63</v>
      </c>
    </row>
    <row r="7" spans="1:8" ht="13" x14ac:dyDescent="0.3">
      <c r="A7" s="5"/>
      <c r="C7" s="6"/>
      <c r="D7" s="6"/>
      <c r="E7" s="5"/>
      <c r="F7" s="5"/>
      <c r="G7" s="6"/>
      <c r="H7" s="5"/>
    </row>
    <row r="8" spans="1:8" ht="13" x14ac:dyDescent="0.3">
      <c r="A8" s="8" t="s">
        <v>24</v>
      </c>
      <c r="C8" s="10" t="s">
        <v>16</v>
      </c>
      <c r="D8" s="10"/>
      <c r="E8" s="8" t="s">
        <v>13</v>
      </c>
      <c r="F8" s="9"/>
      <c r="G8" s="10"/>
      <c r="H8" s="5"/>
    </row>
    <row r="9" spans="1:8" x14ac:dyDescent="0.25">
      <c r="A9" t="s">
        <v>1</v>
      </c>
      <c r="C9" t="s">
        <v>17</v>
      </c>
      <c r="E9" t="s">
        <v>14</v>
      </c>
      <c r="F9" s="12">
        <v>80</v>
      </c>
      <c r="G9" t="s">
        <v>25</v>
      </c>
      <c r="H9" s="12">
        <v>160</v>
      </c>
    </row>
    <row r="10" spans="1:8" x14ac:dyDescent="0.25">
      <c r="A10" t="s">
        <v>8</v>
      </c>
      <c r="C10" t="s">
        <v>17</v>
      </c>
      <c r="E10" t="s">
        <v>44</v>
      </c>
      <c r="F10" s="12">
        <v>160</v>
      </c>
      <c r="G10" t="s">
        <v>60</v>
      </c>
      <c r="H10" s="12">
        <v>80</v>
      </c>
    </row>
    <row r="11" spans="1:8" x14ac:dyDescent="0.25">
      <c r="A11" t="s">
        <v>2</v>
      </c>
      <c r="C11" t="s">
        <v>16</v>
      </c>
      <c r="F11" s="12"/>
    </row>
    <row r="12" spans="1:8" x14ac:dyDescent="0.25">
      <c r="A12" t="s">
        <v>3</v>
      </c>
      <c r="B12" t="s">
        <v>26</v>
      </c>
      <c r="C12" t="s">
        <v>17</v>
      </c>
      <c r="E12" t="s">
        <v>20</v>
      </c>
      <c r="F12" s="12">
        <v>80</v>
      </c>
    </row>
    <row r="13" spans="1:8" x14ac:dyDescent="0.25">
      <c r="A13" t="s">
        <v>10</v>
      </c>
      <c r="C13" t="s">
        <v>17</v>
      </c>
      <c r="E13" t="s">
        <v>28</v>
      </c>
      <c r="F13" s="12">
        <v>160</v>
      </c>
    </row>
    <row r="14" spans="1:8" x14ac:dyDescent="0.25">
      <c r="A14" t="s">
        <v>27</v>
      </c>
      <c r="C14" t="s">
        <v>17</v>
      </c>
      <c r="E14" t="s">
        <v>20</v>
      </c>
      <c r="F14" s="12">
        <v>80</v>
      </c>
      <c r="G14" t="s">
        <v>55</v>
      </c>
      <c r="H14" s="12">
        <v>60</v>
      </c>
    </row>
    <row r="15" spans="1:8" x14ac:dyDescent="0.25">
      <c r="A15" t="s">
        <v>34</v>
      </c>
      <c r="D15" t="s">
        <v>7</v>
      </c>
      <c r="E15" t="s">
        <v>58</v>
      </c>
      <c r="F15" s="12"/>
      <c r="G15" t="s">
        <v>41</v>
      </c>
      <c r="H15" s="12">
        <v>160</v>
      </c>
    </row>
    <row r="16" spans="1:8" x14ac:dyDescent="0.25">
      <c r="A16" t="s">
        <v>15</v>
      </c>
      <c r="D16" t="s">
        <v>7</v>
      </c>
      <c r="E16" t="s">
        <v>29</v>
      </c>
      <c r="F16" s="12">
        <v>120</v>
      </c>
    </row>
    <row r="17" spans="1:8" x14ac:dyDescent="0.25">
      <c r="A17" t="s">
        <v>9</v>
      </c>
      <c r="C17" t="s">
        <v>17</v>
      </c>
      <c r="E17" t="s">
        <v>18</v>
      </c>
      <c r="F17" s="12">
        <v>160</v>
      </c>
    </row>
    <row r="18" spans="1:8" x14ac:dyDescent="0.25">
      <c r="A18" t="s">
        <v>4</v>
      </c>
      <c r="D18" t="s">
        <v>7</v>
      </c>
      <c r="E18" t="s">
        <v>57</v>
      </c>
      <c r="F18" s="12">
        <v>100</v>
      </c>
    </row>
    <row r="19" spans="1:8" x14ac:dyDescent="0.25">
      <c r="A19" t="s">
        <v>36</v>
      </c>
      <c r="C19" t="s">
        <v>16</v>
      </c>
      <c r="E19" t="s">
        <v>13</v>
      </c>
      <c r="F19" s="12"/>
    </row>
    <row r="20" spans="1:8" x14ac:dyDescent="0.25">
      <c r="A20" t="s">
        <v>5</v>
      </c>
      <c r="D20" t="s">
        <v>7</v>
      </c>
      <c r="E20" t="s">
        <v>37</v>
      </c>
      <c r="F20" s="12">
        <v>80</v>
      </c>
      <c r="G20" s="3"/>
    </row>
    <row r="21" spans="1:8" x14ac:dyDescent="0.25">
      <c r="A21" t="s">
        <v>0</v>
      </c>
      <c r="C21" t="s">
        <v>17</v>
      </c>
      <c r="E21" t="s">
        <v>38</v>
      </c>
      <c r="F21" s="12">
        <v>120</v>
      </c>
      <c r="G21" t="s">
        <v>54</v>
      </c>
      <c r="H21" s="12">
        <v>160</v>
      </c>
    </row>
    <row r="22" spans="1:8" x14ac:dyDescent="0.25">
      <c r="A22" t="s">
        <v>11</v>
      </c>
      <c r="C22" t="s">
        <v>17</v>
      </c>
      <c r="E22" t="s">
        <v>12</v>
      </c>
      <c r="F22" s="12"/>
    </row>
    <row r="23" spans="1:8" x14ac:dyDescent="0.25">
      <c r="A23" t="s">
        <v>21</v>
      </c>
      <c r="C23" t="s">
        <v>17</v>
      </c>
      <c r="E23" t="s">
        <v>30</v>
      </c>
      <c r="F23" s="12">
        <v>120</v>
      </c>
    </row>
    <row r="24" spans="1:8" x14ac:dyDescent="0.25">
      <c r="A24" t="s">
        <v>31</v>
      </c>
      <c r="D24" t="s">
        <v>7</v>
      </c>
      <c r="E24" t="s">
        <v>22</v>
      </c>
      <c r="F24" s="12">
        <v>80</v>
      </c>
      <c r="G24" t="s">
        <v>39</v>
      </c>
    </row>
    <row r="25" spans="1:8" x14ac:dyDescent="0.25">
      <c r="A25" t="s">
        <v>35</v>
      </c>
      <c r="D25" t="s">
        <v>7</v>
      </c>
      <c r="E25" t="s">
        <v>61</v>
      </c>
      <c r="F25" s="12">
        <v>160</v>
      </c>
      <c r="G25" t="s">
        <v>23</v>
      </c>
    </row>
    <row r="26" spans="1:8" x14ac:dyDescent="0.25">
      <c r="A26" t="s">
        <v>45</v>
      </c>
      <c r="C26" t="s">
        <v>17</v>
      </c>
      <c r="E26" t="s">
        <v>46</v>
      </c>
      <c r="F26">
        <v>20</v>
      </c>
      <c r="G26" t="s">
        <v>47</v>
      </c>
      <c r="H26">
        <v>40</v>
      </c>
    </row>
    <row r="28" spans="1:8" ht="13" x14ac:dyDescent="0.3">
      <c r="E28" s="5" t="s">
        <v>40</v>
      </c>
      <c r="F28" s="6">
        <f>SUM(F8:F26)</f>
        <v>1520</v>
      </c>
    </row>
    <row r="29" spans="1:8" ht="13" x14ac:dyDescent="0.3">
      <c r="G29" s="5" t="s">
        <v>62</v>
      </c>
      <c r="H29" s="5">
        <f>SUM(H9,H10,F12,F13,F14,H14,H15,F16,F17,F18,F20,H21,F23,F24,F25,F26)</f>
        <v>1780</v>
      </c>
    </row>
    <row r="30" spans="1:8" ht="13" x14ac:dyDescent="0.3">
      <c r="A30" s="5"/>
    </row>
    <row r="31" spans="1:8" x14ac:dyDescent="0.25">
      <c r="A31" t="s">
        <v>42</v>
      </c>
    </row>
    <row r="32" spans="1:8" x14ac:dyDescent="0.25">
      <c r="A32" t="s">
        <v>43</v>
      </c>
      <c r="C32" s="3"/>
      <c r="D32" s="3"/>
      <c r="G32" s="3"/>
    </row>
    <row r="33" spans="1:7" x14ac:dyDescent="0.25">
      <c r="A33" t="s">
        <v>48</v>
      </c>
      <c r="C33" s="3"/>
      <c r="D33" s="3"/>
      <c r="G33" s="3"/>
    </row>
    <row r="34" spans="1:7" x14ac:dyDescent="0.25">
      <c r="A34" t="s">
        <v>49</v>
      </c>
      <c r="C34" s="3"/>
      <c r="D34" s="3"/>
      <c r="G34" s="3"/>
    </row>
    <row r="35" spans="1:7" x14ac:dyDescent="0.25">
      <c r="A35" t="s">
        <v>51</v>
      </c>
    </row>
    <row r="36" spans="1:7" x14ac:dyDescent="0.25">
      <c r="A36" t="s">
        <v>52</v>
      </c>
      <c r="G36" s="3"/>
    </row>
    <row r="37" spans="1:7" x14ac:dyDescent="0.25">
      <c r="A37" t="s">
        <v>53</v>
      </c>
    </row>
    <row r="38" spans="1:7" x14ac:dyDescent="0.25">
      <c r="A38" t="s">
        <v>50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NASA IRTF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 Stahlberger</dc:creator>
  <cp:lastModifiedBy>Carina Negreanu</cp:lastModifiedBy>
  <dcterms:created xsi:type="dcterms:W3CDTF">2002-03-21T19:28:09Z</dcterms:created>
  <dcterms:modified xsi:type="dcterms:W3CDTF">2020-01-27T11:55:57Z</dcterms:modified>
</cp:coreProperties>
</file>