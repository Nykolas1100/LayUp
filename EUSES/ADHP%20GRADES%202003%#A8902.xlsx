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35EA545-BB81-4A61-81AE-74A19605D10C}" xr6:coauthVersionLast="45" xr6:coauthVersionMax="45" xr10:uidLastSave="{00000000-0000-0000-0000-000000000000}"/>
  <bookViews>
    <workbookView xWindow="3420" yWindow="3420" windowWidth="28800" windowHeight="15460"/>
  </bookViews>
  <sheets>
    <sheet name="oveall gpa" sheetId="1" r:id="rId1"/>
    <sheet name="Sheet2" sheetId="2" r:id="rId2"/>
    <sheet name="distribution" sheetId="3" r:id="rId3"/>
  </sheets>
  <definedNames>
    <definedName name="_xlnm.Print_Area" localSheetId="0">'oveall gpa'!$B$1:$J$1010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40" i="3" l="1"/>
  <c r="C40" i="3" s="1"/>
  <c r="C39" i="3"/>
  <c r="C38" i="3"/>
  <c r="C37" i="3"/>
  <c r="C36" i="3"/>
  <c r="C35" i="3"/>
  <c r="C34" i="3"/>
  <c r="C33" i="3"/>
  <c r="C32" i="3"/>
  <c r="C31" i="3"/>
  <c r="B1010" i="1"/>
  <c r="B1009" i="1"/>
  <c r="B1008" i="1"/>
  <c r="B1005" i="1"/>
  <c r="B1004" i="1"/>
  <c r="B1003" i="1"/>
  <c r="B1000" i="1"/>
  <c r="B999" i="1"/>
  <c r="B998" i="1"/>
  <c r="B995" i="1"/>
  <c r="B994" i="1"/>
  <c r="B993" i="1"/>
  <c r="B990" i="1"/>
  <c r="B989" i="1"/>
  <c r="B988" i="1"/>
  <c r="B985" i="1"/>
  <c r="B984" i="1"/>
  <c r="B983" i="1"/>
  <c r="B980" i="1"/>
  <c r="B979" i="1"/>
  <c r="B978" i="1"/>
  <c r="B975" i="1"/>
  <c r="B974" i="1"/>
  <c r="B973" i="1"/>
  <c r="B970" i="1"/>
  <c r="B969" i="1"/>
  <c r="B968" i="1"/>
  <c r="B965" i="1"/>
  <c r="B964" i="1"/>
  <c r="B963" i="1"/>
  <c r="B960" i="1"/>
  <c r="B959" i="1"/>
  <c r="B958" i="1"/>
  <c r="B955" i="1"/>
  <c r="B954" i="1"/>
  <c r="B953" i="1"/>
  <c r="B950" i="1"/>
  <c r="B949" i="1"/>
  <c r="B948" i="1"/>
  <c r="B945" i="1"/>
  <c r="B944" i="1"/>
  <c r="B943" i="1"/>
  <c r="B940" i="1"/>
  <c r="B939" i="1"/>
  <c r="B938" i="1"/>
  <c r="B935" i="1"/>
  <c r="B934" i="1"/>
  <c r="B933" i="1"/>
  <c r="B930" i="1"/>
  <c r="B929" i="1"/>
  <c r="B928" i="1"/>
  <c r="B925" i="1"/>
  <c r="B924" i="1"/>
  <c r="B923" i="1"/>
  <c r="B920" i="1"/>
  <c r="B919" i="1"/>
  <c r="B918" i="1"/>
  <c r="B915" i="1"/>
  <c r="B914" i="1"/>
  <c r="B913" i="1"/>
  <c r="B910" i="1"/>
  <c r="B909" i="1"/>
  <c r="B908" i="1"/>
  <c r="B905" i="1"/>
  <c r="B904" i="1"/>
  <c r="B903" i="1"/>
  <c r="B900" i="1"/>
  <c r="B899" i="1"/>
  <c r="B898" i="1"/>
  <c r="B895" i="1"/>
  <c r="B894" i="1"/>
  <c r="B893" i="1"/>
  <c r="B890" i="1"/>
  <c r="B889" i="1"/>
  <c r="B888" i="1"/>
  <c r="B885" i="1"/>
  <c r="B884" i="1"/>
  <c r="B883" i="1"/>
  <c r="B880" i="1"/>
  <c r="B879" i="1"/>
  <c r="B878" i="1"/>
  <c r="B875" i="1"/>
  <c r="B874" i="1"/>
  <c r="B873" i="1"/>
  <c r="B870" i="1"/>
  <c r="B869" i="1"/>
  <c r="B868" i="1"/>
  <c r="B865" i="1"/>
  <c r="B864" i="1"/>
  <c r="B863" i="1"/>
  <c r="B860" i="1"/>
  <c r="B859" i="1"/>
  <c r="B858" i="1"/>
  <c r="B855" i="1"/>
  <c r="B854" i="1"/>
  <c r="B853" i="1"/>
  <c r="B850" i="1"/>
  <c r="B849" i="1"/>
  <c r="B848" i="1"/>
  <c r="B845" i="1"/>
  <c r="B844" i="1"/>
  <c r="B843" i="1"/>
  <c r="B840" i="1"/>
  <c r="B839" i="1"/>
  <c r="B838" i="1"/>
  <c r="B835" i="1"/>
  <c r="B834" i="1"/>
  <c r="B833" i="1"/>
  <c r="B830" i="1"/>
  <c r="B829" i="1"/>
  <c r="B828" i="1"/>
  <c r="B825" i="1"/>
  <c r="B824" i="1"/>
  <c r="B823" i="1"/>
  <c r="B820" i="1"/>
  <c r="B819" i="1"/>
  <c r="B818" i="1"/>
  <c r="B815" i="1"/>
  <c r="B814" i="1"/>
  <c r="B813" i="1"/>
  <c r="B810" i="1"/>
  <c r="B809" i="1"/>
  <c r="B808" i="1"/>
  <c r="B805" i="1"/>
  <c r="B804" i="1"/>
  <c r="B803" i="1"/>
  <c r="B800" i="1"/>
  <c r="B799" i="1"/>
  <c r="B798" i="1"/>
  <c r="B795" i="1"/>
  <c r="B794" i="1"/>
  <c r="B793" i="1"/>
  <c r="B790" i="1"/>
  <c r="B789" i="1"/>
  <c r="B788" i="1"/>
  <c r="B785" i="1"/>
  <c r="B784" i="1"/>
  <c r="B783" i="1"/>
  <c r="B780" i="1"/>
  <c r="B779" i="1"/>
  <c r="B778" i="1"/>
  <c r="B775" i="1"/>
  <c r="B774" i="1"/>
  <c r="B773" i="1"/>
  <c r="B770" i="1"/>
  <c r="B769" i="1"/>
  <c r="B768" i="1"/>
  <c r="B765" i="1"/>
  <c r="B764" i="1"/>
  <c r="B763" i="1"/>
  <c r="B760" i="1"/>
  <c r="B759" i="1"/>
  <c r="B758" i="1"/>
  <c r="B755" i="1"/>
  <c r="B754" i="1"/>
  <c r="B753" i="1"/>
  <c r="B750" i="1"/>
  <c r="B749" i="1"/>
  <c r="B748" i="1"/>
  <c r="B745" i="1"/>
  <c r="B744" i="1"/>
  <c r="B743" i="1"/>
  <c r="B740" i="1"/>
  <c r="B739" i="1"/>
  <c r="B738" i="1"/>
  <c r="B735" i="1"/>
  <c r="B734" i="1"/>
  <c r="B733" i="1"/>
  <c r="B730" i="1"/>
  <c r="B729" i="1"/>
  <c r="B728" i="1"/>
  <c r="B725" i="1"/>
  <c r="B724" i="1"/>
  <c r="B723" i="1"/>
  <c r="B720" i="1"/>
  <c r="B719" i="1"/>
  <c r="B718" i="1"/>
  <c r="B715" i="1"/>
  <c r="B714" i="1"/>
  <c r="B713" i="1"/>
  <c r="B710" i="1"/>
  <c r="B709" i="1"/>
  <c r="B708" i="1"/>
  <c r="B705" i="1"/>
  <c r="B704" i="1"/>
  <c r="B703" i="1"/>
  <c r="B700" i="1"/>
  <c r="B699" i="1"/>
  <c r="B698" i="1"/>
  <c r="B695" i="1"/>
  <c r="B694" i="1"/>
  <c r="B693" i="1"/>
  <c r="B690" i="1"/>
  <c r="B689" i="1"/>
  <c r="B688" i="1"/>
  <c r="B685" i="1"/>
  <c r="B684" i="1"/>
  <c r="B683" i="1"/>
  <c r="B680" i="1"/>
  <c r="B679" i="1"/>
  <c r="B678" i="1"/>
  <c r="B675" i="1"/>
  <c r="B674" i="1"/>
  <c r="B673" i="1"/>
  <c r="B670" i="1"/>
  <c r="B669" i="1"/>
  <c r="B668" i="1"/>
  <c r="B665" i="1"/>
  <c r="B664" i="1"/>
  <c r="B663" i="1"/>
  <c r="B660" i="1"/>
  <c r="B659" i="1"/>
  <c r="B658" i="1"/>
  <c r="B655" i="1"/>
  <c r="B654" i="1"/>
  <c r="B653" i="1"/>
  <c r="B650" i="1"/>
  <c r="B649" i="1"/>
  <c r="B648" i="1"/>
  <c r="B645" i="1"/>
  <c r="B644" i="1"/>
  <c r="B643" i="1"/>
  <c r="B640" i="1"/>
  <c r="B639" i="1"/>
  <c r="B638" i="1"/>
  <c r="B635" i="1"/>
  <c r="B634" i="1"/>
  <c r="B633" i="1"/>
  <c r="B630" i="1"/>
  <c r="B629" i="1"/>
  <c r="B628" i="1"/>
  <c r="B625" i="1"/>
  <c r="B624" i="1"/>
  <c r="B623" i="1"/>
  <c r="B620" i="1"/>
  <c r="B619" i="1"/>
  <c r="B618" i="1"/>
  <c r="B615" i="1"/>
  <c r="B614" i="1"/>
  <c r="B613" i="1"/>
  <c r="B610" i="1"/>
  <c r="B609" i="1"/>
  <c r="B608" i="1"/>
  <c r="B605" i="1"/>
  <c r="B604" i="1"/>
  <c r="B603" i="1"/>
  <c r="B600" i="1"/>
  <c r="B599" i="1"/>
  <c r="B598" i="1"/>
  <c r="B595" i="1"/>
  <c r="B594" i="1"/>
  <c r="B593" i="1"/>
  <c r="B590" i="1"/>
  <c r="B589" i="1"/>
  <c r="B588" i="1"/>
  <c r="B585" i="1"/>
  <c r="B584" i="1"/>
  <c r="B583" i="1"/>
  <c r="B580" i="1"/>
  <c r="B579" i="1"/>
  <c r="B578" i="1"/>
  <c r="B575" i="1"/>
  <c r="B574" i="1"/>
  <c r="B573" i="1"/>
  <c r="B570" i="1"/>
  <c r="B569" i="1"/>
  <c r="B568" i="1"/>
  <c r="B565" i="1"/>
  <c r="B564" i="1"/>
  <c r="B563" i="1"/>
  <c r="B560" i="1"/>
  <c r="B559" i="1"/>
  <c r="B558" i="1"/>
  <c r="B555" i="1"/>
  <c r="B554" i="1"/>
  <c r="B553" i="1"/>
  <c r="B550" i="1"/>
  <c r="B549" i="1"/>
  <c r="B548" i="1"/>
  <c r="B545" i="1"/>
  <c r="B544" i="1"/>
  <c r="B543" i="1"/>
  <c r="B540" i="1"/>
  <c r="B539" i="1"/>
  <c r="B538" i="1"/>
  <c r="B535" i="1"/>
  <c r="B534" i="1"/>
  <c r="B533" i="1"/>
  <c r="B530" i="1"/>
  <c r="B529" i="1"/>
  <c r="B528" i="1"/>
  <c r="B525" i="1"/>
  <c r="B524" i="1"/>
  <c r="B523" i="1"/>
  <c r="B520" i="1"/>
  <c r="B519" i="1"/>
  <c r="B518" i="1"/>
  <c r="B515" i="1"/>
  <c r="B514" i="1"/>
  <c r="B513" i="1"/>
  <c r="B510" i="1"/>
  <c r="B509" i="1"/>
  <c r="B508" i="1"/>
  <c r="B505" i="1"/>
  <c r="B504" i="1"/>
  <c r="B503" i="1"/>
  <c r="B500" i="1"/>
  <c r="B499" i="1"/>
  <c r="B498" i="1"/>
  <c r="B495" i="1"/>
  <c r="B494" i="1"/>
  <c r="B493" i="1"/>
  <c r="B490" i="1"/>
  <c r="B489" i="1"/>
  <c r="B488" i="1"/>
  <c r="B485" i="1"/>
  <c r="B484" i="1"/>
  <c r="B483" i="1"/>
  <c r="B480" i="1"/>
  <c r="B479" i="1"/>
  <c r="B478" i="1"/>
  <c r="B475" i="1"/>
  <c r="B474" i="1"/>
  <c r="B473" i="1"/>
  <c r="B470" i="1"/>
  <c r="B469" i="1"/>
  <c r="B468" i="1"/>
  <c r="B465" i="1"/>
  <c r="B464" i="1"/>
  <c r="B463" i="1"/>
  <c r="B460" i="1"/>
  <c r="B459" i="1"/>
  <c r="B458" i="1"/>
  <c r="B455" i="1"/>
  <c r="B454" i="1"/>
  <c r="B453" i="1"/>
  <c r="B450" i="1"/>
  <c r="B449" i="1"/>
  <c r="B448" i="1"/>
  <c r="B445" i="1"/>
  <c r="B444" i="1"/>
  <c r="B443" i="1"/>
  <c r="B440" i="1"/>
  <c r="B439" i="1"/>
  <c r="B438" i="1"/>
  <c r="B435" i="1"/>
  <c r="B434" i="1"/>
  <c r="B433" i="1"/>
  <c r="B430" i="1"/>
  <c r="B429" i="1"/>
  <c r="B428" i="1"/>
  <c r="B425" i="1"/>
  <c r="B424" i="1"/>
  <c r="B423" i="1"/>
  <c r="B420" i="1"/>
  <c r="B419" i="1"/>
  <c r="B418" i="1"/>
  <c r="B415" i="1"/>
  <c r="B414" i="1"/>
  <c r="B413" i="1"/>
  <c r="B410" i="1"/>
  <c r="B409" i="1"/>
  <c r="B408" i="1"/>
  <c r="B405" i="1"/>
  <c r="B404" i="1"/>
  <c r="B403" i="1"/>
  <c r="B400" i="1"/>
  <c r="B399" i="1"/>
  <c r="B398" i="1"/>
  <c r="B395" i="1"/>
  <c r="B394" i="1"/>
  <c r="B393" i="1"/>
  <c r="B390" i="1"/>
  <c r="B389" i="1"/>
  <c r="B388" i="1"/>
  <c r="B385" i="1"/>
  <c r="B384" i="1"/>
  <c r="B383" i="1"/>
  <c r="B380" i="1"/>
  <c r="B379" i="1"/>
  <c r="B378" i="1"/>
  <c r="B375" i="1"/>
  <c r="B374" i="1"/>
  <c r="B373" i="1"/>
  <c r="B370" i="1"/>
  <c r="B369" i="1"/>
  <c r="B368" i="1"/>
  <c r="B365" i="1"/>
  <c r="B364" i="1"/>
  <c r="B363" i="1"/>
  <c r="B360" i="1"/>
  <c r="B359" i="1"/>
  <c r="B358" i="1"/>
  <c r="B355" i="1"/>
  <c r="B354" i="1"/>
  <c r="B353" i="1"/>
  <c r="B350" i="1"/>
  <c r="B349" i="1"/>
  <c r="B348" i="1"/>
  <c r="B345" i="1"/>
  <c r="B344" i="1"/>
  <c r="B343" i="1"/>
  <c r="B340" i="1"/>
  <c r="B339" i="1"/>
  <c r="B338" i="1"/>
  <c r="B335" i="1"/>
  <c r="B334" i="1"/>
  <c r="B333" i="1"/>
  <c r="B330" i="1"/>
  <c r="B329" i="1"/>
  <c r="B328" i="1"/>
  <c r="B325" i="1"/>
  <c r="B324" i="1"/>
  <c r="B323" i="1"/>
  <c r="B320" i="1"/>
  <c r="B319" i="1"/>
  <c r="B318" i="1"/>
  <c r="B315" i="1"/>
  <c r="B314" i="1"/>
  <c r="B313" i="1"/>
  <c r="B310" i="1"/>
  <c r="B309" i="1"/>
  <c r="B308" i="1"/>
  <c r="B305" i="1"/>
  <c r="B304" i="1"/>
  <c r="B303" i="1"/>
  <c r="B300" i="1"/>
  <c r="B299" i="1"/>
  <c r="B298" i="1"/>
  <c r="B295" i="1"/>
  <c r="B294" i="1"/>
  <c r="B293" i="1"/>
  <c r="B290" i="1"/>
  <c r="B289" i="1"/>
  <c r="B288" i="1"/>
  <c r="B285" i="1"/>
  <c r="B284" i="1"/>
  <c r="B283" i="1"/>
  <c r="B280" i="1"/>
  <c r="B279" i="1"/>
  <c r="B278" i="1"/>
  <c r="B275" i="1"/>
  <c r="B274" i="1"/>
  <c r="B273" i="1"/>
  <c r="B270" i="1"/>
  <c r="B269" i="1"/>
  <c r="B268" i="1"/>
  <c r="B265" i="1"/>
  <c r="B264" i="1"/>
  <c r="B263" i="1"/>
  <c r="B260" i="1"/>
  <c r="B259" i="1"/>
  <c r="B258" i="1"/>
  <c r="B255" i="1"/>
  <c r="B254" i="1"/>
  <c r="B253" i="1"/>
  <c r="B250" i="1"/>
  <c r="B249" i="1"/>
  <c r="B248" i="1"/>
  <c r="B245" i="1"/>
  <c r="B244" i="1"/>
  <c r="B243" i="1"/>
  <c r="B240" i="1"/>
  <c r="B239" i="1"/>
  <c r="B238" i="1"/>
  <c r="B235" i="1"/>
  <c r="B234" i="1"/>
  <c r="B233" i="1"/>
  <c r="B230" i="1"/>
  <c r="B229" i="1"/>
  <c r="B228" i="1"/>
  <c r="B225" i="1"/>
  <c r="B224" i="1"/>
  <c r="B223" i="1"/>
  <c r="B220" i="1"/>
  <c r="B219" i="1"/>
  <c r="B218" i="1"/>
  <c r="B215" i="1"/>
  <c r="B214" i="1"/>
  <c r="B213" i="1"/>
  <c r="B210" i="1"/>
  <c r="B209" i="1"/>
  <c r="B208" i="1"/>
  <c r="B205" i="1"/>
  <c r="B204" i="1"/>
  <c r="B203" i="1"/>
  <c r="B200" i="1"/>
  <c r="B199" i="1"/>
  <c r="B198" i="1"/>
  <c r="B195" i="1"/>
  <c r="B194" i="1"/>
  <c r="B193" i="1"/>
  <c r="B190" i="1"/>
  <c r="B189" i="1"/>
  <c r="B188" i="1"/>
  <c r="B185" i="1"/>
  <c r="B184" i="1"/>
  <c r="B183" i="1"/>
  <c r="B180" i="1"/>
  <c r="B179" i="1"/>
  <c r="B178" i="1"/>
  <c r="B175" i="1"/>
  <c r="B174" i="1"/>
  <c r="B173" i="1"/>
  <c r="B170" i="1"/>
  <c r="B169" i="1"/>
  <c r="B168" i="1"/>
  <c r="B165" i="1"/>
  <c r="B164" i="1"/>
  <c r="B163" i="1"/>
  <c r="B160" i="1"/>
  <c r="B159" i="1"/>
  <c r="B158" i="1"/>
  <c r="B155" i="1"/>
  <c r="B154" i="1"/>
  <c r="B153" i="1"/>
  <c r="B150" i="1"/>
  <c r="B149" i="1"/>
  <c r="B148" i="1"/>
  <c r="B145" i="1"/>
  <c r="B144" i="1"/>
  <c r="B143" i="1"/>
  <c r="B140" i="1"/>
  <c r="B139" i="1"/>
  <c r="B138" i="1"/>
  <c r="B135" i="1"/>
  <c r="B134" i="1"/>
  <c r="B133" i="1"/>
  <c r="B130" i="1"/>
  <c r="B129" i="1"/>
  <c r="B128" i="1"/>
  <c r="B125" i="1"/>
  <c r="B124" i="1"/>
  <c r="B123" i="1"/>
  <c r="B120" i="1"/>
  <c r="B119" i="1"/>
  <c r="B118" i="1"/>
  <c r="B115" i="1"/>
  <c r="B114" i="1"/>
  <c r="B113" i="1"/>
  <c r="B110" i="1"/>
  <c r="B109" i="1"/>
  <c r="B108" i="1"/>
  <c r="B105" i="1"/>
  <c r="B104" i="1"/>
  <c r="B103" i="1"/>
  <c r="B100" i="1"/>
  <c r="B99" i="1"/>
  <c r="B98" i="1"/>
  <c r="B95" i="1"/>
  <c r="B94" i="1"/>
  <c r="B93" i="1"/>
  <c r="B90" i="1"/>
  <c r="B89" i="1"/>
  <c r="B88" i="1"/>
  <c r="B85" i="1"/>
  <c r="B84" i="1"/>
  <c r="B83" i="1"/>
  <c r="B80" i="1"/>
  <c r="B79" i="1"/>
  <c r="B78" i="1"/>
  <c r="B75" i="1"/>
  <c r="B74" i="1"/>
  <c r="B73" i="1"/>
  <c r="B70" i="1"/>
  <c r="B69" i="1"/>
  <c r="B68" i="1"/>
  <c r="B65" i="1"/>
  <c r="B64" i="1"/>
  <c r="B63" i="1"/>
  <c r="B60" i="1"/>
  <c r="B59" i="1"/>
  <c r="B58" i="1"/>
  <c r="B55" i="1"/>
  <c r="B54" i="1"/>
  <c r="B53" i="1"/>
  <c r="B50" i="1"/>
  <c r="B49" i="1"/>
  <c r="B48" i="1"/>
  <c r="B45" i="1"/>
  <c r="B44" i="1"/>
  <c r="B43" i="1"/>
  <c r="B40" i="1"/>
  <c r="B39" i="1"/>
  <c r="B38" i="1"/>
  <c r="B35" i="1"/>
  <c r="B34" i="1"/>
  <c r="B33" i="1"/>
  <c r="B30" i="1"/>
  <c r="B29" i="1"/>
  <c r="B28" i="1"/>
  <c r="B25" i="1"/>
  <c r="B24" i="1"/>
  <c r="B23" i="1"/>
  <c r="B20" i="1"/>
  <c r="B19" i="1"/>
  <c r="B18" i="1"/>
  <c r="B15" i="1"/>
  <c r="B14" i="1"/>
  <c r="B13" i="1"/>
  <c r="B10" i="1"/>
  <c r="B9" i="1"/>
  <c r="B8" i="1"/>
  <c r="B4" i="1"/>
  <c r="B5" i="1"/>
  <c r="B3" i="1"/>
  <c r="A3" i="1"/>
  <c r="A1010" i="1"/>
  <c r="A1008" i="1"/>
  <c r="A1005" i="1"/>
  <c r="A1003" i="1"/>
  <c r="A1000" i="1"/>
  <c r="A998" i="1"/>
  <c r="A995" i="1"/>
  <c r="A993" i="1"/>
  <c r="A990" i="1"/>
  <c r="A988" i="1"/>
  <c r="A985" i="1"/>
  <c r="A983" i="1"/>
  <c r="A980" i="1"/>
  <c r="A978" i="1"/>
  <c r="A975" i="1"/>
  <c r="A973" i="1"/>
  <c r="A970" i="1"/>
  <c r="A968" i="1"/>
  <c r="A965" i="1"/>
  <c r="A963" i="1"/>
  <c r="A960" i="1"/>
  <c r="A958" i="1"/>
  <c r="A955" i="1"/>
  <c r="A953" i="1"/>
  <c r="A950" i="1"/>
  <c r="A948" i="1"/>
  <c r="A945" i="1"/>
  <c r="A943" i="1"/>
  <c r="A940" i="1"/>
  <c r="A938" i="1"/>
  <c r="A935" i="1"/>
  <c r="A933" i="1"/>
  <c r="A930" i="1"/>
  <c r="A928" i="1"/>
  <c r="A925" i="1"/>
  <c r="A923" i="1"/>
  <c r="A920" i="1"/>
  <c r="A918" i="1"/>
  <c r="A915" i="1"/>
  <c r="A913" i="1"/>
  <c r="A910" i="1"/>
  <c r="A908" i="1"/>
  <c r="A905" i="1"/>
  <c r="A903" i="1"/>
  <c r="A900" i="1"/>
  <c r="A898" i="1"/>
  <c r="A895" i="1"/>
  <c r="A893" i="1"/>
  <c r="A890" i="1"/>
  <c r="A888" i="1"/>
  <c r="A885" i="1"/>
  <c r="A883" i="1"/>
  <c r="A880" i="1"/>
  <c r="A878" i="1"/>
  <c r="A875" i="1"/>
  <c r="A873" i="1"/>
  <c r="A870" i="1"/>
  <c r="A868" i="1"/>
  <c r="A865" i="1"/>
  <c r="A863" i="1"/>
  <c r="A860" i="1"/>
  <c r="A858" i="1"/>
  <c r="A855" i="1"/>
  <c r="A853" i="1"/>
  <c r="A850" i="1"/>
  <c r="A848" i="1"/>
  <c r="A845" i="1"/>
  <c r="A843" i="1"/>
  <c r="A840" i="1"/>
  <c r="A838" i="1"/>
  <c r="A835" i="1"/>
  <c r="A833" i="1"/>
  <c r="A830" i="1"/>
  <c r="A828" i="1"/>
  <c r="A825" i="1"/>
  <c r="A823" i="1"/>
  <c r="A820" i="1"/>
  <c r="A818" i="1"/>
  <c r="A815" i="1"/>
  <c r="A813" i="1"/>
  <c r="A810" i="1"/>
  <c r="A808" i="1"/>
  <c r="A805" i="1"/>
  <c r="A803" i="1"/>
  <c r="A800" i="1"/>
  <c r="A798" i="1"/>
  <c r="A795" i="1"/>
  <c r="A793" i="1"/>
  <c r="A790" i="1"/>
  <c r="A788" i="1"/>
  <c r="A785" i="1"/>
  <c r="A783" i="1"/>
  <c r="A780" i="1"/>
  <c r="A778" i="1"/>
  <c r="A775" i="1"/>
  <c r="A773" i="1"/>
  <c r="A770" i="1"/>
  <c r="A768" i="1"/>
  <c r="A765" i="1"/>
  <c r="A763" i="1"/>
  <c r="A760" i="1"/>
  <c r="A758" i="1"/>
  <c r="A755" i="1"/>
  <c r="A753" i="1"/>
  <c r="A750" i="1"/>
  <c r="A748" i="1"/>
  <c r="A745" i="1"/>
  <c r="A743" i="1"/>
  <c r="A740" i="1"/>
  <c r="A738" i="1"/>
  <c r="A735" i="1"/>
  <c r="A733" i="1"/>
  <c r="A730" i="1"/>
  <c r="A728" i="1"/>
  <c r="A725" i="1"/>
  <c r="A723" i="1"/>
  <c r="A720" i="1"/>
  <c r="A718" i="1"/>
  <c r="A715" i="1"/>
  <c r="A713" i="1"/>
  <c r="A710" i="1"/>
  <c r="A708" i="1"/>
  <c r="A705" i="1"/>
  <c r="A703" i="1"/>
  <c r="A700" i="1"/>
  <c r="A698" i="1"/>
  <c r="A695" i="1"/>
  <c r="A693" i="1"/>
  <c r="A690" i="1"/>
  <c r="A688" i="1"/>
  <c r="A685" i="1"/>
  <c r="A683" i="1"/>
  <c r="A680" i="1"/>
  <c r="A678" i="1"/>
  <c r="A675" i="1"/>
  <c r="A673" i="1"/>
  <c r="A670" i="1"/>
  <c r="A668" i="1"/>
  <c r="A665" i="1"/>
  <c r="A663" i="1"/>
  <c r="A660" i="1"/>
  <c r="A658" i="1"/>
  <c r="A655" i="1"/>
  <c r="A653" i="1"/>
  <c r="A650" i="1"/>
  <c r="A648" i="1"/>
  <c r="A645" i="1"/>
  <c r="A643" i="1"/>
  <c r="A640" i="1"/>
  <c r="A638" i="1"/>
  <c r="A635" i="1"/>
  <c r="A633" i="1"/>
  <c r="A630" i="1"/>
  <c r="A628" i="1"/>
  <c r="A625" i="1"/>
  <c r="A623" i="1"/>
  <c r="A620" i="1"/>
  <c r="A618" i="1"/>
  <c r="A615" i="1"/>
  <c r="A613" i="1"/>
  <c r="A610" i="1"/>
  <c r="A608" i="1"/>
  <c r="A605" i="1"/>
  <c r="A603" i="1"/>
  <c r="A600" i="1"/>
  <c r="A598" i="1"/>
  <c r="A595" i="1"/>
  <c r="A593" i="1"/>
  <c r="A590" i="1"/>
  <c r="A588" i="1"/>
  <c r="A585" i="1"/>
  <c r="A583" i="1"/>
  <c r="A580" i="1"/>
  <c r="A578" i="1"/>
  <c r="A575" i="1"/>
  <c r="A573" i="1"/>
  <c r="A570" i="1"/>
  <c r="A568" i="1"/>
  <c r="A565" i="1"/>
  <c r="A563" i="1"/>
  <c r="A560" i="1"/>
  <c r="A558" i="1"/>
  <c r="A555" i="1"/>
  <c r="A553" i="1"/>
  <c r="A550" i="1"/>
  <c r="A548" i="1"/>
  <c r="A545" i="1"/>
  <c r="A543" i="1"/>
  <c r="A540" i="1"/>
  <c r="A538" i="1"/>
  <c r="A535" i="1"/>
  <c r="A533" i="1"/>
  <c r="A530" i="1"/>
  <c r="A528" i="1"/>
  <c r="A525" i="1"/>
  <c r="A523" i="1"/>
  <c r="A520" i="1"/>
  <c r="A518" i="1"/>
  <c r="A515" i="1"/>
  <c r="A513" i="1"/>
  <c r="A510" i="1"/>
  <c r="A508" i="1"/>
  <c r="A505" i="1"/>
  <c r="A503" i="1"/>
  <c r="A500" i="1"/>
  <c r="A498" i="1"/>
  <c r="A495" i="1"/>
  <c r="A493" i="1"/>
  <c r="A490" i="1"/>
  <c r="A488" i="1"/>
  <c r="A485" i="1"/>
  <c r="A483" i="1"/>
  <c r="A480" i="1"/>
  <c r="A478" i="1"/>
  <c r="A475" i="1"/>
  <c r="A473" i="1"/>
  <c r="A470" i="1"/>
  <c r="A468" i="1"/>
  <c r="A465" i="1"/>
  <c r="A463" i="1"/>
  <c r="A460" i="1"/>
  <c r="A458" i="1"/>
  <c r="A455" i="1"/>
  <c r="A453" i="1"/>
  <c r="A450" i="1"/>
  <c r="A448" i="1"/>
  <c r="A445" i="1"/>
  <c r="A443" i="1"/>
  <c r="A440" i="1"/>
  <c r="A438" i="1"/>
  <c r="A435" i="1"/>
  <c r="A433" i="1"/>
  <c r="A430" i="1"/>
  <c r="A428" i="1"/>
  <c r="A425" i="1"/>
  <c r="A423" i="1"/>
  <c r="A420" i="1"/>
  <c r="A418" i="1"/>
  <c r="A415" i="1"/>
  <c r="A413" i="1"/>
  <c r="A410" i="1"/>
  <c r="A408" i="1"/>
  <c r="A405" i="1"/>
  <c r="A403" i="1"/>
  <c r="A400" i="1"/>
  <c r="A398" i="1"/>
  <c r="A395" i="1"/>
  <c r="A393" i="1"/>
  <c r="A390" i="1"/>
  <c r="A388" i="1"/>
  <c r="A385" i="1"/>
  <c r="A383" i="1"/>
  <c r="A380" i="1"/>
  <c r="A378" i="1"/>
  <c r="A375" i="1"/>
  <c r="A373" i="1"/>
  <c r="A370" i="1"/>
  <c r="A368" i="1"/>
  <c r="A365" i="1"/>
  <c r="A363" i="1"/>
  <c r="A360" i="1"/>
  <c r="A358" i="1"/>
  <c r="A355" i="1"/>
  <c r="A353" i="1"/>
  <c r="A350" i="1"/>
  <c r="A348" i="1"/>
  <c r="A345" i="1"/>
  <c r="A343" i="1"/>
  <c r="A340" i="1"/>
  <c r="A338" i="1"/>
  <c r="A335" i="1"/>
  <c r="A333" i="1"/>
  <c r="A330" i="1"/>
  <c r="A328" i="1"/>
  <c r="A325" i="1"/>
  <c r="A323" i="1"/>
  <c r="A320" i="1"/>
  <c r="A318" i="1"/>
  <c r="A315" i="1"/>
  <c r="A313" i="1"/>
  <c r="A310" i="1"/>
  <c r="A308" i="1"/>
  <c r="A305" i="1"/>
  <c r="A303" i="1"/>
  <c r="A300" i="1"/>
  <c r="A298" i="1"/>
  <c r="A295" i="1"/>
  <c r="A293" i="1"/>
  <c r="A290" i="1"/>
  <c r="A288" i="1"/>
  <c r="A285" i="1"/>
  <c r="A283" i="1"/>
  <c r="A280" i="1"/>
  <c r="A278" i="1"/>
  <c r="A275" i="1"/>
  <c r="A273" i="1"/>
  <c r="A270" i="1"/>
  <c r="A268" i="1"/>
  <c r="A265" i="1"/>
  <c r="A263" i="1"/>
  <c r="A260" i="1"/>
  <c r="A258" i="1"/>
  <c r="A255" i="1"/>
  <c r="A253" i="1"/>
  <c r="A250" i="1"/>
  <c r="A248" i="1"/>
  <c r="A245" i="1"/>
  <c r="A243" i="1"/>
  <c r="A240" i="1"/>
  <c r="A238" i="1"/>
  <c r="A235" i="1"/>
  <c r="A233" i="1"/>
  <c r="A230" i="1"/>
  <c r="A228" i="1"/>
  <c r="A225" i="1"/>
  <c r="A223" i="1"/>
  <c r="A220" i="1"/>
  <c r="A218" i="1"/>
  <c r="A215" i="1"/>
  <c r="A213" i="1"/>
  <c r="A210" i="1"/>
  <c r="A208" i="1"/>
  <c r="A205" i="1"/>
  <c r="A203" i="1"/>
  <c r="A200" i="1"/>
  <c r="A198" i="1"/>
  <c r="A195" i="1"/>
  <c r="A193" i="1"/>
  <c r="A190" i="1"/>
  <c r="A188" i="1"/>
  <c r="A185" i="1"/>
  <c r="A183" i="1"/>
  <c r="A180" i="1"/>
  <c r="A178" i="1"/>
  <c r="A175" i="1"/>
  <c r="A173" i="1"/>
  <c r="A170" i="1"/>
  <c r="A168" i="1"/>
  <c r="A165" i="1"/>
  <c r="A163" i="1"/>
  <c r="A160" i="1"/>
  <c r="A158" i="1"/>
  <c r="A155" i="1"/>
  <c r="A153" i="1"/>
  <c r="A150" i="1"/>
  <c r="A148" i="1"/>
  <c r="A145" i="1"/>
  <c r="A143" i="1"/>
  <c r="A140" i="1"/>
  <c r="A138" i="1"/>
  <c r="A135" i="1"/>
  <c r="A133" i="1"/>
  <c r="A130" i="1"/>
  <c r="A128" i="1"/>
  <c r="A125" i="1"/>
  <c r="A123" i="1"/>
  <c r="A120" i="1"/>
  <c r="A118" i="1"/>
  <c r="A115" i="1"/>
  <c r="A113" i="1"/>
  <c r="A110" i="1"/>
  <c r="A108" i="1"/>
  <c r="A105" i="1"/>
  <c r="A103" i="1"/>
  <c r="A100" i="1"/>
  <c r="A98" i="1"/>
  <c r="A95" i="1"/>
  <c r="A93" i="1"/>
  <c r="A90" i="1"/>
  <c r="A88" i="1"/>
  <c r="A85" i="1"/>
  <c r="A83" i="1"/>
  <c r="A80" i="1"/>
  <c r="A78" i="1"/>
  <c r="A75" i="1"/>
  <c r="A73" i="1"/>
  <c r="A70" i="1"/>
  <c r="A68" i="1"/>
  <c r="A65" i="1"/>
  <c r="A63" i="1"/>
  <c r="A60" i="1"/>
  <c r="A58" i="1"/>
  <c r="A55" i="1"/>
  <c r="A53" i="1"/>
  <c r="A50" i="1"/>
  <c r="A48" i="1"/>
  <c r="A45" i="1"/>
  <c r="A43" i="1"/>
  <c r="A40" i="1"/>
  <c r="A38" i="1"/>
  <c r="A35" i="1"/>
  <c r="A33" i="1"/>
  <c r="A30" i="1"/>
  <c r="A28" i="1"/>
  <c r="A25" i="1"/>
  <c r="A23" i="1"/>
  <c r="A20" i="1"/>
  <c r="A18" i="1"/>
  <c r="A15" i="1"/>
  <c r="A13" i="1"/>
  <c r="A10" i="1"/>
  <c r="A8" i="1"/>
  <c r="A5" i="1"/>
  <c r="C17" i="2"/>
  <c r="C16" i="2"/>
  <c r="C15" i="2"/>
  <c r="C12" i="2"/>
  <c r="C10" i="2"/>
  <c r="C5" i="2"/>
</calcChain>
</file>

<file path=xl/sharedStrings.xml><?xml version="1.0" encoding="utf-8"?>
<sst xmlns="http://schemas.openxmlformats.org/spreadsheetml/2006/main" count="2668" uniqueCount="45">
  <si>
    <t>#</t>
  </si>
  <si>
    <t>WD</t>
  </si>
  <si>
    <t>ANATOMY</t>
  </si>
  <si>
    <t>EMERG</t>
  </si>
  <si>
    <t>PERIO</t>
  </si>
  <si>
    <t>OVERALL</t>
  </si>
  <si>
    <t>GPA</t>
  </si>
  <si>
    <t>EXAM</t>
  </si>
  <si>
    <t>PERFORM CK</t>
  </si>
  <si>
    <t>PRO COUNT</t>
  </si>
  <si>
    <t>w/d</t>
  </si>
  <si>
    <t>see sheet</t>
  </si>
  <si>
    <t>TESTS GIVEN</t>
  </si>
  <si>
    <t>WITHDRAWNS PRIOR TO TEST</t>
  </si>
  <si>
    <t>ABOVE 70%</t>
  </si>
  <si>
    <t>BELOW 70%</t>
  </si>
  <si>
    <t>FAILED 3 TESTS</t>
  </si>
  <si>
    <t>FAILED 2 TESTS</t>
  </si>
  <si>
    <t>FAILED 1 TEST</t>
  </si>
  <si>
    <t>PRESENT FOR 8/16/02</t>
  </si>
  <si>
    <t>ENROLLED 2002-03</t>
  </si>
  <si>
    <t>VIDEO</t>
  </si>
  <si>
    <t>INSTRUM.</t>
  </si>
  <si>
    <t>AB</t>
  </si>
  <si>
    <t>video</t>
  </si>
  <si>
    <t>ab</t>
  </si>
  <si>
    <t>a b</t>
  </si>
  <si>
    <t>A</t>
  </si>
  <si>
    <t>B</t>
  </si>
  <si>
    <t>C</t>
  </si>
  <si>
    <t>D</t>
  </si>
  <si>
    <t>E</t>
  </si>
  <si>
    <t>Perio 2</t>
  </si>
  <si>
    <t>90-100</t>
  </si>
  <si>
    <t>80-89</t>
  </si>
  <si>
    <t>70-79</t>
  </si>
  <si>
    <t>60-69</t>
  </si>
  <si>
    <t>50-59</t>
  </si>
  <si>
    <t>40-49</t>
  </si>
  <si>
    <t>30-39</t>
  </si>
  <si>
    <t>0-29</t>
  </si>
  <si>
    <t>distribution</t>
  </si>
  <si>
    <t>1no sign</t>
  </si>
  <si>
    <t>5 no sign</t>
  </si>
  <si>
    <t>8 no 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</si>
</sst>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b/>
      <sz val="8"/>
      <name val="Arial"/>
    </font>
    <font>
      <sz val="8"/>
      <name val="Arial"/>
    </font>
    <font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0" xfId="0" applyNumberFormat="1" applyFont="1" applyFill="1" applyAlignment="1">
      <alignment horizontal="center"/>
    </xf>
    <xf numFmtId="16" fontId="2" fillId="0" borderId="0" xfId="0" applyNumberFormat="1" applyFont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10" fontId="0" fillId="0" borderId="0" xfId="0" applyNumberFormat="1"/>
    <xf numFmtId="0" fontId="1" fillId="3" borderId="0" xfId="0" applyFont="1" applyFill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2" fillId="3" borderId="0" xfId="0" applyNumberFormat="1" applyFont="1" applyFill="1" applyAlignment="1">
      <alignment horizontal="center"/>
    </xf>
    <xf numFmtId="0" fontId="3" fillId="3" borderId="2" xfId="0" applyFont="1" applyFill="1" applyBorder="1" applyAlignment="1">
      <alignment horizontal="center"/>
    </xf>
    <xf numFmtId="10" fontId="0" fillId="3" borderId="0" xfId="0" applyNumberFormat="1" applyFill="1"/>
    <xf numFmtId="0" fontId="0" fillId="3" borderId="0" xfId="0" applyFill="1"/>
    <xf numFmtId="14" fontId="3" fillId="2" borderId="1" xfId="0" applyNumberFormat="1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0" fontId="0" fillId="2" borderId="0" xfId="0" applyNumberFormat="1" applyFill="1"/>
    <xf numFmtId="0" fontId="0" fillId="2" borderId="0" xfId="0" applyFill="1"/>
    <xf numFmtId="14" fontId="0" fillId="0" borderId="1" xfId="0" applyNumberFormat="1" applyBorder="1"/>
    <xf numFmtId="14" fontId="0" fillId="0" borderId="3" xfId="0" applyNumberFormat="1" applyBorder="1"/>
    <xf numFmtId="0" fontId="3" fillId="0" borderId="2" xfId="0" applyFont="1" applyFill="1" applyBorder="1" applyAlignment="1">
      <alignment horizontal="center"/>
    </xf>
    <xf numFmtId="0" fontId="3" fillId="0" borderId="4" xfId="0" applyFont="1" applyFill="1" applyBorder="1" applyAlignment="1">
      <alignment horizontal="center"/>
    </xf>
    <xf numFmtId="0" fontId="2" fillId="2" borderId="0" xfId="0" applyFont="1" applyFill="1"/>
    <xf numFmtId="16" fontId="2" fillId="2" borderId="0" xfId="0" applyNumberFormat="1" applyFont="1" applyFill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10" fontId="0" fillId="4" borderId="0" xfId="0" applyNumberFormat="1" applyFill="1"/>
    <xf numFmtId="0" fontId="0" fillId="4" borderId="0" xfId="0" applyFill="1"/>
    <xf numFmtId="1" fontId="0" fillId="4" borderId="0" xfId="0" applyNumberFormat="1" applyFill="1"/>
    <xf numFmtId="0" fontId="3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0" fontId="0" fillId="0" borderId="0" xfId="0" applyNumberFormat="1" applyFill="1"/>
    <xf numFmtId="0" fontId="0" fillId="0" borderId="0" xfId="0" applyFill="1"/>
    <xf numFmtId="1" fontId="0" fillId="0" borderId="0" xfId="0" applyNumberFormat="1" applyFill="1"/>
    <xf numFmtId="14" fontId="3" fillId="0" borderId="0" xfId="0" applyNumberFormat="1" applyFont="1" applyFill="1" applyBorder="1" applyAlignment="1">
      <alignment horizontal="center"/>
    </xf>
    <xf numFmtId="14" fontId="0" fillId="2" borderId="1" xfId="0" applyNumberFormat="1" applyFill="1" applyBorder="1"/>
    <xf numFmtId="14" fontId="0" fillId="2" borderId="3" xfId="0" applyNumberFormat="1" applyFill="1" applyBorder="1"/>
    <xf numFmtId="0" fontId="3" fillId="2" borderId="4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14" fontId="0" fillId="3" borderId="1" xfId="0" applyNumberFormat="1" applyFill="1" applyBorder="1"/>
    <xf numFmtId="14" fontId="0" fillId="3" borderId="3" xfId="0" applyNumberFormat="1" applyFill="1" applyBorder="1"/>
    <xf numFmtId="14" fontId="0" fillId="5" borderId="1" xfId="0" applyNumberFormat="1" applyFill="1" applyBorder="1"/>
    <xf numFmtId="14" fontId="0" fillId="5" borderId="3" xfId="0" applyNumberFormat="1" applyFill="1" applyBorder="1"/>
    <xf numFmtId="0" fontId="3" fillId="5" borderId="2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0" fillId="5" borderId="0" xfId="0" applyFill="1"/>
    <xf numFmtId="14" fontId="0" fillId="0" borderId="5" xfId="0" applyNumberFormat="1" applyFill="1" applyBorder="1"/>
    <xf numFmtId="0" fontId="3" fillId="0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25"/>
  <sheetViews>
    <sheetView tabSelected="1" view="pageBreakPreview" zoomScaleNormal="100" zoomScaleSheetLayoutView="100" workbookViewId="0">
      <selection activeCell="F10" sqref="F10"/>
    </sheetView>
  </sheetViews>
  <sheetFormatPr defaultRowHeight="12.75" customHeight="1" x14ac:dyDescent="0.25"/>
  <cols>
    <col min="1" max="1" width="9.26953125" style="30" customWidth="1"/>
    <col min="2" max="2" width="9.1796875" style="35" customWidth="1"/>
    <col min="3" max="3" width="6.7265625" style="5" customWidth="1"/>
    <col min="4" max="4" width="10.7265625" style="3" customWidth="1"/>
    <col min="5" max="7" width="11.453125" customWidth="1"/>
    <col min="8" max="8" width="11.453125" style="35" customWidth="1"/>
    <col min="9" max="10" width="11.453125" customWidth="1"/>
  </cols>
  <sheetData>
    <row r="1" spans="1:10" ht="12.75" customHeight="1" x14ac:dyDescent="0.25">
      <c r="A1" s="27" t="s">
        <v>5</v>
      </c>
      <c r="B1" s="37">
        <v>37514</v>
      </c>
      <c r="C1" s="4" t="s">
        <v>0</v>
      </c>
      <c r="D1" s="1"/>
      <c r="E1" s="8">
        <v>37485</v>
      </c>
      <c r="F1" s="8">
        <v>37485</v>
      </c>
      <c r="G1" s="8">
        <v>37485</v>
      </c>
      <c r="H1" s="49">
        <v>37513</v>
      </c>
      <c r="I1" s="21">
        <v>37513</v>
      </c>
      <c r="J1" s="22">
        <v>37513</v>
      </c>
    </row>
    <row r="2" spans="1:10" ht="12.75" customHeight="1" x14ac:dyDescent="0.25">
      <c r="A2" s="28" t="s">
        <v>6</v>
      </c>
      <c r="B2" s="33" t="s">
        <v>6</v>
      </c>
      <c r="C2" s="6">
        <v>1</v>
      </c>
      <c r="D2" s="2"/>
      <c r="E2" s="9" t="s">
        <v>2</v>
      </c>
      <c r="F2" s="9" t="s">
        <v>3</v>
      </c>
      <c r="G2" s="9" t="s">
        <v>4</v>
      </c>
      <c r="H2" s="50" t="s">
        <v>21</v>
      </c>
      <c r="I2" s="23" t="s">
        <v>22</v>
      </c>
      <c r="J2" s="24" t="s">
        <v>4</v>
      </c>
    </row>
    <row r="3" spans="1:10" ht="12.75" customHeight="1" x14ac:dyDescent="0.25">
      <c r="A3" s="29">
        <f>SUM(E3:G3)/3</f>
        <v>0.90666666666666673</v>
      </c>
      <c r="B3" s="34">
        <f>SUM(E3:J3)/6</f>
        <v>0.8933333333333332</v>
      </c>
      <c r="C3" s="6"/>
      <c r="D3" s="2" t="s">
        <v>7</v>
      </c>
      <c r="E3" s="10">
        <v>0.92</v>
      </c>
      <c r="F3" s="10">
        <v>0.88</v>
      </c>
      <c r="G3" s="10">
        <v>0.92</v>
      </c>
      <c r="H3" s="34">
        <v>0.92</v>
      </c>
      <c r="I3" s="10">
        <v>0.96</v>
      </c>
      <c r="J3" s="10">
        <v>0.76</v>
      </c>
    </row>
    <row r="4" spans="1:10" ht="12.75" customHeight="1" x14ac:dyDescent="0.25">
      <c r="B4" s="35">
        <f>SUM(E4:J4)</f>
        <v>5</v>
      </c>
      <c r="C4" s="6"/>
      <c r="D4" s="2" t="s">
        <v>8</v>
      </c>
      <c r="H4" s="35">
        <v>5</v>
      </c>
    </row>
    <row r="5" spans="1:10" ht="12.75" customHeight="1" x14ac:dyDescent="0.25">
      <c r="A5" s="31">
        <f>SUM(E5:N5)</f>
        <v>23</v>
      </c>
      <c r="B5" s="36">
        <f>SUM(E5:J5)</f>
        <v>23</v>
      </c>
      <c r="C5" s="6"/>
      <c r="D5" s="2" t="s">
        <v>9</v>
      </c>
      <c r="E5">
        <v>10</v>
      </c>
      <c r="H5" s="35">
        <v>13</v>
      </c>
    </row>
    <row r="6" spans="1:10" ht="12.75" customHeight="1" x14ac:dyDescent="0.25">
      <c r="A6" s="27" t="s">
        <v>5</v>
      </c>
      <c r="B6" s="37">
        <v>37514</v>
      </c>
      <c r="C6" s="4" t="s">
        <v>0</v>
      </c>
      <c r="D6" s="1"/>
      <c r="E6" s="8">
        <v>37485</v>
      </c>
      <c r="F6" s="8">
        <v>37485</v>
      </c>
      <c r="G6" s="8">
        <v>37485</v>
      </c>
      <c r="H6" s="49">
        <v>37513</v>
      </c>
      <c r="I6" s="21">
        <v>37513</v>
      </c>
      <c r="J6" s="22">
        <v>37513</v>
      </c>
    </row>
    <row r="7" spans="1:10" ht="12.75" customHeight="1" x14ac:dyDescent="0.25">
      <c r="A7" s="28" t="s">
        <v>6</v>
      </c>
      <c r="B7" s="33" t="s">
        <v>6</v>
      </c>
      <c r="C7" s="6">
        <v>2</v>
      </c>
      <c r="D7" s="2"/>
      <c r="E7" s="9" t="s">
        <v>2</v>
      </c>
      <c r="F7" s="9" t="s">
        <v>3</v>
      </c>
      <c r="G7" s="9" t="s">
        <v>4</v>
      </c>
      <c r="H7" s="50" t="s">
        <v>21</v>
      </c>
      <c r="I7" s="23" t="s">
        <v>22</v>
      </c>
      <c r="J7" s="24" t="s">
        <v>4</v>
      </c>
    </row>
    <row r="8" spans="1:10" ht="12.75" customHeight="1" x14ac:dyDescent="0.25">
      <c r="A8" s="29">
        <f>SUM(E8:G8)/3</f>
        <v>0.70666666666666667</v>
      </c>
      <c r="B8" s="34">
        <f>SUM(E8:J8)/6</f>
        <v>0.79666666666666675</v>
      </c>
      <c r="C8" s="6"/>
      <c r="D8" s="2" t="s">
        <v>7</v>
      </c>
      <c r="E8" s="10">
        <v>0.72</v>
      </c>
      <c r="F8" s="10">
        <v>0.68</v>
      </c>
      <c r="G8" s="10">
        <v>0.72</v>
      </c>
      <c r="H8" s="34">
        <v>0.94</v>
      </c>
      <c r="I8" s="10">
        <v>0.92</v>
      </c>
      <c r="J8" s="10">
        <v>0.8</v>
      </c>
    </row>
    <row r="9" spans="1:10" ht="12.75" customHeight="1" x14ac:dyDescent="0.25">
      <c r="B9" s="35">
        <f>SUM(E9:J9)</f>
        <v>4</v>
      </c>
      <c r="C9" s="6"/>
      <c r="D9" s="2" t="s">
        <v>8</v>
      </c>
      <c r="H9" s="35">
        <v>4</v>
      </c>
    </row>
    <row r="10" spans="1:10" ht="12.75" customHeight="1" x14ac:dyDescent="0.25">
      <c r="A10" s="31">
        <f>SUM(E10:N10)</f>
        <v>19</v>
      </c>
      <c r="B10" s="36">
        <f>SUM(E10:J10)</f>
        <v>19</v>
      </c>
      <c r="C10" s="6"/>
      <c r="D10" s="2" t="s">
        <v>9</v>
      </c>
      <c r="E10">
        <v>11</v>
      </c>
      <c r="H10" s="35">
        <v>8</v>
      </c>
    </row>
    <row r="11" spans="1:10" ht="12.75" customHeight="1" x14ac:dyDescent="0.25">
      <c r="A11" s="27" t="s">
        <v>5</v>
      </c>
      <c r="B11" s="37">
        <v>37514</v>
      </c>
      <c r="C11" s="4" t="s">
        <v>0</v>
      </c>
      <c r="D11" s="1"/>
      <c r="E11" s="8">
        <v>37485</v>
      </c>
      <c r="F11" s="8">
        <v>37485</v>
      </c>
      <c r="G11" s="8">
        <v>37485</v>
      </c>
      <c r="H11" s="49">
        <v>37513</v>
      </c>
      <c r="I11" s="21">
        <v>37513</v>
      </c>
      <c r="J11" s="22">
        <v>37513</v>
      </c>
    </row>
    <row r="12" spans="1:10" ht="12.75" customHeight="1" x14ac:dyDescent="0.25">
      <c r="A12" s="28" t="s">
        <v>6</v>
      </c>
      <c r="B12" s="33" t="s">
        <v>6</v>
      </c>
      <c r="C12" s="6">
        <v>3</v>
      </c>
      <c r="D12" s="2"/>
      <c r="E12" s="9" t="s">
        <v>2</v>
      </c>
      <c r="F12" s="9" t="s">
        <v>3</v>
      </c>
      <c r="G12" s="9" t="s">
        <v>4</v>
      </c>
      <c r="H12" s="50" t="s">
        <v>21</v>
      </c>
      <c r="I12" s="23" t="s">
        <v>22</v>
      </c>
      <c r="J12" s="24" t="s">
        <v>4</v>
      </c>
    </row>
    <row r="13" spans="1:10" ht="12.75" customHeight="1" x14ac:dyDescent="0.25">
      <c r="A13" s="29">
        <f>SUM(E13:G13)/3</f>
        <v>0.76000000000000012</v>
      </c>
      <c r="B13" s="34">
        <f>SUM(E13:J13)/6</f>
        <v>0.76666666666666661</v>
      </c>
      <c r="C13" s="6"/>
      <c r="D13" s="2" t="s">
        <v>7</v>
      </c>
      <c r="E13" s="10">
        <v>0.88</v>
      </c>
      <c r="F13" s="10">
        <v>0.68</v>
      </c>
      <c r="G13" s="10">
        <v>0.72</v>
      </c>
      <c r="H13" s="34">
        <v>0.84</v>
      </c>
      <c r="I13" s="10">
        <v>0.88</v>
      </c>
      <c r="J13" s="10">
        <v>0.6</v>
      </c>
    </row>
    <row r="14" spans="1:10" ht="12.75" customHeight="1" x14ac:dyDescent="0.25">
      <c r="B14" s="35">
        <f>SUM(E14:J14)</f>
        <v>5</v>
      </c>
      <c r="C14" s="6"/>
      <c r="D14" s="2" t="s">
        <v>8</v>
      </c>
      <c r="H14" s="35">
        <v>5</v>
      </c>
    </row>
    <row r="15" spans="1:10" ht="12.75" customHeight="1" x14ac:dyDescent="0.25">
      <c r="A15" s="31">
        <f>SUM(E15:N15)</f>
        <v>32</v>
      </c>
      <c r="B15" s="36">
        <f>SUM(E15:J15)</f>
        <v>32</v>
      </c>
      <c r="C15" s="6"/>
      <c r="D15" s="2" t="s">
        <v>9</v>
      </c>
      <c r="E15">
        <v>8</v>
      </c>
      <c r="H15" s="35">
        <v>24</v>
      </c>
    </row>
    <row r="16" spans="1:10" ht="12.75" customHeight="1" x14ac:dyDescent="0.25">
      <c r="A16" s="27" t="s">
        <v>5</v>
      </c>
      <c r="B16" s="37">
        <v>37514</v>
      </c>
      <c r="C16" s="4" t="s">
        <v>0</v>
      </c>
      <c r="D16" s="1"/>
      <c r="E16" s="8">
        <v>37485</v>
      </c>
      <c r="F16" s="8">
        <v>37485</v>
      </c>
      <c r="G16" s="8">
        <v>37485</v>
      </c>
      <c r="H16" s="49">
        <v>37513</v>
      </c>
      <c r="I16" s="21">
        <v>37513</v>
      </c>
      <c r="J16" s="22">
        <v>37513</v>
      </c>
    </row>
    <row r="17" spans="1:10" ht="12.75" customHeight="1" x14ac:dyDescent="0.25">
      <c r="A17" s="28" t="s">
        <v>6</v>
      </c>
      <c r="B17" s="33" t="s">
        <v>6</v>
      </c>
      <c r="C17" s="6">
        <v>4</v>
      </c>
      <c r="D17" s="2"/>
      <c r="E17" s="9" t="s">
        <v>2</v>
      </c>
      <c r="F17" s="9" t="s">
        <v>3</v>
      </c>
      <c r="G17" s="9" t="s">
        <v>4</v>
      </c>
      <c r="H17" s="50" t="s">
        <v>21</v>
      </c>
      <c r="I17" s="23" t="s">
        <v>22</v>
      </c>
      <c r="J17" s="24" t="s">
        <v>4</v>
      </c>
    </row>
    <row r="18" spans="1:10" ht="12.75" customHeight="1" x14ac:dyDescent="0.25">
      <c r="A18" s="29">
        <f>SUM(E18:G18)/3</f>
        <v>0.7466666666666667</v>
      </c>
      <c r="B18" s="34">
        <f>SUM(E18:J18)/6</f>
        <v>0.71666666666666679</v>
      </c>
      <c r="C18" s="6"/>
      <c r="D18" s="2" t="s">
        <v>7</v>
      </c>
      <c r="E18" s="10">
        <v>1</v>
      </c>
      <c r="F18" s="10">
        <v>0.76</v>
      </c>
      <c r="G18" s="10">
        <v>0.48</v>
      </c>
      <c r="H18" s="34">
        <v>0.74</v>
      </c>
      <c r="I18" s="10">
        <v>0.96</v>
      </c>
      <c r="J18" s="10">
        <v>0.36</v>
      </c>
    </row>
    <row r="19" spans="1:10" ht="12.75" customHeight="1" x14ac:dyDescent="0.25">
      <c r="B19" s="35">
        <f>SUM(E19:J19)</f>
        <v>5</v>
      </c>
      <c r="C19" s="6"/>
      <c r="D19" s="2" t="s">
        <v>8</v>
      </c>
      <c r="H19" s="35">
        <v>5</v>
      </c>
    </row>
    <row r="20" spans="1:10" ht="12.75" customHeight="1" x14ac:dyDescent="0.25">
      <c r="A20" s="31">
        <f>SUM(E20:N20)</f>
        <v>7</v>
      </c>
      <c r="B20" s="36">
        <f>SUM(E20:J20)</f>
        <v>7</v>
      </c>
      <c r="C20" s="6"/>
      <c r="D20" s="2" t="s">
        <v>9</v>
      </c>
      <c r="E20">
        <v>5</v>
      </c>
      <c r="H20" s="35">
        <v>2</v>
      </c>
    </row>
    <row r="21" spans="1:10" ht="12.75" customHeight="1" x14ac:dyDescent="0.25">
      <c r="A21" s="27" t="s">
        <v>5</v>
      </c>
      <c r="B21" s="37">
        <v>37514</v>
      </c>
      <c r="C21" s="4" t="s">
        <v>0</v>
      </c>
      <c r="D21" s="1"/>
      <c r="E21" s="8">
        <v>37485</v>
      </c>
      <c r="F21" s="8">
        <v>37485</v>
      </c>
      <c r="G21" s="8">
        <v>37485</v>
      </c>
      <c r="H21" s="49">
        <v>37513</v>
      </c>
      <c r="I21" s="21">
        <v>37513</v>
      </c>
      <c r="J21" s="22">
        <v>37513</v>
      </c>
    </row>
    <row r="22" spans="1:10" ht="12.75" customHeight="1" x14ac:dyDescent="0.25">
      <c r="A22" s="28" t="s">
        <v>6</v>
      </c>
      <c r="B22" s="33" t="s">
        <v>6</v>
      </c>
      <c r="C22" s="5">
        <v>5</v>
      </c>
      <c r="D22" s="2"/>
      <c r="E22" s="9" t="s">
        <v>2</v>
      </c>
      <c r="F22" s="9" t="s">
        <v>3</v>
      </c>
      <c r="G22" s="9" t="s">
        <v>4</v>
      </c>
      <c r="H22" s="50" t="s">
        <v>21</v>
      </c>
      <c r="I22" s="23" t="s">
        <v>22</v>
      </c>
      <c r="J22" s="24" t="s">
        <v>4</v>
      </c>
    </row>
    <row r="23" spans="1:10" ht="12.75" customHeight="1" x14ac:dyDescent="0.25">
      <c r="A23" s="29">
        <f>SUM(E23:G23)/3</f>
        <v>0.72000000000000008</v>
      </c>
      <c r="B23" s="34">
        <f>SUM(E23:J23)/6</f>
        <v>0.72000000000000008</v>
      </c>
      <c r="C23" s="6"/>
      <c r="D23" s="2" t="s">
        <v>7</v>
      </c>
      <c r="E23" s="10">
        <v>0.72</v>
      </c>
      <c r="F23" s="10">
        <v>0.84</v>
      </c>
      <c r="G23" s="10">
        <v>0.6</v>
      </c>
      <c r="H23" s="34">
        <v>0.84</v>
      </c>
      <c r="I23" s="10">
        <v>0.8</v>
      </c>
      <c r="J23" s="10">
        <v>0.52</v>
      </c>
    </row>
    <row r="24" spans="1:10" ht="12.5" x14ac:dyDescent="0.25">
      <c r="B24" s="35">
        <f>SUM(E24:J24)</f>
        <v>0</v>
      </c>
      <c r="C24" s="6"/>
      <c r="D24" s="2" t="s">
        <v>8</v>
      </c>
      <c r="H24" s="35">
        <v>0</v>
      </c>
    </row>
    <row r="25" spans="1:10" ht="12.75" customHeight="1" x14ac:dyDescent="0.25">
      <c r="A25" s="31">
        <f>SUM(E25:N25)</f>
        <v>1</v>
      </c>
      <c r="B25" s="36">
        <f>SUM(E25:J25)</f>
        <v>1</v>
      </c>
      <c r="C25" s="6"/>
      <c r="D25" s="2" t="s">
        <v>9</v>
      </c>
      <c r="E25">
        <v>1</v>
      </c>
      <c r="H25" s="35">
        <v>0</v>
      </c>
    </row>
    <row r="26" spans="1:10" ht="12.75" customHeight="1" x14ac:dyDescent="0.25">
      <c r="A26" s="27" t="s">
        <v>5</v>
      </c>
      <c r="B26" s="37">
        <v>37514</v>
      </c>
      <c r="C26" s="4" t="s">
        <v>0</v>
      </c>
      <c r="D26" s="1"/>
      <c r="E26" s="8">
        <v>37485</v>
      </c>
      <c r="F26" s="8">
        <v>37485</v>
      </c>
      <c r="G26" s="8">
        <v>37485</v>
      </c>
      <c r="H26" s="49">
        <v>37513</v>
      </c>
      <c r="I26" s="21">
        <v>37513</v>
      </c>
      <c r="J26" s="22">
        <v>37513</v>
      </c>
    </row>
    <row r="27" spans="1:10" ht="12.75" customHeight="1" x14ac:dyDescent="0.25">
      <c r="A27" s="28" t="s">
        <v>6</v>
      </c>
      <c r="B27" s="33" t="s">
        <v>6</v>
      </c>
      <c r="C27" s="5">
        <v>6</v>
      </c>
      <c r="D27" s="2"/>
      <c r="E27" s="9" t="s">
        <v>2</v>
      </c>
      <c r="F27" s="9" t="s">
        <v>3</v>
      </c>
      <c r="G27" s="9" t="s">
        <v>4</v>
      </c>
      <c r="H27" s="50" t="s">
        <v>21</v>
      </c>
      <c r="I27" s="23" t="s">
        <v>22</v>
      </c>
      <c r="J27" s="24" t="s">
        <v>4</v>
      </c>
    </row>
    <row r="28" spans="1:10" ht="12.75" customHeight="1" x14ac:dyDescent="0.25">
      <c r="A28" s="29">
        <f>SUM(E28:G28)/3</f>
        <v>0.50666666666666671</v>
      </c>
      <c r="B28" s="34">
        <f>SUM(E28:J28)/6</f>
        <v>0.59666666666666657</v>
      </c>
      <c r="C28" s="6"/>
      <c r="D28" s="2" t="s">
        <v>7</v>
      </c>
      <c r="E28" s="10">
        <v>0.44</v>
      </c>
      <c r="F28" s="10">
        <v>0.56000000000000005</v>
      </c>
      <c r="G28" s="10">
        <v>0.52</v>
      </c>
      <c r="H28" s="34">
        <v>0.74</v>
      </c>
      <c r="I28" s="10">
        <v>0.76</v>
      </c>
      <c r="J28" s="10">
        <v>0.56000000000000005</v>
      </c>
    </row>
    <row r="29" spans="1:10" ht="12.75" customHeight="1" x14ac:dyDescent="0.25">
      <c r="B29" s="35">
        <f>SUM(E29:J29)</f>
        <v>5</v>
      </c>
      <c r="C29" s="6"/>
      <c r="D29" s="2" t="s">
        <v>8</v>
      </c>
      <c r="H29" s="35">
        <v>5</v>
      </c>
    </row>
    <row r="30" spans="1:10" ht="12.75" customHeight="1" x14ac:dyDescent="0.25">
      <c r="A30" s="31">
        <f>SUM(E30:N30)</f>
        <v>35</v>
      </c>
      <c r="B30" s="36">
        <f>SUM(E30:J30)</f>
        <v>35</v>
      </c>
      <c r="C30" s="6"/>
      <c r="D30" s="2" t="s">
        <v>9</v>
      </c>
      <c r="E30">
        <v>0</v>
      </c>
      <c r="H30" s="35">
        <v>35</v>
      </c>
    </row>
    <row r="31" spans="1:10" ht="12.75" customHeight="1" x14ac:dyDescent="0.25">
      <c r="A31" s="27" t="s">
        <v>5</v>
      </c>
      <c r="B31" s="37">
        <v>37514</v>
      </c>
      <c r="C31" s="4" t="s">
        <v>0</v>
      </c>
      <c r="D31" s="1"/>
      <c r="E31" s="8">
        <v>37485</v>
      </c>
      <c r="F31" s="8">
        <v>37485</v>
      </c>
      <c r="G31" s="8">
        <v>37485</v>
      </c>
      <c r="H31" s="49">
        <v>37513</v>
      </c>
      <c r="I31" s="21">
        <v>37513</v>
      </c>
      <c r="J31" s="22">
        <v>37513</v>
      </c>
    </row>
    <row r="32" spans="1:10" ht="12.75" customHeight="1" x14ac:dyDescent="0.25">
      <c r="A32" s="28" t="s">
        <v>6</v>
      </c>
      <c r="B32" s="33" t="s">
        <v>6</v>
      </c>
      <c r="C32" s="5">
        <v>7</v>
      </c>
      <c r="D32" s="2"/>
      <c r="E32" s="9" t="s">
        <v>2</v>
      </c>
      <c r="F32" s="9" t="s">
        <v>3</v>
      </c>
      <c r="G32" s="9" t="s">
        <v>4</v>
      </c>
      <c r="H32" s="50" t="s">
        <v>21</v>
      </c>
      <c r="I32" s="23" t="s">
        <v>22</v>
      </c>
      <c r="J32" s="24" t="s">
        <v>4</v>
      </c>
    </row>
    <row r="33" spans="1:10" ht="12.75" customHeight="1" x14ac:dyDescent="0.25">
      <c r="A33" s="29">
        <f>SUM(E33:G33)/3</f>
        <v>0.80000000000000016</v>
      </c>
      <c r="B33" s="34">
        <f>SUM(E33:J33)/6</f>
        <v>0.81333333333333335</v>
      </c>
      <c r="C33" s="6"/>
      <c r="D33" s="2" t="s">
        <v>7</v>
      </c>
      <c r="E33" s="10">
        <v>0.96</v>
      </c>
      <c r="F33" s="10">
        <v>0.64</v>
      </c>
      <c r="G33" s="10">
        <v>0.8</v>
      </c>
      <c r="H33" s="34">
        <v>0.88</v>
      </c>
      <c r="I33" s="10">
        <v>0.92</v>
      </c>
      <c r="J33" s="10">
        <v>0.68</v>
      </c>
    </row>
    <row r="34" spans="1:10" ht="12.75" customHeight="1" x14ac:dyDescent="0.25">
      <c r="B34" s="35">
        <f>SUM(E34:J34)</f>
        <v>5</v>
      </c>
      <c r="C34" s="6"/>
      <c r="D34" s="2" t="s">
        <v>8</v>
      </c>
      <c r="H34" s="35">
        <v>5</v>
      </c>
    </row>
    <row r="35" spans="1:10" ht="12.75" customHeight="1" x14ac:dyDescent="0.25">
      <c r="A35" s="31">
        <f>SUM(E35:N35)</f>
        <v>21</v>
      </c>
      <c r="B35" s="36">
        <f>SUM(E35:J35)</f>
        <v>21</v>
      </c>
      <c r="C35" s="6"/>
      <c r="D35" s="2" t="s">
        <v>9</v>
      </c>
      <c r="E35">
        <v>0</v>
      </c>
      <c r="H35" s="35">
        <v>21</v>
      </c>
    </row>
    <row r="36" spans="1:10" ht="12.75" customHeight="1" x14ac:dyDescent="0.25">
      <c r="A36" s="27" t="s">
        <v>5</v>
      </c>
      <c r="B36" s="37">
        <v>37514</v>
      </c>
      <c r="C36" s="4" t="s">
        <v>0</v>
      </c>
      <c r="D36" s="1"/>
      <c r="E36" s="8">
        <v>37485</v>
      </c>
      <c r="F36" s="8">
        <v>37485</v>
      </c>
      <c r="G36" s="8">
        <v>37485</v>
      </c>
      <c r="H36" s="49">
        <v>37513</v>
      </c>
      <c r="I36" s="21">
        <v>37513</v>
      </c>
      <c r="J36" s="22">
        <v>37513</v>
      </c>
    </row>
    <row r="37" spans="1:10" ht="12.75" customHeight="1" x14ac:dyDescent="0.25">
      <c r="A37" s="28" t="s">
        <v>6</v>
      </c>
      <c r="B37" s="33" t="s">
        <v>6</v>
      </c>
      <c r="C37" s="5">
        <v>8</v>
      </c>
      <c r="D37" s="2"/>
      <c r="E37" s="9" t="s">
        <v>2</v>
      </c>
      <c r="F37" s="9" t="s">
        <v>3</v>
      </c>
      <c r="G37" s="9" t="s">
        <v>4</v>
      </c>
      <c r="H37" s="50" t="s">
        <v>24</v>
      </c>
      <c r="I37" s="23" t="s">
        <v>22</v>
      </c>
      <c r="J37" s="24" t="s">
        <v>4</v>
      </c>
    </row>
    <row r="38" spans="1:10" ht="12.75" customHeight="1" x14ac:dyDescent="0.25">
      <c r="A38" s="29">
        <f>SUM(E38:G38)/3</f>
        <v>0.66666666666666663</v>
      </c>
      <c r="B38" s="34">
        <f>SUM(E38:J38)/6</f>
        <v>0.69333333333333336</v>
      </c>
      <c r="C38" s="6"/>
      <c r="D38" s="2" t="s">
        <v>7</v>
      </c>
      <c r="E38" s="10">
        <v>0.8</v>
      </c>
      <c r="F38" s="10">
        <v>0.76</v>
      </c>
      <c r="G38" s="10">
        <v>0.44</v>
      </c>
      <c r="H38" s="34">
        <v>0.8</v>
      </c>
      <c r="I38" s="10">
        <v>0.84</v>
      </c>
      <c r="J38" s="10">
        <v>0.52</v>
      </c>
    </row>
    <row r="39" spans="1:10" ht="12.75" customHeight="1" x14ac:dyDescent="0.25">
      <c r="B39" s="35">
        <f>SUM(E39:J39)</f>
        <v>5</v>
      </c>
      <c r="C39" s="6"/>
      <c r="D39" s="2" t="s">
        <v>8</v>
      </c>
      <c r="H39" s="35">
        <v>5</v>
      </c>
    </row>
    <row r="40" spans="1:10" ht="12.75" customHeight="1" x14ac:dyDescent="0.25">
      <c r="A40" s="31">
        <f>SUM(E40:N40)</f>
        <v>7</v>
      </c>
      <c r="B40" s="36">
        <f>SUM(E40:J40)</f>
        <v>7</v>
      </c>
      <c r="C40" s="6"/>
      <c r="D40" s="2" t="s">
        <v>9</v>
      </c>
      <c r="E40">
        <v>0</v>
      </c>
      <c r="H40" s="35">
        <v>7</v>
      </c>
    </row>
    <row r="41" spans="1:10" ht="12.75" customHeight="1" x14ac:dyDescent="0.25">
      <c r="A41" s="27" t="s">
        <v>5</v>
      </c>
      <c r="B41" s="37">
        <v>37514</v>
      </c>
      <c r="C41" s="4" t="s">
        <v>0</v>
      </c>
      <c r="D41" s="1"/>
      <c r="E41" s="8">
        <v>37485</v>
      </c>
      <c r="F41" s="8">
        <v>37485</v>
      </c>
      <c r="G41" s="8">
        <v>37485</v>
      </c>
      <c r="H41" s="49">
        <v>37513</v>
      </c>
      <c r="I41" s="21">
        <v>37513</v>
      </c>
      <c r="J41" s="22">
        <v>37513</v>
      </c>
    </row>
    <row r="42" spans="1:10" ht="12.75" customHeight="1" x14ac:dyDescent="0.25">
      <c r="A42" s="28" t="s">
        <v>6</v>
      </c>
      <c r="B42" s="33" t="s">
        <v>6</v>
      </c>
      <c r="C42" s="5">
        <v>9</v>
      </c>
      <c r="D42" s="2"/>
      <c r="E42" s="9" t="s">
        <v>2</v>
      </c>
      <c r="F42" s="9" t="s">
        <v>3</v>
      </c>
      <c r="G42" s="9" t="s">
        <v>4</v>
      </c>
      <c r="H42" s="50" t="s">
        <v>21</v>
      </c>
      <c r="I42" s="23" t="s">
        <v>22</v>
      </c>
      <c r="J42" s="24" t="s">
        <v>4</v>
      </c>
    </row>
    <row r="43" spans="1:10" ht="12.75" customHeight="1" x14ac:dyDescent="0.25">
      <c r="A43" s="29">
        <f>SUM(E43:G43)/3</f>
        <v>0.68</v>
      </c>
      <c r="B43" s="34">
        <f>SUM(E43:J43)/6</f>
        <v>0.71666666666666667</v>
      </c>
      <c r="C43" s="6"/>
      <c r="D43" s="2" t="s">
        <v>7</v>
      </c>
      <c r="E43" s="10">
        <v>0.8</v>
      </c>
      <c r="F43" s="10">
        <v>0.72</v>
      </c>
      <c r="G43" s="10">
        <v>0.52</v>
      </c>
      <c r="H43" s="34">
        <v>0.82</v>
      </c>
      <c r="I43" s="10">
        <v>0.92</v>
      </c>
      <c r="J43" s="10">
        <v>0.52</v>
      </c>
    </row>
    <row r="44" spans="1:10" ht="12.75" customHeight="1" x14ac:dyDescent="0.25">
      <c r="B44" s="35">
        <f>SUM(E44:J44)</f>
        <v>5</v>
      </c>
      <c r="C44" s="6"/>
      <c r="D44" s="2" t="s">
        <v>8</v>
      </c>
      <c r="H44" s="35">
        <v>5</v>
      </c>
    </row>
    <row r="45" spans="1:10" ht="12.75" customHeight="1" x14ac:dyDescent="0.25">
      <c r="A45" s="31">
        <f>SUM(E45:N45)</f>
        <v>50</v>
      </c>
      <c r="B45" s="36">
        <f>SUM(E45:J45)</f>
        <v>50</v>
      </c>
      <c r="C45" s="6"/>
      <c r="D45" s="2" t="s">
        <v>9</v>
      </c>
      <c r="E45">
        <v>25</v>
      </c>
      <c r="H45" s="35">
        <v>25</v>
      </c>
    </row>
    <row r="46" spans="1:10" ht="12.75" customHeight="1" x14ac:dyDescent="0.25">
      <c r="A46" s="27" t="s">
        <v>5</v>
      </c>
      <c r="B46" s="37">
        <v>37514</v>
      </c>
      <c r="C46" s="4" t="s">
        <v>0</v>
      </c>
      <c r="D46" s="11" t="s">
        <v>10</v>
      </c>
      <c r="E46" s="12">
        <v>37485</v>
      </c>
      <c r="F46" s="12">
        <v>37485</v>
      </c>
      <c r="G46" s="12">
        <v>37485</v>
      </c>
      <c r="H46" s="49">
        <v>37513</v>
      </c>
      <c r="I46" s="42">
        <v>37513</v>
      </c>
      <c r="J46" s="22">
        <v>37513</v>
      </c>
    </row>
    <row r="47" spans="1:10" ht="12.75" customHeight="1" x14ac:dyDescent="0.25">
      <c r="A47" s="28" t="s">
        <v>6</v>
      </c>
      <c r="B47" s="33" t="s">
        <v>6</v>
      </c>
      <c r="C47" s="5">
        <v>10</v>
      </c>
      <c r="D47" s="13"/>
      <c r="E47" s="14" t="s">
        <v>2</v>
      </c>
      <c r="F47" s="14" t="s">
        <v>3</v>
      </c>
      <c r="G47" s="14" t="s">
        <v>4</v>
      </c>
      <c r="H47" s="35" t="s">
        <v>21</v>
      </c>
      <c r="I47" s="14" t="s">
        <v>22</v>
      </c>
      <c r="J47" s="41" t="s">
        <v>4</v>
      </c>
    </row>
    <row r="48" spans="1:10" ht="12.75" customHeight="1" x14ac:dyDescent="0.25">
      <c r="A48" s="29">
        <f>SUM(E48:G48)/3</f>
        <v>0</v>
      </c>
      <c r="B48" s="34">
        <f>SUM(E48:J48)/6</f>
        <v>0</v>
      </c>
      <c r="C48" s="6"/>
      <c r="D48" s="13" t="s">
        <v>7</v>
      </c>
      <c r="E48" s="15"/>
      <c r="F48" s="15"/>
      <c r="G48" s="15"/>
      <c r="I48" s="16"/>
      <c r="J48" s="16"/>
    </row>
    <row r="49" spans="1:10" ht="12.75" customHeight="1" x14ac:dyDescent="0.25">
      <c r="B49" s="35">
        <f>SUM(E49:J49)</f>
        <v>0</v>
      </c>
      <c r="C49" s="6"/>
      <c r="D49" s="13" t="s">
        <v>8</v>
      </c>
      <c r="E49" s="16"/>
      <c r="F49" s="16"/>
      <c r="G49" s="16"/>
      <c r="H49" s="50"/>
      <c r="I49" s="16"/>
      <c r="J49" s="16"/>
    </row>
    <row r="50" spans="1:10" ht="12.75" customHeight="1" x14ac:dyDescent="0.25">
      <c r="A50" s="31">
        <f>SUM(E50:N50)</f>
        <v>0</v>
      </c>
      <c r="B50" s="36">
        <f>SUM(E50:J50)</f>
        <v>0</v>
      </c>
      <c r="C50" s="6"/>
      <c r="D50" s="13" t="s">
        <v>9</v>
      </c>
      <c r="E50" s="16"/>
      <c r="F50" s="16"/>
      <c r="G50" s="16"/>
      <c r="I50" s="16"/>
      <c r="J50" s="16"/>
    </row>
    <row r="51" spans="1:10" ht="12.75" customHeight="1" x14ac:dyDescent="0.25">
      <c r="A51" s="27" t="s">
        <v>5</v>
      </c>
      <c r="B51" s="37">
        <v>37514</v>
      </c>
      <c r="C51" s="4" t="s">
        <v>0</v>
      </c>
      <c r="D51" s="1"/>
      <c r="E51" s="8">
        <v>37485</v>
      </c>
      <c r="F51" s="8">
        <v>37485</v>
      </c>
      <c r="G51" s="8">
        <v>37485</v>
      </c>
      <c r="H51" s="49">
        <v>37513</v>
      </c>
      <c r="I51" s="21">
        <v>37513</v>
      </c>
      <c r="J51" s="22">
        <v>37513</v>
      </c>
    </row>
    <row r="52" spans="1:10" ht="12.75" customHeight="1" x14ac:dyDescent="0.25">
      <c r="A52" s="28" t="s">
        <v>6</v>
      </c>
      <c r="B52" s="33" t="s">
        <v>6</v>
      </c>
      <c r="C52" s="5">
        <v>11</v>
      </c>
      <c r="D52" s="2"/>
      <c r="E52" s="9" t="s">
        <v>2</v>
      </c>
      <c r="F52" s="9" t="s">
        <v>3</v>
      </c>
      <c r="G52" s="9" t="s">
        <v>4</v>
      </c>
      <c r="H52" s="50" t="s">
        <v>21</v>
      </c>
      <c r="I52" s="23" t="s">
        <v>22</v>
      </c>
      <c r="J52" s="24" t="s">
        <v>4</v>
      </c>
    </row>
    <row r="53" spans="1:10" ht="12.75" customHeight="1" x14ac:dyDescent="0.25">
      <c r="A53" s="29">
        <f>SUM(E53:G53)/3</f>
        <v>0.81333333333333335</v>
      </c>
      <c r="B53" s="34">
        <f>SUM(E53:J53)/6</f>
        <v>0.81666666666666654</v>
      </c>
      <c r="C53" s="6"/>
      <c r="D53" s="2" t="s">
        <v>7</v>
      </c>
      <c r="E53" s="10">
        <v>0.72</v>
      </c>
      <c r="F53" s="10">
        <v>0.88</v>
      </c>
      <c r="G53" s="10">
        <v>0.84</v>
      </c>
      <c r="H53" s="34">
        <v>0.86</v>
      </c>
      <c r="I53" s="10">
        <v>0.92</v>
      </c>
      <c r="J53" s="10">
        <v>0.68</v>
      </c>
    </row>
    <row r="54" spans="1:10" ht="12.75" customHeight="1" x14ac:dyDescent="0.25">
      <c r="B54" s="35">
        <f>SUM(E54:J54)</f>
        <v>5</v>
      </c>
      <c r="C54" s="6"/>
      <c r="D54" s="2" t="s">
        <v>8</v>
      </c>
      <c r="H54" s="35">
        <v>5</v>
      </c>
    </row>
    <row r="55" spans="1:10" ht="12.75" customHeight="1" x14ac:dyDescent="0.25">
      <c r="A55" s="31">
        <f>SUM(E55:N55)</f>
        <v>15</v>
      </c>
      <c r="B55" s="36">
        <f>SUM(E55:J55)</f>
        <v>15</v>
      </c>
      <c r="C55" s="6"/>
      <c r="D55" s="2" t="s">
        <v>9</v>
      </c>
      <c r="E55">
        <v>0</v>
      </c>
      <c r="H55" s="35">
        <v>15</v>
      </c>
    </row>
    <row r="56" spans="1:10" ht="12.75" customHeight="1" x14ac:dyDescent="0.25">
      <c r="A56" s="27" t="s">
        <v>5</v>
      </c>
      <c r="B56" s="37">
        <v>37514</v>
      </c>
      <c r="C56" s="4" t="s">
        <v>0</v>
      </c>
      <c r="D56" s="1"/>
      <c r="E56" s="8">
        <v>37485</v>
      </c>
      <c r="F56" s="8">
        <v>37485</v>
      </c>
      <c r="G56" s="8">
        <v>37485</v>
      </c>
      <c r="H56" s="49">
        <v>37513</v>
      </c>
      <c r="I56" s="21">
        <v>37513</v>
      </c>
      <c r="J56" s="22">
        <v>37513</v>
      </c>
    </row>
    <row r="57" spans="1:10" ht="12.75" customHeight="1" x14ac:dyDescent="0.25">
      <c r="A57" s="28" t="s">
        <v>6</v>
      </c>
      <c r="B57" s="33" t="s">
        <v>6</v>
      </c>
      <c r="C57" s="5">
        <v>12</v>
      </c>
      <c r="D57" s="2"/>
      <c r="E57" s="9" t="s">
        <v>2</v>
      </c>
      <c r="F57" s="9" t="s">
        <v>3</v>
      </c>
      <c r="G57" s="9" t="s">
        <v>4</v>
      </c>
      <c r="H57" s="50" t="s">
        <v>21</v>
      </c>
      <c r="I57" s="23" t="s">
        <v>22</v>
      </c>
      <c r="J57" s="24" t="s">
        <v>4</v>
      </c>
    </row>
    <row r="58" spans="1:10" ht="12.75" customHeight="1" x14ac:dyDescent="0.25">
      <c r="A58" s="29">
        <f>SUM(E58:G58)/3</f>
        <v>0.7466666666666667</v>
      </c>
      <c r="B58" s="34">
        <f>SUM(E58:J58)/6</f>
        <v>0.74333333333333351</v>
      </c>
      <c r="C58" s="6"/>
      <c r="D58" s="2" t="s">
        <v>7</v>
      </c>
      <c r="E58" s="10">
        <v>0.8</v>
      </c>
      <c r="F58" s="10">
        <v>0.76</v>
      </c>
      <c r="G58" s="10">
        <v>0.68</v>
      </c>
      <c r="H58" s="34">
        <v>0.78</v>
      </c>
      <c r="I58" s="10">
        <v>0.88</v>
      </c>
      <c r="J58" s="10">
        <v>0.56000000000000005</v>
      </c>
    </row>
    <row r="59" spans="1:10" ht="12.75" customHeight="1" x14ac:dyDescent="0.25">
      <c r="B59" s="35">
        <f>SUM(E59:J59)</f>
        <v>5</v>
      </c>
      <c r="C59" s="6"/>
      <c r="D59" s="2" t="s">
        <v>8</v>
      </c>
      <c r="H59" s="35">
        <v>5</v>
      </c>
    </row>
    <row r="60" spans="1:10" ht="12.75" customHeight="1" x14ac:dyDescent="0.25">
      <c r="A60" s="31">
        <f>SUM(E60:N60)</f>
        <v>26</v>
      </c>
      <c r="B60" s="36">
        <f>SUM(E60:J60)</f>
        <v>26</v>
      </c>
      <c r="C60" s="6"/>
      <c r="D60" s="2" t="s">
        <v>9</v>
      </c>
      <c r="E60">
        <v>4</v>
      </c>
      <c r="H60" s="35">
        <v>22</v>
      </c>
    </row>
    <row r="61" spans="1:10" ht="12.75" customHeight="1" x14ac:dyDescent="0.25">
      <c r="A61" s="27" t="s">
        <v>5</v>
      </c>
      <c r="B61" s="37">
        <v>37514</v>
      </c>
      <c r="C61" s="4" t="s">
        <v>0</v>
      </c>
      <c r="D61" s="1"/>
      <c r="E61" s="8">
        <v>37485</v>
      </c>
      <c r="F61" s="8">
        <v>37485</v>
      </c>
      <c r="G61" s="8">
        <v>37485</v>
      </c>
      <c r="H61" s="49">
        <v>37513</v>
      </c>
      <c r="I61" s="21">
        <v>37513</v>
      </c>
      <c r="J61" s="22">
        <v>37513</v>
      </c>
    </row>
    <row r="62" spans="1:10" ht="12.75" customHeight="1" x14ac:dyDescent="0.25">
      <c r="A62" s="28" t="s">
        <v>6</v>
      </c>
      <c r="B62" s="33" t="s">
        <v>6</v>
      </c>
      <c r="C62" s="5">
        <v>13</v>
      </c>
      <c r="D62" s="2"/>
      <c r="E62" s="9" t="s">
        <v>2</v>
      </c>
      <c r="F62" s="9" t="s">
        <v>3</v>
      </c>
      <c r="G62" s="9" t="s">
        <v>4</v>
      </c>
      <c r="H62" s="50" t="s">
        <v>21</v>
      </c>
      <c r="I62" s="23" t="s">
        <v>22</v>
      </c>
      <c r="J62" s="24" t="s">
        <v>4</v>
      </c>
    </row>
    <row r="63" spans="1:10" ht="12.75" customHeight="1" x14ac:dyDescent="0.25">
      <c r="A63" s="29">
        <f>SUM(E63:G63)/3</f>
        <v>0.72000000000000008</v>
      </c>
      <c r="B63" s="34">
        <f>SUM(E63:J63)/6</f>
        <v>0.73333333333333328</v>
      </c>
      <c r="C63" s="6"/>
      <c r="D63" s="2" t="s">
        <v>7</v>
      </c>
      <c r="E63" s="10">
        <v>0.68</v>
      </c>
      <c r="F63" s="10">
        <v>0.92</v>
      </c>
      <c r="G63" s="10">
        <v>0.56000000000000005</v>
      </c>
      <c r="H63" s="34">
        <v>0.72</v>
      </c>
      <c r="I63" s="10">
        <v>0.92</v>
      </c>
      <c r="J63" s="10">
        <v>0.6</v>
      </c>
    </row>
    <row r="64" spans="1:10" ht="12.75" customHeight="1" x14ac:dyDescent="0.25">
      <c r="B64" s="35">
        <f>SUM(E64:J64)</f>
        <v>5</v>
      </c>
      <c r="C64" s="6"/>
      <c r="D64" s="2" t="s">
        <v>8</v>
      </c>
      <c r="H64" s="35">
        <v>5</v>
      </c>
    </row>
    <row r="65" spans="1:10" ht="12.75" customHeight="1" x14ac:dyDescent="0.25">
      <c r="A65" s="31">
        <f>SUM(E65:N65)</f>
        <v>45</v>
      </c>
      <c r="B65" s="36">
        <f>SUM(E65:J65)</f>
        <v>45</v>
      </c>
      <c r="C65" s="6"/>
      <c r="D65" s="2" t="s">
        <v>9</v>
      </c>
      <c r="E65">
        <v>20</v>
      </c>
      <c r="H65" s="35">
        <v>25</v>
      </c>
    </row>
    <row r="66" spans="1:10" ht="12.75" customHeight="1" x14ac:dyDescent="0.25">
      <c r="A66" s="27" t="s">
        <v>5</v>
      </c>
      <c r="B66" s="37">
        <v>37514</v>
      </c>
      <c r="C66" s="4" t="s">
        <v>0</v>
      </c>
      <c r="D66" s="1"/>
      <c r="E66" s="8">
        <v>37485</v>
      </c>
      <c r="F66" s="8">
        <v>37485</v>
      </c>
      <c r="G66" s="8">
        <v>37485</v>
      </c>
      <c r="H66" s="49">
        <v>37513</v>
      </c>
      <c r="I66" s="21">
        <v>37513</v>
      </c>
      <c r="J66" s="22">
        <v>37513</v>
      </c>
    </row>
    <row r="67" spans="1:10" ht="12.75" customHeight="1" x14ac:dyDescent="0.25">
      <c r="A67" s="28" t="s">
        <v>6</v>
      </c>
      <c r="B67" s="33" t="s">
        <v>6</v>
      </c>
      <c r="C67" s="5">
        <v>14</v>
      </c>
      <c r="D67" s="2"/>
      <c r="E67" s="9" t="s">
        <v>2</v>
      </c>
      <c r="F67" s="9" t="s">
        <v>3</v>
      </c>
      <c r="G67" s="9" t="s">
        <v>4</v>
      </c>
      <c r="H67" s="50" t="s">
        <v>21</v>
      </c>
      <c r="I67" s="23" t="s">
        <v>22</v>
      </c>
      <c r="J67" s="24" t="s">
        <v>4</v>
      </c>
    </row>
    <row r="68" spans="1:10" ht="12.75" customHeight="1" x14ac:dyDescent="0.25">
      <c r="A68" s="29">
        <f>SUM(E68:G68)/3</f>
        <v>0.48000000000000004</v>
      </c>
      <c r="B68" s="34">
        <f>SUM(E68:J68)/6</f>
        <v>0.56333333333333335</v>
      </c>
      <c r="C68" s="6"/>
      <c r="D68" s="2" t="s">
        <v>7</v>
      </c>
      <c r="E68" s="10">
        <v>0.6</v>
      </c>
      <c r="F68" s="10">
        <v>0.52</v>
      </c>
      <c r="G68" s="10">
        <v>0.32</v>
      </c>
      <c r="H68" s="34">
        <v>0.82</v>
      </c>
      <c r="I68" s="10">
        <v>0.76</v>
      </c>
      <c r="J68" s="10">
        <v>0.36</v>
      </c>
    </row>
    <row r="69" spans="1:10" ht="12.75" customHeight="1" x14ac:dyDescent="0.25">
      <c r="B69" s="35">
        <f>SUM(E69:J69)</f>
        <v>5</v>
      </c>
      <c r="C69" s="6"/>
      <c r="D69" s="2" t="s">
        <v>8</v>
      </c>
      <c r="H69" s="35">
        <v>5</v>
      </c>
    </row>
    <row r="70" spans="1:10" ht="12.75" customHeight="1" x14ac:dyDescent="0.25">
      <c r="A70" s="31">
        <f>SUM(E70:N70)</f>
        <v>44</v>
      </c>
      <c r="B70" s="36">
        <f>SUM(E70:J70)</f>
        <v>44</v>
      </c>
      <c r="C70" s="6"/>
      <c r="D70" s="2" t="s">
        <v>9</v>
      </c>
      <c r="E70">
        <v>25</v>
      </c>
      <c r="H70" s="35">
        <v>19</v>
      </c>
    </row>
    <row r="71" spans="1:10" ht="12.75" customHeight="1" x14ac:dyDescent="0.25">
      <c r="A71" s="27" t="s">
        <v>5</v>
      </c>
      <c r="B71" s="37">
        <v>37514</v>
      </c>
      <c r="C71" s="4" t="s">
        <v>0</v>
      </c>
      <c r="D71" s="1"/>
      <c r="E71" s="8">
        <v>37485</v>
      </c>
      <c r="F71" s="8">
        <v>37485</v>
      </c>
      <c r="G71" s="8">
        <v>37485</v>
      </c>
      <c r="H71" s="49">
        <v>37513</v>
      </c>
      <c r="I71" s="21">
        <v>37513</v>
      </c>
      <c r="J71" s="22">
        <v>37513</v>
      </c>
    </row>
    <row r="72" spans="1:10" ht="12.75" customHeight="1" x14ac:dyDescent="0.25">
      <c r="A72" s="28" t="s">
        <v>6</v>
      </c>
      <c r="B72" s="33" t="s">
        <v>6</v>
      </c>
      <c r="C72" s="5">
        <v>15</v>
      </c>
      <c r="D72" s="2"/>
      <c r="E72" s="9" t="s">
        <v>2</v>
      </c>
      <c r="F72" s="9" t="s">
        <v>3</v>
      </c>
      <c r="G72" s="9" t="s">
        <v>4</v>
      </c>
      <c r="H72" s="50" t="s">
        <v>21</v>
      </c>
      <c r="I72" s="23" t="s">
        <v>22</v>
      </c>
      <c r="J72" s="24" t="s">
        <v>4</v>
      </c>
    </row>
    <row r="73" spans="1:10" ht="12.75" customHeight="1" x14ac:dyDescent="0.25">
      <c r="A73" s="29">
        <f>SUM(E73:G73)/3</f>
        <v>0.69333333333333336</v>
      </c>
      <c r="B73" s="34">
        <f>SUM(E73:J73)/6</f>
        <v>0.71</v>
      </c>
      <c r="C73" s="6"/>
      <c r="D73" s="2" t="s">
        <v>7</v>
      </c>
      <c r="E73" s="10">
        <v>0.84</v>
      </c>
      <c r="F73" s="10">
        <v>0.68</v>
      </c>
      <c r="G73" s="10">
        <v>0.56000000000000005</v>
      </c>
      <c r="H73" s="34">
        <v>0.78</v>
      </c>
      <c r="I73" s="10">
        <v>0.92</v>
      </c>
      <c r="J73" s="10">
        <v>0.48</v>
      </c>
    </row>
    <row r="74" spans="1:10" ht="12.75" customHeight="1" x14ac:dyDescent="0.25">
      <c r="B74" s="35">
        <f>SUM(E74:J74)</f>
        <v>5</v>
      </c>
      <c r="C74" s="6"/>
      <c r="D74" s="2" t="s">
        <v>8</v>
      </c>
      <c r="H74" s="35">
        <v>5</v>
      </c>
    </row>
    <row r="75" spans="1:10" ht="12.75" customHeight="1" x14ac:dyDescent="0.25">
      <c r="A75" s="31">
        <f>SUM(E75:N75)</f>
        <v>46</v>
      </c>
      <c r="B75" s="36">
        <f>SUM(E75:J75)</f>
        <v>46</v>
      </c>
      <c r="C75" s="6"/>
      <c r="D75" s="2" t="s">
        <v>9</v>
      </c>
      <c r="E75">
        <v>9</v>
      </c>
      <c r="H75" s="35">
        <v>37</v>
      </c>
    </row>
    <row r="76" spans="1:10" ht="12.75" customHeight="1" x14ac:dyDescent="0.25">
      <c r="A76" s="27" t="s">
        <v>5</v>
      </c>
      <c r="B76" s="37">
        <v>37514</v>
      </c>
      <c r="C76" s="4" t="s">
        <v>0</v>
      </c>
      <c r="D76" s="1"/>
      <c r="E76" s="8">
        <v>37485</v>
      </c>
      <c r="F76" s="8">
        <v>37485</v>
      </c>
      <c r="G76" s="8">
        <v>37485</v>
      </c>
      <c r="H76" s="49">
        <v>37513</v>
      </c>
      <c r="I76" s="21">
        <v>37513</v>
      </c>
      <c r="J76" s="22">
        <v>37513</v>
      </c>
    </row>
    <row r="77" spans="1:10" ht="12.75" customHeight="1" x14ac:dyDescent="0.25">
      <c r="A77" s="28" t="s">
        <v>6</v>
      </c>
      <c r="B77" s="33" t="s">
        <v>6</v>
      </c>
      <c r="C77" s="5">
        <v>16</v>
      </c>
      <c r="D77" s="2"/>
      <c r="E77" s="9" t="s">
        <v>2</v>
      </c>
      <c r="F77" s="9" t="s">
        <v>3</v>
      </c>
      <c r="G77" s="9" t="s">
        <v>4</v>
      </c>
      <c r="H77" s="50" t="s">
        <v>21</v>
      </c>
      <c r="I77" s="23" t="s">
        <v>22</v>
      </c>
      <c r="J77" s="24" t="s">
        <v>4</v>
      </c>
    </row>
    <row r="78" spans="1:10" ht="12.75" customHeight="1" x14ac:dyDescent="0.25">
      <c r="A78" s="29">
        <f>SUM(E78:G78)/3</f>
        <v>0.8933333333333332</v>
      </c>
      <c r="B78" s="34">
        <f>SUM(E78:J78)/6</f>
        <v>0.87999999999999989</v>
      </c>
      <c r="C78" s="6"/>
      <c r="D78" s="2" t="s">
        <v>7</v>
      </c>
      <c r="E78" s="10">
        <v>0.96</v>
      </c>
      <c r="F78" s="10">
        <v>0.84</v>
      </c>
      <c r="G78" s="10">
        <v>0.88</v>
      </c>
      <c r="H78" s="34">
        <v>0.92</v>
      </c>
      <c r="I78" s="10">
        <v>0.92</v>
      </c>
      <c r="J78" s="10">
        <v>0.76</v>
      </c>
    </row>
    <row r="79" spans="1:10" ht="12.75" customHeight="1" x14ac:dyDescent="0.25">
      <c r="B79" s="35">
        <f>SUM(E79:J79)</f>
        <v>5</v>
      </c>
      <c r="C79" s="6"/>
      <c r="D79" s="2" t="s">
        <v>8</v>
      </c>
      <c r="H79" s="35">
        <v>5</v>
      </c>
    </row>
    <row r="80" spans="1:10" ht="12.75" customHeight="1" x14ac:dyDescent="0.25">
      <c r="A80" s="31">
        <f>SUM(E80:N80)</f>
        <v>40</v>
      </c>
      <c r="B80" s="36">
        <f>SUM(E80:J80)</f>
        <v>40</v>
      </c>
      <c r="C80" s="6"/>
      <c r="D80" s="2" t="s">
        <v>9</v>
      </c>
      <c r="E80">
        <v>0</v>
      </c>
      <c r="H80" s="35">
        <v>40</v>
      </c>
    </row>
    <row r="81" spans="1:10" ht="12.75" customHeight="1" x14ac:dyDescent="0.25">
      <c r="A81" s="27" t="s">
        <v>5</v>
      </c>
      <c r="B81" s="37">
        <v>37514</v>
      </c>
      <c r="C81" s="4" t="s">
        <v>0</v>
      </c>
      <c r="D81" s="1"/>
      <c r="E81" s="8">
        <v>37485</v>
      </c>
      <c r="F81" s="8">
        <v>37485</v>
      </c>
      <c r="G81" s="8">
        <v>37485</v>
      </c>
      <c r="H81" s="49">
        <v>37513</v>
      </c>
      <c r="I81" s="21">
        <v>37513</v>
      </c>
      <c r="J81" s="22">
        <v>37513</v>
      </c>
    </row>
    <row r="82" spans="1:10" ht="12.75" customHeight="1" x14ac:dyDescent="0.25">
      <c r="A82" s="28" t="s">
        <v>6</v>
      </c>
      <c r="B82" s="33" t="s">
        <v>6</v>
      </c>
      <c r="C82" s="5">
        <v>17</v>
      </c>
      <c r="D82" s="2"/>
      <c r="E82" s="9" t="s">
        <v>2</v>
      </c>
      <c r="F82" s="9" t="s">
        <v>3</v>
      </c>
      <c r="G82" s="9" t="s">
        <v>4</v>
      </c>
      <c r="H82" s="50" t="s">
        <v>21</v>
      </c>
      <c r="I82" s="23" t="s">
        <v>22</v>
      </c>
      <c r="J82" s="24" t="s">
        <v>4</v>
      </c>
    </row>
    <row r="83" spans="1:10" ht="12.75" customHeight="1" x14ac:dyDescent="0.25">
      <c r="A83" s="29">
        <f>SUM(E83:G83)/3</f>
        <v>0.72000000000000008</v>
      </c>
      <c r="B83" s="34">
        <f>SUM(E83:J83)/6</f>
        <v>0.77666666666666651</v>
      </c>
      <c r="C83" s="6"/>
      <c r="D83" s="2" t="s">
        <v>7</v>
      </c>
      <c r="E83" s="10">
        <v>0.84</v>
      </c>
      <c r="F83" s="10">
        <v>0.76</v>
      </c>
      <c r="G83" s="10">
        <v>0.56000000000000005</v>
      </c>
      <c r="H83" s="34">
        <v>0.86</v>
      </c>
      <c r="I83" s="10">
        <v>1</v>
      </c>
      <c r="J83" s="10">
        <v>0.64</v>
      </c>
    </row>
    <row r="84" spans="1:10" ht="12.75" customHeight="1" x14ac:dyDescent="0.25">
      <c r="B84" s="35">
        <f>SUM(E84:J84)</f>
        <v>5</v>
      </c>
      <c r="C84" s="6"/>
      <c r="D84" s="2" t="s">
        <v>8</v>
      </c>
      <c r="H84" s="35">
        <v>5</v>
      </c>
    </row>
    <row r="85" spans="1:10" ht="12.75" customHeight="1" x14ac:dyDescent="0.25">
      <c r="A85" s="31">
        <f>SUM(E85:N85)</f>
        <v>11</v>
      </c>
      <c r="B85" s="36">
        <f>SUM(E85:J85)</f>
        <v>11</v>
      </c>
      <c r="C85" s="6"/>
      <c r="D85" s="2" t="s">
        <v>9</v>
      </c>
      <c r="E85">
        <v>5</v>
      </c>
      <c r="H85" s="35">
        <v>6</v>
      </c>
    </row>
    <row r="86" spans="1:10" ht="12.75" customHeight="1" x14ac:dyDescent="0.25">
      <c r="A86" s="27" t="s">
        <v>5</v>
      </c>
      <c r="B86" s="37">
        <v>37514</v>
      </c>
      <c r="C86" s="4" t="s">
        <v>0</v>
      </c>
      <c r="D86" s="1"/>
      <c r="E86" s="8">
        <v>37485</v>
      </c>
      <c r="F86" s="8">
        <v>37485</v>
      </c>
      <c r="G86" s="8">
        <v>37485</v>
      </c>
      <c r="H86" s="49">
        <v>37513</v>
      </c>
      <c r="I86" s="21">
        <v>37513</v>
      </c>
      <c r="J86" s="22">
        <v>37513</v>
      </c>
    </row>
    <row r="87" spans="1:10" ht="12.75" customHeight="1" x14ac:dyDescent="0.25">
      <c r="A87" s="28" t="s">
        <v>6</v>
      </c>
      <c r="B87" s="33" t="s">
        <v>6</v>
      </c>
      <c r="C87" s="5">
        <v>18</v>
      </c>
      <c r="D87" s="2"/>
      <c r="E87" s="9" t="s">
        <v>2</v>
      </c>
      <c r="F87" s="9" t="s">
        <v>3</v>
      </c>
      <c r="G87" s="9" t="s">
        <v>4</v>
      </c>
      <c r="H87" s="50" t="s">
        <v>21</v>
      </c>
      <c r="I87" s="23" t="s">
        <v>22</v>
      </c>
      <c r="J87" s="24" t="s">
        <v>4</v>
      </c>
    </row>
    <row r="88" spans="1:10" ht="12.75" customHeight="1" x14ac:dyDescent="0.25">
      <c r="A88" s="29">
        <f>SUM(E88:G88)/3</f>
        <v>0.7466666666666667</v>
      </c>
      <c r="B88" s="34">
        <f>SUM(E88:J88)/6</f>
        <v>0.75666666666666682</v>
      </c>
      <c r="C88" s="6"/>
      <c r="D88" s="2" t="s">
        <v>7</v>
      </c>
      <c r="E88" s="10">
        <v>0.84</v>
      </c>
      <c r="F88" s="10">
        <v>0.76</v>
      </c>
      <c r="G88" s="10">
        <v>0.64</v>
      </c>
      <c r="H88" s="34">
        <v>0.78</v>
      </c>
      <c r="I88" s="10">
        <v>0.96</v>
      </c>
      <c r="J88" s="10">
        <v>0.56000000000000005</v>
      </c>
    </row>
    <row r="89" spans="1:10" ht="12.75" customHeight="1" x14ac:dyDescent="0.25">
      <c r="B89" s="35">
        <f>SUM(E89:J89)</f>
        <v>5</v>
      </c>
      <c r="C89" s="6"/>
      <c r="D89" s="2" t="s">
        <v>8</v>
      </c>
      <c r="H89" s="35">
        <v>5</v>
      </c>
    </row>
    <row r="90" spans="1:10" ht="12.75" customHeight="1" x14ac:dyDescent="0.25">
      <c r="A90" s="31">
        <f>SUM(E90:N90)</f>
        <v>155</v>
      </c>
      <c r="B90" s="36">
        <f>SUM(E90:J90)</f>
        <v>155</v>
      </c>
      <c r="C90" s="6"/>
      <c r="D90" s="2" t="s">
        <v>9</v>
      </c>
      <c r="E90">
        <v>50</v>
      </c>
      <c r="H90" s="35">
        <v>105</v>
      </c>
    </row>
    <row r="91" spans="1:10" ht="12.75" customHeight="1" x14ac:dyDescent="0.25">
      <c r="A91" s="27" t="s">
        <v>5</v>
      </c>
      <c r="B91" s="37">
        <v>37514</v>
      </c>
      <c r="C91" s="4" t="s">
        <v>0</v>
      </c>
      <c r="D91" s="1"/>
      <c r="E91" s="8">
        <v>37485</v>
      </c>
      <c r="F91" s="8">
        <v>37485</v>
      </c>
      <c r="G91" s="8">
        <v>37485</v>
      </c>
      <c r="H91" s="49">
        <v>37513</v>
      </c>
      <c r="I91" s="21">
        <v>37513</v>
      </c>
      <c r="J91" s="22">
        <v>37513</v>
      </c>
    </row>
    <row r="92" spans="1:10" ht="12.75" customHeight="1" x14ac:dyDescent="0.25">
      <c r="A92" s="28" t="s">
        <v>6</v>
      </c>
      <c r="B92" s="33" t="s">
        <v>6</v>
      </c>
      <c r="C92" s="5">
        <v>19</v>
      </c>
      <c r="D92" s="2"/>
      <c r="E92" s="9" t="s">
        <v>2</v>
      </c>
      <c r="F92" s="9" t="s">
        <v>3</v>
      </c>
      <c r="G92" s="9" t="s">
        <v>4</v>
      </c>
      <c r="H92" s="50" t="s">
        <v>21</v>
      </c>
      <c r="I92" s="23" t="s">
        <v>22</v>
      </c>
      <c r="J92" s="24" t="s">
        <v>4</v>
      </c>
    </row>
    <row r="93" spans="1:10" ht="12.75" customHeight="1" x14ac:dyDescent="0.25">
      <c r="A93" s="29">
        <f>SUM(E93:G93)/3</f>
        <v>0.76000000000000012</v>
      </c>
      <c r="B93" s="34">
        <f>SUM(E93:J93)/6</f>
        <v>0.78333333333333333</v>
      </c>
      <c r="C93" s="6"/>
      <c r="D93" s="2" t="s">
        <v>7</v>
      </c>
      <c r="E93" s="10">
        <v>0.72</v>
      </c>
      <c r="F93" s="10">
        <v>0.84</v>
      </c>
      <c r="G93" s="10">
        <v>0.72</v>
      </c>
      <c r="H93" s="34">
        <v>0.86</v>
      </c>
      <c r="I93" s="10">
        <v>0.92</v>
      </c>
      <c r="J93" s="10">
        <v>0.64</v>
      </c>
    </row>
    <row r="94" spans="1:10" ht="12.75" customHeight="1" x14ac:dyDescent="0.25">
      <c r="B94" s="35">
        <f>SUM(E94:J94)</f>
        <v>5</v>
      </c>
      <c r="C94" s="6"/>
      <c r="D94" s="2" t="s">
        <v>8</v>
      </c>
      <c r="H94" s="35">
        <v>5</v>
      </c>
    </row>
    <row r="95" spans="1:10" ht="12.75" customHeight="1" x14ac:dyDescent="0.25">
      <c r="A95" s="31">
        <f>SUM(E95:N95)</f>
        <v>50</v>
      </c>
      <c r="B95" s="36">
        <f>SUM(E95:J95)</f>
        <v>50</v>
      </c>
      <c r="C95" s="6"/>
      <c r="D95" s="2" t="s">
        <v>9</v>
      </c>
      <c r="E95">
        <v>25</v>
      </c>
      <c r="H95" s="35">
        <v>25</v>
      </c>
    </row>
    <row r="96" spans="1:10" ht="12.75" customHeight="1" x14ac:dyDescent="0.25">
      <c r="A96" s="27" t="s">
        <v>5</v>
      </c>
      <c r="B96" s="37">
        <v>37514</v>
      </c>
      <c r="C96" s="4" t="s">
        <v>0</v>
      </c>
      <c r="D96" s="1"/>
      <c r="E96" s="8">
        <v>37485</v>
      </c>
      <c r="F96" s="8">
        <v>37485</v>
      </c>
      <c r="G96" s="8">
        <v>37485</v>
      </c>
      <c r="H96" s="49">
        <v>37513</v>
      </c>
      <c r="I96" s="21">
        <v>37513</v>
      </c>
      <c r="J96" s="22">
        <v>37513</v>
      </c>
    </row>
    <row r="97" spans="1:10" ht="12.75" customHeight="1" x14ac:dyDescent="0.25">
      <c r="A97" s="28" t="s">
        <v>6</v>
      </c>
      <c r="B97" s="33" t="s">
        <v>6</v>
      </c>
      <c r="C97" s="5">
        <v>20</v>
      </c>
      <c r="D97" s="2"/>
      <c r="E97" s="9" t="s">
        <v>2</v>
      </c>
      <c r="F97" s="9" t="s">
        <v>3</v>
      </c>
      <c r="G97" s="9" t="s">
        <v>4</v>
      </c>
      <c r="H97" s="50" t="s">
        <v>21</v>
      </c>
      <c r="I97" s="23" t="s">
        <v>22</v>
      </c>
      <c r="J97" s="24" t="s">
        <v>4</v>
      </c>
    </row>
    <row r="98" spans="1:10" ht="12.75" customHeight="1" x14ac:dyDescent="0.25">
      <c r="A98" s="29">
        <f>SUM(E98:G98)/3</f>
        <v>0.89333333333333342</v>
      </c>
      <c r="B98" s="34">
        <f>SUM(E98:J98)/6</f>
        <v>0.8933333333333332</v>
      </c>
      <c r="C98" s="6"/>
      <c r="D98" s="2" t="s">
        <v>7</v>
      </c>
      <c r="E98" s="10">
        <v>0.92</v>
      </c>
      <c r="F98" s="10">
        <v>0.8</v>
      </c>
      <c r="G98" s="10">
        <v>0.96</v>
      </c>
      <c r="H98" s="34">
        <v>0.84</v>
      </c>
      <c r="I98" s="10">
        <v>1</v>
      </c>
      <c r="J98" s="10">
        <v>0.84</v>
      </c>
    </row>
    <row r="99" spans="1:10" ht="12.75" customHeight="1" x14ac:dyDescent="0.25">
      <c r="B99" s="35">
        <f>SUM(E99:J99)</f>
        <v>5</v>
      </c>
      <c r="C99" s="6"/>
      <c r="D99" s="2" t="s">
        <v>8</v>
      </c>
      <c r="H99" s="35">
        <v>5</v>
      </c>
    </row>
    <row r="100" spans="1:10" ht="12.75" customHeight="1" x14ac:dyDescent="0.25">
      <c r="A100" s="31">
        <f>SUM(E100:N100)</f>
        <v>3</v>
      </c>
      <c r="B100" s="36">
        <f>SUM(E100:J100)</f>
        <v>3</v>
      </c>
      <c r="C100" s="6"/>
      <c r="D100" s="2" t="s">
        <v>9</v>
      </c>
      <c r="E100">
        <v>0</v>
      </c>
      <c r="H100" s="35">
        <v>3</v>
      </c>
    </row>
    <row r="101" spans="1:10" ht="12.75" customHeight="1" x14ac:dyDescent="0.25">
      <c r="A101" s="27" t="s">
        <v>5</v>
      </c>
      <c r="B101" s="37">
        <v>37514</v>
      </c>
      <c r="C101" s="4" t="s">
        <v>0</v>
      </c>
      <c r="D101" s="1"/>
      <c r="E101" s="8">
        <v>37485</v>
      </c>
      <c r="F101" s="8">
        <v>37485</v>
      </c>
      <c r="G101" s="8">
        <v>37485</v>
      </c>
      <c r="H101" s="49">
        <v>37513</v>
      </c>
      <c r="I101" s="21">
        <v>37513</v>
      </c>
      <c r="J101" s="22">
        <v>37513</v>
      </c>
    </row>
    <row r="102" spans="1:10" ht="12.75" customHeight="1" x14ac:dyDescent="0.25">
      <c r="A102" s="28" t="s">
        <v>6</v>
      </c>
      <c r="B102" s="33" t="s">
        <v>6</v>
      </c>
      <c r="C102" s="5">
        <v>21</v>
      </c>
      <c r="D102" s="2"/>
      <c r="E102" s="9" t="s">
        <v>2</v>
      </c>
      <c r="F102" s="9" t="s">
        <v>3</v>
      </c>
      <c r="G102" s="9" t="s">
        <v>4</v>
      </c>
      <c r="H102" s="50" t="s">
        <v>21</v>
      </c>
      <c r="I102" s="23" t="s">
        <v>22</v>
      </c>
      <c r="J102" s="24" t="s">
        <v>4</v>
      </c>
    </row>
    <row r="103" spans="1:10" ht="12.75" customHeight="1" x14ac:dyDescent="0.25">
      <c r="A103" s="29">
        <f>SUM(E103:G103)/3</f>
        <v>0.97333333333333327</v>
      </c>
      <c r="B103" s="34">
        <f>SUM(E103:J103)/6</f>
        <v>0.94</v>
      </c>
      <c r="C103" s="6"/>
      <c r="D103" s="2" t="s">
        <v>7</v>
      </c>
      <c r="E103" s="10">
        <v>1</v>
      </c>
      <c r="F103" s="10">
        <v>0.96</v>
      </c>
      <c r="G103" s="10">
        <v>0.96</v>
      </c>
      <c r="H103" s="34">
        <v>0.92</v>
      </c>
      <c r="I103" s="10">
        <v>1</v>
      </c>
      <c r="J103" s="10">
        <v>0.8</v>
      </c>
    </row>
    <row r="104" spans="1:10" ht="12.75" customHeight="1" x14ac:dyDescent="0.25">
      <c r="B104" s="35">
        <f>SUM(E104:J104)</f>
        <v>5</v>
      </c>
      <c r="C104" s="6"/>
      <c r="D104" s="2" t="s">
        <v>8</v>
      </c>
      <c r="H104" s="35">
        <v>5</v>
      </c>
    </row>
    <row r="105" spans="1:10" ht="12.75" customHeight="1" x14ac:dyDescent="0.25">
      <c r="A105" s="31">
        <f>SUM(E105:N105)</f>
        <v>9</v>
      </c>
      <c r="B105" s="36">
        <f>SUM(E105:J105)</f>
        <v>9</v>
      </c>
      <c r="C105" s="6"/>
      <c r="D105" s="2" t="s">
        <v>9</v>
      </c>
      <c r="E105">
        <v>0</v>
      </c>
      <c r="H105" s="35">
        <v>9</v>
      </c>
    </row>
    <row r="106" spans="1:10" ht="12.75" customHeight="1" x14ac:dyDescent="0.25">
      <c r="A106" s="27" t="s">
        <v>5</v>
      </c>
      <c r="B106" s="37">
        <v>37514</v>
      </c>
      <c r="C106" s="4" t="s">
        <v>0</v>
      </c>
      <c r="D106" s="1"/>
      <c r="E106" s="8">
        <v>37485</v>
      </c>
      <c r="F106" s="8">
        <v>37485</v>
      </c>
      <c r="G106" s="8">
        <v>37485</v>
      </c>
      <c r="H106" s="49">
        <v>37513</v>
      </c>
      <c r="I106" s="21">
        <v>37513</v>
      </c>
      <c r="J106" s="22">
        <v>37513</v>
      </c>
    </row>
    <row r="107" spans="1:10" ht="12.75" customHeight="1" x14ac:dyDescent="0.25">
      <c r="A107" s="28" t="s">
        <v>6</v>
      </c>
      <c r="B107" s="33" t="s">
        <v>6</v>
      </c>
      <c r="C107" s="5">
        <v>22</v>
      </c>
      <c r="D107" s="2"/>
      <c r="E107" s="9" t="s">
        <v>2</v>
      </c>
      <c r="F107" s="9" t="s">
        <v>3</v>
      </c>
      <c r="G107" s="9" t="s">
        <v>4</v>
      </c>
      <c r="H107" s="50" t="s">
        <v>21</v>
      </c>
      <c r="I107" s="23" t="s">
        <v>22</v>
      </c>
      <c r="J107" s="24" t="s">
        <v>4</v>
      </c>
    </row>
    <row r="108" spans="1:10" ht="12.75" customHeight="1" x14ac:dyDescent="0.25">
      <c r="A108" s="29">
        <f>SUM(E108:G108)/3</f>
        <v>0.37333333333333335</v>
      </c>
      <c r="B108" s="34">
        <f>SUM(E108:J108)/6</f>
        <v>0.53</v>
      </c>
      <c r="C108" s="6"/>
      <c r="D108" s="2" t="s">
        <v>7</v>
      </c>
      <c r="E108" s="10">
        <v>0.44</v>
      </c>
      <c r="F108" s="10">
        <v>0.44</v>
      </c>
      <c r="G108" s="10">
        <v>0.24</v>
      </c>
      <c r="H108" s="34">
        <v>0.74</v>
      </c>
      <c r="I108" s="10">
        <v>0.88</v>
      </c>
      <c r="J108" s="10">
        <v>0.44</v>
      </c>
    </row>
    <row r="109" spans="1:10" ht="12.75" customHeight="1" x14ac:dyDescent="0.25">
      <c r="B109" s="35">
        <f>SUM(E109:J109)</f>
        <v>5</v>
      </c>
      <c r="C109" s="6"/>
      <c r="D109" s="2" t="s">
        <v>8</v>
      </c>
      <c r="H109" s="35">
        <v>5</v>
      </c>
    </row>
    <row r="110" spans="1:10" ht="12.75" customHeight="1" x14ac:dyDescent="0.25">
      <c r="A110" s="31">
        <f>SUM(E110:N110)</f>
        <v>39</v>
      </c>
      <c r="B110" s="36">
        <f>SUM(E110:J110)</f>
        <v>39</v>
      </c>
      <c r="C110" s="6"/>
      <c r="D110" s="2" t="s">
        <v>9</v>
      </c>
      <c r="E110">
        <v>0</v>
      </c>
      <c r="H110" s="35">
        <v>39</v>
      </c>
    </row>
    <row r="111" spans="1:10" ht="12.75" customHeight="1" x14ac:dyDescent="0.25">
      <c r="A111" s="27" t="s">
        <v>5</v>
      </c>
      <c r="B111" s="37">
        <v>37514</v>
      </c>
      <c r="C111" s="4" t="s">
        <v>0</v>
      </c>
      <c r="D111" s="1"/>
      <c r="E111" s="8">
        <v>37485</v>
      </c>
      <c r="F111" s="8">
        <v>37485</v>
      </c>
      <c r="G111" s="8">
        <v>37485</v>
      </c>
      <c r="H111" s="49">
        <v>37513</v>
      </c>
      <c r="I111" s="21">
        <v>37513</v>
      </c>
      <c r="J111" s="22">
        <v>37513</v>
      </c>
    </row>
    <row r="112" spans="1:10" ht="12.75" customHeight="1" x14ac:dyDescent="0.25">
      <c r="A112" s="28" t="s">
        <v>6</v>
      </c>
      <c r="B112" s="33" t="s">
        <v>6</v>
      </c>
      <c r="C112" s="5">
        <v>23</v>
      </c>
      <c r="D112" s="2"/>
      <c r="E112" s="9" t="s">
        <v>2</v>
      </c>
      <c r="F112" s="9" t="s">
        <v>3</v>
      </c>
      <c r="G112" s="9" t="s">
        <v>4</v>
      </c>
      <c r="H112" s="50" t="s">
        <v>21</v>
      </c>
      <c r="I112" s="23" t="s">
        <v>22</v>
      </c>
      <c r="J112" s="24" t="s">
        <v>4</v>
      </c>
    </row>
    <row r="113" spans="1:10" ht="12.75" customHeight="1" x14ac:dyDescent="0.25">
      <c r="A113" s="29">
        <f>SUM(E113:G113)/3</f>
        <v>0.69333333333333336</v>
      </c>
      <c r="B113" s="34">
        <f>SUM(E113:J113)/6</f>
        <v>0.74333333333333329</v>
      </c>
      <c r="C113" s="6"/>
      <c r="D113" s="2" t="s">
        <v>7</v>
      </c>
      <c r="E113" s="10">
        <v>0.92</v>
      </c>
      <c r="F113" s="10">
        <v>0.68</v>
      </c>
      <c r="G113" s="10">
        <v>0.48</v>
      </c>
      <c r="H113" s="34">
        <v>0.9</v>
      </c>
      <c r="I113" s="10">
        <v>0.92</v>
      </c>
      <c r="J113" s="10">
        <v>0.56000000000000005</v>
      </c>
    </row>
    <row r="114" spans="1:10" ht="12.75" customHeight="1" x14ac:dyDescent="0.25">
      <c r="B114" s="35">
        <f>SUM(E114:J114)</f>
        <v>5</v>
      </c>
      <c r="C114" s="6"/>
      <c r="D114" s="2" t="s">
        <v>8</v>
      </c>
      <c r="H114" s="35">
        <v>5</v>
      </c>
    </row>
    <row r="115" spans="1:10" ht="12.75" customHeight="1" x14ac:dyDescent="0.25">
      <c r="A115" s="31">
        <f>SUM(E115:N115)</f>
        <v>6</v>
      </c>
      <c r="B115" s="36">
        <f>SUM(E115:J115)</f>
        <v>6</v>
      </c>
      <c r="C115" s="6"/>
      <c r="D115" s="2" t="s">
        <v>9</v>
      </c>
      <c r="E115">
        <v>2</v>
      </c>
      <c r="H115" s="35">
        <v>4</v>
      </c>
    </row>
    <row r="116" spans="1:10" ht="12.75" customHeight="1" x14ac:dyDescent="0.25">
      <c r="A116" s="27" t="s">
        <v>5</v>
      </c>
      <c r="B116" s="37">
        <v>37514</v>
      </c>
      <c r="C116" s="4" t="s">
        <v>0</v>
      </c>
      <c r="D116" s="1"/>
      <c r="E116" s="8">
        <v>37485</v>
      </c>
      <c r="F116" s="8">
        <v>37485</v>
      </c>
      <c r="G116" s="8">
        <v>37485</v>
      </c>
      <c r="H116" s="49">
        <v>37513</v>
      </c>
      <c r="I116" s="21">
        <v>37513</v>
      </c>
      <c r="J116" s="22">
        <v>37513</v>
      </c>
    </row>
    <row r="117" spans="1:10" ht="12.75" customHeight="1" x14ac:dyDescent="0.25">
      <c r="A117" s="28" t="s">
        <v>6</v>
      </c>
      <c r="B117" s="33" t="s">
        <v>6</v>
      </c>
      <c r="C117" s="5">
        <v>24</v>
      </c>
      <c r="D117" s="2"/>
      <c r="E117" s="9" t="s">
        <v>2</v>
      </c>
      <c r="F117" s="9" t="s">
        <v>3</v>
      </c>
      <c r="G117" s="9" t="s">
        <v>4</v>
      </c>
      <c r="H117" s="50" t="s">
        <v>21</v>
      </c>
      <c r="I117" s="23" t="s">
        <v>22</v>
      </c>
      <c r="J117" s="24" t="s">
        <v>4</v>
      </c>
    </row>
    <row r="118" spans="1:10" ht="12.75" customHeight="1" x14ac:dyDescent="0.25">
      <c r="A118" s="29">
        <f>SUM(E118:G118)/3</f>
        <v>0.85333333333333339</v>
      </c>
      <c r="B118" s="34">
        <f>SUM(E118:J118)/6</f>
        <v>0.87</v>
      </c>
      <c r="C118" s="6"/>
      <c r="D118" s="2" t="s">
        <v>7</v>
      </c>
      <c r="E118" s="10">
        <v>0.92</v>
      </c>
      <c r="F118" s="10">
        <v>0.84</v>
      </c>
      <c r="G118" s="10">
        <v>0.8</v>
      </c>
      <c r="H118" s="34">
        <v>0.9</v>
      </c>
      <c r="I118" s="10">
        <v>0.88</v>
      </c>
      <c r="J118" s="10">
        <v>0.88</v>
      </c>
    </row>
    <row r="119" spans="1:10" ht="12.75" customHeight="1" x14ac:dyDescent="0.25">
      <c r="B119" s="35">
        <f>SUM(E119:J119)</f>
        <v>5</v>
      </c>
      <c r="D119" s="2" t="s">
        <v>8</v>
      </c>
      <c r="H119" s="35">
        <v>5</v>
      </c>
    </row>
    <row r="120" spans="1:10" ht="12.75" customHeight="1" x14ac:dyDescent="0.25">
      <c r="A120" s="31">
        <f>SUM(E120:N120)</f>
        <v>4</v>
      </c>
      <c r="B120" s="36">
        <f>SUM(E120:J120)</f>
        <v>4</v>
      </c>
      <c r="D120" s="2" t="s">
        <v>9</v>
      </c>
      <c r="E120">
        <v>0</v>
      </c>
      <c r="H120" s="35">
        <v>4</v>
      </c>
    </row>
    <row r="121" spans="1:10" ht="12.75" customHeight="1" x14ac:dyDescent="0.25">
      <c r="A121" s="27" t="s">
        <v>5</v>
      </c>
      <c r="B121" s="37">
        <v>37514</v>
      </c>
      <c r="C121" s="4" t="s">
        <v>0</v>
      </c>
      <c r="D121" s="1"/>
      <c r="E121" s="8">
        <v>37485</v>
      </c>
      <c r="F121" s="8">
        <v>37485</v>
      </c>
      <c r="G121" s="8">
        <v>37485</v>
      </c>
      <c r="H121" s="49">
        <v>37513</v>
      </c>
      <c r="I121" s="21">
        <v>37513</v>
      </c>
      <c r="J121" s="22">
        <v>37513</v>
      </c>
    </row>
    <row r="122" spans="1:10" ht="12.75" customHeight="1" x14ac:dyDescent="0.25">
      <c r="A122" s="28" t="s">
        <v>6</v>
      </c>
      <c r="B122" s="33" t="s">
        <v>6</v>
      </c>
      <c r="C122" s="5">
        <v>25</v>
      </c>
      <c r="D122" s="2"/>
      <c r="E122" s="9" t="s">
        <v>2</v>
      </c>
      <c r="F122" s="9" t="s">
        <v>3</v>
      </c>
      <c r="G122" s="9" t="s">
        <v>4</v>
      </c>
      <c r="H122" s="50" t="s">
        <v>21</v>
      </c>
      <c r="I122" s="23" t="s">
        <v>22</v>
      </c>
      <c r="J122" s="24" t="s">
        <v>4</v>
      </c>
    </row>
    <row r="123" spans="1:10" ht="12.75" customHeight="1" x14ac:dyDescent="0.25">
      <c r="A123" s="29">
        <f>SUM(E123:G123)/3</f>
        <v>0.84666666666666668</v>
      </c>
      <c r="B123" s="34">
        <f>SUM(E123:J123)/6</f>
        <v>0.87333333333333341</v>
      </c>
      <c r="C123" s="6"/>
      <c r="D123" s="2" t="s">
        <v>7</v>
      </c>
      <c r="E123" s="10">
        <v>0.88</v>
      </c>
      <c r="F123" s="10">
        <v>0.84</v>
      </c>
      <c r="G123" s="10">
        <v>0.82</v>
      </c>
      <c r="H123" s="34">
        <v>0.9</v>
      </c>
      <c r="I123" s="10">
        <v>0.96</v>
      </c>
      <c r="J123" s="10">
        <v>0.84</v>
      </c>
    </row>
    <row r="124" spans="1:10" ht="12.75" customHeight="1" x14ac:dyDescent="0.25">
      <c r="B124" s="35">
        <f>SUM(E124:J124)</f>
        <v>5</v>
      </c>
      <c r="C124" s="6"/>
      <c r="D124" s="2" t="s">
        <v>8</v>
      </c>
      <c r="H124" s="35">
        <v>5</v>
      </c>
    </row>
    <row r="125" spans="1:10" ht="12.75" customHeight="1" x14ac:dyDescent="0.25">
      <c r="A125" s="31">
        <f>SUM(E125:N125)</f>
        <v>13</v>
      </c>
      <c r="B125" s="36">
        <f>SUM(E125:J125)</f>
        <v>13</v>
      </c>
      <c r="C125" s="6"/>
      <c r="D125" s="2" t="s">
        <v>9</v>
      </c>
      <c r="E125">
        <v>8</v>
      </c>
      <c r="H125" s="35">
        <v>5</v>
      </c>
    </row>
    <row r="126" spans="1:10" ht="12.75" customHeight="1" x14ac:dyDescent="0.25">
      <c r="A126" s="27" t="s">
        <v>5</v>
      </c>
      <c r="B126" s="37">
        <v>37514</v>
      </c>
      <c r="C126" s="4" t="s">
        <v>0</v>
      </c>
      <c r="D126" s="1"/>
      <c r="E126" s="8">
        <v>37485</v>
      </c>
      <c r="F126" s="8">
        <v>37485</v>
      </c>
      <c r="G126" s="8">
        <v>37485</v>
      </c>
      <c r="H126" s="49">
        <v>37513</v>
      </c>
      <c r="I126" s="21">
        <v>37513</v>
      </c>
      <c r="J126" s="22">
        <v>37513</v>
      </c>
    </row>
    <row r="127" spans="1:10" ht="12.75" customHeight="1" x14ac:dyDescent="0.25">
      <c r="A127" s="28" t="s">
        <v>6</v>
      </c>
      <c r="B127" s="33" t="s">
        <v>6</v>
      </c>
      <c r="C127" s="5">
        <v>26</v>
      </c>
      <c r="D127" s="2"/>
      <c r="E127" s="9" t="s">
        <v>2</v>
      </c>
      <c r="F127" s="9" t="s">
        <v>3</v>
      </c>
      <c r="G127" s="9" t="s">
        <v>4</v>
      </c>
      <c r="H127" s="50" t="s">
        <v>21</v>
      </c>
      <c r="I127" s="23" t="s">
        <v>22</v>
      </c>
      <c r="J127" s="24" t="s">
        <v>4</v>
      </c>
    </row>
    <row r="128" spans="1:10" ht="12.75" customHeight="1" x14ac:dyDescent="0.25">
      <c r="A128" s="29">
        <f>SUM(E128:G128)/3</f>
        <v>0.56000000000000005</v>
      </c>
      <c r="B128" s="34">
        <f>SUM(E128:J128)/6</f>
        <v>0.62666666666666671</v>
      </c>
      <c r="C128" s="6"/>
      <c r="D128" s="2" t="s">
        <v>7</v>
      </c>
      <c r="E128" s="10">
        <v>0.56000000000000005</v>
      </c>
      <c r="F128" s="10">
        <v>0.68</v>
      </c>
      <c r="G128" s="10">
        <v>0.44</v>
      </c>
      <c r="H128" s="34">
        <v>0.68</v>
      </c>
      <c r="I128" s="10">
        <v>0.88</v>
      </c>
      <c r="J128" s="10">
        <v>0.52</v>
      </c>
    </row>
    <row r="129" spans="1:10" ht="12.75" customHeight="1" x14ac:dyDescent="0.25">
      <c r="B129" s="35">
        <f>SUM(E129:J129)</f>
        <v>5</v>
      </c>
      <c r="C129" s="6"/>
      <c r="D129" s="2" t="s">
        <v>8</v>
      </c>
      <c r="H129" s="35">
        <v>5</v>
      </c>
    </row>
    <row r="130" spans="1:10" ht="12.75" customHeight="1" x14ac:dyDescent="0.25">
      <c r="A130" s="31">
        <f>SUM(E130:N130)</f>
        <v>21</v>
      </c>
      <c r="B130" s="36">
        <f>SUM(E130:J130)</f>
        <v>21</v>
      </c>
      <c r="C130" s="6"/>
      <c r="D130" s="2" t="s">
        <v>9</v>
      </c>
      <c r="E130">
        <v>7</v>
      </c>
      <c r="H130" s="35">
        <v>14</v>
      </c>
    </row>
    <row r="131" spans="1:10" ht="12.75" customHeight="1" x14ac:dyDescent="0.25">
      <c r="A131" s="27" t="s">
        <v>5</v>
      </c>
      <c r="B131" s="37">
        <v>37514</v>
      </c>
      <c r="C131" s="4" t="s">
        <v>0</v>
      </c>
      <c r="D131" s="1"/>
      <c r="E131" s="8">
        <v>37485</v>
      </c>
      <c r="F131" s="8">
        <v>37485</v>
      </c>
      <c r="G131" s="8">
        <v>37485</v>
      </c>
      <c r="H131" s="49">
        <v>37513</v>
      </c>
      <c r="I131" s="21">
        <v>37513</v>
      </c>
      <c r="J131" s="22">
        <v>37513</v>
      </c>
    </row>
    <row r="132" spans="1:10" ht="12.75" customHeight="1" x14ac:dyDescent="0.25">
      <c r="A132" s="28" t="s">
        <v>6</v>
      </c>
      <c r="B132" s="33" t="s">
        <v>6</v>
      </c>
      <c r="C132" s="5">
        <v>27</v>
      </c>
      <c r="D132" s="2"/>
      <c r="E132" s="9" t="s">
        <v>2</v>
      </c>
      <c r="F132" s="9" t="s">
        <v>3</v>
      </c>
      <c r="G132" s="9" t="s">
        <v>4</v>
      </c>
      <c r="H132" s="50" t="s">
        <v>21</v>
      </c>
      <c r="I132" s="23" t="s">
        <v>22</v>
      </c>
      <c r="J132" s="24" t="s">
        <v>4</v>
      </c>
    </row>
    <row r="133" spans="1:10" ht="12.75" customHeight="1" x14ac:dyDescent="0.25">
      <c r="A133" s="29">
        <f>SUM(E133:G133)/3</f>
        <v>0.46666666666666662</v>
      </c>
      <c r="B133" s="34">
        <f>SUM(E133:J133)/6</f>
        <v>0.57333333333333336</v>
      </c>
      <c r="C133" s="6"/>
      <c r="D133" s="2" t="s">
        <v>7</v>
      </c>
      <c r="E133" s="10">
        <v>0.44</v>
      </c>
      <c r="F133" s="10">
        <v>0.52</v>
      </c>
      <c r="G133" s="10">
        <v>0.44</v>
      </c>
      <c r="H133" s="34">
        <v>0.72</v>
      </c>
      <c r="I133" s="10">
        <v>0.92</v>
      </c>
      <c r="J133" s="10">
        <v>0.4</v>
      </c>
    </row>
    <row r="134" spans="1:10" ht="12.75" customHeight="1" x14ac:dyDescent="0.25">
      <c r="B134" s="35">
        <f>SUM(E134:J134)</f>
        <v>5</v>
      </c>
      <c r="C134" s="6"/>
      <c r="D134" s="2" t="s">
        <v>8</v>
      </c>
      <c r="H134" s="35">
        <v>5</v>
      </c>
    </row>
    <row r="135" spans="1:10" ht="12.75" customHeight="1" x14ac:dyDescent="0.25">
      <c r="A135" s="31">
        <f>SUM(E135:N135)</f>
        <v>42</v>
      </c>
      <c r="B135" s="36">
        <f>SUM(E135:J135)</f>
        <v>42</v>
      </c>
      <c r="C135" s="6"/>
      <c r="D135" s="2" t="s">
        <v>9</v>
      </c>
      <c r="E135">
        <v>20</v>
      </c>
      <c r="H135" s="35">
        <v>22</v>
      </c>
    </row>
    <row r="136" spans="1:10" ht="12.75" customHeight="1" x14ac:dyDescent="0.25">
      <c r="A136" s="27" t="s">
        <v>5</v>
      </c>
      <c r="B136" s="37">
        <v>37514</v>
      </c>
      <c r="C136" s="4" t="s">
        <v>0</v>
      </c>
      <c r="D136" s="1"/>
      <c r="E136" s="8">
        <v>37485</v>
      </c>
      <c r="F136" s="8">
        <v>37485</v>
      </c>
      <c r="G136" s="8">
        <v>37485</v>
      </c>
      <c r="H136" s="49">
        <v>37513</v>
      </c>
      <c r="I136" s="21">
        <v>37513</v>
      </c>
      <c r="J136" s="22">
        <v>37513</v>
      </c>
    </row>
    <row r="137" spans="1:10" ht="12.75" customHeight="1" x14ac:dyDescent="0.25">
      <c r="A137" s="28" t="s">
        <v>6</v>
      </c>
      <c r="B137" s="33" t="s">
        <v>6</v>
      </c>
      <c r="C137" s="5">
        <v>28</v>
      </c>
      <c r="D137" s="2"/>
      <c r="E137" s="9" t="s">
        <v>2</v>
      </c>
      <c r="F137" s="9" t="s">
        <v>3</v>
      </c>
      <c r="G137" s="9" t="s">
        <v>4</v>
      </c>
      <c r="H137" s="50" t="s">
        <v>21</v>
      </c>
      <c r="I137" s="23" t="s">
        <v>22</v>
      </c>
      <c r="J137" s="24" t="s">
        <v>4</v>
      </c>
    </row>
    <row r="138" spans="1:10" ht="12.75" customHeight="1" x14ac:dyDescent="0.25">
      <c r="A138" s="29">
        <f>SUM(E138:G138)/3</f>
        <v>0.69333333333333336</v>
      </c>
      <c r="B138" s="34">
        <f>SUM(E138:J138)/6</f>
        <v>0.76666666666666661</v>
      </c>
      <c r="C138" s="6"/>
      <c r="D138" s="2" t="s">
        <v>7</v>
      </c>
      <c r="E138" s="10">
        <v>0.88</v>
      </c>
      <c r="F138" s="10">
        <v>0.64</v>
      </c>
      <c r="G138" s="10">
        <v>0.56000000000000005</v>
      </c>
      <c r="H138" s="34">
        <v>0.8</v>
      </c>
      <c r="I138" s="10">
        <v>0.88</v>
      </c>
      <c r="J138" s="10">
        <v>0.84</v>
      </c>
    </row>
    <row r="139" spans="1:10" ht="12.75" customHeight="1" x14ac:dyDescent="0.25">
      <c r="B139" s="35">
        <f>SUM(E139:J139)</f>
        <v>5</v>
      </c>
      <c r="C139" s="6"/>
      <c r="D139" s="2" t="s">
        <v>8</v>
      </c>
      <c r="H139" s="35">
        <v>5</v>
      </c>
    </row>
    <row r="140" spans="1:10" ht="12.75" customHeight="1" x14ac:dyDescent="0.25">
      <c r="A140" s="31">
        <f>SUM(E140:N140)</f>
        <v>120</v>
      </c>
      <c r="B140" s="36">
        <f>SUM(E140:J140)</f>
        <v>120</v>
      </c>
      <c r="C140" s="6"/>
      <c r="D140" s="2" t="s">
        <v>9</v>
      </c>
      <c r="E140">
        <v>25</v>
      </c>
      <c r="H140" s="35">
        <v>95</v>
      </c>
    </row>
    <row r="141" spans="1:10" ht="12.75" customHeight="1" x14ac:dyDescent="0.25">
      <c r="A141" s="27" t="s">
        <v>5</v>
      </c>
      <c r="B141" s="37">
        <v>37514</v>
      </c>
      <c r="C141" s="4" t="s">
        <v>0</v>
      </c>
      <c r="D141" s="1"/>
      <c r="E141" s="8">
        <v>37485</v>
      </c>
      <c r="F141" s="8">
        <v>37485</v>
      </c>
      <c r="G141" s="8">
        <v>37485</v>
      </c>
      <c r="H141" s="49">
        <v>37513</v>
      </c>
      <c r="I141" s="21">
        <v>37513</v>
      </c>
      <c r="J141" s="22">
        <v>37513</v>
      </c>
    </row>
    <row r="142" spans="1:10" ht="12.75" customHeight="1" x14ac:dyDescent="0.25">
      <c r="A142" s="28" t="s">
        <v>6</v>
      </c>
      <c r="B142" s="33" t="s">
        <v>6</v>
      </c>
      <c r="C142" s="5">
        <v>29</v>
      </c>
      <c r="D142" s="2"/>
      <c r="E142" s="9" t="s">
        <v>2</v>
      </c>
      <c r="F142" s="9" t="s">
        <v>3</v>
      </c>
      <c r="G142" s="9" t="s">
        <v>4</v>
      </c>
      <c r="H142" s="50" t="s">
        <v>21</v>
      </c>
      <c r="I142" s="23" t="s">
        <v>22</v>
      </c>
      <c r="J142" s="24" t="s">
        <v>4</v>
      </c>
    </row>
    <row r="143" spans="1:10" ht="12.75" customHeight="1" x14ac:dyDescent="0.25">
      <c r="A143" s="29">
        <f>SUM(E143:G143)/3</f>
        <v>0.79999999999999993</v>
      </c>
      <c r="B143" s="34">
        <f>SUM(E143:J143)/6</f>
        <v>0.82333333333333325</v>
      </c>
      <c r="C143" s="6"/>
      <c r="D143" s="2" t="s">
        <v>7</v>
      </c>
      <c r="E143" s="10">
        <v>0.96</v>
      </c>
      <c r="F143" s="10">
        <v>0.6</v>
      </c>
      <c r="G143" s="10">
        <v>0.84</v>
      </c>
      <c r="H143" s="34">
        <v>0.86</v>
      </c>
      <c r="I143" s="10">
        <v>0.96</v>
      </c>
      <c r="J143" s="10">
        <v>0.72</v>
      </c>
    </row>
    <row r="144" spans="1:10" ht="12.75" customHeight="1" x14ac:dyDescent="0.25">
      <c r="B144" s="35">
        <f>SUM(E144:J144)</f>
        <v>5</v>
      </c>
      <c r="C144" s="6"/>
      <c r="D144" s="2" t="s">
        <v>8</v>
      </c>
      <c r="H144" s="35">
        <v>5</v>
      </c>
    </row>
    <row r="145" spans="1:10" ht="12.75" customHeight="1" x14ac:dyDescent="0.25">
      <c r="A145" s="31">
        <f>SUM(E145:N145)</f>
        <v>19</v>
      </c>
      <c r="B145" s="36">
        <f>SUM(E145:J145)</f>
        <v>19</v>
      </c>
      <c r="C145" s="6"/>
      <c r="D145" s="2" t="s">
        <v>9</v>
      </c>
      <c r="E145">
        <v>0</v>
      </c>
      <c r="H145" s="35">
        <v>19</v>
      </c>
    </row>
    <row r="146" spans="1:10" ht="12.75" customHeight="1" x14ac:dyDescent="0.25">
      <c r="A146" s="27" t="s">
        <v>5</v>
      </c>
      <c r="B146" s="37">
        <v>37514</v>
      </c>
      <c r="C146" s="4" t="s">
        <v>0</v>
      </c>
      <c r="D146" s="1"/>
      <c r="E146" s="8">
        <v>37485</v>
      </c>
      <c r="F146" s="8">
        <v>37485</v>
      </c>
      <c r="G146" s="8">
        <v>37485</v>
      </c>
      <c r="H146" s="49">
        <v>37513</v>
      </c>
      <c r="I146" s="21">
        <v>37513</v>
      </c>
      <c r="J146" s="22">
        <v>37513</v>
      </c>
    </row>
    <row r="147" spans="1:10" ht="12.75" customHeight="1" x14ac:dyDescent="0.25">
      <c r="A147" s="28" t="s">
        <v>6</v>
      </c>
      <c r="B147" s="33" t="s">
        <v>6</v>
      </c>
      <c r="C147" s="5">
        <v>30</v>
      </c>
      <c r="D147" s="2"/>
      <c r="E147" s="9" t="s">
        <v>2</v>
      </c>
      <c r="F147" s="9" t="s">
        <v>3</v>
      </c>
      <c r="G147" s="9" t="s">
        <v>4</v>
      </c>
      <c r="H147" s="50" t="s">
        <v>21</v>
      </c>
      <c r="I147" s="23" t="s">
        <v>22</v>
      </c>
      <c r="J147" s="24" t="s">
        <v>4</v>
      </c>
    </row>
    <row r="148" spans="1:10" ht="12.75" customHeight="1" x14ac:dyDescent="0.25">
      <c r="A148" s="29">
        <f>SUM(E148:G148)/3</f>
        <v>0.46666666666666673</v>
      </c>
      <c r="B148" s="34">
        <f>SUM(E148:J148)/6</f>
        <v>0.55000000000000004</v>
      </c>
      <c r="C148" s="6"/>
      <c r="D148" s="2" t="s">
        <v>7</v>
      </c>
      <c r="E148" s="10">
        <v>0.52</v>
      </c>
      <c r="F148" s="10">
        <v>0.6</v>
      </c>
      <c r="G148" s="10">
        <v>0.28000000000000003</v>
      </c>
      <c r="H148" s="34">
        <v>0.78</v>
      </c>
      <c r="I148" s="10">
        <v>0.76</v>
      </c>
      <c r="J148" s="10">
        <v>0.36</v>
      </c>
    </row>
    <row r="149" spans="1:10" ht="12.75" customHeight="1" x14ac:dyDescent="0.25">
      <c r="B149" s="35">
        <f>SUM(E149:J149)</f>
        <v>5</v>
      </c>
      <c r="C149" s="6"/>
      <c r="D149" s="2" t="s">
        <v>8</v>
      </c>
      <c r="H149" s="35">
        <v>5</v>
      </c>
    </row>
    <row r="150" spans="1:10" ht="12.75" customHeight="1" x14ac:dyDescent="0.25">
      <c r="A150" s="31">
        <f>SUM(E150:N150)</f>
        <v>12</v>
      </c>
      <c r="B150" s="36">
        <f>SUM(E150:J150)</f>
        <v>12</v>
      </c>
      <c r="C150" s="6"/>
      <c r="D150" s="2" t="s">
        <v>9</v>
      </c>
      <c r="H150" s="35">
        <v>12</v>
      </c>
    </row>
    <row r="151" spans="1:10" ht="12.75" customHeight="1" x14ac:dyDescent="0.25">
      <c r="A151" s="27" t="s">
        <v>5</v>
      </c>
      <c r="B151" s="37">
        <v>37514</v>
      </c>
      <c r="C151" s="4" t="s">
        <v>0</v>
      </c>
      <c r="D151" s="1"/>
      <c r="E151" s="8">
        <v>37485</v>
      </c>
      <c r="F151" s="8">
        <v>37485</v>
      </c>
      <c r="G151" s="8">
        <v>37485</v>
      </c>
      <c r="H151" s="49">
        <v>37513</v>
      </c>
      <c r="I151" s="21">
        <v>37513</v>
      </c>
      <c r="J151" s="22">
        <v>37513</v>
      </c>
    </row>
    <row r="152" spans="1:10" ht="12.75" customHeight="1" x14ac:dyDescent="0.25">
      <c r="A152" s="28" t="s">
        <v>6</v>
      </c>
      <c r="B152" s="33" t="s">
        <v>6</v>
      </c>
      <c r="C152" s="5">
        <v>31</v>
      </c>
      <c r="D152" s="2"/>
      <c r="E152" s="9" t="s">
        <v>2</v>
      </c>
      <c r="F152" s="9" t="s">
        <v>3</v>
      </c>
      <c r="G152" s="9" t="s">
        <v>4</v>
      </c>
      <c r="H152" s="50" t="s">
        <v>21</v>
      </c>
      <c r="I152" s="23" t="s">
        <v>22</v>
      </c>
      <c r="J152" s="24" t="s">
        <v>4</v>
      </c>
    </row>
    <row r="153" spans="1:10" ht="12.75" customHeight="1" x14ac:dyDescent="0.25">
      <c r="A153" s="29">
        <f>SUM(E153:G153)/3</f>
        <v>0.81333333333333335</v>
      </c>
      <c r="B153" s="34">
        <f>SUM(E153:J153)/6</f>
        <v>0.79999999999999993</v>
      </c>
      <c r="C153" s="6"/>
      <c r="D153" s="2" t="s">
        <v>7</v>
      </c>
      <c r="E153" s="10">
        <v>0.84</v>
      </c>
      <c r="F153" s="10">
        <v>0.92</v>
      </c>
      <c r="G153" s="10">
        <v>0.68</v>
      </c>
      <c r="H153" s="34">
        <v>0.84</v>
      </c>
      <c r="I153" s="10">
        <v>0.92</v>
      </c>
      <c r="J153" s="10">
        <v>0.6</v>
      </c>
    </row>
    <row r="154" spans="1:10" ht="12.75" customHeight="1" x14ac:dyDescent="0.25">
      <c r="B154" s="35">
        <f>SUM(E154:J154)</f>
        <v>5</v>
      </c>
      <c r="C154" s="6"/>
      <c r="D154" s="2" t="s">
        <v>8</v>
      </c>
      <c r="H154" s="35">
        <v>5</v>
      </c>
    </row>
    <row r="155" spans="1:10" ht="12.75" customHeight="1" x14ac:dyDescent="0.25">
      <c r="A155" s="31">
        <f>SUM(E155:N155)</f>
        <v>171</v>
      </c>
      <c r="B155" s="36">
        <f>SUM(E155:J155)</f>
        <v>171</v>
      </c>
      <c r="C155" s="6"/>
      <c r="D155" s="2" t="s">
        <v>9</v>
      </c>
      <c r="E155">
        <v>40</v>
      </c>
      <c r="H155" s="35">
        <v>131</v>
      </c>
    </row>
    <row r="156" spans="1:10" ht="12.75" customHeight="1" x14ac:dyDescent="0.25">
      <c r="A156" s="27" t="s">
        <v>5</v>
      </c>
      <c r="B156" s="37">
        <v>37514</v>
      </c>
      <c r="C156" s="4" t="s">
        <v>0</v>
      </c>
      <c r="D156" s="1"/>
      <c r="E156" s="8">
        <v>37485</v>
      </c>
      <c r="F156" s="8">
        <v>37485</v>
      </c>
      <c r="G156" s="8">
        <v>37485</v>
      </c>
      <c r="H156" s="49">
        <v>37513</v>
      </c>
      <c r="I156" s="21">
        <v>37513</v>
      </c>
      <c r="J156" s="22">
        <v>37513</v>
      </c>
    </row>
    <row r="157" spans="1:10" ht="12.75" customHeight="1" x14ac:dyDescent="0.25">
      <c r="A157" s="28" t="s">
        <v>6</v>
      </c>
      <c r="B157" s="33" t="s">
        <v>6</v>
      </c>
      <c r="C157" s="5">
        <v>32</v>
      </c>
      <c r="D157" s="2"/>
      <c r="E157" s="9" t="s">
        <v>2</v>
      </c>
      <c r="F157" s="9" t="s">
        <v>3</v>
      </c>
      <c r="G157" s="9" t="s">
        <v>4</v>
      </c>
      <c r="H157" s="50" t="s">
        <v>21</v>
      </c>
      <c r="I157" s="23" t="s">
        <v>22</v>
      </c>
      <c r="J157" s="24" t="s">
        <v>4</v>
      </c>
    </row>
    <row r="158" spans="1:10" ht="12.75" customHeight="1" x14ac:dyDescent="0.25">
      <c r="A158" s="29">
        <f>SUM(E158:G158)/3</f>
        <v>0.82666666666666666</v>
      </c>
      <c r="B158" s="34">
        <f>SUM(E158:J158)/6</f>
        <v>0.85666666666666658</v>
      </c>
      <c r="C158" s="6"/>
      <c r="D158" s="2" t="s">
        <v>7</v>
      </c>
      <c r="E158" s="10">
        <v>0.88</v>
      </c>
      <c r="F158" s="10">
        <v>0.84</v>
      </c>
      <c r="G158" s="10">
        <v>0.76</v>
      </c>
      <c r="H158" s="34">
        <v>0.86</v>
      </c>
      <c r="I158" s="10">
        <v>1</v>
      </c>
      <c r="J158" s="10">
        <v>0.8</v>
      </c>
    </row>
    <row r="159" spans="1:10" ht="12.75" customHeight="1" x14ac:dyDescent="0.25">
      <c r="B159" s="35">
        <f>SUM(E159:J159)</f>
        <v>5</v>
      </c>
      <c r="C159" s="6"/>
      <c r="D159" s="2" t="s">
        <v>8</v>
      </c>
      <c r="H159" s="35">
        <v>5</v>
      </c>
    </row>
    <row r="160" spans="1:10" ht="12.75" customHeight="1" x14ac:dyDescent="0.25">
      <c r="A160" s="31">
        <f>SUM(E160:N160)</f>
        <v>3</v>
      </c>
      <c r="B160" s="36">
        <f>SUM(E160:J160)</f>
        <v>3</v>
      </c>
      <c r="C160" s="6"/>
      <c r="D160" s="2" t="s">
        <v>9</v>
      </c>
      <c r="E160">
        <v>0</v>
      </c>
      <c r="H160" s="35">
        <v>3</v>
      </c>
    </row>
    <row r="161" spans="1:10" ht="12.75" customHeight="1" x14ac:dyDescent="0.25">
      <c r="A161" s="27" t="s">
        <v>5</v>
      </c>
      <c r="B161" s="37">
        <v>37514</v>
      </c>
      <c r="C161" s="4" t="s">
        <v>0</v>
      </c>
      <c r="D161" s="1"/>
      <c r="E161" s="8">
        <v>37485</v>
      </c>
      <c r="F161" s="8">
        <v>37485</v>
      </c>
      <c r="G161" s="8">
        <v>37485</v>
      </c>
      <c r="H161" s="49">
        <v>37513</v>
      </c>
      <c r="I161" s="21">
        <v>37513</v>
      </c>
      <c r="J161" s="22">
        <v>37513</v>
      </c>
    </row>
    <row r="162" spans="1:10" ht="12.75" customHeight="1" x14ac:dyDescent="0.25">
      <c r="A162" s="28" t="s">
        <v>6</v>
      </c>
      <c r="B162" s="33" t="s">
        <v>6</v>
      </c>
      <c r="C162" s="5">
        <v>33</v>
      </c>
      <c r="D162" s="2"/>
      <c r="E162" s="9" t="s">
        <v>2</v>
      </c>
      <c r="F162" s="9" t="s">
        <v>3</v>
      </c>
      <c r="G162" s="9" t="s">
        <v>4</v>
      </c>
      <c r="H162" s="50" t="s">
        <v>21</v>
      </c>
      <c r="I162" s="23" t="s">
        <v>22</v>
      </c>
      <c r="J162" s="24" t="s">
        <v>4</v>
      </c>
    </row>
    <row r="163" spans="1:10" ht="12.75" customHeight="1" x14ac:dyDescent="0.25">
      <c r="A163" s="29">
        <f>SUM(E163:G163)/3</f>
        <v>0.79999999999999993</v>
      </c>
      <c r="B163" s="34">
        <f>SUM(E163:J163)/6</f>
        <v>0.82333333333333325</v>
      </c>
      <c r="C163" s="6"/>
      <c r="D163" s="2" t="s">
        <v>7</v>
      </c>
      <c r="E163" s="10">
        <v>0.96</v>
      </c>
      <c r="F163" s="10">
        <v>0.76</v>
      </c>
      <c r="G163" s="10">
        <v>0.68</v>
      </c>
      <c r="H163" s="34">
        <v>0.94</v>
      </c>
      <c r="I163" s="10">
        <v>0.84</v>
      </c>
      <c r="J163" s="10">
        <v>0.76</v>
      </c>
    </row>
    <row r="164" spans="1:10" ht="12.75" customHeight="1" x14ac:dyDescent="0.25">
      <c r="B164" s="35">
        <f>SUM(E164:J164)</f>
        <v>5</v>
      </c>
      <c r="C164" s="6"/>
      <c r="D164" s="2" t="s">
        <v>8</v>
      </c>
      <c r="H164" s="35">
        <v>5</v>
      </c>
    </row>
    <row r="165" spans="1:10" ht="12.75" customHeight="1" x14ac:dyDescent="0.25">
      <c r="A165" s="31">
        <f>SUM(E165:N165)</f>
        <v>33</v>
      </c>
      <c r="B165" s="36">
        <f>SUM(E165:J165)</f>
        <v>33</v>
      </c>
      <c r="C165" s="6"/>
      <c r="D165" s="2" t="s">
        <v>9</v>
      </c>
      <c r="E165">
        <v>8</v>
      </c>
      <c r="H165" s="35">
        <v>25</v>
      </c>
    </row>
    <row r="166" spans="1:10" ht="12.75" customHeight="1" x14ac:dyDescent="0.25">
      <c r="A166" s="27" t="s">
        <v>5</v>
      </c>
      <c r="B166" s="37">
        <v>37514</v>
      </c>
      <c r="C166" s="4" t="s">
        <v>0</v>
      </c>
      <c r="D166" s="1"/>
      <c r="E166" s="8">
        <v>37485</v>
      </c>
      <c r="F166" s="8">
        <v>37485</v>
      </c>
      <c r="G166" s="8">
        <v>37485</v>
      </c>
      <c r="H166" s="49">
        <v>37513</v>
      </c>
      <c r="I166" s="21">
        <v>37513</v>
      </c>
      <c r="J166" s="22">
        <v>37513</v>
      </c>
    </row>
    <row r="167" spans="1:10" ht="12.75" customHeight="1" x14ac:dyDescent="0.25">
      <c r="A167" s="28" t="s">
        <v>6</v>
      </c>
      <c r="B167" s="33" t="s">
        <v>6</v>
      </c>
      <c r="C167" s="5">
        <v>34</v>
      </c>
      <c r="D167" s="2"/>
      <c r="E167" s="9" t="s">
        <v>2</v>
      </c>
      <c r="F167" s="9" t="s">
        <v>3</v>
      </c>
      <c r="G167" s="9" t="s">
        <v>4</v>
      </c>
      <c r="H167" s="50" t="s">
        <v>21</v>
      </c>
      <c r="I167" s="23" t="s">
        <v>22</v>
      </c>
      <c r="J167" s="24" t="s">
        <v>4</v>
      </c>
    </row>
    <row r="168" spans="1:10" ht="12.75" customHeight="1" x14ac:dyDescent="0.25">
      <c r="A168" s="29">
        <f>SUM(E168:G168)/3</f>
        <v>0.65333333333333332</v>
      </c>
      <c r="B168" s="34">
        <f>SUM(E168:J168)/6</f>
        <v>0.74666666666666659</v>
      </c>
      <c r="C168" s="6"/>
      <c r="D168" s="2" t="s">
        <v>7</v>
      </c>
      <c r="E168" s="10">
        <v>0.76</v>
      </c>
      <c r="F168" s="10">
        <v>0.48</v>
      </c>
      <c r="G168" s="10">
        <v>0.72</v>
      </c>
      <c r="H168" s="34">
        <v>0.88</v>
      </c>
      <c r="I168" s="10">
        <v>0.92</v>
      </c>
      <c r="J168" s="10">
        <v>0.72</v>
      </c>
    </row>
    <row r="169" spans="1:10" ht="12.75" customHeight="1" x14ac:dyDescent="0.25">
      <c r="B169" s="35">
        <f>SUM(E169:J169)</f>
        <v>5</v>
      </c>
      <c r="C169" s="6"/>
      <c r="D169" s="2" t="s">
        <v>8</v>
      </c>
      <c r="H169" s="35">
        <v>5</v>
      </c>
    </row>
    <row r="170" spans="1:10" ht="12.75" customHeight="1" x14ac:dyDescent="0.25">
      <c r="A170" s="31">
        <f>SUM(E170:N170)</f>
        <v>44</v>
      </c>
      <c r="B170" s="36">
        <f>SUM(E170:J170)</f>
        <v>44</v>
      </c>
      <c r="C170" s="6"/>
      <c r="D170" s="2" t="s">
        <v>9</v>
      </c>
      <c r="E170">
        <v>0</v>
      </c>
      <c r="H170" s="35">
        <v>44</v>
      </c>
    </row>
    <row r="171" spans="1:10" ht="12.75" customHeight="1" x14ac:dyDescent="0.25">
      <c r="A171" s="27" t="s">
        <v>5</v>
      </c>
      <c r="B171" s="37">
        <v>37514</v>
      </c>
      <c r="C171" s="4" t="s">
        <v>0</v>
      </c>
      <c r="D171" s="1"/>
      <c r="E171" s="8">
        <v>37485</v>
      </c>
      <c r="F171" s="8">
        <v>37485</v>
      </c>
      <c r="G171" s="8">
        <v>37485</v>
      </c>
      <c r="H171" s="49">
        <v>37513</v>
      </c>
      <c r="I171" s="21">
        <v>37513</v>
      </c>
      <c r="J171" s="22">
        <v>37513</v>
      </c>
    </row>
    <row r="172" spans="1:10" ht="12.75" customHeight="1" x14ac:dyDescent="0.25">
      <c r="A172" s="28" t="s">
        <v>6</v>
      </c>
      <c r="B172" s="33" t="s">
        <v>6</v>
      </c>
      <c r="C172" s="5">
        <v>35</v>
      </c>
      <c r="D172" s="2"/>
      <c r="E172" s="9" t="s">
        <v>2</v>
      </c>
      <c r="F172" s="9" t="s">
        <v>3</v>
      </c>
      <c r="G172" s="9" t="s">
        <v>4</v>
      </c>
      <c r="H172" s="50" t="s">
        <v>21</v>
      </c>
      <c r="I172" s="23" t="s">
        <v>22</v>
      </c>
      <c r="J172" s="24" t="s">
        <v>4</v>
      </c>
    </row>
    <row r="173" spans="1:10" ht="12.75" customHeight="1" x14ac:dyDescent="0.25">
      <c r="A173" s="29">
        <f>SUM(E173:G173)/3</f>
        <v>0.64</v>
      </c>
      <c r="B173" s="34">
        <f>SUM(E173:J173)/6</f>
        <v>0.69333333333333336</v>
      </c>
      <c r="C173" s="6"/>
      <c r="D173" s="2" t="s">
        <v>7</v>
      </c>
      <c r="E173" s="10">
        <v>0.72</v>
      </c>
      <c r="F173" s="10">
        <v>0.72</v>
      </c>
      <c r="G173" s="10">
        <v>0.48</v>
      </c>
      <c r="H173" s="34">
        <v>0.84</v>
      </c>
      <c r="I173" s="10">
        <v>0.96</v>
      </c>
      <c r="J173" s="10">
        <v>0.44</v>
      </c>
    </row>
    <row r="174" spans="1:10" ht="12.75" customHeight="1" x14ac:dyDescent="0.25">
      <c r="B174" s="35">
        <f>SUM(E174:J174)</f>
        <v>5</v>
      </c>
      <c r="C174" s="6"/>
      <c r="D174" s="2" t="s">
        <v>8</v>
      </c>
      <c r="H174" s="35">
        <v>5</v>
      </c>
    </row>
    <row r="175" spans="1:10" ht="12.75" customHeight="1" x14ac:dyDescent="0.25">
      <c r="A175" s="31">
        <f>SUM(E175:N175)</f>
        <v>18</v>
      </c>
      <c r="B175" s="36">
        <f>SUM(E175:J175)</f>
        <v>18</v>
      </c>
      <c r="C175" s="6"/>
      <c r="D175" s="2" t="s">
        <v>9</v>
      </c>
      <c r="E175">
        <v>6</v>
      </c>
      <c r="H175" s="35">
        <v>12</v>
      </c>
    </row>
    <row r="176" spans="1:10" ht="12.75" customHeight="1" x14ac:dyDescent="0.25">
      <c r="A176" s="27" t="s">
        <v>5</v>
      </c>
      <c r="B176" s="37">
        <v>37514</v>
      </c>
      <c r="C176" s="4" t="s">
        <v>0</v>
      </c>
      <c r="D176" s="1"/>
      <c r="E176" s="8">
        <v>37485</v>
      </c>
      <c r="F176" s="8">
        <v>37485</v>
      </c>
      <c r="G176" s="8">
        <v>37485</v>
      </c>
      <c r="H176" s="49">
        <v>37513</v>
      </c>
      <c r="I176" s="21">
        <v>37513</v>
      </c>
      <c r="J176" s="22">
        <v>37513</v>
      </c>
    </row>
    <row r="177" spans="1:10" ht="12.75" customHeight="1" x14ac:dyDescent="0.25">
      <c r="A177" s="28" t="s">
        <v>6</v>
      </c>
      <c r="B177" s="33" t="s">
        <v>6</v>
      </c>
      <c r="C177" s="5">
        <v>36</v>
      </c>
      <c r="D177" s="2"/>
      <c r="E177" s="9" t="s">
        <v>2</v>
      </c>
      <c r="F177" s="9" t="s">
        <v>3</v>
      </c>
      <c r="G177" s="9" t="s">
        <v>4</v>
      </c>
      <c r="H177" s="50" t="s">
        <v>21</v>
      </c>
      <c r="I177" s="23" t="s">
        <v>22</v>
      </c>
      <c r="J177" s="24" t="s">
        <v>4</v>
      </c>
    </row>
    <row r="178" spans="1:10" ht="12.75" customHeight="1" x14ac:dyDescent="0.25">
      <c r="A178" s="29">
        <f>SUM(E178:G178)/3</f>
        <v>0.66666666666666663</v>
      </c>
      <c r="B178" s="34">
        <f>SUM(E178:J178)/6</f>
        <v>0.75</v>
      </c>
      <c r="C178" s="6"/>
      <c r="D178" s="2" t="s">
        <v>7</v>
      </c>
      <c r="E178" s="10">
        <v>0.88</v>
      </c>
      <c r="F178" s="10">
        <v>0.68</v>
      </c>
      <c r="G178" s="10">
        <v>0.44</v>
      </c>
      <c r="H178" s="34">
        <v>0.94</v>
      </c>
      <c r="I178" s="10">
        <v>0.92</v>
      </c>
      <c r="J178" s="10">
        <v>0.64</v>
      </c>
    </row>
    <row r="179" spans="1:10" ht="12.75" customHeight="1" x14ac:dyDescent="0.25">
      <c r="B179" s="35">
        <f>SUM(E179:J179)</f>
        <v>5</v>
      </c>
      <c r="C179" s="6"/>
      <c r="D179" s="2" t="s">
        <v>8</v>
      </c>
      <c r="H179" s="35">
        <v>5</v>
      </c>
    </row>
    <row r="180" spans="1:10" ht="12.75" customHeight="1" x14ac:dyDescent="0.25">
      <c r="A180" s="31">
        <f>SUM(E180:N180)</f>
        <v>12</v>
      </c>
      <c r="B180" s="36">
        <f>SUM(E180:J180)</f>
        <v>12</v>
      </c>
      <c r="C180" s="6"/>
      <c r="D180" s="2" t="s">
        <v>9</v>
      </c>
      <c r="E180">
        <v>0</v>
      </c>
      <c r="H180" s="35">
        <v>12</v>
      </c>
    </row>
    <row r="181" spans="1:10" ht="12.75" customHeight="1" x14ac:dyDescent="0.25">
      <c r="A181" s="27" t="s">
        <v>5</v>
      </c>
      <c r="B181" s="37">
        <v>37514</v>
      </c>
      <c r="C181" s="4" t="s">
        <v>0</v>
      </c>
      <c r="D181" s="1"/>
      <c r="E181" s="8">
        <v>37485</v>
      </c>
      <c r="F181" s="8">
        <v>37485</v>
      </c>
      <c r="G181" s="8">
        <v>37485</v>
      </c>
      <c r="H181" s="49">
        <v>37513</v>
      </c>
      <c r="I181" s="21">
        <v>37513</v>
      </c>
      <c r="J181" s="22">
        <v>37513</v>
      </c>
    </row>
    <row r="182" spans="1:10" ht="12.75" customHeight="1" x14ac:dyDescent="0.25">
      <c r="A182" s="28" t="s">
        <v>6</v>
      </c>
      <c r="B182" s="33" t="s">
        <v>6</v>
      </c>
      <c r="C182" s="5">
        <v>37</v>
      </c>
      <c r="D182" s="2"/>
      <c r="E182" s="9" t="s">
        <v>2</v>
      </c>
      <c r="F182" s="9" t="s">
        <v>3</v>
      </c>
      <c r="G182" s="9" t="s">
        <v>4</v>
      </c>
      <c r="H182" s="50" t="s">
        <v>21</v>
      </c>
      <c r="I182" s="23" t="s">
        <v>22</v>
      </c>
      <c r="J182" s="24" t="s">
        <v>4</v>
      </c>
    </row>
    <row r="183" spans="1:10" ht="12.75" customHeight="1" x14ac:dyDescent="0.25">
      <c r="A183" s="29">
        <f>SUM(E183:G183)/3</f>
        <v>0.65333333333333343</v>
      </c>
      <c r="B183" s="34">
        <f>SUM(E183:J183)/6</f>
        <v>0.68333333333333346</v>
      </c>
      <c r="D183" s="2" t="s">
        <v>7</v>
      </c>
      <c r="E183" s="10">
        <v>0.8</v>
      </c>
      <c r="F183" s="10">
        <v>0.84</v>
      </c>
      <c r="G183" s="10">
        <v>0.32</v>
      </c>
      <c r="H183" s="34">
        <v>0.9</v>
      </c>
      <c r="I183" s="10">
        <v>0.88</v>
      </c>
      <c r="J183" s="10">
        <v>0.36</v>
      </c>
    </row>
    <row r="184" spans="1:10" ht="12.75" customHeight="1" x14ac:dyDescent="0.25">
      <c r="B184" s="35">
        <f>SUM(E184:J184)</f>
        <v>0</v>
      </c>
      <c r="C184" s="5" t="s">
        <v>1</v>
      </c>
      <c r="D184" s="2" t="s">
        <v>8</v>
      </c>
      <c r="H184" s="35">
        <v>0</v>
      </c>
    </row>
    <row r="185" spans="1:10" ht="12.75" customHeight="1" x14ac:dyDescent="0.25">
      <c r="A185" s="31">
        <f>SUM(E185:N185)</f>
        <v>18</v>
      </c>
      <c r="B185" s="36">
        <f>SUM(E185:J185)</f>
        <v>18</v>
      </c>
      <c r="D185" s="2" t="s">
        <v>9</v>
      </c>
      <c r="E185">
        <v>13</v>
      </c>
      <c r="H185" s="35">
        <v>5</v>
      </c>
    </row>
    <row r="186" spans="1:10" ht="12.75" customHeight="1" x14ac:dyDescent="0.25">
      <c r="A186" s="27" t="s">
        <v>5</v>
      </c>
      <c r="B186" s="37">
        <v>37514</v>
      </c>
      <c r="C186" s="4" t="s">
        <v>0</v>
      </c>
      <c r="D186" s="1"/>
      <c r="E186" s="8">
        <v>37485</v>
      </c>
      <c r="F186" s="8">
        <v>37485</v>
      </c>
      <c r="G186" s="8">
        <v>37485</v>
      </c>
      <c r="H186" s="49">
        <v>37513</v>
      </c>
      <c r="I186" s="21">
        <v>37513</v>
      </c>
      <c r="J186" s="22">
        <v>37513</v>
      </c>
    </row>
    <row r="187" spans="1:10" ht="12.75" customHeight="1" x14ac:dyDescent="0.25">
      <c r="A187" s="28" t="s">
        <v>6</v>
      </c>
      <c r="B187" s="33" t="s">
        <v>6</v>
      </c>
      <c r="C187" s="5">
        <v>38</v>
      </c>
      <c r="D187" s="2"/>
      <c r="E187" s="9" t="s">
        <v>2</v>
      </c>
      <c r="F187" s="9" t="s">
        <v>3</v>
      </c>
      <c r="G187" s="9" t="s">
        <v>4</v>
      </c>
      <c r="H187" s="50" t="s">
        <v>21</v>
      </c>
      <c r="I187" s="23" t="s">
        <v>22</v>
      </c>
      <c r="J187" s="24" t="s">
        <v>4</v>
      </c>
    </row>
    <row r="188" spans="1:10" ht="12.75" customHeight="1" x14ac:dyDescent="0.25">
      <c r="A188" s="29">
        <f>SUM(E188:G188)/3</f>
        <v>0.85333333333333339</v>
      </c>
      <c r="B188" s="34">
        <f>SUM(E188:J188)/6</f>
        <v>0.86333333333333329</v>
      </c>
      <c r="C188" s="6"/>
      <c r="D188" s="2" t="s">
        <v>7</v>
      </c>
      <c r="E188" s="10">
        <v>0.96</v>
      </c>
      <c r="F188" s="10">
        <v>0.76</v>
      </c>
      <c r="G188" s="10">
        <v>0.84</v>
      </c>
      <c r="H188" s="34">
        <v>0.9</v>
      </c>
      <c r="I188" s="10">
        <v>0.92</v>
      </c>
      <c r="J188" s="10">
        <v>0.8</v>
      </c>
    </row>
    <row r="189" spans="1:10" ht="12.75" customHeight="1" x14ac:dyDescent="0.25">
      <c r="B189" s="35">
        <f>SUM(E189:J189)</f>
        <v>5</v>
      </c>
      <c r="C189" s="6"/>
      <c r="D189" s="2" t="s">
        <v>8</v>
      </c>
      <c r="H189" s="35">
        <v>5</v>
      </c>
    </row>
    <row r="190" spans="1:10" ht="12.75" customHeight="1" x14ac:dyDescent="0.25">
      <c r="A190" s="31">
        <f>SUM(E190:N190)</f>
        <v>5</v>
      </c>
      <c r="B190" s="36">
        <f>SUM(E190:J190)</f>
        <v>5</v>
      </c>
      <c r="C190" s="6"/>
      <c r="D190" s="2" t="s">
        <v>9</v>
      </c>
      <c r="E190">
        <v>0</v>
      </c>
      <c r="H190" s="35">
        <v>5</v>
      </c>
    </row>
    <row r="191" spans="1:10" ht="12.75" customHeight="1" x14ac:dyDescent="0.25">
      <c r="A191" s="27" t="s">
        <v>5</v>
      </c>
      <c r="B191" s="37">
        <v>37514</v>
      </c>
      <c r="C191" s="4" t="s">
        <v>0</v>
      </c>
      <c r="D191" s="1"/>
      <c r="E191" s="8">
        <v>37485</v>
      </c>
      <c r="F191" s="8">
        <v>37485</v>
      </c>
      <c r="G191" s="8">
        <v>37485</v>
      </c>
      <c r="H191" s="49">
        <v>37513</v>
      </c>
      <c r="I191" s="21">
        <v>37513</v>
      </c>
      <c r="J191" s="22">
        <v>37513</v>
      </c>
    </row>
    <row r="192" spans="1:10" ht="12.75" customHeight="1" x14ac:dyDescent="0.25">
      <c r="A192" s="28" t="s">
        <v>6</v>
      </c>
      <c r="B192" s="33" t="s">
        <v>6</v>
      </c>
      <c r="C192" s="5">
        <v>39</v>
      </c>
      <c r="D192" s="2"/>
      <c r="E192" s="9" t="s">
        <v>2</v>
      </c>
      <c r="F192" s="9" t="s">
        <v>3</v>
      </c>
      <c r="G192" s="9" t="s">
        <v>4</v>
      </c>
      <c r="H192" s="50" t="s">
        <v>21</v>
      </c>
      <c r="I192" s="23" t="s">
        <v>22</v>
      </c>
      <c r="J192" s="24" t="s">
        <v>4</v>
      </c>
    </row>
    <row r="193" spans="1:10" ht="12.75" customHeight="1" x14ac:dyDescent="0.25">
      <c r="A193" s="29">
        <f>SUM(E193:G193)/3</f>
        <v>0.81333333333333346</v>
      </c>
      <c r="B193" s="34">
        <f>SUM(E193:J193)/6</f>
        <v>0.82666666666666666</v>
      </c>
      <c r="C193" s="6"/>
      <c r="D193" s="2" t="s">
        <v>7</v>
      </c>
      <c r="E193" s="10">
        <v>0.92</v>
      </c>
      <c r="F193" s="10">
        <v>0.8</v>
      </c>
      <c r="G193" s="10">
        <v>0.72</v>
      </c>
      <c r="H193" s="34">
        <v>0.88</v>
      </c>
      <c r="I193" s="10">
        <v>1</v>
      </c>
      <c r="J193" s="10">
        <v>0.64</v>
      </c>
    </row>
    <row r="194" spans="1:10" ht="12.75" customHeight="1" x14ac:dyDescent="0.25">
      <c r="B194" s="35">
        <f>SUM(E194:J194)</f>
        <v>5</v>
      </c>
      <c r="C194" s="6"/>
      <c r="D194" s="2" t="s">
        <v>8</v>
      </c>
      <c r="H194" s="35">
        <v>5</v>
      </c>
    </row>
    <row r="195" spans="1:10" ht="12.75" customHeight="1" x14ac:dyDescent="0.25">
      <c r="A195" s="31">
        <f>SUM(E195:N195)</f>
        <v>12</v>
      </c>
      <c r="B195" s="36">
        <f>SUM(E195:J195)</f>
        <v>12</v>
      </c>
      <c r="C195" s="6"/>
      <c r="D195" s="2" t="s">
        <v>9</v>
      </c>
      <c r="E195">
        <v>0</v>
      </c>
      <c r="H195" s="35">
        <v>12</v>
      </c>
    </row>
    <row r="196" spans="1:10" ht="12.75" customHeight="1" x14ac:dyDescent="0.25">
      <c r="A196" s="27" t="s">
        <v>5</v>
      </c>
      <c r="B196" s="37">
        <v>37514</v>
      </c>
      <c r="C196" s="4" t="s">
        <v>0</v>
      </c>
      <c r="D196" s="1"/>
      <c r="E196" s="8">
        <v>37485</v>
      </c>
      <c r="F196" s="8">
        <v>37485</v>
      </c>
      <c r="G196" s="8">
        <v>37485</v>
      </c>
      <c r="H196" s="49">
        <v>37513</v>
      </c>
      <c r="I196" s="21">
        <v>37513</v>
      </c>
      <c r="J196" s="22">
        <v>37513</v>
      </c>
    </row>
    <row r="197" spans="1:10" ht="12.75" customHeight="1" x14ac:dyDescent="0.25">
      <c r="A197" s="28" t="s">
        <v>6</v>
      </c>
      <c r="B197" s="33" t="s">
        <v>6</v>
      </c>
      <c r="C197" s="5">
        <v>40</v>
      </c>
      <c r="D197" s="2"/>
      <c r="E197" s="9" t="s">
        <v>2</v>
      </c>
      <c r="F197" s="9" t="s">
        <v>3</v>
      </c>
      <c r="G197" s="9" t="s">
        <v>4</v>
      </c>
      <c r="H197" s="50" t="s">
        <v>21</v>
      </c>
      <c r="I197" s="23" t="s">
        <v>22</v>
      </c>
      <c r="J197" s="24" t="s">
        <v>4</v>
      </c>
    </row>
    <row r="198" spans="1:10" ht="12.75" customHeight="1" x14ac:dyDescent="0.25">
      <c r="A198" s="29">
        <f>SUM(E198:G198)/3</f>
        <v>0.65333333333333332</v>
      </c>
      <c r="B198" s="34">
        <f>SUM(E198:J198)/6</f>
        <v>0.6366666666666666</v>
      </c>
      <c r="C198" s="6"/>
      <c r="D198" s="2" t="s">
        <v>7</v>
      </c>
      <c r="E198" s="10">
        <v>0.72</v>
      </c>
      <c r="F198" s="10">
        <v>0.72</v>
      </c>
      <c r="G198" s="10">
        <v>0.52</v>
      </c>
      <c r="H198" s="34">
        <v>0.7</v>
      </c>
      <c r="I198" s="10">
        <v>0.84</v>
      </c>
      <c r="J198" s="10">
        <v>0.32</v>
      </c>
    </row>
    <row r="199" spans="1:10" ht="12.75" customHeight="1" x14ac:dyDescent="0.25">
      <c r="B199" s="35">
        <f>SUM(E199:J199)</f>
        <v>5</v>
      </c>
      <c r="C199" s="6"/>
      <c r="D199" s="2" t="s">
        <v>8</v>
      </c>
      <c r="H199" s="35">
        <v>5</v>
      </c>
    </row>
    <row r="200" spans="1:10" ht="12.75" customHeight="1" x14ac:dyDescent="0.25">
      <c r="A200" s="31">
        <f>SUM(E200:N200)</f>
        <v>46</v>
      </c>
      <c r="B200" s="36">
        <f>SUM(E200:J200)</f>
        <v>46</v>
      </c>
      <c r="C200" s="6"/>
      <c r="D200" s="2" t="s">
        <v>9</v>
      </c>
      <c r="E200">
        <v>6</v>
      </c>
      <c r="H200" s="35">
        <v>40</v>
      </c>
    </row>
    <row r="201" spans="1:10" ht="12.75" customHeight="1" x14ac:dyDescent="0.25">
      <c r="A201" s="27" t="s">
        <v>5</v>
      </c>
      <c r="B201" s="37">
        <v>37514</v>
      </c>
      <c r="C201" s="4" t="s">
        <v>0</v>
      </c>
      <c r="D201" s="1"/>
      <c r="E201" s="8">
        <v>37485</v>
      </c>
      <c r="F201" s="8">
        <v>37485</v>
      </c>
      <c r="G201" s="8">
        <v>37485</v>
      </c>
      <c r="H201" s="49">
        <v>37513</v>
      </c>
      <c r="I201" s="21">
        <v>37513</v>
      </c>
      <c r="J201" s="22">
        <v>37513</v>
      </c>
    </row>
    <row r="202" spans="1:10" ht="12.75" customHeight="1" x14ac:dyDescent="0.25">
      <c r="A202" s="28" t="s">
        <v>6</v>
      </c>
      <c r="B202" s="33" t="s">
        <v>6</v>
      </c>
      <c r="C202" s="5">
        <v>41</v>
      </c>
      <c r="D202" s="2"/>
      <c r="E202" s="9" t="s">
        <v>2</v>
      </c>
      <c r="F202" s="9" t="s">
        <v>3</v>
      </c>
      <c r="G202" s="9" t="s">
        <v>4</v>
      </c>
      <c r="H202" s="50" t="s">
        <v>21</v>
      </c>
      <c r="I202" s="23" t="s">
        <v>22</v>
      </c>
      <c r="J202" s="24" t="s">
        <v>4</v>
      </c>
    </row>
    <row r="203" spans="1:10" ht="12.75" customHeight="1" x14ac:dyDescent="0.25">
      <c r="A203" s="29">
        <f>SUM(E203:G203)/3</f>
        <v>0.90666666666666662</v>
      </c>
      <c r="B203" s="34">
        <f>SUM(E203:J203)/6</f>
        <v>0.90333333333333332</v>
      </c>
      <c r="C203" s="6"/>
      <c r="D203" s="2" t="s">
        <v>7</v>
      </c>
      <c r="E203" s="10">
        <v>0.92</v>
      </c>
      <c r="F203" s="10">
        <v>0.84</v>
      </c>
      <c r="G203" s="10">
        <v>0.96</v>
      </c>
      <c r="H203" s="34">
        <v>0.94</v>
      </c>
      <c r="I203" s="10">
        <v>1</v>
      </c>
      <c r="J203" s="10">
        <v>0.76</v>
      </c>
    </row>
    <row r="204" spans="1:10" ht="12.75" customHeight="1" x14ac:dyDescent="0.25">
      <c r="B204" s="35">
        <f>SUM(E204:J204)</f>
        <v>5</v>
      </c>
      <c r="C204" s="6"/>
      <c r="D204" s="2" t="s">
        <v>8</v>
      </c>
      <c r="H204" s="35">
        <v>5</v>
      </c>
    </row>
    <row r="205" spans="1:10" ht="12.75" customHeight="1" x14ac:dyDescent="0.25">
      <c r="A205" s="31">
        <f>SUM(E205:N205)</f>
        <v>7</v>
      </c>
      <c r="B205" s="36">
        <f>SUM(E205:J205)</f>
        <v>7</v>
      </c>
      <c r="C205" s="6"/>
      <c r="D205" s="2" t="s">
        <v>9</v>
      </c>
      <c r="E205">
        <v>2</v>
      </c>
      <c r="H205" s="35">
        <v>5</v>
      </c>
    </row>
    <row r="206" spans="1:10" ht="12.75" customHeight="1" x14ac:dyDescent="0.25">
      <c r="A206" s="27" t="s">
        <v>5</v>
      </c>
      <c r="B206" s="37">
        <v>37514</v>
      </c>
      <c r="C206" s="4" t="s">
        <v>0</v>
      </c>
      <c r="D206" s="1"/>
      <c r="E206" s="8">
        <v>37485</v>
      </c>
      <c r="F206" s="8">
        <v>37485</v>
      </c>
      <c r="G206" s="8">
        <v>37485</v>
      </c>
      <c r="H206" s="49">
        <v>37513</v>
      </c>
      <c r="I206" s="21">
        <v>37513</v>
      </c>
      <c r="J206" s="22">
        <v>37513</v>
      </c>
    </row>
    <row r="207" spans="1:10" ht="12.75" customHeight="1" x14ac:dyDescent="0.25">
      <c r="A207" s="28" t="s">
        <v>6</v>
      </c>
      <c r="B207" s="33" t="s">
        <v>6</v>
      </c>
      <c r="C207" s="5">
        <v>42</v>
      </c>
      <c r="D207" s="2"/>
      <c r="E207" s="9" t="s">
        <v>2</v>
      </c>
      <c r="F207" s="9" t="s">
        <v>3</v>
      </c>
      <c r="G207" s="9" t="s">
        <v>4</v>
      </c>
      <c r="H207" s="50" t="s">
        <v>21</v>
      </c>
      <c r="I207" s="23" t="s">
        <v>22</v>
      </c>
      <c r="J207" s="24" t="s">
        <v>4</v>
      </c>
    </row>
    <row r="208" spans="1:10" ht="12.75" customHeight="1" x14ac:dyDescent="0.25">
      <c r="A208" s="29">
        <f>SUM(E208:G208)/3</f>
        <v>0.84</v>
      </c>
      <c r="B208" s="34">
        <f>SUM(E208:J208)/6</f>
        <v>0.80666666666666664</v>
      </c>
      <c r="C208" s="6"/>
      <c r="D208" s="2" t="s">
        <v>7</v>
      </c>
      <c r="E208" s="10">
        <v>0.88</v>
      </c>
      <c r="F208" s="10">
        <v>0.92</v>
      </c>
      <c r="G208" s="10">
        <v>0.72</v>
      </c>
      <c r="H208" s="34">
        <v>0.8</v>
      </c>
      <c r="I208" s="10">
        <v>0.84</v>
      </c>
      <c r="J208" s="10">
        <v>0.68</v>
      </c>
    </row>
    <row r="209" spans="1:10" ht="12.75" customHeight="1" x14ac:dyDescent="0.25">
      <c r="B209" s="35">
        <f>SUM(E209:J209)</f>
        <v>5</v>
      </c>
      <c r="C209" s="6"/>
      <c r="D209" s="2" t="s">
        <v>8</v>
      </c>
      <c r="H209" s="35">
        <v>5</v>
      </c>
    </row>
    <row r="210" spans="1:10" ht="12.75" customHeight="1" x14ac:dyDescent="0.25">
      <c r="A210" s="31">
        <f>SUM(E210:N210)</f>
        <v>31</v>
      </c>
      <c r="B210" s="36">
        <f>SUM(E210:J210)</f>
        <v>31</v>
      </c>
      <c r="C210" s="6"/>
      <c r="D210" s="2" t="s">
        <v>9</v>
      </c>
      <c r="E210">
        <v>6</v>
      </c>
      <c r="H210" s="35">
        <v>25</v>
      </c>
    </row>
    <row r="211" spans="1:10" ht="12.75" customHeight="1" x14ac:dyDescent="0.25">
      <c r="A211" s="27" t="s">
        <v>5</v>
      </c>
      <c r="B211" s="37">
        <v>37514</v>
      </c>
      <c r="C211" s="4" t="s">
        <v>0</v>
      </c>
      <c r="D211" s="1"/>
      <c r="E211" s="8">
        <v>37485</v>
      </c>
      <c r="F211" s="8">
        <v>37485</v>
      </c>
      <c r="G211" s="8">
        <v>37485</v>
      </c>
      <c r="H211" s="49">
        <v>37513</v>
      </c>
      <c r="I211" s="21">
        <v>37513</v>
      </c>
      <c r="J211" s="22">
        <v>37513</v>
      </c>
    </row>
    <row r="212" spans="1:10" ht="12.75" customHeight="1" x14ac:dyDescent="0.25">
      <c r="A212" s="28" t="s">
        <v>6</v>
      </c>
      <c r="B212" s="33" t="s">
        <v>6</v>
      </c>
      <c r="C212" s="5">
        <v>43</v>
      </c>
      <c r="D212" s="2"/>
      <c r="E212" s="9" t="s">
        <v>2</v>
      </c>
      <c r="F212" s="9" t="s">
        <v>3</v>
      </c>
      <c r="G212" s="9" t="s">
        <v>4</v>
      </c>
      <c r="H212" s="50" t="s">
        <v>21</v>
      </c>
      <c r="I212" s="23" t="s">
        <v>22</v>
      </c>
      <c r="J212" s="24" t="s">
        <v>4</v>
      </c>
    </row>
    <row r="213" spans="1:10" ht="12.75" customHeight="1" x14ac:dyDescent="0.25">
      <c r="A213" s="29">
        <f>SUM(E213:G213)/3</f>
        <v>0.6133333333333334</v>
      </c>
      <c r="B213" s="34">
        <f>SUM(E213:J213)/6</f>
        <v>0.70000000000000007</v>
      </c>
      <c r="C213" s="6"/>
      <c r="D213" s="2" t="s">
        <v>7</v>
      </c>
      <c r="E213" s="10">
        <v>0.8</v>
      </c>
      <c r="F213" s="10">
        <v>0.52</v>
      </c>
      <c r="G213" s="10">
        <v>0.52</v>
      </c>
      <c r="H213" s="34">
        <v>0.8</v>
      </c>
      <c r="I213" s="10">
        <v>0.96</v>
      </c>
      <c r="J213" s="10">
        <v>0.6</v>
      </c>
    </row>
    <row r="214" spans="1:10" ht="12.75" customHeight="1" x14ac:dyDescent="0.25">
      <c r="B214" s="35">
        <f>SUM(E214:J214)</f>
        <v>5</v>
      </c>
      <c r="C214" s="6"/>
      <c r="D214" s="2" t="s">
        <v>8</v>
      </c>
      <c r="H214" s="35">
        <v>5</v>
      </c>
    </row>
    <row r="215" spans="1:10" ht="12.75" customHeight="1" x14ac:dyDescent="0.25">
      <c r="A215" s="31">
        <f>SUM(E215:N215)</f>
        <v>104</v>
      </c>
      <c r="B215" s="36">
        <f>SUM(E215:J215)</f>
        <v>104</v>
      </c>
      <c r="C215" s="6"/>
      <c r="D215" s="2" t="s">
        <v>9</v>
      </c>
      <c r="E215">
        <v>25</v>
      </c>
      <c r="H215" s="35">
        <v>79</v>
      </c>
    </row>
    <row r="216" spans="1:10" ht="12.75" customHeight="1" x14ac:dyDescent="0.25">
      <c r="A216" s="27" t="s">
        <v>5</v>
      </c>
      <c r="B216" s="37">
        <v>37514</v>
      </c>
      <c r="C216" s="4" t="s">
        <v>0</v>
      </c>
      <c r="D216" s="1"/>
      <c r="E216" s="8">
        <v>37485</v>
      </c>
      <c r="F216" s="8">
        <v>37485</v>
      </c>
      <c r="G216" s="8">
        <v>37485</v>
      </c>
      <c r="H216" s="49">
        <v>37513</v>
      </c>
      <c r="I216" s="21">
        <v>37513</v>
      </c>
      <c r="J216" s="22">
        <v>37513</v>
      </c>
    </row>
    <row r="217" spans="1:10" ht="12.75" customHeight="1" x14ac:dyDescent="0.25">
      <c r="A217" s="28" t="s">
        <v>6</v>
      </c>
      <c r="B217" s="33" t="s">
        <v>6</v>
      </c>
      <c r="C217" s="5">
        <v>44</v>
      </c>
      <c r="D217" s="2"/>
      <c r="E217" s="9" t="s">
        <v>2</v>
      </c>
      <c r="F217" s="9" t="s">
        <v>3</v>
      </c>
      <c r="G217" s="9" t="s">
        <v>4</v>
      </c>
      <c r="H217" s="50" t="s">
        <v>21</v>
      </c>
      <c r="I217" s="23" t="s">
        <v>22</v>
      </c>
      <c r="J217" s="24" t="s">
        <v>4</v>
      </c>
    </row>
    <row r="218" spans="1:10" ht="12.75" customHeight="1" x14ac:dyDescent="0.25">
      <c r="A218" s="29">
        <f>SUM(E218:G218)/3</f>
        <v>0.56000000000000005</v>
      </c>
      <c r="B218" s="34">
        <f>SUM(E218:J218)/6</f>
        <v>0.60666666666666669</v>
      </c>
      <c r="C218" s="6"/>
      <c r="D218" s="2" t="s">
        <v>7</v>
      </c>
      <c r="E218" s="10">
        <v>0.56000000000000005</v>
      </c>
      <c r="F218" s="10">
        <v>0.76</v>
      </c>
      <c r="G218" s="10">
        <v>0.36</v>
      </c>
      <c r="H218" s="34">
        <v>0.84</v>
      </c>
      <c r="I218" s="10">
        <v>0.72</v>
      </c>
      <c r="J218" s="10">
        <v>0.4</v>
      </c>
    </row>
    <row r="219" spans="1:10" ht="12.75" customHeight="1" x14ac:dyDescent="0.25">
      <c r="B219" s="35">
        <f>SUM(E219:J219)</f>
        <v>5</v>
      </c>
      <c r="C219" s="6"/>
      <c r="D219" s="2" t="s">
        <v>8</v>
      </c>
      <c r="H219" s="35">
        <v>5</v>
      </c>
    </row>
    <row r="220" spans="1:10" ht="12.75" customHeight="1" x14ac:dyDescent="0.25">
      <c r="A220" s="31">
        <f>SUM(E220:N220)</f>
        <v>27</v>
      </c>
      <c r="B220" s="36">
        <f>SUM(E220:J220)</f>
        <v>27</v>
      </c>
      <c r="C220" s="6"/>
      <c r="D220" s="2" t="s">
        <v>9</v>
      </c>
      <c r="E220">
        <v>10</v>
      </c>
      <c r="H220" s="35">
        <v>17</v>
      </c>
    </row>
    <row r="221" spans="1:10" ht="12.75" customHeight="1" x14ac:dyDescent="0.25">
      <c r="A221" s="27" t="s">
        <v>5</v>
      </c>
      <c r="B221" s="37">
        <v>37514</v>
      </c>
      <c r="C221" s="4" t="s">
        <v>0</v>
      </c>
      <c r="D221" s="1"/>
      <c r="E221" s="8">
        <v>37485</v>
      </c>
      <c r="F221" s="8">
        <v>37485</v>
      </c>
      <c r="G221" s="8">
        <v>37485</v>
      </c>
      <c r="H221" s="49">
        <v>37513</v>
      </c>
      <c r="I221" s="21">
        <v>37513</v>
      </c>
      <c r="J221" s="22">
        <v>37513</v>
      </c>
    </row>
    <row r="222" spans="1:10" ht="12.75" customHeight="1" x14ac:dyDescent="0.25">
      <c r="A222" s="28" t="s">
        <v>6</v>
      </c>
      <c r="B222" s="33" t="s">
        <v>6</v>
      </c>
      <c r="C222" s="5">
        <v>45</v>
      </c>
      <c r="D222" s="2"/>
      <c r="E222" s="9" t="s">
        <v>2</v>
      </c>
      <c r="F222" s="9" t="s">
        <v>3</v>
      </c>
      <c r="G222" s="9" t="s">
        <v>4</v>
      </c>
      <c r="H222" s="50" t="s">
        <v>21</v>
      </c>
      <c r="I222" s="23" t="s">
        <v>22</v>
      </c>
      <c r="J222" s="24" t="s">
        <v>4</v>
      </c>
    </row>
    <row r="223" spans="1:10" ht="12.75" customHeight="1" x14ac:dyDescent="0.25">
      <c r="A223" s="29">
        <f>SUM(E223:G223)/3</f>
        <v>0.93333333333333324</v>
      </c>
      <c r="B223" s="34">
        <f>SUM(E223:J223)/6</f>
        <v>0.91666666666666652</v>
      </c>
      <c r="C223" s="6"/>
      <c r="D223" s="2" t="s">
        <v>7</v>
      </c>
      <c r="E223" s="10">
        <v>0.96</v>
      </c>
      <c r="F223" s="10">
        <v>0.88</v>
      </c>
      <c r="G223" s="10">
        <v>0.96</v>
      </c>
      <c r="H223" s="34">
        <v>0.82</v>
      </c>
      <c r="I223" s="10">
        <v>1</v>
      </c>
      <c r="J223" s="10">
        <v>0.88</v>
      </c>
    </row>
    <row r="224" spans="1:10" ht="12.75" customHeight="1" x14ac:dyDescent="0.25">
      <c r="B224" s="35">
        <f>SUM(E224:J224)</f>
        <v>5</v>
      </c>
      <c r="C224" s="6"/>
      <c r="D224" s="2" t="s">
        <v>8</v>
      </c>
      <c r="H224" s="35">
        <v>5</v>
      </c>
    </row>
    <row r="225" spans="1:10" ht="12.75" customHeight="1" x14ac:dyDescent="0.25">
      <c r="A225" s="31">
        <f>SUM(E225:N225)</f>
        <v>0</v>
      </c>
      <c r="B225" s="36">
        <f>SUM(E225:J225)</f>
        <v>0</v>
      </c>
      <c r="C225" s="6"/>
      <c r="D225" s="2" t="s">
        <v>9</v>
      </c>
      <c r="E225">
        <v>0</v>
      </c>
      <c r="H225" s="35">
        <v>0</v>
      </c>
    </row>
    <row r="226" spans="1:10" ht="12.75" customHeight="1" x14ac:dyDescent="0.25">
      <c r="A226" s="27" t="s">
        <v>5</v>
      </c>
      <c r="B226" s="37">
        <v>37514</v>
      </c>
      <c r="C226" s="4" t="s">
        <v>0</v>
      </c>
      <c r="D226" s="1"/>
      <c r="E226" s="8">
        <v>37485</v>
      </c>
      <c r="F226" s="8">
        <v>37485</v>
      </c>
      <c r="G226" s="8">
        <v>37485</v>
      </c>
      <c r="H226" s="49">
        <v>37513</v>
      </c>
      <c r="I226" s="21">
        <v>37513</v>
      </c>
      <c r="J226" s="22">
        <v>37513</v>
      </c>
    </row>
    <row r="227" spans="1:10" ht="12.75" customHeight="1" x14ac:dyDescent="0.25">
      <c r="A227" s="28" t="s">
        <v>6</v>
      </c>
      <c r="B227" s="33" t="s">
        <v>6</v>
      </c>
      <c r="C227" s="5">
        <v>46</v>
      </c>
      <c r="D227" s="2"/>
      <c r="E227" s="9" t="s">
        <v>2</v>
      </c>
      <c r="F227" s="9" t="s">
        <v>3</v>
      </c>
      <c r="G227" s="9" t="s">
        <v>4</v>
      </c>
      <c r="H227" s="50" t="s">
        <v>21</v>
      </c>
      <c r="I227" s="23" t="s">
        <v>22</v>
      </c>
      <c r="J227" s="24" t="s">
        <v>4</v>
      </c>
    </row>
    <row r="228" spans="1:10" ht="12.75" customHeight="1" x14ac:dyDescent="0.25">
      <c r="A228" s="29">
        <f>SUM(E228:G228)/3</f>
        <v>0.66666666666666663</v>
      </c>
      <c r="B228" s="34">
        <f>SUM(E228:J228)/6</f>
        <v>0.72666666666666657</v>
      </c>
      <c r="C228" s="6"/>
      <c r="D228" s="2" t="s">
        <v>7</v>
      </c>
      <c r="E228" s="10">
        <v>0.76</v>
      </c>
      <c r="F228" s="10">
        <v>0.72</v>
      </c>
      <c r="G228" s="10">
        <v>0.52</v>
      </c>
      <c r="H228" s="34">
        <v>0.84</v>
      </c>
      <c r="I228" s="10">
        <v>0.96</v>
      </c>
      <c r="J228" s="10">
        <v>0.56000000000000005</v>
      </c>
    </row>
    <row r="229" spans="1:10" ht="12.75" customHeight="1" x14ac:dyDescent="0.25">
      <c r="B229" s="35">
        <f>SUM(E229:J229)</f>
        <v>5</v>
      </c>
      <c r="C229" s="6"/>
      <c r="D229" s="2" t="s">
        <v>8</v>
      </c>
      <c r="H229" s="35">
        <v>5</v>
      </c>
    </row>
    <row r="230" spans="1:10" ht="12.75" customHeight="1" x14ac:dyDescent="0.25">
      <c r="A230" s="31">
        <f>SUM(E230:N230)</f>
        <v>21</v>
      </c>
      <c r="B230" s="36">
        <f>SUM(E230:J230)</f>
        <v>21</v>
      </c>
      <c r="C230" s="6"/>
      <c r="D230" s="2" t="s">
        <v>9</v>
      </c>
      <c r="E230">
        <v>0</v>
      </c>
      <c r="H230" s="35">
        <v>21</v>
      </c>
    </row>
    <row r="231" spans="1:10" ht="12.75" customHeight="1" x14ac:dyDescent="0.25">
      <c r="A231" s="27" t="s">
        <v>5</v>
      </c>
      <c r="B231" s="37">
        <v>37514</v>
      </c>
      <c r="C231" s="4" t="s">
        <v>0</v>
      </c>
      <c r="D231" s="1"/>
      <c r="E231" s="8">
        <v>37485</v>
      </c>
      <c r="F231" s="8">
        <v>37485</v>
      </c>
      <c r="G231" s="8">
        <v>37485</v>
      </c>
      <c r="H231" s="49">
        <v>37513</v>
      </c>
      <c r="I231" s="21">
        <v>37513</v>
      </c>
      <c r="J231" s="22">
        <v>37513</v>
      </c>
    </row>
    <row r="232" spans="1:10" ht="12.75" customHeight="1" x14ac:dyDescent="0.25">
      <c r="A232" s="28" t="s">
        <v>6</v>
      </c>
      <c r="B232" s="33" t="s">
        <v>6</v>
      </c>
      <c r="C232" s="25">
        <v>47</v>
      </c>
      <c r="D232" s="2"/>
      <c r="E232" s="9" t="s">
        <v>2</v>
      </c>
      <c r="F232" s="9" t="s">
        <v>3</v>
      </c>
      <c r="G232" s="9" t="s">
        <v>4</v>
      </c>
      <c r="H232" s="50" t="s">
        <v>21</v>
      </c>
      <c r="I232" s="23" t="s">
        <v>22</v>
      </c>
      <c r="J232" s="24" t="s">
        <v>4</v>
      </c>
    </row>
    <row r="233" spans="1:10" ht="12.75" customHeight="1" x14ac:dyDescent="0.25">
      <c r="A233" s="29">
        <f>SUM(E233:G233)/3</f>
        <v>0.57333333333333336</v>
      </c>
      <c r="B233" s="34">
        <f>SUM(E233:J233)/6</f>
        <v>0.65</v>
      </c>
      <c r="C233" s="6"/>
      <c r="D233" s="2" t="s">
        <v>7</v>
      </c>
      <c r="E233" s="10">
        <v>0.72</v>
      </c>
      <c r="F233" s="10">
        <v>0.52</v>
      </c>
      <c r="G233" s="10">
        <v>0.48</v>
      </c>
      <c r="H233" s="34">
        <v>0.78</v>
      </c>
      <c r="I233" s="10">
        <v>0.92</v>
      </c>
      <c r="J233" s="10">
        <v>0.48</v>
      </c>
    </row>
    <row r="234" spans="1:10" ht="12.75" customHeight="1" x14ac:dyDescent="0.25">
      <c r="B234" s="35">
        <f>SUM(E234:J234)</f>
        <v>5</v>
      </c>
      <c r="C234" s="6"/>
      <c r="D234" s="2" t="s">
        <v>8</v>
      </c>
      <c r="H234" s="35">
        <v>5</v>
      </c>
    </row>
    <row r="235" spans="1:10" ht="12.75" customHeight="1" x14ac:dyDescent="0.25">
      <c r="A235" s="31">
        <f>SUM(E235:N235)</f>
        <v>22</v>
      </c>
      <c r="B235" s="36">
        <f>SUM(E235:J235)</f>
        <v>22</v>
      </c>
      <c r="C235" s="6"/>
      <c r="D235" s="2" t="s">
        <v>9</v>
      </c>
      <c r="E235">
        <v>8</v>
      </c>
      <c r="H235" s="35">
        <v>14</v>
      </c>
    </row>
    <row r="236" spans="1:10" ht="12.75" customHeight="1" x14ac:dyDescent="0.25">
      <c r="A236" s="27" t="s">
        <v>5</v>
      </c>
      <c r="B236" s="37">
        <v>37514</v>
      </c>
      <c r="C236" s="4" t="s">
        <v>0</v>
      </c>
      <c r="D236" s="1"/>
      <c r="E236" s="8">
        <v>37485</v>
      </c>
      <c r="F236" s="8">
        <v>37485</v>
      </c>
      <c r="G236" s="8">
        <v>37485</v>
      </c>
      <c r="H236" s="49">
        <v>37513</v>
      </c>
      <c r="I236" s="21">
        <v>37513</v>
      </c>
      <c r="J236" s="22">
        <v>37513</v>
      </c>
    </row>
    <row r="237" spans="1:10" ht="12.75" customHeight="1" x14ac:dyDescent="0.25">
      <c r="A237" s="28" t="s">
        <v>6</v>
      </c>
      <c r="B237" s="33" t="s">
        <v>6</v>
      </c>
      <c r="C237" s="5">
        <v>48</v>
      </c>
      <c r="D237" s="2"/>
      <c r="E237" s="9" t="s">
        <v>2</v>
      </c>
      <c r="F237" s="9" t="s">
        <v>3</v>
      </c>
      <c r="G237" s="9" t="s">
        <v>4</v>
      </c>
      <c r="H237" s="50" t="s">
        <v>21</v>
      </c>
      <c r="I237" s="23" t="s">
        <v>22</v>
      </c>
      <c r="J237" s="24" t="s">
        <v>4</v>
      </c>
    </row>
    <row r="238" spans="1:10" ht="12.75" customHeight="1" x14ac:dyDescent="0.25">
      <c r="A238" s="29">
        <f>SUM(E238:G238)/3</f>
        <v>0.66666666666666663</v>
      </c>
      <c r="B238" s="34">
        <f>SUM(E238:J238)/6</f>
        <v>0.68</v>
      </c>
      <c r="C238" s="6"/>
      <c r="D238" s="2" t="s">
        <v>7</v>
      </c>
      <c r="E238" s="10">
        <v>0.56000000000000005</v>
      </c>
      <c r="F238" s="10">
        <v>0.72</v>
      </c>
      <c r="G238" s="10">
        <v>0.72</v>
      </c>
      <c r="H238" s="34">
        <v>0.8</v>
      </c>
      <c r="I238" s="10">
        <v>0.8</v>
      </c>
      <c r="J238" s="10">
        <v>0.48</v>
      </c>
    </row>
    <row r="239" spans="1:10" ht="12.75" customHeight="1" x14ac:dyDescent="0.25">
      <c r="B239" s="35">
        <f>SUM(E239:J239)</f>
        <v>5</v>
      </c>
      <c r="C239" s="6"/>
      <c r="D239" s="2" t="s">
        <v>8</v>
      </c>
      <c r="H239" s="35">
        <v>5</v>
      </c>
    </row>
    <row r="240" spans="1:10" ht="12.75" customHeight="1" x14ac:dyDescent="0.25">
      <c r="A240" s="31">
        <f>SUM(E240:N240)</f>
        <v>9</v>
      </c>
      <c r="B240" s="36">
        <f>SUM(E240:J240)</f>
        <v>9</v>
      </c>
      <c r="C240" s="6"/>
      <c r="D240" s="2" t="s">
        <v>9</v>
      </c>
      <c r="E240">
        <v>4</v>
      </c>
      <c r="H240" s="35">
        <v>5</v>
      </c>
    </row>
    <row r="241" spans="1:10" ht="12.75" customHeight="1" x14ac:dyDescent="0.25">
      <c r="A241" s="27" t="s">
        <v>5</v>
      </c>
      <c r="B241" s="37">
        <v>37514</v>
      </c>
      <c r="C241" s="4" t="s">
        <v>0</v>
      </c>
      <c r="D241" s="1"/>
      <c r="E241" s="8">
        <v>37485</v>
      </c>
      <c r="F241" s="8">
        <v>37485</v>
      </c>
      <c r="G241" s="8">
        <v>37485</v>
      </c>
      <c r="H241" s="49">
        <v>37513</v>
      </c>
      <c r="I241" s="21">
        <v>37513</v>
      </c>
      <c r="J241" s="22">
        <v>37513</v>
      </c>
    </row>
    <row r="242" spans="1:10" ht="12.75" customHeight="1" x14ac:dyDescent="0.25">
      <c r="A242" s="28" t="s">
        <v>6</v>
      </c>
      <c r="B242" s="33" t="s">
        <v>6</v>
      </c>
      <c r="C242" s="5">
        <v>49</v>
      </c>
      <c r="D242" s="2"/>
      <c r="E242" s="9" t="s">
        <v>2</v>
      </c>
      <c r="F242" s="9" t="s">
        <v>3</v>
      </c>
      <c r="G242" s="9" t="s">
        <v>4</v>
      </c>
      <c r="H242" s="50" t="s">
        <v>21</v>
      </c>
      <c r="I242" s="23" t="s">
        <v>22</v>
      </c>
      <c r="J242" s="24" t="s">
        <v>4</v>
      </c>
    </row>
    <row r="243" spans="1:10" ht="12.75" customHeight="1" x14ac:dyDescent="0.25">
      <c r="A243" s="29">
        <f>SUM(E243:G243)/3</f>
        <v>0.90666666666666662</v>
      </c>
      <c r="B243" s="34">
        <f>SUM(E243:J243)/6</f>
        <v>0.89999999999999991</v>
      </c>
      <c r="C243" s="6"/>
      <c r="D243" s="2" t="s">
        <v>7</v>
      </c>
      <c r="E243" s="10">
        <v>0.96</v>
      </c>
      <c r="F243" s="10">
        <v>0.88</v>
      </c>
      <c r="G243" s="10">
        <v>0.88</v>
      </c>
      <c r="H243" s="34">
        <v>0.88</v>
      </c>
      <c r="I243" s="10">
        <v>1</v>
      </c>
      <c r="J243" s="10">
        <v>0.8</v>
      </c>
    </row>
    <row r="244" spans="1:10" ht="12.75" customHeight="1" x14ac:dyDescent="0.25">
      <c r="B244" s="35">
        <f>SUM(E244:J244)</f>
        <v>5</v>
      </c>
      <c r="C244" s="6"/>
      <c r="D244" s="2" t="s">
        <v>8</v>
      </c>
      <c r="H244" s="35">
        <v>5</v>
      </c>
    </row>
    <row r="245" spans="1:10" ht="12.75" customHeight="1" x14ac:dyDescent="0.25">
      <c r="A245" s="31">
        <f>SUM(E245:N245)</f>
        <v>50</v>
      </c>
      <c r="B245" s="36">
        <f>SUM(E245:J245)</f>
        <v>50</v>
      </c>
      <c r="C245" s="6"/>
      <c r="D245" s="2" t="s">
        <v>9</v>
      </c>
      <c r="E245">
        <v>25</v>
      </c>
      <c r="H245" s="35">
        <v>25</v>
      </c>
    </row>
    <row r="246" spans="1:10" ht="12.75" customHeight="1" x14ac:dyDescent="0.25">
      <c r="A246" s="27" t="s">
        <v>5</v>
      </c>
      <c r="B246" s="37">
        <v>37514</v>
      </c>
      <c r="C246" s="4" t="s">
        <v>0</v>
      </c>
      <c r="D246" s="1"/>
      <c r="E246" s="8">
        <v>37485</v>
      </c>
      <c r="F246" s="8">
        <v>37485</v>
      </c>
      <c r="G246" s="8">
        <v>37485</v>
      </c>
      <c r="H246" s="49">
        <v>37513</v>
      </c>
      <c r="I246" s="21">
        <v>37513</v>
      </c>
      <c r="J246" s="22">
        <v>37513</v>
      </c>
    </row>
    <row r="247" spans="1:10" ht="12.75" customHeight="1" x14ac:dyDescent="0.25">
      <c r="A247" s="28" t="s">
        <v>6</v>
      </c>
      <c r="B247" s="33" t="s">
        <v>6</v>
      </c>
      <c r="C247" s="5">
        <v>50</v>
      </c>
      <c r="D247" s="2"/>
      <c r="E247" s="9" t="s">
        <v>2</v>
      </c>
      <c r="F247" s="9" t="s">
        <v>3</v>
      </c>
      <c r="G247" s="9" t="s">
        <v>4</v>
      </c>
      <c r="H247" s="50" t="s">
        <v>21</v>
      </c>
      <c r="I247" s="23" t="s">
        <v>22</v>
      </c>
      <c r="J247" s="24" t="s">
        <v>4</v>
      </c>
    </row>
    <row r="248" spans="1:10" ht="12.75" customHeight="1" x14ac:dyDescent="0.25">
      <c r="A248" s="29">
        <f>SUM(E248:G248)/3</f>
        <v>0.65333333333333332</v>
      </c>
      <c r="B248" s="34">
        <f>SUM(E248:J248)/6</f>
        <v>0.67666666666666675</v>
      </c>
      <c r="C248" s="6"/>
      <c r="D248" s="2" t="s">
        <v>7</v>
      </c>
      <c r="E248" s="10">
        <v>0.6</v>
      </c>
      <c r="F248" s="10">
        <v>0.76</v>
      </c>
      <c r="G248" s="10">
        <v>0.6</v>
      </c>
      <c r="H248" s="34">
        <v>0.78</v>
      </c>
      <c r="I248" s="10">
        <v>0.92</v>
      </c>
      <c r="J248" s="10">
        <v>0.4</v>
      </c>
    </row>
    <row r="249" spans="1:10" ht="12.75" customHeight="1" x14ac:dyDescent="0.25">
      <c r="B249" s="35">
        <f>SUM(E249:J249)</f>
        <v>5</v>
      </c>
      <c r="C249" s="6"/>
      <c r="D249" s="2" t="s">
        <v>8</v>
      </c>
      <c r="H249" s="35">
        <v>5</v>
      </c>
    </row>
    <row r="250" spans="1:10" ht="12.75" customHeight="1" x14ac:dyDescent="0.25">
      <c r="A250" s="31">
        <f>SUM(E250:N250)</f>
        <v>14</v>
      </c>
      <c r="B250" s="36">
        <f>SUM(E250:J250)</f>
        <v>14</v>
      </c>
      <c r="C250" s="6"/>
      <c r="D250" s="2" t="s">
        <v>9</v>
      </c>
      <c r="E250">
        <v>5</v>
      </c>
      <c r="H250" s="35">
        <v>9</v>
      </c>
    </row>
    <row r="251" spans="1:10" ht="12.75" customHeight="1" x14ac:dyDescent="0.25">
      <c r="A251" s="27" t="s">
        <v>5</v>
      </c>
      <c r="B251" s="37">
        <v>37514</v>
      </c>
      <c r="C251" s="4" t="s">
        <v>0</v>
      </c>
      <c r="D251" s="1"/>
      <c r="E251" s="8">
        <v>37485</v>
      </c>
      <c r="F251" s="8">
        <v>37485</v>
      </c>
      <c r="G251" s="8">
        <v>37485</v>
      </c>
      <c r="H251" s="49">
        <v>37513</v>
      </c>
      <c r="I251" s="21">
        <v>37513</v>
      </c>
      <c r="J251" s="22">
        <v>37513</v>
      </c>
    </row>
    <row r="252" spans="1:10" ht="12.75" customHeight="1" x14ac:dyDescent="0.25">
      <c r="A252" s="28" t="s">
        <v>6</v>
      </c>
      <c r="B252" s="33" t="s">
        <v>6</v>
      </c>
      <c r="C252" s="5">
        <v>51</v>
      </c>
      <c r="D252" s="2"/>
      <c r="E252" s="9" t="s">
        <v>2</v>
      </c>
      <c r="F252" s="9" t="s">
        <v>3</v>
      </c>
      <c r="G252" s="9" t="s">
        <v>4</v>
      </c>
      <c r="H252" s="50" t="s">
        <v>21</v>
      </c>
      <c r="I252" s="23" t="s">
        <v>22</v>
      </c>
      <c r="J252" s="24" t="s">
        <v>4</v>
      </c>
    </row>
    <row r="253" spans="1:10" ht="12.75" customHeight="1" x14ac:dyDescent="0.25">
      <c r="A253" s="29">
        <f>SUM(E253:G253)/3</f>
        <v>0.78666666666666663</v>
      </c>
      <c r="B253" s="34">
        <f>SUM(E253:J253)/6</f>
        <v>0.78333333333333321</v>
      </c>
      <c r="C253" s="6"/>
      <c r="D253" s="2" t="s">
        <v>7</v>
      </c>
      <c r="E253" s="10">
        <v>0.88</v>
      </c>
      <c r="F253" s="10">
        <v>0.6</v>
      </c>
      <c r="G253" s="10">
        <v>0.88</v>
      </c>
      <c r="H253" s="34">
        <v>0.86</v>
      </c>
      <c r="I253" s="10">
        <v>0.96</v>
      </c>
      <c r="J253" s="10">
        <v>0.52</v>
      </c>
    </row>
    <row r="254" spans="1:10" ht="12.75" customHeight="1" x14ac:dyDescent="0.25">
      <c r="B254" s="35">
        <f>SUM(E254:J254)</f>
        <v>5</v>
      </c>
      <c r="C254" s="6"/>
      <c r="D254" s="2" t="s">
        <v>8</v>
      </c>
      <c r="H254" s="35">
        <v>5</v>
      </c>
    </row>
    <row r="255" spans="1:10" ht="12.75" customHeight="1" x14ac:dyDescent="0.25">
      <c r="A255" s="31">
        <f>SUM(E255:N255)</f>
        <v>13</v>
      </c>
      <c r="B255" s="36">
        <f>SUM(E255:J255)</f>
        <v>13</v>
      </c>
      <c r="C255" s="6"/>
      <c r="D255" s="2" t="s">
        <v>9</v>
      </c>
      <c r="E255">
        <v>0</v>
      </c>
      <c r="H255" s="35">
        <v>13</v>
      </c>
    </row>
    <row r="256" spans="1:10" ht="12.75" customHeight="1" x14ac:dyDescent="0.25">
      <c r="A256" s="27" t="s">
        <v>5</v>
      </c>
      <c r="B256" s="37">
        <v>37514</v>
      </c>
      <c r="C256" s="4" t="s">
        <v>0</v>
      </c>
      <c r="D256" s="1"/>
      <c r="E256" s="8">
        <v>37485</v>
      </c>
      <c r="F256" s="8">
        <v>37485</v>
      </c>
      <c r="G256" s="8">
        <v>37485</v>
      </c>
      <c r="H256" s="49">
        <v>37513</v>
      </c>
      <c r="I256" s="21">
        <v>37513</v>
      </c>
      <c r="J256" s="22">
        <v>37513</v>
      </c>
    </row>
    <row r="257" spans="1:10" ht="12.75" customHeight="1" x14ac:dyDescent="0.25">
      <c r="A257" s="28" t="s">
        <v>6</v>
      </c>
      <c r="B257" s="33" t="s">
        <v>6</v>
      </c>
      <c r="C257" s="5">
        <v>52</v>
      </c>
      <c r="D257" s="2"/>
      <c r="E257" s="9" t="s">
        <v>2</v>
      </c>
      <c r="F257" s="9" t="s">
        <v>3</v>
      </c>
      <c r="G257" s="9" t="s">
        <v>4</v>
      </c>
      <c r="H257" s="50" t="s">
        <v>21</v>
      </c>
      <c r="I257" s="23" t="s">
        <v>22</v>
      </c>
      <c r="J257" s="24" t="s">
        <v>4</v>
      </c>
    </row>
    <row r="258" spans="1:10" ht="12.75" customHeight="1" x14ac:dyDescent="0.25">
      <c r="A258" s="29">
        <f>SUM(E258:G258)/3</f>
        <v>0.84</v>
      </c>
      <c r="B258" s="34">
        <f>SUM(E258:J258)/6</f>
        <v>0.86333333333333329</v>
      </c>
      <c r="C258" s="6"/>
      <c r="D258" s="2" t="s">
        <v>7</v>
      </c>
      <c r="E258" s="10">
        <v>0.88</v>
      </c>
      <c r="F258" s="10">
        <v>0.88</v>
      </c>
      <c r="G258" s="10">
        <v>0.76</v>
      </c>
      <c r="H258" s="34">
        <v>0.9</v>
      </c>
      <c r="I258" s="10">
        <v>0.96</v>
      </c>
      <c r="J258" s="10">
        <v>0.8</v>
      </c>
    </row>
    <row r="259" spans="1:10" ht="12.75" customHeight="1" x14ac:dyDescent="0.25">
      <c r="B259" s="35">
        <f>SUM(E259:J259)</f>
        <v>5</v>
      </c>
      <c r="C259" s="6"/>
      <c r="D259" s="2" t="s">
        <v>8</v>
      </c>
      <c r="H259" s="35">
        <v>5</v>
      </c>
    </row>
    <row r="260" spans="1:10" ht="12.75" customHeight="1" x14ac:dyDescent="0.25">
      <c r="A260" s="31">
        <f>SUM(E260:N260)</f>
        <v>34</v>
      </c>
      <c r="B260" s="36">
        <f>SUM(E260:J260)</f>
        <v>34</v>
      </c>
      <c r="C260" s="6"/>
      <c r="D260" s="2" t="s">
        <v>9</v>
      </c>
      <c r="E260">
        <v>10</v>
      </c>
      <c r="H260" s="35">
        <v>24</v>
      </c>
    </row>
    <row r="261" spans="1:10" ht="12.75" customHeight="1" x14ac:dyDescent="0.25">
      <c r="A261" s="27" t="s">
        <v>5</v>
      </c>
      <c r="B261" s="37">
        <v>37514</v>
      </c>
      <c r="C261" s="4" t="s">
        <v>0</v>
      </c>
      <c r="D261" s="1"/>
      <c r="E261" s="8">
        <v>37485</v>
      </c>
      <c r="F261" s="8">
        <v>37485</v>
      </c>
      <c r="G261" s="8">
        <v>37485</v>
      </c>
      <c r="H261" s="49">
        <v>37513</v>
      </c>
      <c r="I261" s="21">
        <v>37513</v>
      </c>
      <c r="J261" s="22">
        <v>37513</v>
      </c>
    </row>
    <row r="262" spans="1:10" ht="12.75" customHeight="1" x14ac:dyDescent="0.25">
      <c r="A262" s="28" t="s">
        <v>6</v>
      </c>
      <c r="B262" s="33" t="s">
        <v>6</v>
      </c>
      <c r="C262" s="5">
        <v>53</v>
      </c>
      <c r="D262" s="2"/>
      <c r="E262" s="9" t="s">
        <v>2</v>
      </c>
      <c r="F262" s="9" t="s">
        <v>3</v>
      </c>
      <c r="G262" s="9" t="s">
        <v>4</v>
      </c>
      <c r="H262" s="50" t="s">
        <v>21</v>
      </c>
      <c r="I262" s="23" t="s">
        <v>22</v>
      </c>
      <c r="J262" s="24" t="s">
        <v>4</v>
      </c>
    </row>
    <row r="263" spans="1:10" ht="12.75" customHeight="1" x14ac:dyDescent="0.25">
      <c r="A263" s="29">
        <f>SUM(E263:G263)/3</f>
        <v>0.77333333333333332</v>
      </c>
      <c r="B263" s="34">
        <f>SUM(E263:J263)/6</f>
        <v>0.78999999999999992</v>
      </c>
      <c r="C263" s="6"/>
      <c r="D263" s="2" t="s">
        <v>7</v>
      </c>
      <c r="E263" s="10">
        <v>0.84</v>
      </c>
      <c r="F263" s="10">
        <v>0.64</v>
      </c>
      <c r="G263" s="10">
        <v>0.84</v>
      </c>
      <c r="H263" s="34">
        <v>0.82</v>
      </c>
      <c r="I263" s="10">
        <v>0.88</v>
      </c>
      <c r="J263" s="10">
        <v>0.72</v>
      </c>
    </row>
    <row r="264" spans="1:10" ht="12.75" customHeight="1" x14ac:dyDescent="0.25">
      <c r="B264" s="35">
        <f>SUM(E264:J264)</f>
        <v>5</v>
      </c>
      <c r="C264" s="6"/>
      <c r="D264" s="2" t="s">
        <v>8</v>
      </c>
      <c r="H264" s="35">
        <v>5</v>
      </c>
    </row>
    <row r="265" spans="1:10" ht="12.75" customHeight="1" x14ac:dyDescent="0.25">
      <c r="A265" s="31">
        <f>SUM(E265:N265)</f>
        <v>31</v>
      </c>
      <c r="B265" s="36">
        <f>SUM(E265:J265)</f>
        <v>31</v>
      </c>
      <c r="C265" s="6"/>
      <c r="D265" s="2" t="s">
        <v>9</v>
      </c>
      <c r="H265" s="35">
        <v>31</v>
      </c>
    </row>
    <row r="266" spans="1:10" ht="12.75" customHeight="1" x14ac:dyDescent="0.25">
      <c r="A266" s="27" t="s">
        <v>5</v>
      </c>
      <c r="B266" s="37">
        <v>37514</v>
      </c>
      <c r="C266" s="4" t="s">
        <v>0</v>
      </c>
      <c r="D266" s="1"/>
      <c r="E266" s="8">
        <v>37485</v>
      </c>
      <c r="F266" s="8">
        <v>37485</v>
      </c>
      <c r="G266" s="8">
        <v>37485</v>
      </c>
      <c r="H266" s="49">
        <v>37513</v>
      </c>
      <c r="I266" s="21">
        <v>37513</v>
      </c>
      <c r="J266" s="22">
        <v>37513</v>
      </c>
    </row>
    <row r="267" spans="1:10" ht="12.75" customHeight="1" x14ac:dyDescent="0.25">
      <c r="A267" s="28" t="s">
        <v>6</v>
      </c>
      <c r="B267" s="33" t="s">
        <v>6</v>
      </c>
      <c r="C267" s="5">
        <v>54</v>
      </c>
      <c r="D267" s="2"/>
      <c r="E267" s="9" t="s">
        <v>2</v>
      </c>
      <c r="F267" s="9" t="s">
        <v>3</v>
      </c>
      <c r="G267" s="9" t="s">
        <v>4</v>
      </c>
      <c r="H267" s="50" t="s">
        <v>21</v>
      </c>
      <c r="I267" s="23" t="s">
        <v>22</v>
      </c>
      <c r="J267" s="24" t="s">
        <v>4</v>
      </c>
    </row>
    <row r="268" spans="1:10" ht="12.75" customHeight="1" x14ac:dyDescent="0.25">
      <c r="A268" s="29">
        <f>SUM(E268:G268)/3</f>
        <v>0.64</v>
      </c>
      <c r="B268" s="34">
        <f>SUM(E268:J268)/6</f>
        <v>0.66999999999999993</v>
      </c>
      <c r="C268" s="6"/>
      <c r="D268" s="2" t="s">
        <v>7</v>
      </c>
      <c r="E268" s="10">
        <v>0.84</v>
      </c>
      <c r="F268" s="10">
        <v>0.56000000000000005</v>
      </c>
      <c r="G268" s="10">
        <v>0.52</v>
      </c>
      <c r="H268" s="34">
        <v>0.9</v>
      </c>
      <c r="I268" s="10">
        <v>0.64</v>
      </c>
      <c r="J268" s="10">
        <v>0.56000000000000005</v>
      </c>
    </row>
    <row r="269" spans="1:10" ht="12.75" customHeight="1" x14ac:dyDescent="0.25">
      <c r="B269" s="35">
        <f>SUM(E269:J269)</f>
        <v>5</v>
      </c>
      <c r="C269" s="6"/>
      <c r="D269" s="2" t="s">
        <v>8</v>
      </c>
      <c r="H269" s="35">
        <v>5</v>
      </c>
    </row>
    <row r="270" spans="1:10" ht="12.75" customHeight="1" x14ac:dyDescent="0.25">
      <c r="A270" s="31">
        <f>SUM(E270:N270)</f>
        <v>36</v>
      </c>
      <c r="B270" s="36">
        <f>SUM(E270:J270)</f>
        <v>36</v>
      </c>
      <c r="C270" s="6"/>
      <c r="D270" s="2" t="s">
        <v>9</v>
      </c>
      <c r="E270">
        <v>0</v>
      </c>
      <c r="H270" s="35">
        <v>36</v>
      </c>
    </row>
    <row r="271" spans="1:10" ht="12.75" customHeight="1" x14ac:dyDescent="0.25">
      <c r="A271" s="27" t="s">
        <v>5</v>
      </c>
      <c r="B271" s="37">
        <v>37514</v>
      </c>
      <c r="C271" s="4" t="s">
        <v>0</v>
      </c>
      <c r="D271" s="1"/>
      <c r="E271" s="8">
        <v>37485</v>
      </c>
      <c r="F271" s="8">
        <v>37485</v>
      </c>
      <c r="G271" s="8">
        <v>37485</v>
      </c>
      <c r="H271" s="49">
        <v>37513</v>
      </c>
      <c r="I271" s="21">
        <v>37513</v>
      </c>
      <c r="J271" s="22">
        <v>37513</v>
      </c>
    </row>
    <row r="272" spans="1:10" ht="12.75" customHeight="1" x14ac:dyDescent="0.25">
      <c r="A272" s="28" t="s">
        <v>6</v>
      </c>
      <c r="B272" s="33" t="s">
        <v>6</v>
      </c>
      <c r="C272" s="5">
        <v>55</v>
      </c>
      <c r="D272" s="2"/>
      <c r="E272" s="9" t="s">
        <v>2</v>
      </c>
      <c r="F272" s="9" t="s">
        <v>3</v>
      </c>
      <c r="G272" s="9" t="s">
        <v>4</v>
      </c>
      <c r="H272" s="50" t="s">
        <v>21</v>
      </c>
      <c r="I272" s="23" t="s">
        <v>22</v>
      </c>
      <c r="J272" s="24" t="s">
        <v>4</v>
      </c>
    </row>
    <row r="273" spans="1:10" ht="12.75" customHeight="1" x14ac:dyDescent="0.25">
      <c r="A273" s="29">
        <f>SUM(E273:G273)/3</f>
        <v>0.73333333333333339</v>
      </c>
      <c r="B273" s="34">
        <f>SUM(E273:J273)/6</f>
        <v>0.75666666666666682</v>
      </c>
      <c r="C273" s="6"/>
      <c r="D273" s="2" t="s">
        <v>7</v>
      </c>
      <c r="E273" s="10">
        <v>0.8</v>
      </c>
      <c r="F273" s="10">
        <v>0.72</v>
      </c>
      <c r="G273" s="10">
        <v>0.68</v>
      </c>
      <c r="H273" s="34">
        <v>0.9</v>
      </c>
      <c r="I273" s="10">
        <v>0.92</v>
      </c>
      <c r="J273" s="10">
        <v>0.52</v>
      </c>
    </row>
    <row r="274" spans="1:10" ht="12.75" customHeight="1" x14ac:dyDescent="0.25">
      <c r="B274" s="35">
        <f>SUM(E274:J274)</f>
        <v>5</v>
      </c>
      <c r="C274" s="6"/>
      <c r="D274" s="2" t="s">
        <v>8</v>
      </c>
      <c r="H274" s="35">
        <v>5</v>
      </c>
    </row>
    <row r="275" spans="1:10" ht="12.75" customHeight="1" x14ac:dyDescent="0.25">
      <c r="A275" s="31">
        <f>SUM(E275:N275)</f>
        <v>1</v>
      </c>
      <c r="B275" s="36">
        <f>SUM(E275:J275)</f>
        <v>1</v>
      </c>
      <c r="C275" s="6"/>
      <c r="D275" s="2" t="s">
        <v>9</v>
      </c>
      <c r="E275">
        <v>0</v>
      </c>
      <c r="H275" s="35">
        <v>1</v>
      </c>
    </row>
    <row r="276" spans="1:10" ht="12.75" customHeight="1" x14ac:dyDescent="0.25">
      <c r="A276" s="27" t="s">
        <v>5</v>
      </c>
      <c r="B276" s="37">
        <v>37514</v>
      </c>
      <c r="C276" s="4" t="s">
        <v>0</v>
      </c>
      <c r="D276" s="1"/>
      <c r="E276" s="8">
        <v>37485</v>
      </c>
      <c r="F276" s="8">
        <v>37485</v>
      </c>
      <c r="G276" s="8">
        <v>37485</v>
      </c>
      <c r="H276" s="49">
        <v>37513</v>
      </c>
      <c r="I276" s="21">
        <v>37513</v>
      </c>
      <c r="J276" s="22">
        <v>37513</v>
      </c>
    </row>
    <row r="277" spans="1:10" ht="12.75" customHeight="1" x14ac:dyDescent="0.25">
      <c r="A277" s="28" t="s">
        <v>6</v>
      </c>
      <c r="B277" s="33" t="s">
        <v>6</v>
      </c>
      <c r="C277" s="5">
        <v>56</v>
      </c>
      <c r="D277" s="2"/>
      <c r="E277" s="9" t="s">
        <v>2</v>
      </c>
      <c r="F277" s="9" t="s">
        <v>3</v>
      </c>
      <c r="G277" s="9" t="s">
        <v>4</v>
      </c>
      <c r="H277" s="50" t="s">
        <v>21</v>
      </c>
      <c r="I277" s="23" t="s">
        <v>22</v>
      </c>
      <c r="J277" s="24" t="s">
        <v>4</v>
      </c>
    </row>
    <row r="278" spans="1:10" ht="12.75" customHeight="1" x14ac:dyDescent="0.25">
      <c r="A278" s="29">
        <f>SUM(E278:G278)/3</f>
        <v>0.62666666666666659</v>
      </c>
      <c r="B278" s="34">
        <f>SUM(E278:J278)/6</f>
        <v>0.69333333333333325</v>
      </c>
      <c r="C278" s="6"/>
      <c r="D278" s="2" t="s">
        <v>7</v>
      </c>
      <c r="E278" s="10">
        <v>0.72</v>
      </c>
      <c r="F278" s="10">
        <v>0.6</v>
      </c>
      <c r="G278" s="10">
        <v>0.56000000000000005</v>
      </c>
      <c r="H278" s="34">
        <v>0.76</v>
      </c>
      <c r="I278" s="10">
        <v>0.84</v>
      </c>
      <c r="J278" s="10">
        <v>0.68</v>
      </c>
    </row>
    <row r="279" spans="1:10" ht="12.75" customHeight="1" x14ac:dyDescent="0.25">
      <c r="B279" s="35">
        <f>SUM(E279:J279)</f>
        <v>5</v>
      </c>
      <c r="C279" s="6"/>
      <c r="D279" s="2" t="s">
        <v>8</v>
      </c>
      <c r="H279" s="35">
        <v>5</v>
      </c>
    </row>
    <row r="280" spans="1:10" ht="12.75" customHeight="1" x14ac:dyDescent="0.25">
      <c r="A280" s="31">
        <f>SUM(E280:N280)</f>
        <v>28</v>
      </c>
      <c r="B280" s="36">
        <f>SUM(E280:J280)</f>
        <v>28</v>
      </c>
      <c r="C280" s="6"/>
      <c r="D280" s="2" t="s">
        <v>9</v>
      </c>
      <c r="E280">
        <v>10</v>
      </c>
      <c r="H280" s="35">
        <v>18</v>
      </c>
    </row>
    <row r="281" spans="1:10" ht="12.75" customHeight="1" x14ac:dyDescent="0.25">
      <c r="A281" s="27" t="s">
        <v>5</v>
      </c>
      <c r="B281" s="37">
        <v>37514</v>
      </c>
      <c r="C281" s="4" t="s">
        <v>0</v>
      </c>
      <c r="D281" s="1"/>
      <c r="E281" s="8">
        <v>37485</v>
      </c>
      <c r="F281" s="8">
        <v>37485</v>
      </c>
      <c r="G281" s="8">
        <v>37485</v>
      </c>
      <c r="H281" s="49">
        <v>37513</v>
      </c>
      <c r="I281" s="21">
        <v>37513</v>
      </c>
      <c r="J281" s="22">
        <v>37513</v>
      </c>
    </row>
    <row r="282" spans="1:10" ht="12.75" customHeight="1" x14ac:dyDescent="0.25">
      <c r="A282" s="28" t="s">
        <v>6</v>
      </c>
      <c r="B282" s="33" t="s">
        <v>6</v>
      </c>
      <c r="C282" s="5">
        <v>57</v>
      </c>
      <c r="D282" s="2"/>
      <c r="E282" s="9" t="s">
        <v>2</v>
      </c>
      <c r="F282" s="9" t="s">
        <v>3</v>
      </c>
      <c r="G282" s="9" t="s">
        <v>4</v>
      </c>
      <c r="H282" s="50" t="s">
        <v>21</v>
      </c>
      <c r="I282" s="23" t="s">
        <v>22</v>
      </c>
      <c r="J282" s="24" t="s">
        <v>4</v>
      </c>
    </row>
    <row r="283" spans="1:10" ht="12.75" customHeight="1" x14ac:dyDescent="0.25">
      <c r="A283" s="29">
        <f>SUM(E283:G283)/3</f>
        <v>0.8666666666666667</v>
      </c>
      <c r="B283" s="34">
        <f>SUM(E283:J283)/6</f>
        <v>0.86333333333333329</v>
      </c>
      <c r="C283" s="6"/>
      <c r="D283" s="2" t="s">
        <v>7</v>
      </c>
      <c r="E283" s="10">
        <v>0.96</v>
      </c>
      <c r="F283" s="10">
        <v>0.76</v>
      </c>
      <c r="G283" s="10">
        <v>0.88</v>
      </c>
      <c r="H283" s="34">
        <v>0.86</v>
      </c>
      <c r="I283" s="10">
        <v>1</v>
      </c>
      <c r="J283" s="10">
        <v>0.72</v>
      </c>
    </row>
    <row r="284" spans="1:10" ht="12.75" customHeight="1" x14ac:dyDescent="0.25">
      <c r="B284" s="35">
        <f>SUM(E284:J284)</f>
        <v>5</v>
      </c>
      <c r="C284" s="6"/>
      <c r="D284" s="2" t="s">
        <v>8</v>
      </c>
      <c r="H284" s="35">
        <v>5</v>
      </c>
    </row>
    <row r="285" spans="1:10" ht="12.75" customHeight="1" x14ac:dyDescent="0.25">
      <c r="A285" s="31">
        <f>SUM(E285:N285)</f>
        <v>26</v>
      </c>
      <c r="B285" s="36">
        <f>SUM(E285:J285)</f>
        <v>26</v>
      </c>
      <c r="C285" s="6"/>
      <c r="D285" s="2" t="s">
        <v>9</v>
      </c>
      <c r="E285">
        <v>12</v>
      </c>
      <c r="H285" s="35">
        <v>14</v>
      </c>
    </row>
    <row r="286" spans="1:10" ht="12.75" customHeight="1" x14ac:dyDescent="0.25">
      <c r="A286" s="27" t="s">
        <v>5</v>
      </c>
      <c r="B286" s="37">
        <v>37514</v>
      </c>
      <c r="C286" s="4" t="s">
        <v>0</v>
      </c>
      <c r="D286" s="1"/>
      <c r="E286" s="8">
        <v>37485</v>
      </c>
      <c r="F286" s="8">
        <v>37485</v>
      </c>
      <c r="G286" s="8">
        <v>37485</v>
      </c>
      <c r="H286" s="49">
        <v>37513</v>
      </c>
      <c r="I286" s="21">
        <v>37513</v>
      </c>
      <c r="J286" s="22">
        <v>37513</v>
      </c>
    </row>
    <row r="287" spans="1:10" ht="12.75" customHeight="1" x14ac:dyDescent="0.25">
      <c r="A287" s="28" t="s">
        <v>6</v>
      </c>
      <c r="B287" s="33" t="s">
        <v>6</v>
      </c>
      <c r="C287" s="5">
        <v>58</v>
      </c>
      <c r="D287" s="2"/>
      <c r="E287" s="9" t="s">
        <v>2</v>
      </c>
      <c r="F287" s="9" t="s">
        <v>3</v>
      </c>
      <c r="G287" s="9" t="s">
        <v>4</v>
      </c>
      <c r="H287" s="50" t="s">
        <v>21</v>
      </c>
      <c r="I287" s="23" t="s">
        <v>22</v>
      </c>
      <c r="J287" s="24" t="s">
        <v>4</v>
      </c>
    </row>
    <row r="288" spans="1:10" ht="12.75" customHeight="1" x14ac:dyDescent="0.25">
      <c r="A288" s="29">
        <f>SUM(E288:G288)/3</f>
        <v>0.84</v>
      </c>
      <c r="B288" s="34">
        <f>SUM(E288:J288)/6</f>
        <v>0.80666666666666664</v>
      </c>
      <c r="C288" s="6"/>
      <c r="D288" s="2" t="s">
        <v>7</v>
      </c>
      <c r="E288" s="10">
        <v>0.84</v>
      </c>
      <c r="F288" s="10">
        <v>0.8</v>
      </c>
      <c r="G288" s="10">
        <v>0.88</v>
      </c>
      <c r="H288" s="34">
        <v>0.84</v>
      </c>
      <c r="I288" s="10">
        <v>0.84</v>
      </c>
      <c r="J288" s="10">
        <v>0.64</v>
      </c>
    </row>
    <row r="289" spans="1:10" ht="12.75" customHeight="1" x14ac:dyDescent="0.25">
      <c r="B289" s="35">
        <f>SUM(E289:J289)</f>
        <v>5</v>
      </c>
      <c r="C289" s="6"/>
      <c r="D289" s="2" t="s">
        <v>8</v>
      </c>
      <c r="H289" s="35">
        <v>5</v>
      </c>
    </row>
    <row r="290" spans="1:10" ht="12.75" customHeight="1" x14ac:dyDescent="0.25">
      <c r="A290" s="31">
        <f>SUM(E290:N290)</f>
        <v>55</v>
      </c>
      <c r="B290" s="36">
        <f>SUM(E290:J290)</f>
        <v>55</v>
      </c>
      <c r="C290" s="6"/>
      <c r="D290" s="2" t="s">
        <v>9</v>
      </c>
      <c r="E290">
        <v>30</v>
      </c>
      <c r="H290" s="35">
        <v>25</v>
      </c>
    </row>
    <row r="291" spans="1:10" ht="12.75" customHeight="1" x14ac:dyDescent="0.25">
      <c r="A291" s="27" t="s">
        <v>5</v>
      </c>
      <c r="B291" s="37">
        <v>37514</v>
      </c>
      <c r="C291" s="4" t="s">
        <v>0</v>
      </c>
      <c r="D291" s="1"/>
      <c r="E291" s="8">
        <v>37485</v>
      </c>
      <c r="F291" s="8">
        <v>37485</v>
      </c>
      <c r="G291" s="8">
        <v>37485</v>
      </c>
      <c r="H291" s="49">
        <v>37513</v>
      </c>
      <c r="I291" s="21">
        <v>37513</v>
      </c>
      <c r="J291" s="22">
        <v>37513</v>
      </c>
    </row>
    <row r="292" spans="1:10" ht="12.75" customHeight="1" x14ac:dyDescent="0.25">
      <c r="A292" s="28" t="s">
        <v>6</v>
      </c>
      <c r="B292" s="33" t="s">
        <v>6</v>
      </c>
      <c r="C292" s="5">
        <v>59</v>
      </c>
      <c r="D292" s="2"/>
      <c r="E292" s="9" t="s">
        <v>2</v>
      </c>
      <c r="F292" s="9" t="s">
        <v>3</v>
      </c>
      <c r="G292" s="9" t="s">
        <v>4</v>
      </c>
      <c r="H292" s="50" t="s">
        <v>21</v>
      </c>
      <c r="I292" s="23" t="s">
        <v>22</v>
      </c>
      <c r="J292" s="24" t="s">
        <v>4</v>
      </c>
    </row>
    <row r="293" spans="1:10" ht="12.75" customHeight="1" x14ac:dyDescent="0.25">
      <c r="A293" s="29">
        <f>SUM(E293:G293)/3</f>
        <v>0.62666666666666659</v>
      </c>
      <c r="B293" s="34">
        <f>SUM(E293:J293)/6</f>
        <v>0.67999999999999983</v>
      </c>
      <c r="C293" s="6"/>
      <c r="D293" s="2" t="s">
        <v>7</v>
      </c>
      <c r="E293" s="10">
        <v>0.8</v>
      </c>
      <c r="F293" s="10">
        <v>0.48</v>
      </c>
      <c r="G293" s="10">
        <v>0.6</v>
      </c>
      <c r="H293" s="34">
        <v>0.72</v>
      </c>
      <c r="I293" s="10">
        <v>0.88</v>
      </c>
      <c r="J293" s="10">
        <v>0.6</v>
      </c>
    </row>
    <row r="294" spans="1:10" ht="12.75" customHeight="1" x14ac:dyDescent="0.25">
      <c r="B294" s="35">
        <f>SUM(E294:J294)</f>
        <v>5</v>
      </c>
      <c r="C294" s="6"/>
      <c r="D294" s="2" t="s">
        <v>8</v>
      </c>
      <c r="H294" s="35">
        <v>5</v>
      </c>
    </row>
    <row r="295" spans="1:10" ht="12.75" customHeight="1" x14ac:dyDescent="0.25">
      <c r="A295" s="31">
        <f>SUM(E295:N295)</f>
        <v>102</v>
      </c>
      <c r="B295" s="36">
        <f>SUM(E295:J295)</f>
        <v>102</v>
      </c>
      <c r="C295" s="6"/>
      <c r="D295" s="2" t="s">
        <v>9</v>
      </c>
      <c r="E295">
        <v>67</v>
      </c>
      <c r="H295" s="35">
        <v>35</v>
      </c>
    </row>
    <row r="296" spans="1:10" ht="12.75" customHeight="1" x14ac:dyDescent="0.25">
      <c r="A296" s="27" t="s">
        <v>5</v>
      </c>
      <c r="B296" s="37">
        <v>37514</v>
      </c>
      <c r="C296" s="4" t="s">
        <v>0</v>
      </c>
      <c r="D296" s="1"/>
      <c r="E296" s="8">
        <v>37485</v>
      </c>
      <c r="F296" s="8">
        <v>37485</v>
      </c>
      <c r="G296" s="8">
        <v>37485</v>
      </c>
      <c r="H296" s="49">
        <v>37513</v>
      </c>
      <c r="I296" s="21">
        <v>37513</v>
      </c>
      <c r="J296" s="22">
        <v>37513</v>
      </c>
    </row>
    <row r="297" spans="1:10" ht="12.75" customHeight="1" x14ac:dyDescent="0.25">
      <c r="A297" s="28" t="s">
        <v>6</v>
      </c>
      <c r="B297" s="33" t="s">
        <v>6</v>
      </c>
      <c r="C297" s="5">
        <v>60</v>
      </c>
      <c r="D297" s="2"/>
      <c r="E297" s="9" t="s">
        <v>2</v>
      </c>
      <c r="F297" s="9" t="s">
        <v>3</v>
      </c>
      <c r="G297" s="9" t="s">
        <v>4</v>
      </c>
      <c r="H297" s="50" t="s">
        <v>21</v>
      </c>
      <c r="I297" s="23" t="s">
        <v>22</v>
      </c>
      <c r="J297" s="24" t="s">
        <v>4</v>
      </c>
    </row>
    <row r="298" spans="1:10" ht="12.75" customHeight="1" x14ac:dyDescent="0.25">
      <c r="A298" s="29">
        <f>SUM(E298:G298)/3</f>
        <v>0.88</v>
      </c>
      <c r="B298" s="34">
        <f>SUM(E298:J298)/6</f>
        <v>0.88</v>
      </c>
      <c r="C298" s="6"/>
      <c r="D298" s="2" t="s">
        <v>7</v>
      </c>
      <c r="E298" s="10">
        <v>0.92</v>
      </c>
      <c r="F298" s="10">
        <v>0.88</v>
      </c>
      <c r="G298" s="10">
        <v>0.84</v>
      </c>
      <c r="H298" s="34">
        <v>0.84</v>
      </c>
      <c r="I298" s="10">
        <v>0.92</v>
      </c>
      <c r="J298" s="10">
        <v>0.88</v>
      </c>
    </row>
    <row r="299" spans="1:10" ht="12.75" customHeight="1" x14ac:dyDescent="0.25">
      <c r="B299" s="35">
        <f>SUM(E299:J299)</f>
        <v>5</v>
      </c>
      <c r="C299" s="6"/>
      <c r="D299" s="2" t="s">
        <v>8</v>
      </c>
      <c r="H299" s="35">
        <v>5</v>
      </c>
    </row>
    <row r="300" spans="1:10" ht="12.75" customHeight="1" x14ac:dyDescent="0.25">
      <c r="A300" s="31">
        <f>SUM(E300:N300)</f>
        <v>1</v>
      </c>
      <c r="B300" s="36">
        <f>SUM(E300:J300)</f>
        <v>1</v>
      </c>
      <c r="C300" s="6"/>
      <c r="D300" s="2" t="s">
        <v>9</v>
      </c>
      <c r="E300">
        <v>0</v>
      </c>
      <c r="H300" s="35">
        <v>1</v>
      </c>
    </row>
    <row r="301" spans="1:10" ht="12.75" customHeight="1" x14ac:dyDescent="0.25">
      <c r="A301" s="27" t="s">
        <v>5</v>
      </c>
      <c r="B301" s="37">
        <v>37514</v>
      </c>
      <c r="C301" s="4" t="s">
        <v>0</v>
      </c>
      <c r="D301" s="1"/>
      <c r="E301" s="8">
        <v>37485</v>
      </c>
      <c r="F301" s="8">
        <v>37485</v>
      </c>
      <c r="G301" s="8">
        <v>37485</v>
      </c>
      <c r="H301" s="49">
        <v>37513</v>
      </c>
      <c r="I301" s="21">
        <v>37513</v>
      </c>
      <c r="J301" s="22">
        <v>37513</v>
      </c>
    </row>
    <row r="302" spans="1:10" ht="12.75" customHeight="1" x14ac:dyDescent="0.25">
      <c r="A302" s="28" t="s">
        <v>6</v>
      </c>
      <c r="B302" s="33" t="s">
        <v>6</v>
      </c>
      <c r="C302" s="5">
        <v>61</v>
      </c>
      <c r="D302" s="2"/>
      <c r="E302" s="9" t="s">
        <v>2</v>
      </c>
      <c r="F302" s="9" t="s">
        <v>3</v>
      </c>
      <c r="G302" s="9" t="s">
        <v>4</v>
      </c>
      <c r="H302" s="50" t="s">
        <v>21</v>
      </c>
      <c r="I302" s="23" t="s">
        <v>22</v>
      </c>
      <c r="J302" s="24" t="s">
        <v>4</v>
      </c>
    </row>
    <row r="303" spans="1:10" ht="12.75" customHeight="1" x14ac:dyDescent="0.25">
      <c r="A303" s="29">
        <f>SUM(E303:G303)/3</f>
        <v>0.69333333333333336</v>
      </c>
      <c r="B303" s="34">
        <f>SUM(E303:J303)/6</f>
        <v>0.74666666666666659</v>
      </c>
      <c r="C303" s="6"/>
      <c r="D303" s="2" t="s">
        <v>7</v>
      </c>
      <c r="E303" s="10">
        <v>0.88</v>
      </c>
      <c r="F303" s="10">
        <v>0.68</v>
      </c>
      <c r="G303" s="10">
        <v>0.52</v>
      </c>
      <c r="H303" s="34">
        <v>0.8</v>
      </c>
      <c r="I303" s="10">
        <v>0.96</v>
      </c>
      <c r="J303" s="10">
        <v>0.64</v>
      </c>
    </row>
    <row r="304" spans="1:10" ht="12.75" customHeight="1" x14ac:dyDescent="0.25">
      <c r="B304" s="35">
        <f>SUM(E304:J304)</f>
        <v>5</v>
      </c>
      <c r="C304" s="6"/>
      <c r="D304" s="2" t="s">
        <v>8</v>
      </c>
      <c r="H304" s="35">
        <v>5</v>
      </c>
    </row>
    <row r="305" spans="1:10" ht="12.75" customHeight="1" x14ac:dyDescent="0.25">
      <c r="A305" s="31">
        <f>SUM(E305:N305)</f>
        <v>20</v>
      </c>
      <c r="B305" s="36">
        <f>SUM(E305:J305)</f>
        <v>20</v>
      </c>
      <c r="C305" s="6"/>
      <c r="D305" s="2" t="s">
        <v>9</v>
      </c>
      <c r="E305">
        <v>5</v>
      </c>
      <c r="H305" s="35">
        <v>15</v>
      </c>
    </row>
    <row r="306" spans="1:10" ht="12.75" customHeight="1" x14ac:dyDescent="0.25">
      <c r="A306" s="27" t="s">
        <v>5</v>
      </c>
      <c r="B306" s="37">
        <v>37514</v>
      </c>
      <c r="C306" s="4" t="s">
        <v>0</v>
      </c>
      <c r="D306" s="1"/>
      <c r="E306" s="8">
        <v>37485</v>
      </c>
      <c r="F306" s="8">
        <v>37485</v>
      </c>
      <c r="G306" s="8">
        <v>37485</v>
      </c>
      <c r="H306" s="49">
        <v>37513</v>
      </c>
      <c r="I306" s="21">
        <v>37513</v>
      </c>
      <c r="J306" s="22">
        <v>37513</v>
      </c>
    </row>
    <row r="307" spans="1:10" ht="12.75" customHeight="1" x14ac:dyDescent="0.25">
      <c r="A307" s="28" t="s">
        <v>6</v>
      </c>
      <c r="B307" s="33" t="s">
        <v>6</v>
      </c>
      <c r="C307" s="5">
        <v>62</v>
      </c>
      <c r="D307" s="2"/>
      <c r="E307" s="9" t="s">
        <v>2</v>
      </c>
      <c r="F307" s="9" t="s">
        <v>3</v>
      </c>
      <c r="G307" s="9" t="s">
        <v>4</v>
      </c>
      <c r="H307" s="50" t="s">
        <v>21</v>
      </c>
      <c r="I307" s="23" t="s">
        <v>22</v>
      </c>
      <c r="J307" s="24" t="s">
        <v>4</v>
      </c>
    </row>
    <row r="308" spans="1:10" ht="12.75" customHeight="1" x14ac:dyDescent="0.25">
      <c r="A308" s="29">
        <f>SUM(E308:G308)/3</f>
        <v>0.76000000000000012</v>
      </c>
      <c r="B308" s="34">
        <f>SUM(E308:J308)/6</f>
        <v>0.77666666666666673</v>
      </c>
      <c r="C308" s="6"/>
      <c r="D308" s="2" t="s">
        <v>7</v>
      </c>
      <c r="E308" s="10">
        <v>0.92</v>
      </c>
      <c r="F308" s="10">
        <v>0.64</v>
      </c>
      <c r="G308" s="10">
        <v>0.72</v>
      </c>
      <c r="H308" s="34">
        <v>0.82</v>
      </c>
      <c r="I308" s="10">
        <v>0.92</v>
      </c>
      <c r="J308" s="10">
        <v>0.64</v>
      </c>
    </row>
    <row r="309" spans="1:10" ht="12.75" customHeight="1" x14ac:dyDescent="0.25">
      <c r="B309" s="35">
        <f>SUM(E309:J309)</f>
        <v>5</v>
      </c>
      <c r="C309" s="6"/>
      <c r="D309" s="2" t="s">
        <v>8</v>
      </c>
      <c r="H309" s="35">
        <v>5</v>
      </c>
    </row>
    <row r="310" spans="1:10" ht="12.75" customHeight="1" x14ac:dyDescent="0.25">
      <c r="A310" s="31">
        <f>SUM(E310:N310)</f>
        <v>10</v>
      </c>
      <c r="B310" s="36">
        <f>SUM(E310:J310)</f>
        <v>10</v>
      </c>
      <c r="C310" s="6"/>
      <c r="D310" s="2" t="s">
        <v>9</v>
      </c>
      <c r="E310">
        <v>6</v>
      </c>
      <c r="H310" s="35">
        <v>4</v>
      </c>
    </row>
    <row r="311" spans="1:10" ht="12.75" customHeight="1" x14ac:dyDescent="0.25">
      <c r="A311" s="27" t="s">
        <v>5</v>
      </c>
      <c r="B311" s="37">
        <v>37514</v>
      </c>
      <c r="C311" s="4" t="s">
        <v>0</v>
      </c>
      <c r="D311" s="1"/>
      <c r="E311" s="8">
        <v>37485</v>
      </c>
      <c r="F311" s="8">
        <v>37485</v>
      </c>
      <c r="G311" s="8">
        <v>37485</v>
      </c>
      <c r="H311" s="49">
        <v>37513</v>
      </c>
      <c r="I311" s="21">
        <v>37513</v>
      </c>
      <c r="J311" s="22">
        <v>37513</v>
      </c>
    </row>
    <row r="312" spans="1:10" ht="12.75" customHeight="1" x14ac:dyDescent="0.25">
      <c r="A312" s="28" t="s">
        <v>6</v>
      </c>
      <c r="B312" s="33" t="s">
        <v>6</v>
      </c>
      <c r="C312" s="5">
        <v>63</v>
      </c>
      <c r="D312" s="2"/>
      <c r="E312" s="9" t="s">
        <v>2</v>
      </c>
      <c r="F312" s="9" t="s">
        <v>3</v>
      </c>
      <c r="G312" s="9" t="s">
        <v>4</v>
      </c>
      <c r="H312" s="50" t="s">
        <v>21</v>
      </c>
      <c r="I312" s="23" t="s">
        <v>22</v>
      </c>
      <c r="J312" s="24" t="s">
        <v>4</v>
      </c>
    </row>
    <row r="313" spans="1:10" ht="12.75" customHeight="1" x14ac:dyDescent="0.25">
      <c r="A313" s="29">
        <f>SUM(E313:G313)/3</f>
        <v>0.68</v>
      </c>
      <c r="B313" s="34">
        <f>SUM(E313:J313)/6</f>
        <v>0.65333333333333332</v>
      </c>
      <c r="C313" s="6"/>
      <c r="D313" s="2" t="s">
        <v>7</v>
      </c>
      <c r="E313" s="10">
        <v>0.84</v>
      </c>
      <c r="F313" s="10">
        <v>0.72</v>
      </c>
      <c r="G313" s="10">
        <v>0.48</v>
      </c>
      <c r="H313" s="34">
        <v>0.52</v>
      </c>
      <c r="I313" s="10">
        <v>0.84</v>
      </c>
      <c r="J313" s="10">
        <v>0.52</v>
      </c>
    </row>
    <row r="314" spans="1:10" ht="12.75" customHeight="1" x14ac:dyDescent="0.25">
      <c r="B314" s="35">
        <f>SUM(E314:J314)</f>
        <v>5</v>
      </c>
      <c r="C314" s="6"/>
      <c r="D314" s="2" t="s">
        <v>8</v>
      </c>
      <c r="H314" s="35">
        <v>5</v>
      </c>
    </row>
    <row r="315" spans="1:10" ht="12.75" customHeight="1" x14ac:dyDescent="0.25">
      <c r="A315" s="31">
        <f>SUM(E315:N315)</f>
        <v>40</v>
      </c>
      <c r="B315" s="36">
        <f>SUM(E315:J315)</f>
        <v>40</v>
      </c>
      <c r="C315" s="6"/>
      <c r="D315" s="2" t="s">
        <v>9</v>
      </c>
      <c r="E315">
        <v>19</v>
      </c>
      <c r="H315" s="35">
        <v>21</v>
      </c>
    </row>
    <row r="316" spans="1:10" ht="12.75" customHeight="1" x14ac:dyDescent="0.25">
      <c r="A316" s="27" t="s">
        <v>5</v>
      </c>
      <c r="B316" s="37">
        <v>37514</v>
      </c>
      <c r="C316" s="4" t="s">
        <v>0</v>
      </c>
      <c r="D316" s="1"/>
      <c r="E316" s="8">
        <v>37485</v>
      </c>
      <c r="F316" s="8">
        <v>37485</v>
      </c>
      <c r="G316" s="8">
        <v>37485</v>
      </c>
      <c r="H316" s="49">
        <v>37513</v>
      </c>
      <c r="I316" s="21">
        <v>37513</v>
      </c>
      <c r="J316" s="22">
        <v>37513</v>
      </c>
    </row>
    <row r="317" spans="1:10" ht="12.75" customHeight="1" x14ac:dyDescent="0.25">
      <c r="A317" s="28" t="s">
        <v>6</v>
      </c>
      <c r="B317" s="33" t="s">
        <v>6</v>
      </c>
      <c r="C317" s="5">
        <v>64</v>
      </c>
      <c r="D317" s="2"/>
      <c r="E317" s="9" t="s">
        <v>2</v>
      </c>
      <c r="F317" s="9" t="s">
        <v>3</v>
      </c>
      <c r="G317" s="9" t="s">
        <v>4</v>
      </c>
      <c r="H317" s="50" t="s">
        <v>21</v>
      </c>
      <c r="I317" s="23" t="s">
        <v>22</v>
      </c>
      <c r="J317" s="24" t="s">
        <v>4</v>
      </c>
    </row>
    <row r="318" spans="1:10" ht="12.75" customHeight="1" x14ac:dyDescent="0.25">
      <c r="A318" s="29">
        <f>SUM(E318:G318)/3</f>
        <v>0.76000000000000012</v>
      </c>
      <c r="B318" s="34">
        <f>SUM(E318:J318)/6</f>
        <v>0.69000000000000006</v>
      </c>
      <c r="C318" s="6"/>
      <c r="D318" s="2" t="s">
        <v>7</v>
      </c>
      <c r="E318" s="10">
        <v>0.8</v>
      </c>
      <c r="F318" s="10">
        <v>0.76</v>
      </c>
      <c r="G318" s="10">
        <v>0.72</v>
      </c>
      <c r="H318" s="34">
        <v>0.74</v>
      </c>
      <c r="I318" s="10">
        <v>0.8</v>
      </c>
      <c r="J318" s="10">
        <v>0.32</v>
      </c>
    </row>
    <row r="319" spans="1:10" ht="12.75" customHeight="1" x14ac:dyDescent="0.25">
      <c r="B319" s="35">
        <f>SUM(E319:J319)</f>
        <v>5</v>
      </c>
      <c r="C319" s="6"/>
      <c r="D319" s="2" t="s">
        <v>8</v>
      </c>
      <c r="H319" s="35">
        <v>5</v>
      </c>
    </row>
    <row r="320" spans="1:10" ht="12.75" customHeight="1" x14ac:dyDescent="0.25">
      <c r="A320" s="31">
        <f>SUM(E320:N320)</f>
        <v>56</v>
      </c>
      <c r="B320" s="36">
        <f>SUM(E320:J320)</f>
        <v>56</v>
      </c>
      <c r="C320" s="6"/>
      <c r="D320" s="2" t="s">
        <v>9</v>
      </c>
      <c r="E320">
        <v>25</v>
      </c>
      <c r="H320" s="35">
        <v>31</v>
      </c>
    </row>
    <row r="321" spans="1:10" ht="12.75" customHeight="1" x14ac:dyDescent="0.25">
      <c r="A321" s="27" t="s">
        <v>5</v>
      </c>
      <c r="B321" s="37">
        <v>37514</v>
      </c>
      <c r="C321" s="4" t="s">
        <v>0</v>
      </c>
      <c r="D321" s="1"/>
      <c r="E321" s="8">
        <v>37485</v>
      </c>
      <c r="F321" s="8">
        <v>37485</v>
      </c>
      <c r="G321" s="8">
        <v>37485</v>
      </c>
      <c r="H321" s="49">
        <v>37513</v>
      </c>
      <c r="I321" s="21">
        <v>37513</v>
      </c>
      <c r="J321" s="22">
        <v>37513</v>
      </c>
    </row>
    <row r="322" spans="1:10" ht="12.75" customHeight="1" x14ac:dyDescent="0.25">
      <c r="A322" s="28" t="s">
        <v>6</v>
      </c>
      <c r="B322" s="33" t="s">
        <v>6</v>
      </c>
      <c r="C322" s="5">
        <v>65</v>
      </c>
      <c r="D322" s="2"/>
      <c r="E322" s="9" t="s">
        <v>2</v>
      </c>
      <c r="F322" s="9" t="s">
        <v>3</v>
      </c>
      <c r="G322" s="9" t="s">
        <v>4</v>
      </c>
      <c r="H322" s="50" t="s">
        <v>21</v>
      </c>
      <c r="I322" s="23" t="s">
        <v>22</v>
      </c>
      <c r="J322" s="24" t="s">
        <v>4</v>
      </c>
    </row>
    <row r="323" spans="1:10" ht="12.75" customHeight="1" x14ac:dyDescent="0.25">
      <c r="A323" s="29">
        <f>SUM(E323:G323)/3</f>
        <v>0.81333333333333335</v>
      </c>
      <c r="B323" s="34">
        <f>SUM(E323:J323)/6</f>
        <v>0.85666666666666658</v>
      </c>
      <c r="C323" s="6"/>
      <c r="D323" s="2" t="s">
        <v>7</v>
      </c>
      <c r="E323" s="10">
        <v>0.72</v>
      </c>
      <c r="F323" s="10">
        <v>0.96</v>
      </c>
      <c r="G323" s="10">
        <v>0.76</v>
      </c>
      <c r="H323" s="34">
        <v>0.94</v>
      </c>
      <c r="I323" s="10">
        <v>1</v>
      </c>
      <c r="J323" s="10">
        <v>0.76</v>
      </c>
    </row>
    <row r="324" spans="1:10" ht="12.75" customHeight="1" x14ac:dyDescent="0.25">
      <c r="B324" s="35">
        <f>SUM(E324:J324)</f>
        <v>5</v>
      </c>
      <c r="C324" s="6"/>
      <c r="D324" s="2" t="s">
        <v>8</v>
      </c>
      <c r="H324" s="35">
        <v>5</v>
      </c>
    </row>
    <row r="325" spans="1:10" ht="12.75" customHeight="1" x14ac:dyDescent="0.25">
      <c r="A325" s="31">
        <f>SUM(E325:N325)</f>
        <v>224</v>
      </c>
      <c r="B325" s="36">
        <f>SUM(E325:J325)</f>
        <v>224</v>
      </c>
      <c r="C325" s="6"/>
      <c r="D325" s="2" t="s">
        <v>9</v>
      </c>
      <c r="E325">
        <v>65</v>
      </c>
      <c r="H325" s="35">
        <v>159</v>
      </c>
    </row>
    <row r="326" spans="1:10" ht="12.75" customHeight="1" x14ac:dyDescent="0.25">
      <c r="A326" s="27" t="s">
        <v>5</v>
      </c>
      <c r="B326" s="37">
        <v>37514</v>
      </c>
      <c r="C326" s="4" t="s">
        <v>0</v>
      </c>
      <c r="D326" s="1"/>
      <c r="E326" s="8">
        <v>37485</v>
      </c>
      <c r="F326" s="8">
        <v>37485</v>
      </c>
      <c r="G326" s="8">
        <v>37485</v>
      </c>
      <c r="H326" s="49">
        <v>37513</v>
      </c>
      <c r="I326" s="21">
        <v>37513</v>
      </c>
      <c r="J326" s="22">
        <v>37513</v>
      </c>
    </row>
    <row r="327" spans="1:10" ht="12.75" customHeight="1" x14ac:dyDescent="0.25">
      <c r="A327" s="28" t="s">
        <v>6</v>
      </c>
      <c r="B327" s="33" t="s">
        <v>6</v>
      </c>
      <c r="C327" s="5">
        <v>66</v>
      </c>
      <c r="D327" s="2"/>
      <c r="E327" s="9" t="s">
        <v>2</v>
      </c>
      <c r="F327" s="9" t="s">
        <v>3</v>
      </c>
      <c r="G327" s="9" t="s">
        <v>4</v>
      </c>
      <c r="H327" s="50" t="s">
        <v>21</v>
      </c>
      <c r="I327" s="23" t="s">
        <v>22</v>
      </c>
      <c r="J327" s="24" t="s">
        <v>4</v>
      </c>
    </row>
    <row r="328" spans="1:10" ht="12.75" customHeight="1" x14ac:dyDescent="0.25">
      <c r="A328" s="29">
        <f>SUM(E328:G328)/3</f>
        <v>0.52</v>
      </c>
      <c r="B328" s="34">
        <f>SUM(E328:J328)/6</f>
        <v>0.57666666666666666</v>
      </c>
      <c r="C328" s="6"/>
      <c r="D328" s="2" t="s">
        <v>7</v>
      </c>
      <c r="E328" s="10">
        <v>0.64</v>
      </c>
      <c r="F328" s="10">
        <v>0.68</v>
      </c>
      <c r="G328" s="10">
        <v>0.24</v>
      </c>
      <c r="H328" s="34">
        <v>0.66</v>
      </c>
      <c r="I328" s="10">
        <v>0.92</v>
      </c>
      <c r="J328" s="10">
        <v>0.32</v>
      </c>
    </row>
    <row r="329" spans="1:10" ht="12.75" customHeight="1" x14ac:dyDescent="0.25">
      <c r="B329" s="35">
        <f>SUM(E329:J329)</f>
        <v>2</v>
      </c>
      <c r="C329" s="6"/>
      <c r="D329" s="2" t="s">
        <v>8</v>
      </c>
      <c r="H329" s="35">
        <v>2</v>
      </c>
    </row>
    <row r="330" spans="1:10" ht="12.75" customHeight="1" x14ac:dyDescent="0.25">
      <c r="A330" s="31">
        <f>SUM(E330:N330)</f>
        <v>20</v>
      </c>
      <c r="B330" s="36">
        <f>SUM(E330:J330)</f>
        <v>20</v>
      </c>
      <c r="C330" s="6"/>
      <c r="D330" s="2" t="s">
        <v>9</v>
      </c>
      <c r="E330">
        <v>0</v>
      </c>
      <c r="H330" s="35">
        <v>20</v>
      </c>
    </row>
    <row r="331" spans="1:10" ht="12.75" customHeight="1" x14ac:dyDescent="0.25">
      <c r="A331" s="27" t="s">
        <v>5</v>
      </c>
      <c r="B331" s="37">
        <v>37514</v>
      </c>
      <c r="C331" s="4" t="s">
        <v>0</v>
      </c>
      <c r="D331" s="1"/>
      <c r="E331" s="8">
        <v>37485</v>
      </c>
      <c r="F331" s="8">
        <v>37485</v>
      </c>
      <c r="G331" s="8">
        <v>37485</v>
      </c>
      <c r="H331" s="49">
        <v>37513</v>
      </c>
      <c r="I331" s="21">
        <v>37513</v>
      </c>
      <c r="J331" s="22">
        <v>37513</v>
      </c>
    </row>
    <row r="332" spans="1:10" ht="12.75" customHeight="1" x14ac:dyDescent="0.25">
      <c r="A332" s="28" t="s">
        <v>6</v>
      </c>
      <c r="B332" s="33" t="s">
        <v>6</v>
      </c>
      <c r="C332" s="5">
        <v>67</v>
      </c>
      <c r="D332" s="2"/>
      <c r="E332" s="9" t="s">
        <v>2</v>
      </c>
      <c r="F332" s="9" t="s">
        <v>3</v>
      </c>
      <c r="G332" s="9" t="s">
        <v>4</v>
      </c>
      <c r="H332" s="50" t="s">
        <v>21</v>
      </c>
      <c r="I332" s="23" t="s">
        <v>22</v>
      </c>
      <c r="J332" s="24" t="s">
        <v>4</v>
      </c>
    </row>
    <row r="333" spans="1:10" ht="12.75" customHeight="1" x14ac:dyDescent="0.25">
      <c r="A333" s="29">
        <f>SUM(E333:G333)/3</f>
        <v>0.69333333333333336</v>
      </c>
      <c r="B333" s="34">
        <f>SUM(E333:J333)/6</f>
        <v>0.73333333333333328</v>
      </c>
      <c r="C333" s="6"/>
      <c r="D333" s="2" t="s">
        <v>7</v>
      </c>
      <c r="E333" s="10">
        <v>0.76</v>
      </c>
      <c r="F333" s="10">
        <v>0.72</v>
      </c>
      <c r="G333" s="10">
        <v>0.6</v>
      </c>
      <c r="H333" s="34">
        <v>0.72</v>
      </c>
      <c r="I333" s="10">
        <v>0.96</v>
      </c>
      <c r="J333" s="10">
        <v>0.64</v>
      </c>
    </row>
    <row r="334" spans="1:10" ht="12.75" customHeight="1" x14ac:dyDescent="0.25">
      <c r="B334" s="35">
        <f>SUM(E334:J334)</f>
        <v>5</v>
      </c>
      <c r="C334" s="6"/>
      <c r="D334" s="2" t="s">
        <v>8</v>
      </c>
      <c r="H334" s="35">
        <v>5</v>
      </c>
    </row>
    <row r="335" spans="1:10" ht="12.75" customHeight="1" x14ac:dyDescent="0.25">
      <c r="A335" s="31">
        <f>SUM(E335:N335)</f>
        <v>43</v>
      </c>
      <c r="B335" s="36">
        <f>SUM(E335:J335)</f>
        <v>43</v>
      </c>
      <c r="C335" s="6"/>
      <c r="D335" s="2" t="s">
        <v>9</v>
      </c>
      <c r="E335">
        <v>30</v>
      </c>
      <c r="H335" s="35">
        <v>13</v>
      </c>
    </row>
    <row r="336" spans="1:10" ht="12.75" customHeight="1" x14ac:dyDescent="0.25">
      <c r="A336" s="27" t="s">
        <v>5</v>
      </c>
      <c r="B336" s="37">
        <v>37514</v>
      </c>
      <c r="C336" s="4" t="s">
        <v>0</v>
      </c>
      <c r="D336" s="1"/>
      <c r="E336" s="8">
        <v>37485</v>
      </c>
      <c r="F336" s="8">
        <v>37485</v>
      </c>
      <c r="G336" s="8">
        <v>37485</v>
      </c>
      <c r="H336" s="49">
        <v>37513</v>
      </c>
      <c r="I336" s="21">
        <v>37513</v>
      </c>
      <c r="J336" s="22">
        <v>37513</v>
      </c>
    </row>
    <row r="337" spans="1:10" ht="12.75" customHeight="1" x14ac:dyDescent="0.25">
      <c r="A337" s="28" t="s">
        <v>6</v>
      </c>
      <c r="B337" s="33" t="s">
        <v>6</v>
      </c>
      <c r="C337" s="5">
        <v>68</v>
      </c>
      <c r="D337" s="2"/>
      <c r="E337" s="9" t="s">
        <v>2</v>
      </c>
      <c r="F337" s="9" t="s">
        <v>3</v>
      </c>
      <c r="G337" s="9" t="s">
        <v>4</v>
      </c>
      <c r="H337" s="50" t="s">
        <v>21</v>
      </c>
      <c r="I337" s="23" t="s">
        <v>22</v>
      </c>
      <c r="J337" s="24" t="s">
        <v>4</v>
      </c>
    </row>
    <row r="338" spans="1:10" ht="12.75" customHeight="1" x14ac:dyDescent="0.25">
      <c r="A338" s="29">
        <f>SUM(E338:G338)/3</f>
        <v>0.6</v>
      </c>
      <c r="B338" s="34">
        <f>SUM(E338:J338)/6</f>
        <v>0.65</v>
      </c>
      <c r="C338" s="6"/>
      <c r="D338" s="2" t="s">
        <v>7</v>
      </c>
      <c r="E338" s="10">
        <v>0.56000000000000005</v>
      </c>
      <c r="F338" s="10">
        <v>0.72</v>
      </c>
      <c r="G338" s="10">
        <v>0.52</v>
      </c>
      <c r="H338" s="34">
        <v>0.66</v>
      </c>
      <c r="I338" s="10">
        <v>0.88</v>
      </c>
      <c r="J338" s="10">
        <v>0.56000000000000005</v>
      </c>
    </row>
    <row r="339" spans="1:10" ht="12.75" customHeight="1" x14ac:dyDescent="0.25">
      <c r="B339" s="35">
        <f>SUM(E339:J339)</f>
        <v>5</v>
      </c>
      <c r="C339" s="6"/>
      <c r="D339" s="2" t="s">
        <v>8</v>
      </c>
      <c r="H339" s="35">
        <v>5</v>
      </c>
    </row>
    <row r="340" spans="1:10" ht="12.75" customHeight="1" x14ac:dyDescent="0.25">
      <c r="A340" s="31">
        <f>SUM(E340:N340)</f>
        <v>16</v>
      </c>
      <c r="B340" s="36">
        <f>SUM(E340:J340)</f>
        <v>16</v>
      </c>
      <c r="C340" s="6"/>
      <c r="D340" s="2" t="s">
        <v>9</v>
      </c>
      <c r="E340">
        <v>0</v>
      </c>
      <c r="H340" s="35">
        <v>16</v>
      </c>
    </row>
    <row r="341" spans="1:10" ht="12.75" customHeight="1" x14ac:dyDescent="0.25">
      <c r="A341" s="27" t="s">
        <v>5</v>
      </c>
      <c r="B341" s="37">
        <v>37514</v>
      </c>
      <c r="C341" s="4" t="s">
        <v>0</v>
      </c>
      <c r="D341" s="1"/>
      <c r="E341" s="8">
        <v>37485</v>
      </c>
      <c r="F341" s="8">
        <v>37485</v>
      </c>
      <c r="G341" s="8">
        <v>37485</v>
      </c>
      <c r="H341" s="49">
        <v>37513</v>
      </c>
      <c r="I341" s="21">
        <v>37513</v>
      </c>
      <c r="J341" s="22">
        <v>37513</v>
      </c>
    </row>
    <row r="342" spans="1:10" ht="12.75" customHeight="1" x14ac:dyDescent="0.25">
      <c r="A342" s="28" t="s">
        <v>6</v>
      </c>
      <c r="B342" s="33" t="s">
        <v>6</v>
      </c>
      <c r="C342" s="5">
        <v>69</v>
      </c>
      <c r="D342" s="2"/>
      <c r="E342" s="9" t="s">
        <v>2</v>
      </c>
      <c r="F342" s="9" t="s">
        <v>3</v>
      </c>
      <c r="G342" s="9" t="s">
        <v>4</v>
      </c>
      <c r="H342" s="50" t="s">
        <v>21</v>
      </c>
      <c r="I342" s="23" t="s">
        <v>22</v>
      </c>
      <c r="J342" s="24" t="s">
        <v>4</v>
      </c>
    </row>
    <row r="343" spans="1:10" ht="12.75" customHeight="1" x14ac:dyDescent="0.25">
      <c r="A343" s="29">
        <f>SUM(E343:G343)/3</f>
        <v>0.84</v>
      </c>
      <c r="B343" s="34">
        <f>SUM(E343:J343)/6</f>
        <v>0.86333333333333329</v>
      </c>
      <c r="C343" s="6"/>
      <c r="D343" s="2" t="s">
        <v>7</v>
      </c>
      <c r="E343" s="10">
        <v>0.92</v>
      </c>
      <c r="F343" s="10">
        <v>0.84</v>
      </c>
      <c r="G343" s="10">
        <v>0.76</v>
      </c>
      <c r="H343" s="34">
        <v>0.94</v>
      </c>
      <c r="I343" s="10">
        <v>1</v>
      </c>
      <c r="J343" s="10">
        <v>0.72</v>
      </c>
    </row>
    <row r="344" spans="1:10" ht="12.75" customHeight="1" x14ac:dyDescent="0.25">
      <c r="B344" s="35">
        <f>SUM(E344:J344)</f>
        <v>5</v>
      </c>
      <c r="C344" s="6"/>
      <c r="D344" s="2" t="s">
        <v>8</v>
      </c>
      <c r="H344" s="35">
        <v>5</v>
      </c>
    </row>
    <row r="345" spans="1:10" ht="12.75" customHeight="1" x14ac:dyDescent="0.25">
      <c r="A345" s="31">
        <f>SUM(E345:N345)</f>
        <v>57</v>
      </c>
      <c r="B345" s="36">
        <f>SUM(E345:J345)</f>
        <v>57</v>
      </c>
      <c r="C345" s="6"/>
      <c r="D345" s="2" t="s">
        <v>9</v>
      </c>
      <c r="E345">
        <v>20</v>
      </c>
      <c r="H345" s="35">
        <v>37</v>
      </c>
    </row>
    <row r="346" spans="1:10" ht="12.75" customHeight="1" x14ac:dyDescent="0.25">
      <c r="A346" s="27" t="s">
        <v>5</v>
      </c>
      <c r="B346" s="37">
        <v>37514</v>
      </c>
      <c r="C346" s="4" t="s">
        <v>0</v>
      </c>
      <c r="D346" s="1"/>
      <c r="E346" s="8">
        <v>37485</v>
      </c>
      <c r="F346" s="8">
        <v>37485</v>
      </c>
      <c r="G346" s="8">
        <v>37485</v>
      </c>
      <c r="H346" s="49">
        <v>37513</v>
      </c>
      <c r="I346" s="21">
        <v>37513</v>
      </c>
      <c r="J346" s="22">
        <v>37513</v>
      </c>
    </row>
    <row r="347" spans="1:10" ht="12.75" customHeight="1" x14ac:dyDescent="0.25">
      <c r="A347" s="28" t="s">
        <v>6</v>
      </c>
      <c r="B347" s="33" t="s">
        <v>6</v>
      </c>
      <c r="C347" s="5">
        <v>70</v>
      </c>
      <c r="D347" s="2"/>
      <c r="E347" s="9" t="s">
        <v>2</v>
      </c>
      <c r="F347" s="9" t="s">
        <v>3</v>
      </c>
      <c r="G347" s="9" t="s">
        <v>4</v>
      </c>
      <c r="H347" s="50" t="s">
        <v>21</v>
      </c>
      <c r="I347" s="23" t="s">
        <v>22</v>
      </c>
      <c r="J347" s="24" t="s">
        <v>4</v>
      </c>
    </row>
    <row r="348" spans="1:10" ht="12.75" customHeight="1" x14ac:dyDescent="0.25">
      <c r="A348" s="29">
        <f>SUM(E348:G348)/3</f>
        <v>0.7599999999999999</v>
      </c>
      <c r="B348" s="34">
        <f>SUM(E348:J348)/6</f>
        <v>0.77666666666666673</v>
      </c>
      <c r="C348" s="6"/>
      <c r="D348" s="2" t="s">
        <v>7</v>
      </c>
      <c r="E348" s="10">
        <v>0.88</v>
      </c>
      <c r="F348" s="10">
        <v>0.56000000000000005</v>
      </c>
      <c r="G348" s="10">
        <v>0.84</v>
      </c>
      <c r="H348" s="34">
        <v>0.9</v>
      </c>
      <c r="I348" s="10">
        <v>0.92</v>
      </c>
      <c r="J348" s="10">
        <v>0.56000000000000005</v>
      </c>
    </row>
    <row r="349" spans="1:10" ht="12.75" customHeight="1" x14ac:dyDescent="0.25">
      <c r="B349" s="35">
        <f>SUM(E349:J349)</f>
        <v>5</v>
      </c>
      <c r="C349" s="6"/>
      <c r="D349" s="2" t="s">
        <v>8</v>
      </c>
      <c r="H349" s="35">
        <v>5</v>
      </c>
    </row>
    <row r="350" spans="1:10" ht="12.75" customHeight="1" x14ac:dyDescent="0.25">
      <c r="A350" s="31">
        <f>SUM(E350:N350)</f>
        <v>15</v>
      </c>
      <c r="B350" s="36">
        <f>SUM(E350:J350)</f>
        <v>15</v>
      </c>
      <c r="C350" s="6"/>
      <c r="D350" s="2" t="s">
        <v>9</v>
      </c>
      <c r="E350">
        <v>0</v>
      </c>
      <c r="H350" s="35">
        <v>15</v>
      </c>
    </row>
    <row r="351" spans="1:10" ht="12.75" customHeight="1" x14ac:dyDescent="0.25">
      <c r="A351" s="27" t="s">
        <v>5</v>
      </c>
      <c r="B351" s="37">
        <v>37514</v>
      </c>
      <c r="C351" s="4" t="s">
        <v>0</v>
      </c>
      <c r="D351" s="1"/>
      <c r="E351" s="8">
        <v>37485</v>
      </c>
      <c r="F351" s="8">
        <v>37485</v>
      </c>
      <c r="G351" s="8">
        <v>37485</v>
      </c>
      <c r="H351" s="49">
        <v>37513</v>
      </c>
      <c r="I351" s="21">
        <v>37513</v>
      </c>
      <c r="J351" s="22">
        <v>37513</v>
      </c>
    </row>
    <row r="352" spans="1:10" ht="12.75" customHeight="1" x14ac:dyDescent="0.25">
      <c r="A352" s="28" t="s">
        <v>6</v>
      </c>
      <c r="B352" s="33" t="s">
        <v>6</v>
      </c>
      <c r="C352" s="5">
        <v>71</v>
      </c>
      <c r="D352" s="2"/>
      <c r="E352" s="9" t="s">
        <v>2</v>
      </c>
      <c r="F352" s="9" t="s">
        <v>3</v>
      </c>
      <c r="G352" s="9" t="s">
        <v>4</v>
      </c>
      <c r="H352" s="50" t="s">
        <v>21</v>
      </c>
      <c r="I352" s="23" t="s">
        <v>22</v>
      </c>
      <c r="J352" s="24" t="s">
        <v>4</v>
      </c>
    </row>
    <row r="353" spans="1:10" ht="12.75" customHeight="1" x14ac:dyDescent="0.25">
      <c r="A353" s="29">
        <f>SUM(E353:G353)/3</f>
        <v>0.66666666666666663</v>
      </c>
      <c r="B353" s="34">
        <f>SUM(E353:J353)/6</f>
        <v>0.70000000000000007</v>
      </c>
      <c r="C353" s="6"/>
      <c r="D353" s="2" t="s">
        <v>7</v>
      </c>
      <c r="E353" s="10">
        <v>0.76</v>
      </c>
      <c r="F353" s="10">
        <v>0.64</v>
      </c>
      <c r="G353" s="10">
        <v>0.6</v>
      </c>
      <c r="H353" s="34">
        <v>0.68</v>
      </c>
      <c r="I353" s="10">
        <v>0.92</v>
      </c>
      <c r="J353" s="10">
        <v>0.6</v>
      </c>
    </row>
    <row r="354" spans="1:10" ht="12.75" customHeight="1" x14ac:dyDescent="0.25">
      <c r="B354" s="35">
        <f>SUM(E354:J354)</f>
        <v>5</v>
      </c>
      <c r="C354" s="6"/>
      <c r="D354" s="2" t="s">
        <v>8</v>
      </c>
      <c r="H354" s="35">
        <v>5</v>
      </c>
    </row>
    <row r="355" spans="1:10" ht="12.75" customHeight="1" x14ac:dyDescent="0.25">
      <c r="A355" s="31">
        <f>SUM(E355:N355)</f>
        <v>23</v>
      </c>
      <c r="B355" s="36">
        <f>SUM(E355:J355)</f>
        <v>23</v>
      </c>
      <c r="C355" s="6"/>
      <c r="D355" s="2" t="s">
        <v>9</v>
      </c>
      <c r="E355">
        <v>5</v>
      </c>
      <c r="H355" s="35">
        <v>18</v>
      </c>
    </row>
    <row r="356" spans="1:10" ht="12.75" customHeight="1" x14ac:dyDescent="0.25">
      <c r="A356" s="27" t="s">
        <v>5</v>
      </c>
      <c r="B356" s="37">
        <v>37514</v>
      </c>
      <c r="C356" s="4" t="s">
        <v>0</v>
      </c>
      <c r="D356" s="1"/>
      <c r="E356" s="8">
        <v>37485</v>
      </c>
      <c r="F356" s="8">
        <v>37485</v>
      </c>
      <c r="G356" s="8">
        <v>37485</v>
      </c>
      <c r="H356" s="49">
        <v>37513</v>
      </c>
      <c r="I356" s="21">
        <v>37513</v>
      </c>
      <c r="J356" s="22">
        <v>37513</v>
      </c>
    </row>
    <row r="357" spans="1:10" ht="12.75" customHeight="1" x14ac:dyDescent="0.25">
      <c r="A357" s="28" t="s">
        <v>6</v>
      </c>
      <c r="B357" s="33" t="s">
        <v>6</v>
      </c>
      <c r="C357" s="5">
        <v>72</v>
      </c>
      <c r="D357" s="2"/>
      <c r="E357" s="9" t="s">
        <v>2</v>
      </c>
      <c r="F357" s="9" t="s">
        <v>3</v>
      </c>
      <c r="G357" s="9" t="s">
        <v>4</v>
      </c>
      <c r="H357" s="50" t="s">
        <v>21</v>
      </c>
      <c r="I357" s="23" t="s">
        <v>22</v>
      </c>
      <c r="J357" s="24" t="s">
        <v>4</v>
      </c>
    </row>
    <row r="358" spans="1:10" ht="12.75" customHeight="1" x14ac:dyDescent="0.25">
      <c r="A358" s="29">
        <f>SUM(E358:G358)/3</f>
        <v>0.81333333333333335</v>
      </c>
      <c r="B358" s="34">
        <f>SUM(E358:J358)/6</f>
        <v>0.87333333333333318</v>
      </c>
      <c r="C358" s="6"/>
      <c r="D358" s="2" t="s">
        <v>7</v>
      </c>
      <c r="E358" s="10">
        <v>0.88</v>
      </c>
      <c r="F358" s="10">
        <v>0.88</v>
      </c>
      <c r="G358" s="10">
        <v>0.68</v>
      </c>
      <c r="H358" s="34">
        <v>0.92</v>
      </c>
      <c r="I358" s="10">
        <v>1</v>
      </c>
      <c r="J358" s="10">
        <v>0.88</v>
      </c>
    </row>
    <row r="359" spans="1:10" ht="12.75" customHeight="1" x14ac:dyDescent="0.25">
      <c r="B359" s="35">
        <f>SUM(E359:J359)</f>
        <v>5</v>
      </c>
      <c r="C359" s="6"/>
      <c r="D359" s="2" t="s">
        <v>8</v>
      </c>
      <c r="H359" s="35">
        <v>5</v>
      </c>
    </row>
    <row r="360" spans="1:10" ht="12.75" customHeight="1" x14ac:dyDescent="0.25">
      <c r="A360" s="31">
        <f>SUM(E360:N360)</f>
        <v>40</v>
      </c>
      <c r="B360" s="36">
        <f>SUM(E360:J360)</f>
        <v>40</v>
      </c>
      <c r="C360" s="6"/>
      <c r="D360" s="2" t="s">
        <v>9</v>
      </c>
      <c r="E360">
        <v>10</v>
      </c>
      <c r="H360" s="35">
        <v>30</v>
      </c>
    </row>
    <row r="361" spans="1:10" ht="12.75" customHeight="1" x14ac:dyDescent="0.25">
      <c r="A361" s="27" t="s">
        <v>5</v>
      </c>
      <c r="B361" s="37">
        <v>37514</v>
      </c>
      <c r="C361" s="4" t="s">
        <v>0</v>
      </c>
      <c r="D361" s="1"/>
      <c r="E361" s="8">
        <v>37485</v>
      </c>
      <c r="F361" s="8">
        <v>37485</v>
      </c>
      <c r="G361" s="8">
        <v>37485</v>
      </c>
      <c r="H361" s="49">
        <v>37513</v>
      </c>
      <c r="I361" s="21">
        <v>37513</v>
      </c>
      <c r="J361" s="22">
        <v>37513</v>
      </c>
    </row>
    <row r="362" spans="1:10" ht="12.75" customHeight="1" x14ac:dyDescent="0.25">
      <c r="A362" s="28" t="s">
        <v>6</v>
      </c>
      <c r="B362" s="33" t="s">
        <v>6</v>
      </c>
      <c r="C362" s="5">
        <v>73</v>
      </c>
      <c r="D362" s="2"/>
      <c r="E362" s="9" t="s">
        <v>2</v>
      </c>
      <c r="F362" s="9" t="s">
        <v>3</v>
      </c>
      <c r="G362" s="9" t="s">
        <v>4</v>
      </c>
      <c r="H362" s="50" t="s">
        <v>21</v>
      </c>
      <c r="I362" s="23" t="s">
        <v>22</v>
      </c>
      <c r="J362" s="24" t="s">
        <v>4</v>
      </c>
    </row>
    <row r="363" spans="1:10" ht="12.75" customHeight="1" x14ac:dyDescent="0.25">
      <c r="A363" s="29">
        <f>SUM(E363:G363)/3</f>
        <v>0.8666666666666667</v>
      </c>
      <c r="B363" s="34">
        <f>SUM(E363:J363)/6</f>
        <v>0.83999999999999986</v>
      </c>
      <c r="C363" s="6"/>
      <c r="D363" s="2" t="s">
        <v>7</v>
      </c>
      <c r="E363" s="10">
        <v>0.88</v>
      </c>
      <c r="F363" s="10">
        <v>0.88</v>
      </c>
      <c r="G363" s="10">
        <v>0.84</v>
      </c>
      <c r="H363" s="34">
        <v>0.88</v>
      </c>
      <c r="I363" s="10">
        <v>0.96</v>
      </c>
      <c r="J363" s="10">
        <v>0.6</v>
      </c>
    </row>
    <row r="364" spans="1:10" ht="12.75" customHeight="1" x14ac:dyDescent="0.25">
      <c r="B364" s="35">
        <f>SUM(E364:J364)</f>
        <v>5</v>
      </c>
      <c r="C364" s="6"/>
      <c r="D364" s="2" t="s">
        <v>8</v>
      </c>
      <c r="H364" s="35">
        <v>5</v>
      </c>
    </row>
    <row r="365" spans="1:10" ht="12.75" customHeight="1" x14ac:dyDescent="0.25">
      <c r="A365" s="31">
        <f>SUM(E365:N365)</f>
        <v>29</v>
      </c>
      <c r="B365" s="36">
        <f>SUM(E365:J365)</f>
        <v>29</v>
      </c>
      <c r="C365" s="6"/>
      <c r="D365" s="2" t="s">
        <v>9</v>
      </c>
      <c r="E365">
        <v>0</v>
      </c>
      <c r="H365" s="35">
        <v>29</v>
      </c>
    </row>
    <row r="366" spans="1:10" ht="12.75" customHeight="1" x14ac:dyDescent="0.25">
      <c r="A366" s="27" t="s">
        <v>5</v>
      </c>
      <c r="B366" s="37">
        <v>37514</v>
      </c>
      <c r="C366" s="4" t="s">
        <v>0</v>
      </c>
      <c r="D366" s="1"/>
      <c r="E366" s="8">
        <v>37485</v>
      </c>
      <c r="F366" s="8">
        <v>37485</v>
      </c>
      <c r="G366" s="8">
        <v>37485</v>
      </c>
      <c r="H366" s="49">
        <v>37513</v>
      </c>
      <c r="I366" s="21">
        <v>37513</v>
      </c>
      <c r="J366" s="22">
        <v>37513</v>
      </c>
    </row>
    <row r="367" spans="1:10" ht="12.75" customHeight="1" x14ac:dyDescent="0.25">
      <c r="A367" s="28" t="s">
        <v>6</v>
      </c>
      <c r="B367" s="33" t="s">
        <v>6</v>
      </c>
      <c r="C367" s="5">
        <v>74</v>
      </c>
      <c r="D367" s="2"/>
      <c r="E367" s="9" t="s">
        <v>2</v>
      </c>
      <c r="F367" s="9" t="s">
        <v>3</v>
      </c>
      <c r="G367" s="9" t="s">
        <v>4</v>
      </c>
      <c r="H367" s="50" t="s">
        <v>21</v>
      </c>
      <c r="I367" s="23" t="s">
        <v>22</v>
      </c>
      <c r="J367" s="24" t="s">
        <v>4</v>
      </c>
    </row>
    <row r="368" spans="1:10" ht="12.75" customHeight="1" x14ac:dyDescent="0.25">
      <c r="A368" s="29">
        <f>SUM(E368:G368)/3</f>
        <v>0.70666666666666667</v>
      </c>
      <c r="B368" s="34">
        <f>SUM(E368:J368)/6</f>
        <v>0.78999999999999992</v>
      </c>
      <c r="C368" s="6"/>
      <c r="D368" s="2" t="s">
        <v>7</v>
      </c>
      <c r="E368" s="10">
        <v>0.8</v>
      </c>
      <c r="F368" s="10">
        <v>0.68</v>
      </c>
      <c r="G368" s="10">
        <v>0.64</v>
      </c>
      <c r="H368" s="34">
        <v>0.9</v>
      </c>
      <c r="I368" s="10">
        <v>1</v>
      </c>
      <c r="J368" s="10">
        <v>0.72</v>
      </c>
    </row>
    <row r="369" spans="1:10" ht="12.75" customHeight="1" x14ac:dyDescent="0.25">
      <c r="B369" s="35">
        <f>SUM(E369:J369)</f>
        <v>5</v>
      </c>
      <c r="C369" s="6"/>
      <c r="D369" s="2" t="s">
        <v>8</v>
      </c>
      <c r="H369" s="35">
        <v>5</v>
      </c>
    </row>
    <row r="370" spans="1:10" ht="12.75" customHeight="1" x14ac:dyDescent="0.25">
      <c r="A370" s="31">
        <f>SUM(E370:N370)</f>
        <v>3</v>
      </c>
      <c r="B370" s="36">
        <f>SUM(E370:J370)</f>
        <v>3</v>
      </c>
      <c r="C370" s="6"/>
      <c r="D370" s="2" t="s">
        <v>9</v>
      </c>
      <c r="E370">
        <v>0</v>
      </c>
      <c r="H370" s="35">
        <v>3</v>
      </c>
    </row>
    <row r="371" spans="1:10" ht="12.75" customHeight="1" x14ac:dyDescent="0.25">
      <c r="A371" s="27" t="s">
        <v>5</v>
      </c>
      <c r="B371" s="37">
        <v>37514</v>
      </c>
      <c r="C371" s="4" t="s">
        <v>0</v>
      </c>
      <c r="D371" s="1"/>
      <c r="E371" s="8">
        <v>37485</v>
      </c>
      <c r="F371" s="8">
        <v>37485</v>
      </c>
      <c r="G371" s="8">
        <v>37485</v>
      </c>
      <c r="H371" s="49">
        <v>37513</v>
      </c>
      <c r="I371" s="21">
        <v>37513</v>
      </c>
      <c r="J371" s="22">
        <v>37513</v>
      </c>
    </row>
    <row r="372" spans="1:10" ht="12.75" customHeight="1" x14ac:dyDescent="0.25">
      <c r="A372" s="28" t="s">
        <v>6</v>
      </c>
      <c r="B372" s="33" t="s">
        <v>6</v>
      </c>
      <c r="C372" s="5">
        <v>75</v>
      </c>
      <c r="D372" s="2"/>
      <c r="E372" s="9" t="s">
        <v>2</v>
      </c>
      <c r="F372" s="9" t="s">
        <v>3</v>
      </c>
      <c r="G372" s="9" t="s">
        <v>4</v>
      </c>
      <c r="H372" s="50" t="s">
        <v>21</v>
      </c>
      <c r="I372" s="23" t="s">
        <v>22</v>
      </c>
      <c r="J372" s="24" t="s">
        <v>4</v>
      </c>
    </row>
    <row r="373" spans="1:10" ht="12.75" customHeight="1" x14ac:dyDescent="0.25">
      <c r="A373" s="29">
        <f>SUM(E373:G373)/3</f>
        <v>0.70666666666666667</v>
      </c>
      <c r="B373" s="34">
        <f>SUM(E373:J373)/6</f>
        <v>0.77666666666666673</v>
      </c>
      <c r="C373" s="6"/>
      <c r="D373" s="2" t="s">
        <v>7</v>
      </c>
      <c r="E373" s="10">
        <v>0.88</v>
      </c>
      <c r="F373" s="10">
        <v>0.6</v>
      </c>
      <c r="G373" s="10">
        <v>0.64</v>
      </c>
      <c r="H373" s="34">
        <v>0.86</v>
      </c>
      <c r="I373" s="10">
        <v>0.92</v>
      </c>
      <c r="J373" s="10">
        <v>0.76</v>
      </c>
    </row>
    <row r="374" spans="1:10" ht="12.75" customHeight="1" x14ac:dyDescent="0.25">
      <c r="B374" s="35">
        <f>SUM(E374:J374)</f>
        <v>5</v>
      </c>
      <c r="C374" s="6"/>
      <c r="D374" s="2" t="s">
        <v>8</v>
      </c>
      <c r="H374" s="35">
        <v>5</v>
      </c>
    </row>
    <row r="375" spans="1:10" ht="12.75" customHeight="1" x14ac:dyDescent="0.25">
      <c r="A375" s="31">
        <f>SUM(E375:N375)</f>
        <v>104</v>
      </c>
      <c r="B375" s="36">
        <f>SUM(E375:J375)</f>
        <v>104</v>
      </c>
      <c r="C375" s="6"/>
      <c r="D375" s="2" t="s">
        <v>9</v>
      </c>
      <c r="E375">
        <v>54</v>
      </c>
      <c r="H375" s="35">
        <v>50</v>
      </c>
    </row>
    <row r="376" spans="1:10" ht="12.75" customHeight="1" x14ac:dyDescent="0.25">
      <c r="A376" s="27" t="s">
        <v>5</v>
      </c>
      <c r="B376" s="37">
        <v>37514</v>
      </c>
      <c r="C376" s="4" t="s">
        <v>0</v>
      </c>
      <c r="D376" s="1"/>
      <c r="E376" s="8">
        <v>37485</v>
      </c>
      <c r="F376" s="8">
        <v>37485</v>
      </c>
      <c r="G376" s="8">
        <v>37485</v>
      </c>
      <c r="H376" s="49">
        <v>37513</v>
      </c>
      <c r="I376" s="21">
        <v>37513</v>
      </c>
      <c r="J376" s="22">
        <v>37513</v>
      </c>
    </row>
    <row r="377" spans="1:10" ht="12.75" customHeight="1" x14ac:dyDescent="0.25">
      <c r="A377" s="28" t="s">
        <v>6</v>
      </c>
      <c r="B377" s="33" t="s">
        <v>6</v>
      </c>
      <c r="C377" s="5">
        <v>76</v>
      </c>
      <c r="D377" s="2"/>
      <c r="E377" s="9" t="s">
        <v>2</v>
      </c>
      <c r="F377" s="9" t="s">
        <v>3</v>
      </c>
      <c r="G377" s="9" t="s">
        <v>4</v>
      </c>
      <c r="H377" s="50" t="s">
        <v>21</v>
      </c>
      <c r="I377" s="23" t="s">
        <v>22</v>
      </c>
      <c r="J377" s="24" t="s">
        <v>4</v>
      </c>
    </row>
    <row r="378" spans="1:10" ht="12.75" customHeight="1" x14ac:dyDescent="0.25">
      <c r="A378" s="29">
        <f>SUM(E378:G378)/3</f>
        <v>0.90666666666666662</v>
      </c>
      <c r="B378" s="34">
        <f>SUM(E378:J378)/6</f>
        <v>0.91333333333333322</v>
      </c>
      <c r="C378" s="6"/>
      <c r="D378" s="2" t="s">
        <v>7</v>
      </c>
      <c r="E378" s="10">
        <v>0.92</v>
      </c>
      <c r="F378" s="10">
        <v>0.84</v>
      </c>
      <c r="G378" s="10">
        <v>0.96</v>
      </c>
      <c r="H378" s="34">
        <v>0.92</v>
      </c>
      <c r="I378" s="10">
        <v>1</v>
      </c>
      <c r="J378" s="10">
        <v>0.84</v>
      </c>
    </row>
    <row r="379" spans="1:10" ht="12.75" customHeight="1" x14ac:dyDescent="0.25">
      <c r="B379" s="35">
        <f>SUM(E379:J379)</f>
        <v>5</v>
      </c>
      <c r="C379" s="6"/>
      <c r="D379" s="2" t="s">
        <v>8</v>
      </c>
      <c r="H379" s="35">
        <v>5</v>
      </c>
    </row>
    <row r="380" spans="1:10" ht="12.75" customHeight="1" x14ac:dyDescent="0.25">
      <c r="A380" s="31">
        <f>SUM(E380:N380)</f>
        <v>176</v>
      </c>
      <c r="B380" s="36">
        <f>SUM(E380:J380)</f>
        <v>176</v>
      </c>
      <c r="C380" s="6"/>
      <c r="D380" s="2" t="s">
        <v>9</v>
      </c>
      <c r="E380">
        <v>0</v>
      </c>
      <c r="H380" s="35">
        <v>176</v>
      </c>
    </row>
    <row r="381" spans="1:10" ht="12.75" customHeight="1" x14ac:dyDescent="0.25">
      <c r="A381" s="27" t="s">
        <v>5</v>
      </c>
      <c r="B381" s="37">
        <v>37514</v>
      </c>
      <c r="C381" s="4" t="s">
        <v>0</v>
      </c>
      <c r="D381" s="1"/>
      <c r="E381" s="8">
        <v>37485</v>
      </c>
      <c r="F381" s="8">
        <v>37485</v>
      </c>
      <c r="G381" s="8">
        <v>37485</v>
      </c>
      <c r="H381" s="49">
        <v>37513</v>
      </c>
      <c r="I381" s="21">
        <v>37513</v>
      </c>
      <c r="J381" s="22">
        <v>37513</v>
      </c>
    </row>
    <row r="382" spans="1:10" ht="12.75" customHeight="1" x14ac:dyDescent="0.25">
      <c r="A382" s="28" t="s">
        <v>6</v>
      </c>
      <c r="B382" s="33" t="s">
        <v>6</v>
      </c>
      <c r="C382" s="5">
        <v>77</v>
      </c>
      <c r="D382" s="2"/>
      <c r="E382" s="9" t="s">
        <v>2</v>
      </c>
      <c r="F382" s="9" t="s">
        <v>3</v>
      </c>
      <c r="G382" s="9" t="s">
        <v>4</v>
      </c>
      <c r="H382" s="50" t="s">
        <v>21</v>
      </c>
      <c r="I382" s="23" t="s">
        <v>22</v>
      </c>
      <c r="J382" s="24" t="s">
        <v>4</v>
      </c>
    </row>
    <row r="383" spans="1:10" ht="12.75" customHeight="1" x14ac:dyDescent="0.25">
      <c r="A383" s="29">
        <f>SUM(E383:G383)/3</f>
        <v>0.72000000000000008</v>
      </c>
      <c r="B383" s="34">
        <f>SUM(E383:J383)/6</f>
        <v>0.77333333333333332</v>
      </c>
      <c r="C383" s="6"/>
      <c r="D383" s="2" t="s">
        <v>7</v>
      </c>
      <c r="E383" s="10">
        <v>0.68</v>
      </c>
      <c r="F383" s="10">
        <v>0.76</v>
      </c>
      <c r="G383" s="10">
        <v>0.72</v>
      </c>
      <c r="H383" s="34">
        <v>0.84</v>
      </c>
      <c r="I383" s="10">
        <v>0.92</v>
      </c>
      <c r="J383" s="10">
        <v>0.72</v>
      </c>
    </row>
    <row r="384" spans="1:10" ht="12.75" customHeight="1" x14ac:dyDescent="0.25">
      <c r="B384" s="35">
        <f>SUM(E384:J384)</f>
        <v>5</v>
      </c>
      <c r="C384" s="6"/>
      <c r="D384" s="2" t="s">
        <v>8</v>
      </c>
      <c r="H384" s="35">
        <v>5</v>
      </c>
    </row>
    <row r="385" spans="1:10" ht="12.75" customHeight="1" x14ac:dyDescent="0.25">
      <c r="A385" s="31">
        <f>SUM(E385:N385)</f>
        <v>20</v>
      </c>
      <c r="B385" s="36">
        <f>SUM(E385:J385)</f>
        <v>20</v>
      </c>
      <c r="C385" s="6"/>
      <c r="D385" s="2" t="s">
        <v>9</v>
      </c>
      <c r="E385">
        <v>10</v>
      </c>
      <c r="H385" s="35">
        <v>10</v>
      </c>
    </row>
    <row r="386" spans="1:10" ht="12.75" customHeight="1" x14ac:dyDescent="0.25">
      <c r="A386" s="27" t="s">
        <v>5</v>
      </c>
      <c r="B386" s="37">
        <v>37514</v>
      </c>
      <c r="C386" s="4" t="s">
        <v>0</v>
      </c>
      <c r="D386" s="1"/>
      <c r="E386" s="8">
        <v>37485</v>
      </c>
      <c r="F386" s="8">
        <v>37485</v>
      </c>
      <c r="G386" s="8">
        <v>37485</v>
      </c>
      <c r="H386" s="49">
        <v>37513</v>
      </c>
      <c r="I386" s="21">
        <v>37513</v>
      </c>
      <c r="J386" s="22">
        <v>37513</v>
      </c>
    </row>
    <row r="387" spans="1:10" ht="12.75" customHeight="1" x14ac:dyDescent="0.25">
      <c r="A387" s="28" t="s">
        <v>6</v>
      </c>
      <c r="B387" s="33" t="s">
        <v>6</v>
      </c>
      <c r="C387" s="5">
        <v>78</v>
      </c>
      <c r="D387" s="2"/>
      <c r="E387" s="9" t="s">
        <v>2</v>
      </c>
      <c r="F387" s="9" t="s">
        <v>3</v>
      </c>
      <c r="G387" s="9" t="s">
        <v>4</v>
      </c>
      <c r="H387" s="50" t="s">
        <v>21</v>
      </c>
      <c r="I387" s="23" t="s">
        <v>22</v>
      </c>
      <c r="J387" s="24" t="s">
        <v>4</v>
      </c>
    </row>
    <row r="388" spans="1:10" ht="12.75" customHeight="1" x14ac:dyDescent="0.25">
      <c r="A388" s="29">
        <f>SUM(E388:G388)/3</f>
        <v>0.70666666666666667</v>
      </c>
      <c r="B388" s="34">
        <f>SUM(E388:J388)/6</f>
        <v>0.73333333333333339</v>
      </c>
      <c r="C388" s="6"/>
      <c r="D388" s="2" t="s">
        <v>7</v>
      </c>
      <c r="E388" s="10">
        <v>0.8</v>
      </c>
      <c r="F388" s="10">
        <v>0.76</v>
      </c>
      <c r="G388" s="10">
        <v>0.56000000000000005</v>
      </c>
      <c r="H388" s="34">
        <v>0.84</v>
      </c>
      <c r="I388" s="10">
        <v>0.92</v>
      </c>
      <c r="J388" s="10">
        <v>0.52</v>
      </c>
    </row>
    <row r="389" spans="1:10" ht="12.75" customHeight="1" x14ac:dyDescent="0.25">
      <c r="B389" s="35">
        <f>SUM(E389:J389)</f>
        <v>5</v>
      </c>
      <c r="C389" s="6"/>
      <c r="D389" s="2" t="s">
        <v>8</v>
      </c>
      <c r="H389" s="35">
        <v>5</v>
      </c>
    </row>
    <row r="390" spans="1:10" ht="12.75" customHeight="1" x14ac:dyDescent="0.25">
      <c r="A390" s="31">
        <f>SUM(E390:N390)</f>
        <v>2</v>
      </c>
      <c r="B390" s="36">
        <f>SUM(E390:J390)</f>
        <v>2</v>
      </c>
      <c r="C390" s="6"/>
      <c r="D390" s="2" t="s">
        <v>9</v>
      </c>
      <c r="E390">
        <v>1</v>
      </c>
      <c r="H390" s="35">
        <v>1</v>
      </c>
    </row>
    <row r="391" spans="1:10" ht="12.75" customHeight="1" x14ac:dyDescent="0.25">
      <c r="A391" s="27" t="s">
        <v>5</v>
      </c>
      <c r="B391" s="37">
        <v>37514</v>
      </c>
      <c r="C391" s="4" t="s">
        <v>0</v>
      </c>
      <c r="D391" s="1"/>
      <c r="E391" s="8">
        <v>37485</v>
      </c>
      <c r="F391" s="8">
        <v>37485</v>
      </c>
      <c r="G391" s="8">
        <v>37485</v>
      </c>
      <c r="H391" s="49">
        <v>37513</v>
      </c>
      <c r="I391" s="21">
        <v>37513</v>
      </c>
      <c r="J391" s="22">
        <v>37513</v>
      </c>
    </row>
    <row r="392" spans="1:10" ht="12.75" customHeight="1" x14ac:dyDescent="0.25">
      <c r="A392" s="28" t="s">
        <v>6</v>
      </c>
      <c r="B392" s="33" t="s">
        <v>6</v>
      </c>
      <c r="C392" s="5">
        <v>79</v>
      </c>
      <c r="D392" s="2"/>
      <c r="E392" s="9" t="s">
        <v>2</v>
      </c>
      <c r="F392" s="9" t="s">
        <v>3</v>
      </c>
      <c r="G392" s="9" t="s">
        <v>4</v>
      </c>
      <c r="H392" s="50" t="s">
        <v>21</v>
      </c>
      <c r="I392" s="23" t="s">
        <v>22</v>
      </c>
      <c r="J392" s="24" t="s">
        <v>4</v>
      </c>
    </row>
    <row r="393" spans="1:10" ht="12.75" customHeight="1" x14ac:dyDescent="0.25">
      <c r="A393" s="29">
        <f>SUM(E393:G393)/3</f>
        <v>0.78666666666666663</v>
      </c>
      <c r="B393" s="34">
        <f>SUM(E393:J393)/6</f>
        <v>0.78666666666666674</v>
      </c>
      <c r="C393" s="6"/>
      <c r="D393" s="2" t="s">
        <v>7</v>
      </c>
      <c r="E393" s="10">
        <v>0.8</v>
      </c>
      <c r="F393" s="10">
        <v>0.64</v>
      </c>
      <c r="G393" s="10">
        <v>0.92</v>
      </c>
      <c r="H393" s="34">
        <v>0.92</v>
      </c>
      <c r="I393" s="10">
        <v>0.96</v>
      </c>
      <c r="J393" s="10">
        <v>0.48</v>
      </c>
    </row>
    <row r="394" spans="1:10" ht="12.75" customHeight="1" x14ac:dyDescent="0.25">
      <c r="B394" s="35">
        <f>SUM(E394:J394)</f>
        <v>5</v>
      </c>
      <c r="C394" s="6"/>
      <c r="D394" s="2" t="s">
        <v>8</v>
      </c>
      <c r="H394" s="35">
        <v>5</v>
      </c>
    </row>
    <row r="395" spans="1:10" ht="12.75" customHeight="1" x14ac:dyDescent="0.25">
      <c r="A395" s="31">
        <f>SUM(E395:N395)</f>
        <v>5</v>
      </c>
      <c r="B395" s="36">
        <f>SUM(E395:J395)</f>
        <v>5</v>
      </c>
      <c r="C395" s="6"/>
      <c r="D395" s="2" t="s">
        <v>9</v>
      </c>
      <c r="E395">
        <v>0</v>
      </c>
      <c r="H395" s="35">
        <v>5</v>
      </c>
    </row>
    <row r="396" spans="1:10" ht="12.75" customHeight="1" x14ac:dyDescent="0.25">
      <c r="A396" s="27" t="s">
        <v>5</v>
      </c>
      <c r="B396" s="37">
        <v>37514</v>
      </c>
      <c r="C396" s="4" t="s">
        <v>0</v>
      </c>
      <c r="D396" s="1"/>
      <c r="E396" s="8">
        <v>37485</v>
      </c>
      <c r="F396" s="8">
        <v>37485</v>
      </c>
      <c r="G396" s="8">
        <v>37485</v>
      </c>
      <c r="H396" s="49">
        <v>37513</v>
      </c>
      <c r="I396" s="21">
        <v>37513</v>
      </c>
      <c r="J396" s="22">
        <v>37513</v>
      </c>
    </row>
    <row r="397" spans="1:10" ht="12.75" customHeight="1" x14ac:dyDescent="0.25">
      <c r="A397" s="28" t="s">
        <v>6</v>
      </c>
      <c r="B397" s="33" t="s">
        <v>6</v>
      </c>
      <c r="C397" s="5">
        <v>80</v>
      </c>
      <c r="D397" s="2"/>
      <c r="E397" s="9" t="s">
        <v>2</v>
      </c>
      <c r="F397" s="9" t="s">
        <v>3</v>
      </c>
      <c r="G397" s="9" t="s">
        <v>4</v>
      </c>
      <c r="H397" s="50" t="s">
        <v>21</v>
      </c>
      <c r="I397" s="23" t="s">
        <v>22</v>
      </c>
      <c r="J397" s="24" t="s">
        <v>4</v>
      </c>
    </row>
    <row r="398" spans="1:10" ht="12.75" customHeight="1" x14ac:dyDescent="0.25">
      <c r="A398" s="29">
        <f>SUM(E398:G398)/3</f>
        <v>0.48000000000000004</v>
      </c>
      <c r="B398" s="34">
        <f>SUM(E398:J398)/6</f>
        <v>0.57666666666666666</v>
      </c>
      <c r="C398" s="6"/>
      <c r="D398" s="2" t="s">
        <v>7</v>
      </c>
      <c r="E398" s="10">
        <v>0.64</v>
      </c>
      <c r="F398" s="10">
        <v>0.52</v>
      </c>
      <c r="G398" s="10">
        <v>0.28000000000000003</v>
      </c>
      <c r="H398" s="34">
        <v>0.86</v>
      </c>
      <c r="I398" s="10">
        <v>0.88</v>
      </c>
      <c r="J398" s="10">
        <v>0.28000000000000003</v>
      </c>
    </row>
    <row r="399" spans="1:10" ht="12.75" customHeight="1" x14ac:dyDescent="0.25">
      <c r="B399" s="35">
        <f>SUM(E399:J399)</f>
        <v>5</v>
      </c>
      <c r="C399" s="6"/>
      <c r="D399" s="2" t="s">
        <v>8</v>
      </c>
      <c r="H399" s="35">
        <v>5</v>
      </c>
    </row>
    <row r="400" spans="1:10" ht="12.75" customHeight="1" x14ac:dyDescent="0.25">
      <c r="A400" s="31">
        <f>SUM(E400:N400)</f>
        <v>10</v>
      </c>
      <c r="B400" s="36">
        <f>SUM(E400:J400)</f>
        <v>10</v>
      </c>
      <c r="C400" s="6"/>
      <c r="D400" s="2" t="s">
        <v>9</v>
      </c>
      <c r="E400">
        <v>0</v>
      </c>
      <c r="H400" s="35">
        <v>10</v>
      </c>
    </row>
    <row r="401" spans="1:10" ht="12.75" customHeight="1" x14ac:dyDescent="0.25">
      <c r="A401" s="27" t="s">
        <v>5</v>
      </c>
      <c r="B401" s="37">
        <v>37514</v>
      </c>
      <c r="C401" s="4" t="s">
        <v>0</v>
      </c>
      <c r="D401" s="1"/>
      <c r="E401" s="8">
        <v>37485</v>
      </c>
      <c r="F401" s="8">
        <v>37485</v>
      </c>
      <c r="G401" s="8">
        <v>37485</v>
      </c>
      <c r="H401" s="49">
        <v>37513</v>
      </c>
      <c r="I401" s="21">
        <v>37513</v>
      </c>
      <c r="J401" s="22">
        <v>37513</v>
      </c>
    </row>
    <row r="402" spans="1:10" ht="12.75" customHeight="1" x14ac:dyDescent="0.25">
      <c r="A402" s="28" t="s">
        <v>6</v>
      </c>
      <c r="B402" s="33" t="s">
        <v>6</v>
      </c>
      <c r="C402" s="5">
        <v>81</v>
      </c>
      <c r="D402" s="2"/>
      <c r="E402" s="9" t="s">
        <v>2</v>
      </c>
      <c r="F402" s="9" t="s">
        <v>3</v>
      </c>
      <c r="G402" s="9" t="s">
        <v>4</v>
      </c>
      <c r="H402" s="50" t="s">
        <v>21</v>
      </c>
      <c r="I402" s="23" t="s">
        <v>22</v>
      </c>
      <c r="J402" s="24" t="s">
        <v>4</v>
      </c>
    </row>
    <row r="403" spans="1:10" ht="12.75" customHeight="1" x14ac:dyDescent="0.25">
      <c r="A403" s="29">
        <f>SUM(E403:G403)/3</f>
        <v>0.80000000000000016</v>
      </c>
      <c r="B403" s="34">
        <f>SUM(E403:J403)/6</f>
        <v>0.81666666666666676</v>
      </c>
      <c r="C403" s="6"/>
      <c r="D403" s="2" t="s">
        <v>7</v>
      </c>
      <c r="E403" s="10">
        <v>0.92</v>
      </c>
      <c r="F403" s="10">
        <v>0.76</v>
      </c>
      <c r="G403" s="10">
        <v>0.72</v>
      </c>
      <c r="H403" s="34">
        <v>0.86</v>
      </c>
      <c r="I403" s="10">
        <v>0.92</v>
      </c>
      <c r="J403" s="10">
        <v>0.72</v>
      </c>
    </row>
    <row r="404" spans="1:10" ht="12.75" customHeight="1" x14ac:dyDescent="0.25">
      <c r="B404" s="35">
        <f>SUM(E404:J404)</f>
        <v>5</v>
      </c>
      <c r="C404" s="6"/>
      <c r="D404" s="2" t="s">
        <v>8</v>
      </c>
      <c r="H404" s="35">
        <v>5</v>
      </c>
    </row>
    <row r="405" spans="1:10" ht="12.75" customHeight="1" x14ac:dyDescent="0.25">
      <c r="A405" s="31">
        <f>SUM(E405:N405)</f>
        <v>23</v>
      </c>
      <c r="B405" s="36">
        <f>SUM(E405:J405)</f>
        <v>23</v>
      </c>
      <c r="C405" s="6"/>
      <c r="D405" s="2" t="s">
        <v>9</v>
      </c>
      <c r="E405">
        <v>0</v>
      </c>
      <c r="H405" s="35">
        <v>23</v>
      </c>
    </row>
    <row r="406" spans="1:10" ht="12.75" customHeight="1" x14ac:dyDescent="0.25">
      <c r="A406" s="27" t="s">
        <v>5</v>
      </c>
      <c r="B406" s="37">
        <v>37514</v>
      </c>
      <c r="C406" s="4" t="s">
        <v>0</v>
      </c>
      <c r="D406" s="1"/>
      <c r="E406" s="8">
        <v>37485</v>
      </c>
      <c r="F406" s="8">
        <v>37485</v>
      </c>
      <c r="G406" s="8">
        <v>37485</v>
      </c>
      <c r="H406" s="49">
        <v>37513</v>
      </c>
      <c r="I406" s="21">
        <v>37513</v>
      </c>
      <c r="J406" s="22">
        <v>37513</v>
      </c>
    </row>
    <row r="407" spans="1:10" ht="12.75" customHeight="1" x14ac:dyDescent="0.25">
      <c r="A407" s="28" t="s">
        <v>6</v>
      </c>
      <c r="B407" s="33" t="s">
        <v>6</v>
      </c>
      <c r="C407" s="5">
        <v>82</v>
      </c>
      <c r="D407" s="2"/>
      <c r="E407" s="9" t="s">
        <v>2</v>
      </c>
      <c r="F407" s="9" t="s">
        <v>3</v>
      </c>
      <c r="G407" s="9" t="s">
        <v>4</v>
      </c>
      <c r="H407" s="50" t="s">
        <v>21</v>
      </c>
      <c r="I407" s="23" t="s">
        <v>22</v>
      </c>
      <c r="J407" s="24" t="s">
        <v>4</v>
      </c>
    </row>
    <row r="408" spans="1:10" ht="12.75" customHeight="1" x14ac:dyDescent="0.25">
      <c r="A408" s="29">
        <f>SUM(E408:G408)/3</f>
        <v>0.7466666666666667</v>
      </c>
      <c r="B408" s="34">
        <f>SUM(E408:J408)/6</f>
        <v>0.7599999999999999</v>
      </c>
      <c r="C408" s="6"/>
      <c r="D408" s="2" t="s">
        <v>7</v>
      </c>
      <c r="E408" s="10">
        <v>0.84</v>
      </c>
      <c r="F408" s="10">
        <v>0.64</v>
      </c>
      <c r="G408" s="10">
        <v>0.76</v>
      </c>
      <c r="H408" s="34">
        <v>0.84</v>
      </c>
      <c r="I408" s="10">
        <v>0.88</v>
      </c>
      <c r="J408" s="10">
        <v>0.6</v>
      </c>
    </row>
    <row r="409" spans="1:10" ht="12.75" customHeight="1" x14ac:dyDescent="0.25">
      <c r="B409" s="35">
        <f>SUM(E409:J409)</f>
        <v>5</v>
      </c>
      <c r="C409" s="6"/>
      <c r="D409" s="2" t="s">
        <v>8</v>
      </c>
      <c r="H409" s="35">
        <v>5</v>
      </c>
    </row>
    <row r="410" spans="1:10" ht="12.75" customHeight="1" x14ac:dyDescent="0.25">
      <c r="A410" s="31">
        <f>SUM(E410:N410)</f>
        <v>31</v>
      </c>
      <c r="B410" s="36">
        <f>SUM(E410:J410)</f>
        <v>31</v>
      </c>
      <c r="C410" s="6"/>
      <c r="D410" s="2" t="s">
        <v>9</v>
      </c>
      <c r="E410">
        <v>0</v>
      </c>
      <c r="H410" s="35">
        <v>31</v>
      </c>
    </row>
    <row r="411" spans="1:10" ht="12.75" customHeight="1" x14ac:dyDescent="0.25">
      <c r="A411" s="27" t="s">
        <v>5</v>
      </c>
      <c r="B411" s="37">
        <v>37514</v>
      </c>
      <c r="C411" s="4" t="s">
        <v>0</v>
      </c>
      <c r="D411" s="1"/>
      <c r="E411" s="8">
        <v>37485</v>
      </c>
      <c r="F411" s="8">
        <v>37485</v>
      </c>
      <c r="G411" s="8">
        <v>37485</v>
      </c>
      <c r="H411" s="49">
        <v>37513</v>
      </c>
      <c r="I411" s="21">
        <v>37513</v>
      </c>
      <c r="J411" s="22">
        <v>37513</v>
      </c>
    </row>
    <row r="412" spans="1:10" ht="12.75" customHeight="1" x14ac:dyDescent="0.25">
      <c r="A412" s="28" t="s">
        <v>6</v>
      </c>
      <c r="B412" s="33" t="s">
        <v>6</v>
      </c>
      <c r="C412" s="5">
        <v>83</v>
      </c>
      <c r="D412" s="2"/>
      <c r="E412" s="9" t="s">
        <v>2</v>
      </c>
      <c r="F412" s="9" t="s">
        <v>3</v>
      </c>
      <c r="G412" s="9" t="s">
        <v>4</v>
      </c>
      <c r="H412" s="50" t="s">
        <v>21</v>
      </c>
      <c r="I412" s="23" t="s">
        <v>22</v>
      </c>
      <c r="J412" s="24" t="s">
        <v>4</v>
      </c>
    </row>
    <row r="413" spans="1:10" ht="12.75" customHeight="1" x14ac:dyDescent="0.25">
      <c r="A413" s="29">
        <f>SUM(E413:G413)/3</f>
        <v>0.53333333333333333</v>
      </c>
      <c r="B413" s="34">
        <f>SUM(E413:J413)/6</f>
        <v>0.61333333333333329</v>
      </c>
      <c r="C413" s="6"/>
      <c r="D413" s="2" t="s">
        <v>7</v>
      </c>
      <c r="E413" s="10">
        <v>0.76</v>
      </c>
      <c r="F413" s="10">
        <v>0.64</v>
      </c>
      <c r="G413" s="10">
        <v>0.2</v>
      </c>
      <c r="H413" s="34">
        <v>0.8</v>
      </c>
      <c r="I413" s="10">
        <v>0.84</v>
      </c>
      <c r="J413" s="10">
        <v>0.44</v>
      </c>
    </row>
    <row r="414" spans="1:10" ht="12.75" customHeight="1" x14ac:dyDescent="0.25">
      <c r="B414" s="35">
        <f>SUM(E414:J414)</f>
        <v>5</v>
      </c>
      <c r="C414" s="6"/>
      <c r="D414" s="2" t="s">
        <v>8</v>
      </c>
      <c r="H414" s="35">
        <v>5</v>
      </c>
    </row>
    <row r="415" spans="1:10" ht="12.75" customHeight="1" x14ac:dyDescent="0.25">
      <c r="A415" s="31">
        <f>SUM(E415:N415)</f>
        <v>0</v>
      </c>
      <c r="B415" s="36">
        <f>SUM(E415:J415)</f>
        <v>0</v>
      </c>
      <c r="C415" s="6"/>
      <c r="D415" s="2" t="s">
        <v>9</v>
      </c>
      <c r="E415">
        <v>0</v>
      </c>
      <c r="H415" s="35">
        <v>0</v>
      </c>
    </row>
    <row r="416" spans="1:10" ht="12.75" customHeight="1" x14ac:dyDescent="0.25">
      <c r="A416" s="27" t="s">
        <v>5</v>
      </c>
      <c r="B416" s="37">
        <v>37514</v>
      </c>
      <c r="C416" s="4" t="s">
        <v>0</v>
      </c>
      <c r="D416" s="1"/>
      <c r="E416" s="8">
        <v>37485</v>
      </c>
      <c r="F416" s="8">
        <v>37485</v>
      </c>
      <c r="G416" s="8">
        <v>37485</v>
      </c>
      <c r="H416" s="49">
        <v>37513</v>
      </c>
      <c r="I416" s="21">
        <v>37513</v>
      </c>
      <c r="J416" s="22">
        <v>37513</v>
      </c>
    </row>
    <row r="417" spans="1:10" ht="12.75" customHeight="1" x14ac:dyDescent="0.25">
      <c r="A417" s="28" t="s">
        <v>6</v>
      </c>
      <c r="B417" s="33" t="s">
        <v>6</v>
      </c>
      <c r="C417" s="5">
        <v>84</v>
      </c>
      <c r="D417" s="2"/>
      <c r="E417" s="9" t="s">
        <v>2</v>
      </c>
      <c r="F417" s="9" t="s">
        <v>3</v>
      </c>
      <c r="G417" s="9" t="s">
        <v>4</v>
      </c>
      <c r="H417" s="50" t="s">
        <v>21</v>
      </c>
      <c r="I417" s="23" t="s">
        <v>22</v>
      </c>
      <c r="J417" s="24" t="s">
        <v>4</v>
      </c>
    </row>
    <row r="418" spans="1:10" ht="12.75" customHeight="1" x14ac:dyDescent="0.25">
      <c r="A418" s="29">
        <f>SUM(E418:G418)/3</f>
        <v>0.84</v>
      </c>
      <c r="B418" s="34">
        <f>SUM(E418:J418)/6</f>
        <v>0.80333333333333334</v>
      </c>
      <c r="C418" s="6"/>
      <c r="D418" s="2" t="s">
        <v>7</v>
      </c>
      <c r="E418" s="10">
        <v>0.88</v>
      </c>
      <c r="F418" s="10">
        <v>0.8</v>
      </c>
      <c r="G418" s="10">
        <v>0.84</v>
      </c>
      <c r="H418" s="34">
        <v>0.78</v>
      </c>
      <c r="I418" s="10">
        <v>1</v>
      </c>
      <c r="J418" s="10">
        <v>0.52</v>
      </c>
    </row>
    <row r="419" spans="1:10" ht="12.75" customHeight="1" x14ac:dyDescent="0.25">
      <c r="B419" s="35">
        <f>SUM(E419:J419)</f>
        <v>5</v>
      </c>
      <c r="C419" s="6"/>
      <c r="D419" s="2" t="s">
        <v>8</v>
      </c>
      <c r="H419" s="35">
        <v>5</v>
      </c>
    </row>
    <row r="420" spans="1:10" ht="12.75" customHeight="1" x14ac:dyDescent="0.25">
      <c r="A420" s="31">
        <f>SUM(E420:N420)</f>
        <v>100</v>
      </c>
      <c r="B420" s="36">
        <f>SUM(E420:J420)</f>
        <v>100</v>
      </c>
      <c r="C420" s="6"/>
      <c r="D420" s="2" t="s">
        <v>9</v>
      </c>
      <c r="E420">
        <v>0</v>
      </c>
      <c r="H420" s="35">
        <v>100</v>
      </c>
    </row>
    <row r="421" spans="1:10" ht="12.75" customHeight="1" x14ac:dyDescent="0.25">
      <c r="A421" s="27" t="s">
        <v>5</v>
      </c>
      <c r="B421" s="37">
        <v>37514</v>
      </c>
      <c r="C421" s="4" t="s">
        <v>0</v>
      </c>
      <c r="D421" s="1"/>
      <c r="E421" s="8">
        <v>37485</v>
      </c>
      <c r="F421" s="8">
        <v>37485</v>
      </c>
      <c r="G421" s="8">
        <v>37485</v>
      </c>
      <c r="H421" s="49">
        <v>37513</v>
      </c>
      <c r="I421" s="21">
        <v>37513</v>
      </c>
      <c r="J421" s="22">
        <v>37513</v>
      </c>
    </row>
    <row r="422" spans="1:10" ht="12.75" customHeight="1" x14ac:dyDescent="0.25">
      <c r="A422" s="28" t="s">
        <v>6</v>
      </c>
      <c r="B422" s="33" t="s">
        <v>6</v>
      </c>
      <c r="C422" s="5">
        <v>85</v>
      </c>
      <c r="D422" s="2"/>
      <c r="E422" s="9" t="s">
        <v>2</v>
      </c>
      <c r="F422" s="9" t="s">
        <v>3</v>
      </c>
      <c r="G422" s="9" t="s">
        <v>4</v>
      </c>
      <c r="H422" s="50" t="s">
        <v>21</v>
      </c>
      <c r="I422" s="23" t="s">
        <v>22</v>
      </c>
      <c r="J422" s="24" t="s">
        <v>4</v>
      </c>
    </row>
    <row r="423" spans="1:10" ht="12.75" customHeight="1" x14ac:dyDescent="0.25">
      <c r="A423" s="29">
        <f>SUM(E423:G423)/3</f>
        <v>0.81333333333333335</v>
      </c>
      <c r="B423" s="34">
        <f>SUM(E423:J423)/6</f>
        <v>0.83</v>
      </c>
      <c r="C423" s="6"/>
      <c r="D423" s="2" t="s">
        <v>7</v>
      </c>
      <c r="E423" s="10">
        <v>0.92</v>
      </c>
      <c r="F423" s="10">
        <v>0.84</v>
      </c>
      <c r="G423" s="10">
        <v>0.68</v>
      </c>
      <c r="H423" s="34">
        <v>0.9</v>
      </c>
      <c r="I423" s="10">
        <v>0.96</v>
      </c>
      <c r="J423" s="10">
        <v>0.68</v>
      </c>
    </row>
    <row r="424" spans="1:10" ht="12.75" customHeight="1" x14ac:dyDescent="0.25">
      <c r="B424" s="35">
        <f>SUM(E424:J424)</f>
        <v>5</v>
      </c>
      <c r="C424" s="6"/>
      <c r="D424" s="2" t="s">
        <v>8</v>
      </c>
      <c r="H424" s="35">
        <v>5</v>
      </c>
    </row>
    <row r="425" spans="1:10" ht="12.75" customHeight="1" x14ac:dyDescent="0.25">
      <c r="A425" s="31">
        <f>SUM(E425:N425)</f>
        <v>47</v>
      </c>
      <c r="B425" s="36">
        <f>SUM(E425:J425)</f>
        <v>47</v>
      </c>
      <c r="C425" s="6"/>
      <c r="D425" s="2" t="s">
        <v>9</v>
      </c>
      <c r="E425">
        <v>15</v>
      </c>
      <c r="H425" s="35">
        <v>32</v>
      </c>
    </row>
    <row r="426" spans="1:10" ht="12.75" customHeight="1" x14ac:dyDescent="0.25">
      <c r="A426" s="27" t="s">
        <v>5</v>
      </c>
      <c r="B426" s="37">
        <v>37514</v>
      </c>
      <c r="C426" s="4" t="s">
        <v>0</v>
      </c>
      <c r="D426" s="1"/>
      <c r="E426" s="8">
        <v>37485</v>
      </c>
      <c r="F426" s="8">
        <v>37485</v>
      </c>
      <c r="G426" s="8">
        <v>37485</v>
      </c>
      <c r="H426" s="49">
        <v>37513</v>
      </c>
      <c r="I426" s="21">
        <v>37513</v>
      </c>
      <c r="J426" s="22">
        <v>37513</v>
      </c>
    </row>
    <row r="427" spans="1:10" ht="12.75" customHeight="1" x14ac:dyDescent="0.25">
      <c r="A427" s="28" t="s">
        <v>6</v>
      </c>
      <c r="B427" s="33" t="s">
        <v>6</v>
      </c>
      <c r="C427" s="5">
        <v>86</v>
      </c>
      <c r="D427" s="2"/>
      <c r="E427" s="9" t="s">
        <v>2</v>
      </c>
      <c r="F427" s="9" t="s">
        <v>3</v>
      </c>
      <c r="G427" s="9" t="s">
        <v>4</v>
      </c>
      <c r="H427" s="50" t="s">
        <v>21</v>
      </c>
      <c r="I427" s="23" t="s">
        <v>22</v>
      </c>
      <c r="J427" s="24" t="s">
        <v>4</v>
      </c>
    </row>
    <row r="428" spans="1:10" ht="12.75" customHeight="1" x14ac:dyDescent="0.25">
      <c r="A428" s="29">
        <f>SUM(E428:G428)/3</f>
        <v>0.50666666666666671</v>
      </c>
      <c r="B428" s="34">
        <f>SUM(E428:J428)/6</f>
        <v>0.59333333333333338</v>
      </c>
      <c r="C428" s="6"/>
      <c r="D428" s="2" t="s">
        <v>7</v>
      </c>
      <c r="E428" s="10">
        <v>0.56000000000000005</v>
      </c>
      <c r="F428" s="10">
        <v>0.6</v>
      </c>
      <c r="G428" s="10">
        <v>0.36</v>
      </c>
      <c r="H428" s="34">
        <v>0.8</v>
      </c>
      <c r="I428" s="10">
        <v>0.96</v>
      </c>
      <c r="J428" s="10">
        <v>0.28000000000000003</v>
      </c>
    </row>
    <row r="429" spans="1:10" ht="12.75" customHeight="1" x14ac:dyDescent="0.25">
      <c r="B429" s="35">
        <f>SUM(E429:J429)</f>
        <v>5</v>
      </c>
      <c r="C429" s="6"/>
      <c r="D429" s="2" t="s">
        <v>8</v>
      </c>
      <c r="H429" s="35">
        <v>5</v>
      </c>
    </row>
    <row r="430" spans="1:10" ht="12.75" customHeight="1" x14ac:dyDescent="0.25">
      <c r="A430" s="31">
        <f>SUM(E430:N430)</f>
        <v>50</v>
      </c>
      <c r="B430" s="36">
        <f>SUM(E430:J430)</f>
        <v>50</v>
      </c>
      <c r="C430" s="6"/>
      <c r="D430" s="2" t="s">
        <v>9</v>
      </c>
      <c r="E430">
        <v>0</v>
      </c>
      <c r="H430" s="35">
        <v>50</v>
      </c>
    </row>
    <row r="431" spans="1:10" ht="12.75" customHeight="1" x14ac:dyDescent="0.25">
      <c r="A431" s="27" t="s">
        <v>5</v>
      </c>
      <c r="B431" s="37">
        <v>37514</v>
      </c>
      <c r="C431" s="4" t="s">
        <v>0</v>
      </c>
      <c r="D431" s="1"/>
      <c r="E431" s="8">
        <v>37485</v>
      </c>
      <c r="F431" s="8">
        <v>37485</v>
      </c>
      <c r="G431" s="8">
        <v>37485</v>
      </c>
      <c r="H431" s="49">
        <v>37513</v>
      </c>
      <c r="I431" s="21">
        <v>37513</v>
      </c>
      <c r="J431" s="22">
        <v>37513</v>
      </c>
    </row>
    <row r="432" spans="1:10" ht="12.75" customHeight="1" x14ac:dyDescent="0.25">
      <c r="A432" s="28" t="s">
        <v>6</v>
      </c>
      <c r="B432" s="33" t="s">
        <v>6</v>
      </c>
      <c r="C432" s="5">
        <v>87</v>
      </c>
      <c r="D432" s="2"/>
      <c r="E432" s="9" t="s">
        <v>2</v>
      </c>
      <c r="F432" s="9" t="s">
        <v>3</v>
      </c>
      <c r="G432" s="9" t="s">
        <v>4</v>
      </c>
      <c r="H432" s="50" t="s">
        <v>21</v>
      </c>
      <c r="I432" s="23" t="s">
        <v>22</v>
      </c>
      <c r="J432" s="24" t="s">
        <v>4</v>
      </c>
    </row>
    <row r="433" spans="1:10" ht="12.75" customHeight="1" x14ac:dyDescent="0.25">
      <c r="A433" s="29">
        <f>SUM(E433:G433)/3</f>
        <v>0.69333333333333336</v>
      </c>
      <c r="B433" s="34">
        <f>SUM(E433:J433)/6</f>
        <v>0.70333333333333348</v>
      </c>
      <c r="C433" s="6"/>
      <c r="D433" s="2" t="s">
        <v>7</v>
      </c>
      <c r="E433" s="10">
        <v>0.8</v>
      </c>
      <c r="F433" s="10">
        <v>0.68</v>
      </c>
      <c r="G433" s="10">
        <v>0.6</v>
      </c>
      <c r="H433" s="34">
        <v>0.74</v>
      </c>
      <c r="I433" s="10">
        <v>0.92</v>
      </c>
      <c r="J433" s="10">
        <v>0.48</v>
      </c>
    </row>
    <row r="434" spans="1:10" ht="12.75" customHeight="1" x14ac:dyDescent="0.25">
      <c r="B434" s="35">
        <f>SUM(E434:J434)</f>
        <v>5</v>
      </c>
      <c r="C434" s="6"/>
      <c r="D434" s="2" t="s">
        <v>8</v>
      </c>
      <c r="H434" s="35">
        <v>5</v>
      </c>
    </row>
    <row r="435" spans="1:10" ht="12.75" customHeight="1" x14ac:dyDescent="0.25">
      <c r="A435" s="31">
        <f>SUM(E435:N435)</f>
        <v>112</v>
      </c>
      <c r="B435" s="36">
        <f>SUM(E435:J435)</f>
        <v>112</v>
      </c>
      <c r="C435" s="6"/>
      <c r="D435" s="2" t="s">
        <v>9</v>
      </c>
      <c r="E435">
        <v>25</v>
      </c>
      <c r="H435" s="35">
        <v>87</v>
      </c>
    </row>
    <row r="436" spans="1:10" ht="12.75" customHeight="1" x14ac:dyDescent="0.25">
      <c r="A436" s="27" t="s">
        <v>5</v>
      </c>
      <c r="B436" s="37">
        <v>37514</v>
      </c>
      <c r="C436" s="4" t="s">
        <v>0</v>
      </c>
      <c r="D436" s="1"/>
      <c r="E436" s="8">
        <v>37485</v>
      </c>
      <c r="F436" s="8">
        <v>37485</v>
      </c>
      <c r="G436" s="8">
        <v>37485</v>
      </c>
      <c r="H436" s="49">
        <v>37513</v>
      </c>
      <c r="I436" s="21">
        <v>37513</v>
      </c>
      <c r="J436" s="22">
        <v>37513</v>
      </c>
    </row>
    <row r="437" spans="1:10" ht="12.75" customHeight="1" x14ac:dyDescent="0.25">
      <c r="A437" s="28" t="s">
        <v>6</v>
      </c>
      <c r="B437" s="33" t="s">
        <v>6</v>
      </c>
      <c r="C437" s="5">
        <v>88</v>
      </c>
      <c r="D437" s="2"/>
      <c r="E437" s="9" t="s">
        <v>2</v>
      </c>
      <c r="F437" s="9" t="s">
        <v>3</v>
      </c>
      <c r="G437" s="9" t="s">
        <v>4</v>
      </c>
      <c r="H437" s="50" t="s">
        <v>21</v>
      </c>
      <c r="I437" s="23" t="s">
        <v>22</v>
      </c>
      <c r="J437" s="24" t="s">
        <v>4</v>
      </c>
    </row>
    <row r="438" spans="1:10" ht="12.75" customHeight="1" x14ac:dyDescent="0.25">
      <c r="A438" s="29">
        <f>SUM(E438:G438)/3</f>
        <v>0.72000000000000008</v>
      </c>
      <c r="B438" s="34">
        <f>SUM(E438:J438)/6</f>
        <v>0.72666666666666657</v>
      </c>
      <c r="C438" s="6"/>
      <c r="D438" s="2" t="s">
        <v>7</v>
      </c>
      <c r="E438" s="10">
        <v>0.72</v>
      </c>
      <c r="F438" s="10">
        <v>0.84</v>
      </c>
      <c r="G438" s="10">
        <v>0.6</v>
      </c>
      <c r="H438" s="34">
        <v>0.84</v>
      </c>
      <c r="I438" s="10">
        <v>0.84</v>
      </c>
      <c r="J438" s="10">
        <v>0.52</v>
      </c>
    </row>
    <row r="439" spans="1:10" ht="12.75" customHeight="1" x14ac:dyDescent="0.25">
      <c r="B439" s="35">
        <f>SUM(E439:J439)</f>
        <v>5</v>
      </c>
      <c r="C439" s="6"/>
      <c r="D439" s="2" t="s">
        <v>8</v>
      </c>
      <c r="H439" s="35">
        <v>5</v>
      </c>
    </row>
    <row r="440" spans="1:10" ht="12.75" customHeight="1" x14ac:dyDescent="0.25">
      <c r="A440" s="31">
        <f>SUM(E440:N440)</f>
        <v>41</v>
      </c>
      <c r="B440" s="36">
        <f>SUM(E440:J440)</f>
        <v>41</v>
      </c>
      <c r="C440" s="6"/>
      <c r="D440" s="2" t="s">
        <v>9</v>
      </c>
      <c r="E440">
        <v>0</v>
      </c>
      <c r="H440" s="35">
        <v>41</v>
      </c>
    </row>
    <row r="441" spans="1:10" ht="12.75" customHeight="1" x14ac:dyDescent="0.25">
      <c r="A441" s="27" t="s">
        <v>5</v>
      </c>
      <c r="B441" s="37">
        <v>37514</v>
      </c>
      <c r="C441" s="4" t="s">
        <v>0</v>
      </c>
      <c r="D441" s="1"/>
      <c r="E441" s="8">
        <v>37485</v>
      </c>
      <c r="F441" s="8">
        <v>37485</v>
      </c>
      <c r="G441" s="8">
        <v>37485</v>
      </c>
      <c r="H441" s="49">
        <v>37513</v>
      </c>
      <c r="I441" s="21">
        <v>37513</v>
      </c>
      <c r="J441" s="22">
        <v>37513</v>
      </c>
    </row>
    <row r="442" spans="1:10" ht="12.75" customHeight="1" x14ac:dyDescent="0.25">
      <c r="A442" s="28" t="s">
        <v>6</v>
      </c>
      <c r="B442" s="33" t="s">
        <v>6</v>
      </c>
      <c r="C442" s="5">
        <v>89</v>
      </c>
      <c r="D442" s="2"/>
      <c r="E442" s="9" t="s">
        <v>2</v>
      </c>
      <c r="F442" s="9" t="s">
        <v>3</v>
      </c>
      <c r="G442" s="9" t="s">
        <v>4</v>
      </c>
      <c r="H442" s="50" t="s">
        <v>21</v>
      </c>
      <c r="I442" s="23" t="s">
        <v>22</v>
      </c>
      <c r="J442" s="24" t="s">
        <v>4</v>
      </c>
    </row>
    <row r="443" spans="1:10" ht="12.75" customHeight="1" x14ac:dyDescent="0.25">
      <c r="A443" s="29">
        <f>SUM(E443:G443)/3</f>
        <v>0.68</v>
      </c>
      <c r="B443" s="34">
        <f>SUM(E443:J443)/6</f>
        <v>0.73</v>
      </c>
      <c r="C443" s="6"/>
      <c r="D443" s="2" t="s">
        <v>7</v>
      </c>
      <c r="E443" s="10">
        <v>0.64</v>
      </c>
      <c r="F443" s="10">
        <v>0.68</v>
      </c>
      <c r="G443" s="10">
        <v>0.72</v>
      </c>
      <c r="H443" s="34">
        <v>0.9</v>
      </c>
      <c r="I443" s="10">
        <v>0.84</v>
      </c>
      <c r="J443" s="10">
        <v>0.6</v>
      </c>
    </row>
    <row r="444" spans="1:10" ht="12.75" customHeight="1" x14ac:dyDescent="0.25">
      <c r="B444" s="35">
        <f>SUM(E444:J444)</f>
        <v>5</v>
      </c>
      <c r="C444" s="6"/>
      <c r="D444" s="2" t="s">
        <v>8</v>
      </c>
      <c r="H444" s="35">
        <v>5</v>
      </c>
    </row>
    <row r="445" spans="1:10" ht="12.75" customHeight="1" x14ac:dyDescent="0.25">
      <c r="A445" s="31">
        <f>SUM(E445:N445)</f>
        <v>29</v>
      </c>
      <c r="B445" s="36">
        <f>SUM(E445:J445)</f>
        <v>29</v>
      </c>
      <c r="C445" s="6"/>
      <c r="D445" s="2" t="s">
        <v>9</v>
      </c>
      <c r="E445" t="s">
        <v>11</v>
      </c>
      <c r="H445" s="35">
        <v>29</v>
      </c>
    </row>
    <row r="446" spans="1:10" ht="12.75" customHeight="1" x14ac:dyDescent="0.25">
      <c r="A446" s="27" t="s">
        <v>5</v>
      </c>
      <c r="B446" s="37">
        <v>37514</v>
      </c>
      <c r="C446" s="4" t="s">
        <v>0</v>
      </c>
      <c r="D446" s="1"/>
      <c r="E446" s="8">
        <v>37485</v>
      </c>
      <c r="F446" s="8">
        <v>37485</v>
      </c>
      <c r="G446" s="8">
        <v>37485</v>
      </c>
      <c r="H446" s="49">
        <v>37513</v>
      </c>
      <c r="I446" s="21">
        <v>37513</v>
      </c>
      <c r="J446" s="22">
        <v>37513</v>
      </c>
    </row>
    <row r="447" spans="1:10" ht="12.75" customHeight="1" x14ac:dyDescent="0.25">
      <c r="A447" s="28" t="s">
        <v>6</v>
      </c>
      <c r="B447" s="33" t="s">
        <v>6</v>
      </c>
      <c r="C447" s="5">
        <v>90</v>
      </c>
      <c r="D447" s="2"/>
      <c r="E447" s="9" t="s">
        <v>2</v>
      </c>
      <c r="F447" s="9" t="s">
        <v>3</v>
      </c>
      <c r="G447" s="9" t="s">
        <v>4</v>
      </c>
      <c r="H447" s="50" t="s">
        <v>21</v>
      </c>
      <c r="I447" s="23" t="s">
        <v>22</v>
      </c>
      <c r="J447" s="24" t="s">
        <v>4</v>
      </c>
    </row>
    <row r="448" spans="1:10" ht="12.75" customHeight="1" x14ac:dyDescent="0.25">
      <c r="A448" s="29">
        <f>SUM(E448:G448)/3</f>
        <v>0.55999999999999994</v>
      </c>
      <c r="B448" s="34">
        <f>SUM(E448:J448)/6</f>
        <v>0.27999999999999997</v>
      </c>
      <c r="C448" s="6"/>
      <c r="D448" s="2" t="s">
        <v>7</v>
      </c>
      <c r="E448" s="10">
        <v>0.8</v>
      </c>
      <c r="F448" s="10">
        <v>0.68</v>
      </c>
      <c r="G448" s="10">
        <v>0.2</v>
      </c>
      <c r="H448" s="35" t="s">
        <v>25</v>
      </c>
      <c r="I448" t="s">
        <v>23</v>
      </c>
    </row>
    <row r="449" spans="1:10" ht="12.75" customHeight="1" x14ac:dyDescent="0.25">
      <c r="B449" s="35">
        <f>SUM(E449:J449)</f>
        <v>0</v>
      </c>
      <c r="C449" s="6"/>
      <c r="D449" s="2" t="s">
        <v>8</v>
      </c>
    </row>
    <row r="450" spans="1:10" ht="12.75" customHeight="1" x14ac:dyDescent="0.25">
      <c r="A450" s="31">
        <f>SUM(E450:N450)</f>
        <v>0</v>
      </c>
      <c r="B450" s="36">
        <f>SUM(E450:J450)</f>
        <v>0</v>
      </c>
      <c r="C450" s="6"/>
      <c r="D450" s="2" t="s">
        <v>9</v>
      </c>
      <c r="E450">
        <v>0</v>
      </c>
    </row>
    <row r="451" spans="1:10" ht="12.75" customHeight="1" x14ac:dyDescent="0.25">
      <c r="A451" s="27" t="s">
        <v>5</v>
      </c>
      <c r="B451" s="37">
        <v>37514</v>
      </c>
      <c r="C451" s="4" t="s">
        <v>0</v>
      </c>
      <c r="D451" s="1"/>
      <c r="E451" s="8">
        <v>37485</v>
      </c>
      <c r="F451" s="8">
        <v>37485</v>
      </c>
      <c r="G451" s="8">
        <v>37485</v>
      </c>
      <c r="H451" s="49">
        <v>37513</v>
      </c>
      <c r="I451" s="21">
        <v>37513</v>
      </c>
      <c r="J451" s="22">
        <v>37513</v>
      </c>
    </row>
    <row r="452" spans="1:10" ht="12.75" customHeight="1" x14ac:dyDescent="0.25">
      <c r="A452" s="28" t="s">
        <v>6</v>
      </c>
      <c r="B452" s="33" t="s">
        <v>6</v>
      </c>
      <c r="C452" s="5">
        <v>91</v>
      </c>
      <c r="D452" s="2"/>
      <c r="E452" s="9" t="s">
        <v>2</v>
      </c>
      <c r="F452" s="9" t="s">
        <v>3</v>
      </c>
      <c r="G452" s="9" t="s">
        <v>4</v>
      </c>
      <c r="H452" s="50" t="s">
        <v>21</v>
      </c>
      <c r="I452" s="23" t="s">
        <v>22</v>
      </c>
      <c r="J452" s="24" t="s">
        <v>4</v>
      </c>
    </row>
    <row r="453" spans="1:10" ht="12.75" customHeight="1" x14ac:dyDescent="0.25">
      <c r="A453" s="29">
        <f>SUM(E453:G453)/3</f>
        <v>0.76000000000000012</v>
      </c>
      <c r="B453" s="34">
        <f>SUM(E453:J453)/6</f>
        <v>0.75666666666666682</v>
      </c>
      <c r="C453" s="6"/>
      <c r="D453" s="2" t="s">
        <v>7</v>
      </c>
      <c r="E453" s="10">
        <v>0.92</v>
      </c>
      <c r="F453" s="10">
        <v>0.72</v>
      </c>
      <c r="G453" s="10">
        <v>0.64</v>
      </c>
      <c r="H453" s="34">
        <v>0.78</v>
      </c>
      <c r="I453" s="10">
        <v>0.96</v>
      </c>
      <c r="J453" s="10">
        <v>0.52</v>
      </c>
    </row>
    <row r="454" spans="1:10" ht="12.75" customHeight="1" x14ac:dyDescent="0.25">
      <c r="B454" s="35">
        <f>SUM(E454:J454)</f>
        <v>5</v>
      </c>
      <c r="C454" s="6"/>
      <c r="D454" s="2" t="s">
        <v>8</v>
      </c>
      <c r="H454" s="35">
        <v>5</v>
      </c>
    </row>
    <row r="455" spans="1:10" ht="12.75" customHeight="1" x14ac:dyDescent="0.25">
      <c r="A455" s="31">
        <f>SUM(E455:N455)</f>
        <v>110</v>
      </c>
      <c r="B455" s="36">
        <f>SUM(E455:J455)</f>
        <v>110</v>
      </c>
      <c r="C455" s="6"/>
      <c r="D455" s="2" t="s">
        <v>9</v>
      </c>
      <c r="E455">
        <v>40</v>
      </c>
      <c r="H455" s="35">
        <v>70</v>
      </c>
    </row>
    <row r="456" spans="1:10" ht="12.75" customHeight="1" x14ac:dyDescent="0.25">
      <c r="A456" s="27" t="s">
        <v>5</v>
      </c>
      <c r="B456" s="37">
        <v>37514</v>
      </c>
      <c r="C456" s="4" t="s">
        <v>0</v>
      </c>
      <c r="D456" s="1"/>
      <c r="E456" s="8">
        <v>37485</v>
      </c>
      <c r="F456" s="8">
        <v>37485</v>
      </c>
      <c r="G456" s="8">
        <v>37485</v>
      </c>
      <c r="H456" s="49">
        <v>37513</v>
      </c>
      <c r="I456" s="21">
        <v>37513</v>
      </c>
      <c r="J456" s="22">
        <v>37513</v>
      </c>
    </row>
    <row r="457" spans="1:10" ht="12.75" customHeight="1" x14ac:dyDescent="0.25">
      <c r="A457" s="28" t="s">
        <v>6</v>
      </c>
      <c r="B457" s="33" t="s">
        <v>6</v>
      </c>
      <c r="C457" s="5">
        <v>92</v>
      </c>
      <c r="D457" s="2"/>
      <c r="E457" s="9" t="s">
        <v>2</v>
      </c>
      <c r="F457" s="9" t="s">
        <v>3</v>
      </c>
      <c r="G457" s="9" t="s">
        <v>4</v>
      </c>
      <c r="H457" s="50" t="s">
        <v>21</v>
      </c>
      <c r="I457" s="23" t="s">
        <v>22</v>
      </c>
      <c r="J457" s="24" t="s">
        <v>4</v>
      </c>
    </row>
    <row r="458" spans="1:10" ht="12.75" customHeight="1" x14ac:dyDescent="0.25">
      <c r="A458" s="29">
        <f>SUM(E458:G458)/3</f>
        <v>0.55999999999999994</v>
      </c>
      <c r="B458" s="34">
        <f>SUM(E458:J458)/6</f>
        <v>0.67333333333333334</v>
      </c>
      <c r="C458" s="6"/>
      <c r="D458" s="2" t="s">
        <v>7</v>
      </c>
      <c r="E458" s="10">
        <v>0.64</v>
      </c>
      <c r="F458" s="10">
        <v>0.6</v>
      </c>
      <c r="G458" s="10">
        <v>0.44</v>
      </c>
      <c r="H458" s="34">
        <v>0.84</v>
      </c>
      <c r="I458" s="10">
        <v>0.92</v>
      </c>
      <c r="J458" s="10">
        <v>0.6</v>
      </c>
    </row>
    <row r="459" spans="1:10" ht="12.75" customHeight="1" x14ac:dyDescent="0.25">
      <c r="B459" s="35">
        <f>SUM(E459:J459)</f>
        <v>5</v>
      </c>
      <c r="C459" s="6"/>
      <c r="D459" s="2" t="s">
        <v>8</v>
      </c>
      <c r="H459" s="35">
        <v>5</v>
      </c>
    </row>
    <row r="460" spans="1:10" ht="12.75" customHeight="1" x14ac:dyDescent="0.25">
      <c r="A460" s="31">
        <f>SUM(E460:N460)</f>
        <v>97</v>
      </c>
      <c r="B460" s="36">
        <f>SUM(E460:J460)</f>
        <v>97</v>
      </c>
      <c r="C460" s="6"/>
      <c r="D460" s="2" t="s">
        <v>9</v>
      </c>
      <c r="E460">
        <v>5</v>
      </c>
      <c r="H460" s="35">
        <v>92</v>
      </c>
    </row>
    <row r="461" spans="1:10" ht="12.75" customHeight="1" x14ac:dyDescent="0.25">
      <c r="A461" s="27" t="s">
        <v>5</v>
      </c>
      <c r="B461" s="37">
        <v>37514</v>
      </c>
      <c r="C461" s="4" t="s">
        <v>0</v>
      </c>
      <c r="D461" s="1"/>
      <c r="E461" s="8">
        <v>37485</v>
      </c>
      <c r="F461" s="8">
        <v>37485</v>
      </c>
      <c r="G461" s="8">
        <v>37485</v>
      </c>
      <c r="H461" s="49">
        <v>37513</v>
      </c>
      <c r="I461" s="21">
        <v>37513</v>
      </c>
      <c r="J461" s="22">
        <v>37513</v>
      </c>
    </row>
    <row r="462" spans="1:10" ht="12.75" customHeight="1" x14ac:dyDescent="0.25">
      <c r="A462" s="28" t="s">
        <v>6</v>
      </c>
      <c r="B462" s="33" t="s">
        <v>6</v>
      </c>
      <c r="C462" s="5">
        <v>93</v>
      </c>
      <c r="D462" s="2"/>
      <c r="E462" s="9" t="s">
        <v>2</v>
      </c>
      <c r="F462" s="9" t="s">
        <v>3</v>
      </c>
      <c r="G462" s="9" t="s">
        <v>4</v>
      </c>
      <c r="H462" s="50" t="s">
        <v>21</v>
      </c>
      <c r="I462" s="23" t="s">
        <v>22</v>
      </c>
      <c r="J462" s="24" t="s">
        <v>4</v>
      </c>
    </row>
    <row r="463" spans="1:10" ht="12.75" customHeight="1" x14ac:dyDescent="0.25">
      <c r="A463" s="29">
        <f>SUM(E463:G463)/3</f>
        <v>0.79999999999999993</v>
      </c>
      <c r="B463" s="34">
        <f>SUM(E463:J463)/6</f>
        <v>0.79666666666666652</v>
      </c>
      <c r="C463" s="6"/>
      <c r="D463" s="2" t="s">
        <v>7</v>
      </c>
      <c r="E463" s="10">
        <v>0.84</v>
      </c>
      <c r="F463" s="10">
        <v>0.84</v>
      </c>
      <c r="G463" s="10">
        <v>0.72</v>
      </c>
      <c r="H463" s="34">
        <v>0.9</v>
      </c>
      <c r="I463" s="10">
        <v>0.92</v>
      </c>
      <c r="J463" s="10">
        <v>0.56000000000000005</v>
      </c>
    </row>
    <row r="464" spans="1:10" ht="12.75" customHeight="1" x14ac:dyDescent="0.25">
      <c r="B464" s="35">
        <f>SUM(E464:J464)</f>
        <v>5</v>
      </c>
      <c r="C464" s="6"/>
      <c r="D464" s="2" t="s">
        <v>8</v>
      </c>
      <c r="H464" s="35">
        <v>5</v>
      </c>
    </row>
    <row r="465" spans="1:10" ht="12.75" customHeight="1" x14ac:dyDescent="0.25">
      <c r="A465" s="31">
        <f>SUM(E465:N465)</f>
        <v>11</v>
      </c>
      <c r="B465" s="36">
        <f>SUM(E465:J465)</f>
        <v>11</v>
      </c>
      <c r="C465" s="6"/>
      <c r="D465" s="2" t="s">
        <v>9</v>
      </c>
      <c r="E465">
        <v>2</v>
      </c>
      <c r="H465" s="35">
        <v>9</v>
      </c>
    </row>
    <row r="466" spans="1:10" ht="12.75" customHeight="1" x14ac:dyDescent="0.25">
      <c r="A466" s="27" t="s">
        <v>5</v>
      </c>
      <c r="B466" s="37">
        <v>37514</v>
      </c>
      <c r="C466" s="4" t="s">
        <v>0</v>
      </c>
      <c r="D466" s="1"/>
      <c r="E466" s="8">
        <v>37485</v>
      </c>
      <c r="F466" s="8">
        <v>37485</v>
      </c>
      <c r="G466" s="8">
        <v>37485</v>
      </c>
      <c r="H466" s="49">
        <v>37513</v>
      </c>
      <c r="I466" s="21">
        <v>37513</v>
      </c>
      <c r="J466" s="22">
        <v>37513</v>
      </c>
    </row>
    <row r="467" spans="1:10" ht="12.75" customHeight="1" x14ac:dyDescent="0.25">
      <c r="A467" s="28" t="s">
        <v>6</v>
      </c>
      <c r="B467" s="33" t="s">
        <v>6</v>
      </c>
      <c r="C467" s="5">
        <v>94</v>
      </c>
      <c r="D467" s="2"/>
      <c r="E467" s="9" t="s">
        <v>2</v>
      </c>
      <c r="F467" s="9" t="s">
        <v>3</v>
      </c>
      <c r="G467" s="9" t="s">
        <v>4</v>
      </c>
      <c r="H467" s="50" t="s">
        <v>21</v>
      </c>
      <c r="I467" s="23" t="s">
        <v>22</v>
      </c>
      <c r="J467" s="24" t="s">
        <v>4</v>
      </c>
    </row>
    <row r="468" spans="1:10" ht="12.75" customHeight="1" x14ac:dyDescent="0.25">
      <c r="A468" s="29">
        <f>SUM(E468:G468)/3</f>
        <v>0.73333333333333339</v>
      </c>
      <c r="B468" s="34">
        <f>SUM(E468:J468)/6</f>
        <v>0.73999999999999988</v>
      </c>
      <c r="C468" s="6"/>
      <c r="D468" s="2" t="s">
        <v>7</v>
      </c>
      <c r="E468" s="10">
        <v>0.88</v>
      </c>
      <c r="F468" s="10">
        <v>0.72</v>
      </c>
      <c r="G468" s="10">
        <v>0.6</v>
      </c>
      <c r="H468" s="34">
        <v>0.8</v>
      </c>
      <c r="I468" s="10">
        <v>0.88</v>
      </c>
      <c r="J468" s="10">
        <v>0.56000000000000005</v>
      </c>
    </row>
    <row r="469" spans="1:10" ht="12.75" customHeight="1" x14ac:dyDescent="0.25">
      <c r="B469" s="35">
        <f>SUM(E469:J469)</f>
        <v>5</v>
      </c>
      <c r="C469" s="6"/>
      <c r="D469" s="2" t="s">
        <v>8</v>
      </c>
      <c r="H469" s="35">
        <v>5</v>
      </c>
    </row>
    <row r="470" spans="1:10" ht="12.75" customHeight="1" x14ac:dyDescent="0.25">
      <c r="A470" s="31">
        <f>SUM(E470:N470)</f>
        <v>25</v>
      </c>
      <c r="B470" s="36">
        <f>SUM(E470:J470)</f>
        <v>25</v>
      </c>
      <c r="C470" s="6"/>
      <c r="D470" s="2" t="s">
        <v>9</v>
      </c>
      <c r="E470">
        <v>0</v>
      </c>
      <c r="H470" s="35">
        <v>25</v>
      </c>
    </row>
    <row r="471" spans="1:10" ht="12.75" customHeight="1" x14ac:dyDescent="0.25">
      <c r="A471" s="27" t="s">
        <v>5</v>
      </c>
      <c r="B471" s="37">
        <v>37514</v>
      </c>
      <c r="C471" s="4" t="s">
        <v>0</v>
      </c>
      <c r="D471" s="1"/>
      <c r="E471" s="8">
        <v>37485</v>
      </c>
      <c r="F471" s="8">
        <v>37485</v>
      </c>
      <c r="G471" s="8">
        <v>37485</v>
      </c>
      <c r="H471" s="49">
        <v>37513</v>
      </c>
      <c r="I471" s="21">
        <v>37513</v>
      </c>
      <c r="J471" s="22">
        <v>37513</v>
      </c>
    </row>
    <row r="472" spans="1:10" ht="12.75" customHeight="1" x14ac:dyDescent="0.25">
      <c r="A472" s="28" t="s">
        <v>6</v>
      </c>
      <c r="B472" s="33" t="s">
        <v>6</v>
      </c>
      <c r="C472" s="5">
        <v>95</v>
      </c>
      <c r="D472" s="2"/>
      <c r="E472" s="9" t="s">
        <v>2</v>
      </c>
      <c r="F472" s="9" t="s">
        <v>3</v>
      </c>
      <c r="G472" s="9" t="s">
        <v>4</v>
      </c>
      <c r="H472" s="50" t="s">
        <v>21</v>
      </c>
      <c r="I472" s="23" t="s">
        <v>22</v>
      </c>
      <c r="J472" s="24" t="s">
        <v>4</v>
      </c>
    </row>
    <row r="473" spans="1:10" ht="12.75" customHeight="1" x14ac:dyDescent="0.25">
      <c r="A473" s="29">
        <f>SUM(E473:G473)/3</f>
        <v>0.61333333333333329</v>
      </c>
      <c r="B473" s="34">
        <f>SUM(E473:J473)/6</f>
        <v>0.62</v>
      </c>
      <c r="C473" s="6"/>
      <c r="D473" s="2" t="s">
        <v>7</v>
      </c>
      <c r="E473" s="10">
        <v>0.6</v>
      </c>
      <c r="F473" s="10">
        <v>0.88</v>
      </c>
      <c r="G473" s="10">
        <v>0.36</v>
      </c>
      <c r="H473" s="34">
        <v>0.6</v>
      </c>
      <c r="I473" s="10">
        <v>0.88</v>
      </c>
      <c r="J473" s="10">
        <v>0.4</v>
      </c>
    </row>
    <row r="474" spans="1:10" ht="12.75" customHeight="1" x14ac:dyDescent="0.25">
      <c r="B474" s="35">
        <f>SUM(E474:J474)</f>
        <v>5</v>
      </c>
      <c r="C474" s="6"/>
      <c r="D474" s="2" t="s">
        <v>8</v>
      </c>
      <c r="H474" s="35">
        <v>5</v>
      </c>
    </row>
    <row r="475" spans="1:10" ht="12.75" customHeight="1" x14ac:dyDescent="0.25">
      <c r="A475" s="31">
        <f>SUM(E475:N475)</f>
        <v>28</v>
      </c>
      <c r="B475" s="36">
        <f>SUM(E475:J475)</f>
        <v>28</v>
      </c>
      <c r="C475" s="6"/>
      <c r="D475" s="2" t="s">
        <v>9</v>
      </c>
      <c r="E475">
        <v>0</v>
      </c>
      <c r="H475" s="35">
        <v>28</v>
      </c>
    </row>
    <row r="476" spans="1:10" ht="12.75" customHeight="1" x14ac:dyDescent="0.25">
      <c r="A476" s="27" t="s">
        <v>5</v>
      </c>
      <c r="B476" s="37">
        <v>37514</v>
      </c>
      <c r="C476" s="4" t="s">
        <v>0</v>
      </c>
      <c r="D476" s="1"/>
      <c r="E476" s="8">
        <v>37485</v>
      </c>
      <c r="F476" s="8">
        <v>37485</v>
      </c>
      <c r="G476" s="8">
        <v>37485</v>
      </c>
      <c r="H476" s="49">
        <v>37513</v>
      </c>
      <c r="I476" s="21">
        <v>37513</v>
      </c>
      <c r="J476" s="22">
        <v>37513</v>
      </c>
    </row>
    <row r="477" spans="1:10" ht="12.75" customHeight="1" x14ac:dyDescent="0.25">
      <c r="A477" s="28" t="s">
        <v>6</v>
      </c>
      <c r="B477" s="33" t="s">
        <v>6</v>
      </c>
      <c r="C477" s="5">
        <v>96</v>
      </c>
      <c r="D477" s="2"/>
      <c r="E477" s="9" t="s">
        <v>2</v>
      </c>
      <c r="F477" s="9" t="s">
        <v>3</v>
      </c>
      <c r="G477" s="9" t="s">
        <v>4</v>
      </c>
      <c r="H477" s="50" t="s">
        <v>21</v>
      </c>
      <c r="I477" s="23" t="s">
        <v>22</v>
      </c>
      <c r="J477" s="24" t="s">
        <v>4</v>
      </c>
    </row>
    <row r="478" spans="1:10" ht="12.75" customHeight="1" x14ac:dyDescent="0.25">
      <c r="A478" s="29">
        <f>SUM(E478:G478)/3</f>
        <v>0.52</v>
      </c>
      <c r="B478" s="34">
        <f>SUM(E478:J478)/6</f>
        <v>0.64</v>
      </c>
      <c r="D478" s="2" t="s">
        <v>7</v>
      </c>
      <c r="E478" s="10">
        <v>0.52</v>
      </c>
      <c r="F478" s="10">
        <v>0.56000000000000005</v>
      </c>
      <c r="G478" s="10">
        <v>0.48</v>
      </c>
      <c r="H478" s="34">
        <v>0.76</v>
      </c>
      <c r="I478" s="10">
        <v>0.96</v>
      </c>
      <c r="J478" s="10">
        <v>0.56000000000000005</v>
      </c>
    </row>
    <row r="479" spans="1:10" ht="12.75" customHeight="1" x14ac:dyDescent="0.25">
      <c r="B479" s="35">
        <f>SUM(E479:J479)</f>
        <v>5</v>
      </c>
      <c r="D479" s="2" t="s">
        <v>8</v>
      </c>
      <c r="H479" s="35">
        <v>5</v>
      </c>
    </row>
    <row r="480" spans="1:10" ht="12.75" customHeight="1" x14ac:dyDescent="0.25">
      <c r="A480" s="31">
        <f>SUM(E480:N480)</f>
        <v>21</v>
      </c>
      <c r="B480" s="36">
        <f>SUM(E480:J480)</f>
        <v>21</v>
      </c>
      <c r="D480" s="2" t="s">
        <v>9</v>
      </c>
      <c r="E480">
        <v>0</v>
      </c>
      <c r="H480" s="35">
        <v>21</v>
      </c>
    </row>
    <row r="481" spans="1:10" ht="12.75" customHeight="1" x14ac:dyDescent="0.25">
      <c r="A481" s="27" t="s">
        <v>5</v>
      </c>
      <c r="B481" s="37">
        <v>37514</v>
      </c>
      <c r="C481" s="4" t="s">
        <v>0</v>
      </c>
      <c r="D481" s="1"/>
      <c r="E481" s="8">
        <v>37485</v>
      </c>
      <c r="F481" s="8">
        <v>37485</v>
      </c>
      <c r="G481" s="8">
        <v>37485</v>
      </c>
      <c r="H481" s="49">
        <v>37513</v>
      </c>
      <c r="I481" s="21">
        <v>37513</v>
      </c>
      <c r="J481" s="22">
        <v>37513</v>
      </c>
    </row>
    <row r="482" spans="1:10" ht="12.75" customHeight="1" x14ac:dyDescent="0.25">
      <c r="A482" s="28" t="s">
        <v>6</v>
      </c>
      <c r="B482" s="33" t="s">
        <v>6</v>
      </c>
      <c r="C482" s="5">
        <v>97</v>
      </c>
      <c r="D482" s="2"/>
      <c r="E482" s="9" t="s">
        <v>2</v>
      </c>
      <c r="F482" s="9" t="s">
        <v>3</v>
      </c>
      <c r="G482" s="9" t="s">
        <v>4</v>
      </c>
      <c r="H482" s="50" t="s">
        <v>21</v>
      </c>
      <c r="I482" s="23" t="s">
        <v>22</v>
      </c>
      <c r="J482" s="24" t="s">
        <v>4</v>
      </c>
    </row>
    <row r="483" spans="1:10" ht="12.75" customHeight="1" x14ac:dyDescent="0.25">
      <c r="A483" s="29">
        <f>SUM(E483:G483)/3</f>
        <v>0.50666666666666671</v>
      </c>
      <c r="B483" s="34">
        <f>SUM(E483:J483)/6</f>
        <v>0.58333333333333337</v>
      </c>
      <c r="C483" s="6"/>
      <c r="D483" s="2" t="s">
        <v>7</v>
      </c>
      <c r="E483" s="10">
        <v>0.6</v>
      </c>
      <c r="F483" s="10">
        <v>0.64</v>
      </c>
      <c r="G483" s="10">
        <v>0.28000000000000003</v>
      </c>
      <c r="H483" s="34">
        <v>0.66</v>
      </c>
      <c r="I483" s="10">
        <v>0.96</v>
      </c>
      <c r="J483" s="10">
        <v>0.36</v>
      </c>
    </row>
    <row r="484" spans="1:10" ht="12.75" customHeight="1" x14ac:dyDescent="0.25">
      <c r="B484" s="35">
        <f>SUM(E484:J484)</f>
        <v>5</v>
      </c>
      <c r="C484" s="6"/>
      <c r="D484" s="2" t="s">
        <v>8</v>
      </c>
      <c r="H484" s="35">
        <v>5</v>
      </c>
    </row>
    <row r="485" spans="1:10" ht="12.75" customHeight="1" x14ac:dyDescent="0.25">
      <c r="A485" s="31">
        <f>SUM(E485:N485)</f>
        <v>4</v>
      </c>
      <c r="B485" s="36">
        <f>SUM(E485:J485)</f>
        <v>4</v>
      </c>
      <c r="C485" s="6"/>
      <c r="D485" s="2" t="s">
        <v>9</v>
      </c>
      <c r="E485">
        <v>3</v>
      </c>
      <c r="H485" s="35">
        <v>1</v>
      </c>
    </row>
    <row r="486" spans="1:10" ht="12.75" customHeight="1" x14ac:dyDescent="0.25">
      <c r="A486" s="27" t="s">
        <v>5</v>
      </c>
      <c r="B486" s="37">
        <v>37514</v>
      </c>
      <c r="C486" s="4" t="s">
        <v>0</v>
      </c>
      <c r="D486" s="1"/>
      <c r="E486" s="8">
        <v>37485</v>
      </c>
      <c r="F486" s="8">
        <v>37485</v>
      </c>
      <c r="G486" s="8">
        <v>37485</v>
      </c>
      <c r="H486" s="49">
        <v>37513</v>
      </c>
      <c r="I486" s="21">
        <v>37513</v>
      </c>
      <c r="J486" s="22">
        <v>37513</v>
      </c>
    </row>
    <row r="487" spans="1:10" ht="12.75" customHeight="1" x14ac:dyDescent="0.25">
      <c r="A487" s="28" t="s">
        <v>6</v>
      </c>
      <c r="B487" s="33" t="s">
        <v>6</v>
      </c>
      <c r="C487" s="5">
        <v>98</v>
      </c>
      <c r="D487" s="2"/>
      <c r="E487" s="9" t="s">
        <v>2</v>
      </c>
      <c r="F487" s="9" t="s">
        <v>3</v>
      </c>
      <c r="G487" s="9" t="s">
        <v>4</v>
      </c>
      <c r="H487" s="50" t="s">
        <v>21</v>
      </c>
      <c r="I487" s="23" t="s">
        <v>22</v>
      </c>
      <c r="J487" s="24" t="s">
        <v>4</v>
      </c>
    </row>
    <row r="488" spans="1:10" ht="12.75" customHeight="1" x14ac:dyDescent="0.25">
      <c r="A488" s="29">
        <f>SUM(E488:G488)/3</f>
        <v>0.40000000000000008</v>
      </c>
      <c r="B488" s="34">
        <f>SUM(E488:J488)/6</f>
        <v>0.46</v>
      </c>
      <c r="C488" s="6"/>
      <c r="D488" s="2" t="s">
        <v>7</v>
      </c>
      <c r="E488" s="10">
        <v>0.28000000000000003</v>
      </c>
      <c r="F488" s="10">
        <v>0.56000000000000005</v>
      </c>
      <c r="G488" s="10">
        <v>0.36</v>
      </c>
      <c r="H488" s="34">
        <v>0.76</v>
      </c>
      <c r="I488" s="10">
        <v>0.64</v>
      </c>
      <c r="J488" s="10">
        <v>0.16</v>
      </c>
    </row>
    <row r="489" spans="1:10" ht="12.75" customHeight="1" x14ac:dyDescent="0.25">
      <c r="B489" s="35">
        <f>SUM(E489:J489)</f>
        <v>5</v>
      </c>
      <c r="C489" s="6"/>
      <c r="D489" s="2" t="s">
        <v>8</v>
      </c>
      <c r="H489" s="35">
        <v>5</v>
      </c>
    </row>
    <row r="490" spans="1:10" ht="12.75" customHeight="1" x14ac:dyDescent="0.25">
      <c r="A490" s="31">
        <f>SUM(E490:N490)</f>
        <v>50</v>
      </c>
      <c r="B490" s="36">
        <f>SUM(E490:J490)</f>
        <v>50</v>
      </c>
      <c r="C490" s="6"/>
      <c r="D490" s="2" t="s">
        <v>9</v>
      </c>
      <c r="E490">
        <v>0</v>
      </c>
      <c r="H490" s="35">
        <v>50</v>
      </c>
    </row>
    <row r="491" spans="1:10" ht="12.75" customHeight="1" x14ac:dyDescent="0.25">
      <c r="A491" s="27" t="s">
        <v>5</v>
      </c>
      <c r="B491" s="37">
        <v>37514</v>
      </c>
      <c r="C491" s="4" t="s">
        <v>0</v>
      </c>
      <c r="D491" s="1"/>
      <c r="E491" s="8">
        <v>37485</v>
      </c>
      <c r="F491" s="8">
        <v>37485</v>
      </c>
      <c r="G491" s="8">
        <v>37485</v>
      </c>
      <c r="H491" s="49">
        <v>37513</v>
      </c>
      <c r="I491" s="21">
        <v>37513</v>
      </c>
      <c r="J491" s="22">
        <v>37513</v>
      </c>
    </row>
    <row r="492" spans="1:10" ht="12.75" customHeight="1" x14ac:dyDescent="0.25">
      <c r="A492" s="28" t="s">
        <v>6</v>
      </c>
      <c r="B492" s="33" t="s">
        <v>6</v>
      </c>
      <c r="C492" s="5">
        <v>99</v>
      </c>
      <c r="D492" s="2"/>
      <c r="E492" s="9" t="s">
        <v>2</v>
      </c>
      <c r="F492" s="9" t="s">
        <v>3</v>
      </c>
      <c r="G492" s="9" t="s">
        <v>4</v>
      </c>
      <c r="H492" s="50" t="s">
        <v>21</v>
      </c>
      <c r="I492" s="23" t="s">
        <v>22</v>
      </c>
      <c r="J492" s="24" t="s">
        <v>4</v>
      </c>
    </row>
    <row r="493" spans="1:10" ht="12.75" customHeight="1" x14ac:dyDescent="0.25">
      <c r="A493" s="29">
        <f>SUM(E493:G493)/3</f>
        <v>0.8666666666666667</v>
      </c>
      <c r="B493" s="34">
        <f>SUM(E493:J493)/6</f>
        <v>0.86333333333333329</v>
      </c>
      <c r="C493" s="6"/>
      <c r="D493" s="2" t="s">
        <v>7</v>
      </c>
      <c r="E493" s="10">
        <v>0.88</v>
      </c>
      <c r="F493" s="10">
        <v>0.88</v>
      </c>
      <c r="G493" s="10">
        <v>0.84</v>
      </c>
      <c r="H493" s="34">
        <v>0.9</v>
      </c>
      <c r="I493" s="10">
        <v>1</v>
      </c>
      <c r="J493" s="10">
        <v>0.68</v>
      </c>
    </row>
    <row r="494" spans="1:10" ht="12.75" customHeight="1" x14ac:dyDescent="0.25">
      <c r="B494" s="35">
        <f>SUM(E494:J494)</f>
        <v>5</v>
      </c>
      <c r="C494" s="6"/>
      <c r="D494" s="2" t="s">
        <v>8</v>
      </c>
      <c r="H494" s="35">
        <v>5</v>
      </c>
    </row>
    <row r="495" spans="1:10" ht="12.75" customHeight="1" x14ac:dyDescent="0.25">
      <c r="A495" s="31">
        <f>SUM(E495:N495)</f>
        <v>29</v>
      </c>
      <c r="B495" s="36">
        <f>SUM(E495:J495)</f>
        <v>29</v>
      </c>
      <c r="C495" s="6"/>
      <c r="D495" s="2" t="s">
        <v>9</v>
      </c>
      <c r="E495">
        <v>0</v>
      </c>
      <c r="H495" s="35">
        <v>29</v>
      </c>
    </row>
    <row r="496" spans="1:10" ht="12.75" customHeight="1" x14ac:dyDescent="0.25">
      <c r="A496" s="27" t="s">
        <v>5</v>
      </c>
      <c r="B496" s="37">
        <v>37514</v>
      </c>
      <c r="C496" s="4" t="s">
        <v>0</v>
      </c>
      <c r="D496" s="1"/>
      <c r="E496" s="8">
        <v>37485</v>
      </c>
      <c r="F496" s="8">
        <v>37485</v>
      </c>
      <c r="G496" s="8">
        <v>37485</v>
      </c>
      <c r="H496" s="49">
        <v>37513</v>
      </c>
      <c r="I496" s="21">
        <v>37513</v>
      </c>
      <c r="J496" s="22">
        <v>37513</v>
      </c>
    </row>
    <row r="497" spans="1:10" ht="12.75" customHeight="1" x14ac:dyDescent="0.25">
      <c r="A497" s="28" t="s">
        <v>6</v>
      </c>
      <c r="B497" s="33" t="s">
        <v>6</v>
      </c>
      <c r="C497" s="5">
        <v>100</v>
      </c>
      <c r="D497" s="2"/>
      <c r="E497" s="9" t="s">
        <v>2</v>
      </c>
      <c r="F497" s="9" t="s">
        <v>3</v>
      </c>
      <c r="G497" s="9" t="s">
        <v>4</v>
      </c>
      <c r="H497" s="50" t="s">
        <v>21</v>
      </c>
      <c r="I497" s="23" t="s">
        <v>22</v>
      </c>
      <c r="J497" s="24" t="s">
        <v>4</v>
      </c>
    </row>
    <row r="498" spans="1:10" ht="12.75" customHeight="1" x14ac:dyDescent="0.25">
      <c r="A498" s="29">
        <f>SUM(E498:G498)/3</f>
        <v>0.70666666666666667</v>
      </c>
      <c r="B498" s="34">
        <f>SUM(E498:J498)/6</f>
        <v>0.72000000000000008</v>
      </c>
      <c r="C498" s="6"/>
      <c r="D498" s="2" t="s">
        <v>7</v>
      </c>
      <c r="E498" s="10">
        <v>0.88</v>
      </c>
      <c r="F498" s="10">
        <v>0.64</v>
      </c>
      <c r="G498" s="10">
        <v>0.6</v>
      </c>
      <c r="H498" s="34">
        <v>0.8</v>
      </c>
      <c r="I498" s="10">
        <v>0.92</v>
      </c>
      <c r="J498" s="10">
        <v>0.48</v>
      </c>
    </row>
    <row r="499" spans="1:10" ht="12.75" customHeight="1" x14ac:dyDescent="0.25">
      <c r="B499" s="35">
        <f>SUM(E499:J499)</f>
        <v>5</v>
      </c>
      <c r="C499" s="6"/>
      <c r="D499" s="2" t="s">
        <v>8</v>
      </c>
      <c r="H499" s="35">
        <v>5</v>
      </c>
    </row>
    <row r="500" spans="1:10" ht="12.75" customHeight="1" x14ac:dyDescent="0.25">
      <c r="A500" s="31">
        <f>SUM(E500:N500)</f>
        <v>69</v>
      </c>
      <c r="B500" s="36">
        <f>SUM(E500:J500)</f>
        <v>69</v>
      </c>
      <c r="C500" s="6"/>
      <c r="D500" s="2" t="s">
        <v>9</v>
      </c>
      <c r="E500">
        <v>0</v>
      </c>
      <c r="H500" s="35">
        <v>69</v>
      </c>
    </row>
    <row r="501" spans="1:10" ht="12.75" customHeight="1" x14ac:dyDescent="0.25">
      <c r="A501" s="27" t="s">
        <v>5</v>
      </c>
      <c r="B501" s="37">
        <v>37514</v>
      </c>
      <c r="C501" s="4" t="s">
        <v>0</v>
      </c>
      <c r="D501" s="1"/>
      <c r="E501" s="8">
        <v>37485</v>
      </c>
      <c r="F501" s="8">
        <v>37485</v>
      </c>
      <c r="G501" s="8">
        <v>37485</v>
      </c>
      <c r="H501" s="49">
        <v>37513</v>
      </c>
      <c r="I501" s="21">
        <v>37513</v>
      </c>
      <c r="J501" s="22">
        <v>37513</v>
      </c>
    </row>
    <row r="502" spans="1:10" ht="12.75" customHeight="1" x14ac:dyDescent="0.25">
      <c r="A502" s="28" t="s">
        <v>6</v>
      </c>
      <c r="B502" s="33" t="s">
        <v>6</v>
      </c>
      <c r="C502" s="5">
        <v>101</v>
      </c>
      <c r="D502" s="2"/>
      <c r="E502" s="9" t="s">
        <v>2</v>
      </c>
      <c r="F502" s="9" t="s">
        <v>3</v>
      </c>
      <c r="G502" s="9" t="s">
        <v>4</v>
      </c>
      <c r="H502" s="50" t="s">
        <v>21</v>
      </c>
      <c r="I502" s="23" t="s">
        <v>22</v>
      </c>
      <c r="J502" s="24" t="s">
        <v>4</v>
      </c>
    </row>
    <row r="503" spans="1:10" ht="12.75" customHeight="1" x14ac:dyDescent="0.25">
      <c r="A503" s="29">
        <f>SUM(E503:G503)/3</f>
        <v>0.52</v>
      </c>
      <c r="B503" s="34">
        <f>SUM(E503:J503)/6</f>
        <v>0.6</v>
      </c>
      <c r="C503" s="6"/>
      <c r="D503" s="2" t="s">
        <v>7</v>
      </c>
      <c r="E503" s="10">
        <v>0.64</v>
      </c>
      <c r="F503" s="10">
        <v>0.56000000000000005</v>
      </c>
      <c r="G503" s="10">
        <v>0.36</v>
      </c>
      <c r="H503" s="34">
        <v>0.76</v>
      </c>
      <c r="I503" s="10">
        <v>0.84</v>
      </c>
      <c r="J503" s="10">
        <v>0.44</v>
      </c>
    </row>
    <row r="504" spans="1:10" ht="12.75" customHeight="1" x14ac:dyDescent="0.25">
      <c r="B504" s="35">
        <f>SUM(E504:J504)</f>
        <v>5</v>
      </c>
      <c r="C504" s="6"/>
      <c r="D504" s="2" t="s">
        <v>8</v>
      </c>
      <c r="H504" s="35">
        <v>5</v>
      </c>
    </row>
    <row r="505" spans="1:10" ht="12.75" customHeight="1" x14ac:dyDescent="0.25">
      <c r="A505" s="31">
        <f>SUM(E505:N505)</f>
        <v>52</v>
      </c>
      <c r="B505" s="36">
        <f>SUM(E505:J505)</f>
        <v>52</v>
      </c>
      <c r="C505" s="6"/>
      <c r="D505" s="2" t="s">
        <v>9</v>
      </c>
      <c r="E505">
        <v>0</v>
      </c>
      <c r="H505" s="35">
        <v>52</v>
      </c>
    </row>
    <row r="506" spans="1:10" ht="12.75" customHeight="1" x14ac:dyDescent="0.25">
      <c r="A506" s="27" t="s">
        <v>5</v>
      </c>
      <c r="B506" s="37">
        <v>37514</v>
      </c>
      <c r="C506" s="4" t="s">
        <v>0</v>
      </c>
      <c r="D506" s="1"/>
      <c r="E506" s="8">
        <v>37485</v>
      </c>
      <c r="F506" s="8">
        <v>37485</v>
      </c>
      <c r="G506" s="8">
        <v>37485</v>
      </c>
      <c r="H506" s="49">
        <v>37513</v>
      </c>
      <c r="I506" s="21">
        <v>37513</v>
      </c>
      <c r="J506" s="22">
        <v>37513</v>
      </c>
    </row>
    <row r="507" spans="1:10" ht="12.75" customHeight="1" x14ac:dyDescent="0.25">
      <c r="A507" s="28" t="s">
        <v>6</v>
      </c>
      <c r="B507" s="33" t="s">
        <v>6</v>
      </c>
      <c r="C507" s="5">
        <v>102</v>
      </c>
      <c r="D507" s="2"/>
      <c r="E507" s="9" t="s">
        <v>2</v>
      </c>
      <c r="F507" s="9" t="s">
        <v>3</v>
      </c>
      <c r="G507" s="9" t="s">
        <v>4</v>
      </c>
      <c r="H507" s="50" t="s">
        <v>21</v>
      </c>
      <c r="I507" s="23" t="s">
        <v>22</v>
      </c>
      <c r="J507" s="24" t="s">
        <v>4</v>
      </c>
    </row>
    <row r="508" spans="1:10" ht="12.75" customHeight="1" x14ac:dyDescent="0.25">
      <c r="A508" s="29">
        <f>SUM(E508:G508)/3</f>
        <v>0.81333333333333335</v>
      </c>
      <c r="B508" s="34">
        <f>SUM(E508:J508)/6</f>
        <v>0.83666666666666656</v>
      </c>
      <c r="C508" s="6"/>
      <c r="D508" s="2" t="s">
        <v>7</v>
      </c>
      <c r="E508" s="10">
        <v>0.96</v>
      </c>
      <c r="F508" s="10">
        <v>0.72</v>
      </c>
      <c r="G508" s="10">
        <v>0.76</v>
      </c>
      <c r="H508" s="34">
        <v>0.86</v>
      </c>
      <c r="I508" s="10">
        <v>0.88</v>
      </c>
      <c r="J508" s="10">
        <v>0.84</v>
      </c>
    </row>
    <row r="509" spans="1:10" ht="12.75" customHeight="1" x14ac:dyDescent="0.25">
      <c r="B509" s="35">
        <f>SUM(E509:J509)</f>
        <v>5</v>
      </c>
      <c r="C509" s="6"/>
      <c r="D509" s="2" t="s">
        <v>8</v>
      </c>
      <c r="H509" s="35">
        <v>5</v>
      </c>
    </row>
    <row r="510" spans="1:10" ht="12.75" customHeight="1" x14ac:dyDescent="0.25">
      <c r="A510" s="31">
        <f>SUM(E510:N510)</f>
        <v>9</v>
      </c>
      <c r="B510" s="36">
        <f>SUM(E510:J510)</f>
        <v>9</v>
      </c>
      <c r="C510" s="6"/>
      <c r="D510" s="2" t="s">
        <v>9</v>
      </c>
      <c r="E510">
        <v>2</v>
      </c>
      <c r="H510" s="35">
        <v>7</v>
      </c>
    </row>
    <row r="511" spans="1:10" ht="12.75" customHeight="1" x14ac:dyDescent="0.25">
      <c r="A511" s="27" t="s">
        <v>5</v>
      </c>
      <c r="B511" s="37">
        <v>37514</v>
      </c>
      <c r="C511" s="4" t="s">
        <v>0</v>
      </c>
      <c r="D511" s="1"/>
      <c r="E511" s="8">
        <v>37485</v>
      </c>
      <c r="F511" s="8">
        <v>37485</v>
      </c>
      <c r="G511" s="8">
        <v>37485</v>
      </c>
      <c r="H511" s="49">
        <v>37513</v>
      </c>
      <c r="I511" s="21">
        <v>37513</v>
      </c>
      <c r="J511" s="22">
        <v>37513</v>
      </c>
    </row>
    <row r="512" spans="1:10" ht="12.75" customHeight="1" x14ac:dyDescent="0.25">
      <c r="A512" s="28" t="s">
        <v>6</v>
      </c>
      <c r="B512" s="33" t="s">
        <v>6</v>
      </c>
      <c r="C512" s="5">
        <v>103</v>
      </c>
      <c r="D512" s="2"/>
      <c r="E512" s="9" t="s">
        <v>2</v>
      </c>
      <c r="F512" s="9" t="s">
        <v>3</v>
      </c>
      <c r="G512" s="9" t="s">
        <v>4</v>
      </c>
      <c r="H512" s="50" t="s">
        <v>21</v>
      </c>
      <c r="I512" s="23" t="s">
        <v>22</v>
      </c>
      <c r="J512" s="24" t="s">
        <v>4</v>
      </c>
    </row>
    <row r="513" spans="1:10" ht="12.75" customHeight="1" x14ac:dyDescent="0.25">
      <c r="A513" s="29">
        <f>SUM(E513:G513)/3</f>
        <v>0.68</v>
      </c>
      <c r="B513" s="34">
        <f>SUM(E513:J513)/6</f>
        <v>0.71666666666666667</v>
      </c>
      <c r="C513" s="6"/>
      <c r="D513" s="2" t="s">
        <v>7</v>
      </c>
      <c r="E513" s="10">
        <v>0.84</v>
      </c>
      <c r="F513" s="10">
        <v>0.68</v>
      </c>
      <c r="G513" s="10">
        <v>0.52</v>
      </c>
      <c r="H513" s="34">
        <v>0.86</v>
      </c>
      <c r="I513" s="10">
        <v>0.8</v>
      </c>
      <c r="J513" s="10">
        <v>0.6</v>
      </c>
    </row>
    <row r="514" spans="1:10" ht="12.75" customHeight="1" x14ac:dyDescent="0.25">
      <c r="B514" s="35">
        <f>SUM(E514:J514)</f>
        <v>5</v>
      </c>
      <c r="C514" s="6"/>
      <c r="D514" s="2" t="s">
        <v>8</v>
      </c>
      <c r="H514" s="35">
        <v>5</v>
      </c>
    </row>
    <row r="515" spans="1:10" ht="12.75" customHeight="1" x14ac:dyDescent="0.25">
      <c r="A515" s="31">
        <f>SUM(E515:N515)</f>
        <v>14</v>
      </c>
      <c r="B515" s="36">
        <f>SUM(E515:J515)</f>
        <v>14</v>
      </c>
      <c r="C515" s="6"/>
      <c r="D515" s="2" t="s">
        <v>9</v>
      </c>
      <c r="E515">
        <v>5</v>
      </c>
      <c r="H515" s="35">
        <v>9</v>
      </c>
    </row>
    <row r="516" spans="1:10" ht="12.75" customHeight="1" x14ac:dyDescent="0.25">
      <c r="A516" s="27" t="s">
        <v>5</v>
      </c>
      <c r="B516" s="37">
        <v>37514</v>
      </c>
      <c r="C516" s="4" t="s">
        <v>0</v>
      </c>
      <c r="D516" s="1"/>
      <c r="E516" s="8">
        <v>37485</v>
      </c>
      <c r="F516" s="8">
        <v>37485</v>
      </c>
      <c r="G516" s="8">
        <v>37485</v>
      </c>
      <c r="H516" s="49">
        <v>37513</v>
      </c>
      <c r="I516" s="21">
        <v>37513</v>
      </c>
      <c r="J516" s="22">
        <v>37513</v>
      </c>
    </row>
    <row r="517" spans="1:10" ht="12.75" customHeight="1" x14ac:dyDescent="0.25">
      <c r="A517" s="28" t="s">
        <v>6</v>
      </c>
      <c r="B517" s="33" t="s">
        <v>6</v>
      </c>
      <c r="C517" s="5">
        <v>104</v>
      </c>
      <c r="D517" s="2"/>
      <c r="E517" s="9" t="s">
        <v>2</v>
      </c>
      <c r="F517" s="9" t="s">
        <v>3</v>
      </c>
      <c r="G517" s="9" t="s">
        <v>4</v>
      </c>
      <c r="H517" s="50" t="s">
        <v>21</v>
      </c>
      <c r="I517" s="23" t="s">
        <v>22</v>
      </c>
      <c r="J517" s="24" t="s">
        <v>4</v>
      </c>
    </row>
    <row r="518" spans="1:10" ht="12.75" customHeight="1" x14ac:dyDescent="0.25">
      <c r="A518" s="29">
        <f>SUM(E518:G518)/3</f>
        <v>0.62666666666666671</v>
      </c>
      <c r="B518" s="34">
        <f>SUM(E518:J518)/6</f>
        <v>0.69333333333333336</v>
      </c>
      <c r="C518" s="6"/>
      <c r="D518" s="2" t="s">
        <v>7</v>
      </c>
      <c r="E518" s="10">
        <v>0.64</v>
      </c>
      <c r="F518" s="10">
        <v>0.68</v>
      </c>
      <c r="G518" s="10">
        <v>0.56000000000000005</v>
      </c>
      <c r="H518" s="34">
        <v>0.84</v>
      </c>
      <c r="I518" s="10">
        <v>0.92</v>
      </c>
      <c r="J518" s="10">
        <v>0.52</v>
      </c>
    </row>
    <row r="519" spans="1:10" ht="12.75" customHeight="1" x14ac:dyDescent="0.25">
      <c r="B519" s="35">
        <f>SUM(E519:J519)</f>
        <v>5</v>
      </c>
      <c r="C519" s="6"/>
      <c r="D519" s="2" t="s">
        <v>8</v>
      </c>
      <c r="H519" s="35">
        <v>5</v>
      </c>
    </row>
    <row r="520" spans="1:10" ht="12.75" customHeight="1" x14ac:dyDescent="0.25">
      <c r="A520" s="31">
        <f>SUM(E520:N520)</f>
        <v>4</v>
      </c>
      <c r="B520" s="36">
        <f>SUM(E520:J520)</f>
        <v>4</v>
      </c>
      <c r="C520" s="6"/>
      <c r="D520" s="2" t="s">
        <v>9</v>
      </c>
      <c r="E520">
        <v>0</v>
      </c>
      <c r="H520" s="35">
        <v>4</v>
      </c>
    </row>
    <row r="521" spans="1:10" ht="12.75" customHeight="1" x14ac:dyDescent="0.25">
      <c r="A521" s="27" t="s">
        <v>5</v>
      </c>
      <c r="B521" s="37">
        <v>37514</v>
      </c>
      <c r="C521" s="4" t="s">
        <v>0</v>
      </c>
      <c r="D521" s="1"/>
      <c r="E521" s="8">
        <v>37485</v>
      </c>
      <c r="F521" s="8">
        <v>37485</v>
      </c>
      <c r="G521" s="8">
        <v>37485</v>
      </c>
      <c r="H521" s="49">
        <v>37513</v>
      </c>
      <c r="I521" s="21">
        <v>37513</v>
      </c>
      <c r="J521" s="22">
        <v>37513</v>
      </c>
    </row>
    <row r="522" spans="1:10" ht="12.75" customHeight="1" x14ac:dyDescent="0.25">
      <c r="A522" s="28" t="s">
        <v>6</v>
      </c>
      <c r="B522" s="33" t="s">
        <v>6</v>
      </c>
      <c r="C522" s="5">
        <v>105</v>
      </c>
      <c r="D522" s="2"/>
      <c r="E522" s="9" t="s">
        <v>2</v>
      </c>
      <c r="F522" s="9" t="s">
        <v>3</v>
      </c>
      <c r="G522" s="9" t="s">
        <v>4</v>
      </c>
      <c r="H522" s="50" t="s">
        <v>21</v>
      </c>
      <c r="I522" s="23" t="s">
        <v>22</v>
      </c>
      <c r="J522" s="24" t="s">
        <v>4</v>
      </c>
    </row>
    <row r="523" spans="1:10" ht="12.75" customHeight="1" x14ac:dyDescent="0.25">
      <c r="A523" s="29">
        <f>SUM(E523:G523)/3</f>
        <v>0.82666666666666666</v>
      </c>
      <c r="B523" s="34">
        <f>SUM(E523:J523)/6</f>
        <v>0.82666666666666666</v>
      </c>
      <c r="C523" s="6"/>
      <c r="D523" s="2" t="s">
        <v>7</v>
      </c>
      <c r="E523" s="10">
        <v>0.92</v>
      </c>
      <c r="F523" s="10">
        <v>0.88</v>
      </c>
      <c r="G523" s="10">
        <v>0.68</v>
      </c>
      <c r="H523" s="34">
        <v>0.84</v>
      </c>
      <c r="I523" s="10">
        <v>1</v>
      </c>
      <c r="J523" s="10">
        <v>0.64</v>
      </c>
    </row>
    <row r="524" spans="1:10" ht="12.75" customHeight="1" x14ac:dyDescent="0.25">
      <c r="B524" s="35">
        <f>SUM(E524:J524)</f>
        <v>5</v>
      </c>
      <c r="C524" s="6"/>
      <c r="D524" s="2" t="s">
        <v>8</v>
      </c>
      <c r="H524" s="35">
        <v>5</v>
      </c>
    </row>
    <row r="525" spans="1:10" ht="12.75" customHeight="1" x14ac:dyDescent="0.25">
      <c r="A525" s="31">
        <f>SUM(E525:N525)</f>
        <v>52</v>
      </c>
      <c r="B525" s="36">
        <f>SUM(E525:J525)</f>
        <v>52</v>
      </c>
      <c r="C525" s="6"/>
      <c r="D525" s="2" t="s">
        <v>9</v>
      </c>
      <c r="E525">
        <v>25</v>
      </c>
      <c r="H525" s="35">
        <v>27</v>
      </c>
    </row>
    <row r="526" spans="1:10" ht="12.75" customHeight="1" x14ac:dyDescent="0.25">
      <c r="A526" s="27" t="s">
        <v>5</v>
      </c>
      <c r="B526" s="37">
        <v>37514</v>
      </c>
      <c r="C526" s="4" t="s">
        <v>0</v>
      </c>
      <c r="D526" s="1"/>
      <c r="E526" s="8">
        <v>37485</v>
      </c>
      <c r="F526" s="8">
        <v>37485</v>
      </c>
      <c r="G526" s="8">
        <v>37485</v>
      </c>
      <c r="H526" s="49">
        <v>37513</v>
      </c>
      <c r="I526" s="21">
        <v>37513</v>
      </c>
      <c r="J526" s="22">
        <v>37513</v>
      </c>
    </row>
    <row r="527" spans="1:10" ht="12.75" customHeight="1" x14ac:dyDescent="0.25">
      <c r="A527" s="28" t="s">
        <v>6</v>
      </c>
      <c r="B527" s="33" t="s">
        <v>6</v>
      </c>
      <c r="C527" s="5">
        <v>106</v>
      </c>
      <c r="D527" s="2"/>
      <c r="E527" s="9" t="s">
        <v>2</v>
      </c>
      <c r="F527" s="9" t="s">
        <v>3</v>
      </c>
      <c r="G527" s="9" t="s">
        <v>4</v>
      </c>
      <c r="H527" s="50" t="s">
        <v>21</v>
      </c>
      <c r="I527" s="23" t="s">
        <v>22</v>
      </c>
      <c r="J527" s="24" t="s">
        <v>4</v>
      </c>
    </row>
    <row r="528" spans="1:10" ht="12.75" customHeight="1" x14ac:dyDescent="0.25">
      <c r="A528" s="29">
        <f>SUM(E528:G528)/3</f>
        <v>0.78666666666666663</v>
      </c>
      <c r="B528" s="34">
        <f>SUM(E528:J528)/6</f>
        <v>0.80666666666666664</v>
      </c>
      <c r="C528" s="6"/>
      <c r="D528" s="2" t="s">
        <v>7</v>
      </c>
      <c r="E528" s="10">
        <v>1</v>
      </c>
      <c r="F528" s="10">
        <v>0.96</v>
      </c>
      <c r="G528" s="10">
        <v>0.4</v>
      </c>
      <c r="H528" s="34">
        <v>0.92</v>
      </c>
      <c r="I528" s="10">
        <v>0.92</v>
      </c>
      <c r="J528" s="10">
        <v>0.64</v>
      </c>
    </row>
    <row r="529" spans="1:10" ht="12.75" customHeight="1" x14ac:dyDescent="0.25">
      <c r="B529" s="35">
        <f>SUM(E529:J529)</f>
        <v>5</v>
      </c>
      <c r="C529" s="6"/>
      <c r="D529" s="2" t="s">
        <v>8</v>
      </c>
      <c r="H529" s="35">
        <v>5</v>
      </c>
    </row>
    <row r="530" spans="1:10" ht="12.75" customHeight="1" x14ac:dyDescent="0.25">
      <c r="A530" s="31">
        <f>SUM(E530:N530)</f>
        <v>17</v>
      </c>
      <c r="B530" s="36">
        <f>SUM(E530:J530)</f>
        <v>17</v>
      </c>
      <c r="C530" s="6"/>
      <c r="D530" s="2" t="s">
        <v>9</v>
      </c>
      <c r="E530">
        <v>0</v>
      </c>
      <c r="H530" s="35">
        <v>17</v>
      </c>
    </row>
    <row r="531" spans="1:10" ht="12.75" customHeight="1" x14ac:dyDescent="0.25">
      <c r="A531" s="27" t="s">
        <v>5</v>
      </c>
      <c r="B531" s="37">
        <v>37514</v>
      </c>
      <c r="C531" s="4" t="s">
        <v>0</v>
      </c>
      <c r="D531" s="1"/>
      <c r="E531" s="8">
        <v>37485</v>
      </c>
      <c r="F531" s="8">
        <v>37485</v>
      </c>
      <c r="G531" s="8">
        <v>37485</v>
      </c>
      <c r="H531" s="49">
        <v>37513</v>
      </c>
      <c r="I531" s="21">
        <v>37513</v>
      </c>
      <c r="J531" s="22">
        <v>37513</v>
      </c>
    </row>
    <row r="532" spans="1:10" ht="12.75" customHeight="1" x14ac:dyDescent="0.25">
      <c r="A532" s="28" t="s">
        <v>6</v>
      </c>
      <c r="B532" s="33" t="s">
        <v>6</v>
      </c>
      <c r="C532" s="5">
        <v>107</v>
      </c>
      <c r="D532" s="2"/>
      <c r="E532" s="9" t="s">
        <v>2</v>
      </c>
      <c r="F532" s="9" t="s">
        <v>3</v>
      </c>
      <c r="G532" s="9" t="s">
        <v>4</v>
      </c>
      <c r="H532" s="50" t="s">
        <v>21</v>
      </c>
      <c r="I532" s="23" t="s">
        <v>22</v>
      </c>
      <c r="J532" s="24" t="s">
        <v>4</v>
      </c>
    </row>
    <row r="533" spans="1:10" ht="12.75" customHeight="1" x14ac:dyDescent="0.25">
      <c r="A533" s="29">
        <f>SUM(E533:G533)/3</f>
        <v>0.93333333333333324</v>
      </c>
      <c r="B533" s="34">
        <f>SUM(E533:J533)/6</f>
        <v>0.91666666666666663</v>
      </c>
      <c r="C533" s="6"/>
      <c r="D533" s="2" t="s">
        <v>7</v>
      </c>
      <c r="E533" s="10">
        <v>0.96</v>
      </c>
      <c r="F533" s="10">
        <v>0.92</v>
      </c>
      <c r="G533" s="10">
        <v>0.92</v>
      </c>
      <c r="H533" s="34">
        <v>0.9</v>
      </c>
      <c r="I533" s="10">
        <v>0.92</v>
      </c>
      <c r="J533" s="10">
        <v>0.88</v>
      </c>
    </row>
    <row r="534" spans="1:10" ht="12.75" customHeight="1" x14ac:dyDescent="0.25">
      <c r="B534" s="35">
        <f>SUM(E534:J534)</f>
        <v>5</v>
      </c>
      <c r="C534" s="6"/>
      <c r="D534" s="2" t="s">
        <v>8</v>
      </c>
      <c r="H534" s="35">
        <v>5</v>
      </c>
    </row>
    <row r="535" spans="1:10" ht="12.75" customHeight="1" x14ac:dyDescent="0.25">
      <c r="A535" s="31">
        <f>SUM(E535:N535)</f>
        <v>29</v>
      </c>
      <c r="B535" s="36">
        <f>SUM(E535:J535)</f>
        <v>29</v>
      </c>
      <c r="C535" s="6"/>
      <c r="D535" s="2" t="s">
        <v>9</v>
      </c>
      <c r="E535">
        <v>0</v>
      </c>
      <c r="H535" s="35">
        <v>29</v>
      </c>
    </row>
    <row r="536" spans="1:10" ht="12.75" customHeight="1" x14ac:dyDescent="0.25">
      <c r="A536" s="27" t="s">
        <v>5</v>
      </c>
      <c r="B536" s="37">
        <v>37514</v>
      </c>
      <c r="C536" s="4" t="s">
        <v>0</v>
      </c>
      <c r="D536" s="1"/>
      <c r="E536" s="8">
        <v>37485</v>
      </c>
      <c r="F536" s="8">
        <v>37485</v>
      </c>
      <c r="G536" s="8">
        <v>37485</v>
      </c>
      <c r="H536" s="49">
        <v>37513</v>
      </c>
      <c r="I536" s="21">
        <v>37513</v>
      </c>
      <c r="J536" s="22">
        <v>37513</v>
      </c>
    </row>
    <row r="537" spans="1:10" ht="12.75" customHeight="1" x14ac:dyDescent="0.25">
      <c r="A537" s="28" t="s">
        <v>6</v>
      </c>
      <c r="B537" s="33" t="s">
        <v>6</v>
      </c>
      <c r="C537" s="5">
        <v>108</v>
      </c>
      <c r="D537" s="2"/>
      <c r="E537" s="9" t="s">
        <v>2</v>
      </c>
      <c r="F537" s="9" t="s">
        <v>3</v>
      </c>
      <c r="G537" s="9" t="s">
        <v>4</v>
      </c>
      <c r="H537" s="50" t="s">
        <v>21</v>
      </c>
      <c r="I537" s="23" t="s">
        <v>22</v>
      </c>
      <c r="J537" s="24" t="s">
        <v>4</v>
      </c>
    </row>
    <row r="538" spans="1:10" ht="12.75" customHeight="1" x14ac:dyDescent="0.25">
      <c r="A538" s="29">
        <f>SUM(E538:G538)/3</f>
        <v>0.66666666666666663</v>
      </c>
      <c r="B538" s="34">
        <f>SUM(E538:J538)/6</f>
        <v>0.74333333333333329</v>
      </c>
      <c r="C538" s="6"/>
      <c r="D538" s="2" t="s">
        <v>7</v>
      </c>
      <c r="E538" s="10">
        <v>0.72</v>
      </c>
      <c r="F538" s="10">
        <v>0.84</v>
      </c>
      <c r="G538" s="10">
        <v>0.44</v>
      </c>
      <c r="H538" s="34">
        <v>0.9</v>
      </c>
      <c r="I538" s="10">
        <v>0.96</v>
      </c>
      <c r="J538" s="10">
        <v>0.6</v>
      </c>
    </row>
    <row r="539" spans="1:10" ht="12.75" customHeight="1" x14ac:dyDescent="0.25">
      <c r="B539" s="35">
        <f>SUM(E539:J539)</f>
        <v>5</v>
      </c>
      <c r="C539" s="6"/>
      <c r="D539" s="2" t="s">
        <v>8</v>
      </c>
      <c r="H539" s="35">
        <v>5</v>
      </c>
    </row>
    <row r="540" spans="1:10" ht="12.75" customHeight="1" x14ac:dyDescent="0.25">
      <c r="A540" s="31">
        <f>SUM(E540:N540)</f>
        <v>186</v>
      </c>
      <c r="B540" s="36">
        <f>SUM(E540:J540)</f>
        <v>186</v>
      </c>
      <c r="C540" s="6"/>
      <c r="D540" s="2" t="s">
        <v>9</v>
      </c>
      <c r="E540">
        <v>60</v>
      </c>
      <c r="H540" s="35">
        <v>126</v>
      </c>
    </row>
    <row r="541" spans="1:10" ht="12.75" customHeight="1" x14ac:dyDescent="0.25">
      <c r="A541" s="27" t="s">
        <v>5</v>
      </c>
      <c r="B541" s="37">
        <v>37514</v>
      </c>
      <c r="C541" s="4" t="s">
        <v>0</v>
      </c>
      <c r="D541" s="1"/>
      <c r="E541" s="8">
        <v>37485</v>
      </c>
      <c r="F541" s="8">
        <v>37485</v>
      </c>
      <c r="G541" s="8">
        <v>37485</v>
      </c>
      <c r="H541" s="49">
        <v>37513</v>
      </c>
      <c r="I541" s="21">
        <v>37513</v>
      </c>
      <c r="J541" s="22">
        <v>37513</v>
      </c>
    </row>
    <row r="542" spans="1:10" ht="12.75" customHeight="1" x14ac:dyDescent="0.25">
      <c r="A542" s="28" t="s">
        <v>6</v>
      </c>
      <c r="B542" s="33" t="s">
        <v>6</v>
      </c>
      <c r="C542" s="5">
        <v>109</v>
      </c>
      <c r="D542" s="2"/>
      <c r="E542" s="9" t="s">
        <v>2</v>
      </c>
      <c r="F542" s="9" t="s">
        <v>3</v>
      </c>
      <c r="G542" s="9" t="s">
        <v>4</v>
      </c>
      <c r="H542" s="50" t="s">
        <v>21</v>
      </c>
      <c r="I542" s="23" t="s">
        <v>22</v>
      </c>
      <c r="J542" s="24" t="s">
        <v>4</v>
      </c>
    </row>
    <row r="543" spans="1:10" ht="12.75" customHeight="1" x14ac:dyDescent="0.25">
      <c r="A543" s="29">
        <f>SUM(E543:G543)/3</f>
        <v>0.68</v>
      </c>
      <c r="B543" s="34">
        <f>SUM(E543:J543)/6</f>
        <v>0.69</v>
      </c>
      <c r="C543" s="6"/>
      <c r="D543" s="2" t="s">
        <v>7</v>
      </c>
      <c r="E543" s="10">
        <v>0.88</v>
      </c>
      <c r="F543" s="10">
        <v>0.76</v>
      </c>
      <c r="G543" s="10">
        <v>0.4</v>
      </c>
      <c r="H543" s="34">
        <v>0.82</v>
      </c>
      <c r="I543" s="10">
        <v>0.88</v>
      </c>
      <c r="J543" s="10">
        <v>0.4</v>
      </c>
    </row>
    <row r="544" spans="1:10" ht="12.75" customHeight="1" x14ac:dyDescent="0.25">
      <c r="B544" s="35">
        <f>SUM(E544:J544)</f>
        <v>5</v>
      </c>
      <c r="C544" s="6"/>
      <c r="D544" s="2" t="s">
        <v>8</v>
      </c>
      <c r="H544" s="35">
        <v>5</v>
      </c>
    </row>
    <row r="545" spans="1:10" ht="12.75" customHeight="1" x14ac:dyDescent="0.25">
      <c r="A545" s="31">
        <f>SUM(E545:N545)</f>
        <v>28</v>
      </c>
      <c r="B545" s="36">
        <f>SUM(E545:J545)</f>
        <v>28</v>
      </c>
      <c r="C545" s="6"/>
      <c r="D545" s="2" t="s">
        <v>9</v>
      </c>
      <c r="E545">
        <v>0</v>
      </c>
      <c r="H545" s="35">
        <v>28</v>
      </c>
    </row>
    <row r="546" spans="1:10" ht="12.75" customHeight="1" x14ac:dyDescent="0.25">
      <c r="A546" s="27" t="s">
        <v>5</v>
      </c>
      <c r="B546" s="37">
        <v>37514</v>
      </c>
      <c r="C546" s="4" t="s">
        <v>0</v>
      </c>
      <c r="D546" s="1"/>
      <c r="E546" s="8">
        <v>37485</v>
      </c>
      <c r="F546" s="8">
        <v>37485</v>
      </c>
      <c r="G546" s="8">
        <v>37485</v>
      </c>
      <c r="H546" s="49">
        <v>37513</v>
      </c>
      <c r="I546" s="21">
        <v>37513</v>
      </c>
      <c r="J546" s="22">
        <v>37513</v>
      </c>
    </row>
    <row r="547" spans="1:10" ht="12.75" customHeight="1" x14ac:dyDescent="0.25">
      <c r="A547" s="28" t="s">
        <v>6</v>
      </c>
      <c r="B547" s="33" t="s">
        <v>6</v>
      </c>
      <c r="C547" s="5">
        <v>110</v>
      </c>
      <c r="D547" s="2"/>
      <c r="E547" s="9" t="s">
        <v>2</v>
      </c>
      <c r="F547" s="9" t="s">
        <v>3</v>
      </c>
      <c r="G547" s="9" t="s">
        <v>4</v>
      </c>
      <c r="H547" s="50" t="s">
        <v>21</v>
      </c>
      <c r="I547" s="23" t="s">
        <v>22</v>
      </c>
      <c r="J547" s="24" t="s">
        <v>4</v>
      </c>
    </row>
    <row r="548" spans="1:10" ht="12.75" customHeight="1" x14ac:dyDescent="0.25">
      <c r="A548" s="29">
        <f>SUM(E548:G548)/3</f>
        <v>0.62666666666666659</v>
      </c>
      <c r="B548" s="34">
        <f>SUM(E548:J548)/6</f>
        <v>0.68</v>
      </c>
      <c r="C548" s="6"/>
      <c r="D548" s="2" t="s">
        <v>7</v>
      </c>
      <c r="E548" s="10">
        <v>0.8</v>
      </c>
      <c r="F548" s="10">
        <v>0.68</v>
      </c>
      <c r="G548" s="10">
        <v>0.4</v>
      </c>
      <c r="H548" s="34">
        <v>0.8</v>
      </c>
      <c r="I548" s="10">
        <v>0.92</v>
      </c>
      <c r="J548" s="10">
        <v>0.48</v>
      </c>
    </row>
    <row r="549" spans="1:10" ht="12.75" customHeight="1" x14ac:dyDescent="0.25">
      <c r="B549" s="35">
        <f>SUM(E549:J549)</f>
        <v>5</v>
      </c>
      <c r="D549" s="2" t="s">
        <v>8</v>
      </c>
      <c r="H549" s="35">
        <v>5</v>
      </c>
    </row>
    <row r="550" spans="1:10" ht="12.75" customHeight="1" x14ac:dyDescent="0.25">
      <c r="A550" s="31">
        <f>SUM(E550:N550)</f>
        <v>95</v>
      </c>
      <c r="B550" s="36">
        <f>SUM(E550:J550)</f>
        <v>95</v>
      </c>
      <c r="D550" s="2" t="s">
        <v>9</v>
      </c>
      <c r="E550">
        <v>0</v>
      </c>
      <c r="H550" s="35">
        <v>95</v>
      </c>
    </row>
    <row r="551" spans="1:10" ht="12.75" customHeight="1" x14ac:dyDescent="0.25">
      <c r="A551" s="27" t="s">
        <v>5</v>
      </c>
      <c r="B551" s="37">
        <v>37514</v>
      </c>
      <c r="C551" s="4" t="s">
        <v>0</v>
      </c>
      <c r="D551" s="1"/>
      <c r="E551" s="8">
        <v>37485</v>
      </c>
      <c r="F551" s="8">
        <v>37485</v>
      </c>
      <c r="G551" s="8">
        <v>37485</v>
      </c>
      <c r="H551" s="49">
        <v>37513</v>
      </c>
      <c r="I551" s="21">
        <v>37513</v>
      </c>
      <c r="J551" s="22">
        <v>37513</v>
      </c>
    </row>
    <row r="552" spans="1:10" ht="12.75" customHeight="1" x14ac:dyDescent="0.25">
      <c r="A552" s="28" t="s">
        <v>6</v>
      </c>
      <c r="B552" s="33" t="s">
        <v>6</v>
      </c>
      <c r="C552" s="5">
        <v>111</v>
      </c>
      <c r="D552" s="2"/>
      <c r="E552" s="9" t="s">
        <v>2</v>
      </c>
      <c r="F552" s="9" t="s">
        <v>3</v>
      </c>
      <c r="G552" s="9" t="s">
        <v>4</v>
      </c>
      <c r="H552" s="50" t="s">
        <v>21</v>
      </c>
      <c r="I552" s="23" t="s">
        <v>22</v>
      </c>
      <c r="J552" s="24" t="s">
        <v>4</v>
      </c>
    </row>
    <row r="553" spans="1:10" ht="12.75" customHeight="1" x14ac:dyDescent="0.25">
      <c r="A553" s="29">
        <f>SUM(E553:G553)/3</f>
        <v>0.68</v>
      </c>
      <c r="B553" s="34">
        <f>SUM(E553:J553)/6</f>
        <v>0.73999999999999988</v>
      </c>
      <c r="C553" s="6"/>
      <c r="D553" s="2" t="s">
        <v>7</v>
      </c>
      <c r="E553" s="10">
        <v>0.8</v>
      </c>
      <c r="F553" s="10">
        <v>0.64</v>
      </c>
      <c r="G553" s="10">
        <v>0.6</v>
      </c>
      <c r="H553" s="34">
        <v>0.88</v>
      </c>
      <c r="I553" s="10">
        <v>0.88</v>
      </c>
      <c r="J553" s="10">
        <v>0.64</v>
      </c>
    </row>
    <row r="554" spans="1:10" ht="12.75" customHeight="1" x14ac:dyDescent="0.25">
      <c r="B554" s="35">
        <f>SUM(E554:J554)</f>
        <v>5</v>
      </c>
      <c r="C554" s="6"/>
      <c r="D554" s="2" t="s">
        <v>8</v>
      </c>
      <c r="H554" s="35">
        <v>5</v>
      </c>
    </row>
    <row r="555" spans="1:10" ht="12.75" customHeight="1" x14ac:dyDescent="0.25">
      <c r="A555" s="31">
        <f>SUM(E555:N555)</f>
        <v>4</v>
      </c>
      <c r="B555" s="36">
        <f>SUM(E555:J555)</f>
        <v>4</v>
      </c>
      <c r="C555" s="6"/>
      <c r="D555" s="2" t="s">
        <v>9</v>
      </c>
      <c r="E555">
        <v>0</v>
      </c>
      <c r="H555" s="35">
        <v>4</v>
      </c>
    </row>
    <row r="556" spans="1:10" ht="12.75" customHeight="1" x14ac:dyDescent="0.25">
      <c r="A556" s="27" t="s">
        <v>5</v>
      </c>
      <c r="B556" s="37">
        <v>37514</v>
      </c>
      <c r="C556" s="4" t="s">
        <v>0</v>
      </c>
      <c r="D556" s="1"/>
      <c r="E556" s="8">
        <v>37485</v>
      </c>
      <c r="F556" s="8">
        <v>37485</v>
      </c>
      <c r="G556" s="8">
        <v>37485</v>
      </c>
      <c r="H556" s="49">
        <v>37513</v>
      </c>
      <c r="I556" s="21">
        <v>37513</v>
      </c>
      <c r="J556" s="22">
        <v>37513</v>
      </c>
    </row>
    <row r="557" spans="1:10" ht="12.75" customHeight="1" x14ac:dyDescent="0.25">
      <c r="A557" s="28" t="s">
        <v>6</v>
      </c>
      <c r="B557" s="33" t="s">
        <v>6</v>
      </c>
      <c r="C557" s="5">
        <v>112</v>
      </c>
      <c r="D557" s="2"/>
      <c r="E557" s="9" t="s">
        <v>2</v>
      </c>
      <c r="F557" s="9" t="s">
        <v>3</v>
      </c>
      <c r="G557" s="9" t="s">
        <v>4</v>
      </c>
      <c r="H557" s="50" t="s">
        <v>21</v>
      </c>
      <c r="I557" s="23" t="s">
        <v>22</v>
      </c>
      <c r="J557" s="24" t="s">
        <v>4</v>
      </c>
    </row>
    <row r="558" spans="1:10" ht="12.75" customHeight="1" x14ac:dyDescent="0.25">
      <c r="A558" s="29">
        <f>SUM(E558:G558)/3</f>
        <v>0.84</v>
      </c>
      <c r="B558" s="34">
        <f>SUM(E558:J558)/6</f>
        <v>0.83</v>
      </c>
      <c r="C558" s="6"/>
      <c r="D558" s="2" t="s">
        <v>7</v>
      </c>
      <c r="E558" s="10">
        <v>0.88</v>
      </c>
      <c r="F558" s="10">
        <v>0.8</v>
      </c>
      <c r="G558" s="10">
        <v>0.84</v>
      </c>
      <c r="H558" s="34">
        <v>0.9</v>
      </c>
      <c r="I558" s="10">
        <v>0.96</v>
      </c>
      <c r="J558" s="10">
        <v>0.6</v>
      </c>
    </row>
    <row r="559" spans="1:10" ht="12.75" customHeight="1" x14ac:dyDescent="0.25">
      <c r="B559" s="35">
        <f>SUM(E559:J559)</f>
        <v>5</v>
      </c>
      <c r="C559" s="6"/>
      <c r="D559" s="2" t="s">
        <v>8</v>
      </c>
      <c r="H559" s="35">
        <v>5</v>
      </c>
    </row>
    <row r="560" spans="1:10" ht="12.75" customHeight="1" x14ac:dyDescent="0.25">
      <c r="A560" s="31">
        <f>SUM(E560:N560)</f>
        <v>78</v>
      </c>
      <c r="B560" s="36">
        <f>SUM(E560:J560)</f>
        <v>78</v>
      </c>
      <c r="C560" s="6"/>
      <c r="D560" s="2" t="s">
        <v>9</v>
      </c>
      <c r="E560">
        <v>0</v>
      </c>
      <c r="H560" s="35">
        <v>78</v>
      </c>
    </row>
    <row r="561" spans="1:10" ht="12.75" customHeight="1" x14ac:dyDescent="0.25">
      <c r="A561" s="27" t="s">
        <v>5</v>
      </c>
      <c r="B561" s="37">
        <v>37514</v>
      </c>
      <c r="C561" s="4" t="s">
        <v>0</v>
      </c>
      <c r="D561" s="1"/>
      <c r="E561" s="8">
        <v>37485</v>
      </c>
      <c r="F561" s="8">
        <v>37485</v>
      </c>
      <c r="G561" s="8">
        <v>37485</v>
      </c>
      <c r="H561" s="49">
        <v>37513</v>
      </c>
      <c r="I561" s="21">
        <v>37513</v>
      </c>
      <c r="J561" s="22">
        <v>37513</v>
      </c>
    </row>
    <row r="562" spans="1:10" ht="12.75" customHeight="1" x14ac:dyDescent="0.25">
      <c r="A562" s="28" t="s">
        <v>6</v>
      </c>
      <c r="B562" s="33" t="s">
        <v>6</v>
      </c>
      <c r="C562" s="5">
        <v>113</v>
      </c>
      <c r="D562" s="2"/>
      <c r="E562" s="9" t="s">
        <v>2</v>
      </c>
      <c r="F562" s="9" t="s">
        <v>3</v>
      </c>
      <c r="G562" s="9" t="s">
        <v>4</v>
      </c>
      <c r="H562" s="50" t="s">
        <v>21</v>
      </c>
      <c r="I562" s="23" t="s">
        <v>22</v>
      </c>
      <c r="J562" s="24" t="s">
        <v>4</v>
      </c>
    </row>
    <row r="563" spans="1:10" ht="12.75" customHeight="1" x14ac:dyDescent="0.25">
      <c r="A563" s="29">
        <f>SUM(E563:G563)/3</f>
        <v>0.78666666666666674</v>
      </c>
      <c r="B563" s="34">
        <f>SUM(E563:J563)/6</f>
        <v>0.79666666666666675</v>
      </c>
      <c r="D563" s="2" t="s">
        <v>7</v>
      </c>
      <c r="E563" s="10">
        <v>0.84</v>
      </c>
      <c r="F563" s="10">
        <v>0.76</v>
      </c>
      <c r="G563" s="10">
        <v>0.76</v>
      </c>
      <c r="H563" s="34">
        <v>0.86</v>
      </c>
      <c r="I563" s="10">
        <v>0.8</v>
      </c>
      <c r="J563" s="10">
        <v>0.76</v>
      </c>
    </row>
    <row r="564" spans="1:10" ht="12.75" customHeight="1" x14ac:dyDescent="0.25">
      <c r="B564" s="35">
        <f>SUM(E564:J564)</f>
        <v>5</v>
      </c>
      <c r="D564" s="2" t="s">
        <v>8</v>
      </c>
      <c r="H564" s="35">
        <v>5</v>
      </c>
    </row>
    <row r="565" spans="1:10" ht="12.75" customHeight="1" x14ac:dyDescent="0.25">
      <c r="A565" s="31">
        <f>SUM(E565:N565)</f>
        <v>22</v>
      </c>
      <c r="B565" s="36">
        <f>SUM(E565:J565)</f>
        <v>22</v>
      </c>
      <c r="D565" s="2" t="s">
        <v>9</v>
      </c>
      <c r="E565">
        <v>10</v>
      </c>
      <c r="H565" s="35">
        <v>12</v>
      </c>
    </row>
    <row r="566" spans="1:10" ht="12.75" customHeight="1" x14ac:dyDescent="0.25">
      <c r="A566" s="27" t="s">
        <v>5</v>
      </c>
      <c r="B566" s="37">
        <v>37514</v>
      </c>
      <c r="C566" s="4" t="s">
        <v>0</v>
      </c>
      <c r="D566" s="1"/>
      <c r="E566" s="8">
        <v>37485</v>
      </c>
      <c r="F566" s="8">
        <v>37485</v>
      </c>
      <c r="G566" s="8">
        <v>37485</v>
      </c>
      <c r="H566" s="49">
        <v>37513</v>
      </c>
      <c r="I566" s="21">
        <v>37513</v>
      </c>
      <c r="J566" s="22">
        <v>37513</v>
      </c>
    </row>
    <row r="567" spans="1:10" ht="12.75" customHeight="1" x14ac:dyDescent="0.25">
      <c r="A567" s="28" t="s">
        <v>6</v>
      </c>
      <c r="B567" s="33" t="s">
        <v>6</v>
      </c>
      <c r="C567" s="5">
        <v>114</v>
      </c>
      <c r="D567" s="2"/>
      <c r="E567" s="9" t="s">
        <v>2</v>
      </c>
      <c r="F567" s="9" t="s">
        <v>3</v>
      </c>
      <c r="G567" s="9" t="s">
        <v>4</v>
      </c>
      <c r="H567" s="50" t="s">
        <v>21</v>
      </c>
      <c r="I567" s="23" t="s">
        <v>22</v>
      </c>
      <c r="J567" s="24" t="s">
        <v>4</v>
      </c>
    </row>
    <row r="568" spans="1:10" ht="12.75" customHeight="1" x14ac:dyDescent="0.25">
      <c r="A568" s="29">
        <f>SUM(E568:G568)/3</f>
        <v>0.8666666666666667</v>
      </c>
      <c r="B568" s="34">
        <f>SUM(E568:J568)/6</f>
        <v>0.8866666666666666</v>
      </c>
      <c r="C568" s="6"/>
      <c r="D568" s="2" t="s">
        <v>7</v>
      </c>
      <c r="E568" s="10">
        <v>0.8</v>
      </c>
      <c r="F568" s="10">
        <v>0.92</v>
      </c>
      <c r="G568" s="10">
        <v>0.88</v>
      </c>
      <c r="H568" s="34">
        <v>0.88</v>
      </c>
      <c r="I568" s="10">
        <v>0.96</v>
      </c>
      <c r="J568" s="10">
        <v>0.88</v>
      </c>
    </row>
    <row r="569" spans="1:10" ht="12.75" customHeight="1" x14ac:dyDescent="0.25">
      <c r="B569" s="35">
        <f>SUM(E569:J569)</f>
        <v>5</v>
      </c>
      <c r="C569" s="6"/>
      <c r="D569" s="2" t="s">
        <v>8</v>
      </c>
      <c r="H569" s="35">
        <v>5</v>
      </c>
    </row>
    <row r="570" spans="1:10" ht="12.75" customHeight="1" x14ac:dyDescent="0.25">
      <c r="A570" s="31">
        <f>SUM(E570:N570)</f>
        <v>26</v>
      </c>
      <c r="B570" s="36">
        <f>SUM(E570:J570)</f>
        <v>26</v>
      </c>
      <c r="C570" s="6"/>
      <c r="D570" s="2" t="s">
        <v>9</v>
      </c>
      <c r="E570">
        <v>0</v>
      </c>
      <c r="H570" s="35">
        <v>26</v>
      </c>
    </row>
    <row r="571" spans="1:10" ht="12.75" customHeight="1" x14ac:dyDescent="0.25">
      <c r="A571" s="27" t="s">
        <v>5</v>
      </c>
      <c r="B571" s="37">
        <v>37514</v>
      </c>
      <c r="C571" s="4" t="s">
        <v>0</v>
      </c>
      <c r="D571" s="1"/>
      <c r="E571" s="8">
        <v>37485</v>
      </c>
      <c r="F571" s="8">
        <v>37485</v>
      </c>
      <c r="G571" s="8">
        <v>37485</v>
      </c>
      <c r="H571" s="49">
        <v>37513</v>
      </c>
      <c r="I571" s="21">
        <v>37513</v>
      </c>
      <c r="J571" s="22">
        <v>37513</v>
      </c>
    </row>
    <row r="572" spans="1:10" ht="12.75" customHeight="1" x14ac:dyDescent="0.25">
      <c r="A572" s="28" t="s">
        <v>6</v>
      </c>
      <c r="B572" s="33" t="s">
        <v>6</v>
      </c>
      <c r="C572" s="5">
        <v>115</v>
      </c>
      <c r="D572" s="2"/>
      <c r="E572" s="9" t="s">
        <v>2</v>
      </c>
      <c r="F572" s="9" t="s">
        <v>3</v>
      </c>
      <c r="G572" s="9" t="s">
        <v>4</v>
      </c>
      <c r="H572" s="50" t="s">
        <v>21</v>
      </c>
      <c r="I572" s="23" t="s">
        <v>22</v>
      </c>
      <c r="J572" s="24" t="s">
        <v>4</v>
      </c>
    </row>
    <row r="573" spans="1:10" ht="12.75" customHeight="1" x14ac:dyDescent="0.25">
      <c r="A573" s="29">
        <f>SUM(E573:G573)/3</f>
        <v>0.68</v>
      </c>
      <c r="B573" s="34">
        <f>SUM(E573:J573)/6</f>
        <v>0.69333333333333336</v>
      </c>
      <c r="C573" s="6"/>
      <c r="D573" s="2" t="s">
        <v>7</v>
      </c>
      <c r="E573" s="10">
        <v>0.72</v>
      </c>
      <c r="F573" s="10">
        <v>0.72</v>
      </c>
      <c r="G573" s="10">
        <v>0.6</v>
      </c>
      <c r="H573" s="34">
        <v>0.84</v>
      </c>
      <c r="I573" s="10">
        <v>0.88</v>
      </c>
      <c r="J573" s="10">
        <v>0.4</v>
      </c>
    </row>
    <row r="574" spans="1:10" ht="12.75" customHeight="1" x14ac:dyDescent="0.25">
      <c r="B574" s="35">
        <f>SUM(E574:J574)</f>
        <v>5</v>
      </c>
      <c r="C574" s="6"/>
      <c r="D574" s="2" t="s">
        <v>8</v>
      </c>
      <c r="H574" s="35">
        <v>5</v>
      </c>
    </row>
    <row r="575" spans="1:10" ht="12.75" customHeight="1" x14ac:dyDescent="0.25">
      <c r="A575" s="31">
        <f>SUM(E575:N575)</f>
        <v>13</v>
      </c>
      <c r="B575" s="36">
        <f>SUM(E575:J575)</f>
        <v>13</v>
      </c>
      <c r="C575" s="6"/>
      <c r="D575" s="2" t="s">
        <v>9</v>
      </c>
      <c r="E575">
        <v>9</v>
      </c>
      <c r="H575" s="35">
        <v>4</v>
      </c>
    </row>
    <row r="576" spans="1:10" ht="12.75" customHeight="1" x14ac:dyDescent="0.25">
      <c r="A576" s="27" t="s">
        <v>5</v>
      </c>
      <c r="B576" s="37">
        <v>37514</v>
      </c>
      <c r="C576" s="4" t="s">
        <v>0</v>
      </c>
      <c r="D576" s="1"/>
      <c r="E576" s="8">
        <v>37485</v>
      </c>
      <c r="F576" s="8">
        <v>37485</v>
      </c>
      <c r="G576" s="8">
        <v>37485</v>
      </c>
      <c r="H576" s="49">
        <v>37513</v>
      </c>
      <c r="I576" s="21">
        <v>37513</v>
      </c>
      <c r="J576" s="22">
        <v>37513</v>
      </c>
    </row>
    <row r="577" spans="1:10" ht="12.75" customHeight="1" x14ac:dyDescent="0.25">
      <c r="A577" s="28" t="s">
        <v>6</v>
      </c>
      <c r="B577" s="33" t="s">
        <v>6</v>
      </c>
      <c r="C577" s="5">
        <v>116</v>
      </c>
      <c r="D577" s="2"/>
      <c r="E577" s="9" t="s">
        <v>2</v>
      </c>
      <c r="F577" s="9" t="s">
        <v>3</v>
      </c>
      <c r="G577" s="9" t="s">
        <v>4</v>
      </c>
      <c r="H577" s="50" t="s">
        <v>21</v>
      </c>
      <c r="I577" s="23" t="s">
        <v>22</v>
      </c>
      <c r="J577" s="24" t="s">
        <v>4</v>
      </c>
    </row>
    <row r="578" spans="1:10" ht="12.75" customHeight="1" x14ac:dyDescent="0.25">
      <c r="A578" s="29">
        <f>SUM(E578:G578)/3</f>
        <v>0.66666666666666663</v>
      </c>
      <c r="B578" s="34">
        <f>SUM(E578:J578)/6</f>
        <v>0.73333333333333328</v>
      </c>
      <c r="C578" s="6"/>
      <c r="D578" s="2" t="s">
        <v>7</v>
      </c>
      <c r="E578" s="10">
        <v>0.76</v>
      </c>
      <c r="F578" s="10">
        <v>0.88</v>
      </c>
      <c r="G578" s="10">
        <v>0.36</v>
      </c>
      <c r="H578" s="34">
        <v>0.84</v>
      </c>
      <c r="I578" s="10">
        <v>0.84</v>
      </c>
      <c r="J578" s="10">
        <v>0.72</v>
      </c>
    </row>
    <row r="579" spans="1:10" ht="12.75" customHeight="1" x14ac:dyDescent="0.25">
      <c r="B579" s="35">
        <f>SUM(E579:J579)</f>
        <v>5</v>
      </c>
      <c r="C579" s="6"/>
      <c r="D579" s="2" t="s">
        <v>8</v>
      </c>
      <c r="H579" s="35">
        <v>5</v>
      </c>
    </row>
    <row r="580" spans="1:10" ht="12.75" customHeight="1" x14ac:dyDescent="0.25">
      <c r="A580" s="31">
        <f>SUM(E580:N580)</f>
        <v>1</v>
      </c>
      <c r="B580" s="36">
        <f>SUM(E580:J580)</f>
        <v>1</v>
      </c>
      <c r="C580" s="6"/>
      <c r="D580" s="2" t="s">
        <v>9</v>
      </c>
      <c r="H580" s="35">
        <v>1</v>
      </c>
    </row>
    <row r="581" spans="1:10" ht="12.75" customHeight="1" x14ac:dyDescent="0.25">
      <c r="A581" s="27" t="s">
        <v>5</v>
      </c>
      <c r="B581" s="37">
        <v>37514</v>
      </c>
      <c r="C581" s="4" t="s">
        <v>0</v>
      </c>
      <c r="D581" s="1"/>
      <c r="E581" s="8">
        <v>37485</v>
      </c>
      <c r="F581" s="8">
        <v>37485</v>
      </c>
      <c r="G581" s="8">
        <v>37485</v>
      </c>
      <c r="H581" s="49">
        <v>37513</v>
      </c>
      <c r="I581" s="21">
        <v>37513</v>
      </c>
      <c r="J581" s="22">
        <v>37513</v>
      </c>
    </row>
    <row r="582" spans="1:10" ht="12.75" customHeight="1" x14ac:dyDescent="0.25">
      <c r="A582" s="28" t="s">
        <v>6</v>
      </c>
      <c r="B582" s="33" t="s">
        <v>6</v>
      </c>
      <c r="C582" s="5">
        <v>117</v>
      </c>
      <c r="D582" s="2"/>
      <c r="E582" s="9" t="s">
        <v>2</v>
      </c>
      <c r="F582" s="9" t="s">
        <v>3</v>
      </c>
      <c r="G582" s="9" t="s">
        <v>4</v>
      </c>
      <c r="H582" s="50" t="s">
        <v>21</v>
      </c>
      <c r="I582" s="23" t="s">
        <v>22</v>
      </c>
      <c r="J582" s="24" t="s">
        <v>4</v>
      </c>
    </row>
    <row r="583" spans="1:10" ht="12.75" customHeight="1" x14ac:dyDescent="0.25">
      <c r="A583" s="29">
        <f>SUM(E583:G583)/3</f>
        <v>0.70666666666666667</v>
      </c>
      <c r="B583" s="34">
        <f>SUM(E583:J583)/6</f>
        <v>0.75666666666666671</v>
      </c>
      <c r="C583" s="6"/>
      <c r="D583" s="2" t="s">
        <v>7</v>
      </c>
      <c r="E583" s="10">
        <v>0.76</v>
      </c>
      <c r="F583" s="10">
        <v>0.72</v>
      </c>
      <c r="G583" s="10">
        <v>0.64</v>
      </c>
      <c r="H583" s="34">
        <v>0.86</v>
      </c>
      <c r="I583" s="10">
        <v>0.92</v>
      </c>
      <c r="J583" s="10">
        <v>0.64</v>
      </c>
    </row>
    <row r="584" spans="1:10" ht="12.75" customHeight="1" x14ac:dyDescent="0.25">
      <c r="B584" s="35">
        <f>SUM(E584:J584)</f>
        <v>5</v>
      </c>
      <c r="C584" s="6"/>
      <c r="D584" s="2" t="s">
        <v>8</v>
      </c>
      <c r="H584" s="35">
        <v>5</v>
      </c>
    </row>
    <row r="585" spans="1:10" ht="12.75" customHeight="1" x14ac:dyDescent="0.25">
      <c r="A585" s="31">
        <f>SUM(E585:N585)</f>
        <v>24</v>
      </c>
      <c r="B585" s="36">
        <f>SUM(E585:J585)</f>
        <v>24</v>
      </c>
      <c r="C585" s="6"/>
      <c r="D585" s="2" t="s">
        <v>9</v>
      </c>
      <c r="E585">
        <v>10</v>
      </c>
      <c r="H585" s="35">
        <v>14</v>
      </c>
    </row>
    <row r="586" spans="1:10" ht="12.75" customHeight="1" x14ac:dyDescent="0.25">
      <c r="A586" s="27" t="s">
        <v>5</v>
      </c>
      <c r="B586" s="37">
        <v>37514</v>
      </c>
      <c r="C586" s="4" t="s">
        <v>0</v>
      </c>
      <c r="D586" s="1"/>
      <c r="E586" s="8">
        <v>37485</v>
      </c>
      <c r="F586" s="8">
        <v>37485</v>
      </c>
      <c r="G586" s="8">
        <v>37485</v>
      </c>
      <c r="H586" s="49">
        <v>37513</v>
      </c>
      <c r="I586" s="21">
        <v>37513</v>
      </c>
      <c r="J586" s="22">
        <v>37513</v>
      </c>
    </row>
    <row r="587" spans="1:10" ht="12.75" customHeight="1" x14ac:dyDescent="0.25">
      <c r="A587" s="28" t="s">
        <v>6</v>
      </c>
      <c r="B587" s="33" t="s">
        <v>6</v>
      </c>
      <c r="C587" s="5">
        <v>118</v>
      </c>
      <c r="D587" s="2"/>
      <c r="E587" s="9" t="s">
        <v>2</v>
      </c>
      <c r="F587" s="9" t="s">
        <v>3</v>
      </c>
      <c r="G587" s="9" t="s">
        <v>4</v>
      </c>
      <c r="H587" s="50" t="s">
        <v>21</v>
      </c>
      <c r="I587" s="23" t="s">
        <v>22</v>
      </c>
      <c r="J587" s="24" t="s">
        <v>4</v>
      </c>
    </row>
    <row r="588" spans="1:10" ht="12.75" customHeight="1" x14ac:dyDescent="0.25">
      <c r="A588" s="29">
        <f>SUM(E588:G588)/3</f>
        <v>0.66666666666666663</v>
      </c>
      <c r="B588" s="34">
        <f>SUM(E588:J588)/6</f>
        <v>0.71333333333333326</v>
      </c>
      <c r="C588" s="6"/>
      <c r="D588" s="2" t="s">
        <v>7</v>
      </c>
      <c r="E588" s="10">
        <v>0.72</v>
      </c>
      <c r="F588" s="10">
        <v>0.72</v>
      </c>
      <c r="G588" s="10">
        <v>0.56000000000000005</v>
      </c>
      <c r="H588" s="34">
        <v>0.8</v>
      </c>
      <c r="I588" s="10">
        <v>0.96</v>
      </c>
      <c r="J588" s="10">
        <v>0.52</v>
      </c>
    </row>
    <row r="589" spans="1:10" ht="12.75" customHeight="1" x14ac:dyDescent="0.25">
      <c r="B589" s="35">
        <f>SUM(E589:J589)</f>
        <v>0</v>
      </c>
      <c r="C589" s="6"/>
      <c r="D589" s="2" t="s">
        <v>8</v>
      </c>
      <c r="H589" s="35">
        <v>0</v>
      </c>
    </row>
    <row r="590" spans="1:10" ht="12.75" customHeight="1" x14ac:dyDescent="0.25">
      <c r="A590" s="31">
        <f>SUM(E590:N590)</f>
        <v>0</v>
      </c>
      <c r="B590" s="36">
        <f>SUM(E590:J590)</f>
        <v>0</v>
      </c>
      <c r="C590" s="6"/>
      <c r="D590" s="2" t="s">
        <v>9</v>
      </c>
      <c r="E590">
        <v>0</v>
      </c>
      <c r="H590" s="35">
        <v>0</v>
      </c>
    </row>
    <row r="591" spans="1:10" ht="12.75" customHeight="1" x14ac:dyDescent="0.25">
      <c r="A591" s="27" t="s">
        <v>5</v>
      </c>
      <c r="B591" s="37">
        <v>37514</v>
      </c>
      <c r="C591" s="4" t="s">
        <v>0</v>
      </c>
      <c r="D591" s="1"/>
      <c r="E591" s="8">
        <v>37485</v>
      </c>
      <c r="F591" s="8">
        <v>37485</v>
      </c>
      <c r="G591" s="8">
        <v>37485</v>
      </c>
      <c r="H591" s="49">
        <v>37513</v>
      </c>
      <c r="I591" s="21">
        <v>37513</v>
      </c>
      <c r="J591" s="22">
        <v>37513</v>
      </c>
    </row>
    <row r="592" spans="1:10" ht="12.75" customHeight="1" x14ac:dyDescent="0.25">
      <c r="A592" s="28" t="s">
        <v>6</v>
      </c>
      <c r="B592" s="33" t="s">
        <v>6</v>
      </c>
      <c r="C592" s="5">
        <v>119</v>
      </c>
      <c r="D592" s="2"/>
      <c r="E592" s="9" t="s">
        <v>2</v>
      </c>
      <c r="F592" s="9" t="s">
        <v>3</v>
      </c>
      <c r="G592" s="9" t="s">
        <v>4</v>
      </c>
      <c r="H592" s="50" t="s">
        <v>21</v>
      </c>
      <c r="I592" s="23" t="s">
        <v>22</v>
      </c>
      <c r="J592" s="24" t="s">
        <v>4</v>
      </c>
    </row>
    <row r="593" spans="1:10" ht="12.75" customHeight="1" x14ac:dyDescent="0.25">
      <c r="A593" s="29">
        <f>SUM(E593:G593)/3</f>
        <v>0.6</v>
      </c>
      <c r="B593" s="34">
        <f>SUM(E593:J593)/6</f>
        <v>0.70333333333333325</v>
      </c>
      <c r="C593" s="6"/>
      <c r="D593" s="2" t="s">
        <v>7</v>
      </c>
      <c r="E593" s="10">
        <v>0.88</v>
      </c>
      <c r="F593" s="10">
        <v>0.64</v>
      </c>
      <c r="G593" s="10">
        <v>0.28000000000000003</v>
      </c>
      <c r="H593" s="34">
        <v>0.86</v>
      </c>
      <c r="I593" s="10">
        <v>0.92</v>
      </c>
      <c r="J593" s="10">
        <v>0.64</v>
      </c>
    </row>
    <row r="594" spans="1:10" ht="12.75" customHeight="1" x14ac:dyDescent="0.25">
      <c r="B594" s="35">
        <f>SUM(E594:J594)</f>
        <v>5</v>
      </c>
      <c r="C594" s="6"/>
      <c r="D594" s="2" t="s">
        <v>8</v>
      </c>
      <c r="H594" s="35">
        <v>5</v>
      </c>
    </row>
    <row r="595" spans="1:10" ht="12.75" customHeight="1" x14ac:dyDescent="0.25">
      <c r="A595" s="31">
        <f>SUM(E595:N595)</f>
        <v>9</v>
      </c>
      <c r="B595" s="36">
        <f>SUM(E595:J595)</f>
        <v>9</v>
      </c>
      <c r="C595" s="6"/>
      <c r="D595" s="2" t="s">
        <v>9</v>
      </c>
      <c r="E595">
        <v>0</v>
      </c>
      <c r="H595" s="35">
        <v>9</v>
      </c>
    </row>
    <row r="596" spans="1:10" ht="12.75" customHeight="1" x14ac:dyDescent="0.25">
      <c r="A596" s="27" t="s">
        <v>5</v>
      </c>
      <c r="B596" s="37">
        <v>37514</v>
      </c>
      <c r="C596" s="4" t="s">
        <v>0</v>
      </c>
      <c r="D596" s="1"/>
      <c r="E596" s="8">
        <v>37485</v>
      </c>
      <c r="F596" s="8">
        <v>37485</v>
      </c>
      <c r="G596" s="8">
        <v>37485</v>
      </c>
      <c r="H596" s="49">
        <v>37513</v>
      </c>
      <c r="I596" s="21">
        <v>37513</v>
      </c>
      <c r="J596" s="22">
        <v>37513</v>
      </c>
    </row>
    <row r="597" spans="1:10" ht="12.75" customHeight="1" x14ac:dyDescent="0.25">
      <c r="A597" s="28" t="s">
        <v>6</v>
      </c>
      <c r="B597" s="33" t="s">
        <v>6</v>
      </c>
      <c r="C597" s="5">
        <v>120</v>
      </c>
      <c r="D597" s="2"/>
      <c r="E597" s="9" t="s">
        <v>2</v>
      </c>
      <c r="F597" s="9" t="s">
        <v>3</v>
      </c>
      <c r="G597" s="9" t="s">
        <v>4</v>
      </c>
      <c r="H597" s="50" t="s">
        <v>21</v>
      </c>
      <c r="I597" s="23" t="s">
        <v>22</v>
      </c>
      <c r="J597" s="24" t="s">
        <v>4</v>
      </c>
    </row>
    <row r="598" spans="1:10" ht="12.75" customHeight="1" x14ac:dyDescent="0.25">
      <c r="A598" s="29">
        <f>SUM(E598:G598)/3</f>
        <v>0.81333333333333335</v>
      </c>
      <c r="B598" s="34">
        <f>SUM(E598:J598)/6</f>
        <v>0.80999999999999994</v>
      </c>
      <c r="C598" s="6"/>
      <c r="D598" s="2" t="s">
        <v>7</v>
      </c>
      <c r="E598" s="10">
        <v>0.96</v>
      </c>
      <c r="F598" s="10">
        <v>0.8</v>
      </c>
      <c r="G598" s="10">
        <v>0.68</v>
      </c>
      <c r="H598" s="34">
        <v>0.9</v>
      </c>
      <c r="I598" s="10">
        <v>0.92</v>
      </c>
      <c r="J598" s="10">
        <v>0.6</v>
      </c>
    </row>
    <row r="599" spans="1:10" ht="12.75" customHeight="1" x14ac:dyDescent="0.25">
      <c r="B599" s="35">
        <f>SUM(E599:J599)</f>
        <v>5</v>
      </c>
      <c r="D599" s="2" t="s">
        <v>8</v>
      </c>
      <c r="H599" s="35">
        <v>5</v>
      </c>
    </row>
    <row r="600" spans="1:10" ht="12.75" customHeight="1" x14ac:dyDescent="0.25">
      <c r="A600" s="31">
        <f>SUM(E600:N600)</f>
        <v>16</v>
      </c>
      <c r="B600" s="36">
        <f>SUM(E600:J600)</f>
        <v>16</v>
      </c>
      <c r="D600" s="2" t="s">
        <v>9</v>
      </c>
      <c r="E600">
        <v>1</v>
      </c>
      <c r="H600" s="35">
        <v>15</v>
      </c>
    </row>
    <row r="601" spans="1:10" ht="12.75" customHeight="1" x14ac:dyDescent="0.25">
      <c r="A601" s="27" t="s">
        <v>5</v>
      </c>
      <c r="B601" s="37">
        <v>37514</v>
      </c>
      <c r="C601" s="4" t="s">
        <v>0</v>
      </c>
      <c r="D601" s="1"/>
      <c r="E601" s="8">
        <v>37485</v>
      </c>
      <c r="F601" s="8">
        <v>37485</v>
      </c>
      <c r="G601" s="8">
        <v>37485</v>
      </c>
      <c r="H601" s="49">
        <v>37513</v>
      </c>
      <c r="I601" s="21">
        <v>37513</v>
      </c>
      <c r="J601" s="22">
        <v>37513</v>
      </c>
    </row>
    <row r="602" spans="1:10" ht="12.75" customHeight="1" x14ac:dyDescent="0.25">
      <c r="A602" s="28" t="s">
        <v>6</v>
      </c>
      <c r="B602" s="33" t="s">
        <v>6</v>
      </c>
      <c r="C602" s="5">
        <v>121</v>
      </c>
      <c r="D602" s="2"/>
      <c r="E602" s="9" t="s">
        <v>2</v>
      </c>
      <c r="F602" s="9" t="s">
        <v>3</v>
      </c>
      <c r="G602" s="9" t="s">
        <v>4</v>
      </c>
      <c r="H602" s="50" t="s">
        <v>21</v>
      </c>
      <c r="I602" s="23" t="s">
        <v>22</v>
      </c>
      <c r="J602" s="24" t="s">
        <v>4</v>
      </c>
    </row>
    <row r="603" spans="1:10" ht="12.75" customHeight="1" x14ac:dyDescent="0.25">
      <c r="A603" s="29">
        <f>SUM(E603:G603)/3</f>
        <v>0.77333333333333332</v>
      </c>
      <c r="B603" s="34">
        <f>SUM(E603:J603)/6</f>
        <v>0.77999999999999992</v>
      </c>
      <c r="C603" s="6"/>
      <c r="D603" s="2" t="s">
        <v>7</v>
      </c>
      <c r="E603" s="10">
        <v>0.84</v>
      </c>
      <c r="F603" s="10">
        <v>0.88</v>
      </c>
      <c r="G603" s="10">
        <v>0.6</v>
      </c>
      <c r="H603" s="34">
        <v>0.76</v>
      </c>
      <c r="I603" s="10">
        <v>1</v>
      </c>
      <c r="J603" s="10">
        <v>0.6</v>
      </c>
    </row>
    <row r="604" spans="1:10" ht="12.75" customHeight="1" x14ac:dyDescent="0.25">
      <c r="B604" s="35">
        <f>SUM(E604:J604)</f>
        <v>5</v>
      </c>
      <c r="C604" s="6"/>
      <c r="D604" s="2" t="s">
        <v>8</v>
      </c>
      <c r="H604" s="35">
        <v>5</v>
      </c>
    </row>
    <row r="605" spans="1:10" ht="12.75" customHeight="1" x14ac:dyDescent="0.25">
      <c r="A605" s="31">
        <f>SUM(E605:N605)</f>
        <v>58</v>
      </c>
      <c r="B605" s="36">
        <f>SUM(E605:J605)</f>
        <v>58</v>
      </c>
      <c r="C605" s="6"/>
      <c r="D605" s="2" t="s">
        <v>9</v>
      </c>
      <c r="E605">
        <v>0</v>
      </c>
      <c r="H605" s="35">
        <v>58</v>
      </c>
    </row>
    <row r="606" spans="1:10" ht="12.75" customHeight="1" x14ac:dyDescent="0.25">
      <c r="A606" s="27" t="s">
        <v>5</v>
      </c>
      <c r="B606" s="37">
        <v>37514</v>
      </c>
      <c r="C606" s="4" t="s">
        <v>0</v>
      </c>
      <c r="D606" s="1"/>
      <c r="E606" s="8">
        <v>37485</v>
      </c>
      <c r="F606" s="8">
        <v>37485</v>
      </c>
      <c r="G606" s="8">
        <v>37485</v>
      </c>
      <c r="H606" s="49">
        <v>37513</v>
      </c>
      <c r="I606" s="21">
        <v>37513</v>
      </c>
      <c r="J606" s="22">
        <v>37513</v>
      </c>
    </row>
    <row r="607" spans="1:10" ht="12.75" customHeight="1" x14ac:dyDescent="0.25">
      <c r="A607" s="28" t="s">
        <v>6</v>
      </c>
      <c r="B607" s="33" t="s">
        <v>6</v>
      </c>
      <c r="C607" s="5">
        <v>122</v>
      </c>
      <c r="D607" s="2"/>
      <c r="E607" s="9" t="s">
        <v>2</v>
      </c>
      <c r="F607" s="9" t="s">
        <v>3</v>
      </c>
      <c r="G607" s="9" t="s">
        <v>4</v>
      </c>
      <c r="H607" s="50" t="s">
        <v>21</v>
      </c>
      <c r="I607" s="23" t="s">
        <v>22</v>
      </c>
      <c r="J607" s="24" t="s">
        <v>4</v>
      </c>
    </row>
    <row r="608" spans="1:10" ht="12.75" customHeight="1" x14ac:dyDescent="0.25">
      <c r="A608" s="29">
        <f>SUM(E608:G608)/3</f>
        <v>0.62666666666666659</v>
      </c>
      <c r="B608" s="34">
        <f>SUM(E608:J608)/6</f>
        <v>0.68666666666666654</v>
      </c>
      <c r="C608" s="6"/>
      <c r="D608" s="2" t="s">
        <v>7</v>
      </c>
      <c r="E608" s="10">
        <v>0.76</v>
      </c>
      <c r="F608" s="10">
        <v>0.68</v>
      </c>
      <c r="G608" s="10">
        <v>0.44</v>
      </c>
      <c r="H608" s="34">
        <v>0.8</v>
      </c>
      <c r="I608" s="10">
        <v>0.96</v>
      </c>
      <c r="J608" s="10">
        <v>0.48</v>
      </c>
    </row>
    <row r="609" spans="1:10" ht="12.75" customHeight="1" x14ac:dyDescent="0.25">
      <c r="B609" s="35">
        <f>SUM(E609:J609)</f>
        <v>5</v>
      </c>
      <c r="C609" s="6"/>
      <c r="D609" s="2" t="s">
        <v>8</v>
      </c>
      <c r="H609" s="35">
        <v>5</v>
      </c>
    </row>
    <row r="610" spans="1:10" ht="12.75" customHeight="1" x14ac:dyDescent="0.25">
      <c r="A610" s="31">
        <f>SUM(E610:N610)</f>
        <v>25</v>
      </c>
      <c r="B610" s="36">
        <f>SUM(E610:J610)</f>
        <v>25</v>
      </c>
      <c r="C610" s="6"/>
      <c r="D610" s="2" t="s">
        <v>9</v>
      </c>
      <c r="E610">
        <v>0</v>
      </c>
      <c r="H610" s="35">
        <v>25</v>
      </c>
    </row>
    <row r="611" spans="1:10" ht="12.75" customHeight="1" x14ac:dyDescent="0.25">
      <c r="A611" s="27" t="s">
        <v>5</v>
      </c>
      <c r="B611" s="37">
        <v>37514</v>
      </c>
      <c r="C611" s="4" t="s">
        <v>0</v>
      </c>
      <c r="D611" s="1"/>
      <c r="E611" s="8">
        <v>37485</v>
      </c>
      <c r="F611" s="8">
        <v>37485</v>
      </c>
      <c r="G611" s="8">
        <v>37485</v>
      </c>
      <c r="H611" s="49">
        <v>37513</v>
      </c>
      <c r="I611" s="21">
        <v>37513</v>
      </c>
      <c r="J611" s="22">
        <v>37513</v>
      </c>
    </row>
    <row r="612" spans="1:10" ht="12.75" customHeight="1" x14ac:dyDescent="0.25">
      <c r="A612" s="28" t="s">
        <v>6</v>
      </c>
      <c r="B612" s="33" t="s">
        <v>6</v>
      </c>
      <c r="C612" s="5">
        <v>123</v>
      </c>
      <c r="D612" s="2"/>
      <c r="E612" s="9" t="s">
        <v>2</v>
      </c>
      <c r="F612" s="9" t="s">
        <v>3</v>
      </c>
      <c r="G612" s="9" t="s">
        <v>4</v>
      </c>
      <c r="H612" s="50" t="s">
        <v>21</v>
      </c>
      <c r="I612" s="23" t="s">
        <v>22</v>
      </c>
      <c r="J612" s="24" t="s">
        <v>4</v>
      </c>
    </row>
    <row r="613" spans="1:10" ht="12.75" customHeight="1" x14ac:dyDescent="0.25">
      <c r="A613" s="29">
        <f>SUM(E613:G613)/3</f>
        <v>0.48000000000000004</v>
      </c>
      <c r="B613" s="34">
        <f>SUM(E613:J613)/6</f>
        <v>0.59333333333333338</v>
      </c>
      <c r="C613" s="6"/>
      <c r="D613" s="2" t="s">
        <v>7</v>
      </c>
      <c r="E613" s="10">
        <v>0.56000000000000005</v>
      </c>
      <c r="F613" s="10">
        <v>0.56000000000000005</v>
      </c>
      <c r="G613" s="10">
        <v>0.32</v>
      </c>
      <c r="H613" s="34">
        <v>0.8</v>
      </c>
      <c r="I613" s="10">
        <v>0.84</v>
      </c>
      <c r="J613" s="10">
        <v>0.48</v>
      </c>
    </row>
    <row r="614" spans="1:10" ht="12.75" customHeight="1" x14ac:dyDescent="0.25">
      <c r="B614" s="35">
        <f>SUM(E614:J614)</f>
        <v>4</v>
      </c>
      <c r="C614" s="6"/>
      <c r="D614" s="2" t="s">
        <v>8</v>
      </c>
      <c r="H614" s="35">
        <v>4</v>
      </c>
    </row>
    <row r="615" spans="1:10" ht="12.75" customHeight="1" x14ac:dyDescent="0.25">
      <c r="A615" s="31">
        <f>SUM(E615:N615)</f>
        <v>13</v>
      </c>
      <c r="B615" s="36">
        <f>SUM(E615:J615)</f>
        <v>13</v>
      </c>
      <c r="C615" s="6"/>
      <c r="D615" s="2" t="s">
        <v>9</v>
      </c>
      <c r="E615">
        <v>0</v>
      </c>
      <c r="H615" s="35">
        <v>13</v>
      </c>
    </row>
    <row r="616" spans="1:10" ht="12.75" customHeight="1" x14ac:dyDescent="0.25">
      <c r="A616" s="27" t="s">
        <v>5</v>
      </c>
      <c r="B616" s="37">
        <v>37514</v>
      </c>
      <c r="C616" s="4" t="s">
        <v>0</v>
      </c>
      <c r="D616" s="1"/>
      <c r="E616" s="8">
        <v>37485</v>
      </c>
      <c r="F616" s="8">
        <v>37485</v>
      </c>
      <c r="G616" s="8">
        <v>37485</v>
      </c>
      <c r="H616" s="49">
        <v>37513</v>
      </c>
      <c r="I616" s="21">
        <v>37513</v>
      </c>
      <c r="J616" s="22">
        <v>37513</v>
      </c>
    </row>
    <row r="617" spans="1:10" ht="12.75" customHeight="1" x14ac:dyDescent="0.25">
      <c r="A617" s="28" t="s">
        <v>6</v>
      </c>
      <c r="B617" s="33" t="s">
        <v>6</v>
      </c>
      <c r="C617" s="5">
        <v>124</v>
      </c>
      <c r="D617" s="2"/>
      <c r="E617" s="9" t="s">
        <v>2</v>
      </c>
      <c r="F617" s="9" t="s">
        <v>3</v>
      </c>
      <c r="G617" s="9" t="s">
        <v>4</v>
      </c>
      <c r="H617" s="50" t="s">
        <v>21</v>
      </c>
      <c r="I617" s="23" t="s">
        <v>22</v>
      </c>
      <c r="J617" s="24" t="s">
        <v>4</v>
      </c>
    </row>
    <row r="618" spans="1:10" ht="12.75" customHeight="1" x14ac:dyDescent="0.25">
      <c r="A618" s="29">
        <f>SUM(E618:G618)/3</f>
        <v>0.45333333333333331</v>
      </c>
      <c r="B618" s="34">
        <f>SUM(E618:J618)/6</f>
        <v>0.53999999999999992</v>
      </c>
      <c r="C618" s="6"/>
      <c r="D618" s="2" t="s">
        <v>7</v>
      </c>
      <c r="E618" s="10">
        <v>0.44</v>
      </c>
      <c r="F618" s="10">
        <v>0.56000000000000005</v>
      </c>
      <c r="G618" s="10">
        <v>0.36</v>
      </c>
      <c r="H618" s="34">
        <v>0.72</v>
      </c>
      <c r="I618" s="10">
        <v>0.84</v>
      </c>
      <c r="J618" s="10">
        <v>0.32</v>
      </c>
    </row>
    <row r="619" spans="1:10" ht="12.75" customHeight="1" x14ac:dyDescent="0.25">
      <c r="B619" s="35">
        <f>SUM(E619:J619)</f>
        <v>5</v>
      </c>
      <c r="C619" s="6"/>
      <c r="D619" s="2" t="s">
        <v>8</v>
      </c>
      <c r="H619" s="35">
        <v>5</v>
      </c>
    </row>
    <row r="620" spans="1:10" ht="12.75" customHeight="1" x14ac:dyDescent="0.25">
      <c r="A620" s="31">
        <f>SUM(E620:N620)</f>
        <v>20</v>
      </c>
      <c r="B620" s="36">
        <f>SUM(E620:J620)</f>
        <v>20</v>
      </c>
      <c r="C620" s="6"/>
      <c r="D620" s="2" t="s">
        <v>9</v>
      </c>
      <c r="E620">
        <v>5</v>
      </c>
      <c r="H620" s="35">
        <v>15</v>
      </c>
    </row>
    <row r="621" spans="1:10" ht="12.75" customHeight="1" x14ac:dyDescent="0.25">
      <c r="A621" s="27" t="s">
        <v>5</v>
      </c>
      <c r="B621" s="37">
        <v>37514</v>
      </c>
      <c r="C621" s="4" t="s">
        <v>0</v>
      </c>
      <c r="D621" s="1"/>
      <c r="E621" s="8">
        <v>37485</v>
      </c>
      <c r="F621" s="8">
        <v>37485</v>
      </c>
      <c r="G621" s="8">
        <v>37485</v>
      </c>
      <c r="H621" s="49">
        <v>37513</v>
      </c>
      <c r="I621" s="21">
        <v>37513</v>
      </c>
      <c r="J621" s="22">
        <v>37513</v>
      </c>
    </row>
    <row r="622" spans="1:10" ht="12.75" customHeight="1" x14ac:dyDescent="0.25">
      <c r="A622" s="28" t="s">
        <v>6</v>
      </c>
      <c r="B622" s="33" t="s">
        <v>6</v>
      </c>
      <c r="C622" s="5">
        <v>125</v>
      </c>
      <c r="D622" s="2"/>
      <c r="E622" s="9" t="s">
        <v>2</v>
      </c>
      <c r="F622" s="9" t="s">
        <v>3</v>
      </c>
      <c r="G622" s="9" t="s">
        <v>4</v>
      </c>
      <c r="H622" s="50" t="s">
        <v>21</v>
      </c>
      <c r="I622" s="23" t="s">
        <v>22</v>
      </c>
      <c r="J622" s="24" t="s">
        <v>4</v>
      </c>
    </row>
    <row r="623" spans="1:10" ht="12.75" customHeight="1" x14ac:dyDescent="0.25">
      <c r="A623" s="29">
        <f>SUM(E623:G623)/3</f>
        <v>0.87999999999999989</v>
      </c>
      <c r="B623" s="34">
        <f>SUM(E623:J623)/6</f>
        <v>0.82</v>
      </c>
      <c r="C623" s="6"/>
      <c r="D623" s="2" t="s">
        <v>7</v>
      </c>
      <c r="E623" s="10">
        <v>0.96</v>
      </c>
      <c r="F623" s="10">
        <v>0.88</v>
      </c>
      <c r="G623" s="10">
        <v>0.8</v>
      </c>
      <c r="H623" s="34">
        <v>0.84</v>
      </c>
      <c r="I623" s="10">
        <v>0.92</v>
      </c>
      <c r="J623" s="10">
        <v>0.52</v>
      </c>
    </row>
    <row r="624" spans="1:10" ht="12.75" customHeight="1" x14ac:dyDescent="0.25">
      <c r="B624" s="35">
        <f>SUM(E624:J624)</f>
        <v>5</v>
      </c>
      <c r="C624" s="6"/>
      <c r="D624" s="2" t="s">
        <v>8</v>
      </c>
      <c r="H624" s="35">
        <v>5</v>
      </c>
    </row>
    <row r="625" spans="1:10" ht="12.75" customHeight="1" x14ac:dyDescent="0.25">
      <c r="A625" s="31">
        <f>SUM(E625:N625)</f>
        <v>32</v>
      </c>
      <c r="B625" s="36">
        <f>SUM(E625:J625)</f>
        <v>32</v>
      </c>
      <c r="C625" s="6"/>
      <c r="D625" s="2" t="s">
        <v>9</v>
      </c>
      <c r="E625">
        <v>18</v>
      </c>
      <c r="H625" s="35">
        <v>14</v>
      </c>
    </row>
    <row r="626" spans="1:10" ht="12.75" customHeight="1" x14ac:dyDescent="0.25">
      <c r="A626" s="27" t="s">
        <v>5</v>
      </c>
      <c r="B626" s="37">
        <v>37514</v>
      </c>
      <c r="C626" s="4" t="s">
        <v>0</v>
      </c>
      <c r="D626" s="1"/>
      <c r="E626" s="8">
        <v>37485</v>
      </c>
      <c r="F626" s="8">
        <v>37485</v>
      </c>
      <c r="G626" s="8">
        <v>37485</v>
      </c>
      <c r="H626" s="49">
        <v>37513</v>
      </c>
      <c r="I626" s="21">
        <v>37513</v>
      </c>
      <c r="J626" s="22">
        <v>37513</v>
      </c>
    </row>
    <row r="627" spans="1:10" ht="12.75" customHeight="1" x14ac:dyDescent="0.25">
      <c r="A627" s="28" t="s">
        <v>6</v>
      </c>
      <c r="B627" s="33" t="s">
        <v>6</v>
      </c>
      <c r="C627" s="5">
        <v>126</v>
      </c>
      <c r="D627" s="2"/>
      <c r="E627" s="9" t="s">
        <v>2</v>
      </c>
      <c r="F627" s="9" t="s">
        <v>3</v>
      </c>
      <c r="G627" s="9" t="s">
        <v>4</v>
      </c>
      <c r="H627" s="50" t="s">
        <v>21</v>
      </c>
      <c r="I627" s="23" t="s">
        <v>22</v>
      </c>
      <c r="J627" s="24" t="s">
        <v>4</v>
      </c>
    </row>
    <row r="628" spans="1:10" ht="12.75" customHeight="1" x14ac:dyDescent="0.25">
      <c r="A628" s="29">
        <f>SUM(E628:G628)/3</f>
        <v>0.87999999999999989</v>
      </c>
      <c r="B628" s="34">
        <f>SUM(E628:J628)/6</f>
        <v>0.88333333333333319</v>
      </c>
      <c r="C628" s="6"/>
      <c r="D628" s="2" t="s">
        <v>7</v>
      </c>
      <c r="E628" s="10">
        <v>0.92</v>
      </c>
      <c r="F628" s="10">
        <v>0.96</v>
      </c>
      <c r="G628" s="10">
        <v>0.76</v>
      </c>
      <c r="H628" s="34">
        <v>0.86</v>
      </c>
      <c r="I628" s="10">
        <v>0.96</v>
      </c>
      <c r="J628" s="10">
        <v>0.84</v>
      </c>
    </row>
    <row r="629" spans="1:10" ht="12.75" customHeight="1" x14ac:dyDescent="0.25">
      <c r="B629" s="35">
        <f>SUM(E629:J629)</f>
        <v>5</v>
      </c>
      <c r="C629" s="6"/>
      <c r="D629" s="2" t="s">
        <v>8</v>
      </c>
      <c r="H629" s="35">
        <v>5</v>
      </c>
    </row>
    <row r="630" spans="1:10" ht="12.75" customHeight="1" x14ac:dyDescent="0.25">
      <c r="A630" s="31">
        <f>SUM(E630:N630)</f>
        <v>5</v>
      </c>
      <c r="B630" s="36">
        <f>SUM(E630:J630)</f>
        <v>5</v>
      </c>
      <c r="C630" s="6"/>
      <c r="D630" s="2" t="s">
        <v>9</v>
      </c>
      <c r="E630">
        <v>4</v>
      </c>
      <c r="H630" s="35">
        <v>1</v>
      </c>
    </row>
    <row r="631" spans="1:10" ht="12.75" customHeight="1" x14ac:dyDescent="0.25">
      <c r="A631" s="27" t="s">
        <v>5</v>
      </c>
      <c r="B631" s="37">
        <v>37514</v>
      </c>
      <c r="C631" s="4" t="s">
        <v>0</v>
      </c>
      <c r="D631" s="1"/>
      <c r="E631" s="8">
        <v>37485</v>
      </c>
      <c r="F631" s="8">
        <v>37485</v>
      </c>
      <c r="G631" s="8">
        <v>37485</v>
      </c>
      <c r="H631" s="49">
        <v>37513</v>
      </c>
      <c r="I631" s="21">
        <v>37513</v>
      </c>
      <c r="J631" s="22">
        <v>37513</v>
      </c>
    </row>
    <row r="632" spans="1:10" ht="12.75" customHeight="1" x14ac:dyDescent="0.25">
      <c r="A632" s="28" t="s">
        <v>6</v>
      </c>
      <c r="B632" s="33" t="s">
        <v>6</v>
      </c>
      <c r="C632" s="5">
        <v>127</v>
      </c>
      <c r="D632" s="2"/>
      <c r="E632" s="9" t="s">
        <v>2</v>
      </c>
      <c r="F632" s="9" t="s">
        <v>3</v>
      </c>
      <c r="G632" s="9" t="s">
        <v>4</v>
      </c>
      <c r="H632" s="50" t="s">
        <v>21</v>
      </c>
      <c r="I632" s="23" t="s">
        <v>22</v>
      </c>
      <c r="J632" s="24" t="s">
        <v>4</v>
      </c>
    </row>
    <row r="633" spans="1:10" ht="12.75" customHeight="1" x14ac:dyDescent="0.25">
      <c r="A633" s="29">
        <f>SUM(E633:G633)/3</f>
        <v>0.60000000000000009</v>
      </c>
      <c r="B633" s="34">
        <f>SUM(E633:J633)/6</f>
        <v>0.67500000000000016</v>
      </c>
      <c r="C633" s="6"/>
      <c r="D633" s="2" t="s">
        <v>7</v>
      </c>
      <c r="E633" s="10">
        <v>0.68</v>
      </c>
      <c r="F633" s="10">
        <v>0.56000000000000005</v>
      </c>
      <c r="G633" s="10">
        <v>0.56000000000000005</v>
      </c>
      <c r="H633" s="34">
        <v>0.86</v>
      </c>
      <c r="I633" s="10">
        <v>0.95</v>
      </c>
      <c r="J633" s="10">
        <v>0.44</v>
      </c>
    </row>
    <row r="634" spans="1:10" ht="12.75" customHeight="1" x14ac:dyDescent="0.25">
      <c r="B634" s="35">
        <f>SUM(E634:J634)</f>
        <v>5</v>
      </c>
      <c r="C634" s="6"/>
      <c r="D634" s="2" t="s">
        <v>8</v>
      </c>
      <c r="H634" s="35">
        <v>5</v>
      </c>
    </row>
    <row r="635" spans="1:10" ht="12.75" customHeight="1" x14ac:dyDescent="0.25">
      <c r="A635" s="31">
        <f>SUM(E635:N635)</f>
        <v>2</v>
      </c>
      <c r="B635" s="36">
        <f>SUM(E635:J635)</f>
        <v>2</v>
      </c>
      <c r="C635" s="6"/>
      <c r="D635" s="2" t="s">
        <v>9</v>
      </c>
      <c r="E635">
        <v>1</v>
      </c>
      <c r="H635" s="35">
        <v>1</v>
      </c>
    </row>
    <row r="636" spans="1:10" ht="12.75" customHeight="1" x14ac:dyDescent="0.25">
      <c r="A636" s="27" t="s">
        <v>5</v>
      </c>
      <c r="B636" s="37">
        <v>37514</v>
      </c>
      <c r="C636" s="4" t="s">
        <v>0</v>
      </c>
      <c r="D636" s="1"/>
      <c r="E636" s="8">
        <v>37485</v>
      </c>
      <c r="F636" s="8">
        <v>37485</v>
      </c>
      <c r="G636" s="8">
        <v>37485</v>
      </c>
      <c r="H636" s="49">
        <v>37513</v>
      </c>
      <c r="I636" s="21">
        <v>37513</v>
      </c>
      <c r="J636" s="22">
        <v>37513</v>
      </c>
    </row>
    <row r="637" spans="1:10" ht="12.75" customHeight="1" x14ac:dyDescent="0.25">
      <c r="A637" s="28" t="s">
        <v>6</v>
      </c>
      <c r="B637" s="33" t="s">
        <v>6</v>
      </c>
      <c r="C637" s="5">
        <v>128</v>
      </c>
      <c r="D637" s="2"/>
      <c r="E637" s="9" t="s">
        <v>2</v>
      </c>
      <c r="F637" s="9" t="s">
        <v>3</v>
      </c>
      <c r="G637" s="9" t="s">
        <v>4</v>
      </c>
      <c r="H637" s="50" t="s">
        <v>21</v>
      </c>
      <c r="I637" s="23" t="s">
        <v>22</v>
      </c>
      <c r="J637" s="24" t="s">
        <v>4</v>
      </c>
    </row>
    <row r="638" spans="1:10" ht="12.75" customHeight="1" x14ac:dyDescent="0.25">
      <c r="A638" s="29">
        <f>SUM(E638:G638)/3</f>
        <v>0.76000000000000012</v>
      </c>
      <c r="B638" s="34">
        <f>SUM(E638:J638)/6</f>
        <v>0.75666666666666671</v>
      </c>
      <c r="C638" s="6"/>
      <c r="D638" s="2" t="s">
        <v>7</v>
      </c>
      <c r="E638" s="10">
        <v>0.84</v>
      </c>
      <c r="F638" s="10">
        <v>0.64</v>
      </c>
      <c r="G638" s="10">
        <v>0.8</v>
      </c>
      <c r="H638" s="34">
        <v>0.78</v>
      </c>
      <c r="I638" s="10">
        <v>0.88</v>
      </c>
      <c r="J638" s="10">
        <v>0.6</v>
      </c>
    </row>
    <row r="639" spans="1:10" ht="12.75" customHeight="1" x14ac:dyDescent="0.25">
      <c r="B639" s="35">
        <f>SUM(E639:J639)</f>
        <v>5</v>
      </c>
      <c r="C639" s="6"/>
      <c r="D639" s="2" t="s">
        <v>8</v>
      </c>
      <c r="H639" s="35">
        <v>5</v>
      </c>
    </row>
    <row r="640" spans="1:10" ht="12.75" customHeight="1" x14ac:dyDescent="0.25">
      <c r="A640" s="31">
        <f>SUM(E640:N640)</f>
        <v>10</v>
      </c>
      <c r="B640" s="36">
        <f>SUM(E640:J640)</f>
        <v>10</v>
      </c>
      <c r="C640" s="6"/>
      <c r="D640" s="2" t="s">
        <v>9</v>
      </c>
      <c r="E640">
        <v>0</v>
      </c>
      <c r="H640" s="35">
        <v>10</v>
      </c>
    </row>
    <row r="641" spans="1:10" ht="12.75" customHeight="1" x14ac:dyDescent="0.25">
      <c r="A641" s="27" t="s">
        <v>5</v>
      </c>
      <c r="B641" s="37">
        <v>37514</v>
      </c>
      <c r="C641" s="4" t="s">
        <v>0</v>
      </c>
      <c r="D641" s="1"/>
      <c r="E641" s="8">
        <v>37485</v>
      </c>
      <c r="F641" s="8">
        <v>37485</v>
      </c>
      <c r="G641" s="8">
        <v>37485</v>
      </c>
      <c r="H641" s="49">
        <v>37513</v>
      </c>
      <c r="I641" s="21">
        <v>37513</v>
      </c>
      <c r="J641" s="22">
        <v>37513</v>
      </c>
    </row>
    <row r="642" spans="1:10" ht="12.75" customHeight="1" x14ac:dyDescent="0.25">
      <c r="A642" s="28" t="s">
        <v>6</v>
      </c>
      <c r="B642" s="33" t="s">
        <v>6</v>
      </c>
      <c r="C642" s="5">
        <v>129</v>
      </c>
      <c r="D642" s="2"/>
      <c r="E642" s="9" t="s">
        <v>2</v>
      </c>
      <c r="F642" s="9" t="s">
        <v>3</v>
      </c>
      <c r="G642" s="9" t="s">
        <v>4</v>
      </c>
      <c r="H642" s="50" t="s">
        <v>21</v>
      </c>
      <c r="I642" s="23" t="s">
        <v>22</v>
      </c>
      <c r="J642" s="24" t="s">
        <v>4</v>
      </c>
    </row>
    <row r="643" spans="1:10" ht="12.75" customHeight="1" x14ac:dyDescent="0.25">
      <c r="A643" s="29">
        <f>SUM(E643:G643)/3</f>
        <v>0.62666666666666659</v>
      </c>
      <c r="B643" s="34">
        <f>SUM(E643:J643)/6</f>
        <v>0.67333333333333323</v>
      </c>
      <c r="C643" s="6"/>
      <c r="D643" s="2" t="s">
        <v>7</v>
      </c>
      <c r="E643" s="10">
        <v>0.72</v>
      </c>
      <c r="F643" s="10">
        <v>0.6</v>
      </c>
      <c r="G643" s="10">
        <v>0.56000000000000005</v>
      </c>
      <c r="H643" s="34">
        <v>0.8</v>
      </c>
      <c r="I643" s="10">
        <v>0.84</v>
      </c>
      <c r="J643" s="10">
        <v>0.52</v>
      </c>
    </row>
    <row r="644" spans="1:10" ht="12.75" customHeight="1" x14ac:dyDescent="0.25">
      <c r="B644" s="35">
        <f>SUM(E644:J644)</f>
        <v>5</v>
      </c>
      <c r="C644" s="6"/>
      <c r="D644" s="2" t="s">
        <v>8</v>
      </c>
      <c r="H644" s="35">
        <v>5</v>
      </c>
    </row>
    <row r="645" spans="1:10" ht="12.75" customHeight="1" x14ac:dyDescent="0.25">
      <c r="A645" s="31">
        <f>SUM(E645:N645)</f>
        <v>51</v>
      </c>
      <c r="B645" s="36">
        <f>SUM(E645:J645)</f>
        <v>51</v>
      </c>
      <c r="C645" s="6"/>
      <c r="D645" s="2" t="s">
        <v>9</v>
      </c>
      <c r="E645">
        <v>19</v>
      </c>
      <c r="H645" s="35">
        <v>32</v>
      </c>
    </row>
    <row r="646" spans="1:10" ht="12.75" customHeight="1" x14ac:dyDescent="0.25">
      <c r="A646" s="27" t="s">
        <v>5</v>
      </c>
      <c r="B646" s="37">
        <v>37514</v>
      </c>
      <c r="C646" s="4" t="s">
        <v>0</v>
      </c>
      <c r="D646" s="1"/>
      <c r="E646" s="8">
        <v>37485</v>
      </c>
      <c r="F646" s="8">
        <v>37485</v>
      </c>
      <c r="G646" s="8">
        <v>37485</v>
      </c>
      <c r="H646" s="49">
        <v>37513</v>
      </c>
      <c r="I646" s="21">
        <v>37513</v>
      </c>
      <c r="J646" s="22">
        <v>37513</v>
      </c>
    </row>
    <row r="647" spans="1:10" ht="12.75" customHeight="1" x14ac:dyDescent="0.25">
      <c r="A647" s="28" t="s">
        <v>6</v>
      </c>
      <c r="B647" s="33" t="s">
        <v>6</v>
      </c>
      <c r="C647" s="5">
        <v>130</v>
      </c>
      <c r="D647" s="2"/>
      <c r="E647" s="9" t="s">
        <v>2</v>
      </c>
      <c r="F647" s="9" t="s">
        <v>3</v>
      </c>
      <c r="G647" s="9" t="s">
        <v>4</v>
      </c>
      <c r="H647" s="50" t="s">
        <v>21</v>
      </c>
      <c r="I647" s="23" t="s">
        <v>22</v>
      </c>
      <c r="J647" s="24" t="s">
        <v>4</v>
      </c>
    </row>
    <row r="648" spans="1:10" ht="12.75" customHeight="1" x14ac:dyDescent="0.25">
      <c r="A648" s="29">
        <f>SUM(E648:G648)/3</f>
        <v>0.7466666666666667</v>
      </c>
      <c r="B648" s="34">
        <f>SUM(E648:J648)/6</f>
        <v>0.77666666666666673</v>
      </c>
      <c r="C648" s="6"/>
      <c r="D648" s="2" t="s">
        <v>7</v>
      </c>
      <c r="E648" s="10">
        <v>0.8</v>
      </c>
      <c r="F648" s="10">
        <v>0.92</v>
      </c>
      <c r="G648" s="10">
        <v>0.52</v>
      </c>
      <c r="H648" s="34">
        <v>0.82</v>
      </c>
      <c r="I648" s="10">
        <v>0.92</v>
      </c>
      <c r="J648" s="10">
        <v>0.68</v>
      </c>
    </row>
    <row r="649" spans="1:10" ht="12.75" customHeight="1" x14ac:dyDescent="0.25">
      <c r="B649" s="35">
        <f>SUM(E649:J649)</f>
        <v>5</v>
      </c>
      <c r="D649" s="2" t="s">
        <v>8</v>
      </c>
      <c r="H649" s="35">
        <v>5</v>
      </c>
    </row>
    <row r="650" spans="1:10" ht="12.75" customHeight="1" x14ac:dyDescent="0.25">
      <c r="A650" s="31">
        <f>SUM(E650:N650)</f>
        <v>54</v>
      </c>
      <c r="B650" s="36">
        <f>SUM(E650:J650)</f>
        <v>54</v>
      </c>
      <c r="D650" s="2" t="s">
        <v>9</v>
      </c>
      <c r="E650">
        <v>20</v>
      </c>
      <c r="H650" s="35">
        <v>34</v>
      </c>
    </row>
    <row r="651" spans="1:10" ht="12.75" customHeight="1" x14ac:dyDescent="0.25">
      <c r="A651" s="27" t="s">
        <v>5</v>
      </c>
      <c r="B651" s="37">
        <v>37514</v>
      </c>
      <c r="C651" s="4" t="s">
        <v>0</v>
      </c>
      <c r="D651" s="1"/>
      <c r="E651" s="8">
        <v>37485</v>
      </c>
      <c r="F651" s="8">
        <v>37485</v>
      </c>
      <c r="G651" s="8">
        <v>37485</v>
      </c>
      <c r="H651" s="49">
        <v>37513</v>
      </c>
      <c r="I651" s="21">
        <v>37513</v>
      </c>
      <c r="J651" s="22">
        <v>37513</v>
      </c>
    </row>
    <row r="652" spans="1:10" ht="12.75" customHeight="1" x14ac:dyDescent="0.25">
      <c r="A652" s="28" t="s">
        <v>6</v>
      </c>
      <c r="B652" s="33" t="s">
        <v>6</v>
      </c>
      <c r="C652" s="5">
        <v>131</v>
      </c>
      <c r="D652" s="2"/>
      <c r="E652" s="9" t="s">
        <v>2</v>
      </c>
      <c r="F652" s="9" t="s">
        <v>3</v>
      </c>
      <c r="G652" s="9" t="s">
        <v>4</v>
      </c>
      <c r="H652" s="50" t="s">
        <v>21</v>
      </c>
      <c r="I652" s="23" t="s">
        <v>22</v>
      </c>
      <c r="J652" s="24" t="s">
        <v>4</v>
      </c>
    </row>
    <row r="653" spans="1:10" ht="12.75" customHeight="1" x14ac:dyDescent="0.25">
      <c r="A653" s="29">
        <f>SUM(E653:G653)/3</f>
        <v>0.93333333333333324</v>
      </c>
      <c r="B653" s="34">
        <f>SUM(E653:J653)/6</f>
        <v>0.91666666666666652</v>
      </c>
      <c r="C653" s="6"/>
      <c r="D653" s="2" t="s">
        <v>7</v>
      </c>
      <c r="E653" s="10">
        <v>1</v>
      </c>
      <c r="F653" s="10">
        <v>0.92</v>
      </c>
      <c r="G653" s="10">
        <v>0.88</v>
      </c>
      <c r="H653" s="34">
        <v>0.94</v>
      </c>
      <c r="I653" s="10">
        <v>0.96</v>
      </c>
      <c r="J653" s="10">
        <v>0.8</v>
      </c>
    </row>
    <row r="654" spans="1:10" ht="12.75" customHeight="1" x14ac:dyDescent="0.25">
      <c r="B654" s="35">
        <f>SUM(E654:J654)</f>
        <v>5</v>
      </c>
      <c r="C654" s="6"/>
      <c r="D654" s="2" t="s">
        <v>8</v>
      </c>
      <c r="H654" s="35">
        <v>5</v>
      </c>
    </row>
    <row r="655" spans="1:10" ht="12.75" customHeight="1" x14ac:dyDescent="0.25">
      <c r="A655" s="31">
        <f>SUM(E655:N655)</f>
        <v>21</v>
      </c>
      <c r="B655" s="36">
        <f>SUM(E655:J655)</f>
        <v>21</v>
      </c>
      <c r="C655" s="6"/>
      <c r="D655" s="2" t="s">
        <v>9</v>
      </c>
      <c r="E655">
        <v>0</v>
      </c>
      <c r="H655" s="35">
        <v>21</v>
      </c>
    </row>
    <row r="656" spans="1:10" ht="12.75" customHeight="1" x14ac:dyDescent="0.25">
      <c r="A656" s="27" t="s">
        <v>5</v>
      </c>
      <c r="B656" s="37">
        <v>37514</v>
      </c>
      <c r="C656" s="4" t="s">
        <v>0</v>
      </c>
      <c r="D656" s="1"/>
      <c r="E656" s="8">
        <v>37485</v>
      </c>
      <c r="F656" s="8">
        <v>37485</v>
      </c>
      <c r="G656" s="8">
        <v>37485</v>
      </c>
      <c r="H656" s="49">
        <v>37513</v>
      </c>
      <c r="I656" s="21">
        <v>37513</v>
      </c>
      <c r="J656" s="22">
        <v>37513</v>
      </c>
    </row>
    <row r="657" spans="1:10" ht="12.75" customHeight="1" x14ac:dyDescent="0.25">
      <c r="A657" s="28" t="s">
        <v>6</v>
      </c>
      <c r="B657" s="33" t="s">
        <v>6</v>
      </c>
      <c r="C657" s="5">
        <v>132</v>
      </c>
      <c r="D657" s="2"/>
      <c r="E657" s="9" t="s">
        <v>2</v>
      </c>
      <c r="F657" s="9" t="s">
        <v>3</v>
      </c>
      <c r="G657" s="9" t="s">
        <v>4</v>
      </c>
      <c r="H657" s="50" t="s">
        <v>21</v>
      </c>
      <c r="I657" s="23" t="s">
        <v>22</v>
      </c>
      <c r="J657" s="24" t="s">
        <v>4</v>
      </c>
    </row>
    <row r="658" spans="1:10" ht="12.75" customHeight="1" x14ac:dyDescent="0.25">
      <c r="A658" s="29">
        <f>SUM(E658:G658)/3</f>
        <v>0.73333333333333339</v>
      </c>
      <c r="B658" s="34">
        <f>SUM(E658:J658)/6</f>
        <v>0.72666666666666668</v>
      </c>
      <c r="C658" s="6"/>
      <c r="D658" s="2" t="s">
        <v>7</v>
      </c>
      <c r="E658" s="10">
        <v>0.88</v>
      </c>
      <c r="F658" s="10">
        <v>0.76</v>
      </c>
      <c r="G658" s="10">
        <v>0.56000000000000005</v>
      </c>
      <c r="H658" s="34">
        <v>0.88</v>
      </c>
      <c r="I658" s="10">
        <v>0.88</v>
      </c>
      <c r="J658" s="10">
        <v>0.4</v>
      </c>
    </row>
    <row r="659" spans="1:10" ht="12.75" customHeight="1" x14ac:dyDescent="0.25">
      <c r="B659" s="35">
        <f>SUM(E659:J659)</f>
        <v>5</v>
      </c>
      <c r="C659" s="6"/>
      <c r="D659" s="2" t="s">
        <v>8</v>
      </c>
      <c r="H659" s="35">
        <v>5</v>
      </c>
    </row>
    <row r="660" spans="1:10" ht="12.75" customHeight="1" x14ac:dyDescent="0.25">
      <c r="A660" s="31">
        <f>SUM(E660:N660)</f>
        <v>15</v>
      </c>
      <c r="B660" s="36">
        <f>SUM(E660:J660)</f>
        <v>15</v>
      </c>
      <c r="C660" s="6"/>
      <c r="D660" s="2" t="s">
        <v>9</v>
      </c>
      <c r="E660">
        <v>0</v>
      </c>
      <c r="H660" s="35">
        <v>15</v>
      </c>
    </row>
    <row r="661" spans="1:10" ht="12.75" customHeight="1" x14ac:dyDescent="0.25">
      <c r="A661" s="27" t="s">
        <v>5</v>
      </c>
      <c r="B661" s="37">
        <v>37514</v>
      </c>
      <c r="C661" s="4" t="s">
        <v>0</v>
      </c>
      <c r="D661" s="1"/>
      <c r="E661" s="8">
        <v>37485</v>
      </c>
      <c r="F661" s="8">
        <v>37485</v>
      </c>
      <c r="G661" s="8">
        <v>37485</v>
      </c>
      <c r="H661" s="49">
        <v>37513</v>
      </c>
      <c r="I661" s="21">
        <v>37513</v>
      </c>
      <c r="J661" s="22">
        <v>37513</v>
      </c>
    </row>
    <row r="662" spans="1:10" ht="12.75" customHeight="1" x14ac:dyDescent="0.25">
      <c r="A662" s="28" t="s">
        <v>6</v>
      </c>
      <c r="B662" s="33" t="s">
        <v>6</v>
      </c>
      <c r="C662" s="5">
        <v>133</v>
      </c>
      <c r="D662" s="2"/>
      <c r="E662" s="9" t="s">
        <v>2</v>
      </c>
      <c r="F662" s="9" t="s">
        <v>3</v>
      </c>
      <c r="G662" s="9" t="s">
        <v>4</v>
      </c>
      <c r="H662" s="50" t="s">
        <v>21</v>
      </c>
      <c r="I662" s="23" t="s">
        <v>22</v>
      </c>
      <c r="J662" s="24" t="s">
        <v>4</v>
      </c>
    </row>
    <row r="663" spans="1:10" ht="12.75" customHeight="1" x14ac:dyDescent="0.25">
      <c r="A663" s="29">
        <f>SUM(E663:G663)/3</f>
        <v>0.65333333333333332</v>
      </c>
      <c r="B663" s="34">
        <f>SUM(E663:J663)/6</f>
        <v>0.68666666666666654</v>
      </c>
      <c r="C663" s="6"/>
      <c r="D663" s="2" t="s">
        <v>7</v>
      </c>
      <c r="E663" s="10">
        <v>0.68</v>
      </c>
      <c r="F663" s="10">
        <v>0.8</v>
      </c>
      <c r="G663" s="10">
        <v>0.48</v>
      </c>
      <c r="H663" s="34">
        <v>0.84</v>
      </c>
      <c r="I663" s="10">
        <v>0.84</v>
      </c>
      <c r="J663" s="10">
        <v>0.48</v>
      </c>
    </row>
    <row r="664" spans="1:10" ht="12.75" customHeight="1" x14ac:dyDescent="0.25">
      <c r="B664" s="35">
        <f>SUM(E664:J664)</f>
        <v>5</v>
      </c>
      <c r="C664" s="6"/>
      <c r="D664" s="2" t="s">
        <v>8</v>
      </c>
      <c r="H664" s="35">
        <v>5</v>
      </c>
    </row>
    <row r="665" spans="1:10" ht="12.75" customHeight="1" x14ac:dyDescent="0.25">
      <c r="A665" s="31">
        <f>SUM(E665:N665)</f>
        <v>51</v>
      </c>
      <c r="B665" s="36">
        <f>SUM(E665:J665)</f>
        <v>51</v>
      </c>
      <c r="C665" s="6"/>
      <c r="D665" s="2" t="s">
        <v>9</v>
      </c>
      <c r="E665">
        <v>26</v>
      </c>
      <c r="H665" s="35">
        <v>25</v>
      </c>
    </row>
    <row r="666" spans="1:10" ht="12.75" customHeight="1" x14ac:dyDescent="0.25">
      <c r="A666" s="27" t="s">
        <v>5</v>
      </c>
      <c r="B666" s="37">
        <v>37514</v>
      </c>
      <c r="C666" s="4" t="s">
        <v>0</v>
      </c>
      <c r="D666" s="1"/>
      <c r="E666" s="8">
        <v>37485</v>
      </c>
      <c r="F666" s="8">
        <v>37485</v>
      </c>
      <c r="G666" s="8">
        <v>37485</v>
      </c>
      <c r="H666" s="49">
        <v>37513</v>
      </c>
      <c r="I666" s="21">
        <v>37513</v>
      </c>
      <c r="J666" s="22">
        <v>37513</v>
      </c>
    </row>
    <row r="667" spans="1:10" ht="12.75" customHeight="1" x14ac:dyDescent="0.25">
      <c r="A667" s="28" t="s">
        <v>6</v>
      </c>
      <c r="B667" s="33" t="s">
        <v>6</v>
      </c>
      <c r="C667" s="5">
        <v>134</v>
      </c>
      <c r="D667" s="2"/>
      <c r="E667" s="9" t="s">
        <v>2</v>
      </c>
      <c r="F667" s="9" t="s">
        <v>3</v>
      </c>
      <c r="G667" s="9" t="s">
        <v>4</v>
      </c>
      <c r="H667" s="50" t="s">
        <v>21</v>
      </c>
      <c r="I667" s="23" t="s">
        <v>22</v>
      </c>
      <c r="J667" s="24" t="s">
        <v>4</v>
      </c>
    </row>
    <row r="668" spans="1:10" ht="12.75" customHeight="1" x14ac:dyDescent="0.25">
      <c r="A668" s="29">
        <f>SUM(E668:G668)/3</f>
        <v>0.68</v>
      </c>
      <c r="B668" s="34">
        <f>SUM(E668:J668)/6</f>
        <v>0.73</v>
      </c>
      <c r="C668" s="6"/>
      <c r="D668" s="2" t="s">
        <v>7</v>
      </c>
      <c r="E668" s="10">
        <v>0.84</v>
      </c>
      <c r="F668" s="10">
        <v>0.68</v>
      </c>
      <c r="G668" s="10">
        <v>0.52</v>
      </c>
      <c r="H668" s="34">
        <v>0.86</v>
      </c>
      <c r="I668" s="10">
        <v>0.8</v>
      </c>
      <c r="J668" s="10">
        <v>0.68</v>
      </c>
    </row>
    <row r="669" spans="1:10" ht="12.75" customHeight="1" x14ac:dyDescent="0.25">
      <c r="B669" s="35">
        <f>SUM(E669:J669)</f>
        <v>5</v>
      </c>
      <c r="C669" s="6"/>
      <c r="D669" s="2" t="s">
        <v>8</v>
      </c>
      <c r="H669" s="35">
        <v>5</v>
      </c>
    </row>
    <row r="670" spans="1:10" ht="12.75" customHeight="1" x14ac:dyDescent="0.25">
      <c r="A670" s="31">
        <f>SUM(E670:N670)</f>
        <v>22</v>
      </c>
      <c r="B670" s="36">
        <f>SUM(E670:J670)</f>
        <v>22</v>
      </c>
      <c r="C670" s="6"/>
      <c r="D670" s="2" t="s">
        <v>9</v>
      </c>
      <c r="E670">
        <v>5</v>
      </c>
      <c r="H670" s="35">
        <v>17</v>
      </c>
    </row>
    <row r="671" spans="1:10" ht="12.75" customHeight="1" x14ac:dyDescent="0.25">
      <c r="A671" s="27" t="s">
        <v>5</v>
      </c>
      <c r="B671" s="37">
        <v>37514</v>
      </c>
      <c r="C671" s="4" t="s">
        <v>0</v>
      </c>
      <c r="D671" s="1"/>
      <c r="E671" s="8">
        <v>37485</v>
      </c>
      <c r="F671" s="8">
        <v>37485</v>
      </c>
      <c r="G671" s="8">
        <v>37485</v>
      </c>
      <c r="H671" s="49">
        <v>37513</v>
      </c>
      <c r="I671" s="21">
        <v>37513</v>
      </c>
      <c r="J671" s="22">
        <v>37513</v>
      </c>
    </row>
    <row r="672" spans="1:10" ht="12.75" customHeight="1" x14ac:dyDescent="0.25">
      <c r="A672" s="28" t="s">
        <v>6</v>
      </c>
      <c r="B672" s="33" t="s">
        <v>6</v>
      </c>
      <c r="C672" s="5">
        <v>135</v>
      </c>
      <c r="D672" s="2"/>
      <c r="E672" s="9" t="s">
        <v>2</v>
      </c>
      <c r="F672" s="9" t="s">
        <v>3</v>
      </c>
      <c r="G672" s="9" t="s">
        <v>4</v>
      </c>
      <c r="H672" s="50" t="s">
        <v>21</v>
      </c>
      <c r="I672" s="23" t="s">
        <v>22</v>
      </c>
      <c r="J672" s="24" t="s">
        <v>4</v>
      </c>
    </row>
    <row r="673" spans="1:10" ht="12.75" customHeight="1" x14ac:dyDescent="0.25">
      <c r="A673" s="29">
        <f>SUM(E673:G673)/3</f>
        <v>0.88</v>
      </c>
      <c r="B673" s="34">
        <f>SUM(E673:J673)/6</f>
        <v>0.85</v>
      </c>
      <c r="C673" s="6"/>
      <c r="D673" s="2" t="s">
        <v>7</v>
      </c>
      <c r="E673" s="10">
        <v>0.92</v>
      </c>
      <c r="F673" s="10">
        <v>0.92</v>
      </c>
      <c r="G673" s="10">
        <v>0.8</v>
      </c>
      <c r="H673" s="34">
        <v>0.82</v>
      </c>
      <c r="I673" s="10">
        <v>1</v>
      </c>
      <c r="J673" s="10">
        <v>0.64</v>
      </c>
    </row>
    <row r="674" spans="1:10" ht="12.75" customHeight="1" x14ac:dyDescent="0.25">
      <c r="B674" s="35">
        <f>SUM(E674:J674)</f>
        <v>5</v>
      </c>
      <c r="C674" s="6"/>
      <c r="D674" s="2" t="s">
        <v>8</v>
      </c>
      <c r="H674" s="35">
        <v>5</v>
      </c>
    </row>
    <row r="675" spans="1:10" ht="12.75" customHeight="1" x14ac:dyDescent="0.25">
      <c r="A675" s="31">
        <f>SUM(E675:N675)</f>
        <v>16</v>
      </c>
      <c r="B675" s="36">
        <f>SUM(E675:J675)</f>
        <v>16</v>
      </c>
      <c r="C675" s="6"/>
      <c r="D675" s="2" t="s">
        <v>9</v>
      </c>
      <c r="E675">
        <v>0</v>
      </c>
      <c r="H675" s="35">
        <v>16</v>
      </c>
    </row>
    <row r="676" spans="1:10" ht="12.75" customHeight="1" x14ac:dyDescent="0.25">
      <c r="A676" s="27" t="s">
        <v>5</v>
      </c>
      <c r="B676" s="37">
        <v>37514</v>
      </c>
      <c r="C676" s="4" t="s">
        <v>0</v>
      </c>
      <c r="D676" s="4" t="s">
        <v>10</v>
      </c>
      <c r="E676" s="17">
        <v>37485</v>
      </c>
      <c r="F676" s="17">
        <v>37485</v>
      </c>
      <c r="G676" s="17">
        <v>37485</v>
      </c>
      <c r="H676" s="49">
        <v>37513</v>
      </c>
      <c r="I676" s="42">
        <v>37513</v>
      </c>
      <c r="J676" s="43">
        <v>37513</v>
      </c>
    </row>
    <row r="677" spans="1:10" ht="12.75" customHeight="1" x14ac:dyDescent="0.25">
      <c r="A677" s="28" t="s">
        <v>6</v>
      </c>
      <c r="B677" s="33" t="s">
        <v>6</v>
      </c>
      <c r="C677" s="5">
        <v>136</v>
      </c>
      <c r="D677" s="6"/>
      <c r="E677" s="18" t="s">
        <v>2</v>
      </c>
      <c r="F677" s="18" t="s">
        <v>3</v>
      </c>
      <c r="G677" s="18" t="s">
        <v>4</v>
      </c>
      <c r="H677" s="50" t="s">
        <v>21</v>
      </c>
      <c r="I677" s="14" t="s">
        <v>22</v>
      </c>
      <c r="J677" s="41" t="s">
        <v>4</v>
      </c>
    </row>
    <row r="678" spans="1:10" ht="12.75" customHeight="1" x14ac:dyDescent="0.25">
      <c r="A678" s="29">
        <f>SUM(E678:G678)/3</f>
        <v>0</v>
      </c>
      <c r="B678" s="34">
        <f>SUM(E678:J678)/6</f>
        <v>0</v>
      </c>
      <c r="C678" s="6"/>
      <c r="D678" s="6" t="s">
        <v>7</v>
      </c>
      <c r="E678" s="19"/>
      <c r="F678" s="19"/>
      <c r="G678" s="19"/>
      <c r="I678" s="16"/>
      <c r="J678" s="16"/>
    </row>
    <row r="679" spans="1:10" ht="12.75" customHeight="1" x14ac:dyDescent="0.25">
      <c r="B679" s="35">
        <f>SUM(E679:J679)</f>
        <v>0</v>
      </c>
      <c r="C679" s="6"/>
      <c r="D679" s="6" t="s">
        <v>8</v>
      </c>
      <c r="E679" s="20"/>
      <c r="F679" s="20"/>
      <c r="G679" s="20"/>
      <c r="I679" s="16"/>
      <c r="J679" s="16"/>
    </row>
    <row r="680" spans="1:10" ht="12.75" customHeight="1" x14ac:dyDescent="0.25">
      <c r="A680" s="31">
        <f>SUM(E680:N680)</f>
        <v>0</v>
      </c>
      <c r="B680" s="36">
        <f>SUM(E680:J680)</f>
        <v>0</v>
      </c>
      <c r="C680" s="6"/>
      <c r="D680" s="6" t="s">
        <v>9</v>
      </c>
      <c r="E680" s="20"/>
      <c r="F680" s="20"/>
      <c r="G680" s="20"/>
      <c r="I680" s="16"/>
      <c r="J680" s="16"/>
    </row>
    <row r="681" spans="1:10" ht="12.75" customHeight="1" x14ac:dyDescent="0.25">
      <c r="A681" s="27" t="s">
        <v>5</v>
      </c>
      <c r="B681" s="37">
        <v>37514</v>
      </c>
      <c r="C681" s="4" t="s">
        <v>0</v>
      </c>
      <c r="D681" s="1"/>
      <c r="E681" s="8">
        <v>37485</v>
      </c>
      <c r="F681" s="8">
        <v>37485</v>
      </c>
      <c r="G681" s="8">
        <v>37485</v>
      </c>
      <c r="H681" s="49">
        <v>37513</v>
      </c>
      <c r="I681" s="21">
        <v>37513</v>
      </c>
      <c r="J681" s="22">
        <v>37513</v>
      </c>
    </row>
    <row r="682" spans="1:10" ht="12.75" customHeight="1" x14ac:dyDescent="0.25">
      <c r="A682" s="28" t="s">
        <v>6</v>
      </c>
      <c r="B682" s="33" t="s">
        <v>6</v>
      </c>
      <c r="C682" s="5">
        <v>137</v>
      </c>
      <c r="D682" s="2"/>
      <c r="E682" s="9" t="s">
        <v>2</v>
      </c>
      <c r="F682" s="9" t="s">
        <v>3</v>
      </c>
      <c r="G682" s="9" t="s">
        <v>4</v>
      </c>
      <c r="H682" s="50" t="s">
        <v>21</v>
      </c>
      <c r="I682" s="23" t="s">
        <v>22</v>
      </c>
      <c r="J682" s="24" t="s">
        <v>4</v>
      </c>
    </row>
    <row r="683" spans="1:10" ht="12.75" customHeight="1" x14ac:dyDescent="0.25">
      <c r="A683" s="29">
        <f>SUM(E683:G683)/3</f>
        <v>0.77333333333333343</v>
      </c>
      <c r="B683" s="34">
        <f>SUM(E683:J683)/6</f>
        <v>0.79333333333333333</v>
      </c>
      <c r="C683" s="6"/>
      <c r="D683" s="2" t="s">
        <v>7</v>
      </c>
      <c r="E683" s="10">
        <v>0.76</v>
      </c>
      <c r="F683" s="10">
        <v>0.84</v>
      </c>
      <c r="G683" s="10">
        <v>0.72</v>
      </c>
      <c r="H683" s="34">
        <v>0.88</v>
      </c>
      <c r="I683" s="10">
        <v>0.96</v>
      </c>
      <c r="J683" s="10">
        <v>0.6</v>
      </c>
    </row>
    <row r="684" spans="1:10" ht="12.75" customHeight="1" x14ac:dyDescent="0.25">
      <c r="B684" s="35">
        <f>SUM(E684:J684)</f>
        <v>5</v>
      </c>
      <c r="C684" s="6"/>
      <c r="D684" s="2" t="s">
        <v>8</v>
      </c>
      <c r="H684" s="35">
        <v>5</v>
      </c>
    </row>
    <row r="685" spans="1:10" ht="12.75" customHeight="1" x14ac:dyDescent="0.25">
      <c r="A685" s="31">
        <f>SUM(E685:N685)</f>
        <v>30</v>
      </c>
      <c r="B685" s="36">
        <f>SUM(E685:J685)</f>
        <v>30</v>
      </c>
      <c r="C685" s="6"/>
      <c r="D685" s="2" t="s">
        <v>9</v>
      </c>
      <c r="E685">
        <v>10</v>
      </c>
      <c r="H685" s="35">
        <v>20</v>
      </c>
    </row>
    <row r="686" spans="1:10" ht="12.75" customHeight="1" x14ac:dyDescent="0.25">
      <c r="A686" s="27" t="s">
        <v>5</v>
      </c>
      <c r="B686" s="37">
        <v>37514</v>
      </c>
      <c r="C686" s="4" t="s">
        <v>0</v>
      </c>
      <c r="D686" s="1"/>
      <c r="E686" s="8">
        <v>37485</v>
      </c>
      <c r="F686" s="8">
        <v>37485</v>
      </c>
      <c r="G686" s="8">
        <v>37485</v>
      </c>
      <c r="H686" s="49">
        <v>37513</v>
      </c>
      <c r="I686" s="21">
        <v>37513</v>
      </c>
      <c r="J686" s="22">
        <v>37513</v>
      </c>
    </row>
    <row r="687" spans="1:10" ht="12.75" customHeight="1" x14ac:dyDescent="0.25">
      <c r="A687" s="28" t="s">
        <v>6</v>
      </c>
      <c r="B687" s="33" t="s">
        <v>6</v>
      </c>
      <c r="C687" s="5">
        <v>138</v>
      </c>
      <c r="D687" s="2"/>
      <c r="E687" s="9" t="s">
        <v>2</v>
      </c>
      <c r="F687" s="9" t="s">
        <v>3</v>
      </c>
      <c r="G687" s="9" t="s">
        <v>4</v>
      </c>
      <c r="H687" s="50" t="s">
        <v>21</v>
      </c>
      <c r="I687" s="23" t="s">
        <v>22</v>
      </c>
      <c r="J687" s="24" t="s">
        <v>4</v>
      </c>
    </row>
    <row r="688" spans="1:10" ht="12.75" customHeight="1" x14ac:dyDescent="0.25">
      <c r="A688" s="29">
        <f>SUM(E688:G688)/3</f>
        <v>0.93333333333333324</v>
      </c>
      <c r="B688" s="34">
        <f>SUM(E688:J688)/6</f>
        <v>0.92666666666666664</v>
      </c>
      <c r="C688" s="6"/>
      <c r="D688" s="2" t="s">
        <v>7</v>
      </c>
      <c r="E688" s="10">
        <v>0.96</v>
      </c>
      <c r="F688" s="10">
        <v>0.92</v>
      </c>
      <c r="G688" s="10">
        <v>0.92</v>
      </c>
      <c r="H688" s="34">
        <v>0.88</v>
      </c>
      <c r="I688" s="10">
        <v>1</v>
      </c>
      <c r="J688" s="10">
        <v>0.88</v>
      </c>
    </row>
    <row r="689" spans="1:10" ht="12.75" customHeight="1" x14ac:dyDescent="0.25">
      <c r="B689" s="35">
        <f>SUM(E689:J689)</f>
        <v>5</v>
      </c>
      <c r="C689" s="6"/>
      <c r="D689" s="2" t="s">
        <v>8</v>
      </c>
      <c r="H689" s="35">
        <v>5</v>
      </c>
    </row>
    <row r="690" spans="1:10" ht="12.75" customHeight="1" x14ac:dyDescent="0.25">
      <c r="A690" s="31">
        <f>SUM(E690:N690)</f>
        <v>50</v>
      </c>
      <c r="B690" s="36">
        <f>SUM(E690:J690)</f>
        <v>50</v>
      </c>
      <c r="C690" s="6"/>
      <c r="D690" s="2" t="s">
        <v>9</v>
      </c>
      <c r="E690">
        <v>25</v>
      </c>
      <c r="H690" s="35">
        <v>25</v>
      </c>
    </row>
    <row r="691" spans="1:10" ht="12.75" customHeight="1" x14ac:dyDescent="0.25">
      <c r="A691" s="27" t="s">
        <v>5</v>
      </c>
      <c r="B691" s="37">
        <v>37514</v>
      </c>
      <c r="C691" s="4" t="s">
        <v>0</v>
      </c>
      <c r="D691" s="1"/>
      <c r="E691" s="8">
        <v>37485</v>
      </c>
      <c r="F691" s="8">
        <v>37485</v>
      </c>
      <c r="G691" s="8">
        <v>37485</v>
      </c>
      <c r="H691" s="49">
        <v>37513</v>
      </c>
      <c r="I691" s="21">
        <v>37513</v>
      </c>
      <c r="J691" s="22">
        <v>37513</v>
      </c>
    </row>
    <row r="692" spans="1:10" ht="12.75" customHeight="1" x14ac:dyDescent="0.25">
      <c r="A692" s="28" t="s">
        <v>6</v>
      </c>
      <c r="B692" s="33" t="s">
        <v>6</v>
      </c>
      <c r="C692" s="5">
        <v>139</v>
      </c>
      <c r="D692" s="2"/>
      <c r="E692" s="9" t="s">
        <v>2</v>
      </c>
      <c r="F692" s="9" t="s">
        <v>3</v>
      </c>
      <c r="G692" s="9" t="s">
        <v>4</v>
      </c>
      <c r="H692" s="50" t="s">
        <v>21</v>
      </c>
      <c r="I692" s="23" t="s">
        <v>22</v>
      </c>
      <c r="J692" s="24" t="s">
        <v>4</v>
      </c>
    </row>
    <row r="693" spans="1:10" ht="12.75" customHeight="1" x14ac:dyDescent="0.25">
      <c r="A693" s="29">
        <f>SUM(E693:G693)/3</f>
        <v>0.7466666666666667</v>
      </c>
      <c r="B693" s="34">
        <f>SUM(E693:J693)/6</f>
        <v>0.76333333333333331</v>
      </c>
      <c r="C693" s="6"/>
      <c r="D693" s="2" t="s">
        <v>7</v>
      </c>
      <c r="E693" s="10">
        <v>0.84</v>
      </c>
      <c r="F693" s="10">
        <v>0.76</v>
      </c>
      <c r="G693" s="10">
        <v>0.64</v>
      </c>
      <c r="H693" s="34">
        <v>0.82</v>
      </c>
      <c r="I693" s="10">
        <v>0.92</v>
      </c>
      <c r="J693" s="10">
        <v>0.6</v>
      </c>
    </row>
    <row r="694" spans="1:10" ht="12.75" customHeight="1" x14ac:dyDescent="0.25">
      <c r="B694" s="35">
        <f>SUM(E694:J694)</f>
        <v>5</v>
      </c>
      <c r="C694" s="6"/>
      <c r="D694" s="2" t="s">
        <v>8</v>
      </c>
      <c r="H694" s="35">
        <v>5</v>
      </c>
    </row>
    <row r="695" spans="1:10" ht="12.75" customHeight="1" x14ac:dyDescent="0.25">
      <c r="A695" s="31">
        <f>SUM(E695:N695)</f>
        <v>147</v>
      </c>
      <c r="B695" s="36">
        <f>SUM(E695:J695)</f>
        <v>147</v>
      </c>
      <c r="C695" s="6"/>
      <c r="D695" s="2" t="s">
        <v>9</v>
      </c>
      <c r="H695" s="35">
        <v>147</v>
      </c>
    </row>
    <row r="696" spans="1:10" ht="12.75" customHeight="1" x14ac:dyDescent="0.25">
      <c r="A696" s="27" t="s">
        <v>5</v>
      </c>
      <c r="B696" s="37">
        <v>37514</v>
      </c>
      <c r="C696" s="4" t="s">
        <v>0</v>
      </c>
      <c r="D696" s="1"/>
      <c r="E696" s="8">
        <v>37485</v>
      </c>
      <c r="F696" s="8">
        <v>37485</v>
      </c>
      <c r="G696" s="8">
        <v>37485</v>
      </c>
      <c r="H696" s="49">
        <v>37513</v>
      </c>
      <c r="I696" s="21">
        <v>37513</v>
      </c>
      <c r="J696" s="22">
        <v>37513</v>
      </c>
    </row>
    <row r="697" spans="1:10" ht="12.75" customHeight="1" x14ac:dyDescent="0.25">
      <c r="A697" s="28" t="s">
        <v>6</v>
      </c>
      <c r="B697" s="33" t="s">
        <v>6</v>
      </c>
      <c r="C697" s="5">
        <v>140</v>
      </c>
      <c r="D697" s="2"/>
      <c r="E697" s="9" t="s">
        <v>2</v>
      </c>
      <c r="F697" s="9" t="s">
        <v>3</v>
      </c>
      <c r="G697" s="9" t="s">
        <v>4</v>
      </c>
      <c r="H697" s="50" t="s">
        <v>21</v>
      </c>
      <c r="I697" s="23" t="s">
        <v>22</v>
      </c>
      <c r="J697" s="24" t="s">
        <v>4</v>
      </c>
    </row>
    <row r="698" spans="1:10" ht="12.75" customHeight="1" x14ac:dyDescent="0.25">
      <c r="A698" s="29">
        <f>SUM(E698:G698)/3</f>
        <v>0.85333333333333339</v>
      </c>
      <c r="B698" s="34">
        <f>SUM(E698:J698)/6</f>
        <v>0.8666666666666667</v>
      </c>
      <c r="C698" s="6"/>
      <c r="D698" s="2" t="s">
        <v>7</v>
      </c>
      <c r="E698" s="10">
        <v>0.96</v>
      </c>
      <c r="F698" s="10">
        <v>0.76</v>
      </c>
      <c r="G698" s="10">
        <v>0.84</v>
      </c>
      <c r="H698" s="34">
        <v>0.88</v>
      </c>
      <c r="I698" s="10">
        <v>0.96</v>
      </c>
      <c r="J698" s="10">
        <v>0.8</v>
      </c>
    </row>
    <row r="699" spans="1:10" ht="12.75" customHeight="1" x14ac:dyDescent="0.25">
      <c r="B699" s="35">
        <f>SUM(E699:J699)</f>
        <v>5</v>
      </c>
      <c r="D699" s="2" t="s">
        <v>8</v>
      </c>
      <c r="H699" s="35">
        <v>5</v>
      </c>
    </row>
    <row r="700" spans="1:10" ht="12.75" customHeight="1" x14ac:dyDescent="0.25">
      <c r="A700" s="31">
        <f>SUM(E700:N700)</f>
        <v>0</v>
      </c>
      <c r="B700" s="36">
        <f>SUM(E700:J700)</f>
        <v>0</v>
      </c>
      <c r="D700" s="2" t="s">
        <v>9</v>
      </c>
      <c r="E700">
        <v>0</v>
      </c>
      <c r="H700" s="35">
        <v>0</v>
      </c>
    </row>
    <row r="701" spans="1:10" ht="12.75" customHeight="1" x14ac:dyDescent="0.25">
      <c r="A701" s="27" t="s">
        <v>5</v>
      </c>
      <c r="B701" s="37">
        <v>37514</v>
      </c>
      <c r="C701" s="4" t="s">
        <v>0</v>
      </c>
      <c r="D701" s="4" t="s">
        <v>10</v>
      </c>
      <c r="E701" s="17">
        <v>37485</v>
      </c>
      <c r="F701" s="17">
        <v>37485</v>
      </c>
      <c r="G701" s="17">
        <v>37485</v>
      </c>
      <c r="H701" s="49">
        <v>37513</v>
      </c>
      <c r="I701" s="38">
        <v>37513</v>
      </c>
      <c r="J701" s="39">
        <v>37513</v>
      </c>
    </row>
    <row r="702" spans="1:10" ht="12.75" customHeight="1" x14ac:dyDescent="0.25">
      <c r="A702" s="28" t="s">
        <v>6</v>
      </c>
      <c r="B702" s="33" t="s">
        <v>6</v>
      </c>
      <c r="C702" s="5">
        <v>141</v>
      </c>
      <c r="D702" s="6"/>
      <c r="E702" s="18" t="s">
        <v>2</v>
      </c>
      <c r="F702" s="18" t="s">
        <v>3</v>
      </c>
      <c r="G702" s="18" t="s">
        <v>4</v>
      </c>
      <c r="H702" s="50" t="s">
        <v>21</v>
      </c>
      <c r="I702" s="18" t="s">
        <v>22</v>
      </c>
      <c r="J702" s="40" t="s">
        <v>4</v>
      </c>
    </row>
    <row r="703" spans="1:10" ht="12.75" customHeight="1" x14ac:dyDescent="0.25">
      <c r="A703" s="29">
        <f>SUM(E703:G703)/3</f>
        <v>0</v>
      </c>
      <c r="B703" s="34">
        <f>SUM(E703:J703)/6</f>
        <v>0</v>
      </c>
      <c r="C703" s="6"/>
      <c r="D703" s="6" t="s">
        <v>7</v>
      </c>
      <c r="E703" s="19"/>
      <c r="F703" s="19"/>
      <c r="G703" s="19"/>
      <c r="I703" s="20"/>
      <c r="J703" s="20"/>
    </row>
    <row r="704" spans="1:10" ht="12.75" customHeight="1" x14ac:dyDescent="0.25">
      <c r="B704" s="35">
        <f>SUM(E704:J704)</f>
        <v>0</v>
      </c>
      <c r="C704" s="6"/>
      <c r="D704" s="6" t="s">
        <v>8</v>
      </c>
      <c r="E704" s="20"/>
      <c r="F704" s="20"/>
      <c r="G704" s="20"/>
      <c r="I704" s="20"/>
      <c r="J704" s="20"/>
    </row>
    <row r="705" spans="1:10" ht="12.75" customHeight="1" x14ac:dyDescent="0.25">
      <c r="A705" s="31">
        <f>SUM(E705:N705)</f>
        <v>0</v>
      </c>
      <c r="B705" s="36">
        <f>SUM(E705:J705)</f>
        <v>0</v>
      </c>
      <c r="C705" s="6"/>
      <c r="D705" s="6" t="s">
        <v>9</v>
      </c>
      <c r="E705" s="20"/>
      <c r="F705" s="20"/>
      <c r="G705" s="20"/>
      <c r="I705" s="20"/>
      <c r="J705" s="20"/>
    </row>
    <row r="706" spans="1:10" ht="12.75" customHeight="1" x14ac:dyDescent="0.25">
      <c r="A706" s="27" t="s">
        <v>5</v>
      </c>
      <c r="B706" s="37">
        <v>37514</v>
      </c>
      <c r="C706" s="4" t="s">
        <v>0</v>
      </c>
      <c r="D706" s="1"/>
      <c r="E706" s="8">
        <v>37485</v>
      </c>
      <c r="F706" s="8">
        <v>37485</v>
      </c>
      <c r="G706" s="8">
        <v>37485</v>
      </c>
      <c r="H706" s="49">
        <v>37513</v>
      </c>
      <c r="I706" s="21">
        <v>37513</v>
      </c>
      <c r="J706" s="22">
        <v>37513</v>
      </c>
    </row>
    <row r="707" spans="1:10" ht="12.75" customHeight="1" x14ac:dyDescent="0.25">
      <c r="A707" s="28" t="s">
        <v>6</v>
      </c>
      <c r="B707" s="33" t="s">
        <v>6</v>
      </c>
      <c r="C707" s="5">
        <v>142</v>
      </c>
      <c r="D707" s="2"/>
      <c r="E707" s="9" t="s">
        <v>2</v>
      </c>
      <c r="F707" s="9" t="s">
        <v>3</v>
      </c>
      <c r="G707" s="9" t="s">
        <v>4</v>
      </c>
      <c r="H707" s="50" t="s">
        <v>21</v>
      </c>
      <c r="I707" s="23" t="s">
        <v>22</v>
      </c>
      <c r="J707" s="24" t="s">
        <v>4</v>
      </c>
    </row>
    <row r="708" spans="1:10" ht="12.75" customHeight="1" x14ac:dyDescent="0.25">
      <c r="A708" s="29">
        <f>SUM(E708:G708)/3</f>
        <v>0.96</v>
      </c>
      <c r="B708" s="34">
        <f>SUM(E708:J708)/6</f>
        <v>0.93</v>
      </c>
      <c r="C708" s="6"/>
      <c r="D708" s="2" t="s">
        <v>7</v>
      </c>
      <c r="E708" s="10">
        <v>0.92</v>
      </c>
      <c r="F708" s="10">
        <v>0.96</v>
      </c>
      <c r="G708" s="10">
        <v>1</v>
      </c>
      <c r="H708" s="34">
        <v>0.9</v>
      </c>
      <c r="I708" s="10">
        <v>0.92</v>
      </c>
      <c r="J708" s="10">
        <v>0.88</v>
      </c>
    </row>
    <row r="709" spans="1:10" ht="12.75" customHeight="1" x14ac:dyDescent="0.25">
      <c r="B709" s="35">
        <f>SUM(E709:J709)</f>
        <v>5</v>
      </c>
      <c r="C709" s="6"/>
      <c r="D709" s="2" t="s">
        <v>8</v>
      </c>
      <c r="H709" s="35">
        <v>5</v>
      </c>
    </row>
    <row r="710" spans="1:10" ht="12.75" customHeight="1" x14ac:dyDescent="0.25">
      <c r="A710" s="31">
        <f>SUM(E710:N710)</f>
        <v>12</v>
      </c>
      <c r="B710" s="36">
        <f>SUM(E710:J710)</f>
        <v>12</v>
      </c>
      <c r="C710" s="6"/>
      <c r="D710" s="2" t="s">
        <v>9</v>
      </c>
      <c r="E710">
        <v>2</v>
      </c>
      <c r="H710" s="35">
        <v>10</v>
      </c>
    </row>
    <row r="711" spans="1:10" ht="12.75" customHeight="1" x14ac:dyDescent="0.25">
      <c r="A711" s="27" t="s">
        <v>5</v>
      </c>
      <c r="B711" s="37">
        <v>37514</v>
      </c>
      <c r="C711" s="4" t="s">
        <v>0</v>
      </c>
      <c r="D711" s="1"/>
      <c r="E711" s="8">
        <v>37485</v>
      </c>
      <c r="F711" s="8">
        <v>37485</v>
      </c>
      <c r="G711" s="8">
        <v>37485</v>
      </c>
      <c r="H711" s="49">
        <v>37513</v>
      </c>
      <c r="I711" s="21">
        <v>37513</v>
      </c>
      <c r="J711" s="22">
        <v>37513</v>
      </c>
    </row>
    <row r="712" spans="1:10" ht="12.75" customHeight="1" x14ac:dyDescent="0.25">
      <c r="A712" s="28" t="s">
        <v>6</v>
      </c>
      <c r="B712" s="33" t="s">
        <v>6</v>
      </c>
      <c r="C712" s="5">
        <v>143</v>
      </c>
      <c r="D712" s="2"/>
      <c r="E712" s="9" t="s">
        <v>2</v>
      </c>
      <c r="F712" s="9" t="s">
        <v>3</v>
      </c>
      <c r="G712" s="9" t="s">
        <v>4</v>
      </c>
      <c r="H712" s="50" t="s">
        <v>21</v>
      </c>
      <c r="I712" s="23" t="s">
        <v>22</v>
      </c>
      <c r="J712" s="24" t="s">
        <v>4</v>
      </c>
    </row>
    <row r="713" spans="1:10" ht="12.75" customHeight="1" x14ac:dyDescent="0.25">
      <c r="A713" s="29">
        <f>SUM(E713:G713)/3</f>
        <v>0.89333333333333342</v>
      </c>
      <c r="B713" s="34">
        <f>SUM(E713:J713)/6</f>
        <v>0.84</v>
      </c>
      <c r="C713" s="6"/>
      <c r="D713" s="2" t="s">
        <v>7</v>
      </c>
      <c r="E713" s="10">
        <v>0.92</v>
      </c>
      <c r="F713" s="10">
        <v>0.84</v>
      </c>
      <c r="G713" s="10">
        <v>0.92</v>
      </c>
      <c r="H713" s="34">
        <v>0.76</v>
      </c>
      <c r="I713" s="10">
        <v>0.96</v>
      </c>
      <c r="J713" s="10">
        <v>0.64</v>
      </c>
    </row>
    <row r="714" spans="1:10" ht="12.75" customHeight="1" x14ac:dyDescent="0.25">
      <c r="B714" s="35">
        <f>SUM(E714:J714)</f>
        <v>0</v>
      </c>
      <c r="C714" s="6"/>
      <c r="D714" s="2" t="s">
        <v>8</v>
      </c>
      <c r="H714" s="35">
        <v>0</v>
      </c>
    </row>
    <row r="715" spans="1:10" ht="12.75" customHeight="1" x14ac:dyDescent="0.25">
      <c r="A715" s="31">
        <f>SUM(E715:N715)</f>
        <v>0</v>
      </c>
      <c r="B715" s="36">
        <f>SUM(E715:J715)</f>
        <v>0</v>
      </c>
      <c r="C715" s="6"/>
      <c r="D715" s="2" t="s">
        <v>9</v>
      </c>
      <c r="E715">
        <v>0</v>
      </c>
      <c r="H715" s="35">
        <v>0</v>
      </c>
    </row>
    <row r="716" spans="1:10" ht="12.75" customHeight="1" x14ac:dyDescent="0.25">
      <c r="A716" s="27" t="s">
        <v>5</v>
      </c>
      <c r="B716" s="37">
        <v>37514</v>
      </c>
      <c r="C716" s="4" t="s">
        <v>0</v>
      </c>
      <c r="D716" s="1"/>
      <c r="E716" s="8">
        <v>37485</v>
      </c>
      <c r="F716" s="8">
        <v>37485</v>
      </c>
      <c r="G716" s="8">
        <v>37485</v>
      </c>
      <c r="H716" s="49">
        <v>37513</v>
      </c>
      <c r="I716" s="21">
        <v>37513</v>
      </c>
      <c r="J716" s="22">
        <v>37513</v>
      </c>
    </row>
    <row r="717" spans="1:10" ht="12.75" customHeight="1" x14ac:dyDescent="0.25">
      <c r="A717" s="28" t="s">
        <v>6</v>
      </c>
      <c r="B717" s="33" t="s">
        <v>6</v>
      </c>
      <c r="C717" s="5">
        <v>144</v>
      </c>
      <c r="D717" s="2"/>
      <c r="E717" s="9" t="s">
        <v>2</v>
      </c>
      <c r="F717" s="9" t="s">
        <v>3</v>
      </c>
      <c r="G717" s="9" t="s">
        <v>4</v>
      </c>
      <c r="H717" s="50" t="s">
        <v>21</v>
      </c>
      <c r="I717" s="23" t="s">
        <v>22</v>
      </c>
      <c r="J717" s="24" t="s">
        <v>4</v>
      </c>
    </row>
    <row r="718" spans="1:10" ht="12.75" customHeight="1" x14ac:dyDescent="0.25">
      <c r="A718" s="29">
        <f>SUM(E718:G718)/3</f>
        <v>0.90666666666666662</v>
      </c>
      <c r="B718" s="34">
        <f>SUM(E718:J718)/6</f>
        <v>0.89666666666666661</v>
      </c>
      <c r="C718" s="6"/>
      <c r="D718" s="2" t="s">
        <v>7</v>
      </c>
      <c r="E718" s="10">
        <v>1</v>
      </c>
      <c r="F718" s="10">
        <v>0.88</v>
      </c>
      <c r="G718" s="10">
        <v>0.84</v>
      </c>
      <c r="H718" s="34">
        <v>0.9</v>
      </c>
      <c r="I718" s="10">
        <v>0.96</v>
      </c>
      <c r="J718" s="10">
        <v>0.8</v>
      </c>
    </row>
    <row r="719" spans="1:10" ht="12.75" customHeight="1" x14ac:dyDescent="0.25">
      <c r="B719" s="35">
        <f>SUM(E719:J719)</f>
        <v>5</v>
      </c>
      <c r="C719" s="6"/>
      <c r="D719" s="2" t="s">
        <v>8</v>
      </c>
      <c r="H719" s="35">
        <v>5</v>
      </c>
    </row>
    <row r="720" spans="1:10" ht="12.75" customHeight="1" x14ac:dyDescent="0.25">
      <c r="A720" s="31">
        <f>SUM(E720:N720)</f>
        <v>27</v>
      </c>
      <c r="B720" s="36">
        <f>SUM(E720:J720)</f>
        <v>27</v>
      </c>
      <c r="C720" s="6"/>
      <c r="D720" s="2" t="s">
        <v>9</v>
      </c>
      <c r="E720">
        <v>10</v>
      </c>
      <c r="H720" s="35">
        <v>17</v>
      </c>
    </row>
    <row r="721" spans="1:10" ht="12.75" customHeight="1" x14ac:dyDescent="0.25">
      <c r="A721" s="27" t="s">
        <v>5</v>
      </c>
      <c r="B721" s="37">
        <v>37514</v>
      </c>
      <c r="C721" s="4" t="s">
        <v>0</v>
      </c>
      <c r="D721" s="1"/>
      <c r="E721" s="8">
        <v>37485</v>
      </c>
      <c r="F721" s="8">
        <v>37485</v>
      </c>
      <c r="G721" s="8">
        <v>37485</v>
      </c>
      <c r="H721" s="49">
        <v>37513</v>
      </c>
      <c r="I721" s="21">
        <v>37513</v>
      </c>
      <c r="J721" s="22">
        <v>37513</v>
      </c>
    </row>
    <row r="722" spans="1:10" ht="12.75" customHeight="1" x14ac:dyDescent="0.25">
      <c r="A722" s="28" t="s">
        <v>6</v>
      </c>
      <c r="B722" s="33" t="s">
        <v>6</v>
      </c>
      <c r="C722" s="5">
        <v>145</v>
      </c>
      <c r="D722" s="2"/>
      <c r="E722" s="9" t="s">
        <v>2</v>
      </c>
      <c r="F722" s="9" t="s">
        <v>3</v>
      </c>
      <c r="G722" s="9" t="s">
        <v>4</v>
      </c>
      <c r="H722" s="50" t="s">
        <v>21</v>
      </c>
      <c r="I722" s="23" t="s">
        <v>22</v>
      </c>
      <c r="J722" s="24" t="s">
        <v>4</v>
      </c>
    </row>
    <row r="723" spans="1:10" ht="12.75" customHeight="1" x14ac:dyDescent="0.25">
      <c r="A723" s="29">
        <f>SUM(E723:G723)/3</f>
        <v>0.80000000000000016</v>
      </c>
      <c r="B723" s="34">
        <f>SUM(E723:J723)/6</f>
        <v>0.84</v>
      </c>
      <c r="C723" s="6"/>
      <c r="D723" s="2" t="s">
        <v>7</v>
      </c>
      <c r="E723" s="10">
        <v>0.84</v>
      </c>
      <c r="F723" s="10">
        <v>0.76</v>
      </c>
      <c r="G723" s="10">
        <v>0.8</v>
      </c>
      <c r="H723" s="34">
        <v>0.88</v>
      </c>
      <c r="I723" s="10">
        <v>1</v>
      </c>
      <c r="J723" s="10">
        <v>0.76</v>
      </c>
    </row>
    <row r="724" spans="1:10" ht="12.75" customHeight="1" x14ac:dyDescent="0.25">
      <c r="B724" s="35">
        <f>SUM(E724:J724)</f>
        <v>5</v>
      </c>
      <c r="C724" s="6"/>
      <c r="D724" s="2" t="s">
        <v>8</v>
      </c>
      <c r="H724" s="35">
        <v>5</v>
      </c>
    </row>
    <row r="725" spans="1:10" ht="12.75" customHeight="1" x14ac:dyDescent="0.25">
      <c r="A725" s="31">
        <f>SUM(E725:N725)</f>
        <v>152</v>
      </c>
      <c r="B725" s="36">
        <f>SUM(E725:J725)</f>
        <v>152</v>
      </c>
      <c r="C725" s="6"/>
      <c r="D725" s="2" t="s">
        <v>9</v>
      </c>
      <c r="E725">
        <v>0</v>
      </c>
      <c r="H725" s="35">
        <v>152</v>
      </c>
    </row>
    <row r="726" spans="1:10" ht="12.75" customHeight="1" x14ac:dyDescent="0.25">
      <c r="A726" s="27" t="s">
        <v>5</v>
      </c>
      <c r="B726" s="37">
        <v>37514</v>
      </c>
      <c r="C726" s="4" t="s">
        <v>0</v>
      </c>
      <c r="D726" s="1"/>
      <c r="E726" s="8">
        <v>37485</v>
      </c>
      <c r="F726" s="8">
        <v>37485</v>
      </c>
      <c r="G726" s="8">
        <v>37485</v>
      </c>
      <c r="H726" s="49">
        <v>37513</v>
      </c>
      <c r="I726" s="21">
        <v>37513</v>
      </c>
      <c r="J726" s="22">
        <v>37513</v>
      </c>
    </row>
    <row r="727" spans="1:10" ht="12.75" customHeight="1" x14ac:dyDescent="0.25">
      <c r="A727" s="28" t="s">
        <v>6</v>
      </c>
      <c r="B727" s="33" t="s">
        <v>6</v>
      </c>
      <c r="C727" s="5">
        <v>146</v>
      </c>
      <c r="D727" s="2"/>
      <c r="E727" s="9" t="s">
        <v>2</v>
      </c>
      <c r="F727" s="9" t="s">
        <v>3</v>
      </c>
      <c r="G727" s="9" t="s">
        <v>4</v>
      </c>
      <c r="H727" s="50" t="s">
        <v>21</v>
      </c>
      <c r="I727" s="23" t="s">
        <v>22</v>
      </c>
      <c r="J727" s="24" t="s">
        <v>4</v>
      </c>
    </row>
    <row r="728" spans="1:10" ht="12.75" customHeight="1" x14ac:dyDescent="0.25">
      <c r="A728" s="29">
        <f>SUM(E728:G728)/3</f>
        <v>0.52</v>
      </c>
      <c r="B728" s="34">
        <f>SUM(E728:J728)/6</f>
        <v>0.59666666666666657</v>
      </c>
      <c r="C728" s="6"/>
      <c r="D728" s="2" t="s">
        <v>7</v>
      </c>
      <c r="E728" s="10">
        <v>0.68</v>
      </c>
      <c r="F728" s="10">
        <v>0.52</v>
      </c>
      <c r="G728" s="10">
        <v>0.36</v>
      </c>
      <c r="H728" s="34">
        <v>0.82</v>
      </c>
      <c r="I728" s="10">
        <v>0.8</v>
      </c>
      <c r="J728" s="10">
        <v>0.4</v>
      </c>
    </row>
    <row r="729" spans="1:10" ht="12.75" customHeight="1" x14ac:dyDescent="0.25">
      <c r="B729" s="35">
        <f>SUM(E729:J729)</f>
        <v>5</v>
      </c>
      <c r="C729" s="6"/>
      <c r="D729" s="2" t="s">
        <v>8</v>
      </c>
      <c r="H729" s="35">
        <v>5</v>
      </c>
    </row>
    <row r="730" spans="1:10" ht="12.75" customHeight="1" x14ac:dyDescent="0.25">
      <c r="A730" s="31">
        <f>SUM(E730:N730)</f>
        <v>4</v>
      </c>
      <c r="B730" s="36">
        <f>SUM(E730:J730)</f>
        <v>4</v>
      </c>
      <c r="C730" s="6"/>
      <c r="D730" s="2" t="s">
        <v>9</v>
      </c>
      <c r="E730">
        <v>0</v>
      </c>
      <c r="H730" s="35">
        <v>4</v>
      </c>
    </row>
    <row r="731" spans="1:10" ht="12.75" customHeight="1" x14ac:dyDescent="0.25">
      <c r="A731" s="27" t="s">
        <v>5</v>
      </c>
      <c r="B731" s="37">
        <v>37514</v>
      </c>
      <c r="C731" s="4" t="s">
        <v>0</v>
      </c>
      <c r="D731" s="1"/>
      <c r="E731" s="8">
        <v>37485</v>
      </c>
      <c r="F731" s="8">
        <v>37485</v>
      </c>
      <c r="G731" s="8">
        <v>37485</v>
      </c>
      <c r="H731" s="49">
        <v>37513</v>
      </c>
      <c r="I731" s="21">
        <v>37513</v>
      </c>
      <c r="J731" s="22">
        <v>37513</v>
      </c>
    </row>
    <row r="732" spans="1:10" ht="12.75" customHeight="1" x14ac:dyDescent="0.25">
      <c r="A732" s="28" t="s">
        <v>6</v>
      </c>
      <c r="B732" s="33" t="s">
        <v>6</v>
      </c>
      <c r="C732" s="5">
        <v>147</v>
      </c>
      <c r="D732" s="2"/>
      <c r="E732" s="9" t="s">
        <v>2</v>
      </c>
      <c r="F732" s="9" t="s">
        <v>3</v>
      </c>
      <c r="G732" s="9" t="s">
        <v>4</v>
      </c>
      <c r="H732" s="50" t="s">
        <v>21</v>
      </c>
      <c r="I732" s="23" t="s">
        <v>22</v>
      </c>
      <c r="J732" s="24" t="s">
        <v>4</v>
      </c>
    </row>
    <row r="733" spans="1:10" ht="12.75" customHeight="1" x14ac:dyDescent="0.25">
      <c r="A733" s="29">
        <f>SUM(E733:G733)/3</f>
        <v>0.64</v>
      </c>
      <c r="B733" s="34">
        <f>SUM(E733:J733)/6</f>
        <v>0.70666666666666667</v>
      </c>
      <c r="C733" s="6"/>
      <c r="D733" s="2" t="s">
        <v>7</v>
      </c>
      <c r="E733" s="10">
        <v>0.8</v>
      </c>
      <c r="F733" s="10">
        <v>0.64</v>
      </c>
      <c r="G733" s="10">
        <v>0.48</v>
      </c>
      <c r="H733" s="34">
        <v>0.84</v>
      </c>
      <c r="I733" s="10">
        <v>0.96</v>
      </c>
      <c r="J733" s="10">
        <v>0.52</v>
      </c>
    </row>
    <row r="734" spans="1:10" ht="12.75" customHeight="1" x14ac:dyDescent="0.25">
      <c r="B734" s="35">
        <f>SUM(E734:J734)</f>
        <v>5</v>
      </c>
      <c r="C734" s="6"/>
      <c r="D734" s="2" t="s">
        <v>8</v>
      </c>
      <c r="H734" s="35">
        <v>5</v>
      </c>
    </row>
    <row r="735" spans="1:10" ht="12.75" customHeight="1" x14ac:dyDescent="0.25">
      <c r="A735" s="31">
        <f>SUM(E735:N735)</f>
        <v>60</v>
      </c>
      <c r="B735" s="36">
        <f>SUM(E735:J735)</f>
        <v>60</v>
      </c>
      <c r="C735" s="6"/>
      <c r="D735" s="2" t="s">
        <v>9</v>
      </c>
      <c r="E735">
        <v>40</v>
      </c>
      <c r="H735" s="35">
        <v>20</v>
      </c>
    </row>
    <row r="736" spans="1:10" ht="12.75" customHeight="1" x14ac:dyDescent="0.25">
      <c r="A736" s="27" t="s">
        <v>5</v>
      </c>
      <c r="B736" s="37">
        <v>37514</v>
      </c>
      <c r="C736" s="4" t="s">
        <v>0</v>
      </c>
      <c r="D736" s="1"/>
      <c r="E736" s="8">
        <v>37485</v>
      </c>
      <c r="F736" s="8">
        <v>37485</v>
      </c>
      <c r="G736" s="8">
        <v>37485</v>
      </c>
      <c r="H736" s="49">
        <v>37513</v>
      </c>
      <c r="I736" s="21">
        <v>37513</v>
      </c>
      <c r="J736" s="22">
        <v>37513</v>
      </c>
    </row>
    <row r="737" spans="1:10" ht="12.75" customHeight="1" x14ac:dyDescent="0.25">
      <c r="A737" s="28" t="s">
        <v>6</v>
      </c>
      <c r="B737" s="33" t="s">
        <v>6</v>
      </c>
      <c r="C737" s="5">
        <v>148</v>
      </c>
      <c r="D737" s="2"/>
      <c r="E737" s="9" t="s">
        <v>2</v>
      </c>
      <c r="F737" s="9" t="s">
        <v>3</v>
      </c>
      <c r="G737" s="9" t="s">
        <v>4</v>
      </c>
      <c r="H737" s="50" t="s">
        <v>21</v>
      </c>
      <c r="I737" s="23" t="s">
        <v>22</v>
      </c>
      <c r="J737" s="24" t="s">
        <v>4</v>
      </c>
    </row>
    <row r="738" spans="1:10" ht="12.75" customHeight="1" x14ac:dyDescent="0.25">
      <c r="A738" s="29">
        <f>SUM(E738:G738)/3</f>
        <v>0.7466666666666667</v>
      </c>
      <c r="B738" s="34">
        <f>SUM(E738:J738)/6</f>
        <v>0.77666666666666673</v>
      </c>
      <c r="C738" s="6"/>
      <c r="D738" s="2" t="s">
        <v>7</v>
      </c>
      <c r="E738" s="10">
        <v>0.8</v>
      </c>
      <c r="F738" s="10">
        <v>0.64</v>
      </c>
      <c r="G738" s="10">
        <v>0.8</v>
      </c>
      <c r="H738" s="34">
        <v>0.86</v>
      </c>
      <c r="I738" s="10">
        <v>0.84</v>
      </c>
      <c r="J738" s="10">
        <v>0.72</v>
      </c>
    </row>
    <row r="739" spans="1:10" ht="12.75" customHeight="1" x14ac:dyDescent="0.25">
      <c r="B739" s="35">
        <f>SUM(E739:J739)</f>
        <v>5</v>
      </c>
      <c r="C739" s="6"/>
      <c r="D739" s="2" t="s">
        <v>8</v>
      </c>
      <c r="H739" s="35">
        <v>5</v>
      </c>
    </row>
    <row r="740" spans="1:10" ht="12.75" customHeight="1" x14ac:dyDescent="0.25">
      <c r="A740" s="31">
        <f>SUM(E740:N740)</f>
        <v>0</v>
      </c>
      <c r="B740" s="36">
        <f>SUM(E740:J740)</f>
        <v>0</v>
      </c>
      <c r="C740" s="6"/>
      <c r="D740" s="2" t="s">
        <v>9</v>
      </c>
      <c r="E740">
        <v>0</v>
      </c>
      <c r="H740" s="35">
        <v>0</v>
      </c>
    </row>
    <row r="741" spans="1:10" ht="12.75" customHeight="1" x14ac:dyDescent="0.25">
      <c r="A741" s="27" t="s">
        <v>5</v>
      </c>
      <c r="B741" s="37">
        <v>37514</v>
      </c>
      <c r="C741" s="4" t="s">
        <v>0</v>
      </c>
      <c r="D741" s="1"/>
      <c r="E741" s="8">
        <v>37485</v>
      </c>
      <c r="F741" s="8">
        <v>37485</v>
      </c>
      <c r="G741" s="8">
        <v>37485</v>
      </c>
      <c r="H741" s="49">
        <v>37513</v>
      </c>
      <c r="I741" s="21">
        <v>37513</v>
      </c>
      <c r="J741" s="22">
        <v>37513</v>
      </c>
    </row>
    <row r="742" spans="1:10" ht="12.75" customHeight="1" x14ac:dyDescent="0.25">
      <c r="A742" s="28" t="s">
        <v>6</v>
      </c>
      <c r="B742" s="33" t="s">
        <v>6</v>
      </c>
      <c r="C742" s="5">
        <v>149</v>
      </c>
      <c r="D742" s="2"/>
      <c r="E742" s="9" t="s">
        <v>2</v>
      </c>
      <c r="F742" s="9" t="s">
        <v>3</v>
      </c>
      <c r="G742" s="9" t="s">
        <v>4</v>
      </c>
      <c r="H742" s="50" t="s">
        <v>21</v>
      </c>
      <c r="I742" s="23" t="s">
        <v>22</v>
      </c>
      <c r="J742" s="24" t="s">
        <v>4</v>
      </c>
    </row>
    <row r="743" spans="1:10" ht="12.75" customHeight="1" x14ac:dyDescent="0.25">
      <c r="A743" s="29">
        <f>SUM(E743:G743)/3</f>
        <v>0.70666666666666667</v>
      </c>
      <c r="B743" s="34">
        <f>SUM(E743:J743)/6</f>
        <v>0.68666666666666665</v>
      </c>
      <c r="C743" s="6"/>
      <c r="D743" s="2" t="s">
        <v>7</v>
      </c>
      <c r="E743" s="10">
        <v>0.84</v>
      </c>
      <c r="F743" s="10">
        <v>0.64</v>
      </c>
      <c r="G743" s="10">
        <v>0.64</v>
      </c>
      <c r="H743" s="34">
        <v>0.92</v>
      </c>
      <c r="I743" s="10">
        <v>0.8</v>
      </c>
      <c r="J743" s="10">
        <v>0.28000000000000003</v>
      </c>
    </row>
    <row r="744" spans="1:10" ht="12.75" customHeight="1" x14ac:dyDescent="0.25">
      <c r="B744" s="35">
        <f>SUM(E744:J744)</f>
        <v>0</v>
      </c>
      <c r="C744" s="6"/>
      <c r="D744" s="2" t="s">
        <v>8</v>
      </c>
      <c r="H744" s="35">
        <v>0</v>
      </c>
    </row>
    <row r="745" spans="1:10" ht="12.75" customHeight="1" x14ac:dyDescent="0.25">
      <c r="A745" s="31">
        <f>SUM(E745:N745)</f>
        <v>19</v>
      </c>
      <c r="B745" s="36">
        <f>SUM(E745:J745)</f>
        <v>19</v>
      </c>
      <c r="C745" s="6"/>
      <c r="D745" s="2" t="s">
        <v>9</v>
      </c>
      <c r="E745">
        <v>6</v>
      </c>
      <c r="H745" s="35">
        <v>13</v>
      </c>
    </row>
    <row r="746" spans="1:10" ht="12.75" customHeight="1" x14ac:dyDescent="0.25">
      <c r="A746" s="27" t="s">
        <v>5</v>
      </c>
      <c r="B746" s="37">
        <v>37514</v>
      </c>
      <c r="C746" s="4" t="s">
        <v>0</v>
      </c>
      <c r="D746" s="1"/>
      <c r="E746" s="8">
        <v>37485</v>
      </c>
      <c r="F746" s="8">
        <v>37485</v>
      </c>
      <c r="G746" s="8">
        <v>37485</v>
      </c>
      <c r="H746" s="49">
        <v>37513</v>
      </c>
      <c r="I746" s="21">
        <v>37513</v>
      </c>
      <c r="J746" s="22">
        <v>37513</v>
      </c>
    </row>
    <row r="747" spans="1:10" ht="12.75" customHeight="1" x14ac:dyDescent="0.25">
      <c r="A747" s="28" t="s">
        <v>6</v>
      </c>
      <c r="B747" s="33" t="s">
        <v>6</v>
      </c>
      <c r="C747" s="5">
        <v>150</v>
      </c>
      <c r="D747" s="2"/>
      <c r="E747" s="9" t="s">
        <v>2</v>
      </c>
      <c r="F747" s="9" t="s">
        <v>3</v>
      </c>
      <c r="G747" s="9" t="s">
        <v>4</v>
      </c>
      <c r="H747" s="50" t="s">
        <v>21</v>
      </c>
      <c r="I747" s="23" t="s">
        <v>22</v>
      </c>
      <c r="J747" s="24" t="s">
        <v>4</v>
      </c>
    </row>
    <row r="748" spans="1:10" ht="12.75" customHeight="1" x14ac:dyDescent="0.25">
      <c r="A748" s="29">
        <f>SUM(E748:G748)/3</f>
        <v>0.7466666666666667</v>
      </c>
      <c r="B748" s="34">
        <f>SUM(E748:J748)/6</f>
        <v>0.80666666666666664</v>
      </c>
      <c r="C748" s="6"/>
      <c r="D748" s="2" t="s">
        <v>7</v>
      </c>
      <c r="E748" s="10">
        <v>0.88</v>
      </c>
      <c r="F748" s="10">
        <v>0.6</v>
      </c>
      <c r="G748" s="10">
        <v>0.76</v>
      </c>
      <c r="H748" s="34">
        <v>0.96</v>
      </c>
      <c r="I748" s="10">
        <v>0.96</v>
      </c>
      <c r="J748" s="10">
        <v>0.68</v>
      </c>
    </row>
    <row r="749" spans="1:10" ht="12.75" customHeight="1" x14ac:dyDescent="0.25">
      <c r="B749" s="35">
        <f>SUM(E749:J749)</f>
        <v>5</v>
      </c>
      <c r="D749" s="2" t="s">
        <v>8</v>
      </c>
      <c r="H749" s="35">
        <v>5</v>
      </c>
    </row>
    <row r="750" spans="1:10" ht="12.75" customHeight="1" x14ac:dyDescent="0.25">
      <c r="A750" s="31">
        <f>SUM(E750:N750)</f>
        <v>0</v>
      </c>
      <c r="B750" s="36">
        <f>SUM(E750:J750)</f>
        <v>0</v>
      </c>
      <c r="D750" s="2" t="s">
        <v>9</v>
      </c>
      <c r="E750">
        <v>0</v>
      </c>
      <c r="H750" s="35">
        <v>0</v>
      </c>
    </row>
    <row r="751" spans="1:10" ht="12.75" customHeight="1" x14ac:dyDescent="0.25">
      <c r="A751" s="27" t="s">
        <v>5</v>
      </c>
      <c r="B751" s="37">
        <v>37514</v>
      </c>
      <c r="C751" s="4" t="s">
        <v>0</v>
      </c>
      <c r="D751" s="1"/>
      <c r="E751" s="8">
        <v>37485</v>
      </c>
      <c r="F751" s="8">
        <v>37485</v>
      </c>
      <c r="G751" s="8">
        <v>37485</v>
      </c>
      <c r="H751" s="49">
        <v>37513</v>
      </c>
      <c r="I751" s="21">
        <v>37513</v>
      </c>
      <c r="J751" s="22">
        <v>37513</v>
      </c>
    </row>
    <row r="752" spans="1:10" ht="12.75" customHeight="1" x14ac:dyDescent="0.25">
      <c r="A752" s="28" t="s">
        <v>6</v>
      </c>
      <c r="B752" s="33" t="s">
        <v>6</v>
      </c>
      <c r="C752" s="5">
        <v>151</v>
      </c>
      <c r="D752" s="2"/>
      <c r="E752" s="9" t="s">
        <v>2</v>
      </c>
      <c r="F752" s="9" t="s">
        <v>3</v>
      </c>
      <c r="G752" s="9" t="s">
        <v>4</v>
      </c>
      <c r="H752" s="50" t="s">
        <v>21</v>
      </c>
      <c r="I752" s="23" t="s">
        <v>22</v>
      </c>
      <c r="J752" s="24" t="s">
        <v>4</v>
      </c>
    </row>
    <row r="753" spans="1:10" ht="12.75" customHeight="1" x14ac:dyDescent="0.25">
      <c r="A753" s="29">
        <f>SUM(E753:G753)/3</f>
        <v>0.56000000000000005</v>
      </c>
      <c r="B753" s="34">
        <f>SUM(E753:J753)/6</f>
        <v>0.69</v>
      </c>
      <c r="C753" s="6"/>
      <c r="D753" s="2" t="s">
        <v>7</v>
      </c>
      <c r="E753" s="10">
        <v>0.8</v>
      </c>
      <c r="F753" s="10">
        <v>0.48</v>
      </c>
      <c r="G753" s="10">
        <v>0.4</v>
      </c>
      <c r="H753" s="34">
        <v>0.82</v>
      </c>
      <c r="I753" s="10">
        <v>0.96</v>
      </c>
      <c r="J753" s="10">
        <v>0.68</v>
      </c>
    </row>
    <row r="754" spans="1:10" ht="12.75" customHeight="1" x14ac:dyDescent="0.25">
      <c r="B754" s="35">
        <f>SUM(E754:J754)</f>
        <v>0</v>
      </c>
      <c r="C754" s="6"/>
      <c r="D754" s="2" t="s">
        <v>8</v>
      </c>
      <c r="H754" s="35" t="s">
        <v>43</v>
      </c>
    </row>
    <row r="755" spans="1:10" ht="12.75" customHeight="1" x14ac:dyDescent="0.25">
      <c r="A755" s="31">
        <f>SUM(E755:N755)</f>
        <v>0</v>
      </c>
      <c r="B755" s="36">
        <f>SUM(E755:J755)</f>
        <v>0</v>
      </c>
      <c r="C755" s="6"/>
      <c r="D755" s="2" t="s">
        <v>9</v>
      </c>
      <c r="E755">
        <v>0</v>
      </c>
      <c r="H755" s="35" t="s">
        <v>44</v>
      </c>
    </row>
    <row r="756" spans="1:10" ht="12.75" customHeight="1" x14ac:dyDescent="0.25">
      <c r="A756" s="27" t="s">
        <v>5</v>
      </c>
      <c r="B756" s="37">
        <v>37514</v>
      </c>
      <c r="C756" s="4" t="s">
        <v>0</v>
      </c>
      <c r="D756" s="1"/>
      <c r="E756" s="8">
        <v>37485</v>
      </c>
      <c r="F756" s="8">
        <v>37485</v>
      </c>
      <c r="G756" s="8">
        <v>37485</v>
      </c>
      <c r="H756" s="49">
        <v>37513</v>
      </c>
      <c r="I756" s="21">
        <v>37513</v>
      </c>
      <c r="J756" s="22">
        <v>37513</v>
      </c>
    </row>
    <row r="757" spans="1:10" ht="12.75" customHeight="1" x14ac:dyDescent="0.25">
      <c r="A757" s="28" t="s">
        <v>6</v>
      </c>
      <c r="B757" s="33" t="s">
        <v>6</v>
      </c>
      <c r="C757" s="5">
        <v>152</v>
      </c>
      <c r="D757" s="2"/>
      <c r="E757" s="9" t="s">
        <v>2</v>
      </c>
      <c r="F757" s="9" t="s">
        <v>3</v>
      </c>
      <c r="G757" s="9" t="s">
        <v>4</v>
      </c>
      <c r="H757" s="50" t="s">
        <v>21</v>
      </c>
      <c r="I757" s="23" t="s">
        <v>22</v>
      </c>
      <c r="J757" s="24" t="s">
        <v>4</v>
      </c>
    </row>
    <row r="758" spans="1:10" ht="12.75" customHeight="1" x14ac:dyDescent="0.25">
      <c r="A758" s="29">
        <f>SUM(E758:G758)/3</f>
        <v>0.81333333333333335</v>
      </c>
      <c r="B758" s="34">
        <f>SUM(E758:J758)/6</f>
        <v>0.79333333333333333</v>
      </c>
      <c r="C758" s="6"/>
      <c r="D758" s="2" t="s">
        <v>7</v>
      </c>
      <c r="E758" s="10">
        <v>0.84</v>
      </c>
      <c r="F758" s="10">
        <v>0.84</v>
      </c>
      <c r="G758" s="10">
        <v>0.76</v>
      </c>
      <c r="H758" s="34">
        <v>0.88</v>
      </c>
      <c r="I758" s="10">
        <v>0.92</v>
      </c>
      <c r="J758" s="10">
        <v>0.52</v>
      </c>
    </row>
    <row r="759" spans="1:10" ht="12.75" customHeight="1" x14ac:dyDescent="0.25">
      <c r="B759" s="35">
        <f>SUM(E759:J759)</f>
        <v>5</v>
      </c>
      <c r="C759" s="6"/>
      <c r="D759" s="2" t="s">
        <v>8</v>
      </c>
      <c r="H759" s="35">
        <v>5</v>
      </c>
    </row>
    <row r="760" spans="1:10" ht="12.75" customHeight="1" x14ac:dyDescent="0.25">
      <c r="A760" s="31">
        <f>SUM(E760:N760)</f>
        <v>0</v>
      </c>
      <c r="B760" s="36">
        <f>SUM(E760:J760)</f>
        <v>0</v>
      </c>
      <c r="C760" s="6"/>
      <c r="D760" s="2" t="s">
        <v>9</v>
      </c>
      <c r="E760">
        <v>0</v>
      </c>
      <c r="H760" s="35">
        <v>0</v>
      </c>
    </row>
    <row r="761" spans="1:10" ht="12.75" customHeight="1" x14ac:dyDescent="0.25">
      <c r="A761" s="27" t="s">
        <v>5</v>
      </c>
      <c r="B761" s="37">
        <v>37514</v>
      </c>
      <c r="C761" s="4" t="s">
        <v>0</v>
      </c>
      <c r="D761" s="1"/>
      <c r="E761" s="8">
        <v>37485</v>
      </c>
      <c r="F761" s="8">
        <v>37485</v>
      </c>
      <c r="G761" s="8">
        <v>37485</v>
      </c>
      <c r="H761" s="49">
        <v>37513</v>
      </c>
      <c r="I761" s="21">
        <v>37513</v>
      </c>
      <c r="J761" s="22">
        <v>37513</v>
      </c>
    </row>
    <row r="762" spans="1:10" ht="12.75" customHeight="1" x14ac:dyDescent="0.25">
      <c r="A762" s="28" t="s">
        <v>6</v>
      </c>
      <c r="B762" s="33" t="s">
        <v>6</v>
      </c>
      <c r="C762" s="5">
        <v>153</v>
      </c>
      <c r="D762" s="2"/>
      <c r="E762" s="9" t="s">
        <v>2</v>
      </c>
      <c r="F762" s="9" t="s">
        <v>3</v>
      </c>
      <c r="G762" s="9" t="s">
        <v>4</v>
      </c>
      <c r="H762" s="50" t="s">
        <v>21</v>
      </c>
      <c r="I762" s="23" t="s">
        <v>22</v>
      </c>
      <c r="J762" s="24" t="s">
        <v>4</v>
      </c>
    </row>
    <row r="763" spans="1:10" ht="12.75" customHeight="1" x14ac:dyDescent="0.25">
      <c r="A763" s="29">
        <f>SUM(E763:G763)/3</f>
        <v>0.79999999999999993</v>
      </c>
      <c r="B763" s="34">
        <f>SUM(E763:J763)/6</f>
        <v>0.81333333333333346</v>
      </c>
      <c r="C763" s="6"/>
      <c r="D763" s="2" t="s">
        <v>7</v>
      </c>
      <c r="E763" s="10">
        <v>0.88</v>
      </c>
      <c r="F763" s="10">
        <v>0.64</v>
      </c>
      <c r="G763" s="10">
        <v>0.88</v>
      </c>
      <c r="H763" s="34">
        <v>0.92</v>
      </c>
      <c r="I763" s="10">
        <v>1</v>
      </c>
      <c r="J763" s="10">
        <v>0.56000000000000005</v>
      </c>
    </row>
    <row r="764" spans="1:10" ht="12.75" customHeight="1" x14ac:dyDescent="0.25">
      <c r="B764" s="35">
        <f>SUM(E764:J764)</f>
        <v>5</v>
      </c>
      <c r="C764" s="6"/>
      <c r="D764" s="2" t="s">
        <v>8</v>
      </c>
      <c r="H764" s="35">
        <v>5</v>
      </c>
    </row>
    <row r="765" spans="1:10" ht="12.75" customHeight="1" x14ac:dyDescent="0.25">
      <c r="A765" s="31">
        <f>SUM(E765:N765)</f>
        <v>5</v>
      </c>
      <c r="B765" s="36">
        <f>SUM(E765:J765)</f>
        <v>5</v>
      </c>
      <c r="C765" s="6"/>
      <c r="D765" s="2" t="s">
        <v>9</v>
      </c>
      <c r="E765">
        <v>0</v>
      </c>
      <c r="H765" s="35">
        <v>5</v>
      </c>
    </row>
    <row r="766" spans="1:10" ht="12.75" customHeight="1" x14ac:dyDescent="0.25">
      <c r="A766" s="27" t="s">
        <v>5</v>
      </c>
      <c r="B766" s="37">
        <v>37514</v>
      </c>
      <c r="C766" s="4" t="s">
        <v>0</v>
      </c>
      <c r="D766" s="1"/>
      <c r="E766" s="8">
        <v>37485</v>
      </c>
      <c r="F766" s="8">
        <v>37485</v>
      </c>
      <c r="G766" s="8">
        <v>37485</v>
      </c>
      <c r="H766" s="49">
        <v>37513</v>
      </c>
      <c r="I766" s="21">
        <v>37513</v>
      </c>
      <c r="J766" s="22">
        <v>37513</v>
      </c>
    </row>
    <row r="767" spans="1:10" ht="12.75" customHeight="1" x14ac:dyDescent="0.25">
      <c r="A767" s="28" t="s">
        <v>6</v>
      </c>
      <c r="B767" s="33" t="s">
        <v>6</v>
      </c>
      <c r="C767" s="5">
        <v>154</v>
      </c>
      <c r="D767" s="2"/>
      <c r="E767" s="9" t="s">
        <v>2</v>
      </c>
      <c r="F767" s="9" t="s">
        <v>3</v>
      </c>
      <c r="G767" s="9" t="s">
        <v>4</v>
      </c>
      <c r="H767" s="50" t="s">
        <v>21</v>
      </c>
      <c r="I767" s="23" t="s">
        <v>22</v>
      </c>
      <c r="J767" s="24" t="s">
        <v>4</v>
      </c>
    </row>
    <row r="768" spans="1:10" ht="12.75" customHeight="1" x14ac:dyDescent="0.25">
      <c r="A768" s="29">
        <f>SUM(E768:G768)/3</f>
        <v>0.7466666666666667</v>
      </c>
      <c r="B768" s="34">
        <f>SUM(E768:J768)/6</f>
        <v>0.77</v>
      </c>
      <c r="C768" s="6"/>
      <c r="D768" s="2" t="s">
        <v>7</v>
      </c>
      <c r="E768" s="10">
        <v>0.96</v>
      </c>
      <c r="F768" s="10">
        <v>0.6</v>
      </c>
      <c r="G768" s="10">
        <v>0.68</v>
      </c>
      <c r="H768" s="34">
        <v>0.82</v>
      </c>
      <c r="I768" s="10">
        <v>0.88</v>
      </c>
      <c r="J768" s="10">
        <v>0.68</v>
      </c>
    </row>
    <row r="769" spans="1:10" ht="12.75" customHeight="1" x14ac:dyDescent="0.25">
      <c r="B769" s="35">
        <f>SUM(E769:J769)</f>
        <v>0</v>
      </c>
      <c r="C769" s="6"/>
      <c r="D769" s="2" t="s">
        <v>8</v>
      </c>
      <c r="H769" s="35">
        <v>0</v>
      </c>
    </row>
    <row r="770" spans="1:10" ht="12.75" customHeight="1" x14ac:dyDescent="0.25">
      <c r="A770" s="31">
        <f>SUM(E770:N770)</f>
        <v>38</v>
      </c>
      <c r="B770" s="36">
        <f>SUM(E770:J770)</f>
        <v>38</v>
      </c>
      <c r="C770" s="6"/>
      <c r="D770" s="2" t="s">
        <v>9</v>
      </c>
      <c r="E770">
        <v>7</v>
      </c>
      <c r="H770" s="35">
        <v>31</v>
      </c>
    </row>
    <row r="771" spans="1:10" ht="12.75" customHeight="1" x14ac:dyDescent="0.25">
      <c r="A771" s="27" t="s">
        <v>5</v>
      </c>
      <c r="B771" s="37">
        <v>37514</v>
      </c>
      <c r="C771" s="4" t="s">
        <v>0</v>
      </c>
      <c r="D771" s="1"/>
      <c r="E771" s="8">
        <v>37485</v>
      </c>
      <c r="F771" s="8">
        <v>37485</v>
      </c>
      <c r="G771" s="8">
        <v>37485</v>
      </c>
      <c r="H771" s="49">
        <v>37513</v>
      </c>
      <c r="I771" s="21">
        <v>37513</v>
      </c>
      <c r="J771" s="22">
        <v>37513</v>
      </c>
    </row>
    <row r="772" spans="1:10" ht="12.75" customHeight="1" x14ac:dyDescent="0.25">
      <c r="A772" s="28" t="s">
        <v>6</v>
      </c>
      <c r="B772" s="33" t="s">
        <v>6</v>
      </c>
      <c r="C772" s="5">
        <v>155</v>
      </c>
      <c r="D772" s="2"/>
      <c r="E772" s="9" t="s">
        <v>2</v>
      </c>
      <c r="F772" s="9" t="s">
        <v>3</v>
      </c>
      <c r="G772" s="9" t="s">
        <v>4</v>
      </c>
      <c r="H772" s="50" t="s">
        <v>21</v>
      </c>
      <c r="I772" s="23" t="s">
        <v>22</v>
      </c>
      <c r="J772" s="24" t="s">
        <v>4</v>
      </c>
    </row>
    <row r="773" spans="1:10" ht="12.75" customHeight="1" x14ac:dyDescent="0.25">
      <c r="A773" s="29">
        <f>SUM(E773:G773)/3</f>
        <v>0.7466666666666667</v>
      </c>
      <c r="B773" s="34">
        <f>SUM(E773:J773)/6</f>
        <v>0.78666666666666663</v>
      </c>
      <c r="C773" s="6"/>
      <c r="D773" s="2" t="s">
        <v>7</v>
      </c>
      <c r="E773" s="10">
        <v>0.84</v>
      </c>
      <c r="F773" s="10">
        <v>0.84</v>
      </c>
      <c r="G773" s="10">
        <v>0.56000000000000005</v>
      </c>
      <c r="H773" s="34">
        <v>0.88</v>
      </c>
      <c r="I773" s="10">
        <v>0.96</v>
      </c>
      <c r="J773" s="10">
        <v>0.64</v>
      </c>
    </row>
    <row r="774" spans="1:10" ht="12.75" customHeight="1" x14ac:dyDescent="0.25">
      <c r="B774" s="35">
        <f>SUM(E774:J774)</f>
        <v>5</v>
      </c>
      <c r="C774" s="6"/>
      <c r="D774" s="2" t="s">
        <v>8</v>
      </c>
      <c r="H774" s="35">
        <v>5</v>
      </c>
    </row>
    <row r="775" spans="1:10" ht="12.75" customHeight="1" x14ac:dyDescent="0.25">
      <c r="A775" s="31">
        <f>SUM(E775:N775)</f>
        <v>1</v>
      </c>
      <c r="B775" s="36">
        <f>SUM(E775:J775)</f>
        <v>1</v>
      </c>
      <c r="C775" s="6"/>
      <c r="D775" s="2" t="s">
        <v>9</v>
      </c>
      <c r="E775">
        <v>0</v>
      </c>
      <c r="H775" s="35">
        <v>1</v>
      </c>
    </row>
    <row r="776" spans="1:10" ht="12.75" customHeight="1" x14ac:dyDescent="0.25">
      <c r="A776" s="27" t="s">
        <v>5</v>
      </c>
      <c r="B776" s="37">
        <v>37514</v>
      </c>
      <c r="C776" s="4" t="s">
        <v>0</v>
      </c>
      <c r="D776" s="1"/>
      <c r="E776" s="8">
        <v>37485</v>
      </c>
      <c r="F776" s="8">
        <v>37485</v>
      </c>
      <c r="G776" s="8">
        <v>37485</v>
      </c>
      <c r="H776" s="49">
        <v>37513</v>
      </c>
      <c r="I776" s="21">
        <v>37513</v>
      </c>
      <c r="J776" s="22">
        <v>37513</v>
      </c>
    </row>
    <row r="777" spans="1:10" ht="12.75" customHeight="1" x14ac:dyDescent="0.25">
      <c r="A777" s="28" t="s">
        <v>6</v>
      </c>
      <c r="B777" s="33" t="s">
        <v>6</v>
      </c>
      <c r="C777" s="5">
        <v>156</v>
      </c>
      <c r="D777" s="2"/>
      <c r="E777" s="9" t="s">
        <v>2</v>
      </c>
      <c r="F777" s="9" t="s">
        <v>3</v>
      </c>
      <c r="G777" s="9" t="s">
        <v>4</v>
      </c>
      <c r="H777" s="50" t="s">
        <v>21</v>
      </c>
      <c r="I777" s="23" t="s">
        <v>22</v>
      </c>
      <c r="J777" s="24" t="s">
        <v>4</v>
      </c>
    </row>
    <row r="778" spans="1:10" ht="12.75" customHeight="1" x14ac:dyDescent="0.25">
      <c r="A778" s="29">
        <f>SUM(E778:G778)/3</f>
        <v>0.49333333333333335</v>
      </c>
      <c r="B778" s="34">
        <f>SUM(E778:J778)/6</f>
        <v>0.56666666666666665</v>
      </c>
      <c r="C778" s="6"/>
      <c r="D778" s="2" t="s">
        <v>7</v>
      </c>
      <c r="E778" s="10">
        <v>0.44</v>
      </c>
      <c r="F778" s="10">
        <v>0.68</v>
      </c>
      <c r="G778" s="10">
        <v>0.36</v>
      </c>
      <c r="H778" s="34">
        <v>0.68</v>
      </c>
      <c r="I778" s="10">
        <v>0.84</v>
      </c>
      <c r="J778" s="10">
        <v>0.4</v>
      </c>
    </row>
    <row r="779" spans="1:10" ht="12.75" customHeight="1" x14ac:dyDescent="0.25">
      <c r="B779" s="35">
        <f>SUM(E779:J779)</f>
        <v>5</v>
      </c>
      <c r="C779" s="6"/>
      <c r="D779" s="2" t="s">
        <v>8</v>
      </c>
      <c r="H779" s="35">
        <v>5</v>
      </c>
    </row>
    <row r="780" spans="1:10" ht="12.75" customHeight="1" x14ac:dyDescent="0.25">
      <c r="A780" s="31">
        <f>SUM(E780:N780)</f>
        <v>10</v>
      </c>
      <c r="B780" s="36">
        <f>SUM(E780:J780)</f>
        <v>10</v>
      </c>
      <c r="C780" s="6"/>
      <c r="D780" s="2" t="s">
        <v>9</v>
      </c>
      <c r="E780">
        <v>0</v>
      </c>
      <c r="H780" s="35">
        <v>10</v>
      </c>
    </row>
    <row r="781" spans="1:10" ht="12.75" customHeight="1" x14ac:dyDescent="0.25">
      <c r="A781" s="27" t="s">
        <v>5</v>
      </c>
      <c r="B781" s="37">
        <v>37514</v>
      </c>
      <c r="C781" s="4" t="s">
        <v>0</v>
      </c>
      <c r="D781" s="1"/>
      <c r="E781" s="8">
        <v>37485</v>
      </c>
      <c r="F781" s="8">
        <v>37485</v>
      </c>
      <c r="G781" s="8">
        <v>37485</v>
      </c>
      <c r="H781" s="49">
        <v>37513</v>
      </c>
      <c r="I781" s="21">
        <v>37513</v>
      </c>
      <c r="J781" s="22">
        <v>37513</v>
      </c>
    </row>
    <row r="782" spans="1:10" ht="12.75" customHeight="1" x14ac:dyDescent="0.25">
      <c r="A782" s="28" t="s">
        <v>6</v>
      </c>
      <c r="B782" s="33" t="s">
        <v>6</v>
      </c>
      <c r="C782" s="5">
        <v>157</v>
      </c>
      <c r="D782" s="2"/>
      <c r="E782" s="9" t="s">
        <v>2</v>
      </c>
      <c r="F782" s="9" t="s">
        <v>3</v>
      </c>
      <c r="G782" s="9" t="s">
        <v>4</v>
      </c>
      <c r="H782" s="50" t="s">
        <v>21</v>
      </c>
      <c r="I782" s="23" t="s">
        <v>22</v>
      </c>
      <c r="J782" s="24" t="s">
        <v>4</v>
      </c>
    </row>
    <row r="783" spans="1:10" ht="12.75" customHeight="1" x14ac:dyDescent="0.25">
      <c r="A783" s="29">
        <f>SUM(E783:G783)/3</f>
        <v>0.82666666666666666</v>
      </c>
      <c r="B783" s="34">
        <f>SUM(E783:J783)/6</f>
        <v>0.84333333333333327</v>
      </c>
      <c r="C783" s="6"/>
      <c r="D783" s="2" t="s">
        <v>7</v>
      </c>
      <c r="E783" s="10">
        <v>0.92</v>
      </c>
      <c r="F783" s="10">
        <v>0.72</v>
      </c>
      <c r="G783" s="10">
        <v>0.84</v>
      </c>
      <c r="H783" s="34">
        <v>0.82</v>
      </c>
      <c r="I783" s="10">
        <v>1</v>
      </c>
      <c r="J783" s="10">
        <v>0.76</v>
      </c>
    </row>
    <row r="784" spans="1:10" ht="12.75" customHeight="1" x14ac:dyDescent="0.25">
      <c r="B784" s="35">
        <f>SUM(E784:J784)</f>
        <v>5</v>
      </c>
      <c r="C784" s="6"/>
      <c r="D784" s="2" t="s">
        <v>8</v>
      </c>
      <c r="H784" s="35">
        <v>5</v>
      </c>
    </row>
    <row r="785" spans="1:10" ht="12.75" customHeight="1" x14ac:dyDescent="0.25">
      <c r="A785" s="31">
        <f>SUM(E785:N785)</f>
        <v>85</v>
      </c>
      <c r="B785" s="36">
        <f>SUM(E785:J785)</f>
        <v>85</v>
      </c>
      <c r="C785" s="6"/>
      <c r="D785" s="2" t="s">
        <v>9</v>
      </c>
      <c r="E785">
        <v>17</v>
      </c>
      <c r="H785" s="35">
        <v>68</v>
      </c>
    </row>
    <row r="786" spans="1:10" ht="12.75" customHeight="1" x14ac:dyDescent="0.25">
      <c r="A786" s="27" t="s">
        <v>5</v>
      </c>
      <c r="B786" s="37">
        <v>37514</v>
      </c>
      <c r="C786" s="4" t="s">
        <v>0</v>
      </c>
      <c r="D786" s="1"/>
      <c r="E786" s="8">
        <v>37485</v>
      </c>
      <c r="F786" s="8">
        <v>37485</v>
      </c>
      <c r="G786" s="8">
        <v>37485</v>
      </c>
      <c r="H786" s="49">
        <v>37513</v>
      </c>
      <c r="I786" s="21">
        <v>37513</v>
      </c>
      <c r="J786" s="22">
        <v>37513</v>
      </c>
    </row>
    <row r="787" spans="1:10" ht="12.75" customHeight="1" x14ac:dyDescent="0.25">
      <c r="A787" s="28" t="s">
        <v>6</v>
      </c>
      <c r="B787" s="33" t="s">
        <v>6</v>
      </c>
      <c r="C787" s="5">
        <v>158</v>
      </c>
      <c r="D787" s="2"/>
      <c r="E787" s="9" t="s">
        <v>2</v>
      </c>
      <c r="F787" s="9" t="s">
        <v>3</v>
      </c>
      <c r="G787" s="9" t="s">
        <v>4</v>
      </c>
      <c r="H787" s="50" t="s">
        <v>21</v>
      </c>
      <c r="I787" s="23" t="s">
        <v>22</v>
      </c>
      <c r="J787" s="24" t="s">
        <v>4</v>
      </c>
    </row>
    <row r="788" spans="1:10" ht="12.75" customHeight="1" x14ac:dyDescent="0.25">
      <c r="A788" s="29">
        <f>SUM(E788:G788)/3</f>
        <v>0.84</v>
      </c>
      <c r="B788" s="34">
        <f>SUM(E788:J788)/6</f>
        <v>0.81333333333333335</v>
      </c>
      <c r="C788" s="6"/>
      <c r="D788" s="2" t="s">
        <v>7</v>
      </c>
      <c r="E788" s="10">
        <v>0.96</v>
      </c>
      <c r="F788" s="10">
        <v>0.8</v>
      </c>
      <c r="G788" s="10">
        <v>0.76</v>
      </c>
      <c r="H788" s="34">
        <v>0.76</v>
      </c>
      <c r="I788" s="10">
        <v>0.92</v>
      </c>
      <c r="J788" s="10">
        <v>0.68</v>
      </c>
    </row>
    <row r="789" spans="1:10" ht="12.75" customHeight="1" x14ac:dyDescent="0.25">
      <c r="B789" s="35">
        <f>SUM(E789:J789)</f>
        <v>5</v>
      </c>
      <c r="C789" s="6"/>
      <c r="D789" s="2" t="s">
        <v>8</v>
      </c>
      <c r="H789" s="35">
        <v>5</v>
      </c>
    </row>
    <row r="790" spans="1:10" ht="12.75" customHeight="1" x14ac:dyDescent="0.25">
      <c r="A790" s="31">
        <f>SUM(E790:N790)</f>
        <v>11</v>
      </c>
      <c r="B790" s="36">
        <f>SUM(E790:J790)</f>
        <v>11</v>
      </c>
      <c r="C790" s="6"/>
      <c r="D790" s="2" t="s">
        <v>9</v>
      </c>
      <c r="E790">
        <v>3</v>
      </c>
      <c r="H790" s="35">
        <v>8</v>
      </c>
    </row>
    <row r="791" spans="1:10" ht="12.75" customHeight="1" x14ac:dyDescent="0.25">
      <c r="A791" s="27" t="s">
        <v>5</v>
      </c>
      <c r="B791" s="37">
        <v>37514</v>
      </c>
      <c r="C791" s="4" t="s">
        <v>0</v>
      </c>
      <c r="D791" s="4" t="s">
        <v>10</v>
      </c>
      <c r="E791" s="17">
        <v>37485</v>
      </c>
      <c r="F791" s="17">
        <v>37485</v>
      </c>
      <c r="G791" s="17">
        <v>37485</v>
      </c>
      <c r="H791" s="49">
        <v>37513</v>
      </c>
      <c r="I791" s="38">
        <v>37513</v>
      </c>
      <c r="J791" s="39">
        <v>37513</v>
      </c>
    </row>
    <row r="792" spans="1:10" ht="12.75" customHeight="1" x14ac:dyDescent="0.25">
      <c r="A792" s="28" t="s">
        <v>6</v>
      </c>
      <c r="B792" s="33" t="s">
        <v>6</v>
      </c>
      <c r="C792" s="5">
        <v>159</v>
      </c>
      <c r="D792" s="6"/>
      <c r="E792" s="18" t="s">
        <v>2</v>
      </c>
      <c r="F792" s="18" t="s">
        <v>3</v>
      </c>
      <c r="G792" s="18" t="s">
        <v>4</v>
      </c>
      <c r="H792" s="50" t="s">
        <v>21</v>
      </c>
      <c r="I792" s="18" t="s">
        <v>22</v>
      </c>
      <c r="J792" s="40" t="s">
        <v>4</v>
      </c>
    </row>
    <row r="793" spans="1:10" ht="12.75" customHeight="1" x14ac:dyDescent="0.25">
      <c r="A793" s="29">
        <f>SUM(E793:G793)/3</f>
        <v>0</v>
      </c>
      <c r="B793" s="34">
        <f>SUM(E793:J793)/6</f>
        <v>0</v>
      </c>
      <c r="C793" s="6"/>
      <c r="D793" s="6" t="s">
        <v>7</v>
      </c>
      <c r="E793" s="19"/>
      <c r="F793" s="19"/>
      <c r="G793" s="19"/>
      <c r="I793" s="20"/>
      <c r="J793" s="20"/>
    </row>
    <row r="794" spans="1:10" ht="12.75" customHeight="1" x14ac:dyDescent="0.25">
      <c r="B794" s="35">
        <f>SUM(E794:J794)</f>
        <v>0</v>
      </c>
      <c r="C794" s="6"/>
      <c r="D794" s="6" t="s">
        <v>8</v>
      </c>
      <c r="E794" s="20"/>
      <c r="F794" s="20"/>
      <c r="G794" s="20"/>
      <c r="I794" s="20"/>
      <c r="J794" s="20"/>
    </row>
    <row r="795" spans="1:10" ht="12.75" customHeight="1" x14ac:dyDescent="0.25">
      <c r="A795" s="31">
        <f>SUM(E795:N795)</f>
        <v>0</v>
      </c>
      <c r="B795" s="36">
        <f>SUM(E795:J795)</f>
        <v>0</v>
      </c>
      <c r="C795" s="6"/>
      <c r="D795" s="6" t="s">
        <v>9</v>
      </c>
      <c r="E795" s="20"/>
      <c r="F795" s="20"/>
      <c r="G795" s="20"/>
      <c r="I795" s="20"/>
      <c r="J795" s="20"/>
    </row>
    <row r="796" spans="1:10" ht="12.75" customHeight="1" x14ac:dyDescent="0.25">
      <c r="A796" s="27" t="s">
        <v>5</v>
      </c>
      <c r="B796" s="37">
        <v>37514</v>
      </c>
      <c r="C796" s="4" t="s">
        <v>0</v>
      </c>
      <c r="D796" s="1"/>
      <c r="E796" s="8">
        <v>37485</v>
      </c>
      <c r="F796" s="8">
        <v>37485</v>
      </c>
      <c r="G796" s="8">
        <v>37485</v>
      </c>
      <c r="H796" s="49">
        <v>37513</v>
      </c>
      <c r="I796" s="21">
        <v>37513</v>
      </c>
      <c r="J796" s="22">
        <v>37513</v>
      </c>
    </row>
    <row r="797" spans="1:10" ht="12.75" customHeight="1" x14ac:dyDescent="0.25">
      <c r="A797" s="28" t="s">
        <v>6</v>
      </c>
      <c r="B797" s="33" t="s">
        <v>6</v>
      </c>
      <c r="C797" s="5">
        <v>160</v>
      </c>
      <c r="D797" s="2"/>
      <c r="E797" s="9" t="s">
        <v>2</v>
      </c>
      <c r="F797" s="9" t="s">
        <v>3</v>
      </c>
      <c r="G797" s="9" t="s">
        <v>4</v>
      </c>
      <c r="H797" s="50" t="s">
        <v>21</v>
      </c>
      <c r="I797" s="23" t="s">
        <v>22</v>
      </c>
      <c r="J797" s="24" t="s">
        <v>4</v>
      </c>
    </row>
    <row r="798" spans="1:10" ht="12.75" customHeight="1" x14ac:dyDescent="0.25">
      <c r="A798" s="29">
        <f>SUM(E798:G798)/3</f>
        <v>0.65333333333333332</v>
      </c>
      <c r="B798" s="34">
        <f>SUM(E798:J798)/6</f>
        <v>0.70666666666666655</v>
      </c>
      <c r="C798" s="6"/>
      <c r="D798" s="2" t="s">
        <v>7</v>
      </c>
      <c r="E798" s="10">
        <v>0.8</v>
      </c>
      <c r="F798" s="10">
        <v>0.6</v>
      </c>
      <c r="G798" s="10">
        <v>0.56000000000000005</v>
      </c>
      <c r="H798" s="34">
        <v>0.84</v>
      </c>
      <c r="I798" s="10">
        <v>0.84</v>
      </c>
      <c r="J798" s="10">
        <v>0.6</v>
      </c>
    </row>
    <row r="799" spans="1:10" ht="12.75" customHeight="1" x14ac:dyDescent="0.25">
      <c r="B799" s="35">
        <f>SUM(E799:J799)</f>
        <v>5</v>
      </c>
      <c r="D799" s="2" t="s">
        <v>8</v>
      </c>
      <c r="H799" s="35">
        <v>5</v>
      </c>
    </row>
    <row r="800" spans="1:10" ht="12.75" customHeight="1" x14ac:dyDescent="0.25">
      <c r="A800" s="31">
        <f>SUM(E800:N800)</f>
        <v>9</v>
      </c>
      <c r="B800" s="36">
        <f>SUM(E800:J800)</f>
        <v>9</v>
      </c>
      <c r="D800" s="2" t="s">
        <v>9</v>
      </c>
      <c r="H800" s="35">
        <v>9</v>
      </c>
    </row>
    <row r="801" spans="1:10" ht="12.75" customHeight="1" x14ac:dyDescent="0.25">
      <c r="A801" s="27" t="s">
        <v>5</v>
      </c>
      <c r="B801" s="37">
        <v>37514</v>
      </c>
      <c r="C801" s="4" t="s">
        <v>0</v>
      </c>
      <c r="D801" s="1"/>
      <c r="E801" s="8">
        <v>37485</v>
      </c>
      <c r="F801" s="8">
        <v>37485</v>
      </c>
      <c r="G801" s="8">
        <v>37485</v>
      </c>
      <c r="H801" s="49">
        <v>37513</v>
      </c>
      <c r="I801" s="21">
        <v>37513</v>
      </c>
      <c r="J801" s="22">
        <v>37513</v>
      </c>
    </row>
    <row r="802" spans="1:10" ht="12.75" customHeight="1" x14ac:dyDescent="0.25">
      <c r="A802" s="28" t="s">
        <v>6</v>
      </c>
      <c r="B802" s="33" t="s">
        <v>6</v>
      </c>
      <c r="C802" s="5">
        <v>161</v>
      </c>
      <c r="D802" s="2"/>
      <c r="E802" s="9" t="s">
        <v>2</v>
      </c>
      <c r="F802" s="9" t="s">
        <v>3</v>
      </c>
      <c r="G802" s="9" t="s">
        <v>4</v>
      </c>
      <c r="H802" s="50" t="s">
        <v>21</v>
      </c>
      <c r="I802" s="23" t="s">
        <v>22</v>
      </c>
      <c r="J802" s="24" t="s">
        <v>4</v>
      </c>
    </row>
    <row r="803" spans="1:10" ht="12.75" customHeight="1" x14ac:dyDescent="0.25">
      <c r="A803" s="29">
        <f>SUM(E803:G803)/3</f>
        <v>0.66666666666666663</v>
      </c>
      <c r="B803" s="34">
        <f>SUM(E803:J803)/6</f>
        <v>0.73333333333333328</v>
      </c>
      <c r="C803" s="6"/>
      <c r="D803" s="2" t="s">
        <v>7</v>
      </c>
      <c r="E803" s="10">
        <v>0.84</v>
      </c>
      <c r="F803" s="10">
        <v>0.56000000000000005</v>
      </c>
      <c r="G803" s="10">
        <v>0.6</v>
      </c>
      <c r="H803" s="34">
        <v>0.84</v>
      </c>
      <c r="I803" s="10">
        <v>0.92</v>
      </c>
      <c r="J803" s="10">
        <v>0.64</v>
      </c>
    </row>
    <row r="804" spans="1:10" ht="12.75" customHeight="1" x14ac:dyDescent="0.25">
      <c r="B804" s="35">
        <f>SUM(E804:J804)</f>
        <v>5</v>
      </c>
      <c r="C804" s="6"/>
      <c r="D804" s="2" t="s">
        <v>8</v>
      </c>
      <c r="H804" s="35">
        <v>5</v>
      </c>
    </row>
    <row r="805" spans="1:10" ht="12.75" customHeight="1" x14ac:dyDescent="0.25">
      <c r="A805" s="31">
        <f>SUM(E805:N805)</f>
        <v>35</v>
      </c>
      <c r="B805" s="36">
        <f>SUM(E805:J805)</f>
        <v>35</v>
      </c>
      <c r="C805" s="6"/>
      <c r="D805" s="2" t="s">
        <v>9</v>
      </c>
      <c r="E805">
        <v>10</v>
      </c>
      <c r="H805" s="35">
        <v>25</v>
      </c>
    </row>
    <row r="806" spans="1:10" ht="12.75" customHeight="1" x14ac:dyDescent="0.25">
      <c r="A806" s="27" t="s">
        <v>5</v>
      </c>
      <c r="B806" s="37">
        <v>37514</v>
      </c>
      <c r="C806" s="4" t="s">
        <v>0</v>
      </c>
      <c r="D806" s="1"/>
      <c r="E806" s="8">
        <v>37485</v>
      </c>
      <c r="F806" s="8">
        <v>37485</v>
      </c>
      <c r="G806" s="8">
        <v>37485</v>
      </c>
      <c r="H806" s="49">
        <v>37513</v>
      </c>
      <c r="I806" s="21">
        <v>37513</v>
      </c>
      <c r="J806" s="22">
        <v>37513</v>
      </c>
    </row>
    <row r="807" spans="1:10" ht="12.75" customHeight="1" x14ac:dyDescent="0.25">
      <c r="A807" s="28" t="s">
        <v>6</v>
      </c>
      <c r="B807" s="33" t="s">
        <v>6</v>
      </c>
      <c r="C807" s="5">
        <v>162</v>
      </c>
      <c r="D807" s="2"/>
      <c r="E807" s="9" t="s">
        <v>2</v>
      </c>
      <c r="F807" s="9" t="s">
        <v>3</v>
      </c>
      <c r="G807" s="9" t="s">
        <v>4</v>
      </c>
      <c r="H807" s="50" t="s">
        <v>21</v>
      </c>
      <c r="I807" s="23" t="s">
        <v>22</v>
      </c>
      <c r="J807" s="24" t="s">
        <v>4</v>
      </c>
    </row>
    <row r="808" spans="1:10" ht="12.75" customHeight="1" x14ac:dyDescent="0.25">
      <c r="A808" s="29">
        <f>SUM(E808:G808)/3</f>
        <v>0.85333333333333339</v>
      </c>
      <c r="B808" s="34">
        <f>SUM(E808:J808)/6</f>
        <v>0.83666666666666656</v>
      </c>
      <c r="C808" s="6"/>
      <c r="D808" s="2" t="s">
        <v>7</v>
      </c>
      <c r="E808" s="10">
        <v>0.96</v>
      </c>
      <c r="F808" s="10">
        <v>0.8</v>
      </c>
      <c r="G808" s="10">
        <v>0.8</v>
      </c>
      <c r="H808" s="34">
        <v>0.86</v>
      </c>
      <c r="I808" s="10">
        <v>0.88</v>
      </c>
      <c r="J808" s="10">
        <v>0.72</v>
      </c>
    </row>
    <row r="809" spans="1:10" ht="12.75" customHeight="1" x14ac:dyDescent="0.25">
      <c r="B809" s="35">
        <f>SUM(E809:J809)</f>
        <v>5</v>
      </c>
      <c r="C809" s="6"/>
      <c r="D809" s="2" t="s">
        <v>8</v>
      </c>
      <c r="H809" s="35">
        <v>5</v>
      </c>
    </row>
    <row r="810" spans="1:10" ht="12.75" customHeight="1" x14ac:dyDescent="0.25">
      <c r="A810" s="31">
        <f>SUM(E810:N810)</f>
        <v>35</v>
      </c>
      <c r="B810" s="36">
        <f>SUM(E810:J810)</f>
        <v>35</v>
      </c>
      <c r="C810" s="6"/>
      <c r="D810" s="2" t="s">
        <v>9</v>
      </c>
      <c r="E810">
        <v>10</v>
      </c>
      <c r="H810" s="35">
        <v>25</v>
      </c>
    </row>
    <row r="811" spans="1:10" ht="12.75" customHeight="1" x14ac:dyDescent="0.25">
      <c r="A811" s="27" t="s">
        <v>5</v>
      </c>
      <c r="B811" s="37">
        <v>37514</v>
      </c>
      <c r="C811" s="4" t="s">
        <v>0</v>
      </c>
      <c r="D811" s="1"/>
      <c r="E811" s="8">
        <v>37485</v>
      </c>
      <c r="F811" s="8">
        <v>37485</v>
      </c>
      <c r="G811" s="8">
        <v>37485</v>
      </c>
      <c r="H811" s="49">
        <v>37513</v>
      </c>
      <c r="I811" s="21">
        <v>37513</v>
      </c>
      <c r="J811" s="22">
        <v>37513</v>
      </c>
    </row>
    <row r="812" spans="1:10" ht="12.75" customHeight="1" x14ac:dyDescent="0.25">
      <c r="A812" s="28" t="s">
        <v>6</v>
      </c>
      <c r="B812" s="33" t="s">
        <v>6</v>
      </c>
      <c r="C812" s="5">
        <v>163</v>
      </c>
      <c r="D812" s="2"/>
      <c r="E812" s="9" t="s">
        <v>2</v>
      </c>
      <c r="F812" s="9" t="s">
        <v>3</v>
      </c>
      <c r="G812" s="9" t="s">
        <v>4</v>
      </c>
      <c r="H812" s="50" t="s">
        <v>21</v>
      </c>
      <c r="I812" s="23" t="s">
        <v>22</v>
      </c>
      <c r="J812" s="24" t="s">
        <v>4</v>
      </c>
    </row>
    <row r="813" spans="1:10" ht="12.75" customHeight="1" x14ac:dyDescent="0.25">
      <c r="A813" s="29">
        <f>SUM(E813:G813)/3</f>
        <v>0.62666666666666671</v>
      </c>
      <c r="B813" s="34">
        <f>SUM(E813:J813)/6</f>
        <v>0.70000000000000007</v>
      </c>
      <c r="C813" s="6"/>
      <c r="D813" s="2" t="s">
        <v>7</v>
      </c>
      <c r="E813" s="10">
        <v>0.8</v>
      </c>
      <c r="F813" s="10">
        <v>0.52</v>
      </c>
      <c r="G813" s="10">
        <v>0.56000000000000005</v>
      </c>
      <c r="H813" s="34">
        <v>0.76</v>
      </c>
      <c r="I813" s="10">
        <v>1</v>
      </c>
      <c r="J813" s="10">
        <v>0.56000000000000005</v>
      </c>
    </row>
    <row r="814" spans="1:10" ht="12.75" customHeight="1" x14ac:dyDescent="0.25">
      <c r="B814" s="35">
        <f>SUM(E814:J814)</f>
        <v>5</v>
      </c>
      <c r="C814" s="6"/>
      <c r="D814" s="2" t="s">
        <v>8</v>
      </c>
      <c r="H814" s="35">
        <v>5</v>
      </c>
    </row>
    <row r="815" spans="1:10" ht="12.75" customHeight="1" x14ac:dyDescent="0.25">
      <c r="A815" s="31">
        <f>SUM(E815:N815)</f>
        <v>12</v>
      </c>
      <c r="B815" s="36">
        <f>SUM(E815:J815)</f>
        <v>12</v>
      </c>
      <c r="C815" s="6"/>
      <c r="D815" s="2" t="s">
        <v>9</v>
      </c>
      <c r="E815">
        <v>2</v>
      </c>
      <c r="H815" s="35">
        <v>10</v>
      </c>
    </row>
    <row r="816" spans="1:10" ht="12.75" customHeight="1" x14ac:dyDescent="0.25">
      <c r="A816" s="27" t="s">
        <v>5</v>
      </c>
      <c r="B816" s="37">
        <v>37514</v>
      </c>
      <c r="C816" s="4" t="s">
        <v>0</v>
      </c>
      <c r="D816" s="1"/>
      <c r="E816" s="8">
        <v>37485</v>
      </c>
      <c r="F816" s="8">
        <v>37485</v>
      </c>
      <c r="G816" s="8">
        <v>37485</v>
      </c>
      <c r="H816" s="49">
        <v>37513</v>
      </c>
      <c r="I816" s="21">
        <v>37513</v>
      </c>
      <c r="J816" s="22">
        <v>37513</v>
      </c>
    </row>
    <row r="817" spans="1:10" ht="12.75" customHeight="1" x14ac:dyDescent="0.25">
      <c r="A817" s="28" t="s">
        <v>6</v>
      </c>
      <c r="B817" s="33" t="s">
        <v>6</v>
      </c>
      <c r="C817" s="5">
        <v>164</v>
      </c>
      <c r="D817" s="2"/>
      <c r="E817" s="9" t="s">
        <v>2</v>
      </c>
      <c r="F817" s="9" t="s">
        <v>3</v>
      </c>
      <c r="G817" s="9" t="s">
        <v>4</v>
      </c>
      <c r="H817" s="50" t="s">
        <v>21</v>
      </c>
      <c r="I817" s="23" t="s">
        <v>22</v>
      </c>
      <c r="J817" s="24" t="s">
        <v>4</v>
      </c>
    </row>
    <row r="818" spans="1:10" ht="12.75" customHeight="1" x14ac:dyDescent="0.25">
      <c r="A818" s="29">
        <f>SUM(E818:G818)/3</f>
        <v>0.62666666666666659</v>
      </c>
      <c r="B818" s="34">
        <f>SUM(E818:J818)/6</f>
        <v>0.69333333333333336</v>
      </c>
      <c r="C818" s="6"/>
      <c r="D818" s="2" t="s">
        <v>7</v>
      </c>
      <c r="E818" s="10">
        <v>0.76</v>
      </c>
      <c r="F818" s="10">
        <v>0.76</v>
      </c>
      <c r="G818" s="10">
        <v>0.36</v>
      </c>
      <c r="H818" s="34">
        <v>0.92</v>
      </c>
      <c r="I818" s="10">
        <v>0.92</v>
      </c>
      <c r="J818" s="10">
        <v>0.44</v>
      </c>
    </row>
    <row r="819" spans="1:10" ht="12.75" customHeight="1" x14ac:dyDescent="0.25">
      <c r="B819" s="35">
        <f>SUM(E819:J819)</f>
        <v>5</v>
      </c>
      <c r="C819" s="6"/>
      <c r="D819" s="2" t="s">
        <v>8</v>
      </c>
      <c r="H819" s="35">
        <v>5</v>
      </c>
    </row>
    <row r="820" spans="1:10" ht="12.75" customHeight="1" x14ac:dyDescent="0.25">
      <c r="A820" s="31">
        <f>SUM(E820:N820)</f>
        <v>86</v>
      </c>
      <c r="B820" s="36">
        <f>SUM(E820:J820)</f>
        <v>86</v>
      </c>
      <c r="C820" s="6"/>
      <c r="D820" s="2" t="s">
        <v>9</v>
      </c>
      <c r="E820">
        <v>25</v>
      </c>
      <c r="H820" s="35">
        <v>61</v>
      </c>
    </row>
    <row r="821" spans="1:10" ht="12.75" customHeight="1" x14ac:dyDescent="0.25">
      <c r="A821" s="27" t="s">
        <v>5</v>
      </c>
      <c r="B821" s="37">
        <v>37514</v>
      </c>
      <c r="C821" s="4" t="s">
        <v>0</v>
      </c>
      <c r="D821" s="1"/>
      <c r="E821" s="8">
        <v>37485</v>
      </c>
      <c r="F821" s="8">
        <v>37485</v>
      </c>
      <c r="G821" s="8">
        <v>37485</v>
      </c>
      <c r="H821" s="49">
        <v>37513</v>
      </c>
      <c r="I821" s="21">
        <v>37513</v>
      </c>
      <c r="J821" s="22">
        <v>37513</v>
      </c>
    </row>
    <row r="822" spans="1:10" ht="12.75" customHeight="1" x14ac:dyDescent="0.25">
      <c r="A822" s="28" t="s">
        <v>6</v>
      </c>
      <c r="B822" s="33" t="s">
        <v>6</v>
      </c>
      <c r="C822" s="5">
        <v>165</v>
      </c>
      <c r="D822" s="2"/>
      <c r="E822" s="9" t="s">
        <v>2</v>
      </c>
      <c r="F822" s="9" t="s">
        <v>3</v>
      </c>
      <c r="G822" s="9" t="s">
        <v>4</v>
      </c>
      <c r="H822" s="50" t="s">
        <v>21</v>
      </c>
      <c r="I822" s="23" t="s">
        <v>22</v>
      </c>
      <c r="J822" s="24" t="s">
        <v>4</v>
      </c>
    </row>
    <row r="823" spans="1:10" ht="12.75" customHeight="1" x14ac:dyDescent="0.25">
      <c r="A823" s="29">
        <f>SUM(E823:G823)/3</f>
        <v>0.93333333333333324</v>
      </c>
      <c r="B823" s="34">
        <f>SUM(E823:J823)/6</f>
        <v>0.90333333333333321</v>
      </c>
      <c r="C823" s="6"/>
      <c r="D823" s="2" t="s">
        <v>7</v>
      </c>
      <c r="E823" s="10">
        <v>1</v>
      </c>
      <c r="F823" s="10">
        <v>0.92</v>
      </c>
      <c r="G823" s="10">
        <v>0.88</v>
      </c>
      <c r="H823" s="34">
        <v>0.9</v>
      </c>
      <c r="I823" s="10">
        <v>1</v>
      </c>
      <c r="J823" s="10">
        <v>0.72</v>
      </c>
    </row>
    <row r="824" spans="1:10" ht="12.75" customHeight="1" x14ac:dyDescent="0.25">
      <c r="B824" s="35">
        <f>SUM(E824:J824)</f>
        <v>5</v>
      </c>
      <c r="C824" s="6"/>
      <c r="D824" s="2" t="s">
        <v>8</v>
      </c>
      <c r="H824" s="35">
        <v>5</v>
      </c>
    </row>
    <row r="825" spans="1:10" ht="12.75" customHeight="1" x14ac:dyDescent="0.25">
      <c r="A825" s="31">
        <f>SUM(E825:N825)</f>
        <v>5</v>
      </c>
      <c r="B825" s="36">
        <f>SUM(E825:J825)</f>
        <v>5</v>
      </c>
      <c r="C825" s="6"/>
      <c r="D825" s="2" t="s">
        <v>9</v>
      </c>
      <c r="E825">
        <v>0</v>
      </c>
      <c r="H825" s="35">
        <v>5</v>
      </c>
    </row>
    <row r="826" spans="1:10" ht="12.75" customHeight="1" x14ac:dyDescent="0.25">
      <c r="A826" s="27" t="s">
        <v>5</v>
      </c>
      <c r="B826" s="37">
        <v>37514</v>
      </c>
      <c r="C826" s="4" t="s">
        <v>0</v>
      </c>
      <c r="D826" s="4" t="s">
        <v>10</v>
      </c>
      <c r="E826" s="17">
        <v>37485</v>
      </c>
      <c r="F826" s="17">
        <v>37485</v>
      </c>
      <c r="G826" s="17">
        <v>37485</v>
      </c>
      <c r="H826" s="49">
        <v>37513</v>
      </c>
      <c r="I826" s="21">
        <v>37513</v>
      </c>
      <c r="J826" s="22">
        <v>37513</v>
      </c>
    </row>
    <row r="827" spans="1:10" ht="12.75" customHeight="1" x14ac:dyDescent="0.25">
      <c r="A827" s="28" t="s">
        <v>6</v>
      </c>
      <c r="B827" s="33" t="s">
        <v>6</v>
      </c>
      <c r="C827" s="5">
        <v>166</v>
      </c>
      <c r="D827" s="6"/>
      <c r="E827" s="18" t="s">
        <v>2</v>
      </c>
      <c r="F827" s="18" t="s">
        <v>3</v>
      </c>
      <c r="G827" s="18" t="s">
        <v>4</v>
      </c>
      <c r="H827" s="50" t="s">
        <v>21</v>
      </c>
      <c r="I827" s="18" t="s">
        <v>22</v>
      </c>
      <c r="J827" s="40" t="s">
        <v>4</v>
      </c>
    </row>
    <row r="828" spans="1:10" ht="12.75" customHeight="1" x14ac:dyDescent="0.25">
      <c r="A828" s="29">
        <f>SUM(E828:G828)/3</f>
        <v>0</v>
      </c>
      <c r="B828" s="34">
        <f>SUM(E828:J828)/6</f>
        <v>0</v>
      </c>
      <c r="C828" s="6"/>
      <c r="D828" s="6" t="s">
        <v>7</v>
      </c>
      <c r="E828" s="19"/>
      <c r="F828" s="19"/>
      <c r="G828" s="19"/>
      <c r="I828" s="20"/>
      <c r="J828" s="20"/>
    </row>
    <row r="829" spans="1:10" ht="12.75" customHeight="1" x14ac:dyDescent="0.25">
      <c r="B829" s="35">
        <f>SUM(E829:J829)</f>
        <v>0</v>
      </c>
      <c r="C829" s="6"/>
      <c r="D829" s="6" t="s">
        <v>8</v>
      </c>
      <c r="E829" s="20"/>
      <c r="F829" s="20"/>
      <c r="G829" s="20"/>
      <c r="I829" s="20"/>
      <c r="J829" s="20"/>
    </row>
    <row r="830" spans="1:10" ht="12.75" customHeight="1" x14ac:dyDescent="0.25">
      <c r="A830" s="31">
        <f>SUM(E830:N830)</f>
        <v>0</v>
      </c>
      <c r="B830" s="36">
        <f>SUM(E830:J830)</f>
        <v>0</v>
      </c>
      <c r="C830" s="6"/>
      <c r="D830" s="6" t="s">
        <v>9</v>
      </c>
      <c r="E830" s="20"/>
      <c r="F830" s="20"/>
      <c r="G830" s="20"/>
      <c r="I830" s="20"/>
      <c r="J830" s="20"/>
    </row>
    <row r="831" spans="1:10" ht="12.75" customHeight="1" x14ac:dyDescent="0.25">
      <c r="A831" s="27" t="s">
        <v>5</v>
      </c>
      <c r="B831" s="37">
        <v>37514</v>
      </c>
      <c r="C831" s="4" t="s">
        <v>0</v>
      </c>
      <c r="D831" s="1"/>
      <c r="E831" s="8">
        <v>37485</v>
      </c>
      <c r="F831" s="8">
        <v>37485</v>
      </c>
      <c r="G831" s="8">
        <v>37485</v>
      </c>
      <c r="H831" s="49">
        <v>37513</v>
      </c>
      <c r="I831" s="21">
        <v>37513</v>
      </c>
      <c r="J831" s="22">
        <v>37513</v>
      </c>
    </row>
    <row r="832" spans="1:10" ht="12.75" customHeight="1" x14ac:dyDescent="0.25">
      <c r="A832" s="28" t="s">
        <v>6</v>
      </c>
      <c r="B832" s="33" t="s">
        <v>6</v>
      </c>
      <c r="C832" s="5">
        <v>167</v>
      </c>
      <c r="D832" s="2"/>
      <c r="E832" s="9" t="s">
        <v>2</v>
      </c>
      <c r="F832" s="9" t="s">
        <v>3</v>
      </c>
      <c r="G832" s="9" t="s">
        <v>4</v>
      </c>
      <c r="H832" s="50" t="s">
        <v>21</v>
      </c>
      <c r="I832" s="23" t="s">
        <v>22</v>
      </c>
      <c r="J832" s="24" t="s">
        <v>4</v>
      </c>
    </row>
    <row r="833" spans="1:10" ht="12.75" customHeight="1" x14ac:dyDescent="0.25">
      <c r="A833" s="29">
        <f>SUM(E833:G833)/3</f>
        <v>0.62666666666666659</v>
      </c>
      <c r="B833" s="34">
        <f>SUM(E833:J833)/6</f>
        <v>0.6333333333333333</v>
      </c>
      <c r="C833" s="6"/>
      <c r="D833" s="2" t="s">
        <v>7</v>
      </c>
      <c r="E833" s="10">
        <v>0.6</v>
      </c>
      <c r="F833" s="10">
        <v>0.76</v>
      </c>
      <c r="G833" s="10">
        <v>0.52</v>
      </c>
      <c r="H833" s="34">
        <v>0.64</v>
      </c>
      <c r="I833" s="10">
        <v>0.92</v>
      </c>
      <c r="J833" s="10">
        <v>0.36</v>
      </c>
    </row>
    <row r="834" spans="1:10" ht="12.75" customHeight="1" x14ac:dyDescent="0.25">
      <c r="B834" s="35">
        <f>SUM(E834:J834)</f>
        <v>5</v>
      </c>
      <c r="C834" s="6"/>
      <c r="D834" s="2" t="s">
        <v>8</v>
      </c>
      <c r="H834" s="35">
        <v>5</v>
      </c>
    </row>
    <row r="835" spans="1:10" ht="12.75" customHeight="1" x14ac:dyDescent="0.25">
      <c r="A835" s="31">
        <f>SUM(E835:N835)</f>
        <v>3</v>
      </c>
      <c r="B835" s="36">
        <f>SUM(E835:J835)</f>
        <v>3</v>
      </c>
      <c r="C835" s="6"/>
      <c r="D835" s="2" t="s">
        <v>9</v>
      </c>
      <c r="E835">
        <v>0</v>
      </c>
      <c r="H835" s="35">
        <v>3</v>
      </c>
    </row>
    <row r="836" spans="1:10" ht="12.75" customHeight="1" x14ac:dyDescent="0.25">
      <c r="A836" s="27" t="s">
        <v>5</v>
      </c>
      <c r="B836" s="37">
        <v>37514</v>
      </c>
      <c r="C836" s="4" t="s">
        <v>0</v>
      </c>
      <c r="D836" s="1"/>
      <c r="E836" s="8">
        <v>37485</v>
      </c>
      <c r="F836" s="8">
        <v>37485</v>
      </c>
      <c r="G836" s="8">
        <v>37485</v>
      </c>
      <c r="H836" s="49">
        <v>37513</v>
      </c>
      <c r="I836" s="21">
        <v>37513</v>
      </c>
      <c r="J836" s="22">
        <v>37513</v>
      </c>
    </row>
    <row r="837" spans="1:10" ht="12.75" customHeight="1" x14ac:dyDescent="0.25">
      <c r="A837" s="28" t="s">
        <v>6</v>
      </c>
      <c r="B837" s="33" t="s">
        <v>6</v>
      </c>
      <c r="C837" s="5">
        <v>168</v>
      </c>
      <c r="D837" s="2"/>
      <c r="E837" s="9" t="s">
        <v>2</v>
      </c>
      <c r="F837" s="9" t="s">
        <v>3</v>
      </c>
      <c r="G837" s="9" t="s">
        <v>4</v>
      </c>
      <c r="H837" s="50" t="s">
        <v>21</v>
      </c>
      <c r="I837" s="23" t="s">
        <v>22</v>
      </c>
      <c r="J837" s="24" t="s">
        <v>4</v>
      </c>
    </row>
    <row r="838" spans="1:10" ht="12.75" customHeight="1" x14ac:dyDescent="0.25">
      <c r="A838" s="29">
        <f>SUM(E838:G838)/3</f>
        <v>0.27999999999999997</v>
      </c>
      <c r="B838" s="34">
        <f>SUM(E838:J838)/6</f>
        <v>0.39333333333333331</v>
      </c>
      <c r="C838" s="6"/>
      <c r="D838" s="2" t="s">
        <v>7</v>
      </c>
      <c r="E838" s="10">
        <v>0.44</v>
      </c>
      <c r="F838" s="10">
        <v>0.16</v>
      </c>
      <c r="G838" s="10">
        <v>0.24</v>
      </c>
      <c r="H838" s="34">
        <v>0.48</v>
      </c>
      <c r="I838" s="10">
        <v>0.72</v>
      </c>
      <c r="J838" s="10">
        <v>0.32</v>
      </c>
    </row>
    <row r="839" spans="1:10" ht="12.75" customHeight="1" x14ac:dyDescent="0.25">
      <c r="B839" s="35">
        <f>SUM(E839:J839)</f>
        <v>5</v>
      </c>
      <c r="C839" s="6"/>
      <c r="D839" s="2" t="s">
        <v>8</v>
      </c>
      <c r="H839" s="35">
        <v>5</v>
      </c>
    </row>
    <row r="840" spans="1:10" ht="12.75" customHeight="1" x14ac:dyDescent="0.25">
      <c r="A840" s="31">
        <f>SUM(E840:N840)</f>
        <v>50</v>
      </c>
      <c r="B840" s="36">
        <f>SUM(E840:J840)</f>
        <v>50</v>
      </c>
      <c r="C840" s="6"/>
      <c r="D840" s="2" t="s">
        <v>9</v>
      </c>
      <c r="E840">
        <v>0</v>
      </c>
      <c r="H840" s="35">
        <v>50</v>
      </c>
    </row>
    <row r="841" spans="1:10" ht="12.75" customHeight="1" x14ac:dyDescent="0.25">
      <c r="A841" s="27" t="s">
        <v>5</v>
      </c>
      <c r="B841" s="37">
        <v>37514</v>
      </c>
      <c r="C841" s="4" t="s">
        <v>0</v>
      </c>
      <c r="D841" s="1"/>
      <c r="E841" s="8">
        <v>37485</v>
      </c>
      <c r="F841" s="8">
        <v>37485</v>
      </c>
      <c r="G841" s="8">
        <v>37485</v>
      </c>
      <c r="H841" s="49">
        <v>37513</v>
      </c>
      <c r="I841" s="21">
        <v>37513</v>
      </c>
      <c r="J841" s="22">
        <v>37513</v>
      </c>
    </row>
    <row r="842" spans="1:10" ht="12.75" customHeight="1" x14ac:dyDescent="0.25">
      <c r="A842" s="28" t="s">
        <v>6</v>
      </c>
      <c r="B842" s="33" t="s">
        <v>6</v>
      </c>
      <c r="C842" s="5">
        <v>169</v>
      </c>
      <c r="D842" s="2"/>
      <c r="E842" s="9" t="s">
        <v>2</v>
      </c>
      <c r="F842" s="9" t="s">
        <v>3</v>
      </c>
      <c r="G842" s="9" t="s">
        <v>4</v>
      </c>
      <c r="H842" s="50" t="s">
        <v>21</v>
      </c>
      <c r="I842" s="23" t="s">
        <v>22</v>
      </c>
      <c r="J842" s="24" t="s">
        <v>4</v>
      </c>
    </row>
    <row r="843" spans="1:10" ht="12.75" customHeight="1" x14ac:dyDescent="0.25">
      <c r="A843" s="29">
        <f>SUM(E843:G843)/3</f>
        <v>0.77333333333333343</v>
      </c>
      <c r="B843" s="34">
        <f>SUM(E843:J843)/6</f>
        <v>0.82</v>
      </c>
      <c r="C843" s="6"/>
      <c r="D843" s="2" t="s">
        <v>7</v>
      </c>
      <c r="E843" s="10">
        <v>0.88</v>
      </c>
      <c r="F843" s="10">
        <v>0.64</v>
      </c>
      <c r="G843" s="10">
        <v>0.8</v>
      </c>
      <c r="H843" s="34">
        <v>0.92</v>
      </c>
      <c r="I843" s="10">
        <v>0.88</v>
      </c>
      <c r="J843" s="10">
        <v>0.8</v>
      </c>
    </row>
    <row r="844" spans="1:10" ht="12.75" customHeight="1" x14ac:dyDescent="0.25">
      <c r="B844" s="35">
        <f>SUM(E844:J844)</f>
        <v>5</v>
      </c>
      <c r="C844" s="6"/>
      <c r="D844" s="2" t="s">
        <v>8</v>
      </c>
      <c r="H844" s="35">
        <v>5</v>
      </c>
    </row>
    <row r="845" spans="1:10" ht="12.75" customHeight="1" x14ac:dyDescent="0.25">
      <c r="A845" s="31">
        <f>SUM(E845:N845)</f>
        <v>23</v>
      </c>
      <c r="B845" s="36">
        <f>SUM(E845:J845)</f>
        <v>23</v>
      </c>
      <c r="C845" s="6"/>
      <c r="D845" s="2" t="s">
        <v>9</v>
      </c>
      <c r="E845">
        <v>0</v>
      </c>
      <c r="H845" s="35">
        <v>23</v>
      </c>
    </row>
    <row r="846" spans="1:10" ht="12.75" customHeight="1" x14ac:dyDescent="0.25">
      <c r="A846" s="27" t="s">
        <v>5</v>
      </c>
      <c r="B846" s="37">
        <v>37514</v>
      </c>
      <c r="C846" s="4" t="s">
        <v>0</v>
      </c>
      <c r="D846" s="1"/>
      <c r="E846" s="8">
        <v>37485</v>
      </c>
      <c r="F846" s="8">
        <v>37485</v>
      </c>
      <c r="G846" s="8">
        <v>37485</v>
      </c>
      <c r="H846" s="49">
        <v>37513</v>
      </c>
      <c r="I846" s="21">
        <v>37513</v>
      </c>
      <c r="J846" s="22">
        <v>37513</v>
      </c>
    </row>
    <row r="847" spans="1:10" ht="12.75" customHeight="1" x14ac:dyDescent="0.25">
      <c r="A847" s="28" t="s">
        <v>6</v>
      </c>
      <c r="B847" s="33" t="s">
        <v>6</v>
      </c>
      <c r="C847" s="5">
        <v>170</v>
      </c>
      <c r="D847" s="2"/>
      <c r="E847" s="9" t="s">
        <v>2</v>
      </c>
      <c r="F847" s="9" t="s">
        <v>3</v>
      </c>
      <c r="G847" s="9" t="s">
        <v>4</v>
      </c>
      <c r="H847" s="50" t="s">
        <v>21</v>
      </c>
      <c r="I847" s="23" t="s">
        <v>22</v>
      </c>
      <c r="J847" s="24" t="s">
        <v>4</v>
      </c>
    </row>
    <row r="848" spans="1:10" ht="12.75" customHeight="1" x14ac:dyDescent="0.25">
      <c r="A848" s="29">
        <f>SUM(E848:G848)/3</f>
        <v>0.49333333333333335</v>
      </c>
      <c r="B848" s="34">
        <f>SUM(E848:J848)/6</f>
        <v>0.56333333333333324</v>
      </c>
      <c r="C848" s="6"/>
      <c r="D848" s="2" t="s">
        <v>7</v>
      </c>
      <c r="E848" s="10">
        <v>0.48</v>
      </c>
      <c r="F848" s="10">
        <v>0.72</v>
      </c>
      <c r="G848" s="10">
        <v>0.28000000000000003</v>
      </c>
      <c r="H848" s="34">
        <v>0.78</v>
      </c>
      <c r="I848" s="10">
        <v>0.72</v>
      </c>
      <c r="J848" s="10">
        <v>0.4</v>
      </c>
    </row>
    <row r="849" spans="1:10" ht="12.75" customHeight="1" x14ac:dyDescent="0.25">
      <c r="B849" s="35">
        <f>SUM(E849:J849)</f>
        <v>5</v>
      </c>
      <c r="D849" s="2" t="s">
        <v>8</v>
      </c>
      <c r="H849" s="35">
        <v>5</v>
      </c>
    </row>
    <row r="850" spans="1:10" ht="12.75" customHeight="1" x14ac:dyDescent="0.25">
      <c r="A850" s="31">
        <f>SUM(E850:N850)</f>
        <v>5</v>
      </c>
      <c r="B850" s="36">
        <f>SUM(E850:J850)</f>
        <v>5</v>
      </c>
      <c r="D850" s="2" t="s">
        <v>9</v>
      </c>
      <c r="E850">
        <v>0</v>
      </c>
      <c r="H850" s="35">
        <v>5</v>
      </c>
    </row>
    <row r="851" spans="1:10" ht="12.75" customHeight="1" x14ac:dyDescent="0.25">
      <c r="A851" s="27" t="s">
        <v>5</v>
      </c>
      <c r="B851" s="37">
        <v>37514</v>
      </c>
      <c r="C851" s="4" t="s">
        <v>0</v>
      </c>
      <c r="D851" s="1"/>
      <c r="E851" s="8">
        <v>37485</v>
      </c>
      <c r="F851" s="8">
        <v>37485</v>
      </c>
      <c r="G851" s="8">
        <v>37485</v>
      </c>
      <c r="H851" s="49">
        <v>37513</v>
      </c>
      <c r="I851" s="21">
        <v>37513</v>
      </c>
      <c r="J851" s="22">
        <v>37513</v>
      </c>
    </row>
    <row r="852" spans="1:10" ht="12.75" customHeight="1" x14ac:dyDescent="0.25">
      <c r="A852" s="28" t="s">
        <v>6</v>
      </c>
      <c r="B852" s="33" t="s">
        <v>6</v>
      </c>
      <c r="C852" s="5">
        <v>171</v>
      </c>
      <c r="D852" s="2"/>
      <c r="E852" s="9" t="s">
        <v>2</v>
      </c>
      <c r="F852" s="9" t="s">
        <v>3</v>
      </c>
      <c r="G852" s="9" t="s">
        <v>4</v>
      </c>
      <c r="H852" s="50" t="s">
        <v>21</v>
      </c>
      <c r="I852" s="23" t="s">
        <v>22</v>
      </c>
      <c r="J852" s="24" t="s">
        <v>4</v>
      </c>
    </row>
    <row r="853" spans="1:10" ht="12.75" customHeight="1" x14ac:dyDescent="0.25">
      <c r="A853" s="29">
        <f>SUM(E853:G853)/3</f>
        <v>0.77333333333333343</v>
      </c>
      <c r="B853" s="34">
        <f>SUM(E853:J853)/6</f>
        <v>0.79666666666666675</v>
      </c>
      <c r="C853" s="6"/>
      <c r="D853" s="2" t="s">
        <v>7</v>
      </c>
      <c r="E853" s="10">
        <v>0.88</v>
      </c>
      <c r="F853" s="10">
        <v>0.88</v>
      </c>
      <c r="G853" s="10">
        <v>0.56000000000000005</v>
      </c>
      <c r="H853" s="34">
        <v>0.82</v>
      </c>
      <c r="I853" s="10">
        <v>1</v>
      </c>
      <c r="J853" s="10">
        <v>0.64</v>
      </c>
    </row>
    <row r="854" spans="1:10" ht="12.75" customHeight="1" x14ac:dyDescent="0.25">
      <c r="B854" s="35">
        <f>SUM(E854:J854)</f>
        <v>5</v>
      </c>
      <c r="C854" s="6"/>
      <c r="D854" s="2" t="s">
        <v>8</v>
      </c>
      <c r="H854" s="35">
        <v>5</v>
      </c>
    </row>
    <row r="855" spans="1:10" ht="12.75" customHeight="1" x14ac:dyDescent="0.25">
      <c r="A855" s="31">
        <f>SUM(E855:N855)</f>
        <v>23</v>
      </c>
      <c r="B855" s="36">
        <f>SUM(E855:J855)</f>
        <v>23</v>
      </c>
      <c r="C855" s="6"/>
      <c r="D855" s="2" t="s">
        <v>9</v>
      </c>
      <c r="E855">
        <v>0</v>
      </c>
      <c r="H855" s="35">
        <v>23</v>
      </c>
    </row>
    <row r="856" spans="1:10" ht="12.75" customHeight="1" x14ac:dyDescent="0.25">
      <c r="A856" s="27" t="s">
        <v>5</v>
      </c>
      <c r="B856" s="37">
        <v>37514</v>
      </c>
      <c r="C856" s="4" t="s">
        <v>0</v>
      </c>
      <c r="D856" s="1"/>
      <c r="E856" s="8">
        <v>37485</v>
      </c>
      <c r="F856" s="8">
        <v>37485</v>
      </c>
      <c r="G856" s="8">
        <v>37485</v>
      </c>
      <c r="H856" s="49">
        <v>37513</v>
      </c>
      <c r="I856" s="21">
        <v>37513</v>
      </c>
      <c r="J856" s="22">
        <v>37513</v>
      </c>
    </row>
    <row r="857" spans="1:10" ht="12.75" customHeight="1" x14ac:dyDescent="0.25">
      <c r="A857" s="28" t="s">
        <v>6</v>
      </c>
      <c r="B857" s="33" t="s">
        <v>6</v>
      </c>
      <c r="C857" s="5">
        <v>172</v>
      </c>
      <c r="D857" s="2"/>
      <c r="E857" s="9" t="s">
        <v>2</v>
      </c>
      <c r="F857" s="9" t="s">
        <v>3</v>
      </c>
      <c r="G857" s="9" t="s">
        <v>4</v>
      </c>
      <c r="H857" s="50" t="s">
        <v>21</v>
      </c>
      <c r="I857" s="23" t="s">
        <v>22</v>
      </c>
      <c r="J857" s="24" t="s">
        <v>4</v>
      </c>
    </row>
    <row r="858" spans="1:10" ht="12.75" customHeight="1" x14ac:dyDescent="0.25">
      <c r="A858" s="29">
        <f>SUM(E858:G858)/3</f>
        <v>0.52</v>
      </c>
      <c r="B858" s="34">
        <f>SUM(E858:J858)/6</f>
        <v>0.26</v>
      </c>
      <c r="C858" s="6"/>
      <c r="D858" s="2" t="s">
        <v>7</v>
      </c>
      <c r="E858" s="10">
        <v>0.52</v>
      </c>
      <c r="F858" s="10">
        <v>0.76</v>
      </c>
      <c r="G858" s="10">
        <v>0.28000000000000003</v>
      </c>
      <c r="H858" s="35" t="s">
        <v>25</v>
      </c>
      <c r="I858" t="s">
        <v>26</v>
      </c>
    </row>
    <row r="859" spans="1:10" ht="12.75" customHeight="1" x14ac:dyDescent="0.25">
      <c r="B859" s="35">
        <f>SUM(E859:J859)</f>
        <v>0</v>
      </c>
      <c r="C859" s="6"/>
      <c r="D859" s="2" t="s">
        <v>8</v>
      </c>
    </row>
    <row r="860" spans="1:10" ht="12.75" customHeight="1" x14ac:dyDescent="0.25">
      <c r="A860" s="31">
        <f>SUM(E860:N860)</f>
        <v>0</v>
      </c>
      <c r="B860" s="36">
        <f>SUM(E860:J860)</f>
        <v>0</v>
      </c>
      <c r="C860" s="6"/>
      <c r="D860" s="2" t="s">
        <v>9</v>
      </c>
    </row>
    <row r="861" spans="1:10" ht="12.75" customHeight="1" x14ac:dyDescent="0.25">
      <c r="A861" s="27" t="s">
        <v>5</v>
      </c>
      <c r="B861" s="37">
        <v>37514</v>
      </c>
      <c r="C861" s="4" t="s">
        <v>0</v>
      </c>
      <c r="D861" s="1"/>
      <c r="E861" s="8">
        <v>37485</v>
      </c>
      <c r="F861" s="8">
        <v>37485</v>
      </c>
      <c r="G861" s="8">
        <v>37485</v>
      </c>
      <c r="H861" s="49">
        <v>37513</v>
      </c>
      <c r="I861" s="21">
        <v>37513</v>
      </c>
      <c r="J861" s="22">
        <v>37513</v>
      </c>
    </row>
    <row r="862" spans="1:10" ht="12.75" customHeight="1" x14ac:dyDescent="0.25">
      <c r="A862" s="28" t="s">
        <v>6</v>
      </c>
      <c r="B862" s="33" t="s">
        <v>6</v>
      </c>
      <c r="C862" s="5">
        <v>173</v>
      </c>
      <c r="D862" s="2"/>
      <c r="E862" s="9" t="s">
        <v>2</v>
      </c>
      <c r="F862" s="9" t="s">
        <v>3</v>
      </c>
      <c r="G862" s="9" t="s">
        <v>4</v>
      </c>
      <c r="H862" s="50" t="s">
        <v>21</v>
      </c>
      <c r="I862" s="23" t="s">
        <v>22</v>
      </c>
      <c r="J862" s="24" t="s">
        <v>4</v>
      </c>
    </row>
    <row r="863" spans="1:10" ht="12.75" customHeight="1" x14ac:dyDescent="0.25">
      <c r="A863" s="29">
        <f>SUM(E863:G863)/3</f>
        <v>0.7466666666666667</v>
      </c>
      <c r="B863" s="34">
        <f>SUM(E863:J863)/6</f>
        <v>0.7466666666666667</v>
      </c>
      <c r="C863" s="6"/>
      <c r="D863" s="2" t="s">
        <v>7</v>
      </c>
      <c r="E863" s="10">
        <v>0.72</v>
      </c>
      <c r="F863" s="10">
        <v>0.8</v>
      </c>
      <c r="G863" s="10">
        <v>0.72</v>
      </c>
      <c r="H863" s="34">
        <v>0.84</v>
      </c>
      <c r="I863" s="10">
        <v>0.84</v>
      </c>
      <c r="J863" s="10">
        <v>0.56000000000000005</v>
      </c>
    </row>
    <row r="864" spans="1:10" ht="12.75" customHeight="1" x14ac:dyDescent="0.25">
      <c r="B864" s="35">
        <f>SUM(E864:J864)</f>
        <v>5</v>
      </c>
      <c r="C864" s="6"/>
      <c r="D864" s="2" t="s">
        <v>8</v>
      </c>
      <c r="H864" s="35">
        <v>5</v>
      </c>
    </row>
    <row r="865" spans="1:10" ht="12.75" customHeight="1" x14ac:dyDescent="0.25">
      <c r="A865" s="31">
        <f>SUM(E865:N865)</f>
        <v>60</v>
      </c>
      <c r="B865" s="36">
        <f>SUM(E865:J865)</f>
        <v>60</v>
      </c>
      <c r="C865" s="6"/>
      <c r="D865" s="2" t="s">
        <v>9</v>
      </c>
      <c r="E865">
        <v>35</v>
      </c>
      <c r="H865" s="35">
        <v>25</v>
      </c>
    </row>
    <row r="866" spans="1:10" ht="12.75" customHeight="1" x14ac:dyDescent="0.25">
      <c r="A866" s="27" t="s">
        <v>5</v>
      </c>
      <c r="B866" s="37">
        <v>37514</v>
      </c>
      <c r="C866" s="4" t="s">
        <v>0</v>
      </c>
      <c r="D866" s="1"/>
      <c r="E866" s="8">
        <v>37485</v>
      </c>
      <c r="F866" s="8">
        <v>37485</v>
      </c>
      <c r="G866" s="8">
        <v>37485</v>
      </c>
      <c r="H866" s="49">
        <v>37513</v>
      </c>
      <c r="I866" s="21">
        <v>37513</v>
      </c>
      <c r="J866" s="22">
        <v>37513</v>
      </c>
    </row>
    <row r="867" spans="1:10" ht="12.75" customHeight="1" x14ac:dyDescent="0.25">
      <c r="A867" s="28" t="s">
        <v>6</v>
      </c>
      <c r="B867" s="33" t="s">
        <v>6</v>
      </c>
      <c r="C867" s="5">
        <v>174</v>
      </c>
      <c r="D867" s="2"/>
      <c r="E867" s="9" t="s">
        <v>2</v>
      </c>
      <c r="F867" s="9" t="s">
        <v>3</v>
      </c>
      <c r="G867" s="9" t="s">
        <v>4</v>
      </c>
      <c r="H867" s="50" t="s">
        <v>21</v>
      </c>
      <c r="I867" s="23" t="s">
        <v>22</v>
      </c>
      <c r="J867" s="24" t="s">
        <v>4</v>
      </c>
    </row>
    <row r="868" spans="1:10" ht="12.75" customHeight="1" x14ac:dyDescent="0.25">
      <c r="A868" s="29">
        <f>SUM(E868:G868)/3</f>
        <v>0.66666666666666663</v>
      </c>
      <c r="B868" s="34">
        <f>SUM(E868:J868)/6</f>
        <v>0.71</v>
      </c>
      <c r="C868" s="6"/>
      <c r="D868" s="2" t="s">
        <v>7</v>
      </c>
      <c r="E868" s="10">
        <v>0.84</v>
      </c>
      <c r="F868" s="10">
        <v>0.36</v>
      </c>
      <c r="G868" s="10">
        <v>0.8</v>
      </c>
      <c r="H868" s="34">
        <v>0.78</v>
      </c>
      <c r="I868" s="10">
        <v>0.88</v>
      </c>
      <c r="J868" s="10">
        <v>0.6</v>
      </c>
    </row>
    <row r="869" spans="1:10" ht="12.75" customHeight="1" x14ac:dyDescent="0.25">
      <c r="B869" s="35">
        <f>SUM(E869:J869)</f>
        <v>5</v>
      </c>
      <c r="C869" s="6"/>
      <c r="D869" s="2" t="s">
        <v>8</v>
      </c>
      <c r="H869" s="35">
        <v>5</v>
      </c>
    </row>
    <row r="870" spans="1:10" ht="12.75" customHeight="1" x14ac:dyDescent="0.25">
      <c r="A870" s="31">
        <f>SUM(E870:N870)</f>
        <v>0</v>
      </c>
      <c r="B870" s="36">
        <f>SUM(E870:J870)</f>
        <v>0</v>
      </c>
      <c r="C870" s="6"/>
      <c r="D870" s="2" t="s">
        <v>9</v>
      </c>
      <c r="H870" s="35" t="s">
        <v>42</v>
      </c>
    </row>
    <row r="871" spans="1:10" ht="12.75" customHeight="1" x14ac:dyDescent="0.25">
      <c r="A871" s="27" t="s">
        <v>5</v>
      </c>
      <c r="B871" s="37">
        <v>37514</v>
      </c>
      <c r="C871" s="4" t="s">
        <v>0</v>
      </c>
      <c r="D871" s="1"/>
      <c r="E871" s="8">
        <v>37485</v>
      </c>
      <c r="F871" s="8">
        <v>37485</v>
      </c>
      <c r="G871" s="8">
        <v>37485</v>
      </c>
      <c r="H871" s="49">
        <v>37513</v>
      </c>
      <c r="I871" s="21">
        <v>37513</v>
      </c>
      <c r="J871" s="22">
        <v>37513</v>
      </c>
    </row>
    <row r="872" spans="1:10" ht="12.75" customHeight="1" x14ac:dyDescent="0.25">
      <c r="A872" s="28" t="s">
        <v>6</v>
      </c>
      <c r="B872" s="33" t="s">
        <v>6</v>
      </c>
      <c r="C872" s="5">
        <v>175</v>
      </c>
      <c r="D872" s="2"/>
      <c r="E872" s="9" t="s">
        <v>2</v>
      </c>
      <c r="F872" s="9" t="s">
        <v>3</v>
      </c>
      <c r="G872" s="9" t="s">
        <v>4</v>
      </c>
      <c r="H872" s="50" t="s">
        <v>21</v>
      </c>
      <c r="I872" s="23" t="s">
        <v>22</v>
      </c>
      <c r="J872" s="24" t="s">
        <v>4</v>
      </c>
    </row>
    <row r="873" spans="1:10" ht="12.75" customHeight="1" x14ac:dyDescent="0.25">
      <c r="A873" s="29">
        <f>SUM(E873:G873)/3</f>
        <v>0.6</v>
      </c>
      <c r="B873" s="34">
        <f>SUM(E873:J873)/6</f>
        <v>0.66333333333333322</v>
      </c>
      <c r="C873" s="6"/>
      <c r="D873" s="2" t="s">
        <v>7</v>
      </c>
      <c r="E873" s="10">
        <v>0.68</v>
      </c>
      <c r="F873" s="10">
        <v>0.72</v>
      </c>
      <c r="G873" s="10">
        <v>0.4</v>
      </c>
      <c r="H873" s="34">
        <v>0.86</v>
      </c>
      <c r="I873" s="10">
        <v>0.84</v>
      </c>
      <c r="J873" s="10">
        <v>0.48</v>
      </c>
    </row>
    <row r="874" spans="1:10" ht="12.75" customHeight="1" x14ac:dyDescent="0.25">
      <c r="B874" s="35">
        <f>SUM(E874:J874)</f>
        <v>5</v>
      </c>
      <c r="C874" s="6"/>
      <c r="D874" s="2" t="s">
        <v>8</v>
      </c>
      <c r="H874" s="35">
        <v>5</v>
      </c>
    </row>
    <row r="875" spans="1:10" ht="12.75" customHeight="1" x14ac:dyDescent="0.25">
      <c r="A875" s="31">
        <f>SUM(E875:N875)</f>
        <v>105</v>
      </c>
      <c r="B875" s="36">
        <f>SUM(E875:J875)</f>
        <v>105</v>
      </c>
      <c r="C875" s="6"/>
      <c r="D875" s="2" t="s">
        <v>9</v>
      </c>
      <c r="E875">
        <v>12</v>
      </c>
      <c r="H875" s="35">
        <v>93</v>
      </c>
    </row>
    <row r="876" spans="1:10" ht="12.75" customHeight="1" x14ac:dyDescent="0.25">
      <c r="A876" s="27" t="s">
        <v>5</v>
      </c>
      <c r="B876" s="37">
        <v>37514</v>
      </c>
      <c r="C876" s="4" t="s">
        <v>0</v>
      </c>
      <c r="D876" s="1"/>
      <c r="E876" s="8">
        <v>37485</v>
      </c>
      <c r="F876" s="8">
        <v>37485</v>
      </c>
      <c r="G876" s="8">
        <v>37485</v>
      </c>
      <c r="H876" s="49">
        <v>37513</v>
      </c>
      <c r="I876" s="21">
        <v>37513</v>
      </c>
      <c r="J876" s="22">
        <v>37513</v>
      </c>
    </row>
    <row r="877" spans="1:10" ht="12.75" customHeight="1" x14ac:dyDescent="0.25">
      <c r="A877" s="28" t="s">
        <v>6</v>
      </c>
      <c r="B877" s="33" t="s">
        <v>6</v>
      </c>
      <c r="C877" s="5">
        <v>176</v>
      </c>
      <c r="D877" s="2"/>
      <c r="E877" s="9" t="s">
        <v>2</v>
      </c>
      <c r="F877" s="9" t="s">
        <v>3</v>
      </c>
      <c r="G877" s="9" t="s">
        <v>4</v>
      </c>
      <c r="H877" s="50" t="s">
        <v>21</v>
      </c>
      <c r="I877" s="23" t="s">
        <v>22</v>
      </c>
      <c r="J877" s="24" t="s">
        <v>4</v>
      </c>
    </row>
    <row r="878" spans="1:10" ht="12.75" customHeight="1" x14ac:dyDescent="0.25">
      <c r="A878" s="29">
        <f>SUM(E878:G878)/3</f>
        <v>0.82</v>
      </c>
      <c r="B878" s="34">
        <f>SUM(E878:J878)/6</f>
        <v>0.76666666666666672</v>
      </c>
      <c r="C878" s="6"/>
      <c r="D878" s="2" t="s">
        <v>7</v>
      </c>
      <c r="E878" s="10">
        <v>0.84</v>
      </c>
      <c r="F878" s="10">
        <v>0.8</v>
      </c>
      <c r="G878" s="10">
        <v>0.82</v>
      </c>
      <c r="H878" s="34">
        <v>0.82</v>
      </c>
      <c r="I878" s="10">
        <v>0.92</v>
      </c>
      <c r="J878" s="10">
        <v>0.4</v>
      </c>
    </row>
    <row r="879" spans="1:10" ht="12.75" customHeight="1" x14ac:dyDescent="0.25">
      <c r="B879" s="35">
        <f>SUM(E879:J879)</f>
        <v>5</v>
      </c>
      <c r="C879" s="6"/>
      <c r="D879" s="2" t="s">
        <v>8</v>
      </c>
      <c r="H879" s="35">
        <v>5</v>
      </c>
    </row>
    <row r="880" spans="1:10" ht="12.75" customHeight="1" x14ac:dyDescent="0.25">
      <c r="A880" s="31">
        <f>SUM(E880:N880)</f>
        <v>15</v>
      </c>
      <c r="B880" s="36">
        <f>SUM(E880:J880)</f>
        <v>15</v>
      </c>
      <c r="C880" s="6"/>
      <c r="D880" s="2" t="s">
        <v>9</v>
      </c>
      <c r="E880">
        <v>0</v>
      </c>
      <c r="H880" s="35">
        <v>15</v>
      </c>
    </row>
    <row r="881" spans="1:10" ht="12.75" customHeight="1" x14ac:dyDescent="0.25">
      <c r="A881" s="27" t="s">
        <v>5</v>
      </c>
      <c r="B881" s="37">
        <v>37514</v>
      </c>
      <c r="C881" s="4" t="s">
        <v>0</v>
      </c>
      <c r="D881" s="1"/>
      <c r="E881" s="8">
        <v>37485</v>
      </c>
      <c r="F881" s="8">
        <v>37485</v>
      </c>
      <c r="G881" s="8">
        <v>37485</v>
      </c>
      <c r="H881" s="49">
        <v>37513</v>
      </c>
      <c r="I881" s="21">
        <v>37513</v>
      </c>
      <c r="J881" s="22">
        <v>37513</v>
      </c>
    </row>
    <row r="882" spans="1:10" ht="12.75" customHeight="1" x14ac:dyDescent="0.25">
      <c r="A882" s="28" t="s">
        <v>6</v>
      </c>
      <c r="B882" s="33" t="s">
        <v>6</v>
      </c>
      <c r="C882" s="5">
        <v>177</v>
      </c>
      <c r="D882" s="2"/>
      <c r="E882" s="9" t="s">
        <v>2</v>
      </c>
      <c r="F882" s="9" t="s">
        <v>3</v>
      </c>
      <c r="G882" s="9" t="s">
        <v>4</v>
      </c>
      <c r="H882" s="50" t="s">
        <v>21</v>
      </c>
      <c r="I882" s="23" t="s">
        <v>22</v>
      </c>
      <c r="J882" s="24" t="s">
        <v>4</v>
      </c>
    </row>
    <row r="883" spans="1:10" ht="12.75" customHeight="1" x14ac:dyDescent="0.25">
      <c r="A883" s="29">
        <f>SUM(E883:G883)/3</f>
        <v>0.41333333333333339</v>
      </c>
      <c r="B883" s="34">
        <f>SUM(E883:J883)/6</f>
        <v>0.4933333333333334</v>
      </c>
      <c r="C883" s="6"/>
      <c r="D883" s="2" t="s">
        <v>7</v>
      </c>
      <c r="E883" s="10">
        <v>0.4</v>
      </c>
      <c r="F883" s="10">
        <v>0.44</v>
      </c>
      <c r="G883" s="10">
        <v>0.4</v>
      </c>
      <c r="H883" s="34">
        <v>0.64</v>
      </c>
      <c r="I883" s="10">
        <v>0.88</v>
      </c>
      <c r="J883" s="10">
        <v>0.2</v>
      </c>
    </row>
    <row r="884" spans="1:10" ht="12.75" customHeight="1" x14ac:dyDescent="0.25">
      <c r="B884" s="35">
        <f>SUM(E884:J884)</f>
        <v>5</v>
      </c>
      <c r="C884" s="6"/>
      <c r="D884" s="2" t="s">
        <v>8</v>
      </c>
      <c r="H884" s="35">
        <v>5</v>
      </c>
    </row>
    <row r="885" spans="1:10" ht="12.75" customHeight="1" x14ac:dyDescent="0.25">
      <c r="A885" s="31">
        <f>SUM(E885:N885)</f>
        <v>18</v>
      </c>
      <c r="B885" s="36">
        <f>SUM(E885:J885)</f>
        <v>18</v>
      </c>
      <c r="C885" s="6"/>
      <c r="D885" s="2" t="s">
        <v>9</v>
      </c>
      <c r="E885">
        <v>0</v>
      </c>
      <c r="H885" s="35">
        <v>18</v>
      </c>
    </row>
    <row r="886" spans="1:10" ht="12.75" customHeight="1" x14ac:dyDescent="0.25">
      <c r="A886" s="27" t="s">
        <v>5</v>
      </c>
      <c r="B886" s="37">
        <v>37514</v>
      </c>
      <c r="C886" s="4" t="s">
        <v>0</v>
      </c>
      <c r="D886" s="1"/>
      <c r="E886" s="8">
        <v>37485</v>
      </c>
      <c r="F886" s="8">
        <v>37485</v>
      </c>
      <c r="G886" s="8">
        <v>37485</v>
      </c>
      <c r="H886" s="49">
        <v>37513</v>
      </c>
      <c r="I886" s="21">
        <v>37513</v>
      </c>
      <c r="J886" s="22">
        <v>37513</v>
      </c>
    </row>
    <row r="887" spans="1:10" ht="12.75" customHeight="1" x14ac:dyDescent="0.25">
      <c r="A887" s="28" t="s">
        <v>6</v>
      </c>
      <c r="B887" s="33" t="s">
        <v>6</v>
      </c>
      <c r="C887" s="5">
        <v>178</v>
      </c>
      <c r="D887" s="2"/>
      <c r="E887" s="9" t="s">
        <v>2</v>
      </c>
      <c r="F887" s="9" t="s">
        <v>3</v>
      </c>
      <c r="G887" s="9" t="s">
        <v>4</v>
      </c>
      <c r="H887" s="50" t="s">
        <v>21</v>
      </c>
      <c r="I887" s="23" t="s">
        <v>22</v>
      </c>
      <c r="J887" s="24" t="s">
        <v>4</v>
      </c>
    </row>
    <row r="888" spans="1:10" ht="12.75" customHeight="1" x14ac:dyDescent="0.25">
      <c r="A888" s="29">
        <f>SUM(E888:G888)/3</f>
        <v>0.69333333333333336</v>
      </c>
      <c r="B888" s="34">
        <f>SUM(E888:J888)/6</f>
        <v>0.67666666666666675</v>
      </c>
      <c r="C888" s="6"/>
      <c r="D888" s="2" t="s">
        <v>7</v>
      </c>
      <c r="E888" s="10">
        <v>0.72</v>
      </c>
      <c r="F888" s="10">
        <v>0.72</v>
      </c>
      <c r="G888" s="10">
        <v>0.64</v>
      </c>
      <c r="H888" s="34">
        <v>0.74</v>
      </c>
      <c r="I888" s="10">
        <v>0.8</v>
      </c>
      <c r="J888" s="10">
        <v>0.44</v>
      </c>
    </row>
    <row r="889" spans="1:10" ht="12.75" customHeight="1" x14ac:dyDescent="0.25">
      <c r="B889" s="35">
        <f>SUM(E889:J889)</f>
        <v>5</v>
      </c>
      <c r="C889" s="6"/>
      <c r="D889" s="2" t="s">
        <v>8</v>
      </c>
      <c r="H889" s="35">
        <v>5</v>
      </c>
    </row>
    <row r="890" spans="1:10" ht="12.75" customHeight="1" x14ac:dyDescent="0.25">
      <c r="A890" s="31">
        <f>SUM(E890:N890)</f>
        <v>8</v>
      </c>
      <c r="B890" s="36">
        <f>SUM(E890:J890)</f>
        <v>8</v>
      </c>
      <c r="C890" s="6"/>
      <c r="D890" s="2" t="s">
        <v>9</v>
      </c>
      <c r="E890">
        <v>0</v>
      </c>
      <c r="H890" s="35">
        <v>8</v>
      </c>
    </row>
    <row r="891" spans="1:10" ht="12.75" customHeight="1" x14ac:dyDescent="0.25">
      <c r="A891" s="27" t="s">
        <v>5</v>
      </c>
      <c r="B891" s="37">
        <v>37514</v>
      </c>
      <c r="C891" s="4" t="s">
        <v>0</v>
      </c>
      <c r="D891" s="1"/>
      <c r="E891" s="8">
        <v>37485</v>
      </c>
      <c r="F891" s="8">
        <v>37485</v>
      </c>
      <c r="G891" s="8">
        <v>37485</v>
      </c>
      <c r="H891" s="49">
        <v>37513</v>
      </c>
      <c r="I891" s="21">
        <v>37513</v>
      </c>
      <c r="J891" s="22">
        <v>37513</v>
      </c>
    </row>
    <row r="892" spans="1:10" ht="12.75" customHeight="1" x14ac:dyDescent="0.25">
      <c r="A892" s="28" t="s">
        <v>6</v>
      </c>
      <c r="B892" s="33" t="s">
        <v>6</v>
      </c>
      <c r="C892" s="5">
        <v>179</v>
      </c>
      <c r="D892" s="2"/>
      <c r="E892" s="9" t="s">
        <v>2</v>
      </c>
      <c r="F892" s="9" t="s">
        <v>3</v>
      </c>
      <c r="G892" s="9" t="s">
        <v>4</v>
      </c>
      <c r="H892" s="50" t="s">
        <v>21</v>
      </c>
      <c r="I892" s="23" t="s">
        <v>22</v>
      </c>
      <c r="J892" s="24" t="s">
        <v>4</v>
      </c>
    </row>
    <row r="893" spans="1:10" ht="12.75" customHeight="1" x14ac:dyDescent="0.25">
      <c r="A893" s="29">
        <f>SUM(E893:G893)/3</f>
        <v>0.66666666666666663</v>
      </c>
      <c r="B893" s="34">
        <f>SUM(E893:J893)/6</f>
        <v>0.67666666666666675</v>
      </c>
      <c r="C893" s="6"/>
      <c r="D893" s="2" t="s">
        <v>7</v>
      </c>
      <c r="E893" s="10">
        <v>0.8</v>
      </c>
      <c r="F893" s="10">
        <v>0.8</v>
      </c>
      <c r="G893" s="10">
        <v>0.4</v>
      </c>
      <c r="H893" s="34">
        <v>0.78</v>
      </c>
      <c r="I893" s="10">
        <v>0.96</v>
      </c>
      <c r="J893" s="10">
        <v>0.32</v>
      </c>
    </row>
    <row r="894" spans="1:10" ht="12.75" customHeight="1" x14ac:dyDescent="0.25">
      <c r="B894" s="35">
        <f>SUM(E894:J894)</f>
        <v>5</v>
      </c>
      <c r="C894" s="6"/>
      <c r="D894" s="2" t="s">
        <v>8</v>
      </c>
      <c r="H894" s="35">
        <v>5</v>
      </c>
    </row>
    <row r="895" spans="1:10" ht="12.75" customHeight="1" x14ac:dyDescent="0.25">
      <c r="A895" s="31">
        <f>SUM(E895:N895)</f>
        <v>1</v>
      </c>
      <c r="B895" s="36">
        <f>SUM(E895:J895)</f>
        <v>1</v>
      </c>
      <c r="C895" s="6"/>
      <c r="D895" s="2" t="s">
        <v>9</v>
      </c>
      <c r="E895">
        <v>0</v>
      </c>
      <c r="H895" s="35">
        <v>1</v>
      </c>
    </row>
    <row r="896" spans="1:10" ht="12.75" customHeight="1" x14ac:dyDescent="0.25">
      <c r="A896" s="27" t="s">
        <v>5</v>
      </c>
      <c r="B896" s="37">
        <v>37514</v>
      </c>
      <c r="C896" s="4" t="s">
        <v>0</v>
      </c>
      <c r="D896" s="1"/>
      <c r="E896" s="8">
        <v>37485</v>
      </c>
      <c r="F896" s="8">
        <v>37485</v>
      </c>
      <c r="G896" s="8">
        <v>37485</v>
      </c>
      <c r="H896" s="49">
        <v>37513</v>
      </c>
      <c r="I896" s="21">
        <v>37513</v>
      </c>
      <c r="J896" s="22">
        <v>37513</v>
      </c>
    </row>
    <row r="897" spans="1:10" ht="12.75" customHeight="1" x14ac:dyDescent="0.25">
      <c r="A897" s="28" t="s">
        <v>6</v>
      </c>
      <c r="B897" s="33" t="s">
        <v>6</v>
      </c>
      <c r="C897" s="5">
        <v>180</v>
      </c>
      <c r="D897" s="2"/>
      <c r="E897" s="9" t="s">
        <v>2</v>
      </c>
      <c r="F897" s="9" t="s">
        <v>3</v>
      </c>
      <c r="G897" s="9" t="s">
        <v>4</v>
      </c>
      <c r="H897" s="50" t="s">
        <v>21</v>
      </c>
      <c r="I897" s="23" t="s">
        <v>22</v>
      </c>
      <c r="J897" s="24" t="s">
        <v>4</v>
      </c>
    </row>
    <row r="898" spans="1:10" ht="12.75" customHeight="1" x14ac:dyDescent="0.25">
      <c r="A898" s="29">
        <f>SUM(E898:G898)/3</f>
        <v>0.77333333333333343</v>
      </c>
      <c r="B898" s="34">
        <f>SUM(E898:J898)/6</f>
        <v>0.81333333333333335</v>
      </c>
      <c r="C898" s="6"/>
      <c r="D898" s="2" t="s">
        <v>7</v>
      </c>
      <c r="E898" s="10">
        <v>0.84</v>
      </c>
      <c r="F898" s="10">
        <v>0.76</v>
      </c>
      <c r="G898" s="10">
        <v>0.72</v>
      </c>
      <c r="H898" s="34">
        <v>0.88</v>
      </c>
      <c r="I898" s="10">
        <v>0.92</v>
      </c>
      <c r="J898" s="10">
        <v>0.76</v>
      </c>
    </row>
    <row r="899" spans="1:10" ht="12.75" customHeight="1" x14ac:dyDescent="0.25">
      <c r="B899" s="35">
        <f>SUM(E899:J899)</f>
        <v>5</v>
      </c>
      <c r="D899" s="2" t="s">
        <v>8</v>
      </c>
      <c r="H899" s="35">
        <v>5</v>
      </c>
    </row>
    <row r="900" spans="1:10" ht="12.75" customHeight="1" x14ac:dyDescent="0.25">
      <c r="A900" s="31">
        <f>SUM(E900:N900)</f>
        <v>37</v>
      </c>
      <c r="B900" s="36">
        <f>SUM(E900:J900)</f>
        <v>37</v>
      </c>
      <c r="D900" s="2" t="s">
        <v>9</v>
      </c>
      <c r="E900">
        <v>13</v>
      </c>
      <c r="H900" s="35">
        <v>24</v>
      </c>
    </row>
    <row r="901" spans="1:10" ht="12.75" customHeight="1" x14ac:dyDescent="0.25">
      <c r="A901" s="27" t="s">
        <v>5</v>
      </c>
      <c r="B901" s="37">
        <v>37514</v>
      </c>
      <c r="C901" s="4" t="s">
        <v>0</v>
      </c>
      <c r="D901" s="1"/>
      <c r="E901" s="8">
        <v>37485</v>
      </c>
      <c r="F901" s="8">
        <v>37485</v>
      </c>
      <c r="G901" s="8">
        <v>37485</v>
      </c>
      <c r="H901" s="49">
        <v>37513</v>
      </c>
      <c r="I901" s="21">
        <v>37513</v>
      </c>
      <c r="J901" s="22">
        <v>37513</v>
      </c>
    </row>
    <row r="902" spans="1:10" ht="12.75" customHeight="1" x14ac:dyDescent="0.25">
      <c r="A902" s="28" t="s">
        <v>6</v>
      </c>
      <c r="B902" s="33" t="s">
        <v>6</v>
      </c>
      <c r="C902" s="5">
        <v>181</v>
      </c>
      <c r="D902" s="2"/>
      <c r="E902" s="9" t="s">
        <v>2</v>
      </c>
      <c r="F902" s="9" t="s">
        <v>3</v>
      </c>
      <c r="G902" s="9" t="s">
        <v>4</v>
      </c>
      <c r="H902" s="50" t="s">
        <v>21</v>
      </c>
      <c r="I902" s="23" t="s">
        <v>22</v>
      </c>
      <c r="J902" s="24" t="s">
        <v>4</v>
      </c>
    </row>
    <row r="903" spans="1:10" ht="12.75" customHeight="1" x14ac:dyDescent="0.25">
      <c r="A903" s="29">
        <f>SUM(E903:G903)/3</f>
        <v>0.70666666666666667</v>
      </c>
      <c r="B903" s="34">
        <f>SUM(E903:J903)/6</f>
        <v>0.73333333333333328</v>
      </c>
      <c r="C903" s="6"/>
      <c r="D903" s="2" t="s">
        <v>7</v>
      </c>
      <c r="E903" s="10">
        <v>0.8</v>
      </c>
      <c r="F903" s="10">
        <v>0.8</v>
      </c>
      <c r="G903" s="10">
        <v>0.52</v>
      </c>
      <c r="H903" s="34">
        <v>0.84</v>
      </c>
      <c r="I903" s="10">
        <v>0.84</v>
      </c>
      <c r="J903" s="10">
        <v>0.6</v>
      </c>
    </row>
    <row r="904" spans="1:10" ht="12.75" customHeight="1" x14ac:dyDescent="0.25">
      <c r="B904" s="35">
        <f>SUM(E904:J904)</f>
        <v>5</v>
      </c>
      <c r="C904" s="6"/>
      <c r="D904" s="2" t="s">
        <v>8</v>
      </c>
      <c r="H904" s="35">
        <v>5</v>
      </c>
    </row>
    <row r="905" spans="1:10" ht="12.75" customHeight="1" x14ac:dyDescent="0.25">
      <c r="A905" s="31">
        <f>SUM(E905:N905)</f>
        <v>19</v>
      </c>
      <c r="B905" s="36">
        <f>SUM(E905:J905)</f>
        <v>19</v>
      </c>
      <c r="C905" s="6"/>
      <c r="D905" s="2" t="s">
        <v>9</v>
      </c>
      <c r="E905">
        <v>0</v>
      </c>
      <c r="H905" s="35">
        <v>19</v>
      </c>
    </row>
    <row r="906" spans="1:10" ht="12.75" customHeight="1" x14ac:dyDescent="0.25">
      <c r="A906" s="27" t="s">
        <v>5</v>
      </c>
      <c r="B906" s="37">
        <v>37514</v>
      </c>
      <c r="C906" s="4" t="s">
        <v>0</v>
      </c>
      <c r="D906" s="1"/>
      <c r="E906" s="8">
        <v>37485</v>
      </c>
      <c r="F906" s="8">
        <v>37485</v>
      </c>
      <c r="G906" s="8">
        <v>37485</v>
      </c>
      <c r="H906" s="49">
        <v>37513</v>
      </c>
      <c r="I906" s="21">
        <v>37513</v>
      </c>
      <c r="J906" s="22">
        <v>37513</v>
      </c>
    </row>
    <row r="907" spans="1:10" ht="12.75" customHeight="1" x14ac:dyDescent="0.25">
      <c r="A907" s="28" t="s">
        <v>6</v>
      </c>
      <c r="B907" s="33" t="s">
        <v>6</v>
      </c>
      <c r="C907" s="5">
        <v>182</v>
      </c>
      <c r="D907" s="2"/>
      <c r="E907" s="9" t="s">
        <v>2</v>
      </c>
      <c r="F907" s="9" t="s">
        <v>3</v>
      </c>
      <c r="G907" s="9" t="s">
        <v>4</v>
      </c>
      <c r="H907" s="50" t="s">
        <v>21</v>
      </c>
      <c r="I907" s="23" t="s">
        <v>22</v>
      </c>
      <c r="J907" s="24" t="s">
        <v>4</v>
      </c>
    </row>
    <row r="908" spans="1:10" ht="12.75" customHeight="1" x14ac:dyDescent="0.25">
      <c r="A908" s="29">
        <f>SUM(E908:G908)/3</f>
        <v>0.66666666666666663</v>
      </c>
      <c r="B908" s="34">
        <f>SUM(E908:J908)/6</f>
        <v>0.69333333333333336</v>
      </c>
      <c r="C908" s="6"/>
      <c r="D908" s="2" t="s">
        <v>7</v>
      </c>
      <c r="E908" s="10">
        <v>0.76</v>
      </c>
      <c r="F908" s="10">
        <v>0.76</v>
      </c>
      <c r="G908" s="10">
        <v>0.48</v>
      </c>
      <c r="H908" s="34">
        <v>0.76</v>
      </c>
      <c r="I908" s="10">
        <v>0.84</v>
      </c>
      <c r="J908" s="10">
        <v>0.56000000000000005</v>
      </c>
    </row>
    <row r="909" spans="1:10" ht="12.75" customHeight="1" x14ac:dyDescent="0.25">
      <c r="B909" s="35">
        <f>SUM(E909:J909)</f>
        <v>5</v>
      </c>
      <c r="C909" s="6"/>
      <c r="D909" s="2" t="s">
        <v>8</v>
      </c>
      <c r="H909" s="35">
        <v>5</v>
      </c>
    </row>
    <row r="910" spans="1:10" ht="12.75" customHeight="1" x14ac:dyDescent="0.25">
      <c r="A910" s="31">
        <f>SUM(E910:N910)</f>
        <v>50</v>
      </c>
      <c r="B910" s="36">
        <f>SUM(E910:J910)</f>
        <v>50</v>
      </c>
      <c r="C910" s="6"/>
      <c r="D910" s="2" t="s">
        <v>9</v>
      </c>
      <c r="E910">
        <v>25</v>
      </c>
      <c r="H910" s="35">
        <v>25</v>
      </c>
    </row>
    <row r="911" spans="1:10" ht="12.75" customHeight="1" x14ac:dyDescent="0.25">
      <c r="A911" s="27" t="s">
        <v>5</v>
      </c>
      <c r="B911" s="37">
        <v>37514</v>
      </c>
      <c r="C911" s="4" t="s">
        <v>0</v>
      </c>
      <c r="D911" s="1"/>
      <c r="E911" s="8">
        <v>37485</v>
      </c>
      <c r="F911" s="8">
        <v>37485</v>
      </c>
      <c r="G911" s="8">
        <v>37485</v>
      </c>
      <c r="H911" s="49">
        <v>37513</v>
      </c>
      <c r="I911" s="44">
        <v>37513</v>
      </c>
      <c r="J911" s="45">
        <v>37513</v>
      </c>
    </row>
    <row r="912" spans="1:10" ht="12.75" customHeight="1" x14ac:dyDescent="0.25">
      <c r="A912" s="28" t="s">
        <v>6</v>
      </c>
      <c r="B912" s="33" t="s">
        <v>6</v>
      </c>
      <c r="C912" s="5">
        <v>183</v>
      </c>
      <c r="D912" s="2"/>
      <c r="E912" s="9" t="s">
        <v>2</v>
      </c>
      <c r="F912" s="9" t="s">
        <v>3</v>
      </c>
      <c r="G912" s="9" t="s">
        <v>4</v>
      </c>
      <c r="H912" s="50" t="s">
        <v>21</v>
      </c>
      <c r="I912" s="46" t="s">
        <v>22</v>
      </c>
      <c r="J912" s="47" t="s">
        <v>4</v>
      </c>
    </row>
    <row r="913" spans="1:10" ht="12.75" customHeight="1" x14ac:dyDescent="0.25">
      <c r="A913" s="29">
        <f>SUM(E913:G913)/3</f>
        <v>0.76000000000000012</v>
      </c>
      <c r="B913" s="34">
        <f>SUM(E913:J913)/6</f>
        <v>0.38000000000000006</v>
      </c>
      <c r="C913" s="6"/>
      <c r="D913" s="2" t="s">
        <v>7</v>
      </c>
      <c r="E913" s="10">
        <v>0.84</v>
      </c>
      <c r="F913" s="10">
        <v>0.72</v>
      </c>
      <c r="G913" s="10">
        <v>0.72</v>
      </c>
      <c r="H913" s="35" t="s">
        <v>25</v>
      </c>
      <c r="I913" s="48" t="s">
        <v>25</v>
      </c>
      <c r="J913" s="48"/>
    </row>
    <row r="914" spans="1:10" ht="12.75" customHeight="1" x14ac:dyDescent="0.25">
      <c r="B914" s="35">
        <f>SUM(E914:J914)</f>
        <v>0</v>
      </c>
      <c r="C914" s="6"/>
      <c r="D914" s="2" t="s">
        <v>8</v>
      </c>
      <c r="I914" s="48"/>
      <c r="J914" s="48"/>
    </row>
    <row r="915" spans="1:10" ht="12.75" customHeight="1" x14ac:dyDescent="0.25">
      <c r="A915" s="31">
        <f>SUM(E915:N915)</f>
        <v>0</v>
      </c>
      <c r="B915" s="36">
        <f>SUM(E915:J915)</f>
        <v>0</v>
      </c>
      <c r="C915" s="6"/>
      <c r="D915" s="2" t="s">
        <v>9</v>
      </c>
      <c r="E915">
        <v>0</v>
      </c>
      <c r="I915" s="48"/>
      <c r="J915" s="48"/>
    </row>
    <row r="916" spans="1:10" ht="12.75" customHeight="1" x14ac:dyDescent="0.25">
      <c r="A916" s="27" t="s">
        <v>5</v>
      </c>
      <c r="B916" s="37">
        <v>37514</v>
      </c>
      <c r="C916" s="4" t="s">
        <v>0</v>
      </c>
      <c r="D916" s="1"/>
      <c r="E916" s="8">
        <v>37485</v>
      </c>
      <c r="F916" s="8">
        <v>37485</v>
      </c>
      <c r="G916" s="8">
        <v>37485</v>
      </c>
      <c r="H916" s="49">
        <v>37513</v>
      </c>
      <c r="I916" s="21">
        <v>37513</v>
      </c>
      <c r="J916" s="22">
        <v>37513</v>
      </c>
    </row>
    <row r="917" spans="1:10" ht="12.75" customHeight="1" x14ac:dyDescent="0.25">
      <c r="A917" s="28" t="s">
        <v>6</v>
      </c>
      <c r="B917" s="33" t="s">
        <v>6</v>
      </c>
      <c r="C917" s="5">
        <v>184</v>
      </c>
      <c r="D917" s="2"/>
      <c r="E917" s="9" t="s">
        <v>2</v>
      </c>
      <c r="F917" s="9" t="s">
        <v>3</v>
      </c>
      <c r="G917" s="9" t="s">
        <v>4</v>
      </c>
      <c r="H917" s="50" t="s">
        <v>21</v>
      </c>
      <c r="I917" s="23" t="s">
        <v>22</v>
      </c>
      <c r="J917" s="24" t="s">
        <v>4</v>
      </c>
    </row>
    <row r="918" spans="1:10" ht="12.75" customHeight="1" x14ac:dyDescent="0.25">
      <c r="A918" s="29">
        <f>SUM(E918:G918)/3</f>
        <v>0.54666666666666675</v>
      </c>
      <c r="B918" s="34">
        <f>SUM(E918:J918)/6</f>
        <v>0.66999999999999993</v>
      </c>
      <c r="C918" s="6"/>
      <c r="D918" s="2" t="s">
        <v>7</v>
      </c>
      <c r="E918" s="10">
        <v>0.52</v>
      </c>
      <c r="F918" s="10">
        <v>0.6</v>
      </c>
      <c r="G918" s="10">
        <v>0.52</v>
      </c>
      <c r="H918" s="34">
        <v>0.86</v>
      </c>
      <c r="I918" s="10">
        <v>0.92</v>
      </c>
      <c r="J918" s="10">
        <v>0.6</v>
      </c>
    </row>
    <row r="919" spans="1:10" ht="12.75" customHeight="1" x14ac:dyDescent="0.25">
      <c r="B919" s="35">
        <f>SUM(E919:J919)</f>
        <v>5</v>
      </c>
      <c r="C919" s="6"/>
      <c r="D919" s="2" t="s">
        <v>8</v>
      </c>
      <c r="H919" s="35">
        <v>5</v>
      </c>
    </row>
    <row r="920" spans="1:10" ht="12.75" customHeight="1" x14ac:dyDescent="0.25">
      <c r="A920" s="31">
        <f>SUM(E920:N920)</f>
        <v>7</v>
      </c>
      <c r="B920" s="36">
        <f>SUM(E920:J920)</f>
        <v>7</v>
      </c>
      <c r="C920" s="6"/>
      <c r="D920" s="2" t="s">
        <v>9</v>
      </c>
      <c r="E920">
        <v>0</v>
      </c>
      <c r="H920" s="35">
        <v>7</v>
      </c>
    </row>
    <row r="921" spans="1:10" ht="12.75" customHeight="1" x14ac:dyDescent="0.25">
      <c r="A921" s="27" t="s">
        <v>5</v>
      </c>
      <c r="B921" s="37">
        <v>37514</v>
      </c>
      <c r="C921" s="4" t="s">
        <v>0</v>
      </c>
      <c r="D921" s="1"/>
      <c r="E921" s="8">
        <v>37485</v>
      </c>
      <c r="F921" s="8">
        <v>37485</v>
      </c>
      <c r="G921" s="8">
        <v>37485</v>
      </c>
      <c r="H921" s="49">
        <v>37513</v>
      </c>
      <c r="I921" s="21">
        <v>37513</v>
      </c>
      <c r="J921" s="22">
        <v>37513</v>
      </c>
    </row>
    <row r="922" spans="1:10" ht="12.75" customHeight="1" x14ac:dyDescent="0.25">
      <c r="A922" s="28" t="s">
        <v>6</v>
      </c>
      <c r="B922" s="33" t="s">
        <v>6</v>
      </c>
      <c r="C922" s="5">
        <v>185</v>
      </c>
      <c r="D922" s="2"/>
      <c r="E922" s="9" t="s">
        <v>2</v>
      </c>
      <c r="F922" s="9" t="s">
        <v>3</v>
      </c>
      <c r="G922" s="9" t="s">
        <v>4</v>
      </c>
      <c r="H922" s="50" t="s">
        <v>21</v>
      </c>
      <c r="I922" s="23" t="s">
        <v>22</v>
      </c>
      <c r="J922" s="24" t="s">
        <v>4</v>
      </c>
    </row>
    <row r="923" spans="1:10" ht="12.75" customHeight="1" x14ac:dyDescent="0.25">
      <c r="A923" s="29">
        <f>SUM(E923:G923)/3</f>
        <v>0.57333333333333336</v>
      </c>
      <c r="B923" s="34">
        <f>SUM(E923:J923)/6</f>
        <v>0.68</v>
      </c>
      <c r="C923" s="6"/>
      <c r="D923" s="2" t="s">
        <v>7</v>
      </c>
      <c r="E923" s="10">
        <v>0.72</v>
      </c>
      <c r="F923" s="10">
        <v>0.56000000000000005</v>
      </c>
      <c r="G923" s="10">
        <v>0.44</v>
      </c>
      <c r="H923" s="34">
        <v>0.84</v>
      </c>
      <c r="I923" s="10">
        <v>0.88</v>
      </c>
      <c r="J923" s="10">
        <v>0.64</v>
      </c>
    </row>
    <row r="924" spans="1:10" ht="12.75" customHeight="1" x14ac:dyDescent="0.25">
      <c r="B924" s="35">
        <f>SUM(E924:J924)</f>
        <v>5</v>
      </c>
      <c r="C924" s="6"/>
      <c r="D924" s="2" t="s">
        <v>8</v>
      </c>
      <c r="H924" s="35">
        <v>5</v>
      </c>
    </row>
    <row r="925" spans="1:10" ht="12.75" customHeight="1" x14ac:dyDescent="0.25">
      <c r="A925" s="31">
        <f>SUM(E925:N925)</f>
        <v>47</v>
      </c>
      <c r="B925" s="36">
        <f>SUM(E925:J925)</f>
        <v>47</v>
      </c>
      <c r="C925" s="6"/>
      <c r="D925" s="2" t="s">
        <v>9</v>
      </c>
      <c r="E925">
        <v>25</v>
      </c>
      <c r="H925" s="35">
        <v>22</v>
      </c>
    </row>
    <row r="926" spans="1:10" ht="12.75" customHeight="1" x14ac:dyDescent="0.25">
      <c r="A926" s="27" t="s">
        <v>5</v>
      </c>
      <c r="B926" s="37">
        <v>37514</v>
      </c>
      <c r="C926" s="4" t="s">
        <v>0</v>
      </c>
      <c r="D926" s="1"/>
      <c r="E926" s="8">
        <v>37485</v>
      </c>
      <c r="F926" s="8">
        <v>37485</v>
      </c>
      <c r="G926" s="8">
        <v>37485</v>
      </c>
      <c r="H926" s="49">
        <v>37513</v>
      </c>
      <c r="I926" s="21">
        <v>37513</v>
      </c>
      <c r="J926" s="22">
        <v>37513</v>
      </c>
    </row>
    <row r="927" spans="1:10" ht="12.75" customHeight="1" x14ac:dyDescent="0.25">
      <c r="A927" s="28" t="s">
        <v>6</v>
      </c>
      <c r="B927" s="33" t="s">
        <v>6</v>
      </c>
      <c r="C927" s="5">
        <v>186</v>
      </c>
      <c r="D927" s="2"/>
      <c r="E927" s="9" t="s">
        <v>2</v>
      </c>
      <c r="F927" s="9" t="s">
        <v>3</v>
      </c>
      <c r="G927" s="9" t="s">
        <v>4</v>
      </c>
      <c r="H927" s="50" t="s">
        <v>21</v>
      </c>
      <c r="I927" s="23" t="s">
        <v>22</v>
      </c>
      <c r="J927" s="24" t="s">
        <v>4</v>
      </c>
    </row>
    <row r="928" spans="1:10" ht="12.75" customHeight="1" x14ac:dyDescent="0.25">
      <c r="A928" s="29">
        <f>SUM(E928:G928)/3</f>
        <v>0.69333333333333336</v>
      </c>
      <c r="B928" s="34">
        <f>SUM(E928:J928)/6</f>
        <v>0.71666666666666667</v>
      </c>
      <c r="C928" s="6"/>
      <c r="D928" s="2" t="s">
        <v>7</v>
      </c>
      <c r="E928" s="10">
        <v>0.84</v>
      </c>
      <c r="F928" s="10">
        <v>0.76</v>
      </c>
      <c r="G928" s="10">
        <v>0.48</v>
      </c>
      <c r="H928" s="34">
        <v>0.86</v>
      </c>
      <c r="I928" s="10">
        <v>0.88</v>
      </c>
      <c r="J928" s="10">
        <v>0.48</v>
      </c>
    </row>
    <row r="929" spans="1:10" ht="12.75" customHeight="1" x14ac:dyDescent="0.25">
      <c r="B929" s="35">
        <f>SUM(E929:J929)</f>
        <v>5</v>
      </c>
      <c r="C929" s="6"/>
      <c r="D929" s="2" t="s">
        <v>8</v>
      </c>
      <c r="H929" s="35">
        <v>5</v>
      </c>
    </row>
    <row r="930" spans="1:10" ht="12.75" customHeight="1" x14ac:dyDescent="0.25">
      <c r="A930" s="31">
        <f>SUM(E930:N930)</f>
        <v>62</v>
      </c>
      <c r="B930" s="36">
        <f>SUM(E930:J930)</f>
        <v>62</v>
      </c>
      <c r="C930" s="6"/>
      <c r="D930" s="2" t="s">
        <v>9</v>
      </c>
      <c r="E930">
        <v>12</v>
      </c>
      <c r="H930" s="35">
        <v>50</v>
      </c>
    </row>
    <row r="931" spans="1:10" ht="12.75" customHeight="1" x14ac:dyDescent="0.25">
      <c r="A931" s="27" t="s">
        <v>5</v>
      </c>
      <c r="B931" s="37">
        <v>37514</v>
      </c>
      <c r="C931" s="4" t="s">
        <v>0</v>
      </c>
      <c r="D931" s="1"/>
      <c r="E931" s="8">
        <v>37485</v>
      </c>
      <c r="F931" s="8">
        <v>37485</v>
      </c>
      <c r="G931" s="8">
        <v>37485</v>
      </c>
      <c r="H931" s="49">
        <v>37513</v>
      </c>
      <c r="I931" s="21">
        <v>37513</v>
      </c>
      <c r="J931" s="22">
        <v>37513</v>
      </c>
    </row>
    <row r="932" spans="1:10" ht="12.75" customHeight="1" x14ac:dyDescent="0.25">
      <c r="A932" s="28" t="s">
        <v>6</v>
      </c>
      <c r="B932" s="33" t="s">
        <v>6</v>
      </c>
      <c r="C932" s="5">
        <v>187</v>
      </c>
      <c r="D932" s="2"/>
      <c r="E932" s="9" t="s">
        <v>2</v>
      </c>
      <c r="F932" s="9" t="s">
        <v>3</v>
      </c>
      <c r="G932" s="9" t="s">
        <v>4</v>
      </c>
      <c r="H932" s="50" t="s">
        <v>21</v>
      </c>
      <c r="I932" s="23" t="s">
        <v>22</v>
      </c>
      <c r="J932" s="24" t="s">
        <v>4</v>
      </c>
    </row>
    <row r="933" spans="1:10" ht="12.75" customHeight="1" x14ac:dyDescent="0.25">
      <c r="A933" s="29">
        <f>SUM(E933:G933)/3</f>
        <v>0.84</v>
      </c>
      <c r="B933" s="34">
        <f>SUM(E933:J933)/6</f>
        <v>0.85333333333333317</v>
      </c>
      <c r="C933" s="6"/>
      <c r="D933" s="2" t="s">
        <v>7</v>
      </c>
      <c r="E933" s="10">
        <v>0.92</v>
      </c>
      <c r="F933" s="10">
        <v>0.92</v>
      </c>
      <c r="G933" s="10">
        <v>0.68</v>
      </c>
      <c r="H933" s="34">
        <v>0.92</v>
      </c>
      <c r="I933" s="10">
        <v>1</v>
      </c>
      <c r="J933" s="10">
        <v>0.68</v>
      </c>
    </row>
    <row r="934" spans="1:10" ht="12.75" customHeight="1" x14ac:dyDescent="0.25">
      <c r="B934" s="35">
        <f>SUM(E934:J934)</f>
        <v>5</v>
      </c>
      <c r="C934" s="6"/>
      <c r="D934" s="2" t="s">
        <v>8</v>
      </c>
      <c r="H934" s="35">
        <v>5</v>
      </c>
    </row>
    <row r="935" spans="1:10" ht="12.75" customHeight="1" x14ac:dyDescent="0.25">
      <c r="A935" s="31">
        <f>SUM(E935:N935)</f>
        <v>15</v>
      </c>
      <c r="B935" s="36">
        <f>SUM(E935:J935)</f>
        <v>15</v>
      </c>
      <c r="C935" s="6"/>
      <c r="D935" s="2" t="s">
        <v>9</v>
      </c>
      <c r="E935">
        <v>0</v>
      </c>
      <c r="H935" s="35">
        <v>15</v>
      </c>
    </row>
    <row r="936" spans="1:10" ht="12.75" customHeight="1" x14ac:dyDescent="0.25">
      <c r="A936" s="27" t="s">
        <v>5</v>
      </c>
      <c r="B936" s="37">
        <v>37514</v>
      </c>
      <c r="C936" s="4" t="s">
        <v>0</v>
      </c>
      <c r="D936" s="1"/>
      <c r="E936" s="8">
        <v>37485</v>
      </c>
      <c r="F936" s="8">
        <v>37485</v>
      </c>
      <c r="G936" s="8">
        <v>37485</v>
      </c>
      <c r="H936" s="49">
        <v>37513</v>
      </c>
      <c r="I936" s="21">
        <v>37513</v>
      </c>
      <c r="J936" s="22">
        <v>37513</v>
      </c>
    </row>
    <row r="937" spans="1:10" ht="12.75" customHeight="1" x14ac:dyDescent="0.25">
      <c r="A937" s="28" t="s">
        <v>6</v>
      </c>
      <c r="B937" s="33" t="s">
        <v>6</v>
      </c>
      <c r="C937" s="5">
        <v>188</v>
      </c>
      <c r="D937" s="2"/>
      <c r="E937" s="9" t="s">
        <v>2</v>
      </c>
      <c r="F937" s="9" t="s">
        <v>3</v>
      </c>
      <c r="G937" s="9" t="s">
        <v>4</v>
      </c>
      <c r="H937" s="50" t="s">
        <v>21</v>
      </c>
      <c r="I937" s="23" t="s">
        <v>22</v>
      </c>
      <c r="J937" s="24" t="s">
        <v>4</v>
      </c>
    </row>
    <row r="938" spans="1:10" ht="12.75" customHeight="1" x14ac:dyDescent="0.25">
      <c r="A938" s="29">
        <f>SUM(E938:G938)/3</f>
        <v>0.73333333333333339</v>
      </c>
      <c r="B938" s="34">
        <f>SUM(E938:J938)/6</f>
        <v>0.7533333333333333</v>
      </c>
      <c r="C938" s="6"/>
      <c r="D938" s="2" t="s">
        <v>7</v>
      </c>
      <c r="E938" s="10">
        <v>0.84</v>
      </c>
      <c r="F938" s="10">
        <v>0.56000000000000005</v>
      </c>
      <c r="G938" s="10">
        <v>0.8</v>
      </c>
      <c r="H938" s="34">
        <v>0.88</v>
      </c>
      <c r="I938" s="10">
        <v>0.84</v>
      </c>
      <c r="J938" s="10">
        <v>0.6</v>
      </c>
    </row>
    <row r="939" spans="1:10" ht="12.75" customHeight="1" x14ac:dyDescent="0.25">
      <c r="B939" s="35">
        <f>SUM(E939:J939)</f>
        <v>5</v>
      </c>
      <c r="C939" s="6"/>
      <c r="D939" s="2" t="s">
        <v>8</v>
      </c>
      <c r="H939" s="35">
        <v>5</v>
      </c>
    </row>
    <row r="940" spans="1:10" ht="12.75" customHeight="1" x14ac:dyDescent="0.25">
      <c r="A940" s="31">
        <f>SUM(E940:N940)</f>
        <v>50</v>
      </c>
      <c r="B940" s="36">
        <f>SUM(E940:J940)</f>
        <v>50</v>
      </c>
      <c r="C940" s="6"/>
      <c r="D940" s="2" t="s">
        <v>9</v>
      </c>
      <c r="E940">
        <v>25</v>
      </c>
      <c r="H940" s="35">
        <v>25</v>
      </c>
    </row>
    <row r="941" spans="1:10" ht="12.75" customHeight="1" x14ac:dyDescent="0.25">
      <c r="A941" s="27" t="s">
        <v>5</v>
      </c>
      <c r="B941" s="37">
        <v>37514</v>
      </c>
      <c r="C941" s="4" t="s">
        <v>0</v>
      </c>
      <c r="D941" s="1"/>
      <c r="E941" s="8">
        <v>37485</v>
      </c>
      <c r="F941" s="8">
        <v>37485</v>
      </c>
      <c r="G941" s="8">
        <v>37485</v>
      </c>
      <c r="H941" s="49">
        <v>37513</v>
      </c>
      <c r="I941" s="21">
        <v>37513</v>
      </c>
      <c r="J941" s="22">
        <v>37513</v>
      </c>
    </row>
    <row r="942" spans="1:10" ht="12.75" customHeight="1" x14ac:dyDescent="0.25">
      <c r="A942" s="28" t="s">
        <v>6</v>
      </c>
      <c r="B942" s="33" t="s">
        <v>6</v>
      </c>
      <c r="C942" s="5">
        <v>189</v>
      </c>
      <c r="D942" s="2"/>
      <c r="E942" s="9" t="s">
        <v>2</v>
      </c>
      <c r="F942" s="9" t="s">
        <v>3</v>
      </c>
      <c r="G942" s="9" t="s">
        <v>4</v>
      </c>
      <c r="H942" s="50" t="s">
        <v>21</v>
      </c>
      <c r="I942" s="23" t="s">
        <v>22</v>
      </c>
      <c r="J942" s="24" t="s">
        <v>4</v>
      </c>
    </row>
    <row r="943" spans="1:10" ht="12.75" customHeight="1" x14ac:dyDescent="0.25">
      <c r="A943" s="29">
        <f>SUM(E943:G943)/3</f>
        <v>0.61333333333333329</v>
      </c>
      <c r="B943" s="34">
        <f>SUM(E943:J943)/6</f>
        <v>0.66666666666666663</v>
      </c>
      <c r="C943" s="6"/>
      <c r="D943" s="2" t="s">
        <v>7</v>
      </c>
      <c r="E943" s="10">
        <v>0.8</v>
      </c>
      <c r="F943" s="10">
        <v>0.64</v>
      </c>
      <c r="G943" s="10">
        <v>0.4</v>
      </c>
      <c r="H943" s="34">
        <v>0.84</v>
      </c>
      <c r="I943" s="10">
        <v>0.8</v>
      </c>
      <c r="J943" s="10">
        <v>0.52</v>
      </c>
    </row>
    <row r="944" spans="1:10" ht="12.75" customHeight="1" x14ac:dyDescent="0.25">
      <c r="B944" s="35">
        <f>SUM(E944:J944)</f>
        <v>5</v>
      </c>
      <c r="C944" s="6"/>
      <c r="D944" s="2" t="s">
        <v>8</v>
      </c>
      <c r="H944" s="35">
        <v>5</v>
      </c>
    </row>
    <row r="945" spans="1:10" ht="12.75" customHeight="1" x14ac:dyDescent="0.25">
      <c r="A945" s="31">
        <f>SUM(E945:N945)</f>
        <v>25</v>
      </c>
      <c r="B945" s="36">
        <f>SUM(E945:J945)</f>
        <v>25</v>
      </c>
      <c r="C945" s="6"/>
      <c r="D945" s="2" t="s">
        <v>9</v>
      </c>
      <c r="E945">
        <v>0</v>
      </c>
      <c r="H945" s="35">
        <v>25</v>
      </c>
    </row>
    <row r="946" spans="1:10" ht="12.75" customHeight="1" x14ac:dyDescent="0.25">
      <c r="A946" s="27" t="s">
        <v>5</v>
      </c>
      <c r="B946" s="37">
        <v>37514</v>
      </c>
      <c r="C946" s="4" t="s">
        <v>0</v>
      </c>
      <c r="D946" s="1"/>
      <c r="E946" s="8">
        <v>37485</v>
      </c>
      <c r="F946" s="8">
        <v>37485</v>
      </c>
      <c r="G946" s="8">
        <v>37485</v>
      </c>
      <c r="H946" s="49">
        <v>37513</v>
      </c>
      <c r="I946" s="21">
        <v>37513</v>
      </c>
      <c r="J946" s="22">
        <v>37513</v>
      </c>
    </row>
    <row r="947" spans="1:10" ht="12.75" customHeight="1" x14ac:dyDescent="0.25">
      <c r="A947" s="28" t="s">
        <v>6</v>
      </c>
      <c r="B947" s="33" t="s">
        <v>6</v>
      </c>
      <c r="C947" s="5">
        <v>190</v>
      </c>
      <c r="D947" s="2"/>
      <c r="E947" s="9" t="s">
        <v>2</v>
      </c>
      <c r="F947" s="9" t="s">
        <v>3</v>
      </c>
      <c r="G947" s="9" t="s">
        <v>4</v>
      </c>
      <c r="H947" s="50" t="s">
        <v>21</v>
      </c>
      <c r="I947" s="23" t="s">
        <v>22</v>
      </c>
      <c r="J947" s="24" t="s">
        <v>4</v>
      </c>
    </row>
    <row r="948" spans="1:10" ht="12.75" customHeight="1" x14ac:dyDescent="0.25">
      <c r="A948" s="29">
        <f>SUM(E948:G948)/3</f>
        <v>0.4933333333333334</v>
      </c>
      <c r="B948" s="34">
        <f>SUM(E948:J948)/6</f>
        <v>0.63</v>
      </c>
      <c r="C948" s="6"/>
      <c r="D948" s="2" t="s">
        <v>7</v>
      </c>
      <c r="E948" s="10">
        <v>0.68</v>
      </c>
      <c r="F948" s="10">
        <v>0.52</v>
      </c>
      <c r="G948" s="10">
        <v>0.28000000000000003</v>
      </c>
      <c r="H948" s="34">
        <v>0.82</v>
      </c>
      <c r="I948" s="10">
        <v>0.88</v>
      </c>
      <c r="J948" s="10">
        <v>0.6</v>
      </c>
    </row>
    <row r="949" spans="1:10" ht="12.75" customHeight="1" x14ac:dyDescent="0.25">
      <c r="B949" s="35">
        <f>SUM(E949:J949)</f>
        <v>5</v>
      </c>
      <c r="D949" s="2" t="s">
        <v>8</v>
      </c>
      <c r="H949" s="35">
        <v>5</v>
      </c>
    </row>
    <row r="950" spans="1:10" ht="12.75" customHeight="1" x14ac:dyDescent="0.25">
      <c r="A950" s="31">
        <f>SUM(E950:N950)</f>
        <v>8</v>
      </c>
      <c r="B950" s="36">
        <f>SUM(E950:J950)</f>
        <v>8</v>
      </c>
      <c r="D950" s="2" t="s">
        <v>9</v>
      </c>
      <c r="E950">
        <v>0</v>
      </c>
      <c r="H950" s="35">
        <v>8</v>
      </c>
    </row>
    <row r="951" spans="1:10" ht="12.75" customHeight="1" x14ac:dyDescent="0.25">
      <c r="A951" s="27" t="s">
        <v>5</v>
      </c>
      <c r="B951" s="37">
        <v>37514</v>
      </c>
      <c r="C951" s="4" t="s">
        <v>0</v>
      </c>
      <c r="D951" s="1"/>
      <c r="E951" s="8">
        <v>37485</v>
      </c>
      <c r="F951" s="8">
        <v>37485</v>
      </c>
      <c r="G951" s="8">
        <v>37485</v>
      </c>
      <c r="H951" s="49">
        <v>37513</v>
      </c>
      <c r="I951" s="21">
        <v>37513</v>
      </c>
      <c r="J951" s="22">
        <v>37513</v>
      </c>
    </row>
    <row r="952" spans="1:10" ht="12.75" customHeight="1" x14ac:dyDescent="0.25">
      <c r="A952" s="28" t="s">
        <v>6</v>
      </c>
      <c r="B952" s="33" t="s">
        <v>6</v>
      </c>
      <c r="C952" s="5">
        <v>191</v>
      </c>
      <c r="D952" s="2"/>
      <c r="E952" s="9" t="s">
        <v>2</v>
      </c>
      <c r="F952" s="9" t="s">
        <v>3</v>
      </c>
      <c r="G952" s="9" t="s">
        <v>4</v>
      </c>
      <c r="H952" s="50" t="s">
        <v>21</v>
      </c>
      <c r="I952" s="23" t="s">
        <v>22</v>
      </c>
      <c r="J952" s="24" t="s">
        <v>4</v>
      </c>
    </row>
    <row r="953" spans="1:10" ht="12.75" customHeight="1" x14ac:dyDescent="0.25">
      <c r="A953" s="29">
        <f>SUM(E953:G953)/3</f>
        <v>0.54666666666666675</v>
      </c>
      <c r="B953" s="34">
        <f>SUM(E953:J953)/6</f>
        <v>0.61</v>
      </c>
      <c r="C953" s="6"/>
      <c r="D953" s="2" t="s">
        <v>7</v>
      </c>
      <c r="E953" s="10">
        <v>0.6</v>
      </c>
      <c r="F953" s="10">
        <v>0.64</v>
      </c>
      <c r="G953" s="10">
        <v>0.4</v>
      </c>
      <c r="H953" s="34">
        <v>0.78</v>
      </c>
      <c r="I953" s="10">
        <v>0.72</v>
      </c>
      <c r="J953" s="10">
        <v>0.52</v>
      </c>
    </row>
    <row r="954" spans="1:10" ht="12.75" customHeight="1" x14ac:dyDescent="0.25">
      <c r="B954" s="35">
        <f>SUM(E954:J954)</f>
        <v>5</v>
      </c>
      <c r="C954" s="6"/>
      <c r="D954" s="2" t="s">
        <v>8</v>
      </c>
      <c r="H954" s="35">
        <v>5</v>
      </c>
    </row>
    <row r="955" spans="1:10" ht="12.75" customHeight="1" x14ac:dyDescent="0.25">
      <c r="A955" s="31">
        <f>SUM(E955:N955)</f>
        <v>34</v>
      </c>
      <c r="B955" s="36">
        <f>SUM(E955:J955)</f>
        <v>34</v>
      </c>
      <c r="C955" s="6"/>
      <c r="D955" s="2" t="s">
        <v>9</v>
      </c>
      <c r="E955">
        <v>0</v>
      </c>
      <c r="H955" s="35">
        <v>34</v>
      </c>
    </row>
    <row r="956" spans="1:10" ht="12.75" customHeight="1" x14ac:dyDescent="0.25">
      <c r="A956" s="27" t="s">
        <v>5</v>
      </c>
      <c r="B956" s="37">
        <v>37514</v>
      </c>
      <c r="C956" s="4" t="s">
        <v>0</v>
      </c>
      <c r="D956" s="1"/>
      <c r="E956" s="8">
        <v>37485</v>
      </c>
      <c r="F956" s="8">
        <v>37485</v>
      </c>
      <c r="G956" s="8">
        <v>37485</v>
      </c>
      <c r="H956" s="49">
        <v>37513</v>
      </c>
      <c r="I956" s="21">
        <v>37513</v>
      </c>
      <c r="J956" s="22">
        <v>37513</v>
      </c>
    </row>
    <row r="957" spans="1:10" ht="12.75" customHeight="1" x14ac:dyDescent="0.25">
      <c r="A957" s="28" t="s">
        <v>6</v>
      </c>
      <c r="B957" s="33" t="s">
        <v>6</v>
      </c>
      <c r="C957" s="5">
        <v>192</v>
      </c>
      <c r="D957" s="2"/>
      <c r="E957" s="9" t="s">
        <v>2</v>
      </c>
      <c r="F957" s="9" t="s">
        <v>3</v>
      </c>
      <c r="G957" s="9" t="s">
        <v>4</v>
      </c>
      <c r="H957" s="50" t="s">
        <v>21</v>
      </c>
      <c r="I957" s="23" t="s">
        <v>22</v>
      </c>
      <c r="J957" s="24" t="s">
        <v>4</v>
      </c>
    </row>
    <row r="958" spans="1:10" ht="12.75" customHeight="1" x14ac:dyDescent="0.25">
      <c r="A958" s="29">
        <f>SUM(E958:G958)/3</f>
        <v>0.81333333333333335</v>
      </c>
      <c r="B958" s="34">
        <f>SUM(E958:J958)/6</f>
        <v>0.80666666666666664</v>
      </c>
      <c r="C958" s="6"/>
      <c r="D958" s="2" t="s">
        <v>7</v>
      </c>
      <c r="E958" s="10">
        <v>0.88</v>
      </c>
      <c r="F958" s="10">
        <v>0.72</v>
      </c>
      <c r="G958" s="10">
        <v>0.84</v>
      </c>
      <c r="H958" s="34">
        <v>0.84</v>
      </c>
      <c r="I958" s="10">
        <v>0.92</v>
      </c>
      <c r="J958" s="10">
        <v>0.64</v>
      </c>
    </row>
    <row r="959" spans="1:10" ht="12.75" customHeight="1" x14ac:dyDescent="0.25">
      <c r="B959" s="35">
        <f>SUM(E959:J959)</f>
        <v>5</v>
      </c>
      <c r="C959" s="6"/>
      <c r="D959" s="2" t="s">
        <v>8</v>
      </c>
      <c r="H959" s="35">
        <v>5</v>
      </c>
    </row>
    <row r="960" spans="1:10" ht="12.75" customHeight="1" x14ac:dyDescent="0.25">
      <c r="A960" s="31">
        <f>SUM(E960:N960)</f>
        <v>68</v>
      </c>
      <c r="B960" s="36">
        <f>SUM(E960:J960)</f>
        <v>68</v>
      </c>
      <c r="C960" s="6"/>
      <c r="D960" s="2" t="s">
        <v>9</v>
      </c>
      <c r="E960">
        <v>0</v>
      </c>
      <c r="H960" s="35">
        <v>68</v>
      </c>
    </row>
    <row r="961" spans="1:10" ht="12.75" customHeight="1" x14ac:dyDescent="0.25">
      <c r="A961" s="27" t="s">
        <v>5</v>
      </c>
      <c r="B961" s="37">
        <v>37514</v>
      </c>
      <c r="C961" s="4" t="s">
        <v>0</v>
      </c>
      <c r="D961" s="1"/>
      <c r="E961" s="8">
        <v>37485</v>
      </c>
      <c r="F961" s="8">
        <v>37485</v>
      </c>
      <c r="G961" s="8">
        <v>37485</v>
      </c>
      <c r="H961" s="49">
        <v>37513</v>
      </c>
      <c r="I961" s="21">
        <v>37513</v>
      </c>
      <c r="J961" s="22">
        <v>37513</v>
      </c>
    </row>
    <row r="962" spans="1:10" ht="12.75" customHeight="1" x14ac:dyDescent="0.25">
      <c r="A962" s="28" t="s">
        <v>6</v>
      </c>
      <c r="B962" s="33" t="s">
        <v>6</v>
      </c>
      <c r="C962" s="5">
        <v>193</v>
      </c>
      <c r="D962" s="2"/>
      <c r="E962" s="9" t="s">
        <v>2</v>
      </c>
      <c r="F962" s="9" t="s">
        <v>3</v>
      </c>
      <c r="G962" s="9" t="s">
        <v>4</v>
      </c>
      <c r="H962" s="50" t="s">
        <v>21</v>
      </c>
      <c r="I962" s="23" t="s">
        <v>22</v>
      </c>
      <c r="J962" s="24" t="s">
        <v>4</v>
      </c>
    </row>
    <row r="963" spans="1:10" ht="12.75" customHeight="1" x14ac:dyDescent="0.25">
      <c r="A963" s="29">
        <f>SUM(E963:G963)/3</f>
        <v>0.45333333333333331</v>
      </c>
      <c r="B963" s="34">
        <f>SUM(E963:J963)/6</f>
        <v>0.22666666666666666</v>
      </c>
      <c r="C963" s="6"/>
      <c r="D963" s="2" t="s">
        <v>7</v>
      </c>
      <c r="E963" s="10">
        <v>0.56000000000000005</v>
      </c>
      <c r="F963" s="10">
        <v>0.44</v>
      </c>
      <c r="G963" s="10">
        <v>0.36</v>
      </c>
      <c r="H963" s="35" t="s">
        <v>25</v>
      </c>
      <c r="I963" t="s">
        <v>25</v>
      </c>
    </row>
    <row r="964" spans="1:10" ht="12.75" customHeight="1" x14ac:dyDescent="0.25">
      <c r="B964" s="35">
        <f>SUM(E964:J964)</f>
        <v>0</v>
      </c>
      <c r="C964" s="6"/>
      <c r="D964" s="2" t="s">
        <v>8</v>
      </c>
    </row>
    <row r="965" spans="1:10" ht="12.75" customHeight="1" x14ac:dyDescent="0.25">
      <c r="A965" s="31">
        <f>SUM(E965:N965)</f>
        <v>0</v>
      </c>
      <c r="B965" s="36">
        <f>SUM(E965:J965)</f>
        <v>0</v>
      </c>
      <c r="C965" s="6"/>
      <c r="D965" s="2" t="s">
        <v>9</v>
      </c>
      <c r="E965">
        <v>0</v>
      </c>
    </row>
    <row r="966" spans="1:10" ht="12.75" customHeight="1" x14ac:dyDescent="0.25">
      <c r="A966" s="27" t="s">
        <v>5</v>
      </c>
      <c r="B966" s="37">
        <v>37514</v>
      </c>
      <c r="C966" s="4" t="s">
        <v>0</v>
      </c>
      <c r="D966" s="1"/>
      <c r="E966" s="8">
        <v>37485</v>
      </c>
      <c r="F966" s="8">
        <v>37485</v>
      </c>
      <c r="G966" s="8">
        <v>37485</v>
      </c>
      <c r="H966" s="49">
        <v>37513</v>
      </c>
      <c r="I966" s="21">
        <v>37513</v>
      </c>
      <c r="J966" s="22">
        <v>37513</v>
      </c>
    </row>
    <row r="967" spans="1:10" ht="12.75" customHeight="1" x14ac:dyDescent="0.25">
      <c r="A967" s="28" t="s">
        <v>6</v>
      </c>
      <c r="B967" s="33" t="s">
        <v>6</v>
      </c>
      <c r="C967" s="5">
        <v>194</v>
      </c>
      <c r="D967" s="2"/>
      <c r="E967" s="9" t="s">
        <v>2</v>
      </c>
      <c r="F967" s="9" t="s">
        <v>3</v>
      </c>
      <c r="G967" s="9" t="s">
        <v>4</v>
      </c>
      <c r="H967" s="50" t="s">
        <v>21</v>
      </c>
      <c r="I967" s="23" t="s">
        <v>22</v>
      </c>
      <c r="J967" s="24" t="s">
        <v>4</v>
      </c>
    </row>
    <row r="968" spans="1:10" ht="12.75" customHeight="1" x14ac:dyDescent="0.25">
      <c r="A968" s="29">
        <f>SUM(E968:G968)/3</f>
        <v>0.89333333333333342</v>
      </c>
      <c r="B968" s="34">
        <f>SUM(E968:J968)/6</f>
        <v>0.85</v>
      </c>
      <c r="C968" s="6"/>
      <c r="D968" s="2" t="s">
        <v>7</v>
      </c>
      <c r="E968" s="10">
        <v>0.96</v>
      </c>
      <c r="F968" s="10">
        <v>0.8</v>
      </c>
      <c r="G968" s="10">
        <v>0.92</v>
      </c>
      <c r="H968" s="34">
        <v>0.94</v>
      </c>
      <c r="I968" s="10">
        <v>0.96</v>
      </c>
      <c r="J968" s="10">
        <v>0.52</v>
      </c>
    </row>
    <row r="969" spans="1:10" ht="12.75" customHeight="1" x14ac:dyDescent="0.25">
      <c r="B969" s="35">
        <f>SUM(E969:J969)</f>
        <v>5</v>
      </c>
      <c r="C969" s="6"/>
      <c r="D969" s="2" t="s">
        <v>8</v>
      </c>
      <c r="H969" s="35">
        <v>5</v>
      </c>
    </row>
    <row r="970" spans="1:10" ht="12.75" customHeight="1" x14ac:dyDescent="0.25">
      <c r="A970" s="31">
        <f>SUM(E970:N970)</f>
        <v>50</v>
      </c>
      <c r="B970" s="36">
        <f>SUM(E970:J970)</f>
        <v>50</v>
      </c>
      <c r="C970" s="6"/>
      <c r="D970" s="2" t="s">
        <v>9</v>
      </c>
      <c r="E970">
        <v>25</v>
      </c>
      <c r="H970" s="35">
        <v>25</v>
      </c>
    </row>
    <row r="971" spans="1:10" ht="12.75" customHeight="1" x14ac:dyDescent="0.25">
      <c r="A971" s="27" t="s">
        <v>5</v>
      </c>
      <c r="B971" s="37">
        <v>37514</v>
      </c>
      <c r="C971" s="4" t="s">
        <v>0</v>
      </c>
      <c r="D971" s="1"/>
      <c r="E971" s="8">
        <v>37485</v>
      </c>
      <c r="F971" s="8">
        <v>37485</v>
      </c>
      <c r="G971" s="8">
        <v>37485</v>
      </c>
      <c r="H971" s="49">
        <v>37513</v>
      </c>
      <c r="I971" s="21">
        <v>37513</v>
      </c>
      <c r="J971" s="22">
        <v>37513</v>
      </c>
    </row>
    <row r="972" spans="1:10" ht="12.75" customHeight="1" x14ac:dyDescent="0.25">
      <c r="A972" s="28" t="s">
        <v>6</v>
      </c>
      <c r="B972" s="33" t="s">
        <v>6</v>
      </c>
      <c r="C972" s="5">
        <v>195</v>
      </c>
      <c r="D972" s="2"/>
      <c r="E972" s="9" t="s">
        <v>2</v>
      </c>
      <c r="F972" s="9" t="s">
        <v>3</v>
      </c>
      <c r="G972" s="9" t="s">
        <v>4</v>
      </c>
      <c r="H972" s="50" t="s">
        <v>21</v>
      </c>
      <c r="I972" s="23" t="s">
        <v>22</v>
      </c>
      <c r="J972" s="24" t="s">
        <v>4</v>
      </c>
    </row>
    <row r="973" spans="1:10" ht="12.75" customHeight="1" x14ac:dyDescent="0.25">
      <c r="A973" s="29">
        <f>SUM(E973:G973)/3</f>
        <v>0.81333333333333335</v>
      </c>
      <c r="B973" s="34">
        <f>SUM(E973:J973)/6</f>
        <v>0.82</v>
      </c>
      <c r="C973" s="6"/>
      <c r="D973" s="2" t="s">
        <v>7</v>
      </c>
      <c r="E973" s="10">
        <v>0.8</v>
      </c>
      <c r="F973" s="10">
        <v>0.8</v>
      </c>
      <c r="G973" s="10">
        <v>0.84</v>
      </c>
      <c r="H973" s="34">
        <v>0.84</v>
      </c>
      <c r="I973" s="10">
        <v>0.92</v>
      </c>
      <c r="J973" s="10">
        <v>0.72</v>
      </c>
    </row>
    <row r="974" spans="1:10" ht="12.75" customHeight="1" x14ac:dyDescent="0.25">
      <c r="B974" s="35">
        <f>SUM(E974:J974)</f>
        <v>5</v>
      </c>
      <c r="C974" s="6"/>
      <c r="D974" s="2" t="s">
        <v>8</v>
      </c>
      <c r="H974" s="35">
        <v>5</v>
      </c>
    </row>
    <row r="975" spans="1:10" ht="12.75" customHeight="1" x14ac:dyDescent="0.25">
      <c r="A975" s="31">
        <f>SUM(E975:N975)</f>
        <v>43</v>
      </c>
      <c r="B975" s="36">
        <f>SUM(E975:J975)</f>
        <v>43</v>
      </c>
      <c r="C975" s="6"/>
      <c r="D975" s="2" t="s">
        <v>9</v>
      </c>
      <c r="E975">
        <v>0</v>
      </c>
      <c r="H975" s="35">
        <v>43</v>
      </c>
    </row>
    <row r="976" spans="1:10" ht="12.75" customHeight="1" x14ac:dyDescent="0.25">
      <c r="A976" s="27" t="s">
        <v>5</v>
      </c>
      <c r="B976" s="37">
        <v>37514</v>
      </c>
      <c r="C976" s="4" t="s">
        <v>0</v>
      </c>
      <c r="D976" s="1"/>
      <c r="E976" s="8">
        <v>37485</v>
      </c>
      <c r="F976" s="8">
        <v>37485</v>
      </c>
      <c r="G976" s="8">
        <v>37485</v>
      </c>
      <c r="H976" s="49">
        <v>37513</v>
      </c>
      <c r="I976" s="21">
        <v>37513</v>
      </c>
      <c r="J976" s="22">
        <v>37513</v>
      </c>
    </row>
    <row r="977" spans="1:10" ht="12.75" customHeight="1" x14ac:dyDescent="0.25">
      <c r="A977" s="28" t="s">
        <v>6</v>
      </c>
      <c r="B977" s="33" t="s">
        <v>6</v>
      </c>
      <c r="C977" s="5">
        <v>196</v>
      </c>
      <c r="D977" s="2"/>
      <c r="E977" s="9" t="s">
        <v>2</v>
      </c>
      <c r="F977" s="9" t="s">
        <v>3</v>
      </c>
      <c r="G977" s="9" t="s">
        <v>4</v>
      </c>
      <c r="H977" s="50" t="s">
        <v>21</v>
      </c>
      <c r="I977" s="23" t="s">
        <v>22</v>
      </c>
      <c r="J977" s="24" t="s">
        <v>4</v>
      </c>
    </row>
    <row r="978" spans="1:10" ht="12.75" customHeight="1" x14ac:dyDescent="0.25">
      <c r="A978" s="29">
        <f>SUM(E978:G978)/3</f>
        <v>0.76000000000000012</v>
      </c>
      <c r="B978" s="34">
        <f>SUM(E978:J978)/6</f>
        <v>0.75666666666666671</v>
      </c>
      <c r="C978" s="6"/>
      <c r="D978" s="2" t="s">
        <v>7</v>
      </c>
      <c r="E978" s="10">
        <v>0.88</v>
      </c>
      <c r="F978" s="10">
        <v>0.8</v>
      </c>
      <c r="G978" s="10">
        <v>0.6</v>
      </c>
      <c r="H978" s="34">
        <v>0.78</v>
      </c>
      <c r="I978" s="10">
        <v>0.88</v>
      </c>
      <c r="J978" s="10">
        <v>0.6</v>
      </c>
    </row>
    <row r="979" spans="1:10" ht="12.75" customHeight="1" x14ac:dyDescent="0.25">
      <c r="B979" s="35">
        <f>SUM(E979:J979)</f>
        <v>3</v>
      </c>
      <c r="C979" s="6"/>
      <c r="D979" s="2" t="s">
        <v>8</v>
      </c>
      <c r="H979" s="35">
        <v>3</v>
      </c>
    </row>
    <row r="980" spans="1:10" ht="12.75" customHeight="1" x14ac:dyDescent="0.25">
      <c r="A980" s="31">
        <f>SUM(E980:N980)</f>
        <v>5</v>
      </c>
      <c r="B980" s="36">
        <f>SUM(E980:J980)</f>
        <v>5</v>
      </c>
      <c r="C980" s="6"/>
      <c r="D980" s="2" t="s">
        <v>9</v>
      </c>
      <c r="H980" s="35">
        <v>5</v>
      </c>
    </row>
    <row r="981" spans="1:10" ht="12.75" customHeight="1" x14ac:dyDescent="0.25">
      <c r="A981" s="27" t="s">
        <v>5</v>
      </c>
      <c r="B981" s="37">
        <v>37514</v>
      </c>
      <c r="C981" s="4" t="s">
        <v>0</v>
      </c>
      <c r="D981" s="1"/>
      <c r="E981" s="8">
        <v>37485</v>
      </c>
      <c r="F981" s="8">
        <v>37485</v>
      </c>
      <c r="G981" s="8">
        <v>37485</v>
      </c>
      <c r="H981" s="49">
        <v>37513</v>
      </c>
      <c r="I981" s="21">
        <v>37513</v>
      </c>
      <c r="J981" s="22">
        <v>37513</v>
      </c>
    </row>
    <row r="982" spans="1:10" ht="12.75" customHeight="1" x14ac:dyDescent="0.25">
      <c r="A982" s="28" t="s">
        <v>6</v>
      </c>
      <c r="B982" s="33" t="s">
        <v>6</v>
      </c>
      <c r="C982" s="5">
        <v>197</v>
      </c>
      <c r="D982" s="2"/>
      <c r="E982" s="9" t="s">
        <v>2</v>
      </c>
      <c r="F982" s="9" t="s">
        <v>3</v>
      </c>
      <c r="G982" s="9" t="s">
        <v>4</v>
      </c>
      <c r="H982" s="50" t="s">
        <v>21</v>
      </c>
      <c r="I982" s="23" t="s">
        <v>22</v>
      </c>
      <c r="J982" s="24" t="s">
        <v>4</v>
      </c>
    </row>
    <row r="983" spans="1:10" ht="12.75" customHeight="1" x14ac:dyDescent="0.25">
      <c r="A983" s="29">
        <f>SUM(E983:G983)/3</f>
        <v>0.53333333333333333</v>
      </c>
      <c r="B983" s="34">
        <f>SUM(E983:J983)/6</f>
        <v>0.64333333333333331</v>
      </c>
      <c r="C983" s="6"/>
      <c r="D983" s="2" t="s">
        <v>7</v>
      </c>
      <c r="E983" s="10">
        <v>0.64</v>
      </c>
      <c r="F983" s="10">
        <v>0.6</v>
      </c>
      <c r="G983" s="10">
        <v>0.36</v>
      </c>
      <c r="H983" s="34">
        <v>0.82</v>
      </c>
      <c r="I983" s="10">
        <v>0.84</v>
      </c>
      <c r="J983" s="10">
        <v>0.6</v>
      </c>
    </row>
    <row r="984" spans="1:10" ht="12.75" customHeight="1" x14ac:dyDescent="0.25">
      <c r="B984" s="35">
        <f>SUM(E984:J984)</f>
        <v>5</v>
      </c>
      <c r="C984" s="6"/>
      <c r="D984" s="2" t="s">
        <v>8</v>
      </c>
      <c r="H984" s="35">
        <v>5</v>
      </c>
    </row>
    <row r="985" spans="1:10" ht="12.75" customHeight="1" x14ac:dyDescent="0.25">
      <c r="A985" s="31">
        <f>SUM(E985:N985)</f>
        <v>50</v>
      </c>
      <c r="B985" s="36">
        <f>SUM(E985:J985)</f>
        <v>50</v>
      </c>
      <c r="C985" s="6"/>
      <c r="D985" s="2" t="s">
        <v>9</v>
      </c>
      <c r="E985">
        <v>0</v>
      </c>
      <c r="H985" s="35">
        <v>50</v>
      </c>
    </row>
    <row r="986" spans="1:10" ht="12.75" customHeight="1" x14ac:dyDescent="0.25">
      <c r="A986" s="27" t="s">
        <v>5</v>
      </c>
      <c r="B986" s="37">
        <v>37514</v>
      </c>
      <c r="C986" s="4" t="s">
        <v>0</v>
      </c>
      <c r="D986" s="1"/>
      <c r="E986" s="8">
        <v>37485</v>
      </c>
      <c r="F986" s="8">
        <v>37485</v>
      </c>
      <c r="G986" s="8">
        <v>37485</v>
      </c>
      <c r="H986" s="49">
        <v>37513</v>
      </c>
      <c r="I986" s="21">
        <v>37513</v>
      </c>
      <c r="J986" s="22">
        <v>37513</v>
      </c>
    </row>
    <row r="987" spans="1:10" ht="12.75" customHeight="1" x14ac:dyDescent="0.25">
      <c r="A987" s="28" t="s">
        <v>6</v>
      </c>
      <c r="B987" s="33" t="s">
        <v>6</v>
      </c>
      <c r="C987" s="5">
        <v>198</v>
      </c>
      <c r="D987" s="2"/>
      <c r="E987" s="9" t="s">
        <v>2</v>
      </c>
      <c r="F987" s="9" t="s">
        <v>3</v>
      </c>
      <c r="G987" s="9" t="s">
        <v>4</v>
      </c>
      <c r="H987" s="50" t="s">
        <v>21</v>
      </c>
      <c r="I987" s="23" t="s">
        <v>22</v>
      </c>
      <c r="J987" s="24" t="s">
        <v>4</v>
      </c>
    </row>
    <row r="988" spans="1:10" ht="12.75" customHeight="1" x14ac:dyDescent="0.25">
      <c r="A988" s="29">
        <f>SUM(E988:G988)/3</f>
        <v>0.78666666666666674</v>
      </c>
      <c r="B988" s="34">
        <f>SUM(E988:J988)/6</f>
        <v>0.77333333333333332</v>
      </c>
      <c r="C988" s="6"/>
      <c r="D988" s="2" t="s">
        <v>7</v>
      </c>
      <c r="E988" s="10">
        <v>0.88</v>
      </c>
      <c r="F988" s="10">
        <v>0.72</v>
      </c>
      <c r="G988" s="10">
        <v>0.76</v>
      </c>
      <c r="H988" s="34">
        <v>0.8</v>
      </c>
      <c r="I988" s="10">
        <v>0.88</v>
      </c>
      <c r="J988" s="10">
        <v>0.6</v>
      </c>
    </row>
    <row r="989" spans="1:10" ht="12.75" customHeight="1" x14ac:dyDescent="0.25">
      <c r="B989" s="35">
        <f>SUM(E989:J989)</f>
        <v>5</v>
      </c>
      <c r="C989" s="6"/>
      <c r="D989" s="2" t="s">
        <v>8</v>
      </c>
      <c r="H989" s="35">
        <v>5</v>
      </c>
    </row>
    <row r="990" spans="1:10" ht="12.75" customHeight="1" x14ac:dyDescent="0.25">
      <c r="A990" s="31">
        <f>SUM(E990:N990)</f>
        <v>49</v>
      </c>
      <c r="B990" s="36">
        <f>SUM(E990:J990)</f>
        <v>49</v>
      </c>
      <c r="C990" s="6"/>
      <c r="D990" s="2" t="s">
        <v>9</v>
      </c>
      <c r="E990">
        <v>24</v>
      </c>
      <c r="H990" s="35">
        <v>25</v>
      </c>
    </row>
    <row r="991" spans="1:10" ht="12.75" customHeight="1" x14ac:dyDescent="0.25">
      <c r="A991" s="27" t="s">
        <v>5</v>
      </c>
      <c r="B991" s="37">
        <v>37514</v>
      </c>
      <c r="C991" s="4" t="s">
        <v>0</v>
      </c>
      <c r="D991" s="1"/>
      <c r="E991" s="8">
        <v>37485</v>
      </c>
      <c r="F991" s="8">
        <v>37485</v>
      </c>
      <c r="G991" s="8">
        <v>37485</v>
      </c>
      <c r="H991" s="49">
        <v>37513</v>
      </c>
      <c r="I991" s="21">
        <v>37513</v>
      </c>
      <c r="J991" s="22">
        <v>37513</v>
      </c>
    </row>
    <row r="992" spans="1:10" ht="12.75" customHeight="1" x14ac:dyDescent="0.25">
      <c r="A992" s="28" t="s">
        <v>6</v>
      </c>
      <c r="B992" s="33" t="s">
        <v>6</v>
      </c>
      <c r="C992" s="5">
        <v>199</v>
      </c>
      <c r="D992" s="2"/>
      <c r="E992" s="9" t="s">
        <v>2</v>
      </c>
      <c r="F992" s="9" t="s">
        <v>3</v>
      </c>
      <c r="G992" s="9" t="s">
        <v>4</v>
      </c>
      <c r="H992" s="50" t="s">
        <v>21</v>
      </c>
      <c r="I992" s="23" t="s">
        <v>22</v>
      </c>
      <c r="J992" s="24" t="s">
        <v>4</v>
      </c>
    </row>
    <row r="993" spans="1:10" ht="12.75" customHeight="1" x14ac:dyDescent="0.25">
      <c r="A993" s="29">
        <f>SUM(E993:G993)/3</f>
        <v>0.64</v>
      </c>
      <c r="B993" s="34">
        <f>SUM(E993:J993)/6</f>
        <v>0.66666666666666663</v>
      </c>
      <c r="C993" s="6"/>
      <c r="D993" s="2" t="s">
        <v>7</v>
      </c>
      <c r="E993" s="10">
        <v>0.8</v>
      </c>
      <c r="F993" s="10">
        <v>0.6</v>
      </c>
      <c r="G993" s="10">
        <v>0.52</v>
      </c>
      <c r="H993" s="34">
        <v>0.8</v>
      </c>
      <c r="I993" s="10">
        <v>0.96</v>
      </c>
      <c r="J993" s="10">
        <v>0.32</v>
      </c>
    </row>
    <row r="994" spans="1:10" ht="12.75" customHeight="1" x14ac:dyDescent="0.25">
      <c r="B994" s="35">
        <f>SUM(E994:J994)</f>
        <v>5</v>
      </c>
      <c r="C994" s="6"/>
      <c r="D994" s="2" t="s">
        <v>8</v>
      </c>
      <c r="H994" s="35">
        <v>5</v>
      </c>
    </row>
    <row r="995" spans="1:10" ht="12.75" customHeight="1" x14ac:dyDescent="0.25">
      <c r="A995" s="31">
        <f>SUM(E995:N995)</f>
        <v>40</v>
      </c>
      <c r="B995" s="36">
        <f>SUM(E995:J995)</f>
        <v>40</v>
      </c>
      <c r="C995" s="6"/>
      <c r="D995" s="2" t="s">
        <v>9</v>
      </c>
      <c r="E995">
        <v>15</v>
      </c>
      <c r="H995" s="35">
        <v>25</v>
      </c>
    </row>
    <row r="996" spans="1:10" ht="12.75" customHeight="1" x14ac:dyDescent="0.25">
      <c r="A996" s="27" t="s">
        <v>5</v>
      </c>
      <c r="B996" s="37">
        <v>37514</v>
      </c>
      <c r="C996" s="4" t="s">
        <v>0</v>
      </c>
      <c r="D996" s="1"/>
      <c r="E996" s="8">
        <v>37485</v>
      </c>
      <c r="F996" s="8">
        <v>37485</v>
      </c>
      <c r="G996" s="8">
        <v>37485</v>
      </c>
      <c r="H996" s="49">
        <v>37513</v>
      </c>
      <c r="I996" s="21">
        <v>37513</v>
      </c>
      <c r="J996" s="22">
        <v>37513</v>
      </c>
    </row>
    <row r="997" spans="1:10" ht="12.75" customHeight="1" x14ac:dyDescent="0.25">
      <c r="A997" s="28" t="s">
        <v>6</v>
      </c>
      <c r="B997" s="33" t="s">
        <v>6</v>
      </c>
      <c r="C997" s="5">
        <v>200</v>
      </c>
      <c r="D997" s="2"/>
      <c r="E997" s="9" t="s">
        <v>2</v>
      </c>
      <c r="F997" s="9" t="s">
        <v>3</v>
      </c>
      <c r="G997" s="9" t="s">
        <v>4</v>
      </c>
      <c r="H997" s="50" t="s">
        <v>21</v>
      </c>
      <c r="I997" s="23" t="s">
        <v>22</v>
      </c>
      <c r="J997" s="24" t="s">
        <v>4</v>
      </c>
    </row>
    <row r="998" spans="1:10" ht="12.75" customHeight="1" x14ac:dyDescent="0.25">
      <c r="A998" s="29">
        <f>SUM(E998:G998)/3</f>
        <v>0.49333333333333335</v>
      </c>
      <c r="B998" s="34">
        <f>SUM(E998:J998)/6</f>
        <v>0.58333333333333326</v>
      </c>
      <c r="C998" s="6"/>
      <c r="D998" s="2" t="s">
        <v>7</v>
      </c>
      <c r="E998" s="10">
        <v>0.68</v>
      </c>
      <c r="F998" s="10">
        <v>0.64</v>
      </c>
      <c r="G998" s="10">
        <v>0.16</v>
      </c>
      <c r="H998" s="34">
        <v>0.82</v>
      </c>
      <c r="I998" s="10">
        <v>0.8</v>
      </c>
      <c r="J998" s="10">
        <v>0.4</v>
      </c>
    </row>
    <row r="999" spans="1:10" ht="12.75" customHeight="1" x14ac:dyDescent="0.25">
      <c r="B999" s="35">
        <f>SUM(E999:J999)</f>
        <v>5</v>
      </c>
      <c r="D999" s="2" t="s">
        <v>8</v>
      </c>
      <c r="H999" s="35">
        <v>5</v>
      </c>
    </row>
    <row r="1000" spans="1:10" ht="12.75" customHeight="1" x14ac:dyDescent="0.25">
      <c r="A1000" s="31">
        <f>SUM(E1000:N1000)</f>
        <v>37</v>
      </c>
      <c r="B1000" s="36">
        <f>SUM(E1000:J1000)</f>
        <v>37</v>
      </c>
      <c r="D1000" s="2" t="s">
        <v>9</v>
      </c>
      <c r="E1000">
        <v>0</v>
      </c>
      <c r="H1000" s="35">
        <v>37</v>
      </c>
    </row>
    <row r="1001" spans="1:10" ht="12.75" customHeight="1" x14ac:dyDescent="0.25">
      <c r="A1001" s="27" t="s">
        <v>5</v>
      </c>
      <c r="B1001" s="37">
        <v>37514</v>
      </c>
      <c r="C1001" s="4" t="s">
        <v>0</v>
      </c>
      <c r="D1001" s="1"/>
      <c r="E1001" s="8">
        <v>37485</v>
      </c>
      <c r="F1001" s="8">
        <v>37485</v>
      </c>
      <c r="G1001" s="8">
        <v>37485</v>
      </c>
      <c r="H1001" s="49">
        <v>37513</v>
      </c>
      <c r="I1001" s="21">
        <v>37513</v>
      </c>
      <c r="J1001" s="22">
        <v>37513</v>
      </c>
    </row>
    <row r="1002" spans="1:10" ht="12.75" customHeight="1" x14ac:dyDescent="0.25">
      <c r="A1002" s="28" t="s">
        <v>6</v>
      </c>
      <c r="B1002" s="33" t="s">
        <v>6</v>
      </c>
      <c r="C1002" s="5">
        <v>201</v>
      </c>
      <c r="D1002" s="2"/>
      <c r="E1002" s="9" t="s">
        <v>2</v>
      </c>
      <c r="F1002" s="9" t="s">
        <v>3</v>
      </c>
      <c r="G1002" s="9" t="s">
        <v>4</v>
      </c>
      <c r="H1002" s="50" t="s">
        <v>21</v>
      </c>
      <c r="I1002" s="23" t="s">
        <v>22</v>
      </c>
      <c r="J1002" s="24" t="s">
        <v>4</v>
      </c>
    </row>
    <row r="1003" spans="1:10" ht="12.75" customHeight="1" x14ac:dyDescent="0.25">
      <c r="A1003" s="29">
        <f>SUM(E1003:G1003)/3</f>
        <v>0.40000000000000008</v>
      </c>
      <c r="B1003" s="34">
        <f>SUM(E1003:J1003)/6</f>
        <v>0.54333333333333333</v>
      </c>
      <c r="C1003" s="6"/>
      <c r="D1003" s="2" t="s">
        <v>7</v>
      </c>
      <c r="E1003" s="10">
        <v>0.36</v>
      </c>
      <c r="F1003" s="10">
        <v>0.56000000000000005</v>
      </c>
      <c r="G1003" s="10">
        <v>0.28000000000000003</v>
      </c>
      <c r="H1003" s="34">
        <v>0.9</v>
      </c>
      <c r="I1003" s="10">
        <v>0.88</v>
      </c>
      <c r="J1003" s="10">
        <v>0.28000000000000003</v>
      </c>
    </row>
    <row r="1004" spans="1:10" ht="12.75" customHeight="1" x14ac:dyDescent="0.25">
      <c r="B1004" s="35">
        <f>SUM(E1004:J1004)</f>
        <v>5</v>
      </c>
      <c r="C1004" s="6"/>
      <c r="D1004" s="2" t="s">
        <v>8</v>
      </c>
      <c r="H1004" s="35">
        <v>5</v>
      </c>
    </row>
    <row r="1005" spans="1:10" ht="12.75" customHeight="1" x14ac:dyDescent="0.25">
      <c r="A1005" s="31">
        <f>SUM(E1005:N1005)</f>
        <v>48</v>
      </c>
      <c r="B1005" s="36">
        <f>SUM(E1005:J1005)</f>
        <v>48</v>
      </c>
      <c r="C1005" s="6"/>
      <c r="D1005" s="2" t="s">
        <v>9</v>
      </c>
      <c r="E1005">
        <v>0</v>
      </c>
      <c r="H1005" s="35">
        <v>48</v>
      </c>
    </row>
    <row r="1006" spans="1:10" ht="12.75" customHeight="1" x14ac:dyDescent="0.25">
      <c r="A1006" s="27" t="s">
        <v>5</v>
      </c>
      <c r="B1006" s="37">
        <v>37514</v>
      </c>
      <c r="C1006" s="4" t="s">
        <v>0</v>
      </c>
      <c r="D1006" s="1"/>
      <c r="E1006" s="8">
        <v>37485</v>
      </c>
      <c r="F1006" s="8">
        <v>37485</v>
      </c>
      <c r="G1006" s="8">
        <v>37485</v>
      </c>
      <c r="H1006" s="49">
        <v>37513</v>
      </c>
      <c r="I1006" s="21">
        <v>37513</v>
      </c>
      <c r="J1006" s="22">
        <v>37513</v>
      </c>
    </row>
    <row r="1007" spans="1:10" ht="12.75" customHeight="1" x14ac:dyDescent="0.25">
      <c r="A1007" s="28" t="s">
        <v>6</v>
      </c>
      <c r="B1007" s="33" t="s">
        <v>6</v>
      </c>
      <c r="C1007" s="5">
        <v>202</v>
      </c>
      <c r="D1007" s="2"/>
      <c r="E1007" s="9" t="s">
        <v>2</v>
      </c>
      <c r="F1007" s="9" t="s">
        <v>3</v>
      </c>
      <c r="G1007" s="9" t="s">
        <v>4</v>
      </c>
      <c r="H1007" s="50" t="s">
        <v>21</v>
      </c>
      <c r="I1007" s="23" t="s">
        <v>22</v>
      </c>
      <c r="J1007" s="24" t="s">
        <v>4</v>
      </c>
    </row>
    <row r="1008" spans="1:10" ht="12.75" customHeight="1" x14ac:dyDescent="0.25">
      <c r="A1008" s="29">
        <f>SUM(E1008:G1008)/3</f>
        <v>0.6</v>
      </c>
      <c r="B1008" s="34">
        <f>SUM(E1008:J1008)/6</f>
        <v>0.67999999999999983</v>
      </c>
      <c r="C1008" s="6"/>
      <c r="D1008" s="2" t="s">
        <v>7</v>
      </c>
      <c r="E1008" s="10">
        <v>0.76</v>
      </c>
      <c r="F1008" s="10">
        <v>0.6</v>
      </c>
      <c r="G1008" s="10">
        <v>0.44</v>
      </c>
      <c r="H1008" s="34">
        <v>0.8</v>
      </c>
      <c r="I1008" s="10">
        <v>0.76</v>
      </c>
      <c r="J1008" s="10">
        <v>0.72</v>
      </c>
    </row>
    <row r="1009" spans="1:8" ht="12.75" customHeight="1" x14ac:dyDescent="0.25">
      <c r="B1009" s="35">
        <f>SUM(E1009:J1009)</f>
        <v>5</v>
      </c>
      <c r="C1009" s="6"/>
      <c r="D1009" s="2" t="s">
        <v>8</v>
      </c>
      <c r="H1009" s="35">
        <v>5</v>
      </c>
    </row>
    <row r="1010" spans="1:8" ht="12.75" customHeight="1" x14ac:dyDescent="0.25">
      <c r="A1010" s="31">
        <f>SUM(E1010:N1010)</f>
        <v>0</v>
      </c>
      <c r="B1010" s="36">
        <f>SUM(E1010:J1010)</f>
        <v>0</v>
      </c>
      <c r="C1010" s="6"/>
      <c r="D1010" s="2" t="s">
        <v>9</v>
      </c>
      <c r="H1010" s="35">
        <v>0</v>
      </c>
    </row>
    <row r="1011" spans="1:8" ht="12.75" customHeight="1" x14ac:dyDescent="0.25">
      <c r="A1011" s="27"/>
      <c r="B1011" s="32"/>
      <c r="C1011" s="4"/>
      <c r="D1011" s="1"/>
      <c r="E1011" s="8"/>
      <c r="F1011" s="8"/>
      <c r="G1011" s="8"/>
    </row>
    <row r="1012" spans="1:8" ht="12.75" customHeight="1" x14ac:dyDescent="0.25">
      <c r="A1012" s="28"/>
      <c r="B1012" s="33"/>
      <c r="D1012" s="2"/>
      <c r="E1012" s="9"/>
      <c r="F1012" s="9"/>
      <c r="G1012" s="9"/>
    </row>
    <row r="1013" spans="1:8" ht="12.75" customHeight="1" x14ac:dyDescent="0.25">
      <c r="A1013" s="29"/>
      <c r="B1013" s="34"/>
      <c r="C1013" s="6"/>
      <c r="D1013" s="2"/>
      <c r="E1013" s="10"/>
      <c r="F1013" s="10"/>
      <c r="G1013" s="10"/>
    </row>
    <row r="1014" spans="1:8" ht="12.75" customHeight="1" x14ac:dyDescent="0.25">
      <c r="C1014" s="6"/>
      <c r="D1014" s="2"/>
    </row>
    <row r="1015" spans="1:8" ht="12.75" customHeight="1" x14ac:dyDescent="0.25">
      <c r="A1015" s="31"/>
      <c r="B1015" s="36"/>
      <c r="C1015" s="6"/>
      <c r="D1015" s="2"/>
    </row>
    <row r="1016" spans="1:8" ht="12.75" customHeight="1" x14ac:dyDescent="0.25">
      <c r="A1016" s="27"/>
      <c r="B1016" s="32"/>
      <c r="C1016" s="4"/>
      <c r="D1016" s="1"/>
      <c r="E1016" s="8"/>
      <c r="F1016" s="8"/>
      <c r="G1016" s="8"/>
    </row>
    <row r="1017" spans="1:8" ht="12.75" customHeight="1" x14ac:dyDescent="0.25">
      <c r="A1017" s="28"/>
      <c r="B1017" s="33"/>
      <c r="D1017" s="2"/>
      <c r="E1017" s="9"/>
      <c r="F1017" s="9"/>
      <c r="G1017" s="9"/>
    </row>
    <row r="1018" spans="1:8" ht="12.75" customHeight="1" x14ac:dyDescent="0.25">
      <c r="A1018" s="29"/>
      <c r="B1018" s="34"/>
      <c r="C1018" s="6"/>
      <c r="D1018" s="2"/>
      <c r="E1018" s="10"/>
      <c r="F1018" s="10"/>
      <c r="G1018" s="10"/>
    </row>
    <row r="1019" spans="1:8" ht="12.75" customHeight="1" x14ac:dyDescent="0.25">
      <c r="C1019" s="6"/>
      <c r="D1019" s="2"/>
    </row>
    <row r="1020" spans="1:8" ht="12.75" customHeight="1" x14ac:dyDescent="0.25">
      <c r="A1020" s="31"/>
      <c r="B1020" s="36"/>
      <c r="C1020" s="6"/>
      <c r="D1020" s="2"/>
    </row>
    <row r="1021" spans="1:8" ht="12.75" customHeight="1" x14ac:dyDescent="0.25">
      <c r="A1021" s="27"/>
      <c r="B1021" s="32"/>
      <c r="C1021" s="4"/>
      <c r="D1021" s="1"/>
    </row>
    <row r="1022" spans="1:8" ht="12.75" customHeight="1" x14ac:dyDescent="0.25">
      <c r="A1022" s="28"/>
      <c r="B1022" s="33"/>
    </row>
    <row r="1023" spans="1:8" ht="12.75" customHeight="1" x14ac:dyDescent="0.25">
      <c r="A1023" s="29"/>
      <c r="B1023" s="34"/>
      <c r="C1023" s="6"/>
      <c r="D1023" s="2"/>
    </row>
    <row r="1024" spans="1:8" ht="12.75" customHeight="1" x14ac:dyDescent="0.25">
      <c r="C1024" s="6"/>
      <c r="D1024" s="2"/>
    </row>
    <row r="1025" spans="1:4" ht="12.75" customHeight="1" x14ac:dyDescent="0.25">
      <c r="A1025" s="31"/>
      <c r="B1025" s="36"/>
      <c r="C1025" s="6"/>
      <c r="D1025" s="2"/>
    </row>
    <row r="1026" spans="1:4" ht="12.75" customHeight="1" x14ac:dyDescent="0.25">
      <c r="A1026" s="27"/>
      <c r="B1026" s="32"/>
      <c r="C1026" s="4"/>
      <c r="D1026" s="1"/>
    </row>
    <row r="1027" spans="1:4" ht="12.75" customHeight="1" x14ac:dyDescent="0.25">
      <c r="A1027" s="28"/>
      <c r="B1027" s="33"/>
    </row>
    <row r="1028" spans="1:4" ht="12.75" customHeight="1" x14ac:dyDescent="0.25">
      <c r="A1028" s="29"/>
      <c r="B1028" s="34"/>
      <c r="C1028" s="6"/>
      <c r="D1028" s="2"/>
    </row>
    <row r="1029" spans="1:4" ht="12.75" customHeight="1" x14ac:dyDescent="0.25">
      <c r="C1029" s="6"/>
      <c r="D1029" s="2"/>
    </row>
    <row r="1030" spans="1:4" ht="12.75" customHeight="1" x14ac:dyDescent="0.25">
      <c r="A1030" s="31"/>
      <c r="B1030" s="36"/>
      <c r="C1030" s="6"/>
      <c r="D1030" s="2"/>
    </row>
    <row r="1031" spans="1:4" ht="12.75" customHeight="1" x14ac:dyDescent="0.25">
      <c r="A1031" s="27"/>
      <c r="B1031" s="32"/>
      <c r="C1031" s="4"/>
      <c r="D1031" s="1"/>
    </row>
    <row r="1032" spans="1:4" ht="12.75" customHeight="1" x14ac:dyDescent="0.25">
      <c r="A1032" s="28"/>
      <c r="B1032" s="33"/>
    </row>
    <row r="1033" spans="1:4" ht="12.75" customHeight="1" x14ac:dyDescent="0.25">
      <c r="A1033" s="29"/>
      <c r="B1033" s="34"/>
      <c r="C1033" s="6"/>
      <c r="D1033" s="2"/>
    </row>
    <row r="1034" spans="1:4" ht="12.75" customHeight="1" x14ac:dyDescent="0.25">
      <c r="C1034" s="6"/>
      <c r="D1034" s="2"/>
    </row>
    <row r="1035" spans="1:4" ht="12.75" customHeight="1" x14ac:dyDescent="0.25">
      <c r="A1035" s="31"/>
      <c r="B1035" s="36"/>
      <c r="C1035" s="6"/>
      <c r="D1035" s="2"/>
    </row>
    <row r="1036" spans="1:4" ht="12.75" customHeight="1" x14ac:dyDescent="0.25">
      <c r="A1036" s="27"/>
      <c r="B1036" s="32"/>
      <c r="C1036" s="4"/>
      <c r="D1036" s="1"/>
    </row>
    <row r="1037" spans="1:4" ht="12.75" customHeight="1" x14ac:dyDescent="0.25">
      <c r="A1037" s="28"/>
      <c r="B1037" s="33"/>
    </row>
    <row r="1038" spans="1:4" ht="12.75" customHeight="1" x14ac:dyDescent="0.25">
      <c r="A1038" s="29"/>
      <c r="B1038" s="34"/>
      <c r="C1038" s="6"/>
      <c r="D1038" s="2"/>
    </row>
    <row r="1039" spans="1:4" ht="12.75" customHeight="1" x14ac:dyDescent="0.25">
      <c r="C1039" s="6"/>
      <c r="D1039" s="2"/>
    </row>
    <row r="1040" spans="1:4" ht="12.75" customHeight="1" x14ac:dyDescent="0.25">
      <c r="A1040" s="31"/>
      <c r="B1040" s="36"/>
      <c r="C1040" s="26"/>
      <c r="D1040" s="7"/>
    </row>
    <row r="1041" spans="1:4" ht="12.75" customHeight="1" x14ac:dyDescent="0.25">
      <c r="A1041" s="27"/>
      <c r="B1041" s="32"/>
      <c r="C1041" s="4"/>
      <c r="D1041" s="1"/>
    </row>
    <row r="1042" spans="1:4" ht="12.75" customHeight="1" x14ac:dyDescent="0.25">
      <c r="A1042" s="28"/>
      <c r="B1042" s="33"/>
    </row>
    <row r="1043" spans="1:4" ht="12.75" customHeight="1" x14ac:dyDescent="0.25">
      <c r="A1043" s="29"/>
      <c r="B1043" s="34"/>
      <c r="C1043" s="6"/>
      <c r="D1043" s="2"/>
    </row>
    <row r="1044" spans="1:4" ht="12.75" customHeight="1" x14ac:dyDescent="0.25">
      <c r="C1044" s="6"/>
      <c r="D1044" s="2"/>
    </row>
    <row r="1045" spans="1:4" ht="12.75" customHeight="1" x14ac:dyDescent="0.25">
      <c r="A1045" s="31"/>
      <c r="B1045" s="36"/>
      <c r="C1045" s="6"/>
      <c r="D1045" s="2"/>
    </row>
    <row r="1046" spans="1:4" ht="12.75" customHeight="1" x14ac:dyDescent="0.25">
      <c r="A1046" s="27"/>
      <c r="B1046" s="32"/>
      <c r="C1046" s="4"/>
      <c r="D1046" s="1"/>
    </row>
    <row r="1047" spans="1:4" ht="12.75" customHeight="1" x14ac:dyDescent="0.25">
      <c r="A1047" s="28"/>
      <c r="B1047" s="33"/>
    </row>
    <row r="1048" spans="1:4" ht="12.75" customHeight="1" x14ac:dyDescent="0.25">
      <c r="A1048" s="29"/>
      <c r="B1048" s="34"/>
      <c r="C1048" s="6"/>
      <c r="D1048" s="2"/>
    </row>
    <row r="1050" spans="1:4" ht="12.75" customHeight="1" x14ac:dyDescent="0.25">
      <c r="A1050" s="31"/>
      <c r="B1050" s="36"/>
    </row>
    <row r="1051" spans="1:4" ht="12.75" customHeight="1" x14ac:dyDescent="0.25">
      <c r="A1051" s="27"/>
      <c r="B1051" s="32"/>
      <c r="C1051" s="4"/>
      <c r="D1051" s="1"/>
    </row>
    <row r="1052" spans="1:4" ht="12.75" customHeight="1" x14ac:dyDescent="0.25">
      <c r="A1052" s="28"/>
      <c r="B1052" s="33"/>
    </row>
    <row r="1053" spans="1:4" ht="12.75" customHeight="1" x14ac:dyDescent="0.25">
      <c r="A1053" s="29"/>
      <c r="B1053" s="34"/>
      <c r="C1053" s="6"/>
      <c r="D1053" s="2"/>
    </row>
    <row r="1054" spans="1:4" ht="12.75" customHeight="1" x14ac:dyDescent="0.25">
      <c r="C1054" s="6"/>
      <c r="D1054" s="2"/>
    </row>
    <row r="1055" spans="1:4" ht="12.75" customHeight="1" x14ac:dyDescent="0.25">
      <c r="A1055" s="31"/>
      <c r="B1055" s="36"/>
      <c r="C1055" s="6"/>
      <c r="D1055" s="2"/>
    </row>
    <row r="1056" spans="1:4" ht="12.75" customHeight="1" x14ac:dyDescent="0.25">
      <c r="A1056" s="27"/>
      <c r="B1056" s="32"/>
      <c r="C1056" s="4"/>
      <c r="D1056" s="1"/>
    </row>
    <row r="1057" spans="1:4" ht="12.75" customHeight="1" x14ac:dyDescent="0.25">
      <c r="A1057" s="28"/>
      <c r="B1057" s="33"/>
    </row>
    <row r="1058" spans="1:4" ht="12.75" customHeight="1" x14ac:dyDescent="0.25">
      <c r="A1058" s="29"/>
      <c r="B1058" s="34"/>
      <c r="C1058" s="6"/>
      <c r="D1058" s="2"/>
    </row>
    <row r="1059" spans="1:4" ht="12.75" customHeight="1" x14ac:dyDescent="0.25">
      <c r="C1059" s="6"/>
      <c r="D1059" s="2"/>
    </row>
    <row r="1060" spans="1:4" ht="12.75" customHeight="1" x14ac:dyDescent="0.25">
      <c r="A1060" s="31"/>
      <c r="B1060" s="36"/>
      <c r="C1060" s="6"/>
      <c r="D1060" s="2"/>
    </row>
    <row r="1061" spans="1:4" ht="12.75" customHeight="1" x14ac:dyDescent="0.25">
      <c r="A1061" s="27"/>
      <c r="B1061" s="32"/>
      <c r="C1061" s="4"/>
      <c r="D1061" s="1"/>
    </row>
    <row r="1062" spans="1:4" ht="12.75" customHeight="1" x14ac:dyDescent="0.25">
      <c r="A1062" s="28"/>
      <c r="B1062" s="33"/>
    </row>
    <row r="1063" spans="1:4" ht="12.75" customHeight="1" x14ac:dyDescent="0.25">
      <c r="A1063" s="29"/>
      <c r="B1063" s="34"/>
      <c r="C1063" s="6"/>
      <c r="D1063" s="2"/>
    </row>
    <row r="1064" spans="1:4" ht="12.75" customHeight="1" x14ac:dyDescent="0.25">
      <c r="C1064" s="6"/>
      <c r="D1064" s="2"/>
    </row>
    <row r="1065" spans="1:4" ht="12.75" customHeight="1" x14ac:dyDescent="0.25">
      <c r="A1065" s="31"/>
      <c r="B1065" s="36"/>
      <c r="C1065" s="6"/>
      <c r="D1065" s="2"/>
    </row>
    <row r="1066" spans="1:4" ht="12.75" customHeight="1" x14ac:dyDescent="0.25">
      <c r="A1066" s="27"/>
      <c r="B1066" s="32"/>
      <c r="C1066" s="4"/>
      <c r="D1066" s="1"/>
    </row>
    <row r="1067" spans="1:4" ht="12.75" customHeight="1" x14ac:dyDescent="0.25">
      <c r="A1067" s="28"/>
      <c r="B1067" s="33"/>
    </row>
    <row r="1068" spans="1:4" ht="12.75" customHeight="1" x14ac:dyDescent="0.25">
      <c r="A1068" s="29"/>
      <c r="B1068" s="34"/>
      <c r="C1068" s="6"/>
      <c r="D1068" s="2"/>
    </row>
    <row r="1070" spans="1:4" ht="12.75" customHeight="1" x14ac:dyDescent="0.25">
      <c r="A1070" s="31"/>
      <c r="B1070" s="36"/>
    </row>
    <row r="1071" spans="1:4" ht="12.75" customHeight="1" x14ac:dyDescent="0.25">
      <c r="A1071" s="27"/>
      <c r="B1071" s="32"/>
    </row>
    <row r="1072" spans="1:4" ht="12.75" customHeight="1" x14ac:dyDescent="0.25">
      <c r="A1072" s="28"/>
      <c r="B1072" s="33"/>
    </row>
    <row r="1073" spans="1:2" ht="12.75" customHeight="1" x14ac:dyDescent="0.25">
      <c r="A1073" s="29"/>
      <c r="B1073" s="34"/>
    </row>
    <row r="1075" spans="1:2" ht="12.75" customHeight="1" x14ac:dyDescent="0.25">
      <c r="A1075" s="31"/>
      <c r="B1075" s="36"/>
    </row>
    <row r="1076" spans="1:2" ht="12.75" customHeight="1" x14ac:dyDescent="0.25">
      <c r="A1076" s="27"/>
      <c r="B1076" s="32"/>
    </row>
    <row r="1077" spans="1:2" ht="12.75" customHeight="1" x14ac:dyDescent="0.25">
      <c r="A1077" s="28"/>
      <c r="B1077" s="33"/>
    </row>
    <row r="1078" spans="1:2" ht="12.75" customHeight="1" x14ac:dyDescent="0.25">
      <c r="A1078" s="29"/>
      <c r="B1078" s="34"/>
    </row>
    <row r="1080" spans="1:2" ht="12.75" customHeight="1" x14ac:dyDescent="0.25">
      <c r="A1080" s="31"/>
      <c r="B1080" s="36"/>
    </row>
    <row r="1081" spans="1:2" ht="12.75" customHeight="1" x14ac:dyDescent="0.25">
      <c r="A1081" s="27"/>
      <c r="B1081" s="32"/>
    </row>
    <row r="1082" spans="1:2" ht="12.75" customHeight="1" x14ac:dyDescent="0.25">
      <c r="A1082" s="28"/>
      <c r="B1082" s="33"/>
    </row>
    <row r="1083" spans="1:2" ht="12.75" customHeight="1" x14ac:dyDescent="0.25">
      <c r="A1083" s="29"/>
      <c r="B1083" s="34"/>
    </row>
    <row r="1085" spans="1:2" ht="12.75" customHeight="1" x14ac:dyDescent="0.25">
      <c r="A1085" s="31"/>
      <c r="B1085" s="36"/>
    </row>
    <row r="1086" spans="1:2" ht="12.75" customHeight="1" x14ac:dyDescent="0.25">
      <c r="A1086" s="27"/>
      <c r="B1086" s="32"/>
    </row>
    <row r="1087" spans="1:2" ht="12.75" customHeight="1" x14ac:dyDescent="0.25">
      <c r="A1087" s="28"/>
      <c r="B1087" s="33"/>
    </row>
    <row r="1088" spans="1:2" ht="12.75" customHeight="1" x14ac:dyDescent="0.25">
      <c r="A1088" s="29"/>
      <c r="B1088" s="34"/>
    </row>
    <row r="1090" spans="1:2" ht="12.75" customHeight="1" x14ac:dyDescent="0.25">
      <c r="A1090" s="31"/>
      <c r="B1090" s="36"/>
    </row>
    <row r="1091" spans="1:2" ht="12.75" customHeight="1" x14ac:dyDescent="0.25">
      <c r="A1091" s="27"/>
      <c r="B1091" s="32"/>
    </row>
    <row r="1092" spans="1:2" ht="12.75" customHeight="1" x14ac:dyDescent="0.25">
      <c r="A1092" s="28"/>
      <c r="B1092" s="33"/>
    </row>
    <row r="1093" spans="1:2" ht="12.75" customHeight="1" x14ac:dyDescent="0.25">
      <c r="A1093" s="29"/>
      <c r="B1093" s="34"/>
    </row>
    <row r="1095" spans="1:2" ht="12.75" customHeight="1" x14ac:dyDescent="0.25">
      <c r="A1095" s="31"/>
      <c r="B1095" s="36"/>
    </row>
    <row r="1096" spans="1:2" ht="12.75" customHeight="1" x14ac:dyDescent="0.25">
      <c r="A1096" s="27"/>
      <c r="B1096" s="32"/>
    </row>
    <row r="1097" spans="1:2" ht="12.75" customHeight="1" x14ac:dyDescent="0.25">
      <c r="A1097" s="28"/>
      <c r="B1097" s="33"/>
    </row>
    <row r="1098" spans="1:2" ht="12.75" customHeight="1" x14ac:dyDescent="0.25">
      <c r="A1098" s="29"/>
      <c r="B1098" s="34"/>
    </row>
    <row r="1100" spans="1:2" ht="12.75" customHeight="1" x14ac:dyDescent="0.25">
      <c r="A1100" s="31"/>
      <c r="B1100" s="36"/>
    </row>
    <row r="1101" spans="1:2" ht="12.75" customHeight="1" x14ac:dyDescent="0.25">
      <c r="A1101" s="27"/>
      <c r="B1101" s="32"/>
    </row>
    <row r="1102" spans="1:2" ht="12.75" customHeight="1" x14ac:dyDescent="0.25">
      <c r="A1102" s="28"/>
      <c r="B1102" s="33"/>
    </row>
    <row r="1103" spans="1:2" ht="12.75" customHeight="1" x14ac:dyDescent="0.25">
      <c r="A1103" s="29"/>
      <c r="B1103" s="34"/>
    </row>
    <row r="1105" spans="1:2" ht="12.75" customHeight="1" x14ac:dyDescent="0.25">
      <c r="A1105" s="31"/>
      <c r="B1105" s="36"/>
    </row>
    <row r="1106" spans="1:2" ht="12.75" customHeight="1" x14ac:dyDescent="0.25">
      <c r="A1106" s="27"/>
      <c r="B1106" s="32"/>
    </row>
    <row r="1107" spans="1:2" ht="12.75" customHeight="1" x14ac:dyDescent="0.25">
      <c r="A1107" s="28"/>
      <c r="B1107" s="33"/>
    </row>
    <row r="1108" spans="1:2" ht="12.75" customHeight="1" x14ac:dyDescent="0.25">
      <c r="A1108" s="29"/>
      <c r="B1108" s="34"/>
    </row>
    <row r="1110" spans="1:2" ht="12.75" customHeight="1" x14ac:dyDescent="0.25">
      <c r="A1110" s="31"/>
      <c r="B1110" s="36"/>
    </row>
    <row r="1111" spans="1:2" ht="12.75" customHeight="1" x14ac:dyDescent="0.25">
      <c r="A1111" s="27"/>
      <c r="B1111" s="32"/>
    </row>
    <row r="1112" spans="1:2" ht="12.75" customHeight="1" x14ac:dyDescent="0.25">
      <c r="A1112" s="28"/>
      <c r="B1112" s="33"/>
    </row>
    <row r="1113" spans="1:2" ht="12.75" customHeight="1" x14ac:dyDescent="0.25">
      <c r="A1113" s="29"/>
      <c r="B1113" s="34"/>
    </row>
    <row r="1115" spans="1:2" ht="12.75" customHeight="1" x14ac:dyDescent="0.25">
      <c r="A1115" s="31"/>
      <c r="B1115" s="36"/>
    </row>
    <row r="1116" spans="1:2" ht="12.75" customHeight="1" x14ac:dyDescent="0.25">
      <c r="A1116" s="27"/>
      <c r="B1116" s="32"/>
    </row>
    <row r="1117" spans="1:2" ht="12.75" customHeight="1" x14ac:dyDescent="0.25">
      <c r="A1117" s="28"/>
      <c r="B1117" s="33"/>
    </row>
    <row r="1118" spans="1:2" ht="12.75" customHeight="1" x14ac:dyDescent="0.25">
      <c r="A1118" s="29"/>
      <c r="B1118" s="34"/>
    </row>
    <row r="1120" spans="1:2" ht="12.75" customHeight="1" x14ac:dyDescent="0.25">
      <c r="A1120" s="31"/>
      <c r="B1120" s="36"/>
    </row>
    <row r="1121" spans="1:2" ht="12.75" customHeight="1" x14ac:dyDescent="0.25">
      <c r="A1121" s="27"/>
      <c r="B1121" s="32"/>
    </row>
    <row r="1122" spans="1:2" ht="12.75" customHeight="1" x14ac:dyDescent="0.25">
      <c r="A1122" s="28"/>
      <c r="B1122" s="33"/>
    </row>
    <row r="1123" spans="1:2" ht="12.75" customHeight="1" x14ac:dyDescent="0.25">
      <c r="A1123" s="29"/>
      <c r="B1123" s="34"/>
    </row>
    <row r="1125" spans="1:2" ht="12.75" customHeight="1" x14ac:dyDescent="0.25">
      <c r="A1125" s="31"/>
      <c r="B1125" s="36"/>
    </row>
  </sheetData>
  <phoneticPr fontId="2" type="noConversion"/>
  <printOptions gridLines="1"/>
  <pageMargins left="1.75" right="0.75" top="4" bottom="6.25" header="0.5" footer="0.5"/>
  <pageSetup scale="82" orientation="portrait" r:id="rId1"/>
  <headerFooter alignWithMargins="0">
    <oddHeader xml:space="preserve">&amp;LADHP 2002-2003&amp;CGRADES </oddHeader>
    <oddFooter>&amp;L&amp;D&amp;R&amp;P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18"/>
  <sheetViews>
    <sheetView workbookViewId="0">
      <selection activeCell="D8" sqref="D8"/>
    </sheetView>
  </sheetViews>
  <sheetFormatPr defaultRowHeight="12.5" x14ac:dyDescent="0.25"/>
  <cols>
    <col min="1" max="1" width="29.1796875" customWidth="1"/>
  </cols>
  <sheetData>
    <row r="3" spans="1:3" x14ac:dyDescent="0.25">
      <c r="A3" t="s">
        <v>20</v>
      </c>
      <c r="B3">
        <v>202</v>
      </c>
    </row>
    <row r="5" spans="1:3" x14ac:dyDescent="0.25">
      <c r="A5" t="s">
        <v>13</v>
      </c>
      <c r="B5">
        <v>4</v>
      </c>
      <c r="C5" s="10">
        <f>B5/202</f>
        <v>1.9801980198019802E-2</v>
      </c>
    </row>
    <row r="6" spans="1:3" x14ac:dyDescent="0.25">
      <c r="A6" t="s">
        <v>19</v>
      </c>
      <c r="B6">
        <v>198</v>
      </c>
      <c r="C6" s="10"/>
    </row>
    <row r="7" spans="1:3" x14ac:dyDescent="0.25">
      <c r="C7" s="10"/>
    </row>
    <row r="8" spans="1:3" x14ac:dyDescent="0.25">
      <c r="A8" t="s">
        <v>12</v>
      </c>
      <c r="B8">
        <v>198</v>
      </c>
    </row>
    <row r="10" spans="1:3" x14ac:dyDescent="0.25">
      <c r="A10" t="s">
        <v>14</v>
      </c>
      <c r="B10">
        <v>109</v>
      </c>
      <c r="C10" s="10">
        <f>B10/198</f>
        <v>0.5505050505050505</v>
      </c>
    </row>
    <row r="11" spans="1:3" x14ac:dyDescent="0.25">
      <c r="C11" s="10"/>
    </row>
    <row r="12" spans="1:3" x14ac:dyDescent="0.25">
      <c r="A12" t="s">
        <v>15</v>
      </c>
      <c r="B12">
        <v>89</v>
      </c>
      <c r="C12" s="10">
        <f>B12/198</f>
        <v>0.4494949494949495</v>
      </c>
    </row>
    <row r="13" spans="1:3" x14ac:dyDescent="0.25">
      <c r="C13" s="10"/>
    </row>
    <row r="14" spans="1:3" x14ac:dyDescent="0.25">
      <c r="C14" s="10"/>
    </row>
    <row r="15" spans="1:3" x14ac:dyDescent="0.25">
      <c r="A15" t="s">
        <v>16</v>
      </c>
      <c r="B15">
        <v>56</v>
      </c>
      <c r="C15" s="10">
        <f>B15/89</f>
        <v>0.6292134831460674</v>
      </c>
    </row>
    <row r="16" spans="1:3" x14ac:dyDescent="0.25">
      <c r="A16" t="s">
        <v>17</v>
      </c>
      <c r="B16">
        <v>31</v>
      </c>
      <c r="C16" s="10">
        <f>B16/89</f>
        <v>0.34831460674157305</v>
      </c>
    </row>
    <row r="17" spans="1:3" x14ac:dyDescent="0.25">
      <c r="A17" t="s">
        <v>18</v>
      </c>
      <c r="B17">
        <v>2</v>
      </c>
      <c r="C17" s="10">
        <f>B17/89</f>
        <v>2.247191011235955E-2</v>
      </c>
    </row>
    <row r="18" spans="1:3" x14ac:dyDescent="0.25">
      <c r="C18" s="10"/>
    </row>
  </sheetData>
  <phoneticPr fontId="2" type="noConversion"/>
  <printOptions gridLines="1"/>
  <pageMargins left="0.75" right="0.75" top="1" bottom="1" header="0.5" footer="0.5"/>
  <pageSetup orientation="portrait" r:id="rId1"/>
  <headerFooter alignWithMargins="0">
    <oddHeader>&amp;LANALYSIS OF EXAM 1 - 2002-03</oddHeader>
    <oddFooter>&amp;L&amp;P&amp;R&amp;D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topLeftCell="A9" workbookViewId="0">
      <selection activeCell="A30" sqref="A30"/>
    </sheetView>
  </sheetViews>
  <sheetFormatPr defaultRowHeight="12.5" x14ac:dyDescent="0.25"/>
  <sheetData>
    <row r="1" spans="1:6" x14ac:dyDescent="0.25">
      <c r="B1" t="s">
        <v>27</v>
      </c>
      <c r="C1" t="s">
        <v>28</v>
      </c>
      <c r="D1" t="s">
        <v>29</v>
      </c>
      <c r="E1" t="s">
        <v>30</v>
      </c>
      <c r="F1" t="s">
        <v>31</v>
      </c>
    </row>
    <row r="2" spans="1:6" x14ac:dyDescent="0.25">
      <c r="A2">
        <v>1</v>
      </c>
    </row>
    <row r="3" spans="1:6" x14ac:dyDescent="0.25">
      <c r="A3">
        <v>2</v>
      </c>
    </row>
    <row r="4" spans="1:6" x14ac:dyDescent="0.25">
      <c r="A4">
        <v>3</v>
      </c>
    </row>
    <row r="5" spans="1:6" x14ac:dyDescent="0.25">
      <c r="A5">
        <v>4</v>
      </c>
    </row>
    <row r="6" spans="1:6" x14ac:dyDescent="0.25">
      <c r="A6">
        <v>5</v>
      </c>
    </row>
    <row r="7" spans="1:6" x14ac:dyDescent="0.25">
      <c r="A7">
        <v>6</v>
      </c>
    </row>
    <row r="8" spans="1:6" x14ac:dyDescent="0.25">
      <c r="A8">
        <v>7</v>
      </c>
    </row>
    <row r="9" spans="1:6" x14ac:dyDescent="0.25">
      <c r="A9">
        <v>8</v>
      </c>
    </row>
    <row r="10" spans="1:6" x14ac:dyDescent="0.25">
      <c r="A10">
        <v>9</v>
      </c>
    </row>
    <row r="11" spans="1:6" x14ac:dyDescent="0.25">
      <c r="A11">
        <v>10</v>
      </c>
    </row>
    <row r="12" spans="1:6" x14ac:dyDescent="0.25">
      <c r="A12">
        <v>11</v>
      </c>
    </row>
    <row r="13" spans="1:6" x14ac:dyDescent="0.25">
      <c r="A13">
        <v>12</v>
      </c>
    </row>
    <row r="14" spans="1:6" x14ac:dyDescent="0.25">
      <c r="A14">
        <v>13</v>
      </c>
    </row>
    <row r="15" spans="1:6" x14ac:dyDescent="0.25">
      <c r="A15">
        <v>14</v>
      </c>
    </row>
    <row r="16" spans="1:6" x14ac:dyDescent="0.25">
      <c r="A16">
        <v>15</v>
      </c>
    </row>
    <row r="17" spans="1:3" x14ac:dyDescent="0.25">
      <c r="A17">
        <v>16</v>
      </c>
    </row>
    <row r="18" spans="1:3" x14ac:dyDescent="0.25">
      <c r="A18">
        <v>17</v>
      </c>
    </row>
    <row r="19" spans="1:3" x14ac:dyDescent="0.25">
      <c r="A19">
        <v>18</v>
      </c>
    </row>
    <row r="20" spans="1:3" x14ac:dyDescent="0.25">
      <c r="A20">
        <v>19</v>
      </c>
    </row>
    <row r="21" spans="1:3" x14ac:dyDescent="0.25">
      <c r="A21">
        <v>20</v>
      </c>
    </row>
    <row r="22" spans="1:3" x14ac:dyDescent="0.25">
      <c r="A22">
        <v>21</v>
      </c>
    </row>
    <row r="23" spans="1:3" x14ac:dyDescent="0.25">
      <c r="A23">
        <v>22</v>
      </c>
    </row>
    <row r="24" spans="1:3" x14ac:dyDescent="0.25">
      <c r="A24">
        <v>23</v>
      </c>
    </row>
    <row r="25" spans="1:3" x14ac:dyDescent="0.25">
      <c r="A25">
        <v>24</v>
      </c>
    </row>
    <row r="26" spans="1:3" x14ac:dyDescent="0.25">
      <c r="A26">
        <v>25</v>
      </c>
    </row>
    <row r="29" spans="1:3" x14ac:dyDescent="0.25">
      <c r="A29" t="s">
        <v>41</v>
      </c>
    </row>
    <row r="30" spans="1:3" x14ac:dyDescent="0.25">
      <c r="B30" t="s">
        <v>32</v>
      </c>
    </row>
    <row r="31" spans="1:3" x14ac:dyDescent="0.25">
      <c r="A31" t="s">
        <v>33</v>
      </c>
      <c r="B31">
        <v>0</v>
      </c>
      <c r="C31">
        <f>B31/194</f>
        <v>0</v>
      </c>
    </row>
    <row r="32" spans="1:3" x14ac:dyDescent="0.25">
      <c r="A32" t="s">
        <v>34</v>
      </c>
      <c r="B32">
        <v>24</v>
      </c>
      <c r="C32" s="10">
        <f t="shared" ref="C32:C40" si="0">B32/194</f>
        <v>0.12371134020618557</v>
      </c>
    </row>
    <row r="33" spans="1:3" x14ac:dyDescent="0.25">
      <c r="A33" t="s">
        <v>35</v>
      </c>
      <c r="B33">
        <v>24</v>
      </c>
      <c r="C33" s="10">
        <f t="shared" si="0"/>
        <v>0.12371134020618557</v>
      </c>
    </row>
    <row r="34" spans="1:3" x14ac:dyDescent="0.25">
      <c r="C34" s="10">
        <f t="shared" si="0"/>
        <v>0</v>
      </c>
    </row>
    <row r="35" spans="1:3" x14ac:dyDescent="0.25">
      <c r="A35" t="s">
        <v>36</v>
      </c>
      <c r="B35">
        <v>60</v>
      </c>
      <c r="C35" s="10">
        <f t="shared" si="0"/>
        <v>0.30927835051546393</v>
      </c>
    </row>
    <row r="36" spans="1:3" x14ac:dyDescent="0.25">
      <c r="A36" t="s">
        <v>37</v>
      </c>
      <c r="B36">
        <v>35</v>
      </c>
      <c r="C36" s="10">
        <f t="shared" si="0"/>
        <v>0.18041237113402062</v>
      </c>
    </row>
    <row r="37" spans="1:3" x14ac:dyDescent="0.25">
      <c r="A37" t="s">
        <v>38</v>
      </c>
      <c r="B37">
        <v>31</v>
      </c>
      <c r="C37" s="10">
        <f t="shared" si="0"/>
        <v>0.15979381443298968</v>
      </c>
    </row>
    <row r="38" spans="1:3" x14ac:dyDescent="0.25">
      <c r="A38" t="s">
        <v>39</v>
      </c>
      <c r="B38">
        <v>14</v>
      </c>
      <c r="C38" s="10">
        <f t="shared" si="0"/>
        <v>7.2164948453608241E-2</v>
      </c>
    </row>
    <row r="39" spans="1:3" x14ac:dyDescent="0.25">
      <c r="A39" t="s">
        <v>40</v>
      </c>
      <c r="B39">
        <v>6</v>
      </c>
      <c r="C39" s="10">
        <f t="shared" si="0"/>
        <v>3.0927835051546393E-2</v>
      </c>
    </row>
    <row r="40" spans="1:3" x14ac:dyDescent="0.25">
      <c r="B40">
        <f>SUM(B31:B39)</f>
        <v>194</v>
      </c>
      <c r="C40" s="10">
        <f t="shared" si="0"/>
        <v>1</v>
      </c>
    </row>
  </sheetData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oveall gpa</vt:lpstr>
      <vt:lpstr>Sheet2</vt:lpstr>
      <vt:lpstr>distribution</vt:lpstr>
      <vt:lpstr>'oveall gpa'!Print_Area</vt:lpstr>
    </vt:vector>
  </TitlesOfParts>
  <Company>abde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</dc:creator>
  <cp:lastModifiedBy>Carina Negreanu</cp:lastModifiedBy>
  <cp:lastPrinted>2002-09-19T20:05:42Z</cp:lastPrinted>
  <dcterms:created xsi:type="dcterms:W3CDTF">2002-08-21T14:29:07Z</dcterms:created>
  <dcterms:modified xsi:type="dcterms:W3CDTF">2020-01-27T11:13:51Z</dcterms:modified>
</cp:coreProperties>
</file>