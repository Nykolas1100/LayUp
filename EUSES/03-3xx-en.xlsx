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DD8F565-9CA8-4891-85F4-BB4EEBA59746}" xr6:coauthVersionLast="45" xr6:coauthVersionMax="45" xr10:uidLastSave="{00000000-0000-0000-0000-000000000000}"/>
  <bookViews>
    <workbookView xWindow="3420" yWindow="3420" windowWidth="28800" windowHeight="15460" tabRatio="663" activeTab="1"/>
  </bookViews>
  <sheets>
    <sheet name="map" sheetId="33" r:id="rId1"/>
    <sheet name="Instructions" sheetId="32" r:id="rId2"/>
    <sheet name="310" sheetId="20" r:id="rId3"/>
    <sheet name="311" sheetId="23" r:id="rId4"/>
    <sheet name="312" sheetId="21" r:id="rId5"/>
    <sheet name="313" sheetId="22" r:id="rId6"/>
    <sheet name="314" sheetId="29" r:id="rId7"/>
    <sheet name="315" sheetId="26" r:id="rId8"/>
    <sheet name="316" sheetId="31" r:id="rId9"/>
    <sheet name="320" sheetId="27" r:id="rId10"/>
    <sheet name="321" sheetId="28" r:id="rId11"/>
  </sheets>
  <externalReferences>
    <externalReference r:id="rId12"/>
    <externalReference r:id="rId13"/>
  </externalReferences>
  <definedNames>
    <definedName name="form02_11_1__100">'[1]111'!#REF!</definedName>
    <definedName name="form02_11_1__101">'[1]111'!#REF!</definedName>
    <definedName name="form02_11_1__102">'[1]111'!#REF!</definedName>
    <definedName name="form02_11_1__107">'[1]111'!#REF!</definedName>
    <definedName name="form02_11_1__108">'[1]111'!#REF!</definedName>
    <definedName name="form02_11_1__109">'[1]111'!#REF!</definedName>
    <definedName name="form02_11_1__11">'[1]111'!#REF!</definedName>
    <definedName name="form02_11_1__110">'[1]111'!#REF!</definedName>
    <definedName name="form02_11_1__115">'[1]111'!#REF!</definedName>
    <definedName name="form02_11_1__116">'[1]111'!#REF!</definedName>
    <definedName name="form02_11_1__117">'[1]111'!#REF!</definedName>
    <definedName name="form02_11_1__118">'[1]111'!#REF!</definedName>
    <definedName name="form02_11_1__12">'[1]111'!#REF!</definedName>
    <definedName name="form02_11_1__123">'[1]111'!#REF!</definedName>
    <definedName name="form02_11_1__124">'[1]111'!#REF!</definedName>
    <definedName name="form02_11_1__125">'[1]111'!#REF!</definedName>
    <definedName name="form02_11_1__126">'[1]111'!#REF!</definedName>
    <definedName name="form02_11_1__13">'[1]111'!#REF!</definedName>
    <definedName name="form02_11_1__131">'[1]111'!#REF!</definedName>
    <definedName name="form02_11_1__132">'[1]111'!#REF!</definedName>
    <definedName name="form02_11_1__133">'[1]111'!#REF!</definedName>
    <definedName name="form02_11_1__134">'[1]111'!#REF!</definedName>
    <definedName name="form02_11_1__139">'[1]111'!#REF!</definedName>
    <definedName name="form02_11_1__14">'[1]111'!#REF!</definedName>
    <definedName name="form02_11_1__140">'[1]111'!#REF!</definedName>
    <definedName name="form02_11_1__141">'[1]111'!#REF!</definedName>
    <definedName name="form02_11_1__142">'[1]111'!#REF!</definedName>
    <definedName name="form02_11_1__147">'[1]111'!#REF!</definedName>
    <definedName name="form02_11_1__148">'[1]111'!#REF!</definedName>
    <definedName name="form02_11_1__149">'[1]111'!#REF!</definedName>
    <definedName name="form02_11_1__150">'[1]111'!#REF!</definedName>
    <definedName name="form02_11_1__155">'[1]111'!#REF!</definedName>
    <definedName name="form02_11_1__156">'[1]111'!#REF!</definedName>
    <definedName name="form02_11_1__157">'[1]111'!#REF!</definedName>
    <definedName name="form02_11_1__158">'[1]111'!#REF!</definedName>
    <definedName name="form02_11_1__163">'[1]111'!#REF!</definedName>
    <definedName name="form02_11_1__164">'[1]111'!#REF!</definedName>
    <definedName name="form02_11_1__165">'[1]111'!#REF!</definedName>
    <definedName name="form02_11_1__166">'[1]111'!#REF!</definedName>
    <definedName name="form02_11_1__171">'[1]111'!#REF!</definedName>
    <definedName name="form02_11_1__172">'[1]111'!#REF!</definedName>
    <definedName name="form02_11_1__173">'[1]111'!#REF!</definedName>
    <definedName name="form02_11_1__174">'[1]111'!#REF!</definedName>
    <definedName name="form02_11_1__19">'[1]111'!#REF!</definedName>
    <definedName name="form02_11_1__20">'[1]111'!#REF!</definedName>
    <definedName name="form02_11_1__21">'[1]111'!#REF!</definedName>
    <definedName name="form02_11_1__22">'[1]111'!#REF!</definedName>
    <definedName name="form02_11_1__27">'[1]111'!#REF!</definedName>
    <definedName name="form02_11_1__28">'[1]111'!#REF!</definedName>
    <definedName name="form02_11_1__29">'[1]111'!#REF!</definedName>
    <definedName name="form02_11_1__30">'[1]111'!#REF!</definedName>
    <definedName name="form02_11_1__35">'[1]111'!#REF!</definedName>
    <definedName name="form02_11_1__36">'[1]111'!#REF!</definedName>
    <definedName name="form02_11_1__37">'[1]111'!#REF!</definedName>
    <definedName name="form02_11_1__38">'[1]111'!#REF!</definedName>
    <definedName name="form02_11_1__43">'[1]111'!#REF!</definedName>
    <definedName name="form02_11_1__44">'[1]111'!#REF!</definedName>
    <definedName name="form02_11_1__45">'[1]111'!#REF!</definedName>
    <definedName name="form02_11_1__46">'[1]111'!#REF!</definedName>
    <definedName name="form02_11_1__51">'[1]111'!#REF!</definedName>
    <definedName name="form02_11_1__52">'[1]111'!#REF!</definedName>
    <definedName name="form02_11_1__53">'[1]111'!#REF!</definedName>
    <definedName name="form02_11_1__54">'[1]111'!#REF!</definedName>
    <definedName name="form02_11_1__59">'[1]111'!#REF!</definedName>
    <definedName name="form02_11_1__60">'[1]111'!#REF!</definedName>
    <definedName name="form02_11_1__61">'[1]111'!#REF!</definedName>
    <definedName name="form02_11_1__62">'[1]111'!#REF!</definedName>
    <definedName name="form02_11_1__67">'[1]111'!#REF!</definedName>
    <definedName name="form02_11_1__68">'[1]111'!#REF!</definedName>
    <definedName name="form02_11_1__69">'[1]111'!#REF!</definedName>
    <definedName name="form02_11_1__70">'[1]111'!#REF!</definedName>
    <definedName name="form02_11_1__75">'[1]111'!#REF!</definedName>
    <definedName name="form02_11_1__76">'[1]111'!#REF!</definedName>
    <definedName name="form02_11_1__77">'[1]111'!#REF!</definedName>
    <definedName name="form02_11_1__78">'[1]111'!#REF!</definedName>
    <definedName name="form02_11_1__83">'[1]111'!#REF!</definedName>
    <definedName name="form02_11_1__84">'[1]111'!#REF!</definedName>
    <definedName name="form02_11_1__85">'[1]111'!#REF!</definedName>
    <definedName name="form02_11_1__86">'[1]111'!#REF!</definedName>
    <definedName name="form02_11_1__91">'[1]111'!#REF!</definedName>
    <definedName name="form02_11_1__92">'[1]111'!#REF!</definedName>
    <definedName name="form02_11_1__93">'[1]111'!#REF!</definedName>
    <definedName name="form02_11_1__94">'[1]111'!#REF!</definedName>
    <definedName name="form02_11_1__99">'[1]111'!#REF!</definedName>
    <definedName name="form02_12_0__1">[2]requirements!#REF!</definedName>
    <definedName name="form02_12_0__10">[2]requirements!#REF!</definedName>
    <definedName name="form02_12_0__11">[2]requirements!#REF!</definedName>
    <definedName name="form02_12_0__13">[2]requirements!#REF!</definedName>
    <definedName name="form02_12_0__14">[2]requirements!#REF!</definedName>
    <definedName name="form02_12_0__15">[2]requirements!#REF!</definedName>
    <definedName name="form02_12_0__17">[2]requirements!#REF!</definedName>
    <definedName name="form02_12_0__18">[2]requirements!#REF!</definedName>
    <definedName name="form02_12_0__19">[2]requirements!#REF!</definedName>
    <definedName name="form02_12_0__2">[2]requirements!#REF!</definedName>
    <definedName name="form02_12_0__21">[2]requirements!#REF!</definedName>
    <definedName name="form02_12_0__22">[2]requirements!#REF!</definedName>
    <definedName name="form02_12_0__23">[2]requirements!#REF!</definedName>
    <definedName name="form02_12_0__25">[2]requirements!#REF!</definedName>
    <definedName name="form02_12_0__26">[2]requirements!#REF!</definedName>
    <definedName name="form02_12_0__27">[2]requirements!#REF!</definedName>
    <definedName name="form02_12_0__29">[2]requirements!#REF!</definedName>
    <definedName name="form02_12_0__3">[2]requirements!#REF!</definedName>
    <definedName name="form02_12_0__30">[2]requirements!#REF!</definedName>
    <definedName name="form02_12_0__31">[2]requirements!#REF!</definedName>
    <definedName name="form02_12_0__33">[2]requirements!#REF!</definedName>
    <definedName name="form02_12_0__34">[2]requirements!#REF!</definedName>
    <definedName name="form02_12_0__35">[2]requirements!#REF!</definedName>
    <definedName name="form02_12_0__37">[2]requirements!#REF!</definedName>
    <definedName name="form02_12_0__38">[2]requirements!#REF!</definedName>
    <definedName name="form02_12_0__39">[2]requirements!#REF!</definedName>
    <definedName name="form02_12_0__4">[2]requirements!#REF!</definedName>
    <definedName name="form02_12_0__41">[2]requirements!#REF!</definedName>
    <definedName name="form02_12_0__42">[2]requirements!#REF!</definedName>
    <definedName name="form02_12_0__43">[2]requirements!#REF!</definedName>
    <definedName name="form02_12_0__45">[2]requirements!#REF!</definedName>
    <definedName name="form02_12_0__46">[2]requirements!#REF!</definedName>
    <definedName name="form02_12_0__47">[2]requirements!#REF!</definedName>
    <definedName name="form02_12_0__49">[2]requirements!#REF!</definedName>
    <definedName name="form02_12_0__5">[2]requirements!#REF!</definedName>
    <definedName name="form02_12_0__50">[2]requirements!#REF!</definedName>
    <definedName name="form02_12_0__51">[2]requirements!#REF!</definedName>
    <definedName name="form02_12_0__53">[2]requirements!#REF!</definedName>
    <definedName name="form02_12_0__54">[2]requirements!#REF!</definedName>
    <definedName name="form02_12_0__55">[2]requirements!#REF!</definedName>
    <definedName name="form02_12_0__57">[2]requirements!#REF!</definedName>
    <definedName name="form02_12_0__58">[2]requirements!#REF!</definedName>
    <definedName name="form02_12_0__59">[2]requirements!#REF!</definedName>
    <definedName name="form02_12_0__6">[2]requirements!#REF!</definedName>
    <definedName name="form02_12_0__61">[2]requirements!#REF!</definedName>
    <definedName name="form02_12_0__62">[2]requirements!#REF!</definedName>
    <definedName name="form02_12_0__63">[2]requirements!#REF!</definedName>
    <definedName name="form02_12_0__7">[2]requirements!#REF!</definedName>
    <definedName name="form02_12_0__8">[2]requirements!#REF!</definedName>
    <definedName name="form02_12_0__9">[2]requirements!#REF!</definedName>
    <definedName name="form02_12_1__10">'[1]121'!#REF!</definedName>
    <definedName name="form02_12_1__11">'[1]121'!#REF!</definedName>
    <definedName name="form02_12_1__13">'[1]121'!#REF!</definedName>
    <definedName name="form02_12_1__14">'[1]121'!#REF!</definedName>
    <definedName name="form02_12_1__15">'[1]121'!#REF!</definedName>
    <definedName name="form02_12_1__17">'[1]121'!#REF!</definedName>
    <definedName name="form02_12_1__18">'[1]121'!#REF!</definedName>
    <definedName name="form02_12_1__19">'[1]121'!#REF!</definedName>
    <definedName name="form02_12_1__20">'[1]121'!#REF!</definedName>
    <definedName name="form02_12_1__21">'[1]121'!#REF!</definedName>
    <definedName name="form02_12_1__22">'[1]121'!#REF!</definedName>
    <definedName name="form02_12_1__23">'[1]121'!#REF!</definedName>
    <definedName name="form02_12_1__24">'[1]121'!#REF!</definedName>
    <definedName name="form02_12_1__9">'[1]121'!#REF!</definedName>
    <definedName name="form02_65_1_AB__1">#REF!</definedName>
    <definedName name="form02_65_1_AB__10">#REF!</definedName>
    <definedName name="form02_65_1_AB__11">#REF!</definedName>
    <definedName name="form02_65_1_AB__12">#REF!</definedName>
    <definedName name="form02_65_1_AB__13">#REF!</definedName>
    <definedName name="form02_65_1_AB__14">#REF!</definedName>
    <definedName name="form02_65_1_AB__15">#REF!</definedName>
    <definedName name="form02_65_1_AB__16">#REF!</definedName>
    <definedName name="form02_65_1_AB__17">#REF!</definedName>
    <definedName name="form02_65_1_AB__18">#REF!</definedName>
    <definedName name="form02_65_1_AB__19">#REF!</definedName>
    <definedName name="form02_65_1_AB__2">#REF!</definedName>
    <definedName name="form02_65_1_AB__20">#REF!</definedName>
    <definedName name="form02_65_1_AB__21">#REF!</definedName>
    <definedName name="form02_65_1_AB__22">#REF!</definedName>
    <definedName name="form02_65_1_AB__23">#REF!</definedName>
    <definedName name="form02_65_1_AB__24">#REF!</definedName>
    <definedName name="form02_65_1_AB__25">#REF!</definedName>
    <definedName name="form02_65_1_AB__26">#REF!</definedName>
    <definedName name="form02_65_1_AB__27">#REF!</definedName>
    <definedName name="form02_65_1_AB__28">#REF!</definedName>
    <definedName name="form02_65_1_AB__29">#REF!</definedName>
    <definedName name="form02_65_1_AB__3">#REF!</definedName>
    <definedName name="form02_65_1_AB__30">#REF!</definedName>
    <definedName name="form02_65_1_AB__31">#REF!</definedName>
    <definedName name="form02_65_1_AB__32">#REF!</definedName>
    <definedName name="form02_65_1_AB__33">#REF!</definedName>
    <definedName name="form02_65_1_AB__34">#REF!</definedName>
    <definedName name="form02_65_1_AB__35">#REF!</definedName>
    <definedName name="form02_65_1_AB__36">#REF!</definedName>
    <definedName name="form02_65_1_AB__37">#REF!</definedName>
    <definedName name="form02_65_1_AB__38">#REF!</definedName>
    <definedName name="form02_65_1_AB__39">#REF!</definedName>
    <definedName name="form02_65_1_AB__4">#REF!</definedName>
    <definedName name="form02_65_1_AB__40">#REF!</definedName>
    <definedName name="form02_65_1_AB__41">#REF!</definedName>
    <definedName name="form02_65_1_AB__42">#REF!</definedName>
    <definedName name="form02_65_1_AB__43">#REF!</definedName>
    <definedName name="form02_65_1_AB__44">#REF!</definedName>
    <definedName name="form02_65_1_AB__45">#REF!</definedName>
    <definedName name="form02_65_1_AB__46">#REF!</definedName>
    <definedName name="form02_65_1_AB__47">#REF!</definedName>
    <definedName name="form02_65_1_AB__48">#REF!</definedName>
    <definedName name="form02_65_1_AB__49">#REF!</definedName>
    <definedName name="form02_65_1_AB__5">#REF!</definedName>
    <definedName name="form02_65_1_AB__50">#REF!</definedName>
    <definedName name="form02_65_1_AB__51">#REF!</definedName>
    <definedName name="form02_65_1_AB__52">#REF!</definedName>
    <definedName name="form02_65_1_AB__53">#REF!</definedName>
    <definedName name="form02_65_1_AB__54">#REF!</definedName>
    <definedName name="form02_65_1_AB__55">#REF!</definedName>
    <definedName name="form02_65_1_AB__56">#REF!</definedName>
    <definedName name="form02_65_1_AB__57">#REF!</definedName>
    <definedName name="form02_65_1_AB__58">#REF!</definedName>
    <definedName name="form02_65_1_AB__59">#REF!</definedName>
    <definedName name="form02_65_1_AB__6">#REF!</definedName>
    <definedName name="form02_65_1_AB__60">#REF!</definedName>
    <definedName name="form02_65_1_AB__61">#REF!</definedName>
    <definedName name="form02_65_1_AB__62">#REF!</definedName>
    <definedName name="form02_65_1_AB__63">#REF!</definedName>
    <definedName name="form02_65_1_AB__64">#REF!</definedName>
    <definedName name="form02_65_1_AB__65">#REF!</definedName>
    <definedName name="form02_65_1_AB__66">#REF!</definedName>
    <definedName name="form02_65_1_AB__67">#REF!</definedName>
    <definedName name="form02_65_1_AB__68">#REF!</definedName>
    <definedName name="form02_65_1_AB__69">#REF!</definedName>
    <definedName name="form02_65_1_AB__7">#REF!</definedName>
    <definedName name="form02_65_1_AB__70">#REF!</definedName>
    <definedName name="form02_65_1_AB__71">#REF!</definedName>
    <definedName name="form02_65_1_AB__72">#REF!</definedName>
    <definedName name="form02_65_1_AB__8">#REF!</definedName>
    <definedName name="form02_65_1_AB__9">#REF!</definedName>
    <definedName name="form02_65_1_BC__1">#REF!</definedName>
    <definedName name="form02_65_1_BC__10">#REF!</definedName>
    <definedName name="form02_65_1_BC__11">#REF!</definedName>
    <definedName name="form02_65_1_BC__12">#REF!</definedName>
    <definedName name="form02_65_1_BC__13">#REF!</definedName>
    <definedName name="form02_65_1_BC__14">#REF!</definedName>
    <definedName name="form02_65_1_BC__15">#REF!</definedName>
    <definedName name="form02_65_1_BC__16">#REF!</definedName>
    <definedName name="form02_65_1_BC__17">#REF!</definedName>
    <definedName name="form02_65_1_BC__18">#REF!</definedName>
    <definedName name="form02_65_1_BC__19">#REF!</definedName>
    <definedName name="form02_65_1_BC__2">#REF!</definedName>
    <definedName name="form02_65_1_BC__20">#REF!</definedName>
    <definedName name="form02_65_1_BC__21">#REF!</definedName>
    <definedName name="form02_65_1_BC__22">#REF!</definedName>
    <definedName name="form02_65_1_BC__23">#REF!</definedName>
    <definedName name="form02_65_1_BC__24">#REF!</definedName>
    <definedName name="form02_65_1_BC__25">#REF!</definedName>
    <definedName name="form02_65_1_BC__26">#REF!</definedName>
    <definedName name="form02_65_1_BC__27">#REF!</definedName>
    <definedName name="form02_65_1_BC__28">#REF!</definedName>
    <definedName name="form02_65_1_BC__29">#REF!</definedName>
    <definedName name="form02_65_1_BC__3">#REF!</definedName>
    <definedName name="form02_65_1_BC__30">#REF!</definedName>
    <definedName name="form02_65_1_BC__31">#REF!</definedName>
    <definedName name="form02_65_1_BC__32">#REF!</definedName>
    <definedName name="form02_65_1_BC__33">#REF!</definedName>
    <definedName name="form02_65_1_BC__34">#REF!</definedName>
    <definedName name="form02_65_1_BC__35">#REF!</definedName>
    <definedName name="form02_65_1_BC__36">#REF!</definedName>
    <definedName name="form02_65_1_BC__37">#REF!</definedName>
    <definedName name="form02_65_1_BC__38">#REF!</definedName>
    <definedName name="form02_65_1_BC__39">#REF!</definedName>
    <definedName name="form02_65_1_BC__4">#REF!</definedName>
    <definedName name="form02_65_1_BC__40">#REF!</definedName>
    <definedName name="form02_65_1_BC__41">#REF!</definedName>
    <definedName name="form02_65_1_BC__42">#REF!</definedName>
    <definedName name="form02_65_1_BC__43">#REF!</definedName>
    <definedName name="form02_65_1_BC__44">#REF!</definedName>
    <definedName name="form02_65_1_BC__45">#REF!</definedName>
    <definedName name="form02_65_1_BC__46">#REF!</definedName>
    <definedName name="form02_65_1_BC__47">#REF!</definedName>
    <definedName name="form02_65_1_BC__48">#REF!</definedName>
    <definedName name="form02_65_1_BC__49">#REF!</definedName>
    <definedName name="form02_65_1_BC__5">#REF!</definedName>
    <definedName name="form02_65_1_BC__50">#REF!</definedName>
    <definedName name="form02_65_1_BC__51">#REF!</definedName>
    <definedName name="form02_65_1_BC__52">#REF!</definedName>
    <definedName name="form02_65_1_BC__53">#REF!</definedName>
    <definedName name="form02_65_1_BC__54">#REF!</definedName>
    <definedName name="form02_65_1_BC__55">#REF!</definedName>
    <definedName name="form02_65_1_BC__56">#REF!</definedName>
    <definedName name="form02_65_1_BC__57">#REF!</definedName>
    <definedName name="form02_65_1_BC__58">#REF!</definedName>
    <definedName name="form02_65_1_BC__59">#REF!</definedName>
    <definedName name="form02_65_1_BC__6">#REF!</definedName>
    <definedName name="form02_65_1_BC__60">#REF!</definedName>
    <definedName name="form02_65_1_BC__61">#REF!</definedName>
    <definedName name="form02_65_1_BC__62">#REF!</definedName>
    <definedName name="form02_65_1_BC__63">#REF!</definedName>
    <definedName name="form02_65_1_BC__64">#REF!</definedName>
    <definedName name="form02_65_1_BC__65">#REF!</definedName>
    <definedName name="form02_65_1_BC__66">#REF!</definedName>
    <definedName name="form02_65_1_BC__67">#REF!</definedName>
    <definedName name="form02_65_1_BC__68">#REF!</definedName>
    <definedName name="form02_65_1_BC__69">#REF!</definedName>
    <definedName name="form02_65_1_BC__7">#REF!</definedName>
    <definedName name="form02_65_1_BC__70">#REF!</definedName>
    <definedName name="form02_65_1_BC__71">#REF!</definedName>
    <definedName name="form02_65_1_BC__72">#REF!</definedName>
    <definedName name="form02_65_1_BC__8">#REF!</definedName>
    <definedName name="form02_65_1_BC__9">#REF!</definedName>
    <definedName name="form02_65_1_North__1">#REF!</definedName>
    <definedName name="form02_65_1_North__10">#REF!</definedName>
    <definedName name="form02_65_1_North__11">#REF!</definedName>
    <definedName name="form02_65_1_North__12">#REF!</definedName>
    <definedName name="form02_65_1_North__13">#REF!</definedName>
    <definedName name="form02_65_1_North__14">#REF!</definedName>
    <definedName name="form02_65_1_North__15">#REF!</definedName>
    <definedName name="form02_65_1_North__16">#REF!</definedName>
    <definedName name="form02_65_1_North__17">#REF!</definedName>
    <definedName name="form02_65_1_North__18">#REF!</definedName>
    <definedName name="form02_65_1_North__19">#REF!</definedName>
    <definedName name="form02_65_1_North__2">#REF!</definedName>
    <definedName name="form02_65_1_North__20">#REF!</definedName>
    <definedName name="form02_65_1_North__21">#REF!</definedName>
    <definedName name="form02_65_1_North__22">#REF!</definedName>
    <definedName name="form02_65_1_North__23">#REF!</definedName>
    <definedName name="form02_65_1_North__24">#REF!</definedName>
    <definedName name="form02_65_1_North__25">#REF!</definedName>
    <definedName name="form02_65_1_North__26">#REF!</definedName>
    <definedName name="form02_65_1_North__27">#REF!</definedName>
    <definedName name="form02_65_1_North__28">#REF!</definedName>
    <definedName name="form02_65_1_North__29">#REF!</definedName>
    <definedName name="form02_65_1_North__3">#REF!</definedName>
    <definedName name="form02_65_1_North__30">#REF!</definedName>
    <definedName name="form02_65_1_North__31">#REF!</definedName>
    <definedName name="form02_65_1_North__32">#REF!</definedName>
    <definedName name="form02_65_1_North__33">#REF!</definedName>
    <definedName name="form02_65_1_North__34">#REF!</definedName>
    <definedName name="form02_65_1_North__35">#REF!</definedName>
    <definedName name="form02_65_1_North__36">#REF!</definedName>
    <definedName name="form02_65_1_North__37">#REF!</definedName>
    <definedName name="form02_65_1_North__38">#REF!</definedName>
    <definedName name="form02_65_1_North__39">#REF!</definedName>
    <definedName name="form02_65_1_North__4">#REF!</definedName>
    <definedName name="form02_65_1_North__40">#REF!</definedName>
    <definedName name="form02_65_1_North__41">#REF!</definedName>
    <definedName name="form02_65_1_North__42">#REF!</definedName>
    <definedName name="form02_65_1_North__43">#REF!</definedName>
    <definedName name="form02_65_1_North__44">#REF!</definedName>
    <definedName name="form02_65_1_North__45">#REF!</definedName>
    <definedName name="form02_65_1_North__46">#REF!</definedName>
    <definedName name="form02_65_1_North__47">#REF!</definedName>
    <definedName name="form02_65_1_North__48">#REF!</definedName>
    <definedName name="form02_65_1_North__49">#REF!</definedName>
    <definedName name="form02_65_1_North__5">#REF!</definedName>
    <definedName name="form02_65_1_North__50">#REF!</definedName>
    <definedName name="form02_65_1_North__51">#REF!</definedName>
    <definedName name="form02_65_1_North__52">#REF!</definedName>
    <definedName name="form02_65_1_North__53">#REF!</definedName>
    <definedName name="form02_65_1_North__54">#REF!</definedName>
    <definedName name="form02_65_1_North__55">#REF!</definedName>
    <definedName name="form02_65_1_North__56">#REF!</definedName>
    <definedName name="form02_65_1_North__57">#REF!</definedName>
    <definedName name="form02_65_1_North__58">#REF!</definedName>
    <definedName name="form02_65_1_North__59">#REF!</definedName>
    <definedName name="form02_65_1_North__6">#REF!</definedName>
    <definedName name="form02_65_1_North__60">#REF!</definedName>
    <definedName name="form02_65_1_North__61">#REF!</definedName>
    <definedName name="form02_65_1_North__62">#REF!</definedName>
    <definedName name="form02_65_1_North__63">#REF!</definedName>
    <definedName name="form02_65_1_North__64">#REF!</definedName>
    <definedName name="form02_65_1_North__65">#REF!</definedName>
    <definedName name="form02_65_1_North__66">#REF!</definedName>
    <definedName name="form02_65_1_North__67">#REF!</definedName>
    <definedName name="form02_65_1_North__68">#REF!</definedName>
    <definedName name="form02_65_1_North__69">#REF!</definedName>
    <definedName name="form02_65_1_North__7">#REF!</definedName>
    <definedName name="form02_65_1_North__70">#REF!</definedName>
    <definedName name="form02_65_1_North__71">#REF!</definedName>
    <definedName name="form02_65_1_North__72">#REF!</definedName>
    <definedName name="form02_65_1_North__8">#REF!</definedName>
    <definedName name="form02_65_1_North__9">#REF!</definedName>
    <definedName name="form02_65_1_ON__1">#REF!</definedName>
    <definedName name="form02_65_1_ON__10">#REF!</definedName>
    <definedName name="form02_65_1_ON__11">#REF!</definedName>
    <definedName name="form02_65_1_ON__12">#REF!</definedName>
    <definedName name="form02_65_1_ON__13">#REF!</definedName>
    <definedName name="form02_65_1_ON__14">#REF!</definedName>
    <definedName name="form02_65_1_ON__15">#REF!</definedName>
    <definedName name="form02_65_1_ON__16">#REF!</definedName>
    <definedName name="form02_65_1_ON__17">#REF!</definedName>
    <definedName name="form02_65_1_ON__18">#REF!</definedName>
    <definedName name="form02_65_1_ON__19">#REF!</definedName>
    <definedName name="form02_65_1_ON__2">#REF!</definedName>
    <definedName name="form02_65_1_ON__20">#REF!</definedName>
    <definedName name="form02_65_1_ON__21">#REF!</definedName>
    <definedName name="form02_65_1_ON__22">#REF!</definedName>
    <definedName name="form02_65_1_ON__23">#REF!</definedName>
    <definedName name="form02_65_1_ON__24">#REF!</definedName>
    <definedName name="form02_65_1_ON__25">#REF!</definedName>
    <definedName name="form02_65_1_ON__26">#REF!</definedName>
    <definedName name="form02_65_1_ON__27">#REF!</definedName>
    <definedName name="form02_65_1_ON__28">#REF!</definedName>
    <definedName name="form02_65_1_ON__29">#REF!</definedName>
    <definedName name="form02_65_1_ON__3">#REF!</definedName>
    <definedName name="form02_65_1_ON__30">#REF!</definedName>
    <definedName name="form02_65_1_ON__31">#REF!</definedName>
    <definedName name="form02_65_1_ON__32">#REF!</definedName>
    <definedName name="form02_65_1_ON__33">#REF!</definedName>
    <definedName name="form02_65_1_ON__34">#REF!</definedName>
    <definedName name="form02_65_1_ON__35">#REF!</definedName>
    <definedName name="form02_65_1_ON__36">#REF!</definedName>
    <definedName name="form02_65_1_ON__37">#REF!</definedName>
    <definedName name="form02_65_1_ON__38">#REF!</definedName>
    <definedName name="form02_65_1_ON__39">#REF!</definedName>
    <definedName name="form02_65_1_ON__4">#REF!</definedName>
    <definedName name="form02_65_1_ON__40">#REF!</definedName>
    <definedName name="form02_65_1_ON__41">#REF!</definedName>
    <definedName name="form02_65_1_ON__42">#REF!</definedName>
    <definedName name="form02_65_1_ON__43">#REF!</definedName>
    <definedName name="form02_65_1_ON__44">#REF!</definedName>
    <definedName name="form02_65_1_ON__45">#REF!</definedName>
    <definedName name="form02_65_1_ON__46">#REF!</definedName>
    <definedName name="form02_65_1_ON__47">#REF!</definedName>
    <definedName name="form02_65_1_ON__48">#REF!</definedName>
    <definedName name="form02_65_1_ON__49">#REF!</definedName>
    <definedName name="form02_65_1_ON__5">#REF!</definedName>
    <definedName name="form02_65_1_ON__50">#REF!</definedName>
    <definedName name="form02_65_1_ON__51">#REF!</definedName>
    <definedName name="form02_65_1_ON__52">#REF!</definedName>
    <definedName name="form02_65_1_ON__53">#REF!</definedName>
    <definedName name="form02_65_1_ON__54">#REF!</definedName>
    <definedName name="form02_65_1_ON__55">#REF!</definedName>
    <definedName name="form02_65_1_ON__56">#REF!</definedName>
    <definedName name="form02_65_1_ON__57">#REF!</definedName>
    <definedName name="form02_65_1_ON__58">#REF!</definedName>
    <definedName name="form02_65_1_ON__59">#REF!</definedName>
    <definedName name="form02_65_1_ON__6">#REF!</definedName>
    <definedName name="form02_65_1_ON__60">#REF!</definedName>
    <definedName name="form02_65_1_ON__61">#REF!</definedName>
    <definedName name="form02_65_1_ON__62">#REF!</definedName>
    <definedName name="form02_65_1_ON__63">#REF!</definedName>
    <definedName name="form02_65_1_ON__64">#REF!</definedName>
    <definedName name="form02_65_1_ON__65">#REF!</definedName>
    <definedName name="form02_65_1_ON__66">#REF!</definedName>
    <definedName name="form02_65_1_ON__67">#REF!</definedName>
    <definedName name="form02_65_1_ON__68">#REF!</definedName>
    <definedName name="form02_65_1_ON__69">#REF!</definedName>
    <definedName name="form02_65_1_ON__7">#REF!</definedName>
    <definedName name="form02_65_1_ON__70">#REF!</definedName>
    <definedName name="form02_65_1_ON__71">#REF!</definedName>
    <definedName name="form02_65_1_ON__72">#REF!</definedName>
    <definedName name="form02_65_1_ON__8">#REF!</definedName>
    <definedName name="form02_65_1_ON__9">#REF!</definedName>
    <definedName name="form02_65_1_Prairies__1">#REF!</definedName>
    <definedName name="form02_65_1_Prairies__10">#REF!</definedName>
    <definedName name="form02_65_1_Prairies__11">#REF!</definedName>
    <definedName name="form02_65_1_Prairies__12">#REF!</definedName>
    <definedName name="form02_65_1_Prairies__13">#REF!</definedName>
    <definedName name="form02_65_1_Prairies__14">#REF!</definedName>
    <definedName name="form02_65_1_Prairies__15">#REF!</definedName>
    <definedName name="form02_65_1_Prairies__16">#REF!</definedName>
    <definedName name="form02_65_1_Prairies__17">#REF!</definedName>
    <definedName name="form02_65_1_Prairies__18">#REF!</definedName>
    <definedName name="form02_65_1_Prairies__19">#REF!</definedName>
    <definedName name="form02_65_1_Prairies__2">#REF!</definedName>
    <definedName name="form02_65_1_Prairies__20">#REF!</definedName>
    <definedName name="form02_65_1_Prairies__21">#REF!</definedName>
    <definedName name="form02_65_1_Prairies__22">#REF!</definedName>
    <definedName name="form02_65_1_Prairies__23">#REF!</definedName>
    <definedName name="form02_65_1_Prairies__24">#REF!</definedName>
    <definedName name="form02_65_1_Prairies__25">#REF!</definedName>
    <definedName name="form02_65_1_Prairies__26">#REF!</definedName>
    <definedName name="form02_65_1_Prairies__27">#REF!</definedName>
    <definedName name="form02_65_1_Prairies__28">#REF!</definedName>
    <definedName name="form02_65_1_Prairies__29">#REF!</definedName>
    <definedName name="form02_65_1_Prairies__3">#REF!</definedName>
    <definedName name="form02_65_1_Prairies__30">#REF!</definedName>
    <definedName name="form02_65_1_Prairies__31">#REF!</definedName>
    <definedName name="form02_65_1_Prairies__32">#REF!</definedName>
    <definedName name="form02_65_1_Prairies__33">#REF!</definedName>
    <definedName name="form02_65_1_Prairies__34">#REF!</definedName>
    <definedName name="form02_65_1_Prairies__35">#REF!</definedName>
    <definedName name="form02_65_1_Prairies__36">#REF!</definedName>
    <definedName name="form02_65_1_Prairies__37">#REF!</definedName>
    <definedName name="form02_65_1_Prairies__38">#REF!</definedName>
    <definedName name="form02_65_1_Prairies__39">#REF!</definedName>
    <definedName name="form02_65_1_Prairies__4">#REF!</definedName>
    <definedName name="form02_65_1_Prairies__40">#REF!</definedName>
    <definedName name="form02_65_1_Prairies__41">#REF!</definedName>
    <definedName name="form02_65_1_Prairies__42">#REF!</definedName>
    <definedName name="form02_65_1_Prairies__43">#REF!</definedName>
    <definedName name="form02_65_1_Prairies__44">#REF!</definedName>
    <definedName name="form02_65_1_Prairies__45">#REF!</definedName>
    <definedName name="form02_65_1_Prairies__46">#REF!</definedName>
    <definedName name="form02_65_1_Prairies__47">#REF!</definedName>
    <definedName name="form02_65_1_Prairies__48">#REF!</definedName>
    <definedName name="form02_65_1_Prairies__49">#REF!</definedName>
    <definedName name="form02_65_1_Prairies__5">#REF!</definedName>
    <definedName name="form02_65_1_Prairies__50">#REF!</definedName>
    <definedName name="form02_65_1_Prairies__51">#REF!</definedName>
    <definedName name="form02_65_1_Prairies__52">#REF!</definedName>
    <definedName name="form02_65_1_Prairies__53">#REF!</definedName>
    <definedName name="form02_65_1_Prairies__54">#REF!</definedName>
    <definedName name="form02_65_1_Prairies__55">#REF!</definedName>
    <definedName name="form02_65_1_Prairies__56">#REF!</definedName>
    <definedName name="form02_65_1_Prairies__57">#REF!</definedName>
    <definedName name="form02_65_1_Prairies__58">#REF!</definedName>
    <definedName name="form02_65_1_Prairies__59">#REF!</definedName>
    <definedName name="form02_65_1_Prairies__6">#REF!</definedName>
    <definedName name="form02_65_1_Prairies__60">#REF!</definedName>
    <definedName name="form02_65_1_Prairies__61">#REF!</definedName>
    <definedName name="form02_65_1_Prairies__62">#REF!</definedName>
    <definedName name="form02_65_1_Prairies__63">#REF!</definedName>
    <definedName name="form02_65_1_Prairies__64">#REF!</definedName>
    <definedName name="form02_65_1_Prairies__65">#REF!</definedName>
    <definedName name="form02_65_1_Prairies__66">#REF!</definedName>
    <definedName name="form02_65_1_Prairies__67">#REF!</definedName>
    <definedName name="form02_65_1_Prairies__68">#REF!</definedName>
    <definedName name="form02_65_1_Prairies__69">#REF!</definedName>
    <definedName name="form02_65_1_Prairies__7">#REF!</definedName>
    <definedName name="form02_65_1_Prairies__70">#REF!</definedName>
    <definedName name="form02_65_1_Prairies__71">#REF!</definedName>
    <definedName name="form02_65_1_Prairies__72">#REF!</definedName>
    <definedName name="form02_65_1_Prairies__8">#REF!</definedName>
    <definedName name="form02_65_1_Prairies__9">#REF!</definedName>
    <definedName name="form02_65_1_QC__1">#REF!</definedName>
    <definedName name="form02_65_1_QC__10">#REF!</definedName>
    <definedName name="form02_65_1_QC__11">#REF!</definedName>
    <definedName name="form02_65_1_QC__12">#REF!</definedName>
    <definedName name="form02_65_1_QC__13">#REF!</definedName>
    <definedName name="form02_65_1_QC__14">#REF!</definedName>
    <definedName name="form02_65_1_QC__15">#REF!</definedName>
    <definedName name="form02_65_1_QC__16">#REF!</definedName>
    <definedName name="form02_65_1_QC__17">#REF!</definedName>
    <definedName name="form02_65_1_QC__18">#REF!</definedName>
    <definedName name="form02_65_1_QC__19">#REF!</definedName>
    <definedName name="form02_65_1_QC__2">#REF!</definedName>
    <definedName name="form02_65_1_QC__20">#REF!</definedName>
    <definedName name="form02_65_1_QC__21">#REF!</definedName>
    <definedName name="form02_65_1_QC__22">#REF!</definedName>
    <definedName name="form02_65_1_QC__23">#REF!</definedName>
    <definedName name="form02_65_1_QC__24">#REF!</definedName>
    <definedName name="form02_65_1_QC__25">#REF!</definedName>
    <definedName name="form02_65_1_QC__26">#REF!</definedName>
    <definedName name="form02_65_1_QC__27">#REF!</definedName>
    <definedName name="form02_65_1_QC__28">#REF!</definedName>
    <definedName name="form02_65_1_QC__29">#REF!</definedName>
    <definedName name="form02_65_1_QC__3">#REF!</definedName>
    <definedName name="form02_65_1_QC__30">#REF!</definedName>
    <definedName name="form02_65_1_QC__31">#REF!</definedName>
    <definedName name="form02_65_1_QC__32">#REF!</definedName>
    <definedName name="form02_65_1_QC__33">#REF!</definedName>
    <definedName name="form02_65_1_QC__34">#REF!</definedName>
    <definedName name="form02_65_1_QC__35">#REF!</definedName>
    <definedName name="form02_65_1_QC__36">#REF!</definedName>
    <definedName name="form02_65_1_QC__37">#REF!</definedName>
    <definedName name="form02_65_1_QC__38">#REF!</definedName>
    <definedName name="form02_65_1_QC__39">#REF!</definedName>
    <definedName name="form02_65_1_QC__4">#REF!</definedName>
    <definedName name="form02_65_1_QC__40">#REF!</definedName>
    <definedName name="form02_65_1_QC__41">#REF!</definedName>
    <definedName name="form02_65_1_QC__42">#REF!</definedName>
    <definedName name="form02_65_1_QC__43">#REF!</definedName>
    <definedName name="form02_65_1_QC__44">#REF!</definedName>
    <definedName name="form02_65_1_QC__45">#REF!</definedName>
    <definedName name="form02_65_1_QC__46">#REF!</definedName>
    <definedName name="form02_65_1_QC__47">#REF!</definedName>
    <definedName name="form02_65_1_QC__48">#REF!</definedName>
    <definedName name="form02_65_1_QC__49">#REF!</definedName>
    <definedName name="form02_65_1_QC__5">#REF!</definedName>
    <definedName name="form02_65_1_QC__50">#REF!</definedName>
    <definedName name="form02_65_1_QC__51">#REF!</definedName>
    <definedName name="form02_65_1_QC__52">#REF!</definedName>
    <definedName name="form02_65_1_QC__53">#REF!</definedName>
    <definedName name="form02_65_1_QC__54">#REF!</definedName>
    <definedName name="form02_65_1_QC__55">#REF!</definedName>
    <definedName name="form02_65_1_QC__56">#REF!</definedName>
    <definedName name="form02_65_1_QC__57">#REF!</definedName>
    <definedName name="form02_65_1_QC__58">#REF!</definedName>
    <definedName name="form02_65_1_QC__59">#REF!</definedName>
    <definedName name="form02_65_1_QC__6">#REF!</definedName>
    <definedName name="form02_65_1_QC__60">#REF!</definedName>
    <definedName name="form02_65_1_QC__61">#REF!</definedName>
    <definedName name="form02_65_1_QC__62">#REF!</definedName>
    <definedName name="form02_65_1_QC__63">#REF!</definedName>
    <definedName name="form02_65_1_QC__64">#REF!</definedName>
    <definedName name="form02_65_1_QC__65">#REF!</definedName>
    <definedName name="form02_65_1_QC__66">#REF!</definedName>
    <definedName name="form02_65_1_QC__67">#REF!</definedName>
    <definedName name="form02_65_1_QC__68">#REF!</definedName>
    <definedName name="form02_65_1_QC__69">#REF!</definedName>
    <definedName name="form02_65_1_QC__7">#REF!</definedName>
    <definedName name="form02_65_1_QC__70">#REF!</definedName>
    <definedName name="form02_65_1_QC__71">#REF!</definedName>
    <definedName name="form02_65_1_QC__72">#REF!</definedName>
    <definedName name="form02_65_1_QC__8">#REF!</definedName>
    <definedName name="form02_65_1_QC__9">#REF!</definedName>
    <definedName name="form02_65_3__1">#REF!</definedName>
    <definedName name="form02_65_3__10">#REF!</definedName>
    <definedName name="form02_65_3__100">#REF!</definedName>
    <definedName name="form02_65_3__1000">#REF!</definedName>
    <definedName name="form02_65_3__1001">#REF!</definedName>
    <definedName name="form02_65_3__1002">#REF!</definedName>
    <definedName name="form02_65_3__1003">#REF!</definedName>
    <definedName name="form02_65_3__1004">#REF!</definedName>
    <definedName name="form02_65_3__1005">#REF!</definedName>
    <definedName name="form02_65_3__1006">#REF!</definedName>
    <definedName name="form02_65_3__1007">#REF!</definedName>
    <definedName name="form02_65_3__1008">#REF!</definedName>
    <definedName name="form02_65_3__1009">#REF!</definedName>
    <definedName name="form02_65_3__101">#REF!</definedName>
    <definedName name="form02_65_3__1010">#REF!</definedName>
    <definedName name="form02_65_3__1011">#REF!</definedName>
    <definedName name="form02_65_3__1012">#REF!</definedName>
    <definedName name="form02_65_3__1013">#REF!</definedName>
    <definedName name="form02_65_3__1014">#REF!</definedName>
    <definedName name="form02_65_3__1015">#REF!</definedName>
    <definedName name="form02_65_3__1016">#REF!</definedName>
    <definedName name="form02_65_3__1017">#REF!</definedName>
    <definedName name="form02_65_3__1018">#REF!</definedName>
    <definedName name="form02_65_3__1019">#REF!</definedName>
    <definedName name="form02_65_3__102">#REF!</definedName>
    <definedName name="form02_65_3__1020">#REF!</definedName>
    <definedName name="form02_65_3__1021">#REF!</definedName>
    <definedName name="form02_65_3__1022">#REF!</definedName>
    <definedName name="form02_65_3__1023">#REF!</definedName>
    <definedName name="form02_65_3__1024">#REF!</definedName>
    <definedName name="form02_65_3__1025">#REF!</definedName>
    <definedName name="form02_65_3__1026">#REF!</definedName>
    <definedName name="form02_65_3__1027">#REF!</definedName>
    <definedName name="form02_65_3__1028">#REF!</definedName>
    <definedName name="form02_65_3__1029">#REF!</definedName>
    <definedName name="form02_65_3__103">#REF!</definedName>
    <definedName name="form02_65_3__1030">#REF!</definedName>
    <definedName name="form02_65_3__1031">#REF!</definedName>
    <definedName name="form02_65_3__1032">#REF!</definedName>
    <definedName name="form02_65_3__1033">#REF!</definedName>
    <definedName name="form02_65_3__1034">#REF!</definedName>
    <definedName name="form02_65_3__1035">#REF!</definedName>
    <definedName name="form02_65_3__1036">#REF!</definedName>
    <definedName name="form02_65_3__1037">#REF!</definedName>
    <definedName name="form02_65_3__1038">#REF!</definedName>
    <definedName name="form02_65_3__1039">#REF!</definedName>
    <definedName name="form02_65_3__104">#REF!</definedName>
    <definedName name="form02_65_3__1040">#REF!</definedName>
    <definedName name="form02_65_3__1041">#REF!</definedName>
    <definedName name="form02_65_3__1042">#REF!</definedName>
    <definedName name="form02_65_3__1043">#REF!</definedName>
    <definedName name="form02_65_3__1044">#REF!</definedName>
    <definedName name="form02_65_3__1045">#REF!</definedName>
    <definedName name="form02_65_3__1046">#REF!</definedName>
    <definedName name="form02_65_3__1047">#REF!</definedName>
    <definedName name="form02_65_3__1048">#REF!</definedName>
    <definedName name="form02_65_3__1049">#REF!</definedName>
    <definedName name="form02_65_3__105">#REF!</definedName>
    <definedName name="form02_65_3__1050">#REF!</definedName>
    <definedName name="form02_65_3__1051">#REF!</definedName>
    <definedName name="form02_65_3__1052">#REF!</definedName>
    <definedName name="form02_65_3__1053">#REF!</definedName>
    <definedName name="form02_65_3__1054">#REF!</definedName>
    <definedName name="form02_65_3__1055">#REF!</definedName>
    <definedName name="form02_65_3__1056">#REF!</definedName>
    <definedName name="form02_65_3__1057">#REF!</definedName>
    <definedName name="form02_65_3__1058">#REF!</definedName>
    <definedName name="form02_65_3__1059">#REF!</definedName>
    <definedName name="form02_65_3__106">#REF!</definedName>
    <definedName name="form02_65_3__1060">#REF!</definedName>
    <definedName name="form02_65_3__1061">#REF!</definedName>
    <definedName name="form02_65_3__1062">#REF!</definedName>
    <definedName name="form02_65_3__1063">#REF!</definedName>
    <definedName name="form02_65_3__1064">#REF!</definedName>
    <definedName name="form02_65_3__1065">#REF!</definedName>
    <definedName name="form02_65_3__1066">#REF!</definedName>
    <definedName name="form02_65_3__1067">#REF!</definedName>
    <definedName name="form02_65_3__1068">#REF!</definedName>
    <definedName name="form02_65_3__1069">#REF!</definedName>
    <definedName name="form02_65_3__107">#REF!</definedName>
    <definedName name="form02_65_3__1070">#REF!</definedName>
    <definedName name="form02_65_3__1071">#REF!</definedName>
    <definedName name="form02_65_3__1072">#REF!</definedName>
    <definedName name="form02_65_3__1073">#REF!</definedName>
    <definedName name="form02_65_3__1074">#REF!</definedName>
    <definedName name="form02_65_3__1075">#REF!</definedName>
    <definedName name="form02_65_3__1076">#REF!</definedName>
    <definedName name="form02_65_3__1077">#REF!</definedName>
    <definedName name="form02_65_3__1078">#REF!</definedName>
    <definedName name="form02_65_3__1079">#REF!</definedName>
    <definedName name="form02_65_3__108">#REF!</definedName>
    <definedName name="form02_65_3__1080">#REF!</definedName>
    <definedName name="form02_65_3__1081">#REF!</definedName>
    <definedName name="form02_65_3__1082">#REF!</definedName>
    <definedName name="form02_65_3__1083">#REF!</definedName>
    <definedName name="form02_65_3__1084">#REF!</definedName>
    <definedName name="form02_65_3__1085">#REF!</definedName>
    <definedName name="form02_65_3__1086">#REF!</definedName>
    <definedName name="form02_65_3__1087">#REF!</definedName>
    <definedName name="form02_65_3__1088">#REF!</definedName>
    <definedName name="form02_65_3__1089">#REF!</definedName>
    <definedName name="form02_65_3__109">#REF!</definedName>
    <definedName name="form02_65_3__1090">#REF!</definedName>
    <definedName name="form02_65_3__1091">#REF!</definedName>
    <definedName name="form02_65_3__1092">#REF!</definedName>
    <definedName name="form02_65_3__1093">#REF!</definedName>
    <definedName name="form02_65_3__1094">#REF!</definedName>
    <definedName name="form02_65_3__1095">#REF!</definedName>
    <definedName name="form02_65_3__1096">#REF!</definedName>
    <definedName name="form02_65_3__1097">#REF!</definedName>
    <definedName name="form02_65_3__1098">#REF!</definedName>
    <definedName name="form02_65_3__11">#REF!</definedName>
    <definedName name="form02_65_3__110">#REF!</definedName>
    <definedName name="form02_65_3__111">#REF!</definedName>
    <definedName name="form02_65_3__112">#REF!</definedName>
    <definedName name="form02_65_3__113">#REF!</definedName>
    <definedName name="form02_65_3__114">#REF!</definedName>
    <definedName name="form02_65_3__115">#REF!</definedName>
    <definedName name="form02_65_3__116">#REF!</definedName>
    <definedName name="form02_65_3__117">#REF!</definedName>
    <definedName name="form02_65_3__118">#REF!</definedName>
    <definedName name="form02_65_3__119">#REF!</definedName>
    <definedName name="form02_65_3__12">#REF!</definedName>
    <definedName name="form02_65_3__120">#REF!</definedName>
    <definedName name="form02_65_3__121">#REF!</definedName>
    <definedName name="form02_65_3__122">#REF!</definedName>
    <definedName name="form02_65_3__123">#REF!</definedName>
    <definedName name="form02_65_3__124">#REF!</definedName>
    <definedName name="form02_65_3__125">#REF!</definedName>
    <definedName name="form02_65_3__126">#REF!</definedName>
    <definedName name="form02_65_3__127">#REF!</definedName>
    <definedName name="form02_65_3__128">#REF!</definedName>
    <definedName name="form02_65_3__129">#REF!</definedName>
    <definedName name="form02_65_3__13">#REF!</definedName>
    <definedName name="form02_65_3__130">#REF!</definedName>
    <definedName name="form02_65_3__131">#REF!</definedName>
    <definedName name="form02_65_3__132">#REF!</definedName>
    <definedName name="form02_65_3__133">#REF!</definedName>
    <definedName name="form02_65_3__134">#REF!</definedName>
    <definedName name="form02_65_3__135">#REF!</definedName>
    <definedName name="form02_65_3__136">#REF!</definedName>
    <definedName name="form02_65_3__137">#REF!</definedName>
    <definedName name="form02_65_3__138">#REF!</definedName>
    <definedName name="form02_65_3__139">#REF!</definedName>
    <definedName name="form02_65_3__14">#REF!</definedName>
    <definedName name="form02_65_3__140">#REF!</definedName>
    <definedName name="form02_65_3__141">#REF!</definedName>
    <definedName name="form02_65_3__142">#REF!</definedName>
    <definedName name="form02_65_3__143">#REF!</definedName>
    <definedName name="form02_65_3__144">#REF!</definedName>
    <definedName name="form02_65_3__145">#REF!</definedName>
    <definedName name="form02_65_3__146">#REF!</definedName>
    <definedName name="form02_65_3__147">#REF!</definedName>
    <definedName name="form02_65_3__148">#REF!</definedName>
    <definedName name="form02_65_3__149">#REF!</definedName>
    <definedName name="form02_65_3__15">#REF!</definedName>
    <definedName name="form02_65_3__150">#REF!</definedName>
    <definedName name="form02_65_3__151">#REF!</definedName>
    <definedName name="form02_65_3__152">#REF!</definedName>
    <definedName name="form02_65_3__153">#REF!</definedName>
    <definedName name="form02_65_3__154">#REF!</definedName>
    <definedName name="form02_65_3__155">#REF!</definedName>
    <definedName name="form02_65_3__156">#REF!</definedName>
    <definedName name="form02_65_3__157">#REF!</definedName>
    <definedName name="form02_65_3__158">#REF!</definedName>
    <definedName name="form02_65_3__159">#REF!</definedName>
    <definedName name="form02_65_3__16">#REF!</definedName>
    <definedName name="form02_65_3__160">#REF!</definedName>
    <definedName name="form02_65_3__161">#REF!</definedName>
    <definedName name="form02_65_3__162">#REF!</definedName>
    <definedName name="form02_65_3__163">#REF!</definedName>
    <definedName name="form02_65_3__164">#REF!</definedName>
    <definedName name="form02_65_3__165">#REF!</definedName>
    <definedName name="form02_65_3__166">#REF!</definedName>
    <definedName name="form02_65_3__167">#REF!</definedName>
    <definedName name="form02_65_3__168">#REF!</definedName>
    <definedName name="form02_65_3__169">#REF!</definedName>
    <definedName name="form02_65_3__17">#REF!</definedName>
    <definedName name="form02_65_3__170">#REF!</definedName>
    <definedName name="form02_65_3__171">#REF!</definedName>
    <definedName name="form02_65_3__172">#REF!</definedName>
    <definedName name="form02_65_3__173">#REF!</definedName>
    <definedName name="form02_65_3__174">#REF!</definedName>
    <definedName name="form02_65_3__175">#REF!</definedName>
    <definedName name="form02_65_3__176">#REF!</definedName>
    <definedName name="form02_65_3__177">#REF!</definedName>
    <definedName name="form02_65_3__178">#REF!</definedName>
    <definedName name="form02_65_3__179">#REF!</definedName>
    <definedName name="form02_65_3__18">#REF!</definedName>
    <definedName name="form02_65_3__180">#REF!</definedName>
    <definedName name="form02_65_3__181">#REF!</definedName>
    <definedName name="form02_65_3__182">#REF!</definedName>
    <definedName name="form02_65_3__183">#REF!</definedName>
    <definedName name="form02_65_3__184">#REF!</definedName>
    <definedName name="form02_65_3__185">#REF!</definedName>
    <definedName name="form02_65_3__186">#REF!</definedName>
    <definedName name="form02_65_3__187">#REF!</definedName>
    <definedName name="form02_65_3__188">#REF!</definedName>
    <definedName name="form02_65_3__189">#REF!</definedName>
    <definedName name="form02_65_3__19">#REF!</definedName>
    <definedName name="form02_65_3__190">#REF!</definedName>
    <definedName name="form02_65_3__191">#REF!</definedName>
    <definedName name="form02_65_3__192">#REF!</definedName>
    <definedName name="form02_65_3__193">#REF!</definedName>
    <definedName name="form02_65_3__194">#REF!</definedName>
    <definedName name="form02_65_3__195">#REF!</definedName>
    <definedName name="form02_65_3__196">#REF!</definedName>
    <definedName name="form02_65_3__197">#REF!</definedName>
    <definedName name="form02_65_3__198">#REF!</definedName>
    <definedName name="form02_65_3__199">#REF!</definedName>
    <definedName name="form02_65_3__2">#REF!</definedName>
    <definedName name="form02_65_3__20">#REF!</definedName>
    <definedName name="form02_65_3__200">#REF!</definedName>
    <definedName name="form02_65_3__201">#REF!</definedName>
    <definedName name="form02_65_3__202">#REF!</definedName>
    <definedName name="form02_65_3__203">#REF!</definedName>
    <definedName name="form02_65_3__204">#REF!</definedName>
    <definedName name="form02_65_3__205">#REF!</definedName>
    <definedName name="form02_65_3__206">#REF!</definedName>
    <definedName name="form02_65_3__207">#REF!</definedName>
    <definedName name="form02_65_3__208">#REF!</definedName>
    <definedName name="form02_65_3__209">#REF!</definedName>
    <definedName name="form02_65_3__21">#REF!</definedName>
    <definedName name="form02_65_3__210">#REF!</definedName>
    <definedName name="form02_65_3__211">#REF!</definedName>
    <definedName name="form02_65_3__212">#REF!</definedName>
    <definedName name="form02_65_3__213">#REF!</definedName>
    <definedName name="form02_65_3__214">#REF!</definedName>
    <definedName name="form02_65_3__215">#REF!</definedName>
    <definedName name="form02_65_3__216">#REF!</definedName>
    <definedName name="form02_65_3__217">#REF!</definedName>
    <definedName name="form02_65_3__218">#REF!</definedName>
    <definedName name="form02_65_3__219">#REF!</definedName>
    <definedName name="form02_65_3__22">#REF!</definedName>
    <definedName name="form02_65_3__220">#REF!</definedName>
    <definedName name="form02_65_3__221">#REF!</definedName>
    <definedName name="form02_65_3__222">#REF!</definedName>
    <definedName name="form02_65_3__223">#REF!</definedName>
    <definedName name="form02_65_3__224">#REF!</definedName>
    <definedName name="form02_65_3__225">#REF!</definedName>
    <definedName name="form02_65_3__226">#REF!</definedName>
    <definedName name="form02_65_3__227">#REF!</definedName>
    <definedName name="form02_65_3__228">#REF!</definedName>
    <definedName name="form02_65_3__229">#REF!</definedName>
    <definedName name="form02_65_3__23">#REF!</definedName>
    <definedName name="form02_65_3__230">#REF!</definedName>
    <definedName name="form02_65_3__231">#REF!</definedName>
    <definedName name="form02_65_3__232">#REF!</definedName>
    <definedName name="form02_65_3__233">#REF!</definedName>
    <definedName name="form02_65_3__234">#REF!</definedName>
    <definedName name="form02_65_3__235">#REF!</definedName>
    <definedName name="form02_65_3__236">#REF!</definedName>
    <definedName name="form02_65_3__237">#REF!</definedName>
    <definedName name="form02_65_3__238">#REF!</definedName>
    <definedName name="form02_65_3__239">#REF!</definedName>
    <definedName name="form02_65_3__24">#REF!</definedName>
    <definedName name="form02_65_3__240">#REF!</definedName>
    <definedName name="form02_65_3__241">#REF!</definedName>
    <definedName name="form02_65_3__242">#REF!</definedName>
    <definedName name="form02_65_3__243">#REF!</definedName>
    <definedName name="form02_65_3__244">#REF!</definedName>
    <definedName name="form02_65_3__245">#REF!</definedName>
    <definedName name="form02_65_3__246">#REF!</definedName>
    <definedName name="form02_65_3__247">#REF!</definedName>
    <definedName name="form02_65_3__248">#REF!</definedName>
    <definedName name="form02_65_3__249">#REF!</definedName>
    <definedName name="form02_65_3__25">#REF!</definedName>
    <definedName name="form02_65_3__250">#REF!</definedName>
    <definedName name="form02_65_3__251">#REF!</definedName>
    <definedName name="form02_65_3__252">#REF!</definedName>
    <definedName name="form02_65_3__253">#REF!</definedName>
    <definedName name="form02_65_3__254">#REF!</definedName>
    <definedName name="form02_65_3__255">#REF!</definedName>
    <definedName name="form02_65_3__256">#REF!</definedName>
    <definedName name="form02_65_3__257">#REF!</definedName>
    <definedName name="form02_65_3__258">#REF!</definedName>
    <definedName name="form02_65_3__259">#REF!</definedName>
    <definedName name="form02_65_3__26">#REF!</definedName>
    <definedName name="form02_65_3__260">#REF!</definedName>
    <definedName name="form02_65_3__261">#REF!</definedName>
    <definedName name="form02_65_3__262">#REF!</definedName>
    <definedName name="form02_65_3__263">#REF!</definedName>
    <definedName name="form02_65_3__264">#REF!</definedName>
    <definedName name="form02_65_3__265">#REF!</definedName>
    <definedName name="form02_65_3__266">#REF!</definedName>
    <definedName name="form02_65_3__267">#REF!</definedName>
    <definedName name="form02_65_3__268">#REF!</definedName>
    <definedName name="form02_65_3__269">#REF!</definedName>
    <definedName name="form02_65_3__27">#REF!</definedName>
    <definedName name="form02_65_3__270">#REF!</definedName>
    <definedName name="form02_65_3__271">#REF!</definedName>
    <definedName name="form02_65_3__272">#REF!</definedName>
    <definedName name="form02_65_3__273">#REF!</definedName>
    <definedName name="form02_65_3__274">#REF!</definedName>
    <definedName name="form02_65_3__275">#REF!</definedName>
    <definedName name="form02_65_3__276">#REF!</definedName>
    <definedName name="form02_65_3__277">#REF!</definedName>
    <definedName name="form02_65_3__278">#REF!</definedName>
    <definedName name="form02_65_3__279">#REF!</definedName>
    <definedName name="form02_65_3__28">#REF!</definedName>
    <definedName name="form02_65_3__280">#REF!</definedName>
    <definedName name="form02_65_3__281">#REF!</definedName>
    <definedName name="form02_65_3__282">#REF!</definedName>
    <definedName name="form02_65_3__283">#REF!</definedName>
    <definedName name="form02_65_3__284">#REF!</definedName>
    <definedName name="form02_65_3__285">#REF!</definedName>
    <definedName name="form02_65_3__286">#REF!</definedName>
    <definedName name="form02_65_3__287">#REF!</definedName>
    <definedName name="form02_65_3__288">#REF!</definedName>
    <definedName name="form02_65_3__289">#REF!</definedName>
    <definedName name="form02_65_3__29">#REF!</definedName>
    <definedName name="form02_65_3__290">#REF!</definedName>
    <definedName name="form02_65_3__291">#REF!</definedName>
    <definedName name="form02_65_3__292">#REF!</definedName>
    <definedName name="form02_65_3__293">#REF!</definedName>
    <definedName name="form02_65_3__294">#REF!</definedName>
    <definedName name="form02_65_3__295">#REF!</definedName>
    <definedName name="form02_65_3__296">#REF!</definedName>
    <definedName name="form02_65_3__297">#REF!</definedName>
    <definedName name="form02_65_3__298">#REF!</definedName>
    <definedName name="form02_65_3__299">#REF!</definedName>
    <definedName name="form02_65_3__3">#REF!</definedName>
    <definedName name="form02_65_3__30">#REF!</definedName>
    <definedName name="form02_65_3__300">#REF!</definedName>
    <definedName name="form02_65_3__301">#REF!</definedName>
    <definedName name="form02_65_3__302">#REF!</definedName>
    <definedName name="form02_65_3__303">#REF!</definedName>
    <definedName name="form02_65_3__304">#REF!</definedName>
    <definedName name="form02_65_3__305">#REF!</definedName>
    <definedName name="form02_65_3__306">#REF!</definedName>
    <definedName name="form02_65_3__307">#REF!</definedName>
    <definedName name="form02_65_3__308">#REF!</definedName>
    <definedName name="form02_65_3__309">#REF!</definedName>
    <definedName name="form02_65_3__31">#REF!</definedName>
    <definedName name="form02_65_3__310">#REF!</definedName>
    <definedName name="form02_65_3__311">#REF!</definedName>
    <definedName name="form02_65_3__312">#REF!</definedName>
    <definedName name="form02_65_3__313">#REF!</definedName>
    <definedName name="form02_65_3__314">#REF!</definedName>
    <definedName name="form02_65_3__315">#REF!</definedName>
    <definedName name="form02_65_3__316">#REF!</definedName>
    <definedName name="form02_65_3__317">#REF!</definedName>
    <definedName name="form02_65_3__318">#REF!</definedName>
    <definedName name="form02_65_3__319">#REF!</definedName>
    <definedName name="form02_65_3__32">#REF!</definedName>
    <definedName name="form02_65_3__320">#REF!</definedName>
    <definedName name="form02_65_3__321">#REF!</definedName>
    <definedName name="form02_65_3__322">#REF!</definedName>
    <definedName name="form02_65_3__323">#REF!</definedName>
    <definedName name="form02_65_3__324">#REF!</definedName>
    <definedName name="form02_65_3__325">#REF!</definedName>
    <definedName name="form02_65_3__326">#REF!</definedName>
    <definedName name="form02_65_3__327">#REF!</definedName>
    <definedName name="form02_65_3__328">#REF!</definedName>
    <definedName name="form02_65_3__329">#REF!</definedName>
    <definedName name="form02_65_3__33">#REF!</definedName>
    <definedName name="form02_65_3__330">#REF!</definedName>
    <definedName name="form02_65_3__331">#REF!</definedName>
    <definedName name="form02_65_3__332">#REF!</definedName>
    <definedName name="form02_65_3__333">#REF!</definedName>
    <definedName name="form02_65_3__334">#REF!</definedName>
    <definedName name="form02_65_3__335">#REF!</definedName>
    <definedName name="form02_65_3__336">#REF!</definedName>
    <definedName name="form02_65_3__337">#REF!</definedName>
    <definedName name="form02_65_3__338">#REF!</definedName>
    <definedName name="form02_65_3__339">#REF!</definedName>
    <definedName name="form02_65_3__34">#REF!</definedName>
    <definedName name="form02_65_3__340">#REF!</definedName>
    <definedName name="form02_65_3__341">#REF!</definedName>
    <definedName name="form02_65_3__342">#REF!</definedName>
    <definedName name="form02_65_3__343">#REF!</definedName>
    <definedName name="form02_65_3__344">#REF!</definedName>
    <definedName name="form02_65_3__345">#REF!</definedName>
    <definedName name="form02_65_3__346">#REF!</definedName>
    <definedName name="form02_65_3__347">#REF!</definedName>
    <definedName name="form02_65_3__348">#REF!</definedName>
    <definedName name="form02_65_3__349">#REF!</definedName>
    <definedName name="form02_65_3__35">#REF!</definedName>
    <definedName name="form02_65_3__350">#REF!</definedName>
    <definedName name="form02_65_3__351">#REF!</definedName>
    <definedName name="form02_65_3__352">#REF!</definedName>
    <definedName name="form02_65_3__353">#REF!</definedName>
    <definedName name="form02_65_3__354">#REF!</definedName>
    <definedName name="form02_65_3__355">#REF!</definedName>
    <definedName name="form02_65_3__356">#REF!</definedName>
    <definedName name="form02_65_3__357">#REF!</definedName>
    <definedName name="form02_65_3__358">#REF!</definedName>
    <definedName name="form02_65_3__359">#REF!</definedName>
    <definedName name="form02_65_3__36">#REF!</definedName>
    <definedName name="form02_65_3__360">#REF!</definedName>
    <definedName name="form02_65_3__361">#REF!</definedName>
    <definedName name="form02_65_3__362">#REF!</definedName>
    <definedName name="form02_65_3__363">#REF!</definedName>
    <definedName name="form02_65_3__364">#REF!</definedName>
    <definedName name="form02_65_3__365">#REF!</definedName>
    <definedName name="form02_65_3__366">#REF!</definedName>
    <definedName name="form02_65_3__367">#REF!</definedName>
    <definedName name="form02_65_3__368">#REF!</definedName>
    <definedName name="form02_65_3__369">#REF!</definedName>
    <definedName name="form02_65_3__37">#REF!</definedName>
    <definedName name="form02_65_3__370">#REF!</definedName>
    <definedName name="form02_65_3__371">#REF!</definedName>
    <definedName name="form02_65_3__372">#REF!</definedName>
    <definedName name="form02_65_3__373">#REF!</definedName>
    <definedName name="form02_65_3__374">#REF!</definedName>
    <definedName name="form02_65_3__375">#REF!</definedName>
    <definedName name="form02_65_3__376">#REF!</definedName>
    <definedName name="form02_65_3__377">#REF!</definedName>
    <definedName name="form02_65_3__378">#REF!</definedName>
    <definedName name="form02_65_3__379">#REF!</definedName>
    <definedName name="form02_65_3__38">#REF!</definedName>
    <definedName name="form02_65_3__380">#REF!</definedName>
    <definedName name="form02_65_3__381">#REF!</definedName>
    <definedName name="form02_65_3__382">#REF!</definedName>
    <definedName name="form02_65_3__383">#REF!</definedName>
    <definedName name="form02_65_3__384">#REF!</definedName>
    <definedName name="form02_65_3__385">#REF!</definedName>
    <definedName name="form02_65_3__386">#REF!</definedName>
    <definedName name="form02_65_3__387">#REF!</definedName>
    <definedName name="form02_65_3__388">#REF!</definedName>
    <definedName name="form02_65_3__389">#REF!</definedName>
    <definedName name="form02_65_3__39">#REF!</definedName>
    <definedName name="form02_65_3__390">#REF!</definedName>
    <definedName name="form02_65_3__391">#REF!</definedName>
    <definedName name="form02_65_3__392">#REF!</definedName>
    <definedName name="form02_65_3__393">#REF!</definedName>
    <definedName name="form02_65_3__394">#REF!</definedName>
    <definedName name="form02_65_3__395">#REF!</definedName>
    <definedName name="form02_65_3__396">#REF!</definedName>
    <definedName name="form02_65_3__397">#REF!</definedName>
    <definedName name="form02_65_3__398">#REF!</definedName>
    <definedName name="form02_65_3__399">#REF!</definedName>
    <definedName name="form02_65_3__4">#REF!</definedName>
    <definedName name="form02_65_3__40">#REF!</definedName>
    <definedName name="form02_65_3__400">#REF!</definedName>
    <definedName name="form02_65_3__401">#REF!</definedName>
    <definedName name="form02_65_3__402">#REF!</definedName>
    <definedName name="form02_65_3__403">#REF!</definedName>
    <definedName name="form02_65_3__404">#REF!</definedName>
    <definedName name="form02_65_3__405">#REF!</definedName>
    <definedName name="form02_65_3__406">#REF!</definedName>
    <definedName name="form02_65_3__407">#REF!</definedName>
    <definedName name="form02_65_3__408">#REF!</definedName>
    <definedName name="form02_65_3__409">#REF!</definedName>
    <definedName name="form02_65_3__41">#REF!</definedName>
    <definedName name="form02_65_3__410">#REF!</definedName>
    <definedName name="form02_65_3__411">#REF!</definedName>
    <definedName name="form02_65_3__412">#REF!</definedName>
    <definedName name="form02_65_3__413">#REF!</definedName>
    <definedName name="form02_65_3__414">#REF!</definedName>
    <definedName name="form02_65_3__415">#REF!</definedName>
    <definedName name="form02_65_3__416">#REF!</definedName>
    <definedName name="form02_65_3__417">#REF!</definedName>
    <definedName name="form02_65_3__418">#REF!</definedName>
    <definedName name="form02_65_3__419">#REF!</definedName>
    <definedName name="form02_65_3__42">#REF!</definedName>
    <definedName name="form02_65_3__420">#REF!</definedName>
    <definedName name="form02_65_3__421">#REF!</definedName>
    <definedName name="form02_65_3__422">#REF!</definedName>
    <definedName name="form02_65_3__423">#REF!</definedName>
    <definedName name="form02_65_3__424">#REF!</definedName>
    <definedName name="form02_65_3__425">#REF!</definedName>
    <definedName name="form02_65_3__426">#REF!</definedName>
    <definedName name="form02_65_3__427">#REF!</definedName>
    <definedName name="form02_65_3__428">#REF!</definedName>
    <definedName name="form02_65_3__429">#REF!</definedName>
    <definedName name="form02_65_3__43">#REF!</definedName>
    <definedName name="form02_65_3__430">#REF!</definedName>
    <definedName name="form02_65_3__431">#REF!</definedName>
    <definedName name="form02_65_3__432">#REF!</definedName>
    <definedName name="form02_65_3__433">#REF!</definedName>
    <definedName name="form02_65_3__434">#REF!</definedName>
    <definedName name="form02_65_3__435">#REF!</definedName>
    <definedName name="form02_65_3__436">#REF!</definedName>
    <definedName name="form02_65_3__437">#REF!</definedName>
    <definedName name="form02_65_3__438">#REF!</definedName>
    <definedName name="form02_65_3__439">#REF!</definedName>
    <definedName name="form02_65_3__44">#REF!</definedName>
    <definedName name="form02_65_3__440">#REF!</definedName>
    <definedName name="form02_65_3__441">#REF!</definedName>
    <definedName name="form02_65_3__442">#REF!</definedName>
    <definedName name="form02_65_3__443">#REF!</definedName>
    <definedName name="form02_65_3__444">#REF!</definedName>
    <definedName name="form02_65_3__445">#REF!</definedName>
    <definedName name="form02_65_3__446">#REF!</definedName>
    <definedName name="form02_65_3__447">#REF!</definedName>
    <definedName name="form02_65_3__448">#REF!</definedName>
    <definedName name="form02_65_3__449">#REF!</definedName>
    <definedName name="form02_65_3__45">#REF!</definedName>
    <definedName name="form02_65_3__450">#REF!</definedName>
    <definedName name="form02_65_3__451">#REF!</definedName>
    <definedName name="form02_65_3__452">#REF!</definedName>
    <definedName name="form02_65_3__453">#REF!</definedName>
    <definedName name="form02_65_3__454">#REF!</definedName>
    <definedName name="form02_65_3__455">#REF!</definedName>
    <definedName name="form02_65_3__456">#REF!</definedName>
    <definedName name="form02_65_3__457">#REF!</definedName>
    <definedName name="form02_65_3__458">#REF!</definedName>
    <definedName name="form02_65_3__459">#REF!</definedName>
    <definedName name="form02_65_3__46">#REF!</definedName>
    <definedName name="form02_65_3__460">#REF!</definedName>
    <definedName name="form02_65_3__461">#REF!</definedName>
    <definedName name="form02_65_3__462">#REF!</definedName>
    <definedName name="form02_65_3__463">#REF!</definedName>
    <definedName name="form02_65_3__464">#REF!</definedName>
    <definedName name="form02_65_3__465">#REF!</definedName>
    <definedName name="form02_65_3__466">#REF!</definedName>
    <definedName name="form02_65_3__467">#REF!</definedName>
    <definedName name="form02_65_3__468">#REF!</definedName>
    <definedName name="form02_65_3__469">#REF!</definedName>
    <definedName name="form02_65_3__47">#REF!</definedName>
    <definedName name="form02_65_3__470">#REF!</definedName>
    <definedName name="form02_65_3__471">#REF!</definedName>
    <definedName name="form02_65_3__472">#REF!</definedName>
    <definedName name="form02_65_3__473">#REF!</definedName>
    <definedName name="form02_65_3__474">#REF!</definedName>
    <definedName name="form02_65_3__475">#REF!</definedName>
    <definedName name="form02_65_3__476">#REF!</definedName>
    <definedName name="form02_65_3__477">#REF!</definedName>
    <definedName name="form02_65_3__478">#REF!</definedName>
    <definedName name="form02_65_3__479">#REF!</definedName>
    <definedName name="form02_65_3__48">#REF!</definedName>
    <definedName name="form02_65_3__480">#REF!</definedName>
    <definedName name="form02_65_3__481">#REF!</definedName>
    <definedName name="form02_65_3__482">#REF!</definedName>
    <definedName name="form02_65_3__483">#REF!</definedName>
    <definedName name="form02_65_3__484">#REF!</definedName>
    <definedName name="form02_65_3__485">#REF!</definedName>
    <definedName name="form02_65_3__486">#REF!</definedName>
    <definedName name="form02_65_3__487">#REF!</definedName>
    <definedName name="form02_65_3__488">#REF!</definedName>
    <definedName name="form02_65_3__489">#REF!</definedName>
    <definedName name="form02_65_3__49">#REF!</definedName>
    <definedName name="form02_65_3__490">#REF!</definedName>
    <definedName name="form02_65_3__491">#REF!</definedName>
    <definedName name="form02_65_3__492">#REF!</definedName>
    <definedName name="form02_65_3__493">#REF!</definedName>
    <definedName name="form02_65_3__494">#REF!</definedName>
    <definedName name="form02_65_3__495">#REF!</definedName>
    <definedName name="form02_65_3__496">#REF!</definedName>
    <definedName name="form02_65_3__497">#REF!</definedName>
    <definedName name="form02_65_3__498">#REF!</definedName>
    <definedName name="form02_65_3__499">#REF!</definedName>
    <definedName name="form02_65_3__5">#REF!</definedName>
    <definedName name="form02_65_3__50">#REF!</definedName>
    <definedName name="form02_65_3__500">#REF!</definedName>
    <definedName name="form02_65_3__501">#REF!</definedName>
    <definedName name="form02_65_3__502">#REF!</definedName>
    <definedName name="form02_65_3__503">#REF!</definedName>
    <definedName name="form02_65_3__504">#REF!</definedName>
    <definedName name="form02_65_3__505">#REF!</definedName>
    <definedName name="form02_65_3__506">#REF!</definedName>
    <definedName name="form02_65_3__507">#REF!</definedName>
    <definedName name="form02_65_3__508">#REF!</definedName>
    <definedName name="form02_65_3__509">#REF!</definedName>
    <definedName name="form02_65_3__51">#REF!</definedName>
    <definedName name="form02_65_3__510">#REF!</definedName>
    <definedName name="form02_65_3__511">#REF!</definedName>
    <definedName name="form02_65_3__512">#REF!</definedName>
    <definedName name="form02_65_3__513">#REF!</definedName>
    <definedName name="form02_65_3__514">#REF!</definedName>
    <definedName name="form02_65_3__515">#REF!</definedName>
    <definedName name="form02_65_3__516">#REF!</definedName>
    <definedName name="form02_65_3__517">#REF!</definedName>
    <definedName name="form02_65_3__518">#REF!</definedName>
    <definedName name="form02_65_3__519">#REF!</definedName>
    <definedName name="form02_65_3__52">#REF!</definedName>
    <definedName name="form02_65_3__520">#REF!</definedName>
    <definedName name="form02_65_3__521">#REF!</definedName>
    <definedName name="form02_65_3__522">#REF!</definedName>
    <definedName name="form02_65_3__523">#REF!</definedName>
    <definedName name="form02_65_3__524">#REF!</definedName>
    <definedName name="form02_65_3__525">#REF!</definedName>
    <definedName name="form02_65_3__526">#REF!</definedName>
    <definedName name="form02_65_3__527">#REF!</definedName>
    <definedName name="form02_65_3__528">#REF!</definedName>
    <definedName name="form02_65_3__529">#REF!</definedName>
    <definedName name="form02_65_3__53">#REF!</definedName>
    <definedName name="form02_65_3__530">#REF!</definedName>
    <definedName name="form02_65_3__531">#REF!</definedName>
    <definedName name="form02_65_3__532">#REF!</definedName>
    <definedName name="form02_65_3__533">#REF!</definedName>
    <definedName name="form02_65_3__534">#REF!</definedName>
    <definedName name="form02_65_3__535">#REF!</definedName>
    <definedName name="form02_65_3__536">#REF!</definedName>
    <definedName name="form02_65_3__537">#REF!</definedName>
    <definedName name="form02_65_3__538">#REF!</definedName>
    <definedName name="form02_65_3__539">#REF!</definedName>
    <definedName name="form02_65_3__54">#REF!</definedName>
    <definedName name="form02_65_3__540">#REF!</definedName>
    <definedName name="form02_65_3__541">#REF!</definedName>
    <definedName name="form02_65_3__542">#REF!</definedName>
    <definedName name="form02_65_3__543">#REF!</definedName>
    <definedName name="form02_65_3__544">#REF!</definedName>
    <definedName name="form02_65_3__545">#REF!</definedName>
    <definedName name="form02_65_3__546">#REF!</definedName>
    <definedName name="form02_65_3__547">#REF!</definedName>
    <definedName name="form02_65_3__548">#REF!</definedName>
    <definedName name="form02_65_3__549">#REF!</definedName>
    <definedName name="form02_65_3__55">#REF!</definedName>
    <definedName name="form02_65_3__550">#REF!</definedName>
    <definedName name="form02_65_3__551">#REF!</definedName>
    <definedName name="form02_65_3__552">#REF!</definedName>
    <definedName name="form02_65_3__553">#REF!</definedName>
    <definedName name="form02_65_3__554">#REF!</definedName>
    <definedName name="form02_65_3__555">#REF!</definedName>
    <definedName name="form02_65_3__556">#REF!</definedName>
    <definedName name="form02_65_3__557">#REF!</definedName>
    <definedName name="form02_65_3__558">#REF!</definedName>
    <definedName name="form02_65_3__559">#REF!</definedName>
    <definedName name="form02_65_3__56">#REF!</definedName>
    <definedName name="form02_65_3__560">#REF!</definedName>
    <definedName name="form02_65_3__561">#REF!</definedName>
    <definedName name="form02_65_3__562">#REF!</definedName>
    <definedName name="form02_65_3__563">#REF!</definedName>
    <definedName name="form02_65_3__564">#REF!</definedName>
    <definedName name="form02_65_3__565">#REF!</definedName>
    <definedName name="form02_65_3__566">#REF!</definedName>
    <definedName name="form02_65_3__567">#REF!</definedName>
    <definedName name="form02_65_3__568">#REF!</definedName>
    <definedName name="form02_65_3__569">#REF!</definedName>
    <definedName name="form02_65_3__57">#REF!</definedName>
    <definedName name="form02_65_3__570">#REF!</definedName>
    <definedName name="form02_65_3__571">#REF!</definedName>
    <definedName name="form02_65_3__572">#REF!</definedName>
    <definedName name="form02_65_3__573">#REF!</definedName>
    <definedName name="form02_65_3__574">#REF!</definedName>
    <definedName name="form02_65_3__575">#REF!</definedName>
    <definedName name="form02_65_3__576">#REF!</definedName>
    <definedName name="form02_65_3__577">#REF!</definedName>
    <definedName name="form02_65_3__578">#REF!</definedName>
    <definedName name="form02_65_3__579">#REF!</definedName>
    <definedName name="form02_65_3__58">#REF!</definedName>
    <definedName name="form02_65_3__580">#REF!</definedName>
    <definedName name="form02_65_3__581">#REF!</definedName>
    <definedName name="form02_65_3__582">#REF!</definedName>
    <definedName name="form02_65_3__583">#REF!</definedName>
    <definedName name="form02_65_3__584">#REF!</definedName>
    <definedName name="form02_65_3__585">#REF!</definedName>
    <definedName name="form02_65_3__586">#REF!</definedName>
    <definedName name="form02_65_3__587">#REF!</definedName>
    <definedName name="form02_65_3__588">#REF!</definedName>
    <definedName name="form02_65_3__589">#REF!</definedName>
    <definedName name="form02_65_3__59">#REF!</definedName>
    <definedName name="form02_65_3__590">#REF!</definedName>
    <definedName name="form02_65_3__591">#REF!</definedName>
    <definedName name="form02_65_3__592">#REF!</definedName>
    <definedName name="form02_65_3__593">#REF!</definedName>
    <definedName name="form02_65_3__594">#REF!</definedName>
    <definedName name="form02_65_3__595">#REF!</definedName>
    <definedName name="form02_65_3__596">#REF!</definedName>
    <definedName name="form02_65_3__597">#REF!</definedName>
    <definedName name="form02_65_3__598">#REF!</definedName>
    <definedName name="form02_65_3__599">#REF!</definedName>
    <definedName name="form02_65_3__6">#REF!</definedName>
    <definedName name="form02_65_3__60">#REF!</definedName>
    <definedName name="form02_65_3__600">#REF!</definedName>
    <definedName name="form02_65_3__601">#REF!</definedName>
    <definedName name="form02_65_3__602">#REF!</definedName>
    <definedName name="form02_65_3__603">#REF!</definedName>
    <definedName name="form02_65_3__604">#REF!</definedName>
    <definedName name="form02_65_3__605">#REF!</definedName>
    <definedName name="form02_65_3__606">#REF!</definedName>
    <definedName name="form02_65_3__607">#REF!</definedName>
    <definedName name="form02_65_3__608">#REF!</definedName>
    <definedName name="form02_65_3__609">#REF!</definedName>
    <definedName name="form02_65_3__61">#REF!</definedName>
    <definedName name="form02_65_3__610">#REF!</definedName>
    <definedName name="form02_65_3__611">#REF!</definedName>
    <definedName name="form02_65_3__612">#REF!</definedName>
    <definedName name="form02_65_3__613">#REF!</definedName>
    <definedName name="form02_65_3__614">#REF!</definedName>
    <definedName name="form02_65_3__615">#REF!</definedName>
    <definedName name="form02_65_3__616">#REF!</definedName>
    <definedName name="form02_65_3__617">#REF!</definedName>
    <definedName name="form02_65_3__618">#REF!</definedName>
    <definedName name="form02_65_3__619">#REF!</definedName>
    <definedName name="form02_65_3__62">#REF!</definedName>
    <definedName name="form02_65_3__620">#REF!</definedName>
    <definedName name="form02_65_3__621">#REF!</definedName>
    <definedName name="form02_65_3__622">#REF!</definedName>
    <definedName name="form02_65_3__623">#REF!</definedName>
    <definedName name="form02_65_3__624">#REF!</definedName>
    <definedName name="form02_65_3__625">#REF!</definedName>
    <definedName name="form02_65_3__626">#REF!</definedName>
    <definedName name="form02_65_3__627">#REF!</definedName>
    <definedName name="form02_65_3__628">#REF!</definedName>
    <definedName name="form02_65_3__629">#REF!</definedName>
    <definedName name="form02_65_3__63">#REF!</definedName>
    <definedName name="form02_65_3__630">#REF!</definedName>
    <definedName name="form02_65_3__631">#REF!</definedName>
    <definedName name="form02_65_3__632">#REF!</definedName>
    <definedName name="form02_65_3__633">#REF!</definedName>
    <definedName name="form02_65_3__634">#REF!</definedName>
    <definedName name="form02_65_3__635">#REF!</definedName>
    <definedName name="form02_65_3__636">#REF!</definedName>
    <definedName name="form02_65_3__637">#REF!</definedName>
    <definedName name="form02_65_3__638">#REF!</definedName>
    <definedName name="form02_65_3__639">#REF!</definedName>
    <definedName name="form02_65_3__64">#REF!</definedName>
    <definedName name="form02_65_3__640">#REF!</definedName>
    <definedName name="form02_65_3__641">#REF!</definedName>
    <definedName name="form02_65_3__642">#REF!</definedName>
    <definedName name="form02_65_3__643">#REF!</definedName>
    <definedName name="form02_65_3__644">#REF!</definedName>
    <definedName name="form02_65_3__645">#REF!</definedName>
    <definedName name="form02_65_3__646">#REF!</definedName>
    <definedName name="form02_65_3__647">#REF!</definedName>
    <definedName name="form02_65_3__648">#REF!</definedName>
    <definedName name="form02_65_3__649">#REF!</definedName>
    <definedName name="form02_65_3__65">#REF!</definedName>
    <definedName name="form02_65_3__650">#REF!</definedName>
    <definedName name="form02_65_3__651">#REF!</definedName>
    <definedName name="form02_65_3__652">#REF!</definedName>
    <definedName name="form02_65_3__653">#REF!</definedName>
    <definedName name="form02_65_3__654">#REF!</definedName>
    <definedName name="form02_65_3__655">#REF!</definedName>
    <definedName name="form02_65_3__656">#REF!</definedName>
    <definedName name="form02_65_3__657">#REF!</definedName>
    <definedName name="form02_65_3__658">#REF!</definedName>
    <definedName name="form02_65_3__659">#REF!</definedName>
    <definedName name="form02_65_3__66">#REF!</definedName>
    <definedName name="form02_65_3__660">#REF!</definedName>
    <definedName name="form02_65_3__661">#REF!</definedName>
    <definedName name="form02_65_3__662">#REF!</definedName>
    <definedName name="form02_65_3__663">#REF!</definedName>
    <definedName name="form02_65_3__664">#REF!</definedName>
    <definedName name="form02_65_3__665">#REF!</definedName>
    <definedName name="form02_65_3__666">#REF!</definedName>
    <definedName name="form02_65_3__667">#REF!</definedName>
    <definedName name="form02_65_3__668">#REF!</definedName>
    <definedName name="form02_65_3__669">#REF!</definedName>
    <definedName name="form02_65_3__67">#REF!</definedName>
    <definedName name="form02_65_3__670">#REF!</definedName>
    <definedName name="form02_65_3__671">#REF!</definedName>
    <definedName name="form02_65_3__672">#REF!</definedName>
    <definedName name="form02_65_3__673">#REF!</definedName>
    <definedName name="form02_65_3__674">#REF!</definedName>
    <definedName name="form02_65_3__675">#REF!</definedName>
    <definedName name="form02_65_3__676">#REF!</definedName>
    <definedName name="form02_65_3__677">#REF!</definedName>
    <definedName name="form02_65_3__678">#REF!</definedName>
    <definedName name="form02_65_3__679">#REF!</definedName>
    <definedName name="form02_65_3__68">#REF!</definedName>
    <definedName name="form02_65_3__680">#REF!</definedName>
    <definedName name="form02_65_3__681">#REF!</definedName>
    <definedName name="form02_65_3__682">#REF!</definedName>
    <definedName name="form02_65_3__683">#REF!</definedName>
    <definedName name="form02_65_3__684">#REF!</definedName>
    <definedName name="form02_65_3__685">#REF!</definedName>
    <definedName name="form02_65_3__686">#REF!</definedName>
    <definedName name="form02_65_3__687">#REF!</definedName>
    <definedName name="form02_65_3__688">#REF!</definedName>
    <definedName name="form02_65_3__689">#REF!</definedName>
    <definedName name="form02_65_3__69">#REF!</definedName>
    <definedName name="form02_65_3__690">#REF!</definedName>
    <definedName name="form02_65_3__691">#REF!</definedName>
    <definedName name="form02_65_3__692">#REF!</definedName>
    <definedName name="form02_65_3__693">#REF!</definedName>
    <definedName name="form02_65_3__694">#REF!</definedName>
    <definedName name="form02_65_3__695">#REF!</definedName>
    <definedName name="form02_65_3__696">#REF!</definedName>
    <definedName name="form02_65_3__697">#REF!</definedName>
    <definedName name="form02_65_3__698">#REF!</definedName>
    <definedName name="form02_65_3__699">#REF!</definedName>
    <definedName name="form02_65_3__7">#REF!</definedName>
    <definedName name="form02_65_3__70">#REF!</definedName>
    <definedName name="form02_65_3__700">#REF!</definedName>
    <definedName name="form02_65_3__701">#REF!</definedName>
    <definedName name="form02_65_3__702">#REF!</definedName>
    <definedName name="form02_65_3__703">#REF!</definedName>
    <definedName name="form02_65_3__704">#REF!</definedName>
    <definedName name="form02_65_3__705">#REF!</definedName>
    <definedName name="form02_65_3__706">#REF!</definedName>
    <definedName name="form02_65_3__707">#REF!</definedName>
    <definedName name="form02_65_3__708">#REF!</definedName>
    <definedName name="form02_65_3__709">#REF!</definedName>
    <definedName name="form02_65_3__71">#REF!</definedName>
    <definedName name="form02_65_3__710">#REF!</definedName>
    <definedName name="form02_65_3__711">#REF!</definedName>
    <definedName name="form02_65_3__712">#REF!</definedName>
    <definedName name="form02_65_3__713">#REF!</definedName>
    <definedName name="form02_65_3__714">#REF!</definedName>
    <definedName name="form02_65_3__715">#REF!</definedName>
    <definedName name="form02_65_3__716">#REF!</definedName>
    <definedName name="form02_65_3__717">#REF!</definedName>
    <definedName name="form02_65_3__718">#REF!</definedName>
    <definedName name="form02_65_3__719">#REF!</definedName>
    <definedName name="form02_65_3__72">#REF!</definedName>
    <definedName name="form02_65_3__720">#REF!</definedName>
    <definedName name="form02_65_3__721">#REF!</definedName>
    <definedName name="form02_65_3__722">#REF!</definedName>
    <definedName name="form02_65_3__723">#REF!</definedName>
    <definedName name="form02_65_3__724">#REF!</definedName>
    <definedName name="form02_65_3__725">#REF!</definedName>
    <definedName name="form02_65_3__726">#REF!</definedName>
    <definedName name="form02_65_3__727">#REF!</definedName>
    <definedName name="form02_65_3__728">#REF!</definedName>
    <definedName name="form02_65_3__729">#REF!</definedName>
    <definedName name="form02_65_3__73">#REF!</definedName>
    <definedName name="form02_65_3__730">#REF!</definedName>
    <definedName name="form02_65_3__731">#REF!</definedName>
    <definedName name="form02_65_3__732">#REF!</definedName>
    <definedName name="form02_65_3__733">#REF!</definedName>
    <definedName name="form02_65_3__734">#REF!</definedName>
    <definedName name="form02_65_3__735">#REF!</definedName>
    <definedName name="form02_65_3__736">#REF!</definedName>
    <definedName name="form02_65_3__737">#REF!</definedName>
    <definedName name="form02_65_3__738">#REF!</definedName>
    <definedName name="form02_65_3__739">#REF!</definedName>
    <definedName name="form02_65_3__74">#REF!</definedName>
    <definedName name="form02_65_3__740">#REF!</definedName>
    <definedName name="form02_65_3__741">#REF!</definedName>
    <definedName name="form02_65_3__742">#REF!</definedName>
    <definedName name="form02_65_3__743">#REF!</definedName>
    <definedName name="form02_65_3__744">#REF!</definedName>
    <definedName name="form02_65_3__745">#REF!</definedName>
    <definedName name="form02_65_3__746">#REF!</definedName>
    <definedName name="form02_65_3__747">#REF!</definedName>
    <definedName name="form02_65_3__748">#REF!</definedName>
    <definedName name="form02_65_3__749">#REF!</definedName>
    <definedName name="form02_65_3__75">#REF!</definedName>
    <definedName name="form02_65_3__750">#REF!</definedName>
    <definedName name="form02_65_3__751">#REF!</definedName>
    <definedName name="form02_65_3__752">#REF!</definedName>
    <definedName name="form02_65_3__753">#REF!</definedName>
    <definedName name="form02_65_3__754">#REF!</definedName>
    <definedName name="form02_65_3__755">#REF!</definedName>
    <definedName name="form02_65_3__756">#REF!</definedName>
    <definedName name="form02_65_3__757">#REF!</definedName>
    <definedName name="form02_65_3__758">#REF!</definedName>
    <definedName name="form02_65_3__759">#REF!</definedName>
    <definedName name="form02_65_3__76">#REF!</definedName>
    <definedName name="form02_65_3__760">#REF!</definedName>
    <definedName name="form02_65_3__761">#REF!</definedName>
    <definedName name="form02_65_3__762">#REF!</definedName>
    <definedName name="form02_65_3__763">#REF!</definedName>
    <definedName name="form02_65_3__764">#REF!</definedName>
    <definedName name="form02_65_3__765">#REF!</definedName>
    <definedName name="form02_65_3__766">#REF!</definedName>
    <definedName name="form02_65_3__767">#REF!</definedName>
    <definedName name="form02_65_3__768">#REF!</definedName>
    <definedName name="form02_65_3__769">#REF!</definedName>
    <definedName name="form02_65_3__77">#REF!</definedName>
    <definedName name="form02_65_3__770">#REF!</definedName>
    <definedName name="form02_65_3__771">#REF!</definedName>
    <definedName name="form02_65_3__772">#REF!</definedName>
    <definedName name="form02_65_3__773">#REF!</definedName>
    <definedName name="form02_65_3__774">#REF!</definedName>
    <definedName name="form02_65_3__775">#REF!</definedName>
    <definedName name="form02_65_3__776">#REF!</definedName>
    <definedName name="form02_65_3__777">#REF!</definedName>
    <definedName name="form02_65_3__778">#REF!</definedName>
    <definedName name="form02_65_3__779">#REF!</definedName>
    <definedName name="form02_65_3__78">#REF!</definedName>
    <definedName name="form02_65_3__780">#REF!</definedName>
    <definedName name="form02_65_3__781">#REF!</definedName>
    <definedName name="form02_65_3__782">#REF!</definedName>
    <definedName name="form02_65_3__783">#REF!</definedName>
    <definedName name="form02_65_3__784">#REF!</definedName>
    <definedName name="form02_65_3__785">#REF!</definedName>
    <definedName name="form02_65_3__786">#REF!</definedName>
    <definedName name="form02_65_3__787">#REF!</definedName>
    <definedName name="form02_65_3__788">#REF!</definedName>
    <definedName name="form02_65_3__789">#REF!</definedName>
    <definedName name="form02_65_3__79">#REF!</definedName>
    <definedName name="form02_65_3__790">#REF!</definedName>
    <definedName name="form02_65_3__791">#REF!</definedName>
    <definedName name="form02_65_3__792">#REF!</definedName>
    <definedName name="form02_65_3__793">#REF!</definedName>
    <definedName name="form02_65_3__794">#REF!</definedName>
    <definedName name="form02_65_3__795">#REF!</definedName>
    <definedName name="form02_65_3__796">#REF!</definedName>
    <definedName name="form02_65_3__797">#REF!</definedName>
    <definedName name="form02_65_3__798">#REF!</definedName>
    <definedName name="form02_65_3__799">#REF!</definedName>
    <definedName name="form02_65_3__8">#REF!</definedName>
    <definedName name="form02_65_3__80">#REF!</definedName>
    <definedName name="form02_65_3__800">#REF!</definedName>
    <definedName name="form02_65_3__801">#REF!</definedName>
    <definedName name="form02_65_3__802">#REF!</definedName>
    <definedName name="form02_65_3__803">#REF!</definedName>
    <definedName name="form02_65_3__804">#REF!</definedName>
    <definedName name="form02_65_3__805">#REF!</definedName>
    <definedName name="form02_65_3__806">#REF!</definedName>
    <definedName name="form02_65_3__807">#REF!</definedName>
    <definedName name="form02_65_3__808">#REF!</definedName>
    <definedName name="form02_65_3__809">#REF!</definedName>
    <definedName name="form02_65_3__81">#REF!</definedName>
    <definedName name="form02_65_3__810">#REF!</definedName>
    <definedName name="form02_65_3__811">#REF!</definedName>
    <definedName name="form02_65_3__812">#REF!</definedName>
    <definedName name="form02_65_3__813">#REF!</definedName>
    <definedName name="form02_65_3__814">#REF!</definedName>
    <definedName name="form02_65_3__815">#REF!</definedName>
    <definedName name="form02_65_3__816">#REF!</definedName>
    <definedName name="form02_65_3__817">#REF!</definedName>
    <definedName name="form02_65_3__818">#REF!</definedName>
    <definedName name="form02_65_3__819">#REF!</definedName>
    <definedName name="form02_65_3__82">#REF!</definedName>
    <definedName name="form02_65_3__820">#REF!</definedName>
    <definedName name="form02_65_3__821">#REF!</definedName>
    <definedName name="form02_65_3__822">#REF!</definedName>
    <definedName name="form02_65_3__823">#REF!</definedName>
    <definedName name="form02_65_3__824">#REF!</definedName>
    <definedName name="form02_65_3__825">#REF!</definedName>
    <definedName name="form02_65_3__826">#REF!</definedName>
    <definedName name="form02_65_3__827">#REF!</definedName>
    <definedName name="form02_65_3__828">#REF!</definedName>
    <definedName name="form02_65_3__829">#REF!</definedName>
    <definedName name="form02_65_3__83">#REF!</definedName>
    <definedName name="form02_65_3__830">#REF!</definedName>
    <definedName name="form02_65_3__831">#REF!</definedName>
    <definedName name="form02_65_3__832">#REF!</definedName>
    <definedName name="form02_65_3__833">#REF!</definedName>
    <definedName name="form02_65_3__834">#REF!</definedName>
    <definedName name="form02_65_3__835">#REF!</definedName>
    <definedName name="form02_65_3__836">#REF!</definedName>
    <definedName name="form02_65_3__837">#REF!</definedName>
    <definedName name="form02_65_3__838">#REF!</definedName>
    <definedName name="form02_65_3__839">#REF!</definedName>
    <definedName name="form02_65_3__84">#REF!</definedName>
    <definedName name="form02_65_3__840">#REF!</definedName>
    <definedName name="form02_65_3__841">#REF!</definedName>
    <definedName name="form02_65_3__842">#REF!</definedName>
    <definedName name="form02_65_3__843">#REF!</definedName>
    <definedName name="form02_65_3__844">#REF!</definedName>
    <definedName name="form02_65_3__845">#REF!</definedName>
    <definedName name="form02_65_3__846">#REF!</definedName>
    <definedName name="form02_65_3__847">#REF!</definedName>
    <definedName name="form02_65_3__848">#REF!</definedName>
    <definedName name="form02_65_3__849">#REF!</definedName>
    <definedName name="form02_65_3__85">#REF!</definedName>
    <definedName name="form02_65_3__850">#REF!</definedName>
    <definedName name="form02_65_3__851">#REF!</definedName>
    <definedName name="form02_65_3__852">#REF!</definedName>
    <definedName name="form02_65_3__853">#REF!</definedName>
    <definedName name="form02_65_3__854">#REF!</definedName>
    <definedName name="form02_65_3__855">#REF!</definedName>
    <definedName name="form02_65_3__856">#REF!</definedName>
    <definedName name="form02_65_3__857">#REF!</definedName>
    <definedName name="form02_65_3__858">#REF!</definedName>
    <definedName name="form02_65_3__859">#REF!</definedName>
    <definedName name="form02_65_3__86">#REF!</definedName>
    <definedName name="form02_65_3__860">#REF!</definedName>
    <definedName name="form02_65_3__861">#REF!</definedName>
    <definedName name="form02_65_3__862">#REF!</definedName>
    <definedName name="form02_65_3__863">#REF!</definedName>
    <definedName name="form02_65_3__864">#REF!</definedName>
    <definedName name="form02_65_3__865">#REF!</definedName>
    <definedName name="form02_65_3__866">#REF!</definedName>
    <definedName name="form02_65_3__867">#REF!</definedName>
    <definedName name="form02_65_3__868">#REF!</definedName>
    <definedName name="form02_65_3__869">#REF!</definedName>
    <definedName name="form02_65_3__87">#REF!</definedName>
    <definedName name="form02_65_3__870">#REF!</definedName>
    <definedName name="form02_65_3__871">#REF!</definedName>
    <definedName name="form02_65_3__872">#REF!</definedName>
    <definedName name="form02_65_3__873">#REF!</definedName>
    <definedName name="form02_65_3__874">#REF!</definedName>
    <definedName name="form02_65_3__875">#REF!</definedName>
    <definedName name="form02_65_3__876">#REF!</definedName>
    <definedName name="form02_65_3__877">#REF!</definedName>
    <definedName name="form02_65_3__878">#REF!</definedName>
    <definedName name="form02_65_3__879">#REF!</definedName>
    <definedName name="form02_65_3__88">#REF!</definedName>
    <definedName name="form02_65_3__880">#REF!</definedName>
    <definedName name="form02_65_3__881">#REF!</definedName>
    <definedName name="form02_65_3__882">#REF!</definedName>
    <definedName name="form02_65_3__883">#REF!</definedName>
    <definedName name="form02_65_3__884">#REF!</definedName>
    <definedName name="form02_65_3__885">#REF!</definedName>
    <definedName name="form02_65_3__886">#REF!</definedName>
    <definedName name="form02_65_3__887">#REF!</definedName>
    <definedName name="form02_65_3__888">#REF!</definedName>
    <definedName name="form02_65_3__889">#REF!</definedName>
    <definedName name="form02_65_3__89">#REF!</definedName>
    <definedName name="form02_65_3__890">#REF!</definedName>
    <definedName name="form02_65_3__891">#REF!</definedName>
    <definedName name="form02_65_3__892">#REF!</definedName>
    <definedName name="form02_65_3__893">#REF!</definedName>
    <definedName name="form02_65_3__894">#REF!</definedName>
    <definedName name="form02_65_3__895">#REF!</definedName>
    <definedName name="form02_65_3__896">#REF!</definedName>
    <definedName name="form02_65_3__897">#REF!</definedName>
    <definedName name="form02_65_3__898">#REF!</definedName>
    <definedName name="form02_65_3__899">#REF!</definedName>
    <definedName name="form02_65_3__9">#REF!</definedName>
    <definedName name="form02_65_3__90">#REF!</definedName>
    <definedName name="form02_65_3__900">#REF!</definedName>
    <definedName name="form02_65_3__901">#REF!</definedName>
    <definedName name="form02_65_3__902">#REF!</definedName>
    <definedName name="form02_65_3__903">#REF!</definedName>
    <definedName name="form02_65_3__904">#REF!</definedName>
    <definedName name="form02_65_3__905">#REF!</definedName>
    <definedName name="form02_65_3__906">#REF!</definedName>
    <definedName name="form02_65_3__907">#REF!</definedName>
    <definedName name="form02_65_3__908">#REF!</definedName>
    <definedName name="form02_65_3__909">#REF!</definedName>
    <definedName name="form02_65_3__91">#REF!</definedName>
    <definedName name="form02_65_3__910">#REF!</definedName>
    <definedName name="form02_65_3__911">#REF!</definedName>
    <definedName name="form02_65_3__912">#REF!</definedName>
    <definedName name="form02_65_3__913">#REF!</definedName>
    <definedName name="form02_65_3__914">#REF!</definedName>
    <definedName name="form02_65_3__915">#REF!</definedName>
    <definedName name="form02_65_3__916">#REF!</definedName>
    <definedName name="form02_65_3__917">#REF!</definedName>
    <definedName name="form02_65_3__918">#REF!</definedName>
    <definedName name="form02_65_3__919">#REF!</definedName>
    <definedName name="form02_65_3__92">#REF!</definedName>
    <definedName name="form02_65_3__920">#REF!</definedName>
    <definedName name="form02_65_3__921">#REF!</definedName>
    <definedName name="form02_65_3__922">#REF!</definedName>
    <definedName name="form02_65_3__923">#REF!</definedName>
    <definedName name="form02_65_3__924">#REF!</definedName>
    <definedName name="form02_65_3__925">#REF!</definedName>
    <definedName name="form02_65_3__926">#REF!</definedName>
    <definedName name="form02_65_3__927">#REF!</definedName>
    <definedName name="form02_65_3__928">#REF!</definedName>
    <definedName name="form02_65_3__929">#REF!</definedName>
    <definedName name="form02_65_3__93">#REF!</definedName>
    <definedName name="form02_65_3__930">#REF!</definedName>
    <definedName name="form02_65_3__931">#REF!</definedName>
    <definedName name="form02_65_3__932">#REF!</definedName>
    <definedName name="form02_65_3__933">#REF!</definedName>
    <definedName name="form02_65_3__934">#REF!</definedName>
    <definedName name="form02_65_3__935">#REF!</definedName>
    <definedName name="form02_65_3__936">#REF!</definedName>
    <definedName name="form02_65_3__937">#REF!</definedName>
    <definedName name="form02_65_3__938">#REF!</definedName>
    <definedName name="form02_65_3__939">#REF!</definedName>
    <definedName name="form02_65_3__94">#REF!</definedName>
    <definedName name="form02_65_3__940">#REF!</definedName>
    <definedName name="form02_65_3__941">#REF!</definedName>
    <definedName name="form02_65_3__942">#REF!</definedName>
    <definedName name="form02_65_3__943">#REF!</definedName>
    <definedName name="form02_65_3__944">#REF!</definedName>
    <definedName name="form02_65_3__945">#REF!</definedName>
    <definedName name="form02_65_3__946">#REF!</definedName>
    <definedName name="form02_65_3__947">#REF!</definedName>
    <definedName name="form02_65_3__948">#REF!</definedName>
    <definedName name="form02_65_3__949">#REF!</definedName>
    <definedName name="form02_65_3__95">#REF!</definedName>
    <definedName name="form02_65_3__950">#REF!</definedName>
    <definedName name="form02_65_3__951">#REF!</definedName>
    <definedName name="form02_65_3__952">#REF!</definedName>
    <definedName name="form02_65_3__953">#REF!</definedName>
    <definedName name="form02_65_3__954">#REF!</definedName>
    <definedName name="form02_65_3__955">#REF!</definedName>
    <definedName name="form02_65_3__956">#REF!</definedName>
    <definedName name="form02_65_3__957">#REF!</definedName>
    <definedName name="form02_65_3__958">#REF!</definedName>
    <definedName name="form02_65_3__959">#REF!</definedName>
    <definedName name="form02_65_3__96">#REF!</definedName>
    <definedName name="form02_65_3__960">#REF!</definedName>
    <definedName name="form02_65_3__961">#REF!</definedName>
    <definedName name="form02_65_3__962">#REF!</definedName>
    <definedName name="form02_65_3__963">#REF!</definedName>
    <definedName name="form02_65_3__964">#REF!</definedName>
    <definedName name="form02_65_3__965">#REF!</definedName>
    <definedName name="form02_65_3__966">#REF!</definedName>
    <definedName name="form02_65_3__967">#REF!</definedName>
    <definedName name="form02_65_3__968">#REF!</definedName>
    <definedName name="form02_65_3__969">#REF!</definedName>
    <definedName name="form02_65_3__97">#REF!</definedName>
    <definedName name="form02_65_3__970">#REF!</definedName>
    <definedName name="form02_65_3__971">#REF!</definedName>
    <definedName name="form02_65_3__972">#REF!</definedName>
    <definedName name="form02_65_3__973">#REF!</definedName>
    <definedName name="form02_65_3__974">#REF!</definedName>
    <definedName name="form02_65_3__975">#REF!</definedName>
    <definedName name="form02_65_3__976">#REF!</definedName>
    <definedName name="form02_65_3__977">#REF!</definedName>
    <definedName name="form02_65_3__978">#REF!</definedName>
    <definedName name="form02_65_3__979">#REF!</definedName>
    <definedName name="form02_65_3__98">#REF!</definedName>
    <definedName name="form02_65_3__980">#REF!</definedName>
    <definedName name="form02_65_3__981">#REF!</definedName>
    <definedName name="form02_65_3__982">#REF!</definedName>
    <definedName name="form02_65_3__983">#REF!</definedName>
    <definedName name="form02_65_3__984">#REF!</definedName>
    <definedName name="form02_65_3__985">#REF!</definedName>
    <definedName name="form02_65_3__986">#REF!</definedName>
    <definedName name="form02_65_3__987">#REF!</definedName>
    <definedName name="form02_65_3__988">#REF!</definedName>
    <definedName name="form02_65_3__989">#REF!</definedName>
    <definedName name="form02_65_3__99">#REF!</definedName>
    <definedName name="form02_65_3__990">#REF!</definedName>
    <definedName name="form02_65_3__991">#REF!</definedName>
    <definedName name="form02_65_3__992">#REF!</definedName>
    <definedName name="form02_65_3__993">#REF!</definedName>
    <definedName name="form02_65_3__994">#REF!</definedName>
    <definedName name="form02_65_3__995">#REF!</definedName>
    <definedName name="form02_65_3__996">#REF!</definedName>
    <definedName name="form02_65_3__997">#REF!</definedName>
    <definedName name="form02_65_3__998">#REF!</definedName>
    <definedName name="form02_65_3__999">#REF!</definedName>
    <definedName name="_xlnm.Print_Area" localSheetId="2">'310'!$A$1:$I$58</definedName>
    <definedName name="_xlnm.Print_Area" localSheetId="3">'311'!$A$1:$L$48</definedName>
    <definedName name="_xlnm.Print_Area" localSheetId="4">'312'!$A$1:$L$41</definedName>
    <definedName name="_xlnm.Print_Area" localSheetId="5">'313'!$A$1:$L$28</definedName>
    <definedName name="_xlnm.Print_Area" localSheetId="6">'314'!$A$1:$K$38</definedName>
    <definedName name="_xlnm.Print_Area" localSheetId="7">'315'!$A$1:$J$56</definedName>
    <definedName name="_xlnm.Print_Area" localSheetId="8">'316'!$A$1:$L$60</definedName>
    <definedName name="_xlnm.Print_Area" localSheetId="9">'320'!$A$1:$G$54</definedName>
    <definedName name="_xlnm.Print_Area" localSheetId="10">'321'!$A$1:$L$55</definedName>
    <definedName name="_xlnm.Print_Area" localSheetId="1">Instructions!$A$1:$G$9</definedName>
    <definedName name="_xlnm.Print_Area" localSheetId="0">map!$A$1:$E$72</definedName>
    <definedName name="_xlnm.Print_Titles" localSheetId="6">'314'!$15:$17</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1" i="20" l="1"/>
  <c r="A22" i="20"/>
  <c r="A23" i="20"/>
  <c r="A24" i="20"/>
  <c r="A25" i="20" s="1"/>
  <c r="A26" i="20" s="1"/>
  <c r="A28" i="20" s="1"/>
  <c r="A29" i="20" s="1"/>
  <c r="A30" i="20" s="1"/>
  <c r="A31" i="20" s="1"/>
  <c r="A32" i="20" s="1"/>
  <c r="A33" i="20" s="1"/>
  <c r="A34" i="20" s="1"/>
  <c r="A36" i="20" s="1"/>
  <c r="A37" i="20" s="1"/>
  <c r="A38" i="20" s="1"/>
  <c r="A40" i="20" s="1"/>
  <c r="A41" i="20" s="1"/>
  <c r="A42" i="20" s="1"/>
  <c r="A43" i="20" s="1"/>
  <c r="A44" i="20" s="1"/>
  <c r="A46" i="20" s="1"/>
  <c r="A47" i="20" s="1"/>
  <c r="A48" i="20" s="1"/>
  <c r="A49" i="20" s="1"/>
  <c r="A51" i="20" s="1"/>
  <c r="A52" i="20" s="1"/>
  <c r="A53" i="20" s="1"/>
  <c r="A54" i="20" s="1"/>
  <c r="A55" i="20" s="1"/>
  <c r="A56" i="20" s="1"/>
  <c r="A57" i="20" s="1"/>
  <c r="A58" i="20" s="1"/>
  <c r="I29" i="20"/>
  <c r="I30" i="20"/>
  <c r="I38" i="20"/>
  <c r="I42" i="20"/>
  <c r="I44" i="20"/>
  <c r="I49" i="20"/>
  <c r="K3" i="23"/>
  <c r="K5" i="23"/>
  <c r="H21" i="23"/>
  <c r="K21" i="23"/>
  <c r="L21" i="23" s="1"/>
  <c r="A22" i="23"/>
  <c r="H22" i="23"/>
  <c r="K22" i="23"/>
  <c r="L22" i="23" s="1"/>
  <c r="A23" i="23"/>
  <c r="H23" i="23"/>
  <c r="K23" i="23"/>
  <c r="L23" i="23"/>
  <c r="A24" i="23"/>
  <c r="A25" i="23" s="1"/>
  <c r="A26" i="23" s="1"/>
  <c r="A27" i="23" s="1"/>
  <c r="A29" i="23" s="1"/>
  <c r="A30" i="23" s="1"/>
  <c r="A31" i="23" s="1"/>
  <c r="A32" i="23" s="1"/>
  <c r="A36" i="23" s="1"/>
  <c r="A37" i="23" s="1"/>
  <c r="A38" i="23" s="1"/>
  <c r="A39" i="23" s="1"/>
  <c r="A40" i="23" s="1"/>
  <c r="A42" i="23" s="1"/>
  <c r="A43" i="23" s="1"/>
  <c r="A44" i="23" s="1"/>
  <c r="A46" i="23" s="1"/>
  <c r="H24" i="23"/>
  <c r="K24" i="23"/>
  <c r="L24" i="23" s="1"/>
  <c r="H25" i="23"/>
  <c r="K25" i="23"/>
  <c r="L25" i="23"/>
  <c r="H26" i="23"/>
  <c r="K26" i="23"/>
  <c r="L26" i="23" s="1"/>
  <c r="F27" i="23"/>
  <c r="G27" i="23"/>
  <c r="H27" i="23"/>
  <c r="I27" i="23"/>
  <c r="J27" i="23"/>
  <c r="J32" i="23" s="1"/>
  <c r="K27" i="23"/>
  <c r="K32" i="23" s="1"/>
  <c r="H29" i="23"/>
  <c r="K29" i="23"/>
  <c r="L29" i="23" s="1"/>
  <c r="L31" i="23" s="1"/>
  <c r="H30" i="23"/>
  <c r="K30" i="23"/>
  <c r="L30" i="23"/>
  <c r="F31" i="23"/>
  <c r="G31" i="23"/>
  <c r="H31" i="23"/>
  <c r="I31" i="23"/>
  <c r="J31" i="23"/>
  <c r="K31" i="23"/>
  <c r="F32" i="23"/>
  <c r="G32" i="23"/>
  <c r="H28" i="26" s="1"/>
  <c r="H32" i="23"/>
  <c r="I32" i="23"/>
  <c r="H36" i="23"/>
  <c r="K36" i="23"/>
  <c r="L36" i="23"/>
  <c r="H37" i="23"/>
  <c r="K37" i="23"/>
  <c r="L37" i="23" s="1"/>
  <c r="L38" i="23" s="1"/>
  <c r="L40" i="23" s="1"/>
  <c r="F38" i="23"/>
  <c r="F40" i="23" s="1"/>
  <c r="F48" i="23" s="1"/>
  <c r="G38" i="23"/>
  <c r="G40" i="23" s="1"/>
  <c r="G48" i="23" s="1"/>
  <c r="H29" i="26" s="1"/>
  <c r="H38" i="23"/>
  <c r="H40" i="23" s="1"/>
  <c r="H48" i="23" s="1"/>
  <c r="I38" i="23"/>
  <c r="I40" i="23" s="1"/>
  <c r="I48" i="23" s="1"/>
  <c r="J38" i="23"/>
  <c r="J40" i="23" s="1"/>
  <c r="J48" i="23" s="1"/>
  <c r="K38" i="23"/>
  <c r="K40" i="23" s="1"/>
  <c r="H39" i="23"/>
  <c r="K39" i="23"/>
  <c r="L39" i="23" s="1"/>
  <c r="H42" i="23"/>
  <c r="H44" i="23" s="1"/>
  <c r="K42" i="23"/>
  <c r="K44" i="23" s="1"/>
  <c r="H43" i="23"/>
  <c r="K43" i="23"/>
  <c r="L43" i="23"/>
  <c r="G44" i="23"/>
  <c r="I44" i="23"/>
  <c r="J44" i="23"/>
  <c r="H46" i="23"/>
  <c r="K46" i="23"/>
  <c r="L46" i="23"/>
  <c r="H47" i="23"/>
  <c r="L47" i="23" s="1"/>
  <c r="K47" i="23"/>
  <c r="G3" i="21"/>
  <c r="G5" i="21"/>
  <c r="H17" i="21"/>
  <c r="K17" i="21"/>
  <c r="L17" i="21"/>
  <c r="A18" i="21"/>
  <c r="H18" i="21"/>
  <c r="H21" i="21" s="1"/>
  <c r="H23" i="21" s="1"/>
  <c r="H32" i="21" s="1"/>
  <c r="K18" i="21"/>
  <c r="K21" i="21" s="1"/>
  <c r="K23" i="21" s="1"/>
  <c r="A19" i="21"/>
  <c r="H19" i="21"/>
  <c r="L19" i="21" s="1"/>
  <c r="K19" i="21"/>
  <c r="A20" i="21"/>
  <c r="H20" i="21"/>
  <c r="L20" i="21" s="1"/>
  <c r="K20" i="21"/>
  <c r="A21" i="21"/>
  <c r="A22" i="21" s="1"/>
  <c r="A23" i="21" s="1"/>
  <c r="A24" i="21" s="1"/>
  <c r="F21" i="21"/>
  <c r="F23" i="21" s="1"/>
  <c r="F32" i="21" s="1"/>
  <c r="F41" i="21" s="1"/>
  <c r="G21" i="21"/>
  <c r="G23" i="21" s="1"/>
  <c r="G32" i="21" s="1"/>
  <c r="G41" i="21" s="1"/>
  <c r="H30" i="26" s="1"/>
  <c r="I21" i="21"/>
  <c r="J21" i="21"/>
  <c r="H22" i="21"/>
  <c r="L22" i="21" s="1"/>
  <c r="K22" i="21"/>
  <c r="I23" i="21"/>
  <c r="I32" i="21" s="1"/>
  <c r="I41" i="21" s="1"/>
  <c r="J23" i="21"/>
  <c r="J32" i="21" s="1"/>
  <c r="J41" i="21" s="1"/>
  <c r="K24" i="21"/>
  <c r="K27" i="21" s="1"/>
  <c r="L24" i="21"/>
  <c r="L27" i="21" s="1"/>
  <c r="K25" i="21"/>
  <c r="L25" i="21"/>
  <c r="A26" i="21"/>
  <c r="K26" i="21"/>
  <c r="L26" i="21"/>
  <c r="A27" i="21"/>
  <c r="H27" i="21"/>
  <c r="I27" i="21"/>
  <c r="J27" i="21"/>
  <c r="A28" i="21"/>
  <c r="A29" i="21" s="1"/>
  <c r="A30" i="21" s="1"/>
  <c r="A31" i="21" s="1"/>
  <c r="A32" i="21" s="1"/>
  <c r="A34" i="21" s="1"/>
  <c r="A35" i="21" s="1"/>
  <c r="A36" i="21" s="1"/>
  <c r="A37" i="21" s="1"/>
  <c r="A39" i="21" s="1"/>
  <c r="A41" i="21" s="1"/>
  <c r="K28" i="21"/>
  <c r="K30" i="21" s="1"/>
  <c r="L28" i="21"/>
  <c r="K29" i="21"/>
  <c r="L29" i="21" s="1"/>
  <c r="I30" i="21"/>
  <c r="J30" i="21"/>
  <c r="H31" i="21"/>
  <c r="L31" i="21"/>
  <c r="H34" i="21"/>
  <c r="H37" i="21" s="1"/>
  <c r="K34" i="21"/>
  <c r="K37" i="21" s="1"/>
  <c r="H35" i="21"/>
  <c r="L35" i="21" s="1"/>
  <c r="K35" i="21"/>
  <c r="H36" i="21"/>
  <c r="K36" i="21"/>
  <c r="L36" i="21"/>
  <c r="F37" i="21"/>
  <c r="G37" i="21"/>
  <c r="I37" i="21"/>
  <c r="J37" i="21"/>
  <c r="H39" i="21"/>
  <c r="L39" i="21" s="1"/>
  <c r="K39" i="21"/>
  <c r="G3" i="22"/>
  <c r="G5" i="22"/>
  <c r="H20" i="22"/>
  <c r="K20" i="22"/>
  <c r="L20" i="22"/>
  <c r="H21" i="22"/>
  <c r="L21" i="22" s="1"/>
  <c r="L28" i="22" s="1"/>
  <c r="G23" i="20" s="1"/>
  <c r="I23" i="20" s="1"/>
  <c r="K21" i="22"/>
  <c r="K28" i="22" s="1"/>
  <c r="H22" i="22"/>
  <c r="K22" i="22"/>
  <c r="L22" i="22"/>
  <c r="H23" i="22"/>
  <c r="K23" i="22"/>
  <c r="L23" i="22"/>
  <c r="H24" i="22"/>
  <c r="L24" i="22" s="1"/>
  <c r="K24" i="22"/>
  <c r="K25" i="22"/>
  <c r="L25" i="22" s="1"/>
  <c r="K26" i="22"/>
  <c r="L26" i="22"/>
  <c r="H27" i="22"/>
  <c r="L27" i="22" s="1"/>
  <c r="K27" i="22"/>
  <c r="F28" i="22"/>
  <c r="G28" i="22"/>
  <c r="I28" i="22"/>
  <c r="J28" i="22"/>
  <c r="J3" i="29"/>
  <c r="J5" i="29"/>
  <c r="J19" i="29"/>
  <c r="J27" i="29" s="1"/>
  <c r="J38" i="29" s="1"/>
  <c r="K19" i="29"/>
  <c r="K27" i="29" s="1"/>
  <c r="A20" i="29"/>
  <c r="A22" i="29" s="1"/>
  <c r="A23" i="29" s="1"/>
  <c r="A24" i="29" s="1"/>
  <c r="A25" i="29" s="1"/>
  <c r="A26" i="29" s="1"/>
  <c r="A27" i="29" s="1"/>
  <c r="A30" i="29" s="1"/>
  <c r="A31" i="29" s="1"/>
  <c r="A32" i="29" s="1"/>
  <c r="A33" i="29" s="1"/>
  <c r="A34" i="29" s="1"/>
  <c r="A36" i="29" s="1"/>
  <c r="A38" i="29" s="1"/>
  <c r="J20" i="29"/>
  <c r="K20" i="29" s="1"/>
  <c r="J22" i="29"/>
  <c r="K22" i="29"/>
  <c r="J23" i="29"/>
  <c r="K23" i="29" s="1"/>
  <c r="K24" i="29" s="1"/>
  <c r="G24" i="29"/>
  <c r="G27" i="29" s="1"/>
  <c r="G38" i="29" s="1"/>
  <c r="H24" i="29"/>
  <c r="H27" i="29" s="1"/>
  <c r="H38" i="29" s="1"/>
  <c r="I24" i="29"/>
  <c r="I27" i="29" s="1"/>
  <c r="I38" i="29" s="1"/>
  <c r="J24" i="29"/>
  <c r="J25" i="29"/>
  <c r="K25" i="29"/>
  <c r="J26" i="29"/>
  <c r="K26" i="29" s="1"/>
  <c r="J30" i="29"/>
  <c r="J34" i="29" s="1"/>
  <c r="K30" i="29"/>
  <c r="J31" i="29"/>
  <c r="K31" i="29" s="1"/>
  <c r="J32" i="29"/>
  <c r="K32" i="29"/>
  <c r="J33" i="29"/>
  <c r="K33" i="29"/>
  <c r="G34" i="29"/>
  <c r="H34" i="29"/>
  <c r="I34" i="29"/>
  <c r="J36" i="29"/>
  <c r="K36" i="29"/>
  <c r="G3" i="26"/>
  <c r="G5" i="26"/>
  <c r="J21" i="26"/>
  <c r="A22" i="26"/>
  <c r="J22" i="26"/>
  <c r="A23" i="26"/>
  <c r="A24" i="26" s="1"/>
  <c r="A25" i="26" s="1"/>
  <c r="A28" i="26" s="1"/>
  <c r="A29" i="26" s="1"/>
  <c r="A30" i="26" s="1"/>
  <c r="A31" i="26" s="1"/>
  <c r="A32" i="26" s="1"/>
  <c r="A36" i="26" s="1"/>
  <c r="A37" i="26" s="1"/>
  <c r="A38" i="26" s="1"/>
  <c r="A39" i="26" s="1"/>
  <c r="A40" i="26" s="1"/>
  <c r="A44" i="26" s="1"/>
  <c r="A45" i="26" s="1"/>
  <c r="A46" i="26" s="1"/>
  <c r="A47" i="26" s="1"/>
  <c r="A48" i="26" s="1"/>
  <c r="A52" i="26" s="1"/>
  <c r="A53" i="26" s="1"/>
  <c r="A54" i="26" s="1"/>
  <c r="A55" i="26" s="1"/>
  <c r="A56" i="26" s="1"/>
  <c r="J23" i="26"/>
  <c r="J24" i="26"/>
  <c r="F25" i="26"/>
  <c r="H25" i="26"/>
  <c r="H31" i="26"/>
  <c r="F40" i="26"/>
  <c r="H40" i="26"/>
  <c r="F48" i="26"/>
  <c r="H48" i="26"/>
  <c r="F56" i="26"/>
  <c r="H56" i="26"/>
  <c r="K3" i="31"/>
  <c r="K5" i="31"/>
  <c r="L21" i="31"/>
  <c r="L30" i="31" s="1"/>
  <c r="A22" i="31"/>
  <c r="L22" i="31"/>
  <c r="A23" i="31"/>
  <c r="A24" i="31" s="1"/>
  <c r="A25" i="31" s="1"/>
  <c r="A26" i="31" s="1"/>
  <c r="A27" i="31" s="1"/>
  <c r="A28" i="31" s="1"/>
  <c r="A29" i="31" s="1"/>
  <c r="A30" i="31" s="1"/>
  <c r="A33" i="31" s="1"/>
  <c r="A34" i="31" s="1"/>
  <c r="A35" i="31" s="1"/>
  <c r="A36" i="31" s="1"/>
  <c r="A37" i="31" s="1"/>
  <c r="A39" i="31" s="1"/>
  <c r="A40" i="31" s="1"/>
  <c r="A41" i="31" s="1"/>
  <c r="A42" i="31" s="1"/>
  <c r="A43" i="31" s="1"/>
  <c r="A44" i="31" s="1"/>
  <c r="A45" i="31" s="1"/>
  <c r="A47" i="31" s="1"/>
  <c r="A48" i="31" s="1"/>
  <c r="A49" i="31" s="1"/>
  <c r="A50" i="31" s="1"/>
  <c r="A51" i="31" s="1"/>
  <c r="A53" i="31" s="1"/>
  <c r="A54" i="31" s="1"/>
  <c r="A55" i="31" s="1"/>
  <c r="A56" i="31" s="1"/>
  <c r="A57" i="31" s="1"/>
  <c r="A58" i="31" s="1"/>
  <c r="A59" i="31" s="1"/>
  <c r="A60" i="31" s="1"/>
  <c r="L23" i="31"/>
  <c r="L24" i="31"/>
  <c r="L25" i="31"/>
  <c r="L26" i="31"/>
  <c r="L27" i="31"/>
  <c r="L28" i="31"/>
  <c r="L29" i="31"/>
  <c r="H30" i="31"/>
  <c r="H51" i="31" s="1"/>
  <c r="I30" i="31"/>
  <c r="I51" i="31" s="1"/>
  <c r="J30" i="31"/>
  <c r="J51" i="31" s="1"/>
  <c r="K30" i="31"/>
  <c r="L33" i="31"/>
  <c r="L34" i="31"/>
  <c r="L35" i="31"/>
  <c r="L36" i="31"/>
  <c r="H37" i="31"/>
  <c r="I37" i="31"/>
  <c r="J37" i="31"/>
  <c r="K37" i="31"/>
  <c r="K51" i="31" s="1"/>
  <c r="L37" i="31"/>
  <c r="L39" i="31"/>
  <c r="L45" i="31" s="1"/>
  <c r="L40" i="31"/>
  <c r="L41" i="31"/>
  <c r="L42" i="31"/>
  <c r="L43" i="31"/>
  <c r="L44" i="31"/>
  <c r="H45" i="31"/>
  <c r="I45" i="31"/>
  <c r="J45" i="31"/>
  <c r="K45" i="31"/>
  <c r="L47" i="31"/>
  <c r="L48" i="31"/>
  <c r="L49" i="31"/>
  <c r="H50" i="31"/>
  <c r="I50" i="31"/>
  <c r="J50" i="31"/>
  <c r="K50" i="31"/>
  <c r="L50" i="31"/>
  <c r="L59" i="31"/>
  <c r="H28" i="20" s="1"/>
  <c r="H31" i="20" s="1"/>
  <c r="G3" i="27"/>
  <c r="G5" i="27"/>
  <c r="A14" i="27"/>
  <c r="A15" i="27"/>
  <c r="A16" i="27"/>
  <c r="A17" i="27"/>
  <c r="G17" i="27"/>
  <c r="G29" i="27" s="1"/>
  <c r="A19" i="27"/>
  <c r="A20" i="27"/>
  <c r="A21" i="27"/>
  <c r="A22" i="27" s="1"/>
  <c r="A23" i="27" s="1"/>
  <c r="A25" i="27" s="1"/>
  <c r="A26" i="27" s="1"/>
  <c r="A27" i="27" s="1"/>
  <c r="A28" i="27" s="1"/>
  <c r="A29" i="27" s="1"/>
  <c r="A33" i="27" s="1"/>
  <c r="A34" i="27" s="1"/>
  <c r="A35" i="27" s="1"/>
  <c r="A36" i="27" s="1"/>
  <c r="A37" i="27" s="1"/>
  <c r="A39" i="27" s="1"/>
  <c r="A40" i="27" s="1"/>
  <c r="A41" i="27" s="1"/>
  <c r="A42" i="27" s="1"/>
  <c r="A44" i="27" s="1"/>
  <c r="A45" i="27" s="1"/>
  <c r="A46" i="27" s="1"/>
  <c r="A47" i="27" s="1"/>
  <c r="A48" i="27" s="1"/>
  <c r="A49" i="27" s="1"/>
  <c r="A50" i="27" s="1"/>
  <c r="A51" i="27" s="1"/>
  <c r="A53" i="27" s="1"/>
  <c r="G23" i="27"/>
  <c r="G28" i="27"/>
  <c r="G37" i="27"/>
  <c r="G51" i="27" s="1"/>
  <c r="G42" i="27"/>
  <c r="G50" i="27"/>
  <c r="H3" i="28"/>
  <c r="H5" i="28"/>
  <c r="H19" i="28"/>
  <c r="A20" i="28"/>
  <c r="H20" i="28"/>
  <c r="A21" i="28"/>
  <c r="A22" i="28" s="1"/>
  <c r="A23" i="28" s="1"/>
  <c r="A24" i="28" s="1"/>
  <c r="A26" i="28" s="1"/>
  <c r="A27" i="28" s="1"/>
  <c r="A28" i="28" s="1"/>
  <c r="A29" i="28" s="1"/>
  <c r="A30" i="28" s="1"/>
  <c r="A33" i="28" s="1"/>
  <c r="A34" i="28" s="1"/>
  <c r="A35" i="28" s="1"/>
  <c r="A36" i="28" s="1"/>
  <c r="A37" i="28" s="1"/>
  <c r="A38" i="28" s="1"/>
  <c r="A40" i="28" s="1"/>
  <c r="A41" i="28" s="1"/>
  <c r="A42" i="28" s="1"/>
  <c r="A43" i="28" s="1"/>
  <c r="A44" i="28" s="1"/>
  <c r="A46" i="28" s="1"/>
  <c r="A47" i="28" s="1"/>
  <c r="A48" i="28" s="1"/>
  <c r="A49" i="28" s="1"/>
  <c r="A50" i="28" s="1"/>
  <c r="A51" i="28" s="1"/>
  <c r="A52" i="28" s="1"/>
  <c r="A53" i="28" s="1"/>
  <c r="A54" i="28" s="1"/>
  <c r="A55" i="28" s="1"/>
  <c r="H21" i="28"/>
  <c r="H22" i="28"/>
  <c r="H23" i="28"/>
  <c r="F24" i="28"/>
  <c r="F30" i="28" s="1"/>
  <c r="F55" i="28" s="1"/>
  <c r="G24" i="28"/>
  <c r="G30" i="28" s="1"/>
  <c r="G55" i="28" s="1"/>
  <c r="H24" i="28"/>
  <c r="H30" i="28" s="1"/>
  <c r="H26" i="28"/>
  <c r="H27" i="28"/>
  <c r="H28" i="28"/>
  <c r="F29" i="28"/>
  <c r="G29" i="28"/>
  <c r="H29" i="28"/>
  <c r="H33" i="28"/>
  <c r="H38" i="28" s="1"/>
  <c r="H44" i="28" s="1"/>
  <c r="H34" i="28"/>
  <c r="H35" i="28"/>
  <c r="H36" i="28"/>
  <c r="H37" i="28"/>
  <c r="F38" i="28"/>
  <c r="G38" i="28"/>
  <c r="G44" i="28" s="1"/>
  <c r="H40" i="28"/>
  <c r="H41" i="28"/>
  <c r="H42" i="28"/>
  <c r="F43" i="28"/>
  <c r="G43" i="28"/>
  <c r="H43" i="28"/>
  <c r="F44" i="28"/>
  <c r="H46" i="28"/>
  <c r="H47" i="28"/>
  <c r="H48" i="28"/>
  <c r="H49" i="28"/>
  <c r="H50" i="28"/>
  <c r="H51" i="28"/>
  <c r="F52" i="28"/>
  <c r="G52" i="28"/>
  <c r="H52" i="28"/>
  <c r="H53" i="28"/>
  <c r="H54" i="28"/>
  <c r="L27" i="23" l="1"/>
  <c r="L32" i="23" s="1"/>
  <c r="G20" i="20" s="1"/>
  <c r="L30" i="21"/>
  <c r="G53" i="27"/>
  <c r="H32" i="26"/>
  <c r="H55" i="28"/>
  <c r="K34" i="29"/>
  <c r="K38" i="29" s="1"/>
  <c r="H24" i="20" s="1"/>
  <c r="K32" i="21"/>
  <c r="K41" i="21" s="1"/>
  <c r="L51" i="31"/>
  <c r="H41" i="21"/>
  <c r="K48" i="23"/>
  <c r="L34" i="21"/>
  <c r="L37" i="21" s="1"/>
  <c r="L42" i="23"/>
  <c r="L44" i="23" s="1"/>
  <c r="L48" i="23" s="1"/>
  <c r="G21" i="20" s="1"/>
  <c r="I21" i="20" s="1"/>
  <c r="L18" i="21"/>
  <c r="L21" i="21" s="1"/>
  <c r="L23" i="21" s="1"/>
  <c r="L32" i="21" s="1"/>
  <c r="L41" i="21" s="1"/>
  <c r="G22" i="20" s="1"/>
  <c r="I22" i="20" s="1"/>
  <c r="H28" i="22"/>
  <c r="I24" i="20" l="1"/>
  <c r="H26" i="20"/>
  <c r="H32" i="20" s="1"/>
  <c r="I20" i="20"/>
  <c r="I26" i="20" s="1"/>
  <c r="G26" i="20"/>
  <c r="G28" i="20"/>
  <c r="L60" i="31"/>
  <c r="I28" i="20" l="1"/>
  <c r="I31" i="20" s="1"/>
  <c r="I32" i="20" s="1"/>
  <c r="I34" i="20" s="1"/>
  <c r="I51" i="20" s="1"/>
  <c r="I53" i="20" s="1"/>
  <c r="I56" i="20" s="1"/>
  <c r="I58" i="20" s="1"/>
  <c r="G31" i="20"/>
  <c r="G32" i="20"/>
</calcChain>
</file>

<file path=xl/sharedStrings.xml><?xml version="1.0" encoding="utf-8"?>
<sst xmlns="http://schemas.openxmlformats.org/spreadsheetml/2006/main" count="910" uniqueCount="532">
  <si>
    <t>Local</t>
  </si>
  <si>
    <t>Other</t>
  </si>
  <si>
    <t>Data Link</t>
  </si>
  <si>
    <t>Internet Transport</t>
  </si>
  <si>
    <t>Switching &amp; Aggregation</t>
  </si>
  <si>
    <t>Other Local Interconnection</t>
  </si>
  <si>
    <t>Total</t>
  </si>
  <si>
    <t>Unbundled Loops</t>
  </si>
  <si>
    <t>X.25</t>
  </si>
  <si>
    <t>ATM</t>
  </si>
  <si>
    <t>Frame Relay</t>
  </si>
  <si>
    <t>IP-VPN</t>
  </si>
  <si>
    <t>Residential</t>
  </si>
  <si>
    <t>Business</t>
  </si>
  <si>
    <t>Wholesale</t>
  </si>
  <si>
    <t>(a)</t>
  </si>
  <si>
    <t>(b)</t>
  </si>
  <si>
    <t>(c)</t>
  </si>
  <si>
    <t>(d)</t>
  </si>
  <si>
    <t>Paging</t>
  </si>
  <si>
    <t>Operating Revenues</t>
  </si>
  <si>
    <t>(e)</t>
  </si>
  <si>
    <t>Operating Expenses</t>
  </si>
  <si>
    <t>Other Operating Expenses</t>
  </si>
  <si>
    <t>EBITDA</t>
  </si>
  <si>
    <t>Depreciation &amp; Amortization</t>
  </si>
  <si>
    <t>EBIT</t>
  </si>
  <si>
    <t>Non-Operating Expenses</t>
  </si>
  <si>
    <t>Interest</t>
  </si>
  <si>
    <t>Other Financing Charges</t>
  </si>
  <si>
    <t>Other Non-Operating Expenses</t>
  </si>
  <si>
    <t>Non-Operating Income</t>
  </si>
  <si>
    <t xml:space="preserve">Other </t>
  </si>
  <si>
    <t>Extraordinary Items</t>
  </si>
  <si>
    <t>Asset Write-Downs</t>
  </si>
  <si>
    <t>Restructuring</t>
  </si>
  <si>
    <t>Income Before Taxes</t>
  </si>
  <si>
    <t>Taxes</t>
  </si>
  <si>
    <t>Income After Taxes</t>
  </si>
  <si>
    <t>After-Tax Income</t>
  </si>
  <si>
    <t>Preferred Dividends</t>
  </si>
  <si>
    <t>Net Income Available to Common Shareholders</t>
  </si>
  <si>
    <t>Common Dividends</t>
  </si>
  <si>
    <t>Other Charges</t>
  </si>
  <si>
    <t>Current Assets</t>
  </si>
  <si>
    <t>Cash</t>
  </si>
  <si>
    <t>Accounts Receivable</t>
  </si>
  <si>
    <t>Prepaid Items</t>
  </si>
  <si>
    <t>Other Current Assets</t>
  </si>
  <si>
    <t>Fixed Assets</t>
  </si>
  <si>
    <t>Land &amp; Buildings</t>
  </si>
  <si>
    <t>Plant Under Construction (PUC)</t>
  </si>
  <si>
    <t>Other Assets</t>
  </si>
  <si>
    <t>Deferred Charges</t>
  </si>
  <si>
    <t>Investments</t>
  </si>
  <si>
    <t>Total Assets</t>
  </si>
  <si>
    <t>Current Liabilities</t>
  </si>
  <si>
    <t>Accounts Payable &amp; Accrued Liabilities</t>
  </si>
  <si>
    <t>Short Term Debt</t>
  </si>
  <si>
    <t>Long Term Debt</t>
  </si>
  <si>
    <t>Deferred Credits</t>
  </si>
  <si>
    <t>Shareholders' Equity</t>
  </si>
  <si>
    <t>Adjustments to Retained Earnings</t>
  </si>
  <si>
    <t>Common Shares</t>
  </si>
  <si>
    <t>Preferred Shares</t>
  </si>
  <si>
    <t xml:space="preserve">          Accumulated Depreciation</t>
  </si>
  <si>
    <t>Debt Due Within One Year</t>
  </si>
  <si>
    <t>(f)</t>
  </si>
  <si>
    <t>(g)</t>
  </si>
  <si>
    <t>Switching</t>
  </si>
  <si>
    <t>Transmission</t>
  </si>
  <si>
    <t>Fibre</t>
  </si>
  <si>
    <t>Fixed Wireless</t>
  </si>
  <si>
    <t>Satellite</t>
  </si>
  <si>
    <t>Mobile Voice</t>
  </si>
  <si>
    <t>Other Liabilities</t>
  </si>
  <si>
    <t>Terminal Equipment</t>
  </si>
  <si>
    <t>Subtotal--User</t>
  </si>
  <si>
    <t>Subtotal--Carrier</t>
  </si>
  <si>
    <t>Retail</t>
  </si>
  <si>
    <t>Terminal Equipment--Paging</t>
  </si>
  <si>
    <t>Mobile Interconnection</t>
  </si>
  <si>
    <t>Paging Interconnection</t>
  </si>
  <si>
    <t>Total Mobile and Paging</t>
  </si>
  <si>
    <t>Paging Roaming (Intercarrier)</t>
  </si>
  <si>
    <t>1)</t>
  </si>
  <si>
    <t>2)</t>
  </si>
  <si>
    <t>Intercarrier Expenses</t>
  </si>
  <si>
    <t>3)</t>
  </si>
  <si>
    <t>Net Income to Retained Earnings</t>
  </si>
  <si>
    <t>Retained Earnings  (Opening Balance)</t>
  </si>
  <si>
    <t>Notes:</t>
  </si>
  <si>
    <t>4)</t>
  </si>
  <si>
    <t>Income Statement</t>
  </si>
  <si>
    <t>Balance Sheet</t>
  </si>
  <si>
    <t>Total Liabilities &amp; Shareholders' Equity</t>
  </si>
  <si>
    <t>5)</t>
  </si>
  <si>
    <t>Assets</t>
  </si>
  <si>
    <t>Liabilities &amp; Equity</t>
  </si>
  <si>
    <t>Other Current Liabilities</t>
  </si>
  <si>
    <t>Capital Expenditures (Gross)</t>
  </si>
  <si>
    <t>FINANCIAL</t>
  </si>
  <si>
    <t>Canada</t>
  </si>
  <si>
    <t>6)</t>
  </si>
  <si>
    <t>7)</t>
  </si>
  <si>
    <t xml:space="preserve">Total Operating Revenues  </t>
  </si>
  <si>
    <t xml:space="preserve">Total Operating Expenses  </t>
  </si>
  <si>
    <t xml:space="preserve">Total Non-Operating Income  </t>
  </si>
  <si>
    <t xml:space="preserve">Total Financing Charges  </t>
  </si>
  <si>
    <t xml:space="preserve">Total Non-Operating Expenses  </t>
  </si>
  <si>
    <t xml:space="preserve">Total Extraordinary Items  </t>
  </si>
  <si>
    <t>Note:</t>
  </si>
  <si>
    <t>(sum 1 to 4)</t>
  </si>
  <si>
    <t>(6+7-8+9)</t>
  </si>
  <si>
    <t>(sum 11 to 13)</t>
  </si>
  <si>
    <t>(5+10+14)</t>
  </si>
  <si>
    <t>(sum 16 to 19)</t>
  </si>
  <si>
    <t>(sum 21 to 23)</t>
  </si>
  <si>
    <r>
      <t>Switching</t>
    </r>
    <r>
      <rPr>
        <sz val="10"/>
        <rFont val="Times New Roman"/>
        <family val="1"/>
      </rPr>
      <t xml:space="preserve"> includes both switching hardware and switching software.</t>
    </r>
  </si>
  <si>
    <t>Total Assets - Total Liabilities &amp; Shareholders' Equity</t>
  </si>
  <si>
    <t>Geographic Market:</t>
  </si>
  <si>
    <t>Form Type:</t>
  </si>
  <si>
    <t>Form Sub-type:</t>
  </si>
  <si>
    <t>Reporting Basis:</t>
  </si>
  <si>
    <t xml:space="preserve">          Net Fixed Assets</t>
  </si>
  <si>
    <t>Total Company (Non-Consol.)</t>
  </si>
  <si>
    <t>Years:</t>
  </si>
  <si>
    <t>Total Intercarrier Expenses</t>
  </si>
  <si>
    <t>Total Company</t>
  </si>
  <si>
    <t>Mobile Data</t>
  </si>
  <si>
    <t>Long Distance</t>
  </si>
  <si>
    <t># of Accounts (Units)</t>
  </si>
  <si>
    <t>Small Business</t>
  </si>
  <si>
    <t>Medium Business</t>
  </si>
  <si>
    <t>Large Business</t>
  </si>
  <si>
    <t># of LD Accounts (Units)</t>
  </si>
  <si>
    <r>
      <t xml:space="preserve">Retail Subtotal </t>
    </r>
    <r>
      <rPr>
        <i/>
        <sz val="10"/>
        <rFont val="Times New Roman"/>
        <family val="1"/>
      </rPr>
      <t>(a+b)</t>
    </r>
  </si>
  <si>
    <r>
      <t xml:space="preserve">Data link revenues therefore </t>
    </r>
    <r>
      <rPr>
        <b/>
        <sz val="10"/>
        <rFont val="Times New Roman"/>
        <family val="1"/>
      </rPr>
      <t>include</t>
    </r>
    <r>
      <rPr>
        <sz val="10"/>
        <rFont val="Times New Roman"/>
        <family val="1"/>
      </rPr>
      <t xml:space="preserve"> bundled private line/data link products, but </t>
    </r>
    <r>
      <rPr>
        <b/>
        <sz val="10"/>
        <rFont val="Times New Roman"/>
        <family val="1"/>
      </rPr>
      <t xml:space="preserve">exclude </t>
    </r>
    <r>
      <rPr>
        <sz val="10"/>
        <rFont val="Times New Roman"/>
        <family val="1"/>
      </rPr>
      <t>products bundled with Internet access.</t>
    </r>
  </si>
  <si>
    <t>Basic Local Service (include touchtone)</t>
  </si>
  <si>
    <t>Settlement</t>
  </si>
  <si>
    <t>Internet</t>
  </si>
  <si>
    <t>Revenues per Account</t>
  </si>
  <si>
    <t>Contribution</t>
  </si>
  <si>
    <t>Wireline Operations</t>
  </si>
  <si>
    <t>Total Wireline</t>
  </si>
  <si>
    <t>Wireless Operations</t>
  </si>
  <si>
    <t>Wireless</t>
  </si>
  <si>
    <t>(sum 1 to 6)</t>
  </si>
  <si>
    <t>Data &amp; Private Line</t>
  </si>
  <si>
    <t>Total Private Line</t>
  </si>
  <si>
    <t>Business Wireline Accounts</t>
  </si>
  <si>
    <t>Access</t>
  </si>
  <si>
    <t>Copper</t>
  </si>
  <si>
    <t xml:space="preserve">Subtotal </t>
  </si>
  <si>
    <t>Financial</t>
  </si>
  <si>
    <t>Local &amp; Access</t>
  </si>
  <si>
    <t>Local Payphone</t>
  </si>
  <si>
    <t>Other Non-Toll Payphone Revenues</t>
  </si>
  <si>
    <t>Mobile &amp; Paging</t>
  </si>
  <si>
    <t>Year:</t>
  </si>
  <si>
    <t>Revenues: Local &amp; Access</t>
  </si>
  <si>
    <t>Revenues: Data, Private Line &amp; Internet</t>
  </si>
  <si>
    <t>Long Haul Private Line</t>
  </si>
  <si>
    <t>Short Haul Private Line</t>
  </si>
  <si>
    <t xml:space="preserve">Total Data Link  </t>
  </si>
  <si>
    <t>Revenues: Mobile &amp; Paging</t>
  </si>
  <si>
    <t xml:space="preserve">Roaming Charges </t>
  </si>
  <si>
    <t>Subtotal -- Roaming Charges</t>
  </si>
  <si>
    <t>Subtotal -- Mobile Voice</t>
  </si>
  <si>
    <t>Other Expenses not listed above</t>
  </si>
  <si>
    <t>Co-Location</t>
  </si>
  <si>
    <t>Centrex</t>
  </si>
  <si>
    <t xml:space="preserve">Total Wireless </t>
  </si>
  <si>
    <t>Ethernet</t>
  </si>
  <si>
    <t>Fixed Internet Access</t>
  </si>
  <si>
    <t>Yes = 1 / No = 0</t>
  </si>
  <si>
    <t>Please answer the following questions.</t>
  </si>
  <si>
    <t xml:space="preserve">A) Have you filed your 2002 financial statements with the CRTC? </t>
  </si>
  <si>
    <t>B) Are your financial statements available on the web?</t>
  </si>
  <si>
    <t>In-Group</t>
  </si>
  <si>
    <t>Out of Group</t>
  </si>
  <si>
    <t xml:space="preserve">Wholesale </t>
  </si>
  <si>
    <t>FORM:  03-310</t>
  </si>
  <si>
    <t>FORM:  03-311</t>
  </si>
  <si>
    <t>Payphone Subtotal--User</t>
  </si>
  <si>
    <t>Revenues: Wireline Long Distance</t>
  </si>
  <si>
    <t xml:space="preserve"> </t>
  </si>
  <si>
    <t>Operator Handled Revenues</t>
  </si>
  <si>
    <t>Network Administration Fees</t>
  </si>
  <si>
    <t>Payphone</t>
  </si>
  <si>
    <t>sum (1 to 8)</t>
  </si>
  <si>
    <t>FORM:  03-313</t>
  </si>
  <si>
    <t>Data</t>
  </si>
  <si>
    <t>Private Line</t>
  </si>
  <si>
    <t>(sum 6 to 9)</t>
  </si>
  <si>
    <t>Contributed Surplus</t>
  </si>
  <si>
    <t>(sum 25 to 30)</t>
  </si>
  <si>
    <t>(20+24+31)</t>
  </si>
  <si>
    <t>(15-32)</t>
  </si>
  <si>
    <t>Replacement</t>
  </si>
  <si>
    <t>Growth</t>
  </si>
  <si>
    <t>Equipment</t>
  </si>
  <si>
    <t>DSLAM</t>
  </si>
  <si>
    <t>Other Electronics</t>
  </si>
  <si>
    <t>Interexchange (Intracity, Intercity)</t>
  </si>
  <si>
    <t>Optical</t>
  </si>
  <si>
    <t>IP (Routers)</t>
  </si>
  <si>
    <t>Other Data</t>
  </si>
  <si>
    <t>Voice (TDM)</t>
  </si>
  <si>
    <t>Expenses</t>
  </si>
  <si>
    <t>FORM:  03-312</t>
  </si>
  <si>
    <t>FORM:  03-314</t>
  </si>
  <si>
    <t>FORM:  03-315</t>
  </si>
  <si>
    <t>FORM:  03-316</t>
  </si>
  <si>
    <t>FORM:  03-320</t>
  </si>
  <si>
    <t>FORM:  03-321</t>
  </si>
  <si>
    <t>(8+9)</t>
  </si>
  <si>
    <t>(7+10)</t>
  </si>
  <si>
    <t>(12+13)</t>
  </si>
  <si>
    <t>Total: Business Accounts (Units), Business Revenues</t>
  </si>
  <si>
    <t>Revenues</t>
  </si>
  <si>
    <t xml:space="preserve">Long Distance: Business Accounts (Units), Business Revenues </t>
  </si>
  <si>
    <t>LD Revenues</t>
  </si>
  <si>
    <t>(sum 1 and 4)</t>
  </si>
  <si>
    <t>(sum 11 to 14)</t>
  </si>
  <si>
    <t>(sum 21 to 24)</t>
  </si>
  <si>
    <t>Very Large Business</t>
  </si>
  <si>
    <t>Common (Power, light, heat, buildings, etc)</t>
  </si>
  <si>
    <t>Contribution Expense</t>
  </si>
  <si>
    <t>(sum 8 to 10)</t>
  </si>
  <si>
    <t>(7-11)</t>
  </si>
  <si>
    <t>(12-13)</t>
  </si>
  <si>
    <t>(15+16)</t>
  </si>
  <si>
    <t>(18+19)</t>
  </si>
  <si>
    <t>(20+21)</t>
  </si>
  <si>
    <t>(sum 23 to 25)</t>
  </si>
  <si>
    <t>(14+17-22-26)</t>
  </si>
  <si>
    <t>(27-28)</t>
  </si>
  <si>
    <t>(29-30-31)</t>
  </si>
  <si>
    <t>(32-33)</t>
  </si>
  <si>
    <t>(c) = (a + b)</t>
  </si>
  <si>
    <t>Other User Revenues (Service charges, Inside wire, etc.)</t>
  </si>
  <si>
    <t>(5 + 6)</t>
  </si>
  <si>
    <t>Subtotal--User (Excluding Terminal)</t>
  </si>
  <si>
    <r>
      <t xml:space="preserve"> Wholesale  Subtotal   </t>
    </r>
    <r>
      <rPr>
        <i/>
        <sz val="10"/>
        <rFont val="Times New Roman"/>
        <family val="1"/>
      </rPr>
      <t>(d+e)</t>
    </r>
  </si>
  <si>
    <t>Total Local &amp; Access Revenues</t>
  </si>
  <si>
    <r>
      <t>Wholesale</t>
    </r>
    <r>
      <rPr>
        <sz val="10"/>
        <rFont val="Times New Roman"/>
        <family val="1"/>
      </rPr>
      <t xml:space="preserve"> refers to the provision of a telecommunications service or facility to a service provider, regardless of whether that service provider rebills the service or facility to another entity, or uses that service or facility internally to support the services it bills.</t>
    </r>
  </si>
  <si>
    <t>Competitor Services</t>
  </si>
  <si>
    <t>Trunk Side Connections</t>
  </si>
  <si>
    <t>Mobile Voice (Including LD)</t>
  </si>
  <si>
    <t>Other Competitor Services</t>
  </si>
  <si>
    <t>Other Tariffed Retail ILEC Services</t>
  </si>
  <si>
    <t>Tariffed ILEC Services at Retail Rates</t>
  </si>
  <si>
    <t>Access Tandem</t>
  </si>
  <si>
    <t>Direct Connect</t>
  </si>
  <si>
    <t>CDNA (Competitive Digital Network Access)</t>
  </si>
  <si>
    <t>IXPL (Inter Exchange Private Line)</t>
  </si>
  <si>
    <t>DEA (Digital Exchange Access)</t>
  </si>
  <si>
    <t>Other Non ILEC Services</t>
  </si>
  <si>
    <t>Business (Small, Medium, Large &amp; Very Large)</t>
  </si>
  <si>
    <t>Total Business Long Distance</t>
  </si>
  <si>
    <t xml:space="preserve">Total Business Local Services </t>
  </si>
  <si>
    <t>Total Business Data</t>
  </si>
  <si>
    <t>Total Business (Revenues on lines 5 and 10 must be equal)</t>
  </si>
  <si>
    <t xml:space="preserve">Data &amp; Private Line Services: Business Accounts (Units), Business Revenues </t>
  </si>
  <si>
    <r>
      <t xml:space="preserve">Wholesale Subtotal              </t>
    </r>
    <r>
      <rPr>
        <i/>
        <sz val="10"/>
        <rFont val="Times New Roman"/>
        <family val="1"/>
      </rPr>
      <t>(d+e)</t>
    </r>
  </si>
  <si>
    <r>
      <t xml:space="preserve">Total                    </t>
    </r>
    <r>
      <rPr>
        <i/>
        <sz val="10"/>
        <rFont val="Times New Roman"/>
        <family val="1"/>
      </rPr>
      <t>(sum a to d)</t>
    </r>
  </si>
  <si>
    <t>ILEC Services Subtotal</t>
  </si>
  <si>
    <t xml:space="preserve"> Non ILEC Services Subtotal </t>
  </si>
  <si>
    <t>Transmission Subtotal</t>
  </si>
  <si>
    <t>Other - Non-network (Fleet, Billing Systems, Admin Buildings, etc.)</t>
  </si>
  <si>
    <t xml:space="preserve">Equipment Subtotal </t>
  </si>
  <si>
    <t xml:space="preserve">Transmission Subtotal </t>
  </si>
  <si>
    <t>What were your capital expenditures?</t>
  </si>
  <si>
    <t>(6 + 10)</t>
  </si>
  <si>
    <t>(17 + 21)</t>
  </si>
  <si>
    <t>(11+ 22 + 29 + 30 + 31)</t>
  </si>
  <si>
    <t>Internet Applications (Eg. E-mail, Web Hosting, Data Center Services, etc.)</t>
  </si>
  <si>
    <t xml:space="preserve">      Narrowband Internet Access</t>
  </si>
  <si>
    <t xml:space="preserve">      High-Speed Internet Access</t>
  </si>
  <si>
    <t xml:space="preserve">      Terminal Equipment (Modems)</t>
  </si>
  <si>
    <t xml:space="preserve">      BGP and ISP Connectivity</t>
  </si>
  <si>
    <t xml:space="preserve">      Other - (Eg. Equipment &amp; Installation, Consultancy)</t>
  </si>
  <si>
    <t>Total Internet Access</t>
  </si>
  <si>
    <t>(14+15)</t>
  </si>
  <si>
    <t>Total Internet Transport</t>
  </si>
  <si>
    <t>(17 + 18)</t>
  </si>
  <si>
    <t>Entity Name:</t>
  </si>
  <si>
    <t>Entity ID#:</t>
  </si>
  <si>
    <r>
      <t>Bundled Services</t>
    </r>
    <r>
      <rPr>
        <sz val="10"/>
        <rFont val="Times New Roman"/>
        <family val="1"/>
      </rPr>
      <t xml:space="preserve">: When providing revenues for a service that is bundled with other services, please provide an explanation of how the revenues where "unbundled".  Provide this explanation with appropriate reference in </t>
    </r>
    <r>
      <rPr>
        <b/>
        <sz val="10"/>
        <rFont val="Times New Roman"/>
        <family val="1"/>
      </rPr>
      <t>Form 03-210.</t>
    </r>
  </si>
  <si>
    <t>Local Voice</t>
  </si>
  <si>
    <t>Total Local Voice</t>
  </si>
  <si>
    <t>PSTN Access</t>
  </si>
  <si>
    <t>Total PSTN Access</t>
  </si>
  <si>
    <t xml:space="preserve">                    2)</t>
  </si>
  <si>
    <r>
      <t xml:space="preserve">Wholesale </t>
    </r>
    <r>
      <rPr>
        <sz val="10"/>
        <rFont val="Times New Roman"/>
        <family val="1"/>
      </rPr>
      <t>refers to the provision of a telecommunications service or facility to a service provider, regardless of whether that service provider rebills the service or facility to another entity, or uses that service or facility internally to support the services it bills.</t>
    </r>
  </si>
  <si>
    <t>Long-Distance (Excluding Mobile)</t>
  </si>
  <si>
    <t>Subscription Plan Fees</t>
  </si>
  <si>
    <t>Total Long Distance Revenues</t>
  </si>
  <si>
    <t xml:space="preserve"> 2)</t>
  </si>
  <si>
    <t>Total Data &amp; Private Line Revenues</t>
  </si>
  <si>
    <t>Fixed Internet Access Subtotal</t>
  </si>
  <si>
    <t>Total Internet Revenues</t>
  </si>
  <si>
    <t>(16+19+20+21)</t>
  </si>
  <si>
    <t>Total Capital Expenditures</t>
  </si>
  <si>
    <t>Total Wireline Business Revenues (As Reported on Other Forms)</t>
  </si>
  <si>
    <t>Total Wireline Business Revenues</t>
  </si>
  <si>
    <t xml:space="preserve">Local &amp; Access Services: Business Accounts (Units), Business Revenues </t>
  </si>
  <si>
    <t># of Data &amp; Private Line Accounts (Units)</t>
  </si>
  <si>
    <t>Data &amp; Private Line Revenues</t>
  </si>
  <si>
    <t>What were your intercarrier expenses?</t>
  </si>
  <si>
    <t>What were your Data, Private Line and Internet revenues?</t>
  </si>
  <si>
    <t>What were your financial results?</t>
  </si>
  <si>
    <t>What were your Local and Access revenues?</t>
  </si>
  <si>
    <t>What were your Long Distance revenues?</t>
  </si>
  <si>
    <t>Minute-based Revenues - non-PIC'ed Customers</t>
  </si>
  <si>
    <t>Minute-based Revenues - PIC'ed Customers</t>
  </si>
  <si>
    <t>Interexchange Subtotal</t>
  </si>
  <si>
    <r>
      <t>Minute-based revenues</t>
    </r>
    <r>
      <rPr>
        <sz val="10"/>
        <rFont val="Times New Roman"/>
        <family val="1"/>
      </rPr>
      <t xml:space="preserve"> are those revenues billed on a per-minute basis, over and above those minutes paid for as part of a discount plan subscribed to by the customer, found in Line 4.</t>
    </r>
  </si>
  <si>
    <t>Notes:       1)</t>
  </si>
  <si>
    <r>
      <t xml:space="preserve">For </t>
    </r>
    <r>
      <rPr>
        <b/>
        <sz val="10"/>
        <rFont val="Times New Roman"/>
        <family val="1"/>
      </rPr>
      <t>terminal equipment</t>
    </r>
    <r>
      <rPr>
        <sz val="10"/>
        <rFont val="Times New Roman"/>
        <family val="1"/>
      </rPr>
      <t xml:space="preserve"> please provide gross revenue, including subsidies and ancillary sales for items such as mobile, earbuds and chargers.</t>
    </r>
  </si>
  <si>
    <t>e=(a+d)</t>
  </si>
  <si>
    <t xml:space="preserve">      End-User</t>
  </si>
  <si>
    <t xml:space="preserve">      Inter-carrier</t>
  </si>
  <si>
    <t>(3+4)</t>
  </si>
  <si>
    <t>(1+2+5+6+7)</t>
  </si>
  <si>
    <t>Text Messaging</t>
  </si>
  <si>
    <t xml:space="preserve">Paging (subcriptions)   </t>
  </si>
  <si>
    <t>Subtotal Text Messaging</t>
  </si>
  <si>
    <t>(sum 9 to 12)</t>
  </si>
  <si>
    <t>Basic Voice (Subscriptions)</t>
  </si>
  <si>
    <t>Long Distance (Subscriptions)</t>
  </si>
  <si>
    <t>What were your Mobile &amp; Paging Revenues?</t>
  </si>
  <si>
    <t xml:space="preserve">Non-Telecommunications (Broadcasting, fleet rental, etc.)  </t>
  </si>
  <si>
    <t>Optional Local Features (exclude touchtone)</t>
  </si>
  <si>
    <t>Wireline &amp; Fixed Wireless</t>
  </si>
  <si>
    <r>
      <t xml:space="preserve">Subtotal        </t>
    </r>
    <r>
      <rPr>
        <i/>
        <sz val="10"/>
        <rFont val="Times New Roman"/>
        <family val="1"/>
      </rPr>
      <t>d=(b+c)</t>
    </r>
  </si>
  <si>
    <t>Where a carrier's expenses is allocated across various services, please provide a brief description of the allocation in Form 03-210.</t>
  </si>
  <si>
    <t>ILEC Provided Services</t>
  </si>
  <si>
    <t>PIC processing charge</t>
  </si>
  <si>
    <t>Local Operator Assistance Service (LOAS)</t>
  </si>
  <si>
    <t>(sum 1 to 9)</t>
  </si>
  <si>
    <t>DNA (Digital Network Access) &amp; DEA (Digital Exchange Access)</t>
  </si>
  <si>
    <t>(sum11 to 14)</t>
  </si>
  <si>
    <t>Non ILEC Provided Services</t>
  </si>
  <si>
    <t>Loops - Low Speed (less than 64K)</t>
  </si>
  <si>
    <t>(sum 16 to 21)</t>
  </si>
  <si>
    <t>Operator Service (Non-LOAS)</t>
  </si>
  <si>
    <t>Other Inter Carrier Expenses Subtotal</t>
  </si>
  <si>
    <t>(10+15+22+26)</t>
  </si>
  <si>
    <t>Line side Connections</t>
  </si>
  <si>
    <t>(sum 28 to 33)</t>
  </si>
  <si>
    <t>(27 + 34)</t>
  </si>
  <si>
    <t>Access charge for toll free calls from public or semi-public telephones</t>
  </si>
  <si>
    <t>Other Access (from customer to LEC at speeds greater than 64k)</t>
  </si>
  <si>
    <t>Other Intercarrier Services</t>
  </si>
  <si>
    <t>(23+24+25)</t>
  </si>
  <si>
    <t>(8+13+14)</t>
  </si>
  <si>
    <t>Form 03-314, cell 15(e)</t>
  </si>
  <si>
    <t>(c+f)</t>
  </si>
  <si>
    <r>
      <t>Settlement</t>
    </r>
    <r>
      <rPr>
        <sz val="10"/>
        <rFont val="Times New Roman"/>
        <family val="1"/>
      </rPr>
      <t xml:space="preserve"> activities should be included in Wholesale.</t>
    </r>
  </si>
  <si>
    <r>
      <t xml:space="preserve">Subtotal             </t>
    </r>
    <r>
      <rPr>
        <i/>
        <sz val="10"/>
        <rFont val="Times New Roman"/>
        <family val="1"/>
      </rPr>
      <t>(d+e)</t>
    </r>
  </si>
  <si>
    <r>
      <t xml:space="preserve">Total                  </t>
    </r>
    <r>
      <rPr>
        <i/>
        <sz val="10"/>
        <rFont val="Times New Roman"/>
        <family val="1"/>
      </rPr>
      <t>(c+f)</t>
    </r>
  </si>
  <si>
    <t xml:space="preserve">ILEC provided services refers to the services provided by the incumbent local exchange carriers to other carriers.  </t>
  </si>
  <si>
    <t xml:space="preserve">Non ILEC provided services refers to the services provided by non incumbents to other carriers.  These may be the same type of services listed on lines 1 to 10 provided by the ILECs  </t>
  </si>
  <si>
    <t>Access Charge for toll free calls from public or semi-public telephones</t>
  </si>
  <si>
    <t>(Sum 1 to 5)</t>
  </si>
  <si>
    <t>(Sum 7 to 9)</t>
  </si>
  <si>
    <t>(Sum 12 to 16)</t>
  </si>
  <si>
    <t>(Sum 18 to 20)</t>
  </si>
  <si>
    <t>(Sum 23 to 28)</t>
  </si>
  <si>
    <r>
      <t>Total                  (</t>
    </r>
    <r>
      <rPr>
        <i/>
        <sz val="10"/>
        <rFont val="Times New Roman"/>
        <family val="1"/>
      </rPr>
      <t>a+b)</t>
    </r>
  </si>
  <si>
    <t>Data &amp; Private Line, Internet</t>
  </si>
  <si>
    <t>Form 03-313, cell 9(g)</t>
  </si>
  <si>
    <t>Form 03-311, cell 22(g)</t>
  </si>
  <si>
    <t>Form 03-311, cell 11(g)</t>
  </si>
  <si>
    <t xml:space="preserve">Form 03-316, cell 27(e) and cell 34(e) </t>
  </si>
  <si>
    <t>Form 03-821</t>
  </si>
  <si>
    <t>Form 03-822</t>
  </si>
  <si>
    <t>Form 03-313, cell 9(b)</t>
  </si>
  <si>
    <t>Form 03-311, cell 11(b)</t>
  </si>
  <si>
    <t>Form 03-311, cell 22(b)</t>
  </si>
  <si>
    <r>
      <t>Coordination</t>
    </r>
    <r>
      <rPr>
        <sz val="10"/>
        <rFont val="Times New Roman"/>
        <family val="1"/>
      </rPr>
      <t>: Please ensure that all definitions and interpretations correspond to published guidelines.  All guidelines, forms, glossary, and other instructions are available for download at &lt;http://www.crtc.gc.ca/Part VII/eng/2003/monitor/index_03.htm&gt;.  The CRTC's telecom monitoring team may be contacted by e-mail (telinfo@crtc.gc.ca) or by telephone (+1 819 997 4597).</t>
    </r>
  </si>
  <si>
    <r>
      <t>Estimates</t>
    </r>
    <r>
      <rPr>
        <sz val="10"/>
        <rFont val="Times New Roman"/>
        <family val="1"/>
      </rPr>
      <t>: Where precise data are not available or cannot be obtained, use best estimates.  If estimates are used, record the estimation methodology on Form 03-210, making appropriate reference to form and cell numbers.</t>
    </r>
  </si>
  <si>
    <r>
      <t xml:space="preserve">Form integrity: </t>
    </r>
    <r>
      <rPr>
        <sz val="10"/>
        <rFont val="Times New Roman"/>
        <family val="1"/>
      </rPr>
      <t>Each form includes shaded and non-shaded areas.  Please provide the data requested in the shaded areas only: do not alter the form by adding, deleting, merging, or otherwise manipulating individual cells.</t>
    </r>
  </si>
  <si>
    <r>
      <t>Period:</t>
    </r>
    <r>
      <rPr>
        <sz val="10"/>
        <rFont val="Times New Roman"/>
        <family val="1"/>
      </rPr>
      <t xml:space="preserve"> Complete each form for year-end 31 December except where otherwise noted.  Information should be provided for the reporting company, including any companies purchased or merged with it prior to 31 December 2002.  However, separate forms are to be provided for any company acquired that is still operating as a legal entity on 31 December 2002.</t>
    </r>
  </si>
  <si>
    <r>
      <t>Scalors:</t>
    </r>
    <r>
      <rPr>
        <sz val="10"/>
        <rFont val="Times New Roman"/>
        <family val="1"/>
      </rPr>
      <t xml:space="preserve"> Bandwidth amounts should be reported in millions of bits per second (Mbps).  All other measures should be reported in unscaled units, except where otherwise specified.</t>
    </r>
  </si>
  <si>
    <r>
      <t>Submission:</t>
    </r>
    <r>
      <rPr>
        <sz val="10"/>
        <rFont val="Times New Roman"/>
        <family val="1"/>
      </rPr>
      <t xml:space="preserve"> Completed forms should be submitted either by e-mail, to telinfo_form@crtc.gc.ca, or on diskette or paper, to Telecom Monitoring, CRTC, Ottawa, Ontario, K1A 0N2 (courier: 1 Promenade du Portage, Hull, Québec, J8X 4B1).  Forms are due by 15 May 2003.</t>
    </r>
  </si>
  <si>
    <t>8)</t>
  </si>
  <si>
    <t>Form 03-920</t>
  </si>
  <si>
    <t>Form 03-720</t>
  </si>
  <si>
    <t>Computers and related software are to be assigned to the equipment they support.  Example: Computers used for office functions are to be assigned to Other Non-network (Line 31).</t>
  </si>
  <si>
    <t>Access Subtotal</t>
  </si>
  <si>
    <t>Switching Subtotal</t>
  </si>
  <si>
    <t>Plant, Equipment and Other Fixed Assets</t>
  </si>
  <si>
    <r>
      <t>Revenues:</t>
    </r>
    <r>
      <rPr>
        <sz val="10"/>
        <rFont val="Times New Roman"/>
        <family val="1"/>
      </rPr>
      <t xml:space="preserve"> Report revenues net of discounts, returns or allowances, promotional offers, and rebates.  These revenues should exclude federal or provincial taxes collected for remittance to a government agency (sales and excise tax, GST, PST, HST, etc.).  Goods and services sales denominated in foreign currencies should be translated to Canadian dollars at the exchange rate at the time of the transaction.  For example, dollars are to be reported in whole dollars, minutes in whole minutes, etc.</t>
    </r>
  </si>
  <si>
    <r>
      <t xml:space="preserve">Bundled Services: </t>
    </r>
    <r>
      <rPr>
        <sz val="10"/>
        <rFont val="Times New Roman"/>
        <family val="1"/>
      </rPr>
      <t>When providing revenues for services that are bundled with other services, please provide an explanation of how the revenues were "unbundled".  Provide this explanation with appropriate references in Form 03-210.</t>
    </r>
  </si>
  <si>
    <t>Form 03-810 (aggregated)</t>
  </si>
  <si>
    <r>
      <t xml:space="preserve">Small businesses are defined as accounts which generated less than $6000 of </t>
    </r>
    <r>
      <rPr>
        <b/>
        <sz val="10"/>
        <rFont val="Times New Roman"/>
        <family val="1"/>
      </rPr>
      <t>overall</t>
    </r>
    <r>
      <rPr>
        <sz val="10"/>
        <rFont val="Times New Roman"/>
        <family val="1"/>
      </rPr>
      <t xml:space="preserve"> telecommunications revenues (averaging less than $500 per month) for the reporting entity during the reporting year.</t>
    </r>
  </si>
  <si>
    <r>
      <t>Medium businesses are defined as accounts which generated at least $6000, but less than $30,000 of o</t>
    </r>
    <r>
      <rPr>
        <b/>
        <sz val="10"/>
        <rFont val="Times New Roman"/>
        <family val="1"/>
      </rPr>
      <t>verall</t>
    </r>
    <r>
      <rPr>
        <sz val="10"/>
        <rFont val="Times New Roman"/>
        <family val="1"/>
      </rPr>
      <t xml:space="preserve"> telecommunications revenues (from $500 to under $2500 per month) for the reporting entity during the reporting year.</t>
    </r>
  </si>
  <si>
    <r>
      <t xml:space="preserve">Large businesses are defined as accounts which generated at least $30,000, but less than $240,000 of </t>
    </r>
    <r>
      <rPr>
        <b/>
        <sz val="10"/>
        <rFont val="Times New Roman"/>
        <family val="1"/>
      </rPr>
      <t>overall</t>
    </r>
    <r>
      <rPr>
        <sz val="10"/>
        <rFont val="Times New Roman"/>
        <family val="1"/>
      </rPr>
      <t xml:space="preserve"> telecommunications revenues (from $2,500 to under $20,000 per month) for the reporting entity during the reporting year.</t>
    </r>
  </si>
  <si>
    <r>
      <t xml:space="preserve">Very Large businesses are defined as accounts which generated at least $240,000 of </t>
    </r>
    <r>
      <rPr>
        <b/>
        <sz val="10"/>
        <rFont val="Times New Roman"/>
        <family val="1"/>
      </rPr>
      <t>overall</t>
    </r>
    <r>
      <rPr>
        <sz val="10"/>
        <rFont val="Times New Roman"/>
        <family val="1"/>
      </rPr>
      <t xml:space="preserve"> telecommunications revenues (averaging at least $20,000 per month) for the reporting entity during the reporting year.</t>
    </r>
  </si>
  <si>
    <r>
      <t xml:space="preserve">Where a </t>
    </r>
    <r>
      <rPr>
        <b/>
        <sz val="10"/>
        <rFont val="Times New Roman"/>
        <family val="1"/>
      </rPr>
      <t>Data Link</t>
    </r>
    <r>
      <rPr>
        <sz val="10"/>
        <rFont val="Times New Roman"/>
        <family val="1"/>
      </rPr>
      <t xml:space="preserve"> service is bundled with Internet connectivity, the resulting product or service should be reported under the appropriate Internet category, </t>
    </r>
    <r>
      <rPr>
        <b/>
        <sz val="10"/>
        <rFont val="Times New Roman"/>
        <family val="1"/>
      </rPr>
      <t>not under data link</t>
    </r>
    <r>
      <rPr>
        <sz val="10"/>
        <rFont val="Times New Roman"/>
        <family val="1"/>
      </rPr>
      <t xml:space="preserve">.  </t>
    </r>
  </si>
  <si>
    <r>
      <t xml:space="preserve">Report </t>
    </r>
    <r>
      <rPr>
        <b/>
        <sz val="10"/>
        <rFont val="Times New Roman"/>
        <family val="1"/>
      </rPr>
      <t>mobile Internet</t>
    </r>
    <r>
      <rPr>
        <sz val="10"/>
        <rFont val="Times New Roman"/>
        <family val="1"/>
      </rPr>
      <t xml:space="preserve"> access revenues on form 03-314, line 14 ("Mobile Data").  Report </t>
    </r>
    <r>
      <rPr>
        <b/>
        <sz val="10"/>
        <rFont val="Times New Roman"/>
        <family val="1"/>
      </rPr>
      <t xml:space="preserve">pay-per-use Internet </t>
    </r>
    <r>
      <rPr>
        <sz val="10"/>
        <rFont val="Times New Roman"/>
        <family val="1"/>
      </rPr>
      <t>access revenues on form 03-312, line 9 ("Pay-per-Use Internet Access").</t>
    </r>
  </si>
  <si>
    <t>Pay-per-Use Internet Access</t>
  </si>
  <si>
    <t>(7+11+14+15)</t>
  </si>
  <si>
    <t>(sum 17 to 19)</t>
  </si>
  <si>
    <t>(16+20+21)</t>
  </si>
  <si>
    <t>ISDN (BRI &amp; PRI)</t>
  </si>
  <si>
    <t>2003</t>
  </si>
  <si>
    <t>Product Market</t>
  </si>
  <si>
    <t>Product Submarkets</t>
  </si>
  <si>
    <t>Geographic Markets</t>
  </si>
  <si>
    <t>Excel</t>
  </si>
  <si>
    <t>03-110</t>
  </si>
  <si>
    <t>Corporate Information</t>
  </si>
  <si>
    <t>-</t>
  </si>
  <si>
    <t>03-1XX-EN.XLS</t>
  </si>
  <si>
    <t>03-111</t>
  </si>
  <si>
    <t>Group Information</t>
  </si>
  <si>
    <t>03-120</t>
  </si>
  <si>
    <t>Services Sold</t>
  </si>
  <si>
    <t>03-121</t>
  </si>
  <si>
    <t>Facilities Managed</t>
  </si>
  <si>
    <t>03-210</t>
  </si>
  <si>
    <t>Response Comments</t>
  </si>
  <si>
    <t>03-2XX-EN.XLS</t>
  </si>
  <si>
    <t>03-220</t>
  </si>
  <si>
    <t>Data Source by Work Unit</t>
  </si>
  <si>
    <t>03-310</t>
  </si>
  <si>
    <t>03-3XX-EN.XLS</t>
  </si>
  <si>
    <t>03-311</t>
  </si>
  <si>
    <t>Data &amp; Private Line; Internet</t>
  </si>
  <si>
    <t>03-312</t>
  </si>
  <si>
    <t>03-313</t>
  </si>
  <si>
    <t>03-314</t>
  </si>
  <si>
    <t>03-315</t>
  </si>
  <si>
    <t>Business (S-M-L-VL)</t>
  </si>
  <si>
    <t>03-316</t>
  </si>
  <si>
    <t>03-320</t>
  </si>
  <si>
    <t>03-321</t>
  </si>
  <si>
    <t>Capital Expenditures</t>
  </si>
  <si>
    <t>03-410</t>
  </si>
  <si>
    <t>Short-Haul</t>
  </si>
  <si>
    <t>Metropolitan Area Networks</t>
  </si>
  <si>
    <t>Cities</t>
  </si>
  <si>
    <t>03-4XX-EN.XLS</t>
  </si>
  <si>
    <t>03-411</t>
  </si>
  <si>
    <t>Long-Haul</t>
  </si>
  <si>
    <t>Lit Fibre Routes</t>
  </si>
  <si>
    <t>03-412</t>
  </si>
  <si>
    <t>Private Line Terrestrial</t>
  </si>
  <si>
    <t>03-413</t>
  </si>
  <si>
    <t>Private Line Satellite</t>
  </si>
  <si>
    <t>03-414</t>
  </si>
  <si>
    <t>03-510</t>
  </si>
  <si>
    <t>Internet Access</t>
  </si>
  <si>
    <t>03-5XX-EN.XLS</t>
  </si>
  <si>
    <t>03-511</t>
  </si>
  <si>
    <t>DSL and Cable Access</t>
  </si>
  <si>
    <t>03-512</t>
  </si>
  <si>
    <t>Residential High-Speed</t>
  </si>
  <si>
    <t>Postal Codes</t>
  </si>
  <si>
    <t>03-520</t>
  </si>
  <si>
    <t>03-610</t>
  </si>
  <si>
    <t>Owned, Leased, Rebilled Facilities</t>
  </si>
  <si>
    <t>Provinces &amp; Territories</t>
  </si>
  <si>
    <t>03-610-EN.XLS</t>
  </si>
  <si>
    <t>03-611</t>
  </si>
  <si>
    <t>NAS</t>
  </si>
  <si>
    <t>03-611-EN.XLS</t>
  </si>
  <si>
    <t>03-710</t>
  </si>
  <si>
    <t>Long Distance Traffic</t>
  </si>
  <si>
    <t>Billed Wireline Minutes</t>
  </si>
  <si>
    <t>Regions</t>
  </si>
  <si>
    <t>03-710-EN.XLS</t>
  </si>
  <si>
    <t>03-720</t>
  </si>
  <si>
    <t>Settlement and Interconnection</t>
  </si>
  <si>
    <t>03-72X-EN.XLS</t>
  </si>
  <si>
    <t>03-721</t>
  </si>
  <si>
    <t>International Traffic</t>
  </si>
  <si>
    <t>Billed Minutes</t>
  </si>
  <si>
    <t>03-722</t>
  </si>
  <si>
    <t>Carried Minutes</t>
  </si>
  <si>
    <t>03-810</t>
  </si>
  <si>
    <t>Voice</t>
  </si>
  <si>
    <t>Subscriptions</t>
  </si>
  <si>
    <t>03-810-EN.XLS</t>
  </si>
  <si>
    <t>03-820</t>
  </si>
  <si>
    <t>03-82X-EN.XLS</t>
  </si>
  <si>
    <t>03-821</t>
  </si>
  <si>
    <t>Intercarrier</t>
  </si>
  <si>
    <t>03-822</t>
  </si>
  <si>
    <t>Protocols</t>
  </si>
  <si>
    <t>03-823</t>
  </si>
  <si>
    <t>Coverage</t>
  </si>
  <si>
    <t>03-910</t>
  </si>
  <si>
    <t>User Services</t>
  </si>
  <si>
    <t>03-9XX-EN.XLS</t>
  </si>
  <si>
    <t>03-920</t>
  </si>
  <si>
    <t>Local and Long Distance</t>
  </si>
  <si>
    <t>03-SSS: Simplified Forms (responsible individual per form references above)</t>
  </si>
  <si>
    <t>03-SSS-EN.XLS</t>
  </si>
  <si>
    <t>03-310S</t>
  </si>
  <si>
    <t>03-320S</t>
  </si>
  <si>
    <t>03-610S</t>
  </si>
  <si>
    <t>Local and Access</t>
  </si>
  <si>
    <t>03-710S</t>
  </si>
  <si>
    <t>03-810S</t>
  </si>
  <si>
    <t>Mobile and Paging</t>
  </si>
  <si>
    <r>
      <t>03-1XX: Reporting Entity Profiles</t>
    </r>
    <r>
      <rPr>
        <sz val="10"/>
        <rFont val="Times New Roman"/>
        <family val="1"/>
      </rPr>
      <t xml:space="preserve"> (steve.malowany@crtc.gc.ca, 819-953-2167)</t>
    </r>
  </si>
  <si>
    <r>
      <t>03-2XX: Administrative</t>
    </r>
    <r>
      <rPr>
        <sz val="10"/>
        <rFont val="Times New Roman"/>
        <family val="1"/>
      </rPr>
      <t xml:space="preserve"> (valerie.plaskacz@crtc.gc.ca, 819-997-4589)</t>
    </r>
  </si>
  <si>
    <r>
      <t xml:space="preserve">03-3XX: Financial </t>
    </r>
    <r>
      <rPr>
        <sz val="10"/>
        <rFont val="Times New Roman"/>
        <family val="1"/>
      </rPr>
      <t>(steve.malowany@crtc.gc.ca, 819-953-2167)</t>
    </r>
  </si>
  <si>
    <r>
      <t xml:space="preserve">03-4XX: Data and Private Line </t>
    </r>
    <r>
      <rPr>
        <sz val="10"/>
        <rFont val="Times New Roman"/>
        <family val="1"/>
      </rPr>
      <t>(john.paoletti@crtc.gc.ca, 819-997-4588)</t>
    </r>
  </si>
  <si>
    <r>
      <t xml:space="preserve">03-5XX: Internet </t>
    </r>
    <r>
      <rPr>
        <sz val="10"/>
        <rFont val="Times New Roman"/>
        <family val="1"/>
      </rPr>
      <t>(bram.abramson@crtc.gc.ca, 819-997-4489)</t>
    </r>
  </si>
  <si>
    <r>
      <t xml:space="preserve">03-6XX: Local &amp; Access </t>
    </r>
    <r>
      <rPr>
        <sz val="10"/>
        <rFont val="Times New Roman"/>
        <family val="1"/>
      </rPr>
      <t>(valerie.plaskacz@crtc.gc.ca, 819-997-4589)</t>
    </r>
  </si>
  <si>
    <r>
      <t>03-7XX: Long Distance</t>
    </r>
    <r>
      <rPr>
        <sz val="10"/>
        <rFont val="Times New Roman"/>
        <family val="1"/>
      </rPr>
      <t xml:space="preserve"> (gregory.campbell@crtc.gc.ca, 819-953-5672)</t>
    </r>
  </si>
  <si>
    <r>
      <t>03-8XX: Mobile &amp; Paging</t>
    </r>
    <r>
      <rPr>
        <sz val="10"/>
        <rFont val="Times New Roman"/>
        <family val="1"/>
      </rPr>
      <t xml:space="preserve"> (lizette.pepin@crtc.gc.ca, 819-953-8735)</t>
    </r>
  </si>
  <si>
    <r>
      <t>03-9XX: Payphone</t>
    </r>
    <r>
      <rPr>
        <sz val="10"/>
        <rFont val="Times New Roman"/>
        <family val="1"/>
      </rPr>
      <t xml:space="preserve"> (gregory.campbell@crtc.gc.ca, 819-953-5672)</t>
    </r>
  </si>
  <si>
    <t>03-210S</t>
  </si>
  <si>
    <t>03-220S</t>
  </si>
  <si>
    <t>03-511S</t>
  </si>
  <si>
    <t>03-512S</t>
  </si>
  <si>
    <t>03-520S</t>
  </si>
  <si>
    <t>03-510S</t>
  </si>
  <si>
    <t>Form 03-312, cell 22(g)</t>
  </si>
  <si>
    <t xml:space="preserve">Form 03-312, cell 22(b) </t>
  </si>
  <si>
    <t># of Local &amp; Access Accounts (Units)</t>
  </si>
  <si>
    <t>Local &amp; Access Revenues</t>
  </si>
  <si>
    <r>
      <t xml:space="preserve">For Long Distance, therefore, segment accounts and revenues into Small, Medium, Large or Very Large according to </t>
    </r>
    <r>
      <rPr>
        <b/>
        <sz val="10"/>
        <rFont val="Times New Roman"/>
        <family val="1"/>
      </rPr>
      <t>overall account size</t>
    </r>
    <r>
      <rPr>
        <sz val="10"/>
        <rFont val="Times New Roman"/>
        <family val="1"/>
      </rPr>
      <t xml:space="preserve">, not according to LD revenue.  These revenues should be the same as reported on form </t>
    </r>
    <r>
      <rPr>
        <b/>
        <sz val="10"/>
        <rFont val="Times New Roman"/>
        <family val="1"/>
      </rPr>
      <t>03-313 in cell 9(b).</t>
    </r>
  </si>
  <si>
    <r>
      <t xml:space="preserve">For Local &amp; Access, therefore, segment accounts and revenues into Small, Medium, Large or Very Large according to </t>
    </r>
    <r>
      <rPr>
        <b/>
        <sz val="10"/>
        <rFont val="Times New Roman"/>
        <family val="1"/>
      </rPr>
      <t>overall account size</t>
    </r>
    <r>
      <rPr>
        <sz val="10"/>
        <rFont val="Times New Roman"/>
        <family val="1"/>
      </rPr>
      <t xml:space="preserve">, not according to Local revenue.  These revenues should be the same as reported on form </t>
    </r>
    <r>
      <rPr>
        <b/>
        <sz val="10"/>
        <rFont val="Times New Roman"/>
        <family val="1"/>
      </rPr>
      <t>03-312 in cell 22(b).</t>
    </r>
  </si>
  <si>
    <r>
      <t xml:space="preserve">For Data &amp; Private Line, therefore, segment accounts and revenues into Small, Medium, Large or Very Large according to </t>
    </r>
    <r>
      <rPr>
        <b/>
        <sz val="10"/>
        <rFont val="Times New Roman"/>
        <family val="1"/>
      </rPr>
      <t>overall account size</t>
    </r>
    <r>
      <rPr>
        <sz val="10"/>
        <rFont val="Times New Roman"/>
        <family val="1"/>
      </rPr>
      <t>, not according to Data revenue.  These revenues should be the same as reported on form</t>
    </r>
    <r>
      <rPr>
        <b/>
        <sz val="10"/>
        <rFont val="Times New Roman"/>
        <family val="1"/>
      </rPr>
      <t xml:space="preserve"> 03-311 in cell 11(b).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</si>
</sst>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6" formatCode="#,##0.0_ ;[Red]\-#,##0.0\ "/>
    <numFmt numFmtId="190" formatCode="#,##0_ ;[Red]\-#,##0\ "/>
  </numFmts>
  <fonts count="10" x14ac:knownFonts="1">
    <font>
      <sz val="10"/>
      <name val="Arial"/>
    </font>
    <font>
      <b/>
      <sz val="10"/>
      <name val="Times New Roman"/>
      <family val="1"/>
    </font>
    <font>
      <sz val="10"/>
      <name val="Times New Roman"/>
      <family val="1"/>
    </font>
    <font>
      <b/>
      <u/>
      <sz val="10"/>
      <name val="Times New Roman"/>
      <family val="1"/>
    </font>
    <font>
      <i/>
      <sz val="10"/>
      <name val="Times New Roman"/>
      <family val="1"/>
    </font>
    <font>
      <u/>
      <sz val="10"/>
      <name val="Times New Roman"/>
      <family val="1"/>
    </font>
    <font>
      <b/>
      <sz val="12"/>
      <name val="Times New Roman"/>
      <family val="1"/>
    </font>
    <font>
      <b/>
      <i/>
      <sz val="10"/>
      <name val="Times New Roman"/>
      <family val="1"/>
    </font>
    <font>
      <sz val="10"/>
      <name val="Arial"/>
    </font>
    <font>
      <sz val="10"/>
      <color indexed="55"/>
      <name val="Times New Roman"/>
      <family val="1"/>
    </font>
  </fonts>
  <fills count="4">
    <fill>
      <patternFill patternType="none"/>
    </fill>
    <fill>
      <patternFill patternType="gray125"/>
    </fill>
    <fill>
      <patternFill patternType="solid">
        <fgColor indexed="42"/>
        <bgColor indexed="64"/>
      </patternFill>
    </fill>
    <fill>
      <patternFill patternType="solid">
        <fgColor indexed="9"/>
        <bgColor indexed="64"/>
      </patternFill>
    </fill>
  </fills>
  <borders count="16">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452">
    <xf numFmtId="0" fontId="0" fillId="0" borderId="0" xfId="0"/>
    <xf numFmtId="0" fontId="1" fillId="0" borderId="0" xfId="0" applyFont="1"/>
    <xf numFmtId="0" fontId="2" fillId="0" borderId="0" xfId="0" applyFont="1"/>
    <xf numFmtId="0" fontId="2" fillId="0" borderId="1" xfId="0" applyFont="1" applyBorder="1"/>
    <xf numFmtId="0" fontId="2" fillId="0" borderId="2" xfId="0" applyFont="1" applyBorder="1"/>
    <xf numFmtId="0" fontId="2" fillId="0" borderId="3" xfId="0" applyFont="1" applyBorder="1"/>
    <xf numFmtId="0" fontId="2" fillId="0" borderId="0" xfId="0" applyFont="1" applyBorder="1"/>
    <xf numFmtId="0" fontId="2" fillId="0" borderId="4" xfId="0" applyFont="1" applyBorder="1" applyAlignment="1">
      <alignment horizontal="right"/>
    </xf>
    <xf numFmtId="0" fontId="2" fillId="0" borderId="0" xfId="0" applyFont="1" applyBorder="1" applyAlignment="1">
      <alignment horizontal="right"/>
    </xf>
    <xf numFmtId="0" fontId="2" fillId="0" borderId="5" xfId="0" applyFont="1" applyBorder="1"/>
    <xf numFmtId="0" fontId="2" fillId="0" borderId="6" xfId="0" applyFont="1" applyBorder="1"/>
    <xf numFmtId="0" fontId="2" fillId="0" borderId="7" xfId="0" applyFont="1" applyBorder="1"/>
    <xf numFmtId="0" fontId="1" fillId="0" borderId="8" xfId="0" applyFont="1" applyBorder="1"/>
    <xf numFmtId="0" fontId="2" fillId="0" borderId="5"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Alignment="1">
      <alignment horizontal="center" vertical="center"/>
    </xf>
    <xf numFmtId="0" fontId="2" fillId="0" borderId="7" xfId="0" applyFont="1" applyBorder="1" applyAlignment="1">
      <alignment horizontal="center"/>
    </xf>
    <xf numFmtId="0" fontId="2" fillId="0" borderId="5" xfId="0" applyFont="1" applyFill="1" applyBorder="1"/>
    <xf numFmtId="0" fontId="1" fillId="0" borderId="0" xfId="0" applyFont="1" applyBorder="1"/>
    <xf numFmtId="0" fontId="2" fillId="0" borderId="6" xfId="0" applyFont="1" applyBorder="1" applyAlignment="1">
      <alignment horizontal="right"/>
    </xf>
    <xf numFmtId="0" fontId="2" fillId="0" borderId="7" xfId="0" applyFont="1" applyBorder="1" applyAlignment="1">
      <alignment horizontal="center" vertical="center" wrapText="1"/>
    </xf>
    <xf numFmtId="0" fontId="1" fillId="0" borderId="0" xfId="0" applyFont="1" applyBorder="1" applyAlignment="1">
      <alignment horizontal="left"/>
    </xf>
    <xf numFmtId="0" fontId="1" fillId="0" borderId="0" xfId="0" applyFont="1" applyBorder="1" applyAlignment="1">
      <alignment horizontal="center"/>
    </xf>
    <xf numFmtId="0" fontId="2" fillId="0" borderId="0" xfId="0" applyFont="1" applyAlignment="1">
      <alignment horizontal="left"/>
    </xf>
    <xf numFmtId="0" fontId="1" fillId="0" borderId="0" xfId="0" applyFont="1" applyFill="1" applyBorder="1" applyAlignment="1">
      <alignment horizontal="center"/>
    </xf>
    <xf numFmtId="0" fontId="2" fillId="0" borderId="0" xfId="0" applyFont="1" applyAlignment="1">
      <alignment horizontal="center"/>
    </xf>
    <xf numFmtId="0" fontId="2" fillId="0" borderId="11" xfId="0" applyFont="1" applyBorder="1"/>
    <xf numFmtId="0" fontId="2" fillId="0" borderId="4" xfId="0" applyFont="1" applyBorder="1"/>
    <xf numFmtId="0" fontId="2" fillId="0" borderId="5"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6" xfId="0" applyFont="1" applyBorder="1" applyAlignment="1">
      <alignment horizontal="center"/>
    </xf>
    <xf numFmtId="0" fontId="1" fillId="0" borderId="6" xfId="0" applyFont="1" applyBorder="1"/>
    <xf numFmtId="0" fontId="2" fillId="0" borderId="0" xfId="0" applyFont="1" applyBorder="1" applyAlignment="1">
      <alignment horizontal="center"/>
    </xf>
    <xf numFmtId="0" fontId="2" fillId="0" borderId="0" xfId="0" applyFont="1" applyBorder="1" applyAlignment="1">
      <alignment horizontal="left"/>
    </xf>
    <xf numFmtId="0" fontId="2" fillId="0" borderId="2" xfId="0" applyFont="1" applyBorder="1" applyAlignment="1">
      <alignment horizontal="center"/>
    </xf>
    <xf numFmtId="0" fontId="2" fillId="0" borderId="0" xfId="0" applyFont="1" applyBorder="1" applyAlignment="1"/>
    <xf numFmtId="0" fontId="1" fillId="0" borderId="1" xfId="0" applyFont="1" applyBorder="1"/>
    <xf numFmtId="0" fontId="2" fillId="0" borderId="0" xfId="0" applyFont="1" applyBorder="1" applyAlignment="1">
      <alignment horizontal="right" vertical="top"/>
    </xf>
    <xf numFmtId="186" fontId="2" fillId="0" borderId="0" xfId="0" applyNumberFormat="1" applyFont="1" applyBorder="1"/>
    <xf numFmtId="0" fontId="2" fillId="0" borderId="0" xfId="0" applyFont="1" applyFill="1" applyBorder="1" applyAlignment="1">
      <alignment horizontal="left"/>
    </xf>
    <xf numFmtId="0" fontId="2" fillId="0" borderId="0" xfId="0" applyFont="1" applyFill="1" applyBorder="1" applyAlignment="1"/>
    <xf numFmtId="0" fontId="2" fillId="0" borderId="0" xfId="0" applyFont="1" applyFill="1" applyBorder="1" applyAlignment="1">
      <alignment horizontal="center"/>
    </xf>
    <xf numFmtId="0" fontId="1" fillId="0" borderId="12" xfId="0" applyFont="1" applyBorder="1"/>
    <xf numFmtId="0" fontId="2" fillId="0" borderId="0" xfId="0" applyFont="1" applyBorder="1" applyAlignment="1">
      <alignment horizontal="left" vertical="top" wrapText="1"/>
    </xf>
    <xf numFmtId="0" fontId="2" fillId="0" borderId="0" xfId="0" applyFont="1" applyBorder="1" applyAlignment="1">
      <alignment horizontal="center" vertical="top"/>
    </xf>
    <xf numFmtId="0" fontId="2" fillId="0" borderId="13" xfId="0" applyFont="1" applyBorder="1" applyAlignment="1">
      <alignment horizontal="center" vertical="center"/>
    </xf>
    <xf numFmtId="0" fontId="1" fillId="0" borderId="0" xfId="0" applyFont="1" applyBorder="1" applyAlignment="1">
      <alignment horizontal="center" vertical="center"/>
    </xf>
    <xf numFmtId="0" fontId="2" fillId="0" borderId="6" xfId="0" applyFont="1" applyBorder="1" applyAlignment="1">
      <alignment horizontal="center" vertical="center"/>
    </xf>
    <xf numFmtId="0" fontId="1" fillId="0" borderId="0" xfId="0" applyFont="1" applyAlignment="1">
      <alignment horizontal="left"/>
    </xf>
    <xf numFmtId="0" fontId="1" fillId="0" borderId="0" xfId="0" applyFont="1" applyAlignment="1">
      <alignment horizontal="right"/>
    </xf>
    <xf numFmtId="0" fontId="2" fillId="0" borderId="14" xfId="0" applyFont="1" applyBorder="1"/>
    <xf numFmtId="0" fontId="2" fillId="0" borderId="12" xfId="0" applyFont="1" applyBorder="1" applyAlignment="1">
      <alignment horizontal="center" vertical="top"/>
    </xf>
    <xf numFmtId="0" fontId="2" fillId="0" borderId="14" xfId="0" applyFont="1" applyBorder="1" applyAlignment="1">
      <alignment horizontal="center" vertical="top"/>
    </xf>
    <xf numFmtId="0" fontId="1" fillId="0" borderId="0" xfId="0" applyFont="1" applyFill="1" applyBorder="1" applyAlignment="1">
      <alignment horizontal="left"/>
    </xf>
    <xf numFmtId="0" fontId="2" fillId="0" borderId="0" xfId="0" applyFont="1" applyBorder="1" applyAlignment="1">
      <alignment horizontal="left" vertical="top"/>
    </xf>
    <xf numFmtId="0" fontId="2" fillId="0" borderId="11" xfId="0" applyFont="1" applyBorder="1" applyAlignment="1">
      <alignment horizontal="center" vertical="center"/>
    </xf>
    <xf numFmtId="0" fontId="2" fillId="0" borderId="8" xfId="0" applyFont="1" applyBorder="1" applyAlignment="1">
      <alignment horizontal="center"/>
    </xf>
    <xf numFmtId="0" fontId="2" fillId="0" borderId="14" xfId="0" applyFont="1" applyBorder="1" applyAlignment="1">
      <alignment horizontal="center" vertical="center"/>
    </xf>
    <xf numFmtId="0" fontId="1" fillId="0" borderId="4" xfId="0" applyFont="1" applyBorder="1"/>
    <xf numFmtId="0" fontId="4" fillId="0" borderId="0" xfId="0" applyFont="1" applyBorder="1" applyAlignment="1">
      <alignment horizontal="center" vertical="center"/>
    </xf>
    <xf numFmtId="0" fontId="4" fillId="0" borderId="11"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1" fillId="0" borderId="3" xfId="0" applyFont="1" applyBorder="1"/>
    <xf numFmtId="0" fontId="4" fillId="0" borderId="11" xfId="0" applyFont="1" applyBorder="1" applyAlignment="1">
      <alignment horizontal="center"/>
    </xf>
    <xf numFmtId="0" fontId="4" fillId="0" borderId="15" xfId="0" applyFont="1" applyBorder="1" applyAlignment="1">
      <alignment horizontal="center"/>
    </xf>
    <xf numFmtId="0" fontId="4" fillId="0" borderId="2" xfId="0" applyFont="1" applyBorder="1" applyAlignment="1">
      <alignment horizontal="center"/>
    </xf>
    <xf numFmtId="0" fontId="2" fillId="0" borderId="12" xfId="0" applyFont="1" applyBorder="1"/>
    <xf numFmtId="0" fontId="4" fillId="0" borderId="2" xfId="0" applyFont="1" applyBorder="1" applyAlignment="1">
      <alignment horizontal="center" vertical="center"/>
    </xf>
    <xf numFmtId="0" fontId="4" fillId="0" borderId="4" xfId="0" applyFont="1" applyBorder="1" applyAlignment="1">
      <alignment horizontal="center"/>
    </xf>
    <xf numFmtId="0" fontId="4" fillId="0" borderId="2" xfId="0" applyFont="1" applyFill="1" applyBorder="1" applyAlignment="1">
      <alignment horizontal="center"/>
    </xf>
    <xf numFmtId="0" fontId="4" fillId="0" borderId="13" xfId="0" applyFont="1" applyBorder="1" applyAlignment="1">
      <alignment horizontal="center"/>
    </xf>
    <xf numFmtId="0" fontId="2" fillId="0" borderId="9" xfId="0" applyFont="1" applyFill="1" applyBorder="1" applyAlignment="1">
      <alignment horizontal="center"/>
    </xf>
    <xf numFmtId="0" fontId="2" fillId="0" borderId="1" xfId="0" applyFont="1" applyBorder="1" applyAlignment="1">
      <alignment horizontal="center"/>
    </xf>
    <xf numFmtId="0" fontId="4" fillId="0" borderId="1" xfId="0" applyFont="1" applyBorder="1" applyAlignment="1">
      <alignment horizontal="center"/>
    </xf>
    <xf numFmtId="0" fontId="2" fillId="0" borderId="7" xfId="0" applyFont="1" applyBorder="1" applyAlignment="1"/>
    <xf numFmtId="0" fontId="2" fillId="0" borderId="5" xfId="0" applyFont="1" applyBorder="1" applyAlignment="1"/>
    <xf numFmtId="0" fontId="2" fillId="0" borderId="14" xfId="0" applyFont="1" applyBorder="1" applyAlignment="1"/>
    <xf numFmtId="0" fontId="2" fillId="0" borderId="13" xfId="0" applyFont="1" applyBorder="1" applyAlignment="1"/>
    <xf numFmtId="0" fontId="2" fillId="0" borderId="13" xfId="0" applyFont="1" applyBorder="1" applyAlignment="1">
      <alignment horizontal="left"/>
    </xf>
    <xf numFmtId="0" fontId="2" fillId="0" borderId="13" xfId="0" applyFont="1" applyFill="1" applyBorder="1" applyAlignment="1">
      <alignment horizontal="left"/>
    </xf>
    <xf numFmtId="0" fontId="4" fillId="0" borderId="13" xfId="0" applyFont="1" applyBorder="1" applyAlignment="1">
      <alignment horizontal="center" vertical="center"/>
    </xf>
    <xf numFmtId="0" fontId="2" fillId="0" borderId="12" xfId="0" applyFont="1" applyBorder="1" applyAlignment="1"/>
    <xf numFmtId="0" fontId="2" fillId="0" borderId="1" xfId="0" applyFont="1" applyBorder="1" applyAlignment="1"/>
    <xf numFmtId="0" fontId="2" fillId="0" borderId="3" xfId="0" applyFont="1" applyBorder="1" applyAlignment="1"/>
    <xf numFmtId="0" fontId="2" fillId="0" borderId="4" xfId="0" applyFont="1" applyBorder="1" applyAlignment="1"/>
    <xf numFmtId="0" fontId="4" fillId="0" borderId="11" xfId="0" applyFont="1" applyFill="1" applyBorder="1" applyAlignment="1">
      <alignment horizontal="center"/>
    </xf>
    <xf numFmtId="0" fontId="2" fillId="0" borderId="7" xfId="0" applyFont="1" applyBorder="1" applyAlignment="1">
      <alignment horizontal="left"/>
    </xf>
    <xf numFmtId="0" fontId="2" fillId="0" borderId="2" xfId="0" applyFont="1" applyFill="1" applyBorder="1"/>
    <xf numFmtId="0" fontId="4" fillId="0" borderId="1" xfId="0" applyFont="1" applyBorder="1" applyAlignment="1">
      <alignment horizontal="center" vertical="center"/>
    </xf>
    <xf numFmtId="0" fontId="4" fillId="0" borderId="6" xfId="0" applyFont="1" applyBorder="1" applyAlignment="1">
      <alignment horizontal="center" vertical="center"/>
    </xf>
    <xf numFmtId="0" fontId="4" fillId="0" borderId="0" xfId="0" applyFont="1" applyFill="1" applyBorder="1" applyAlignment="1">
      <alignment horizontal="right" vertical="center"/>
    </xf>
    <xf numFmtId="0" fontId="2" fillId="0" borderId="3" xfId="0" applyFont="1" applyBorder="1" applyAlignment="1">
      <alignment horizontal="center" vertical="top"/>
    </xf>
    <xf numFmtId="0" fontId="2" fillId="0" borderId="0" xfId="0" applyFont="1" applyAlignment="1"/>
    <xf numFmtId="0" fontId="2" fillId="0" borderId="5" xfId="0" applyFont="1" applyBorder="1" applyAlignment="1">
      <alignment horizontal="center" vertical="center" wrapText="1"/>
    </xf>
    <xf numFmtId="0" fontId="2" fillId="0" borderId="4" xfId="0" applyFont="1" applyBorder="1" applyAlignment="1">
      <alignment horizontal="center" vertical="center"/>
    </xf>
    <xf numFmtId="0" fontId="2" fillId="0" borderId="3" xfId="0" applyFont="1" applyBorder="1" applyAlignment="1">
      <alignment horizontal="left"/>
    </xf>
    <xf numFmtId="0" fontId="2" fillId="0" borderId="7" xfId="0" applyFont="1" applyBorder="1" applyAlignment="1">
      <alignment horizontal="center" vertical="center"/>
    </xf>
    <xf numFmtId="0" fontId="2" fillId="0" borderId="0" xfId="0" applyFont="1" applyBorder="1" applyAlignment="1">
      <alignment wrapText="1"/>
    </xf>
    <xf numFmtId="0" fontId="2" fillId="0" borderId="0" xfId="0" applyFont="1" applyBorder="1" applyAlignment="1">
      <alignment horizontal="center" vertical="center"/>
    </xf>
    <xf numFmtId="0" fontId="2" fillId="0" borderId="0" xfId="0" applyFont="1" applyAlignment="1">
      <alignment horizontal="center" vertical="center" wrapText="1"/>
    </xf>
    <xf numFmtId="0" fontId="2" fillId="0" borderId="12" xfId="0" applyFont="1" applyBorder="1" applyAlignment="1">
      <alignment horizontal="center" vertical="center" wrapText="1"/>
    </xf>
    <xf numFmtId="0" fontId="2" fillId="0" borderId="0" xfId="0" applyFont="1" applyBorder="1" applyAlignment="1">
      <alignment horizontal="center" vertical="center" wrapText="1"/>
    </xf>
    <xf numFmtId="186" fontId="2" fillId="0" borderId="0" xfId="0" applyNumberFormat="1" applyFont="1" applyFill="1" applyBorder="1" applyAlignment="1">
      <alignment horizontal="right"/>
    </xf>
    <xf numFmtId="186" fontId="2" fillId="0" borderId="0" xfId="0" applyNumberFormat="1" applyFont="1" applyFill="1" applyBorder="1"/>
    <xf numFmtId="0" fontId="2" fillId="0" borderId="8" xfId="0" applyFont="1" applyBorder="1"/>
    <xf numFmtId="0" fontId="6" fillId="0" borderId="6" xfId="0" applyFont="1" applyBorder="1" applyAlignment="1">
      <alignment horizontal="left" vertical="center"/>
    </xf>
    <xf numFmtId="0" fontId="0" fillId="0" borderId="0" xfId="0" applyBorder="1"/>
    <xf numFmtId="0" fontId="2" fillId="0" borderId="12" xfId="0" applyFont="1" applyBorder="1" applyAlignment="1">
      <alignment horizontal="center"/>
    </xf>
    <xf numFmtId="0" fontId="1" fillId="0" borderId="14" xfId="0" applyFont="1" applyBorder="1"/>
    <xf numFmtId="0" fontId="4" fillId="0" borderId="0" xfId="0" applyFont="1" applyBorder="1" applyAlignment="1">
      <alignment horizontal="right" vertical="center"/>
    </xf>
    <xf numFmtId="0" fontId="4" fillId="0" borderId="11" xfId="0" applyFont="1" applyFill="1" applyBorder="1" applyAlignment="1">
      <alignment horizontal="center" vertical="center"/>
    </xf>
    <xf numFmtId="0" fontId="1" fillId="0" borderId="4" xfId="0" applyFont="1" applyBorder="1" applyAlignment="1">
      <alignment horizontal="right"/>
    </xf>
    <xf numFmtId="0" fontId="7" fillId="0" borderId="15" xfId="0" applyFont="1" applyBorder="1" applyAlignment="1">
      <alignment horizontal="center" vertical="center"/>
    </xf>
    <xf numFmtId="0" fontId="1" fillId="0" borderId="0" xfId="0" applyFont="1" applyBorder="1" applyAlignment="1">
      <alignment horizontal="right"/>
    </xf>
    <xf numFmtId="0" fontId="7" fillId="0" borderId="11" xfId="0" applyFont="1" applyBorder="1" applyAlignment="1">
      <alignment horizontal="center" vertical="center"/>
    </xf>
    <xf numFmtId="0" fontId="7" fillId="0" borderId="15" xfId="0" applyFont="1" applyBorder="1" applyAlignment="1">
      <alignment horizontal="center"/>
    </xf>
    <xf numFmtId="0" fontId="2" fillId="0" borderId="12" xfId="0" applyFont="1" applyBorder="1" applyAlignment="1">
      <alignment horizontal="center" vertical="center"/>
    </xf>
    <xf numFmtId="0" fontId="2" fillId="0" borderId="0" xfId="0" applyFont="1" applyBorder="1" applyAlignment="1">
      <alignment horizontal="left" vertical="center"/>
    </xf>
    <xf numFmtId="0" fontId="2" fillId="0" borderId="0" xfId="0" applyFont="1" applyFill="1" applyBorder="1"/>
    <xf numFmtId="0" fontId="4" fillId="0" borderId="0" xfId="0" applyFont="1" applyFill="1" applyBorder="1" applyAlignment="1">
      <alignment horizontal="center" vertical="center"/>
    </xf>
    <xf numFmtId="0" fontId="2" fillId="0" borderId="10" xfId="0" applyFont="1" applyBorder="1" applyAlignment="1">
      <alignment horizontal="center" vertical="center" wrapText="1"/>
    </xf>
    <xf numFmtId="0" fontId="1" fillId="0" borderId="0" xfId="0" applyFont="1" applyBorder="1" applyAlignment="1"/>
    <xf numFmtId="0" fontId="2" fillId="0" borderId="0" xfId="0" applyFont="1" applyFill="1" applyBorder="1" applyAlignment="1">
      <alignment vertical="top" wrapText="1"/>
    </xf>
    <xf numFmtId="0" fontId="1" fillId="0" borderId="0" xfId="0" applyFont="1" applyBorder="1" applyAlignment="1">
      <alignment horizontal="left" vertical="top" wrapText="1"/>
    </xf>
    <xf numFmtId="190" fontId="2" fillId="0" borderId="9" xfId="0" applyNumberFormat="1" applyFont="1" applyFill="1" applyBorder="1" applyAlignment="1"/>
    <xf numFmtId="190" fontId="2" fillId="0" borderId="9" xfId="0" applyNumberFormat="1" applyFont="1" applyBorder="1"/>
    <xf numFmtId="190" fontId="1" fillId="0" borderId="10" xfId="0" applyNumberFormat="1" applyFont="1" applyBorder="1"/>
    <xf numFmtId="190" fontId="1" fillId="0" borderId="10" xfId="0" applyNumberFormat="1" applyFont="1" applyBorder="1" applyAlignment="1"/>
    <xf numFmtId="190" fontId="2" fillId="0" borderId="5" xfId="0" applyNumberFormat="1" applyFont="1" applyBorder="1" applyAlignment="1">
      <alignment horizontal="center"/>
    </xf>
    <xf numFmtId="190" fontId="2" fillId="0" borderId="2" xfId="0" applyNumberFormat="1" applyFont="1" applyBorder="1" applyAlignment="1"/>
    <xf numFmtId="190" fontId="2" fillId="0" borderId="11" xfId="0" applyNumberFormat="1" applyFont="1" applyFill="1" applyBorder="1" applyAlignment="1"/>
    <xf numFmtId="190" fontId="2" fillId="0" borderId="11" xfId="0" applyNumberFormat="1" applyFont="1" applyBorder="1" applyAlignment="1"/>
    <xf numFmtId="190" fontId="2" fillId="0" borderId="5" xfId="0" applyNumberFormat="1" applyFont="1" applyBorder="1"/>
    <xf numFmtId="190" fontId="2" fillId="0" borderId="1" xfId="0" applyNumberFormat="1" applyFont="1" applyBorder="1"/>
    <xf numFmtId="190" fontId="2" fillId="0" borderId="10" xfId="0" applyNumberFormat="1" applyFont="1" applyBorder="1"/>
    <xf numFmtId="190" fontId="2" fillId="0" borderId="4" xfId="0" applyNumberFormat="1" applyFont="1" applyBorder="1"/>
    <xf numFmtId="190" fontId="2" fillId="0" borderId="10" xfId="0" applyNumberFormat="1" applyFont="1" applyBorder="1" applyAlignment="1"/>
    <xf numFmtId="190" fontId="2" fillId="0" borderId="5" xfId="0" applyNumberFormat="1" applyFont="1" applyBorder="1" applyAlignment="1"/>
    <xf numFmtId="190" fontId="2" fillId="0" borderId="0" xfId="0" applyNumberFormat="1" applyFont="1" applyBorder="1"/>
    <xf numFmtId="190" fontId="2" fillId="0" borderId="9" xfId="0" applyNumberFormat="1" applyFont="1" applyBorder="1" applyAlignment="1"/>
    <xf numFmtId="190" fontId="2" fillId="0" borderId="10" xfId="0" applyNumberFormat="1" applyFont="1" applyFill="1" applyBorder="1" applyAlignment="1"/>
    <xf numFmtId="190" fontId="2" fillId="0" borderId="10" xfId="0" applyNumberFormat="1" applyFont="1" applyFill="1" applyBorder="1"/>
    <xf numFmtId="190" fontId="2" fillId="0" borderId="9" xfId="0" applyNumberFormat="1" applyFont="1" applyFill="1" applyBorder="1"/>
    <xf numFmtId="190" fontId="2" fillId="0" borderId="11" xfId="0" applyNumberFormat="1" applyFont="1" applyBorder="1"/>
    <xf numFmtId="190" fontId="2" fillId="0" borderId="11" xfId="0" applyNumberFormat="1" applyFont="1" applyFill="1" applyBorder="1"/>
    <xf numFmtId="190" fontId="2" fillId="0" borderId="9" xfId="0" applyNumberFormat="1" applyFont="1" applyFill="1" applyBorder="1" applyAlignment="1">
      <alignment horizontal="right"/>
    </xf>
    <xf numFmtId="190" fontId="1" fillId="0" borderId="15" xfId="0" applyNumberFormat="1" applyFont="1" applyBorder="1"/>
    <xf numFmtId="190" fontId="1" fillId="0" borderId="10" xfId="0" applyNumberFormat="1" applyFont="1" applyFill="1" applyBorder="1"/>
    <xf numFmtId="190" fontId="1" fillId="0" borderId="11" xfId="0" applyNumberFormat="1" applyFont="1" applyBorder="1"/>
    <xf numFmtId="190" fontId="1" fillId="0" borderId="7" xfId="0" applyNumberFormat="1" applyFont="1" applyBorder="1"/>
    <xf numFmtId="190" fontId="2" fillId="0" borderId="0" xfId="0" applyNumberFormat="1" applyFont="1" applyFill="1" applyBorder="1"/>
    <xf numFmtId="0" fontId="1" fillId="0" borderId="10" xfId="0" applyFont="1" applyBorder="1" applyAlignment="1">
      <alignment horizontal="center" vertical="center"/>
    </xf>
    <xf numFmtId="0" fontId="7" fillId="0" borderId="13" xfId="0" applyFont="1" applyBorder="1" applyAlignment="1">
      <alignment horizontal="center"/>
    </xf>
    <xf numFmtId="190" fontId="2" fillId="0" borderId="7" xfId="0" applyNumberFormat="1" applyFont="1" applyBorder="1"/>
    <xf numFmtId="190" fontId="0" fillId="0" borderId="5" xfId="0" applyNumberFormat="1" applyBorder="1"/>
    <xf numFmtId="190" fontId="0" fillId="0" borderId="1" xfId="0" applyNumberFormat="1" applyBorder="1"/>
    <xf numFmtId="190" fontId="0" fillId="0" borderId="9" xfId="0" applyNumberFormat="1" applyBorder="1"/>
    <xf numFmtId="190" fontId="0" fillId="0" borderId="0" xfId="0" applyNumberFormat="1" applyBorder="1"/>
    <xf numFmtId="190" fontId="2" fillId="0" borderId="13" xfId="0" applyNumberFormat="1" applyFont="1" applyFill="1" applyBorder="1" applyAlignment="1">
      <alignment horizontal="right" vertical="center"/>
    </xf>
    <xf numFmtId="190" fontId="1" fillId="0" borderId="9" xfId="0" applyNumberFormat="1" applyFont="1" applyBorder="1"/>
    <xf numFmtId="190" fontId="1" fillId="0" borderId="9" xfId="0" applyNumberFormat="1" applyFont="1" applyFill="1" applyBorder="1"/>
    <xf numFmtId="190" fontId="2" fillId="0" borderId="13" xfId="0" applyNumberFormat="1" applyFont="1" applyBorder="1"/>
    <xf numFmtId="190" fontId="2" fillId="0" borderId="5" xfId="0" applyNumberFormat="1" applyFont="1" applyFill="1" applyBorder="1"/>
    <xf numFmtId="190" fontId="2" fillId="0" borderId="0" xfId="0" applyNumberFormat="1" applyFont="1" applyFill="1" applyBorder="1" applyAlignment="1"/>
    <xf numFmtId="190" fontId="2" fillId="0" borderId="12" xfId="0" applyNumberFormat="1" applyFont="1" applyBorder="1"/>
    <xf numFmtId="190" fontId="2" fillId="0" borderId="2" xfId="0" applyNumberFormat="1" applyFont="1" applyBorder="1"/>
    <xf numFmtId="190" fontId="2" fillId="0" borderId="0" xfId="0" applyNumberFormat="1" applyFont="1" applyBorder="1" applyAlignment="1">
      <alignment horizontal="right"/>
    </xf>
    <xf numFmtId="190" fontId="2" fillId="0" borderId="0" xfId="0" applyNumberFormat="1" applyFont="1"/>
    <xf numFmtId="190" fontId="2" fillId="0" borderId="3" xfId="0" applyNumberFormat="1" applyFont="1" applyBorder="1"/>
    <xf numFmtId="190" fontId="2" fillId="0" borderId="0" xfId="0" applyNumberFormat="1" applyFont="1" applyBorder="1" applyAlignment="1">
      <alignment horizontal="center"/>
    </xf>
    <xf numFmtId="0" fontId="2" fillId="0" borderId="5" xfId="0" applyFont="1" applyBorder="1" applyAlignment="1">
      <alignment horizontal="center" wrapText="1"/>
    </xf>
    <xf numFmtId="190" fontId="2" fillId="0" borderId="9" xfId="0" applyNumberFormat="1" applyFont="1" applyBorder="1" applyAlignment="1">
      <alignment horizontal="center"/>
    </xf>
    <xf numFmtId="0" fontId="4" fillId="0" borderId="6" xfId="0" applyFont="1" applyBorder="1" applyAlignment="1">
      <alignment horizontal="center"/>
    </xf>
    <xf numFmtId="190" fontId="2" fillId="0" borderId="6" xfId="0" applyNumberFormat="1" applyFont="1" applyBorder="1" applyAlignment="1">
      <alignment horizontal="right"/>
    </xf>
    <xf numFmtId="0" fontId="0" fillId="0" borderId="10" xfId="0" applyBorder="1" applyAlignment="1"/>
    <xf numFmtId="190" fontId="2" fillId="0" borderId="3" xfId="0" applyNumberFormat="1" applyFont="1" applyFill="1" applyBorder="1"/>
    <xf numFmtId="190" fontId="2" fillId="0" borderId="12" xfId="0" applyNumberFormat="1" applyFont="1" applyFill="1" applyBorder="1"/>
    <xf numFmtId="190" fontId="2" fillId="0" borderId="2" xfId="0" applyNumberFormat="1" applyFont="1" applyFill="1" applyBorder="1"/>
    <xf numFmtId="190" fontId="2" fillId="0" borderId="15" xfId="0" applyNumberFormat="1" applyFont="1" applyBorder="1"/>
    <xf numFmtId="0" fontId="2" fillId="0" borderId="8" xfId="0" applyFont="1" applyBorder="1" applyAlignment="1">
      <alignment vertical="top"/>
    </xf>
    <xf numFmtId="0" fontId="4" fillId="0" borderId="10" xfId="0" applyFont="1" applyBorder="1" applyAlignment="1">
      <alignment horizontal="center" vertical="center"/>
    </xf>
    <xf numFmtId="190" fontId="1" fillId="0" borderId="0" xfId="0" applyNumberFormat="1" applyFont="1" applyBorder="1"/>
    <xf numFmtId="0" fontId="2" fillId="0" borderId="0" xfId="0" applyFont="1" applyAlignment="1">
      <alignment horizontal="right"/>
    </xf>
    <xf numFmtId="190" fontId="1" fillId="0" borderId="8" xfId="0" applyNumberFormat="1" applyFont="1" applyBorder="1"/>
    <xf numFmtId="190" fontId="1" fillId="0" borderId="6" xfId="0" applyNumberFormat="1" applyFont="1" applyBorder="1"/>
    <xf numFmtId="190" fontId="1" fillId="0" borderId="13" xfId="0" applyNumberFormat="1" applyFont="1" applyBorder="1"/>
    <xf numFmtId="190" fontId="2" fillId="0" borderId="15" xfId="0" applyNumberFormat="1" applyFont="1" applyFill="1" applyBorder="1"/>
    <xf numFmtId="0" fontId="4" fillId="0" borderId="0" xfId="0" applyFont="1" applyBorder="1" applyAlignment="1">
      <alignment horizontal="center"/>
    </xf>
    <xf numFmtId="0" fontId="2" fillId="2" borderId="14" xfId="0" applyFont="1" applyFill="1" applyBorder="1" applyAlignment="1">
      <alignment horizontal="left" vertical="top" wrapText="1"/>
    </xf>
    <xf numFmtId="0" fontId="2" fillId="2" borderId="15" xfId="0" applyFont="1" applyFill="1" applyBorder="1" applyAlignment="1">
      <alignment horizontal="left" vertical="top" wrapText="1"/>
    </xf>
    <xf numFmtId="0" fontId="0" fillId="0" borderId="0" xfId="0" applyFill="1"/>
    <xf numFmtId="0" fontId="2" fillId="0" borderId="3" xfId="0" applyFont="1" applyFill="1" applyBorder="1" applyAlignment="1">
      <alignment horizontal="center" vertical="center"/>
    </xf>
    <xf numFmtId="0" fontId="2" fillId="0" borderId="3" xfId="0" applyFont="1" applyFill="1" applyBorder="1"/>
    <xf numFmtId="0" fontId="2" fillId="0" borderId="7" xfId="0" applyFont="1" applyBorder="1" applyAlignment="1">
      <alignment vertical="top"/>
    </xf>
    <xf numFmtId="0" fontId="2" fillId="0" borderId="14" xfId="0" applyFont="1" applyBorder="1" applyAlignment="1">
      <alignment horizontal="left"/>
    </xf>
    <xf numFmtId="0" fontId="2" fillId="0" borderId="5" xfId="0" applyFont="1" applyBorder="1" applyAlignment="1">
      <alignment horizontal="left"/>
    </xf>
    <xf numFmtId="0" fontId="2" fillId="0" borderId="9" xfId="0" applyFont="1" applyBorder="1"/>
    <xf numFmtId="0" fontId="2" fillId="0" borderId="10" xfId="0" applyFont="1" applyBorder="1" applyAlignment="1">
      <alignment horizontal="left"/>
    </xf>
    <xf numFmtId="0" fontId="2" fillId="0" borderId="11" xfId="0" applyFont="1" applyFill="1" applyBorder="1"/>
    <xf numFmtId="0" fontId="2" fillId="0" borderId="0" xfId="0" applyFont="1" applyFill="1"/>
    <xf numFmtId="0" fontId="7" fillId="0" borderId="0" xfId="0" applyFont="1"/>
    <xf numFmtId="0" fontId="2" fillId="0" borderId="9" xfId="0" applyFont="1" applyBorder="1" applyAlignment="1">
      <alignment horizontal="center" vertical="center" wrapText="1"/>
    </xf>
    <xf numFmtId="0" fontId="1" fillId="0" borderId="0" xfId="0" applyFont="1" applyBorder="1" applyAlignment="1">
      <alignment horizontal="left" wrapText="1"/>
    </xf>
    <xf numFmtId="0" fontId="2" fillId="0" borderId="4" xfId="0" applyFont="1" applyBorder="1" applyAlignment="1">
      <alignment horizontal="left" vertical="top" wrapText="1"/>
    </xf>
    <xf numFmtId="0" fontId="2" fillId="0" borderId="15" xfId="0" applyFont="1" applyBorder="1" applyAlignment="1">
      <alignment horizontal="left" vertical="top" wrapText="1"/>
    </xf>
    <xf numFmtId="0" fontId="2" fillId="0" borderId="12" xfId="0" applyFont="1" applyBorder="1" applyAlignment="1">
      <alignment horizontal="left"/>
    </xf>
    <xf numFmtId="0" fontId="2" fillId="0" borderId="6" xfId="0" applyFont="1" applyBorder="1" applyAlignment="1">
      <alignment horizontal="center" vertical="top"/>
    </xf>
    <xf numFmtId="0" fontId="7" fillId="0" borderId="4" xfId="0" applyFont="1" applyBorder="1" applyAlignment="1">
      <alignment horizontal="center" vertical="center"/>
    </xf>
    <xf numFmtId="186" fontId="2" fillId="0" borderId="11" xfId="0" applyNumberFormat="1" applyFont="1" applyFill="1" applyBorder="1" applyAlignment="1">
      <alignment horizontal="right"/>
    </xf>
    <xf numFmtId="186" fontId="1" fillId="0" borderId="11" xfId="0" applyNumberFormat="1" applyFont="1" applyFill="1" applyBorder="1" applyAlignment="1">
      <alignment horizontal="right"/>
    </xf>
    <xf numFmtId="186" fontId="1" fillId="0" borderId="15" xfId="0" applyNumberFormat="1" applyFont="1" applyFill="1" applyBorder="1" applyAlignment="1">
      <alignment horizontal="right"/>
    </xf>
    <xf numFmtId="190" fontId="1" fillId="0" borderId="4" xfId="0" applyNumberFormat="1" applyFont="1" applyBorder="1"/>
    <xf numFmtId="190" fontId="1" fillId="0" borderId="0" xfId="0" applyNumberFormat="1" applyFont="1" applyFill="1" applyBorder="1"/>
    <xf numFmtId="186" fontId="2" fillId="0" borderId="2" xfId="0" applyNumberFormat="1" applyFont="1" applyFill="1" applyBorder="1"/>
    <xf numFmtId="190" fontId="4" fillId="0" borderId="0" xfId="0" applyNumberFormat="1" applyFont="1" applyFill="1" applyBorder="1" applyAlignment="1">
      <alignment horizontal="center"/>
    </xf>
    <xf numFmtId="0" fontId="4" fillId="0" borderId="4" xfId="0" applyFont="1" applyBorder="1" applyAlignment="1">
      <alignment horizontal="center" vertical="center"/>
    </xf>
    <xf numFmtId="186" fontId="2" fillId="0" borderId="11" xfId="0" applyNumberFormat="1" applyFont="1" applyFill="1" applyBorder="1"/>
    <xf numFmtId="0" fontId="2" fillId="0" borderId="0" xfId="0" applyFont="1" applyBorder="1" applyAlignment="1">
      <alignment horizontal="left" wrapText="1"/>
    </xf>
    <xf numFmtId="0" fontId="2" fillId="0" borderId="10" xfId="0" applyFont="1" applyBorder="1" applyAlignment="1"/>
    <xf numFmtId="0" fontId="7" fillId="0" borderId="13" xfId="0" applyFont="1" applyBorder="1" applyAlignment="1">
      <alignment horizontal="center" vertical="center"/>
    </xf>
    <xf numFmtId="0" fontId="1" fillId="0" borderId="3" xfId="0" applyFont="1" applyBorder="1" applyAlignment="1">
      <alignment vertical="center"/>
    </xf>
    <xf numFmtId="0" fontId="2" fillId="0" borderId="1" xfId="0" applyFont="1" applyBorder="1" applyAlignment="1">
      <alignment horizontal="right" vertical="top"/>
    </xf>
    <xf numFmtId="0" fontId="2" fillId="0" borderId="4" xfId="0" applyFont="1" applyBorder="1" applyAlignment="1">
      <alignment horizontal="right" vertical="top"/>
    </xf>
    <xf numFmtId="0" fontId="2" fillId="0" borderId="1" xfId="0" applyFont="1" applyBorder="1" applyAlignment="1">
      <alignment horizontal="right"/>
    </xf>
    <xf numFmtId="0" fontId="1" fillId="0" borderId="4" xfId="0" applyFont="1" applyBorder="1" applyAlignment="1">
      <alignment horizontal="center" vertical="center"/>
    </xf>
    <xf numFmtId="186" fontId="2" fillId="0" borderId="15" xfId="0" applyNumberFormat="1" applyFont="1" applyFill="1" applyBorder="1" applyAlignment="1">
      <alignment horizontal="right"/>
    </xf>
    <xf numFmtId="0" fontId="1" fillId="0" borderId="1" xfId="0" applyFont="1" applyBorder="1" applyAlignment="1">
      <alignment horizontal="center" vertical="center"/>
    </xf>
    <xf numFmtId="186" fontId="1" fillId="0" borderId="2" xfId="0" applyNumberFormat="1" applyFont="1" applyFill="1" applyBorder="1" applyAlignment="1">
      <alignment horizontal="right"/>
    </xf>
    <xf numFmtId="190" fontId="1" fillId="0" borderId="1" xfId="0" applyNumberFormat="1" applyFont="1" applyFill="1" applyBorder="1"/>
    <xf numFmtId="190" fontId="1" fillId="0" borderId="5" xfId="0" applyNumberFormat="1" applyFont="1" applyFill="1" applyBorder="1"/>
    <xf numFmtId="0" fontId="2" fillId="0" borderId="4" xfId="0" applyFont="1" applyBorder="1" applyAlignment="1">
      <alignment horizontal="center"/>
    </xf>
    <xf numFmtId="190" fontId="2" fillId="2" borderId="9" xfId="0" applyNumberFormat="1" applyFont="1" applyFill="1" applyBorder="1" applyProtection="1">
      <protection locked="0"/>
    </xf>
    <xf numFmtId="190" fontId="2" fillId="2" borderId="5" xfId="0" applyNumberFormat="1" applyFont="1" applyFill="1" applyBorder="1" applyAlignment="1" applyProtection="1">
      <protection locked="0"/>
    </xf>
    <xf numFmtId="190" fontId="2" fillId="2" borderId="9" xfId="0" applyNumberFormat="1" applyFont="1" applyFill="1" applyBorder="1" applyAlignment="1" applyProtection="1">
      <protection locked="0"/>
    </xf>
    <xf numFmtId="0" fontId="2" fillId="0" borderId="13" xfId="0" applyFont="1" applyBorder="1"/>
    <xf numFmtId="190" fontId="2" fillId="2" borderId="11" xfId="0" applyNumberFormat="1" applyFont="1" applyFill="1" applyBorder="1" applyProtection="1">
      <protection locked="0"/>
    </xf>
    <xf numFmtId="190" fontId="2" fillId="2" borderId="9" xfId="0" applyNumberFormat="1" applyFont="1" applyFill="1" applyBorder="1" applyAlignment="1" applyProtection="1">
      <alignment horizontal="right"/>
      <protection locked="0"/>
    </xf>
    <xf numFmtId="190" fontId="1" fillId="2" borderId="11" xfId="0" applyNumberFormat="1" applyFont="1" applyFill="1" applyBorder="1" applyProtection="1">
      <protection locked="0"/>
    </xf>
    <xf numFmtId="190" fontId="2" fillId="2" borderId="0" xfId="0" applyNumberFormat="1" applyFont="1" applyFill="1" applyBorder="1" applyProtection="1">
      <protection locked="0"/>
    </xf>
    <xf numFmtId="190" fontId="2" fillId="2" borderId="10" xfId="0" applyNumberFormat="1" applyFont="1" applyFill="1" applyBorder="1" applyProtection="1">
      <protection locked="0"/>
    </xf>
    <xf numFmtId="190" fontId="2" fillId="2" borderId="3" xfId="0" applyNumberFormat="1" applyFont="1" applyFill="1" applyBorder="1" applyProtection="1">
      <protection locked="0"/>
    </xf>
    <xf numFmtId="190" fontId="2" fillId="2" borderId="7" xfId="0" applyNumberFormat="1" applyFont="1" applyFill="1" applyBorder="1" applyProtection="1">
      <protection locked="0"/>
    </xf>
    <xf numFmtId="190" fontId="2" fillId="2" borderId="7" xfId="0" applyNumberFormat="1" applyFont="1" applyFill="1" applyBorder="1" applyAlignment="1" applyProtection="1">
      <alignment horizontal="center"/>
      <protection locked="0"/>
    </xf>
    <xf numFmtId="190" fontId="2" fillId="2" borderId="10" xfId="0" applyNumberFormat="1" applyFont="1" applyFill="1" applyBorder="1" applyAlignment="1" applyProtection="1">
      <alignment horizontal="center"/>
      <protection locked="0"/>
    </xf>
    <xf numFmtId="190" fontId="2" fillId="0" borderId="9" xfId="0" applyNumberFormat="1" applyFont="1" applyBorder="1" applyAlignment="1">
      <alignment horizontal="center" vertical="center" wrapText="1"/>
    </xf>
    <xf numFmtId="190" fontId="2" fillId="0" borderId="0" xfId="0" applyNumberFormat="1" applyFont="1" applyBorder="1" applyAlignment="1">
      <alignment horizontal="center" vertical="center" wrapText="1"/>
    </xf>
    <xf numFmtId="0" fontId="2" fillId="2" borderId="12" xfId="0" applyFont="1" applyFill="1" applyBorder="1" applyAlignment="1" applyProtection="1">
      <alignment horizontal="left" vertical="center" wrapText="1"/>
      <protection locked="0"/>
    </xf>
    <xf numFmtId="0" fontId="2" fillId="2" borderId="2" xfId="0" applyFont="1" applyFill="1" applyBorder="1" applyAlignment="1" applyProtection="1">
      <alignment horizontal="left" vertical="center" wrapText="1"/>
      <protection locked="0"/>
    </xf>
    <xf numFmtId="0" fontId="2" fillId="2" borderId="14" xfId="0" applyFont="1" applyFill="1" applyBorder="1" applyAlignment="1" applyProtection="1">
      <alignment horizontal="left" vertical="center" wrapText="1"/>
      <protection locked="0"/>
    </xf>
    <xf numFmtId="0" fontId="2" fillId="2" borderId="15" xfId="0" applyFont="1" applyFill="1" applyBorder="1" applyAlignment="1" applyProtection="1">
      <alignment horizontal="left" vertical="center" wrapText="1"/>
      <protection locked="0"/>
    </xf>
    <xf numFmtId="0" fontId="2" fillId="2" borderId="8"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49" fontId="2" fillId="0" borderId="0" xfId="0" applyNumberFormat="1" applyFont="1" applyFill="1" applyAlignment="1"/>
    <xf numFmtId="0" fontId="2" fillId="0" borderId="0" xfId="0" applyFont="1" applyFill="1" applyAlignment="1">
      <alignment horizontal="left"/>
    </xf>
    <xf numFmtId="0" fontId="2" fillId="0" borderId="0" xfId="0" applyFont="1" applyFill="1" applyAlignment="1">
      <alignment horizontal="center"/>
    </xf>
    <xf numFmtId="0" fontId="2" fillId="0" borderId="0" xfId="0" applyFont="1" applyFill="1" applyBorder="1" applyAlignment="1">
      <alignment horizontal="center" vertical="center" wrapText="1"/>
    </xf>
    <xf numFmtId="0" fontId="1" fillId="0" borderId="0" xfId="0" applyFont="1" applyFill="1" applyAlignment="1">
      <alignment horizontal="left"/>
    </xf>
    <xf numFmtId="49" fontId="1" fillId="0" borderId="5" xfId="0" applyNumberFormat="1" applyFont="1" applyFill="1" applyBorder="1" applyAlignment="1">
      <alignment horizontal="center"/>
    </xf>
    <xf numFmtId="0" fontId="2" fillId="0" borderId="5" xfId="0" applyFont="1" applyFill="1" applyBorder="1" applyAlignment="1">
      <alignment horizontal="left"/>
    </xf>
    <xf numFmtId="0" fontId="2" fillId="0" borderId="5" xfId="0" applyFont="1" applyFill="1" applyBorder="1" applyAlignment="1">
      <alignment horizontal="center"/>
    </xf>
    <xf numFmtId="0" fontId="2" fillId="0" borderId="5" xfId="0" applyFont="1" applyFill="1" applyBorder="1" applyAlignment="1">
      <alignment horizontal="left" vertical="center"/>
    </xf>
    <xf numFmtId="49" fontId="1" fillId="0" borderId="9" xfId="0" applyNumberFormat="1" applyFont="1" applyFill="1" applyBorder="1" applyAlignment="1">
      <alignment horizontal="center"/>
    </xf>
    <xf numFmtId="0" fontId="2" fillId="0" borderId="9" xfId="0" applyFont="1" applyFill="1" applyBorder="1" applyAlignment="1">
      <alignment horizontal="left"/>
    </xf>
    <xf numFmtId="0" fontId="9" fillId="0" borderId="9" xfId="0" applyFont="1" applyFill="1" applyBorder="1" applyAlignment="1">
      <alignment horizontal="left" vertical="center"/>
    </xf>
    <xf numFmtId="49" fontId="1" fillId="0" borderId="10" xfId="0" applyNumberFormat="1" applyFont="1" applyFill="1" applyBorder="1" applyAlignment="1">
      <alignment horizontal="center"/>
    </xf>
    <xf numFmtId="0" fontId="2" fillId="0" borderId="10" xfId="0" applyFont="1" applyFill="1" applyBorder="1" applyAlignment="1">
      <alignment horizontal="left"/>
    </xf>
    <xf numFmtId="0" fontId="2" fillId="0" borderId="10" xfId="0" applyFont="1" applyFill="1" applyBorder="1" applyAlignment="1">
      <alignment horizontal="center"/>
    </xf>
    <xf numFmtId="0" fontId="9" fillId="0" borderId="10" xfId="0" applyFont="1" applyFill="1" applyBorder="1" applyAlignment="1">
      <alignment horizontal="left" vertical="center"/>
    </xf>
    <xf numFmtId="0" fontId="1" fillId="0" borderId="10" xfId="0" applyFont="1" applyFill="1" applyBorder="1" applyAlignment="1">
      <alignment horizontal="center" vertical="center"/>
    </xf>
    <xf numFmtId="0" fontId="2" fillId="0" borderId="10" xfId="0" applyFont="1" applyBorder="1" applyAlignment="1">
      <alignment vertical="center"/>
    </xf>
    <xf numFmtId="0" fontId="1" fillId="0" borderId="5" xfId="0" applyFont="1" applyFill="1" applyBorder="1" applyAlignment="1">
      <alignment horizontal="center" vertical="center"/>
    </xf>
    <xf numFmtId="0" fontId="2" fillId="0" borderId="5" xfId="0" applyFont="1" applyBorder="1" applyAlignment="1">
      <alignment vertical="center" wrapText="1"/>
    </xf>
    <xf numFmtId="0" fontId="0" fillId="0" borderId="5" xfId="0" applyBorder="1" applyAlignment="1">
      <alignment horizontal="center" vertical="center"/>
    </xf>
    <xf numFmtId="0" fontId="2" fillId="0" borderId="10" xfId="0" applyFont="1" applyFill="1" applyBorder="1" applyAlignment="1">
      <alignment horizontal="left" vertical="center"/>
    </xf>
    <xf numFmtId="0" fontId="2" fillId="0" borderId="5" xfId="0" applyFont="1" applyFill="1" applyBorder="1" applyAlignment="1">
      <alignment vertical="center"/>
    </xf>
    <xf numFmtId="0" fontId="0" fillId="0" borderId="0" xfId="0" applyAlignment="1"/>
    <xf numFmtId="0" fontId="2" fillId="0" borderId="9" xfId="0" applyFont="1" applyFill="1" applyBorder="1" applyAlignment="1">
      <alignment horizontal="left" vertical="center"/>
    </xf>
    <xf numFmtId="49" fontId="1" fillId="0" borderId="5" xfId="0" applyNumberFormat="1" applyFont="1" applyFill="1" applyBorder="1" applyAlignment="1">
      <alignment horizontal="center" vertical="top"/>
    </xf>
    <xf numFmtId="0" fontId="2" fillId="0" borderId="5" xfId="0" applyFont="1" applyFill="1" applyBorder="1" applyAlignment="1">
      <alignment horizontal="center" vertical="top"/>
    </xf>
    <xf numFmtId="0" fontId="2" fillId="0" borderId="5" xfId="0" applyFont="1" applyFill="1" applyBorder="1" applyAlignment="1">
      <alignment vertical="top"/>
    </xf>
    <xf numFmtId="49" fontId="1" fillId="0" borderId="9" xfId="0" applyNumberFormat="1" applyFont="1" applyFill="1" applyBorder="1" applyAlignment="1">
      <alignment horizontal="center" vertical="top"/>
    </xf>
    <xf numFmtId="0" fontId="2" fillId="0" borderId="9" xfId="0" applyFont="1" applyFill="1" applyBorder="1" applyAlignment="1">
      <alignment horizontal="left" vertical="top"/>
    </xf>
    <xf numFmtId="0" fontId="2" fillId="0" borderId="9" xfId="0" applyFont="1" applyFill="1" applyBorder="1" applyAlignment="1">
      <alignment horizontal="center" vertical="top"/>
    </xf>
    <xf numFmtId="0" fontId="2" fillId="0" borderId="9" xfId="0" applyFont="1" applyFill="1" applyBorder="1" applyAlignment="1">
      <alignment vertical="top"/>
    </xf>
    <xf numFmtId="0" fontId="1" fillId="0" borderId="5" xfId="0" applyFont="1" applyFill="1" applyBorder="1" applyAlignment="1">
      <alignment horizontal="center"/>
    </xf>
    <xf numFmtId="0" fontId="1" fillId="0" borderId="9" xfId="0" applyFont="1" applyFill="1" applyBorder="1" applyAlignment="1">
      <alignment horizontal="center"/>
    </xf>
    <xf numFmtId="0" fontId="9" fillId="0" borderId="9" xfId="0" applyFont="1" applyFill="1" applyBorder="1" applyAlignment="1">
      <alignment horizontal="left"/>
    </xf>
    <xf numFmtId="0" fontId="1" fillId="0" borderId="3" xfId="0" applyFont="1" applyFill="1" applyBorder="1" applyAlignment="1">
      <alignment horizontal="center"/>
    </xf>
    <xf numFmtId="0" fontId="2" fillId="0" borderId="9" xfId="0" applyFont="1" applyBorder="1" applyAlignment="1">
      <alignment vertical="center" wrapText="1"/>
    </xf>
    <xf numFmtId="0" fontId="2" fillId="0" borderId="11" xfId="0" applyFont="1" applyFill="1" applyBorder="1" applyAlignment="1">
      <alignment horizontal="left"/>
    </xf>
    <xf numFmtId="0" fontId="2" fillId="0" borderId="9" xfId="0" applyFont="1" applyFill="1" applyBorder="1" applyAlignment="1">
      <alignment vertical="center"/>
    </xf>
    <xf numFmtId="0" fontId="1" fillId="0" borderId="10" xfId="0" applyFont="1" applyFill="1" applyBorder="1" applyAlignment="1">
      <alignment horizontal="center"/>
    </xf>
    <xf numFmtId="0" fontId="9" fillId="0" borderId="10" xfId="0" applyFont="1" applyFill="1" applyBorder="1" applyAlignment="1">
      <alignment horizontal="left"/>
    </xf>
    <xf numFmtId="0" fontId="7" fillId="0" borderId="11" xfId="0" applyFont="1" applyFill="1" applyBorder="1" applyAlignment="1">
      <alignment horizontal="center" vertical="center"/>
    </xf>
    <xf numFmtId="0" fontId="1" fillId="0" borderId="7" xfId="0" applyFont="1" applyFill="1" applyBorder="1" applyAlignment="1">
      <alignment horizontal="center" vertical="center" wrapText="1"/>
    </xf>
    <xf numFmtId="0" fontId="2" fillId="0" borderId="7" xfId="0" applyFont="1" applyBorder="1" applyAlignment="1">
      <alignment horizontal="center" vertical="center" wrapText="1"/>
    </xf>
    <xf numFmtId="49" fontId="1" fillId="0" borderId="7" xfId="0" applyNumberFormat="1" applyFont="1" applyFill="1" applyBorder="1" applyAlignment="1">
      <alignment horizontal="center" vertical="center" wrapText="1"/>
    </xf>
    <xf numFmtId="0" fontId="2" fillId="0" borderId="7" xfId="0" applyFont="1" applyFill="1" applyBorder="1" applyAlignment="1">
      <alignment horizontal="center" vertical="center"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0" xfId="0" applyFont="1" applyBorder="1" applyAlignment="1">
      <alignment horizontal="left" vertical="top" wrapText="1"/>
    </xf>
    <xf numFmtId="0" fontId="1" fillId="0" borderId="11" xfId="0" applyFont="1" applyBorder="1" applyAlignment="1">
      <alignment horizontal="left" vertical="top" wrapText="1"/>
    </xf>
    <xf numFmtId="0" fontId="1" fillId="0" borderId="4" xfId="0" applyFont="1" applyBorder="1" applyAlignment="1">
      <alignment horizontal="left" vertical="top" wrapText="1"/>
    </xf>
    <xf numFmtId="0" fontId="1" fillId="0" borderId="15" xfId="0" applyFont="1" applyBorder="1" applyAlignment="1">
      <alignment horizontal="left" vertical="top" wrapText="1"/>
    </xf>
    <xf numFmtId="0" fontId="2" fillId="2" borderId="12" xfId="0" applyFont="1" applyFill="1" applyBorder="1" applyAlignment="1" applyProtection="1">
      <alignment horizontal="left" vertical="center" wrapText="1"/>
      <protection locked="0"/>
    </xf>
    <xf numFmtId="0" fontId="2" fillId="2" borderId="2" xfId="0" applyFont="1" applyFill="1" applyBorder="1" applyAlignment="1" applyProtection="1">
      <alignment horizontal="left" vertical="center" wrapText="1"/>
      <protection locked="0"/>
    </xf>
    <xf numFmtId="0" fontId="2" fillId="2" borderId="14" xfId="0" applyFont="1" applyFill="1" applyBorder="1" applyAlignment="1" applyProtection="1">
      <alignment horizontal="left" vertical="center" wrapText="1"/>
      <protection locked="0"/>
    </xf>
    <xf numFmtId="0" fontId="2" fillId="2" borderId="15" xfId="0" applyFont="1" applyFill="1" applyBorder="1" applyAlignment="1" applyProtection="1">
      <alignment horizontal="left" vertical="center" wrapText="1"/>
      <protection locked="0"/>
    </xf>
    <xf numFmtId="0" fontId="2" fillId="0" borderId="12" xfId="0" applyFont="1" applyBorder="1" applyAlignment="1"/>
    <xf numFmtId="0" fontId="2" fillId="0" borderId="1" xfId="0" applyFont="1" applyBorder="1" applyAlignment="1"/>
    <xf numFmtId="0" fontId="2" fillId="0" borderId="2" xfId="0" applyFont="1" applyBorder="1" applyAlignment="1"/>
    <xf numFmtId="0" fontId="2" fillId="0" borderId="3" xfId="0" applyFont="1" applyBorder="1" applyAlignment="1"/>
    <xf numFmtId="0" fontId="2" fillId="0" borderId="0" xfId="0" applyFont="1" applyAlignment="1"/>
    <xf numFmtId="0" fontId="2" fillId="0" borderId="11" xfId="0" applyFont="1" applyBorder="1" applyAlignment="1"/>
    <xf numFmtId="0" fontId="2" fillId="2" borderId="8" xfId="0" applyNumberFormat="1" applyFont="1" applyFill="1" applyBorder="1" applyAlignment="1" applyProtection="1">
      <alignment horizontal="left" vertical="center"/>
      <protection locked="0"/>
    </xf>
    <xf numFmtId="0" fontId="2" fillId="2" borderId="13" xfId="0" applyNumberFormat="1" applyFont="1" applyFill="1" applyBorder="1" applyAlignment="1" applyProtection="1">
      <alignment horizontal="left" vertical="center"/>
      <protection locked="0"/>
    </xf>
    <xf numFmtId="0" fontId="2" fillId="0" borderId="2" xfId="0" applyFont="1" applyFill="1" applyBorder="1" applyAlignment="1">
      <alignment horizontal="center" vertical="center"/>
    </xf>
    <xf numFmtId="0" fontId="2" fillId="0" borderId="15" xfId="0" applyFont="1" applyFill="1" applyBorder="1" applyAlignment="1">
      <alignment horizontal="center" vertical="center"/>
    </xf>
    <xf numFmtId="0" fontId="2" fillId="0" borderId="14" xfId="0" applyFont="1" applyBorder="1" applyAlignment="1"/>
    <xf numFmtId="0" fontId="2" fillId="0" borderId="4" xfId="0" applyFont="1" applyBorder="1" applyAlignment="1"/>
    <xf numFmtId="0" fontId="2" fillId="0" borderId="15" xfId="0" applyFont="1" applyBorder="1" applyAlignment="1"/>
    <xf numFmtId="0" fontId="3" fillId="3" borderId="12"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4" xfId="0" applyFont="1" applyFill="1" applyBorder="1" applyAlignment="1">
      <alignment horizontal="center" vertical="center"/>
    </xf>
    <xf numFmtId="0" fontId="1" fillId="0" borderId="6" xfId="0" applyFont="1" applyFill="1" applyBorder="1" applyAlignment="1">
      <alignment horizontal="left" wrapText="1"/>
    </xf>
    <xf numFmtId="0" fontId="2" fillId="0" borderId="6" xfId="0" applyFont="1" applyFill="1" applyBorder="1" applyAlignment="1">
      <alignment horizontal="left" wrapText="1"/>
    </xf>
    <xf numFmtId="0" fontId="2" fillId="0" borderId="13" xfId="0" applyFont="1" applyFill="1" applyBorder="1" applyAlignment="1">
      <alignment horizontal="left" wrapText="1"/>
    </xf>
    <xf numFmtId="0" fontId="2" fillId="0" borderId="1" xfId="0" applyFont="1" applyBorder="1" applyAlignment="1">
      <alignment horizontal="left" vertical="top" wrapText="1"/>
    </xf>
    <xf numFmtId="0" fontId="2" fillId="0" borderId="1" xfId="0" applyFont="1" applyBorder="1" applyAlignment="1">
      <alignment wrapText="1"/>
    </xf>
    <xf numFmtId="0" fontId="0" fillId="0" borderId="1" xfId="0" applyBorder="1" applyAlignment="1"/>
    <xf numFmtId="0" fontId="0" fillId="0" borderId="2" xfId="0" applyBorder="1" applyAlignment="1"/>
    <xf numFmtId="0" fontId="2" fillId="0" borderId="0" xfId="0" applyFont="1" applyBorder="1" applyAlignment="1">
      <alignment horizontal="left" vertical="top" wrapText="1"/>
    </xf>
    <xf numFmtId="0" fontId="2" fillId="0" borderId="0" xfId="0" applyFont="1" applyBorder="1" applyAlignment="1">
      <alignment wrapText="1"/>
    </xf>
    <xf numFmtId="0" fontId="0" fillId="0" borderId="0" xfId="0" applyBorder="1" applyAlignment="1">
      <alignment wrapText="1"/>
    </xf>
    <xf numFmtId="0" fontId="0" fillId="0" borderId="11" xfId="0" applyBorder="1" applyAlignment="1">
      <alignment wrapText="1"/>
    </xf>
    <xf numFmtId="0" fontId="0" fillId="0" borderId="4" xfId="0" applyBorder="1" applyAlignment="1">
      <alignment wrapText="1"/>
    </xf>
    <xf numFmtId="0" fontId="0" fillId="0" borderId="15" xfId="0" applyBorder="1" applyAlignment="1">
      <alignment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xf>
    <xf numFmtId="0" fontId="2" fillId="0" borderId="6" xfId="0" applyFont="1" applyBorder="1" applyAlignment="1">
      <alignment horizontal="center" vertical="center"/>
    </xf>
    <xf numFmtId="0" fontId="2" fillId="0" borderId="13" xfId="0" applyFont="1" applyBorder="1" applyAlignment="1">
      <alignment horizontal="center" vertical="center"/>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2" fillId="0" borderId="13" xfId="0" applyFont="1" applyBorder="1" applyAlignment="1">
      <alignment horizontal="center" vertical="center" wrapText="1"/>
    </xf>
    <xf numFmtId="0" fontId="3" fillId="0" borderId="8"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3" xfId="0" applyFont="1" applyBorder="1" applyAlignment="1">
      <alignment horizontal="center" vertical="center" wrapText="1"/>
    </xf>
    <xf numFmtId="0" fontId="2" fillId="2" borderId="12"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14" xfId="0" applyFont="1" applyFill="1" applyBorder="1" applyAlignment="1">
      <alignment horizontal="left" vertical="top" wrapText="1"/>
    </xf>
    <xf numFmtId="0" fontId="2" fillId="2" borderId="15" xfId="0" applyFont="1" applyFill="1" applyBorder="1" applyAlignment="1">
      <alignment horizontal="left" vertical="top" wrapText="1"/>
    </xf>
    <xf numFmtId="0" fontId="2" fillId="0" borderId="0" xfId="0" applyFont="1" applyBorder="1" applyAlignment="1">
      <alignment horizontal="left"/>
    </xf>
    <xf numFmtId="0" fontId="2" fillId="0" borderId="0" xfId="0" applyFont="1" applyBorder="1" applyAlignment="1"/>
    <xf numFmtId="0" fontId="2" fillId="2" borderId="12" xfId="0" applyFont="1" applyFill="1" applyBorder="1" applyAlignment="1" applyProtection="1">
      <alignment horizontal="left" vertical="top" wrapText="1"/>
    </xf>
    <xf numFmtId="0" fontId="2" fillId="2" borderId="2" xfId="0" applyFont="1" applyFill="1" applyBorder="1" applyAlignment="1" applyProtection="1">
      <alignment horizontal="left" vertical="top" wrapText="1"/>
    </xf>
    <xf numFmtId="0" fontId="2" fillId="2" borderId="14" xfId="0" applyFont="1" applyFill="1" applyBorder="1" applyAlignment="1" applyProtection="1">
      <alignment horizontal="left" vertical="top" wrapText="1"/>
    </xf>
    <xf numFmtId="0" fontId="2" fillId="2" borderId="15" xfId="0" applyFont="1" applyFill="1" applyBorder="1" applyAlignment="1" applyProtection="1">
      <alignment horizontal="left" vertical="top" wrapText="1"/>
    </xf>
    <xf numFmtId="0" fontId="3" fillId="0" borderId="1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5" xfId="0" applyFont="1" applyBorder="1" applyAlignment="1">
      <alignment horizontal="center" vertical="center" wrapText="1"/>
    </xf>
    <xf numFmtId="0" fontId="1" fillId="0" borderId="6" xfId="0" applyFont="1" applyBorder="1" applyAlignment="1">
      <alignment horizontal="left" wrapText="1"/>
    </xf>
    <xf numFmtId="0" fontId="2" fillId="0" borderId="6" xfId="0" applyFont="1" applyBorder="1" applyAlignment="1">
      <alignment horizontal="left" wrapText="1"/>
    </xf>
    <xf numFmtId="0" fontId="2" fillId="0" borderId="13" xfId="0" applyFont="1" applyBorder="1" applyAlignment="1">
      <alignment horizontal="left" wrapText="1"/>
    </xf>
    <xf numFmtId="0" fontId="1" fillId="0" borderId="1" xfId="0" applyFont="1" applyBorder="1" applyAlignment="1">
      <alignment horizontal="left" wrapText="1"/>
    </xf>
    <xf numFmtId="0" fontId="8" fillId="0" borderId="1" xfId="0" applyFont="1" applyBorder="1" applyAlignment="1">
      <alignment wrapText="1"/>
    </xf>
    <xf numFmtId="0" fontId="8" fillId="0" borderId="2" xfId="0" applyFont="1" applyBorder="1" applyAlignment="1">
      <alignment wrapText="1"/>
    </xf>
    <xf numFmtId="0" fontId="1" fillId="0" borderId="0" xfId="0" applyFont="1" applyBorder="1" applyAlignment="1">
      <alignment horizontal="left" wrapText="1"/>
    </xf>
    <xf numFmtId="0" fontId="0" fillId="0" borderId="0" xfId="0" applyBorder="1" applyAlignment="1">
      <alignment horizontal="left" wrapText="1"/>
    </xf>
    <xf numFmtId="0" fontId="0" fillId="0" borderId="11" xfId="0" applyBorder="1" applyAlignment="1">
      <alignment horizontal="left" wrapText="1"/>
    </xf>
    <xf numFmtId="0" fontId="1" fillId="0" borderId="4" xfId="0" applyFont="1" applyBorder="1" applyAlignment="1">
      <alignment horizontal="left" wrapText="1"/>
    </xf>
    <xf numFmtId="0" fontId="8" fillId="0" borderId="4" xfId="0" applyFont="1" applyBorder="1" applyAlignment="1">
      <alignment horizontal="left" wrapText="1"/>
    </xf>
    <xf numFmtId="0" fontId="8" fillId="0" borderId="15" xfId="0" applyFont="1" applyBorder="1" applyAlignment="1">
      <alignment horizontal="left" wrapText="1"/>
    </xf>
    <xf numFmtId="0" fontId="2" fillId="0" borderId="2" xfId="0" applyFont="1" applyBorder="1" applyAlignment="1">
      <alignment horizontal="left" vertical="top" wrapText="1"/>
    </xf>
    <xf numFmtId="0" fontId="2" fillId="0" borderId="10"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0" xfId="0" applyFont="1" applyBorder="1" applyAlignment="1">
      <alignment horizontal="center" vertical="center" wrapText="1"/>
    </xf>
    <xf numFmtId="0" fontId="3" fillId="0" borderId="11" xfId="0" applyFont="1" applyBorder="1" applyAlignment="1">
      <alignment horizontal="center" vertical="center" wrapText="1"/>
    </xf>
    <xf numFmtId="0" fontId="2" fillId="0" borderId="4" xfId="0" applyFont="1" applyBorder="1" applyAlignment="1">
      <alignment horizontal="left" wrapText="1"/>
    </xf>
    <xf numFmtId="190" fontId="2" fillId="0" borderId="8" xfId="0" applyNumberFormat="1" applyFont="1" applyFill="1" applyBorder="1" applyAlignment="1"/>
    <xf numFmtId="190" fontId="2" fillId="0" borderId="6" xfId="0" applyNumberFormat="1" applyFont="1" applyFill="1" applyBorder="1" applyAlignment="1"/>
    <xf numFmtId="190" fontId="2" fillId="0" borderId="13" xfId="0" applyNumberFormat="1" applyFont="1" applyFill="1" applyBorder="1" applyAlignment="1"/>
    <xf numFmtId="190" fontId="2" fillId="2" borderId="12" xfId="0" applyNumberFormat="1" applyFont="1" applyFill="1" applyBorder="1" applyAlignment="1" applyProtection="1">
      <protection locked="0"/>
    </xf>
    <xf numFmtId="190" fontId="2" fillId="2" borderId="1" xfId="0" applyNumberFormat="1" applyFont="1" applyFill="1" applyBorder="1" applyAlignment="1" applyProtection="1">
      <protection locked="0"/>
    </xf>
    <xf numFmtId="190" fontId="2" fillId="2" borderId="3" xfId="0" applyNumberFormat="1" applyFont="1" applyFill="1" applyBorder="1" applyAlignment="1" applyProtection="1">
      <protection locked="0"/>
    </xf>
    <xf numFmtId="190" fontId="2" fillId="2" borderId="0" xfId="0" applyNumberFormat="1" applyFont="1" applyFill="1" applyBorder="1" applyAlignment="1" applyProtection="1">
      <protection locked="0"/>
    </xf>
    <xf numFmtId="0" fontId="2" fillId="0" borderId="2" xfId="0" applyFont="1" applyBorder="1" applyAlignment="1">
      <alignment wrapText="1"/>
    </xf>
    <xf numFmtId="0" fontId="2" fillId="0" borderId="14" xfId="0" applyFont="1" applyBorder="1" applyAlignment="1">
      <alignment wrapText="1"/>
    </xf>
    <xf numFmtId="0" fontId="2" fillId="0" borderId="4" xfId="0" applyFont="1" applyBorder="1" applyAlignment="1">
      <alignment wrapText="1"/>
    </xf>
    <xf numFmtId="0" fontId="2" fillId="0" borderId="15" xfId="0" applyFont="1" applyBorder="1" applyAlignment="1">
      <alignment wrapText="1"/>
    </xf>
    <xf numFmtId="0" fontId="2" fillId="0" borderId="11" xfId="0" applyFont="1" applyBorder="1" applyAlignment="1">
      <alignment horizontal="left" vertical="top" wrapText="1"/>
    </xf>
    <xf numFmtId="0" fontId="2" fillId="0" borderId="1" xfId="0" applyFont="1" applyBorder="1" applyAlignment="1">
      <alignment horizontal="left" wrapText="1"/>
    </xf>
    <xf numFmtId="0" fontId="2" fillId="0" borderId="2" xfId="0" applyFont="1" applyBorder="1" applyAlignment="1">
      <alignment horizontal="left" wrapText="1"/>
    </xf>
    <xf numFmtId="0" fontId="2" fillId="0" borderId="0" xfId="0" applyFont="1" applyBorder="1" applyAlignment="1">
      <alignment horizontal="left" wrapText="1"/>
    </xf>
    <xf numFmtId="0" fontId="2" fillId="0" borderId="11" xfId="0" applyFont="1" applyBorder="1" applyAlignment="1">
      <alignment horizontal="left" wrapText="1"/>
    </xf>
    <xf numFmtId="0" fontId="2" fillId="0" borderId="4" xfId="0" applyFont="1" applyBorder="1" applyAlignment="1">
      <alignment horizontal="left" vertical="top" wrapText="1"/>
    </xf>
    <xf numFmtId="0" fontId="2" fillId="0" borderId="15" xfId="0" applyFont="1" applyBorder="1" applyAlignment="1">
      <alignment horizontal="left" vertical="top" wrapText="1"/>
    </xf>
    <xf numFmtId="190" fontId="2" fillId="2" borderId="2" xfId="0" applyNumberFormat="1" applyFont="1" applyFill="1" applyBorder="1" applyAlignment="1" applyProtection="1">
      <protection locked="0"/>
    </xf>
    <xf numFmtId="190" fontId="2" fillId="0" borderId="3" xfId="0" applyNumberFormat="1" applyFont="1" applyBorder="1" applyAlignment="1">
      <alignment horizontal="right"/>
    </xf>
    <xf numFmtId="190" fontId="2" fillId="0" borderId="11" xfId="0" applyNumberFormat="1" applyFont="1" applyBorder="1" applyAlignment="1">
      <alignment horizontal="right"/>
    </xf>
    <xf numFmtId="190" fontId="2" fillId="0" borderId="8" xfId="0" applyNumberFormat="1" applyFont="1" applyBorder="1" applyAlignment="1">
      <alignment horizontal="right"/>
    </xf>
    <xf numFmtId="190" fontId="2" fillId="0" borderId="13" xfId="0" applyNumberFormat="1" applyFont="1" applyBorder="1" applyAlignment="1">
      <alignment horizontal="right"/>
    </xf>
    <xf numFmtId="0" fontId="2" fillId="0" borderId="5" xfId="0" applyFont="1" applyBorder="1" applyAlignment="1">
      <alignment horizontal="center"/>
    </xf>
    <xf numFmtId="190" fontId="2" fillId="0" borderId="9"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11" xfId="0" applyFont="1" applyBorder="1" applyAlignment="1">
      <alignment wrapText="1"/>
    </xf>
    <xf numFmtId="190" fontId="2" fillId="2" borderId="11" xfId="0" applyNumberFormat="1" applyFont="1" applyFill="1" applyBorder="1" applyAlignment="1" applyProtection="1">
      <protection locked="0"/>
    </xf>
    <xf numFmtId="190" fontId="2" fillId="2" borderId="14" xfId="0" applyNumberFormat="1" applyFont="1" applyFill="1" applyBorder="1" applyAlignment="1" applyProtection="1">
      <alignment horizontal="right"/>
      <protection locked="0"/>
    </xf>
    <xf numFmtId="190" fontId="2" fillId="2" borderId="15" xfId="0" applyNumberFormat="1" applyFont="1" applyFill="1" applyBorder="1" applyAlignment="1" applyProtection="1">
      <alignment horizontal="right"/>
      <protection locked="0"/>
    </xf>
    <xf numFmtId="190" fontId="1" fillId="0" borderId="9" xfId="0" applyNumberFormat="1" applyFont="1" applyBorder="1" applyAlignment="1">
      <alignment horizontal="center" vertical="center" wrapText="1"/>
    </xf>
    <xf numFmtId="190" fontId="2" fillId="2" borderId="12" xfId="0" applyNumberFormat="1" applyFont="1" applyFill="1"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14" xfId="0" applyBorder="1" applyAlignment="1">
      <alignment horizontal="left" vertical="center" wrapText="1"/>
    </xf>
    <xf numFmtId="0" fontId="0" fillId="0" borderId="4" xfId="0" applyBorder="1" applyAlignment="1">
      <alignment horizontal="left" vertical="center" wrapText="1"/>
    </xf>
    <xf numFmtId="0" fontId="0" fillId="0" borderId="15" xfId="0" applyBorder="1" applyAlignment="1">
      <alignment horizontal="left" vertical="center" wrapText="1"/>
    </xf>
    <xf numFmtId="0" fontId="2" fillId="2" borderId="14" xfId="0" applyNumberFormat="1" applyFont="1" applyFill="1" applyBorder="1" applyAlignment="1">
      <alignment horizontal="left" vertical="center"/>
    </xf>
    <xf numFmtId="0" fontId="0" fillId="0" borderId="4" xfId="0" applyNumberFormat="1" applyBorder="1" applyAlignment="1">
      <alignment horizontal="left" vertical="center"/>
    </xf>
    <xf numFmtId="0" fontId="0" fillId="0" borderId="15" xfId="0" applyNumberFormat="1" applyBorder="1" applyAlignment="1">
      <alignment horizontal="left" vertical="center"/>
    </xf>
    <xf numFmtId="190" fontId="2" fillId="0" borderId="8" xfId="0" applyNumberFormat="1" applyFont="1" applyBorder="1" applyAlignment="1">
      <alignment horizontal="center" vertical="center" wrapText="1"/>
    </xf>
    <xf numFmtId="190" fontId="2" fillId="0" borderId="6" xfId="0" applyNumberFormat="1" applyFont="1" applyBorder="1" applyAlignment="1">
      <alignment horizontal="center" vertical="center" wrapText="1"/>
    </xf>
    <xf numFmtId="190" fontId="2" fillId="0" borderId="13" xfId="0" applyNumberFormat="1" applyFont="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2" fillId="2" borderId="12" xfId="0" applyFont="1" applyFill="1" applyBorder="1" applyAlignment="1" applyProtection="1">
      <alignment horizontal="left" vertical="top" wrapText="1"/>
      <protection locked="0"/>
    </xf>
    <xf numFmtId="0" fontId="2" fillId="2" borderId="2" xfId="0" applyFont="1" applyFill="1" applyBorder="1" applyAlignment="1" applyProtection="1">
      <alignment horizontal="left" vertical="top" wrapText="1"/>
      <protection locked="0"/>
    </xf>
    <xf numFmtId="0" fontId="2" fillId="2" borderId="14" xfId="0" applyFont="1" applyFill="1" applyBorder="1" applyAlignment="1" applyProtection="1">
      <alignment horizontal="left" vertical="top" wrapText="1"/>
      <protection locked="0"/>
    </xf>
    <xf numFmtId="0" fontId="2" fillId="2" borderId="15" xfId="0" applyFont="1" applyFill="1" applyBorder="1" applyAlignment="1" applyProtection="1">
      <alignment horizontal="left" vertical="top" wrapText="1"/>
      <protection locked="0"/>
    </xf>
    <xf numFmtId="0" fontId="2" fillId="2" borderId="8"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2" fillId="0" borderId="5" xfId="0" applyFont="1" applyBorder="1" applyAlignment="1">
      <alignment horizontal="center" vertical="center"/>
    </xf>
    <xf numFmtId="0" fontId="2" fillId="0" borderId="10" xfId="0" applyFont="1" applyBorder="1" applyAlignment="1">
      <alignment horizontal="center" vertical="center"/>
    </xf>
    <xf numFmtId="0" fontId="4" fillId="0" borderId="13" xfId="0" applyFont="1" applyBorder="1" applyAlignment="1">
      <alignment horizontal="center" vertical="center"/>
    </xf>
    <xf numFmtId="190" fontId="2" fillId="0" borderId="5" xfId="0" applyNumberFormat="1" applyFont="1" applyBorder="1" applyAlignment="1">
      <alignment horizontal="right" vertical="center"/>
    </xf>
    <xf numFmtId="190" fontId="2" fillId="0" borderId="10" xfId="0" applyNumberFormat="1" applyFont="1" applyBorder="1" applyAlignment="1">
      <alignment horizontal="right" vertical="center"/>
    </xf>
    <xf numFmtId="0" fontId="3"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2" fillId="0" borderId="11" xfId="0" applyFont="1" applyFill="1" applyBorder="1" applyAlignment="1">
      <alignment horizontal="center" vertical="center"/>
    </xf>
    <xf numFmtId="0" fontId="5" fillId="0" borderId="0" xfId="0" applyFont="1" applyFill="1" applyBorder="1" applyAlignment="1">
      <alignment horizontal="center"/>
    </xf>
    <xf numFmtId="0" fontId="2" fillId="0" borderId="1" xfId="0" applyFont="1" applyBorder="1" applyAlignment="1">
      <alignment vertical="center" wrapText="1"/>
    </xf>
    <xf numFmtId="0" fontId="2" fillId="0" borderId="4" xfId="0" applyFont="1" applyBorder="1" applyAlignment="1">
      <alignment vertical="center" wrapText="1"/>
    </xf>
    <xf numFmtId="0" fontId="1" fillId="0" borderId="4" xfId="0" applyFont="1" applyBorder="1" applyAlignment="1">
      <alignment horizontal="left" vertical="top"/>
    </xf>
    <xf numFmtId="0" fontId="1" fillId="0" borderId="15"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SOPEN/FILES/ABRAMSOB/33QG01_.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campbelg/LOCALS~1/Temp/312w02_.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110"/>
      <sheetName val="111"/>
      <sheetName val="121"/>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
      <sheetName val="requirements"/>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71"/>
  <sheetViews>
    <sheetView zoomScale="75" workbookViewId="0">
      <pane ySplit="3" topLeftCell="A4" activePane="bottomLeft" state="frozen"/>
      <selection pane="bottomLeft"/>
    </sheetView>
  </sheetViews>
  <sheetFormatPr defaultRowHeight="13" x14ac:dyDescent="0.3"/>
  <cols>
    <col min="1" max="1" width="13.81640625" style="256" customWidth="1"/>
    <col min="2" max="2" width="46" style="256" customWidth="1"/>
    <col min="3" max="3" width="28.1796875" style="256" customWidth="1"/>
    <col min="4" max="4" width="20.1796875" style="257" customWidth="1"/>
    <col min="5" max="5" width="16" style="257" customWidth="1"/>
  </cols>
  <sheetData>
    <row r="1" spans="1:5" x14ac:dyDescent="0.3">
      <c r="A1" s="255"/>
    </row>
    <row r="2" spans="1:5" ht="12.75" customHeight="1" x14ac:dyDescent="0.25">
      <c r="A2" s="299" t="s">
        <v>409</v>
      </c>
      <c r="B2" s="297" t="s">
        <v>410</v>
      </c>
      <c r="C2" s="297" t="s">
        <v>411</v>
      </c>
      <c r="D2" s="297" t="s">
        <v>412</v>
      </c>
      <c r="E2" s="297" t="s">
        <v>413</v>
      </c>
    </row>
    <row r="3" spans="1:5" ht="24.75" customHeight="1" x14ac:dyDescent="0.25">
      <c r="A3" s="300"/>
      <c r="B3" s="298"/>
      <c r="C3" s="298"/>
      <c r="D3" s="298"/>
      <c r="E3" s="298"/>
    </row>
    <row r="4" spans="1:5" ht="15.75" customHeight="1" x14ac:dyDescent="0.25">
      <c r="A4" s="258"/>
      <c r="B4" s="104"/>
      <c r="C4" s="104"/>
      <c r="D4" s="104"/>
      <c r="E4" s="104"/>
    </row>
    <row r="5" spans="1:5" x14ac:dyDescent="0.3">
      <c r="A5" s="259" t="s">
        <v>510</v>
      </c>
    </row>
    <row r="6" spans="1:5" x14ac:dyDescent="0.3">
      <c r="A6" s="260" t="s">
        <v>414</v>
      </c>
      <c r="B6" s="261" t="s">
        <v>415</v>
      </c>
      <c r="C6" s="262" t="s">
        <v>416</v>
      </c>
      <c r="D6" s="262" t="s">
        <v>102</v>
      </c>
      <c r="E6" s="263" t="s">
        <v>417</v>
      </c>
    </row>
    <row r="7" spans="1:5" x14ac:dyDescent="0.3">
      <c r="A7" s="264" t="s">
        <v>418</v>
      </c>
      <c r="B7" s="265" t="s">
        <v>419</v>
      </c>
      <c r="C7" s="74" t="s">
        <v>416</v>
      </c>
      <c r="D7" s="74" t="s">
        <v>102</v>
      </c>
      <c r="E7" s="266" t="s">
        <v>417</v>
      </c>
    </row>
    <row r="8" spans="1:5" x14ac:dyDescent="0.3">
      <c r="A8" s="264" t="s">
        <v>420</v>
      </c>
      <c r="B8" s="265" t="s">
        <v>421</v>
      </c>
      <c r="C8" s="74" t="s">
        <v>416</v>
      </c>
      <c r="D8" s="74" t="s">
        <v>102</v>
      </c>
      <c r="E8" s="266" t="s">
        <v>417</v>
      </c>
    </row>
    <row r="9" spans="1:5" x14ac:dyDescent="0.3">
      <c r="A9" s="267" t="s">
        <v>422</v>
      </c>
      <c r="B9" s="268" t="s">
        <v>423</v>
      </c>
      <c r="C9" s="269" t="s">
        <v>416</v>
      </c>
      <c r="D9" s="269" t="s">
        <v>102</v>
      </c>
      <c r="E9" s="270" t="s">
        <v>417</v>
      </c>
    </row>
    <row r="10" spans="1:5" x14ac:dyDescent="0.3">
      <c r="A10" s="202"/>
      <c r="B10" s="2"/>
      <c r="C10" s="26"/>
      <c r="D10" s="26"/>
      <c r="E10" s="2"/>
    </row>
    <row r="11" spans="1:5" x14ac:dyDescent="0.3">
      <c r="A11" s="259" t="s">
        <v>511</v>
      </c>
      <c r="C11" s="257"/>
    </row>
    <row r="12" spans="1:5" x14ac:dyDescent="0.3">
      <c r="A12" s="260" t="s">
        <v>424</v>
      </c>
      <c r="B12" s="261" t="s">
        <v>425</v>
      </c>
      <c r="C12" s="262" t="s">
        <v>416</v>
      </c>
      <c r="D12" s="262" t="s">
        <v>102</v>
      </c>
      <c r="E12" s="263" t="s">
        <v>426</v>
      </c>
    </row>
    <row r="13" spans="1:5" x14ac:dyDescent="0.3">
      <c r="A13" s="267" t="s">
        <v>427</v>
      </c>
      <c r="B13" s="268" t="s">
        <v>428</v>
      </c>
      <c r="C13" s="269" t="s">
        <v>416</v>
      </c>
      <c r="D13" s="269" t="s">
        <v>102</v>
      </c>
      <c r="E13" s="270" t="s">
        <v>426</v>
      </c>
    </row>
    <row r="14" spans="1:5" ht="12.75" customHeight="1" x14ac:dyDescent="0.3">
      <c r="A14" s="202"/>
      <c r="B14" s="2"/>
      <c r="C14" s="26"/>
      <c r="D14" s="26"/>
      <c r="E14" s="2"/>
    </row>
    <row r="15" spans="1:5" x14ac:dyDescent="0.3">
      <c r="A15" s="259" t="s">
        <v>512</v>
      </c>
      <c r="C15" s="257"/>
    </row>
    <row r="16" spans="1:5" x14ac:dyDescent="0.3">
      <c r="A16" s="260" t="s">
        <v>429</v>
      </c>
      <c r="B16" s="261" t="s">
        <v>93</v>
      </c>
      <c r="C16" s="262" t="s">
        <v>416</v>
      </c>
      <c r="D16" s="262" t="s">
        <v>102</v>
      </c>
      <c r="E16" s="263" t="s">
        <v>430</v>
      </c>
    </row>
    <row r="17" spans="1:5" x14ac:dyDescent="0.3">
      <c r="A17" s="264" t="s">
        <v>431</v>
      </c>
      <c r="B17" s="265" t="s">
        <v>20</v>
      </c>
      <c r="C17" s="265" t="s">
        <v>432</v>
      </c>
      <c r="D17" s="74" t="s">
        <v>102</v>
      </c>
      <c r="E17" s="266" t="s">
        <v>430</v>
      </c>
    </row>
    <row r="18" spans="1:5" x14ac:dyDescent="0.3">
      <c r="A18" s="264" t="s">
        <v>433</v>
      </c>
      <c r="B18" s="265" t="s">
        <v>20</v>
      </c>
      <c r="C18" s="265" t="s">
        <v>155</v>
      </c>
      <c r="D18" s="74" t="s">
        <v>102</v>
      </c>
      <c r="E18" s="266" t="s">
        <v>430</v>
      </c>
    </row>
    <row r="19" spans="1:5" x14ac:dyDescent="0.3">
      <c r="A19" s="264" t="s">
        <v>434</v>
      </c>
      <c r="B19" s="265" t="s">
        <v>20</v>
      </c>
      <c r="C19" s="265" t="s">
        <v>130</v>
      </c>
      <c r="D19" s="74" t="s">
        <v>102</v>
      </c>
      <c r="E19" s="266" t="s">
        <v>430</v>
      </c>
    </row>
    <row r="20" spans="1:5" x14ac:dyDescent="0.3">
      <c r="A20" s="264" t="s">
        <v>435</v>
      </c>
      <c r="B20" s="265" t="s">
        <v>20</v>
      </c>
      <c r="C20" s="265" t="s">
        <v>158</v>
      </c>
      <c r="D20" s="74" t="s">
        <v>102</v>
      </c>
      <c r="E20" s="266" t="s">
        <v>430</v>
      </c>
    </row>
    <row r="21" spans="1:5" x14ac:dyDescent="0.3">
      <c r="A21" s="264" t="s">
        <v>436</v>
      </c>
      <c r="B21" s="265" t="s">
        <v>20</v>
      </c>
      <c r="C21" s="265" t="s">
        <v>437</v>
      </c>
      <c r="D21" s="74" t="s">
        <v>102</v>
      </c>
      <c r="E21" s="266" t="s">
        <v>430</v>
      </c>
    </row>
    <row r="22" spans="1:5" ht="13.5" customHeight="1" x14ac:dyDescent="0.3">
      <c r="A22" s="264" t="s">
        <v>438</v>
      </c>
      <c r="B22" s="265" t="s">
        <v>87</v>
      </c>
      <c r="C22" s="74" t="s">
        <v>416</v>
      </c>
      <c r="D22" s="74" t="s">
        <v>102</v>
      </c>
      <c r="E22" s="266" t="s">
        <v>430</v>
      </c>
    </row>
    <row r="23" spans="1:5" ht="13.5" customHeight="1" x14ac:dyDescent="0.3">
      <c r="A23" s="264" t="s">
        <v>439</v>
      </c>
      <c r="B23" s="265" t="s">
        <v>94</v>
      </c>
      <c r="C23" s="74" t="s">
        <v>416</v>
      </c>
      <c r="D23" s="74" t="s">
        <v>102</v>
      </c>
      <c r="E23" s="266" t="s">
        <v>430</v>
      </c>
    </row>
    <row r="24" spans="1:5" x14ac:dyDescent="0.25">
      <c r="A24" s="271" t="s">
        <v>440</v>
      </c>
      <c r="B24" s="272" t="s">
        <v>441</v>
      </c>
      <c r="C24" s="15" t="s">
        <v>416</v>
      </c>
      <c r="D24" s="15" t="s">
        <v>102</v>
      </c>
      <c r="E24" s="270" t="s">
        <v>430</v>
      </c>
    </row>
    <row r="25" spans="1:5" x14ac:dyDescent="0.3">
      <c r="A25" s="202"/>
      <c r="B25" s="2"/>
      <c r="C25" s="2"/>
      <c r="D25" s="26"/>
      <c r="E25" s="2"/>
    </row>
    <row r="26" spans="1:5" x14ac:dyDescent="0.3">
      <c r="A26" s="259" t="s">
        <v>513</v>
      </c>
    </row>
    <row r="27" spans="1:5" x14ac:dyDescent="0.3">
      <c r="A27" s="260" t="s">
        <v>442</v>
      </c>
      <c r="B27" s="261" t="s">
        <v>443</v>
      </c>
      <c r="C27" s="261" t="s">
        <v>444</v>
      </c>
      <c r="D27" s="262" t="s">
        <v>445</v>
      </c>
      <c r="E27" s="263" t="s">
        <v>446</v>
      </c>
    </row>
    <row r="28" spans="1:5" x14ac:dyDescent="0.3">
      <c r="A28" s="264" t="s">
        <v>447</v>
      </c>
      <c r="B28" s="265" t="s">
        <v>448</v>
      </c>
      <c r="C28" s="265" t="s">
        <v>449</v>
      </c>
      <c r="D28" s="74" t="s">
        <v>102</v>
      </c>
      <c r="E28" s="266" t="s">
        <v>446</v>
      </c>
    </row>
    <row r="29" spans="1:5" x14ac:dyDescent="0.3">
      <c r="A29" s="264" t="s">
        <v>450</v>
      </c>
      <c r="B29" s="265" t="s">
        <v>448</v>
      </c>
      <c r="C29" s="265" t="s">
        <v>451</v>
      </c>
      <c r="D29" s="74" t="s">
        <v>102</v>
      </c>
      <c r="E29" s="266" t="s">
        <v>446</v>
      </c>
    </row>
    <row r="30" spans="1:5" x14ac:dyDescent="0.3">
      <c r="A30" s="264" t="s">
        <v>452</v>
      </c>
      <c r="B30" s="265" t="s">
        <v>448</v>
      </c>
      <c r="C30" s="265" t="s">
        <v>453</v>
      </c>
      <c r="D30" s="74" t="s">
        <v>102</v>
      </c>
      <c r="E30" s="266" t="s">
        <v>446</v>
      </c>
    </row>
    <row r="31" spans="1:5" x14ac:dyDescent="0.3">
      <c r="A31" s="267" t="s">
        <v>454</v>
      </c>
      <c r="B31" s="268" t="s">
        <v>2</v>
      </c>
      <c r="C31" s="269" t="s">
        <v>416</v>
      </c>
      <c r="D31" s="269" t="s">
        <v>102</v>
      </c>
      <c r="E31" s="270" t="s">
        <v>446</v>
      </c>
    </row>
    <row r="32" spans="1:5" x14ac:dyDescent="0.3">
      <c r="A32" s="202"/>
      <c r="B32" s="2"/>
      <c r="C32" s="2"/>
      <c r="D32" s="26"/>
      <c r="E32" s="2"/>
    </row>
    <row r="33" spans="1:5" x14ac:dyDescent="0.3">
      <c r="A33" s="259" t="s">
        <v>514</v>
      </c>
    </row>
    <row r="34" spans="1:5" x14ac:dyDescent="0.3">
      <c r="A34" s="260" t="s">
        <v>455</v>
      </c>
      <c r="B34" s="261" t="s">
        <v>456</v>
      </c>
      <c r="C34" s="261"/>
      <c r="D34" s="262" t="s">
        <v>102</v>
      </c>
      <c r="E34" s="263" t="s">
        <v>457</v>
      </c>
    </row>
    <row r="35" spans="1:5" x14ac:dyDescent="0.3">
      <c r="A35" s="264" t="s">
        <v>458</v>
      </c>
      <c r="B35" s="265" t="s">
        <v>456</v>
      </c>
      <c r="C35" s="265" t="s">
        <v>459</v>
      </c>
      <c r="D35" s="74" t="s">
        <v>102</v>
      </c>
      <c r="E35" s="266" t="s">
        <v>457</v>
      </c>
    </row>
    <row r="36" spans="1:5" x14ac:dyDescent="0.3">
      <c r="A36" s="264" t="s">
        <v>460</v>
      </c>
      <c r="B36" s="265" t="s">
        <v>456</v>
      </c>
      <c r="C36" s="265" t="s">
        <v>461</v>
      </c>
      <c r="D36" s="74" t="s">
        <v>462</v>
      </c>
      <c r="E36" s="266" t="s">
        <v>457</v>
      </c>
    </row>
    <row r="37" spans="1:5" x14ac:dyDescent="0.3">
      <c r="A37" s="267" t="s">
        <v>463</v>
      </c>
      <c r="B37" s="268" t="s">
        <v>3</v>
      </c>
      <c r="C37" s="269" t="s">
        <v>416</v>
      </c>
      <c r="D37" s="269" t="s">
        <v>445</v>
      </c>
      <c r="E37" s="270" t="s">
        <v>457</v>
      </c>
    </row>
    <row r="38" spans="1:5" x14ac:dyDescent="0.3">
      <c r="A38" s="202"/>
      <c r="B38" s="2"/>
      <c r="C38" s="2"/>
      <c r="D38" s="26"/>
      <c r="E38" s="2"/>
    </row>
    <row r="39" spans="1:5" x14ac:dyDescent="0.3">
      <c r="A39" s="259" t="s">
        <v>515</v>
      </c>
    </row>
    <row r="40" spans="1:5" ht="12.75" customHeight="1" x14ac:dyDescent="0.25">
      <c r="A40" s="273" t="s">
        <v>464</v>
      </c>
      <c r="B40" s="274" t="s">
        <v>465</v>
      </c>
      <c r="C40" s="275" t="s">
        <v>416</v>
      </c>
      <c r="D40" s="96" t="s">
        <v>466</v>
      </c>
      <c r="E40" s="263" t="s">
        <v>467</v>
      </c>
    </row>
    <row r="41" spans="1:5" ht="12.75" customHeight="1" x14ac:dyDescent="0.3">
      <c r="A41" s="267" t="s">
        <v>468</v>
      </c>
      <c r="B41" s="268" t="s">
        <v>469</v>
      </c>
      <c r="C41" s="269" t="s">
        <v>416</v>
      </c>
      <c r="D41" s="269" t="s">
        <v>445</v>
      </c>
      <c r="E41" s="276" t="s">
        <v>470</v>
      </c>
    </row>
    <row r="42" spans="1:5" x14ac:dyDescent="0.3">
      <c r="A42" s="202"/>
      <c r="B42" s="2"/>
      <c r="C42" s="2"/>
      <c r="D42" s="26"/>
      <c r="E42" s="2"/>
    </row>
    <row r="43" spans="1:5" x14ac:dyDescent="0.3">
      <c r="A43" s="259" t="s">
        <v>516</v>
      </c>
    </row>
    <row r="44" spans="1:5" s="278" customFormat="1" x14ac:dyDescent="0.25">
      <c r="A44" s="273" t="s">
        <v>471</v>
      </c>
      <c r="B44" s="277" t="s">
        <v>472</v>
      </c>
      <c r="C44" s="277" t="s">
        <v>473</v>
      </c>
      <c r="D44" s="13" t="s">
        <v>474</v>
      </c>
      <c r="E44" s="263" t="s">
        <v>475</v>
      </c>
    </row>
    <row r="45" spans="1:5" x14ac:dyDescent="0.3">
      <c r="A45" s="264" t="s">
        <v>476</v>
      </c>
      <c r="B45" s="265" t="s">
        <v>472</v>
      </c>
      <c r="C45" s="265" t="s">
        <v>477</v>
      </c>
      <c r="D45" s="74" t="s">
        <v>102</v>
      </c>
      <c r="E45" s="279" t="s">
        <v>478</v>
      </c>
    </row>
    <row r="46" spans="1:5" x14ac:dyDescent="0.3">
      <c r="A46" s="264" t="s">
        <v>479</v>
      </c>
      <c r="B46" s="265" t="s">
        <v>480</v>
      </c>
      <c r="C46" s="265" t="s">
        <v>481</v>
      </c>
      <c r="D46" s="74" t="s">
        <v>102</v>
      </c>
      <c r="E46" s="266" t="s">
        <v>478</v>
      </c>
    </row>
    <row r="47" spans="1:5" x14ac:dyDescent="0.3">
      <c r="A47" s="267" t="s">
        <v>482</v>
      </c>
      <c r="B47" s="268" t="s">
        <v>480</v>
      </c>
      <c r="C47" s="268" t="s">
        <v>483</v>
      </c>
      <c r="D47" s="269" t="s">
        <v>102</v>
      </c>
      <c r="E47" s="270" t="s">
        <v>478</v>
      </c>
    </row>
    <row r="48" spans="1:5" x14ac:dyDescent="0.3">
      <c r="A48" s="202"/>
      <c r="B48" s="2"/>
      <c r="C48" s="2"/>
      <c r="D48" s="26"/>
      <c r="E48" s="2"/>
    </row>
    <row r="49" spans="1:5" x14ac:dyDescent="0.3">
      <c r="A49" s="259" t="s">
        <v>517</v>
      </c>
    </row>
    <row r="50" spans="1:5" x14ac:dyDescent="0.25">
      <c r="A50" s="280" t="s">
        <v>484</v>
      </c>
      <c r="B50" s="263" t="s">
        <v>485</v>
      </c>
      <c r="C50" s="263" t="s">
        <v>486</v>
      </c>
      <c r="D50" s="281" t="s">
        <v>474</v>
      </c>
      <c r="E50" s="282" t="s">
        <v>487</v>
      </c>
    </row>
    <row r="51" spans="1:5" x14ac:dyDescent="0.25">
      <c r="A51" s="283" t="s">
        <v>488</v>
      </c>
      <c r="B51" s="284" t="s">
        <v>485</v>
      </c>
      <c r="C51" s="284" t="s">
        <v>481</v>
      </c>
      <c r="D51" s="285" t="s">
        <v>102</v>
      </c>
      <c r="E51" s="286" t="s">
        <v>489</v>
      </c>
    </row>
    <row r="52" spans="1:5" x14ac:dyDescent="0.3">
      <c r="A52" s="264" t="s">
        <v>490</v>
      </c>
      <c r="B52" s="265" t="s">
        <v>485</v>
      </c>
      <c r="C52" s="265" t="s">
        <v>491</v>
      </c>
      <c r="D52" s="74" t="s">
        <v>102</v>
      </c>
      <c r="E52" s="266" t="s">
        <v>489</v>
      </c>
    </row>
    <row r="53" spans="1:5" x14ac:dyDescent="0.3">
      <c r="A53" s="264" t="s">
        <v>492</v>
      </c>
      <c r="B53" s="265" t="s">
        <v>192</v>
      </c>
      <c r="C53" s="265" t="s">
        <v>493</v>
      </c>
      <c r="D53" s="74" t="s">
        <v>102</v>
      </c>
      <c r="E53" s="266" t="s">
        <v>489</v>
      </c>
    </row>
    <row r="54" spans="1:5" x14ac:dyDescent="0.3">
      <c r="A54" s="267" t="s">
        <v>494</v>
      </c>
      <c r="B54" s="268" t="s">
        <v>495</v>
      </c>
      <c r="C54" s="269" t="s">
        <v>416</v>
      </c>
      <c r="D54" s="269" t="s">
        <v>102</v>
      </c>
      <c r="E54" s="270" t="s">
        <v>489</v>
      </c>
    </row>
    <row r="55" spans="1:5" x14ac:dyDescent="0.3">
      <c r="A55" s="202"/>
      <c r="B55" s="2"/>
      <c r="C55" s="2"/>
      <c r="D55" s="26"/>
      <c r="E55" s="2"/>
    </row>
    <row r="56" spans="1:5" x14ac:dyDescent="0.3">
      <c r="A56" s="259" t="s">
        <v>518</v>
      </c>
    </row>
    <row r="57" spans="1:5" x14ac:dyDescent="0.3">
      <c r="A57" s="260" t="s">
        <v>496</v>
      </c>
      <c r="B57" s="261" t="s">
        <v>497</v>
      </c>
      <c r="C57" s="262" t="s">
        <v>416</v>
      </c>
      <c r="D57" s="262" t="s">
        <v>102</v>
      </c>
      <c r="E57" s="263" t="s">
        <v>498</v>
      </c>
    </row>
    <row r="58" spans="1:5" x14ac:dyDescent="0.3">
      <c r="A58" s="267" t="s">
        <v>499</v>
      </c>
      <c r="B58" s="268" t="s">
        <v>500</v>
      </c>
      <c r="C58" s="269" t="s">
        <v>416</v>
      </c>
      <c r="D58" s="269" t="s">
        <v>102</v>
      </c>
      <c r="E58" s="270" t="s">
        <v>498</v>
      </c>
    </row>
    <row r="60" spans="1:5" x14ac:dyDescent="0.3">
      <c r="A60" s="259" t="s">
        <v>501</v>
      </c>
    </row>
    <row r="61" spans="1:5" x14ac:dyDescent="0.3">
      <c r="A61" s="287" t="s">
        <v>519</v>
      </c>
      <c r="B61" s="261" t="s">
        <v>425</v>
      </c>
      <c r="C61" s="262" t="s">
        <v>416</v>
      </c>
      <c r="D61" s="262" t="s">
        <v>102</v>
      </c>
      <c r="E61" s="261" t="s">
        <v>502</v>
      </c>
    </row>
    <row r="62" spans="1:5" x14ac:dyDescent="0.3">
      <c r="A62" s="288" t="s">
        <v>520</v>
      </c>
      <c r="B62" s="265" t="s">
        <v>428</v>
      </c>
      <c r="C62" s="74" t="s">
        <v>416</v>
      </c>
      <c r="D62" s="74" t="s">
        <v>102</v>
      </c>
      <c r="E62" s="289" t="s">
        <v>502</v>
      </c>
    </row>
    <row r="63" spans="1:5" x14ac:dyDescent="0.3">
      <c r="A63" s="288" t="s">
        <v>503</v>
      </c>
      <c r="B63" s="265" t="s">
        <v>93</v>
      </c>
      <c r="C63" s="74" t="s">
        <v>416</v>
      </c>
      <c r="D63" s="74" t="s">
        <v>102</v>
      </c>
      <c r="E63" s="289" t="s">
        <v>502</v>
      </c>
    </row>
    <row r="64" spans="1:5" x14ac:dyDescent="0.3">
      <c r="A64" s="288" t="s">
        <v>504</v>
      </c>
      <c r="B64" s="265" t="s">
        <v>94</v>
      </c>
      <c r="C64" s="74" t="s">
        <v>416</v>
      </c>
      <c r="D64" s="74" t="s">
        <v>102</v>
      </c>
      <c r="E64" s="289" t="s">
        <v>502</v>
      </c>
    </row>
    <row r="65" spans="1:5" x14ac:dyDescent="0.3">
      <c r="A65" s="288" t="s">
        <v>524</v>
      </c>
      <c r="B65" s="265" t="s">
        <v>456</v>
      </c>
      <c r="C65" s="74" t="s">
        <v>416</v>
      </c>
      <c r="D65" s="74" t="s">
        <v>102</v>
      </c>
      <c r="E65" s="289" t="s">
        <v>502</v>
      </c>
    </row>
    <row r="66" spans="1:5" x14ac:dyDescent="0.3">
      <c r="A66" s="288" t="s">
        <v>521</v>
      </c>
      <c r="B66" s="265" t="s">
        <v>456</v>
      </c>
      <c r="C66" s="265" t="s">
        <v>459</v>
      </c>
      <c r="D66" s="74" t="s">
        <v>102</v>
      </c>
      <c r="E66" s="289" t="s">
        <v>502</v>
      </c>
    </row>
    <row r="67" spans="1:5" x14ac:dyDescent="0.3">
      <c r="A67" s="288" t="s">
        <v>522</v>
      </c>
      <c r="B67" s="265" t="s">
        <v>456</v>
      </c>
      <c r="C67" s="265" t="s">
        <v>461</v>
      </c>
      <c r="D67" s="74" t="s">
        <v>102</v>
      </c>
      <c r="E67" s="289" t="s">
        <v>502</v>
      </c>
    </row>
    <row r="68" spans="1:5" x14ac:dyDescent="0.3">
      <c r="A68" s="288" t="s">
        <v>523</v>
      </c>
      <c r="B68" s="265" t="s">
        <v>3</v>
      </c>
      <c r="C68" s="74" t="s">
        <v>416</v>
      </c>
      <c r="D68" s="74" t="s">
        <v>102</v>
      </c>
      <c r="E68" s="289" t="s">
        <v>502</v>
      </c>
    </row>
    <row r="69" spans="1:5" ht="12.75" customHeight="1" x14ac:dyDescent="0.3">
      <c r="A69" s="290" t="s">
        <v>505</v>
      </c>
      <c r="B69" s="291" t="s">
        <v>506</v>
      </c>
      <c r="C69" s="292" t="s">
        <v>465</v>
      </c>
      <c r="D69" s="74" t="s">
        <v>102</v>
      </c>
      <c r="E69" s="289" t="s">
        <v>502</v>
      </c>
    </row>
    <row r="70" spans="1:5" x14ac:dyDescent="0.3">
      <c r="A70" s="288" t="s">
        <v>507</v>
      </c>
      <c r="B70" s="293" t="s">
        <v>472</v>
      </c>
      <c r="C70" s="293" t="s">
        <v>473</v>
      </c>
      <c r="D70" s="74" t="s">
        <v>102</v>
      </c>
      <c r="E70" s="289" t="s">
        <v>502</v>
      </c>
    </row>
    <row r="71" spans="1:5" x14ac:dyDescent="0.3">
      <c r="A71" s="294" t="s">
        <v>508</v>
      </c>
      <c r="B71" s="268" t="s">
        <v>509</v>
      </c>
      <c r="C71" s="268" t="s">
        <v>486</v>
      </c>
      <c r="D71" s="269" t="s">
        <v>102</v>
      </c>
      <c r="E71" s="295" t="s">
        <v>502</v>
      </c>
    </row>
  </sheetData>
  <mergeCells count="5">
    <mergeCell ref="B2:B3"/>
    <mergeCell ref="A2:A3"/>
    <mergeCell ref="C2:C3"/>
    <mergeCell ref="E2:E3"/>
    <mergeCell ref="D2:D3"/>
  </mergeCells>
  <printOptions horizontalCentered="1"/>
  <pageMargins left="0.74803149606299213" right="0.74803149606299213" top="0.98425196850393704" bottom="0.98425196850393704" header="0.51181102362204722" footer="0.51181102362204722"/>
  <pageSetup scale="71"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9"/>
  <sheetViews>
    <sheetView tabSelected="1" zoomScale="75" workbookViewId="0"/>
  </sheetViews>
  <sheetFormatPr defaultRowHeight="13" x14ac:dyDescent="0.3"/>
  <cols>
    <col min="1" max="1" width="2.81640625" style="2" customWidth="1"/>
    <col min="2" max="2" width="3.453125" style="2" customWidth="1"/>
    <col min="3" max="3" width="9.1796875" style="2" customWidth="1"/>
    <col min="4" max="4" width="12.7265625" style="2" customWidth="1"/>
    <col min="5" max="5" width="19.453125" style="2" customWidth="1"/>
    <col min="6" max="6" width="22.1796875" style="2" customWidth="1"/>
    <col min="7" max="7" width="26.1796875" style="2" customWidth="1"/>
  </cols>
  <sheetData>
    <row r="1" spans="2:7" s="2" customFormat="1" x14ac:dyDescent="0.3">
      <c r="B1" s="22"/>
      <c r="G1" s="51"/>
    </row>
    <row r="2" spans="2:7" s="2" customFormat="1" ht="57.75" customHeight="1" x14ac:dyDescent="0.3">
      <c r="B2" s="53" t="s">
        <v>85</v>
      </c>
      <c r="C2" s="301" t="s">
        <v>382</v>
      </c>
      <c r="D2" s="301"/>
      <c r="E2" s="301"/>
      <c r="F2" s="301"/>
      <c r="G2" s="302"/>
    </row>
    <row r="3" spans="2:7" s="2" customFormat="1" ht="33.75" customHeight="1" x14ac:dyDescent="0.3">
      <c r="B3" s="94" t="s">
        <v>86</v>
      </c>
      <c r="C3" s="303" t="s">
        <v>383</v>
      </c>
      <c r="D3" s="303"/>
      <c r="E3" s="303"/>
      <c r="F3" s="303"/>
      <c r="G3" s="304"/>
    </row>
    <row r="4" spans="2:7" s="2" customFormat="1" ht="33" customHeight="1" x14ac:dyDescent="0.3">
      <c r="B4" s="94" t="s">
        <v>88</v>
      </c>
      <c r="C4" s="303" t="s">
        <v>384</v>
      </c>
      <c r="D4" s="303"/>
      <c r="E4" s="303"/>
      <c r="F4" s="303"/>
      <c r="G4" s="304"/>
    </row>
    <row r="5" spans="2:7" s="2" customFormat="1" ht="54" customHeight="1" x14ac:dyDescent="0.3">
      <c r="B5" s="94" t="s">
        <v>92</v>
      </c>
      <c r="C5" s="303" t="s">
        <v>385</v>
      </c>
      <c r="D5" s="303"/>
      <c r="E5" s="303"/>
      <c r="F5" s="303"/>
      <c r="G5" s="304"/>
    </row>
    <row r="6" spans="2:7" s="2" customFormat="1" ht="71.25" customHeight="1" x14ac:dyDescent="0.3">
      <c r="B6" s="94" t="s">
        <v>96</v>
      </c>
      <c r="C6" s="303" t="s">
        <v>395</v>
      </c>
      <c r="D6" s="303"/>
      <c r="E6" s="303"/>
      <c r="F6" s="303"/>
      <c r="G6" s="304"/>
    </row>
    <row r="7" spans="2:7" s="2" customFormat="1" ht="31.5" customHeight="1" x14ac:dyDescent="0.3">
      <c r="B7" s="94" t="s">
        <v>103</v>
      </c>
      <c r="C7" s="303" t="s">
        <v>386</v>
      </c>
      <c r="D7" s="303"/>
      <c r="E7" s="303"/>
      <c r="F7" s="303"/>
      <c r="G7" s="304"/>
    </row>
    <row r="8" spans="2:7" s="2" customFormat="1" ht="47.25" customHeight="1" x14ac:dyDescent="0.3">
      <c r="B8" s="94" t="s">
        <v>104</v>
      </c>
      <c r="C8" s="303" t="s">
        <v>387</v>
      </c>
      <c r="D8" s="303"/>
      <c r="E8" s="303"/>
      <c r="F8" s="303"/>
      <c r="G8" s="304"/>
    </row>
    <row r="9" spans="2:7" s="2" customFormat="1" ht="39.75" customHeight="1" x14ac:dyDescent="0.3">
      <c r="B9" s="54" t="s">
        <v>388</v>
      </c>
      <c r="C9" s="305" t="s">
        <v>396</v>
      </c>
      <c r="D9" s="305"/>
      <c r="E9" s="305"/>
      <c r="F9" s="305"/>
      <c r="G9" s="306"/>
    </row>
  </sheetData>
  <sheetProtection password="F7CB" sheet="1" objects="1" scenarios="1"/>
  <mergeCells count="8">
    <mergeCell ref="C8:G8"/>
    <mergeCell ref="C9:G9"/>
    <mergeCell ref="C2:G2"/>
    <mergeCell ref="C3:G3"/>
    <mergeCell ref="C4:G4"/>
    <mergeCell ref="C5:G5"/>
    <mergeCell ref="C6:G6"/>
    <mergeCell ref="C7:G7"/>
  </mergeCells>
  <pageMargins left="0.75" right="0.75" top="1" bottom="1" header="0.5" footer="0.5"/>
  <pageSetup scale="9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2"/>
  <sheetViews>
    <sheetView zoomScale="75" zoomScaleNormal="75" workbookViewId="0"/>
  </sheetViews>
  <sheetFormatPr defaultColWidth="9.1796875" defaultRowHeight="13" x14ac:dyDescent="0.3"/>
  <cols>
    <col min="1" max="1" width="3.7265625" style="2" customWidth="1"/>
    <col min="2" max="3" width="6.81640625" style="2" customWidth="1"/>
    <col min="4" max="4" width="25.54296875" style="2" customWidth="1"/>
    <col min="5" max="5" width="18.453125" style="2" customWidth="1"/>
    <col min="6" max="6" width="31.81640625" style="26" customWidth="1"/>
    <col min="7" max="7" width="17.453125" style="2" customWidth="1"/>
    <col min="8" max="8" width="16.54296875" style="2" customWidth="1"/>
    <col min="9" max="9" width="20.7265625" style="2" customWidth="1"/>
    <col min="10" max="10" width="16.1796875" style="2" customWidth="1"/>
    <col min="11" max="16384" width="9.1796875" style="2"/>
  </cols>
  <sheetData>
    <row r="1" spans="1:12" x14ac:dyDescent="0.3">
      <c r="A1" s="22" t="s">
        <v>182</v>
      </c>
      <c r="G1" s="51" t="s">
        <v>101</v>
      </c>
    </row>
    <row r="2" spans="1:12" x14ac:dyDescent="0.3">
      <c r="A2" s="22"/>
      <c r="B2" s="23"/>
      <c r="F2" s="50"/>
    </row>
    <row r="3" spans="1:12" x14ac:dyDescent="0.3">
      <c r="A3" s="311" t="s">
        <v>121</v>
      </c>
      <c r="B3" s="312"/>
      <c r="C3" s="313"/>
      <c r="D3" s="81" t="s">
        <v>154</v>
      </c>
      <c r="F3" s="78" t="s">
        <v>287</v>
      </c>
      <c r="G3" s="307"/>
      <c r="H3" s="308"/>
    </row>
    <row r="4" spans="1:12" x14ac:dyDescent="0.3">
      <c r="A4" s="314" t="s">
        <v>122</v>
      </c>
      <c r="B4" s="315"/>
      <c r="C4" s="316"/>
      <c r="D4" s="81" t="s">
        <v>93</v>
      </c>
      <c r="F4" s="177"/>
      <c r="G4" s="309"/>
      <c r="H4" s="310"/>
    </row>
    <row r="5" spans="1:12" x14ac:dyDescent="0.3">
      <c r="A5" s="314" t="s">
        <v>123</v>
      </c>
      <c r="B5" s="315"/>
      <c r="C5" s="316"/>
      <c r="D5" s="81" t="s">
        <v>125</v>
      </c>
      <c r="F5" s="196" t="s">
        <v>288</v>
      </c>
      <c r="G5" s="317"/>
      <c r="H5" s="318"/>
      <c r="I5" s="19"/>
      <c r="J5" s="25"/>
    </row>
    <row r="6" spans="1:12" x14ac:dyDescent="0.3">
      <c r="A6" s="314" t="s">
        <v>120</v>
      </c>
      <c r="B6" s="315"/>
      <c r="C6" s="316"/>
      <c r="D6" s="81" t="s">
        <v>102</v>
      </c>
      <c r="H6" s="6"/>
      <c r="I6" s="19"/>
    </row>
    <row r="7" spans="1:12" x14ac:dyDescent="0.3">
      <c r="A7" s="321" t="s">
        <v>159</v>
      </c>
      <c r="B7" s="322"/>
      <c r="C7" s="323"/>
      <c r="D7" s="82">
        <v>2002</v>
      </c>
      <c r="F7" s="35"/>
      <c r="G7" s="43"/>
      <c r="H7" s="6"/>
      <c r="I7" s="19"/>
      <c r="J7" s="25"/>
    </row>
    <row r="8" spans="1:12" x14ac:dyDescent="0.3">
      <c r="A8" s="37"/>
      <c r="B8" s="37"/>
      <c r="C8" s="37"/>
      <c r="D8" s="41"/>
      <c r="F8" s="35"/>
      <c r="G8" s="43"/>
      <c r="H8" s="6"/>
      <c r="I8" s="19"/>
      <c r="J8" s="25"/>
    </row>
    <row r="9" spans="1:12" ht="27" customHeight="1" x14ac:dyDescent="0.3">
      <c r="A9" s="37"/>
      <c r="B9" s="182" t="s">
        <v>111</v>
      </c>
      <c r="C9" s="209"/>
      <c r="D9" s="328" t="s">
        <v>289</v>
      </c>
      <c r="E9" s="329"/>
      <c r="F9" s="329"/>
      <c r="G9" s="329"/>
      <c r="H9" s="329"/>
      <c r="I9" s="330"/>
      <c r="J9" s="25"/>
    </row>
    <row r="10" spans="1:12" x14ac:dyDescent="0.3">
      <c r="A10" s="37"/>
      <c r="B10" s="37"/>
      <c r="C10" s="37"/>
      <c r="D10" s="41"/>
      <c r="F10" s="35"/>
      <c r="G10" s="43"/>
      <c r="H10" s="6"/>
      <c r="I10" s="19"/>
      <c r="J10" s="25"/>
    </row>
    <row r="11" spans="1:12" x14ac:dyDescent="0.3">
      <c r="A11" s="37"/>
      <c r="B11" s="37"/>
      <c r="D11" s="44" t="s">
        <v>176</v>
      </c>
      <c r="E11" s="3"/>
      <c r="F11" s="3"/>
      <c r="G11" s="29" t="s">
        <v>175</v>
      </c>
      <c r="I11" s="19"/>
      <c r="J11" s="25"/>
    </row>
    <row r="12" spans="1:12" x14ac:dyDescent="0.3">
      <c r="A12" s="37"/>
      <c r="B12" s="37"/>
      <c r="D12" s="107" t="s">
        <v>177</v>
      </c>
      <c r="E12" s="10"/>
      <c r="F12" s="237"/>
      <c r="G12" s="245"/>
      <c r="I12" s="19"/>
      <c r="J12" s="25"/>
    </row>
    <row r="13" spans="1:12" x14ac:dyDescent="0.3">
      <c r="A13" s="37"/>
      <c r="B13" s="37"/>
      <c r="D13" s="52" t="s">
        <v>178</v>
      </c>
      <c r="E13" s="28"/>
      <c r="F13" s="28"/>
      <c r="G13" s="246"/>
      <c r="I13" s="19"/>
      <c r="J13" s="25"/>
    </row>
    <row r="14" spans="1:12" x14ac:dyDescent="0.3">
      <c r="A14" s="37"/>
      <c r="B14" s="37"/>
      <c r="D14" s="6"/>
      <c r="E14" s="6"/>
      <c r="F14" s="6"/>
      <c r="G14" s="43"/>
      <c r="I14" s="19"/>
      <c r="J14" s="25"/>
    </row>
    <row r="15" spans="1:12" ht="13.5" x14ac:dyDescent="0.35">
      <c r="A15" s="37"/>
      <c r="B15" s="37"/>
      <c r="C15" s="37"/>
      <c r="D15" s="203" t="s">
        <v>312</v>
      </c>
      <c r="F15" s="35"/>
      <c r="G15" s="43"/>
      <c r="H15" s="6"/>
      <c r="I15" s="19"/>
      <c r="J15" s="25"/>
    </row>
    <row r="16" spans="1:12" x14ac:dyDescent="0.3">
      <c r="B16" s="22"/>
      <c r="C16" s="24"/>
      <c r="D16" s="24"/>
      <c r="E16" s="24"/>
      <c r="G16" s="29" t="s">
        <v>15</v>
      </c>
      <c r="H16" s="29" t="s">
        <v>16</v>
      </c>
      <c r="I16" s="29" t="s">
        <v>240</v>
      </c>
      <c r="J16" s="19"/>
      <c r="K16" s="25"/>
      <c r="L16" s="6"/>
    </row>
    <row r="17" spans="1:12" x14ac:dyDescent="0.3">
      <c r="B17" s="324" t="s">
        <v>93</v>
      </c>
      <c r="C17" s="325"/>
      <c r="D17" s="325"/>
      <c r="E17" s="325"/>
      <c r="F17" s="325"/>
      <c r="G17" s="325"/>
      <c r="H17" s="325"/>
      <c r="I17" s="319"/>
      <c r="J17" s="6"/>
      <c r="K17" s="6"/>
      <c r="L17" s="6"/>
    </row>
    <row r="18" spans="1:12" x14ac:dyDescent="0.3">
      <c r="B18" s="326"/>
      <c r="C18" s="327"/>
      <c r="D18" s="327"/>
      <c r="E18" s="327"/>
      <c r="F18" s="327"/>
      <c r="G18" s="327"/>
      <c r="H18" s="327"/>
      <c r="I18" s="320"/>
    </row>
    <row r="19" spans="1:12" ht="26" x14ac:dyDescent="0.3">
      <c r="A19" s="13"/>
      <c r="B19" s="223" t="s">
        <v>20</v>
      </c>
      <c r="C19" s="6"/>
      <c r="D19" s="6"/>
      <c r="E19" s="6"/>
      <c r="F19" s="57"/>
      <c r="G19" s="204" t="s">
        <v>335</v>
      </c>
      <c r="H19" s="14" t="s">
        <v>146</v>
      </c>
      <c r="I19" s="14" t="s">
        <v>6</v>
      </c>
    </row>
    <row r="20" spans="1:12" x14ac:dyDescent="0.3">
      <c r="A20" s="14">
        <v>1</v>
      </c>
      <c r="B20" s="65"/>
      <c r="C20" s="6" t="s">
        <v>148</v>
      </c>
      <c r="E20" s="61"/>
      <c r="F20" s="113" t="s">
        <v>375</v>
      </c>
      <c r="G20" s="127">
        <f>'311'!L32</f>
        <v>0</v>
      </c>
      <c r="H20" s="128"/>
      <c r="I20" s="128">
        <f>G20</f>
        <v>0</v>
      </c>
      <c r="J20" s="6"/>
      <c r="K20" s="61"/>
      <c r="L20" s="93"/>
    </row>
    <row r="21" spans="1:12" x14ac:dyDescent="0.3">
      <c r="A21" s="14">
        <f t="shared" ref="A21:A26" si="0">A20+1</f>
        <v>2</v>
      </c>
      <c r="B21" s="65"/>
      <c r="C21" s="6" t="s">
        <v>140</v>
      </c>
      <c r="D21" s="6"/>
      <c r="F21" s="113" t="s">
        <v>374</v>
      </c>
      <c r="G21" s="127">
        <f>'311'!L48</f>
        <v>0</v>
      </c>
      <c r="H21" s="128"/>
      <c r="I21" s="128">
        <f>G21</f>
        <v>0</v>
      </c>
    </row>
    <row r="22" spans="1:12" ht="13.5" x14ac:dyDescent="0.3">
      <c r="A22" s="14">
        <f t="shared" si="0"/>
        <v>3</v>
      </c>
      <c r="B22" s="65"/>
      <c r="C22" s="6" t="s">
        <v>155</v>
      </c>
      <c r="E22" s="61"/>
      <c r="F22" s="296" t="s">
        <v>525</v>
      </c>
      <c r="G22" s="127">
        <f>'312'!L41</f>
        <v>0</v>
      </c>
      <c r="H22" s="128"/>
      <c r="I22" s="128">
        <f>G22</f>
        <v>0</v>
      </c>
    </row>
    <row r="23" spans="1:12" x14ac:dyDescent="0.3">
      <c r="A23" s="14">
        <f t="shared" si="0"/>
        <v>4</v>
      </c>
      <c r="B23" s="65"/>
      <c r="C23" s="6" t="s">
        <v>130</v>
      </c>
      <c r="D23" s="6"/>
      <c r="E23" s="61"/>
      <c r="F23" s="113" t="s">
        <v>373</v>
      </c>
      <c r="G23" s="127">
        <f>'313'!L28</f>
        <v>0</v>
      </c>
      <c r="H23" s="128"/>
      <c r="I23" s="128">
        <f>G23</f>
        <v>0</v>
      </c>
    </row>
    <row r="24" spans="1:12" x14ac:dyDescent="0.3">
      <c r="A24" s="14">
        <f t="shared" si="0"/>
        <v>5</v>
      </c>
      <c r="B24" s="65"/>
      <c r="C24" s="6" t="s">
        <v>158</v>
      </c>
      <c r="D24" s="6"/>
      <c r="E24" s="6"/>
      <c r="F24" s="113" t="s">
        <v>358</v>
      </c>
      <c r="G24" s="128"/>
      <c r="H24" s="127">
        <f>'314'!K38</f>
        <v>0</v>
      </c>
      <c r="I24" s="128">
        <f>H24</f>
        <v>0</v>
      </c>
    </row>
    <row r="25" spans="1:12" x14ac:dyDescent="0.3">
      <c r="A25" s="14">
        <f t="shared" si="0"/>
        <v>6</v>
      </c>
      <c r="B25" s="65"/>
      <c r="C25" s="6" t="s">
        <v>333</v>
      </c>
      <c r="D25" s="6"/>
      <c r="E25" s="6"/>
      <c r="F25" s="57"/>
      <c r="G25" s="145"/>
      <c r="H25" s="145"/>
      <c r="I25" s="234"/>
    </row>
    <row r="26" spans="1:12" ht="13.5" x14ac:dyDescent="0.3">
      <c r="A26" s="15">
        <f t="shared" si="0"/>
        <v>7</v>
      </c>
      <c r="B26" s="111"/>
      <c r="C26" s="28"/>
      <c r="D26" s="60"/>
      <c r="E26" s="114" t="s">
        <v>105</v>
      </c>
      <c r="F26" s="115" t="s">
        <v>147</v>
      </c>
      <c r="G26" s="129">
        <f>SUM(G20:G23)</f>
        <v>0</v>
      </c>
      <c r="H26" s="129">
        <f>H24</f>
        <v>0</v>
      </c>
      <c r="I26" s="130">
        <f>SUM(I20:I25)</f>
        <v>0</v>
      </c>
      <c r="K26" s="6"/>
    </row>
    <row r="27" spans="1:12" ht="26" x14ac:dyDescent="0.3">
      <c r="A27" s="29"/>
      <c r="B27" s="44" t="s">
        <v>22</v>
      </c>
      <c r="C27" s="3"/>
      <c r="D27" s="3"/>
      <c r="E27" s="3"/>
      <c r="F27" s="36"/>
      <c r="G27" s="247" t="s">
        <v>335</v>
      </c>
      <c r="H27" s="131" t="s">
        <v>146</v>
      </c>
      <c r="I27" s="132"/>
    </row>
    <row r="28" spans="1:12" x14ac:dyDescent="0.3">
      <c r="A28" s="30">
        <f>A26+1</f>
        <v>8</v>
      </c>
      <c r="B28" s="5"/>
      <c r="C28" s="6" t="s">
        <v>87</v>
      </c>
      <c r="D28" s="6"/>
      <c r="E28" s="6"/>
      <c r="F28" s="88" t="s">
        <v>376</v>
      </c>
      <c r="G28" s="128">
        <f>'316'!L51</f>
        <v>0</v>
      </c>
      <c r="H28" s="128">
        <f>'316'!L59</f>
        <v>0</v>
      </c>
      <c r="I28" s="133">
        <f>SUM(G28:H28)</f>
        <v>0</v>
      </c>
    </row>
    <row r="29" spans="1:12" x14ac:dyDescent="0.3">
      <c r="A29" s="14">
        <f t="shared" ref="A29:A34" si="1">A28+1</f>
        <v>9</v>
      </c>
      <c r="B29" s="5"/>
      <c r="C29" s="6" t="s">
        <v>228</v>
      </c>
      <c r="D29" s="6"/>
      <c r="E29" s="6"/>
      <c r="F29" s="88"/>
      <c r="G29" s="234"/>
      <c r="H29" s="234"/>
      <c r="I29" s="128">
        <f>SUM(G29:H29)</f>
        <v>0</v>
      </c>
    </row>
    <row r="30" spans="1:12" x14ac:dyDescent="0.3">
      <c r="A30" s="14">
        <f t="shared" si="1"/>
        <v>10</v>
      </c>
      <c r="B30" s="5"/>
      <c r="C30" s="6" t="s">
        <v>23</v>
      </c>
      <c r="D30" s="6"/>
      <c r="E30" s="6"/>
      <c r="F30" s="57"/>
      <c r="G30" s="234"/>
      <c r="H30" s="234"/>
      <c r="I30" s="133">
        <f>SUM(G30:H30)</f>
        <v>0</v>
      </c>
    </row>
    <row r="31" spans="1:12" x14ac:dyDescent="0.3">
      <c r="A31" s="14">
        <f t="shared" si="1"/>
        <v>11</v>
      </c>
      <c r="B31" s="5"/>
      <c r="C31" s="6"/>
      <c r="D31" s="6"/>
      <c r="E31" s="8" t="s">
        <v>106</v>
      </c>
      <c r="F31" s="66" t="s">
        <v>229</v>
      </c>
      <c r="G31" s="128">
        <f>SUM(G28:G30)</f>
        <v>0</v>
      </c>
      <c r="H31" s="128">
        <f>SUM(H28:H30)</f>
        <v>0</v>
      </c>
      <c r="I31" s="134">
        <f>SUM(I28:I30)</f>
        <v>0</v>
      </c>
    </row>
    <row r="32" spans="1:12" ht="13.5" x14ac:dyDescent="0.35">
      <c r="A32" s="15">
        <f t="shared" si="1"/>
        <v>12</v>
      </c>
      <c r="B32" s="52"/>
      <c r="C32" s="60" t="s">
        <v>24</v>
      </c>
      <c r="D32" s="60"/>
      <c r="E32" s="60"/>
      <c r="F32" s="118" t="s">
        <v>230</v>
      </c>
      <c r="G32" s="129">
        <f>G26-G31</f>
        <v>0</v>
      </c>
      <c r="H32" s="129">
        <f>H26-H31</f>
        <v>0</v>
      </c>
      <c r="I32" s="129">
        <f>I26-I31</f>
        <v>0</v>
      </c>
    </row>
    <row r="33" spans="1:9" x14ac:dyDescent="0.3">
      <c r="A33" s="13">
        <f t="shared" si="1"/>
        <v>13</v>
      </c>
      <c r="B33" s="69"/>
      <c r="C33" s="3" t="s">
        <v>25</v>
      </c>
      <c r="D33" s="3"/>
      <c r="E33" s="3"/>
      <c r="F33" s="70"/>
      <c r="G33" s="135"/>
      <c r="H33" s="136"/>
      <c r="I33" s="235"/>
    </row>
    <row r="34" spans="1:9" x14ac:dyDescent="0.3">
      <c r="A34" s="15">
        <f t="shared" si="1"/>
        <v>14</v>
      </c>
      <c r="B34" s="52"/>
      <c r="C34" s="28" t="s">
        <v>26</v>
      </c>
      <c r="D34" s="28"/>
      <c r="E34" s="28"/>
      <c r="F34" s="67" t="s">
        <v>231</v>
      </c>
      <c r="G34" s="137"/>
      <c r="H34" s="138"/>
      <c r="I34" s="139">
        <f>I32-I33</f>
        <v>0</v>
      </c>
    </row>
    <row r="35" spans="1:9" x14ac:dyDescent="0.3">
      <c r="A35" s="29"/>
      <c r="B35" s="44" t="s">
        <v>31</v>
      </c>
      <c r="C35" s="3"/>
      <c r="D35" s="3"/>
      <c r="E35" s="3"/>
      <c r="F35" s="36"/>
      <c r="G35" s="135"/>
      <c r="H35" s="136"/>
      <c r="I35" s="140"/>
    </row>
    <row r="36" spans="1:9" x14ac:dyDescent="0.3">
      <c r="A36" s="30">
        <f>A34+1</f>
        <v>15</v>
      </c>
      <c r="B36" s="5"/>
      <c r="C36" s="6" t="s">
        <v>28</v>
      </c>
      <c r="D36" s="6"/>
      <c r="E36" s="6"/>
      <c r="F36" s="57"/>
      <c r="G36" s="128"/>
      <c r="H36" s="141"/>
      <c r="I36" s="236"/>
    </row>
    <row r="37" spans="1:9" x14ac:dyDescent="0.3">
      <c r="A37" s="14">
        <f>A36+1</f>
        <v>16</v>
      </c>
      <c r="B37" s="5"/>
      <c r="C37" s="6" t="s">
        <v>32</v>
      </c>
      <c r="D37" s="6"/>
      <c r="E37" s="6"/>
      <c r="F37" s="57"/>
      <c r="G37" s="128"/>
      <c r="H37" s="141"/>
      <c r="I37" s="236"/>
    </row>
    <row r="38" spans="1:9" x14ac:dyDescent="0.3">
      <c r="A38" s="15">
        <f>A37+1</f>
        <v>17</v>
      </c>
      <c r="B38" s="52"/>
      <c r="C38" s="28"/>
      <c r="D38" s="28"/>
      <c r="E38" s="7" t="s">
        <v>107</v>
      </c>
      <c r="F38" s="67" t="s">
        <v>232</v>
      </c>
      <c r="G38" s="137"/>
      <c r="H38" s="138"/>
      <c r="I38" s="139">
        <f>I36+I37</f>
        <v>0</v>
      </c>
    </row>
    <row r="39" spans="1:9" x14ac:dyDescent="0.3">
      <c r="A39" s="29"/>
      <c r="B39" s="44" t="s">
        <v>27</v>
      </c>
      <c r="C39" s="3"/>
      <c r="D39" s="3"/>
      <c r="E39" s="3"/>
      <c r="F39" s="68"/>
      <c r="G39" s="135"/>
      <c r="H39" s="136"/>
      <c r="I39" s="140"/>
    </row>
    <row r="40" spans="1:9" x14ac:dyDescent="0.3">
      <c r="A40" s="30">
        <f>A38+1</f>
        <v>18</v>
      </c>
      <c r="B40" s="5"/>
      <c r="C40" s="6" t="s">
        <v>28</v>
      </c>
      <c r="D40" s="6"/>
      <c r="E40" s="6"/>
      <c r="F40" s="62"/>
      <c r="G40" s="128"/>
      <c r="H40" s="141"/>
      <c r="I40" s="236"/>
    </row>
    <row r="41" spans="1:9" x14ac:dyDescent="0.3">
      <c r="A41" s="14">
        <f>A40+1</f>
        <v>19</v>
      </c>
      <c r="B41" s="5"/>
      <c r="C41" s="6" t="s">
        <v>29</v>
      </c>
      <c r="D41" s="6"/>
      <c r="E41" s="6"/>
      <c r="F41" s="62"/>
      <c r="G41" s="128"/>
      <c r="H41" s="141"/>
      <c r="I41" s="236"/>
    </row>
    <row r="42" spans="1:9" x14ac:dyDescent="0.3">
      <c r="A42" s="14">
        <f>A41+1</f>
        <v>20</v>
      </c>
      <c r="B42" s="5"/>
      <c r="C42" s="6"/>
      <c r="D42" s="6"/>
      <c r="E42" s="8" t="s">
        <v>108</v>
      </c>
      <c r="F42" s="66" t="s">
        <v>233</v>
      </c>
      <c r="G42" s="128"/>
      <c r="H42" s="141"/>
      <c r="I42" s="142">
        <f>I40+I41</f>
        <v>0</v>
      </c>
    </row>
    <row r="43" spans="1:9" x14ac:dyDescent="0.3">
      <c r="A43" s="14">
        <f>A42+1</f>
        <v>21</v>
      </c>
      <c r="B43" s="5"/>
      <c r="C43" s="6" t="s">
        <v>30</v>
      </c>
      <c r="D43" s="6"/>
      <c r="E43" s="6"/>
      <c r="F43" s="62"/>
      <c r="G43" s="128"/>
      <c r="H43" s="141"/>
      <c r="I43" s="236"/>
    </row>
    <row r="44" spans="1:9" x14ac:dyDescent="0.3">
      <c r="A44" s="15">
        <f>A43+1</f>
        <v>22</v>
      </c>
      <c r="B44" s="52"/>
      <c r="C44" s="28"/>
      <c r="D44" s="28"/>
      <c r="E44" s="7" t="s">
        <v>109</v>
      </c>
      <c r="F44" s="67" t="s">
        <v>234</v>
      </c>
      <c r="G44" s="137"/>
      <c r="H44" s="138"/>
      <c r="I44" s="139">
        <f>I42+I43</f>
        <v>0</v>
      </c>
    </row>
    <row r="45" spans="1:9" x14ac:dyDescent="0.3">
      <c r="A45" s="29"/>
      <c r="B45" s="44" t="s">
        <v>33</v>
      </c>
      <c r="C45" s="3"/>
      <c r="D45" s="3"/>
      <c r="E45" s="3"/>
      <c r="F45" s="36"/>
      <c r="G45" s="135"/>
      <c r="H45" s="136"/>
      <c r="I45" s="140"/>
    </row>
    <row r="46" spans="1:9" x14ac:dyDescent="0.3">
      <c r="A46" s="30">
        <f>A44+1</f>
        <v>23</v>
      </c>
      <c r="B46" s="5"/>
      <c r="C46" s="6" t="s">
        <v>34</v>
      </c>
      <c r="D46" s="6"/>
      <c r="E46" s="6"/>
      <c r="F46" s="57"/>
      <c r="G46" s="128"/>
      <c r="H46" s="141"/>
      <c r="I46" s="236"/>
    </row>
    <row r="47" spans="1:9" x14ac:dyDescent="0.3">
      <c r="A47" s="14">
        <f>A46+1</f>
        <v>24</v>
      </c>
      <c r="B47" s="5"/>
      <c r="C47" s="6" t="s">
        <v>35</v>
      </c>
      <c r="D47" s="6"/>
      <c r="E47" s="6"/>
      <c r="F47" s="57"/>
      <c r="G47" s="128"/>
      <c r="H47" s="141"/>
      <c r="I47" s="236"/>
    </row>
    <row r="48" spans="1:9" x14ac:dyDescent="0.3">
      <c r="A48" s="14">
        <f>A47+1</f>
        <v>25</v>
      </c>
      <c r="B48" s="5"/>
      <c r="C48" s="6" t="s">
        <v>1</v>
      </c>
      <c r="D48" s="6"/>
      <c r="E48" s="6"/>
      <c r="F48" s="57"/>
      <c r="G48" s="128"/>
      <c r="H48" s="141"/>
      <c r="I48" s="236"/>
    </row>
    <row r="49" spans="1:9" x14ac:dyDescent="0.3">
      <c r="A49" s="15">
        <f>A48+1</f>
        <v>26</v>
      </c>
      <c r="B49" s="52"/>
      <c r="C49" s="28"/>
      <c r="D49" s="28"/>
      <c r="E49" s="7" t="s">
        <v>110</v>
      </c>
      <c r="F49" s="67" t="s">
        <v>235</v>
      </c>
      <c r="G49" s="137"/>
      <c r="H49" s="138"/>
      <c r="I49" s="139">
        <f>SUM(I46:I48)</f>
        <v>0</v>
      </c>
    </row>
    <row r="50" spans="1:9" x14ac:dyDescent="0.3">
      <c r="A50" s="29"/>
      <c r="B50" s="44" t="s">
        <v>39</v>
      </c>
      <c r="C50" s="3"/>
      <c r="D50" s="3"/>
      <c r="E50" s="3"/>
      <c r="F50" s="68"/>
      <c r="G50" s="135"/>
      <c r="H50" s="136"/>
      <c r="I50" s="140"/>
    </row>
    <row r="51" spans="1:9" ht="12.75" customHeight="1" x14ac:dyDescent="0.3">
      <c r="A51" s="30">
        <f>A49+1</f>
        <v>27</v>
      </c>
      <c r="B51" s="5"/>
      <c r="C51" s="6" t="s">
        <v>36</v>
      </c>
      <c r="D51" s="6"/>
      <c r="E51" s="6"/>
      <c r="F51" s="62" t="s">
        <v>236</v>
      </c>
      <c r="G51" s="128"/>
      <c r="H51" s="141"/>
      <c r="I51" s="142">
        <f>(I34+I38)-(I44+I49)</f>
        <v>0</v>
      </c>
    </row>
    <row r="52" spans="1:9" x14ac:dyDescent="0.3">
      <c r="A52" s="14">
        <f t="shared" ref="A52:A58" si="2">A51+1</f>
        <v>28</v>
      </c>
      <c r="B52" s="5"/>
      <c r="C52" s="6" t="s">
        <v>37</v>
      </c>
      <c r="D52" s="6"/>
      <c r="E52" s="6"/>
      <c r="F52" s="62"/>
      <c r="G52" s="128"/>
      <c r="H52" s="141"/>
      <c r="I52" s="236"/>
    </row>
    <row r="53" spans="1:9" x14ac:dyDescent="0.3">
      <c r="A53" s="15">
        <f t="shared" si="2"/>
        <v>29</v>
      </c>
      <c r="B53" s="52"/>
      <c r="C53" s="28" t="s">
        <v>38</v>
      </c>
      <c r="D53" s="28"/>
      <c r="E53" s="28"/>
      <c r="F53" s="67" t="s">
        <v>237</v>
      </c>
      <c r="G53" s="137"/>
      <c r="H53" s="138"/>
      <c r="I53" s="139">
        <f>I51-I52</f>
        <v>0</v>
      </c>
    </row>
    <row r="54" spans="1:9" x14ac:dyDescent="0.3">
      <c r="A54" s="29">
        <f t="shared" si="2"/>
        <v>30</v>
      </c>
      <c r="B54" s="69"/>
      <c r="C54" s="3" t="s">
        <v>40</v>
      </c>
      <c r="D54" s="3"/>
      <c r="E54" s="3"/>
      <c r="F54" s="70"/>
      <c r="G54" s="135"/>
      <c r="H54" s="136"/>
      <c r="I54" s="235"/>
    </row>
    <row r="55" spans="1:9" x14ac:dyDescent="0.3">
      <c r="A55" s="14">
        <f t="shared" si="2"/>
        <v>31</v>
      </c>
      <c r="B55" s="5"/>
      <c r="C55" s="6" t="s">
        <v>43</v>
      </c>
      <c r="D55" s="6"/>
      <c r="E55" s="6"/>
      <c r="F55" s="62"/>
      <c r="G55" s="128"/>
      <c r="H55" s="141"/>
      <c r="I55" s="236"/>
    </row>
    <row r="56" spans="1:9" x14ac:dyDescent="0.3">
      <c r="A56" s="15">
        <f t="shared" si="2"/>
        <v>32</v>
      </c>
      <c r="B56" s="52"/>
      <c r="C56" s="28" t="s">
        <v>41</v>
      </c>
      <c r="D56" s="28"/>
      <c r="E56" s="28"/>
      <c r="F56" s="67" t="s">
        <v>238</v>
      </c>
      <c r="G56" s="137"/>
      <c r="H56" s="138"/>
      <c r="I56" s="143">
        <f>I53-I54-I55</f>
        <v>0</v>
      </c>
    </row>
    <row r="57" spans="1:9" x14ac:dyDescent="0.3">
      <c r="A57" s="30">
        <f t="shared" si="2"/>
        <v>33</v>
      </c>
      <c r="B57" s="69"/>
      <c r="C57" s="3" t="s">
        <v>42</v>
      </c>
      <c r="D57" s="3"/>
      <c r="E57" s="3"/>
      <c r="F57" s="70"/>
      <c r="G57" s="135"/>
      <c r="H57" s="136"/>
      <c r="I57" s="235"/>
    </row>
    <row r="58" spans="1:9" x14ac:dyDescent="0.3">
      <c r="A58" s="15">
        <f t="shared" si="2"/>
        <v>34</v>
      </c>
      <c r="B58" s="52"/>
      <c r="C58" s="28" t="s">
        <v>89</v>
      </c>
      <c r="D58" s="28"/>
      <c r="E58" s="28"/>
      <c r="F58" s="67" t="s">
        <v>239</v>
      </c>
      <c r="G58" s="137"/>
      <c r="H58" s="138"/>
      <c r="I58" s="144">
        <f>I56-I57</f>
        <v>0</v>
      </c>
    </row>
    <row r="60" spans="1:9" x14ac:dyDescent="0.3">
      <c r="F60" s="2"/>
      <c r="H60" s="43"/>
    </row>
    <row r="61" spans="1:9" x14ac:dyDescent="0.3">
      <c r="F61" s="2"/>
      <c r="H61" s="43"/>
      <c r="I61" s="26"/>
    </row>
    <row r="62" spans="1:9" x14ac:dyDescent="0.3">
      <c r="F62" s="2"/>
      <c r="H62" s="43"/>
      <c r="I62" s="26"/>
    </row>
  </sheetData>
  <sheetProtection password="F7CB" sheet="1" objects="1" scenarios="1"/>
  <mergeCells count="10">
    <mergeCell ref="I17:I18"/>
    <mergeCell ref="A7:C7"/>
    <mergeCell ref="B17:H18"/>
    <mergeCell ref="D9:I9"/>
    <mergeCell ref="G3:H4"/>
    <mergeCell ref="A3:C3"/>
    <mergeCell ref="A4:C4"/>
    <mergeCell ref="A5:C5"/>
    <mergeCell ref="A6:C6"/>
    <mergeCell ref="G5:H5"/>
  </mergeCells>
  <printOptions horizontalCentered="1"/>
  <pageMargins left="0.25" right="0.75" top="0.61" bottom="0.62" header="0.5" footer="0.5"/>
  <pageSetup scale="6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8"/>
  <sheetViews>
    <sheetView zoomScale="75" workbookViewId="0"/>
  </sheetViews>
  <sheetFormatPr defaultRowHeight="12.5" x14ac:dyDescent="0.25"/>
  <cols>
    <col min="1" max="1" width="4.54296875" customWidth="1"/>
    <col min="2" max="2" width="4.7265625" customWidth="1"/>
    <col min="3" max="3" width="7.7265625" customWidth="1"/>
    <col min="4" max="4" width="53.453125" customWidth="1"/>
    <col min="5" max="5" width="22.81640625" customWidth="1"/>
    <col min="6" max="11" width="15.81640625" customWidth="1"/>
    <col min="12" max="12" width="14.81640625" customWidth="1"/>
  </cols>
  <sheetData>
    <row r="1" spans="1:12" ht="13" x14ac:dyDescent="0.3">
      <c r="A1" s="22" t="s">
        <v>183</v>
      </c>
      <c r="B1" s="23"/>
      <c r="C1" s="2"/>
      <c r="D1" s="16"/>
      <c r="E1" s="16"/>
      <c r="F1" s="2"/>
      <c r="G1" s="2"/>
      <c r="H1" s="41"/>
      <c r="I1" s="41"/>
      <c r="J1" s="41"/>
      <c r="K1" s="2"/>
      <c r="L1" s="51" t="s">
        <v>101</v>
      </c>
    </row>
    <row r="2" spans="1:12" ht="13" x14ac:dyDescent="0.3">
      <c r="A2" s="22"/>
      <c r="B2" s="23"/>
      <c r="C2" s="2"/>
      <c r="D2" s="16"/>
      <c r="E2" s="16"/>
      <c r="F2" s="2"/>
      <c r="G2" s="2"/>
      <c r="H2" s="2"/>
      <c r="I2" s="2"/>
      <c r="J2" s="2"/>
      <c r="K2" s="2"/>
      <c r="L2" s="2"/>
    </row>
    <row r="3" spans="1:12" ht="13" x14ac:dyDescent="0.3">
      <c r="A3" s="311" t="s">
        <v>121</v>
      </c>
      <c r="B3" s="312"/>
      <c r="C3" s="313"/>
      <c r="D3" s="77" t="s">
        <v>20</v>
      </c>
      <c r="E3" s="37"/>
      <c r="F3" s="2"/>
      <c r="G3" s="356"/>
      <c r="H3" s="357"/>
      <c r="I3" s="37"/>
      <c r="J3" s="208" t="s">
        <v>287</v>
      </c>
      <c r="K3" s="352">
        <f>'310'!$G$3</f>
        <v>0</v>
      </c>
      <c r="L3" s="353"/>
    </row>
    <row r="4" spans="1:12" ht="13" x14ac:dyDescent="0.3">
      <c r="A4" s="314" t="s">
        <v>122</v>
      </c>
      <c r="B4" s="315"/>
      <c r="C4" s="316"/>
      <c r="D4" s="77" t="s">
        <v>372</v>
      </c>
      <c r="E4" s="37"/>
      <c r="F4" s="37"/>
      <c r="G4" s="356"/>
      <c r="H4" s="357"/>
      <c r="I4" s="37"/>
      <c r="J4" s="5"/>
      <c r="K4" s="354"/>
      <c r="L4" s="355"/>
    </row>
    <row r="5" spans="1:12" ht="13" x14ac:dyDescent="0.3">
      <c r="A5" s="314" t="s">
        <v>123</v>
      </c>
      <c r="B5" s="315"/>
      <c r="C5" s="316"/>
      <c r="D5" s="80" t="s">
        <v>125</v>
      </c>
      <c r="E5" s="37"/>
      <c r="F5" s="24"/>
      <c r="G5" s="25"/>
      <c r="H5" s="25"/>
      <c r="I5" s="25"/>
      <c r="J5" s="200" t="s">
        <v>288</v>
      </c>
      <c r="K5" s="191">
        <f>'310'!$G$5</f>
        <v>0</v>
      </c>
      <c r="L5" s="192"/>
    </row>
    <row r="6" spans="1:12" ht="13" x14ac:dyDescent="0.3">
      <c r="A6" s="314" t="s">
        <v>120</v>
      </c>
      <c r="B6" s="315"/>
      <c r="C6" s="316"/>
      <c r="D6" s="77" t="s">
        <v>102</v>
      </c>
      <c r="E6" s="37"/>
      <c r="F6" s="24"/>
      <c r="G6" s="2"/>
      <c r="H6" s="2"/>
      <c r="I6" s="2"/>
      <c r="J6" s="2"/>
      <c r="K6" s="2"/>
      <c r="L6" s="2"/>
    </row>
    <row r="7" spans="1:12" ht="13" x14ac:dyDescent="0.3">
      <c r="A7" s="321" t="s">
        <v>159</v>
      </c>
      <c r="B7" s="322"/>
      <c r="C7" s="323"/>
      <c r="D7" s="89">
        <v>2002</v>
      </c>
      <c r="E7" s="37"/>
      <c r="F7" s="24"/>
      <c r="G7" s="37"/>
      <c r="H7" s="37"/>
      <c r="I7" s="37"/>
      <c r="J7" s="37"/>
      <c r="K7" s="43"/>
      <c r="L7" s="34"/>
    </row>
    <row r="8" spans="1:12" ht="13" x14ac:dyDescent="0.3">
      <c r="A8" s="37"/>
      <c r="B8" s="37"/>
      <c r="C8" s="37"/>
      <c r="D8" s="35"/>
      <c r="E8" s="37"/>
      <c r="F8" s="24"/>
      <c r="G8" s="37"/>
      <c r="H8" s="37"/>
      <c r="I8" s="37"/>
      <c r="J8" s="37"/>
      <c r="K8" s="43"/>
      <c r="L8" s="34"/>
    </row>
    <row r="9" spans="1:12" ht="13" x14ac:dyDescent="0.3">
      <c r="A9" s="56" t="s">
        <v>91</v>
      </c>
      <c r="B9" s="24"/>
      <c r="C9" s="24"/>
      <c r="D9" s="24"/>
      <c r="E9" s="24"/>
      <c r="F9" s="24"/>
      <c r="G9" s="19"/>
      <c r="H9" s="2"/>
      <c r="I9" s="2"/>
      <c r="J9" s="2"/>
    </row>
    <row r="10" spans="1:12" ht="15.75" customHeight="1" x14ac:dyDescent="0.3">
      <c r="A10" s="53" t="s">
        <v>85</v>
      </c>
      <c r="B10" s="331" t="s">
        <v>402</v>
      </c>
      <c r="C10" s="332"/>
      <c r="D10" s="332"/>
      <c r="E10" s="332"/>
      <c r="F10" s="332"/>
      <c r="G10" s="332"/>
      <c r="H10" s="332"/>
      <c r="I10" s="333"/>
      <c r="J10" s="333"/>
      <c r="K10" s="334"/>
    </row>
    <row r="11" spans="1:12" ht="15.75" customHeight="1" x14ac:dyDescent="0.3">
      <c r="A11" s="94" t="s">
        <v>299</v>
      </c>
      <c r="B11" s="335" t="s">
        <v>137</v>
      </c>
      <c r="C11" s="336"/>
      <c r="D11" s="336"/>
      <c r="E11" s="336"/>
      <c r="F11" s="336"/>
      <c r="G11" s="336"/>
      <c r="H11" s="336"/>
      <c r="I11" s="337"/>
      <c r="J11" s="337"/>
      <c r="K11" s="338"/>
    </row>
    <row r="12" spans="1:12" ht="15.75" customHeight="1" x14ac:dyDescent="0.3">
      <c r="A12" s="94" t="s">
        <v>88</v>
      </c>
      <c r="B12" s="335" t="s">
        <v>403</v>
      </c>
      <c r="C12" s="336"/>
      <c r="D12" s="336"/>
      <c r="E12" s="336"/>
      <c r="F12" s="336"/>
      <c r="G12" s="336"/>
      <c r="H12" s="336"/>
      <c r="I12" s="337"/>
      <c r="J12" s="337"/>
      <c r="K12" s="338"/>
    </row>
    <row r="13" spans="1:12" ht="25.5" customHeight="1" x14ac:dyDescent="0.25">
      <c r="A13" s="54" t="s">
        <v>92</v>
      </c>
      <c r="B13" s="305" t="s">
        <v>246</v>
      </c>
      <c r="C13" s="339"/>
      <c r="D13" s="339"/>
      <c r="E13" s="339"/>
      <c r="F13" s="339"/>
      <c r="G13" s="339"/>
      <c r="H13" s="339"/>
      <c r="I13" s="339"/>
      <c r="J13" s="339"/>
      <c r="K13" s="340"/>
    </row>
    <row r="14" spans="1:12" ht="13" x14ac:dyDescent="0.3">
      <c r="A14" s="2"/>
      <c r="B14" s="2"/>
      <c r="C14" s="2"/>
      <c r="D14" s="2"/>
      <c r="E14" s="2"/>
      <c r="F14" s="2"/>
      <c r="G14" s="2"/>
      <c r="H14" s="2"/>
      <c r="I14" s="2"/>
      <c r="J14" s="2"/>
    </row>
    <row r="15" spans="1:12" ht="13.5" x14ac:dyDescent="0.35">
      <c r="A15" s="2"/>
      <c r="B15" s="2"/>
      <c r="C15" s="2"/>
      <c r="D15" s="203" t="s">
        <v>311</v>
      </c>
      <c r="E15" s="2"/>
      <c r="F15" s="2"/>
      <c r="G15" s="2"/>
      <c r="H15" s="2"/>
      <c r="I15" s="2"/>
      <c r="J15" s="2"/>
    </row>
    <row r="16" spans="1:12" ht="13" x14ac:dyDescent="0.3">
      <c r="A16" s="37"/>
      <c r="B16" s="22"/>
      <c r="C16" s="22"/>
      <c r="D16" s="35"/>
      <c r="F16" s="17" t="s">
        <v>15</v>
      </c>
      <c r="G16" s="17" t="s">
        <v>16</v>
      </c>
      <c r="H16" s="17" t="s">
        <v>17</v>
      </c>
      <c r="I16" s="99" t="s">
        <v>18</v>
      </c>
      <c r="J16" s="99" t="s">
        <v>21</v>
      </c>
      <c r="K16" s="99" t="s">
        <v>67</v>
      </c>
      <c r="L16" s="47" t="s">
        <v>68</v>
      </c>
    </row>
    <row r="17" spans="1:12" ht="12.75" customHeight="1" x14ac:dyDescent="0.3">
      <c r="A17" s="37"/>
      <c r="C17" s="102"/>
      <c r="D17" s="104"/>
      <c r="E17" s="109"/>
      <c r="F17" s="343" t="s">
        <v>79</v>
      </c>
      <c r="G17" s="344"/>
      <c r="H17" s="345"/>
      <c r="I17" s="346" t="s">
        <v>181</v>
      </c>
      <c r="J17" s="347"/>
      <c r="K17" s="348"/>
      <c r="L17" s="341" t="s">
        <v>362</v>
      </c>
    </row>
    <row r="18" spans="1:12" ht="36.75" customHeight="1" x14ac:dyDescent="0.25">
      <c r="A18" s="48"/>
      <c r="B18" s="349" t="s">
        <v>161</v>
      </c>
      <c r="C18" s="350"/>
      <c r="D18" s="350"/>
      <c r="E18" s="351"/>
      <c r="F18" s="96" t="s">
        <v>12</v>
      </c>
      <c r="G18" s="103" t="s">
        <v>13</v>
      </c>
      <c r="H18" s="96" t="s">
        <v>136</v>
      </c>
      <c r="I18" s="123" t="s">
        <v>179</v>
      </c>
      <c r="J18" s="15" t="s">
        <v>180</v>
      </c>
      <c r="K18" s="123" t="s">
        <v>361</v>
      </c>
      <c r="L18" s="342"/>
    </row>
    <row r="19" spans="1:12" ht="13" x14ac:dyDescent="0.3">
      <c r="A19" s="13"/>
      <c r="B19" s="38" t="s">
        <v>192</v>
      </c>
      <c r="C19" s="38"/>
      <c r="D19" s="3"/>
      <c r="E19" s="3"/>
      <c r="F19" s="135"/>
      <c r="G19" s="136"/>
      <c r="H19" s="157"/>
      <c r="I19" s="157"/>
      <c r="J19" s="158"/>
      <c r="K19" s="135"/>
      <c r="L19" s="135"/>
    </row>
    <row r="20" spans="1:12" ht="13" x14ac:dyDescent="0.3">
      <c r="A20" s="14"/>
      <c r="B20" s="6"/>
      <c r="C20" s="6" t="s">
        <v>2</v>
      </c>
      <c r="E20" s="6"/>
      <c r="F20" s="145"/>
      <c r="G20" s="153"/>
      <c r="H20" s="145"/>
      <c r="I20" s="145"/>
      <c r="J20" s="153"/>
      <c r="K20" s="145"/>
      <c r="L20" s="145"/>
    </row>
    <row r="21" spans="1:12" ht="13" x14ac:dyDescent="0.3">
      <c r="A21" s="14">
        <v>1</v>
      </c>
      <c r="B21" s="6"/>
      <c r="C21" s="6"/>
      <c r="D21" s="6" t="s">
        <v>8</v>
      </c>
      <c r="E21" s="6"/>
      <c r="F21" s="234"/>
      <c r="G21" s="234"/>
      <c r="H21" s="145">
        <f t="shared" ref="H21:H26" si="0">SUM(F21:G21)</f>
        <v>0</v>
      </c>
      <c r="I21" s="234"/>
      <c r="J21" s="234"/>
      <c r="K21" s="145">
        <f t="shared" ref="K21:K26" si="1">I21+J21</f>
        <v>0</v>
      </c>
      <c r="L21" s="128">
        <f t="shared" ref="L21:L26" si="2">H21+K21</f>
        <v>0</v>
      </c>
    </row>
    <row r="22" spans="1:12" ht="13" x14ac:dyDescent="0.3">
      <c r="A22" s="14">
        <f t="shared" ref="A22:A27" si="3">A21+1</f>
        <v>2</v>
      </c>
      <c r="B22" s="6"/>
      <c r="C22" s="6"/>
      <c r="D22" s="6" t="s">
        <v>9</v>
      </c>
      <c r="E22" s="6"/>
      <c r="F22" s="234"/>
      <c r="G22" s="234"/>
      <c r="H22" s="145">
        <f t="shared" si="0"/>
        <v>0</v>
      </c>
      <c r="I22" s="234"/>
      <c r="J22" s="234"/>
      <c r="K22" s="145">
        <f t="shared" si="1"/>
        <v>0</v>
      </c>
      <c r="L22" s="128">
        <f t="shared" si="2"/>
        <v>0</v>
      </c>
    </row>
    <row r="23" spans="1:12" ht="13" x14ac:dyDescent="0.3">
      <c r="A23" s="14">
        <f t="shared" si="3"/>
        <v>3</v>
      </c>
      <c r="B23" s="6"/>
      <c r="C23" s="6"/>
      <c r="D23" s="6" t="s">
        <v>10</v>
      </c>
      <c r="E23" s="6"/>
      <c r="F23" s="234"/>
      <c r="G23" s="234"/>
      <c r="H23" s="145">
        <f t="shared" si="0"/>
        <v>0</v>
      </c>
      <c r="I23" s="234"/>
      <c r="J23" s="234"/>
      <c r="K23" s="145">
        <f t="shared" si="1"/>
        <v>0</v>
      </c>
      <c r="L23" s="128">
        <f t="shared" si="2"/>
        <v>0</v>
      </c>
    </row>
    <row r="24" spans="1:12" ht="13" x14ac:dyDescent="0.3">
      <c r="A24" s="14">
        <f t="shared" si="3"/>
        <v>4</v>
      </c>
      <c r="B24" s="6"/>
      <c r="C24" s="6"/>
      <c r="D24" s="6" t="s">
        <v>173</v>
      </c>
      <c r="E24" s="6"/>
      <c r="F24" s="234"/>
      <c r="G24" s="234"/>
      <c r="H24" s="145">
        <f t="shared" si="0"/>
        <v>0</v>
      </c>
      <c r="I24" s="234"/>
      <c r="J24" s="234"/>
      <c r="K24" s="145">
        <f t="shared" si="1"/>
        <v>0</v>
      </c>
      <c r="L24" s="128">
        <f t="shared" si="2"/>
        <v>0</v>
      </c>
    </row>
    <row r="25" spans="1:12" ht="13" x14ac:dyDescent="0.3">
      <c r="A25" s="14">
        <f t="shared" si="3"/>
        <v>5</v>
      </c>
      <c r="B25" s="6"/>
      <c r="C25" s="6"/>
      <c r="D25" s="6" t="s">
        <v>11</v>
      </c>
      <c r="E25" s="6"/>
      <c r="F25" s="234"/>
      <c r="G25" s="234"/>
      <c r="H25" s="145">
        <f t="shared" si="0"/>
        <v>0</v>
      </c>
      <c r="I25" s="234"/>
      <c r="J25" s="234"/>
      <c r="K25" s="145">
        <f t="shared" si="1"/>
        <v>0</v>
      </c>
      <c r="L25" s="128">
        <f t="shared" si="2"/>
        <v>0</v>
      </c>
    </row>
    <row r="26" spans="1:12" ht="13" x14ac:dyDescent="0.3">
      <c r="A26" s="14">
        <f t="shared" si="3"/>
        <v>6</v>
      </c>
      <c r="B26" s="6"/>
      <c r="C26" s="6"/>
      <c r="D26" s="6" t="s">
        <v>1</v>
      </c>
      <c r="E26" s="6"/>
      <c r="F26" s="234"/>
      <c r="G26" s="234"/>
      <c r="H26" s="145">
        <f t="shared" si="0"/>
        <v>0</v>
      </c>
      <c r="I26" s="234"/>
      <c r="J26" s="234"/>
      <c r="K26" s="145">
        <f t="shared" si="1"/>
        <v>0</v>
      </c>
      <c r="L26" s="128">
        <f t="shared" si="2"/>
        <v>0</v>
      </c>
    </row>
    <row r="27" spans="1:12" ht="13" x14ac:dyDescent="0.3">
      <c r="A27" s="14">
        <f t="shared" si="3"/>
        <v>7</v>
      </c>
      <c r="B27" s="6"/>
      <c r="C27" s="6"/>
      <c r="D27" s="8" t="s">
        <v>164</v>
      </c>
      <c r="E27" s="190" t="s">
        <v>147</v>
      </c>
      <c r="F27" s="128">
        <f t="shared" ref="F27:L27" si="4">SUM(F21:F26)</f>
        <v>0</v>
      </c>
      <c r="G27" s="128">
        <f t="shared" si="4"/>
        <v>0</v>
      </c>
      <c r="H27" s="128">
        <f t="shared" si="4"/>
        <v>0</v>
      </c>
      <c r="I27" s="128">
        <f t="shared" si="4"/>
        <v>0</v>
      </c>
      <c r="J27" s="128">
        <f t="shared" si="4"/>
        <v>0</v>
      </c>
      <c r="K27" s="128">
        <f t="shared" si="4"/>
        <v>0</v>
      </c>
      <c r="L27" s="128">
        <f t="shared" si="4"/>
        <v>0</v>
      </c>
    </row>
    <row r="28" spans="1:12" ht="13" x14ac:dyDescent="0.3">
      <c r="A28" s="14"/>
      <c r="B28" s="19" t="s">
        <v>193</v>
      </c>
      <c r="C28" s="6"/>
      <c r="D28" s="8"/>
      <c r="E28" s="190"/>
      <c r="F28" s="128"/>
      <c r="G28" s="141"/>
      <c r="H28" s="128"/>
      <c r="I28" s="128"/>
      <c r="J28" s="141"/>
      <c r="K28" s="128"/>
      <c r="L28" s="128"/>
    </row>
    <row r="29" spans="1:12" ht="13" x14ac:dyDescent="0.3">
      <c r="A29" s="14">
        <f>A27+1</f>
        <v>8</v>
      </c>
      <c r="B29" s="6"/>
      <c r="C29" s="35" t="s">
        <v>162</v>
      </c>
      <c r="E29" s="6"/>
      <c r="F29" s="234"/>
      <c r="G29" s="241"/>
      <c r="H29" s="145">
        <f>SUM(F29:G29)</f>
        <v>0</v>
      </c>
      <c r="I29" s="234"/>
      <c r="J29" s="241"/>
      <c r="K29" s="145">
        <f>I29+J29</f>
        <v>0</v>
      </c>
      <c r="L29" s="128">
        <f>H29+K29</f>
        <v>0</v>
      </c>
    </row>
    <row r="30" spans="1:12" ht="13" x14ac:dyDescent="0.3">
      <c r="A30" s="14">
        <f>A29+1</f>
        <v>9</v>
      </c>
      <c r="B30" s="6"/>
      <c r="C30" s="35" t="s">
        <v>163</v>
      </c>
      <c r="E30" s="6"/>
      <c r="F30" s="234"/>
      <c r="G30" s="241"/>
      <c r="H30" s="145">
        <f>SUM(F30:G30)</f>
        <v>0</v>
      </c>
      <c r="I30" s="234"/>
      <c r="J30" s="241"/>
      <c r="K30" s="145">
        <f>I30+J30</f>
        <v>0</v>
      </c>
      <c r="L30" s="128">
        <f>H30+K30</f>
        <v>0</v>
      </c>
    </row>
    <row r="31" spans="1:12" ht="13" x14ac:dyDescent="0.3">
      <c r="A31" s="15">
        <f>A30+1</f>
        <v>10</v>
      </c>
      <c r="B31" s="28"/>
      <c r="C31" s="28"/>
      <c r="D31" s="7" t="s">
        <v>149</v>
      </c>
      <c r="E31" s="71" t="s">
        <v>216</v>
      </c>
      <c r="F31" s="137">
        <f t="shared" ref="F31:L31" si="5">F29+F30</f>
        <v>0</v>
      </c>
      <c r="G31" s="137">
        <f t="shared" si="5"/>
        <v>0</v>
      </c>
      <c r="H31" s="137">
        <f t="shared" si="5"/>
        <v>0</v>
      </c>
      <c r="I31" s="137">
        <f t="shared" si="5"/>
        <v>0</v>
      </c>
      <c r="J31" s="137">
        <f t="shared" si="5"/>
        <v>0</v>
      </c>
      <c r="K31" s="137">
        <f t="shared" si="5"/>
        <v>0</v>
      </c>
      <c r="L31" s="137">
        <f t="shared" si="5"/>
        <v>0</v>
      </c>
    </row>
    <row r="32" spans="1:12" ht="13" x14ac:dyDescent="0.3">
      <c r="A32" s="99">
        <f>A31+1</f>
        <v>11</v>
      </c>
      <c r="B32" s="12" t="s">
        <v>300</v>
      </c>
      <c r="C32" s="10"/>
      <c r="D32" s="20"/>
      <c r="E32" s="175" t="s">
        <v>217</v>
      </c>
      <c r="F32" s="156">
        <f t="shared" ref="F32:L32" si="6">F27+F31</f>
        <v>0</v>
      </c>
      <c r="G32" s="156">
        <f t="shared" si="6"/>
        <v>0</v>
      </c>
      <c r="H32" s="156">
        <f t="shared" si="6"/>
        <v>0</v>
      </c>
      <c r="I32" s="156">
        <f t="shared" si="6"/>
        <v>0</v>
      </c>
      <c r="J32" s="156">
        <f t="shared" si="6"/>
        <v>0</v>
      </c>
      <c r="K32" s="156">
        <f t="shared" si="6"/>
        <v>0</v>
      </c>
      <c r="L32" s="156">
        <f t="shared" si="6"/>
        <v>0</v>
      </c>
    </row>
    <row r="33" spans="1:16" ht="13" x14ac:dyDescent="0.3">
      <c r="A33" s="14"/>
      <c r="B33" s="5"/>
      <c r="C33" s="6"/>
      <c r="D33" s="8"/>
      <c r="E33" s="6"/>
      <c r="F33" s="128"/>
      <c r="G33" s="128"/>
      <c r="H33" s="156"/>
      <c r="I33" s="156"/>
      <c r="J33" s="141"/>
      <c r="K33" s="128"/>
      <c r="L33" s="128"/>
    </row>
    <row r="34" spans="1:16" ht="13" x14ac:dyDescent="0.3">
      <c r="A34" s="119"/>
      <c r="B34" s="44" t="s">
        <v>140</v>
      </c>
      <c r="C34" s="38"/>
      <c r="D34" s="3"/>
      <c r="E34" s="4"/>
      <c r="F34" s="135"/>
      <c r="G34" s="135"/>
      <c r="H34" s="158"/>
      <c r="I34" s="157"/>
      <c r="J34" s="157"/>
      <c r="K34" s="135"/>
      <c r="L34" s="135"/>
    </row>
    <row r="35" spans="1:16" ht="13" x14ac:dyDescent="0.3">
      <c r="A35" s="63"/>
      <c r="B35" s="65"/>
      <c r="C35" s="6" t="s">
        <v>174</v>
      </c>
      <c r="D35" s="6"/>
      <c r="E35" s="27"/>
      <c r="F35" s="128"/>
      <c r="G35" s="128"/>
      <c r="H35" s="160"/>
      <c r="I35" s="159"/>
      <c r="J35" s="159"/>
      <c r="K35" s="128"/>
      <c r="L35" s="128"/>
    </row>
    <row r="36" spans="1:16" ht="13" x14ac:dyDescent="0.3">
      <c r="A36" s="63">
        <f>A32+1</f>
        <v>12</v>
      </c>
      <c r="B36" s="5"/>
      <c r="C36" s="6" t="s">
        <v>278</v>
      </c>
      <c r="E36" s="27"/>
      <c r="F36" s="234"/>
      <c r="G36" s="234"/>
      <c r="H36" s="153">
        <f>SUM(F36:G36)</f>
        <v>0</v>
      </c>
      <c r="I36" s="234"/>
      <c r="J36" s="234"/>
      <c r="K36" s="145">
        <f>I36+J36</f>
        <v>0</v>
      </c>
      <c r="L36" s="128">
        <f>H36+K36</f>
        <v>0</v>
      </c>
    </row>
    <row r="37" spans="1:16" ht="13" x14ac:dyDescent="0.3">
      <c r="A37" s="63">
        <f>A36+1</f>
        <v>13</v>
      </c>
      <c r="B37" s="5"/>
      <c r="C37" s="6" t="s">
        <v>279</v>
      </c>
      <c r="E37" s="27"/>
      <c r="F37" s="234"/>
      <c r="G37" s="234"/>
      <c r="H37" s="153">
        <f>SUM(F37:G37)</f>
        <v>0</v>
      </c>
      <c r="I37" s="234"/>
      <c r="J37" s="234"/>
      <c r="K37" s="145">
        <f>I37+J37</f>
        <v>0</v>
      </c>
      <c r="L37" s="128">
        <f>H37+K37</f>
        <v>0</v>
      </c>
    </row>
    <row r="38" spans="1:16" ht="13" x14ac:dyDescent="0.3">
      <c r="A38" s="63">
        <f>A37+1</f>
        <v>14</v>
      </c>
      <c r="B38" s="5"/>
      <c r="C38" s="6"/>
      <c r="D38" s="8" t="s">
        <v>301</v>
      </c>
      <c r="E38" s="66" t="s">
        <v>218</v>
      </c>
      <c r="F38" s="128">
        <f t="shared" ref="F38:L38" si="7">SUM(F36:F37)</f>
        <v>0</v>
      </c>
      <c r="G38" s="128">
        <f t="shared" si="7"/>
        <v>0</v>
      </c>
      <c r="H38" s="128">
        <f t="shared" si="7"/>
        <v>0</v>
      </c>
      <c r="I38" s="128">
        <f t="shared" si="7"/>
        <v>0</v>
      </c>
      <c r="J38" s="128">
        <f t="shared" si="7"/>
        <v>0</v>
      </c>
      <c r="K38" s="128">
        <f t="shared" si="7"/>
        <v>0</v>
      </c>
      <c r="L38" s="128">
        <f t="shared" si="7"/>
        <v>0</v>
      </c>
    </row>
    <row r="39" spans="1:16" ht="13" x14ac:dyDescent="0.3">
      <c r="A39" s="63">
        <f>A38+1</f>
        <v>15</v>
      </c>
      <c r="B39" s="5"/>
      <c r="C39" s="6" t="s">
        <v>280</v>
      </c>
      <c r="E39" s="27"/>
      <c r="F39" s="234"/>
      <c r="G39" s="234"/>
      <c r="H39" s="153">
        <f>SUM(F39:G39)</f>
        <v>0</v>
      </c>
      <c r="I39" s="234"/>
      <c r="J39" s="234"/>
      <c r="K39" s="145">
        <f>I39+J39</f>
        <v>0</v>
      </c>
      <c r="L39" s="128">
        <f>H39+K39</f>
        <v>0</v>
      </c>
    </row>
    <row r="40" spans="1:16" ht="13" x14ac:dyDescent="0.3">
      <c r="A40" s="63">
        <f>A39+1</f>
        <v>16</v>
      </c>
      <c r="B40" s="5"/>
      <c r="C40" s="6"/>
      <c r="D40" s="185" t="s">
        <v>283</v>
      </c>
      <c r="E40" s="66" t="s">
        <v>284</v>
      </c>
      <c r="F40" s="145">
        <f>F38+F39</f>
        <v>0</v>
      </c>
      <c r="G40" s="145">
        <f t="shared" ref="G40:L40" si="8">G38+G39</f>
        <v>0</v>
      </c>
      <c r="H40" s="153">
        <f t="shared" si="8"/>
        <v>0</v>
      </c>
      <c r="I40" s="145">
        <f t="shared" si="8"/>
        <v>0</v>
      </c>
      <c r="J40" s="145">
        <f t="shared" si="8"/>
        <v>0</v>
      </c>
      <c r="K40" s="145">
        <f t="shared" si="8"/>
        <v>0</v>
      </c>
      <c r="L40" s="145">
        <f t="shared" si="8"/>
        <v>0</v>
      </c>
      <c r="M40" s="193"/>
      <c r="N40" s="193"/>
      <c r="O40" s="193"/>
      <c r="P40" s="193"/>
    </row>
    <row r="41" spans="1:16" ht="13" x14ac:dyDescent="0.3">
      <c r="A41" s="63"/>
      <c r="B41" s="5"/>
      <c r="C41" s="6" t="s">
        <v>3</v>
      </c>
      <c r="D41" s="6"/>
      <c r="E41" s="27"/>
      <c r="F41" s="145"/>
      <c r="G41" s="145"/>
      <c r="H41" s="153"/>
      <c r="I41" s="145"/>
      <c r="J41" s="145"/>
      <c r="K41" s="145"/>
      <c r="L41" s="128"/>
    </row>
    <row r="42" spans="1:16" s="2" customFormat="1" ht="13" x14ac:dyDescent="0.3">
      <c r="A42" s="63">
        <f>A40+1</f>
        <v>17</v>
      </c>
      <c r="B42" s="5"/>
      <c r="C42" s="6" t="s">
        <v>281</v>
      </c>
      <c r="E42" s="27"/>
      <c r="F42" s="145"/>
      <c r="G42" s="234"/>
      <c r="H42" s="153">
        <f>SUM(F42:G42)</f>
        <v>0</v>
      </c>
      <c r="I42" s="234"/>
      <c r="J42" s="234"/>
      <c r="K42" s="145">
        <f>I42+J42</f>
        <v>0</v>
      </c>
      <c r="L42" s="128">
        <f>H42+K42</f>
        <v>0</v>
      </c>
    </row>
    <row r="43" spans="1:16" s="2" customFormat="1" ht="13" x14ac:dyDescent="0.3">
      <c r="A43" s="63">
        <f>A42+1</f>
        <v>18</v>
      </c>
      <c r="B43" s="5"/>
      <c r="C43" s="6" t="s">
        <v>282</v>
      </c>
      <c r="E43" s="27"/>
      <c r="F43" s="145"/>
      <c r="G43" s="234"/>
      <c r="H43" s="153">
        <f>SUM(F43:G43)</f>
        <v>0</v>
      </c>
      <c r="I43" s="234"/>
      <c r="J43" s="234"/>
      <c r="K43" s="145">
        <f>I43+J43</f>
        <v>0</v>
      </c>
      <c r="L43" s="128">
        <f>H43+K43</f>
        <v>0</v>
      </c>
    </row>
    <row r="44" spans="1:16" s="2" customFormat="1" ht="13" x14ac:dyDescent="0.3">
      <c r="A44" s="63">
        <f>A43+1</f>
        <v>19</v>
      </c>
      <c r="B44" s="5"/>
      <c r="C44" s="6"/>
      <c r="D44" s="185" t="s">
        <v>285</v>
      </c>
      <c r="E44" s="66" t="s">
        <v>286</v>
      </c>
      <c r="F44" s="145"/>
      <c r="G44" s="145">
        <f t="shared" ref="G44:L44" si="9">+G42+G43</f>
        <v>0</v>
      </c>
      <c r="H44" s="153">
        <f t="shared" si="9"/>
        <v>0</v>
      </c>
      <c r="I44" s="145">
        <f t="shared" si="9"/>
        <v>0</v>
      </c>
      <c r="J44" s="145">
        <f t="shared" si="9"/>
        <v>0</v>
      </c>
      <c r="K44" s="145">
        <f t="shared" si="9"/>
        <v>0</v>
      </c>
      <c r="L44" s="145">
        <f t="shared" si="9"/>
        <v>0</v>
      </c>
    </row>
    <row r="45" spans="1:16" s="202" customFormat="1" ht="13" x14ac:dyDescent="0.3">
      <c r="A45" s="194"/>
      <c r="B45" s="195"/>
      <c r="C45" s="121"/>
      <c r="E45" s="201"/>
      <c r="F45" s="145"/>
      <c r="G45" s="145"/>
      <c r="H45" s="153"/>
      <c r="I45" s="145"/>
      <c r="J45" s="145"/>
      <c r="K45" s="145"/>
      <c r="L45" s="145"/>
    </row>
    <row r="46" spans="1:16" s="2" customFormat="1" ht="13" x14ac:dyDescent="0.3">
      <c r="A46" s="63">
        <f>+A44+1</f>
        <v>20</v>
      </c>
      <c r="B46" s="5"/>
      <c r="C46" s="6" t="s">
        <v>277</v>
      </c>
      <c r="D46" s="6"/>
      <c r="E46" s="27"/>
      <c r="F46" s="234"/>
      <c r="G46" s="234"/>
      <c r="H46" s="153">
        <f>SUM(F46:G46)</f>
        <v>0</v>
      </c>
      <c r="I46" s="234"/>
      <c r="J46" s="234"/>
      <c r="K46" s="145">
        <f>I46+J46</f>
        <v>0</v>
      </c>
      <c r="L46" s="128">
        <f>H46+K46</f>
        <v>0</v>
      </c>
    </row>
    <row r="47" spans="1:16" s="2" customFormat="1" ht="13" x14ac:dyDescent="0.3">
      <c r="A47" s="63">
        <v>21</v>
      </c>
      <c r="B47" s="52"/>
      <c r="C47" s="6" t="s">
        <v>1</v>
      </c>
      <c r="D47" s="6"/>
      <c r="E47" s="27"/>
      <c r="F47" s="242"/>
      <c r="G47" s="242"/>
      <c r="H47" s="153">
        <f>SUM(F47:G47)</f>
        <v>0</v>
      </c>
      <c r="I47" s="242"/>
      <c r="J47" s="242"/>
      <c r="K47" s="145">
        <f>I47+J47</f>
        <v>0</v>
      </c>
      <c r="L47" s="128">
        <f>H47+K47</f>
        <v>0</v>
      </c>
    </row>
    <row r="48" spans="1:16" s="2" customFormat="1" ht="13" x14ac:dyDescent="0.3">
      <c r="A48" s="99">
        <v>22</v>
      </c>
      <c r="B48" s="33" t="s">
        <v>302</v>
      </c>
      <c r="C48" s="20"/>
      <c r="D48" s="92"/>
      <c r="E48" s="83" t="s">
        <v>303</v>
      </c>
      <c r="F48" s="161">
        <f t="shared" ref="F48:L48" si="10">F40+F44+F46+F47</f>
        <v>0</v>
      </c>
      <c r="G48" s="161">
        <f t="shared" si="10"/>
        <v>0</v>
      </c>
      <c r="H48" s="161">
        <f t="shared" si="10"/>
        <v>0</v>
      </c>
      <c r="I48" s="161">
        <f t="shared" si="10"/>
        <v>0</v>
      </c>
      <c r="J48" s="161">
        <f t="shared" si="10"/>
        <v>0</v>
      </c>
      <c r="K48" s="161">
        <f t="shared" si="10"/>
        <v>0</v>
      </c>
      <c r="L48" s="161">
        <f t="shared" si="10"/>
        <v>0</v>
      </c>
    </row>
  </sheetData>
  <sheetProtection password="F7CB" sheet="1" objects="1" scenarios="1"/>
  <mergeCells count="16">
    <mergeCell ref="K3:L4"/>
    <mergeCell ref="A6:C6"/>
    <mergeCell ref="A7:C7"/>
    <mergeCell ref="A3:C3"/>
    <mergeCell ref="G3:H3"/>
    <mergeCell ref="A4:C4"/>
    <mergeCell ref="G4:H4"/>
    <mergeCell ref="A5:C5"/>
    <mergeCell ref="B10:K10"/>
    <mergeCell ref="B12:K12"/>
    <mergeCell ref="B13:K13"/>
    <mergeCell ref="L17:L18"/>
    <mergeCell ref="F17:H17"/>
    <mergeCell ref="I17:K17"/>
    <mergeCell ref="B18:E18"/>
    <mergeCell ref="B11:K11"/>
  </mergeCells>
  <pageMargins left="0.25" right="0.25" top="1" bottom="1" header="0.5" footer="0.5"/>
  <pageSetup scale="67"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3"/>
  <sheetViews>
    <sheetView zoomScale="75" workbookViewId="0"/>
  </sheetViews>
  <sheetFormatPr defaultColWidth="9.1796875" defaultRowHeight="13" x14ac:dyDescent="0.3"/>
  <cols>
    <col min="1" max="1" width="3.7265625" style="2" customWidth="1"/>
    <col min="2" max="2" width="3.81640625" style="2" customWidth="1"/>
    <col min="3" max="3" width="9.81640625" style="2" customWidth="1"/>
    <col min="4" max="4" width="35.26953125" style="2" customWidth="1"/>
    <col min="5" max="5" width="23.54296875" style="2" customWidth="1"/>
    <col min="6" max="12" width="15.7265625" style="2" customWidth="1"/>
    <col min="13" max="16384" width="9.1796875" style="2"/>
  </cols>
  <sheetData>
    <row r="1" spans="1:13" x14ac:dyDescent="0.3">
      <c r="A1" s="22" t="s">
        <v>210</v>
      </c>
      <c r="B1" s="23"/>
      <c r="C1" s="23"/>
      <c r="F1" s="41"/>
      <c r="H1" s="51" t="s">
        <v>101</v>
      </c>
      <c r="I1" s="51"/>
    </row>
    <row r="2" spans="1:13" x14ac:dyDescent="0.3">
      <c r="A2" s="22"/>
      <c r="B2" s="23"/>
      <c r="C2" s="23"/>
      <c r="F2" s="55"/>
    </row>
    <row r="3" spans="1:13" x14ac:dyDescent="0.3">
      <c r="A3" s="311" t="s">
        <v>121</v>
      </c>
      <c r="B3" s="312"/>
      <c r="C3" s="313"/>
      <c r="D3" s="77" t="s">
        <v>20</v>
      </c>
      <c r="F3" s="198" t="s">
        <v>287</v>
      </c>
      <c r="G3" s="358">
        <f>'310'!$G$3</f>
        <v>0</v>
      </c>
      <c r="H3" s="359"/>
      <c r="I3" s="42"/>
    </row>
    <row r="4" spans="1:13" x14ac:dyDescent="0.3">
      <c r="A4" s="314" t="s">
        <v>122</v>
      </c>
      <c r="B4" s="315"/>
      <c r="C4" s="316"/>
      <c r="D4" s="77" t="s">
        <v>155</v>
      </c>
      <c r="E4" s="37"/>
      <c r="F4" s="5"/>
      <c r="G4" s="360"/>
      <c r="H4" s="361"/>
      <c r="I4" s="125"/>
    </row>
    <row r="5" spans="1:13" x14ac:dyDescent="0.3">
      <c r="A5" s="314" t="s">
        <v>123</v>
      </c>
      <c r="B5" s="315"/>
      <c r="C5" s="316"/>
      <c r="D5" s="80" t="s">
        <v>125</v>
      </c>
      <c r="E5" s="24"/>
      <c r="F5" s="197" t="s">
        <v>288</v>
      </c>
      <c r="G5" s="191">
        <f>'310'!$G$5</f>
        <v>0</v>
      </c>
      <c r="H5" s="192"/>
      <c r="I5" s="125"/>
    </row>
    <row r="6" spans="1:13" x14ac:dyDescent="0.3">
      <c r="A6" s="314" t="s">
        <v>120</v>
      </c>
      <c r="B6" s="315"/>
      <c r="C6" s="316"/>
      <c r="D6" s="77" t="s">
        <v>102</v>
      </c>
      <c r="E6" s="24"/>
      <c r="F6" s="37"/>
    </row>
    <row r="7" spans="1:13" x14ac:dyDescent="0.3">
      <c r="A7" s="321" t="s">
        <v>159</v>
      </c>
      <c r="B7" s="322"/>
      <c r="C7" s="323"/>
      <c r="D7" s="89">
        <v>2002</v>
      </c>
      <c r="F7" s="37"/>
    </row>
    <row r="8" spans="1:13" x14ac:dyDescent="0.3">
      <c r="A8" s="37"/>
      <c r="B8" s="37"/>
      <c r="C8" s="37"/>
      <c r="D8" s="35"/>
      <c r="F8" s="37"/>
    </row>
    <row r="9" spans="1:13" ht="25.5" customHeight="1" x14ac:dyDescent="0.3">
      <c r="A9" s="37"/>
      <c r="B9" s="37"/>
      <c r="C9" s="182"/>
      <c r="D9" s="368" t="s">
        <v>246</v>
      </c>
      <c r="E9" s="369"/>
      <c r="F9" s="369"/>
      <c r="G9" s="369"/>
      <c r="H9" s="369"/>
      <c r="I9" s="369"/>
      <c r="J9" s="369"/>
      <c r="K9" s="370"/>
    </row>
    <row r="10" spans="1:13" x14ac:dyDescent="0.3">
      <c r="J10" s="100"/>
      <c r="K10" s="100"/>
      <c r="L10" s="100"/>
      <c r="M10" s="25"/>
    </row>
    <row r="11" spans="1:13" ht="13.5" x14ac:dyDescent="0.35">
      <c r="D11" s="203" t="s">
        <v>313</v>
      </c>
      <c r="J11" s="100"/>
      <c r="K11" s="100"/>
      <c r="L11" s="100"/>
      <c r="M11" s="25"/>
    </row>
    <row r="12" spans="1:13" x14ac:dyDescent="0.3">
      <c r="J12" s="100"/>
      <c r="K12" s="100"/>
      <c r="L12" s="100"/>
      <c r="M12" s="25"/>
    </row>
    <row r="13" spans="1:13" x14ac:dyDescent="0.3">
      <c r="A13" s="6"/>
      <c r="B13" s="22"/>
      <c r="C13" s="35"/>
      <c r="D13" s="35"/>
      <c r="E13" s="35"/>
      <c r="F13" s="58" t="s">
        <v>15</v>
      </c>
      <c r="G13" s="32" t="s">
        <v>16</v>
      </c>
      <c r="H13" s="32" t="s">
        <v>17</v>
      </c>
      <c r="I13" s="32" t="s">
        <v>18</v>
      </c>
      <c r="J13" s="49" t="s">
        <v>21</v>
      </c>
      <c r="K13" s="49" t="s">
        <v>67</v>
      </c>
      <c r="L13" s="47" t="s">
        <v>68</v>
      </c>
    </row>
    <row r="14" spans="1:13" ht="12.75" customHeight="1" x14ac:dyDescent="0.3">
      <c r="A14" s="37"/>
      <c r="B14" s="362" t="s">
        <v>160</v>
      </c>
      <c r="C14" s="363"/>
      <c r="D14" s="363"/>
      <c r="E14" s="364"/>
      <c r="F14" s="346" t="s">
        <v>79</v>
      </c>
      <c r="G14" s="347"/>
      <c r="H14" s="348"/>
      <c r="I14" s="343" t="s">
        <v>14</v>
      </c>
      <c r="J14" s="344"/>
      <c r="K14" s="345"/>
      <c r="L14" s="13" t="s">
        <v>6</v>
      </c>
    </row>
    <row r="15" spans="1:13" ht="39.75" customHeight="1" x14ac:dyDescent="0.3">
      <c r="A15" s="45"/>
      <c r="B15" s="365"/>
      <c r="C15" s="366"/>
      <c r="D15" s="366"/>
      <c r="E15" s="367"/>
      <c r="F15" s="99" t="s">
        <v>12</v>
      </c>
      <c r="G15" s="99" t="s">
        <v>13</v>
      </c>
      <c r="H15" s="21" t="s">
        <v>136</v>
      </c>
      <c r="I15" s="123" t="s">
        <v>179</v>
      </c>
      <c r="J15" s="15" t="s">
        <v>180</v>
      </c>
      <c r="K15" s="123" t="s">
        <v>244</v>
      </c>
      <c r="L15" s="183" t="s">
        <v>359</v>
      </c>
    </row>
    <row r="16" spans="1:13" x14ac:dyDescent="0.3">
      <c r="A16" s="13"/>
      <c r="B16" s="38" t="s">
        <v>290</v>
      </c>
      <c r="C16" s="3"/>
      <c r="D16" s="91"/>
      <c r="E16" s="70"/>
      <c r="F16" s="90"/>
      <c r="G16" s="18"/>
      <c r="H16" s="9"/>
      <c r="I16" s="9"/>
      <c r="J16" s="9"/>
      <c r="K16" s="9"/>
      <c r="L16" s="9"/>
    </row>
    <row r="17" spans="1:12" x14ac:dyDescent="0.3">
      <c r="A17" s="14">
        <v>1</v>
      </c>
      <c r="B17" s="6"/>
      <c r="C17" s="6" t="s">
        <v>138</v>
      </c>
      <c r="D17" s="61"/>
      <c r="E17" s="62"/>
      <c r="F17" s="238"/>
      <c r="G17" s="234"/>
      <c r="H17" s="145">
        <f>SUM(F17:G17)</f>
        <v>0</v>
      </c>
      <c r="I17" s="234"/>
      <c r="J17" s="234"/>
      <c r="K17" s="145">
        <f>I17+J17</f>
        <v>0</v>
      </c>
      <c r="L17" s="128">
        <f>H17+K17</f>
        <v>0</v>
      </c>
    </row>
    <row r="18" spans="1:12" x14ac:dyDescent="0.3">
      <c r="A18" s="14">
        <f t="shared" ref="A18:A32" si="0">A17+1</f>
        <v>2</v>
      </c>
      <c r="B18" s="6"/>
      <c r="C18" s="6" t="s">
        <v>334</v>
      </c>
      <c r="D18" s="61"/>
      <c r="E18" s="62"/>
      <c r="F18" s="238"/>
      <c r="G18" s="234"/>
      <c r="H18" s="145">
        <f>SUM(F18:G18)</f>
        <v>0</v>
      </c>
      <c r="I18" s="234"/>
      <c r="J18" s="234"/>
      <c r="K18" s="145">
        <f>I18+J18</f>
        <v>0</v>
      </c>
      <c r="L18" s="128">
        <f>H18+K18</f>
        <v>0</v>
      </c>
    </row>
    <row r="19" spans="1:12" x14ac:dyDescent="0.3">
      <c r="A19" s="14">
        <f t="shared" si="0"/>
        <v>3</v>
      </c>
      <c r="B19" s="6"/>
      <c r="C19" s="6" t="s">
        <v>171</v>
      </c>
      <c r="D19" s="61"/>
      <c r="E19" s="62"/>
      <c r="F19" s="238"/>
      <c r="G19" s="234"/>
      <c r="H19" s="145">
        <f>SUM(F19:G19)</f>
        <v>0</v>
      </c>
      <c r="I19" s="234"/>
      <c r="J19" s="234"/>
      <c r="K19" s="145">
        <f>I19+J19</f>
        <v>0</v>
      </c>
      <c r="L19" s="128">
        <f>H19+K19</f>
        <v>0</v>
      </c>
    </row>
    <row r="20" spans="1:12" x14ac:dyDescent="0.3">
      <c r="A20" s="14">
        <f t="shared" si="0"/>
        <v>4</v>
      </c>
      <c r="B20" s="6"/>
      <c r="C20" s="6" t="s">
        <v>241</v>
      </c>
      <c r="D20" s="61"/>
      <c r="E20" s="62"/>
      <c r="F20" s="238"/>
      <c r="G20" s="234"/>
      <c r="H20" s="145">
        <f>SUM(F20:G20)</f>
        <v>0</v>
      </c>
      <c r="I20" s="234"/>
      <c r="J20" s="234"/>
      <c r="K20" s="145">
        <f>I20+J20</f>
        <v>0</v>
      </c>
      <c r="L20" s="128">
        <f>H20+K20</f>
        <v>0</v>
      </c>
    </row>
    <row r="21" spans="1:12" x14ac:dyDescent="0.3">
      <c r="A21" s="14">
        <f t="shared" si="0"/>
        <v>5</v>
      </c>
      <c r="B21" s="6"/>
      <c r="C21" s="6"/>
      <c r="D21" s="8" t="s">
        <v>243</v>
      </c>
      <c r="E21" s="62" t="s">
        <v>112</v>
      </c>
      <c r="F21" s="146">
        <f t="shared" ref="F21:L21" si="1">SUM(F17:F20)</f>
        <v>0</v>
      </c>
      <c r="G21" s="146">
        <f t="shared" si="1"/>
        <v>0</v>
      </c>
      <c r="H21" s="146">
        <f t="shared" si="1"/>
        <v>0</v>
      </c>
      <c r="I21" s="146">
        <f t="shared" si="1"/>
        <v>0</v>
      </c>
      <c r="J21" s="146">
        <f t="shared" si="1"/>
        <v>0</v>
      </c>
      <c r="K21" s="146">
        <f t="shared" si="1"/>
        <v>0</v>
      </c>
      <c r="L21" s="146">
        <f t="shared" si="1"/>
        <v>0</v>
      </c>
    </row>
    <row r="22" spans="1:12" x14ac:dyDescent="0.3">
      <c r="A22" s="14">
        <f t="shared" si="0"/>
        <v>6</v>
      </c>
      <c r="B22" s="6"/>
      <c r="C22" s="6" t="s">
        <v>76</v>
      </c>
      <c r="D22" s="61"/>
      <c r="E22" s="62"/>
      <c r="F22" s="238"/>
      <c r="G22" s="234"/>
      <c r="H22" s="145">
        <f>SUM(F22:G22)</f>
        <v>0</v>
      </c>
      <c r="I22" s="234"/>
      <c r="J22" s="234"/>
      <c r="K22" s="145">
        <f>I22+J22</f>
        <v>0</v>
      </c>
      <c r="L22" s="128">
        <f>H22+K22</f>
        <v>0</v>
      </c>
    </row>
    <row r="23" spans="1:12" x14ac:dyDescent="0.3">
      <c r="A23" s="14">
        <f t="shared" si="0"/>
        <v>7</v>
      </c>
      <c r="B23" s="6"/>
      <c r="C23" s="6"/>
      <c r="D23" s="8" t="s">
        <v>77</v>
      </c>
      <c r="E23" s="62" t="s">
        <v>242</v>
      </c>
      <c r="F23" s="147">
        <f t="shared" ref="F23:L23" si="2">F21+F22</f>
        <v>0</v>
      </c>
      <c r="G23" s="147">
        <f t="shared" si="2"/>
        <v>0</v>
      </c>
      <c r="H23" s="147">
        <f t="shared" si="2"/>
        <v>0</v>
      </c>
      <c r="I23" s="147">
        <f t="shared" si="2"/>
        <v>0</v>
      </c>
      <c r="J23" s="147">
        <f t="shared" si="2"/>
        <v>0</v>
      </c>
      <c r="K23" s="147">
        <f t="shared" si="2"/>
        <v>0</v>
      </c>
      <c r="L23" s="147">
        <f t="shared" si="2"/>
        <v>0</v>
      </c>
    </row>
    <row r="24" spans="1:12" x14ac:dyDescent="0.3">
      <c r="A24" s="14">
        <f t="shared" si="0"/>
        <v>8</v>
      </c>
      <c r="B24" s="6"/>
      <c r="C24" s="6" t="s">
        <v>156</v>
      </c>
      <c r="D24" s="6"/>
      <c r="E24" s="113" t="s">
        <v>389</v>
      </c>
      <c r="F24" s="148"/>
      <c r="G24" s="148"/>
      <c r="H24" s="234"/>
      <c r="I24" s="234"/>
      <c r="J24" s="234"/>
      <c r="K24" s="145">
        <f>I24+J24</f>
        <v>0</v>
      </c>
      <c r="L24" s="128">
        <f>H24+K24</f>
        <v>0</v>
      </c>
    </row>
    <row r="25" spans="1:12" x14ac:dyDescent="0.3">
      <c r="A25" s="14">
        <v>9</v>
      </c>
      <c r="B25" s="6"/>
      <c r="C25" s="6" t="s">
        <v>404</v>
      </c>
      <c r="D25" s="6"/>
      <c r="E25" s="113"/>
      <c r="F25" s="148"/>
      <c r="G25" s="148"/>
      <c r="H25" s="234"/>
      <c r="I25" s="234"/>
      <c r="J25" s="234"/>
      <c r="K25" s="145">
        <f>I25+J25</f>
        <v>0</v>
      </c>
      <c r="L25" s="128">
        <f>H25+K25</f>
        <v>0</v>
      </c>
    </row>
    <row r="26" spans="1:12" x14ac:dyDescent="0.3">
      <c r="A26" s="14">
        <f>A25+1</f>
        <v>10</v>
      </c>
      <c r="B26" s="6"/>
      <c r="C26" s="6" t="s">
        <v>157</v>
      </c>
      <c r="D26" s="6"/>
      <c r="E26" s="113" t="s">
        <v>389</v>
      </c>
      <c r="F26" s="148"/>
      <c r="G26" s="148"/>
      <c r="H26" s="234"/>
      <c r="I26" s="234"/>
      <c r="J26" s="234"/>
      <c r="K26" s="145">
        <f>I26+J26</f>
        <v>0</v>
      </c>
      <c r="L26" s="128">
        <f>H26+K26</f>
        <v>0</v>
      </c>
    </row>
    <row r="27" spans="1:12" x14ac:dyDescent="0.3">
      <c r="A27" s="14">
        <f t="shared" si="0"/>
        <v>11</v>
      </c>
      <c r="B27" s="6"/>
      <c r="C27" s="6"/>
      <c r="D27" s="8" t="s">
        <v>184</v>
      </c>
      <c r="E27" s="62" t="s">
        <v>229</v>
      </c>
      <c r="F27" s="146"/>
      <c r="G27" s="128"/>
      <c r="H27" s="145">
        <f>SUM(H24:H26)</f>
        <v>0</v>
      </c>
      <c r="I27" s="145">
        <f>SUM(I24:I26)</f>
        <v>0</v>
      </c>
      <c r="J27" s="145">
        <f>SUM(J24:J26)</f>
        <v>0</v>
      </c>
      <c r="K27" s="145">
        <f>SUM(K24:K26)</f>
        <v>0</v>
      </c>
      <c r="L27" s="145">
        <f>SUM(L24:L26)</f>
        <v>0</v>
      </c>
    </row>
    <row r="28" spans="1:12" x14ac:dyDescent="0.3">
      <c r="A28" s="14">
        <f t="shared" si="0"/>
        <v>12</v>
      </c>
      <c r="B28" s="6"/>
      <c r="C28" s="6" t="s">
        <v>4</v>
      </c>
      <c r="D28" s="6"/>
      <c r="E28" s="62"/>
      <c r="F28" s="147"/>
      <c r="G28" s="145"/>
      <c r="H28" s="145"/>
      <c r="I28" s="234"/>
      <c r="J28" s="234"/>
      <c r="K28" s="145">
        <f>I28+J28</f>
        <v>0</v>
      </c>
      <c r="L28" s="128">
        <f>H28+K28</f>
        <v>0</v>
      </c>
    </row>
    <row r="29" spans="1:12" x14ac:dyDescent="0.3">
      <c r="A29" s="14">
        <f t="shared" si="0"/>
        <v>13</v>
      </c>
      <c r="B29" s="6"/>
      <c r="C29" s="6" t="s">
        <v>5</v>
      </c>
      <c r="D29" s="6"/>
      <c r="E29" s="62"/>
      <c r="F29" s="147"/>
      <c r="G29" s="145"/>
      <c r="H29" s="145"/>
      <c r="I29" s="234"/>
      <c r="J29" s="234"/>
      <c r="K29" s="145">
        <f>I29+J29</f>
        <v>0</v>
      </c>
      <c r="L29" s="128">
        <f>H29+K29</f>
        <v>0</v>
      </c>
    </row>
    <row r="30" spans="1:12" x14ac:dyDescent="0.3">
      <c r="A30" s="14">
        <f t="shared" si="0"/>
        <v>14</v>
      </c>
      <c r="B30" s="6"/>
      <c r="C30" s="8"/>
      <c r="D30" s="8" t="s">
        <v>78</v>
      </c>
      <c r="E30" s="62" t="s">
        <v>218</v>
      </c>
      <c r="F30" s="146"/>
      <c r="G30" s="128"/>
      <c r="H30" s="128"/>
      <c r="I30" s="128">
        <f>I28+I29</f>
        <v>0</v>
      </c>
      <c r="J30" s="128">
        <f>J28+J29</f>
        <v>0</v>
      </c>
      <c r="K30" s="128">
        <f>K28+K29</f>
        <v>0</v>
      </c>
      <c r="L30" s="128">
        <f>L28+L29</f>
        <v>0</v>
      </c>
    </row>
    <row r="31" spans="1:12" x14ac:dyDescent="0.3">
      <c r="A31" s="14">
        <f t="shared" si="0"/>
        <v>15</v>
      </c>
      <c r="B31" s="6"/>
      <c r="C31" s="6" t="s">
        <v>142</v>
      </c>
      <c r="D31" s="8"/>
      <c r="E31" s="62"/>
      <c r="F31" s="239"/>
      <c r="G31" s="148"/>
      <c r="H31" s="145">
        <f>SUM(F31:G31)</f>
        <v>0</v>
      </c>
      <c r="I31" s="148"/>
      <c r="J31" s="148"/>
      <c r="K31" s="148"/>
      <c r="L31" s="128">
        <f>H31+K31</f>
        <v>0</v>
      </c>
    </row>
    <row r="32" spans="1:12" ht="13.5" x14ac:dyDescent="0.3">
      <c r="A32" s="15">
        <f t="shared" si="0"/>
        <v>16</v>
      </c>
      <c r="B32" s="52"/>
      <c r="C32" s="7"/>
      <c r="D32" s="114" t="s">
        <v>291</v>
      </c>
      <c r="E32" s="115" t="s">
        <v>405</v>
      </c>
      <c r="F32" s="129">
        <f t="shared" ref="F32:L32" si="3">F23+F27+F30+F31</f>
        <v>0</v>
      </c>
      <c r="G32" s="129">
        <f t="shared" si="3"/>
        <v>0</v>
      </c>
      <c r="H32" s="129">
        <f t="shared" si="3"/>
        <v>0</v>
      </c>
      <c r="I32" s="129">
        <f t="shared" si="3"/>
        <v>0</v>
      </c>
      <c r="J32" s="129">
        <f t="shared" si="3"/>
        <v>0</v>
      </c>
      <c r="K32" s="129">
        <f t="shared" si="3"/>
        <v>0</v>
      </c>
      <c r="L32" s="129">
        <f t="shared" si="3"/>
        <v>0</v>
      </c>
    </row>
    <row r="33" spans="1:12" x14ac:dyDescent="0.3">
      <c r="A33" s="13"/>
      <c r="B33" s="38" t="s">
        <v>292</v>
      </c>
      <c r="C33" s="226"/>
      <c r="D33" s="226"/>
      <c r="E33" s="70"/>
      <c r="F33" s="168"/>
      <c r="G33" s="135"/>
      <c r="H33" s="165"/>
      <c r="I33" s="165"/>
      <c r="J33" s="135"/>
      <c r="K33" s="145"/>
      <c r="L33" s="128"/>
    </row>
    <row r="34" spans="1:12" x14ac:dyDescent="0.3">
      <c r="A34" s="14">
        <f>A32+1</f>
        <v>17</v>
      </c>
      <c r="B34" s="6"/>
      <c r="C34" s="27" t="s">
        <v>257</v>
      </c>
      <c r="D34" s="8"/>
      <c r="E34" s="62"/>
      <c r="F34" s="238"/>
      <c r="G34" s="234"/>
      <c r="H34" s="145">
        <f>SUM(F34:G34)</f>
        <v>0</v>
      </c>
      <c r="I34" s="234"/>
      <c r="J34" s="234"/>
      <c r="K34" s="145">
        <f>I34+J34</f>
        <v>0</v>
      </c>
      <c r="L34" s="128">
        <f>H34+K34</f>
        <v>0</v>
      </c>
    </row>
    <row r="35" spans="1:12" x14ac:dyDescent="0.3">
      <c r="A35" s="14">
        <f>A34+1</f>
        <v>18</v>
      </c>
      <c r="B35" s="6"/>
      <c r="C35" s="35" t="s">
        <v>408</v>
      </c>
      <c r="D35" s="35"/>
      <c r="E35" s="62"/>
      <c r="F35" s="238"/>
      <c r="G35" s="234"/>
      <c r="H35" s="145">
        <f>SUM(F35:G35)</f>
        <v>0</v>
      </c>
      <c r="I35" s="234"/>
      <c r="J35" s="234"/>
      <c r="K35" s="145">
        <f>I35+J35</f>
        <v>0</v>
      </c>
      <c r="L35" s="128">
        <f>H35+K35</f>
        <v>0</v>
      </c>
    </row>
    <row r="36" spans="1:12" x14ac:dyDescent="0.3">
      <c r="A36" s="14">
        <f>A35+1</f>
        <v>19</v>
      </c>
      <c r="B36" s="6"/>
      <c r="C36" s="35" t="s">
        <v>1</v>
      </c>
      <c r="D36" s="35"/>
      <c r="E36" s="62"/>
      <c r="F36" s="238"/>
      <c r="G36" s="234"/>
      <c r="H36" s="145">
        <f>SUM(F36:G36)</f>
        <v>0</v>
      </c>
      <c r="I36" s="234"/>
      <c r="J36" s="234"/>
      <c r="K36" s="145">
        <f>I36+J36</f>
        <v>0</v>
      </c>
      <c r="L36" s="128">
        <f>H36+K36</f>
        <v>0</v>
      </c>
    </row>
    <row r="37" spans="1:12" ht="13.5" x14ac:dyDescent="0.3">
      <c r="A37" s="15">
        <f>A36+1</f>
        <v>20</v>
      </c>
      <c r="B37" s="28"/>
      <c r="C37" s="7"/>
      <c r="D37" s="114" t="s">
        <v>293</v>
      </c>
      <c r="E37" s="115" t="s">
        <v>406</v>
      </c>
      <c r="F37" s="149">
        <f t="shared" ref="F37:K37" si="4">SUM(F34:F36)</f>
        <v>0</v>
      </c>
      <c r="G37" s="149">
        <f t="shared" si="4"/>
        <v>0</v>
      </c>
      <c r="H37" s="149">
        <f t="shared" si="4"/>
        <v>0</v>
      </c>
      <c r="I37" s="149">
        <f t="shared" si="4"/>
        <v>0</v>
      </c>
      <c r="J37" s="149">
        <f t="shared" si="4"/>
        <v>0</v>
      </c>
      <c r="K37" s="129">
        <f t="shared" si="4"/>
        <v>0</v>
      </c>
      <c r="L37" s="149">
        <f>SUM(L34:L36)</f>
        <v>0</v>
      </c>
    </row>
    <row r="38" spans="1:12" ht="13.5" x14ac:dyDescent="0.3">
      <c r="A38" s="14"/>
      <c r="B38" s="6"/>
      <c r="C38" s="8"/>
      <c r="D38" s="116"/>
      <c r="E38" s="117"/>
      <c r="F38" s="151"/>
      <c r="G38" s="151"/>
      <c r="H38" s="151"/>
      <c r="I38" s="151"/>
      <c r="J38" s="151"/>
      <c r="K38" s="151"/>
      <c r="L38" s="151"/>
    </row>
    <row r="39" spans="1:12" ht="13.5" x14ac:dyDescent="0.3">
      <c r="A39" s="14">
        <f>A37+1</f>
        <v>21</v>
      </c>
      <c r="B39" s="19" t="s">
        <v>7</v>
      </c>
      <c r="C39" s="8"/>
      <c r="D39" s="116"/>
      <c r="E39" s="117"/>
      <c r="F39" s="240"/>
      <c r="G39" s="240"/>
      <c r="H39" s="145">
        <f>SUM(F39:G39)</f>
        <v>0</v>
      </c>
      <c r="I39" s="240"/>
      <c r="J39" s="240"/>
      <c r="K39" s="145">
        <f>I39+J39</f>
        <v>0</v>
      </c>
      <c r="L39" s="128">
        <f>H39+K39</f>
        <v>0</v>
      </c>
    </row>
    <row r="40" spans="1:12" ht="13.5" x14ac:dyDescent="0.3">
      <c r="A40" s="14"/>
      <c r="B40" s="6"/>
      <c r="C40" s="8"/>
      <c r="D40" s="116"/>
      <c r="E40" s="117"/>
      <c r="F40" s="151"/>
      <c r="G40" s="151"/>
      <c r="H40" s="151"/>
      <c r="I40" s="151"/>
      <c r="J40" s="151"/>
      <c r="K40" s="151"/>
      <c r="L40" s="151"/>
    </row>
    <row r="41" spans="1:12" ht="25.5" customHeight="1" x14ac:dyDescent="0.3">
      <c r="A41" s="99">
        <f>A39+1</f>
        <v>22</v>
      </c>
      <c r="B41" s="107"/>
      <c r="C41" s="108" t="s">
        <v>245</v>
      </c>
      <c r="D41" s="33"/>
      <c r="E41" s="222" t="s">
        <v>407</v>
      </c>
      <c r="F41" s="188">
        <f t="shared" ref="F41:L41" si="5">F32+F37+F39</f>
        <v>0</v>
      </c>
      <c r="G41" s="152">
        <f t="shared" si="5"/>
        <v>0</v>
      </c>
      <c r="H41" s="152">
        <f t="shared" si="5"/>
        <v>0</v>
      </c>
      <c r="I41" s="152">
        <f t="shared" si="5"/>
        <v>0</v>
      </c>
      <c r="J41" s="152">
        <f t="shared" si="5"/>
        <v>0</v>
      </c>
      <c r="K41" s="152">
        <f t="shared" si="5"/>
        <v>0</v>
      </c>
      <c r="L41" s="152">
        <f t="shared" si="5"/>
        <v>0</v>
      </c>
    </row>
    <row r="42" spans="1:12" x14ac:dyDescent="0.3">
      <c r="A42" s="63"/>
      <c r="B42" s="6"/>
      <c r="C42" s="6"/>
      <c r="D42" s="8"/>
      <c r="E42" s="61"/>
      <c r="F42" s="105"/>
      <c r="G42" s="105"/>
      <c r="H42" s="106"/>
      <c r="I42" s="106"/>
      <c r="J42" s="40"/>
      <c r="K42" s="40"/>
      <c r="L42" s="40"/>
    </row>
    <row r="43" spans="1:12" x14ac:dyDescent="0.3">
      <c r="A43" s="16"/>
      <c r="B43" s="6"/>
      <c r="C43" s="6"/>
      <c r="D43" s="6"/>
      <c r="E43" s="6"/>
      <c r="F43" s="6"/>
      <c r="G43" s="6"/>
      <c r="H43" s="6"/>
      <c r="I43" s="6"/>
      <c r="J43" s="6"/>
      <c r="K43" s="6"/>
      <c r="L43" s="6"/>
    </row>
  </sheetData>
  <sheetProtection password="F7CB" sheet="1" objects="1" scenarios="1"/>
  <mergeCells count="10">
    <mergeCell ref="B14:E15"/>
    <mergeCell ref="F14:H14"/>
    <mergeCell ref="I14:K14"/>
    <mergeCell ref="D9:K9"/>
    <mergeCell ref="G3:H4"/>
    <mergeCell ref="A7:C7"/>
    <mergeCell ref="A3:C3"/>
    <mergeCell ref="A4:C4"/>
    <mergeCell ref="A5:C5"/>
    <mergeCell ref="A6:C6"/>
  </mergeCells>
  <printOptions horizontalCentered="1"/>
  <pageMargins left="0.37" right="0.35" top="0.98425196850393704" bottom="0.51181102362204722" header="0.51181102362204722" footer="0.51181102362204722"/>
  <pageSetup scale="71"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8"/>
  <sheetViews>
    <sheetView zoomScale="75" workbookViewId="0"/>
  </sheetViews>
  <sheetFormatPr defaultColWidth="9.1796875" defaultRowHeight="13" x14ac:dyDescent="0.3"/>
  <cols>
    <col min="1" max="1" width="3.7265625" style="2" customWidth="1"/>
    <col min="2" max="2" width="2.81640625" style="2" customWidth="1"/>
    <col min="3" max="3" width="10.81640625" style="2" customWidth="1"/>
    <col min="4" max="4" width="27.453125" style="2" customWidth="1"/>
    <col min="5" max="5" width="15" style="2" customWidth="1"/>
    <col min="6" max="10" width="15.81640625" style="2" customWidth="1"/>
    <col min="11" max="11" width="16" style="2" customWidth="1"/>
    <col min="12" max="12" width="15.81640625" style="2" customWidth="1"/>
    <col min="13" max="16384" width="9.1796875" style="2"/>
  </cols>
  <sheetData>
    <row r="1" spans="1:13" x14ac:dyDescent="0.3">
      <c r="A1" s="22" t="s">
        <v>191</v>
      </c>
      <c r="B1" s="23"/>
      <c r="C1" s="23"/>
      <c r="H1" s="51" t="s">
        <v>101</v>
      </c>
      <c r="I1" s="51"/>
      <c r="J1" s="51"/>
    </row>
    <row r="2" spans="1:13" x14ac:dyDescent="0.3">
      <c r="A2" s="22"/>
      <c r="B2" s="23"/>
      <c r="C2" s="23"/>
    </row>
    <row r="3" spans="1:13" x14ac:dyDescent="0.3">
      <c r="A3" s="311" t="s">
        <v>121</v>
      </c>
      <c r="B3" s="312"/>
      <c r="C3" s="313"/>
      <c r="D3" s="77" t="s">
        <v>20</v>
      </c>
      <c r="F3" s="198" t="s">
        <v>287</v>
      </c>
      <c r="G3" s="352">
        <f>'310'!$G$3</f>
        <v>0</v>
      </c>
      <c r="H3" s="353"/>
      <c r="I3" s="42"/>
      <c r="J3" s="42"/>
    </row>
    <row r="4" spans="1:13" x14ac:dyDescent="0.3">
      <c r="A4" s="314" t="s">
        <v>122</v>
      </c>
      <c r="B4" s="315"/>
      <c r="C4" s="316"/>
      <c r="D4" s="77" t="s">
        <v>130</v>
      </c>
      <c r="F4" s="5"/>
      <c r="G4" s="354"/>
      <c r="H4" s="355"/>
      <c r="I4" s="125"/>
      <c r="J4" s="125"/>
    </row>
    <row r="5" spans="1:13" x14ac:dyDescent="0.3">
      <c r="A5" s="314" t="s">
        <v>123</v>
      </c>
      <c r="B5" s="315"/>
      <c r="C5" s="316"/>
      <c r="D5" s="80" t="s">
        <v>125</v>
      </c>
      <c r="F5" s="197" t="s">
        <v>288</v>
      </c>
      <c r="G5" s="191">
        <f>'310'!$G$5</f>
        <v>0</v>
      </c>
      <c r="H5" s="192"/>
      <c r="I5" s="125"/>
      <c r="J5" s="125"/>
      <c r="K5" s="25"/>
    </row>
    <row r="6" spans="1:13" x14ac:dyDescent="0.3">
      <c r="A6" s="314" t="s">
        <v>120</v>
      </c>
      <c r="B6" s="315"/>
      <c r="C6" s="316"/>
      <c r="D6" s="77" t="s">
        <v>102</v>
      </c>
      <c r="E6" s="37"/>
      <c r="K6" s="25"/>
    </row>
    <row r="7" spans="1:13" x14ac:dyDescent="0.3">
      <c r="A7" s="321" t="s">
        <v>126</v>
      </c>
      <c r="B7" s="322"/>
      <c r="C7" s="323"/>
      <c r="D7" s="89">
        <v>2002</v>
      </c>
      <c r="E7" s="24"/>
      <c r="K7" s="25"/>
    </row>
    <row r="8" spans="1:13" x14ac:dyDescent="0.3">
      <c r="A8" s="37"/>
      <c r="B8" s="37"/>
      <c r="C8" s="37"/>
      <c r="D8" s="35"/>
      <c r="E8" s="24"/>
      <c r="K8" s="25"/>
    </row>
    <row r="9" spans="1:13" x14ac:dyDescent="0.3">
      <c r="A9" s="37"/>
      <c r="B9" s="37"/>
      <c r="C9" s="37"/>
      <c r="D9" s="35"/>
      <c r="E9" s="24"/>
      <c r="K9" s="25"/>
    </row>
    <row r="10" spans="1:13" x14ac:dyDescent="0.3">
      <c r="A10" s="37"/>
      <c r="B10" s="84"/>
      <c r="C10" s="224" t="s">
        <v>319</v>
      </c>
      <c r="D10" s="371" t="s">
        <v>360</v>
      </c>
      <c r="E10" s="372"/>
      <c r="F10" s="372"/>
      <c r="G10" s="372"/>
      <c r="H10" s="372"/>
      <c r="I10" s="372"/>
      <c r="J10" s="372"/>
      <c r="K10" s="373"/>
    </row>
    <row r="11" spans="1:13" ht="25.5" customHeight="1" x14ac:dyDescent="0.3">
      <c r="A11" s="37"/>
      <c r="B11" s="86"/>
      <c r="C11" s="39" t="s">
        <v>294</v>
      </c>
      <c r="D11" s="374" t="s">
        <v>295</v>
      </c>
      <c r="E11" s="375"/>
      <c r="F11" s="375"/>
      <c r="G11" s="375"/>
      <c r="H11" s="375"/>
      <c r="I11" s="375"/>
      <c r="J11" s="375"/>
      <c r="K11" s="376"/>
    </row>
    <row r="12" spans="1:13" ht="25.5" customHeight="1" x14ac:dyDescent="0.3">
      <c r="A12" s="37"/>
      <c r="B12" s="79"/>
      <c r="C12" s="225" t="s">
        <v>88</v>
      </c>
      <c r="D12" s="377" t="s">
        <v>318</v>
      </c>
      <c r="E12" s="378"/>
      <c r="F12" s="378"/>
      <c r="G12" s="378"/>
      <c r="H12" s="378"/>
      <c r="I12" s="378"/>
      <c r="J12" s="378"/>
      <c r="K12" s="379"/>
    </row>
    <row r="13" spans="1:13" x14ac:dyDescent="0.3">
      <c r="A13" s="22"/>
      <c r="B13" s="24"/>
      <c r="C13" s="24"/>
      <c r="E13" s="24"/>
      <c r="F13" s="24"/>
      <c r="G13" s="43"/>
      <c r="H13" s="34"/>
      <c r="I13" s="34"/>
      <c r="J13" s="34"/>
      <c r="K13" s="25"/>
    </row>
    <row r="14" spans="1:13" ht="13.5" x14ac:dyDescent="0.35">
      <c r="D14" s="203" t="s">
        <v>314</v>
      </c>
      <c r="K14" s="25"/>
    </row>
    <row r="15" spans="1:13" ht="12.75" customHeight="1" x14ac:dyDescent="0.3">
      <c r="M15" s="37"/>
    </row>
    <row r="16" spans="1:13" ht="12.75" customHeight="1" x14ac:dyDescent="0.3">
      <c r="A16" s="6"/>
      <c r="B16" s="22"/>
      <c r="C16" s="35"/>
      <c r="D16" s="35"/>
      <c r="E16" s="35"/>
      <c r="F16" s="58" t="s">
        <v>15</v>
      </c>
      <c r="G16" s="32" t="s">
        <v>16</v>
      </c>
      <c r="H16" s="32" t="s">
        <v>17</v>
      </c>
      <c r="I16" s="32" t="s">
        <v>18</v>
      </c>
      <c r="J16" s="32" t="s">
        <v>21</v>
      </c>
      <c r="K16" s="32" t="s">
        <v>67</v>
      </c>
      <c r="L16" s="47" t="s">
        <v>68</v>
      </c>
      <c r="M16" s="37"/>
    </row>
    <row r="17" spans="1:12" ht="12.75" customHeight="1" x14ac:dyDescent="0.3">
      <c r="A17" s="37"/>
      <c r="B17" s="362" t="s">
        <v>185</v>
      </c>
      <c r="C17" s="363"/>
      <c r="D17" s="363"/>
      <c r="E17" s="364"/>
      <c r="F17" s="346" t="s">
        <v>79</v>
      </c>
      <c r="G17" s="347"/>
      <c r="H17" s="348"/>
      <c r="I17" s="343" t="s">
        <v>14</v>
      </c>
      <c r="J17" s="344"/>
      <c r="K17" s="345"/>
      <c r="L17" s="13" t="s">
        <v>6</v>
      </c>
    </row>
    <row r="18" spans="1:12" s="95" customFormat="1" ht="42" customHeight="1" x14ac:dyDescent="0.3">
      <c r="A18" s="45"/>
      <c r="B18" s="365"/>
      <c r="C18" s="366"/>
      <c r="D18" s="366"/>
      <c r="E18" s="367"/>
      <c r="F18" s="99" t="s">
        <v>12</v>
      </c>
      <c r="G18" s="99" t="s">
        <v>13</v>
      </c>
      <c r="H18" s="21" t="s">
        <v>136</v>
      </c>
      <c r="I18" s="123" t="s">
        <v>179</v>
      </c>
      <c r="J18" s="15" t="s">
        <v>180</v>
      </c>
      <c r="K18" s="123" t="s">
        <v>265</v>
      </c>
      <c r="L18" s="183" t="s">
        <v>359</v>
      </c>
    </row>
    <row r="19" spans="1:12" s="95" customFormat="1" ht="12.75" customHeight="1" x14ac:dyDescent="0.3">
      <c r="A19" s="13" t="s">
        <v>186</v>
      </c>
      <c r="B19" s="44" t="s">
        <v>296</v>
      </c>
      <c r="C19" s="38"/>
      <c r="D19" s="91"/>
      <c r="E19" s="70"/>
      <c r="F19" s="168"/>
      <c r="G19" s="135"/>
      <c r="H19" s="135"/>
      <c r="I19" s="167"/>
      <c r="J19" s="135"/>
      <c r="K19" s="168"/>
      <c r="L19" s="135"/>
    </row>
    <row r="20" spans="1:12" s="95" customFormat="1" ht="12.75" customHeight="1" x14ac:dyDescent="0.3">
      <c r="A20" s="14">
        <v>1</v>
      </c>
      <c r="B20" s="5"/>
      <c r="C20" s="6" t="s">
        <v>316</v>
      </c>
      <c r="D20" s="61"/>
      <c r="E20" s="62"/>
      <c r="F20" s="238"/>
      <c r="G20" s="241"/>
      <c r="H20" s="128">
        <f>SUM(F20:G20)</f>
        <v>0</v>
      </c>
      <c r="I20" s="241"/>
      <c r="J20" s="234"/>
      <c r="K20" s="153">
        <f t="shared" ref="K20:K27" si="0">I20+J20</f>
        <v>0</v>
      </c>
      <c r="L20" s="128">
        <f t="shared" ref="L20:L27" si="1">H20+K20</f>
        <v>0</v>
      </c>
    </row>
    <row r="21" spans="1:12" s="95" customFormat="1" ht="12.75" customHeight="1" x14ac:dyDescent="0.3">
      <c r="A21" s="14">
        <v>2</v>
      </c>
      <c r="B21" s="5"/>
      <c r="C21" s="6" t="s">
        <v>315</v>
      </c>
      <c r="D21" s="61"/>
      <c r="E21" s="62"/>
      <c r="F21" s="238"/>
      <c r="G21" s="241"/>
      <c r="H21" s="128">
        <f>SUM(F21:G21)</f>
        <v>0</v>
      </c>
      <c r="I21" s="241"/>
      <c r="J21" s="234"/>
      <c r="K21" s="153">
        <f t="shared" si="0"/>
        <v>0</v>
      </c>
      <c r="L21" s="128">
        <f t="shared" si="1"/>
        <v>0</v>
      </c>
    </row>
    <row r="22" spans="1:12" s="95" customFormat="1" ht="12.75" customHeight="1" x14ac:dyDescent="0.3">
      <c r="A22" s="14">
        <v>3</v>
      </c>
      <c r="B22" s="5"/>
      <c r="C22" s="6" t="s">
        <v>187</v>
      </c>
      <c r="D22" s="61"/>
      <c r="E22" s="62"/>
      <c r="F22" s="238"/>
      <c r="G22" s="241"/>
      <c r="H22" s="128">
        <f>SUM(F22:G22)</f>
        <v>0</v>
      </c>
      <c r="I22" s="241"/>
      <c r="J22" s="234"/>
      <c r="K22" s="153">
        <f t="shared" si="0"/>
        <v>0</v>
      </c>
      <c r="L22" s="128">
        <f t="shared" si="1"/>
        <v>0</v>
      </c>
    </row>
    <row r="23" spans="1:12" s="95" customFormat="1" ht="12.75" customHeight="1" x14ac:dyDescent="0.3">
      <c r="A23" s="14">
        <v>4</v>
      </c>
      <c r="B23" s="5"/>
      <c r="C23" s="6" t="s">
        <v>297</v>
      </c>
      <c r="D23" s="61"/>
      <c r="E23" s="62"/>
      <c r="F23" s="238"/>
      <c r="G23" s="241"/>
      <c r="H23" s="128">
        <f>SUM(F23:G23)</f>
        <v>0</v>
      </c>
      <c r="I23" s="241"/>
      <c r="J23" s="234"/>
      <c r="K23" s="153">
        <f t="shared" si="0"/>
        <v>0</v>
      </c>
      <c r="L23" s="128">
        <f t="shared" si="1"/>
        <v>0</v>
      </c>
    </row>
    <row r="24" spans="1:12" s="95" customFormat="1" ht="12.75" customHeight="1" x14ac:dyDescent="0.3">
      <c r="A24" s="14">
        <v>5</v>
      </c>
      <c r="B24" s="5"/>
      <c r="C24" s="6" t="s">
        <v>188</v>
      </c>
      <c r="D24" s="61"/>
      <c r="E24" s="62"/>
      <c r="F24" s="238"/>
      <c r="G24" s="241"/>
      <c r="H24" s="128">
        <f>SUM(F24:G24)</f>
        <v>0</v>
      </c>
      <c r="I24" s="241"/>
      <c r="J24" s="234"/>
      <c r="K24" s="153">
        <f t="shared" si="0"/>
        <v>0</v>
      </c>
      <c r="L24" s="128">
        <f t="shared" si="1"/>
        <v>0</v>
      </c>
    </row>
    <row r="25" spans="1:12" s="95" customFormat="1" ht="12.75" customHeight="1" x14ac:dyDescent="0.3">
      <c r="A25" s="14">
        <v>6</v>
      </c>
      <c r="B25" s="5"/>
      <c r="C25" s="6" t="s">
        <v>189</v>
      </c>
      <c r="D25" s="61"/>
      <c r="E25" s="113" t="s">
        <v>389</v>
      </c>
      <c r="F25" s="147"/>
      <c r="G25" s="153"/>
      <c r="H25" s="234"/>
      <c r="I25" s="241"/>
      <c r="J25" s="234"/>
      <c r="K25" s="153">
        <f t="shared" si="0"/>
        <v>0</v>
      </c>
      <c r="L25" s="128">
        <f t="shared" si="1"/>
        <v>0</v>
      </c>
    </row>
    <row r="26" spans="1:12" x14ac:dyDescent="0.3">
      <c r="A26" s="14">
        <v>7</v>
      </c>
      <c r="B26" s="5"/>
      <c r="C26" s="6" t="s">
        <v>139</v>
      </c>
      <c r="D26" s="8"/>
      <c r="E26" s="113" t="s">
        <v>390</v>
      </c>
      <c r="F26" s="145"/>
      <c r="G26" s="153"/>
      <c r="H26" s="145"/>
      <c r="I26" s="241"/>
      <c r="J26" s="234"/>
      <c r="K26" s="153">
        <f t="shared" si="0"/>
        <v>0</v>
      </c>
      <c r="L26" s="128">
        <f>K26</f>
        <v>0</v>
      </c>
    </row>
    <row r="27" spans="1:12" x14ac:dyDescent="0.3">
      <c r="A27" s="15">
        <v>8</v>
      </c>
      <c r="B27" s="5"/>
      <c r="C27" s="6" t="s">
        <v>1</v>
      </c>
      <c r="D27" s="8"/>
      <c r="E27" s="62"/>
      <c r="F27" s="234"/>
      <c r="G27" s="241"/>
      <c r="H27" s="145">
        <f>SUM(F27:G27)</f>
        <v>0</v>
      </c>
      <c r="I27" s="241"/>
      <c r="J27" s="242"/>
      <c r="K27" s="153">
        <f t="shared" si="0"/>
        <v>0</v>
      </c>
      <c r="L27" s="128">
        <f t="shared" si="1"/>
        <v>0</v>
      </c>
    </row>
    <row r="28" spans="1:12" ht="13.5" x14ac:dyDescent="0.35">
      <c r="A28" s="154">
        <v>9</v>
      </c>
      <c r="B28" s="12" t="s">
        <v>298</v>
      </c>
      <c r="C28" s="33"/>
      <c r="D28" s="33"/>
      <c r="E28" s="155" t="s">
        <v>190</v>
      </c>
      <c r="F28" s="152">
        <f>SUM(F20:F24)+F27</f>
        <v>0</v>
      </c>
      <c r="G28" s="152">
        <f>SUM(G20:G24)+G27</f>
        <v>0</v>
      </c>
      <c r="H28" s="152">
        <f>SUM(H20:H27)</f>
        <v>0</v>
      </c>
      <c r="I28" s="152">
        <f>SUM(I20:I27)</f>
        <v>0</v>
      </c>
      <c r="J28" s="152">
        <f>SUM(J20:J27)</f>
        <v>0</v>
      </c>
      <c r="K28" s="152">
        <f>SUM(K20:K27)</f>
        <v>0</v>
      </c>
      <c r="L28" s="152">
        <f>SUM(L20:L27)</f>
        <v>0</v>
      </c>
    </row>
  </sheetData>
  <sheetProtection password="F7CB" sheet="1" objects="1" scenarios="1"/>
  <mergeCells count="12">
    <mergeCell ref="A3:C3"/>
    <mergeCell ref="A4:C4"/>
    <mergeCell ref="A5:C5"/>
    <mergeCell ref="G3:H4"/>
    <mergeCell ref="I17:K17"/>
    <mergeCell ref="B17:E18"/>
    <mergeCell ref="F17:H17"/>
    <mergeCell ref="A6:C6"/>
    <mergeCell ref="A7:C7"/>
    <mergeCell ref="D10:K10"/>
    <mergeCell ref="D11:K11"/>
    <mergeCell ref="D12:K12"/>
  </mergeCells>
  <printOptions horizontalCentered="1"/>
  <pageMargins left="0.25" right="0.25" top="0.98425196850393704" bottom="0.51181102362204722" header="0.51181102362204722" footer="0.51181102362204722"/>
  <pageSetup scale="80" fitToHeight="0"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zoomScale="75" zoomScaleNormal="75" workbookViewId="0"/>
  </sheetViews>
  <sheetFormatPr defaultColWidth="9.1796875" defaultRowHeight="13" x14ac:dyDescent="0.3"/>
  <cols>
    <col min="1" max="1" width="3.7265625" style="2" customWidth="1"/>
    <col min="2" max="2" width="2" style="2" customWidth="1"/>
    <col min="3" max="3" width="10.54296875" style="2" customWidth="1"/>
    <col min="4" max="4" width="29.1796875" style="16" customWidth="1"/>
    <col min="5" max="5" width="17.54296875" style="16" customWidth="1"/>
    <col min="6" max="6" width="9.26953125" style="2" customWidth="1"/>
    <col min="7" max="7" width="16" style="2" customWidth="1"/>
    <col min="8" max="8" width="15.81640625" style="2" customWidth="1"/>
    <col min="9" max="9" width="15.54296875" style="2" customWidth="1"/>
    <col min="10" max="11" width="15.81640625" style="2" customWidth="1"/>
    <col min="12" max="12" width="13.7265625" style="2" customWidth="1"/>
    <col min="13" max="16384" width="9.1796875" style="2"/>
  </cols>
  <sheetData>
    <row r="1" spans="1:13" x14ac:dyDescent="0.3">
      <c r="A1" s="22" t="s">
        <v>211</v>
      </c>
      <c r="B1" s="23"/>
      <c r="G1" s="41"/>
      <c r="H1" s="41"/>
      <c r="I1" s="41"/>
      <c r="K1" s="51" t="s">
        <v>101</v>
      </c>
    </row>
    <row r="2" spans="1:13" x14ac:dyDescent="0.3">
      <c r="A2" s="22"/>
      <c r="B2" s="23"/>
    </row>
    <row r="3" spans="1:13" x14ac:dyDescent="0.3">
      <c r="A3" s="311" t="s">
        <v>121</v>
      </c>
      <c r="B3" s="312"/>
      <c r="C3" s="313"/>
      <c r="D3" s="77" t="s">
        <v>20</v>
      </c>
      <c r="E3" s="37"/>
      <c r="I3" s="198" t="s">
        <v>287</v>
      </c>
      <c r="J3" s="352">
        <f>'310'!$G$3</f>
        <v>0</v>
      </c>
      <c r="K3" s="353"/>
    </row>
    <row r="4" spans="1:13" x14ac:dyDescent="0.3">
      <c r="A4" s="314" t="s">
        <v>122</v>
      </c>
      <c r="B4" s="315"/>
      <c r="C4" s="316"/>
      <c r="D4" s="77" t="s">
        <v>158</v>
      </c>
      <c r="E4" s="37"/>
      <c r="I4" s="199"/>
      <c r="J4" s="354"/>
      <c r="K4" s="355"/>
    </row>
    <row r="5" spans="1:13" x14ac:dyDescent="0.3">
      <c r="A5" s="314" t="s">
        <v>123</v>
      </c>
      <c r="B5" s="315"/>
      <c r="C5" s="316"/>
      <c r="D5" s="80" t="s">
        <v>125</v>
      </c>
      <c r="E5" s="37"/>
      <c r="I5" s="200" t="s">
        <v>288</v>
      </c>
      <c r="J5" s="191">
        <f>'310'!$G$5</f>
        <v>0</v>
      </c>
      <c r="K5" s="192"/>
      <c r="L5" s="25"/>
    </row>
    <row r="6" spans="1:13" x14ac:dyDescent="0.3">
      <c r="A6" s="314" t="s">
        <v>120</v>
      </c>
      <c r="B6" s="315"/>
      <c r="C6" s="316"/>
      <c r="D6" s="77" t="s">
        <v>102</v>
      </c>
      <c r="E6" s="37"/>
      <c r="L6" s="25"/>
    </row>
    <row r="7" spans="1:13" x14ac:dyDescent="0.3">
      <c r="A7" s="321" t="s">
        <v>159</v>
      </c>
      <c r="B7" s="322"/>
      <c r="C7" s="323"/>
      <c r="D7" s="89">
        <v>2002</v>
      </c>
      <c r="E7" s="37"/>
      <c r="F7" s="37"/>
      <c r="G7" s="37"/>
      <c r="H7" s="37"/>
      <c r="I7" s="37"/>
      <c r="J7" s="43"/>
      <c r="K7" s="34"/>
      <c r="L7" s="25"/>
    </row>
    <row r="8" spans="1:13" x14ac:dyDescent="0.3">
      <c r="B8" s="35"/>
      <c r="D8" s="24"/>
      <c r="E8" s="24"/>
      <c r="F8" s="37"/>
      <c r="G8" s="37"/>
      <c r="H8" s="37"/>
      <c r="I8" s="37"/>
      <c r="J8" s="43"/>
      <c r="K8" s="34"/>
      <c r="L8" s="25"/>
    </row>
    <row r="9" spans="1:13" x14ac:dyDescent="0.3">
      <c r="A9" s="56" t="s">
        <v>91</v>
      </c>
      <c r="C9" s="24"/>
      <c r="D9" s="24"/>
      <c r="E9" s="24"/>
      <c r="F9" s="24"/>
      <c r="G9" s="6"/>
      <c r="H9" s="6"/>
      <c r="I9" s="6"/>
      <c r="J9" s="6"/>
      <c r="K9" s="19"/>
      <c r="L9" s="25"/>
    </row>
    <row r="10" spans="1:13" ht="12.75" customHeight="1" x14ac:dyDescent="0.3">
      <c r="A10" s="53" t="s">
        <v>85</v>
      </c>
      <c r="B10" s="331" t="s">
        <v>320</v>
      </c>
      <c r="C10" s="331"/>
      <c r="D10" s="331"/>
      <c r="E10" s="331"/>
      <c r="F10" s="331"/>
      <c r="G10" s="331"/>
      <c r="H10" s="331"/>
      <c r="I10" s="331"/>
      <c r="J10" s="331"/>
      <c r="K10" s="380"/>
      <c r="L10" s="37"/>
      <c r="M10" s="25"/>
    </row>
    <row r="11" spans="1:13" ht="12.75" customHeight="1" x14ac:dyDescent="0.3">
      <c r="A11" s="54" t="s">
        <v>86</v>
      </c>
      <c r="B11" s="377" t="s">
        <v>246</v>
      </c>
      <c r="C11" s="387"/>
      <c r="D11" s="387"/>
      <c r="E11" s="387"/>
      <c r="F11" s="387"/>
      <c r="G11" s="387"/>
      <c r="H11" s="387"/>
      <c r="I11" s="387"/>
      <c r="J11" s="206"/>
      <c r="K11" s="207"/>
      <c r="L11" s="37"/>
    </row>
    <row r="12" spans="1:13" ht="12.75" customHeight="1" x14ac:dyDescent="0.3">
      <c r="A12" s="46"/>
      <c r="B12" s="205"/>
      <c r="C12" s="220"/>
      <c r="D12" s="220"/>
      <c r="E12" s="220"/>
      <c r="F12" s="220"/>
      <c r="G12" s="220"/>
      <c r="H12" s="220"/>
      <c r="I12" s="220"/>
      <c r="J12" s="45"/>
      <c r="K12" s="45"/>
      <c r="L12" s="37"/>
    </row>
    <row r="13" spans="1:13" ht="13.5" customHeight="1" x14ac:dyDescent="0.3">
      <c r="A13" s="35"/>
      <c r="B13" s="39"/>
      <c r="C13" s="303" t="s">
        <v>332</v>
      </c>
      <c r="D13" s="303"/>
      <c r="E13" s="303"/>
      <c r="F13" s="45"/>
      <c r="G13" s="45"/>
      <c r="H13" s="45"/>
      <c r="I13" s="45"/>
      <c r="J13" s="45"/>
      <c r="K13" s="45"/>
      <c r="L13" s="45"/>
      <c r="M13" s="25"/>
    </row>
    <row r="14" spans="1:13" ht="13.5" customHeight="1" x14ac:dyDescent="0.3">
      <c r="A14" s="35"/>
      <c r="B14" s="39"/>
      <c r="C14" s="126"/>
      <c r="D14" s="126"/>
      <c r="E14" s="126"/>
      <c r="F14" s="45"/>
      <c r="G14" s="45"/>
      <c r="H14" s="45"/>
      <c r="I14" s="45"/>
      <c r="J14" s="45"/>
      <c r="K14" s="45"/>
      <c r="L14" s="45"/>
      <c r="M14" s="25"/>
    </row>
    <row r="15" spans="1:13" x14ac:dyDescent="0.3">
      <c r="A15" s="6"/>
      <c r="B15" s="22"/>
      <c r="C15" s="35"/>
      <c r="D15" s="35"/>
      <c r="E15" s="35"/>
      <c r="F15" s="34"/>
      <c r="G15" s="58" t="s">
        <v>15</v>
      </c>
      <c r="H15" s="32" t="s">
        <v>16</v>
      </c>
      <c r="I15" s="32" t="s">
        <v>17</v>
      </c>
      <c r="J15" s="32" t="s">
        <v>18</v>
      </c>
      <c r="K15" s="47" t="s">
        <v>21</v>
      </c>
      <c r="L15" s="25"/>
    </row>
    <row r="16" spans="1:13" s="95" customFormat="1" ht="14.25" customHeight="1" x14ac:dyDescent="0.3">
      <c r="A16" s="37"/>
      <c r="B16" s="362" t="s">
        <v>165</v>
      </c>
      <c r="C16" s="382"/>
      <c r="D16" s="382"/>
      <c r="E16" s="382"/>
      <c r="F16" s="383"/>
      <c r="G16" s="341" t="s">
        <v>79</v>
      </c>
      <c r="H16" s="346" t="s">
        <v>181</v>
      </c>
      <c r="I16" s="347"/>
      <c r="J16" s="348"/>
      <c r="K16" s="13" t="s">
        <v>6</v>
      </c>
    </row>
    <row r="17" spans="1:11" s="95" customFormat="1" ht="27" customHeight="1" x14ac:dyDescent="0.3">
      <c r="A17" s="45"/>
      <c r="B17" s="384"/>
      <c r="C17" s="385"/>
      <c r="D17" s="385"/>
      <c r="E17" s="385"/>
      <c r="F17" s="386"/>
      <c r="G17" s="381"/>
      <c r="H17" s="123" t="s">
        <v>179</v>
      </c>
      <c r="I17" s="15" t="s">
        <v>180</v>
      </c>
      <c r="J17" s="123" t="s">
        <v>336</v>
      </c>
      <c r="K17" s="183" t="s">
        <v>321</v>
      </c>
    </row>
    <row r="18" spans="1:11" x14ac:dyDescent="0.3">
      <c r="A18" s="13"/>
      <c r="B18" s="44" t="s">
        <v>74</v>
      </c>
      <c r="C18" s="3"/>
      <c r="D18" s="91"/>
      <c r="E18" s="91"/>
      <c r="F18" s="216"/>
      <c r="G18" s="136"/>
      <c r="H18" s="135"/>
      <c r="I18" s="136"/>
      <c r="J18" s="165"/>
      <c r="K18" s="135"/>
    </row>
    <row r="19" spans="1:11" x14ac:dyDescent="0.3">
      <c r="A19" s="14">
        <v>1</v>
      </c>
      <c r="B19" s="5"/>
      <c r="C19" s="6" t="s">
        <v>330</v>
      </c>
      <c r="D19" s="61"/>
      <c r="E19" s="122" t="s">
        <v>397</v>
      </c>
      <c r="F19" s="211"/>
      <c r="G19" s="241"/>
      <c r="H19" s="234"/>
      <c r="I19" s="241"/>
      <c r="J19" s="145">
        <f>SUM(H19:I19)</f>
        <v>0</v>
      </c>
      <c r="K19" s="128">
        <f>G19+J19</f>
        <v>0</v>
      </c>
    </row>
    <row r="20" spans="1:11" x14ac:dyDescent="0.3">
      <c r="A20" s="14">
        <f>A19+1</f>
        <v>2</v>
      </c>
      <c r="B20" s="5"/>
      <c r="C20" s="6" t="s">
        <v>331</v>
      </c>
      <c r="D20" s="61"/>
      <c r="E20" s="122" t="s">
        <v>397</v>
      </c>
      <c r="F20" s="211"/>
      <c r="G20" s="241"/>
      <c r="H20" s="234"/>
      <c r="I20" s="241"/>
      <c r="J20" s="145">
        <f>SUM(H20:I20)</f>
        <v>0</v>
      </c>
      <c r="K20" s="128">
        <f>G20+J20</f>
        <v>0</v>
      </c>
    </row>
    <row r="21" spans="1:11" x14ac:dyDescent="0.3">
      <c r="A21" s="14"/>
      <c r="B21" s="5"/>
      <c r="C21" s="6" t="s">
        <v>166</v>
      </c>
      <c r="D21" s="61"/>
      <c r="E21" s="61"/>
      <c r="F21" s="211"/>
      <c r="G21" s="153"/>
      <c r="H21" s="145"/>
      <c r="I21" s="153"/>
      <c r="J21" s="145"/>
      <c r="K21" s="128"/>
    </row>
    <row r="22" spans="1:11" x14ac:dyDescent="0.3">
      <c r="A22" s="14">
        <f>A20+1</f>
        <v>3</v>
      </c>
      <c r="B22" s="5"/>
      <c r="C22" s="120" t="s">
        <v>322</v>
      </c>
      <c r="D22" s="101"/>
      <c r="E22" s="61"/>
      <c r="F22" s="211"/>
      <c r="G22" s="241"/>
      <c r="H22" s="234"/>
      <c r="I22" s="241"/>
      <c r="J22" s="145">
        <f>SUM(H22:I22)</f>
        <v>0</v>
      </c>
      <c r="K22" s="128">
        <f>G22+J22</f>
        <v>0</v>
      </c>
    </row>
    <row r="23" spans="1:11" x14ac:dyDescent="0.3">
      <c r="A23" s="14">
        <f>A22+1</f>
        <v>4</v>
      </c>
      <c r="B23" s="5"/>
      <c r="C23" s="120" t="s">
        <v>323</v>
      </c>
      <c r="D23" s="101"/>
      <c r="E23" s="217" t="s">
        <v>377</v>
      </c>
      <c r="F23" s="211"/>
      <c r="G23" s="241"/>
      <c r="H23" s="234"/>
      <c r="I23" s="241"/>
      <c r="J23" s="145">
        <f>SUM(H23:I23)</f>
        <v>0</v>
      </c>
      <c r="K23" s="128">
        <f>G23+J23</f>
        <v>0</v>
      </c>
    </row>
    <row r="24" spans="1:11" x14ac:dyDescent="0.3">
      <c r="A24" s="14">
        <f>A23+1</f>
        <v>5</v>
      </c>
      <c r="B24" s="5"/>
      <c r="C24" s="6"/>
      <c r="D24" s="120" t="s">
        <v>167</v>
      </c>
      <c r="E24" s="61" t="s">
        <v>324</v>
      </c>
      <c r="F24" s="211"/>
      <c r="G24" s="153">
        <f>SUM(G22:G23)</f>
        <v>0</v>
      </c>
      <c r="H24" s="145">
        <f>SUM(H22:H23)</f>
        <v>0</v>
      </c>
      <c r="I24" s="153">
        <f>SUM(I22:I23)</f>
        <v>0</v>
      </c>
      <c r="J24" s="145">
        <f>SUM(J22:J23)</f>
        <v>0</v>
      </c>
      <c r="K24" s="145">
        <f>SUM(K22:K23)</f>
        <v>0</v>
      </c>
    </row>
    <row r="25" spans="1:11" x14ac:dyDescent="0.3">
      <c r="A25" s="14">
        <f>A24+1</f>
        <v>6</v>
      </c>
      <c r="B25" s="5"/>
      <c r="C25" s="6" t="s">
        <v>81</v>
      </c>
      <c r="D25" s="112"/>
      <c r="E25" s="217" t="s">
        <v>377</v>
      </c>
      <c r="F25" s="211"/>
      <c r="G25" s="241"/>
      <c r="H25" s="234"/>
      <c r="I25" s="241"/>
      <c r="J25" s="145">
        <f>SUM(H25:I25)</f>
        <v>0</v>
      </c>
      <c r="K25" s="128">
        <f>G25+J25</f>
        <v>0</v>
      </c>
    </row>
    <row r="26" spans="1:11" x14ac:dyDescent="0.3">
      <c r="A26" s="14">
        <f>A25+1</f>
        <v>7</v>
      </c>
      <c r="B26" s="5"/>
      <c r="C26" s="6" t="s">
        <v>76</v>
      </c>
      <c r="D26" s="61"/>
      <c r="E26" s="61"/>
      <c r="F26" s="211"/>
      <c r="G26" s="241"/>
      <c r="H26" s="234"/>
      <c r="I26" s="241"/>
      <c r="J26" s="145">
        <f>SUM(H26:I26)</f>
        <v>0</v>
      </c>
      <c r="K26" s="128">
        <f>G26+J26</f>
        <v>0</v>
      </c>
    </row>
    <row r="27" spans="1:11" x14ac:dyDescent="0.3">
      <c r="A27" s="15">
        <f>A26+1</f>
        <v>8</v>
      </c>
      <c r="B27" s="52"/>
      <c r="C27" s="28"/>
      <c r="D27" s="227" t="s">
        <v>168</v>
      </c>
      <c r="E27" s="218" t="s">
        <v>325</v>
      </c>
      <c r="F27" s="228"/>
      <c r="G27" s="214">
        <f>G19+G20+G24+G25+G26</f>
        <v>0</v>
      </c>
      <c r="H27" s="129">
        <f>H19+H20+H24+H25+H26</f>
        <v>0</v>
      </c>
      <c r="I27" s="214">
        <f>I19+I20+I24+I25+I26</f>
        <v>0</v>
      </c>
      <c r="J27" s="129">
        <f>J19+J20+J24+J25+J26</f>
        <v>0</v>
      </c>
      <c r="K27" s="129">
        <f>K19+K20+K24+K25+K26</f>
        <v>0</v>
      </c>
    </row>
    <row r="28" spans="1:11" x14ac:dyDescent="0.3">
      <c r="A28" s="13"/>
      <c r="B28" s="69"/>
      <c r="C28" s="3"/>
      <c r="D28" s="229"/>
      <c r="E28" s="91"/>
      <c r="F28" s="230"/>
      <c r="G28" s="231"/>
      <c r="H28" s="232"/>
      <c r="I28" s="231"/>
      <c r="J28" s="232"/>
      <c r="K28" s="232"/>
    </row>
    <row r="29" spans="1:11" x14ac:dyDescent="0.3">
      <c r="A29" s="14"/>
      <c r="B29" s="65" t="s">
        <v>326</v>
      </c>
      <c r="C29" s="6"/>
      <c r="D29" s="101"/>
      <c r="E29" s="61"/>
      <c r="F29" s="211"/>
      <c r="G29" s="153"/>
      <c r="H29" s="145"/>
      <c r="I29" s="153"/>
      <c r="J29" s="145"/>
      <c r="K29" s="145"/>
    </row>
    <row r="30" spans="1:11" x14ac:dyDescent="0.3">
      <c r="A30" s="14">
        <f>A27+1</f>
        <v>9</v>
      </c>
      <c r="B30" s="5"/>
      <c r="C30" s="6" t="s">
        <v>327</v>
      </c>
      <c r="D30" s="61"/>
      <c r="E30" s="122" t="s">
        <v>397</v>
      </c>
      <c r="F30" s="211"/>
      <c r="G30" s="241"/>
      <c r="H30" s="234"/>
      <c r="I30" s="241"/>
      <c r="J30" s="145">
        <f>SUM(H30:I30)</f>
        <v>0</v>
      </c>
      <c r="K30" s="128">
        <f>G30+J30</f>
        <v>0</v>
      </c>
    </row>
    <row r="31" spans="1:11" x14ac:dyDescent="0.3">
      <c r="A31" s="14">
        <f>A30+1</f>
        <v>10</v>
      </c>
      <c r="B31" s="5"/>
      <c r="C31" s="6" t="s">
        <v>80</v>
      </c>
      <c r="D31" s="122"/>
      <c r="E31" s="122"/>
      <c r="F31" s="211"/>
      <c r="G31" s="241"/>
      <c r="H31" s="234"/>
      <c r="I31" s="241"/>
      <c r="J31" s="145">
        <f>SUM(H31:I31)</f>
        <v>0</v>
      </c>
      <c r="K31" s="128">
        <f>G31+J31</f>
        <v>0</v>
      </c>
    </row>
    <row r="32" spans="1:11" x14ac:dyDescent="0.3">
      <c r="A32" s="14">
        <f>A31+1</f>
        <v>11</v>
      </c>
      <c r="B32" s="5"/>
      <c r="C32" s="6" t="s">
        <v>82</v>
      </c>
      <c r="D32" s="6"/>
      <c r="E32" s="61"/>
      <c r="F32" s="211"/>
      <c r="G32" s="241"/>
      <c r="H32" s="234"/>
      <c r="I32" s="241"/>
      <c r="J32" s="145">
        <f>SUM(H32:I32)</f>
        <v>0</v>
      </c>
      <c r="K32" s="128">
        <f>G32+J32</f>
        <v>0</v>
      </c>
    </row>
    <row r="33" spans="1:11" x14ac:dyDescent="0.3">
      <c r="A33" s="14">
        <f>A32+1</f>
        <v>12</v>
      </c>
      <c r="B33" s="5"/>
      <c r="C33" s="6" t="s">
        <v>84</v>
      </c>
      <c r="D33" s="6"/>
      <c r="E33" s="61"/>
      <c r="F33" s="211"/>
      <c r="G33" s="241"/>
      <c r="H33" s="234"/>
      <c r="I33" s="241"/>
      <c r="J33" s="145">
        <f>SUM(H33:I33)</f>
        <v>0</v>
      </c>
      <c r="K33" s="128">
        <f>G33+J33</f>
        <v>0</v>
      </c>
    </row>
    <row r="34" spans="1:11" x14ac:dyDescent="0.3">
      <c r="A34" s="15">
        <f>A33+1</f>
        <v>13</v>
      </c>
      <c r="B34" s="52"/>
      <c r="C34" s="28"/>
      <c r="D34" s="114" t="s">
        <v>328</v>
      </c>
      <c r="E34" s="218" t="s">
        <v>329</v>
      </c>
      <c r="F34" s="213"/>
      <c r="G34" s="214">
        <f>SUM(G30:G33)</f>
        <v>0</v>
      </c>
      <c r="H34" s="129">
        <f>SUM(H30:H33)</f>
        <v>0</v>
      </c>
      <c r="I34" s="214">
        <f>SUM(I30:I33)</f>
        <v>0</v>
      </c>
      <c r="J34" s="129">
        <f>SUM(J30:J33)</f>
        <v>0</v>
      </c>
      <c r="K34" s="129">
        <f>SUM(K30:K33)</f>
        <v>0</v>
      </c>
    </row>
    <row r="35" spans="1:11" x14ac:dyDescent="0.3">
      <c r="A35" s="14"/>
      <c r="B35" s="5"/>
      <c r="C35" s="6"/>
      <c r="D35" s="116"/>
      <c r="E35" s="61"/>
      <c r="F35" s="212"/>
      <c r="G35" s="184"/>
      <c r="H35" s="162"/>
      <c r="I35" s="184"/>
      <c r="J35" s="162"/>
      <c r="K35" s="162"/>
    </row>
    <row r="36" spans="1:11" x14ac:dyDescent="0.3">
      <c r="A36" s="14">
        <f>A34+1</f>
        <v>14</v>
      </c>
      <c r="B36" s="65" t="s">
        <v>129</v>
      </c>
      <c r="C36" s="6"/>
      <c r="D36" s="61"/>
      <c r="E36" s="122" t="s">
        <v>378</v>
      </c>
      <c r="F36" s="219"/>
      <c r="G36" s="241"/>
      <c r="H36" s="234"/>
      <c r="I36" s="241"/>
      <c r="J36" s="145">
        <f>SUM(H36:I36)</f>
        <v>0</v>
      </c>
      <c r="K36" s="128">
        <f>G36+J36</f>
        <v>0</v>
      </c>
    </row>
    <row r="37" spans="1:11" x14ac:dyDescent="0.3">
      <c r="A37" s="14"/>
      <c r="B37" s="65"/>
      <c r="C37" s="6"/>
      <c r="D37" s="61"/>
      <c r="E37" s="122"/>
      <c r="F37" s="219"/>
      <c r="G37" s="153"/>
      <c r="H37" s="145"/>
      <c r="I37" s="153"/>
      <c r="J37" s="128"/>
      <c r="K37" s="128"/>
    </row>
    <row r="38" spans="1:11" ht="13.5" x14ac:dyDescent="0.3">
      <c r="A38" s="15">
        <f>A36+1</f>
        <v>15</v>
      </c>
      <c r="B38" s="111"/>
      <c r="C38" s="60"/>
      <c r="D38" s="114" t="s">
        <v>83</v>
      </c>
      <c r="E38" s="210" t="s">
        <v>357</v>
      </c>
      <c r="F38" s="213"/>
      <c r="G38" s="214">
        <f>G27+G34+G36</f>
        <v>0</v>
      </c>
      <c r="H38" s="129">
        <f>H27+H34+H36</f>
        <v>0</v>
      </c>
      <c r="I38" s="214">
        <f>I27+I34+I36</f>
        <v>0</v>
      </c>
      <c r="J38" s="129">
        <f>J27+J34+J36</f>
        <v>0</v>
      </c>
      <c r="K38" s="129">
        <f>K27+K34+K36</f>
        <v>0</v>
      </c>
    </row>
  </sheetData>
  <sheetProtection password="F7CB" sheet="1" objects="1" scenarios="1"/>
  <mergeCells count="12">
    <mergeCell ref="G16:G17"/>
    <mergeCell ref="H16:J16"/>
    <mergeCell ref="B16:F17"/>
    <mergeCell ref="B11:I11"/>
    <mergeCell ref="C13:E13"/>
    <mergeCell ref="A3:C3"/>
    <mergeCell ref="B10:K10"/>
    <mergeCell ref="A4:C4"/>
    <mergeCell ref="A5:C5"/>
    <mergeCell ref="A6:C6"/>
    <mergeCell ref="A7:C7"/>
    <mergeCell ref="J3:K4"/>
  </mergeCells>
  <printOptions horizontalCentered="1"/>
  <pageMargins left="0.25" right="0.25" top="0.98425196850393704" bottom="0.51181102362204722" header="0.51181102362204722" footer="0.51181102362204722"/>
  <pageSetup scale="80" fitToHeight="0"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6"/>
  <sheetViews>
    <sheetView zoomScale="75" workbookViewId="0"/>
  </sheetViews>
  <sheetFormatPr defaultColWidth="9.1796875" defaultRowHeight="13" x14ac:dyDescent="0.3"/>
  <cols>
    <col min="1" max="1" width="3.7265625" style="2" customWidth="1"/>
    <col min="2" max="2" width="4.7265625" style="2" customWidth="1"/>
    <col min="3" max="3" width="12.81640625" style="2" customWidth="1"/>
    <col min="4" max="4" width="40.26953125" style="2" customWidth="1"/>
    <col min="5" max="5" width="31.54296875" style="2" customWidth="1"/>
    <col min="6" max="6" width="11.7265625" style="2" customWidth="1"/>
    <col min="7" max="7" width="4.81640625" style="2" customWidth="1"/>
    <col min="8" max="8" width="11.81640625" style="2" customWidth="1"/>
    <col min="9" max="9" width="5" style="2" customWidth="1"/>
    <col min="10" max="11" width="12" style="2" customWidth="1"/>
    <col min="12" max="16384" width="9.1796875" style="2"/>
  </cols>
  <sheetData>
    <row r="1" spans="1:12" x14ac:dyDescent="0.3">
      <c r="A1" s="22" t="s">
        <v>212</v>
      </c>
      <c r="B1" s="23"/>
      <c r="C1" s="23"/>
      <c r="G1" s="41"/>
      <c r="I1" s="51" t="s">
        <v>101</v>
      </c>
    </row>
    <row r="2" spans="1:12" x14ac:dyDescent="0.3">
      <c r="A2" s="22"/>
      <c r="B2" s="23"/>
      <c r="C2" s="23"/>
    </row>
    <row r="3" spans="1:12" x14ac:dyDescent="0.3">
      <c r="A3" s="311" t="s">
        <v>121</v>
      </c>
      <c r="B3" s="312"/>
      <c r="C3" s="313"/>
      <c r="D3" s="77" t="s">
        <v>20</v>
      </c>
      <c r="F3" s="198" t="s">
        <v>287</v>
      </c>
      <c r="G3" s="419">
        <f>'310'!$G$3</f>
        <v>0</v>
      </c>
      <c r="H3" s="420"/>
      <c r="I3" s="421"/>
    </row>
    <row r="4" spans="1:12" x14ac:dyDescent="0.3">
      <c r="A4" s="314" t="s">
        <v>122</v>
      </c>
      <c r="B4" s="315"/>
      <c r="C4" s="316"/>
      <c r="D4" s="77" t="s">
        <v>259</v>
      </c>
      <c r="E4" s="37"/>
      <c r="F4" s="199"/>
      <c r="G4" s="422"/>
      <c r="H4" s="423"/>
      <c r="I4" s="424"/>
    </row>
    <row r="5" spans="1:12" x14ac:dyDescent="0.3">
      <c r="A5" s="314" t="s">
        <v>123</v>
      </c>
      <c r="B5" s="315"/>
      <c r="C5" s="316"/>
      <c r="D5" s="80" t="s">
        <v>125</v>
      </c>
      <c r="E5" s="24"/>
      <c r="F5" s="200" t="s">
        <v>288</v>
      </c>
      <c r="G5" s="425">
        <f>'310'!$G$5</f>
        <v>0</v>
      </c>
      <c r="H5" s="426"/>
      <c r="I5" s="427"/>
    </row>
    <row r="6" spans="1:12" x14ac:dyDescent="0.3">
      <c r="A6" s="314" t="s">
        <v>120</v>
      </c>
      <c r="B6" s="315"/>
      <c r="C6" s="316"/>
      <c r="D6" s="77" t="s">
        <v>102</v>
      </c>
      <c r="E6" s="24"/>
      <c r="F6" s="24"/>
      <c r="G6" s="37"/>
      <c r="H6" s="37"/>
      <c r="I6" s="37"/>
    </row>
    <row r="7" spans="1:12" x14ac:dyDescent="0.3">
      <c r="A7" s="321" t="s">
        <v>159</v>
      </c>
      <c r="B7" s="322"/>
      <c r="C7" s="323"/>
      <c r="D7" s="89">
        <v>2002</v>
      </c>
      <c r="F7" s="24"/>
      <c r="G7" s="37"/>
      <c r="H7" s="43"/>
      <c r="I7" s="43"/>
    </row>
    <row r="8" spans="1:12" x14ac:dyDescent="0.3">
      <c r="B8" s="35"/>
      <c r="C8" s="35"/>
      <c r="E8" s="24"/>
      <c r="F8" s="24"/>
      <c r="G8" s="37"/>
      <c r="H8" s="43"/>
      <c r="I8" s="43"/>
    </row>
    <row r="9" spans="1:12" x14ac:dyDescent="0.3">
      <c r="A9" s="56" t="s">
        <v>91</v>
      </c>
      <c r="D9" s="24"/>
      <c r="E9" s="24"/>
      <c r="F9" s="24"/>
      <c r="G9" s="6"/>
      <c r="H9" s="6"/>
      <c r="I9" s="19"/>
      <c r="J9" s="25"/>
    </row>
    <row r="10" spans="1:12" ht="26.25" customHeight="1" x14ac:dyDescent="0.3">
      <c r="A10" s="53" t="s">
        <v>85</v>
      </c>
      <c r="B10" s="331" t="s">
        <v>398</v>
      </c>
      <c r="C10" s="400"/>
      <c r="D10" s="400"/>
      <c r="E10" s="400"/>
      <c r="F10" s="400"/>
      <c r="G10" s="400"/>
      <c r="H10" s="400"/>
      <c r="I10" s="401"/>
      <c r="J10" s="100"/>
      <c r="K10" s="37"/>
      <c r="L10" s="25"/>
    </row>
    <row r="11" spans="1:12" ht="26.25" customHeight="1" x14ac:dyDescent="0.3">
      <c r="A11" s="94" t="s">
        <v>86</v>
      </c>
      <c r="B11" s="335" t="s">
        <v>399</v>
      </c>
      <c r="C11" s="402"/>
      <c r="D11" s="402"/>
      <c r="E11" s="402"/>
      <c r="F11" s="402"/>
      <c r="G11" s="402"/>
      <c r="H11" s="402"/>
      <c r="I11" s="403"/>
      <c r="J11" s="37"/>
      <c r="K11" s="37"/>
      <c r="L11" s="25"/>
    </row>
    <row r="12" spans="1:12" ht="26.25" customHeight="1" x14ac:dyDescent="0.3">
      <c r="A12" s="94" t="s">
        <v>88</v>
      </c>
      <c r="B12" s="335" t="s">
        <v>400</v>
      </c>
      <c r="C12" s="402"/>
      <c r="D12" s="402"/>
      <c r="E12" s="402"/>
      <c r="F12" s="402"/>
      <c r="G12" s="402"/>
      <c r="H12" s="402"/>
      <c r="I12" s="403"/>
      <c r="J12" s="6"/>
      <c r="K12" s="6"/>
      <c r="L12" s="25"/>
    </row>
    <row r="13" spans="1:12" ht="26.25" customHeight="1" x14ac:dyDescent="0.3">
      <c r="A13" s="94" t="s">
        <v>92</v>
      </c>
      <c r="B13" s="335" t="s">
        <v>401</v>
      </c>
      <c r="C13" s="335"/>
      <c r="D13" s="335"/>
      <c r="E13" s="335"/>
      <c r="F13" s="335"/>
      <c r="G13" s="335"/>
      <c r="H13" s="335"/>
      <c r="I13" s="399"/>
      <c r="J13" s="6"/>
      <c r="K13" s="6"/>
      <c r="L13" s="25"/>
    </row>
    <row r="14" spans="1:12" ht="26.25" customHeight="1" x14ac:dyDescent="0.3">
      <c r="A14" s="94" t="s">
        <v>96</v>
      </c>
      <c r="B14" s="335" t="s">
        <v>529</v>
      </c>
      <c r="C14" s="335"/>
      <c r="D14" s="335"/>
      <c r="E14" s="335"/>
      <c r="F14" s="335"/>
      <c r="G14" s="335"/>
      <c r="H14" s="335"/>
      <c r="I14" s="399"/>
      <c r="J14" s="6"/>
      <c r="K14" s="6"/>
      <c r="L14" s="25"/>
    </row>
    <row r="15" spans="1:12" ht="26.25" customHeight="1" x14ac:dyDescent="0.3">
      <c r="A15" s="94" t="s">
        <v>103</v>
      </c>
      <c r="B15" s="335" t="s">
        <v>530</v>
      </c>
      <c r="C15" s="335"/>
      <c r="D15" s="335"/>
      <c r="E15" s="335"/>
      <c r="F15" s="335"/>
      <c r="G15" s="335"/>
      <c r="H15" s="335"/>
      <c r="I15" s="399"/>
      <c r="J15" s="6"/>
      <c r="K15" s="6"/>
      <c r="L15" s="25"/>
    </row>
    <row r="16" spans="1:12" ht="26.25" customHeight="1" x14ac:dyDescent="0.3">
      <c r="A16" s="54" t="s">
        <v>104</v>
      </c>
      <c r="B16" s="404" t="s">
        <v>531</v>
      </c>
      <c r="C16" s="404"/>
      <c r="D16" s="404"/>
      <c r="E16" s="404"/>
      <c r="F16" s="404"/>
      <c r="G16" s="404"/>
      <c r="H16" s="404"/>
      <c r="I16" s="405"/>
      <c r="J16" s="6"/>
      <c r="K16" s="6"/>
      <c r="L16" s="25"/>
    </row>
    <row r="17" spans="1:12" x14ac:dyDescent="0.3">
      <c r="A17" s="6"/>
      <c r="B17" s="22"/>
      <c r="C17" s="22"/>
      <c r="D17" s="35"/>
      <c r="E17" s="35"/>
      <c r="F17" s="35"/>
      <c r="G17" s="35"/>
      <c r="H17" s="35"/>
      <c r="I17" s="6"/>
      <c r="J17" s="6"/>
      <c r="K17" s="19"/>
      <c r="L17" s="25"/>
    </row>
    <row r="18" spans="1:12" x14ac:dyDescent="0.3">
      <c r="A18" s="6"/>
      <c r="B18" s="22"/>
      <c r="C18" s="22"/>
      <c r="D18" s="35"/>
      <c r="F18" s="411" t="s">
        <v>15</v>
      </c>
      <c r="G18" s="411"/>
      <c r="H18" s="411" t="s">
        <v>16</v>
      </c>
      <c r="I18" s="411"/>
    </row>
    <row r="19" spans="1:12" ht="25.5" customHeight="1" x14ac:dyDescent="0.3">
      <c r="A19" s="6"/>
      <c r="B19" s="362" t="s">
        <v>219</v>
      </c>
      <c r="C19" s="332"/>
      <c r="D19" s="332"/>
      <c r="E19" s="395"/>
      <c r="F19" s="346" t="s">
        <v>150</v>
      </c>
      <c r="G19" s="347"/>
      <c r="H19" s="347"/>
      <c r="I19" s="347"/>
      <c r="J19" s="348"/>
    </row>
    <row r="20" spans="1:12" ht="27" customHeight="1" x14ac:dyDescent="0.3">
      <c r="A20" s="48"/>
      <c r="B20" s="396"/>
      <c r="C20" s="397"/>
      <c r="D20" s="397"/>
      <c r="E20" s="398"/>
      <c r="F20" s="413" t="s">
        <v>131</v>
      </c>
      <c r="G20" s="414"/>
      <c r="H20" s="413" t="s">
        <v>220</v>
      </c>
      <c r="I20" s="414"/>
      <c r="J20" s="173" t="s">
        <v>141</v>
      </c>
    </row>
    <row r="21" spans="1:12" x14ac:dyDescent="0.3">
      <c r="A21" s="13">
        <v>1</v>
      </c>
      <c r="B21" s="69" t="s">
        <v>132</v>
      </c>
      <c r="C21" s="3"/>
      <c r="D21" s="3"/>
      <c r="E21" s="3"/>
      <c r="F21" s="391"/>
      <c r="G21" s="392"/>
      <c r="H21" s="391"/>
      <c r="I21" s="392"/>
      <c r="J21" s="131" t="str">
        <f>IF(F21=0,"-",H21/F21)</f>
        <v>-</v>
      </c>
    </row>
    <row r="22" spans="1:12" x14ac:dyDescent="0.3">
      <c r="A22" s="14">
        <f>A21+1</f>
        <v>2</v>
      </c>
      <c r="B22" s="5" t="s">
        <v>133</v>
      </c>
      <c r="C22" s="6"/>
      <c r="D22" s="6"/>
      <c r="E22" s="6"/>
      <c r="F22" s="393"/>
      <c r="G22" s="394"/>
      <c r="H22" s="393"/>
      <c r="I22" s="394"/>
      <c r="J22" s="174" t="str">
        <f>IF(F22=0,"-",H22/F22)</f>
        <v>-</v>
      </c>
    </row>
    <row r="23" spans="1:12" x14ac:dyDescent="0.3">
      <c r="A23" s="14">
        <f>A22+1</f>
        <v>3</v>
      </c>
      <c r="B23" s="98" t="s">
        <v>134</v>
      </c>
      <c r="C23" s="6"/>
      <c r="D23" s="6"/>
      <c r="E23" s="6"/>
      <c r="F23" s="393"/>
      <c r="G23" s="394"/>
      <c r="H23" s="393"/>
      <c r="I23" s="394"/>
      <c r="J23" s="174" t="str">
        <f>IF(F23=0,"-",H23/F23)</f>
        <v>-</v>
      </c>
    </row>
    <row r="24" spans="1:12" x14ac:dyDescent="0.3">
      <c r="A24" s="14">
        <f>A23+1</f>
        <v>4</v>
      </c>
      <c r="B24" s="98" t="s">
        <v>226</v>
      </c>
      <c r="C24" s="6"/>
      <c r="D24" s="6"/>
      <c r="E24" s="6"/>
      <c r="F24" s="416"/>
      <c r="G24" s="417"/>
      <c r="H24" s="416"/>
      <c r="I24" s="417"/>
      <c r="J24" s="174" t="str">
        <f>IF(F24=0,"-",H24/F24)</f>
        <v>-</v>
      </c>
    </row>
    <row r="25" spans="1:12" x14ac:dyDescent="0.3">
      <c r="A25" s="15">
        <f>A24+1</f>
        <v>5</v>
      </c>
      <c r="B25" s="107"/>
      <c r="C25" s="10" t="s">
        <v>263</v>
      </c>
      <c r="D25" s="10"/>
      <c r="E25" s="175" t="s">
        <v>223</v>
      </c>
      <c r="F25" s="388">
        <f>SUM(F21:F24)</f>
        <v>0</v>
      </c>
      <c r="G25" s="389"/>
      <c r="H25" s="388">
        <f>SUM(H21:H24)</f>
        <v>0</v>
      </c>
      <c r="I25" s="390"/>
      <c r="J25" s="137"/>
    </row>
    <row r="26" spans="1:12" x14ac:dyDescent="0.3">
      <c r="A26" s="34"/>
      <c r="B26" s="6"/>
      <c r="C26" s="6"/>
      <c r="D26" s="6"/>
      <c r="E26" s="6"/>
      <c r="F26" s="166"/>
      <c r="G26" s="166"/>
      <c r="H26" s="166"/>
      <c r="I26" s="166"/>
      <c r="J26" s="170"/>
    </row>
    <row r="27" spans="1:12" ht="12.75" customHeight="1" x14ac:dyDescent="0.3">
      <c r="A27" s="110"/>
      <c r="B27" s="69" t="s">
        <v>305</v>
      </c>
      <c r="C27" s="3"/>
      <c r="D27" s="3"/>
      <c r="E27" s="4"/>
      <c r="F27" s="136"/>
      <c r="G27" s="136"/>
      <c r="H27" s="167"/>
      <c r="I27" s="168"/>
      <c r="J27" s="170"/>
    </row>
    <row r="28" spans="1:12" ht="12.75" customHeight="1" x14ac:dyDescent="0.3">
      <c r="A28" s="63">
        <f>A25+1</f>
        <v>6</v>
      </c>
      <c r="B28" s="5"/>
      <c r="C28" s="6" t="s">
        <v>148</v>
      </c>
      <c r="E28" s="113" t="s">
        <v>380</v>
      </c>
      <c r="F28" s="141"/>
      <c r="G28" s="141"/>
      <c r="H28" s="407">
        <f>'311'!G32</f>
        <v>0</v>
      </c>
      <c r="I28" s="408"/>
      <c r="J28" s="170"/>
    </row>
    <row r="29" spans="1:12" ht="12.75" customHeight="1" x14ac:dyDescent="0.3">
      <c r="A29" s="63">
        <f>A28+1</f>
        <v>7</v>
      </c>
      <c r="B29" s="5"/>
      <c r="C29" s="6" t="s">
        <v>140</v>
      </c>
      <c r="E29" s="113" t="s">
        <v>381</v>
      </c>
      <c r="F29" s="141"/>
      <c r="G29" s="141"/>
      <c r="H29" s="407">
        <f>'311'!G48</f>
        <v>0</v>
      </c>
      <c r="I29" s="408"/>
      <c r="J29" s="170"/>
    </row>
    <row r="30" spans="1:12" ht="12.75" customHeight="1" x14ac:dyDescent="0.3">
      <c r="A30" s="63">
        <f>A29+1</f>
        <v>8</v>
      </c>
      <c r="B30" s="5"/>
      <c r="C30" s="6" t="s">
        <v>155</v>
      </c>
      <c r="D30" s="6"/>
      <c r="E30" s="296" t="s">
        <v>526</v>
      </c>
      <c r="F30" s="169"/>
      <c r="G30" s="169"/>
      <c r="H30" s="407">
        <f>'312'!G41</f>
        <v>0</v>
      </c>
      <c r="I30" s="408"/>
      <c r="J30" s="170"/>
    </row>
    <row r="31" spans="1:12" ht="12.75" customHeight="1" x14ac:dyDescent="0.3">
      <c r="A31" s="63">
        <f>A30+1</f>
        <v>9</v>
      </c>
      <c r="B31" s="5"/>
      <c r="C31" s="28" t="s">
        <v>130</v>
      </c>
      <c r="D31" s="6"/>
      <c r="E31" s="113" t="s">
        <v>379</v>
      </c>
      <c r="F31" s="169"/>
      <c r="G31" s="169"/>
      <c r="H31" s="407">
        <f>'313'!G28</f>
        <v>0</v>
      </c>
      <c r="I31" s="408"/>
      <c r="J31" s="170"/>
    </row>
    <row r="32" spans="1:12" ht="12.75" customHeight="1" x14ac:dyDescent="0.3">
      <c r="A32" s="59">
        <f>A31+1</f>
        <v>10</v>
      </c>
      <c r="B32" s="107"/>
      <c r="C32" s="10"/>
      <c r="D32" s="10" t="s">
        <v>306</v>
      </c>
      <c r="E32" s="73" t="s">
        <v>194</v>
      </c>
      <c r="F32" s="176"/>
      <c r="G32" s="176"/>
      <c r="H32" s="409">
        <f>SUM(H28:I31)</f>
        <v>0</v>
      </c>
      <c r="I32" s="410"/>
      <c r="J32" s="170"/>
    </row>
    <row r="33" spans="1:12" x14ac:dyDescent="0.3">
      <c r="F33" s="170"/>
      <c r="G33" s="170"/>
      <c r="H33" s="170"/>
      <c r="I33" s="170"/>
      <c r="J33" s="170"/>
    </row>
    <row r="34" spans="1:12" s="6" customFormat="1" ht="25.5" customHeight="1" x14ac:dyDescent="0.3">
      <c r="A34" s="101"/>
      <c r="B34" s="362" t="s">
        <v>221</v>
      </c>
      <c r="C34" s="312"/>
      <c r="D34" s="312"/>
      <c r="E34" s="313"/>
      <c r="F34" s="428" t="s">
        <v>150</v>
      </c>
      <c r="G34" s="429"/>
      <c r="H34" s="429"/>
      <c r="I34" s="430"/>
      <c r="J34" s="248"/>
      <c r="K34" s="2"/>
      <c r="L34" s="2"/>
    </row>
    <row r="35" spans="1:12" s="6" customFormat="1" ht="25.5" customHeight="1" x14ac:dyDescent="0.3">
      <c r="A35" s="97"/>
      <c r="B35" s="321"/>
      <c r="C35" s="322"/>
      <c r="D35" s="322"/>
      <c r="E35" s="323"/>
      <c r="F35" s="412" t="s">
        <v>135</v>
      </c>
      <c r="G35" s="412"/>
      <c r="H35" s="412" t="s">
        <v>222</v>
      </c>
      <c r="I35" s="412"/>
      <c r="J35" s="248"/>
      <c r="K35" s="2"/>
      <c r="L35" s="2"/>
    </row>
    <row r="36" spans="1:12" x14ac:dyDescent="0.3">
      <c r="A36" s="13">
        <f>A32+1</f>
        <v>11</v>
      </c>
      <c r="B36" s="3" t="s">
        <v>132</v>
      </c>
      <c r="C36" s="3"/>
      <c r="D36" s="3"/>
      <c r="E36" s="3"/>
      <c r="F36" s="391"/>
      <c r="G36" s="392"/>
      <c r="H36" s="391"/>
      <c r="I36" s="406"/>
      <c r="J36" s="172"/>
    </row>
    <row r="37" spans="1:12" x14ac:dyDescent="0.3">
      <c r="A37" s="14">
        <f>A36+1</f>
        <v>12</v>
      </c>
      <c r="B37" s="6" t="s">
        <v>133</v>
      </c>
      <c r="C37" s="6"/>
      <c r="D37" s="6"/>
      <c r="E37" s="6"/>
      <c r="F37" s="393"/>
      <c r="G37" s="394"/>
      <c r="H37" s="393"/>
      <c r="I37" s="415"/>
      <c r="J37" s="172"/>
    </row>
    <row r="38" spans="1:12" x14ac:dyDescent="0.3">
      <c r="A38" s="14">
        <f>A37+1</f>
        <v>13</v>
      </c>
      <c r="B38" s="35" t="s">
        <v>134</v>
      </c>
      <c r="C38" s="35"/>
      <c r="D38" s="6"/>
      <c r="E38" s="6"/>
      <c r="F38" s="393"/>
      <c r="G38" s="394"/>
      <c r="H38" s="393"/>
      <c r="I38" s="415"/>
      <c r="J38" s="172"/>
    </row>
    <row r="39" spans="1:12" x14ac:dyDescent="0.3">
      <c r="A39" s="14">
        <f>A38+1</f>
        <v>14</v>
      </c>
      <c r="B39" s="98" t="s">
        <v>226</v>
      </c>
      <c r="C39" s="35"/>
      <c r="D39" s="6"/>
      <c r="E39" s="6"/>
      <c r="F39" s="416"/>
      <c r="G39" s="417"/>
      <c r="H39" s="416"/>
      <c r="I39" s="417"/>
      <c r="J39" s="172"/>
    </row>
    <row r="40" spans="1:12" x14ac:dyDescent="0.3">
      <c r="A40" s="15">
        <f>A39+1</f>
        <v>15</v>
      </c>
      <c r="B40" s="107"/>
      <c r="C40" s="10" t="s">
        <v>260</v>
      </c>
      <c r="D40" s="10"/>
      <c r="E40" s="175" t="s">
        <v>224</v>
      </c>
      <c r="F40" s="388">
        <f>SUM(F36:F39)</f>
        <v>0</v>
      </c>
      <c r="G40" s="389"/>
      <c r="H40" s="388">
        <f>SUM(H36:H39)</f>
        <v>0</v>
      </c>
      <c r="I40" s="390"/>
      <c r="J40" s="141"/>
    </row>
    <row r="41" spans="1:12" x14ac:dyDescent="0.3">
      <c r="F41" s="170"/>
      <c r="G41" s="170"/>
      <c r="H41" s="170"/>
      <c r="I41" s="170"/>
      <c r="J41" s="141"/>
    </row>
    <row r="42" spans="1:12" ht="25.5" customHeight="1" x14ac:dyDescent="0.3">
      <c r="A42" s="101"/>
      <c r="B42" s="362" t="s">
        <v>307</v>
      </c>
      <c r="C42" s="312"/>
      <c r="D42" s="312"/>
      <c r="E42" s="313"/>
      <c r="F42" s="428" t="s">
        <v>150</v>
      </c>
      <c r="G42" s="429"/>
      <c r="H42" s="429"/>
      <c r="I42" s="430"/>
      <c r="J42" s="248"/>
    </row>
    <row r="43" spans="1:12" ht="54.75" customHeight="1" x14ac:dyDescent="0.3">
      <c r="A43" s="97"/>
      <c r="B43" s="321"/>
      <c r="C43" s="322"/>
      <c r="D43" s="322"/>
      <c r="E43" s="323"/>
      <c r="F43" s="418" t="s">
        <v>527</v>
      </c>
      <c r="G43" s="418"/>
      <c r="H43" s="418" t="s">
        <v>528</v>
      </c>
      <c r="I43" s="418"/>
      <c r="J43" s="248"/>
    </row>
    <row r="44" spans="1:12" x14ac:dyDescent="0.3">
      <c r="A44" s="13">
        <f>A40+1</f>
        <v>16</v>
      </c>
      <c r="B44" s="3" t="s">
        <v>132</v>
      </c>
      <c r="C44" s="3"/>
      <c r="D44" s="3"/>
      <c r="E44" s="3"/>
      <c r="F44" s="391"/>
      <c r="G44" s="392"/>
      <c r="H44" s="391"/>
      <c r="I44" s="406"/>
      <c r="J44" s="172"/>
    </row>
    <row r="45" spans="1:12" x14ac:dyDescent="0.3">
      <c r="A45" s="14">
        <f>A44+1</f>
        <v>17</v>
      </c>
      <c r="B45" s="6" t="s">
        <v>133</v>
      </c>
      <c r="C45" s="6"/>
      <c r="D45" s="6"/>
      <c r="E45" s="6"/>
      <c r="F45" s="393"/>
      <c r="G45" s="394"/>
      <c r="H45" s="393"/>
      <c r="I45" s="415"/>
      <c r="J45" s="172"/>
    </row>
    <row r="46" spans="1:12" x14ac:dyDescent="0.3">
      <c r="A46" s="14">
        <f>A45+1</f>
        <v>18</v>
      </c>
      <c r="B46" s="35" t="s">
        <v>134</v>
      </c>
      <c r="C46" s="35"/>
      <c r="D46" s="6"/>
      <c r="E46" s="6"/>
      <c r="F46" s="393"/>
      <c r="G46" s="394"/>
      <c r="H46" s="393"/>
      <c r="I46" s="415"/>
      <c r="J46" s="172"/>
    </row>
    <row r="47" spans="1:12" x14ac:dyDescent="0.3">
      <c r="A47" s="14">
        <f>A46+1</f>
        <v>19</v>
      </c>
      <c r="B47" s="98" t="s">
        <v>226</v>
      </c>
      <c r="C47" s="35"/>
      <c r="D47" s="6"/>
      <c r="E47" s="6"/>
      <c r="F47" s="416"/>
      <c r="G47" s="417"/>
      <c r="H47" s="416"/>
      <c r="I47" s="417"/>
      <c r="J47" s="172"/>
    </row>
    <row r="48" spans="1:12" x14ac:dyDescent="0.3">
      <c r="A48" s="15">
        <f>A47+1</f>
        <v>20</v>
      </c>
      <c r="B48" s="107"/>
      <c r="C48" s="10" t="s">
        <v>261</v>
      </c>
      <c r="D48" s="10"/>
      <c r="E48" s="175" t="s">
        <v>116</v>
      </c>
      <c r="F48" s="388">
        <f>SUM(F44:F47)</f>
        <v>0</v>
      </c>
      <c r="G48" s="389"/>
      <c r="H48" s="388">
        <f>SUM(H44:H47)</f>
        <v>0</v>
      </c>
      <c r="I48" s="390"/>
      <c r="J48" s="141"/>
    </row>
    <row r="49" spans="1:10" x14ac:dyDescent="0.3">
      <c r="F49" s="170"/>
      <c r="G49" s="170"/>
      <c r="H49" s="170"/>
      <c r="I49" s="170"/>
      <c r="J49" s="141"/>
    </row>
    <row r="50" spans="1:10" ht="25.5" customHeight="1" x14ac:dyDescent="0.3">
      <c r="A50" s="101"/>
      <c r="B50" s="362" t="s">
        <v>264</v>
      </c>
      <c r="C50" s="312"/>
      <c r="D50" s="312"/>
      <c r="E50" s="313"/>
      <c r="F50" s="428" t="s">
        <v>150</v>
      </c>
      <c r="G50" s="429"/>
      <c r="H50" s="429"/>
      <c r="I50" s="430"/>
      <c r="J50" s="248"/>
    </row>
    <row r="51" spans="1:10" ht="25.5" customHeight="1" x14ac:dyDescent="0.3">
      <c r="A51" s="97"/>
      <c r="B51" s="321"/>
      <c r="C51" s="322"/>
      <c r="D51" s="322"/>
      <c r="E51" s="323"/>
      <c r="F51" s="412" t="s">
        <v>308</v>
      </c>
      <c r="G51" s="412"/>
      <c r="H51" s="412" t="s">
        <v>309</v>
      </c>
      <c r="I51" s="412"/>
      <c r="J51" s="248"/>
    </row>
    <row r="52" spans="1:10" x14ac:dyDescent="0.3">
      <c r="A52" s="13">
        <f>A48+1</f>
        <v>21</v>
      </c>
      <c r="B52" s="3" t="s">
        <v>132</v>
      </c>
      <c r="C52" s="3"/>
      <c r="D52" s="3"/>
      <c r="E52" s="3"/>
      <c r="F52" s="391"/>
      <c r="G52" s="392"/>
      <c r="H52" s="391"/>
      <c r="I52" s="406"/>
      <c r="J52" s="172"/>
    </row>
    <row r="53" spans="1:10" x14ac:dyDescent="0.3">
      <c r="A53" s="14">
        <f>A52+1</f>
        <v>22</v>
      </c>
      <c r="B53" s="6" t="s">
        <v>133</v>
      </c>
      <c r="C53" s="6"/>
      <c r="D53" s="6"/>
      <c r="E53" s="6"/>
      <c r="F53" s="393"/>
      <c r="G53" s="394"/>
      <c r="H53" s="393"/>
      <c r="I53" s="415"/>
      <c r="J53" s="172"/>
    </row>
    <row r="54" spans="1:10" x14ac:dyDescent="0.3">
      <c r="A54" s="14">
        <f>A53+1</f>
        <v>23</v>
      </c>
      <c r="B54" s="35" t="s">
        <v>134</v>
      </c>
      <c r="C54" s="35"/>
      <c r="D54" s="6"/>
      <c r="E54" s="6"/>
      <c r="F54" s="393"/>
      <c r="G54" s="394"/>
      <c r="H54" s="393"/>
      <c r="I54" s="415"/>
      <c r="J54" s="172"/>
    </row>
    <row r="55" spans="1:10" x14ac:dyDescent="0.3">
      <c r="A55" s="14">
        <f>A54+1</f>
        <v>24</v>
      </c>
      <c r="B55" s="98" t="s">
        <v>226</v>
      </c>
      <c r="C55" s="35"/>
      <c r="D55" s="6"/>
      <c r="E55" s="6"/>
      <c r="F55" s="416"/>
      <c r="G55" s="417"/>
      <c r="H55" s="416"/>
      <c r="I55" s="417"/>
      <c r="J55" s="172"/>
    </row>
    <row r="56" spans="1:10" x14ac:dyDescent="0.3">
      <c r="A56" s="15">
        <f>A55+1</f>
        <v>25</v>
      </c>
      <c r="B56" s="107"/>
      <c r="C56" s="10" t="s">
        <v>262</v>
      </c>
      <c r="D56" s="10"/>
      <c r="E56" s="175" t="s">
        <v>225</v>
      </c>
      <c r="F56" s="388">
        <f>SUM(F52:F55)</f>
        <v>0</v>
      </c>
      <c r="G56" s="389"/>
      <c r="H56" s="388">
        <f>SUM(H52:H55)</f>
        <v>0</v>
      </c>
      <c r="I56" s="390"/>
      <c r="J56" s="141"/>
    </row>
  </sheetData>
  <sheetProtection password="F7CB" sheet="1" objects="1" scenarios="1"/>
  <mergeCells count="77">
    <mergeCell ref="G3:I4"/>
    <mergeCell ref="G5:I5"/>
    <mergeCell ref="F56:G56"/>
    <mergeCell ref="H56:I56"/>
    <mergeCell ref="F34:I34"/>
    <mergeCell ref="F42:I42"/>
    <mergeCell ref="F50:I50"/>
    <mergeCell ref="F54:G54"/>
    <mergeCell ref="H54:I54"/>
    <mergeCell ref="F55:G55"/>
    <mergeCell ref="B50:E51"/>
    <mergeCell ref="F51:G51"/>
    <mergeCell ref="H51:I51"/>
    <mergeCell ref="H55:I55"/>
    <mergeCell ref="F52:G52"/>
    <mergeCell ref="H52:I52"/>
    <mergeCell ref="F53:G53"/>
    <mergeCell ref="H53:I53"/>
    <mergeCell ref="F46:G46"/>
    <mergeCell ref="H46:I46"/>
    <mergeCell ref="F47:G47"/>
    <mergeCell ref="H47:I47"/>
    <mergeCell ref="F48:G48"/>
    <mergeCell ref="H48:I48"/>
    <mergeCell ref="B42:E43"/>
    <mergeCell ref="F43:G43"/>
    <mergeCell ref="H43:I43"/>
    <mergeCell ref="F44:G44"/>
    <mergeCell ref="H44:I44"/>
    <mergeCell ref="F45:G45"/>
    <mergeCell ref="H45:I45"/>
    <mergeCell ref="H24:I24"/>
    <mergeCell ref="F37:G37"/>
    <mergeCell ref="F39:G39"/>
    <mergeCell ref="H39:I39"/>
    <mergeCell ref="H40:I40"/>
    <mergeCell ref="H37:I37"/>
    <mergeCell ref="F40:G40"/>
    <mergeCell ref="F35:G35"/>
    <mergeCell ref="F20:G20"/>
    <mergeCell ref="H20:I20"/>
    <mergeCell ref="H30:I30"/>
    <mergeCell ref="F38:G38"/>
    <mergeCell ref="H38:I38"/>
    <mergeCell ref="H23:I23"/>
    <mergeCell ref="H31:I31"/>
    <mergeCell ref="F21:G21"/>
    <mergeCell ref="H29:I29"/>
    <mergeCell ref="H32:I32"/>
    <mergeCell ref="B34:E35"/>
    <mergeCell ref="H18:I18"/>
    <mergeCell ref="H35:I35"/>
    <mergeCell ref="F18:G18"/>
    <mergeCell ref="F19:J19"/>
    <mergeCell ref="F22:G22"/>
    <mergeCell ref="F23:G23"/>
    <mergeCell ref="F24:G24"/>
    <mergeCell ref="B10:I10"/>
    <mergeCell ref="B13:I13"/>
    <mergeCell ref="B12:I12"/>
    <mergeCell ref="B16:I16"/>
    <mergeCell ref="A7:C7"/>
    <mergeCell ref="H36:I36"/>
    <mergeCell ref="F36:G36"/>
    <mergeCell ref="B14:I14"/>
    <mergeCell ref="B11:I11"/>
    <mergeCell ref="H28:I28"/>
    <mergeCell ref="A3:C3"/>
    <mergeCell ref="A4:C4"/>
    <mergeCell ref="F25:G25"/>
    <mergeCell ref="H25:I25"/>
    <mergeCell ref="H21:I21"/>
    <mergeCell ref="H22:I22"/>
    <mergeCell ref="B19:E20"/>
    <mergeCell ref="B15:I15"/>
    <mergeCell ref="A5:C5"/>
    <mergeCell ref="A6:C6"/>
  </mergeCells>
  <printOptions horizontalCentered="1"/>
  <pageMargins left="0.49" right="0.56000000000000005" top="0.37" bottom="0.57999999999999996" header="0.2" footer="0.51181102362204722"/>
  <pageSetup scale="7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0"/>
  <sheetViews>
    <sheetView zoomScale="75" workbookViewId="0"/>
  </sheetViews>
  <sheetFormatPr defaultColWidth="9.1796875" defaultRowHeight="13" x14ac:dyDescent="0.3"/>
  <cols>
    <col min="1" max="1" width="3.1796875" style="2" customWidth="1"/>
    <col min="2" max="4" width="2.54296875" style="2" customWidth="1"/>
    <col min="5" max="5" width="8.7265625" style="2" customWidth="1"/>
    <col min="6" max="6" width="49.81640625" style="2" customWidth="1"/>
    <col min="7" max="7" width="17.1796875" style="26" customWidth="1"/>
    <col min="8" max="13" width="15.7265625" style="2" customWidth="1"/>
    <col min="14" max="16384" width="9.1796875" style="2"/>
  </cols>
  <sheetData>
    <row r="1" spans="1:12" x14ac:dyDescent="0.3">
      <c r="A1" s="22" t="s">
        <v>213</v>
      </c>
      <c r="B1" s="23"/>
      <c r="C1" s="23"/>
      <c r="D1" s="23"/>
      <c r="E1" s="23"/>
      <c r="I1" s="43"/>
      <c r="J1" s="43"/>
      <c r="K1" s="42"/>
      <c r="L1" s="51" t="s">
        <v>101</v>
      </c>
    </row>
    <row r="2" spans="1:12" x14ac:dyDescent="0.3">
      <c r="A2" s="22"/>
      <c r="B2" s="23"/>
      <c r="C2" s="23"/>
      <c r="D2" s="23"/>
      <c r="E2" s="23"/>
      <c r="G2" s="50"/>
      <c r="I2" s="43"/>
      <c r="J2" s="43"/>
      <c r="K2" s="42"/>
      <c r="L2" s="42"/>
    </row>
    <row r="3" spans="1:12" x14ac:dyDescent="0.3">
      <c r="A3" s="311" t="s">
        <v>121</v>
      </c>
      <c r="B3" s="312"/>
      <c r="C3" s="312"/>
      <c r="D3" s="312"/>
      <c r="E3" s="313"/>
      <c r="F3" s="77" t="s">
        <v>209</v>
      </c>
      <c r="G3" s="2"/>
      <c r="J3" s="198" t="s">
        <v>287</v>
      </c>
      <c r="K3" s="352">
        <f>'310'!$G$3</f>
        <v>0</v>
      </c>
      <c r="L3" s="353"/>
    </row>
    <row r="4" spans="1:12" x14ac:dyDescent="0.3">
      <c r="A4" s="314" t="s">
        <v>122</v>
      </c>
      <c r="B4" s="315"/>
      <c r="C4" s="315"/>
      <c r="D4" s="315"/>
      <c r="E4" s="316"/>
      <c r="F4" s="77" t="s">
        <v>87</v>
      </c>
      <c r="G4" s="2"/>
      <c r="J4" s="199"/>
      <c r="K4" s="354"/>
      <c r="L4" s="355"/>
    </row>
    <row r="5" spans="1:12" x14ac:dyDescent="0.3">
      <c r="A5" s="314" t="s">
        <v>123</v>
      </c>
      <c r="B5" s="315"/>
      <c r="C5" s="315"/>
      <c r="D5" s="315"/>
      <c r="E5" s="316"/>
      <c r="F5" s="80" t="s">
        <v>125</v>
      </c>
      <c r="G5" s="2"/>
      <c r="J5" s="200" t="s">
        <v>288</v>
      </c>
      <c r="K5" s="191">
        <f>'310'!$G$5</f>
        <v>0</v>
      </c>
      <c r="L5" s="192"/>
    </row>
    <row r="6" spans="1:12" x14ac:dyDescent="0.3">
      <c r="A6" s="314" t="s">
        <v>120</v>
      </c>
      <c r="B6" s="315"/>
      <c r="C6" s="315"/>
      <c r="D6" s="315"/>
      <c r="E6" s="316"/>
      <c r="F6" s="77" t="s">
        <v>102</v>
      </c>
      <c r="G6" s="2"/>
      <c r="H6" s="43"/>
      <c r="I6" s="43"/>
      <c r="J6" s="42"/>
    </row>
    <row r="7" spans="1:12" x14ac:dyDescent="0.3">
      <c r="A7" s="321" t="s">
        <v>159</v>
      </c>
      <c r="B7" s="322"/>
      <c r="C7" s="322"/>
      <c r="D7" s="322"/>
      <c r="E7" s="323"/>
      <c r="F7" s="89">
        <v>2002</v>
      </c>
      <c r="G7" s="24"/>
      <c r="H7" s="43"/>
      <c r="I7" s="43"/>
      <c r="J7" s="19"/>
    </row>
    <row r="8" spans="1:12" x14ac:dyDescent="0.3">
      <c r="A8" s="37"/>
      <c r="B8" s="37"/>
      <c r="C8" s="37"/>
      <c r="D8" s="37"/>
      <c r="E8" s="37"/>
      <c r="F8" s="34"/>
      <c r="G8" s="24"/>
      <c r="H8" s="6"/>
      <c r="I8" s="6"/>
      <c r="J8" s="19"/>
    </row>
    <row r="9" spans="1:12" x14ac:dyDescent="0.3">
      <c r="A9" s="56" t="s">
        <v>91</v>
      </c>
      <c r="C9" s="24"/>
      <c r="D9" s="24"/>
      <c r="E9" s="24"/>
      <c r="F9" s="24"/>
      <c r="G9" s="24"/>
      <c r="H9" s="6"/>
      <c r="I9" s="6"/>
      <c r="J9" s="6"/>
      <c r="K9" s="6"/>
      <c r="L9" s="19"/>
    </row>
    <row r="10" spans="1:12" x14ac:dyDescent="0.3">
      <c r="A10" s="53" t="s">
        <v>85</v>
      </c>
      <c r="B10" s="331" t="s">
        <v>337</v>
      </c>
      <c r="C10" s="331"/>
      <c r="D10" s="331"/>
      <c r="E10" s="331"/>
      <c r="F10" s="331"/>
      <c r="G10" s="331"/>
      <c r="H10" s="331"/>
      <c r="I10" s="331"/>
      <c r="J10" s="331"/>
      <c r="K10" s="331"/>
      <c r="L10" s="380"/>
    </row>
    <row r="11" spans="1:12" x14ac:dyDescent="0.3">
      <c r="A11" s="94" t="s">
        <v>86</v>
      </c>
      <c r="B11" s="335" t="s">
        <v>363</v>
      </c>
      <c r="C11" s="335"/>
      <c r="D11" s="335"/>
      <c r="E11" s="335"/>
      <c r="F11" s="335"/>
      <c r="G11" s="335"/>
      <c r="H11" s="335"/>
      <c r="I11" s="335"/>
      <c r="J11" s="335"/>
      <c r="K11" s="335"/>
      <c r="L11" s="399"/>
    </row>
    <row r="12" spans="1:12" x14ac:dyDescent="0.3">
      <c r="A12" s="54" t="s">
        <v>88</v>
      </c>
      <c r="B12" s="404" t="s">
        <v>364</v>
      </c>
      <c r="C12" s="404"/>
      <c r="D12" s="404"/>
      <c r="E12" s="404"/>
      <c r="F12" s="404"/>
      <c r="G12" s="404"/>
      <c r="H12" s="404"/>
      <c r="I12" s="404"/>
      <c r="J12" s="404"/>
      <c r="K12" s="404"/>
      <c r="L12" s="405"/>
    </row>
    <row r="13" spans="1:12" x14ac:dyDescent="0.3">
      <c r="A13" s="46"/>
      <c r="B13" s="45"/>
      <c r="C13" s="45"/>
      <c r="D13" s="45"/>
      <c r="E13" s="45"/>
      <c r="F13" s="45"/>
      <c r="G13" s="45"/>
      <c r="H13" s="45"/>
      <c r="I13" s="45"/>
      <c r="J13" s="45"/>
      <c r="K13" s="45"/>
      <c r="L13" s="45"/>
    </row>
    <row r="14" spans="1:12" ht="12.75" customHeight="1" x14ac:dyDescent="0.3">
      <c r="A14" s="46"/>
      <c r="B14" s="45"/>
      <c r="C14" s="45"/>
      <c r="D14" s="45"/>
      <c r="E14" s="303" t="s">
        <v>310</v>
      </c>
      <c r="F14" s="303"/>
      <c r="G14" s="303"/>
      <c r="H14" s="303"/>
      <c r="I14" s="303"/>
      <c r="J14" s="303"/>
      <c r="K14" s="303"/>
      <c r="L14" s="303"/>
    </row>
    <row r="15" spans="1:12" x14ac:dyDescent="0.3">
      <c r="A15" s="6"/>
      <c r="B15" s="22"/>
      <c r="C15" s="22"/>
      <c r="D15" s="22"/>
      <c r="E15" s="22"/>
      <c r="F15" s="24"/>
      <c r="H15" s="17" t="s">
        <v>15</v>
      </c>
      <c r="I15" s="17" t="s">
        <v>16</v>
      </c>
      <c r="J15" s="17" t="s">
        <v>17</v>
      </c>
      <c r="K15" s="17" t="s">
        <v>18</v>
      </c>
      <c r="L15" s="17" t="s">
        <v>21</v>
      </c>
    </row>
    <row r="16" spans="1:12" x14ac:dyDescent="0.3">
      <c r="A16" s="431"/>
      <c r="B16" s="385" t="s">
        <v>87</v>
      </c>
      <c r="C16" s="385"/>
      <c r="D16" s="385"/>
      <c r="E16" s="385"/>
      <c r="F16" s="385"/>
      <c r="G16" s="432"/>
      <c r="H16" s="341" t="s">
        <v>0</v>
      </c>
      <c r="I16" s="298" t="s">
        <v>130</v>
      </c>
      <c r="J16" s="298" t="s">
        <v>148</v>
      </c>
      <c r="K16" s="298" t="s">
        <v>140</v>
      </c>
      <c r="L16" s="298" t="s">
        <v>266</v>
      </c>
    </row>
    <row r="17" spans="1:12" x14ac:dyDescent="0.3">
      <c r="A17" s="431"/>
      <c r="B17" s="385"/>
      <c r="C17" s="385"/>
      <c r="D17" s="385"/>
      <c r="E17" s="385"/>
      <c r="F17" s="385"/>
      <c r="G17" s="432"/>
      <c r="H17" s="342"/>
      <c r="I17" s="298"/>
      <c r="J17" s="298"/>
      <c r="K17" s="298"/>
      <c r="L17" s="298"/>
    </row>
    <row r="18" spans="1:12" x14ac:dyDescent="0.3">
      <c r="A18" s="34"/>
      <c r="B18" s="44" t="s">
        <v>143</v>
      </c>
      <c r="C18" s="38"/>
      <c r="D18" s="38"/>
      <c r="E18" s="38"/>
      <c r="F18" s="3"/>
      <c r="G18" s="36"/>
      <c r="H18" s="135"/>
      <c r="I18" s="141"/>
      <c r="J18" s="135"/>
      <c r="K18" s="141"/>
      <c r="L18" s="135"/>
    </row>
    <row r="19" spans="1:12" x14ac:dyDescent="0.3">
      <c r="A19" s="34"/>
      <c r="B19" s="5"/>
      <c r="C19" s="19" t="s">
        <v>338</v>
      </c>
      <c r="D19" s="6"/>
      <c r="E19" s="6"/>
      <c r="F19" s="6"/>
      <c r="G19" s="57"/>
      <c r="H19" s="145"/>
      <c r="I19" s="141"/>
      <c r="J19" s="128"/>
      <c r="K19" s="141"/>
      <c r="L19" s="128"/>
    </row>
    <row r="20" spans="1:12" x14ac:dyDescent="0.3">
      <c r="A20" s="233"/>
      <c r="B20" s="5"/>
      <c r="C20" s="6"/>
      <c r="D20" s="6" t="s">
        <v>247</v>
      </c>
      <c r="E20" s="6"/>
      <c r="F20" s="6"/>
      <c r="G20" s="57"/>
      <c r="H20" s="145"/>
      <c r="I20" s="141"/>
      <c r="J20" s="128"/>
      <c r="K20" s="141"/>
      <c r="L20" s="128"/>
    </row>
    <row r="21" spans="1:12" x14ac:dyDescent="0.3">
      <c r="A21" s="30">
        <v>1</v>
      </c>
      <c r="B21" s="5"/>
      <c r="C21" s="6"/>
      <c r="D21" s="6"/>
      <c r="E21" s="6" t="s">
        <v>7</v>
      </c>
      <c r="F21" s="6"/>
      <c r="G21" s="57"/>
      <c r="H21" s="234"/>
      <c r="I21" s="241"/>
      <c r="J21" s="234"/>
      <c r="K21" s="241"/>
      <c r="L21" s="128">
        <f t="shared" ref="L21:L29" si="0">SUM(H21:K21)</f>
        <v>0</v>
      </c>
    </row>
    <row r="22" spans="1:12" x14ac:dyDescent="0.3">
      <c r="A22" s="30">
        <f t="shared" ref="A22:A30" si="1">A21+1</f>
        <v>2</v>
      </c>
      <c r="B22" s="5"/>
      <c r="C22" s="6"/>
      <c r="D22" s="6"/>
      <c r="E22" s="6" t="s">
        <v>253</v>
      </c>
      <c r="F22" s="6"/>
      <c r="G22" s="57"/>
      <c r="H22" s="234"/>
      <c r="I22" s="241"/>
      <c r="J22" s="234"/>
      <c r="K22" s="241"/>
      <c r="L22" s="128">
        <f t="shared" si="0"/>
        <v>0</v>
      </c>
    </row>
    <row r="23" spans="1:12" x14ac:dyDescent="0.3">
      <c r="A23" s="30">
        <f t="shared" si="1"/>
        <v>3</v>
      </c>
      <c r="B23" s="5"/>
      <c r="C23" s="6"/>
      <c r="D23" s="6"/>
      <c r="E23" s="6" t="s">
        <v>254</v>
      </c>
      <c r="F23" s="6"/>
      <c r="G23" s="57"/>
      <c r="H23" s="234"/>
      <c r="I23" s="241"/>
      <c r="J23" s="234"/>
      <c r="K23" s="241"/>
      <c r="L23" s="128">
        <f t="shared" si="0"/>
        <v>0</v>
      </c>
    </row>
    <row r="24" spans="1:12" x14ac:dyDescent="0.3">
      <c r="A24" s="30">
        <f t="shared" si="1"/>
        <v>4</v>
      </c>
      <c r="B24" s="5"/>
      <c r="C24" s="6"/>
      <c r="D24" s="6"/>
      <c r="E24" s="6" t="s">
        <v>255</v>
      </c>
      <c r="F24" s="6"/>
      <c r="G24" s="57"/>
      <c r="H24" s="234"/>
      <c r="I24" s="241"/>
      <c r="J24" s="234"/>
      <c r="K24" s="241"/>
      <c r="L24" s="128">
        <f t="shared" si="0"/>
        <v>0</v>
      </c>
    </row>
    <row r="25" spans="1:12" x14ac:dyDescent="0.3">
      <c r="A25" s="30">
        <f t="shared" si="1"/>
        <v>5</v>
      </c>
      <c r="B25" s="5"/>
      <c r="C25" s="6"/>
      <c r="D25" s="6"/>
      <c r="E25" s="6" t="s">
        <v>170</v>
      </c>
      <c r="F25" s="6"/>
      <c r="G25" s="57"/>
      <c r="H25" s="234"/>
      <c r="I25" s="241"/>
      <c r="J25" s="234"/>
      <c r="K25" s="241"/>
      <c r="L25" s="128">
        <f t="shared" si="0"/>
        <v>0</v>
      </c>
    </row>
    <row r="26" spans="1:12" x14ac:dyDescent="0.3">
      <c r="A26" s="30">
        <f t="shared" si="1"/>
        <v>6</v>
      </c>
      <c r="B26" s="5"/>
      <c r="C26" s="6"/>
      <c r="D26" s="6"/>
      <c r="E26" s="6" t="s">
        <v>339</v>
      </c>
      <c r="F26" s="6"/>
      <c r="G26" s="57"/>
      <c r="H26" s="234"/>
      <c r="I26" s="241"/>
      <c r="J26" s="234"/>
      <c r="K26" s="241"/>
      <c r="L26" s="128">
        <f t="shared" si="0"/>
        <v>0</v>
      </c>
    </row>
    <row r="27" spans="1:12" x14ac:dyDescent="0.3">
      <c r="A27" s="30">
        <f t="shared" si="1"/>
        <v>7</v>
      </c>
      <c r="B27" s="5"/>
      <c r="C27" s="6"/>
      <c r="D27" s="6"/>
      <c r="E27" s="6" t="s">
        <v>353</v>
      </c>
      <c r="F27" s="6"/>
      <c r="G27" s="57"/>
      <c r="H27" s="234"/>
      <c r="I27" s="241"/>
      <c r="J27" s="234"/>
      <c r="K27" s="241"/>
      <c r="L27" s="128">
        <f t="shared" si="0"/>
        <v>0</v>
      </c>
    </row>
    <row r="28" spans="1:12" x14ac:dyDescent="0.3">
      <c r="A28" s="30">
        <f t="shared" si="1"/>
        <v>8</v>
      </c>
      <c r="B28" s="5"/>
      <c r="C28" s="6"/>
      <c r="D28" s="6"/>
      <c r="E28" s="6" t="s">
        <v>340</v>
      </c>
      <c r="F28" s="6"/>
      <c r="G28" s="57"/>
      <c r="H28" s="234"/>
      <c r="I28" s="241"/>
      <c r="J28" s="234"/>
      <c r="K28" s="241"/>
      <c r="L28" s="128">
        <f t="shared" si="0"/>
        <v>0</v>
      </c>
    </row>
    <row r="29" spans="1:12" x14ac:dyDescent="0.3">
      <c r="A29" s="30">
        <f t="shared" si="1"/>
        <v>9</v>
      </c>
      <c r="B29" s="5"/>
      <c r="C29" s="6"/>
      <c r="D29" s="6"/>
      <c r="E29" s="6" t="s">
        <v>250</v>
      </c>
      <c r="F29" s="6"/>
      <c r="G29" s="57"/>
      <c r="H29" s="234"/>
      <c r="I29" s="241"/>
      <c r="J29" s="234"/>
      <c r="K29" s="241"/>
      <c r="L29" s="128">
        <f t="shared" si="0"/>
        <v>0</v>
      </c>
    </row>
    <row r="30" spans="1:12" x14ac:dyDescent="0.3">
      <c r="A30" s="30">
        <f t="shared" si="1"/>
        <v>10</v>
      </c>
      <c r="B30" s="5"/>
      <c r="C30" s="6"/>
      <c r="D30" s="6"/>
      <c r="E30" s="6"/>
      <c r="F30" s="8" t="s">
        <v>267</v>
      </c>
      <c r="G30" s="62" t="s">
        <v>341</v>
      </c>
      <c r="H30" s="145">
        <f>SUM(H21:H29)</f>
        <v>0</v>
      </c>
      <c r="I30" s="153">
        <f>SUM(I21:I29)</f>
        <v>0</v>
      </c>
      <c r="J30" s="145">
        <f>SUM(J21:J29)</f>
        <v>0</v>
      </c>
      <c r="K30" s="153">
        <f>SUM(K21:K29)</f>
        <v>0</v>
      </c>
      <c r="L30" s="145">
        <f>SUM(L21:L29)</f>
        <v>0</v>
      </c>
    </row>
    <row r="31" spans="1:12" x14ac:dyDescent="0.3">
      <c r="A31" s="30"/>
      <c r="B31" s="5"/>
      <c r="C31" s="6"/>
      <c r="D31" s="6"/>
      <c r="E31" s="6"/>
      <c r="F31" s="6"/>
      <c r="G31" s="62"/>
      <c r="H31" s="145"/>
      <c r="I31" s="153"/>
      <c r="J31" s="145"/>
      <c r="K31" s="153"/>
      <c r="L31" s="145"/>
    </row>
    <row r="32" spans="1:12" x14ac:dyDescent="0.3">
      <c r="A32" s="30"/>
      <c r="B32" s="5"/>
      <c r="C32" s="6"/>
      <c r="D32" s="6" t="s">
        <v>252</v>
      </c>
      <c r="E32" s="6"/>
      <c r="F32" s="6"/>
      <c r="G32" s="57"/>
      <c r="H32" s="145"/>
      <c r="I32" s="141"/>
      <c r="J32" s="128"/>
      <c r="K32" s="141"/>
      <c r="L32" s="128"/>
    </row>
    <row r="33" spans="1:12" x14ac:dyDescent="0.3">
      <c r="A33" s="30">
        <f>A30+1</f>
        <v>11</v>
      </c>
      <c r="B33" s="5"/>
      <c r="C33" s="6"/>
      <c r="D33" s="6"/>
      <c r="E33" s="6" t="s">
        <v>256</v>
      </c>
      <c r="F33" s="6"/>
      <c r="G33" s="57"/>
      <c r="H33" s="234"/>
      <c r="I33" s="241"/>
      <c r="J33" s="234"/>
      <c r="K33" s="241"/>
      <c r="L33" s="128">
        <f>SUM(H33:K33)</f>
        <v>0</v>
      </c>
    </row>
    <row r="34" spans="1:12" x14ac:dyDescent="0.3">
      <c r="A34" s="30">
        <f>A33+1</f>
        <v>12</v>
      </c>
      <c r="B34" s="5"/>
      <c r="C34" s="6"/>
      <c r="D34" s="6"/>
      <c r="E34" s="6" t="s">
        <v>342</v>
      </c>
      <c r="F34" s="6"/>
      <c r="G34" s="57"/>
      <c r="H34" s="234"/>
      <c r="I34" s="241"/>
      <c r="J34" s="234"/>
      <c r="K34" s="241"/>
      <c r="L34" s="128">
        <f>SUM(H34:K34)</f>
        <v>0</v>
      </c>
    </row>
    <row r="35" spans="1:12" x14ac:dyDescent="0.3">
      <c r="A35" s="30">
        <f>A34+1</f>
        <v>13</v>
      </c>
      <c r="B35" s="5"/>
      <c r="C35" s="6"/>
      <c r="D35" s="6"/>
      <c r="E35" s="6" t="s">
        <v>171</v>
      </c>
      <c r="F35" s="6"/>
      <c r="G35" s="57"/>
      <c r="H35" s="234"/>
      <c r="I35" s="241"/>
      <c r="J35" s="234"/>
      <c r="K35" s="241"/>
      <c r="L35" s="128">
        <f>SUM(H35:K35)</f>
        <v>0</v>
      </c>
    </row>
    <row r="36" spans="1:12" x14ac:dyDescent="0.3">
      <c r="A36" s="30">
        <f>A35+1</f>
        <v>14</v>
      </c>
      <c r="B36" s="5"/>
      <c r="C36" s="6"/>
      <c r="D36" s="6"/>
      <c r="E36" s="6" t="s">
        <v>251</v>
      </c>
      <c r="F36" s="6"/>
      <c r="G36" s="57"/>
      <c r="H36" s="234"/>
      <c r="I36" s="241"/>
      <c r="J36" s="234"/>
      <c r="K36" s="241"/>
      <c r="L36" s="128">
        <f>SUM(H36:K36)</f>
        <v>0</v>
      </c>
    </row>
    <row r="37" spans="1:12" x14ac:dyDescent="0.3">
      <c r="A37" s="30">
        <f>A36+1</f>
        <v>15</v>
      </c>
      <c r="B37" s="5"/>
      <c r="C37" s="6"/>
      <c r="D37" s="6"/>
      <c r="E37" s="6"/>
      <c r="F37" s="8" t="s">
        <v>153</v>
      </c>
      <c r="G37" s="62" t="s">
        <v>343</v>
      </c>
      <c r="H37" s="145">
        <f>SUM(H33:H36)</f>
        <v>0</v>
      </c>
      <c r="I37" s="153">
        <f>SUM(I33:I36)</f>
        <v>0</v>
      </c>
      <c r="J37" s="145">
        <f>SUM(J33:J36)</f>
        <v>0</v>
      </c>
      <c r="K37" s="153">
        <f>SUM(K33:K36)</f>
        <v>0</v>
      </c>
      <c r="L37" s="145">
        <f>SUM(L33:L36)</f>
        <v>0</v>
      </c>
    </row>
    <row r="38" spans="1:12" x14ac:dyDescent="0.3">
      <c r="A38" s="30"/>
      <c r="B38" s="5"/>
      <c r="C38" s="19" t="s">
        <v>344</v>
      </c>
      <c r="D38" s="6"/>
      <c r="E38" s="6"/>
      <c r="F38" s="6"/>
      <c r="G38" s="62"/>
      <c r="H38" s="145"/>
      <c r="I38" s="153"/>
      <c r="J38" s="145"/>
      <c r="K38" s="153"/>
      <c r="L38" s="145"/>
    </row>
    <row r="39" spans="1:12" x14ac:dyDescent="0.3">
      <c r="A39" s="30">
        <f>A37+1</f>
        <v>16</v>
      </c>
      <c r="B39" s="5"/>
      <c r="C39" s="6"/>
      <c r="D39" s="6"/>
      <c r="E39" s="121" t="s">
        <v>345</v>
      </c>
      <c r="F39" s="6"/>
      <c r="G39" s="62"/>
      <c r="H39" s="234"/>
      <c r="I39" s="241"/>
      <c r="J39" s="234"/>
      <c r="K39" s="241"/>
      <c r="L39" s="128">
        <f t="shared" ref="L39:L44" si="2">SUM(H39:K39)</f>
        <v>0</v>
      </c>
    </row>
    <row r="40" spans="1:12" x14ac:dyDescent="0.3">
      <c r="A40" s="30">
        <f t="shared" ref="A40:A45" si="3">A39+1</f>
        <v>17</v>
      </c>
      <c r="B40" s="5"/>
      <c r="C40" s="6"/>
      <c r="D40" s="6"/>
      <c r="E40" s="121" t="s">
        <v>354</v>
      </c>
      <c r="F40" s="6"/>
      <c r="G40" s="62"/>
      <c r="H40" s="234"/>
      <c r="I40" s="241"/>
      <c r="J40" s="234"/>
      <c r="K40" s="241"/>
      <c r="L40" s="128">
        <f t="shared" si="2"/>
        <v>0</v>
      </c>
    </row>
    <row r="41" spans="1:12" x14ac:dyDescent="0.3">
      <c r="A41" s="30">
        <f t="shared" si="3"/>
        <v>18</v>
      </c>
      <c r="B41" s="5"/>
      <c r="C41" s="6"/>
      <c r="D41" s="6"/>
      <c r="E41" s="6" t="s">
        <v>256</v>
      </c>
      <c r="F41" s="6"/>
      <c r="G41" s="62"/>
      <c r="H41" s="234"/>
      <c r="I41" s="241"/>
      <c r="J41" s="234"/>
      <c r="K41" s="241"/>
      <c r="L41" s="128">
        <f t="shared" si="2"/>
        <v>0</v>
      </c>
    </row>
    <row r="42" spans="1:12" x14ac:dyDescent="0.3">
      <c r="A42" s="30">
        <f t="shared" si="3"/>
        <v>19</v>
      </c>
      <c r="B42" s="5"/>
      <c r="C42" s="6"/>
      <c r="D42" s="6"/>
      <c r="E42" s="6" t="s">
        <v>339</v>
      </c>
      <c r="F42" s="6"/>
      <c r="G42" s="62"/>
      <c r="H42" s="234"/>
      <c r="I42" s="241"/>
      <c r="J42" s="234"/>
      <c r="K42" s="241"/>
      <c r="L42" s="128">
        <f t="shared" si="2"/>
        <v>0</v>
      </c>
    </row>
    <row r="43" spans="1:12" x14ac:dyDescent="0.3">
      <c r="A43" s="30">
        <f t="shared" si="3"/>
        <v>20</v>
      </c>
      <c r="B43" s="5"/>
      <c r="C43" s="6"/>
      <c r="D43" s="6"/>
      <c r="E43" s="6" t="s">
        <v>365</v>
      </c>
      <c r="F43" s="6"/>
      <c r="G43" s="62"/>
      <c r="H43" s="234"/>
      <c r="I43" s="241"/>
      <c r="J43" s="234"/>
      <c r="K43" s="241"/>
      <c r="L43" s="128">
        <f t="shared" si="2"/>
        <v>0</v>
      </c>
    </row>
    <row r="44" spans="1:12" x14ac:dyDescent="0.3">
      <c r="A44" s="30">
        <f t="shared" si="3"/>
        <v>21</v>
      </c>
      <c r="B44" s="5"/>
      <c r="C44" s="6"/>
      <c r="D44" s="6"/>
      <c r="E44" s="6" t="s">
        <v>258</v>
      </c>
      <c r="F44" s="6"/>
      <c r="G44" s="62"/>
      <c r="H44" s="234"/>
      <c r="I44" s="241"/>
      <c r="J44" s="234"/>
      <c r="K44" s="241"/>
      <c r="L44" s="128">
        <f t="shared" si="2"/>
        <v>0</v>
      </c>
    </row>
    <row r="45" spans="1:12" x14ac:dyDescent="0.3">
      <c r="A45" s="30">
        <f t="shared" si="3"/>
        <v>22</v>
      </c>
      <c r="B45" s="5"/>
      <c r="C45" s="6"/>
      <c r="D45" s="6"/>
      <c r="E45" s="6"/>
      <c r="F45" s="8" t="s">
        <v>268</v>
      </c>
      <c r="G45" s="62" t="s">
        <v>346</v>
      </c>
      <c r="H45" s="145">
        <f>SUM(H39:H44)</f>
        <v>0</v>
      </c>
      <c r="I45" s="153">
        <f>SUM(I39:I44)</f>
        <v>0</v>
      </c>
      <c r="J45" s="145">
        <f>SUM(J39:J44)</f>
        <v>0</v>
      </c>
      <c r="K45" s="153">
        <f>SUM(K39:K44)</f>
        <v>0</v>
      </c>
      <c r="L45" s="145">
        <f>SUM(L39:L44)</f>
        <v>0</v>
      </c>
    </row>
    <row r="46" spans="1:12" x14ac:dyDescent="0.3">
      <c r="A46" s="30"/>
      <c r="B46" s="5"/>
      <c r="C46" s="19" t="s">
        <v>355</v>
      </c>
      <c r="D46" s="6"/>
      <c r="E46" s="6"/>
      <c r="F46" s="6"/>
      <c r="G46" s="62"/>
      <c r="H46" s="145"/>
      <c r="I46" s="153"/>
      <c r="J46" s="145"/>
      <c r="K46" s="153"/>
      <c r="L46" s="145"/>
    </row>
    <row r="47" spans="1:12" x14ac:dyDescent="0.3">
      <c r="A47" s="30">
        <f>A45+1</f>
        <v>23</v>
      </c>
      <c r="B47" s="5"/>
      <c r="C47" s="6"/>
      <c r="D47" s="6" t="s">
        <v>139</v>
      </c>
      <c r="E47" s="6"/>
      <c r="F47" s="6"/>
      <c r="G47" s="62"/>
      <c r="H47" s="234"/>
      <c r="I47" s="241"/>
      <c r="J47" s="234"/>
      <c r="K47" s="241"/>
      <c r="L47" s="128">
        <f>SUM(H47:K47)</f>
        <v>0</v>
      </c>
    </row>
    <row r="48" spans="1:12" x14ac:dyDescent="0.3">
      <c r="A48" s="30">
        <f>A47+1</f>
        <v>24</v>
      </c>
      <c r="B48" s="5"/>
      <c r="C48" s="6"/>
      <c r="D48" s="6" t="s">
        <v>347</v>
      </c>
      <c r="E48" s="6"/>
      <c r="F48" s="6"/>
      <c r="G48" s="62"/>
      <c r="H48" s="234"/>
      <c r="I48" s="241"/>
      <c r="J48" s="234"/>
      <c r="K48" s="241"/>
      <c r="L48" s="128">
        <f>SUM(H48:K48)</f>
        <v>0</v>
      </c>
    </row>
    <row r="49" spans="1:12" x14ac:dyDescent="0.3">
      <c r="A49" s="30">
        <f>A48+1</f>
        <v>25</v>
      </c>
      <c r="B49" s="5"/>
      <c r="C49" s="6"/>
      <c r="D49" s="6" t="s">
        <v>169</v>
      </c>
      <c r="E49" s="6"/>
      <c r="F49" s="6"/>
      <c r="G49" s="57"/>
      <c r="H49" s="234"/>
      <c r="I49" s="241"/>
      <c r="J49" s="234"/>
      <c r="K49" s="241"/>
      <c r="L49" s="128">
        <f>SUM(H49:K49)</f>
        <v>0</v>
      </c>
    </row>
    <row r="50" spans="1:12" x14ac:dyDescent="0.3">
      <c r="A50" s="30">
        <f>A49+1</f>
        <v>26</v>
      </c>
      <c r="B50" s="5"/>
      <c r="C50" s="6"/>
      <c r="D50" s="6"/>
      <c r="E50" s="6"/>
      <c r="F50" s="8" t="s">
        <v>348</v>
      </c>
      <c r="G50" s="62" t="s">
        <v>356</v>
      </c>
      <c r="H50" s="145">
        <f>SUM(H47:H49)</f>
        <v>0</v>
      </c>
      <c r="I50" s="153">
        <f>SUM(I47:I49)</f>
        <v>0</v>
      </c>
      <c r="J50" s="145">
        <f>SUM(J47:J49)</f>
        <v>0</v>
      </c>
      <c r="K50" s="153">
        <f>SUM(K47:K49)</f>
        <v>0</v>
      </c>
      <c r="L50" s="128">
        <f>SUM(H50:K50)</f>
        <v>0</v>
      </c>
    </row>
    <row r="51" spans="1:12" ht="13.5" x14ac:dyDescent="0.3">
      <c r="A51" s="30">
        <f>A50+1</f>
        <v>27</v>
      </c>
      <c r="B51" s="5"/>
      <c r="C51" s="6"/>
      <c r="D51" s="6"/>
      <c r="E51" s="8"/>
      <c r="F51" s="116" t="s">
        <v>144</v>
      </c>
      <c r="G51" s="117" t="s">
        <v>349</v>
      </c>
      <c r="H51" s="163">
        <f>H30+H37+H45+H50</f>
        <v>0</v>
      </c>
      <c r="I51" s="215">
        <f>I30+I37+I45+I50</f>
        <v>0</v>
      </c>
      <c r="J51" s="163">
        <f>J30+J37+J45+J50</f>
        <v>0</v>
      </c>
      <c r="K51" s="215">
        <f>K30+K37+K45+K50</f>
        <v>0</v>
      </c>
      <c r="L51" s="163">
        <f>L30+L37+L45+L50</f>
        <v>0</v>
      </c>
    </row>
    <row r="52" spans="1:12" x14ac:dyDescent="0.3">
      <c r="A52" s="29"/>
      <c r="B52" s="44" t="s">
        <v>145</v>
      </c>
      <c r="C52" s="38"/>
      <c r="D52" s="38"/>
      <c r="E52" s="3"/>
      <c r="F52" s="3"/>
      <c r="G52" s="64"/>
      <c r="H52" s="136"/>
      <c r="I52" s="136"/>
      <c r="J52" s="136"/>
      <c r="K52" s="136"/>
      <c r="L52" s="165"/>
    </row>
    <row r="53" spans="1:12" x14ac:dyDescent="0.3">
      <c r="A53" s="30">
        <f>A51+1</f>
        <v>28</v>
      </c>
      <c r="B53" s="5"/>
      <c r="C53" s="6" t="s">
        <v>350</v>
      </c>
      <c r="D53" s="6"/>
      <c r="E53" s="6"/>
      <c r="F53" s="6"/>
      <c r="G53" s="57"/>
      <c r="H53" s="141"/>
      <c r="I53" s="141"/>
      <c r="J53" s="141"/>
      <c r="K53" s="141"/>
      <c r="L53" s="234"/>
    </row>
    <row r="54" spans="1:12" x14ac:dyDescent="0.3">
      <c r="A54" s="30">
        <f t="shared" ref="A54:A60" si="4">A53+1</f>
        <v>29</v>
      </c>
      <c r="B54" s="5"/>
      <c r="C54" s="6" t="s">
        <v>248</v>
      </c>
      <c r="D54" s="6"/>
      <c r="E54" s="6"/>
      <c r="F54" s="6"/>
      <c r="G54" s="57"/>
      <c r="H54" s="141"/>
      <c r="I54" s="141"/>
      <c r="J54" s="141"/>
      <c r="K54" s="141"/>
      <c r="L54" s="234"/>
    </row>
    <row r="55" spans="1:12" x14ac:dyDescent="0.3">
      <c r="A55" s="30">
        <f t="shared" si="4"/>
        <v>30</v>
      </c>
      <c r="B55" s="5"/>
      <c r="C55" s="6" t="s">
        <v>19</v>
      </c>
      <c r="D55" s="6"/>
      <c r="E55" s="6"/>
      <c r="F55" s="6"/>
      <c r="G55" s="57"/>
      <c r="H55" s="141"/>
      <c r="I55" s="141"/>
      <c r="J55" s="141"/>
      <c r="K55" s="141"/>
      <c r="L55" s="234"/>
    </row>
    <row r="56" spans="1:12" x14ac:dyDescent="0.3">
      <c r="A56" s="30">
        <f t="shared" si="4"/>
        <v>31</v>
      </c>
      <c r="B56" s="5"/>
      <c r="C56" s="6" t="s">
        <v>129</v>
      </c>
      <c r="D56" s="6"/>
      <c r="E56" s="6"/>
      <c r="F56" s="6"/>
      <c r="G56" s="27"/>
      <c r="H56" s="141"/>
      <c r="I56" s="141"/>
      <c r="J56" s="141"/>
      <c r="K56" s="141"/>
      <c r="L56" s="234"/>
    </row>
    <row r="57" spans="1:12" x14ac:dyDescent="0.3">
      <c r="A57" s="30">
        <f t="shared" si="4"/>
        <v>32</v>
      </c>
      <c r="B57" s="5"/>
      <c r="C57" s="6" t="s">
        <v>249</v>
      </c>
      <c r="D57" s="6"/>
      <c r="E57" s="6"/>
      <c r="F57" s="6"/>
      <c r="G57" s="27"/>
      <c r="H57" s="141"/>
      <c r="I57" s="141"/>
      <c r="J57" s="141"/>
      <c r="K57" s="141"/>
      <c r="L57" s="234"/>
    </row>
    <row r="58" spans="1:12" x14ac:dyDescent="0.3">
      <c r="A58" s="30">
        <f t="shared" si="4"/>
        <v>33</v>
      </c>
      <c r="B58" s="5"/>
      <c r="C58" s="6" t="s">
        <v>1</v>
      </c>
      <c r="D58" s="6"/>
      <c r="E58" s="6"/>
      <c r="F58" s="6"/>
      <c r="G58" s="27"/>
      <c r="H58" s="141"/>
      <c r="I58" s="141"/>
      <c r="J58" s="141"/>
      <c r="K58" s="141"/>
      <c r="L58" s="234"/>
    </row>
    <row r="59" spans="1:12" ht="13.5" x14ac:dyDescent="0.3">
      <c r="A59" s="31">
        <f t="shared" si="4"/>
        <v>34</v>
      </c>
      <c r="B59" s="52"/>
      <c r="C59" s="28"/>
      <c r="D59" s="28"/>
      <c r="E59" s="28"/>
      <c r="F59" s="114" t="s">
        <v>172</v>
      </c>
      <c r="G59" s="115" t="s">
        <v>351</v>
      </c>
      <c r="H59" s="214"/>
      <c r="I59" s="214"/>
      <c r="J59" s="214"/>
      <c r="K59" s="214"/>
      <c r="L59" s="150">
        <f>SUM(L53:L58)</f>
        <v>0</v>
      </c>
    </row>
    <row r="60" spans="1:12" ht="13.5" x14ac:dyDescent="0.35">
      <c r="A60" s="17">
        <f t="shared" si="4"/>
        <v>35</v>
      </c>
      <c r="B60" s="12" t="s">
        <v>127</v>
      </c>
      <c r="C60" s="33"/>
      <c r="D60" s="33"/>
      <c r="E60" s="33"/>
      <c r="F60" s="33"/>
      <c r="G60" s="155" t="s">
        <v>352</v>
      </c>
      <c r="H60" s="186"/>
      <c r="I60" s="187"/>
      <c r="J60" s="187"/>
      <c r="K60" s="188"/>
      <c r="L60" s="152">
        <f>L51+L59</f>
        <v>0</v>
      </c>
    </row>
  </sheetData>
  <sheetProtection password="F7CB" sheet="1" objects="1" scenarios="1"/>
  <mergeCells count="18">
    <mergeCell ref="A4:E4"/>
    <mergeCell ref="H16:H17"/>
    <mergeCell ref="I16:I17"/>
    <mergeCell ref="J16:J17"/>
    <mergeCell ref="A6:E6"/>
    <mergeCell ref="A16:A17"/>
    <mergeCell ref="G16:G17"/>
    <mergeCell ref="B16:F17"/>
    <mergeCell ref="A3:E3"/>
    <mergeCell ref="A5:E5"/>
    <mergeCell ref="L16:L17"/>
    <mergeCell ref="E14:L14"/>
    <mergeCell ref="B10:L10"/>
    <mergeCell ref="B12:L12"/>
    <mergeCell ref="B11:L11"/>
    <mergeCell ref="A7:E7"/>
    <mergeCell ref="K3:L4"/>
    <mergeCell ref="K16:K17"/>
  </mergeCells>
  <printOptions horizontalCentered="1"/>
  <pageMargins left="0.5" right="0.5" top="0.57999999999999996" bottom="0.43" header="0.41" footer="0.24"/>
  <pageSetup scale="72"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4"/>
  <sheetViews>
    <sheetView zoomScale="75" zoomScaleNormal="75" zoomScaleSheetLayoutView="75" workbookViewId="0"/>
  </sheetViews>
  <sheetFormatPr defaultColWidth="9.1796875" defaultRowHeight="13" x14ac:dyDescent="0.3"/>
  <cols>
    <col min="1" max="1" width="3.7265625" style="2" customWidth="1"/>
    <col min="2" max="2" width="6.54296875" style="2" customWidth="1"/>
    <col min="3" max="3" width="6.7265625" style="2" customWidth="1"/>
    <col min="4" max="4" width="31.26953125" style="2" customWidth="1"/>
    <col min="5" max="5" width="6" style="2" customWidth="1"/>
    <col min="6" max="6" width="17.54296875" style="26" customWidth="1"/>
    <col min="7" max="7" width="25.1796875" style="2" customWidth="1"/>
    <col min="8" max="8" width="6.81640625" style="2" customWidth="1"/>
    <col min="9" max="9" width="9.1796875" style="2"/>
    <col min="10" max="10" width="15.54296875" style="2" customWidth="1"/>
    <col min="11" max="11" width="9.1796875" style="2"/>
    <col min="12" max="12" width="10.81640625" style="2" customWidth="1"/>
    <col min="13" max="16384" width="9.1796875" style="2"/>
  </cols>
  <sheetData>
    <row r="1" spans="1:11" x14ac:dyDescent="0.3">
      <c r="A1" s="22" t="s">
        <v>214</v>
      </c>
      <c r="G1" s="51" t="s">
        <v>101</v>
      </c>
      <c r="I1" s="41"/>
    </row>
    <row r="2" spans="1:11" x14ac:dyDescent="0.3">
      <c r="A2" s="22"/>
      <c r="B2" s="23"/>
      <c r="F2" s="50"/>
      <c r="I2" s="41"/>
    </row>
    <row r="3" spans="1:11" x14ac:dyDescent="0.3">
      <c r="A3" s="311" t="s">
        <v>121</v>
      </c>
      <c r="B3" s="312"/>
      <c r="C3" s="313"/>
      <c r="D3" s="80" t="s">
        <v>154</v>
      </c>
      <c r="F3" s="78" t="s">
        <v>287</v>
      </c>
      <c r="G3" s="433">
        <f>'310'!$G$3</f>
        <v>0</v>
      </c>
      <c r="H3" s="434"/>
      <c r="I3" s="41"/>
    </row>
    <row r="4" spans="1:11" x14ac:dyDescent="0.3">
      <c r="A4" s="314" t="s">
        <v>122</v>
      </c>
      <c r="B4" s="315"/>
      <c r="C4" s="316"/>
      <c r="D4" s="80" t="s">
        <v>94</v>
      </c>
      <c r="F4" s="30"/>
      <c r="G4" s="435"/>
      <c r="H4" s="436"/>
    </row>
    <row r="5" spans="1:11" x14ac:dyDescent="0.3">
      <c r="A5" s="314" t="s">
        <v>123</v>
      </c>
      <c r="B5" s="315"/>
      <c r="C5" s="316"/>
      <c r="D5" s="80" t="s">
        <v>125</v>
      </c>
      <c r="F5" s="221" t="s">
        <v>288</v>
      </c>
      <c r="G5" s="437">
        <f>'310'!$G$5</f>
        <v>0</v>
      </c>
      <c r="H5" s="438"/>
      <c r="I5" s="6"/>
      <c r="J5" s="19"/>
      <c r="K5" s="25"/>
    </row>
    <row r="6" spans="1:11" x14ac:dyDescent="0.3">
      <c r="A6" s="314" t="s">
        <v>120</v>
      </c>
      <c r="B6" s="315"/>
      <c r="C6" s="316"/>
      <c r="D6" s="80" t="s">
        <v>102</v>
      </c>
      <c r="F6" s="2"/>
      <c r="G6" s="19"/>
      <c r="H6" s="6"/>
      <c r="I6" s="6"/>
      <c r="J6" s="19"/>
      <c r="K6" s="25"/>
    </row>
    <row r="7" spans="1:11" x14ac:dyDescent="0.3">
      <c r="A7" s="321" t="s">
        <v>126</v>
      </c>
      <c r="B7" s="322"/>
      <c r="C7" s="323"/>
      <c r="D7" s="82">
        <v>2002</v>
      </c>
      <c r="F7" s="6"/>
      <c r="G7" s="43"/>
      <c r="H7" s="6"/>
      <c r="I7" s="6"/>
      <c r="J7" s="19"/>
      <c r="K7" s="25"/>
    </row>
    <row r="8" spans="1:11" x14ac:dyDescent="0.3">
      <c r="A8" s="6"/>
      <c r="B8" s="6"/>
      <c r="C8" s="6"/>
      <c r="D8" s="43"/>
      <c r="F8" s="6"/>
      <c r="G8" s="43"/>
      <c r="H8" s="6"/>
      <c r="I8" s="6"/>
      <c r="J8" s="19"/>
      <c r="K8" s="25"/>
    </row>
    <row r="9" spans="1:11" ht="12.75" customHeight="1" x14ac:dyDescent="0.3">
      <c r="A9" s="46"/>
      <c r="B9" s="45"/>
      <c r="C9" s="45"/>
      <c r="D9" s="45"/>
      <c r="E9" s="45"/>
      <c r="F9" s="37"/>
      <c r="G9" s="37"/>
      <c r="H9" s="45"/>
    </row>
    <row r="10" spans="1:11" x14ac:dyDescent="0.3">
      <c r="A10" s="431"/>
      <c r="B10" s="444" t="s">
        <v>97</v>
      </c>
      <c r="C10" s="444"/>
      <c r="D10" s="444"/>
      <c r="E10" s="445"/>
      <c r="F10" s="446"/>
      <c r="G10" s="439" t="s">
        <v>15</v>
      </c>
    </row>
    <row r="11" spans="1:11" x14ac:dyDescent="0.3">
      <c r="A11" s="431"/>
      <c r="B11" s="444"/>
      <c r="C11" s="444"/>
      <c r="D11" s="444"/>
      <c r="E11" s="445"/>
      <c r="F11" s="446"/>
      <c r="G11" s="440"/>
    </row>
    <row r="12" spans="1:11" x14ac:dyDescent="0.3">
      <c r="A12" s="29"/>
      <c r="B12" s="44" t="s">
        <v>44</v>
      </c>
      <c r="C12" s="3"/>
      <c r="D12" s="3"/>
      <c r="E12" s="3"/>
      <c r="F12" s="68"/>
      <c r="G12" s="168"/>
    </row>
    <row r="13" spans="1:11" x14ac:dyDescent="0.3">
      <c r="A13" s="30">
        <v>1</v>
      </c>
      <c r="B13" s="5"/>
      <c r="C13" s="6" t="s">
        <v>45</v>
      </c>
      <c r="D13" s="6"/>
      <c r="E13" s="6"/>
      <c r="F13" s="66"/>
      <c r="G13" s="238"/>
    </row>
    <row r="14" spans="1:11" x14ac:dyDescent="0.3">
      <c r="A14" s="30">
        <f>A13+1</f>
        <v>2</v>
      </c>
      <c r="B14" s="5"/>
      <c r="C14" s="6" t="s">
        <v>46</v>
      </c>
      <c r="D14" s="6"/>
      <c r="E14" s="6"/>
      <c r="F14" s="66"/>
      <c r="G14" s="238"/>
    </row>
    <row r="15" spans="1:11" x14ac:dyDescent="0.3">
      <c r="A15" s="30">
        <f>A14+1</f>
        <v>3</v>
      </c>
      <c r="B15" s="5"/>
      <c r="C15" s="6" t="s">
        <v>47</v>
      </c>
      <c r="D15" s="6"/>
      <c r="E15" s="6"/>
      <c r="F15" s="66"/>
      <c r="G15" s="238"/>
    </row>
    <row r="16" spans="1:11" x14ac:dyDescent="0.3">
      <c r="A16" s="30">
        <f>A15+1</f>
        <v>4</v>
      </c>
      <c r="B16" s="5"/>
      <c r="C16" s="6" t="s">
        <v>48</v>
      </c>
      <c r="D16" s="6"/>
      <c r="E16" s="6"/>
      <c r="F16" s="66"/>
      <c r="G16" s="238"/>
    </row>
    <row r="17" spans="1:7" x14ac:dyDescent="0.3">
      <c r="A17" s="30">
        <f>A16+1</f>
        <v>5</v>
      </c>
      <c r="B17" s="5"/>
      <c r="C17" s="8" t="s">
        <v>6</v>
      </c>
      <c r="D17" s="8"/>
      <c r="E17" s="8"/>
      <c r="F17" s="66" t="s">
        <v>112</v>
      </c>
      <c r="G17" s="181">
        <f>SUM(G13:G16)</f>
        <v>0</v>
      </c>
    </row>
    <row r="18" spans="1:7" x14ac:dyDescent="0.3">
      <c r="A18" s="30"/>
      <c r="B18" s="44" t="s">
        <v>49</v>
      </c>
      <c r="C18" s="3"/>
      <c r="D18" s="3"/>
      <c r="E18" s="3"/>
      <c r="F18" s="68"/>
      <c r="G18" s="168"/>
    </row>
    <row r="19" spans="1:7" x14ac:dyDescent="0.3">
      <c r="A19" s="30">
        <f>A17+1</f>
        <v>6</v>
      </c>
      <c r="B19" s="5"/>
      <c r="C19" s="6" t="s">
        <v>50</v>
      </c>
      <c r="D19" s="6"/>
      <c r="E19" s="6"/>
      <c r="F19" s="66"/>
      <c r="G19" s="238"/>
    </row>
    <row r="20" spans="1:7" x14ac:dyDescent="0.3">
      <c r="A20" s="30">
        <f>A19+1</f>
        <v>7</v>
      </c>
      <c r="B20" s="5"/>
      <c r="C20" s="6" t="s">
        <v>394</v>
      </c>
      <c r="D20" s="6"/>
      <c r="E20" s="6"/>
      <c r="F20" s="66"/>
      <c r="G20" s="238"/>
    </row>
    <row r="21" spans="1:7" x14ac:dyDescent="0.3">
      <c r="A21" s="30">
        <f>A20+1</f>
        <v>8</v>
      </c>
      <c r="B21" s="5"/>
      <c r="C21" s="6" t="s">
        <v>65</v>
      </c>
      <c r="D21" s="6"/>
      <c r="E21" s="6"/>
      <c r="F21" s="66"/>
      <c r="G21" s="238"/>
    </row>
    <row r="22" spans="1:7" x14ac:dyDescent="0.3">
      <c r="A22" s="30">
        <f>A21+1</f>
        <v>9</v>
      </c>
      <c r="B22" s="5"/>
      <c r="C22" s="6" t="s">
        <v>51</v>
      </c>
      <c r="D22" s="6"/>
      <c r="E22" s="6"/>
      <c r="F22" s="66"/>
      <c r="G22" s="238"/>
    </row>
    <row r="23" spans="1:7" x14ac:dyDescent="0.3">
      <c r="A23" s="30">
        <f>A22+1</f>
        <v>10</v>
      </c>
      <c r="B23" s="5"/>
      <c r="C23" s="35" t="s">
        <v>124</v>
      </c>
      <c r="D23" s="8"/>
      <c r="E23" s="8"/>
      <c r="F23" s="66" t="s">
        <v>113</v>
      </c>
      <c r="G23" s="181">
        <f>G19+G20-G21+G22</f>
        <v>0</v>
      </c>
    </row>
    <row r="24" spans="1:7" x14ac:dyDescent="0.3">
      <c r="A24" s="30"/>
      <c r="B24" s="44" t="s">
        <v>52</v>
      </c>
      <c r="C24" s="3"/>
      <c r="D24" s="3"/>
      <c r="E24" s="3"/>
      <c r="F24" s="68"/>
      <c r="G24" s="168"/>
    </row>
    <row r="25" spans="1:7" x14ac:dyDescent="0.3">
      <c r="A25" s="30">
        <f>A23+1</f>
        <v>11</v>
      </c>
      <c r="B25" s="5"/>
      <c r="C25" s="6" t="s">
        <v>53</v>
      </c>
      <c r="D25" s="6"/>
      <c r="E25" s="6"/>
      <c r="F25" s="66"/>
      <c r="G25" s="238"/>
    </row>
    <row r="26" spans="1:7" x14ac:dyDescent="0.3">
      <c r="A26" s="30">
        <f>A25+1</f>
        <v>12</v>
      </c>
      <c r="B26" s="5"/>
      <c r="C26" s="6" t="s">
        <v>54</v>
      </c>
      <c r="D26" s="6"/>
      <c r="E26" s="6"/>
      <c r="F26" s="66"/>
      <c r="G26" s="238"/>
    </row>
    <row r="27" spans="1:7" x14ac:dyDescent="0.3">
      <c r="A27" s="30">
        <f>A26+1</f>
        <v>13</v>
      </c>
      <c r="B27" s="5"/>
      <c r="C27" s="6" t="s">
        <v>1</v>
      </c>
      <c r="D27" s="6"/>
      <c r="E27" s="6"/>
      <c r="F27" s="66"/>
      <c r="G27" s="238"/>
    </row>
    <row r="28" spans="1:7" x14ac:dyDescent="0.3">
      <c r="A28" s="30">
        <f>A27+1</f>
        <v>14</v>
      </c>
      <c r="B28" s="52"/>
      <c r="C28" s="7" t="s">
        <v>6</v>
      </c>
      <c r="D28" s="7"/>
      <c r="E28" s="7"/>
      <c r="F28" s="67" t="s">
        <v>114</v>
      </c>
      <c r="G28" s="181">
        <f>SUM(G25:G27)</f>
        <v>0</v>
      </c>
    </row>
    <row r="29" spans="1:7" x14ac:dyDescent="0.3">
      <c r="A29" s="31">
        <f>A28+1</f>
        <v>15</v>
      </c>
      <c r="B29" s="60" t="s">
        <v>55</v>
      </c>
      <c r="C29" s="60"/>
      <c r="D29" s="60"/>
      <c r="E29" s="60"/>
      <c r="F29" s="71" t="s">
        <v>115</v>
      </c>
      <c r="G29" s="164">
        <f>G17+G23+G28</f>
        <v>0</v>
      </c>
    </row>
    <row r="30" spans="1:7" x14ac:dyDescent="0.3">
      <c r="A30" s="34"/>
      <c r="B30" s="38"/>
      <c r="C30" s="38"/>
      <c r="D30" s="19"/>
      <c r="E30" s="19"/>
      <c r="F30" s="34"/>
      <c r="G30" s="146"/>
    </row>
    <row r="31" spans="1:7" ht="24.75" customHeight="1" x14ac:dyDescent="0.3">
      <c r="A31" s="34"/>
      <c r="B31" s="444" t="s">
        <v>98</v>
      </c>
      <c r="C31" s="444" t="s">
        <v>98</v>
      </c>
      <c r="D31" s="444"/>
      <c r="E31" s="445"/>
      <c r="F31" s="447"/>
      <c r="G31" s="147"/>
    </row>
    <row r="32" spans="1:7" ht="12.75" customHeight="1" x14ac:dyDescent="0.3">
      <c r="A32" s="29"/>
      <c r="B32" s="44" t="s">
        <v>56</v>
      </c>
      <c r="C32" s="3"/>
      <c r="D32" s="3"/>
      <c r="E32" s="3"/>
      <c r="F32" s="68"/>
      <c r="G32" s="168"/>
    </row>
    <row r="33" spans="1:7" x14ac:dyDescent="0.3">
      <c r="A33" s="30">
        <f>A29+1</f>
        <v>16</v>
      </c>
      <c r="B33" s="5"/>
      <c r="C33" s="6" t="s">
        <v>57</v>
      </c>
      <c r="D33" s="6"/>
      <c r="E33" s="6"/>
      <c r="F33" s="66"/>
      <c r="G33" s="238"/>
    </row>
    <row r="34" spans="1:7" x14ac:dyDescent="0.3">
      <c r="A34" s="30">
        <f>A33+1</f>
        <v>17</v>
      </c>
      <c r="B34" s="5"/>
      <c r="C34" s="6" t="s">
        <v>58</v>
      </c>
      <c r="D34" s="6"/>
      <c r="E34" s="6"/>
      <c r="F34" s="66"/>
      <c r="G34" s="238"/>
    </row>
    <row r="35" spans="1:7" x14ac:dyDescent="0.3">
      <c r="A35" s="30">
        <f>A34+1</f>
        <v>18</v>
      </c>
      <c r="B35" s="5"/>
      <c r="C35" s="6" t="s">
        <v>66</v>
      </c>
      <c r="D35" s="6"/>
      <c r="E35" s="6"/>
      <c r="F35" s="66"/>
      <c r="G35" s="238"/>
    </row>
    <row r="36" spans="1:7" x14ac:dyDescent="0.3">
      <c r="A36" s="30">
        <f>A35+1</f>
        <v>19</v>
      </c>
      <c r="B36" s="5"/>
      <c r="C36" s="6" t="s">
        <v>99</v>
      </c>
      <c r="D36" s="6"/>
      <c r="E36" s="6"/>
      <c r="F36" s="66"/>
      <c r="G36" s="238"/>
    </row>
    <row r="37" spans="1:7" x14ac:dyDescent="0.3">
      <c r="A37" s="30">
        <f>A36+1</f>
        <v>20</v>
      </c>
      <c r="B37" s="5"/>
      <c r="C37" s="8" t="s">
        <v>6</v>
      </c>
      <c r="D37" s="8"/>
      <c r="E37" s="8"/>
      <c r="F37" s="66" t="s">
        <v>116</v>
      </c>
      <c r="G37" s="181">
        <f>SUM(G33:G36)</f>
        <v>0</v>
      </c>
    </row>
    <row r="38" spans="1:7" x14ac:dyDescent="0.3">
      <c r="A38" s="74"/>
      <c r="B38" s="44" t="s">
        <v>75</v>
      </c>
      <c r="C38" s="3"/>
      <c r="D38" s="3"/>
      <c r="E38" s="3"/>
      <c r="F38" s="72"/>
      <c r="G38" s="180"/>
    </row>
    <row r="39" spans="1:7" x14ac:dyDescent="0.3">
      <c r="A39" s="30">
        <f>A37+1</f>
        <v>21</v>
      </c>
      <c r="B39" s="5"/>
      <c r="C39" s="6" t="s">
        <v>59</v>
      </c>
      <c r="D39" s="6"/>
      <c r="E39" s="6"/>
      <c r="F39" s="66"/>
      <c r="G39" s="238"/>
    </row>
    <row r="40" spans="1:7" x14ac:dyDescent="0.3">
      <c r="A40" s="30">
        <f>A39+1</f>
        <v>22</v>
      </c>
      <c r="B40" s="5"/>
      <c r="C40" s="6" t="s">
        <v>60</v>
      </c>
      <c r="D40" s="6"/>
      <c r="E40" s="6"/>
      <c r="F40" s="66"/>
      <c r="G40" s="238"/>
    </row>
    <row r="41" spans="1:7" x14ac:dyDescent="0.3">
      <c r="A41" s="30">
        <f>A40+1</f>
        <v>23</v>
      </c>
      <c r="B41" s="5"/>
      <c r="C41" s="6" t="s">
        <v>1</v>
      </c>
      <c r="D41" s="6"/>
      <c r="E41" s="6"/>
      <c r="F41" s="66"/>
      <c r="G41" s="238"/>
    </row>
    <row r="42" spans="1:7" x14ac:dyDescent="0.3">
      <c r="A42" s="30">
        <f>A41+1</f>
        <v>24</v>
      </c>
      <c r="B42" s="5"/>
      <c r="C42" s="8" t="s">
        <v>6</v>
      </c>
      <c r="D42" s="8"/>
      <c r="E42" s="8"/>
      <c r="F42" s="66" t="s">
        <v>117</v>
      </c>
      <c r="G42" s="189">
        <f>SUM(G39:G41)</f>
        <v>0</v>
      </c>
    </row>
    <row r="43" spans="1:7" x14ac:dyDescent="0.3">
      <c r="A43" s="30"/>
      <c r="B43" s="44" t="s">
        <v>61</v>
      </c>
      <c r="C43" s="3"/>
      <c r="D43" s="3"/>
      <c r="E43" s="3"/>
      <c r="F43" s="68"/>
      <c r="G43" s="168"/>
    </row>
    <row r="44" spans="1:7" x14ac:dyDescent="0.3">
      <c r="A44" s="30">
        <f>A42+1</f>
        <v>25</v>
      </c>
      <c r="B44" s="5"/>
      <c r="C44" s="6" t="s">
        <v>90</v>
      </c>
      <c r="D44" s="6"/>
      <c r="E44" s="6"/>
      <c r="F44" s="66"/>
      <c r="G44" s="238"/>
    </row>
    <row r="45" spans="1:7" x14ac:dyDescent="0.3">
      <c r="A45" s="30">
        <f t="shared" ref="A45:A51" si="0">A44+1</f>
        <v>26</v>
      </c>
      <c r="B45" s="5"/>
      <c r="C45" s="6" t="s">
        <v>195</v>
      </c>
      <c r="D45" s="6"/>
      <c r="E45" s="6"/>
      <c r="F45" s="66"/>
      <c r="G45" s="238"/>
    </row>
    <row r="46" spans="1:7" x14ac:dyDescent="0.3">
      <c r="A46" s="30">
        <f t="shared" si="0"/>
        <v>27</v>
      </c>
      <c r="B46" s="5"/>
      <c r="C46" s="6" t="s">
        <v>89</v>
      </c>
      <c r="D46" s="6"/>
      <c r="E46" s="6"/>
      <c r="F46" s="88"/>
      <c r="G46" s="238"/>
    </row>
    <row r="47" spans="1:7" x14ac:dyDescent="0.3">
      <c r="A47" s="30">
        <f t="shared" si="0"/>
        <v>28</v>
      </c>
      <c r="B47" s="5"/>
      <c r="C47" s="6" t="s">
        <v>62</v>
      </c>
      <c r="D47" s="6"/>
      <c r="E47" s="6"/>
      <c r="F47" s="66"/>
      <c r="G47" s="238"/>
    </row>
    <row r="48" spans="1:7" x14ac:dyDescent="0.3">
      <c r="A48" s="30">
        <f t="shared" si="0"/>
        <v>29</v>
      </c>
      <c r="B48" s="5"/>
      <c r="C48" s="6" t="s">
        <v>63</v>
      </c>
      <c r="D48" s="6"/>
      <c r="E48" s="6"/>
      <c r="F48" s="66"/>
      <c r="G48" s="238"/>
    </row>
    <row r="49" spans="1:7" x14ac:dyDescent="0.3">
      <c r="A49" s="30">
        <f t="shared" si="0"/>
        <v>30</v>
      </c>
      <c r="B49" s="5"/>
      <c r="C49" s="6" t="s">
        <v>64</v>
      </c>
      <c r="D49" s="6"/>
      <c r="E49" s="6"/>
      <c r="F49" s="66"/>
      <c r="G49" s="238"/>
    </row>
    <row r="50" spans="1:7" x14ac:dyDescent="0.3">
      <c r="A50" s="30">
        <f t="shared" si="0"/>
        <v>31</v>
      </c>
      <c r="B50" s="5"/>
      <c r="C50" s="8" t="s">
        <v>6</v>
      </c>
      <c r="D50" s="8"/>
      <c r="E50" s="8"/>
      <c r="F50" s="66" t="s">
        <v>196</v>
      </c>
      <c r="G50" s="181">
        <f>SUM(G44:G49)</f>
        <v>0</v>
      </c>
    </row>
    <row r="51" spans="1:7" x14ac:dyDescent="0.3">
      <c r="A51" s="31">
        <f t="shared" si="0"/>
        <v>32</v>
      </c>
      <c r="B51" s="12" t="s">
        <v>95</v>
      </c>
      <c r="C51" s="33"/>
      <c r="D51" s="33"/>
      <c r="E51" s="33"/>
      <c r="F51" s="73" t="s">
        <v>197</v>
      </c>
      <c r="G51" s="164">
        <f>G37+G42+G50</f>
        <v>0</v>
      </c>
    </row>
    <row r="52" spans="1:7" x14ac:dyDescent="0.3">
      <c r="A52" s="75"/>
      <c r="B52" s="38"/>
      <c r="C52" s="38"/>
      <c r="D52" s="38"/>
      <c r="E52" s="38"/>
      <c r="F52" s="76"/>
      <c r="G52" s="136"/>
    </row>
    <row r="53" spans="1:7" x14ac:dyDescent="0.3">
      <c r="A53" s="439">
        <f>A51+1</f>
        <v>33</v>
      </c>
      <c r="B53" s="69"/>
      <c r="C53" s="448" t="s">
        <v>119</v>
      </c>
      <c r="D53" s="448"/>
      <c r="E53" s="448"/>
      <c r="F53" s="441" t="s">
        <v>198</v>
      </c>
      <c r="G53" s="442">
        <f>G29-G51</f>
        <v>0</v>
      </c>
    </row>
    <row r="54" spans="1:7" x14ac:dyDescent="0.3">
      <c r="A54" s="440"/>
      <c r="B54" s="52"/>
      <c r="C54" s="449"/>
      <c r="D54" s="449"/>
      <c r="E54" s="449"/>
      <c r="F54" s="441"/>
      <c r="G54" s="443"/>
    </row>
  </sheetData>
  <sheetProtection password="F7CB" sheet="1" objects="1" scenarios="1"/>
  <mergeCells count="15">
    <mergeCell ref="A7:C7"/>
    <mergeCell ref="A53:A54"/>
    <mergeCell ref="F53:F54"/>
    <mergeCell ref="G53:G54"/>
    <mergeCell ref="A10:A11"/>
    <mergeCell ref="G10:G11"/>
    <mergeCell ref="B10:F11"/>
    <mergeCell ref="B31:F31"/>
    <mergeCell ref="C53:E54"/>
    <mergeCell ref="A3:C3"/>
    <mergeCell ref="A4:C4"/>
    <mergeCell ref="A5:C5"/>
    <mergeCell ref="G3:H4"/>
    <mergeCell ref="G5:H5"/>
    <mergeCell ref="A6:C6"/>
  </mergeCells>
  <pageMargins left="0.75" right="0.75" top="1" bottom="1" header="0.5" footer="0.5"/>
  <pageSetup scale="93" orientation="portrait" cellComments="asDisplayed"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5"/>
  <sheetViews>
    <sheetView zoomScale="75" zoomScaleNormal="75" workbookViewId="0"/>
  </sheetViews>
  <sheetFormatPr defaultColWidth="9.1796875" defaultRowHeight="13" x14ac:dyDescent="0.3"/>
  <cols>
    <col min="1" max="1" width="3.7265625" style="2" customWidth="1"/>
    <col min="2" max="2" width="3.81640625" style="2" customWidth="1"/>
    <col min="3" max="3" width="10" style="2" customWidth="1"/>
    <col min="4" max="4" width="40.1796875" style="2" customWidth="1"/>
    <col min="5" max="5" width="19.26953125" style="2" customWidth="1"/>
    <col min="6" max="6" width="17.81640625" style="2" customWidth="1"/>
    <col min="7" max="7" width="15.453125" style="2" customWidth="1"/>
    <col min="8" max="8" width="14.81640625" style="2" customWidth="1"/>
    <col min="9" max="9" width="7.453125" style="2" customWidth="1"/>
    <col min="10" max="10" width="10.54296875" style="2" customWidth="1"/>
    <col min="11" max="12" width="13.7265625" style="2" customWidth="1"/>
    <col min="13" max="16384" width="9.1796875" style="2"/>
  </cols>
  <sheetData>
    <row r="1" spans="1:18" x14ac:dyDescent="0.3">
      <c r="A1" s="22" t="s">
        <v>215</v>
      </c>
      <c r="B1" s="22"/>
      <c r="C1" s="23"/>
      <c r="I1" s="51" t="s">
        <v>101</v>
      </c>
    </row>
    <row r="2" spans="1:18" x14ac:dyDescent="0.3">
      <c r="A2" s="6"/>
      <c r="B2" s="6"/>
      <c r="C2" s="37"/>
      <c r="D2" s="37"/>
      <c r="E2" s="37"/>
      <c r="F2" s="1"/>
    </row>
    <row r="3" spans="1:18" ht="12.75" customHeight="1" x14ac:dyDescent="0.3">
      <c r="A3" s="84" t="s">
        <v>121</v>
      </c>
      <c r="B3" s="85"/>
      <c r="C3" s="85"/>
      <c r="D3" s="11" t="s">
        <v>154</v>
      </c>
      <c r="E3" s="6"/>
      <c r="F3" s="84" t="s">
        <v>287</v>
      </c>
      <c r="G3" s="85"/>
      <c r="H3" s="249">
        <f>'310'!$G$3</f>
        <v>0</v>
      </c>
      <c r="I3" s="250"/>
    </row>
    <row r="4" spans="1:18" x14ac:dyDescent="0.3">
      <c r="A4" s="86" t="s">
        <v>122</v>
      </c>
      <c r="B4" s="37"/>
      <c r="C4" s="37"/>
      <c r="D4" s="11" t="s">
        <v>100</v>
      </c>
      <c r="E4" s="6"/>
      <c r="F4" s="52"/>
      <c r="G4" s="28"/>
      <c r="H4" s="251"/>
      <c r="I4" s="252"/>
    </row>
    <row r="5" spans="1:18" x14ac:dyDescent="0.3">
      <c r="A5" s="86" t="s">
        <v>123</v>
      </c>
      <c r="B5" s="37"/>
      <c r="C5" s="37"/>
      <c r="D5" s="77" t="s">
        <v>128</v>
      </c>
      <c r="E5" s="37"/>
      <c r="F5" s="79" t="s">
        <v>288</v>
      </c>
      <c r="G5" s="87"/>
      <c r="H5" s="253">
        <f>'310'!$G$5</f>
        <v>0</v>
      </c>
      <c r="I5" s="254"/>
    </row>
    <row r="6" spans="1:18" x14ac:dyDescent="0.3">
      <c r="A6" s="86" t="s">
        <v>120</v>
      </c>
      <c r="B6" s="37"/>
      <c r="C6" s="37"/>
      <c r="D6" s="77" t="s">
        <v>102</v>
      </c>
      <c r="E6" s="37"/>
      <c r="F6" s="43"/>
      <c r="G6" s="43"/>
      <c r="H6" s="43"/>
    </row>
    <row r="7" spans="1:18" x14ac:dyDescent="0.3">
      <c r="A7" s="79" t="s">
        <v>126</v>
      </c>
      <c r="B7" s="87"/>
      <c r="C7" s="87"/>
      <c r="D7" s="89">
        <v>2002</v>
      </c>
      <c r="E7" s="35"/>
      <c r="F7" s="43"/>
      <c r="H7" s="43"/>
      <c r="I7" s="37"/>
      <c r="J7" s="37"/>
      <c r="K7" s="43"/>
      <c r="L7" s="43"/>
    </row>
    <row r="8" spans="1:18" x14ac:dyDescent="0.3">
      <c r="A8" s="37"/>
      <c r="B8" s="37"/>
      <c r="C8" s="37"/>
      <c r="D8" s="37"/>
      <c r="E8" s="37"/>
      <c r="F8" s="43"/>
      <c r="G8" s="43"/>
      <c r="H8" s="43"/>
      <c r="I8" s="37"/>
      <c r="J8" s="37"/>
      <c r="K8" s="43"/>
      <c r="L8" s="43"/>
    </row>
    <row r="9" spans="1:18" ht="12.75" customHeight="1" x14ac:dyDescent="0.3">
      <c r="A9" s="56" t="s">
        <v>111</v>
      </c>
      <c r="B9" s="56"/>
      <c r="M9" s="25"/>
    </row>
    <row r="10" spans="1:18" ht="24.75" customHeight="1" x14ac:dyDescent="0.3">
      <c r="A10" s="53" t="s">
        <v>85</v>
      </c>
      <c r="B10" s="331" t="s">
        <v>391</v>
      </c>
      <c r="C10" s="331"/>
      <c r="D10" s="331"/>
      <c r="E10" s="331"/>
      <c r="F10" s="331"/>
      <c r="G10" s="331"/>
      <c r="H10" s="331"/>
      <c r="I10" s="380"/>
      <c r="J10" s="100"/>
      <c r="K10" s="100"/>
      <c r="L10" s="100"/>
      <c r="M10" s="25"/>
    </row>
    <row r="11" spans="1:18" ht="12.75" customHeight="1" x14ac:dyDescent="0.3">
      <c r="A11" s="54" t="s">
        <v>86</v>
      </c>
      <c r="B11" s="450" t="s">
        <v>118</v>
      </c>
      <c r="C11" s="450"/>
      <c r="D11" s="450"/>
      <c r="E11" s="450"/>
      <c r="F11" s="450"/>
      <c r="G11" s="450"/>
      <c r="H11" s="450"/>
      <c r="I11" s="451"/>
      <c r="J11" s="37"/>
      <c r="K11" s="37"/>
      <c r="L11" s="37"/>
      <c r="M11" s="25"/>
      <c r="N11" s="6"/>
      <c r="O11" s="6"/>
      <c r="P11" s="6"/>
      <c r="Q11" s="6"/>
      <c r="R11" s="6"/>
    </row>
    <row r="12" spans="1:18" ht="12.75" customHeight="1" x14ac:dyDescent="0.3">
      <c r="A12" s="46"/>
      <c r="B12" s="126"/>
      <c r="C12" s="37"/>
      <c r="D12" s="37"/>
      <c r="E12" s="37"/>
      <c r="F12" s="37"/>
      <c r="G12" s="37"/>
      <c r="H12" s="37"/>
      <c r="I12" s="37"/>
      <c r="J12" s="37"/>
      <c r="K12" s="37"/>
      <c r="L12" s="37"/>
      <c r="M12" s="25"/>
    </row>
    <row r="13" spans="1:18" ht="12.75" customHeight="1" x14ac:dyDescent="0.3">
      <c r="A13" s="46"/>
      <c r="B13" s="126"/>
      <c r="C13" s="124" t="s">
        <v>273</v>
      </c>
      <c r="D13" s="37"/>
      <c r="E13" s="37"/>
      <c r="F13" s="37"/>
      <c r="G13" s="37"/>
      <c r="H13" s="37"/>
      <c r="I13" s="37"/>
      <c r="J13" s="37"/>
      <c r="K13" s="37"/>
      <c r="L13" s="37"/>
      <c r="M13" s="25"/>
    </row>
    <row r="14" spans="1:18" ht="12.75" customHeight="1" x14ac:dyDescent="0.3">
      <c r="A14" s="46"/>
      <c r="B14" s="126"/>
      <c r="C14" s="37"/>
      <c r="D14" s="37"/>
      <c r="E14" s="37"/>
      <c r="F14" s="37"/>
      <c r="G14" s="37"/>
      <c r="H14" s="37"/>
      <c r="I14" s="37"/>
      <c r="J14" s="37"/>
      <c r="K14" s="37"/>
      <c r="L14" s="37"/>
      <c r="M14" s="25"/>
    </row>
    <row r="15" spans="1:18" x14ac:dyDescent="0.3">
      <c r="A15" s="6"/>
      <c r="B15" s="6"/>
      <c r="C15" s="22"/>
      <c r="D15" s="35"/>
      <c r="E15" s="35"/>
      <c r="F15" s="58" t="s">
        <v>15</v>
      </c>
      <c r="G15" s="32" t="s">
        <v>16</v>
      </c>
      <c r="H15" s="17" t="s">
        <v>17</v>
      </c>
      <c r="I15" s="101"/>
      <c r="J15" s="101"/>
      <c r="K15" s="101"/>
      <c r="L15" s="6"/>
      <c r="M15" s="6"/>
      <c r="N15" s="6"/>
    </row>
    <row r="16" spans="1:18" ht="27.75" customHeight="1" x14ac:dyDescent="0.3">
      <c r="F16" s="119" t="s">
        <v>200</v>
      </c>
      <c r="G16" s="99" t="s">
        <v>199</v>
      </c>
      <c r="H16" s="96" t="s">
        <v>371</v>
      </c>
      <c r="I16" s="6"/>
      <c r="J16" s="6"/>
      <c r="K16" s="6"/>
      <c r="L16" s="6"/>
      <c r="M16" s="6"/>
      <c r="N16" s="6"/>
    </row>
    <row r="17" spans="1:14" x14ac:dyDescent="0.3">
      <c r="B17" s="69" t="s">
        <v>151</v>
      </c>
      <c r="C17" s="3"/>
      <c r="D17" s="3"/>
      <c r="E17" s="3"/>
      <c r="F17" s="135"/>
      <c r="G17" s="167"/>
      <c r="H17" s="135"/>
      <c r="I17" s="6"/>
      <c r="M17" s="6"/>
      <c r="N17" s="6"/>
    </row>
    <row r="18" spans="1:14" x14ac:dyDescent="0.3">
      <c r="B18" s="5"/>
      <c r="C18" s="6" t="s">
        <v>70</v>
      </c>
      <c r="D18" s="6"/>
      <c r="E18" s="6"/>
      <c r="F18" s="128"/>
      <c r="G18" s="171"/>
      <c r="H18" s="128"/>
      <c r="I18" s="6"/>
      <c r="M18" s="6"/>
      <c r="N18" s="6"/>
    </row>
    <row r="19" spans="1:14" x14ac:dyDescent="0.3">
      <c r="A19" s="26">
        <v>1</v>
      </c>
      <c r="B19" s="5"/>
      <c r="C19" s="6"/>
      <c r="D19" s="6" t="s">
        <v>152</v>
      </c>
      <c r="E19" s="6"/>
      <c r="F19" s="234"/>
      <c r="G19" s="243"/>
      <c r="H19" s="128">
        <f>SUM(F19:G19)</f>
        <v>0</v>
      </c>
      <c r="I19" s="6"/>
      <c r="M19" s="6"/>
      <c r="N19" s="6"/>
    </row>
    <row r="20" spans="1:14" x14ac:dyDescent="0.3">
      <c r="A20" s="26">
        <f>A19+1</f>
        <v>2</v>
      </c>
      <c r="B20" s="5"/>
      <c r="C20" s="6"/>
      <c r="D20" s="6" t="s">
        <v>71</v>
      </c>
      <c r="E20" s="6"/>
      <c r="F20" s="234"/>
      <c r="G20" s="243"/>
      <c r="H20" s="128">
        <f>SUM(F20:G20)</f>
        <v>0</v>
      </c>
      <c r="I20" s="6"/>
      <c r="M20" s="6"/>
      <c r="N20" s="6"/>
    </row>
    <row r="21" spans="1:14" x14ac:dyDescent="0.3">
      <c r="A21" s="26">
        <f>A20+1</f>
        <v>3</v>
      </c>
      <c r="B21" s="5"/>
      <c r="C21" s="6"/>
      <c r="D21" s="6" t="s">
        <v>72</v>
      </c>
      <c r="E21" s="6"/>
      <c r="F21" s="234"/>
      <c r="G21" s="243"/>
      <c r="H21" s="128">
        <f>SUM(F21:G21)</f>
        <v>0</v>
      </c>
      <c r="I21" s="6"/>
      <c r="M21" s="6"/>
      <c r="N21" s="6"/>
    </row>
    <row r="22" spans="1:14" x14ac:dyDescent="0.3">
      <c r="A22" s="26">
        <f>A21+1</f>
        <v>4</v>
      </c>
      <c r="B22" s="5"/>
      <c r="C22" s="6"/>
      <c r="D22" s="6" t="s">
        <v>73</v>
      </c>
      <c r="E22" s="6"/>
      <c r="F22" s="234"/>
      <c r="G22" s="243"/>
      <c r="H22" s="128">
        <f>SUM(F22:G22)</f>
        <v>0</v>
      </c>
      <c r="I22" s="6"/>
      <c r="M22" s="6"/>
      <c r="N22" s="6"/>
    </row>
    <row r="23" spans="1:14" x14ac:dyDescent="0.3">
      <c r="A23" s="26">
        <f>A22+1</f>
        <v>5</v>
      </c>
      <c r="B23" s="5"/>
      <c r="C23" s="6"/>
      <c r="D23" s="6" t="s">
        <v>1</v>
      </c>
      <c r="E23" s="6"/>
      <c r="F23" s="234"/>
      <c r="G23" s="243"/>
      <c r="H23" s="128">
        <f>SUM(F23:G23)</f>
        <v>0</v>
      </c>
    </row>
    <row r="24" spans="1:14" x14ac:dyDescent="0.3">
      <c r="A24" s="26">
        <f>A23+1</f>
        <v>6</v>
      </c>
      <c r="B24" s="5"/>
      <c r="C24" s="6"/>
      <c r="D24" s="8" t="s">
        <v>269</v>
      </c>
      <c r="E24" s="190" t="s">
        <v>366</v>
      </c>
      <c r="F24" s="145">
        <f>SUM(F19:F23)</f>
        <v>0</v>
      </c>
      <c r="G24" s="145">
        <f>SUM(G19:G23)</f>
        <v>0</v>
      </c>
      <c r="H24" s="145">
        <f>SUM(H19:H23)</f>
        <v>0</v>
      </c>
    </row>
    <row r="25" spans="1:14" x14ac:dyDescent="0.3">
      <c r="B25" s="5"/>
      <c r="C25" s="6" t="s">
        <v>201</v>
      </c>
      <c r="D25" s="6"/>
      <c r="E25" s="6"/>
      <c r="F25" s="128"/>
      <c r="G25" s="171"/>
      <c r="H25" s="128"/>
    </row>
    <row r="26" spans="1:14" x14ac:dyDescent="0.3">
      <c r="A26" s="26">
        <f>A24+1</f>
        <v>7</v>
      </c>
      <c r="B26" s="5"/>
      <c r="C26" s="6"/>
      <c r="D26" s="6" t="s">
        <v>202</v>
      </c>
      <c r="E26" s="6"/>
      <c r="F26" s="234"/>
      <c r="G26" s="243"/>
      <c r="H26" s="128">
        <f>SUM(F26:G26)</f>
        <v>0</v>
      </c>
    </row>
    <row r="27" spans="1:14" x14ac:dyDescent="0.3">
      <c r="A27" s="26">
        <f>A26+1</f>
        <v>8</v>
      </c>
      <c r="B27" s="5"/>
      <c r="C27" s="6"/>
      <c r="D27" s="6" t="s">
        <v>203</v>
      </c>
      <c r="E27" s="6"/>
      <c r="F27" s="234"/>
      <c r="G27" s="243"/>
      <c r="H27" s="128">
        <f>SUM(F27:G27)</f>
        <v>0</v>
      </c>
    </row>
    <row r="28" spans="1:14" x14ac:dyDescent="0.3">
      <c r="A28" s="26">
        <f>A27+1</f>
        <v>9</v>
      </c>
      <c r="B28" s="5"/>
      <c r="C28" s="6"/>
      <c r="D28" s="6" t="s">
        <v>1</v>
      </c>
      <c r="E28" s="6"/>
      <c r="F28" s="234"/>
      <c r="G28" s="243"/>
      <c r="H28" s="128">
        <f>SUM(F28:G28)</f>
        <v>0</v>
      </c>
    </row>
    <row r="29" spans="1:14" x14ac:dyDescent="0.3">
      <c r="A29" s="26">
        <f>A28+1</f>
        <v>10</v>
      </c>
      <c r="B29" s="5"/>
      <c r="C29" s="6"/>
      <c r="D29" s="8" t="s">
        <v>271</v>
      </c>
      <c r="E29" s="190" t="s">
        <v>367</v>
      </c>
      <c r="F29" s="145">
        <f>SUM(F26:F28)</f>
        <v>0</v>
      </c>
      <c r="G29" s="145">
        <f>SUM(G26:G28)</f>
        <v>0</v>
      </c>
      <c r="H29" s="145">
        <f>SUM(F29:G29)</f>
        <v>0</v>
      </c>
    </row>
    <row r="30" spans="1:14" x14ac:dyDescent="0.3">
      <c r="A30" s="26">
        <f>A29+1</f>
        <v>11</v>
      </c>
      <c r="B30" s="52"/>
      <c r="C30" s="28"/>
      <c r="D30" s="7" t="s">
        <v>392</v>
      </c>
      <c r="E30" s="71" t="s">
        <v>274</v>
      </c>
      <c r="F30" s="144">
        <f>F24+F29</f>
        <v>0</v>
      </c>
      <c r="G30" s="144">
        <f>G24+G29</f>
        <v>0</v>
      </c>
      <c r="H30" s="144">
        <f>H24+H29</f>
        <v>0</v>
      </c>
    </row>
    <row r="31" spans="1:14" x14ac:dyDescent="0.3">
      <c r="B31" s="69" t="s">
        <v>204</v>
      </c>
      <c r="C31" s="3"/>
      <c r="D31" s="3"/>
      <c r="E31" s="3"/>
      <c r="F31" s="179"/>
      <c r="G31" s="165"/>
      <c r="H31" s="180"/>
    </row>
    <row r="32" spans="1:14" x14ac:dyDescent="0.3">
      <c r="A32" s="26"/>
      <c r="B32" s="5"/>
      <c r="C32" s="6" t="s">
        <v>70</v>
      </c>
      <c r="D32" s="6"/>
      <c r="E32" s="6"/>
      <c r="F32" s="178"/>
      <c r="G32" s="145"/>
      <c r="H32" s="147"/>
    </row>
    <row r="33" spans="1:8" x14ac:dyDescent="0.3">
      <c r="A33" s="26">
        <f>A30+1</f>
        <v>12</v>
      </c>
      <c r="B33" s="5"/>
      <c r="C33" s="6"/>
      <c r="D33" s="6" t="s">
        <v>152</v>
      </c>
      <c r="E33" s="6"/>
      <c r="F33" s="243"/>
      <c r="G33" s="234"/>
      <c r="H33" s="128">
        <f>SUM(F33:G33)</f>
        <v>0</v>
      </c>
    </row>
    <row r="34" spans="1:8" x14ac:dyDescent="0.3">
      <c r="A34" s="26">
        <f>A33+1</f>
        <v>13</v>
      </c>
      <c r="B34" s="5"/>
      <c r="C34" s="6"/>
      <c r="D34" s="6" t="s">
        <v>71</v>
      </c>
      <c r="E34" s="6"/>
      <c r="F34" s="243"/>
      <c r="G34" s="234"/>
      <c r="H34" s="128">
        <f>SUM(F34:G34)</f>
        <v>0</v>
      </c>
    </row>
    <row r="35" spans="1:8" x14ac:dyDescent="0.3">
      <c r="A35" s="26">
        <f>A34+1</f>
        <v>14</v>
      </c>
      <c r="B35" s="5"/>
      <c r="C35" s="6"/>
      <c r="D35" s="6" t="s">
        <v>72</v>
      </c>
      <c r="E35" s="6"/>
      <c r="F35" s="243"/>
      <c r="G35" s="234"/>
      <c r="H35" s="128">
        <f>SUM(F35:G35)</f>
        <v>0</v>
      </c>
    </row>
    <row r="36" spans="1:8" x14ac:dyDescent="0.3">
      <c r="A36" s="26">
        <f>A35+1</f>
        <v>15</v>
      </c>
      <c r="B36" s="5"/>
      <c r="C36" s="6"/>
      <c r="D36" s="6" t="s">
        <v>73</v>
      </c>
      <c r="E36" s="6"/>
      <c r="F36" s="243"/>
      <c r="G36" s="234"/>
      <c r="H36" s="128">
        <f>SUM(F36:G36)</f>
        <v>0</v>
      </c>
    </row>
    <row r="37" spans="1:8" x14ac:dyDescent="0.3">
      <c r="A37" s="26">
        <f>A36+1</f>
        <v>16</v>
      </c>
      <c r="B37" s="5"/>
      <c r="C37" s="6"/>
      <c r="D37" s="6" t="s">
        <v>1</v>
      </c>
      <c r="E37" s="6"/>
      <c r="F37" s="243"/>
      <c r="G37" s="234"/>
      <c r="H37" s="128">
        <f>SUM(F37:G37)</f>
        <v>0</v>
      </c>
    </row>
    <row r="38" spans="1:8" x14ac:dyDescent="0.3">
      <c r="A38" s="26">
        <f>A37+1</f>
        <v>17</v>
      </c>
      <c r="B38" s="5"/>
      <c r="D38" s="8" t="s">
        <v>272</v>
      </c>
      <c r="E38" s="190" t="s">
        <v>368</v>
      </c>
      <c r="F38" s="178">
        <f>SUM(F33:F37)</f>
        <v>0</v>
      </c>
      <c r="G38" s="178">
        <f>SUM(G33:G37)</f>
        <v>0</v>
      </c>
      <c r="H38" s="145">
        <f>SUM(H33:H37)</f>
        <v>0</v>
      </c>
    </row>
    <row r="39" spans="1:8" x14ac:dyDescent="0.3">
      <c r="B39" s="5"/>
      <c r="C39" s="6" t="s">
        <v>201</v>
      </c>
      <c r="D39" s="8"/>
      <c r="E39" s="8"/>
      <c r="F39" s="178"/>
      <c r="G39" s="145"/>
      <c r="H39" s="147"/>
    </row>
    <row r="40" spans="1:8" x14ac:dyDescent="0.3">
      <c r="A40" s="26">
        <f>A38+1</f>
        <v>18</v>
      </c>
      <c r="B40" s="5"/>
      <c r="C40" s="6"/>
      <c r="D40" s="6" t="s">
        <v>205</v>
      </c>
      <c r="E40" s="6"/>
      <c r="F40" s="243"/>
      <c r="G40" s="234"/>
      <c r="H40" s="146">
        <f>SUM(F40:G40)</f>
        <v>0</v>
      </c>
    </row>
    <row r="41" spans="1:8" x14ac:dyDescent="0.3">
      <c r="A41" s="26">
        <f>A40+1</f>
        <v>19</v>
      </c>
      <c r="B41" s="5"/>
      <c r="C41" s="6"/>
      <c r="D41" s="6" t="s">
        <v>203</v>
      </c>
      <c r="E41" s="6"/>
      <c r="F41" s="243"/>
      <c r="G41" s="234"/>
      <c r="H41" s="146">
        <f>SUM(F41:G41)</f>
        <v>0</v>
      </c>
    </row>
    <row r="42" spans="1:8" x14ac:dyDescent="0.3">
      <c r="A42" s="26">
        <f>A41+1</f>
        <v>20</v>
      </c>
      <c r="B42" s="5"/>
      <c r="C42" s="6"/>
      <c r="D42" s="6" t="s">
        <v>1</v>
      </c>
      <c r="E42" s="6"/>
      <c r="F42" s="243"/>
      <c r="G42" s="234"/>
      <c r="H42" s="146">
        <f>SUM(F42:G42)</f>
        <v>0</v>
      </c>
    </row>
    <row r="43" spans="1:8" x14ac:dyDescent="0.3">
      <c r="A43" s="26">
        <f>A42+1</f>
        <v>21</v>
      </c>
      <c r="B43" s="5"/>
      <c r="C43" s="6"/>
      <c r="D43" s="8" t="s">
        <v>271</v>
      </c>
      <c r="E43" s="190" t="s">
        <v>369</v>
      </c>
      <c r="F43" s="178">
        <f>SUM(F40:F42)</f>
        <v>0</v>
      </c>
      <c r="G43" s="178">
        <f>SUM(G40:G42)</f>
        <v>0</v>
      </c>
      <c r="H43" s="145">
        <f>SUM(H40:H42)</f>
        <v>0</v>
      </c>
    </row>
    <row r="44" spans="1:8" x14ac:dyDescent="0.3">
      <c r="A44" s="26">
        <f>A43+1</f>
        <v>22</v>
      </c>
      <c r="B44" s="52"/>
      <c r="C44" s="28"/>
      <c r="D44" s="7" t="s">
        <v>317</v>
      </c>
      <c r="E44" s="71" t="s">
        <v>275</v>
      </c>
      <c r="F44" s="171">
        <f>F38+F43</f>
        <v>0</v>
      </c>
      <c r="G44" s="171">
        <f>G38+G43</f>
        <v>0</v>
      </c>
      <c r="H44" s="137">
        <f>H38+H43</f>
        <v>0</v>
      </c>
    </row>
    <row r="45" spans="1:8" x14ac:dyDescent="0.3">
      <c r="B45" s="69" t="s">
        <v>69</v>
      </c>
      <c r="C45" s="3"/>
      <c r="D45" s="3"/>
      <c r="E45" s="3"/>
      <c r="F45" s="135"/>
      <c r="G45" s="135"/>
      <c r="H45" s="135"/>
    </row>
    <row r="46" spans="1:8" x14ac:dyDescent="0.3">
      <c r="A46" s="26">
        <f>A44+1</f>
        <v>23</v>
      </c>
      <c r="B46" s="5"/>
      <c r="C46" s="6"/>
      <c r="D46" s="6" t="s">
        <v>205</v>
      </c>
      <c r="E46" s="6"/>
      <c r="F46" s="234"/>
      <c r="G46" s="234"/>
      <c r="H46" s="128">
        <f t="shared" ref="H46:H51" si="0">SUM(F46:G46)</f>
        <v>0</v>
      </c>
    </row>
    <row r="47" spans="1:8" x14ac:dyDescent="0.3">
      <c r="A47" s="26">
        <f>A46+1</f>
        <v>24</v>
      </c>
      <c r="B47" s="5"/>
      <c r="C47" s="6"/>
      <c r="D47" s="6" t="s">
        <v>9</v>
      </c>
      <c r="E47" s="6"/>
      <c r="F47" s="234"/>
      <c r="G47" s="234"/>
      <c r="H47" s="128">
        <f t="shared" si="0"/>
        <v>0</v>
      </c>
    </row>
    <row r="48" spans="1:8" x14ac:dyDescent="0.3">
      <c r="A48" s="26">
        <f t="shared" ref="A48:A55" si="1">A47+1</f>
        <v>25</v>
      </c>
      <c r="B48" s="5"/>
      <c r="C48" s="6"/>
      <c r="D48" s="6" t="s">
        <v>10</v>
      </c>
      <c r="E48" s="6"/>
      <c r="F48" s="234"/>
      <c r="G48" s="234"/>
      <c r="H48" s="128">
        <f t="shared" si="0"/>
        <v>0</v>
      </c>
    </row>
    <row r="49" spans="1:8" x14ac:dyDescent="0.3">
      <c r="A49" s="26">
        <f t="shared" si="1"/>
        <v>26</v>
      </c>
      <c r="B49" s="5"/>
      <c r="C49" s="6"/>
      <c r="D49" s="6" t="s">
        <v>206</v>
      </c>
      <c r="E49" s="6"/>
      <c r="F49" s="234"/>
      <c r="G49" s="234"/>
      <c r="H49" s="128">
        <f t="shared" si="0"/>
        <v>0</v>
      </c>
    </row>
    <row r="50" spans="1:8" x14ac:dyDescent="0.3">
      <c r="A50" s="26">
        <f t="shared" si="1"/>
        <v>27</v>
      </c>
      <c r="B50" s="5"/>
      <c r="C50" s="6"/>
      <c r="D50" s="6" t="s">
        <v>207</v>
      </c>
      <c r="E50" s="6"/>
      <c r="F50" s="234"/>
      <c r="G50" s="234"/>
      <c r="H50" s="128">
        <f t="shared" si="0"/>
        <v>0</v>
      </c>
    </row>
    <row r="51" spans="1:8" x14ac:dyDescent="0.3">
      <c r="A51" s="26">
        <f t="shared" si="1"/>
        <v>28</v>
      </c>
      <c r="B51" s="5"/>
      <c r="C51" s="6"/>
      <c r="D51" s="6" t="s">
        <v>208</v>
      </c>
      <c r="E51" s="6"/>
      <c r="F51" s="234"/>
      <c r="G51" s="234"/>
      <c r="H51" s="128">
        <f t="shared" si="0"/>
        <v>0</v>
      </c>
    </row>
    <row r="52" spans="1:8" x14ac:dyDescent="0.3">
      <c r="A52" s="26">
        <f t="shared" si="1"/>
        <v>29</v>
      </c>
      <c r="B52" s="52"/>
      <c r="C52" s="28"/>
      <c r="D52" s="7" t="s">
        <v>393</v>
      </c>
      <c r="E52" s="67" t="s">
        <v>370</v>
      </c>
      <c r="F52" s="137">
        <f>SUM(F46:F51)</f>
        <v>0</v>
      </c>
      <c r="G52" s="137">
        <f>SUM(G46:G51)</f>
        <v>0</v>
      </c>
      <c r="H52" s="137">
        <f>SUM(H46:H51)</f>
        <v>0</v>
      </c>
    </row>
    <row r="53" spans="1:8" x14ac:dyDescent="0.3">
      <c r="A53" s="26">
        <f t="shared" si="1"/>
        <v>30</v>
      </c>
      <c r="B53" s="107" t="s">
        <v>227</v>
      </c>
      <c r="C53" s="10"/>
      <c r="D53" s="7"/>
      <c r="E53" s="71"/>
      <c r="F53" s="234"/>
      <c r="G53" s="234"/>
      <c r="H53" s="156">
        <f>SUM(F53:G53)</f>
        <v>0</v>
      </c>
    </row>
    <row r="54" spans="1:8" x14ac:dyDescent="0.3">
      <c r="A54" s="26">
        <f t="shared" si="1"/>
        <v>31</v>
      </c>
      <c r="B54" s="5" t="s">
        <v>270</v>
      </c>
      <c r="C54" s="6"/>
      <c r="D54" s="7"/>
      <c r="E54" s="7"/>
      <c r="F54" s="244"/>
      <c r="G54" s="244"/>
      <c r="H54" s="156">
        <f>SUM(F54:G54)</f>
        <v>0</v>
      </c>
    </row>
    <row r="55" spans="1:8" x14ac:dyDescent="0.3">
      <c r="A55" s="26">
        <f t="shared" si="1"/>
        <v>32</v>
      </c>
      <c r="B55" s="107"/>
      <c r="C55" s="10"/>
      <c r="D55" s="20" t="s">
        <v>304</v>
      </c>
      <c r="E55" s="71" t="s">
        <v>276</v>
      </c>
      <c r="F55" s="137">
        <f>F30+F44+F52+F53+F54</f>
        <v>0</v>
      </c>
      <c r="G55" s="137">
        <f>G30+G44+G52+G53+G54</f>
        <v>0</v>
      </c>
      <c r="H55" s="156">
        <f>H30+H44+H52+H53+H54</f>
        <v>0</v>
      </c>
    </row>
  </sheetData>
  <sheetProtection password="F7CB" sheet="1" objects="1" scenarios="1"/>
  <mergeCells count="2">
    <mergeCell ref="B10:I10"/>
    <mergeCell ref="B11:I11"/>
  </mergeCells>
  <pageMargins left="0.75" right="0.75" top="1" bottom="1" header="0.5" footer="0.5"/>
  <pageSetup scale="53" orientation="portrait" cellComments="atEn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12</vt:i4>
      </vt:variant>
    </vt:vector>
  </HeadingPairs>
  <TitlesOfParts>
    <vt:vector size="23" baseType="lpstr">
      <vt:lpstr>map</vt:lpstr>
      <vt:lpstr>Instructions</vt:lpstr>
      <vt:lpstr>310</vt:lpstr>
      <vt:lpstr>311</vt:lpstr>
      <vt:lpstr>312</vt:lpstr>
      <vt:lpstr>313</vt:lpstr>
      <vt:lpstr>314</vt:lpstr>
      <vt:lpstr>315</vt:lpstr>
      <vt:lpstr>316</vt:lpstr>
      <vt:lpstr>320</vt:lpstr>
      <vt:lpstr>321</vt:lpstr>
      <vt:lpstr>'310'!Print_Area</vt:lpstr>
      <vt:lpstr>'311'!Print_Area</vt:lpstr>
      <vt:lpstr>'312'!Print_Area</vt:lpstr>
      <vt:lpstr>'313'!Print_Area</vt:lpstr>
      <vt:lpstr>'314'!Print_Area</vt:lpstr>
      <vt:lpstr>'315'!Print_Area</vt:lpstr>
      <vt:lpstr>'316'!Print_Area</vt:lpstr>
      <vt:lpstr>'320'!Print_Area</vt:lpstr>
      <vt:lpstr>'321'!Print_Area</vt:lpstr>
      <vt:lpstr>Instructions!Print_Area</vt:lpstr>
      <vt:lpstr>map!Print_Area</vt:lpstr>
      <vt:lpstr>'314'!Print_Titles</vt:lpstr>
    </vt:vector>
  </TitlesOfParts>
  <Company>CRTC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Monitoring Forms Financial</dc:title>
  <dc:subject>INTTEL</dc:subject>
  <dc:creator>HALER</dc:creator>
  <dc:description>03-3XX-EN.XLS</dc:description>
  <cp:lastModifiedBy>Carina Negreanu</cp:lastModifiedBy>
  <cp:lastPrinted>2003-03-31T20:20:43Z</cp:lastPrinted>
  <dcterms:created xsi:type="dcterms:W3CDTF">2002-04-05T14:51:12Z</dcterms:created>
  <dcterms:modified xsi:type="dcterms:W3CDTF">2020-01-27T11:09:22Z</dcterms:modified>
</cp:coreProperties>
</file>