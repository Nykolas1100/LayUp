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8B7E291-7277-4757-B931-475BF8552163}" xr6:coauthVersionLast="45" xr6:coauthVersionMax="45" xr10:uidLastSave="{00000000-0000-0000-0000-000000000000}"/>
  <bookViews>
    <workbookView xWindow="2660" yWindow="2660" windowWidth="28800" windowHeight="15460" activeTab="1"/>
  </bookViews>
  <sheets>
    <sheet name="SF Database original" sheetId="1" r:id="rId1"/>
    <sheet name="social funds search" sheetId="7" r:id="rId2"/>
    <sheet name="Sheet2" sheetId="2" r:id="rId3"/>
    <sheet name="Sheet3" sheetId="3" r:id="rId4"/>
    <sheet name="Sheet4" sheetId="4" r:id="rId5"/>
    <sheet name="Sheet5" sheetId="5" r:id="rId6"/>
    <sheet name="Sheet6" sheetId="6" r:id="rId7"/>
  </sheets>
  <definedNames>
    <definedName name="_xlnm.Print_Area" localSheetId="0">'SF Database original'!$A$1:$H$63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</calcChain>
</file>

<file path=xl/sharedStrings.xml><?xml version="1.0" encoding="utf-8"?>
<sst xmlns="http://schemas.openxmlformats.org/spreadsheetml/2006/main" count="638" uniqueCount="354">
  <si>
    <t>Country</t>
  </si>
  <si>
    <t>Region</t>
  </si>
  <si>
    <t>Status</t>
  </si>
  <si>
    <t>Full ProjID</t>
  </si>
  <si>
    <t>Proj. Name</t>
  </si>
  <si>
    <t xml:space="preserve">ECA </t>
  </si>
  <si>
    <t>A</t>
  </si>
  <si>
    <t>Social Services Delivery Project</t>
  </si>
  <si>
    <t>Community Works Project</t>
  </si>
  <si>
    <t>AFR</t>
  </si>
  <si>
    <t>ECA</t>
  </si>
  <si>
    <t>Social Investment Fund II</t>
  </si>
  <si>
    <t>Bangladesh</t>
  </si>
  <si>
    <t>SAR</t>
  </si>
  <si>
    <t>Social Investment Program Project</t>
  </si>
  <si>
    <t>Bulgaria</t>
  </si>
  <si>
    <t>P069532</t>
  </si>
  <si>
    <t xml:space="preserve">Colombia </t>
  </si>
  <si>
    <t>LAC</t>
  </si>
  <si>
    <t>East Timor</t>
  </si>
  <si>
    <t>EAP</t>
  </si>
  <si>
    <t>Kosovo</t>
  </si>
  <si>
    <t>Community Development Fund Project</t>
  </si>
  <si>
    <t>Lebanon</t>
  </si>
  <si>
    <t>MNA</t>
  </si>
  <si>
    <t>Community Development Project (CDP)</t>
  </si>
  <si>
    <t>Community Development Project</t>
  </si>
  <si>
    <t>Social Investment Fund Project</t>
  </si>
  <si>
    <t>Poverty Reduction and Local Development Project</t>
  </si>
  <si>
    <t>Community Based Poverty Reduction Project</t>
  </si>
  <si>
    <t>Senegal</t>
  </si>
  <si>
    <t>Social Development Fund Project</t>
  </si>
  <si>
    <t>Uganda</t>
  </si>
  <si>
    <t>P002952</t>
  </si>
  <si>
    <t>Northern Uganda Social Action Fund Project</t>
  </si>
  <si>
    <t>P069858</t>
  </si>
  <si>
    <t xml:space="preserve">A </t>
  </si>
  <si>
    <t>Burundi</t>
  </si>
  <si>
    <t>P077457</t>
  </si>
  <si>
    <t xml:space="preserve">LAC </t>
  </si>
  <si>
    <t>Social Investment Project</t>
  </si>
  <si>
    <t>Task Manager</t>
  </si>
  <si>
    <t>Bezhanyan, Anush</t>
  </si>
  <si>
    <t xml:space="preserve">Woodward, Mark C. </t>
  </si>
  <si>
    <t>Alberts, Wim</t>
  </si>
  <si>
    <t xml:space="preserve">Mascarell, Caroline </t>
  </si>
  <si>
    <t>Mori,Hideki</t>
  </si>
  <si>
    <t>Ramadan, Bassam</t>
  </si>
  <si>
    <t>Vermehren,Andrea</t>
  </si>
  <si>
    <t>Elder, John</t>
  </si>
  <si>
    <t xml:space="preserve">Kostner, Markus </t>
  </si>
  <si>
    <t>Pavis,Ross S.</t>
  </si>
  <si>
    <t>Mugwagwa, Norbert O.</t>
  </si>
  <si>
    <t>Pesantez, Evelyn</t>
  </si>
  <si>
    <t xml:space="preserve">Warren, David Seth </t>
  </si>
  <si>
    <t xml:space="preserve">Vermehren, Andrea </t>
  </si>
  <si>
    <t>Vermehren, Andrea</t>
  </si>
  <si>
    <t xml:space="preserve">Benavides, Livia M. </t>
  </si>
  <si>
    <t>El-Gammal, Yasser</t>
  </si>
  <si>
    <t>P055383</t>
  </si>
  <si>
    <t>P051309</t>
  </si>
  <si>
    <t>TTL OK?</t>
  </si>
  <si>
    <t>P056393</t>
  </si>
  <si>
    <t>P057952</t>
  </si>
  <si>
    <t>P053578</t>
  </si>
  <si>
    <t>P068762</t>
  </si>
  <si>
    <t>P069762</t>
  </si>
  <si>
    <t>P072814</t>
  </si>
  <si>
    <t>P058050</t>
  </si>
  <si>
    <t>P055166</t>
  </si>
  <si>
    <t>P049599</t>
  </si>
  <si>
    <t>P044840</t>
  </si>
  <si>
    <t xml:space="preserve">P064906 </t>
  </si>
  <si>
    <t>P069086</t>
  </si>
  <si>
    <t>P041566</t>
  </si>
  <si>
    <t>P054939</t>
  </si>
  <si>
    <t>P065372</t>
  </si>
  <si>
    <t>P063584</t>
  </si>
  <si>
    <t>P039292</t>
  </si>
  <si>
    <t>P035645</t>
  </si>
  <si>
    <t>P064510</t>
  </si>
  <si>
    <t>P050601</t>
  </si>
  <si>
    <t>P044824</t>
  </si>
  <si>
    <t>P052705</t>
  </si>
  <si>
    <t>P000771</t>
  </si>
  <si>
    <t>P039929</t>
  </si>
  <si>
    <t>P040659</t>
  </si>
  <si>
    <t>P049386</t>
  </si>
  <si>
    <t>P007220</t>
  </si>
  <si>
    <t>P040198</t>
  </si>
  <si>
    <t>P037709</t>
  </si>
  <si>
    <t>P048651</t>
  </si>
  <si>
    <t>P039029</t>
  </si>
  <si>
    <t>P035669</t>
  </si>
  <si>
    <t>P038916</t>
  </si>
  <si>
    <t>P040197</t>
  </si>
  <si>
    <t>P007837</t>
  </si>
  <si>
    <t>P040125</t>
  </si>
  <si>
    <t>P051386</t>
  </si>
  <si>
    <t>P056269</t>
  </si>
  <si>
    <t>P052263</t>
  </si>
  <si>
    <t>P058684</t>
  </si>
  <si>
    <t>P068830</t>
  </si>
  <si>
    <t>Albania</t>
  </si>
  <si>
    <t>Angola</t>
  </si>
  <si>
    <t xml:space="preserve">Armenia </t>
  </si>
  <si>
    <t>Lesotho</t>
  </si>
  <si>
    <t>Madagascar</t>
  </si>
  <si>
    <t xml:space="preserve">Malawi </t>
  </si>
  <si>
    <t>Moldova</t>
  </si>
  <si>
    <t>Nicaragua</t>
  </si>
  <si>
    <t>Nigeria</t>
  </si>
  <si>
    <t>Romania</t>
  </si>
  <si>
    <t xml:space="preserve">Rwanda </t>
  </si>
  <si>
    <t>St.Lucia</t>
  </si>
  <si>
    <t>Tajikistan</t>
  </si>
  <si>
    <t>Tanzania</t>
  </si>
  <si>
    <t>Ukraine</t>
  </si>
  <si>
    <t xml:space="preserve">Zambia </t>
  </si>
  <si>
    <t>Argentina</t>
  </si>
  <si>
    <t xml:space="preserve">Belize </t>
  </si>
  <si>
    <t xml:space="preserve">Cambodia </t>
  </si>
  <si>
    <t xml:space="preserve">Comoros </t>
  </si>
  <si>
    <t xml:space="preserve">Ecuador </t>
  </si>
  <si>
    <t xml:space="preserve">Egypt </t>
  </si>
  <si>
    <t xml:space="preserve">Ethiopia </t>
  </si>
  <si>
    <t xml:space="preserve">Georgia </t>
  </si>
  <si>
    <t>Ghana</t>
  </si>
  <si>
    <t xml:space="preserve">Guatemala </t>
  </si>
  <si>
    <t>Guatemala</t>
  </si>
  <si>
    <t xml:space="preserve">Honduras </t>
  </si>
  <si>
    <t>Honduras</t>
  </si>
  <si>
    <t>Jamaica</t>
  </si>
  <si>
    <t xml:space="preserve">Panama </t>
  </si>
  <si>
    <t xml:space="preserve">Peru </t>
  </si>
  <si>
    <t>Philippines</t>
  </si>
  <si>
    <t xml:space="preserve">Thailand </t>
  </si>
  <si>
    <t>Togo</t>
  </si>
  <si>
    <t xml:space="preserve">Yemen </t>
  </si>
  <si>
    <t>Social Action Fund Project II</t>
  </si>
  <si>
    <t>CY</t>
  </si>
  <si>
    <t>C</t>
  </si>
  <si>
    <t>Social Investment &amp; Employment Promotion Project</t>
  </si>
  <si>
    <t>Pojarski, Peter</t>
  </si>
  <si>
    <t xml:space="preserve">Community Works &amp; Employment Project </t>
  </si>
  <si>
    <t>Community Empowerment &amp; Local Governance Project</t>
  </si>
  <si>
    <t>Pomeroy, Jacqueline</t>
  </si>
  <si>
    <t>Mascarell, Caroline</t>
  </si>
  <si>
    <t>Community Development Support Project</t>
  </si>
  <si>
    <t>Volker, Hope C. Phillips</t>
  </si>
  <si>
    <t>Poupart, Nadine T.</t>
  </si>
  <si>
    <t xml:space="preserve">Sandi,Ana Maria </t>
  </si>
  <si>
    <t>P002261</t>
  </si>
  <si>
    <t>Food Security &amp; Social Action Project</t>
  </si>
  <si>
    <t>Theunynck, Serge</t>
  </si>
  <si>
    <t>Poverty Reduction Fund Project</t>
  </si>
  <si>
    <t>Romania-Social Development Fund Project II</t>
  </si>
  <si>
    <t>Rawlings, Laura</t>
  </si>
  <si>
    <t>P008860</t>
  </si>
  <si>
    <t>Poverty Alleviation Project II</t>
  </si>
  <si>
    <t>Social Action Fund  Project</t>
  </si>
  <si>
    <t>Sotirova, Galina</t>
  </si>
  <si>
    <t>P006058</t>
  </si>
  <si>
    <t>Social Protection Project IV</t>
  </si>
  <si>
    <t>Jones, Theresa</t>
  </si>
  <si>
    <t>Benin</t>
  </si>
  <si>
    <t>Social Fund Project</t>
  </si>
  <si>
    <t>Social Action Project II</t>
  </si>
  <si>
    <t>Kantabaze, Pamphile</t>
  </si>
  <si>
    <t xml:space="preserve">Social Fund Project 02 </t>
  </si>
  <si>
    <t>Sharp, Maryanne</t>
  </si>
  <si>
    <t>Salim, Maryam</t>
  </si>
  <si>
    <t>P007106</t>
  </si>
  <si>
    <t>Social Development Project: Emergency (SIF)</t>
  </si>
  <si>
    <t xml:space="preserve">Social Fund Project </t>
  </si>
  <si>
    <t>Social Fund for Development Project III</t>
  </si>
  <si>
    <t>Social Rehabilitation and Development Fund Project 1</t>
  </si>
  <si>
    <t>Haque, Trina</t>
  </si>
  <si>
    <t>Lim, Antonio</t>
  </si>
  <si>
    <t>Community-Based Poverty Reduction Project</t>
  </si>
  <si>
    <t>Murray, Eileen</t>
  </si>
  <si>
    <t>Reconstruction &amp; Local Development Project</t>
  </si>
  <si>
    <t>Salazar, Manuel</t>
  </si>
  <si>
    <t>Griffin, Charles</t>
  </si>
  <si>
    <t>Social Investment Fund Project II</t>
  </si>
  <si>
    <t>Social Investment Fund Project III</t>
  </si>
  <si>
    <t>Social Investment Fund Project IV</t>
  </si>
  <si>
    <t>Social Fund Project 02</t>
  </si>
  <si>
    <t>Flores, Rafael</t>
  </si>
  <si>
    <t>Social Development &amp; Compensation Fund</t>
  </si>
  <si>
    <t>SZOPAD SOCIAL FUND Project</t>
  </si>
  <si>
    <t>Quinones, Maria Theresa</t>
  </si>
  <si>
    <t>Pilot Social Fund (LIL) Project</t>
  </si>
  <si>
    <t>Awittor, Evelyn</t>
  </si>
  <si>
    <t>West Bank &amp; Gaza</t>
  </si>
  <si>
    <t>Community Development Project (02)</t>
  </si>
  <si>
    <t>Social Fund for Development Project (02)</t>
  </si>
  <si>
    <t xml:space="preserve">   P071113     </t>
  </si>
  <si>
    <t>P068808</t>
  </si>
  <si>
    <t>Poupart, Nadine</t>
  </si>
  <si>
    <t>Shankar, Kanthan</t>
  </si>
  <si>
    <t xml:space="preserve">Hamed, Alaa Mahmoud </t>
  </si>
  <si>
    <t>Huq, Wahida</t>
  </si>
  <si>
    <t>Social Rehabilitation and Development Fund Project</t>
  </si>
  <si>
    <t>P079314</t>
  </si>
  <si>
    <t>Social Investment Fund II Project</t>
  </si>
  <si>
    <t>P081558</t>
  </si>
  <si>
    <t>Social Action Fund Project III</t>
  </si>
  <si>
    <t>Yes</t>
  </si>
  <si>
    <t xml:space="preserve">Ibrahima, Midou </t>
  </si>
  <si>
    <t xml:space="preserve">Revenga, Ana L.   </t>
  </si>
  <si>
    <t>P077297</t>
  </si>
  <si>
    <t>P076712</t>
  </si>
  <si>
    <t>Macedonia</t>
  </si>
  <si>
    <t>P074613</t>
  </si>
  <si>
    <t>Posarac, Aleksandra</t>
  </si>
  <si>
    <t>No</t>
  </si>
  <si>
    <t>No.</t>
  </si>
  <si>
    <t>P069892</t>
  </si>
  <si>
    <t xml:space="preserve">Prevoo, Dirk </t>
  </si>
  <si>
    <t>Bosnia-Herzegovina</t>
  </si>
  <si>
    <t>P075911</t>
  </si>
  <si>
    <t>P077477</t>
  </si>
  <si>
    <t>Local Government Development Program Project (02)</t>
  </si>
  <si>
    <t>Morrell, Lance  </t>
  </si>
  <si>
    <t>Ethiopia</t>
  </si>
  <si>
    <t>P075915</t>
  </si>
  <si>
    <t>Pastoral Community Development Project</t>
  </si>
  <si>
    <t>Legesse, Assaye  </t>
  </si>
  <si>
    <t>P074885</t>
  </si>
  <si>
    <t>E-Development Project</t>
  </si>
  <si>
    <t>Gregory T. Jedrzejczak </t>
  </si>
  <si>
    <t>Peru</t>
  </si>
  <si>
    <t>P073488</t>
  </si>
  <si>
    <t>Autonomous Region in Muslim Mindanao (ARMM) Social Fund Project</t>
  </si>
  <si>
    <t>Judd, Mary P.  </t>
  </si>
  <si>
    <t>P076837</t>
  </si>
  <si>
    <t>National Community Development Project</t>
  </si>
  <si>
    <t>Persaud, Thakoor  </t>
  </si>
  <si>
    <t>Georgia</t>
  </si>
  <si>
    <t>P077368</t>
  </si>
  <si>
    <t>Municipal Development  &amp;  Decentralization (02) Project</t>
  </si>
  <si>
    <t xml:space="preserve">Eiweida, Ahmed A. R. </t>
  </si>
  <si>
    <t>Brazil</t>
  </si>
  <si>
    <t>P066170</t>
  </si>
  <si>
    <t>Rural Poverty Reduction Project - Rio Grande do Norte (02)</t>
  </si>
  <si>
    <t xml:space="preserve">Coirolo, Luis O. </t>
  </si>
  <si>
    <t>P071371</t>
  </si>
  <si>
    <t>Multisectoral HIV/AIDS Control  &amp;  Orphans Project</t>
  </si>
  <si>
    <t>Azefor, Michael N.  </t>
  </si>
  <si>
    <t>Lao People's Democratic Republic</t>
  </si>
  <si>
    <t>P077326</t>
  </si>
  <si>
    <t>Salim, Maryam </t>
  </si>
  <si>
    <t>Yemen, Republic of</t>
  </si>
  <si>
    <t>Indonesia</t>
  </si>
  <si>
    <t>P072852</t>
  </si>
  <si>
    <t>Urban Poverty Project (02)</t>
  </si>
  <si>
    <t>Soraya, George  </t>
  </si>
  <si>
    <t>P069901</t>
  </si>
  <si>
    <t>Community-Based Urban Development Project</t>
  </si>
  <si>
    <t xml:space="preserve">Tewari, Deepali  </t>
  </si>
  <si>
    <t>P074085</t>
  </si>
  <si>
    <t>Rural Poverty Reduction Project - SERGIPE</t>
  </si>
  <si>
    <t>Barbosa, Tulio  </t>
  </si>
  <si>
    <t>Mauritania</t>
  </si>
  <si>
    <t>P069095</t>
  </si>
  <si>
    <t>Urban Development Project</t>
  </si>
  <si>
    <t xml:space="preserve">Diou, Christian </t>
  </si>
  <si>
    <t>Ecuador</t>
  </si>
  <si>
    <t>P039437</t>
  </si>
  <si>
    <t>Poverty Reduction  &amp;  Local Rural Development Project</t>
  </si>
  <si>
    <t>Pichon, Francisco J.  </t>
  </si>
  <si>
    <t>P070995</t>
  </si>
  <si>
    <t>Naqvi, Maniza B.  </t>
  </si>
  <si>
    <t>P049539</t>
  </si>
  <si>
    <t>Provincial Health Project (02)</t>
  </si>
  <si>
    <t>Marzoeki, Puti  </t>
  </si>
  <si>
    <t>P008783</t>
  </si>
  <si>
    <t>Social Sector Development Project</t>
  </si>
  <si>
    <t>Innes, John A.  </t>
  </si>
  <si>
    <t>Bolivia</t>
  </si>
  <si>
    <t>P064895</t>
  </si>
  <si>
    <t>Social Investment Fund Project (05)</t>
  </si>
  <si>
    <t>Vermehren, Andrea  </t>
  </si>
  <si>
    <t>Burkina Faso</t>
  </si>
  <si>
    <t>P035673</t>
  </si>
  <si>
    <t>Community - Based Rural Development Project</t>
  </si>
  <si>
    <t>Hopkins, Jane C.  </t>
  </si>
  <si>
    <t>P050772</t>
  </si>
  <si>
    <t>Land - Based Poverty Alleviation Project</t>
  </si>
  <si>
    <t>Coirolo, Luis O.  </t>
  </si>
  <si>
    <t>India</t>
  </si>
  <si>
    <t>P059242</t>
  </si>
  <si>
    <t>Madhya Pradesh District Poverty Initiatives Project</t>
  </si>
  <si>
    <t>Constantino, Luis F.  </t>
  </si>
  <si>
    <t>P076354</t>
  </si>
  <si>
    <t>P050342</t>
  </si>
  <si>
    <t>Women's Development Initiatives Project</t>
  </si>
  <si>
    <t>Pena, Christine Lao  </t>
  </si>
  <si>
    <t>P010505</t>
  </si>
  <si>
    <t>District Poverty Initiatives Project - Rajasthan</t>
  </si>
  <si>
    <t>Shah, Parmesh  </t>
  </si>
  <si>
    <t>P058842</t>
  </si>
  <si>
    <t>Mindanao Rural Development Project (APL)</t>
  </si>
  <si>
    <t>Figueroa-Geron, Carolina</t>
  </si>
  <si>
    <t>P047690</t>
  </si>
  <si>
    <t>Agricultural Research  &amp;  Extension Project</t>
  </si>
  <si>
    <t>McMahon, Matthew A.  </t>
  </si>
  <si>
    <t>Egypt, Arab Republic of</t>
  </si>
  <si>
    <t>P040858</t>
  </si>
  <si>
    <t>Sohag Rural Development Project</t>
  </si>
  <si>
    <t>Soliman, Ayat  </t>
  </si>
  <si>
    <t>P006204</t>
  </si>
  <si>
    <t>Education Quality  &amp;  Equity Strengthening Project</t>
  </si>
  <si>
    <t>Newman, John Lincoln  </t>
  </si>
  <si>
    <t>P041199</t>
  </si>
  <si>
    <t>Social Fund for Development Project</t>
  </si>
  <si>
    <t>JSDF Comm.Dev.Innovation Fund</t>
  </si>
  <si>
    <t>Local Empowerment &amp; Environmental Management Project</t>
  </si>
  <si>
    <t>Pakistan</t>
  </si>
  <si>
    <t>P082977</t>
  </si>
  <si>
    <t>Poverty Alleviation Fund (02)</t>
  </si>
  <si>
    <t xml:space="preserve">Isa,Qazi Asmat </t>
  </si>
  <si>
    <t>P074361</t>
  </si>
  <si>
    <t>Social Investment Fund Project (02)</t>
  </si>
  <si>
    <t>Posarac, Aleksandra  </t>
  </si>
  <si>
    <t>P080376</t>
  </si>
  <si>
    <t>Emergency Earthquake Rehabilitation - Social Investment Fund (SIF) Supplemental Loan Project</t>
  </si>
  <si>
    <t>Lim, Antonio C.  </t>
  </si>
  <si>
    <t>Turkey</t>
  </si>
  <si>
    <t>P074408</t>
  </si>
  <si>
    <t>Social Risk Mitigation Project</t>
  </si>
  <si>
    <t>P057996</t>
  </si>
  <si>
    <t>National Rural Infrastructure Program Project, Phase 1</t>
  </si>
  <si>
    <t>Thiam, Moctar  </t>
  </si>
  <si>
    <t>P049791</t>
  </si>
  <si>
    <t>Poverty Alleviation Fund Project</t>
  </si>
  <si>
    <t>Isa, Qazi Azmat  </t>
  </si>
  <si>
    <t>P055821</t>
  </si>
  <si>
    <t>Urban Poverty Project</t>
  </si>
  <si>
    <t xml:space="preserve">Huque, Rumana </t>
  </si>
  <si>
    <t>P054462</t>
  </si>
  <si>
    <t>Land Fund Project</t>
  </si>
  <si>
    <t xml:space="preserve">Khouri, Nadim </t>
  </si>
  <si>
    <t>P040975</t>
  </si>
  <si>
    <t>Urban Land Management Project</t>
  </si>
  <si>
    <t>Konishi, Toru  </t>
  </si>
  <si>
    <t>P056087</t>
  </si>
  <si>
    <t>Pension and Financial Market Reform Technical Assistance Credit Project</t>
  </si>
  <si>
    <t>Camara, Modibo Khane  </t>
  </si>
  <si>
    <t>p079259</t>
  </si>
  <si>
    <t>Community Development Fund Project (2)</t>
  </si>
  <si>
    <t>Lenneiye Nginya</t>
  </si>
  <si>
    <t>Notes: Bold projects are also in the CDD and CBRD databases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</si>
</sst>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3" fillId="0" borderId="0" xfId="0" applyFont="1"/>
    <xf numFmtId="0" fontId="3" fillId="0" borderId="1" xfId="0" applyFont="1" applyBorder="1" applyAlignment="1"/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2" borderId="1" xfId="0" applyFont="1" applyFill="1" applyBorder="1" applyAlignment="1"/>
    <xf numFmtId="0" fontId="3" fillId="0" borderId="1" xfId="0" applyFont="1" applyFill="1" applyBorder="1" applyAlignment="1"/>
    <xf numFmtId="0" fontId="3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wrapText="1"/>
    </xf>
    <xf numFmtId="0" fontId="3" fillId="3" borderId="1" xfId="0" applyFont="1" applyFill="1" applyBorder="1" applyAlignment="1"/>
    <xf numFmtId="0" fontId="3" fillId="0" borderId="1" xfId="0" applyNumberFormat="1" applyFont="1" applyFill="1" applyBorder="1" applyAlignment="1" applyProtection="1">
      <protection locked="0"/>
    </xf>
    <xf numFmtId="0" fontId="3" fillId="0" borderId="1" xfId="0" applyNumberFormat="1" applyFont="1" applyBorder="1" applyAlignment="1" applyProtection="1">
      <protection locked="0"/>
    </xf>
    <xf numFmtId="0" fontId="3" fillId="0" borderId="1" xfId="0" applyFont="1" applyBorder="1" applyAlignment="1">
      <alignment horizontal="center"/>
    </xf>
    <xf numFmtId="0" fontId="3" fillId="0" borderId="1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49" fontId="3" fillId="0" borderId="1" xfId="1" applyNumberFormat="1" applyFont="1" applyBorder="1" applyAlignment="1" applyProtection="1">
      <alignment horizontal="left"/>
    </xf>
    <xf numFmtId="49" fontId="3" fillId="0" borderId="1" xfId="1" applyNumberFormat="1" applyFont="1" applyBorder="1" applyAlignment="1" applyProtection="1"/>
    <xf numFmtId="49" fontId="3" fillId="0" borderId="1" xfId="0" applyNumberFormat="1" applyFont="1" applyBorder="1" applyAlignment="1"/>
    <xf numFmtId="49" fontId="3" fillId="0" borderId="0" xfId="0" applyNumberFormat="1" applyFont="1"/>
    <xf numFmtId="0" fontId="0" fillId="0" borderId="1" xfId="0" applyBorder="1"/>
    <xf numFmtId="49" fontId="0" fillId="0" borderId="1" xfId="0" applyNumberFormat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 wrapText="1"/>
    </xf>
    <xf numFmtId="0" fontId="3" fillId="0" borderId="1" xfId="0" applyNumberFormat="1" applyFont="1" applyBorder="1" applyAlignment="1" applyProtection="1">
      <alignment horizontal="center" wrapText="1"/>
      <protection locked="0"/>
    </xf>
    <xf numFmtId="0" fontId="2" fillId="4" borderId="2" xfId="0" applyFont="1" applyFill="1" applyBorder="1" applyAlignment="1"/>
    <xf numFmtId="0" fontId="2" fillId="4" borderId="3" xfId="0" applyFont="1" applyFill="1" applyBorder="1" applyAlignment="1"/>
    <xf numFmtId="0" fontId="2" fillId="4" borderId="3" xfId="0" applyFont="1" applyFill="1" applyBorder="1" applyAlignment="1">
      <alignment horizontal="center"/>
    </xf>
    <xf numFmtId="49" fontId="2" fillId="4" borderId="3" xfId="0" applyNumberFormat="1" applyFont="1" applyFill="1" applyBorder="1" applyAlignment="1"/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49" fontId="2" fillId="4" borderId="3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 vertical="justify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 vertical="justify"/>
    </xf>
    <xf numFmtId="0" fontId="0" fillId="0" borderId="7" xfId="0" applyBorder="1"/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justify" wrapText="1"/>
    </xf>
    <xf numFmtId="0" fontId="5" fillId="0" borderId="1" xfId="0" applyFont="1" applyBorder="1" applyAlignment="1">
      <alignment horizontal="left" vertical="justify" wrapText="1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justify"/>
    </xf>
    <xf numFmtId="0" fontId="2" fillId="0" borderId="1" xfId="0" applyFont="1" applyBorder="1"/>
    <xf numFmtId="0" fontId="2" fillId="0" borderId="1" xfId="0" applyFont="1" applyBorder="1" applyAlignment="1">
      <alignment horizontal="left" vertical="justify" wrapText="1"/>
    </xf>
    <xf numFmtId="0" fontId="5" fillId="0" borderId="1" xfId="0" applyFont="1" applyBorder="1" applyAlignment="1">
      <alignment horizontal="left" wrapText="1"/>
    </xf>
    <xf numFmtId="0" fontId="2" fillId="0" borderId="0" xfId="0" applyFont="1"/>
    <xf numFmtId="0" fontId="2" fillId="0" borderId="0" xfId="0" applyFont="1" applyBorder="1"/>
    <xf numFmtId="0" fontId="3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zoomScale="80" workbookViewId="0">
      <selection activeCell="G70" sqref="G70"/>
    </sheetView>
  </sheetViews>
  <sheetFormatPr defaultColWidth="9.1796875" defaultRowHeight="12.5" x14ac:dyDescent="0.25"/>
  <cols>
    <col min="1" max="1" width="5" style="1" customWidth="1"/>
    <col min="2" max="2" width="17.1796875" style="1" customWidth="1"/>
    <col min="3" max="3" width="7.81640625" style="16" customWidth="1"/>
    <col min="4" max="4" width="6.453125" style="16" customWidth="1"/>
    <col min="5" max="5" width="8" style="16" customWidth="1"/>
    <col min="6" max="6" width="10.26953125" style="16" customWidth="1"/>
    <col min="7" max="7" width="47.54296875" style="20" customWidth="1"/>
    <col min="8" max="8" width="22.26953125" style="1" customWidth="1"/>
    <col min="9" max="9" width="11.81640625" style="16" customWidth="1"/>
    <col min="10" max="16384" width="9.1796875" style="1"/>
  </cols>
  <sheetData>
    <row r="1" spans="1:9" ht="13" x14ac:dyDescent="0.3">
      <c r="A1" s="26" t="s">
        <v>217</v>
      </c>
      <c r="B1" s="27" t="s">
        <v>0</v>
      </c>
      <c r="C1" s="28" t="s">
        <v>1</v>
      </c>
      <c r="D1" s="28" t="s">
        <v>140</v>
      </c>
      <c r="E1" s="28" t="s">
        <v>2</v>
      </c>
      <c r="F1" s="28" t="s">
        <v>3</v>
      </c>
      <c r="G1" s="29" t="s">
        <v>4</v>
      </c>
      <c r="H1" s="30" t="s">
        <v>41</v>
      </c>
      <c r="I1" s="31" t="s">
        <v>61</v>
      </c>
    </row>
    <row r="3" spans="1:9" x14ac:dyDescent="0.25">
      <c r="A3" s="32">
        <v>1</v>
      </c>
      <c r="B3" s="2" t="s">
        <v>103</v>
      </c>
      <c r="C3" s="14" t="s">
        <v>5</v>
      </c>
      <c r="D3" s="14">
        <v>2001</v>
      </c>
      <c r="E3" s="14" t="s">
        <v>6</v>
      </c>
      <c r="F3" s="14" t="s">
        <v>59</v>
      </c>
      <c r="G3" s="17" t="s">
        <v>7</v>
      </c>
      <c r="H3" s="3" t="s">
        <v>42</v>
      </c>
      <c r="I3" s="33" t="s">
        <v>208</v>
      </c>
    </row>
    <row r="4" spans="1:9" x14ac:dyDescent="0.25">
      <c r="A4" s="32">
        <f>A3+1</f>
        <v>2</v>
      </c>
      <c r="B4" s="2" t="s">
        <v>103</v>
      </c>
      <c r="C4" s="14" t="s">
        <v>5</v>
      </c>
      <c r="D4" s="14">
        <v>2003</v>
      </c>
      <c r="E4" s="14" t="s">
        <v>6</v>
      </c>
      <c r="F4" s="14" t="s">
        <v>211</v>
      </c>
      <c r="G4" s="18" t="s">
        <v>8</v>
      </c>
      <c r="H4" s="5" t="s">
        <v>43</v>
      </c>
      <c r="I4" s="33" t="s">
        <v>208</v>
      </c>
    </row>
    <row r="5" spans="1:9" x14ac:dyDescent="0.25">
      <c r="A5" s="32">
        <f t="shared" ref="A5:A63" si="0">A4+1</f>
        <v>3</v>
      </c>
      <c r="B5" s="2" t="s">
        <v>104</v>
      </c>
      <c r="C5" s="14" t="s">
        <v>9</v>
      </c>
      <c r="D5" s="14">
        <v>2000</v>
      </c>
      <c r="E5" s="14" t="s">
        <v>6</v>
      </c>
      <c r="F5" s="14" t="s">
        <v>62</v>
      </c>
      <c r="G5" s="21" t="s">
        <v>139</v>
      </c>
      <c r="H5" s="5" t="s">
        <v>44</v>
      </c>
      <c r="I5" s="33" t="s">
        <v>208</v>
      </c>
    </row>
    <row r="6" spans="1:9" x14ac:dyDescent="0.25">
      <c r="A6" s="32">
        <f t="shared" si="0"/>
        <v>4</v>
      </c>
      <c r="B6" s="2" t="s">
        <v>119</v>
      </c>
      <c r="C6" s="14" t="s">
        <v>18</v>
      </c>
      <c r="D6" s="14">
        <v>1998</v>
      </c>
      <c r="E6" s="14" t="s">
        <v>36</v>
      </c>
      <c r="F6" s="14" t="s">
        <v>162</v>
      </c>
      <c r="G6" s="21" t="s">
        <v>163</v>
      </c>
      <c r="H6" s="5" t="s">
        <v>164</v>
      </c>
      <c r="I6" s="33" t="s">
        <v>208</v>
      </c>
    </row>
    <row r="7" spans="1:9" x14ac:dyDescent="0.25">
      <c r="A7" s="32">
        <f t="shared" si="0"/>
        <v>5</v>
      </c>
      <c r="B7" s="2" t="s">
        <v>105</v>
      </c>
      <c r="C7" s="14" t="s">
        <v>10</v>
      </c>
      <c r="D7" s="14">
        <v>2000</v>
      </c>
      <c r="E7" s="14" t="s">
        <v>6</v>
      </c>
      <c r="F7" s="14" t="s">
        <v>63</v>
      </c>
      <c r="G7" s="21" t="s">
        <v>11</v>
      </c>
      <c r="H7" s="5" t="s">
        <v>45</v>
      </c>
      <c r="I7" s="33" t="s">
        <v>208</v>
      </c>
    </row>
    <row r="8" spans="1:9" x14ac:dyDescent="0.25">
      <c r="A8" s="32">
        <f t="shared" si="0"/>
        <v>6</v>
      </c>
      <c r="B8" s="7" t="s">
        <v>12</v>
      </c>
      <c r="C8" s="14" t="s">
        <v>13</v>
      </c>
      <c r="D8" s="14">
        <v>2003</v>
      </c>
      <c r="E8" s="14" t="s">
        <v>6</v>
      </c>
      <c r="F8" s="14" t="s">
        <v>64</v>
      </c>
      <c r="G8" s="21" t="s">
        <v>14</v>
      </c>
      <c r="H8" s="5" t="s">
        <v>202</v>
      </c>
      <c r="I8" s="33" t="s">
        <v>208</v>
      </c>
    </row>
    <row r="9" spans="1:9" x14ac:dyDescent="0.25">
      <c r="A9" s="32">
        <f t="shared" si="0"/>
        <v>7</v>
      </c>
      <c r="B9" s="2" t="s">
        <v>165</v>
      </c>
      <c r="C9" s="14" t="s">
        <v>9</v>
      </c>
      <c r="D9" s="14">
        <v>1998</v>
      </c>
      <c r="E9" s="14" t="s">
        <v>36</v>
      </c>
      <c r="F9" s="14" t="s">
        <v>79</v>
      </c>
      <c r="G9" s="21" t="s">
        <v>166</v>
      </c>
      <c r="H9" s="5" t="s">
        <v>209</v>
      </c>
      <c r="I9" s="33" t="s">
        <v>208</v>
      </c>
    </row>
    <row r="10" spans="1:9" x14ac:dyDescent="0.25">
      <c r="A10" s="32">
        <f t="shared" si="0"/>
        <v>8</v>
      </c>
      <c r="B10" s="4" t="s">
        <v>15</v>
      </c>
      <c r="C10" s="14" t="s">
        <v>10</v>
      </c>
      <c r="D10" s="14">
        <v>2002</v>
      </c>
      <c r="E10" s="14" t="s">
        <v>6</v>
      </c>
      <c r="F10" s="14" t="s">
        <v>16</v>
      </c>
      <c r="G10" s="21" t="s">
        <v>142</v>
      </c>
      <c r="H10" s="5" t="s">
        <v>143</v>
      </c>
      <c r="I10" s="33" t="s">
        <v>208</v>
      </c>
    </row>
    <row r="11" spans="1:9" x14ac:dyDescent="0.25">
      <c r="A11" s="32">
        <f t="shared" si="0"/>
        <v>9</v>
      </c>
      <c r="B11" s="8" t="s">
        <v>37</v>
      </c>
      <c r="C11" s="14" t="s">
        <v>9</v>
      </c>
      <c r="D11" s="14">
        <v>1999</v>
      </c>
      <c r="E11" s="14" t="s">
        <v>36</v>
      </c>
      <c r="F11" s="14" t="s">
        <v>80</v>
      </c>
      <c r="G11" s="19" t="s">
        <v>167</v>
      </c>
      <c r="H11" s="5" t="s">
        <v>168</v>
      </c>
      <c r="I11" s="33" t="s">
        <v>208</v>
      </c>
    </row>
    <row r="12" spans="1:9" x14ac:dyDescent="0.25">
      <c r="A12" s="32">
        <f t="shared" si="0"/>
        <v>10</v>
      </c>
      <c r="B12" s="2" t="s">
        <v>121</v>
      </c>
      <c r="C12" s="14" t="s">
        <v>20</v>
      </c>
      <c r="D12" s="14">
        <v>1999</v>
      </c>
      <c r="E12" s="14" t="s">
        <v>36</v>
      </c>
      <c r="F12" s="14" t="s">
        <v>81</v>
      </c>
      <c r="G12" s="19" t="s">
        <v>169</v>
      </c>
      <c r="H12" s="5" t="s">
        <v>171</v>
      </c>
      <c r="I12" s="33" t="s">
        <v>208</v>
      </c>
    </row>
    <row r="13" spans="1:9" x14ac:dyDescent="0.25">
      <c r="A13" s="32">
        <f t="shared" si="0"/>
        <v>11</v>
      </c>
      <c r="B13" s="8" t="s">
        <v>17</v>
      </c>
      <c r="C13" s="14" t="s">
        <v>18</v>
      </c>
      <c r="D13" s="14">
        <v>2000</v>
      </c>
      <c r="E13" s="14" t="s">
        <v>6</v>
      </c>
      <c r="F13" s="14" t="s">
        <v>65</v>
      </c>
      <c r="G13" s="21" t="s">
        <v>144</v>
      </c>
      <c r="H13" s="5" t="s">
        <v>46</v>
      </c>
      <c r="I13" s="33" t="s">
        <v>208</v>
      </c>
    </row>
    <row r="14" spans="1:9" x14ac:dyDescent="0.25">
      <c r="A14" s="32">
        <f t="shared" si="0"/>
        <v>12</v>
      </c>
      <c r="B14" s="2" t="s">
        <v>122</v>
      </c>
      <c r="C14" s="14" t="s">
        <v>9</v>
      </c>
      <c r="D14" s="14">
        <v>1997</v>
      </c>
      <c r="E14" s="14" t="s">
        <v>36</v>
      </c>
      <c r="F14" s="14" t="s">
        <v>82</v>
      </c>
      <c r="G14" s="19" t="s">
        <v>174</v>
      </c>
      <c r="H14" s="5" t="s">
        <v>170</v>
      </c>
      <c r="I14" s="33" t="s">
        <v>208</v>
      </c>
    </row>
    <row r="15" spans="1:9" x14ac:dyDescent="0.25">
      <c r="A15" s="32">
        <f t="shared" si="0"/>
        <v>13</v>
      </c>
      <c r="B15" s="2" t="s">
        <v>123</v>
      </c>
      <c r="C15" s="14" t="s">
        <v>18</v>
      </c>
      <c r="D15" s="14">
        <v>1994</v>
      </c>
      <c r="E15" s="14" t="s">
        <v>36</v>
      </c>
      <c r="F15" s="14" t="s">
        <v>172</v>
      </c>
      <c r="G15" s="19" t="s">
        <v>173</v>
      </c>
      <c r="H15" s="5" t="s">
        <v>53</v>
      </c>
      <c r="I15" s="33" t="s">
        <v>208</v>
      </c>
    </row>
    <row r="16" spans="1:9" x14ac:dyDescent="0.25">
      <c r="A16" s="32">
        <f t="shared" si="0"/>
        <v>14</v>
      </c>
      <c r="B16" s="11" t="s">
        <v>124</v>
      </c>
      <c r="C16" s="14" t="s">
        <v>24</v>
      </c>
      <c r="D16" s="14">
        <v>1999</v>
      </c>
      <c r="E16" s="14" t="s">
        <v>36</v>
      </c>
      <c r="F16" s="14" t="s">
        <v>83</v>
      </c>
      <c r="G16" s="19" t="s">
        <v>175</v>
      </c>
      <c r="H16" s="5" t="s">
        <v>201</v>
      </c>
      <c r="I16" s="33" t="s">
        <v>208</v>
      </c>
    </row>
    <row r="17" spans="1:9" x14ac:dyDescent="0.25">
      <c r="A17" s="32">
        <f t="shared" si="0"/>
        <v>15</v>
      </c>
      <c r="B17" s="2" t="s">
        <v>125</v>
      </c>
      <c r="C17" s="14" t="s">
        <v>9</v>
      </c>
      <c r="D17" s="14">
        <v>1996</v>
      </c>
      <c r="E17" s="14" t="s">
        <v>36</v>
      </c>
      <c r="F17" s="14" t="s">
        <v>84</v>
      </c>
      <c r="G17" s="21" t="s">
        <v>176</v>
      </c>
      <c r="H17" s="5" t="s">
        <v>177</v>
      </c>
      <c r="I17" s="33" t="s">
        <v>208</v>
      </c>
    </row>
    <row r="18" spans="1:9" x14ac:dyDescent="0.25">
      <c r="A18" s="32">
        <f t="shared" si="0"/>
        <v>16</v>
      </c>
      <c r="B18" s="8" t="s">
        <v>125</v>
      </c>
      <c r="C18" s="14" t="s">
        <v>9</v>
      </c>
      <c r="D18" s="14">
        <v>2002</v>
      </c>
      <c r="E18" s="14" t="s">
        <v>36</v>
      </c>
      <c r="F18" s="24" t="s">
        <v>38</v>
      </c>
      <c r="G18" s="21" t="s">
        <v>203</v>
      </c>
      <c r="H18" s="5" t="s">
        <v>199</v>
      </c>
      <c r="I18" s="33" t="s">
        <v>208</v>
      </c>
    </row>
    <row r="19" spans="1:9" x14ac:dyDescent="0.25">
      <c r="A19" s="32">
        <f t="shared" si="0"/>
        <v>17</v>
      </c>
      <c r="B19" s="2" t="s">
        <v>126</v>
      </c>
      <c r="C19" s="14" t="s">
        <v>10</v>
      </c>
      <c r="D19" s="14">
        <v>1997</v>
      </c>
      <c r="E19" s="14" t="s">
        <v>36</v>
      </c>
      <c r="F19" s="14" t="s">
        <v>85</v>
      </c>
      <c r="G19" s="19" t="s">
        <v>27</v>
      </c>
      <c r="H19" s="5" t="s">
        <v>178</v>
      </c>
      <c r="I19" s="33" t="s">
        <v>208</v>
      </c>
    </row>
    <row r="20" spans="1:9" x14ac:dyDescent="0.25">
      <c r="A20" s="32">
        <f t="shared" si="0"/>
        <v>18</v>
      </c>
      <c r="B20" s="2" t="s">
        <v>126</v>
      </c>
      <c r="C20" s="14" t="s">
        <v>5</v>
      </c>
      <c r="D20" s="14">
        <v>2003</v>
      </c>
      <c r="E20" s="14" t="s">
        <v>6</v>
      </c>
      <c r="F20" s="14" t="s">
        <v>214</v>
      </c>
      <c r="G20" s="18" t="s">
        <v>184</v>
      </c>
      <c r="H20" s="5" t="s">
        <v>215</v>
      </c>
      <c r="I20" s="33" t="s">
        <v>208</v>
      </c>
    </row>
    <row r="21" spans="1:9" x14ac:dyDescent="0.25">
      <c r="A21" s="32">
        <f t="shared" si="0"/>
        <v>19</v>
      </c>
      <c r="B21" s="8" t="s">
        <v>127</v>
      </c>
      <c r="C21" s="14" t="s">
        <v>9</v>
      </c>
      <c r="D21" s="14">
        <v>1999</v>
      </c>
      <c r="E21" s="14" t="s">
        <v>36</v>
      </c>
      <c r="F21" s="14" t="s">
        <v>86</v>
      </c>
      <c r="G21" s="19" t="s">
        <v>179</v>
      </c>
      <c r="H21" s="5" t="s">
        <v>180</v>
      </c>
      <c r="I21" s="33" t="s">
        <v>208</v>
      </c>
    </row>
    <row r="22" spans="1:9" x14ac:dyDescent="0.25">
      <c r="A22" s="32">
        <f t="shared" si="0"/>
        <v>20</v>
      </c>
      <c r="B22" s="2" t="s">
        <v>128</v>
      </c>
      <c r="C22" s="14" t="s">
        <v>18</v>
      </c>
      <c r="D22" s="14">
        <v>1998</v>
      </c>
      <c r="E22" s="14" t="s">
        <v>36</v>
      </c>
      <c r="F22" s="14" t="s">
        <v>87</v>
      </c>
      <c r="G22" s="19" t="s">
        <v>181</v>
      </c>
      <c r="H22" s="5" t="s">
        <v>182</v>
      </c>
      <c r="I22" s="33" t="s">
        <v>208</v>
      </c>
    </row>
    <row r="23" spans="1:9" x14ac:dyDescent="0.25">
      <c r="A23" s="32">
        <f t="shared" si="0"/>
        <v>21</v>
      </c>
      <c r="B23" s="2" t="s">
        <v>130</v>
      </c>
      <c r="C23" s="14" t="s">
        <v>39</v>
      </c>
      <c r="D23" s="14">
        <v>2000</v>
      </c>
      <c r="E23" s="14" t="s">
        <v>6</v>
      </c>
      <c r="F23" s="41" t="s">
        <v>281</v>
      </c>
      <c r="G23" s="42" t="s">
        <v>282</v>
      </c>
      <c r="H23" s="21" t="s">
        <v>283</v>
      </c>
      <c r="I23" s="33" t="s">
        <v>208</v>
      </c>
    </row>
    <row r="24" spans="1:9" x14ac:dyDescent="0.25">
      <c r="A24" s="32">
        <f t="shared" si="0"/>
        <v>22</v>
      </c>
      <c r="B24" s="8" t="s">
        <v>21</v>
      </c>
      <c r="C24" s="14" t="s">
        <v>10</v>
      </c>
      <c r="D24" s="14">
        <v>2003</v>
      </c>
      <c r="E24" s="14" t="s">
        <v>6</v>
      </c>
      <c r="F24" s="14" t="s">
        <v>350</v>
      </c>
      <c r="G24" s="19" t="s">
        <v>351</v>
      </c>
      <c r="H24" s="5" t="s">
        <v>147</v>
      </c>
      <c r="I24" s="33" t="s">
        <v>208</v>
      </c>
    </row>
    <row r="25" spans="1:9" x14ac:dyDescent="0.25">
      <c r="A25" s="32">
        <f t="shared" si="0"/>
        <v>23</v>
      </c>
      <c r="B25" s="8" t="s">
        <v>21</v>
      </c>
      <c r="C25" s="14" t="s">
        <v>10</v>
      </c>
      <c r="D25" s="14">
        <v>2000</v>
      </c>
      <c r="E25" s="14" t="s">
        <v>6</v>
      </c>
      <c r="F25" s="14" t="s">
        <v>67</v>
      </c>
      <c r="G25" s="19" t="s">
        <v>22</v>
      </c>
      <c r="H25" s="5" t="s">
        <v>147</v>
      </c>
      <c r="I25" s="33" t="s">
        <v>208</v>
      </c>
    </row>
    <row r="26" spans="1:9" x14ac:dyDescent="0.25">
      <c r="A26" s="32">
        <f t="shared" si="0"/>
        <v>24</v>
      </c>
      <c r="B26" s="8" t="s">
        <v>23</v>
      </c>
      <c r="C26" s="14" t="s">
        <v>24</v>
      </c>
      <c r="D26" s="14">
        <v>2001</v>
      </c>
      <c r="E26" s="14" t="s">
        <v>6</v>
      </c>
      <c r="F26" s="14" t="s">
        <v>197</v>
      </c>
      <c r="G26" s="19" t="s">
        <v>25</v>
      </c>
      <c r="H26" s="5" t="s">
        <v>47</v>
      </c>
      <c r="I26" s="33" t="s">
        <v>208</v>
      </c>
    </row>
    <row r="27" spans="1:9" x14ac:dyDescent="0.25">
      <c r="A27" s="32">
        <f t="shared" si="0"/>
        <v>25</v>
      </c>
      <c r="B27" s="2" t="s">
        <v>213</v>
      </c>
      <c r="C27" s="14" t="s">
        <v>5</v>
      </c>
      <c r="D27" s="14">
        <v>2004</v>
      </c>
      <c r="E27" s="14" t="s">
        <v>6</v>
      </c>
      <c r="F27" s="14" t="s">
        <v>212</v>
      </c>
      <c r="G27" s="18" t="s">
        <v>26</v>
      </c>
      <c r="H27" s="5" t="s">
        <v>147</v>
      </c>
      <c r="I27" s="33" t="s">
        <v>208</v>
      </c>
    </row>
    <row r="28" spans="1:9" x14ac:dyDescent="0.25">
      <c r="A28" s="32">
        <f t="shared" si="0"/>
        <v>26</v>
      </c>
      <c r="B28" s="8" t="s">
        <v>107</v>
      </c>
      <c r="C28" s="14" t="s">
        <v>9</v>
      </c>
      <c r="D28" s="14">
        <v>2001</v>
      </c>
      <c r="E28" s="14" t="s">
        <v>6</v>
      </c>
      <c r="F28" s="14" t="s">
        <v>69</v>
      </c>
      <c r="G28" s="21" t="s">
        <v>26</v>
      </c>
      <c r="H28" s="5" t="s">
        <v>150</v>
      </c>
      <c r="I28" s="33" t="s">
        <v>208</v>
      </c>
    </row>
    <row r="29" spans="1:9" x14ac:dyDescent="0.25">
      <c r="A29" s="32">
        <f t="shared" si="0"/>
        <v>27</v>
      </c>
      <c r="B29" s="2" t="s">
        <v>108</v>
      </c>
      <c r="C29" s="14" t="s">
        <v>9</v>
      </c>
      <c r="D29" s="14">
        <v>1998</v>
      </c>
      <c r="E29" s="14" t="s">
        <v>6</v>
      </c>
      <c r="F29" s="14" t="s">
        <v>70</v>
      </c>
      <c r="G29" s="19" t="s">
        <v>139</v>
      </c>
      <c r="H29" s="5" t="s">
        <v>149</v>
      </c>
      <c r="I29" s="33" t="s">
        <v>208</v>
      </c>
    </row>
    <row r="30" spans="1:9" x14ac:dyDescent="0.25">
      <c r="A30" s="32">
        <f t="shared" si="0"/>
        <v>28</v>
      </c>
      <c r="B30" s="2" t="s">
        <v>108</v>
      </c>
      <c r="C30" s="14" t="s">
        <v>9</v>
      </c>
      <c r="D30" s="14">
        <v>2003</v>
      </c>
      <c r="E30" s="14" t="s">
        <v>6</v>
      </c>
      <c r="F30" s="14" t="s">
        <v>221</v>
      </c>
      <c r="G30" s="19" t="s">
        <v>207</v>
      </c>
      <c r="H30" s="5" t="s">
        <v>352</v>
      </c>
      <c r="I30" s="33"/>
    </row>
    <row r="31" spans="1:9" x14ac:dyDescent="0.25">
      <c r="A31" s="32">
        <f t="shared" si="0"/>
        <v>29</v>
      </c>
      <c r="B31" s="2" t="s">
        <v>109</v>
      </c>
      <c r="C31" s="14" t="s">
        <v>10</v>
      </c>
      <c r="D31" s="14">
        <v>1999</v>
      </c>
      <c r="E31" s="14" t="s">
        <v>6</v>
      </c>
      <c r="F31" s="14" t="s">
        <v>71</v>
      </c>
      <c r="G31" s="19" t="s">
        <v>27</v>
      </c>
      <c r="H31" s="5" t="s">
        <v>42</v>
      </c>
      <c r="I31" s="33" t="s">
        <v>208</v>
      </c>
    </row>
    <row r="32" spans="1:9" x14ac:dyDescent="0.25">
      <c r="A32" s="32">
        <f t="shared" si="0"/>
        <v>30</v>
      </c>
      <c r="B32" s="2" t="s">
        <v>109</v>
      </c>
      <c r="C32" s="14" t="s">
        <v>5</v>
      </c>
      <c r="D32" s="14">
        <v>2004</v>
      </c>
      <c r="E32" s="14" t="s">
        <v>6</v>
      </c>
      <c r="F32" s="14" t="s">
        <v>204</v>
      </c>
      <c r="G32" s="18" t="s">
        <v>205</v>
      </c>
      <c r="H32" s="5" t="s">
        <v>42</v>
      </c>
      <c r="I32" s="33" t="s">
        <v>208</v>
      </c>
    </row>
    <row r="33" spans="1:9" x14ac:dyDescent="0.25">
      <c r="A33" s="32">
        <f t="shared" si="0"/>
        <v>31</v>
      </c>
      <c r="B33" s="7" t="s">
        <v>110</v>
      </c>
      <c r="C33" s="23" t="s">
        <v>18</v>
      </c>
      <c r="D33" s="14">
        <v>2001</v>
      </c>
      <c r="E33" s="14" t="s">
        <v>6</v>
      </c>
      <c r="F33" s="14" t="s">
        <v>72</v>
      </c>
      <c r="G33" s="19" t="s">
        <v>28</v>
      </c>
      <c r="H33" s="5" t="s">
        <v>48</v>
      </c>
      <c r="I33" s="33" t="s">
        <v>208</v>
      </c>
    </row>
    <row r="34" spans="1:9" x14ac:dyDescent="0.25">
      <c r="A34" s="32">
        <f t="shared" si="0"/>
        <v>32</v>
      </c>
      <c r="B34" s="8" t="s">
        <v>111</v>
      </c>
      <c r="C34" s="23" t="s">
        <v>9</v>
      </c>
      <c r="D34" s="14">
        <v>2000</v>
      </c>
      <c r="E34" s="14" t="s">
        <v>6</v>
      </c>
      <c r="F34" s="14" t="s">
        <v>73</v>
      </c>
      <c r="G34" s="22" t="s">
        <v>29</v>
      </c>
      <c r="H34" s="5" t="s">
        <v>49</v>
      </c>
      <c r="I34" s="33" t="s">
        <v>208</v>
      </c>
    </row>
    <row r="35" spans="1:9" x14ac:dyDescent="0.25">
      <c r="A35" s="32">
        <f t="shared" si="0"/>
        <v>33</v>
      </c>
      <c r="B35" s="2" t="s">
        <v>133</v>
      </c>
      <c r="C35" s="14" t="s">
        <v>18</v>
      </c>
      <c r="D35" s="14">
        <v>1997</v>
      </c>
      <c r="E35" s="14" t="s">
        <v>36</v>
      </c>
      <c r="F35" s="14" t="s">
        <v>96</v>
      </c>
      <c r="G35" s="19" t="s">
        <v>27</v>
      </c>
      <c r="H35" s="5" t="s">
        <v>56</v>
      </c>
      <c r="I35" s="33" t="s">
        <v>208</v>
      </c>
    </row>
    <row r="36" spans="1:9" x14ac:dyDescent="0.25">
      <c r="A36" s="32">
        <f t="shared" si="0"/>
        <v>34</v>
      </c>
      <c r="B36" s="12" t="s">
        <v>112</v>
      </c>
      <c r="C36" s="15" t="s">
        <v>10</v>
      </c>
      <c r="D36" s="15">
        <v>2001</v>
      </c>
      <c r="E36" s="15" t="s">
        <v>6</v>
      </c>
      <c r="F36" s="25" t="s">
        <v>198</v>
      </c>
      <c r="G36" s="21" t="s">
        <v>156</v>
      </c>
      <c r="H36" s="13" t="s">
        <v>151</v>
      </c>
      <c r="I36" s="33" t="s">
        <v>208</v>
      </c>
    </row>
    <row r="37" spans="1:9" x14ac:dyDescent="0.25">
      <c r="A37" s="32">
        <f t="shared" si="0"/>
        <v>35</v>
      </c>
      <c r="B37" s="2" t="s">
        <v>113</v>
      </c>
      <c r="C37" s="14" t="s">
        <v>9</v>
      </c>
      <c r="D37" s="14">
        <v>1992</v>
      </c>
      <c r="E37" s="14" t="s">
        <v>6</v>
      </c>
      <c r="F37" s="14" t="s">
        <v>152</v>
      </c>
      <c r="G37" s="19" t="s">
        <v>153</v>
      </c>
      <c r="H37" s="5" t="s">
        <v>50</v>
      </c>
      <c r="I37" s="33" t="s">
        <v>208</v>
      </c>
    </row>
    <row r="38" spans="1:9" x14ac:dyDescent="0.25">
      <c r="A38" s="32">
        <f t="shared" si="0"/>
        <v>36</v>
      </c>
      <c r="B38" s="10" t="s">
        <v>30</v>
      </c>
      <c r="C38" s="14" t="s">
        <v>9</v>
      </c>
      <c r="D38" s="14">
        <v>2000</v>
      </c>
      <c r="E38" s="14" t="s">
        <v>6</v>
      </c>
      <c r="F38" s="14" t="s">
        <v>74</v>
      </c>
      <c r="G38" s="21" t="s">
        <v>31</v>
      </c>
      <c r="H38" s="5" t="s">
        <v>154</v>
      </c>
      <c r="I38" s="33" t="s">
        <v>208</v>
      </c>
    </row>
    <row r="39" spans="1:9" x14ac:dyDescent="0.25">
      <c r="A39" s="32">
        <f t="shared" si="0"/>
        <v>37</v>
      </c>
      <c r="B39" s="2" t="s">
        <v>114</v>
      </c>
      <c r="C39" s="14" t="s">
        <v>18</v>
      </c>
      <c r="D39" s="14">
        <v>1999</v>
      </c>
      <c r="E39" s="14" t="s">
        <v>6</v>
      </c>
      <c r="F39" s="14" t="s">
        <v>75</v>
      </c>
      <c r="G39" s="21" t="s">
        <v>155</v>
      </c>
      <c r="H39" s="5" t="s">
        <v>157</v>
      </c>
      <c r="I39" s="33" t="s">
        <v>208</v>
      </c>
    </row>
    <row r="40" spans="1:9" x14ac:dyDescent="0.25">
      <c r="A40" s="32">
        <f t="shared" si="0"/>
        <v>38</v>
      </c>
      <c r="B40" s="2" t="s">
        <v>115</v>
      </c>
      <c r="C40" s="14" t="s">
        <v>10</v>
      </c>
      <c r="D40" s="14">
        <v>2002</v>
      </c>
      <c r="E40" s="14" t="s">
        <v>6</v>
      </c>
      <c r="F40" s="14" t="s">
        <v>158</v>
      </c>
      <c r="G40" s="21" t="s">
        <v>159</v>
      </c>
      <c r="H40" s="5" t="s">
        <v>51</v>
      </c>
      <c r="I40" s="33" t="s">
        <v>208</v>
      </c>
    </row>
    <row r="41" spans="1:9" x14ac:dyDescent="0.25">
      <c r="A41" s="32">
        <f t="shared" si="0"/>
        <v>39</v>
      </c>
      <c r="B41" s="2" t="s">
        <v>116</v>
      </c>
      <c r="C41" s="14" t="s">
        <v>9</v>
      </c>
      <c r="D41" s="14">
        <v>2000</v>
      </c>
      <c r="E41" s="14" t="s">
        <v>6</v>
      </c>
      <c r="F41" s="14" t="s">
        <v>76</v>
      </c>
      <c r="G41" s="21" t="s">
        <v>160</v>
      </c>
      <c r="H41" s="5" t="s">
        <v>149</v>
      </c>
      <c r="I41" s="33" t="s">
        <v>208</v>
      </c>
    </row>
    <row r="42" spans="1:9" x14ac:dyDescent="0.25">
      <c r="A42" s="32">
        <f t="shared" si="0"/>
        <v>40</v>
      </c>
      <c r="B42" s="2" t="s">
        <v>136</v>
      </c>
      <c r="C42" s="14" t="s">
        <v>20</v>
      </c>
      <c r="D42" s="14">
        <v>1998</v>
      </c>
      <c r="E42" s="14" t="s">
        <v>36</v>
      </c>
      <c r="F42" s="14" t="s">
        <v>99</v>
      </c>
      <c r="G42" s="21" t="s">
        <v>40</v>
      </c>
      <c r="H42" s="5" t="s">
        <v>210</v>
      </c>
      <c r="I42" s="33" t="s">
        <v>208</v>
      </c>
    </row>
    <row r="43" spans="1:9" x14ac:dyDescent="0.25">
      <c r="A43" s="32">
        <f t="shared" si="0"/>
        <v>41</v>
      </c>
      <c r="B43" s="8" t="s">
        <v>32</v>
      </c>
      <c r="C43" s="14" t="s">
        <v>9</v>
      </c>
      <c r="D43" s="14">
        <v>2002</v>
      </c>
      <c r="E43" s="14" t="s">
        <v>6</v>
      </c>
      <c r="F43" s="14" t="s">
        <v>33</v>
      </c>
      <c r="G43" s="21" t="s">
        <v>34</v>
      </c>
      <c r="H43" s="5" t="s">
        <v>52</v>
      </c>
      <c r="I43" s="33" t="s">
        <v>208</v>
      </c>
    </row>
    <row r="44" spans="1:9" x14ac:dyDescent="0.25">
      <c r="A44" s="32">
        <f t="shared" si="0"/>
        <v>42</v>
      </c>
      <c r="B44" s="7" t="s">
        <v>117</v>
      </c>
      <c r="C44" s="14" t="s">
        <v>10</v>
      </c>
      <c r="D44" s="14">
        <v>2001</v>
      </c>
      <c r="E44" s="14" t="s">
        <v>6</v>
      </c>
      <c r="F44" s="14" t="s">
        <v>35</v>
      </c>
      <c r="G44" s="21" t="s">
        <v>27</v>
      </c>
      <c r="H44" s="5" t="s">
        <v>161</v>
      </c>
      <c r="I44" s="33" t="s">
        <v>208</v>
      </c>
    </row>
    <row r="45" spans="1:9" x14ac:dyDescent="0.25">
      <c r="A45" s="32">
        <f t="shared" si="0"/>
        <v>43</v>
      </c>
      <c r="B45" s="2" t="s">
        <v>138</v>
      </c>
      <c r="C45" s="14" t="s">
        <v>24</v>
      </c>
      <c r="D45" s="14">
        <v>2000</v>
      </c>
      <c r="E45" s="14" t="s">
        <v>36</v>
      </c>
      <c r="F45" s="14" t="s">
        <v>102</v>
      </c>
      <c r="G45" s="21" t="s">
        <v>196</v>
      </c>
      <c r="H45" s="5" t="s">
        <v>58</v>
      </c>
      <c r="I45" s="33" t="s">
        <v>208</v>
      </c>
    </row>
    <row r="46" spans="1:9" ht="13" thickBot="1" x14ac:dyDescent="0.3">
      <c r="A46" s="32">
        <f t="shared" si="0"/>
        <v>44</v>
      </c>
      <c r="B46" s="34" t="s">
        <v>118</v>
      </c>
      <c r="C46" s="35" t="s">
        <v>9</v>
      </c>
      <c r="D46" s="35">
        <v>2000</v>
      </c>
      <c r="E46" s="35" t="s">
        <v>6</v>
      </c>
      <c r="F46" s="35" t="s">
        <v>77</v>
      </c>
      <c r="G46" s="43" t="s">
        <v>27</v>
      </c>
      <c r="H46" s="36" t="s">
        <v>44</v>
      </c>
      <c r="I46" s="37" t="s">
        <v>208</v>
      </c>
    </row>
    <row r="47" spans="1:9" x14ac:dyDescent="0.25">
      <c r="A47" s="32">
        <f t="shared" si="0"/>
        <v>45</v>
      </c>
      <c r="B47" s="2" t="s">
        <v>103</v>
      </c>
      <c r="C47" s="14" t="s">
        <v>5</v>
      </c>
      <c r="D47" s="14">
        <v>2000</v>
      </c>
      <c r="E47" s="14" t="s">
        <v>141</v>
      </c>
      <c r="F47" s="14" t="s">
        <v>206</v>
      </c>
      <c r="G47" s="18" t="s">
        <v>207</v>
      </c>
      <c r="H47" s="5" t="s">
        <v>44</v>
      </c>
      <c r="I47" s="33" t="s">
        <v>208</v>
      </c>
    </row>
    <row r="48" spans="1:9" x14ac:dyDescent="0.25">
      <c r="A48" s="32">
        <f t="shared" si="0"/>
        <v>46</v>
      </c>
      <c r="B48" s="2" t="s">
        <v>103</v>
      </c>
      <c r="C48" s="14" t="s">
        <v>5</v>
      </c>
      <c r="D48" s="14">
        <v>1999</v>
      </c>
      <c r="E48" s="14" t="s">
        <v>141</v>
      </c>
      <c r="F48" s="14" t="s">
        <v>60</v>
      </c>
      <c r="G48" s="18" t="s">
        <v>8</v>
      </c>
      <c r="H48" s="5" t="s">
        <v>43</v>
      </c>
      <c r="I48" s="33" t="s">
        <v>208</v>
      </c>
    </row>
    <row r="49" spans="1:9" x14ac:dyDescent="0.25">
      <c r="A49" s="32">
        <f t="shared" si="0"/>
        <v>47</v>
      </c>
      <c r="B49" s="2" t="s">
        <v>120</v>
      </c>
      <c r="C49" s="14" t="s">
        <v>18</v>
      </c>
      <c r="D49" s="14">
        <v>1997</v>
      </c>
      <c r="E49" s="14" t="s">
        <v>141</v>
      </c>
      <c r="F49" s="14" t="s">
        <v>78</v>
      </c>
      <c r="G49" s="21" t="s">
        <v>27</v>
      </c>
      <c r="H49" s="5" t="s">
        <v>54</v>
      </c>
      <c r="I49" s="33" t="s">
        <v>208</v>
      </c>
    </row>
    <row r="50" spans="1:9" x14ac:dyDescent="0.25">
      <c r="A50" s="32">
        <f t="shared" si="0"/>
        <v>48</v>
      </c>
      <c r="B50" s="9" t="s">
        <v>19</v>
      </c>
      <c r="C50" s="14" t="s">
        <v>20</v>
      </c>
      <c r="D50" s="14">
        <v>2000</v>
      </c>
      <c r="E50" s="14" t="s">
        <v>141</v>
      </c>
      <c r="F50" s="14" t="s">
        <v>66</v>
      </c>
      <c r="G50" s="19" t="s">
        <v>145</v>
      </c>
      <c r="H50" s="5" t="s">
        <v>146</v>
      </c>
      <c r="I50" s="33" t="s">
        <v>208</v>
      </c>
    </row>
    <row r="51" spans="1:9" x14ac:dyDescent="0.25">
      <c r="A51" s="32">
        <f t="shared" si="0"/>
        <v>49</v>
      </c>
      <c r="B51" s="2" t="s">
        <v>129</v>
      </c>
      <c r="C51" s="14" t="s">
        <v>18</v>
      </c>
      <c r="D51" s="14">
        <v>1992</v>
      </c>
      <c r="E51" s="14" t="s">
        <v>141</v>
      </c>
      <c r="F51" s="14" t="s">
        <v>88</v>
      </c>
      <c r="G51" s="19" t="s">
        <v>27</v>
      </c>
      <c r="H51" s="6" t="s">
        <v>183</v>
      </c>
      <c r="I51" s="33" t="s">
        <v>208</v>
      </c>
    </row>
    <row r="52" spans="1:9" x14ac:dyDescent="0.25">
      <c r="A52" s="32">
        <f t="shared" si="0"/>
        <v>50</v>
      </c>
      <c r="B52" s="2" t="s">
        <v>129</v>
      </c>
      <c r="C52" s="14" t="s">
        <v>18</v>
      </c>
      <c r="D52" s="14">
        <v>1998</v>
      </c>
      <c r="E52" s="14" t="s">
        <v>141</v>
      </c>
      <c r="F52" s="14" t="s">
        <v>89</v>
      </c>
      <c r="G52" s="19" t="s">
        <v>184</v>
      </c>
      <c r="H52" s="5" t="s">
        <v>182</v>
      </c>
      <c r="I52" s="33" t="s">
        <v>208</v>
      </c>
    </row>
    <row r="53" spans="1:9" x14ac:dyDescent="0.25">
      <c r="A53" s="32">
        <f t="shared" si="0"/>
        <v>51</v>
      </c>
      <c r="B53" s="2" t="s">
        <v>131</v>
      </c>
      <c r="C53" s="14" t="s">
        <v>39</v>
      </c>
      <c r="D53" s="14">
        <v>1998</v>
      </c>
      <c r="E53" s="14" t="s">
        <v>141</v>
      </c>
      <c r="F53" s="14" t="s">
        <v>91</v>
      </c>
      <c r="G53" s="19" t="s">
        <v>186</v>
      </c>
      <c r="H53" s="5" t="s">
        <v>56</v>
      </c>
      <c r="I53" s="33" t="s">
        <v>208</v>
      </c>
    </row>
    <row r="54" spans="1:9" x14ac:dyDescent="0.25">
      <c r="A54" s="32">
        <f t="shared" si="0"/>
        <v>52</v>
      </c>
      <c r="B54" s="2" t="s">
        <v>130</v>
      </c>
      <c r="C54" s="14" t="s">
        <v>39</v>
      </c>
      <c r="D54" s="14">
        <v>1995</v>
      </c>
      <c r="E54" s="14" t="s">
        <v>141</v>
      </c>
      <c r="F54" s="14" t="s">
        <v>90</v>
      </c>
      <c r="G54" s="19" t="s">
        <v>185</v>
      </c>
      <c r="H54" s="5" t="s">
        <v>54</v>
      </c>
      <c r="I54" s="33" t="s">
        <v>208</v>
      </c>
    </row>
    <row r="55" spans="1:9" x14ac:dyDescent="0.25">
      <c r="A55" s="32">
        <f t="shared" si="0"/>
        <v>53</v>
      </c>
      <c r="B55" s="2" t="s">
        <v>132</v>
      </c>
      <c r="C55" s="14" t="s">
        <v>39</v>
      </c>
      <c r="D55" s="14">
        <v>1996</v>
      </c>
      <c r="E55" s="14" t="s">
        <v>141</v>
      </c>
      <c r="F55" s="14" t="s">
        <v>92</v>
      </c>
      <c r="G55" s="19" t="s">
        <v>27</v>
      </c>
      <c r="H55" s="5" t="s">
        <v>55</v>
      </c>
      <c r="I55" s="33" t="s">
        <v>208</v>
      </c>
    </row>
    <row r="56" spans="1:9" x14ac:dyDescent="0.25">
      <c r="A56" s="32">
        <f t="shared" si="0"/>
        <v>54</v>
      </c>
      <c r="B56" s="8" t="s">
        <v>106</v>
      </c>
      <c r="C56" s="14" t="s">
        <v>9</v>
      </c>
      <c r="D56" s="14">
        <v>1999</v>
      </c>
      <c r="E56" s="14" t="s">
        <v>141</v>
      </c>
      <c r="F56" s="14" t="s">
        <v>68</v>
      </c>
      <c r="G56" s="19" t="s">
        <v>148</v>
      </c>
      <c r="H56" s="5" t="s">
        <v>149</v>
      </c>
      <c r="I56" s="33" t="s">
        <v>208</v>
      </c>
    </row>
    <row r="57" spans="1:9" x14ac:dyDescent="0.25">
      <c r="A57" s="32">
        <f t="shared" si="0"/>
        <v>55</v>
      </c>
      <c r="B57" s="2" t="s">
        <v>107</v>
      </c>
      <c r="C57" s="14" t="s">
        <v>9</v>
      </c>
      <c r="D57" s="14">
        <v>1995</v>
      </c>
      <c r="E57" s="14" t="s">
        <v>141</v>
      </c>
      <c r="F57" s="14" t="s">
        <v>93</v>
      </c>
      <c r="G57" s="19" t="s">
        <v>187</v>
      </c>
      <c r="H57" s="5" t="s">
        <v>180</v>
      </c>
      <c r="I57" s="33" t="s">
        <v>216</v>
      </c>
    </row>
    <row r="58" spans="1:9" x14ac:dyDescent="0.25">
      <c r="A58" s="32">
        <f t="shared" si="0"/>
        <v>56</v>
      </c>
      <c r="B58" s="2" t="s">
        <v>110</v>
      </c>
      <c r="C58" s="14" t="s">
        <v>18</v>
      </c>
      <c r="D58" s="14">
        <v>1995</v>
      </c>
      <c r="E58" s="14" t="s">
        <v>141</v>
      </c>
      <c r="F58" s="14" t="s">
        <v>94</v>
      </c>
      <c r="G58" s="19" t="s">
        <v>184</v>
      </c>
      <c r="H58" s="5" t="s">
        <v>188</v>
      </c>
      <c r="I58" s="33" t="s">
        <v>208</v>
      </c>
    </row>
    <row r="59" spans="1:9" x14ac:dyDescent="0.25">
      <c r="A59" s="32">
        <f t="shared" si="0"/>
        <v>57</v>
      </c>
      <c r="B59" s="2" t="s">
        <v>110</v>
      </c>
      <c r="C59" s="23" t="s">
        <v>18</v>
      </c>
      <c r="D59" s="14">
        <v>1998</v>
      </c>
      <c r="E59" s="14" t="s">
        <v>141</v>
      </c>
      <c r="F59" s="14" t="s">
        <v>95</v>
      </c>
      <c r="G59" s="19" t="s">
        <v>185</v>
      </c>
      <c r="H59" s="5" t="s">
        <v>56</v>
      </c>
      <c r="I59" s="33" t="s">
        <v>208</v>
      </c>
    </row>
    <row r="60" spans="1:9" x14ac:dyDescent="0.25">
      <c r="A60" s="32">
        <f t="shared" si="0"/>
        <v>58</v>
      </c>
      <c r="B60" s="2" t="s">
        <v>134</v>
      </c>
      <c r="C60" s="23" t="s">
        <v>18</v>
      </c>
      <c r="D60" s="14">
        <v>1996</v>
      </c>
      <c r="E60" s="14" t="s">
        <v>141</v>
      </c>
      <c r="F60" s="14" t="s">
        <v>97</v>
      </c>
      <c r="G60" s="19" t="s">
        <v>189</v>
      </c>
      <c r="H60" s="5" t="s">
        <v>57</v>
      </c>
      <c r="I60" s="33" t="s">
        <v>208</v>
      </c>
    </row>
    <row r="61" spans="1:9" x14ac:dyDescent="0.25">
      <c r="A61" s="32">
        <f t="shared" si="0"/>
        <v>59</v>
      </c>
      <c r="B61" s="2" t="s">
        <v>135</v>
      </c>
      <c r="C61" s="14" t="s">
        <v>20</v>
      </c>
      <c r="D61" s="14">
        <v>1998</v>
      </c>
      <c r="E61" s="14" t="s">
        <v>141</v>
      </c>
      <c r="F61" s="14" t="s">
        <v>98</v>
      </c>
      <c r="G61" s="19" t="s">
        <v>190</v>
      </c>
      <c r="H61" s="5" t="s">
        <v>191</v>
      </c>
      <c r="I61" s="33" t="s">
        <v>208</v>
      </c>
    </row>
    <row r="62" spans="1:9" x14ac:dyDescent="0.25">
      <c r="A62" s="32">
        <f t="shared" si="0"/>
        <v>60</v>
      </c>
      <c r="B62" s="8" t="s">
        <v>137</v>
      </c>
      <c r="C62" s="14" t="s">
        <v>9</v>
      </c>
      <c r="D62" s="14">
        <v>1999</v>
      </c>
      <c r="E62" s="14" t="s">
        <v>141</v>
      </c>
      <c r="F62" s="14" t="s">
        <v>100</v>
      </c>
      <c r="G62" s="19" t="s">
        <v>192</v>
      </c>
      <c r="H62" s="5" t="s">
        <v>193</v>
      </c>
      <c r="I62" s="33" t="s">
        <v>208</v>
      </c>
    </row>
    <row r="63" spans="1:9" x14ac:dyDescent="0.25">
      <c r="A63" s="32">
        <f t="shared" si="0"/>
        <v>61</v>
      </c>
      <c r="B63" s="2" t="s">
        <v>194</v>
      </c>
      <c r="C63" s="14" t="s">
        <v>24</v>
      </c>
      <c r="D63" s="14">
        <v>1999</v>
      </c>
      <c r="E63" s="14" t="s">
        <v>141</v>
      </c>
      <c r="F63" s="14" t="s">
        <v>101</v>
      </c>
      <c r="G63" s="19" t="s">
        <v>195</v>
      </c>
      <c r="H63" s="5" t="s">
        <v>200</v>
      </c>
      <c r="I63" s="33" t="s">
        <v>208</v>
      </c>
    </row>
    <row r="64" spans="1:9" x14ac:dyDescent="0.25">
      <c r="C64" s="1"/>
      <c r="D64" s="1"/>
      <c r="E64" s="1"/>
      <c r="F64" s="1"/>
      <c r="G64" s="1"/>
      <c r="I64" s="1"/>
    </row>
    <row r="65" spans="3:9" x14ac:dyDescent="0.25">
      <c r="C65" s="1"/>
      <c r="D65" s="1"/>
      <c r="E65" s="1"/>
      <c r="F65" s="1"/>
      <c r="G65" s="1"/>
      <c r="I65" s="1"/>
    </row>
  </sheetData>
  <phoneticPr fontId="0" type="noConversion"/>
  <pageMargins left="0.28999999999999998" right="0.28999999999999998" top="0.59" bottom="0.65" header="0.34" footer="0.31"/>
  <pageSetup orientation="landscape" r:id="rId1"/>
  <headerFooter alignWithMargins="0">
    <oddHeader>&amp;CSocial Funds Database&amp;R&amp;D          &amp;T</oddHeader>
    <oddFooter>&amp;LNote: Remarks in red mean that the responses have not been received from the TTL's, and information is based solely on the Project Portal.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topLeftCell="A24" zoomScale="80" workbookViewId="0">
      <selection activeCell="F42" sqref="F42"/>
    </sheetView>
  </sheetViews>
  <sheetFormatPr defaultColWidth="9.1796875" defaultRowHeight="12.5" x14ac:dyDescent="0.25"/>
  <cols>
    <col min="1" max="1" width="5" style="1" customWidth="1"/>
    <col min="2" max="2" width="20.7265625" style="1" customWidth="1"/>
    <col min="3" max="3" width="8.453125" style="16" customWidth="1"/>
    <col min="4" max="4" width="6.7265625" style="16" customWidth="1"/>
    <col min="5" max="5" width="10.26953125" style="16" customWidth="1"/>
    <col min="6" max="6" width="53.453125" style="20" customWidth="1"/>
    <col min="7" max="7" width="25" style="1" customWidth="1"/>
    <col min="8" max="8" width="9" style="16" customWidth="1"/>
    <col min="9" max="16384" width="9.1796875" style="1"/>
  </cols>
  <sheetData>
    <row r="1" spans="1:8" s="16" customFormat="1" ht="13" x14ac:dyDescent="0.3">
      <c r="A1" s="38" t="s">
        <v>217</v>
      </c>
      <c r="B1" s="28" t="s">
        <v>0</v>
      </c>
      <c r="C1" s="28" t="s">
        <v>140</v>
      </c>
      <c r="D1" s="28" t="s">
        <v>2</v>
      </c>
      <c r="E1" s="28" t="s">
        <v>3</v>
      </c>
      <c r="F1" s="39" t="s">
        <v>4</v>
      </c>
      <c r="G1" s="28" t="s">
        <v>41</v>
      </c>
    </row>
    <row r="2" spans="1:8" ht="12.75" customHeight="1" x14ac:dyDescent="0.25">
      <c r="A2" s="32">
        <v>1</v>
      </c>
      <c r="B2" s="40" t="s">
        <v>103</v>
      </c>
      <c r="C2" s="41">
        <v>1998</v>
      </c>
      <c r="D2" s="41" t="s">
        <v>6</v>
      </c>
      <c r="E2" s="41" t="s">
        <v>344</v>
      </c>
      <c r="F2" s="45" t="s">
        <v>345</v>
      </c>
      <c r="G2" s="21" t="s">
        <v>346</v>
      </c>
      <c r="H2" s="1"/>
    </row>
    <row r="3" spans="1:8" ht="12.75" customHeight="1" x14ac:dyDescent="0.25">
      <c r="A3" s="32">
        <f>A2+1</f>
        <v>2</v>
      </c>
      <c r="B3" s="40" t="s">
        <v>280</v>
      </c>
      <c r="C3" s="14">
        <v>1998</v>
      </c>
      <c r="D3" s="14" t="s">
        <v>6</v>
      </c>
      <c r="E3" s="41" t="s">
        <v>312</v>
      </c>
      <c r="F3" s="42" t="s">
        <v>313</v>
      </c>
      <c r="G3" s="21" t="s">
        <v>314</v>
      </c>
      <c r="H3" s="1"/>
    </row>
    <row r="4" spans="1:8" ht="12.75" customHeight="1" x14ac:dyDescent="0.3">
      <c r="A4" s="32">
        <f t="shared" ref="A4:A40" si="0">A3+1</f>
        <v>3</v>
      </c>
      <c r="B4" s="46" t="s">
        <v>220</v>
      </c>
      <c r="C4" s="47">
        <v>2001</v>
      </c>
      <c r="D4" s="47" t="s">
        <v>6</v>
      </c>
      <c r="E4" s="48" t="s">
        <v>272</v>
      </c>
      <c r="F4" s="49" t="s">
        <v>26</v>
      </c>
      <c r="G4" s="50" t="s">
        <v>273</v>
      </c>
      <c r="H4" s="1"/>
    </row>
    <row r="5" spans="1:8" ht="12.75" customHeight="1" x14ac:dyDescent="0.3">
      <c r="A5" s="32">
        <f t="shared" si="0"/>
        <v>4</v>
      </c>
      <c r="B5" s="46" t="s">
        <v>243</v>
      </c>
      <c r="C5" s="47">
        <v>2002</v>
      </c>
      <c r="D5" s="47" t="s">
        <v>6</v>
      </c>
      <c r="E5" s="48" t="s">
        <v>261</v>
      </c>
      <c r="F5" s="49" t="s">
        <v>262</v>
      </c>
      <c r="G5" s="50" t="s">
        <v>263</v>
      </c>
      <c r="H5" s="1"/>
    </row>
    <row r="6" spans="1:8" ht="12.75" customHeight="1" x14ac:dyDescent="0.3">
      <c r="A6" s="32">
        <f t="shared" si="0"/>
        <v>5</v>
      </c>
      <c r="B6" s="46" t="s">
        <v>243</v>
      </c>
      <c r="C6" s="47">
        <v>2002</v>
      </c>
      <c r="D6" s="47" t="s">
        <v>6</v>
      </c>
      <c r="E6" s="48" t="s">
        <v>244</v>
      </c>
      <c r="F6" s="49" t="s">
        <v>245</v>
      </c>
      <c r="G6" s="50" t="s">
        <v>246</v>
      </c>
      <c r="H6" s="1"/>
    </row>
    <row r="7" spans="1:8" ht="12.75" customHeight="1" x14ac:dyDescent="0.25">
      <c r="A7" s="32">
        <f t="shared" si="0"/>
        <v>6</v>
      </c>
      <c r="B7" s="40" t="s">
        <v>243</v>
      </c>
      <c r="C7" s="14">
        <v>2000</v>
      </c>
      <c r="D7" s="14" t="s">
        <v>6</v>
      </c>
      <c r="E7" s="41" t="s">
        <v>288</v>
      </c>
      <c r="F7" s="42" t="s">
        <v>289</v>
      </c>
      <c r="G7" s="21" t="s">
        <v>290</v>
      </c>
      <c r="H7" s="1"/>
    </row>
    <row r="8" spans="1:8" ht="12.75" customHeight="1" x14ac:dyDescent="0.3">
      <c r="A8" s="32">
        <f t="shared" si="0"/>
        <v>7</v>
      </c>
      <c r="B8" s="46" t="s">
        <v>284</v>
      </c>
      <c r="C8" s="47">
        <v>2000</v>
      </c>
      <c r="D8" s="47" t="s">
        <v>6</v>
      </c>
      <c r="E8" s="48" t="s">
        <v>285</v>
      </c>
      <c r="F8" s="49" t="s">
        <v>286</v>
      </c>
      <c r="G8" s="50" t="s">
        <v>287</v>
      </c>
      <c r="H8" s="1"/>
    </row>
    <row r="9" spans="1:8" ht="12.75" customHeight="1" x14ac:dyDescent="0.3">
      <c r="A9" s="32">
        <f t="shared" si="0"/>
        <v>8</v>
      </c>
      <c r="B9" s="46" t="s">
        <v>37</v>
      </c>
      <c r="C9" s="47">
        <v>2002</v>
      </c>
      <c r="D9" s="47" t="s">
        <v>6</v>
      </c>
      <c r="E9" s="48" t="s">
        <v>247</v>
      </c>
      <c r="F9" s="49" t="s">
        <v>248</v>
      </c>
      <c r="G9" s="50" t="s">
        <v>249</v>
      </c>
      <c r="H9" s="1"/>
    </row>
    <row r="10" spans="1:8" ht="12.75" customHeight="1" x14ac:dyDescent="0.3">
      <c r="A10" s="32">
        <f t="shared" si="0"/>
        <v>9</v>
      </c>
      <c r="B10" s="46" t="s">
        <v>268</v>
      </c>
      <c r="C10" s="47">
        <v>2001</v>
      </c>
      <c r="D10" s="47" t="s">
        <v>6</v>
      </c>
      <c r="E10" s="48" t="s">
        <v>269</v>
      </c>
      <c r="F10" s="49" t="s">
        <v>270</v>
      </c>
      <c r="G10" s="50" t="s">
        <v>271</v>
      </c>
      <c r="H10" s="1"/>
    </row>
    <row r="11" spans="1:8" ht="12.75" customHeight="1" x14ac:dyDescent="0.3">
      <c r="A11" s="32">
        <f t="shared" si="0"/>
        <v>10</v>
      </c>
      <c r="B11" s="46" t="s">
        <v>308</v>
      </c>
      <c r="C11" s="47">
        <v>1998</v>
      </c>
      <c r="D11" s="47" t="s">
        <v>6</v>
      </c>
      <c r="E11" s="48" t="s">
        <v>309</v>
      </c>
      <c r="F11" s="49" t="s">
        <v>310</v>
      </c>
      <c r="G11" s="50" t="s">
        <v>311</v>
      </c>
      <c r="H11" s="1"/>
    </row>
    <row r="12" spans="1:8" ht="12.75" customHeight="1" x14ac:dyDescent="0.3">
      <c r="A12" s="32">
        <f t="shared" si="0"/>
        <v>11</v>
      </c>
      <c r="B12" s="46" t="s">
        <v>225</v>
      </c>
      <c r="C12" s="47">
        <v>2003</v>
      </c>
      <c r="D12" s="47" t="s">
        <v>6</v>
      </c>
      <c r="E12" s="48" t="s">
        <v>226</v>
      </c>
      <c r="F12" s="49" t="s">
        <v>227</v>
      </c>
      <c r="G12" s="50" t="s">
        <v>228</v>
      </c>
      <c r="H12" s="1"/>
    </row>
    <row r="13" spans="1:8" ht="12.75" customHeight="1" x14ac:dyDescent="0.3">
      <c r="A13" s="32">
        <f t="shared" si="0"/>
        <v>12</v>
      </c>
      <c r="B13" s="46" t="s">
        <v>225</v>
      </c>
      <c r="C13" s="47">
        <v>2000</v>
      </c>
      <c r="D13" s="47" t="s">
        <v>6</v>
      </c>
      <c r="E13" s="48" t="s">
        <v>296</v>
      </c>
      <c r="F13" s="49" t="s">
        <v>297</v>
      </c>
      <c r="G13" s="50" t="s">
        <v>298</v>
      </c>
      <c r="H13" s="1"/>
    </row>
    <row r="14" spans="1:8" ht="12.75" customHeight="1" x14ac:dyDescent="0.3">
      <c r="A14" s="32">
        <f t="shared" si="0"/>
        <v>13</v>
      </c>
      <c r="B14" s="46" t="s">
        <v>239</v>
      </c>
      <c r="C14" s="47">
        <v>2002</v>
      </c>
      <c r="D14" s="47" t="s">
        <v>6</v>
      </c>
      <c r="E14" s="48" t="s">
        <v>240</v>
      </c>
      <c r="F14" s="49" t="s">
        <v>241</v>
      </c>
      <c r="G14" s="50" t="s">
        <v>242</v>
      </c>
      <c r="H14" s="1"/>
    </row>
    <row r="15" spans="1:8" ht="12.75" customHeight="1" x14ac:dyDescent="0.25">
      <c r="A15" s="32">
        <f t="shared" si="0"/>
        <v>14</v>
      </c>
      <c r="B15" s="40" t="s">
        <v>239</v>
      </c>
      <c r="C15" s="41">
        <v>2003</v>
      </c>
      <c r="D15" s="41" t="s">
        <v>6</v>
      </c>
      <c r="E15" s="41" t="s">
        <v>326</v>
      </c>
      <c r="F15" s="45" t="s">
        <v>327</v>
      </c>
      <c r="G15" s="21" t="s">
        <v>328</v>
      </c>
      <c r="H15" s="1"/>
    </row>
    <row r="16" spans="1:8" ht="12.75" customHeight="1" x14ac:dyDescent="0.3">
      <c r="A16" s="32">
        <f t="shared" si="0"/>
        <v>15</v>
      </c>
      <c r="B16" s="46" t="s">
        <v>239</v>
      </c>
      <c r="C16" s="48">
        <v>2003</v>
      </c>
      <c r="D16" s="48" t="s">
        <v>6</v>
      </c>
      <c r="E16" s="48" t="s">
        <v>323</v>
      </c>
      <c r="F16" s="51" t="s">
        <v>324</v>
      </c>
      <c r="G16" s="50" t="s">
        <v>325</v>
      </c>
      <c r="H16" s="1"/>
    </row>
    <row r="17" spans="1:8" ht="12.75" customHeight="1" x14ac:dyDescent="0.25">
      <c r="A17" s="32">
        <f t="shared" si="0"/>
        <v>16</v>
      </c>
      <c r="B17" s="40" t="s">
        <v>129</v>
      </c>
      <c r="C17" s="41">
        <v>1999</v>
      </c>
      <c r="D17" s="41" t="s">
        <v>6</v>
      </c>
      <c r="E17" s="41" t="s">
        <v>341</v>
      </c>
      <c r="F17" s="45" t="s">
        <v>342</v>
      </c>
      <c r="G17" s="21" t="s">
        <v>343</v>
      </c>
      <c r="H17" s="1"/>
    </row>
    <row r="18" spans="1:8" ht="12.75" customHeight="1" x14ac:dyDescent="0.3">
      <c r="A18" s="32">
        <f t="shared" si="0"/>
        <v>17</v>
      </c>
      <c r="B18" s="46" t="s">
        <v>291</v>
      </c>
      <c r="C18" s="47">
        <v>2000</v>
      </c>
      <c r="D18" s="47" t="s">
        <v>6</v>
      </c>
      <c r="E18" s="48" t="s">
        <v>292</v>
      </c>
      <c r="F18" s="49" t="s">
        <v>293</v>
      </c>
      <c r="G18" s="50" t="s">
        <v>294</v>
      </c>
      <c r="H18" s="1"/>
    </row>
    <row r="19" spans="1:8" ht="12.75" customHeight="1" x14ac:dyDescent="0.3">
      <c r="A19" s="32">
        <f t="shared" si="0"/>
        <v>18</v>
      </c>
      <c r="B19" s="46" t="s">
        <v>291</v>
      </c>
      <c r="C19" s="47">
        <v>2000</v>
      </c>
      <c r="D19" s="47" t="s">
        <v>6</v>
      </c>
      <c r="E19" s="48" t="s">
        <v>299</v>
      </c>
      <c r="F19" s="49" t="s">
        <v>300</v>
      </c>
      <c r="G19" s="50" t="s">
        <v>301</v>
      </c>
      <c r="H19" s="1"/>
    </row>
    <row r="20" spans="1:8" ht="12.75" customHeight="1" x14ac:dyDescent="0.25">
      <c r="A20" s="32">
        <f t="shared" si="0"/>
        <v>19</v>
      </c>
      <c r="B20" s="40" t="s">
        <v>254</v>
      </c>
      <c r="C20" s="14">
        <v>2001</v>
      </c>
      <c r="D20" s="14" t="s">
        <v>6</v>
      </c>
      <c r="E20" s="41" t="s">
        <v>274</v>
      </c>
      <c r="F20" s="42" t="s">
        <v>275</v>
      </c>
      <c r="G20" s="21" t="s">
        <v>276</v>
      </c>
      <c r="H20" s="1"/>
    </row>
    <row r="21" spans="1:8" ht="12.75" customHeight="1" x14ac:dyDescent="0.3">
      <c r="A21" s="32">
        <f t="shared" si="0"/>
        <v>20</v>
      </c>
      <c r="B21" s="46" t="s">
        <v>254</v>
      </c>
      <c r="C21" s="47">
        <v>2002</v>
      </c>
      <c r="D21" s="47" t="s">
        <v>6</v>
      </c>
      <c r="E21" s="48" t="s">
        <v>255</v>
      </c>
      <c r="F21" s="49" t="s">
        <v>256</v>
      </c>
      <c r="G21" s="50" t="s">
        <v>257</v>
      </c>
      <c r="H21" s="1"/>
    </row>
    <row r="22" spans="1:8" ht="12.75" customHeight="1" x14ac:dyDescent="0.25">
      <c r="A22" s="32">
        <f t="shared" si="0"/>
        <v>21</v>
      </c>
      <c r="B22" s="40" t="s">
        <v>254</v>
      </c>
      <c r="C22" s="41">
        <v>1999</v>
      </c>
      <c r="D22" s="41" t="s">
        <v>6</v>
      </c>
      <c r="E22" s="41" t="s">
        <v>338</v>
      </c>
      <c r="F22" s="45" t="s">
        <v>339</v>
      </c>
      <c r="G22" s="21" t="s">
        <v>340</v>
      </c>
      <c r="H22" s="1"/>
    </row>
    <row r="23" spans="1:8" ht="12.75" customHeight="1" x14ac:dyDescent="0.3">
      <c r="A23" s="32">
        <f t="shared" si="0"/>
        <v>22</v>
      </c>
      <c r="B23" s="46" t="s">
        <v>132</v>
      </c>
      <c r="C23" s="47">
        <v>2002</v>
      </c>
      <c r="D23" s="47" t="s">
        <v>6</v>
      </c>
      <c r="E23" s="48" t="s">
        <v>236</v>
      </c>
      <c r="F23" s="49" t="s">
        <v>237</v>
      </c>
      <c r="G23" s="50" t="s">
        <v>238</v>
      </c>
      <c r="H23" s="1"/>
    </row>
    <row r="24" spans="1:8" ht="12.75" customHeight="1" x14ac:dyDescent="0.3">
      <c r="A24" s="32">
        <f t="shared" si="0"/>
        <v>23</v>
      </c>
      <c r="B24" s="46" t="s">
        <v>250</v>
      </c>
      <c r="C24" s="47">
        <v>2002</v>
      </c>
      <c r="D24" s="47" t="s">
        <v>6</v>
      </c>
      <c r="E24" s="48" t="s">
        <v>251</v>
      </c>
      <c r="F24" s="49" t="s">
        <v>155</v>
      </c>
      <c r="G24" s="50" t="s">
        <v>252</v>
      </c>
      <c r="H24" s="1"/>
    </row>
    <row r="25" spans="1:8" ht="12.75" customHeight="1" x14ac:dyDescent="0.3">
      <c r="A25" s="32">
        <f t="shared" si="0"/>
        <v>24</v>
      </c>
      <c r="B25" s="46" t="s">
        <v>264</v>
      </c>
      <c r="C25" s="47">
        <v>2001</v>
      </c>
      <c r="D25" s="47" t="s">
        <v>6</v>
      </c>
      <c r="E25" s="48" t="s">
        <v>265</v>
      </c>
      <c r="F25" s="49" t="s">
        <v>266</v>
      </c>
      <c r="G25" s="50" t="s">
        <v>267</v>
      </c>
      <c r="H25" s="1"/>
    </row>
    <row r="26" spans="1:8" ht="12.75" customHeight="1" x14ac:dyDescent="0.25">
      <c r="A26" s="32">
        <f t="shared" si="0"/>
        <v>25</v>
      </c>
      <c r="B26" s="40" t="s">
        <v>110</v>
      </c>
      <c r="C26" s="14">
        <v>2000</v>
      </c>
      <c r="D26" s="14" t="s">
        <v>6</v>
      </c>
      <c r="E26" s="41" t="s">
        <v>295</v>
      </c>
      <c r="F26" s="42" t="s">
        <v>317</v>
      </c>
      <c r="G26" s="21" t="s">
        <v>283</v>
      </c>
      <c r="H26" s="1"/>
    </row>
    <row r="27" spans="1:8" ht="12.75" customHeight="1" x14ac:dyDescent="0.3">
      <c r="A27" s="32">
        <f t="shared" si="0"/>
        <v>26</v>
      </c>
      <c r="B27" s="52" t="s">
        <v>110</v>
      </c>
      <c r="C27" s="48">
        <v>2000</v>
      </c>
      <c r="D27" s="48" t="s">
        <v>6</v>
      </c>
      <c r="E27" s="48" t="s">
        <v>347</v>
      </c>
      <c r="F27" s="51" t="s">
        <v>348</v>
      </c>
      <c r="G27" s="50" t="s">
        <v>349</v>
      </c>
      <c r="H27" s="1"/>
    </row>
    <row r="28" spans="1:8" ht="12.75" customHeight="1" x14ac:dyDescent="0.25">
      <c r="A28" s="32">
        <f t="shared" si="0"/>
        <v>27</v>
      </c>
      <c r="B28" s="40" t="s">
        <v>111</v>
      </c>
      <c r="C28" s="14">
        <v>2003</v>
      </c>
      <c r="D28" s="14" t="s">
        <v>6</v>
      </c>
      <c r="E28" s="41" t="s">
        <v>218</v>
      </c>
      <c r="F28" s="42" t="s">
        <v>318</v>
      </c>
      <c r="G28" s="21" t="s">
        <v>219</v>
      </c>
      <c r="H28" s="1"/>
    </row>
    <row r="29" spans="1:8" ht="12.75" customHeight="1" x14ac:dyDescent="0.3">
      <c r="A29" s="32">
        <f t="shared" si="0"/>
        <v>28</v>
      </c>
      <c r="B29" s="46" t="s">
        <v>111</v>
      </c>
      <c r="C29" s="47">
        <v>2002</v>
      </c>
      <c r="D29" s="47" t="s">
        <v>6</v>
      </c>
      <c r="E29" s="48" t="s">
        <v>258</v>
      </c>
      <c r="F29" s="49" t="s">
        <v>259</v>
      </c>
      <c r="G29" s="50" t="s">
        <v>260</v>
      </c>
      <c r="H29" s="1"/>
    </row>
    <row r="30" spans="1:8" ht="12.75" customHeight="1" x14ac:dyDescent="0.25">
      <c r="A30" s="32">
        <f t="shared" si="0"/>
        <v>29</v>
      </c>
      <c r="B30" s="40" t="s">
        <v>319</v>
      </c>
      <c r="C30" s="41">
        <v>1999</v>
      </c>
      <c r="D30" s="41" t="s">
        <v>6</v>
      </c>
      <c r="E30" s="41" t="s">
        <v>335</v>
      </c>
      <c r="F30" s="45" t="s">
        <v>336</v>
      </c>
      <c r="G30" s="21" t="s">
        <v>337</v>
      </c>
      <c r="H30" s="1"/>
    </row>
    <row r="31" spans="1:8" ht="12.75" customHeight="1" x14ac:dyDescent="0.25">
      <c r="A31" s="32">
        <f t="shared" si="0"/>
        <v>30</v>
      </c>
      <c r="B31" s="40" t="s">
        <v>319</v>
      </c>
      <c r="C31" s="41">
        <v>2003</v>
      </c>
      <c r="D31" s="41" t="s">
        <v>6</v>
      </c>
      <c r="E31" s="41" t="s">
        <v>320</v>
      </c>
      <c r="F31" s="45" t="s">
        <v>321</v>
      </c>
      <c r="G31" s="44" t="s">
        <v>322</v>
      </c>
      <c r="H31" s="1"/>
    </row>
    <row r="32" spans="1:8" ht="12.75" customHeight="1" x14ac:dyDescent="0.3">
      <c r="A32" s="4">
        <f t="shared" si="0"/>
        <v>31</v>
      </c>
      <c r="B32" s="46" t="s">
        <v>232</v>
      </c>
      <c r="C32" s="47">
        <v>1999</v>
      </c>
      <c r="D32" s="47" t="s">
        <v>6</v>
      </c>
      <c r="E32" s="48" t="s">
        <v>305</v>
      </c>
      <c r="F32" s="49" t="s">
        <v>306</v>
      </c>
      <c r="G32" s="50" t="s">
        <v>307</v>
      </c>
      <c r="H32" s="1"/>
    </row>
    <row r="33" spans="1:8" ht="12.75" customHeight="1" x14ac:dyDescent="0.3">
      <c r="A33" s="4">
        <f t="shared" si="0"/>
        <v>32</v>
      </c>
      <c r="B33" s="46" t="s">
        <v>135</v>
      </c>
      <c r="C33" s="47">
        <v>1999</v>
      </c>
      <c r="D33" s="47" t="s">
        <v>6</v>
      </c>
      <c r="E33" s="48" t="s">
        <v>302</v>
      </c>
      <c r="F33" s="49" t="s">
        <v>303</v>
      </c>
      <c r="G33" s="50" t="s">
        <v>304</v>
      </c>
      <c r="H33" s="1"/>
    </row>
    <row r="34" spans="1:8" ht="12.75" customHeight="1" x14ac:dyDescent="0.3">
      <c r="A34" s="32">
        <f t="shared" si="0"/>
        <v>33</v>
      </c>
      <c r="B34" s="46" t="s">
        <v>135</v>
      </c>
      <c r="C34" s="47">
        <v>2002</v>
      </c>
      <c r="D34" s="47" t="s">
        <v>6</v>
      </c>
      <c r="E34" s="48" t="s">
        <v>233</v>
      </c>
      <c r="F34" s="49" t="s">
        <v>234</v>
      </c>
      <c r="G34" s="50" t="s">
        <v>235</v>
      </c>
      <c r="H34" s="1"/>
    </row>
    <row r="35" spans="1:8" ht="12.75" customHeight="1" x14ac:dyDescent="0.3">
      <c r="A35" s="32">
        <f t="shared" si="0"/>
        <v>34</v>
      </c>
      <c r="B35" s="46" t="s">
        <v>112</v>
      </c>
      <c r="C35" s="47">
        <v>2001</v>
      </c>
      <c r="D35" s="47" t="s">
        <v>6</v>
      </c>
      <c r="E35" s="48" t="s">
        <v>277</v>
      </c>
      <c r="F35" s="49" t="s">
        <v>278</v>
      </c>
      <c r="G35" s="50" t="s">
        <v>279</v>
      </c>
      <c r="H35" s="1"/>
    </row>
    <row r="36" spans="1:8" ht="12.75" customHeight="1" x14ac:dyDescent="0.3">
      <c r="A36" s="32">
        <f t="shared" si="0"/>
        <v>35</v>
      </c>
      <c r="B36" s="46" t="s">
        <v>30</v>
      </c>
      <c r="C36" s="48">
        <v>2000</v>
      </c>
      <c r="D36" s="48" t="s">
        <v>6</v>
      </c>
      <c r="E36" s="48" t="s">
        <v>332</v>
      </c>
      <c r="F36" s="51" t="s">
        <v>333</v>
      </c>
      <c r="G36" s="50" t="s">
        <v>334</v>
      </c>
      <c r="H36" s="1"/>
    </row>
    <row r="37" spans="1:8" ht="13" x14ac:dyDescent="0.3">
      <c r="A37" s="32">
        <f t="shared" si="0"/>
        <v>36</v>
      </c>
      <c r="B37" s="46" t="s">
        <v>329</v>
      </c>
      <c r="C37" s="48">
        <v>2001</v>
      </c>
      <c r="D37" s="48" t="s">
        <v>6</v>
      </c>
      <c r="E37" s="48" t="s">
        <v>330</v>
      </c>
      <c r="F37" s="51" t="s">
        <v>331</v>
      </c>
      <c r="G37" s="50" t="s">
        <v>279</v>
      </c>
      <c r="H37" s="1"/>
    </row>
    <row r="38" spans="1:8" ht="13" x14ac:dyDescent="0.3">
      <c r="A38" s="32">
        <f t="shared" si="0"/>
        <v>37</v>
      </c>
      <c r="B38" s="46" t="s">
        <v>32</v>
      </c>
      <c r="C38" s="47">
        <v>2003</v>
      </c>
      <c r="D38" s="47" t="s">
        <v>6</v>
      </c>
      <c r="E38" s="48" t="s">
        <v>222</v>
      </c>
      <c r="F38" s="49" t="s">
        <v>223</v>
      </c>
      <c r="G38" s="50" t="s">
        <v>224</v>
      </c>
      <c r="H38" s="1"/>
    </row>
    <row r="39" spans="1:8" s="53" customFormat="1" ht="13" x14ac:dyDescent="0.3">
      <c r="A39" s="32">
        <f t="shared" si="0"/>
        <v>38</v>
      </c>
      <c r="B39" s="46" t="s">
        <v>117</v>
      </c>
      <c r="C39" s="47">
        <v>2003</v>
      </c>
      <c r="D39" s="47" t="s">
        <v>6</v>
      </c>
      <c r="E39" s="48" t="s">
        <v>229</v>
      </c>
      <c r="F39" s="49" t="s">
        <v>230</v>
      </c>
      <c r="G39" s="50" t="s">
        <v>231</v>
      </c>
    </row>
    <row r="40" spans="1:8" ht="13" x14ac:dyDescent="0.3">
      <c r="A40" s="4">
        <f t="shared" si="0"/>
        <v>39</v>
      </c>
      <c r="B40" s="46" t="s">
        <v>253</v>
      </c>
      <c r="C40" s="47">
        <v>1997</v>
      </c>
      <c r="D40" s="47" t="s">
        <v>6</v>
      </c>
      <c r="E40" s="48" t="s">
        <v>315</v>
      </c>
      <c r="F40" s="49" t="s">
        <v>316</v>
      </c>
      <c r="G40" s="50" t="s">
        <v>58</v>
      </c>
      <c r="H40" s="1"/>
    </row>
    <row r="41" spans="1:8" ht="37.5" customHeight="1" x14ac:dyDescent="0.3">
      <c r="A41" s="54"/>
      <c r="B41" s="1" t="s">
        <v>353</v>
      </c>
    </row>
    <row r="42" spans="1:8" x14ac:dyDescent="0.25">
      <c r="A42" s="55"/>
    </row>
  </sheetData>
  <phoneticPr fontId="0" type="noConversion"/>
  <pageMargins left="0.28999999999999998" right="0.28999999999999998" top="0.59" bottom="0.28000000000000003" header="0.34" footer="0.31"/>
  <pageSetup orientation="landscape" r:id="rId1"/>
  <headerFooter alignWithMargins="0">
    <oddHeader>&amp;CSocial Funds Database&amp;R&amp;D          &amp;T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4" sqref="G24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SF Database original</vt:lpstr>
      <vt:lpstr>social funds search</vt:lpstr>
      <vt:lpstr>Sheet2</vt:lpstr>
      <vt:lpstr>Sheet3</vt:lpstr>
      <vt:lpstr>Sheet4</vt:lpstr>
      <vt:lpstr>Sheet5</vt:lpstr>
      <vt:lpstr>Sheet6</vt:lpstr>
      <vt:lpstr>'SF Database original'!Print_Area</vt:lpstr>
    </vt:vector>
  </TitlesOfParts>
  <Company>World Bank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Ozbil</dc:creator>
  <cp:lastModifiedBy>Carina Negreanu</cp:lastModifiedBy>
  <cp:lastPrinted>2003-12-11T19:50:39Z</cp:lastPrinted>
  <dcterms:created xsi:type="dcterms:W3CDTF">2003-11-25T15:16:38Z</dcterms:created>
  <dcterms:modified xsi:type="dcterms:W3CDTF">2020-01-27T12:40:46Z</dcterms:modified>
</cp:coreProperties>
</file>