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5E31BFB-2A75-4491-BA16-9B9194CC1434}" xr6:coauthVersionLast="45" xr6:coauthVersionMax="45" xr10:uidLastSave="{00000000-0000-0000-0000-000000000000}"/>
  <bookViews>
    <workbookView xWindow="2660" yWindow="2660" windowWidth="28800" windowHeight="15460" tabRatio="423" activeTab="1"/>
  </bookViews>
  <sheets>
    <sheet name="IS" sheetId="5" r:id="rId1"/>
    <sheet name="BS" sheetId="6" r:id="rId2"/>
    <sheet name="CF" sheetId="7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" i="6" l="1"/>
  <c r="G8" i="6"/>
  <c r="F9" i="6"/>
  <c r="G9" i="6"/>
  <c r="F10" i="6"/>
  <c r="G10" i="6"/>
  <c r="F11" i="6"/>
  <c r="F12" i="6"/>
  <c r="F13" i="6" s="1"/>
  <c r="F18" i="6" s="1"/>
  <c r="G12" i="6"/>
  <c r="G13" i="6"/>
  <c r="F14" i="6"/>
  <c r="G14" i="6"/>
  <c r="F15" i="6"/>
  <c r="G15" i="6"/>
  <c r="G16" i="6"/>
  <c r="F17" i="6"/>
  <c r="G17" i="6"/>
  <c r="G18" i="6"/>
  <c r="F21" i="6"/>
  <c r="G21" i="6"/>
  <c r="F22" i="6"/>
  <c r="G22" i="6"/>
  <c r="F23" i="6"/>
  <c r="G23" i="6"/>
  <c r="F24" i="6"/>
  <c r="G24" i="6"/>
  <c r="G25" i="6" s="1"/>
  <c r="G29" i="6" s="1"/>
  <c r="G41" i="6" s="1"/>
  <c r="F25" i="6"/>
  <c r="F26" i="6"/>
  <c r="G26" i="6"/>
  <c r="F27" i="6"/>
  <c r="G27" i="6"/>
  <c r="F28" i="6"/>
  <c r="G28" i="6"/>
  <c r="F29" i="6"/>
  <c r="F32" i="6"/>
  <c r="G32" i="6"/>
  <c r="F33" i="6"/>
  <c r="G33" i="6"/>
  <c r="F38" i="6"/>
  <c r="F40" i="6" s="1"/>
  <c r="G38" i="6"/>
  <c r="G39" i="6"/>
  <c r="G40" i="6"/>
  <c r="E13" i="7"/>
  <c r="G13" i="7"/>
  <c r="H13" i="7"/>
  <c r="J13" i="7"/>
  <c r="D14" i="7"/>
  <c r="G14" i="7"/>
  <c r="H14" i="7"/>
  <c r="J14" i="7"/>
  <c r="E15" i="7"/>
  <c r="J15" i="7"/>
  <c r="E16" i="7"/>
  <c r="H16" i="7"/>
  <c r="D17" i="7"/>
  <c r="E17" i="7"/>
  <c r="G17" i="7"/>
  <c r="H17" i="7"/>
  <c r="J17" i="7"/>
  <c r="D20" i="7"/>
  <c r="D26" i="7" s="1"/>
  <c r="G20" i="7"/>
  <c r="H20" i="7"/>
  <c r="H26" i="7" s="1"/>
  <c r="D21" i="7"/>
  <c r="E21" i="7"/>
  <c r="G21" i="7"/>
  <c r="H21" i="7"/>
  <c r="J21" i="7"/>
  <c r="D23" i="7"/>
  <c r="E23" i="7"/>
  <c r="G23" i="7"/>
  <c r="H23" i="7"/>
  <c r="J23" i="7"/>
  <c r="D25" i="7"/>
  <c r="E25" i="7"/>
  <c r="G25" i="7"/>
  <c r="H25" i="7"/>
  <c r="J25" i="7"/>
  <c r="E26" i="7"/>
  <c r="G26" i="7"/>
  <c r="J26" i="7"/>
  <c r="H30" i="7"/>
  <c r="E33" i="7"/>
  <c r="D34" i="7"/>
  <c r="E34" i="7"/>
  <c r="D35" i="7"/>
  <c r="G35" i="7"/>
  <c r="H35" i="7"/>
  <c r="J35" i="7"/>
  <c r="D36" i="7"/>
  <c r="E36" i="7"/>
  <c r="G36" i="7"/>
  <c r="H36" i="7"/>
  <c r="J36" i="7"/>
  <c r="E39" i="7"/>
  <c r="C9" i="5"/>
  <c r="E9" i="5"/>
  <c r="G9" i="5"/>
  <c r="I9" i="5"/>
  <c r="C11" i="5"/>
  <c r="E11" i="5"/>
  <c r="G11" i="5"/>
  <c r="I11" i="5"/>
  <c r="C12" i="5"/>
  <c r="D13" i="7" s="1"/>
  <c r="E12" i="5"/>
  <c r="E16" i="5" s="1"/>
  <c r="E17" i="5" s="1"/>
  <c r="E20" i="5" s="1"/>
  <c r="E24" i="5" s="1"/>
  <c r="G12" i="5"/>
  <c r="I12" i="5"/>
  <c r="C13" i="5"/>
  <c r="C16" i="5" s="1"/>
  <c r="C17" i="5" s="1"/>
  <c r="C20" i="5" s="1"/>
  <c r="C24" i="5" s="1"/>
  <c r="E13" i="5"/>
  <c r="G13" i="5"/>
  <c r="G16" i="5" s="1"/>
  <c r="G17" i="5" s="1"/>
  <c r="G20" i="5" s="1"/>
  <c r="G24" i="5" s="1"/>
  <c r="I13" i="5"/>
  <c r="K13" i="5"/>
  <c r="C14" i="5"/>
  <c r="E14" i="5"/>
  <c r="I14" i="5" s="1"/>
  <c r="G14" i="5"/>
  <c r="C15" i="5"/>
  <c r="E15" i="5"/>
  <c r="G15" i="5"/>
  <c r="I15" i="5"/>
  <c r="K15" i="5"/>
  <c r="K16" i="5"/>
  <c r="K17" i="5"/>
  <c r="K20" i="5" s="1"/>
  <c r="K24" i="5" s="1"/>
  <c r="C18" i="5"/>
  <c r="E18" i="5"/>
  <c r="I18" i="5" s="1"/>
  <c r="G18" i="5"/>
  <c r="C19" i="5"/>
  <c r="E19" i="5"/>
  <c r="G19" i="5"/>
  <c r="I19" i="5"/>
  <c r="C21" i="5"/>
  <c r="E21" i="5"/>
  <c r="G21" i="5"/>
  <c r="I21" i="5"/>
  <c r="K21" i="5"/>
  <c r="C23" i="5"/>
  <c r="E23" i="5"/>
  <c r="I23" i="5" s="1"/>
  <c r="G23" i="5"/>
  <c r="K23" i="5"/>
  <c r="G25" i="5"/>
  <c r="G29" i="5" s="1"/>
  <c r="C29" i="5"/>
  <c r="E29" i="5"/>
  <c r="I29" i="5"/>
  <c r="K29" i="5"/>
  <c r="C33" i="5"/>
  <c r="E33" i="5"/>
  <c r="G33" i="5"/>
  <c r="I33" i="5"/>
  <c r="K33" i="5"/>
  <c r="F41" i="6" l="1"/>
  <c r="G26" i="5"/>
  <c r="G32" i="5"/>
  <c r="G28" i="5"/>
  <c r="C26" i="5"/>
  <c r="C32" i="5"/>
  <c r="C28" i="5"/>
  <c r="I16" i="5"/>
  <c r="I17" i="5" s="1"/>
  <c r="I20" i="5" s="1"/>
  <c r="I24" i="5" s="1"/>
  <c r="E32" i="5"/>
  <c r="E26" i="5"/>
  <c r="E28" i="5"/>
  <c r="K32" i="5"/>
  <c r="K26" i="5"/>
  <c r="K28" i="5"/>
  <c r="J10" i="7" l="1"/>
  <c r="J18" i="7" s="1"/>
  <c r="J38" i="7" s="1"/>
  <c r="J40" i="7" s="1"/>
  <c r="K34" i="5"/>
  <c r="K30" i="5"/>
  <c r="E34" i="5"/>
  <c r="E10" i="7"/>
  <c r="E18" i="7" s="1"/>
  <c r="E38" i="7" s="1"/>
  <c r="E40" i="7" s="1"/>
  <c r="E30" i="5"/>
  <c r="I26" i="5"/>
  <c r="I32" i="5"/>
  <c r="I28" i="5"/>
  <c r="C30" i="5"/>
  <c r="D10" i="7"/>
  <c r="D18" i="7" s="1"/>
  <c r="D38" i="7" s="1"/>
  <c r="D40" i="7" s="1"/>
  <c r="C34" i="5"/>
  <c r="G34" i="5"/>
  <c r="G30" i="5"/>
  <c r="G10" i="7"/>
  <c r="G18" i="7" s="1"/>
  <c r="G38" i="7" s="1"/>
  <c r="G40" i="7" s="1"/>
  <c r="H10" i="7" l="1"/>
  <c r="H18" i="7" s="1"/>
  <c r="H38" i="7" s="1"/>
  <c r="H40" i="7" s="1"/>
  <c r="I34" i="5"/>
  <c r="I30" i="5"/>
</calcChain>
</file>

<file path=xl/sharedStrings.xml><?xml version="1.0" encoding="utf-8"?>
<sst xmlns="http://schemas.openxmlformats.org/spreadsheetml/2006/main" count="147" uniqueCount="103">
  <si>
    <t>Petroleum Geo-Services ASA</t>
  </si>
  <si>
    <t xml:space="preserve"> </t>
  </si>
  <si>
    <t>Revenue</t>
  </si>
  <si>
    <t xml:space="preserve">      </t>
  </si>
  <si>
    <t>Cost of sales</t>
  </si>
  <si>
    <t>Research and technology costs</t>
  </si>
  <si>
    <t>Selling, general and administrative costs</t>
  </si>
  <si>
    <t>Total operating expenses</t>
  </si>
  <si>
    <t>December 31,</t>
  </si>
  <si>
    <t>Cash and cash equivalents</t>
  </si>
  <si>
    <t>Accounts receivable, net</t>
  </si>
  <si>
    <t>Total current assets</t>
  </si>
  <si>
    <t>Property and equipment, net</t>
  </si>
  <si>
    <t>Accounts payable and accrued expenses</t>
  </si>
  <si>
    <t>Income taxes payable</t>
  </si>
  <si>
    <t>Total current liabilities</t>
  </si>
  <si>
    <t>Other long-term liabilities</t>
  </si>
  <si>
    <t>Deferred income taxes</t>
  </si>
  <si>
    <t>Total liabilities</t>
  </si>
  <si>
    <t>Additional paid-in capital</t>
  </si>
  <si>
    <t>Retained earnings</t>
  </si>
  <si>
    <t>Total shareholders' equity</t>
  </si>
  <si>
    <t>Cash flows from operating activities:</t>
  </si>
  <si>
    <t>Depreciation and amortization charged to expense</t>
  </si>
  <si>
    <t>Cash flows from investing activities:</t>
  </si>
  <si>
    <t>Investment in multi-client library</t>
  </si>
  <si>
    <t>Capital expenditures</t>
  </si>
  <si>
    <t>Cash flows from financing activities:</t>
  </si>
  <si>
    <t>Net increase (decrease) in short-term debt</t>
  </si>
  <si>
    <t>Cash and cash equivalents at beginning of period</t>
  </si>
  <si>
    <t>Commitments and contingencies</t>
  </si>
  <si>
    <t>Total liabilities and shareholders' equity</t>
  </si>
  <si>
    <t>Total assets</t>
  </si>
  <si>
    <t>Quarter ended</t>
  </si>
  <si>
    <t>Year ended</t>
  </si>
  <si>
    <t>(In thousands of dollars, except for share data)</t>
  </si>
  <si>
    <t>Cash and cash equivalents at end of period</t>
  </si>
  <si>
    <t>Assets</t>
  </si>
  <si>
    <t>Liabilities and Shareholders' Equity</t>
  </si>
  <si>
    <t>net cash provided by operating activities:</t>
  </si>
  <si>
    <t>Effect of exchange rate changes in cash and cash equivalents</t>
  </si>
  <si>
    <t>Guaranteed preferred beneficial interest in PGS junior</t>
  </si>
  <si>
    <t>Common stock, par value NOK 5; issued &amp; outstanding</t>
  </si>
  <si>
    <r>
      <t xml:space="preserve"> </t>
    </r>
    <r>
      <rPr>
        <sz val="10"/>
        <rFont val="Times New Roman"/>
        <family val="1"/>
      </rPr>
      <t>Basic shares outstanding</t>
    </r>
  </si>
  <si>
    <t xml:space="preserve"> Diluted shares outstanding</t>
  </si>
  <si>
    <t>Shareholders' equity:</t>
  </si>
  <si>
    <t>Working capital changes and other items</t>
  </si>
  <si>
    <t>Accumulated other comprehensive loss</t>
  </si>
  <si>
    <t>(In thousands of dollars)</t>
  </si>
  <si>
    <t>Sale of investment in affiliated company</t>
  </si>
  <si>
    <t>Sale of subsidiary</t>
  </si>
  <si>
    <t>Non-cash unusual items and gain on sale of subsidiary, net</t>
  </si>
  <si>
    <t>subordinated debt securities (4)</t>
  </si>
  <si>
    <t>Provision (benefit) for deferred income taxes</t>
  </si>
  <si>
    <t>Long-term debt and capital lease obligations</t>
  </si>
  <si>
    <t>Other items, net</t>
  </si>
  <si>
    <t>Consolidated Statements of Cash Flows (1)</t>
  </si>
  <si>
    <t>Income (loss) before income taxes</t>
  </si>
  <si>
    <t>Mandatorily redeemable cumulative preferred stock related to multi-client securitization</t>
  </si>
  <si>
    <t>Redemption of preferred stock</t>
  </si>
  <si>
    <t>Income (loss) before cumulative effect of accounting change</t>
  </si>
  <si>
    <t>Financial expense, net (4)</t>
  </si>
  <si>
    <t>Cumulative effect of accounting change, net of tax (8)</t>
  </si>
  <si>
    <t>Depreciation and amortization (2)</t>
  </si>
  <si>
    <t>Unusual items, net (3)</t>
  </si>
  <si>
    <t>Net proceeds from issuance of subsidiary preferred stock</t>
  </si>
  <si>
    <t>Repayment of long-term debt</t>
  </si>
  <si>
    <t>Principal payments under capital lease obligations</t>
  </si>
  <si>
    <t>The accompanying notes are an integral part of these consolidated financial statements.</t>
  </si>
  <si>
    <t xml:space="preserve">Other current assets </t>
  </si>
  <si>
    <t>(restated)</t>
  </si>
  <si>
    <t>Other long-term assets, net</t>
  </si>
  <si>
    <t>Short-term debt and current portion of long-term debt and capital lease obligations</t>
  </si>
  <si>
    <t>Consolidated Statements of Operations (1)</t>
  </si>
  <si>
    <t>Provision (benefit) for income taxes (6)</t>
  </si>
  <si>
    <t>(Loss) on tax equalization swap contracts, net of tax (7)</t>
  </si>
  <si>
    <t>Net cash (used in) investing activities</t>
  </si>
  <si>
    <t>Net receipts (payments) under tax equalization swap contracts</t>
  </si>
  <si>
    <t>Net income (loss)</t>
  </si>
  <si>
    <t xml:space="preserve"> Basic earnings (loss) per share</t>
  </si>
  <si>
    <t xml:space="preserve"> Diluted earnings (loss) per share</t>
  </si>
  <si>
    <t>Debt and other liabilities held for sale (7)</t>
  </si>
  <si>
    <t>Consolidated Balance Sheets (1), (10)</t>
  </si>
  <si>
    <t>Development of assets held for sale (7)</t>
  </si>
  <si>
    <t>Cash effects related to assets and liabilities held for sale (7)</t>
  </si>
  <si>
    <t>Net increase (decrease) in bank facility and short-term debt</t>
  </si>
  <si>
    <t xml:space="preserve">September 30, </t>
  </si>
  <si>
    <t>Nine months ended</t>
  </si>
  <si>
    <t>September 30,</t>
  </si>
  <si>
    <t>103,345,987 shares at September 30, 2002 and December 31, 2001</t>
  </si>
  <si>
    <t>Oil and gas assets</t>
  </si>
  <si>
    <t>Assets held for sale (7)</t>
  </si>
  <si>
    <t>Multi-client library, net (9)</t>
  </si>
  <si>
    <t xml:space="preserve"> Diluted earnings (loss) per share before cumulative effect of accounting change</t>
  </si>
  <si>
    <t>Basic earnings (loss) per share before cumulative effect of accounting change</t>
  </si>
  <si>
    <t>Goodwill (8)</t>
  </si>
  <si>
    <t>Other loss, net (5)</t>
  </si>
  <si>
    <t>Operating profit (loss)</t>
  </si>
  <si>
    <t>(Loss) from operations held for sale, net of tax (7)</t>
  </si>
  <si>
    <t xml:space="preserve">Adjustments to reconcile net income (loss) to </t>
  </si>
  <si>
    <t>Net cash provided by operating activities</t>
  </si>
  <si>
    <t>Net cash provided by financing activities</t>
  </si>
  <si>
    <t>Net increase (decrease)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</si>
</sst>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9" formatCode="_(* #,##0_);_(* \(#,##0\);_(* &quot;-&quot;_);_(@_)"/>
    <numFmt numFmtId="171" formatCode="_(* #,##0.00_);_(* \(#,##0.00\);_(* &quot;-&quot;??_);_(@_)"/>
    <numFmt numFmtId="172" formatCode="&quot;$&quot;#,##0_);\(&quot;$&quot;#,##0\)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86" formatCode="_(* #,##0.0_);_(* \(#,##0.0\);_(* &quot;-&quot;??_);_(@_)"/>
    <numFmt numFmtId="187" formatCode="_(* #,##0_);_(* \(#,##0\);_(* &quot;-&quot;??_);_(@_)"/>
    <numFmt numFmtId="192" formatCode="_(&quot;$&quot;* #,##0_);_(&quot;$&quot;* \(#,##0\);_(&quot;$&quot;* &quot;-&quot;??_);_(@_)"/>
  </numFmts>
  <fonts count="1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Palatino"/>
      <family val="1"/>
    </font>
    <font>
      <sz val="10"/>
      <name val="Arial"/>
      <family val="2"/>
    </font>
    <font>
      <sz val="14"/>
      <name val="Univers 55"/>
    </font>
    <font>
      <i/>
      <sz val="14"/>
      <name val="Univers 55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7" fontId="1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187" fontId="2" fillId="0" borderId="0" xfId="1" applyNumberFormat="1" applyFont="1"/>
    <xf numFmtId="187" fontId="3" fillId="0" borderId="0" xfId="1" applyNumberFormat="1" applyFont="1" applyAlignment="1">
      <alignment horizontal="left"/>
    </xf>
    <xf numFmtId="187" fontId="2" fillId="0" borderId="0" xfId="1" applyNumberFormat="1" applyFont="1" applyAlignment="1">
      <alignment horizontal="left"/>
    </xf>
    <xf numFmtId="0" fontId="3" fillId="0" borderId="0" xfId="0" applyFont="1"/>
    <xf numFmtId="0" fontId="3" fillId="0" borderId="2" xfId="0" applyFont="1" applyBorder="1"/>
    <xf numFmtId="187" fontId="3" fillId="0" borderId="2" xfId="1" applyNumberFormat="1" applyFont="1" applyBorder="1" applyAlignment="1">
      <alignment horizontal="left"/>
    </xf>
    <xf numFmtId="187" fontId="3" fillId="0" borderId="3" xfId="1" applyNumberFormat="1" applyFont="1" applyBorder="1" applyAlignment="1">
      <alignment horizontal="left"/>
    </xf>
    <xf numFmtId="187" fontId="2" fillId="0" borderId="0" xfId="1" applyNumberFormat="1" applyFont="1" applyAlignment="1">
      <alignment horizontal="center"/>
    </xf>
    <xf numFmtId="187" fontId="2" fillId="0" borderId="4" xfId="1" applyNumberFormat="1" applyFont="1" applyBorder="1"/>
    <xf numFmtId="187" fontId="2" fillId="0" borderId="0" xfId="1" applyNumberFormat="1" applyFont="1" applyAlignment="1">
      <alignment horizontal="centerContinuous"/>
    </xf>
    <xf numFmtId="0" fontId="2" fillId="0" borderId="0" xfId="0" applyFont="1" applyAlignment="1">
      <alignment horizontal="center"/>
    </xf>
    <xf numFmtId="187" fontId="2" fillId="0" borderId="0" xfId="1" quotePrefix="1" applyNumberFormat="1" applyFont="1" applyAlignment="1">
      <alignment horizontal="left"/>
    </xf>
    <xf numFmtId="187" fontId="2" fillId="0" borderId="4" xfId="1" applyNumberFormat="1" applyFont="1" applyBorder="1" applyAlignment="1">
      <alignment horizontal="left"/>
    </xf>
    <xf numFmtId="187" fontId="2" fillId="0" borderId="0" xfId="1" applyNumberFormat="1" applyFont="1" applyBorder="1" applyAlignment="1">
      <alignment horizontal="left"/>
    </xf>
    <xf numFmtId="192" fontId="6" fillId="0" borderId="1" xfId="2" applyNumberFormat="1" applyFont="1" applyBorder="1"/>
    <xf numFmtId="192" fontId="2" fillId="0" borderId="0" xfId="2" applyNumberFormat="1" applyFont="1"/>
    <xf numFmtId="192" fontId="3" fillId="0" borderId="3" xfId="2" applyNumberFormat="1" applyFont="1" applyBorder="1"/>
    <xf numFmtId="187" fontId="7" fillId="0" borderId="0" xfId="1" applyNumberFormat="1" applyFont="1" applyAlignment="1">
      <alignment horizontal="centerContinuous"/>
    </xf>
    <xf numFmtId="0" fontId="2" fillId="0" borderId="0" xfId="0" applyFont="1" applyBorder="1" applyAlignment="1">
      <alignment horizontal="center"/>
    </xf>
    <xf numFmtId="187" fontId="3" fillId="0" borderId="5" xfId="1" applyNumberFormat="1" applyFont="1" applyBorder="1" applyAlignment="1">
      <alignment horizontal="left"/>
    </xf>
    <xf numFmtId="187" fontId="2" fillId="0" borderId="0" xfId="1" applyNumberFormat="1" applyFont="1" applyAlignment="1">
      <alignment horizontal="left" wrapText="1"/>
    </xf>
    <xf numFmtId="187" fontId="6" fillId="0" borderId="1" xfId="1" applyNumberFormat="1" applyFont="1" applyBorder="1" applyAlignment="1">
      <alignment horizontal="left"/>
    </xf>
    <xf numFmtId="0" fontId="0" fillId="0" borderId="4" xfId="0" applyBorder="1"/>
    <xf numFmtId="187" fontId="2" fillId="0" borderId="0" xfId="1" applyNumberFormat="1" applyFont="1" applyBorder="1"/>
    <xf numFmtId="187" fontId="2" fillId="0" borderId="0" xfId="1" applyNumberFormat="1" applyFont="1" applyBorder="1" applyAlignment="1">
      <alignment horizontal="centerContinuous"/>
    </xf>
    <xf numFmtId="0" fontId="0" fillId="0" borderId="1" xfId="0" applyBorder="1"/>
    <xf numFmtId="0" fontId="2" fillId="0" borderId="0" xfId="0" applyFont="1" applyBorder="1"/>
    <xf numFmtId="0" fontId="4" fillId="0" borderId="0" xfId="0" applyFont="1" applyBorder="1" applyAlignment="1">
      <alignment horizontal="centerContinuous"/>
    </xf>
    <xf numFmtId="0" fontId="0" fillId="0" borderId="0" xfId="0" applyBorder="1"/>
    <xf numFmtId="172" fontId="8" fillId="0" borderId="0" xfId="1" applyNumberFormat="1" applyFont="1" applyBorder="1"/>
    <xf numFmtId="2" fontId="3" fillId="0" borderId="0" xfId="0" quotePrefix="1" applyNumberFormat="1" applyFont="1" applyBorder="1" applyAlignment="1">
      <alignment horizontal="left"/>
    </xf>
    <xf numFmtId="176" fontId="2" fillId="0" borderId="0" xfId="1" applyNumberFormat="1" applyFont="1" applyBorder="1"/>
    <xf numFmtId="176" fontId="3" fillId="0" borderId="3" xfId="2" applyNumberFormat="1" applyFont="1" applyBorder="1"/>
    <xf numFmtId="0" fontId="3" fillId="0" borderId="1" xfId="0" applyFont="1" applyBorder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4" fillId="0" borderId="0" xfId="0" applyFont="1" applyBorder="1" applyAlignment="1"/>
    <xf numFmtId="0" fontId="0" fillId="0" borderId="0" xfId="0" applyAlignment="1"/>
    <xf numFmtId="0" fontId="4" fillId="0" borderId="0" xfId="0" applyFont="1" applyAlignment="1">
      <alignment wrapText="1"/>
    </xf>
    <xf numFmtId="169" fontId="2" fillId="0" borderId="4" xfId="0" applyNumberFormat="1" applyFont="1" applyBorder="1"/>
    <xf numFmtId="169" fontId="2" fillId="0" borderId="0" xfId="0" applyNumberFormat="1" applyFont="1" applyBorder="1"/>
    <xf numFmtId="0" fontId="2" fillId="0" borderId="0" xfId="0" applyFont="1" applyAlignment="1"/>
    <xf numFmtId="187" fontId="2" fillId="0" borderId="0" xfId="1" applyNumberFormat="1" applyFont="1" applyAlignment="1"/>
    <xf numFmtId="177" fontId="3" fillId="0" borderId="0" xfId="0" applyNumberFormat="1" applyFont="1" applyBorder="1"/>
    <xf numFmtId="2" fontId="2" fillId="0" borderId="0" xfId="0" quotePrefix="1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2" fillId="0" borderId="1" xfId="0" quotePrefix="1" applyNumberFormat="1" applyFont="1" applyBorder="1" applyAlignment="1">
      <alignment horizontal="left"/>
    </xf>
    <xf numFmtId="169" fontId="2" fillId="0" borderId="1" xfId="0" applyNumberFormat="1" applyFont="1" applyBorder="1"/>
    <xf numFmtId="2" fontId="3" fillId="0" borderId="4" xfId="0" applyNumberFormat="1" applyFont="1" applyBorder="1" applyAlignment="1">
      <alignment horizontal="left"/>
    </xf>
    <xf numFmtId="2" fontId="3" fillId="0" borderId="4" xfId="0" quotePrefix="1" applyNumberFormat="1" applyFont="1" applyBorder="1" applyAlignment="1">
      <alignment horizontal="left"/>
    </xf>
    <xf numFmtId="186" fontId="2" fillId="0" borderId="0" xfId="1" applyNumberFormat="1" applyFont="1" applyAlignment="1">
      <alignment horizontal="left"/>
    </xf>
    <xf numFmtId="0" fontId="4" fillId="0" borderId="1" xfId="0" applyFont="1" applyBorder="1" applyAlignment="1"/>
    <xf numFmtId="187" fontId="2" fillId="0" borderId="2" xfId="1" applyNumberFormat="1" applyFont="1" applyBorder="1" applyAlignment="1">
      <alignment horizontal="left"/>
    </xf>
    <xf numFmtId="187" fontId="2" fillId="0" borderId="0" xfId="1" applyNumberFormat="1" applyFont="1" applyAlignment="1">
      <alignment horizontal="left" indent="1"/>
    </xf>
    <xf numFmtId="187" fontId="2" fillId="0" borderId="5" xfId="1" applyNumberFormat="1" applyFont="1" applyBorder="1" applyAlignment="1">
      <alignment horizontal="left"/>
    </xf>
    <xf numFmtId="187" fontId="2" fillId="0" borderId="5" xfId="1" applyNumberFormat="1" applyFont="1" applyBorder="1"/>
    <xf numFmtId="187" fontId="2" fillId="0" borderId="2" xfId="1" applyNumberFormat="1" applyFont="1" applyBorder="1"/>
    <xf numFmtId="0" fontId="2" fillId="0" borderId="1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92" fontId="2" fillId="0" borderId="4" xfId="2" applyNumberFormat="1" applyFont="1" applyBorder="1"/>
    <xf numFmtId="2" fontId="2" fillId="0" borderId="0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76" fontId="2" fillId="0" borderId="4" xfId="0" applyNumberFormat="1" applyFont="1" applyBorder="1"/>
    <xf numFmtId="187" fontId="2" fillId="0" borderId="0" xfId="1" applyNumberFormat="1" applyFont="1" applyFill="1"/>
    <xf numFmtId="187" fontId="2" fillId="0" borderId="4" xfId="1" applyNumberFormat="1" applyFont="1" applyFill="1" applyBorder="1" applyAlignment="1">
      <alignment horizontal="left"/>
    </xf>
    <xf numFmtId="0" fontId="4" fillId="0" borderId="0" xfId="0" applyFont="1" applyAlignment="1"/>
    <xf numFmtId="192" fontId="0" fillId="0" borderId="0" xfId="0" applyNumberFormat="1"/>
    <xf numFmtId="16" fontId="2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Border="1" applyAlignment="1"/>
    <xf numFmtId="0" fontId="9" fillId="0" borderId="0" xfId="0" applyFont="1"/>
    <xf numFmtId="177" fontId="3" fillId="0" borderId="1" xfId="0" applyNumberFormat="1" applyFont="1" applyBorder="1"/>
    <xf numFmtId="2" fontId="3" fillId="0" borderId="1" xfId="0" quotePrefix="1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" fontId="2" fillId="0" borderId="4" xfId="0" applyNumberFormat="1" applyFont="1" applyBorder="1" applyAlignment="1">
      <alignment horizontal="left"/>
    </xf>
    <xf numFmtId="171" fontId="2" fillId="0" borderId="4" xfId="0" applyNumberFormat="1" applyFont="1" applyBorder="1"/>
    <xf numFmtId="171" fontId="3" fillId="0" borderId="4" xfId="0" applyNumberFormat="1" applyFont="1" applyBorder="1"/>
    <xf numFmtId="169" fontId="2" fillId="0" borderId="0" xfId="2" applyNumberFormat="1" applyFont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87" fontId="2" fillId="0" borderId="0" xfId="2" applyNumberFormat="1" applyFont="1"/>
    <xf numFmtId="0" fontId="4" fillId="0" borderId="1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2" fontId="3" fillId="0" borderId="0" xfId="0" applyNumberFormat="1" applyFont="1" applyBorder="1" applyAlignment="1">
      <alignment horizontal="left"/>
    </xf>
    <xf numFmtId="171" fontId="2" fillId="0" borderId="0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0"/>
  <sheetViews>
    <sheetView topLeftCell="A3" workbookViewId="0">
      <selection activeCell="G21" sqref="G21"/>
    </sheetView>
  </sheetViews>
  <sheetFormatPr defaultColWidth="9.1796875" defaultRowHeight="13"/>
  <cols>
    <col min="1" max="1" width="3.7265625" style="3" customWidth="1"/>
    <col min="2" max="2" width="57.7265625" style="16" customWidth="1"/>
    <col min="3" max="3" width="11.7265625" style="3" customWidth="1"/>
    <col min="4" max="4" width="2.7265625" style="3" customWidth="1"/>
    <col min="5" max="5" width="11.7265625" style="3" customWidth="1"/>
    <col min="6" max="6" width="2.7265625" style="3" customWidth="1"/>
    <col min="7" max="7" width="11.7265625" style="3" customWidth="1"/>
    <col min="8" max="8" width="2.7265625" style="3" customWidth="1"/>
    <col min="9" max="9" width="11.7265625" style="3" customWidth="1"/>
    <col min="10" max="10" width="2.7265625" style="3" customWidth="1"/>
    <col min="11" max="11" width="11.7265625" style="3" customWidth="1"/>
    <col min="12" max="16384" width="9.1796875" style="3"/>
  </cols>
  <sheetData>
    <row r="1" spans="1:23" ht="17.5">
      <c r="A1" s="75" t="s">
        <v>0</v>
      </c>
      <c r="B1" s="76"/>
      <c r="C1" s="75"/>
      <c r="D1" s="75"/>
      <c r="E1" s="75"/>
      <c r="F1" s="75"/>
      <c r="G1" s="75"/>
      <c r="H1" s="75"/>
      <c r="I1" s="75"/>
      <c r="J1" s="75"/>
      <c r="K1" s="75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ht="17.5">
      <c r="A2" s="75" t="s">
        <v>73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</row>
    <row r="3" spans="1:23" ht="18" thickBot="1">
      <c r="A3" s="77"/>
      <c r="B3" s="77"/>
      <c r="C3" s="78"/>
      <c r="D3" s="78"/>
      <c r="E3" s="78"/>
      <c r="F3" s="78"/>
      <c r="G3" s="78"/>
      <c r="H3" s="78"/>
      <c r="I3" s="78"/>
      <c r="J3" s="78"/>
      <c r="K3" s="78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</row>
    <row r="4" spans="1:23">
      <c r="A4" s="24"/>
      <c r="B4" s="24"/>
      <c r="C4" s="99" t="s">
        <v>33</v>
      </c>
      <c r="D4" s="99"/>
      <c r="E4" s="99"/>
      <c r="F4" s="24"/>
      <c r="G4" s="99" t="s">
        <v>87</v>
      </c>
      <c r="H4" s="99"/>
      <c r="I4" s="99"/>
      <c r="J4" s="24"/>
      <c r="K4" s="95" t="s">
        <v>34</v>
      </c>
    </row>
    <row r="5" spans="1:23">
      <c r="A5" s="24"/>
      <c r="B5" s="24"/>
      <c r="C5" s="100" t="s">
        <v>86</v>
      </c>
      <c r="D5" s="100"/>
      <c r="E5" s="100"/>
      <c r="F5" s="24"/>
      <c r="G5" s="100" t="s">
        <v>86</v>
      </c>
      <c r="H5" s="100"/>
      <c r="I5" s="100"/>
      <c r="J5" s="24"/>
      <c r="K5" s="96" t="s">
        <v>8</v>
      </c>
    </row>
    <row r="6" spans="1:23">
      <c r="A6" s="24"/>
      <c r="B6" s="24"/>
      <c r="C6" s="63">
        <v>2002</v>
      </c>
      <c r="D6" s="63"/>
      <c r="E6" s="63">
        <v>2001</v>
      </c>
      <c r="F6" s="63"/>
      <c r="G6" s="63">
        <v>2002</v>
      </c>
      <c r="H6" s="63"/>
      <c r="I6" s="63">
        <v>2001</v>
      </c>
      <c r="J6" s="63"/>
      <c r="K6" s="63">
        <v>2001</v>
      </c>
    </row>
    <row r="7" spans="1:23" ht="13.5" thickBot="1">
      <c r="A7" s="56" t="s">
        <v>35</v>
      </c>
      <c r="B7" s="4"/>
      <c r="C7" s="92" t="s">
        <v>1</v>
      </c>
      <c r="D7" s="62"/>
      <c r="E7" s="94" t="s">
        <v>70</v>
      </c>
      <c r="F7" s="92"/>
      <c r="G7" s="92" t="s">
        <v>1</v>
      </c>
      <c r="H7" s="62"/>
      <c r="I7" s="94" t="s">
        <v>70</v>
      </c>
      <c r="J7" s="62"/>
      <c r="K7" s="92" t="s">
        <v>1</v>
      </c>
    </row>
    <row r="8" spans="1:23" s="5" customFormat="1" ht="12.75" customHeight="1">
      <c r="C8" s="41"/>
      <c r="D8" s="41"/>
      <c r="E8" s="43"/>
      <c r="F8" s="43"/>
      <c r="G8" s="43"/>
      <c r="H8" s="43"/>
      <c r="I8" s="43"/>
      <c r="J8" s="43"/>
      <c r="K8" s="43"/>
    </row>
    <row r="9" spans="1:23">
      <c r="A9" s="18" t="s">
        <v>2</v>
      </c>
      <c r="B9" s="18"/>
      <c r="C9" s="64">
        <f>317745-7942-53102</f>
        <v>256701</v>
      </c>
      <c r="D9" s="64"/>
      <c r="E9" s="64">
        <f>290705-141-47529</f>
        <v>243035</v>
      </c>
      <c r="F9" s="64"/>
      <c r="G9" s="64">
        <f>893867-20595-141271-1</f>
        <v>732000</v>
      </c>
      <c r="H9" s="64"/>
      <c r="I9" s="64">
        <f>462699+E9-39810-35325</f>
        <v>630599</v>
      </c>
      <c r="J9" s="67"/>
      <c r="K9" s="67">
        <v>885063</v>
      </c>
    </row>
    <row r="10" spans="1:23" ht="12.75" customHeight="1">
      <c r="A10" s="8"/>
      <c r="B10" s="8" t="s">
        <v>1</v>
      </c>
      <c r="C10" s="6" t="s">
        <v>3</v>
      </c>
      <c r="D10" s="6"/>
      <c r="E10" s="6" t="s">
        <v>3</v>
      </c>
      <c r="F10" s="6"/>
      <c r="G10" s="6" t="s">
        <v>3</v>
      </c>
      <c r="H10" s="6"/>
      <c r="I10" s="6" t="s">
        <v>3</v>
      </c>
      <c r="J10" s="6"/>
      <c r="K10" s="6"/>
    </row>
    <row r="11" spans="1:23">
      <c r="A11" s="8" t="s">
        <v>4</v>
      </c>
      <c r="B11" s="8"/>
      <c r="C11" s="6">
        <f>1115677-2+486+6744-1063-425214-268403-56169-2625-140101+437-6526-48834-39056</f>
        <v>135351</v>
      </c>
      <c r="D11" s="6"/>
      <c r="E11" s="6">
        <f>152966-114-17295+18601-46674+232+633</f>
        <v>108349</v>
      </c>
      <c r="F11" s="6"/>
      <c r="G11" s="6">
        <f>(1510767-25042)+1520-3521+6744-1063-425214-268403-56169-2625-140101+437-9178-130517-104314-1</f>
        <v>353320</v>
      </c>
      <c r="H11" s="6"/>
      <c r="I11" s="6">
        <f>228084+E11-39520+1236+342-57756+23279+376-676</f>
        <v>263714</v>
      </c>
      <c r="J11" s="45"/>
      <c r="K11" s="45">
        <v>381019</v>
      </c>
    </row>
    <row r="12" spans="1:23">
      <c r="A12" s="8" t="s">
        <v>63</v>
      </c>
      <c r="B12" s="8"/>
      <c r="C12" s="6">
        <f>48859+39056+749</f>
        <v>88664</v>
      </c>
      <c r="D12" s="6"/>
      <c r="E12" s="6">
        <f>75144-19-364</f>
        <v>74761</v>
      </c>
      <c r="F12" s="6"/>
      <c r="G12" s="6">
        <f>142031+104314+2220</f>
        <v>248565</v>
      </c>
      <c r="H12" s="6"/>
      <c r="I12" s="6">
        <f>136079+E12-342-376</f>
        <v>210122</v>
      </c>
      <c r="J12" s="45"/>
      <c r="K12" s="45">
        <v>333027</v>
      </c>
    </row>
    <row r="13" spans="1:23">
      <c r="A13" s="8" t="s">
        <v>5</v>
      </c>
      <c r="B13" s="8"/>
      <c r="C13" s="6">
        <f>576</f>
        <v>576</v>
      </c>
      <c r="D13" s="6"/>
      <c r="E13" s="6">
        <f>627</f>
        <v>627</v>
      </c>
      <c r="F13" s="6"/>
      <c r="G13" s="6">
        <f>2048+1</f>
        <v>2049</v>
      </c>
      <c r="H13" s="6"/>
      <c r="I13" s="6">
        <f>2191+E13</f>
        <v>2818</v>
      </c>
      <c r="J13" s="45"/>
      <c r="K13" s="45">
        <f>3752</f>
        <v>3752</v>
      </c>
    </row>
    <row r="14" spans="1:23">
      <c r="A14" s="19" t="s">
        <v>6</v>
      </c>
      <c r="B14" s="19"/>
      <c r="C14" s="29">
        <f>25439-3619-4000-50-749-2551+2019-122</f>
        <v>16367</v>
      </c>
      <c r="D14" s="29"/>
      <c r="E14" s="29">
        <f>19782-1833-3+19-691-832+132</f>
        <v>16574</v>
      </c>
      <c r="F14" s="29"/>
      <c r="G14" s="29">
        <f>64017-3619-4000-50-1620-8094-364-2220+1</f>
        <v>44051</v>
      </c>
      <c r="H14" s="29"/>
      <c r="I14" s="29">
        <f>35840+E14-736-677-697-1713+456</f>
        <v>49047</v>
      </c>
      <c r="J14" s="45"/>
      <c r="K14" s="45">
        <v>66505</v>
      </c>
    </row>
    <row r="15" spans="1:23">
      <c r="A15" s="18" t="s">
        <v>64</v>
      </c>
      <c r="B15" s="18"/>
      <c r="C15" s="14">
        <f>-6744+3619+4000+53-437+6695+425214+268403+56169+3549+4500+2625</f>
        <v>767646</v>
      </c>
      <c r="D15" s="14" t="s">
        <v>1</v>
      </c>
      <c r="E15" s="14">
        <f>446-25805-633</f>
        <v>-25992</v>
      </c>
      <c r="F15" s="14"/>
      <c r="G15" s="14">
        <f>3521-30938-23211-6744+3619+4000+53-437+6695+425214+268403+56169+3549+4500+2625</f>
        <v>717018</v>
      </c>
      <c r="H15" s="14" t="s">
        <v>1</v>
      </c>
      <c r="I15" s="14">
        <f>-87056+E15</f>
        <v>-113048</v>
      </c>
      <c r="J15" s="14"/>
      <c r="K15" s="14">
        <f>13155-122349+1345-900+2230+607+17995-633</f>
        <v>-88550</v>
      </c>
    </row>
    <row r="16" spans="1:23">
      <c r="A16" s="18"/>
      <c r="B16" s="18" t="s">
        <v>7</v>
      </c>
      <c r="C16" s="14">
        <f>SUM(C11:C15)</f>
        <v>1008604</v>
      </c>
      <c r="D16" s="14"/>
      <c r="E16" s="14">
        <f>SUM(E11:E15)</f>
        <v>174319</v>
      </c>
      <c r="F16" s="14"/>
      <c r="G16" s="14">
        <f>SUM(G11:G15)</f>
        <v>1365003</v>
      </c>
      <c r="H16" s="14"/>
      <c r="I16" s="14">
        <f>SUM(I11:I15)</f>
        <v>412653</v>
      </c>
      <c r="J16" s="14"/>
      <c r="K16" s="14">
        <f>SUM(K11:K15)</f>
        <v>695753</v>
      </c>
    </row>
    <row r="17" spans="1:11">
      <c r="A17" s="8" t="s">
        <v>97</v>
      </c>
      <c r="B17" s="8"/>
      <c r="C17" s="6">
        <f>+C9-C16</f>
        <v>-751903</v>
      </c>
      <c r="D17" s="6"/>
      <c r="E17" s="6">
        <f>+E9-E16</f>
        <v>68716</v>
      </c>
      <c r="F17" s="6"/>
      <c r="G17" s="6">
        <f>+G9-G16</f>
        <v>-633003</v>
      </c>
      <c r="H17" s="6"/>
      <c r="I17" s="6">
        <f>+I9-I16</f>
        <v>217946</v>
      </c>
      <c r="J17" s="6"/>
      <c r="K17" s="6">
        <f>+K9-K16</f>
        <v>189310</v>
      </c>
    </row>
    <row r="18" spans="1:11">
      <c r="A18" s="8" t="s">
        <v>61</v>
      </c>
      <c r="B18" s="8"/>
      <c r="C18" s="6">
        <f>1143-38194+4439-4444+3+2194+38-2844</f>
        <v>-37665</v>
      </c>
      <c r="D18" s="6"/>
      <c r="E18" s="6">
        <f>-34616+1587+604-1360+627-650</f>
        <v>-33808</v>
      </c>
      <c r="F18" s="6"/>
      <c r="G18" s="6">
        <f>3401-106897+13115-14164+3+6119+41-8223</f>
        <v>-106605</v>
      </c>
      <c r="H18" s="6"/>
      <c r="I18" s="6">
        <f>-68825+E18-55+641-635+210-42+1+619-6-607+174-396</f>
        <v>-102729</v>
      </c>
      <c r="J18" s="45"/>
      <c r="K18" s="45">
        <v>-140808</v>
      </c>
    </row>
    <row r="19" spans="1:11">
      <c r="A19" s="18" t="s">
        <v>96</v>
      </c>
      <c r="B19" s="18"/>
      <c r="C19" s="14">
        <f>-14744-4039-579+6695+4500+3549+70-14</f>
        <v>-4562</v>
      </c>
      <c r="D19" s="14"/>
      <c r="E19" s="14">
        <f>25281-18+2-25805-1221-4-7</f>
        <v>-1772</v>
      </c>
      <c r="F19" s="14"/>
      <c r="G19" s="14">
        <f>-16437-12204+51815+6695-30938-23211+3549+4500+20-12+1</f>
        <v>-16222</v>
      </c>
      <c r="H19" s="14"/>
      <c r="I19" s="14">
        <f>359+E19-825+4-60-5</f>
        <v>-2299</v>
      </c>
      <c r="J19" s="44"/>
      <c r="K19" s="44">
        <v>-4853</v>
      </c>
    </row>
    <row r="20" spans="1:11">
      <c r="A20" s="8" t="s">
        <v>57</v>
      </c>
      <c r="B20" s="8"/>
      <c r="C20" s="6">
        <f>SUM(C17:C19)</f>
        <v>-794130</v>
      </c>
      <c r="D20" s="6"/>
      <c r="E20" s="6">
        <f>SUM(E17:E19)</f>
        <v>33136</v>
      </c>
      <c r="F20" s="6"/>
      <c r="G20" s="6">
        <f>SUM(G17:G19)</f>
        <v>-755830</v>
      </c>
      <c r="H20" s="6"/>
      <c r="I20" s="6">
        <f>SUM(I17:I19)</f>
        <v>112918</v>
      </c>
      <c r="J20" s="6"/>
      <c r="K20" s="6">
        <f>SUM(K17:K19)</f>
        <v>43649</v>
      </c>
    </row>
    <row r="21" spans="1:11">
      <c r="A21" s="19" t="s">
        <v>74</v>
      </c>
      <c r="B21" s="19"/>
      <c r="C21" s="29">
        <f>130996-1741+(1063*0.28)</f>
        <v>129552.64</v>
      </c>
      <c r="D21" s="29"/>
      <c r="E21" s="29">
        <f>18685-176+369</f>
        <v>18878</v>
      </c>
      <c r="F21" s="29"/>
      <c r="G21" s="29">
        <f>200806-3952+(1063*0.28)</f>
        <v>197151.64</v>
      </c>
      <c r="H21" s="29"/>
      <c r="I21" s="29">
        <f>-26037+E21+206</f>
        <v>-6953</v>
      </c>
      <c r="J21" s="45"/>
      <c r="K21" s="45">
        <f>35803-6373-44</f>
        <v>29386</v>
      </c>
    </row>
    <row r="22" spans="1:11" hidden="1">
      <c r="A22" s="19" t="s">
        <v>75</v>
      </c>
      <c r="B22" s="19"/>
      <c r="C22" s="29">
        <v>0</v>
      </c>
      <c r="D22" s="29"/>
      <c r="E22" s="29">
        <v>0</v>
      </c>
      <c r="F22" s="29"/>
      <c r="G22" s="29">
        <v>0</v>
      </c>
      <c r="H22" s="29"/>
      <c r="I22" s="29">
        <v>0</v>
      </c>
      <c r="J22" s="45"/>
      <c r="K22" s="29">
        <v>0</v>
      </c>
    </row>
    <row r="23" spans="1:11">
      <c r="A23" s="18" t="s">
        <v>98</v>
      </c>
      <c r="B23" s="18"/>
      <c r="C23" s="14">
        <f>2952+1571-1063+1063-140101-1741+(1063*0.28)</f>
        <v>-137021.35999999999</v>
      </c>
      <c r="D23" s="14"/>
      <c r="E23" s="14">
        <f>-1318+369+587-176</f>
        <v>-538</v>
      </c>
      <c r="F23" s="14"/>
      <c r="G23" s="14">
        <f>1063-1063-140101+10850+2235-3952+(1063*0.28)</f>
        <v>-130670.36</v>
      </c>
      <c r="H23" s="14"/>
      <c r="I23" s="14">
        <f>-9479+E23+772-1635+206+176</f>
        <v>-10498</v>
      </c>
      <c r="J23" s="44"/>
      <c r="K23" s="44">
        <f>-4020-6373+628-44-1</f>
        <v>-9810</v>
      </c>
    </row>
    <row r="24" spans="1:11">
      <c r="A24" s="19" t="s">
        <v>60</v>
      </c>
      <c r="B24" s="19"/>
      <c r="C24" s="29">
        <f>C20-C21+C23+C22</f>
        <v>-1060704</v>
      </c>
      <c r="D24" s="29" t="s">
        <v>1</v>
      </c>
      <c r="E24" s="29">
        <f>E20-E21+E23+E22</f>
        <v>13720</v>
      </c>
      <c r="F24" s="29"/>
      <c r="G24" s="29">
        <f>G20-G21+G23+G22</f>
        <v>-1083652</v>
      </c>
      <c r="H24" s="29"/>
      <c r="I24" s="29">
        <f>I20-I21+I23+I22</f>
        <v>109373</v>
      </c>
      <c r="J24" s="45"/>
      <c r="K24" s="29">
        <f>K20-K21+K23+K22</f>
        <v>4453</v>
      </c>
    </row>
    <row r="25" spans="1:11">
      <c r="A25" s="18" t="s">
        <v>62</v>
      </c>
      <c r="B25" s="18"/>
      <c r="C25" s="14">
        <v>0</v>
      </c>
      <c r="D25" s="14"/>
      <c r="E25" s="14">
        <v>0</v>
      </c>
      <c r="F25" s="14"/>
      <c r="G25" s="14">
        <f>-185933</f>
        <v>-185933</v>
      </c>
      <c r="H25" s="14"/>
      <c r="I25" s="14">
        <v>0</v>
      </c>
      <c r="J25" s="44"/>
      <c r="K25" s="44">
        <v>0</v>
      </c>
    </row>
    <row r="26" spans="1:11" s="9" customFormat="1" ht="13.5" thickBot="1">
      <c r="A26" s="27"/>
      <c r="B26" s="27" t="s">
        <v>78</v>
      </c>
      <c r="C26" s="20">
        <f>SUM(C24:C25)</f>
        <v>-1060704</v>
      </c>
      <c r="D26" s="20"/>
      <c r="E26" s="20">
        <f>SUM(E24:E25)</f>
        <v>13720</v>
      </c>
      <c r="F26" s="20"/>
      <c r="G26" s="20">
        <f>SUM(G24:G25)</f>
        <v>-1269585</v>
      </c>
      <c r="H26" s="20"/>
      <c r="I26" s="20">
        <f>SUM(I24:I25)</f>
        <v>109373</v>
      </c>
      <c r="J26" s="20" t="s">
        <v>1</v>
      </c>
      <c r="K26" s="20">
        <f>SUM(K24:K25)</f>
        <v>4453</v>
      </c>
    </row>
    <row r="27" spans="1:11">
      <c r="A27" s="13"/>
      <c r="B27" s="13"/>
      <c r="C27" s="6"/>
      <c r="D27" s="6"/>
      <c r="E27" s="6"/>
      <c r="F27" s="6"/>
      <c r="G27" s="6"/>
      <c r="H27" s="6"/>
      <c r="I27" s="6"/>
      <c r="J27" s="29"/>
      <c r="K27" s="6"/>
    </row>
    <row r="28" spans="1:11">
      <c r="A28" s="65" t="s">
        <v>94</v>
      </c>
      <c r="B28" s="13"/>
      <c r="C28" s="98">
        <f>C24/(C36/1000)</f>
        <v>-10.263620589350992</v>
      </c>
      <c r="D28" s="6"/>
      <c r="E28" s="98">
        <f>E24/(E36/1000)</f>
        <v>0.13319614130778631</v>
      </c>
      <c r="F28" s="6"/>
      <c r="G28" s="98">
        <f>G24/(G36/1000)</f>
        <v>-10.485670817580948</v>
      </c>
      <c r="H28" s="6"/>
      <c r="I28" s="98">
        <f>I24/(I36/1000)</f>
        <v>1.0662965879591344</v>
      </c>
      <c r="J28" s="29"/>
      <c r="K28" s="98">
        <f>K24/(K36/1000)</f>
        <v>4.3330489427365448E-2</v>
      </c>
    </row>
    <row r="29" spans="1:11">
      <c r="A29" s="87" t="s">
        <v>62</v>
      </c>
      <c r="B29" s="54"/>
      <c r="C29" s="88">
        <f>C25/(C36/1000)</f>
        <v>0</v>
      </c>
      <c r="D29" s="88"/>
      <c r="E29" s="88">
        <f>E25/(E36/1000)</f>
        <v>0</v>
      </c>
      <c r="F29" s="88"/>
      <c r="G29" s="88">
        <f>G25/(G36/1000)</f>
        <v>-1.7991313005699971</v>
      </c>
      <c r="H29" s="88"/>
      <c r="I29" s="88">
        <f>I25/(I36/1000)</f>
        <v>0</v>
      </c>
      <c r="J29" s="89"/>
      <c r="K29" s="88">
        <f>K25/(K36/1000)</f>
        <v>0</v>
      </c>
    </row>
    <row r="30" spans="1:11" ht="13.5" thickBot="1">
      <c r="A30" s="86" t="s">
        <v>79</v>
      </c>
      <c r="B30" s="85"/>
      <c r="C30" s="84">
        <f>C26/(C36/1000)</f>
        <v>-10.263620589350992</v>
      </c>
      <c r="D30" s="84"/>
      <c r="E30" s="84">
        <f>E26/(E36/1000)</f>
        <v>0.13319614130778631</v>
      </c>
      <c r="F30" s="84"/>
      <c r="G30" s="84">
        <f>G26/(G36/1000)</f>
        <v>-12.284802118150946</v>
      </c>
      <c r="H30" s="84"/>
      <c r="I30" s="84">
        <f>I26/(I36/1000)</f>
        <v>1.0662965879591344</v>
      </c>
      <c r="J30" s="84"/>
      <c r="K30" s="84">
        <f>K26/(K36/1000)</f>
        <v>4.3330489427365448E-2</v>
      </c>
    </row>
    <row r="31" spans="1:11">
      <c r="A31" s="97"/>
      <c r="B31" s="36"/>
      <c r="C31" s="48"/>
      <c r="D31" s="48"/>
      <c r="E31" s="48"/>
      <c r="F31" s="48"/>
      <c r="G31" s="48"/>
      <c r="H31" s="48"/>
      <c r="I31" s="48"/>
      <c r="J31" s="48"/>
      <c r="K31" s="48"/>
    </row>
    <row r="32" spans="1:11">
      <c r="A32" s="65" t="s">
        <v>93</v>
      </c>
      <c r="B32" s="13"/>
      <c r="C32" s="98">
        <f>C24/(C37/1000)</f>
        <v>-10.263620589350992</v>
      </c>
      <c r="D32" s="29"/>
      <c r="E32" s="98">
        <f>E24/(E37/1000)</f>
        <v>0.13319108163390123</v>
      </c>
      <c r="F32" s="29"/>
      <c r="G32" s="98">
        <f>G24/(G37/1000)</f>
        <v>-10.485670817580948</v>
      </c>
      <c r="H32" s="29"/>
      <c r="I32" s="98">
        <f>I24/(I37/1000)</f>
        <v>1.0660250431722451</v>
      </c>
      <c r="J32" s="29"/>
      <c r="K32" s="98">
        <f>K24/(K37/1000)</f>
        <v>4.3322154505209778E-2</v>
      </c>
    </row>
    <row r="33" spans="1:11">
      <c r="A33" s="87" t="s">
        <v>62</v>
      </c>
      <c r="B33" s="54"/>
      <c r="C33" s="88">
        <f>C25/(C37/1000)</f>
        <v>0</v>
      </c>
      <c r="D33" s="88"/>
      <c r="E33" s="88">
        <f>E25/(E37/1000)</f>
        <v>0</v>
      </c>
      <c r="F33" s="88"/>
      <c r="G33" s="88">
        <f>G25/(G37/1000)</f>
        <v>-1.7991313005699971</v>
      </c>
      <c r="H33" s="88"/>
      <c r="I33" s="88">
        <f>I25/(I37/1000)</f>
        <v>0</v>
      </c>
      <c r="J33" s="89"/>
      <c r="K33" s="88">
        <f>K25/(K37/1000)</f>
        <v>0</v>
      </c>
    </row>
    <row r="34" spans="1:11" ht="13.5" thickBot="1">
      <c r="A34" s="86" t="s">
        <v>80</v>
      </c>
      <c r="B34" s="85"/>
      <c r="C34" s="84">
        <f>C26/(C37/1000)</f>
        <v>-10.263620589350992</v>
      </c>
      <c r="D34" s="84"/>
      <c r="E34" s="84">
        <f>E26/(E37/1000)</f>
        <v>0.13319108163390123</v>
      </c>
      <c r="F34" s="84"/>
      <c r="G34" s="84">
        <f>G26/(G37/1000)</f>
        <v>-12.284802118150946</v>
      </c>
      <c r="H34" s="84"/>
      <c r="I34" s="84">
        <f>I26/(I37/1000)</f>
        <v>1.0660250431722451</v>
      </c>
      <c r="J34" s="84"/>
      <c r="K34" s="84">
        <f>K26/(K37/1000)</f>
        <v>4.3322154505209778E-2</v>
      </c>
    </row>
    <row r="35" spans="1:11">
      <c r="A35" s="36"/>
      <c r="B35" s="36"/>
      <c r="C35" s="48"/>
      <c r="D35" s="48"/>
      <c r="E35" s="48"/>
      <c r="F35" s="48"/>
      <c r="G35" s="48"/>
      <c r="H35" s="48"/>
      <c r="I35" s="48"/>
      <c r="J35" s="48"/>
      <c r="K35" s="48"/>
    </row>
    <row r="36" spans="1:11">
      <c r="A36" s="53" t="s">
        <v>43</v>
      </c>
      <c r="B36" s="54"/>
      <c r="C36" s="44">
        <v>103345987</v>
      </c>
      <c r="D36" s="44"/>
      <c r="E36" s="44">
        <v>103005987</v>
      </c>
      <c r="F36" s="44"/>
      <c r="G36" s="44">
        <v>103345987</v>
      </c>
      <c r="H36" s="44"/>
      <c r="I36" s="44">
        <v>102572775</v>
      </c>
      <c r="J36" s="44"/>
      <c r="K36" s="44">
        <v>102768283</v>
      </c>
    </row>
    <row r="37" spans="1:11" ht="13.5" thickBot="1">
      <c r="A37" s="50" t="s">
        <v>44</v>
      </c>
      <c r="B37" s="51"/>
      <c r="C37" s="52">
        <v>103345987</v>
      </c>
      <c r="D37" s="52"/>
      <c r="E37" s="52">
        <v>103009900</v>
      </c>
      <c r="F37" s="52"/>
      <c r="G37" s="52">
        <v>103345987</v>
      </c>
      <c r="H37" s="52"/>
      <c r="I37" s="52">
        <v>102598903</v>
      </c>
      <c r="J37" s="52"/>
      <c r="K37" s="52">
        <v>102788055</v>
      </c>
    </row>
    <row r="38" spans="1:11">
      <c r="A38" s="65"/>
      <c r="B38" s="49"/>
      <c r="C38" s="45"/>
      <c r="D38" s="45"/>
      <c r="E38" s="45"/>
      <c r="F38" s="45"/>
      <c r="G38" s="45"/>
      <c r="H38" s="45"/>
      <c r="I38" s="45"/>
      <c r="J38" s="45"/>
      <c r="K38" s="45"/>
    </row>
    <row r="40" spans="1:11">
      <c r="A40" s="3" t="s">
        <v>68</v>
      </c>
    </row>
  </sheetData>
  <mergeCells count="4">
    <mergeCell ref="C4:E4"/>
    <mergeCell ref="G4:I4"/>
    <mergeCell ref="C5:E5"/>
    <mergeCell ref="G5:I5"/>
  </mergeCells>
  <pageMargins left="0.75" right="0.75" top="1" bottom="1" header="0.5" footer="0.5"/>
  <pageSetup scale="6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5"/>
  <sheetViews>
    <sheetView tabSelected="1" workbookViewId="0">
      <selection activeCell="F22" sqref="F22"/>
    </sheetView>
  </sheetViews>
  <sheetFormatPr defaultRowHeight="12.5"/>
  <cols>
    <col min="1" max="2" width="2.7265625" customWidth="1"/>
    <col min="3" max="3" width="50" customWidth="1"/>
    <col min="4" max="4" width="12.7265625" customWidth="1"/>
    <col min="5" max="5" width="11.453125" customWidth="1"/>
    <col min="6" max="7" width="12.7265625" customWidth="1"/>
  </cols>
  <sheetData>
    <row r="1" spans="1:24" ht="17.5">
      <c r="A1" s="75" t="s">
        <v>0</v>
      </c>
      <c r="B1" s="76"/>
      <c r="C1" s="76"/>
      <c r="D1" s="76"/>
      <c r="E1" s="76"/>
      <c r="F1" s="76"/>
      <c r="G1" s="76"/>
      <c r="H1" s="80"/>
      <c r="I1" s="81"/>
      <c r="J1" s="81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</row>
    <row r="2" spans="1:24" ht="17.5">
      <c r="A2" s="75" t="s">
        <v>82</v>
      </c>
      <c r="B2" s="75"/>
      <c r="C2" s="75"/>
      <c r="D2" s="75"/>
      <c r="E2" s="75"/>
      <c r="F2" s="75"/>
      <c r="G2" s="75"/>
      <c r="H2" s="81"/>
      <c r="I2" s="81"/>
      <c r="J2" s="81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</row>
    <row r="3" spans="1:24" ht="18" thickBot="1">
      <c r="A3" s="77"/>
      <c r="B3" s="77"/>
      <c r="C3" s="77"/>
      <c r="D3" s="78"/>
      <c r="E3" s="78"/>
      <c r="F3" s="78"/>
      <c r="G3" s="78"/>
      <c r="H3" s="82"/>
      <c r="I3" s="83"/>
      <c r="J3" s="81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spans="1:24" ht="13">
      <c r="A4" s="24"/>
      <c r="B4" s="24"/>
      <c r="C4" s="24"/>
      <c r="D4" s="32"/>
      <c r="E4" s="32"/>
      <c r="F4" s="72" t="s">
        <v>88</v>
      </c>
      <c r="G4" s="63" t="s">
        <v>8</v>
      </c>
      <c r="H4" s="42"/>
    </row>
    <row r="5" spans="1:24" ht="13.5" thickBot="1">
      <c r="A5" s="56" t="s">
        <v>35</v>
      </c>
      <c r="B5" s="4"/>
      <c r="C5" s="66"/>
      <c r="D5" s="31"/>
      <c r="E5" s="31"/>
      <c r="F5" s="62">
        <v>2002</v>
      </c>
      <c r="G5" s="62">
        <v>2001</v>
      </c>
      <c r="H5" s="42"/>
    </row>
    <row r="6" spans="1:24" ht="13">
      <c r="A6" s="2"/>
      <c r="B6" s="2"/>
      <c r="C6" s="2"/>
      <c r="D6" s="41"/>
      <c r="E6" s="41"/>
      <c r="F6" s="33"/>
      <c r="G6" s="33"/>
      <c r="H6" s="42"/>
    </row>
    <row r="7" spans="1:24" ht="13">
      <c r="A7" s="7" t="s">
        <v>37</v>
      </c>
      <c r="B7" s="7"/>
      <c r="C7" s="8"/>
      <c r="F7" s="6"/>
      <c r="G7" s="5"/>
      <c r="H7" s="42"/>
    </row>
    <row r="8" spans="1:24" ht="13">
      <c r="A8" s="8" t="s">
        <v>9</v>
      </c>
      <c r="B8" s="8"/>
      <c r="C8" s="8"/>
      <c r="F8" s="21">
        <f>93507-4231-2427</f>
        <v>86849</v>
      </c>
      <c r="G8" s="21">
        <f>110909-3613-5166</f>
        <v>102130</v>
      </c>
      <c r="H8" s="42"/>
    </row>
    <row r="9" spans="1:24" ht="13">
      <c r="A9" s="8" t="s">
        <v>10</v>
      </c>
      <c r="B9" s="8"/>
      <c r="C9" s="8"/>
      <c r="F9" s="90">
        <f>258760-33979-8270</f>
        <v>216511</v>
      </c>
      <c r="G9" s="90">
        <f>254177-3-19287</f>
        <v>234887</v>
      </c>
      <c r="H9" s="42" t="s">
        <v>1</v>
      </c>
    </row>
    <row r="10" spans="1:24" ht="13">
      <c r="A10" s="8" t="s">
        <v>69</v>
      </c>
      <c r="B10" s="8"/>
      <c r="C10" s="8"/>
      <c r="D10" s="34"/>
      <c r="E10" s="34"/>
      <c r="F10" s="19">
        <f>44430+38960-914-34-2766-940</f>
        <v>78736</v>
      </c>
      <c r="G10" s="19">
        <f>51488+48468+3-175-306-1331-226</f>
        <v>97921</v>
      </c>
      <c r="H10" s="42"/>
    </row>
    <row r="11" spans="1:24" ht="13">
      <c r="A11" s="8" t="s">
        <v>90</v>
      </c>
      <c r="B11" s="8"/>
      <c r="C11" s="8"/>
      <c r="D11" s="34"/>
      <c r="E11" s="34"/>
      <c r="F11" s="19">
        <f>14795</f>
        <v>14795</v>
      </c>
      <c r="G11" s="19">
        <v>0</v>
      </c>
      <c r="H11" s="42"/>
    </row>
    <row r="12" spans="1:24" ht="13">
      <c r="A12" s="8" t="s">
        <v>91</v>
      </c>
      <c r="B12" s="8"/>
      <c r="C12" s="8"/>
      <c r="D12" s="28"/>
      <c r="E12" s="28"/>
      <c r="F12" s="6">
        <f>4231+33979+914+34+605+336+35113+100000+2427+8270+2766+940+78+317</f>
        <v>190010</v>
      </c>
      <c r="G12" s="6">
        <f>3613+3+175+306+237+171041+9024+5166+19287+1331+226+660+670+29358</f>
        <v>241097</v>
      </c>
      <c r="H12" s="42" t="s">
        <v>1</v>
      </c>
    </row>
    <row r="13" spans="1:24" ht="13">
      <c r="A13" s="25"/>
      <c r="B13" s="59" t="s">
        <v>11</v>
      </c>
      <c r="C13" s="25"/>
      <c r="F13" s="60">
        <f>SUM(F8:F12)</f>
        <v>586901</v>
      </c>
      <c r="G13" s="60">
        <f>SUM(G8:G12)</f>
        <v>676035</v>
      </c>
      <c r="H13" s="42"/>
    </row>
    <row r="14" spans="1:24" ht="13">
      <c r="A14" s="8" t="s">
        <v>92</v>
      </c>
      <c r="B14" s="8"/>
      <c r="C14" s="8"/>
      <c r="F14" s="6">
        <f>583688+106326</f>
        <v>690014</v>
      </c>
      <c r="G14" s="6">
        <f>841350+76722</f>
        <v>918072</v>
      </c>
      <c r="H14" s="42"/>
    </row>
    <row r="15" spans="1:24" ht="13">
      <c r="A15" s="8" t="s">
        <v>12</v>
      </c>
      <c r="B15" s="8"/>
      <c r="C15" s="8"/>
      <c r="F15" s="6">
        <f>6+399574+207456+1151759+21146-336-317</f>
        <v>1779288</v>
      </c>
      <c r="G15" s="6">
        <f>5300+418472+202767+1624670+22544+8488-237-670</f>
        <v>2281334</v>
      </c>
      <c r="H15" s="42"/>
    </row>
    <row r="16" spans="1:24" ht="13">
      <c r="A16" s="8" t="s">
        <v>95</v>
      </c>
      <c r="B16" s="8"/>
      <c r="C16" s="8"/>
      <c r="F16" s="6">
        <v>0</v>
      </c>
      <c r="G16" s="6">
        <f>215291-29358</f>
        <v>185933</v>
      </c>
      <c r="H16" s="42"/>
    </row>
    <row r="17" spans="1:8" ht="13">
      <c r="A17" s="8" t="s">
        <v>71</v>
      </c>
      <c r="B17" s="8"/>
      <c r="C17" s="8"/>
      <c r="D17" s="28"/>
      <c r="E17" s="28"/>
      <c r="F17" s="6">
        <f>4792+13492+9344+12488+26+6926+6+19148-605-78-1</f>
        <v>65538</v>
      </c>
      <c r="G17" s="6">
        <f>4114+21373+13894+183592+43+8443+7+19650-9024-660</f>
        <v>241432</v>
      </c>
      <c r="H17" s="42"/>
    </row>
    <row r="18" spans="1:8" ht="13.5" thickBot="1">
      <c r="A18" s="12"/>
      <c r="B18" s="12" t="s">
        <v>32</v>
      </c>
      <c r="C18" s="12"/>
      <c r="D18" s="31"/>
      <c r="E18" s="31"/>
      <c r="F18" s="22">
        <f>SUM(F13:F17)</f>
        <v>3121741</v>
      </c>
      <c r="G18" s="22">
        <f>SUM(G13:G17)</f>
        <v>4302806</v>
      </c>
      <c r="H18" s="42"/>
    </row>
    <row r="19" spans="1:8" ht="13">
      <c r="A19" s="8"/>
      <c r="B19" s="8"/>
      <c r="C19" s="8"/>
      <c r="F19" s="6" t="s">
        <v>1</v>
      </c>
      <c r="G19" s="6" t="s">
        <v>1</v>
      </c>
      <c r="H19" s="42"/>
    </row>
    <row r="20" spans="1:8" ht="13">
      <c r="A20" s="7" t="s">
        <v>38</v>
      </c>
      <c r="B20" s="7"/>
      <c r="C20" s="8"/>
      <c r="F20" s="15" t="s">
        <v>1</v>
      </c>
      <c r="G20" s="15" t="s">
        <v>1</v>
      </c>
      <c r="H20" s="42"/>
    </row>
    <row r="21" spans="1:8" ht="13">
      <c r="A21" s="8" t="s">
        <v>72</v>
      </c>
      <c r="B21" s="8"/>
      <c r="C21" s="8"/>
      <c r="F21" s="21">
        <f>250000+430000+13395-2522+18777</f>
        <v>709650</v>
      </c>
      <c r="G21" s="21">
        <f>585484-340000+12240+9933-20500-726-2</f>
        <v>246429</v>
      </c>
      <c r="H21" s="42"/>
    </row>
    <row r="22" spans="1:8" ht="13">
      <c r="A22" s="8" t="s">
        <v>81</v>
      </c>
      <c r="B22" s="8"/>
      <c r="C22" s="8"/>
      <c r="F22" s="93">
        <f>15800+2522+5441+11+16653+2522+12+4149+9605</f>
        <v>56715</v>
      </c>
      <c r="G22" s="93">
        <f>20500+3678+5543+23+5072+726+2+5607+473+12914+1194</f>
        <v>55732</v>
      </c>
      <c r="H22" s="42"/>
    </row>
    <row r="23" spans="1:8" ht="13">
      <c r="A23" s="8" t="s">
        <v>13</v>
      </c>
      <c r="B23" s="8"/>
      <c r="C23" s="8"/>
      <c r="F23" s="6">
        <f>73068+187260-5441-16653-4149-9605</f>
        <v>224480</v>
      </c>
      <c r="G23" s="6">
        <f>76859+226127-3678-5543-5607-12914</f>
        <v>275244</v>
      </c>
      <c r="H23" s="42" t="s">
        <v>1</v>
      </c>
    </row>
    <row r="24" spans="1:8" ht="13">
      <c r="A24" s="8" t="s">
        <v>14</v>
      </c>
      <c r="B24" s="8"/>
      <c r="C24" s="8"/>
      <c r="D24" s="28"/>
      <c r="E24" s="28"/>
      <c r="F24" s="18">
        <f>13918-11</f>
        <v>13907</v>
      </c>
      <c r="G24" s="18">
        <f>16944-23-473</f>
        <v>16448</v>
      </c>
      <c r="H24" s="42"/>
    </row>
    <row r="25" spans="1:8" ht="13">
      <c r="A25" s="25"/>
      <c r="B25" s="59" t="s">
        <v>15</v>
      </c>
      <c r="C25" s="25"/>
      <c r="F25" s="60">
        <f>SUM(F21:F24)</f>
        <v>1004752</v>
      </c>
      <c r="G25" s="60">
        <f>SUM(G21:G24)</f>
        <v>593853</v>
      </c>
      <c r="H25" s="42"/>
    </row>
    <row r="26" spans="1:8" ht="13">
      <c r="A26" s="8" t="s">
        <v>54</v>
      </c>
      <c r="B26" s="8"/>
      <c r="C26" s="8"/>
      <c r="F26" s="6">
        <f>1709821-143750+1760+90221-2522</f>
        <v>1655530</v>
      </c>
      <c r="G26" s="6">
        <f>1704571-141000+41683+340000</f>
        <v>1945254</v>
      </c>
      <c r="H26" s="42"/>
    </row>
    <row r="27" spans="1:8" ht="13">
      <c r="A27" s="8" t="s">
        <v>16</v>
      </c>
      <c r="B27" s="8"/>
      <c r="C27" s="8"/>
      <c r="F27" s="6">
        <f>1+55635-12</f>
        <v>55624</v>
      </c>
      <c r="G27" s="6">
        <f>25355-1194</f>
        <v>24161</v>
      </c>
      <c r="H27" s="42"/>
    </row>
    <row r="28" spans="1:8" ht="13">
      <c r="A28" s="8" t="s">
        <v>17</v>
      </c>
      <c r="B28" s="8"/>
      <c r="C28" s="8"/>
      <c r="D28" s="28"/>
      <c r="E28" s="28"/>
      <c r="F28" s="18">
        <f>78575</f>
        <v>78575</v>
      </c>
      <c r="G28" s="18">
        <f>78575-5072</f>
        <v>73503</v>
      </c>
      <c r="H28" s="42"/>
    </row>
    <row r="29" spans="1:8" ht="13">
      <c r="A29" s="11"/>
      <c r="B29" s="57" t="s">
        <v>18</v>
      </c>
      <c r="C29" s="11"/>
      <c r="D29" s="28"/>
      <c r="E29" s="28"/>
      <c r="F29" s="61">
        <f>SUM(F25:F28)</f>
        <v>2794481</v>
      </c>
      <c r="G29" s="61">
        <f>SUM(G25:G28)</f>
        <v>2636771</v>
      </c>
      <c r="H29" s="42"/>
    </row>
    <row r="30" spans="1:8" ht="13">
      <c r="A30" s="8" t="s">
        <v>30</v>
      </c>
      <c r="B30" s="8"/>
      <c r="C30" s="8"/>
      <c r="F30" s="30" t="s">
        <v>1</v>
      </c>
      <c r="G30" s="30" t="s">
        <v>1</v>
      </c>
      <c r="H30" s="42"/>
    </row>
    <row r="31" spans="1:8" ht="13">
      <c r="A31" s="8" t="s">
        <v>41</v>
      </c>
      <c r="B31" s="8"/>
      <c r="C31" s="8"/>
      <c r="F31" s="30"/>
      <c r="G31" s="30"/>
      <c r="H31" s="42"/>
    </row>
    <row r="32" spans="1:8" ht="13">
      <c r="A32" s="8"/>
      <c r="B32" s="8" t="s">
        <v>52</v>
      </c>
      <c r="C32" s="8"/>
      <c r="F32" s="30">
        <f>143750-1760</f>
        <v>141990</v>
      </c>
      <c r="G32" s="30">
        <f>141000</f>
        <v>141000</v>
      </c>
      <c r="H32" s="42"/>
    </row>
    <row r="33" spans="1:8" ht="13">
      <c r="A33" s="8" t="s">
        <v>58</v>
      </c>
      <c r="B33" s="8"/>
      <c r="C33" s="8"/>
      <c r="F33" s="30">
        <f>85818</f>
        <v>85818</v>
      </c>
      <c r="G33" s="30">
        <f>163588</f>
        <v>163588</v>
      </c>
      <c r="H33" s="42"/>
    </row>
    <row r="34" spans="1:8" ht="13">
      <c r="A34" s="8" t="s">
        <v>45</v>
      </c>
      <c r="B34" s="8"/>
      <c r="C34" s="8"/>
      <c r="F34" s="15" t="s">
        <v>1</v>
      </c>
      <c r="G34" s="15" t="s">
        <v>1</v>
      </c>
      <c r="H34" s="42"/>
    </row>
    <row r="35" spans="1:8" ht="12.75" customHeight="1">
      <c r="A35" s="26"/>
      <c r="B35" s="47" t="s">
        <v>42</v>
      </c>
      <c r="F35" s="6"/>
      <c r="G35" s="6"/>
      <c r="H35" s="42"/>
    </row>
    <row r="36" spans="1:8" ht="12.75" customHeight="1">
      <c r="A36" s="26"/>
      <c r="B36" s="26"/>
      <c r="C36" s="26" t="s">
        <v>89</v>
      </c>
      <c r="F36" s="68">
        <v>71089</v>
      </c>
      <c r="G36" s="68">
        <v>71089</v>
      </c>
      <c r="H36" s="42"/>
    </row>
    <row r="37" spans="1:8" ht="13">
      <c r="A37" s="8"/>
      <c r="B37" s="55" t="s">
        <v>19</v>
      </c>
      <c r="C37" s="55"/>
      <c r="F37" s="68">
        <v>1225115</v>
      </c>
      <c r="G37" s="68">
        <v>1225115</v>
      </c>
      <c r="H37" s="42"/>
    </row>
    <row r="38" spans="1:8" ht="13">
      <c r="A38" s="8"/>
      <c r="B38" s="8" t="s">
        <v>20</v>
      </c>
      <c r="C38" s="8"/>
      <c r="F38" s="68">
        <f>-1170722</f>
        <v>-1170722</v>
      </c>
      <c r="G38" s="68">
        <f>106130-7268+1</f>
        <v>98863</v>
      </c>
      <c r="H38" s="42"/>
    </row>
    <row r="39" spans="1:8" ht="13">
      <c r="A39" s="8"/>
      <c r="B39" s="8" t="s">
        <v>47</v>
      </c>
      <c r="C39" s="8"/>
      <c r="D39" s="28"/>
      <c r="E39" s="28"/>
      <c r="F39" s="69">
        <v>-26030</v>
      </c>
      <c r="G39" s="69">
        <f>-1-33619</f>
        <v>-33620</v>
      </c>
      <c r="H39" s="42"/>
    </row>
    <row r="40" spans="1:8" ht="13">
      <c r="A40" s="11"/>
      <c r="B40" s="57" t="s">
        <v>21</v>
      </c>
      <c r="C40" s="11"/>
      <c r="D40" s="28"/>
      <c r="E40" s="28"/>
      <c r="F40" s="61">
        <f>SUM(F35:F39)</f>
        <v>99452</v>
      </c>
      <c r="G40" s="61">
        <f>SUM(G35:G39)</f>
        <v>1361447</v>
      </c>
      <c r="H40" s="42"/>
    </row>
    <row r="41" spans="1:8" ht="13.5" thickBot="1">
      <c r="A41" s="12"/>
      <c r="B41" s="12" t="s">
        <v>31</v>
      </c>
      <c r="C41" s="12"/>
      <c r="D41" s="31"/>
      <c r="E41" s="31"/>
      <c r="F41" s="22">
        <f>+F29+F40+F32+F33</f>
        <v>3121741</v>
      </c>
      <c r="G41" s="22">
        <f>+G29+G40+G32+G33</f>
        <v>4302806</v>
      </c>
      <c r="H41" s="42"/>
    </row>
    <row r="44" spans="1:8" ht="13">
      <c r="A44" s="3" t="s">
        <v>68</v>
      </c>
    </row>
    <row r="45" spans="1:8">
      <c r="F45" s="71"/>
    </row>
  </sheetData>
  <pageMargins left="0.75" right="0.75" top="1" bottom="1" header="0.5" footer="0.5"/>
  <pageSetup scale="7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4"/>
  <sheetViews>
    <sheetView topLeftCell="A7" workbookViewId="0">
      <selection activeCell="E29" sqref="E29"/>
    </sheetView>
  </sheetViews>
  <sheetFormatPr defaultRowHeight="12.5"/>
  <cols>
    <col min="1" max="2" width="2.7265625" customWidth="1"/>
    <col min="3" max="3" width="47.7265625" customWidth="1"/>
    <col min="4" max="5" width="10.7265625" customWidth="1"/>
    <col min="6" max="6" width="1.7265625" customWidth="1"/>
    <col min="7" max="8" width="10.7265625" customWidth="1"/>
    <col min="9" max="9" width="1.7265625" customWidth="1"/>
    <col min="10" max="10" width="10.7265625" customWidth="1"/>
  </cols>
  <sheetData>
    <row r="1" spans="1:18" ht="18.75" customHeight="1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42"/>
      <c r="L1" s="42"/>
      <c r="M1" s="42"/>
      <c r="N1" s="42"/>
      <c r="O1" s="42"/>
      <c r="P1" s="42"/>
      <c r="Q1" s="42"/>
      <c r="R1" s="42"/>
    </row>
    <row r="2" spans="1:18" ht="18.75" customHeight="1">
      <c r="A2" s="75" t="s">
        <v>56</v>
      </c>
      <c r="B2" s="75"/>
      <c r="C2" s="75"/>
      <c r="D2" s="75"/>
      <c r="E2" s="75"/>
      <c r="F2" s="75"/>
      <c r="G2" s="75"/>
      <c r="H2" s="75"/>
      <c r="I2" s="75"/>
      <c r="J2" s="75"/>
      <c r="K2" s="42"/>
      <c r="L2" s="42"/>
      <c r="M2" s="42"/>
      <c r="N2" s="42"/>
      <c r="O2" s="42"/>
      <c r="P2" s="42"/>
      <c r="Q2" s="42"/>
      <c r="R2" s="42"/>
    </row>
    <row r="3" spans="1:18" ht="17.5" customHeight="1" thickBot="1">
      <c r="A3" s="77"/>
      <c r="B3" s="77"/>
      <c r="C3" s="77"/>
      <c r="D3" s="77"/>
      <c r="E3" s="77"/>
      <c r="F3" s="77"/>
      <c r="G3" s="79"/>
      <c r="H3" s="79"/>
      <c r="I3" s="79"/>
      <c r="J3" s="79"/>
      <c r="K3" s="42"/>
      <c r="L3" s="42"/>
      <c r="M3" s="42"/>
      <c r="N3" s="42"/>
      <c r="O3" s="42"/>
      <c r="P3" s="42"/>
      <c r="Q3" s="42"/>
      <c r="R3" s="42"/>
    </row>
    <row r="4" spans="1:18" ht="13">
      <c r="A4" s="24"/>
      <c r="B4" s="24"/>
      <c r="C4" s="40"/>
      <c r="D4" s="101" t="s">
        <v>33</v>
      </c>
      <c r="E4" s="101"/>
      <c r="F4" s="74"/>
      <c r="G4" s="101" t="s">
        <v>87</v>
      </c>
      <c r="H4" s="101"/>
      <c r="I4" s="74"/>
      <c r="J4" s="74" t="s">
        <v>34</v>
      </c>
    </row>
    <row r="5" spans="1:18" ht="13">
      <c r="A5" s="24"/>
      <c r="B5" s="24"/>
      <c r="C5" s="40"/>
      <c r="D5" s="102" t="s">
        <v>88</v>
      </c>
      <c r="E5" s="102"/>
      <c r="F5" s="73"/>
      <c r="G5" s="102" t="s">
        <v>88</v>
      </c>
      <c r="H5" s="102"/>
      <c r="I5" s="73"/>
      <c r="J5" s="91" t="s">
        <v>8</v>
      </c>
    </row>
    <row r="6" spans="1:18" ht="13">
      <c r="A6" s="24"/>
      <c r="B6" s="24"/>
      <c r="C6" s="40"/>
      <c r="D6" s="63">
        <v>2002</v>
      </c>
      <c r="E6" s="63">
        <v>2001</v>
      </c>
      <c r="F6" s="63"/>
      <c r="G6" s="63">
        <v>2002</v>
      </c>
      <c r="H6" s="63">
        <v>2001</v>
      </c>
      <c r="I6" s="63"/>
      <c r="J6" s="63">
        <v>2001</v>
      </c>
    </row>
    <row r="7" spans="1:18" ht="13.5" thickBot="1">
      <c r="A7" s="56" t="s">
        <v>48</v>
      </c>
      <c r="B7" s="4"/>
      <c r="C7" s="39"/>
      <c r="D7" s="92" t="s">
        <v>1</v>
      </c>
      <c r="E7" s="94" t="s">
        <v>70</v>
      </c>
      <c r="F7" s="94"/>
      <c r="G7" s="92" t="s">
        <v>1</v>
      </c>
      <c r="H7" s="94" t="s">
        <v>70</v>
      </c>
      <c r="I7" s="94"/>
      <c r="J7" s="92" t="s">
        <v>1</v>
      </c>
    </row>
    <row r="8" spans="1:18">
      <c r="A8" s="5"/>
      <c r="B8" s="5"/>
      <c r="C8" s="5"/>
      <c r="E8" s="70"/>
      <c r="F8" s="70"/>
      <c r="H8" s="70"/>
      <c r="I8" s="70"/>
      <c r="J8" s="70"/>
    </row>
    <row r="9" spans="1:18" ht="13">
      <c r="A9" s="7" t="s">
        <v>22</v>
      </c>
      <c r="B9" s="8"/>
      <c r="C9" s="8"/>
      <c r="E9" s="23"/>
      <c r="F9" s="23"/>
      <c r="H9" s="23"/>
      <c r="I9" s="23"/>
      <c r="J9" s="23"/>
    </row>
    <row r="10" spans="1:18" ht="13">
      <c r="A10" s="9"/>
      <c r="B10" s="8" t="s">
        <v>78</v>
      </c>
      <c r="C10" s="8"/>
      <c r="D10" s="37">
        <f>IS!C26</f>
        <v>-1060704</v>
      </c>
      <c r="E10" s="37">
        <f>IS!E26</f>
        <v>13720</v>
      </c>
      <c r="F10" s="37"/>
      <c r="G10" s="37">
        <f>IS!G26</f>
        <v>-1269585</v>
      </c>
      <c r="H10" s="37">
        <f>IS!I26</f>
        <v>109373</v>
      </c>
      <c r="I10" s="37"/>
      <c r="J10" s="37">
        <f>IS!K26</f>
        <v>4453</v>
      </c>
    </row>
    <row r="11" spans="1:18" ht="13">
      <c r="A11" s="9"/>
      <c r="B11" s="8" t="s">
        <v>99</v>
      </c>
      <c r="C11" s="8"/>
      <c r="D11" s="6"/>
      <c r="E11" s="6"/>
      <c r="F11" s="6"/>
      <c r="G11" s="6"/>
      <c r="H11" s="6"/>
      <c r="I11" s="6"/>
      <c r="J11" s="6"/>
    </row>
    <row r="12" spans="1:18" ht="13">
      <c r="A12" s="9"/>
      <c r="B12" s="58" t="s">
        <v>39</v>
      </c>
      <c r="C12" s="8"/>
      <c r="D12" s="6"/>
      <c r="E12" s="6"/>
      <c r="F12" s="6"/>
      <c r="G12" s="6"/>
      <c r="H12" s="6"/>
      <c r="I12" s="6"/>
      <c r="J12" s="6"/>
    </row>
    <row r="13" spans="1:18" ht="13">
      <c r="A13" s="9"/>
      <c r="B13" s="8"/>
      <c r="C13" s="8" t="s">
        <v>23</v>
      </c>
      <c r="D13" s="6">
        <f>IS!C12</f>
        <v>88664</v>
      </c>
      <c r="E13" s="6">
        <f>IS!E12</f>
        <v>74761</v>
      </c>
      <c r="F13" s="6"/>
      <c r="G13" s="6">
        <f>IS!G12</f>
        <v>248565</v>
      </c>
      <c r="H13" s="6">
        <f>IS!I12</f>
        <v>210122</v>
      </c>
      <c r="I13" s="6"/>
      <c r="J13" s="6">
        <f>IS!K12</f>
        <v>333027</v>
      </c>
    </row>
    <row r="14" spans="1:18" ht="13">
      <c r="A14" s="9"/>
      <c r="B14" s="8"/>
      <c r="C14" s="8" t="s">
        <v>51</v>
      </c>
      <c r="D14" s="6">
        <f>914491</f>
        <v>914491</v>
      </c>
      <c r="E14" s="6">
        <v>9332</v>
      </c>
      <c r="F14" s="6"/>
      <c r="G14" s="6">
        <f>1101790-1366</f>
        <v>1100424</v>
      </c>
      <c r="H14" s="6">
        <f>15251-128270</f>
        <v>-113019</v>
      </c>
      <c r="I14" s="6"/>
      <c r="J14" s="6">
        <f>31243-128270</f>
        <v>-97027</v>
      </c>
    </row>
    <row r="15" spans="1:18" ht="13">
      <c r="A15" s="9"/>
      <c r="B15" s="8"/>
      <c r="C15" s="8" t="s">
        <v>84</v>
      </c>
      <c r="D15" s="6">
        <v>64</v>
      </c>
      <c r="E15" s="6">
        <f>-2416</f>
        <v>-2416</v>
      </c>
      <c r="F15" s="6"/>
      <c r="G15" s="6">
        <v>2121</v>
      </c>
      <c r="H15" s="6">
        <v>-5360</v>
      </c>
      <c r="I15" s="6"/>
      <c r="J15" s="6">
        <f>-3613-5166</f>
        <v>-8779</v>
      </c>
    </row>
    <row r="16" spans="1:18" ht="13">
      <c r="A16" s="9"/>
      <c r="B16" s="8"/>
      <c r="C16" s="17" t="s">
        <v>53</v>
      </c>
      <c r="D16" s="6">
        <v>127496</v>
      </c>
      <c r="E16" s="6">
        <f>16989</f>
        <v>16989</v>
      </c>
      <c r="F16" s="6"/>
      <c r="G16" s="6">
        <v>193375</v>
      </c>
      <c r="H16" s="6">
        <f>-3192</f>
        <v>-3192</v>
      </c>
      <c r="I16" s="6"/>
      <c r="J16" s="6">
        <v>22114</v>
      </c>
    </row>
    <row r="17" spans="1:10" ht="13">
      <c r="A17" s="9"/>
      <c r="B17" s="8"/>
      <c r="C17" s="17" t="s">
        <v>46</v>
      </c>
      <c r="D17" s="6">
        <f>724+1061+1034+2700-2278</f>
        <v>3241</v>
      </c>
      <c r="E17" s="6">
        <f>132-1720-27501+2851-26668-27688</f>
        <v>-80594</v>
      </c>
      <c r="F17" s="6"/>
      <c r="G17" s="6">
        <f>1274+1694+1061+2404+4537-966-46741</f>
        <v>-36737</v>
      </c>
      <c r="H17" s="6">
        <f>256-2587+7301+12245-93416-31230-1</f>
        <v>-107432</v>
      </c>
      <c r="I17" s="6"/>
      <c r="J17" s="6">
        <f>294+492+8548+14522-39090-35631</f>
        <v>-50865</v>
      </c>
    </row>
    <row r="18" spans="1:10" ht="13">
      <c r="A18" s="10"/>
      <c r="B18" s="57" t="s">
        <v>100</v>
      </c>
      <c r="C18" s="11"/>
      <c r="D18" s="61">
        <f>SUM(D10:D17)</f>
        <v>73252</v>
      </c>
      <c r="E18" s="61">
        <f>SUM(E10:E17)</f>
        <v>31792</v>
      </c>
      <c r="F18" s="61"/>
      <c r="G18" s="61">
        <f>SUM(G10:G17)</f>
        <v>238163</v>
      </c>
      <c r="H18" s="61">
        <f>SUM(H10:H17)</f>
        <v>90492</v>
      </c>
      <c r="I18" s="61"/>
      <c r="J18" s="61">
        <f>SUM(J10:J17)</f>
        <v>202923</v>
      </c>
    </row>
    <row r="19" spans="1:10" ht="13">
      <c r="A19" s="7" t="s">
        <v>24</v>
      </c>
      <c r="B19" s="8"/>
      <c r="C19" s="8"/>
      <c r="D19" s="6"/>
      <c r="E19" s="6"/>
      <c r="F19" s="6"/>
      <c r="G19" s="6"/>
      <c r="H19" s="6"/>
      <c r="I19" s="6"/>
      <c r="J19" s="6"/>
    </row>
    <row r="20" spans="1:10" ht="13">
      <c r="A20" s="9"/>
      <c r="B20" s="8" t="s">
        <v>25</v>
      </c>
      <c r="C20" s="8"/>
      <c r="D20" s="6">
        <f>-35847</f>
        <v>-35847</v>
      </c>
      <c r="E20" s="6">
        <v>-46004</v>
      </c>
      <c r="F20" s="6"/>
      <c r="G20" s="6">
        <f>-155945</f>
        <v>-155945</v>
      </c>
      <c r="H20" s="6">
        <f>-170817</f>
        <v>-170817</v>
      </c>
      <c r="I20" s="6"/>
      <c r="J20" s="6">
        <v>-230166</v>
      </c>
    </row>
    <row r="21" spans="1:10" ht="13">
      <c r="A21" s="9"/>
      <c r="B21" s="8" t="s">
        <v>26</v>
      </c>
      <c r="C21" s="8"/>
      <c r="D21" s="6">
        <f>-13447</f>
        <v>-13447</v>
      </c>
      <c r="E21" s="6">
        <f>-29234+16+91</f>
        <v>-29127</v>
      </c>
      <c r="F21" s="6"/>
      <c r="G21" s="6">
        <f>-53654</f>
        <v>-53654</v>
      </c>
      <c r="H21" s="6">
        <f>-83866-41219-29234+3+80+14+16+91-275</f>
        <v>-154390</v>
      </c>
      <c r="I21" s="6"/>
      <c r="J21" s="6">
        <f>54262-239623+80+14+16+3+91+22+116</f>
        <v>-185019</v>
      </c>
    </row>
    <row r="22" spans="1:10" ht="13" hidden="1">
      <c r="A22" s="9"/>
      <c r="B22" s="8" t="s">
        <v>49</v>
      </c>
      <c r="C22" s="8"/>
      <c r="D22" s="6">
        <v>0</v>
      </c>
      <c r="E22" s="6">
        <v>0</v>
      </c>
      <c r="F22" s="6"/>
      <c r="G22" s="6">
        <v>0</v>
      </c>
      <c r="H22" s="6">
        <v>0</v>
      </c>
      <c r="I22" s="6"/>
      <c r="J22" s="6">
        <v>0</v>
      </c>
    </row>
    <row r="23" spans="1:10" ht="13">
      <c r="A23" s="9"/>
      <c r="B23" s="8" t="s">
        <v>83</v>
      </c>
      <c r="C23" s="8"/>
      <c r="D23" s="6">
        <f>-23512</f>
        <v>-23512</v>
      </c>
      <c r="E23" s="6">
        <f>-5357-16-91</f>
        <v>-5464</v>
      </c>
      <c r="F23" s="6"/>
      <c r="G23" s="6">
        <f>-62958</f>
        <v>-62958</v>
      </c>
      <c r="H23" s="6">
        <f>-11205-16243-5357-3-91-14-80-16+275</f>
        <v>-32734</v>
      </c>
      <c r="I23" s="6"/>
      <c r="J23" s="6">
        <f>-54262-80-14-16-3-91-22-116</f>
        <v>-54604</v>
      </c>
    </row>
    <row r="24" spans="1:10" ht="13">
      <c r="A24" s="9"/>
      <c r="B24" s="8" t="s">
        <v>50</v>
      </c>
      <c r="C24" s="8"/>
      <c r="D24" s="6">
        <v>0</v>
      </c>
      <c r="E24" s="6">
        <v>0</v>
      </c>
      <c r="F24" s="6"/>
      <c r="G24" s="6">
        <v>0</v>
      </c>
      <c r="H24" s="6">
        <v>175000</v>
      </c>
      <c r="I24" s="6"/>
      <c r="J24" s="6">
        <v>175000</v>
      </c>
    </row>
    <row r="25" spans="1:10" ht="13">
      <c r="A25" s="9"/>
      <c r="B25" s="8" t="s">
        <v>55</v>
      </c>
      <c r="C25" s="8"/>
      <c r="D25" s="6">
        <f>-5563</f>
        <v>-5563</v>
      </c>
      <c r="E25" s="6">
        <f>-14768</f>
        <v>-14768</v>
      </c>
      <c r="F25" s="6"/>
      <c r="G25" s="6">
        <f>89-9683</f>
        <v>-9594</v>
      </c>
      <c r="H25" s="6">
        <f>-18828</f>
        <v>-18828</v>
      </c>
      <c r="I25" s="6"/>
      <c r="J25" s="6">
        <f>-19485</f>
        <v>-19485</v>
      </c>
    </row>
    <row r="26" spans="1:10" ht="13">
      <c r="A26" s="10"/>
      <c r="B26" s="57" t="s">
        <v>76</v>
      </c>
      <c r="C26" s="11"/>
      <c r="D26" s="61">
        <f>SUM(D20:D25)</f>
        <v>-78369</v>
      </c>
      <c r="E26" s="61">
        <f>SUM(E20:E25)</f>
        <v>-95363</v>
      </c>
      <c r="F26" s="61"/>
      <c r="G26" s="61">
        <f>SUM(G20:G25)</f>
        <v>-282151</v>
      </c>
      <c r="H26" s="61">
        <f>SUM(H20:H25)</f>
        <v>-201769</v>
      </c>
      <c r="I26" s="61"/>
      <c r="J26" s="61">
        <f>SUM(J20:J25)</f>
        <v>-314274</v>
      </c>
    </row>
    <row r="27" spans="1:10" ht="13">
      <c r="A27" s="7" t="s">
        <v>27</v>
      </c>
      <c r="B27" s="8"/>
      <c r="C27" s="8"/>
      <c r="D27" s="6"/>
      <c r="E27" s="6"/>
      <c r="F27" s="6"/>
      <c r="G27" s="6"/>
      <c r="H27" s="6"/>
      <c r="I27" s="6"/>
      <c r="J27" s="6"/>
    </row>
    <row r="28" spans="1:10" ht="13" hidden="1">
      <c r="A28" s="9"/>
      <c r="B28" s="8" t="s">
        <v>28</v>
      </c>
      <c r="C28" s="8"/>
      <c r="D28" s="6"/>
      <c r="E28" s="6"/>
      <c r="F28" s="6"/>
      <c r="G28" s="6"/>
      <c r="H28" s="6"/>
      <c r="I28" s="6"/>
      <c r="J28" s="6"/>
    </row>
    <row r="29" spans="1:10" ht="13">
      <c r="A29" s="9"/>
      <c r="B29" s="8" t="s">
        <v>65</v>
      </c>
      <c r="C29" s="8"/>
      <c r="D29" s="6">
        <v>0</v>
      </c>
      <c r="E29" s="6">
        <v>0</v>
      </c>
      <c r="F29" s="6"/>
      <c r="G29" s="6">
        <v>0</v>
      </c>
      <c r="H29" s="6">
        <v>234285</v>
      </c>
      <c r="I29" s="6"/>
      <c r="J29" s="6">
        <v>234285</v>
      </c>
    </row>
    <row r="30" spans="1:10" ht="13">
      <c r="A30" s="9"/>
      <c r="B30" s="8" t="s">
        <v>59</v>
      </c>
      <c r="C30" s="8"/>
      <c r="D30" s="6">
        <v>-22543</v>
      </c>
      <c r="E30" s="6">
        <v>-27566</v>
      </c>
      <c r="F30" s="6"/>
      <c r="G30" s="6">
        <v>-77200</v>
      </c>
      <c r="H30" s="6">
        <f>-54926</f>
        <v>-54926</v>
      </c>
      <c r="I30" s="6"/>
      <c r="J30" s="6">
        <v>-77280</v>
      </c>
    </row>
    <row r="31" spans="1:10" ht="13">
      <c r="A31" s="9"/>
      <c r="B31" s="8" t="s">
        <v>66</v>
      </c>
      <c r="C31" s="8"/>
      <c r="D31" s="6">
        <v>-2106</v>
      </c>
      <c r="E31" s="6">
        <v>-6801</v>
      </c>
      <c r="F31" s="6"/>
      <c r="G31" s="6">
        <v>-236866</v>
      </c>
      <c r="H31" s="6">
        <v>-12184</v>
      </c>
      <c r="I31" s="6"/>
      <c r="J31" s="6">
        <v>-11414</v>
      </c>
    </row>
    <row r="32" spans="1:10" ht="13">
      <c r="A32" s="9"/>
      <c r="B32" s="8" t="s">
        <v>67</v>
      </c>
      <c r="C32" s="8"/>
      <c r="D32" s="6">
        <v>-5005</v>
      </c>
      <c r="E32" s="6">
        <v>-1205</v>
      </c>
      <c r="F32" s="6"/>
      <c r="G32" s="6">
        <v>-10596</v>
      </c>
      <c r="H32" s="6">
        <v>-4857</v>
      </c>
      <c r="I32" s="6"/>
      <c r="J32" s="6">
        <v>-7806</v>
      </c>
    </row>
    <row r="33" spans="1:10" ht="13">
      <c r="A33" s="9"/>
      <c r="B33" s="8" t="s">
        <v>85</v>
      </c>
      <c r="C33" s="8"/>
      <c r="D33" s="6">
        <v>60458</v>
      </c>
      <c r="E33" s="6">
        <f>62029</f>
        <v>62029</v>
      </c>
      <c r="F33" s="6"/>
      <c r="G33" s="6">
        <v>335301</v>
      </c>
      <c r="H33" s="6">
        <v>-76697</v>
      </c>
      <c r="I33" s="6"/>
      <c r="J33" s="6">
        <v>-5667</v>
      </c>
    </row>
    <row r="34" spans="1:10" ht="13">
      <c r="A34" s="9"/>
      <c r="B34" s="8" t="s">
        <v>77</v>
      </c>
      <c r="C34" s="8"/>
      <c r="D34" s="6">
        <f>0</f>
        <v>0</v>
      </c>
      <c r="E34" s="6">
        <f>0</f>
        <v>0</v>
      </c>
      <c r="F34" s="6"/>
      <c r="G34" s="6">
        <v>9566</v>
      </c>
      <c r="H34" s="6">
        <v>-48160</v>
      </c>
      <c r="I34" s="6"/>
      <c r="J34" s="6">
        <v>-64575</v>
      </c>
    </row>
    <row r="35" spans="1:10" ht="13">
      <c r="A35" s="9"/>
      <c r="B35" s="8" t="s">
        <v>55</v>
      </c>
      <c r="C35" s="8"/>
      <c r="D35" s="6">
        <f>0</f>
        <v>0</v>
      </c>
      <c r="E35" s="6">
        <v>547</v>
      </c>
      <c r="F35" s="6"/>
      <c r="G35" s="6">
        <f>8098</f>
        <v>8098</v>
      </c>
      <c r="H35" s="6">
        <f>816+4986</f>
        <v>5802</v>
      </c>
      <c r="I35" s="6"/>
      <c r="J35" s="6">
        <f>816</f>
        <v>816</v>
      </c>
    </row>
    <row r="36" spans="1:10" ht="13">
      <c r="A36" s="10"/>
      <c r="B36" s="57" t="s">
        <v>101</v>
      </c>
      <c r="C36" s="11"/>
      <c r="D36" s="61">
        <f>SUM(D28:D35)</f>
        <v>30804</v>
      </c>
      <c r="E36" s="61">
        <f>SUM(E28:E35)</f>
        <v>27004</v>
      </c>
      <c r="F36" s="61"/>
      <c r="G36" s="61">
        <f>SUM(G28:G35)</f>
        <v>28303</v>
      </c>
      <c r="H36" s="61">
        <f>SUM(H28:H35)</f>
        <v>43263</v>
      </c>
      <c r="I36" s="61"/>
      <c r="J36" s="61">
        <f>SUM(J28:J35)</f>
        <v>68359</v>
      </c>
    </row>
    <row r="37" spans="1:10" ht="13">
      <c r="A37" s="3"/>
      <c r="B37" s="8" t="s">
        <v>40</v>
      </c>
      <c r="C37" s="8"/>
      <c r="D37" s="6">
        <v>174</v>
      </c>
      <c r="E37" s="6">
        <v>107</v>
      </c>
      <c r="F37" s="6"/>
      <c r="G37" s="6">
        <v>404</v>
      </c>
      <c r="H37" s="6">
        <v>-65</v>
      </c>
      <c r="I37" s="6"/>
      <c r="J37" s="6">
        <v>-93</v>
      </c>
    </row>
    <row r="38" spans="1:10" ht="13">
      <c r="A38" s="7"/>
      <c r="B38" s="8" t="s">
        <v>102</v>
      </c>
      <c r="C38" s="7"/>
      <c r="D38" s="6">
        <f>+D18+D26+D36+D37</f>
        <v>25861</v>
      </c>
      <c r="E38" s="6">
        <f>+E18+E26+E36+E37</f>
        <v>-36460</v>
      </c>
      <c r="F38" s="6"/>
      <c r="G38" s="6">
        <f>+G18+G26+G36+G37</f>
        <v>-15281</v>
      </c>
      <c r="H38" s="6">
        <f>+H18+H26+H36+H37</f>
        <v>-68079</v>
      </c>
      <c r="I38" s="6"/>
      <c r="J38" s="6">
        <f>+J18+J26+J36+J37</f>
        <v>-43085</v>
      </c>
    </row>
    <row r="39" spans="1:10" ht="13">
      <c r="A39" s="7"/>
      <c r="B39" s="8" t="s">
        <v>29</v>
      </c>
      <c r="C39" s="7"/>
      <c r="D39" s="6">
        <v>60988</v>
      </c>
      <c r="E39" s="6">
        <f>113596</f>
        <v>113596</v>
      </c>
      <c r="F39" s="6"/>
      <c r="G39" s="6">
        <v>102130</v>
      </c>
      <c r="H39" s="6">
        <v>145215</v>
      </c>
      <c r="I39" s="6"/>
      <c r="J39" s="6">
        <v>145215</v>
      </c>
    </row>
    <row r="40" spans="1:10" ht="13.5" thickBot="1">
      <c r="A40" s="12" t="s">
        <v>36</v>
      </c>
      <c r="B40" s="12"/>
      <c r="C40" s="12"/>
      <c r="D40" s="38">
        <f>+D38+D39</f>
        <v>86849</v>
      </c>
      <c r="E40" s="38">
        <f>+E38+E39</f>
        <v>77136</v>
      </c>
      <c r="F40" s="38"/>
      <c r="G40" s="38">
        <f>+G38+G39</f>
        <v>86849</v>
      </c>
      <c r="H40" s="38">
        <f>+H38+H39</f>
        <v>77136</v>
      </c>
      <c r="I40" s="38"/>
      <c r="J40" s="38">
        <f>+J38+J39</f>
        <v>102130</v>
      </c>
    </row>
    <row r="41" spans="1:10" ht="13">
      <c r="A41" s="9"/>
      <c r="B41" s="8"/>
      <c r="C41" s="8"/>
      <c r="D41" s="8"/>
      <c r="E41" s="8"/>
      <c r="F41" s="8"/>
      <c r="G41" s="3"/>
      <c r="H41" s="3"/>
      <c r="I41" s="3"/>
      <c r="J41" s="3"/>
    </row>
    <row r="42" spans="1:10" ht="1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idden="1">
      <c r="G43" s="35"/>
    </row>
    <row r="44" spans="1:10" ht="13">
      <c r="A44" s="3" t="s">
        <v>68</v>
      </c>
    </row>
  </sheetData>
  <mergeCells count="4">
    <mergeCell ref="D4:E4"/>
    <mergeCell ref="G4:H4"/>
    <mergeCell ref="D5:E5"/>
    <mergeCell ref="G5:H5"/>
  </mergeCells>
  <pageMargins left="0.75" right="0.75" top="1" bottom="1" header="0.5" footer="0.5"/>
  <pageSetup scale="8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</vt:lpstr>
      <vt:lpstr>BS</vt:lpstr>
      <vt:lpstr>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2002-11-26T13:54:27Z</cp:lastPrinted>
  <dcterms:created xsi:type="dcterms:W3CDTF">1997-04-22T19:06:36Z</dcterms:created>
  <dcterms:modified xsi:type="dcterms:W3CDTF">2020-01-27T12:00:37Z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6974284</vt:i4>
  </property>
  <property fmtid="{D5CDD505-2E9C-101B-9397-08002B2CF9AE}" pid="3" name="_EmailSubject">
    <vt:lpwstr>Final Press Release</vt:lpwstr>
  </property>
  <property fmtid="{D5CDD505-2E9C-101B-9397-08002B2CF9AE}" pid="4" name="_AuthorEmail">
    <vt:lpwstr>Bill.Harlan@pgs.com</vt:lpwstr>
  </property>
  <property fmtid="{D5CDD505-2E9C-101B-9397-08002B2CF9AE}" pid="5" name="_AuthorEmailDisplayName">
    <vt:lpwstr>Bill Harlan</vt:lpwstr>
  </property>
  <property fmtid="{D5CDD505-2E9C-101B-9397-08002B2CF9AE}" pid="6" name="_PreviousAdHocReviewCycleID">
    <vt:i4>2034927782</vt:i4>
  </property>
  <property fmtid="{D5CDD505-2E9C-101B-9397-08002B2CF9AE}" pid="7" name="_ReviewingToolsShownOnce">
    <vt:lpwstr/>
  </property>
</Properties>
</file>