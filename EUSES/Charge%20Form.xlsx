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4FAFE6-1F8F-4B4F-9D9D-C409C1E9AFF0}" xr6:coauthVersionLast="45" xr6:coauthVersionMax="45" xr10:uidLastSave="{00000000-0000-0000-0000-000000000000}"/>
  <bookViews>
    <workbookView xWindow="3420" yWindow="3420" windowWidth="28800" windowHeight="15460"/>
  </bookViews>
  <sheets>
    <sheet name="form" sheetId="14" r:id="rId1"/>
    <sheet name="closeonly" sheetId="9" r:id="rId2"/>
    <sheet name="definitions" sheetId="6" r:id="rId3"/>
    <sheet name="program  SubProgram" sheetId="13" r:id="rId4"/>
    <sheet name="dept" sheetId="12" r:id="rId5"/>
    <sheet name="Activity" sheetId="15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db_area">#REF!</definedName>
    <definedName name="Filter" localSheetId="5">#REF!</definedName>
    <definedName name="Filter" localSheetId="0">#REF!</definedName>
    <definedName name="Filter" localSheetId="3">#REF!</definedName>
    <definedName name="Filter">#REF!</definedName>
    <definedName name="Pivot">#REF!</definedName>
    <definedName name="_xlnm.Print_Area" localSheetId="1">closeonly!$A$1:$P$59</definedName>
    <definedName name="_xlnm.Print_Area" localSheetId="2">definitions!$A$1:$D$85</definedName>
    <definedName name="_xlnm.Print_Area" localSheetId="0">form!$A$1:$L$61</definedName>
    <definedName name="_xlnm.Print_Area" localSheetId="3">'program  SubProgram'!$B$1:$E$112</definedName>
    <definedName name="_xlnm.Print_Area">[5]aquatics!$A$1:$V$12</definedName>
    <definedName name="_xlnm.Print_Titles" localSheetId="3">'program  SubProgram'!$1:$1</definedName>
    <definedName name="_xlnm.Print_Titles">[5]aquatics!$A$1:$IV$5</definedName>
    <definedName name="RENE" localSheetId="2">#REF!</definedName>
    <definedName name="RENE" localSheetId="0">#REF!</definedName>
    <definedName name="RENE">#REF!</definedName>
    <definedName name="Sort">#REF!</definedName>
    <definedName name="Sort1" localSheetId="0">#REF!</definedName>
    <definedName name="Sort1">#REF!</definedName>
    <definedName name="SortOps" localSheetId="0">#REF!</definedName>
    <definedName name="SortOps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7" i="9" l="1"/>
  <c r="D39" i="14"/>
  <c r="F5" i="14"/>
  <c r="G5" i="14"/>
  <c r="H5" i="14"/>
  <c r="G21" i="14"/>
</calcChain>
</file>

<file path=xl/comments1.xml><?xml version="1.0" encoding="utf-8"?>
<comments xmlns="http://schemas.openxmlformats.org/spreadsheetml/2006/main">
  <authors>
    <author>evan</author>
  </authors>
  <commentList>
    <comment ref="D16" authorId="0" shapeId="0">
      <text>
        <r>
          <rPr>
            <b/>
            <u/>
            <sz val="10"/>
            <color indexed="81"/>
            <rFont val="Tahoma"/>
            <family val="2"/>
          </rPr>
          <t>Chargabl;e / Active</t>
        </r>
        <r>
          <rPr>
            <sz val="10"/>
            <color indexed="81"/>
            <rFont val="Tahoma"/>
            <family val="2"/>
          </rPr>
          <t xml:space="preserve">
Can this AID be charged directly?</t>
        </r>
      </text>
    </comment>
    <comment ref="B18" authorId="0" shapeId="0">
      <text>
        <r>
          <rPr>
            <b/>
            <u/>
            <sz val="14"/>
            <color indexed="81"/>
            <rFont val="Tahoma"/>
            <family val="2"/>
          </rPr>
          <t>Cost Categories</t>
        </r>
        <r>
          <rPr>
            <b/>
            <sz val="14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DIR = Direct Operating
SHP = Shop Service 
IND = Indirect operating cost to be allocated
EQU = Equipment
CEP= Capital Equipment Projects
AIP = Accelerator Improvement Projects
GPP = General Plant Projects
LI = Line Item
INV = inventory
ACT - Accounting NON COST ITEM
 </t>
        </r>
      </text>
    </comment>
    <comment ref="D20" authorId="0" shapeId="0">
      <text>
        <r>
          <rPr>
            <b/>
            <u/>
            <sz val="11"/>
            <color indexed="81"/>
            <rFont val="Tahoma"/>
            <family val="2"/>
          </rPr>
          <t>Division</t>
        </r>
        <r>
          <rPr>
            <sz val="11"/>
            <color indexed="81"/>
            <rFont val="Tahoma"/>
            <family val="2"/>
          </rPr>
          <t xml:space="preserve">
Please enter the dvision from the drop down box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D26" authorId="0" shapeId="0">
      <text>
        <r>
          <rPr>
            <b/>
            <u/>
            <sz val="9"/>
            <color indexed="81"/>
            <rFont val="Tahoma"/>
            <family val="2"/>
          </rPr>
          <t>RESEARCH TYPE</t>
        </r>
        <r>
          <rPr>
            <sz val="8"/>
            <color indexed="81"/>
            <rFont val="Tahoma"/>
          </rPr>
          <t xml:space="preserve">
</t>
        </r>
        <r>
          <rPr>
            <sz val="11"/>
            <color indexed="81"/>
            <rFont val="Tahoma"/>
            <family val="2"/>
          </rPr>
          <t>What is the function of this activity ?
See definitions tab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31" authorId="0" shapeId="0">
      <text>
        <r>
          <rPr>
            <sz val="11"/>
            <color indexed="81"/>
            <rFont val="Tahoma"/>
            <family val="2"/>
          </rPr>
          <t>The Ultimate Source of Funds</t>
        </r>
        <r>
          <rPr>
            <sz val="8"/>
            <color indexed="81"/>
            <rFont val="Tahoma"/>
          </rPr>
          <t xml:space="preserve">
</t>
        </r>
      </text>
    </comment>
    <comment ref="D31" authorId="0" shapeId="0">
      <text>
        <r>
          <rPr>
            <sz val="11"/>
            <color indexed="81"/>
            <rFont val="Tahoma"/>
            <family val="2"/>
          </rPr>
          <t>The Ultimate Source of Funds</t>
        </r>
        <r>
          <rPr>
            <sz val="8"/>
            <color indexed="81"/>
            <rFont val="Tahoma"/>
          </rPr>
          <t xml:space="preserve">
</t>
        </r>
      </text>
    </comment>
    <comment ref="B35" authorId="0" shapeId="0">
      <text>
        <r>
          <rPr>
            <sz val="10"/>
            <color indexed="81"/>
            <rFont val="Tahoma"/>
            <family val="2"/>
          </rPr>
          <t xml:space="preserve"> BRN = Budget Reference Number 
sometimes used in special project funding</t>
        </r>
      </text>
    </comment>
    <comment ref="D35" authorId="0" shapeId="0">
      <text>
        <r>
          <rPr>
            <sz val="11"/>
            <color indexed="81"/>
            <rFont val="Tahoma"/>
            <family val="2"/>
          </rPr>
          <t xml:space="preserve"> BRN = Budget Reference Number 
sometimes used in special project funding</t>
        </r>
      </text>
    </comment>
    <comment ref="B36" authorId="0" shapeId="0">
      <text>
        <r>
          <rPr>
            <sz val="11"/>
            <color indexed="81"/>
            <rFont val="Tahoma"/>
            <family val="2"/>
          </rPr>
          <t>SU IR = Stanford University Interdepartmental Requisition 
PTAEO = Program Task Award Expenditure Organization
PO = Purchase Order</t>
        </r>
        <r>
          <rPr>
            <sz val="8"/>
            <color indexed="81"/>
            <rFont val="Tahoma"/>
          </rPr>
          <t xml:space="preserve">
</t>
        </r>
      </text>
    </comment>
    <comment ref="D36" authorId="0" shapeId="0">
      <text>
        <r>
          <rPr>
            <sz val="11"/>
            <color indexed="81"/>
            <rFont val="Tahoma"/>
            <family val="2"/>
          </rPr>
          <t>SU IR = Stanford University Interdepartmental Requisition 
PTAEO = Program Task Award Expenditure Organization
PO = Purchase Order</t>
        </r>
        <r>
          <rPr>
            <sz val="8"/>
            <color indexed="81"/>
            <rFont val="Tahoma"/>
          </rPr>
          <t xml:space="preserve">
</t>
        </r>
      </text>
    </comment>
    <comment ref="D39" authorId="0" shapeId="0">
      <text>
        <r>
          <rPr>
            <sz val="11"/>
            <color indexed="81"/>
            <rFont val="Tahoma"/>
            <family val="2"/>
          </rPr>
          <t>Copy the B&amp;R code from the "Program/Subprogram" worksheet and the Sub Program information will automatically be completed</t>
        </r>
        <r>
          <rPr>
            <sz val="10"/>
            <color indexed="81"/>
            <rFont val="Tahoma"/>
            <family val="2"/>
          </rPr>
          <t>.</t>
        </r>
        <r>
          <rPr>
            <sz val="8"/>
            <color indexed="81"/>
            <rFont val="Tahoma"/>
          </rPr>
          <t xml:space="preserve">
</t>
        </r>
      </text>
    </comment>
    <comment ref="D40" authorId="0" shapeId="0">
      <text>
        <r>
          <rPr>
            <sz val="11"/>
            <color indexed="81"/>
            <rFont val="Tahoma"/>
            <family val="2"/>
          </rPr>
          <t>See Activity Tab</t>
        </r>
      </text>
    </comment>
  </commentList>
</comments>
</file>

<file path=xl/comments2.xml><?xml version="1.0" encoding="utf-8"?>
<comments xmlns="http://schemas.openxmlformats.org/spreadsheetml/2006/main">
  <authors>
    <author>A satisfied Microsoft Office user</author>
  </authors>
  <commentList>
    <comment ref="A3" authorId="0" shapeId="0">
      <text>
        <r>
          <rPr>
            <sz val="8"/>
            <color indexed="81"/>
            <rFont val="Tahoma"/>
          </rPr>
          <t>SLAC/Non SLAC
Funding for the DOE Site Office = Non SLAC
University Support = Non SLAC</t>
        </r>
      </text>
    </comment>
  </commentList>
</comments>
</file>

<file path=xl/sharedStrings.xml><?xml version="1.0" encoding="utf-8"?>
<sst xmlns="http://schemas.openxmlformats.org/spreadsheetml/2006/main" count="1360" uniqueCount="839">
  <si>
    <t>TO:</t>
  </si>
  <si>
    <t>FROM:</t>
  </si>
  <si>
    <t>REMARKS:</t>
  </si>
  <si>
    <t xml:space="preserve"> </t>
  </si>
  <si>
    <t/>
  </si>
  <si>
    <t xml:space="preserve"> ACCOUNTING  ONLY</t>
  </si>
  <si>
    <t xml:space="preserve">       </t>
  </si>
  <si>
    <t>Copies of request to:</t>
  </si>
  <si>
    <t xml:space="preserve">    </t>
  </si>
  <si>
    <t>M/S</t>
  </si>
  <si>
    <t xml:space="preserve">        ENTERED</t>
  </si>
  <si>
    <t>Date:</t>
  </si>
  <si>
    <t>Action Required:</t>
  </si>
  <si>
    <t>Title</t>
  </si>
  <si>
    <t>B&amp;R Code</t>
  </si>
  <si>
    <t>Planner</t>
  </si>
  <si>
    <t>Charge Number</t>
  </si>
  <si>
    <t>Chg # Name - Long</t>
  </si>
  <si>
    <t>Chargeable (active)</t>
  </si>
  <si>
    <t>yes / no ?</t>
  </si>
  <si>
    <t>SED Location</t>
  </si>
  <si>
    <t>Division</t>
  </si>
  <si>
    <t>Yes / No</t>
  </si>
  <si>
    <t>Sponsor</t>
  </si>
  <si>
    <t>Fund Type</t>
  </si>
  <si>
    <t xml:space="preserve">Sub Program </t>
  </si>
  <si>
    <t>Contact</t>
  </si>
  <si>
    <t>Person with Principal responsibility</t>
  </si>
  <si>
    <t>Allocations on Direct</t>
  </si>
  <si>
    <t>name:</t>
  </si>
  <si>
    <t>BSC</t>
  </si>
  <si>
    <t>OBJ</t>
  </si>
  <si>
    <t>Description</t>
  </si>
  <si>
    <r>
      <t>SLAC</t>
    </r>
    <r>
      <rPr>
        <sz val="10"/>
        <rFont val="Arial"/>
      </rPr>
      <t xml:space="preserve"> Research</t>
    </r>
  </si>
  <si>
    <t>examples needed</t>
  </si>
  <si>
    <t>Funding Conduit</t>
  </si>
  <si>
    <t>Activities funded through the DOE Contract Modification</t>
  </si>
  <si>
    <t>Activities funded through Stanford</t>
  </si>
  <si>
    <t>Activities whose funding comes directly to SLAC and not through the DOE contract Mod or through Stanford University.</t>
  </si>
  <si>
    <t>Sub-Sponsor</t>
  </si>
  <si>
    <t>DOE</t>
  </si>
  <si>
    <t>Department of Energy funded activities</t>
  </si>
  <si>
    <t>For DOE: the specific B&amp;R activity</t>
  </si>
  <si>
    <t>Facility with DOE integrated accounting system (as defined by DOE eg. Argonne, Brookhaven)
These funds come as a result of SLAC billing.</t>
  </si>
  <si>
    <t>For Integrated Contractor: the specific contractor</t>
  </si>
  <si>
    <t>Federal entities other than DOE (eg. NIH)</t>
  </si>
  <si>
    <t>For Federal, non DOE: the specific federal entity</t>
  </si>
  <si>
    <t>Funds from Stanford.</t>
  </si>
  <si>
    <t>For Stanford: General funds, royalty income, users</t>
  </si>
  <si>
    <t>Non Fed, Non SU</t>
  </si>
  <si>
    <t>Organizations that are not part of the US Federal Government, Stanford University or SLAC.</t>
  </si>
  <si>
    <t xml:space="preserve">For Non Fed or SU: the specific legal entity </t>
  </si>
  <si>
    <t>SLAC</t>
  </si>
  <si>
    <t>Optional</t>
  </si>
  <si>
    <t xml:space="preserve">For DOE: the specific program office </t>
  </si>
  <si>
    <t>Required</t>
  </si>
  <si>
    <t>Lab Program</t>
  </si>
  <si>
    <t>HEP</t>
  </si>
  <si>
    <t>High Energy Physics</t>
  </si>
  <si>
    <t>US</t>
  </si>
  <si>
    <t>NP</t>
  </si>
  <si>
    <t>SR</t>
  </si>
  <si>
    <t>Synchrotron Radiation</t>
  </si>
  <si>
    <t>CTR</t>
  </si>
  <si>
    <t>Computational and Technology Research</t>
  </si>
  <si>
    <t>Fusion Energy Sciences</t>
  </si>
  <si>
    <t>EM</t>
  </si>
  <si>
    <t>Environmental Management</t>
  </si>
  <si>
    <t>IHEM</t>
  </si>
  <si>
    <t>NR</t>
  </si>
  <si>
    <t>Not Research</t>
  </si>
  <si>
    <t>Sub Program</t>
  </si>
  <si>
    <t>Physics Research</t>
  </si>
  <si>
    <t>Research Support</t>
  </si>
  <si>
    <t>HEP Research &amp; Technology</t>
  </si>
  <si>
    <t>HEP Facility Operations</t>
  </si>
  <si>
    <t>HEP Waste Management</t>
  </si>
  <si>
    <t>HEP Inventory</t>
  </si>
  <si>
    <t>Medium Energy Physics</t>
  </si>
  <si>
    <t>Material Science</t>
  </si>
  <si>
    <t>Chemical Science</t>
  </si>
  <si>
    <t>Biological &amp; Environmental Research</t>
  </si>
  <si>
    <t>Waste Minimization</t>
  </si>
  <si>
    <t>Environmental Restoration</t>
  </si>
  <si>
    <t>Math, Info, &amp; Computational  Sci</t>
  </si>
  <si>
    <t>Technology Transfer</t>
  </si>
  <si>
    <t>IHEM Program Operations</t>
  </si>
  <si>
    <t>Undergrad Fellowships</t>
  </si>
  <si>
    <t>OPI</t>
  </si>
  <si>
    <t>Other Party Identification - defined by DOE</t>
  </si>
  <si>
    <t>Stats</t>
  </si>
  <si>
    <t>Statistics - defined by Accounting/Frank</t>
  </si>
  <si>
    <t>Balance Sheet Code</t>
  </si>
  <si>
    <t>Defined by DOE - ie WA</t>
  </si>
  <si>
    <t>User</t>
  </si>
  <si>
    <t>Chg # Name - Short</t>
  </si>
  <si>
    <t>Number</t>
  </si>
  <si>
    <t>Name:</t>
  </si>
  <si>
    <t>Transfers Out</t>
  </si>
  <si>
    <t>Function</t>
  </si>
  <si>
    <t>User Flag</t>
  </si>
  <si>
    <t>Funding/Budget</t>
  </si>
  <si>
    <t>Amount:</t>
  </si>
  <si>
    <t>End Date</t>
  </si>
  <si>
    <t>Fund Conduit</t>
  </si>
  <si>
    <t>DOE, SU, or SLAC - see definitions</t>
  </si>
  <si>
    <t>Fund Source</t>
  </si>
  <si>
    <t>Sub Sponsor</t>
  </si>
  <si>
    <t>(ie EQU61BJ, PRN97G30300, AGRSL00P142)</t>
  </si>
  <si>
    <t>Taxable</t>
  </si>
  <si>
    <t>acronymn</t>
  </si>
  <si>
    <t>Sort
#</t>
  </si>
  <si>
    <t>RFO</t>
  </si>
  <si>
    <t>Activities associated with research programs for other institutions.but performed by SLAC.</t>
  </si>
  <si>
    <t>Activities in support of outside users while at SLAC.  (eg. Housekeeping accounts)</t>
  </si>
  <si>
    <t>examples needed Does this include DOE SSO (KX funding)?</t>
  </si>
  <si>
    <t>Required: Flag to indicate if funding is provided from an organization with user/collaborator participation in SLAC scientific programs</t>
  </si>
  <si>
    <t>USER</t>
  </si>
  <si>
    <t>NU</t>
  </si>
  <si>
    <t>Required:  How funds come to SLAC</t>
  </si>
  <si>
    <t>DOE Contract Mod</t>
  </si>
  <si>
    <t>Through Stanford</t>
  </si>
  <si>
    <t>SU</t>
  </si>
  <si>
    <t>Directly funded</t>
  </si>
  <si>
    <t>DOE Integrated Contractor</t>
  </si>
  <si>
    <t>DOE Int</t>
  </si>
  <si>
    <t>Federal, non DOE</t>
  </si>
  <si>
    <t>Fed, non DOE</t>
  </si>
  <si>
    <t>Transfers OUT</t>
  </si>
  <si>
    <t>TRF IN</t>
  </si>
  <si>
    <t>Activities of another organization, based on funds transferred from and administered by SLAC.
These represents funding to others by SLAC.</t>
  </si>
  <si>
    <t>Transfers IN</t>
  </si>
  <si>
    <t>TRF Out</t>
  </si>
  <si>
    <t xml:space="preserve">Activities at SLAC for another organization, based on funds transferred to and administered by SLAC.
These represents funding from others by SLAC. </t>
  </si>
  <si>
    <t>Required  The ULTIMATE sponsor of the activity</t>
  </si>
  <si>
    <t>For Integrated Contractor: the name</t>
  </si>
  <si>
    <t>For Stanford: SLAC royalty income, SLAC conferences, other</t>
  </si>
  <si>
    <t>For "Non Fed, Non SU" or "SLAC": the specific organization</t>
  </si>
  <si>
    <t>Optional  The intermediary sponsor</t>
  </si>
  <si>
    <t>Cost Category</t>
  </si>
  <si>
    <t>Purchased Equipment</t>
  </si>
  <si>
    <t>EQU</t>
  </si>
  <si>
    <t>Capital Equipment Project</t>
  </si>
  <si>
    <t>CEP</t>
  </si>
  <si>
    <t>Accelerator Improvement Project</t>
  </si>
  <si>
    <t>AIP</t>
  </si>
  <si>
    <t>General Plant Project</t>
  </si>
  <si>
    <t>GPP</t>
  </si>
  <si>
    <t>Line Item Construction</t>
  </si>
  <si>
    <t>LIC</t>
  </si>
  <si>
    <t>Inventory</t>
  </si>
  <si>
    <t>INV</t>
  </si>
  <si>
    <t>Fusion</t>
  </si>
  <si>
    <t>Safeguard &amp; Security</t>
  </si>
  <si>
    <t>S&amp;S</t>
  </si>
  <si>
    <t>Education</t>
  </si>
  <si>
    <t>ED</t>
  </si>
  <si>
    <t>Energy Efficiency</t>
  </si>
  <si>
    <t>EE</t>
  </si>
  <si>
    <t>Asst Sec for Energy Efficiency &amp; Renewable Resource Technology</t>
  </si>
  <si>
    <t>Facilities &amp; Infrastructure</t>
  </si>
  <si>
    <t>FI</t>
  </si>
  <si>
    <t>General Research</t>
  </si>
  <si>
    <t>GR</t>
  </si>
  <si>
    <t>activities relating to the entire SLAC site</t>
  </si>
  <si>
    <t>HEP KA040101</t>
  </si>
  <si>
    <t>US  KA040102</t>
  </si>
  <si>
    <t>HEP   KA0403011</t>
  </si>
  <si>
    <t>Next Linear Collider</t>
  </si>
  <si>
    <t>HEP   KA0403013</t>
  </si>
  <si>
    <t>HEP KA0501</t>
  </si>
  <si>
    <t>HEP  KA0503</t>
  </si>
  <si>
    <t>SR  KC02</t>
  </si>
  <si>
    <t>SR  KC03</t>
  </si>
  <si>
    <t>SR  KP 11</t>
  </si>
  <si>
    <t>EM  EX</t>
  </si>
  <si>
    <t>KJ02</t>
  </si>
  <si>
    <t>Excess Facilities Disposal</t>
  </si>
  <si>
    <t>KH</t>
  </si>
  <si>
    <t>SPEAR 3 Upgrade</t>
  </si>
  <si>
    <t>GLAST</t>
  </si>
  <si>
    <r>
      <t xml:space="preserve">Stanford - </t>
    </r>
    <r>
      <rPr>
        <sz val="11"/>
        <rFont val="Arial"/>
        <family val="2"/>
      </rPr>
      <t>SU</t>
    </r>
  </si>
  <si>
    <t>Experimental Group A</t>
  </si>
  <si>
    <t>Operating Direct</t>
  </si>
  <si>
    <t>Operating Indirect</t>
  </si>
  <si>
    <t>IND</t>
  </si>
  <si>
    <r>
      <t>Required:  The</t>
    </r>
    <r>
      <rPr>
        <b/>
        <i/>
        <u/>
        <sz val="10"/>
        <color indexed="12"/>
        <rFont val="Arial"/>
        <family val="2"/>
      </rPr>
      <t xml:space="preserve"> ultimate</t>
    </r>
    <r>
      <rPr>
        <b/>
        <i/>
        <u/>
        <sz val="5"/>
        <color indexed="12"/>
        <rFont val="Arial"/>
        <family val="2"/>
      </rPr>
      <t xml:space="preserve"> </t>
    </r>
    <r>
      <rPr>
        <b/>
        <i/>
        <sz val="10"/>
        <color indexed="12"/>
        <rFont val="Arial"/>
        <family val="2"/>
      </rPr>
      <t>source of funding</t>
    </r>
  </si>
  <si>
    <t>Div Code</t>
  </si>
  <si>
    <t>DIR</t>
  </si>
  <si>
    <t>00</t>
  </si>
  <si>
    <t>SLAC Director's Office</t>
  </si>
  <si>
    <t>00A</t>
  </si>
  <si>
    <t>Administration</t>
  </si>
  <si>
    <t>00B</t>
  </si>
  <si>
    <t>Affirmative Action Office</t>
  </si>
  <si>
    <t>00C</t>
  </si>
  <si>
    <t>Human Resources</t>
  </si>
  <si>
    <t>00F</t>
  </si>
  <si>
    <t>TECH</t>
  </si>
  <si>
    <t>01</t>
  </si>
  <si>
    <t>01A</t>
  </si>
  <si>
    <t>TD NLC Program</t>
  </si>
  <si>
    <t>02A</t>
  </si>
  <si>
    <t>ARD-A Administration</t>
  </si>
  <si>
    <t>02B</t>
  </si>
  <si>
    <t>ARD-A Advanced Beam Concepts</t>
  </si>
  <si>
    <t>02C</t>
  </si>
  <si>
    <t>ARD-A Lattice Dynamics</t>
  </si>
  <si>
    <t>02D</t>
  </si>
  <si>
    <t>ARD-A Collective Effects</t>
  </si>
  <si>
    <t>02E</t>
  </si>
  <si>
    <t>ARD-A Numerical Modeling</t>
  </si>
  <si>
    <t>02F</t>
  </si>
  <si>
    <t>ARD-A Advanced  Electronics</t>
  </si>
  <si>
    <t>02G</t>
  </si>
  <si>
    <t>ARD-A RF Structures</t>
  </si>
  <si>
    <t>02H</t>
  </si>
  <si>
    <t>ARD-A High Power RF</t>
  </si>
  <si>
    <t>02I</t>
  </si>
  <si>
    <t>02J</t>
  </si>
  <si>
    <t>ARD-A Accelerator Mfg R&amp;D</t>
  </si>
  <si>
    <t>04A</t>
  </si>
  <si>
    <t>Accelerator Administration</t>
  </si>
  <si>
    <t>04B</t>
  </si>
  <si>
    <t>Accelerator Operations</t>
  </si>
  <si>
    <t>04F</t>
  </si>
  <si>
    <t>A/D Accelerators</t>
  </si>
  <si>
    <t>04G</t>
  </si>
  <si>
    <t>Accelerator-Mechanical Support</t>
  </si>
  <si>
    <t>04H</t>
  </si>
  <si>
    <t>A/D Sources &amp; Polarization</t>
  </si>
  <si>
    <t>06E</t>
  </si>
  <si>
    <t>06M</t>
  </si>
  <si>
    <t>06Q</t>
  </si>
  <si>
    <t>07</t>
  </si>
  <si>
    <t>Mechanical Fabrications</t>
  </si>
  <si>
    <t>07A</t>
  </si>
  <si>
    <t>MFD Administration/Staff</t>
  </si>
  <si>
    <t>07P</t>
  </si>
  <si>
    <t>MFD Plating/Cleaning</t>
  </si>
  <si>
    <t>07R</t>
  </si>
  <si>
    <t>MFD Structural Fab/Assembly</t>
  </si>
  <si>
    <t>07U</t>
  </si>
  <si>
    <t>MFD Precision Assembly</t>
  </si>
  <si>
    <t>07X</t>
  </si>
  <si>
    <t>MFD Fabrication</t>
  </si>
  <si>
    <t>08</t>
  </si>
  <si>
    <t>08A</t>
  </si>
  <si>
    <t>Klystron Administration</t>
  </si>
  <si>
    <t>08B</t>
  </si>
  <si>
    <t>08C</t>
  </si>
  <si>
    <t>Klystron Manufacturing</t>
  </si>
  <si>
    <t>08D</t>
  </si>
  <si>
    <t>08E</t>
  </si>
  <si>
    <t>08G</t>
  </si>
  <si>
    <t>Klystron Tube R&amp;D</t>
  </si>
  <si>
    <t>11</t>
  </si>
  <si>
    <t>12</t>
  </si>
  <si>
    <t>18A</t>
  </si>
  <si>
    <t>18E</t>
  </si>
  <si>
    <t>19A</t>
  </si>
  <si>
    <t>Mechanical Design</t>
  </si>
  <si>
    <t>19B</t>
  </si>
  <si>
    <t>CAD Support</t>
  </si>
  <si>
    <t>19C</t>
  </si>
  <si>
    <t>MD Document Control</t>
  </si>
  <si>
    <t>RES</t>
  </si>
  <si>
    <t>22</t>
  </si>
  <si>
    <t>SLD</t>
  </si>
  <si>
    <t>23</t>
  </si>
  <si>
    <t>BABAR</t>
  </si>
  <si>
    <t>29</t>
  </si>
  <si>
    <t>30A</t>
  </si>
  <si>
    <t>R/D Indirect</t>
  </si>
  <si>
    <t>30B</t>
  </si>
  <si>
    <t>R/D Direct</t>
  </si>
  <si>
    <t>30E</t>
  </si>
  <si>
    <t>Research Engineering Group</t>
  </si>
  <si>
    <t>31</t>
  </si>
  <si>
    <t>Experimental Group K</t>
  </si>
  <si>
    <t>32</t>
  </si>
  <si>
    <t>Experimental Group B</t>
  </si>
  <si>
    <t>33</t>
  </si>
  <si>
    <t>Experimental Group C</t>
  </si>
  <si>
    <t>35</t>
  </si>
  <si>
    <t>Experimental Group E</t>
  </si>
  <si>
    <t>40</t>
  </si>
  <si>
    <t>Experimental Group I</t>
  </si>
  <si>
    <t>41</t>
  </si>
  <si>
    <t>Theoretical Physics</t>
  </si>
  <si>
    <t>42</t>
  </si>
  <si>
    <t>Technical Information Service</t>
  </si>
  <si>
    <t>43</t>
  </si>
  <si>
    <t>Computation Group</t>
  </si>
  <si>
    <t>44</t>
  </si>
  <si>
    <t>Physical Electronics</t>
  </si>
  <si>
    <t>48</t>
  </si>
  <si>
    <t>Magnet Optics</t>
  </si>
  <si>
    <t>49A</t>
  </si>
  <si>
    <t>EFD Research Support A</t>
  </si>
  <si>
    <t>49B</t>
  </si>
  <si>
    <t>EFD Research Support B</t>
  </si>
  <si>
    <t>49C</t>
  </si>
  <si>
    <t>EFD Research Support C</t>
  </si>
  <si>
    <t>57</t>
  </si>
  <si>
    <t>SLAC Computing Services</t>
  </si>
  <si>
    <t>BSD</t>
  </si>
  <si>
    <t>61</t>
  </si>
  <si>
    <t>63</t>
  </si>
  <si>
    <t>64</t>
  </si>
  <si>
    <t>64A</t>
  </si>
  <si>
    <t>66</t>
  </si>
  <si>
    <t>68</t>
  </si>
  <si>
    <t>68A</t>
  </si>
  <si>
    <t>68B</t>
  </si>
  <si>
    <t>68C</t>
  </si>
  <si>
    <t>68D</t>
  </si>
  <si>
    <t>Business Applications/Support</t>
  </si>
  <si>
    <t>68E</t>
  </si>
  <si>
    <t>ES&amp;H</t>
  </si>
  <si>
    <t>72</t>
  </si>
  <si>
    <t>73</t>
  </si>
  <si>
    <t>74</t>
  </si>
  <si>
    <t>75</t>
  </si>
  <si>
    <t>76</t>
  </si>
  <si>
    <t>77</t>
  </si>
  <si>
    <t>78</t>
  </si>
  <si>
    <t>SSRL</t>
  </si>
  <si>
    <t>82</t>
  </si>
  <si>
    <t>82A</t>
  </si>
  <si>
    <t>82B</t>
  </si>
  <si>
    <t>83A</t>
  </si>
  <si>
    <t>84</t>
  </si>
  <si>
    <t>84A</t>
  </si>
  <si>
    <t>84C</t>
  </si>
  <si>
    <t>84D</t>
  </si>
  <si>
    <t>84E</t>
  </si>
  <si>
    <t>85A</t>
  </si>
  <si>
    <t>85B</t>
  </si>
  <si>
    <t>85C</t>
  </si>
  <si>
    <t>86</t>
  </si>
  <si>
    <t>86A</t>
  </si>
  <si>
    <t>86C</t>
  </si>
  <si>
    <t>86D</t>
  </si>
  <si>
    <t>XX/XX/XX</t>
  </si>
  <si>
    <t xml:space="preserve">SED Salary Permission - No=0, Yes=1 </t>
  </si>
  <si>
    <t xml:space="preserve">Charge Number Entry Form </t>
  </si>
  <si>
    <t>25 characters or less describing the activity</t>
  </si>
  <si>
    <r>
      <t>Activity Data Sheet</t>
    </r>
    <r>
      <rPr>
        <u/>
        <sz val="11"/>
        <rFont val="Arial"/>
        <family val="2"/>
      </rPr>
      <t xml:space="preserve">  -</t>
    </r>
    <r>
      <rPr>
        <b/>
        <u/>
        <sz val="11"/>
        <rFont val="Arial"/>
        <family val="2"/>
      </rPr>
      <t xml:space="preserve"> if applicable</t>
    </r>
  </si>
  <si>
    <t>Customer</t>
  </si>
  <si>
    <t>entity to be billed by Accounts Receivable</t>
  </si>
  <si>
    <t>Input</t>
  </si>
  <si>
    <t>Fixed Special Rate</t>
  </si>
  <si>
    <t>if applicable</t>
  </si>
  <si>
    <t xml:space="preserve">3 % Federal Charge </t>
  </si>
  <si>
    <t xml:space="preserve">   Special Allocation Rates</t>
  </si>
  <si>
    <t>If Work For Others:</t>
  </si>
  <si>
    <t>G&amp;A:</t>
  </si>
  <si>
    <t xml:space="preserve">CSS: </t>
  </si>
  <si>
    <t>Procurement:</t>
  </si>
  <si>
    <t>Security:</t>
  </si>
  <si>
    <t xml:space="preserve">Department </t>
  </si>
  <si>
    <t>If Change:</t>
  </si>
  <si>
    <t>Contact Salary Permission</t>
  </si>
  <si>
    <t xml:space="preserve">specify other change:  </t>
  </si>
  <si>
    <t>Please email completed form to the Budget Office for Approval</t>
  </si>
  <si>
    <t>BUDGET OFFICE APPROVAL:</t>
  </si>
  <si>
    <t>DOE Contract Mod thru SU</t>
  </si>
  <si>
    <t>DOE/SU</t>
  </si>
  <si>
    <t>Funds provided By SU, but flowing through the DOE contract</t>
  </si>
  <si>
    <t>Stanford Linear Accelerator Center</t>
  </si>
  <si>
    <t>REQUEST FOR CHARGE NUMBER CLOSINGS:</t>
  </si>
  <si>
    <t>DATE:</t>
  </si>
  <si>
    <t>Please</t>
  </si>
  <si>
    <t>CONVERSION</t>
  </si>
  <si>
    <t xml:space="preserve">           BUDGETS  ONLY</t>
  </si>
  <si>
    <t>Charge</t>
  </si>
  <si>
    <t>CHARGE #</t>
  </si>
  <si>
    <t>FUND</t>
  </si>
  <si>
    <t xml:space="preserve">B &amp; R </t>
  </si>
  <si>
    <t>SUPPLEMENTAL</t>
  </si>
  <si>
    <t>Charge Title (25 CHAR)</t>
  </si>
  <si>
    <t>NUMBER</t>
  </si>
  <si>
    <t>GP #</t>
  </si>
  <si>
    <t>(CLOSE ONLY)</t>
  </si>
  <si>
    <t>TYPE</t>
  </si>
  <si>
    <t>CODE</t>
  </si>
  <si>
    <t>DATA CODE</t>
  </si>
  <si>
    <t>BUDGET APPROVAL</t>
  </si>
  <si>
    <t xml:space="preserve">   </t>
  </si>
  <si>
    <r>
      <t xml:space="preserve">Alternate Form For Mass Closings </t>
    </r>
    <r>
      <rPr>
        <b/>
        <i/>
        <u/>
        <sz val="12"/>
        <color indexed="12"/>
        <rFont val="Helv"/>
      </rPr>
      <t>Only</t>
    </r>
  </si>
  <si>
    <t>DeptID</t>
  </si>
  <si>
    <t>Descr</t>
  </si>
  <si>
    <t>Business Services Division</t>
  </si>
  <si>
    <t>Budget Office</t>
  </si>
  <si>
    <t>Accounting Office</t>
  </si>
  <si>
    <t>Travel</t>
  </si>
  <si>
    <t>Purchasing Office</t>
  </si>
  <si>
    <t>Bsns Systems &amp; Lab Support</t>
  </si>
  <si>
    <t>User Support/Records Admin</t>
  </si>
  <si>
    <t>Property Control</t>
  </si>
  <si>
    <t>Lab Safeguards/Security</t>
  </si>
  <si>
    <t>Communications</t>
  </si>
  <si>
    <t>00FA</t>
  </si>
  <si>
    <t>00FB</t>
  </si>
  <si>
    <t>Public Affairs</t>
  </si>
  <si>
    <t>Director's Division</t>
  </si>
  <si>
    <t>ES&amp;H Division</t>
  </si>
  <si>
    <t>Safety Health &amp; Assurance</t>
  </si>
  <si>
    <t>Envir Protection/Restoration</t>
  </si>
  <si>
    <t>Operational Health Physics</t>
  </si>
  <si>
    <t>Waste Management</t>
  </si>
  <si>
    <t>Radiation Physics</t>
  </si>
  <si>
    <t>FD</t>
  </si>
  <si>
    <t>Fire Department</t>
  </si>
  <si>
    <t>MED</t>
  </si>
  <si>
    <t>Medical Department</t>
  </si>
  <si>
    <t>OTH</t>
  </si>
  <si>
    <t>97</t>
  </si>
  <si>
    <t>Long Term Disability</t>
  </si>
  <si>
    <t>Department of Energy</t>
  </si>
  <si>
    <t>OTHER Division</t>
  </si>
  <si>
    <t>OTHER</t>
  </si>
  <si>
    <t>Other Department</t>
  </si>
  <si>
    <t>UNK</t>
  </si>
  <si>
    <t>Unknown (Other Division ONLY)</t>
  </si>
  <si>
    <t>26</t>
  </si>
  <si>
    <t>30</t>
  </si>
  <si>
    <t>Research Division</t>
  </si>
  <si>
    <t>37</t>
  </si>
  <si>
    <t>Experimental Group G</t>
  </si>
  <si>
    <t>49</t>
  </si>
  <si>
    <t>Experimental Facilities</t>
  </si>
  <si>
    <t>Stanford Linear Accelerator Ct</t>
  </si>
  <si>
    <t>SSRL Assoc Director's Office</t>
  </si>
  <si>
    <t>SSRL Safety Office</t>
  </si>
  <si>
    <t>83</t>
  </si>
  <si>
    <t>83B</t>
  </si>
  <si>
    <t>SSRL Business Services</t>
  </si>
  <si>
    <t>Exp Systems &amp; Research</t>
  </si>
  <si>
    <t>ESRD Management</t>
  </si>
  <si>
    <t>ESRD Facilities/Plant</t>
  </si>
  <si>
    <t>ESRD Experimental Support</t>
  </si>
  <si>
    <t>84F</t>
  </si>
  <si>
    <t>ESRD Beam Line Development</t>
  </si>
  <si>
    <t>84G</t>
  </si>
  <si>
    <t>ESRD SMB Operations</t>
  </si>
  <si>
    <t>84H</t>
  </si>
  <si>
    <t>ESRD Beam Line Electronics</t>
  </si>
  <si>
    <t>84I</t>
  </si>
  <si>
    <t>ESRD Stockroom</t>
  </si>
  <si>
    <t>84J</t>
  </si>
  <si>
    <t>ESRD Molecular Env Science</t>
  </si>
  <si>
    <t>ESRD Materials Res/User Supp</t>
  </si>
  <si>
    <t>ESRD SMB Research</t>
  </si>
  <si>
    <t>NIGMS</t>
  </si>
  <si>
    <t>85D</t>
  </si>
  <si>
    <t>SSRL Accelerator Systems</t>
  </si>
  <si>
    <t>86B</t>
  </si>
  <si>
    <t>ASD Electrical Dev &amp; Maint</t>
  </si>
  <si>
    <t>ASD Accel Dev &amp; Controls</t>
  </si>
  <si>
    <t>ASD Engineering &amp; Tech Svcs</t>
  </si>
  <si>
    <t>86E</t>
  </si>
  <si>
    <t>ASD Computing &amp; Networking</t>
  </si>
  <si>
    <t>86S</t>
  </si>
  <si>
    <t>SPEAR 3 Project</t>
  </si>
  <si>
    <t>86T</t>
  </si>
  <si>
    <t>SPEAR 3 Mgmt Supp &amp; Acc Phys</t>
  </si>
  <si>
    <t>86U</t>
  </si>
  <si>
    <t>SPEAR 3 Mechanical Systems</t>
  </si>
  <si>
    <t>86V</t>
  </si>
  <si>
    <t>SPEAR 3 Vacuum Systems</t>
  </si>
  <si>
    <t>86W</t>
  </si>
  <si>
    <t>SPEAR3 Instr Ctrl Prot System</t>
  </si>
  <si>
    <t>86X</t>
  </si>
  <si>
    <t>SPEAR 3 Power Supply</t>
  </si>
  <si>
    <t>88</t>
  </si>
  <si>
    <t>LCLS</t>
  </si>
  <si>
    <t>88A</t>
  </si>
  <si>
    <t>LCLS Admin and Mgmt</t>
  </si>
  <si>
    <t>88E</t>
  </si>
  <si>
    <t>LCLS Engineering</t>
  </si>
  <si>
    <t>SSRL Division</t>
  </si>
  <si>
    <t>Technical Division</t>
  </si>
  <si>
    <t>02</t>
  </si>
  <si>
    <t>Accelerator Research - A</t>
  </si>
  <si>
    <t>ARD-A Special Projects</t>
  </si>
  <si>
    <t>04</t>
  </si>
  <si>
    <t>Accelerator Department</t>
  </si>
  <si>
    <t>06</t>
  </si>
  <si>
    <t>Metrology</t>
  </si>
  <si>
    <t>06A</t>
  </si>
  <si>
    <t>Metrology Administration</t>
  </si>
  <si>
    <t>Alignment Engineering</t>
  </si>
  <si>
    <t>Magnetic Measurement</t>
  </si>
  <si>
    <t>Metrology Quality Inspection</t>
  </si>
  <si>
    <t>Klystron</t>
  </si>
  <si>
    <t>Klystron RF Components</t>
  </si>
  <si>
    <t>Klystron Elec Engr &amp; Testing</t>
  </si>
  <si>
    <t>Klystron Microwave E&amp;M</t>
  </si>
  <si>
    <t>08F</t>
  </si>
  <si>
    <t>Klystron Outside Projects</t>
  </si>
  <si>
    <t>Site Engineering/Maintenance</t>
  </si>
  <si>
    <t>Accelerator Research - B</t>
  </si>
  <si>
    <t>15</t>
  </si>
  <si>
    <t>Advanced Computations</t>
  </si>
  <si>
    <t>18</t>
  </si>
  <si>
    <t>Electronics &amp; SW Enginering</t>
  </si>
  <si>
    <t>ESD Administration</t>
  </si>
  <si>
    <t>ESD, Software Engineering</t>
  </si>
  <si>
    <t>18G</t>
  </si>
  <si>
    <t>ESD Systems Engineering</t>
  </si>
  <si>
    <t>18H</t>
  </si>
  <si>
    <t>ESD Electronics Engineering</t>
  </si>
  <si>
    <t>18J</t>
  </si>
  <si>
    <t>ESD Engineering Services</t>
  </si>
  <si>
    <t>18K</t>
  </si>
  <si>
    <t>ESD Power Systems Ops Support</t>
  </si>
  <si>
    <t>19</t>
  </si>
  <si>
    <t>Mechanical Design Admin</t>
  </si>
  <si>
    <t>Economos</t>
  </si>
  <si>
    <t>Activities associated with the SLAC program operations</t>
  </si>
  <si>
    <t>Non Research activities.  These activities are not related to any SLAC program operations (eg facility use)</t>
  </si>
  <si>
    <t>53</t>
  </si>
  <si>
    <t>SHP</t>
  </si>
  <si>
    <t>User / Collaborator?</t>
  </si>
  <si>
    <t>Status</t>
  </si>
  <si>
    <t>A</t>
  </si>
  <si>
    <t>Bsns Services Division Office</t>
  </si>
  <si>
    <t>ES&amp;H Division Office</t>
  </si>
  <si>
    <t>Knowledge Management</t>
  </si>
  <si>
    <t>27</t>
  </si>
  <si>
    <t>Astro Gamma</t>
  </si>
  <si>
    <t>Research Division Office</t>
  </si>
  <si>
    <t>KIPAC</t>
  </si>
  <si>
    <t>SSRL Division Office</t>
  </si>
  <si>
    <t>SSRL Administration</t>
  </si>
  <si>
    <t>ESRD Beam Line Operations</t>
  </si>
  <si>
    <t>84K</t>
  </si>
  <si>
    <t>ESRD MPS/PPS</t>
  </si>
  <si>
    <t>ASD Mgmt/Planning</t>
  </si>
  <si>
    <t>ASD Accel &amp;FEL Physics</t>
  </si>
  <si>
    <t>86F</t>
  </si>
  <si>
    <t>86G</t>
  </si>
  <si>
    <t>ASD Accelerator Operations</t>
  </si>
  <si>
    <t>Technical Division Office</t>
  </si>
  <si>
    <t>18L</t>
  </si>
  <si>
    <t>ESD I&amp;C Systems Engineering</t>
  </si>
  <si>
    <t>Order</t>
  </si>
  <si>
    <t>Lab SubProgram</t>
  </si>
  <si>
    <t>Activity</t>
  </si>
  <si>
    <t>KA1201020</t>
  </si>
  <si>
    <t>Accelerator Based Research</t>
  </si>
  <si>
    <t>KA1201030</t>
  </si>
  <si>
    <t>University Support</t>
  </si>
  <si>
    <t>KA1202011</t>
  </si>
  <si>
    <t>KA1202012</t>
  </si>
  <si>
    <t>Detector Operations</t>
  </si>
  <si>
    <t>EGGS, BIS</t>
  </si>
  <si>
    <t>KA1202021</t>
  </si>
  <si>
    <t>Accelerator Support</t>
  </si>
  <si>
    <t>KA1202022</t>
  </si>
  <si>
    <t>Detector Support</t>
  </si>
  <si>
    <t>BaBar</t>
  </si>
  <si>
    <t>KA1202023</t>
  </si>
  <si>
    <t>Facility Support</t>
  </si>
  <si>
    <t>KA1202031</t>
  </si>
  <si>
    <t>R&amp;D Supporting Approved Projects</t>
  </si>
  <si>
    <t>KA1202040</t>
  </si>
  <si>
    <t>Other Facility Activities</t>
  </si>
  <si>
    <t>KA1301020</t>
  </si>
  <si>
    <t>Non Accelerator Based Research</t>
  </si>
  <si>
    <t>GLAST / Astro Physics</t>
  </si>
  <si>
    <t>Astro Physics</t>
  </si>
  <si>
    <t>KA1301030</t>
  </si>
  <si>
    <t>Non Accelerator Based Projects</t>
  </si>
  <si>
    <t>KA1401020</t>
  </si>
  <si>
    <t>KA1401030</t>
  </si>
  <si>
    <t>KA1401040</t>
  </si>
  <si>
    <t>Other Theoretical Research</t>
  </si>
  <si>
    <t>KA1501020</t>
  </si>
  <si>
    <t>Advanced Accelerator Science</t>
  </si>
  <si>
    <t>KA1502010</t>
  </si>
  <si>
    <t xml:space="preserve">General Accelerator </t>
  </si>
  <si>
    <t>KA1502020</t>
  </si>
  <si>
    <t>Linear Colider R&amp;D</t>
  </si>
  <si>
    <t>NLC</t>
  </si>
  <si>
    <t>KA0503000</t>
  </si>
  <si>
    <t>KA0501020</t>
  </si>
  <si>
    <t>KA1202810</t>
  </si>
  <si>
    <t>Inventory Chg</t>
  </si>
  <si>
    <t>KA1202811</t>
  </si>
  <si>
    <t>Inventory - Special Process Spares</t>
  </si>
  <si>
    <t>KA1202812</t>
  </si>
  <si>
    <t>Inventory - Common Use Stores</t>
  </si>
  <si>
    <t>KA1202813</t>
  </si>
  <si>
    <t>Inventory - Other Special Materials</t>
  </si>
  <si>
    <t>KA1202814</t>
  </si>
  <si>
    <t>Inventory - Collateral Fnds</t>
  </si>
  <si>
    <t>35KA02000</t>
  </si>
  <si>
    <t>Equipment</t>
  </si>
  <si>
    <t>39KA00000</t>
  </si>
  <si>
    <t>Line Item</t>
  </si>
  <si>
    <t>Research Office Building, AIP</t>
  </si>
  <si>
    <t>KB0101000</t>
  </si>
  <si>
    <t>Nuclear Physics</t>
  </si>
  <si>
    <t>KB0101012</t>
  </si>
  <si>
    <t>KB0102000</t>
  </si>
  <si>
    <t>35KB01000</t>
  </si>
  <si>
    <t>NPAS Equipment</t>
  </si>
  <si>
    <t>39KB00000</t>
  </si>
  <si>
    <t>NPAS Construction</t>
  </si>
  <si>
    <t>KC020201</t>
  </si>
  <si>
    <t>BES XRay &amp; Neutron Scattering Research</t>
  </si>
  <si>
    <t>SESAME, LCLS</t>
  </si>
  <si>
    <t>KC0202010</t>
  </si>
  <si>
    <t>KC020202</t>
  </si>
  <si>
    <t>BES Experimental Condensed Matter</t>
  </si>
  <si>
    <t>KC020203</t>
  </si>
  <si>
    <t>BES Condensed Matter Theory</t>
  </si>
  <si>
    <t>KC0204014</t>
  </si>
  <si>
    <t>BES Material Science</t>
  </si>
  <si>
    <t>SPEAR 3,</t>
  </si>
  <si>
    <t>KC0301014</t>
  </si>
  <si>
    <t>KC0302040</t>
  </si>
  <si>
    <t>KC0502000</t>
  </si>
  <si>
    <t>35KC07000</t>
  </si>
  <si>
    <t>Applied Mathematical Sciences</t>
  </si>
  <si>
    <t>39KC02000</t>
  </si>
  <si>
    <t>Linac Coherent Light Source</t>
  </si>
  <si>
    <t>39KC03000</t>
  </si>
  <si>
    <t>KP1101010</t>
  </si>
  <si>
    <t>BER Structural Biology</t>
  </si>
  <si>
    <t>KJ0101030</t>
  </si>
  <si>
    <t>Advanced Computing</t>
  </si>
  <si>
    <t>Advanced Software &amp; Alogorithm</t>
  </si>
  <si>
    <t>KJ0102000</t>
  </si>
  <si>
    <t>Advanced Computation &amp; Communications</t>
  </si>
  <si>
    <t>KJ0200000</t>
  </si>
  <si>
    <t>Tecnology Transfer</t>
  </si>
  <si>
    <t>EW02MM09A</t>
  </si>
  <si>
    <t>Energy Management</t>
  </si>
  <si>
    <t>EW2010301</t>
  </si>
  <si>
    <t>EW3110021</t>
  </si>
  <si>
    <t>Radioactive Waste Minimization</t>
  </si>
  <si>
    <t>EX02MM09B</t>
  </si>
  <si>
    <t>EX04F7010</t>
  </si>
  <si>
    <t>EX3120090</t>
  </si>
  <si>
    <t>EX3130090</t>
  </si>
  <si>
    <t>39EX10203</t>
  </si>
  <si>
    <t>39EX31309</t>
  </si>
  <si>
    <t>FS1001000</t>
  </si>
  <si>
    <t>Protective Forces</t>
  </si>
  <si>
    <t>FS1002000</t>
  </si>
  <si>
    <t>FS1005000</t>
  </si>
  <si>
    <t>Cybersecurity</t>
  </si>
  <si>
    <t>AT2510000</t>
  </si>
  <si>
    <t>Driver Concept Development</t>
  </si>
  <si>
    <t>AT5015033</t>
  </si>
  <si>
    <t>CS5020000</t>
  </si>
  <si>
    <t>EB5500000</t>
  </si>
  <si>
    <t>WB0000000</t>
  </si>
  <si>
    <t>In House Energy Management</t>
  </si>
  <si>
    <t>WB0100000</t>
  </si>
  <si>
    <t>39WB00000</t>
  </si>
  <si>
    <t>HA1001000</t>
  </si>
  <si>
    <t>Environment, Safety &amp; Health</t>
  </si>
  <si>
    <t>Employee Compensation</t>
  </si>
  <si>
    <t>KG0601000</t>
  </si>
  <si>
    <t>Infrastructure</t>
  </si>
  <si>
    <t>Facility Disposition</t>
  </si>
  <si>
    <t>KL0101000</t>
  </si>
  <si>
    <t>Workforce Development</t>
  </si>
  <si>
    <t>Undergraduate Fellowship</t>
  </si>
  <si>
    <t>KR2000000</t>
  </si>
  <si>
    <t>Nat'L Tech Initiative</t>
  </si>
  <si>
    <t>KS0101000</t>
  </si>
  <si>
    <t>Super Sonic Collider</t>
  </si>
  <si>
    <t>SSC Detector</t>
  </si>
  <si>
    <t>35KS01000</t>
  </si>
  <si>
    <t>SSC Gen Detect R&amp;D Equip</t>
  </si>
  <si>
    <t>KT0101018</t>
  </si>
  <si>
    <t>Univ &amp; Science Education</t>
  </si>
  <si>
    <t>Laboratory COOP Programs</t>
  </si>
  <si>
    <t>KT0101033</t>
  </si>
  <si>
    <t>Grants/Others</t>
  </si>
  <si>
    <t>KU0100000</t>
  </si>
  <si>
    <t>KV0101018</t>
  </si>
  <si>
    <t>Lab Coop Science Ed Cntr</t>
  </si>
  <si>
    <t>KX0101204</t>
  </si>
  <si>
    <t>DOE Administration</t>
  </si>
  <si>
    <t>DOE SLAC Site Office</t>
  </si>
  <si>
    <t>KX0310206</t>
  </si>
  <si>
    <t>WM1026000</t>
  </si>
  <si>
    <t>General Administration</t>
  </si>
  <si>
    <t>Verification &amp; Validation</t>
  </si>
  <si>
    <t>WN0219080</t>
  </si>
  <si>
    <t>Work For Others</t>
  </si>
  <si>
    <t>Universities &amp; Institutes</t>
  </si>
  <si>
    <t>WN0501000</t>
  </si>
  <si>
    <t>ZN0501000</t>
  </si>
  <si>
    <t>Cost Recovery</t>
  </si>
  <si>
    <t>ZN1910010</t>
  </si>
  <si>
    <t>Federal Administrative Charge</t>
  </si>
  <si>
    <t>400403109</t>
  </si>
  <si>
    <t>Federal Reimbursable &amp; Cooperative Work</t>
  </si>
  <si>
    <t>Other</t>
  </si>
  <si>
    <t>400412000</t>
  </si>
  <si>
    <t>Health &amp; Human Services</t>
  </si>
  <si>
    <t>SPEAR 3</t>
  </si>
  <si>
    <t>600301010</t>
  </si>
  <si>
    <t>Non Federal Reimbursable &amp; Cooperative Work</t>
  </si>
  <si>
    <t>Domestic Industry</t>
  </si>
  <si>
    <t>600303000</t>
  </si>
  <si>
    <t>State &amp; Local Government &amp; Non Profit</t>
  </si>
  <si>
    <t>600305000</t>
  </si>
  <si>
    <t>JCSG, SGPP</t>
  </si>
  <si>
    <t>650102000</t>
  </si>
  <si>
    <t>Small Business</t>
  </si>
  <si>
    <t>650103000</t>
  </si>
  <si>
    <t>820101000</t>
  </si>
  <si>
    <t>Transfers</t>
  </si>
  <si>
    <t>Transfers In</t>
  </si>
  <si>
    <t>820201000</t>
  </si>
  <si>
    <t>Indirect</t>
  </si>
  <si>
    <t>AA0001250</t>
  </si>
  <si>
    <t>Shop Clearing</t>
  </si>
  <si>
    <t xml:space="preserve">BIS, </t>
  </si>
  <si>
    <t>Babar Common Fund</t>
  </si>
  <si>
    <t>Beam Line Upgrade</t>
  </si>
  <si>
    <t>The Budget Office will forward all approved charge numbers to Cost Accounting</t>
  </si>
  <si>
    <t>Bob Strohecker</t>
  </si>
  <si>
    <t>Sci DAC</t>
  </si>
  <si>
    <t>KG08</t>
  </si>
  <si>
    <t>KG0801000</t>
  </si>
  <si>
    <t>Health &amp; Safety</t>
  </si>
  <si>
    <t>39KG02000</t>
  </si>
  <si>
    <t>Fund Sum</t>
  </si>
  <si>
    <t>BSC (SGL)</t>
  </si>
  <si>
    <t>Object Class</t>
  </si>
  <si>
    <t>Summary Class</t>
  </si>
  <si>
    <t>DOE Attributes</t>
  </si>
  <si>
    <t>SU Categories</t>
  </si>
  <si>
    <t xml:space="preserve">   Research</t>
  </si>
  <si>
    <t xml:space="preserve">   Construction</t>
  </si>
  <si>
    <t xml:space="preserve">   RW</t>
  </si>
  <si>
    <t xml:space="preserve">   SU</t>
  </si>
  <si>
    <t xml:space="preserve">   Other</t>
  </si>
  <si>
    <t xml:space="preserve">        DOE</t>
  </si>
  <si>
    <t xml:space="preserve">        Other</t>
  </si>
  <si>
    <t>SU Attributes</t>
  </si>
  <si>
    <t>SU Research Funding</t>
  </si>
  <si>
    <t>ADS / Program Task</t>
  </si>
  <si>
    <t>T</t>
  </si>
  <si>
    <t>R</t>
  </si>
  <si>
    <t>I</t>
  </si>
  <si>
    <t>B</t>
  </si>
  <si>
    <t>U</t>
  </si>
  <si>
    <t>E</t>
  </si>
  <si>
    <t>S</t>
  </si>
  <si>
    <t>JCSG Jt Ctr for Structural Genomics</t>
  </si>
  <si>
    <r>
      <t>USER</t>
    </r>
    <r>
      <rPr>
        <sz val="10"/>
        <rFont val="MS Sans Serif"/>
      </rPr>
      <t xml:space="preserve">  Research Administration</t>
    </r>
  </si>
  <si>
    <t>Authorized Users</t>
  </si>
  <si>
    <t>if applicable, see Program Subprogram  tab</t>
  </si>
  <si>
    <t>if applicable separate names by comma</t>
  </si>
  <si>
    <r>
      <t>U</t>
    </r>
    <r>
      <rPr>
        <sz val="7.5"/>
        <rFont val="Arial"/>
        <family val="2"/>
      </rPr>
      <t xml:space="preserve">ser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>upport</t>
    </r>
  </si>
  <si>
    <r>
      <t>R</t>
    </r>
    <r>
      <rPr>
        <sz val="10"/>
        <rFont val="Arial"/>
      </rPr>
      <t xml:space="preserve">esearch </t>
    </r>
    <r>
      <rPr>
        <b/>
        <sz val="12"/>
        <rFont val="Arial"/>
        <family val="2"/>
      </rPr>
      <t>F</t>
    </r>
    <r>
      <rPr>
        <sz val="10"/>
        <rFont val="Arial"/>
      </rPr>
      <t xml:space="preserve">or </t>
    </r>
    <r>
      <rPr>
        <b/>
        <sz val="12"/>
        <rFont val="Arial"/>
        <family val="2"/>
      </rPr>
      <t>O</t>
    </r>
    <r>
      <rPr>
        <sz val="10"/>
        <rFont val="Arial"/>
      </rPr>
      <t>thers</t>
    </r>
  </si>
  <si>
    <r>
      <t>N</t>
    </r>
    <r>
      <rPr>
        <sz val="10"/>
        <rFont val="Arial"/>
      </rPr>
      <t>on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R</t>
    </r>
    <r>
      <rPr>
        <sz val="10"/>
        <rFont val="Arial"/>
      </rPr>
      <t>esearch</t>
    </r>
  </si>
  <si>
    <t>PROP</t>
  </si>
  <si>
    <r>
      <t>Prop</t>
    </r>
    <r>
      <rPr>
        <sz val="10"/>
        <rFont val="Arial"/>
      </rPr>
      <t>rietary</t>
    </r>
  </si>
  <si>
    <t>Research by private commercial organizations for their own use, not shared with SLAC or others</t>
  </si>
  <si>
    <t>SU IR / PTAEO / PO</t>
  </si>
  <si>
    <t>BRN</t>
  </si>
  <si>
    <t>SLAC, RFO, US, NR or PROP -  see definitions</t>
  </si>
  <si>
    <t>DOE defined - i.e. WA, WP, non DOE = WA</t>
  </si>
  <si>
    <r>
      <t>N</t>
    </r>
    <r>
      <rPr>
        <sz val="10"/>
        <rFont val="Arial"/>
      </rPr>
      <t xml:space="preserve">on </t>
    </r>
    <r>
      <rPr>
        <b/>
        <sz val="11"/>
        <rFont val="Arial"/>
        <family val="2"/>
      </rPr>
      <t>U</t>
    </r>
    <r>
      <rPr>
        <sz val="10"/>
        <rFont val="Arial"/>
      </rPr>
      <t>ser</t>
    </r>
  </si>
  <si>
    <t xml:space="preserve">Includes users of beams at any SLAC experimental facility or collaborators on any SLAC scientific program
 (includes PRT). </t>
  </si>
  <si>
    <t>Shop Services</t>
  </si>
  <si>
    <t>number  only</t>
  </si>
  <si>
    <t>Last Updated:</t>
  </si>
  <si>
    <t>BaBar Common Fund</t>
  </si>
  <si>
    <t>BL 11</t>
  </si>
  <si>
    <t>BL 11-3</t>
  </si>
  <si>
    <t>BL Upgd 1</t>
  </si>
  <si>
    <t>BL Upgd 10</t>
  </si>
  <si>
    <t>BL Upgd 2,3,8</t>
  </si>
  <si>
    <t>BL Upgd 4</t>
  </si>
  <si>
    <t>BL Upgd 5</t>
  </si>
  <si>
    <t>BL Upgd 6</t>
  </si>
  <si>
    <t>BL Upgd 7</t>
  </si>
  <si>
    <t>BL Upgd 9</t>
  </si>
  <si>
    <t>Complex Materials</t>
  </si>
  <si>
    <t>Computational Tools</t>
  </si>
  <si>
    <t>Conference</t>
  </si>
  <si>
    <t>Correlated Materials</t>
  </si>
  <si>
    <t>CRADA</t>
  </si>
  <si>
    <t>DOE Admin</t>
  </si>
  <si>
    <t>High Luminosity Plasma Lens</t>
  </si>
  <si>
    <t>High Luminosity Storage Ring</t>
  </si>
  <si>
    <t>JCSG: Joint Center for Structural Geonomics</t>
  </si>
  <si>
    <t>Master SubStation</t>
  </si>
  <si>
    <t>Nano</t>
  </si>
  <si>
    <t>PEP II</t>
  </si>
  <si>
    <t>Power</t>
  </si>
  <si>
    <t>Proprietary</t>
  </si>
  <si>
    <t>Research Office Building</t>
  </si>
  <si>
    <t>Russian Link</t>
  </si>
  <si>
    <t>Seismic</t>
  </si>
  <si>
    <t>SESAME</t>
  </si>
  <si>
    <t>SGPP</t>
  </si>
  <si>
    <t>Shop</t>
  </si>
  <si>
    <t>SPEAR 3 Upgd</t>
  </si>
  <si>
    <t>Special Programs</t>
  </si>
  <si>
    <t>SPPS:  Short Pulse Photon Source</t>
  </si>
  <si>
    <t>SSRL - Neutron Scatter</t>
  </si>
  <si>
    <t>SU travel</t>
  </si>
  <si>
    <t>TSRI</t>
  </si>
  <si>
    <t>Tuition</t>
  </si>
  <si>
    <t>ES&amp;H: Environment, Safety &amp; Health</t>
  </si>
  <si>
    <t>GLAST: Gamma Ray Large Area Space Telescope</t>
  </si>
  <si>
    <t>LCLS: Linac Coherent Light source</t>
  </si>
  <si>
    <t>EGS: Electron Gamma Shower</t>
  </si>
  <si>
    <t>NLC: Next Linear Collider</t>
  </si>
  <si>
    <t>PAP: Particle AstroPhysics</t>
  </si>
  <si>
    <t>BIS: Business Information Services</t>
  </si>
  <si>
    <t>see "Program SubProgram" tab</t>
  </si>
  <si>
    <t>see "Activity" tab</t>
  </si>
  <si>
    <t>OPE</t>
  </si>
  <si>
    <t>see "Dept" tab</t>
  </si>
  <si>
    <t>see "definitions" tab</t>
  </si>
  <si>
    <t>Indirect Cost Pool</t>
  </si>
  <si>
    <t>XLAM: Xray Lab Adv Mtls</t>
  </si>
  <si>
    <t>'SRRC: Sychrotron Radiation Research Center</t>
  </si>
  <si>
    <t>LCLS: Linac Coherent Light Source</t>
  </si>
  <si>
    <t>LCLS PED: LCLS Planning Engineering  &amp; Design</t>
  </si>
  <si>
    <t>Activities</t>
  </si>
  <si>
    <t>3/10/04</t>
  </si>
  <si>
    <t>Close Charge Number</t>
  </si>
  <si>
    <t>Bob Strohecker, Budget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</si>
</sst>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7" formatCode="&quot;$&quot;#,##0.00_);[Red]\(&quot;$&quot;#,##0.00\)"/>
    <numFmt numFmtId="172" formatCode="General_)"/>
    <numFmt numFmtId="173" formatCode="mm/dd/yy_)"/>
    <numFmt numFmtId="174" formatCode="&quot;   &quot;"/>
    <numFmt numFmtId="175" formatCode="mm\ /\ dd\ /\ yy_)"/>
    <numFmt numFmtId="176" formatCode="m/d/yy;@"/>
    <numFmt numFmtId="177" formatCode="##\ ####"/>
    <numFmt numFmtId="178" formatCode="0.00_);[Red]\(0.00\)"/>
    <numFmt numFmtId="181" formatCode="[$-409]h:mm\ AM/PM;@"/>
    <numFmt numFmtId="194" formatCode="mm/dd/yy;@"/>
  </numFmts>
  <fonts count="80" x14ac:knownFonts="1">
    <font>
      <sz val="10"/>
      <name val="Arial"/>
    </font>
    <font>
      <sz val="10"/>
      <name val="Arial"/>
    </font>
    <font>
      <sz val="12"/>
      <name val="Helv"/>
    </font>
    <font>
      <sz val="10"/>
      <name val="MS Sans Serif"/>
    </font>
    <font>
      <b/>
      <sz val="12"/>
      <name val="Helv"/>
    </font>
    <font>
      <b/>
      <sz val="16"/>
      <name val="Arial"/>
      <family val="2"/>
    </font>
    <font>
      <i/>
      <sz val="12"/>
      <name val="Helv"/>
    </font>
    <font>
      <sz val="12"/>
      <name val="Arial"/>
      <family val="2"/>
    </font>
    <font>
      <b/>
      <sz val="10"/>
      <name val="MS Sans Serif"/>
    </font>
    <font>
      <b/>
      <u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</font>
    <font>
      <b/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0"/>
      <color indexed="8"/>
      <name val="Arial"/>
      <family val="2"/>
    </font>
    <font>
      <u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6"/>
      <name val="Arial"/>
      <family val="2"/>
    </font>
    <font>
      <b/>
      <sz val="10"/>
      <color indexed="8"/>
      <name val="Arial"/>
      <family val="2"/>
    </font>
    <font>
      <b/>
      <i/>
      <u/>
      <sz val="10"/>
      <color indexed="8"/>
      <name val="Arial"/>
      <family val="2"/>
    </font>
    <font>
      <b/>
      <u/>
      <sz val="10"/>
      <color indexed="12"/>
      <name val="Arial"/>
      <family val="2"/>
    </font>
    <font>
      <u/>
      <sz val="10"/>
      <color indexed="12"/>
      <name val="Arial"/>
      <family val="2"/>
    </font>
    <font>
      <b/>
      <i/>
      <sz val="10"/>
      <color indexed="12"/>
      <name val="Arial"/>
      <family val="2"/>
    </font>
    <font>
      <b/>
      <i/>
      <sz val="9"/>
      <color indexed="12"/>
      <name val="Arial"/>
      <family val="2"/>
    </font>
    <font>
      <b/>
      <i/>
      <u/>
      <sz val="10"/>
      <color indexed="12"/>
      <name val="Arial"/>
      <family val="2"/>
    </font>
    <font>
      <b/>
      <i/>
      <u/>
      <sz val="5"/>
      <color indexed="12"/>
      <name val="Arial"/>
      <family val="2"/>
    </font>
    <font>
      <b/>
      <sz val="16"/>
      <name val="Helv"/>
    </font>
    <font>
      <sz val="12"/>
      <name val="Arial"/>
    </font>
    <font>
      <b/>
      <u/>
      <sz val="12"/>
      <name val="Arial"/>
      <family val="2"/>
    </font>
    <font>
      <b/>
      <u/>
      <sz val="12"/>
      <name val="Helv"/>
    </font>
    <font>
      <b/>
      <sz val="12"/>
      <color indexed="12"/>
      <name val="Helv"/>
    </font>
    <font>
      <u/>
      <sz val="12"/>
      <name val="Arial"/>
      <family val="2"/>
    </font>
    <font>
      <sz val="12"/>
      <color indexed="12"/>
      <name val="Arial"/>
      <family val="2"/>
    </font>
    <font>
      <u/>
      <sz val="12"/>
      <name val="HELV"/>
    </font>
    <font>
      <u/>
      <sz val="12"/>
      <color indexed="20"/>
      <name val="Arial"/>
      <family val="2"/>
    </font>
    <font>
      <u/>
      <sz val="11"/>
      <name val="Arial"/>
      <family val="2"/>
    </font>
    <font>
      <b/>
      <u/>
      <sz val="11"/>
      <name val="Arial"/>
      <family val="2"/>
    </font>
    <font>
      <sz val="11"/>
      <color indexed="12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b/>
      <i/>
      <sz val="12"/>
      <name val="Arial"/>
      <family val="2"/>
    </font>
    <font>
      <b/>
      <i/>
      <sz val="12"/>
      <color indexed="12"/>
      <name val="Helv"/>
    </font>
    <font>
      <b/>
      <i/>
      <sz val="10"/>
      <color indexed="20"/>
      <name val="Arial"/>
      <family val="2"/>
    </font>
    <font>
      <b/>
      <sz val="12"/>
      <color indexed="20"/>
      <name val="Helv"/>
    </font>
    <font>
      <b/>
      <sz val="18"/>
      <name val="Helv"/>
    </font>
    <font>
      <sz val="14"/>
      <name val="Helv"/>
    </font>
    <font>
      <b/>
      <sz val="14"/>
      <name val="Helv"/>
    </font>
    <font>
      <b/>
      <sz val="14"/>
      <name val="Arial"/>
      <family val="2"/>
    </font>
    <font>
      <sz val="16"/>
      <name val="Helv"/>
    </font>
    <font>
      <b/>
      <i/>
      <sz val="14"/>
      <name val="Helv"/>
    </font>
    <font>
      <sz val="18"/>
      <name val="Arial"/>
      <family val="2"/>
    </font>
    <font>
      <b/>
      <i/>
      <sz val="16"/>
      <name val="Helv"/>
    </font>
    <font>
      <i/>
      <sz val="16"/>
      <name val="Helv"/>
    </font>
    <font>
      <b/>
      <i/>
      <u/>
      <sz val="12"/>
      <color indexed="12"/>
      <name val="Helv"/>
    </font>
    <font>
      <b/>
      <sz val="11"/>
      <name val="Arial Narrow"/>
      <family val="2"/>
    </font>
    <font>
      <sz val="8"/>
      <name val="Arial"/>
    </font>
    <font>
      <i/>
      <sz val="9"/>
      <color indexed="20"/>
      <name val="Helv"/>
    </font>
    <font>
      <sz val="12"/>
      <color indexed="12"/>
      <name val="Helv"/>
    </font>
    <font>
      <b/>
      <sz val="12"/>
      <color indexed="20"/>
      <name val="Arial"/>
      <family val="2"/>
    </font>
    <font>
      <b/>
      <sz val="12"/>
      <color indexed="20"/>
      <name val="MS Sans Serif"/>
      <family val="2"/>
    </font>
    <font>
      <sz val="14"/>
      <color indexed="12"/>
      <name val="Arial"/>
      <family val="2"/>
    </font>
    <font>
      <sz val="7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0"/>
      <color indexed="81"/>
      <name val="Tahoma"/>
      <family val="2"/>
    </font>
    <font>
      <sz val="11"/>
      <color indexed="81"/>
      <name val="Tahoma"/>
      <family val="2"/>
    </font>
    <font>
      <sz val="14"/>
      <color indexed="81"/>
      <name val="Tahoma"/>
      <family val="2"/>
    </font>
    <font>
      <b/>
      <sz val="14"/>
      <color indexed="81"/>
      <name val="Tahoma"/>
      <family val="2"/>
    </font>
    <font>
      <b/>
      <u/>
      <sz val="14"/>
      <color indexed="81"/>
      <name val="Tahoma"/>
      <family val="2"/>
    </font>
    <font>
      <sz val="15"/>
      <name val="MS Sans Serif"/>
    </font>
    <font>
      <b/>
      <u/>
      <sz val="10"/>
      <color indexed="81"/>
      <name val="Tahoma"/>
      <family val="2"/>
    </font>
    <font>
      <b/>
      <u/>
      <sz val="11"/>
      <color indexed="81"/>
      <name val="Tahoma"/>
      <family val="2"/>
    </font>
    <font>
      <b/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ck">
        <color indexed="8"/>
      </bottom>
      <diagonal/>
    </border>
    <border>
      <left/>
      <right/>
      <top style="thin">
        <color indexed="64"/>
      </top>
      <bottom style="thick">
        <color indexed="8"/>
      </bottom>
      <diagonal/>
    </border>
    <border>
      <left/>
      <right style="thick">
        <color indexed="8"/>
      </right>
      <top style="thin">
        <color indexed="64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16"/>
      </bottom>
      <diagonal/>
    </border>
    <border>
      <left/>
      <right/>
      <top/>
      <bottom style="hair">
        <color indexed="16"/>
      </bottom>
      <diagonal/>
    </border>
    <border>
      <left/>
      <right/>
      <top/>
      <bottom style="medium">
        <color indexed="12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/>
      <bottom style="thin">
        <color indexed="1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12"/>
      </left>
      <right/>
      <top style="thick">
        <color indexed="12"/>
      </top>
      <bottom/>
      <diagonal/>
    </border>
    <border>
      <left/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/>
      <diagonal/>
    </border>
    <border>
      <left/>
      <right style="thick">
        <color indexed="1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12"/>
      </right>
      <top style="thin">
        <color indexed="64"/>
      </top>
      <bottom style="thin">
        <color indexed="64"/>
      </bottom>
      <diagonal/>
    </border>
    <border>
      <left style="thick">
        <color indexed="12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12"/>
      </right>
      <top/>
      <bottom style="thin">
        <color indexed="64"/>
      </bottom>
      <diagonal/>
    </border>
    <border>
      <left style="thick">
        <color indexed="12"/>
      </left>
      <right/>
      <top style="double">
        <color indexed="64"/>
      </top>
      <bottom/>
      <diagonal/>
    </border>
    <border>
      <left/>
      <right style="thick">
        <color indexed="12"/>
      </right>
      <top style="double">
        <color indexed="64"/>
      </top>
      <bottom/>
      <diagonal/>
    </border>
    <border>
      <left/>
      <right style="thick">
        <color indexed="12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ck">
        <color indexed="12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ck">
        <color indexed="17"/>
      </left>
      <right/>
      <top/>
      <bottom/>
      <diagonal/>
    </border>
    <border>
      <left/>
      <right style="thick">
        <color indexed="17"/>
      </right>
      <top/>
      <bottom/>
      <diagonal/>
    </border>
    <border>
      <left style="thick">
        <color indexed="17"/>
      </left>
      <right/>
      <top style="double">
        <color indexed="64"/>
      </top>
      <bottom/>
      <diagonal/>
    </border>
    <border>
      <left/>
      <right style="thick">
        <color indexed="17"/>
      </right>
      <top style="double">
        <color indexed="64"/>
      </top>
      <bottom/>
      <diagonal/>
    </border>
    <border>
      <left style="thick">
        <color indexed="17"/>
      </left>
      <right/>
      <top/>
      <bottom style="double">
        <color indexed="64"/>
      </bottom>
      <diagonal/>
    </border>
    <border>
      <left/>
      <right style="thick">
        <color indexed="17"/>
      </right>
      <top/>
      <bottom style="double">
        <color indexed="64"/>
      </bottom>
      <diagonal/>
    </border>
    <border>
      <left/>
      <right/>
      <top/>
      <bottom style="thick">
        <color indexed="17"/>
      </bottom>
      <diagonal/>
    </border>
    <border>
      <left/>
      <right style="double">
        <color indexed="64"/>
      </right>
      <top style="thin">
        <color indexed="64"/>
      </top>
      <bottom style="thick">
        <color indexed="17"/>
      </bottom>
      <diagonal/>
    </border>
    <border>
      <left/>
      <right style="thick">
        <color indexed="17"/>
      </right>
      <top/>
      <bottom style="thick">
        <color indexed="17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20"/>
      </top>
      <bottom/>
      <diagonal/>
    </border>
    <border>
      <left/>
      <right/>
      <top style="thin">
        <color indexed="20"/>
      </top>
      <bottom/>
      <diagonal/>
    </border>
    <border>
      <left/>
      <right/>
      <top style="thin">
        <color indexed="20"/>
      </top>
      <bottom style="medium">
        <color indexed="12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/>
      <right/>
      <top style="thin">
        <color indexed="16"/>
      </top>
      <bottom/>
      <diagonal/>
    </border>
    <border>
      <left/>
      <right style="thin">
        <color indexed="16"/>
      </right>
      <top style="thin">
        <color indexed="16"/>
      </top>
      <bottom/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/>
      <right/>
      <top style="thin">
        <color indexed="64"/>
      </top>
      <bottom style="thick">
        <color indexed="17"/>
      </bottom>
      <diagonal/>
    </border>
    <border>
      <left style="thick">
        <color indexed="17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20"/>
      </top>
      <bottom style="thin">
        <color indexed="20"/>
      </bottom>
      <diagonal/>
    </border>
    <border>
      <left style="thick">
        <color indexed="17"/>
      </left>
      <right/>
      <top style="thin">
        <color indexed="64"/>
      </top>
      <bottom style="thick">
        <color indexed="17"/>
      </bottom>
      <diagonal/>
    </border>
    <border>
      <left style="thin">
        <color indexed="64"/>
      </left>
      <right/>
      <top/>
      <bottom style="thin">
        <color indexed="20"/>
      </bottom>
      <diagonal/>
    </border>
    <border>
      <left/>
      <right/>
      <top/>
      <bottom style="thin">
        <color indexed="20"/>
      </bottom>
      <diagonal/>
    </border>
    <border>
      <left/>
      <right style="thick">
        <color indexed="17"/>
      </right>
      <top/>
      <bottom style="thin">
        <color indexed="20"/>
      </bottom>
      <diagonal/>
    </border>
    <border>
      <left style="thick">
        <color indexed="17"/>
      </left>
      <right/>
      <top/>
      <bottom style="thin">
        <color indexed="64"/>
      </bottom>
      <diagonal/>
    </border>
    <border>
      <left style="thick">
        <color indexed="17"/>
      </left>
      <right/>
      <top style="thick">
        <color indexed="17"/>
      </top>
      <bottom/>
      <diagonal/>
    </border>
    <border>
      <left/>
      <right/>
      <top style="thick">
        <color indexed="17"/>
      </top>
      <bottom/>
      <diagonal/>
    </border>
    <border>
      <left/>
      <right style="thick">
        <color indexed="17"/>
      </right>
      <top style="thick">
        <color indexed="17"/>
      </top>
      <bottom/>
      <diagonal/>
    </border>
    <border>
      <left style="thin">
        <color indexed="16"/>
      </left>
      <right/>
      <top/>
      <bottom/>
      <diagonal/>
    </border>
    <border>
      <left/>
      <right style="thin">
        <color indexed="16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12"/>
      </left>
      <right/>
      <top style="thin">
        <color indexed="64"/>
      </top>
      <bottom style="thin">
        <color indexed="64"/>
      </bottom>
      <diagonal/>
    </border>
    <border>
      <left style="thick">
        <color indexed="12"/>
      </left>
      <right/>
      <top/>
      <bottom style="thick">
        <color indexed="12"/>
      </bottom>
      <diagonal/>
    </border>
    <border>
      <left/>
      <right/>
      <top style="thin">
        <color indexed="64"/>
      </top>
      <bottom style="thick">
        <color indexed="12"/>
      </bottom>
      <diagonal/>
    </border>
    <border>
      <left/>
      <right style="double">
        <color indexed="64"/>
      </right>
      <top style="thin">
        <color indexed="64"/>
      </top>
      <bottom style="thick">
        <color indexed="12"/>
      </bottom>
      <diagonal/>
    </border>
    <border>
      <left style="double">
        <color indexed="64"/>
      </left>
      <right/>
      <top/>
      <bottom style="thick">
        <color indexed="12"/>
      </bottom>
      <diagonal/>
    </border>
    <border>
      <left/>
      <right style="thick">
        <color indexed="12"/>
      </right>
      <top/>
      <bottom style="thick">
        <color indexed="12"/>
      </bottom>
      <diagonal/>
    </border>
  </borders>
  <cellStyleXfs count="10">
    <xf numFmtId="0" fontId="0" fillId="0" borderId="0"/>
    <xf numFmtId="172" fontId="2" fillId="0" borderId="0"/>
    <xf numFmtId="37" fontId="7" fillId="0" borderId="0"/>
    <xf numFmtId="0" fontId="3" fillId="0" borderId="0"/>
    <xf numFmtId="0" fontId="3" fillId="0" borderId="0" applyNumberFormat="0" applyFont="0" applyFill="0" applyBorder="0" applyAlignment="0" applyProtection="0">
      <alignment horizontal="left"/>
    </xf>
    <xf numFmtId="15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0" fontId="8" fillId="0" borderId="1">
      <alignment horizontal="center"/>
    </xf>
    <xf numFmtId="3" fontId="3" fillId="0" borderId="0" applyFont="0" applyFill="0" applyBorder="0" applyAlignment="0" applyProtection="0"/>
    <xf numFmtId="0" fontId="3" fillId="2" borderId="0" applyNumberFormat="0" applyFont="0" applyBorder="0" applyAlignment="0" applyProtection="0"/>
  </cellStyleXfs>
  <cellXfs count="500">
    <xf numFmtId="0" fontId="0" fillId="0" borderId="0" xfId="0"/>
    <xf numFmtId="0" fontId="10" fillId="0" borderId="0" xfId="0" quotePrefix="1" applyFont="1" applyBorder="1" applyAlignment="1">
      <alignment horizontal="left" vertical="center"/>
    </xf>
    <xf numFmtId="0" fontId="11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11" fillId="3" borderId="0" xfId="0" quotePrefix="1" applyFont="1" applyFill="1" applyBorder="1" applyAlignment="1">
      <alignment horizontal="left" vertical="center"/>
    </xf>
    <xf numFmtId="0" fontId="9" fillId="0" borderId="0" xfId="0" applyFont="1" applyBorder="1" applyAlignment="1">
      <alignment vertical="center" wrapText="1"/>
    </xf>
    <xf numFmtId="0" fontId="13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2" xfId="0" quotePrefix="1" applyBorder="1" applyAlignment="1">
      <alignment horizontal="left" vertical="center" wrapText="1"/>
    </xf>
    <xf numFmtId="0" fontId="0" fillId="0" borderId="0" xfId="0" quotePrefix="1" applyBorder="1" applyAlignment="1">
      <alignment horizontal="left" vertical="center"/>
    </xf>
    <xf numFmtId="0" fontId="16" fillId="0" borderId="3" xfId="0" quotePrefix="1" applyFont="1" applyBorder="1" applyAlignment="1">
      <alignment horizontal="center" vertical="center"/>
    </xf>
    <xf numFmtId="0" fontId="13" fillId="0" borderId="4" xfId="0" quotePrefix="1" applyFont="1" applyFill="1" applyBorder="1" applyAlignment="1">
      <alignment horizontal="left" vertical="center" wrapText="1"/>
    </xf>
    <xf numFmtId="0" fontId="0" fillId="0" borderId="0" xfId="0" quotePrefix="1" applyBorder="1" applyAlignment="1">
      <alignment horizontal="left" vertical="center" wrapText="1"/>
    </xf>
    <xf numFmtId="0" fontId="16" fillId="0" borderId="0" xfId="0" quotePrefix="1" applyFont="1" applyBorder="1" applyAlignment="1">
      <alignment horizontal="center" vertical="center"/>
    </xf>
    <xf numFmtId="0" fontId="13" fillId="0" borderId="0" xfId="0" quotePrefix="1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0" fillId="0" borderId="4" xfId="0" quotePrefix="1" applyBorder="1" applyAlignment="1">
      <alignment horizontal="left" vertical="center" wrapText="1"/>
    </xf>
    <xf numFmtId="0" fontId="0" fillId="0" borderId="5" xfId="0" quotePrefix="1" applyBorder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  <xf numFmtId="0" fontId="13" fillId="0" borderId="0" xfId="0" quotePrefix="1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quotePrefix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172" fontId="4" fillId="0" borderId="0" xfId="1" quotePrefix="1" applyNumberFormat="1" applyFont="1" applyBorder="1" applyAlignment="1" applyProtection="1">
      <alignment horizontal="center" vertical="center"/>
    </xf>
    <xf numFmtId="0" fontId="14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quotePrefix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19" fillId="0" borderId="8" xfId="0" quotePrefix="1" applyFont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16" fillId="0" borderId="9" xfId="0" quotePrefix="1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0" fillId="0" borderId="11" xfId="0" quotePrefix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/>
    </xf>
    <xf numFmtId="0" fontId="0" fillId="0" borderId="13" xfId="0" quotePrefix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3" fillId="0" borderId="10" xfId="0" quotePrefix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9" fillId="0" borderId="7" xfId="0" quotePrefix="1" applyFont="1" applyBorder="1" applyAlignment="1">
      <alignment horizontal="left" vertical="center"/>
    </xf>
    <xf numFmtId="0" fontId="20" fillId="0" borderId="8" xfId="0" quotePrefix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0" fillId="0" borderId="9" xfId="0" quotePrefix="1" applyBorder="1" applyAlignment="1">
      <alignment horizontal="left" vertical="center"/>
    </xf>
    <xf numFmtId="0" fontId="16" fillId="0" borderId="10" xfId="0" quotePrefix="1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4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0" fontId="13" fillId="0" borderId="15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0" fillId="0" borderId="16" xfId="0" quotePrefix="1" applyBorder="1" applyAlignment="1">
      <alignment horizontal="left" vertical="center" wrapText="1"/>
    </xf>
    <xf numFmtId="0" fontId="13" fillId="0" borderId="17" xfId="0" quotePrefix="1" applyFont="1" applyBorder="1" applyAlignment="1">
      <alignment horizontal="left" vertical="center"/>
    </xf>
    <xf numFmtId="0" fontId="13" fillId="0" borderId="12" xfId="0" quotePrefix="1" applyFont="1" applyBorder="1" applyAlignment="1">
      <alignment horizontal="left" vertical="center"/>
    </xf>
    <xf numFmtId="0" fontId="16" fillId="0" borderId="12" xfId="0" quotePrefix="1" applyFont="1" applyBorder="1" applyAlignment="1">
      <alignment horizontal="center" vertical="center"/>
    </xf>
    <xf numFmtId="0" fontId="13" fillId="0" borderId="18" xfId="0" quotePrefix="1" applyFont="1" applyBorder="1" applyAlignment="1">
      <alignment horizontal="left" vertical="center" wrapText="1"/>
    </xf>
    <xf numFmtId="0" fontId="0" fillId="0" borderId="18" xfId="0" quotePrefix="1" applyBorder="1" applyAlignment="1">
      <alignment horizontal="left" vertical="center" wrapText="1"/>
    </xf>
    <xf numFmtId="0" fontId="13" fillId="0" borderId="19" xfId="0" quotePrefix="1" applyFont="1" applyBorder="1" applyAlignment="1">
      <alignment horizontal="left" vertical="center"/>
    </xf>
    <xf numFmtId="0" fontId="13" fillId="0" borderId="20" xfId="0" quotePrefix="1" applyFont="1" applyBorder="1" applyAlignment="1">
      <alignment horizontal="left" vertical="center"/>
    </xf>
    <xf numFmtId="0" fontId="16" fillId="0" borderId="20" xfId="0" quotePrefix="1" applyFont="1" applyBorder="1" applyAlignment="1">
      <alignment horizontal="center" vertical="center"/>
    </xf>
    <xf numFmtId="0" fontId="0" fillId="0" borderId="21" xfId="0" quotePrefix="1" applyBorder="1" applyAlignment="1">
      <alignment horizontal="left" vertical="center" wrapText="1"/>
    </xf>
    <xf numFmtId="0" fontId="24" fillId="0" borderId="22" xfId="0" quotePrefix="1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13" fillId="0" borderId="24" xfId="0" quotePrefix="1" applyFont="1" applyBorder="1" applyAlignment="1">
      <alignment horizontal="left" vertical="center" wrapText="1"/>
    </xf>
    <xf numFmtId="0" fontId="24" fillId="0" borderId="19" xfId="0" quotePrefix="1" applyFont="1" applyBorder="1" applyAlignment="1">
      <alignment horizontal="left" vertical="center"/>
    </xf>
    <xf numFmtId="0" fontId="23" fillId="0" borderId="20" xfId="0" quotePrefix="1" applyFont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0" fontId="13" fillId="0" borderId="21" xfId="0" quotePrefix="1" applyFont="1" applyBorder="1" applyAlignment="1">
      <alignment horizontal="left" vertical="center" wrapText="1"/>
    </xf>
    <xf numFmtId="0" fontId="13" fillId="0" borderId="25" xfId="0" quotePrefix="1" applyFont="1" applyBorder="1" applyAlignment="1">
      <alignment horizontal="left" vertical="center"/>
    </xf>
    <xf numFmtId="0" fontId="13" fillId="0" borderId="25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25" fillId="0" borderId="26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5" fillId="0" borderId="27" xfId="0" applyFont="1" applyBorder="1" applyAlignment="1">
      <alignment horizontal="center" vertical="center"/>
    </xf>
    <xf numFmtId="0" fontId="21" fillId="0" borderId="28" xfId="0" quotePrefix="1" applyFont="1" applyBorder="1" applyAlignment="1">
      <alignment horizontal="left" vertical="center" wrapText="1"/>
    </xf>
    <xf numFmtId="0" fontId="25" fillId="0" borderId="0" xfId="0" applyFont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21" fillId="0" borderId="0" xfId="0" quotePrefix="1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 vertical="center"/>
    </xf>
    <xf numFmtId="0" fontId="21" fillId="0" borderId="29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vertical="center"/>
    </xf>
    <xf numFmtId="0" fontId="13" fillId="0" borderId="12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26" fillId="0" borderId="29" xfId="0" applyFont="1" applyBorder="1" applyAlignment="1">
      <alignment horizontal="left" vertical="center" wrapText="1"/>
    </xf>
    <xf numFmtId="0" fontId="19" fillId="0" borderId="0" xfId="0" applyFont="1" applyBorder="1" applyAlignment="1">
      <alignment vertical="center"/>
    </xf>
    <xf numFmtId="0" fontId="22" fillId="0" borderId="11" xfId="0" quotePrefix="1" applyFont="1" applyBorder="1" applyAlignment="1">
      <alignment horizontal="left" vertical="center" wrapText="1"/>
    </xf>
    <xf numFmtId="0" fontId="22" fillId="0" borderId="13" xfId="0" quotePrefix="1" applyFont="1" applyBorder="1" applyAlignment="1">
      <alignment horizontal="left" vertical="center" wrapText="1"/>
    </xf>
    <xf numFmtId="0" fontId="22" fillId="0" borderId="13" xfId="0" applyFont="1" applyBorder="1" applyAlignment="1">
      <alignment vertical="center" wrapText="1"/>
    </xf>
    <xf numFmtId="0" fontId="22" fillId="0" borderId="13" xfId="0" applyFont="1" applyBorder="1" applyAlignment="1">
      <alignment horizontal="left" vertical="center" wrapText="1"/>
    </xf>
    <xf numFmtId="49" fontId="0" fillId="0" borderId="0" xfId="0" applyNumberFormat="1" applyAlignment="1"/>
    <xf numFmtId="49" fontId="0" fillId="0" borderId="0" xfId="0" quotePrefix="1" applyNumberFormat="1" applyAlignment="1">
      <alignment horizontal="left"/>
    </xf>
    <xf numFmtId="0" fontId="0" fillId="0" borderId="0" xfId="0" applyFill="1" applyBorder="1" applyAlignment="1">
      <alignment vertical="center" wrapText="1"/>
    </xf>
    <xf numFmtId="0" fontId="0" fillId="0" borderId="0" xfId="0" quotePrefix="1" applyFill="1" applyBorder="1" applyAlignment="1">
      <alignment horizontal="left" vertical="center" wrapText="1"/>
    </xf>
    <xf numFmtId="0" fontId="27" fillId="0" borderId="7" xfId="0" quotePrefix="1" applyFont="1" applyFill="1" applyBorder="1" applyAlignment="1">
      <alignment horizontal="left" vertical="center"/>
    </xf>
    <xf numFmtId="0" fontId="28" fillId="0" borderId="8" xfId="0" quotePrefix="1" applyFont="1" applyFill="1" applyBorder="1" applyAlignment="1">
      <alignment horizontal="left" vertical="center"/>
    </xf>
    <xf numFmtId="0" fontId="27" fillId="0" borderId="8" xfId="0" applyFont="1" applyFill="1" applyBorder="1" applyAlignment="1">
      <alignment horizontal="center" vertical="center"/>
    </xf>
    <xf numFmtId="0" fontId="29" fillId="0" borderId="29" xfId="0" quotePrefix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7" fillId="0" borderId="8" xfId="0" quotePrefix="1" applyFont="1" applyBorder="1" applyAlignment="1">
      <alignment horizontal="center" vertical="center"/>
    </xf>
    <xf numFmtId="0" fontId="30" fillId="0" borderId="29" xfId="0" quotePrefix="1" applyFont="1" applyBorder="1" applyAlignment="1">
      <alignment horizontal="left" vertical="center" wrapText="1"/>
    </xf>
    <xf numFmtId="0" fontId="29" fillId="0" borderId="29" xfId="0" quotePrefix="1" applyFont="1" applyBorder="1" applyAlignment="1">
      <alignment horizontal="left" vertical="center" wrapText="1"/>
    </xf>
    <xf numFmtId="0" fontId="27" fillId="0" borderId="22" xfId="0" quotePrefix="1" applyFont="1" applyBorder="1" applyAlignment="1">
      <alignment horizontal="left" vertical="center"/>
    </xf>
    <xf numFmtId="0" fontId="28" fillId="0" borderId="23" xfId="0" quotePrefix="1" applyFont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9" fillId="0" borderId="24" xfId="0" quotePrefix="1" applyFont="1" applyBorder="1" applyAlignment="1">
      <alignment horizontal="left" vertical="center" wrapText="1"/>
    </xf>
    <xf numFmtId="0" fontId="27" fillId="0" borderId="0" xfId="0" quotePrefix="1" applyFont="1" applyBorder="1" applyAlignment="1">
      <alignment horizontal="left" vertical="center"/>
    </xf>
    <xf numFmtId="0" fontId="8" fillId="0" borderId="1" xfId="7" applyAlignment="1">
      <alignment horizontal="center" wrapText="1"/>
    </xf>
    <xf numFmtId="0" fontId="3" fillId="0" borderId="0" xfId="4" applyAlignment="1"/>
    <xf numFmtId="0" fontId="34" fillId="0" borderId="0" xfId="0" applyFont="1" applyAlignment="1">
      <alignment vertical="center"/>
    </xf>
    <xf numFmtId="172" fontId="2" fillId="0" borderId="0" xfId="1" applyNumberFormat="1" applyFont="1" applyBorder="1" applyAlignment="1" applyProtection="1">
      <alignment vertical="center"/>
    </xf>
    <xf numFmtId="172" fontId="2" fillId="0" borderId="0" xfId="1" applyFont="1" applyAlignment="1">
      <alignment vertical="center"/>
    </xf>
    <xf numFmtId="172" fontId="2" fillId="0" borderId="0" xfId="1" applyNumberFormat="1" applyFont="1" applyBorder="1" applyAlignment="1" applyProtection="1">
      <alignment horizontal="left" vertical="center"/>
    </xf>
    <xf numFmtId="172" fontId="36" fillId="0" borderId="0" xfId="1" applyNumberFormat="1" applyFont="1" applyBorder="1" applyAlignment="1" applyProtection="1">
      <alignment horizontal="right" vertical="center"/>
    </xf>
    <xf numFmtId="172" fontId="2" fillId="0" borderId="0" xfId="1" applyFont="1" applyBorder="1" applyAlignment="1">
      <alignment vertical="center"/>
    </xf>
    <xf numFmtId="172" fontId="37" fillId="0" borderId="0" xfId="1" quotePrefix="1" applyNumberFormat="1" applyFont="1" applyBorder="1" applyAlignment="1" applyProtection="1">
      <alignment horizontal="right" vertical="center"/>
    </xf>
    <xf numFmtId="172" fontId="4" fillId="0" borderId="0" xfId="1" applyNumberFormat="1" applyFont="1" applyBorder="1" applyAlignment="1" applyProtection="1">
      <alignment horizontal="left" vertical="center"/>
      <protection locked="0"/>
    </xf>
    <xf numFmtId="172" fontId="4" fillId="3" borderId="0" xfId="1" applyNumberFormat="1" applyFont="1" applyFill="1" applyBorder="1" applyAlignment="1" applyProtection="1">
      <alignment horizontal="left" vertical="center"/>
      <protection locked="0"/>
    </xf>
    <xf numFmtId="172" fontId="2" fillId="3" borderId="0" xfId="1" applyNumberFormat="1" applyFont="1" applyFill="1" applyBorder="1" applyAlignment="1" applyProtection="1">
      <alignment horizontal="left" vertical="center"/>
    </xf>
    <xf numFmtId="172" fontId="2" fillId="3" borderId="0" xfId="1" applyNumberFormat="1" applyFont="1" applyFill="1" applyBorder="1" applyAlignment="1" applyProtection="1">
      <alignment vertical="center"/>
    </xf>
    <xf numFmtId="0" fontId="34" fillId="0" borderId="0" xfId="0" quotePrefix="1" applyFont="1" applyBorder="1" applyAlignment="1">
      <alignment horizontal="left" vertical="center"/>
    </xf>
    <xf numFmtId="0" fontId="34" fillId="0" borderId="0" xfId="0" applyFont="1" applyBorder="1" applyAlignment="1">
      <alignment vertical="center"/>
    </xf>
    <xf numFmtId="37" fontId="34" fillId="0" borderId="0" xfId="2" quotePrefix="1" applyFont="1" applyFill="1" applyBorder="1" applyAlignment="1" applyProtection="1">
      <alignment horizontal="left" vertical="center"/>
      <protection locked="0"/>
    </xf>
    <xf numFmtId="0" fontId="7" fillId="0" borderId="0" xfId="0" quotePrefix="1" applyFont="1" applyFill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7" fillId="3" borderId="0" xfId="0" quotePrefix="1" applyFont="1" applyFill="1" applyBorder="1" applyAlignment="1">
      <alignment horizontal="left" vertical="center"/>
    </xf>
    <xf numFmtId="0" fontId="34" fillId="3" borderId="0" xfId="0" applyFont="1" applyFill="1" applyBorder="1" applyAlignment="1">
      <alignment vertical="center"/>
    </xf>
    <xf numFmtId="37" fontId="34" fillId="3" borderId="0" xfId="2" quotePrefix="1" applyFont="1" applyFill="1" applyBorder="1" applyAlignment="1" applyProtection="1">
      <alignment horizontal="left" vertical="center"/>
      <protection locked="0"/>
    </xf>
    <xf numFmtId="0" fontId="34" fillId="3" borderId="0" xfId="0" quotePrefix="1" applyFont="1" applyFill="1" applyBorder="1" applyAlignment="1">
      <alignment horizontal="left" vertical="center"/>
    </xf>
    <xf numFmtId="0" fontId="35" fillId="0" borderId="0" xfId="0" quotePrefix="1" applyFont="1" applyBorder="1" applyAlignment="1">
      <alignment horizontal="left" vertical="center" wrapText="1"/>
    </xf>
    <xf numFmtId="0" fontId="39" fillId="0" borderId="0" xfId="0" applyFont="1" applyBorder="1" applyAlignment="1">
      <alignment horizontal="right" vertical="center"/>
    </xf>
    <xf numFmtId="0" fontId="39" fillId="0" borderId="30" xfId="0" applyFont="1" applyBorder="1" applyAlignment="1">
      <alignment horizontal="right" vertical="center"/>
    </xf>
    <xf numFmtId="0" fontId="39" fillId="0" borderId="0" xfId="0" applyFont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172" fontId="2" fillId="0" borderId="31" xfId="1" applyNumberFormat="1" applyFont="1" applyBorder="1" applyAlignment="1" applyProtection="1">
      <alignment vertical="center"/>
    </xf>
    <xf numFmtId="172" fontId="2" fillId="0" borderId="31" xfId="1" applyNumberFormat="1" applyFont="1" applyBorder="1" applyAlignment="1" applyProtection="1">
      <alignment horizontal="left" vertical="center"/>
    </xf>
    <xf numFmtId="172" fontId="2" fillId="0" borderId="32" xfId="1" applyNumberFormat="1" applyFont="1" applyBorder="1" applyAlignment="1" applyProtection="1">
      <alignment horizontal="centerContinuous" vertical="center"/>
    </xf>
    <xf numFmtId="172" fontId="2" fillId="0" borderId="0" xfId="1" applyNumberFormat="1" applyFont="1" applyBorder="1" applyAlignment="1" applyProtection="1">
      <alignment horizontal="centerContinuous" vertical="center"/>
    </xf>
    <xf numFmtId="172" fontId="6" fillId="0" borderId="33" xfId="1" applyNumberFormat="1" applyFont="1" applyBorder="1" applyAlignment="1" applyProtection="1">
      <alignment vertical="center" wrapText="1"/>
      <protection locked="0"/>
    </xf>
    <xf numFmtId="172" fontId="6" fillId="0" borderId="34" xfId="1" applyNumberFormat="1" applyFont="1" applyBorder="1" applyAlignment="1" applyProtection="1">
      <alignment vertical="center" wrapText="1"/>
      <protection locked="0"/>
    </xf>
    <xf numFmtId="172" fontId="2" fillId="0" borderId="33" xfId="1" applyNumberFormat="1" applyFont="1" applyBorder="1" applyAlignment="1" applyProtection="1">
      <alignment vertical="center"/>
    </xf>
    <xf numFmtId="172" fontId="2" fillId="0" borderId="33" xfId="1" applyFont="1" applyBorder="1" applyAlignment="1">
      <alignment vertical="center"/>
    </xf>
    <xf numFmtId="172" fontId="2" fillId="0" borderId="0" xfId="1" applyNumberFormat="1" applyFont="1" applyBorder="1" applyAlignment="1" applyProtection="1">
      <alignment horizontal="center" vertical="center"/>
    </xf>
    <xf numFmtId="172" fontId="2" fillId="0" borderId="32" xfId="1" applyNumberFormat="1" applyFont="1" applyBorder="1" applyAlignment="1" applyProtection="1">
      <alignment vertical="center"/>
    </xf>
    <xf numFmtId="172" fontId="2" fillId="0" borderId="12" xfId="1" applyNumberFormat="1" applyFont="1" applyBorder="1" applyAlignment="1" applyProtection="1">
      <alignment horizontal="center" vertical="center"/>
      <protection locked="0"/>
    </xf>
    <xf numFmtId="172" fontId="2" fillId="0" borderId="0" xfId="1" applyNumberFormat="1" applyFont="1" applyBorder="1" applyAlignment="1" applyProtection="1">
      <alignment vertical="center"/>
      <protection locked="0"/>
    </xf>
    <xf numFmtId="0" fontId="7" fillId="0" borderId="0" xfId="0" applyFont="1" applyFill="1" applyBorder="1" applyAlignment="1">
      <alignment vertical="center"/>
    </xf>
    <xf numFmtId="172" fontId="17" fillId="0" borderId="35" xfId="1" applyFont="1" applyBorder="1" applyAlignment="1">
      <alignment horizontal="center" vertical="center"/>
    </xf>
    <xf numFmtId="172" fontId="17" fillId="0" borderId="36" xfId="1" applyFont="1" applyBorder="1" applyAlignment="1">
      <alignment horizontal="center" vertical="center"/>
    </xf>
    <xf numFmtId="176" fontId="17" fillId="0" borderId="37" xfId="1" applyNumberFormat="1" applyFont="1" applyBorder="1" applyAlignment="1" applyProtection="1">
      <alignment horizontal="center" vertical="center"/>
      <protection locked="0"/>
    </xf>
    <xf numFmtId="172" fontId="2" fillId="0" borderId="38" xfId="1" applyNumberFormat="1" applyFont="1" applyBorder="1" applyAlignment="1" applyProtection="1">
      <alignment horizontal="center" vertical="center"/>
      <protection locked="0"/>
    </xf>
    <xf numFmtId="172" fontId="2" fillId="0" borderId="0" xfId="1" applyNumberFormat="1" applyFont="1" applyBorder="1" applyAlignment="1" applyProtection="1">
      <alignment horizontal="left" vertical="center"/>
      <protection locked="0"/>
    </xf>
    <xf numFmtId="172" fontId="2" fillId="0" borderId="0" xfId="1" applyFont="1" applyBorder="1" applyAlignment="1" applyProtection="1">
      <alignment vertical="center"/>
      <protection locked="0"/>
    </xf>
    <xf numFmtId="172" fontId="6" fillId="0" borderId="33" xfId="1" applyNumberFormat="1" applyFont="1" applyBorder="1" applyAlignment="1" applyProtection="1">
      <alignment vertical="center" wrapText="1"/>
    </xf>
    <xf numFmtId="172" fontId="2" fillId="0" borderId="0" xfId="1" quotePrefix="1" applyNumberFormat="1" applyFont="1" applyBorder="1" applyAlignment="1" applyProtection="1">
      <alignment horizontal="left" vertical="center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39" fillId="0" borderId="0" xfId="0" applyFont="1" applyBorder="1" applyAlignment="1">
      <alignment horizontal="left" vertical="center"/>
    </xf>
    <xf numFmtId="0" fontId="34" fillId="0" borderId="10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45" fillId="0" borderId="30" xfId="0" quotePrefix="1" applyFont="1" applyBorder="1" applyAlignment="1">
      <alignment horizontal="right" vertical="center"/>
    </xf>
    <xf numFmtId="0" fontId="45" fillId="0" borderId="0" xfId="0" quotePrefix="1" applyFont="1" applyBorder="1" applyAlignment="1">
      <alignment horizontal="right" vertical="center"/>
    </xf>
    <xf numFmtId="0" fontId="7" fillId="0" borderId="37" xfId="0" applyFont="1" applyBorder="1" applyAlignment="1" applyProtection="1">
      <alignment horizontal="center" vertical="center"/>
      <protection locked="0"/>
    </xf>
    <xf numFmtId="0" fontId="45" fillId="0" borderId="0" xfId="0" applyFont="1" applyBorder="1" applyAlignment="1"/>
    <xf numFmtId="0" fontId="47" fillId="0" borderId="0" xfId="0" quotePrefix="1" applyFont="1" applyFill="1" applyBorder="1" applyAlignment="1">
      <alignment horizontal="left" vertical="center"/>
    </xf>
    <xf numFmtId="0" fontId="45" fillId="0" borderId="40" xfId="0" quotePrefix="1" applyFont="1" applyBorder="1" applyAlignment="1">
      <alignment horizontal="right" vertical="center"/>
    </xf>
    <xf numFmtId="0" fontId="46" fillId="0" borderId="0" xfId="0" quotePrefix="1" applyFont="1" applyBorder="1" applyAlignment="1">
      <alignment horizontal="right" vertical="center"/>
    </xf>
    <xf numFmtId="172" fontId="48" fillId="0" borderId="0" xfId="1" quotePrefix="1" applyNumberFormat="1" applyFont="1" applyBorder="1" applyAlignment="1" applyProtection="1">
      <alignment horizontal="left" vertical="center"/>
    </xf>
    <xf numFmtId="172" fontId="37" fillId="0" borderId="0" xfId="1" quotePrefix="1" applyNumberFormat="1" applyFont="1" applyBorder="1" applyAlignment="1" applyProtection="1">
      <alignment horizontal="right" vertical="center"/>
      <protection locked="0"/>
    </xf>
    <xf numFmtId="0" fontId="44" fillId="0" borderId="0" xfId="0" quotePrefix="1" applyFont="1" applyBorder="1" applyAlignment="1" applyProtection="1">
      <alignment horizontal="right" vertical="center"/>
      <protection locked="0"/>
    </xf>
    <xf numFmtId="0" fontId="39" fillId="0" borderId="41" xfId="0" applyFont="1" applyBorder="1" applyAlignment="1" applyProtection="1">
      <alignment horizontal="center" vertical="center"/>
      <protection locked="0"/>
    </xf>
    <xf numFmtId="0" fontId="39" fillId="0" borderId="37" xfId="0" applyFont="1" applyBorder="1" applyAlignment="1" applyProtection="1">
      <alignment horizontal="center" vertical="center"/>
      <protection locked="0"/>
    </xf>
    <xf numFmtId="172" fontId="50" fillId="0" borderId="42" xfId="1" quotePrefix="1" applyNumberFormat="1" applyFont="1" applyBorder="1" applyAlignment="1" applyProtection="1">
      <alignment horizontal="left" vertical="center"/>
    </xf>
    <xf numFmtId="172" fontId="51" fillId="0" borderId="43" xfId="1" applyNumberFormat="1" applyFont="1" applyBorder="1" applyAlignment="1" applyProtection="1">
      <alignment horizontal="centerContinuous"/>
    </xf>
    <xf numFmtId="172" fontId="33" fillId="0" borderId="44" xfId="1" applyNumberFormat="1" applyFont="1" applyBorder="1" applyAlignment="1" applyProtection="1">
      <alignment horizontal="centerContinuous"/>
    </xf>
    <xf numFmtId="172" fontId="4" fillId="0" borderId="44" xfId="1" applyNumberFormat="1" applyFont="1" applyBorder="1" applyAlignment="1" applyProtection="1">
      <alignment horizontal="centerContinuous"/>
    </xf>
    <xf numFmtId="172" fontId="4" fillId="0" borderId="45" xfId="1" applyNumberFormat="1" applyFont="1" applyBorder="1" applyAlignment="1" applyProtection="1">
      <alignment horizontal="centerContinuous"/>
    </xf>
    <xf numFmtId="172" fontId="4" fillId="0" borderId="0" xfId="1" applyFont="1"/>
    <xf numFmtId="172" fontId="4" fillId="0" borderId="46" xfId="1" applyNumberFormat="1" applyFont="1" applyBorder="1" applyAlignment="1" applyProtection="1">
      <alignment horizontal="centerContinuous"/>
    </xf>
    <xf numFmtId="172" fontId="4" fillId="0" borderId="0" xfId="1" applyNumberFormat="1" applyFont="1" applyBorder="1" applyAlignment="1" applyProtection="1">
      <alignment horizontal="centerContinuous"/>
    </xf>
    <xf numFmtId="172" fontId="4" fillId="0" borderId="47" xfId="1" applyNumberFormat="1" applyFont="1" applyBorder="1" applyAlignment="1" applyProtection="1">
      <alignment horizontal="centerContinuous"/>
    </xf>
    <xf numFmtId="172" fontId="48" fillId="0" borderId="46" xfId="1" applyNumberFormat="1" applyFont="1" applyBorder="1" applyAlignment="1" applyProtection="1">
      <alignment horizontal="centerContinuous"/>
    </xf>
    <xf numFmtId="172" fontId="2" fillId="0" borderId="46" xfId="1" applyNumberFormat="1" applyFont="1" applyBorder="1" applyProtection="1"/>
    <xf numFmtId="172" fontId="2" fillId="0" borderId="0" xfId="1" applyNumberFormat="1" applyFont="1" applyBorder="1" applyProtection="1"/>
    <xf numFmtId="172" fontId="2" fillId="0" borderId="0" xfId="1" applyNumberFormat="1" applyFont="1" applyBorder="1" applyProtection="1">
      <protection locked="0"/>
    </xf>
    <xf numFmtId="172" fontId="2" fillId="0" borderId="47" xfId="1" applyNumberFormat="1" applyFont="1" applyBorder="1" applyProtection="1"/>
    <xf numFmtId="172" fontId="2" fillId="0" borderId="0" xfId="1" applyFont="1"/>
    <xf numFmtId="172" fontId="2" fillId="0" borderId="46" xfId="1" applyNumberFormat="1" applyFont="1" applyBorder="1" applyAlignment="1" applyProtection="1">
      <alignment horizontal="left"/>
    </xf>
    <xf numFmtId="172" fontId="2" fillId="0" borderId="0" xfId="1" applyNumberFormat="1" applyFont="1" applyBorder="1" applyAlignment="1" applyProtection="1">
      <alignment horizontal="left"/>
    </xf>
    <xf numFmtId="172" fontId="52" fillId="0" borderId="0" xfId="1" applyNumberFormat="1" applyFont="1" applyBorder="1" applyAlignment="1" applyProtection="1">
      <alignment horizontal="left"/>
    </xf>
    <xf numFmtId="172" fontId="53" fillId="0" borderId="0" xfId="1" applyNumberFormat="1" applyFont="1" applyBorder="1" applyAlignment="1" applyProtection="1">
      <alignment horizontal="left"/>
    </xf>
    <xf numFmtId="172" fontId="4" fillId="4" borderId="48" xfId="1" applyNumberFormat="1" applyFont="1" applyFill="1" applyBorder="1" applyAlignment="1" applyProtection="1">
      <alignment horizontal="centerContinuous"/>
    </xf>
    <xf numFmtId="172" fontId="2" fillId="4" borderId="12" xfId="1" applyNumberFormat="1" applyFont="1" applyFill="1" applyBorder="1" applyAlignment="1" applyProtection="1">
      <alignment horizontal="centerContinuous"/>
    </xf>
    <xf numFmtId="172" fontId="2" fillId="4" borderId="49" xfId="1" applyNumberFormat="1" applyFont="1" applyFill="1" applyBorder="1" applyAlignment="1" applyProtection="1">
      <alignment horizontal="centerContinuous"/>
    </xf>
    <xf numFmtId="172" fontId="2" fillId="0" borderId="0" xfId="1" applyNumberFormat="1" applyFont="1" applyBorder="1" applyAlignment="1" applyProtection="1">
      <alignment horizontal="center"/>
    </xf>
    <xf numFmtId="172" fontId="2" fillId="0" borderId="0" xfId="1" quotePrefix="1" applyNumberFormat="1" applyFont="1" applyBorder="1" applyAlignment="1" applyProtection="1">
      <alignment horizontal="center"/>
    </xf>
    <xf numFmtId="172" fontId="2" fillId="0" borderId="30" xfId="1" applyNumberFormat="1" applyFont="1" applyBorder="1" applyAlignment="1" applyProtection="1">
      <alignment horizontal="center"/>
    </xf>
    <xf numFmtId="172" fontId="2" fillId="0" borderId="47" xfId="1" applyNumberFormat="1" applyFont="1" applyBorder="1" applyAlignment="1" applyProtection="1">
      <alignment horizontal="center"/>
    </xf>
    <xf numFmtId="172" fontId="2" fillId="0" borderId="50" xfId="1" applyNumberFormat="1" applyFont="1" applyBorder="1" applyAlignment="1" applyProtection="1">
      <alignment horizontal="centerContinuous"/>
    </xf>
    <xf numFmtId="172" fontId="2" fillId="0" borderId="10" xfId="1" applyNumberFormat="1" applyFont="1" applyBorder="1" applyAlignment="1" applyProtection="1">
      <alignment horizontal="centerContinuous"/>
    </xf>
    <xf numFmtId="172" fontId="2" fillId="0" borderId="10" xfId="1" applyNumberFormat="1" applyFont="1" applyBorder="1" applyAlignment="1" applyProtection="1">
      <alignment horizontal="center"/>
    </xf>
    <xf numFmtId="172" fontId="2" fillId="0" borderId="10" xfId="1" applyNumberFormat="1" applyFont="1" applyBorder="1" applyAlignment="1" applyProtection="1">
      <alignment horizontal="left"/>
    </xf>
    <xf numFmtId="172" fontId="2" fillId="0" borderId="51" xfId="1" applyNumberFormat="1" applyFont="1" applyBorder="1" applyAlignment="1" applyProtection="1">
      <alignment horizontal="center"/>
    </xf>
    <xf numFmtId="172" fontId="2" fillId="0" borderId="52" xfId="1" applyNumberFormat="1" applyFont="1" applyBorder="1" applyAlignment="1" applyProtection="1">
      <alignment horizontal="center"/>
    </xf>
    <xf numFmtId="172" fontId="52" fillId="0" borderId="10" xfId="1" applyNumberFormat="1" applyFont="1" applyBorder="1" applyProtection="1">
      <protection locked="0"/>
    </xf>
    <xf numFmtId="172" fontId="52" fillId="0" borderId="0" xfId="1" applyNumberFormat="1" applyFont="1" applyBorder="1" applyProtection="1">
      <protection locked="0"/>
    </xf>
    <xf numFmtId="172" fontId="33" fillId="0" borderId="10" xfId="1" quotePrefix="1" applyFont="1" applyBorder="1" applyAlignment="1" applyProtection="1">
      <alignment horizontal="center"/>
      <protection locked="0"/>
    </xf>
    <xf numFmtId="172" fontId="33" fillId="0" borderId="10" xfId="1" quotePrefix="1" applyNumberFormat="1" applyFont="1" applyBorder="1" applyAlignment="1" applyProtection="1">
      <alignment horizontal="left"/>
      <protection locked="0"/>
    </xf>
    <xf numFmtId="172" fontId="52" fillId="0" borderId="10" xfId="1" applyNumberFormat="1" applyFont="1" applyBorder="1" applyAlignment="1" applyProtection="1">
      <alignment horizontal="center"/>
      <protection locked="0"/>
    </xf>
    <xf numFmtId="172" fontId="52" fillId="0" borderId="0" xfId="1" applyNumberFormat="1" applyFont="1" applyBorder="1" applyProtection="1"/>
    <xf numFmtId="172" fontId="52" fillId="0" borderId="51" xfId="1" applyFont="1" applyBorder="1" applyAlignment="1" applyProtection="1">
      <alignment horizontal="center"/>
      <protection locked="0"/>
    </xf>
    <xf numFmtId="172" fontId="52" fillId="0" borderId="52" xfId="1" applyFont="1" applyBorder="1" applyAlignment="1" applyProtection="1">
      <alignment horizontal="center"/>
      <protection locked="0"/>
    </xf>
    <xf numFmtId="172" fontId="52" fillId="0" borderId="0" xfId="1" applyFont="1"/>
    <xf numFmtId="174" fontId="2" fillId="0" borderId="50" xfId="1" applyNumberFormat="1" applyFont="1" applyBorder="1" applyAlignment="1" applyProtection="1">
      <alignment horizontal="left"/>
      <protection locked="0"/>
    </xf>
    <xf numFmtId="172" fontId="2" fillId="0" borderId="10" xfId="1" applyNumberFormat="1" applyFont="1" applyBorder="1" applyProtection="1">
      <protection locked="0"/>
    </xf>
    <xf numFmtId="172" fontId="55" fillId="0" borderId="10" xfId="1" quotePrefix="1" applyFont="1" applyBorder="1" applyAlignment="1" applyProtection="1">
      <alignment horizontal="left"/>
      <protection locked="0"/>
    </xf>
    <xf numFmtId="172" fontId="51" fillId="0" borderId="10" xfId="1" applyNumberFormat="1" applyFont="1" applyBorder="1" applyAlignment="1" applyProtection="1">
      <alignment horizontal="center"/>
      <protection locked="0"/>
    </xf>
    <xf numFmtId="172" fontId="52" fillId="0" borderId="51" xfId="1" quotePrefix="1" applyFont="1" applyBorder="1" applyAlignment="1" applyProtection="1">
      <alignment horizontal="center"/>
      <protection locked="0"/>
    </xf>
    <xf numFmtId="172" fontId="2" fillId="0" borderId="52" xfId="1" applyNumberFormat="1" applyFont="1" applyBorder="1" applyAlignment="1" applyProtection="1">
      <alignment horizontal="center"/>
      <protection locked="0"/>
    </xf>
    <xf numFmtId="172" fontId="55" fillId="0" borderId="10" xfId="1" applyFont="1" applyBorder="1" applyAlignment="1" applyProtection="1">
      <alignment horizontal="center"/>
      <protection locked="0"/>
    </xf>
    <xf numFmtId="172" fontId="56" fillId="0" borderId="10" xfId="1" quotePrefix="1" applyNumberFormat="1" applyFont="1" applyBorder="1" applyAlignment="1" applyProtection="1">
      <alignment horizontal="center"/>
      <protection locked="0"/>
    </xf>
    <xf numFmtId="172" fontId="56" fillId="0" borderId="10" xfId="1" applyNumberFormat="1" applyFont="1" applyBorder="1" applyAlignment="1" applyProtection="1">
      <alignment horizontal="center"/>
      <protection locked="0"/>
    </xf>
    <xf numFmtId="172" fontId="2" fillId="0" borderId="50" xfId="1" applyNumberFormat="1" applyFont="1" applyBorder="1" applyProtection="1">
      <protection locked="0"/>
    </xf>
    <xf numFmtId="172" fontId="2" fillId="0" borderId="10" xfId="1" applyNumberFormat="1" applyFont="1" applyBorder="1" applyAlignment="1" applyProtection="1">
      <alignment horizontal="center"/>
      <protection locked="0"/>
    </xf>
    <xf numFmtId="172" fontId="2" fillId="0" borderId="51" xfId="1" applyNumberFormat="1" applyFont="1" applyBorder="1" applyProtection="1">
      <protection locked="0"/>
    </xf>
    <xf numFmtId="172" fontId="2" fillId="0" borderId="52" xfId="1" applyNumberFormat="1" applyFont="1" applyBorder="1" applyProtection="1">
      <protection locked="0"/>
    </xf>
    <xf numFmtId="172" fontId="2" fillId="0" borderId="53" xfId="1" applyNumberFormat="1" applyFont="1" applyBorder="1" applyAlignment="1" applyProtection="1">
      <alignment horizontal="left"/>
    </xf>
    <xf numFmtId="172" fontId="2" fillId="0" borderId="31" xfId="1" applyNumberFormat="1" applyFont="1" applyBorder="1" applyProtection="1"/>
    <xf numFmtId="172" fontId="2" fillId="0" borderId="42" xfId="1" applyNumberFormat="1" applyFont="1" applyBorder="1" applyAlignment="1" applyProtection="1">
      <alignment horizontal="left"/>
    </xf>
    <xf numFmtId="172" fontId="2" fillId="0" borderId="31" xfId="1" quotePrefix="1" applyNumberFormat="1" applyFont="1" applyBorder="1" applyAlignment="1" applyProtection="1">
      <alignment horizontal="left"/>
    </xf>
    <xf numFmtId="172" fontId="2" fillId="0" borderId="31" xfId="1" applyNumberFormat="1" applyFont="1" applyBorder="1" applyAlignment="1" applyProtection="1"/>
    <xf numFmtId="172" fontId="2" fillId="0" borderId="54" xfId="1" applyNumberFormat="1" applyFont="1" applyBorder="1" applyProtection="1"/>
    <xf numFmtId="172" fontId="2" fillId="0" borderId="32" xfId="1" applyNumberFormat="1" applyFont="1" applyBorder="1" applyProtection="1"/>
    <xf numFmtId="172" fontId="2" fillId="0" borderId="10" xfId="1" applyNumberFormat="1" applyFont="1" applyBorder="1" applyProtection="1"/>
    <xf numFmtId="172" fontId="2" fillId="0" borderId="34" xfId="1" applyNumberFormat="1" applyFont="1" applyBorder="1" applyAlignment="1" applyProtection="1">
      <alignment horizontal="left"/>
    </xf>
    <xf numFmtId="172" fontId="2" fillId="0" borderId="33" xfId="1" applyNumberFormat="1" applyFont="1" applyBorder="1" applyProtection="1"/>
    <xf numFmtId="172" fontId="2" fillId="0" borderId="55" xfId="1" applyNumberFormat="1" applyFont="1" applyBorder="1" applyProtection="1"/>
    <xf numFmtId="172" fontId="2" fillId="0" borderId="31" xfId="1" applyNumberFormat="1" applyFont="1" applyBorder="1" applyAlignment="1" applyProtection="1">
      <alignment horizontal="center"/>
    </xf>
    <xf numFmtId="172" fontId="2" fillId="0" borderId="56" xfId="1" applyNumberFormat="1" applyFont="1" applyBorder="1" applyProtection="1"/>
    <xf numFmtId="172" fontId="2" fillId="0" borderId="32" xfId="1" applyNumberFormat="1" applyFont="1" applyBorder="1" applyAlignment="1" applyProtection="1">
      <alignment horizontal="left"/>
    </xf>
    <xf numFmtId="172" fontId="52" fillId="0" borderId="50" xfId="1" applyNumberFormat="1" applyFont="1" applyBorder="1" applyAlignment="1" applyProtection="1">
      <alignment horizontal="left"/>
      <protection locked="0"/>
    </xf>
    <xf numFmtId="172" fontId="52" fillId="0" borderId="0" xfId="1" applyNumberFormat="1" applyFont="1" applyBorder="1" applyAlignment="1" applyProtection="1">
      <alignment horizontal="center"/>
    </xf>
    <xf numFmtId="172" fontId="52" fillId="0" borderId="50" xfId="1" applyNumberFormat="1" applyFont="1" applyBorder="1" applyProtection="1">
      <protection locked="0"/>
    </xf>
    <xf numFmtId="172" fontId="2" fillId="0" borderId="57" xfId="1" applyNumberFormat="1" applyFont="1" applyBorder="1" applyProtection="1">
      <protection locked="0"/>
    </xf>
    <xf numFmtId="172" fontId="33" fillId="0" borderId="10" xfId="1" applyNumberFormat="1" applyFont="1" applyBorder="1" applyAlignment="1" applyProtection="1">
      <alignment horizontal="center"/>
      <protection locked="0"/>
    </xf>
    <xf numFmtId="0" fontId="3" fillId="0" borderId="0" xfId="3"/>
    <xf numFmtId="0" fontId="3" fillId="0" borderId="0" xfId="4" quotePrefix="1" applyAlignment="1"/>
    <xf numFmtId="0" fontId="9" fillId="0" borderId="0" xfId="0" applyFont="1" applyBorder="1" applyAlignment="1">
      <alignment horizontal="center"/>
    </xf>
    <xf numFmtId="37" fontId="9" fillId="0" borderId="0" xfId="2" applyFont="1" applyFill="1" applyBorder="1" applyAlignment="1" applyProtection="1">
      <alignment vertical="center"/>
      <protection locked="0"/>
    </xf>
    <xf numFmtId="0" fontId="9" fillId="0" borderId="0" xfId="0" applyFont="1" applyBorder="1"/>
    <xf numFmtId="0" fontId="0" fillId="0" borderId="0" xfId="0" applyBorder="1" applyAlignment="1">
      <alignment horizontal="center"/>
    </xf>
    <xf numFmtId="37" fontId="13" fillId="0" borderId="0" xfId="2" quotePrefix="1" applyFont="1" applyFill="1" applyBorder="1" applyAlignment="1" applyProtection="1">
      <alignment horizontal="left"/>
      <protection locked="0"/>
    </xf>
    <xf numFmtId="0" fontId="0" fillId="0" borderId="0" xfId="0" applyBorder="1"/>
    <xf numFmtId="0" fontId="0" fillId="0" borderId="0" xfId="0" quotePrefix="1" applyBorder="1" applyAlignment="1">
      <alignment horizontal="left"/>
    </xf>
    <xf numFmtId="49" fontId="13" fillId="0" borderId="0" xfId="0" applyNumberFormat="1" applyFont="1" applyFill="1" applyBorder="1" applyAlignment="1">
      <alignment horizontal="left"/>
    </xf>
    <xf numFmtId="0" fontId="13" fillId="0" borderId="0" xfId="0" applyFont="1" applyBorder="1"/>
    <xf numFmtId="178" fontId="0" fillId="0" borderId="0" xfId="0" quotePrefix="1" applyNumberFormat="1" applyFill="1" applyBorder="1" applyAlignment="1">
      <alignment horizontal="left"/>
    </xf>
    <xf numFmtId="1" fontId="13" fillId="0" borderId="0" xfId="2" quotePrefix="1" applyNumberFormat="1" applyFont="1" applyFill="1" applyBorder="1" applyAlignment="1" applyProtection="1">
      <alignment horizontal="left"/>
      <protection locked="0"/>
    </xf>
    <xf numFmtId="0" fontId="0" fillId="0" borderId="0" xfId="0" quotePrefix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37" fontId="1" fillId="0" borderId="0" xfId="2" quotePrefix="1" applyFont="1" applyBorder="1" applyAlignment="1" applyProtection="1">
      <protection locked="0"/>
    </xf>
    <xf numFmtId="37" fontId="1" fillId="0" borderId="0" xfId="2" quotePrefix="1" applyFont="1" applyBorder="1" applyAlignment="1" applyProtection="1">
      <alignment horizontal="left"/>
      <protection locked="0"/>
    </xf>
    <xf numFmtId="0" fontId="0" fillId="0" borderId="0" xfId="0" applyFill="1" applyBorder="1"/>
    <xf numFmtId="0" fontId="0" fillId="0" borderId="0" xfId="0" quotePrefix="1" applyFill="1" applyBorder="1" applyAlignment="1">
      <alignment horizontal="left"/>
    </xf>
    <xf numFmtId="37" fontId="13" fillId="0" borderId="0" xfId="2" applyFont="1" applyFill="1" applyBorder="1" applyProtection="1">
      <protection locked="0"/>
    </xf>
    <xf numFmtId="37" fontId="13" fillId="0" borderId="0" xfId="2" quotePrefix="1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>
      <alignment horizontal="left" vertical="center"/>
    </xf>
    <xf numFmtId="49" fontId="0" fillId="0" borderId="0" xfId="0" applyNumberFormat="1" applyFill="1" applyBorder="1" applyAlignment="1">
      <alignment horizontal="left"/>
    </xf>
    <xf numFmtId="0" fontId="0" fillId="0" borderId="5" xfId="0" applyBorder="1"/>
    <xf numFmtId="172" fontId="63" fillId="0" borderId="0" xfId="1" applyNumberFormat="1" applyFont="1" applyBorder="1" applyAlignment="1" applyProtection="1">
      <alignment vertical="center"/>
    </xf>
    <xf numFmtId="176" fontId="2" fillId="0" borderId="0" xfId="1" applyNumberFormat="1" applyFont="1" applyBorder="1" applyAlignment="1" applyProtection="1">
      <alignment horizontal="center" vertical="center"/>
    </xf>
    <xf numFmtId="37" fontId="13" fillId="0" borderId="0" xfId="2" applyFont="1" applyFill="1" applyBorder="1" applyAlignment="1" applyProtection="1">
      <alignment horizontal="left"/>
      <protection locked="0"/>
    </xf>
    <xf numFmtId="172" fontId="2" fillId="0" borderId="32" xfId="1" applyNumberFormat="1" applyFont="1" applyBorder="1" applyAlignment="1" applyProtection="1">
      <alignment vertical="center"/>
      <protection locked="0"/>
    </xf>
    <xf numFmtId="0" fontId="7" fillId="0" borderId="32" xfId="0" applyFont="1" applyFill="1" applyBorder="1" applyAlignment="1">
      <alignment vertical="center"/>
    </xf>
    <xf numFmtId="172" fontId="2" fillId="0" borderId="0" xfId="1" applyNumberFormat="1" applyFont="1" applyBorder="1" applyAlignment="1" applyProtection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172" fontId="2" fillId="0" borderId="0" xfId="1" applyNumberFormat="1" applyFont="1" applyBorder="1" applyAlignment="1" applyProtection="1">
      <alignment horizontal="right" vertical="center"/>
      <protection locked="0"/>
    </xf>
    <xf numFmtId="172" fontId="4" fillId="0" borderId="0" xfId="1" applyNumberFormat="1" applyFont="1" applyBorder="1" applyAlignment="1" applyProtection="1">
      <alignment vertical="center"/>
      <protection locked="0"/>
    </xf>
    <xf numFmtId="172" fontId="64" fillId="0" borderId="32" xfId="1" applyNumberFormat="1" applyFont="1" applyBorder="1" applyAlignment="1" applyProtection="1">
      <alignment horizontal="left" vertical="center"/>
    </xf>
    <xf numFmtId="172" fontId="2" fillId="0" borderId="58" xfId="1" applyNumberFormat="1" applyFont="1" applyBorder="1" applyAlignment="1" applyProtection="1">
      <alignment horizontal="center" vertical="center"/>
    </xf>
    <xf numFmtId="0" fontId="11" fillId="0" borderId="59" xfId="0" quotePrefix="1" applyFont="1" applyFill="1" applyBorder="1" applyAlignment="1">
      <alignment vertical="center"/>
    </xf>
    <xf numFmtId="0" fontId="3" fillId="0" borderId="0" xfId="4" quotePrefix="1" applyAlignment="1">
      <alignment horizontal="left"/>
    </xf>
    <xf numFmtId="0" fontId="66" fillId="0" borderId="0" xfId="4" quotePrefix="1" applyFont="1" applyAlignment="1">
      <alignment horizontal="left"/>
    </xf>
    <xf numFmtId="0" fontId="7" fillId="0" borderId="0" xfId="0" quotePrefix="1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2" xfId="0" quotePrefix="1" applyFont="1" applyFill="1" applyBorder="1" applyAlignment="1">
      <alignment horizontal="left" vertical="center" wrapText="1"/>
    </xf>
    <xf numFmtId="0" fontId="16" fillId="0" borderId="14" xfId="0" quotePrefix="1" applyFont="1" applyBorder="1" applyAlignment="1">
      <alignment horizontal="left" vertical="center"/>
    </xf>
    <xf numFmtId="0" fontId="70" fillId="0" borderId="14" xfId="0" quotePrefix="1" applyFont="1" applyBorder="1" applyAlignment="1">
      <alignment horizontal="left" vertical="center" wrapText="1"/>
    </xf>
    <xf numFmtId="0" fontId="16" fillId="0" borderId="6" xfId="0" quotePrefix="1" applyFont="1" applyBorder="1" applyAlignment="1">
      <alignment horizontal="left" vertical="center" wrapText="1"/>
    </xf>
    <xf numFmtId="0" fontId="69" fillId="0" borderId="5" xfId="0" quotePrefix="1" applyFont="1" applyBorder="1" applyAlignment="1">
      <alignment horizontal="left" vertical="center" wrapText="1"/>
    </xf>
    <xf numFmtId="0" fontId="70" fillId="0" borderId="5" xfId="0" quotePrefix="1" applyFont="1" applyBorder="1" applyAlignment="1">
      <alignment horizontal="left" vertical="center" wrapText="1"/>
    </xf>
    <xf numFmtId="172" fontId="2" fillId="0" borderId="60" xfId="1" applyNumberFormat="1" applyFont="1" applyBorder="1" applyAlignment="1" applyProtection="1">
      <alignment horizontal="center" vertical="center"/>
    </xf>
    <xf numFmtId="172" fontId="2" fillId="0" borderId="61" xfId="1" applyNumberFormat="1" applyFont="1" applyBorder="1" applyAlignment="1" applyProtection="1">
      <alignment horizontal="left" vertical="center"/>
    </xf>
    <xf numFmtId="172" fontId="2" fillId="0" borderId="62" xfId="1" applyNumberFormat="1" applyFont="1" applyBorder="1" applyAlignment="1" applyProtection="1">
      <alignment vertical="center"/>
      <protection locked="0"/>
    </xf>
    <xf numFmtId="172" fontId="2" fillId="0" borderId="61" xfId="1" applyNumberFormat="1" applyFont="1" applyBorder="1" applyAlignment="1" applyProtection="1">
      <alignment vertical="center"/>
    </xf>
    <xf numFmtId="172" fontId="2" fillId="0" borderId="62" xfId="1" applyNumberFormat="1" applyFont="1" applyBorder="1" applyAlignment="1" applyProtection="1">
      <alignment horizontal="left" vertical="center"/>
    </xf>
    <xf numFmtId="172" fontId="36" fillId="0" borderId="61" xfId="1" applyNumberFormat="1" applyFont="1" applyBorder="1" applyAlignment="1" applyProtection="1">
      <alignment horizontal="left" vertical="center"/>
    </xf>
    <xf numFmtId="172" fontId="2" fillId="0" borderId="62" xfId="1" applyNumberFormat="1" applyFont="1" applyBorder="1" applyAlignment="1" applyProtection="1">
      <alignment vertical="center"/>
    </xf>
    <xf numFmtId="172" fontId="2" fillId="0" borderId="61" xfId="1" applyFont="1" applyBorder="1" applyAlignment="1">
      <alignment vertical="center"/>
    </xf>
    <xf numFmtId="172" fontId="2" fillId="3" borderId="61" xfId="1" applyNumberFormat="1" applyFont="1" applyFill="1" applyBorder="1" applyAlignment="1" applyProtection="1">
      <alignment vertical="center"/>
    </xf>
    <xf numFmtId="172" fontId="2" fillId="3" borderId="62" xfId="1" applyNumberFormat="1" applyFont="1" applyFill="1" applyBorder="1" applyAlignment="1" applyProtection="1">
      <alignment vertical="center"/>
    </xf>
    <xf numFmtId="0" fontId="41" fillId="0" borderId="61" xfId="0" quotePrefix="1" applyFont="1" applyBorder="1" applyAlignment="1">
      <alignment horizontal="left" vertical="center"/>
    </xf>
    <xf numFmtId="0" fontId="41" fillId="0" borderId="61" xfId="0" quotePrefix="1" applyFont="1" applyBorder="1" applyAlignment="1">
      <alignment horizontal="center" vertical="center"/>
    </xf>
    <xf numFmtId="0" fontId="34" fillId="0" borderId="61" xfId="0" applyFont="1" applyBorder="1" applyAlignment="1">
      <alignment vertical="center"/>
    </xf>
    <xf numFmtId="0" fontId="34" fillId="0" borderId="62" xfId="0" applyFont="1" applyBorder="1" applyAlignment="1">
      <alignment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65" fillId="0" borderId="61" xfId="0" applyFont="1" applyBorder="1" applyAlignment="1">
      <alignment horizontal="center" vertical="center"/>
    </xf>
    <xf numFmtId="0" fontId="35" fillId="0" borderId="62" xfId="0" applyFont="1" applyBorder="1" applyAlignment="1">
      <alignment vertical="center" wrapText="1"/>
    </xf>
    <xf numFmtId="0" fontId="38" fillId="0" borderId="61" xfId="0" quotePrefix="1" applyFont="1" applyBorder="1" applyAlignment="1">
      <alignment horizontal="left" vertical="center"/>
    </xf>
    <xf numFmtId="172" fontId="2" fillId="0" borderId="63" xfId="1" applyNumberFormat="1" applyFont="1" applyBorder="1" applyAlignment="1" applyProtection="1">
      <alignment horizontal="left" vertical="center"/>
    </xf>
    <xf numFmtId="172" fontId="2" fillId="0" borderId="64" xfId="1" applyNumberFormat="1" applyFont="1" applyBorder="1" applyAlignment="1" applyProtection="1">
      <alignment vertical="center"/>
    </xf>
    <xf numFmtId="172" fontId="2" fillId="0" borderId="65" xfId="1" applyNumberFormat="1" applyFont="1" applyBorder="1" applyAlignment="1" applyProtection="1">
      <alignment vertical="center" wrapText="1"/>
    </xf>
    <xf numFmtId="172" fontId="2" fillId="0" borderId="66" xfId="1" applyFont="1" applyBorder="1" applyAlignment="1">
      <alignment vertical="center"/>
    </xf>
    <xf numFmtId="172" fontId="2" fillId="0" borderId="62" xfId="1" applyFont="1" applyBorder="1" applyAlignment="1">
      <alignment vertical="center"/>
    </xf>
    <xf numFmtId="172" fontId="40" fillId="0" borderId="61" xfId="1" applyNumberFormat="1" applyFont="1" applyBorder="1" applyAlignment="1" applyProtection="1">
      <alignment vertical="center"/>
    </xf>
    <xf numFmtId="172" fontId="4" fillId="0" borderId="0" xfId="1" applyFont="1" applyBorder="1" applyAlignment="1">
      <alignment vertical="center"/>
    </xf>
    <xf numFmtId="0" fontId="11" fillId="0" borderId="0" xfId="0" quotePrefix="1" applyFont="1" applyBorder="1" applyAlignment="1">
      <alignment horizontal="left"/>
    </xf>
    <xf numFmtId="0" fontId="0" fillId="0" borderId="0" xfId="0" applyBorder="1" applyAlignment="1">
      <alignment horizontal="right"/>
    </xf>
    <xf numFmtId="172" fontId="2" fillId="0" borderId="67" xfId="1" applyNumberFormat="1" applyFont="1" applyBorder="1" applyAlignment="1" applyProtection="1">
      <alignment horizontal="center" vertical="center"/>
    </xf>
    <xf numFmtId="172" fontId="2" fillId="0" borderId="68" xfId="1" applyNumberFormat="1" applyFont="1" applyBorder="1" applyAlignment="1" applyProtection="1">
      <alignment horizontal="center" vertical="center"/>
      <protection locked="0"/>
    </xf>
    <xf numFmtId="172" fontId="2" fillId="0" borderId="67" xfId="1" applyNumberFormat="1" applyFont="1" applyBorder="1" applyAlignment="1" applyProtection="1">
      <alignment vertical="center"/>
      <protection locked="0"/>
    </xf>
    <xf numFmtId="172" fontId="2" fillId="0" borderId="69" xfId="1" applyNumberFormat="1" applyFont="1" applyBorder="1" applyAlignment="1" applyProtection="1">
      <alignment vertical="center"/>
    </xf>
    <xf numFmtId="0" fontId="34" fillId="0" borderId="0" xfId="0" quotePrefix="1" applyFont="1" applyAlignment="1">
      <alignment horizontal="right" vertical="center"/>
    </xf>
    <xf numFmtId="0" fontId="0" fillId="0" borderId="70" xfId="0" applyBorder="1"/>
    <xf numFmtId="0" fontId="0" fillId="0" borderId="71" xfId="0" applyBorder="1"/>
    <xf numFmtId="172" fontId="2" fillId="0" borderId="10" xfId="1" applyNumberFormat="1" applyFont="1" applyBorder="1" applyAlignment="1" applyProtection="1">
      <alignment horizontal="center" vertical="center"/>
      <protection locked="0"/>
    </xf>
    <xf numFmtId="181" fontId="2" fillId="0" borderId="0" xfId="1" applyNumberFormat="1" applyFont="1" applyBorder="1" applyAlignment="1" applyProtection="1">
      <alignment horizontal="center" vertical="center"/>
      <protection hidden="1"/>
    </xf>
    <xf numFmtId="172" fontId="17" fillId="0" borderId="72" xfId="1" applyFont="1" applyBorder="1" applyAlignment="1">
      <alignment horizontal="center" vertical="center"/>
    </xf>
    <xf numFmtId="172" fontId="17" fillId="0" borderId="73" xfId="1" applyFont="1" applyBorder="1" applyAlignment="1">
      <alignment horizontal="center" vertical="center"/>
    </xf>
    <xf numFmtId="49" fontId="76" fillId="0" borderId="74" xfId="4" applyNumberFormat="1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17" fillId="0" borderId="75" xfId="0" applyFont="1" applyBorder="1" applyAlignment="1" applyProtection="1">
      <alignment vertical="center"/>
      <protection locked="0"/>
    </xf>
    <xf numFmtId="0" fontId="39" fillId="0" borderId="72" xfId="0" quotePrefix="1" applyFont="1" applyBorder="1" applyAlignment="1" applyProtection="1">
      <alignment horizontal="right" vertical="center"/>
      <protection locked="0"/>
    </xf>
    <xf numFmtId="9" fontId="34" fillId="0" borderId="37" xfId="0" applyNumberFormat="1" applyFont="1" applyBorder="1" applyAlignment="1" applyProtection="1">
      <alignment horizontal="center"/>
      <protection locked="0"/>
    </xf>
    <xf numFmtId="172" fontId="2" fillId="0" borderId="76" xfId="1" applyNumberFormat="1" applyFont="1" applyBorder="1" applyAlignment="1" applyProtection="1">
      <alignment vertical="center"/>
    </xf>
    <xf numFmtId="172" fontId="2" fillId="0" borderId="77" xfId="1" applyNumberFormat="1" applyFont="1" applyBorder="1" applyAlignment="1" applyProtection="1">
      <alignment vertical="center"/>
    </xf>
    <xf numFmtId="172" fontId="2" fillId="0" borderId="78" xfId="1" applyNumberFormat="1" applyFont="1" applyBorder="1" applyAlignment="1" applyProtection="1">
      <alignment vertical="center"/>
    </xf>
    <xf numFmtId="172" fontId="2" fillId="0" borderId="79" xfId="1" applyNumberFormat="1" applyFont="1" applyBorder="1" applyAlignment="1" applyProtection="1">
      <alignment vertical="center"/>
    </xf>
    <xf numFmtId="172" fontId="2" fillId="0" borderId="80" xfId="1" applyNumberFormat="1" applyFont="1" applyBorder="1" applyAlignment="1" applyProtection="1">
      <alignment vertical="center"/>
    </xf>
    <xf numFmtId="172" fontId="2" fillId="0" borderId="81" xfId="1" applyNumberFormat="1" applyFont="1" applyBorder="1" applyAlignment="1" applyProtection="1">
      <alignment vertical="center"/>
    </xf>
    <xf numFmtId="172" fontId="6" fillId="0" borderId="32" xfId="1" applyNumberFormat="1" applyFont="1" applyBorder="1" applyAlignment="1" applyProtection="1">
      <alignment horizontal="centerContinuous" vertical="center" wrapText="1"/>
    </xf>
    <xf numFmtId="172" fontId="2" fillId="0" borderId="32" xfId="1" applyNumberFormat="1" applyFont="1" applyBorder="1" applyAlignment="1" applyProtection="1">
      <alignment horizontal="right" vertical="center"/>
    </xf>
    <xf numFmtId="172" fontId="2" fillId="0" borderId="67" xfId="1" applyNumberFormat="1" applyFont="1" applyBorder="1" applyAlignment="1" applyProtection="1">
      <alignment vertical="center"/>
    </xf>
    <xf numFmtId="178" fontId="0" fillId="0" borderId="0" xfId="0" quotePrefix="1" applyNumberFormat="1" applyFill="1" applyAlignment="1">
      <alignment horizontal="left"/>
    </xf>
    <xf numFmtId="0" fontId="0" fillId="0" borderId="71" xfId="0" quotePrefix="1" applyBorder="1" applyAlignment="1">
      <alignment horizontal="left"/>
    </xf>
    <xf numFmtId="0" fontId="54" fillId="0" borderId="70" xfId="0" quotePrefix="1" pivotButton="1" applyFont="1" applyBorder="1" applyAlignment="1">
      <alignment horizontal="left"/>
    </xf>
    <xf numFmtId="194" fontId="7" fillId="0" borderId="0" xfId="0" quotePrefix="1" applyNumberFormat="1" applyFont="1" applyFill="1" applyBorder="1" applyAlignment="1">
      <alignment horizontal="left" vertical="center"/>
    </xf>
    <xf numFmtId="173" fontId="52" fillId="0" borderId="0" xfId="1" applyNumberFormat="1" applyFont="1" applyBorder="1" applyProtection="1"/>
    <xf numFmtId="175" fontId="52" fillId="0" borderId="0" xfId="1" applyNumberFormat="1" applyFont="1" applyBorder="1" applyProtection="1"/>
    <xf numFmtId="172" fontId="52" fillId="0" borderId="0" xfId="1" applyFont="1" applyBorder="1" applyProtection="1"/>
    <xf numFmtId="172" fontId="58" fillId="0" borderId="46" xfId="1" applyNumberFormat="1" applyFont="1" applyBorder="1" applyAlignment="1" applyProtection="1">
      <alignment horizontal="centerContinuous" vertical="center" wrapText="1"/>
    </xf>
    <xf numFmtId="172" fontId="59" fillId="0" borderId="0" xfId="1" applyNumberFormat="1" applyFont="1" applyBorder="1" applyAlignment="1" applyProtection="1">
      <alignment horizontal="centerContinuous" wrapText="1"/>
    </xf>
    <xf numFmtId="172" fontId="52" fillId="0" borderId="50" xfId="1" applyNumberFormat="1" applyFont="1" applyBorder="1" applyAlignment="1" applyProtection="1">
      <alignment horizontal="left"/>
    </xf>
    <xf numFmtId="172" fontId="2" fillId="0" borderId="0" xfId="1" applyNumberFormat="1" applyFont="1" applyBorder="1" applyAlignment="1" applyProtection="1">
      <alignment horizontal="center" vertical="center"/>
      <protection locked="0"/>
    </xf>
    <xf numFmtId="0" fontId="54" fillId="0" borderId="98" xfId="0" applyFont="1" applyBorder="1" applyAlignment="1" applyProtection="1">
      <alignment horizontal="left"/>
      <protection locked="0"/>
    </xf>
    <xf numFmtId="0" fontId="5" fillId="0" borderId="12" xfId="0" quotePrefix="1" applyFont="1" applyBorder="1" applyAlignment="1" applyProtection="1">
      <alignment horizontal="center"/>
      <protection locked="0"/>
    </xf>
    <xf numFmtId="0" fontId="54" fillId="0" borderId="50" xfId="0" quotePrefix="1" applyFont="1" applyBorder="1" applyAlignment="1" applyProtection="1">
      <alignment horizontal="left"/>
      <protection locked="0"/>
    </xf>
    <xf numFmtId="0" fontId="54" fillId="0" borderId="50" xfId="0" applyFont="1" applyBorder="1" applyAlignment="1" applyProtection="1">
      <alignment horizontal="left"/>
      <protection locked="0"/>
    </xf>
    <xf numFmtId="0" fontId="5" fillId="0" borderId="12" xfId="0" applyFont="1" applyBorder="1" applyAlignment="1" applyProtection="1">
      <alignment horizontal="center"/>
      <protection locked="0"/>
    </xf>
    <xf numFmtId="0" fontId="57" fillId="0" borderId="10" xfId="0" applyFont="1" applyBorder="1" applyAlignment="1" applyProtection="1">
      <alignment horizontal="center"/>
      <protection locked="0"/>
    </xf>
    <xf numFmtId="172" fontId="2" fillId="0" borderId="1" xfId="1" applyNumberFormat="1" applyFont="1" applyBorder="1" applyAlignment="1" applyProtection="1">
      <alignment horizontal="left"/>
    </xf>
    <xf numFmtId="172" fontId="2" fillId="0" borderId="1" xfId="1" applyNumberFormat="1" applyFont="1" applyBorder="1" applyProtection="1"/>
    <xf numFmtId="172" fontId="64" fillId="0" borderId="0" xfId="1" applyNumberFormat="1" applyFont="1" applyBorder="1" applyProtection="1"/>
    <xf numFmtId="172" fontId="2" fillId="0" borderId="0" xfId="1" applyFont="1" applyBorder="1"/>
    <xf numFmtId="172" fontId="50" fillId="0" borderId="0" xfId="1" quotePrefix="1" applyNumberFormat="1" applyFont="1" applyBorder="1" applyAlignment="1" applyProtection="1">
      <alignment horizontal="left" vertical="center"/>
    </xf>
    <xf numFmtId="172" fontId="6" fillId="0" borderId="0" xfId="1" applyNumberFormat="1" applyFont="1" applyBorder="1" applyAlignment="1" applyProtection="1">
      <alignment horizontal="centerContinuous" vertical="center" wrapText="1"/>
    </xf>
    <xf numFmtId="172" fontId="2" fillId="0" borderId="0" xfId="1" applyNumberFormat="1" applyFont="1" applyBorder="1" applyAlignment="1" applyProtection="1">
      <alignment vertical="center" wrapText="1"/>
    </xf>
    <xf numFmtId="172" fontId="6" fillId="0" borderId="0" xfId="1" applyNumberFormat="1" applyFont="1" applyBorder="1" applyAlignment="1" applyProtection="1">
      <alignment vertical="center" wrapText="1"/>
    </xf>
    <xf numFmtId="172" fontId="6" fillId="0" borderId="0" xfId="1" applyNumberFormat="1" applyFont="1" applyBorder="1" applyAlignment="1" applyProtection="1">
      <alignment vertical="center" wrapText="1"/>
      <protection locked="0"/>
    </xf>
    <xf numFmtId="172" fontId="64" fillId="0" borderId="0" xfId="1" applyNumberFormat="1" applyFont="1" applyBorder="1" applyAlignment="1" applyProtection="1">
      <alignment horizontal="left" vertical="center"/>
    </xf>
    <xf numFmtId="172" fontId="40" fillId="0" borderId="0" xfId="1" applyNumberFormat="1" applyFont="1" applyBorder="1" applyAlignment="1" applyProtection="1">
      <alignment vertical="center"/>
    </xf>
    <xf numFmtId="172" fontId="52" fillId="0" borderId="0" xfId="1" applyNumberFormat="1" applyFont="1" applyBorder="1" applyAlignment="1" applyProtection="1">
      <alignment horizontal="center"/>
      <protection locked="0"/>
    </xf>
    <xf numFmtId="172" fontId="52" fillId="0" borderId="99" xfId="1" applyNumberFormat="1" applyFont="1" applyBorder="1" applyProtection="1">
      <protection locked="0"/>
    </xf>
    <xf numFmtId="172" fontId="52" fillId="0" borderId="57" xfId="1" applyNumberFormat="1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right"/>
      <protection locked="0"/>
    </xf>
    <xf numFmtId="0" fontId="0" fillId="0" borderId="10" xfId="0" applyBorder="1" applyAlignment="1" applyProtection="1">
      <alignment horizontal="right"/>
      <protection locked="0"/>
    </xf>
    <xf numFmtId="172" fontId="2" fillId="0" borderId="12" xfId="1" applyNumberFormat="1" applyFont="1" applyBorder="1" applyProtection="1">
      <protection locked="0"/>
    </xf>
    <xf numFmtId="0" fontId="0" fillId="0" borderId="12" xfId="0" applyBorder="1" applyAlignment="1" applyProtection="1">
      <alignment horizontal="right"/>
      <protection locked="0"/>
    </xf>
    <xf numFmtId="172" fontId="2" fillId="0" borderId="49" xfId="1" applyNumberFormat="1" applyFont="1" applyBorder="1" applyProtection="1">
      <protection locked="0"/>
    </xf>
    <xf numFmtId="172" fontId="2" fillId="0" borderId="47" xfId="1" applyNumberFormat="1" applyFont="1" applyBorder="1" applyProtection="1">
      <protection locked="0"/>
    </xf>
    <xf numFmtId="172" fontId="2" fillId="0" borderId="32" xfId="1" applyNumberFormat="1" applyFont="1" applyBorder="1" applyAlignment="1" applyProtection="1">
      <alignment horizontal="left"/>
      <protection locked="0"/>
    </xf>
    <xf numFmtId="172" fontId="2" fillId="0" borderId="102" xfId="1" applyNumberFormat="1" applyFont="1" applyBorder="1" applyAlignment="1" applyProtection="1">
      <alignment vertical="center"/>
      <protection locked="0"/>
    </xf>
    <xf numFmtId="172" fontId="2" fillId="0" borderId="57" xfId="1" applyNumberFormat="1" applyFont="1" applyBorder="1" applyAlignment="1" applyProtection="1">
      <alignment vertical="center"/>
      <protection locked="0"/>
    </xf>
    <xf numFmtId="172" fontId="2" fillId="0" borderId="103" xfId="1" applyNumberFormat="1" applyFont="1" applyBorder="1" applyProtection="1">
      <protection locked="0"/>
    </xf>
    <xf numFmtId="176" fontId="11" fillId="0" borderId="37" xfId="0" applyNumberFormat="1" applyFont="1" applyBorder="1" applyAlignment="1" applyProtection="1">
      <alignment horizontal="center" vertical="center"/>
      <protection locked="0"/>
    </xf>
    <xf numFmtId="0" fontId="11" fillId="0" borderId="0" xfId="0" quotePrefix="1" applyFont="1" applyFill="1" applyBorder="1" applyAlignment="1">
      <alignment horizontal="left" vertical="center"/>
    </xf>
    <xf numFmtId="0" fontId="49" fillId="0" borderId="61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0" fontId="49" fillId="0" borderId="62" xfId="0" applyFont="1" applyFill="1" applyBorder="1" applyAlignment="1">
      <alignment horizontal="center" vertical="center"/>
    </xf>
    <xf numFmtId="172" fontId="4" fillId="0" borderId="37" xfId="1" applyNumberFormat="1" applyFont="1" applyBorder="1" applyAlignment="1" applyProtection="1">
      <alignment horizontal="center" vertical="center"/>
      <protection locked="0"/>
    </xf>
    <xf numFmtId="49" fontId="37" fillId="0" borderId="37" xfId="1" applyNumberFormat="1" applyFont="1" applyBorder="1" applyAlignment="1" applyProtection="1">
      <alignment horizontal="center" vertical="center"/>
      <protection locked="0"/>
    </xf>
    <xf numFmtId="49" fontId="37" fillId="0" borderId="37" xfId="1" quotePrefix="1" applyNumberFormat="1" applyFont="1" applyBorder="1" applyAlignment="1" applyProtection="1">
      <alignment horizontal="center" vertical="center"/>
      <protection locked="0"/>
    </xf>
    <xf numFmtId="49" fontId="2" fillId="0" borderId="37" xfId="1" applyNumberFormat="1" applyFont="1" applyBorder="1" applyAlignment="1" applyProtection="1">
      <alignment horizontal="center" vertical="center"/>
      <protection locked="0"/>
    </xf>
    <xf numFmtId="172" fontId="48" fillId="0" borderId="0" xfId="1" quotePrefix="1" applyNumberFormat="1" applyFont="1" applyBorder="1" applyAlignment="1" applyProtection="1">
      <alignment horizontal="right" vertical="center"/>
      <protection locked="0"/>
    </xf>
    <xf numFmtId="172" fontId="2" fillId="0" borderId="10" xfId="1" applyNumberFormat="1" applyFont="1" applyBorder="1" applyAlignment="1" applyProtection="1">
      <alignment horizontal="center" vertical="center"/>
      <protection locked="0"/>
    </xf>
    <xf numFmtId="172" fontId="2" fillId="0" borderId="10" xfId="1" applyNumberFormat="1" applyFont="1" applyBorder="1" applyAlignment="1" applyProtection="1">
      <alignment horizontal="center" vertical="center"/>
    </xf>
    <xf numFmtId="172" fontId="17" fillId="0" borderId="84" xfId="1" applyFont="1" applyBorder="1" applyAlignment="1" applyProtection="1">
      <alignment horizontal="center" vertical="center"/>
      <protection locked="0"/>
    </xf>
    <xf numFmtId="172" fontId="17" fillId="0" borderId="75" xfId="1" applyFont="1" applyBorder="1" applyAlignment="1" applyProtection="1">
      <alignment horizontal="center" vertical="center"/>
      <protection locked="0"/>
    </xf>
    <xf numFmtId="0" fontId="11" fillId="0" borderId="51" xfId="0" quotePrefix="1" applyFont="1" applyFill="1" applyBorder="1" applyAlignment="1">
      <alignment horizontal="right" vertical="center"/>
    </xf>
    <xf numFmtId="0" fontId="11" fillId="0" borderId="95" xfId="0" quotePrefix="1" applyFont="1" applyFill="1" applyBorder="1" applyAlignment="1">
      <alignment horizontal="right" vertical="center"/>
    </xf>
    <xf numFmtId="0" fontId="11" fillId="0" borderId="96" xfId="0" quotePrefix="1" applyFont="1" applyFill="1" applyBorder="1" applyAlignment="1">
      <alignment horizontal="left" vertical="center"/>
    </xf>
    <xf numFmtId="0" fontId="11" fillId="0" borderId="97" xfId="0" quotePrefix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59" xfId="0" applyFont="1" applyFill="1" applyBorder="1" applyAlignment="1">
      <alignment horizontal="left" vertical="center"/>
    </xf>
    <xf numFmtId="0" fontId="7" fillId="0" borderId="37" xfId="0" applyFont="1" applyBorder="1" applyAlignment="1" applyProtection="1">
      <alignment horizontal="center" vertical="center"/>
      <protection locked="0"/>
    </xf>
    <xf numFmtId="0" fontId="17" fillId="0" borderId="84" xfId="0" applyFont="1" applyBorder="1" applyAlignment="1" applyProtection="1">
      <alignment horizontal="center" vertical="center"/>
      <protection locked="0"/>
    </xf>
    <xf numFmtId="0" fontId="17" fillId="0" borderId="75" xfId="0" applyFont="1" applyBorder="1" applyAlignment="1" applyProtection="1">
      <alignment horizontal="center" vertical="center"/>
      <protection locked="0"/>
    </xf>
    <xf numFmtId="0" fontId="17" fillId="0" borderId="84" xfId="0" quotePrefix="1" applyFont="1" applyBorder="1" applyAlignment="1" applyProtection="1">
      <alignment horizontal="center" vertical="center"/>
    </xf>
    <xf numFmtId="0" fontId="17" fillId="0" borderId="75" xfId="0" quotePrefix="1" applyFont="1" applyBorder="1" applyAlignment="1" applyProtection="1">
      <alignment horizontal="center" vertical="center"/>
    </xf>
    <xf numFmtId="172" fontId="17" fillId="0" borderId="30" xfId="1" applyFont="1" applyBorder="1" applyAlignment="1" applyProtection="1">
      <alignment horizontal="center" vertical="center"/>
      <protection locked="0"/>
    </xf>
    <xf numFmtId="172" fontId="17" fillId="0" borderId="0" xfId="1" applyFont="1" applyBorder="1" applyAlignment="1" applyProtection="1">
      <alignment horizontal="center" vertical="center"/>
      <protection locked="0"/>
    </xf>
    <xf numFmtId="167" fontId="17" fillId="0" borderId="37" xfId="1" applyNumberFormat="1" applyFont="1" applyBorder="1" applyAlignment="1" applyProtection="1">
      <alignment horizontal="center" vertical="center"/>
      <protection locked="0"/>
    </xf>
    <xf numFmtId="172" fontId="61" fillId="0" borderId="37" xfId="1" applyFont="1" applyBorder="1" applyAlignment="1" applyProtection="1">
      <alignment horizontal="left" vertical="center"/>
    </xf>
    <xf numFmtId="0" fontId="35" fillId="0" borderId="90" xfId="0" quotePrefix="1" applyFont="1" applyFill="1" applyBorder="1" applyAlignment="1">
      <alignment horizontal="center" vertical="center"/>
    </xf>
    <xf numFmtId="0" fontId="35" fillId="0" borderId="91" xfId="0" quotePrefix="1" applyFont="1" applyFill="1" applyBorder="1" applyAlignment="1">
      <alignment horizontal="center" vertical="center"/>
    </xf>
    <xf numFmtId="0" fontId="35" fillId="0" borderId="92" xfId="0" quotePrefix="1" applyFont="1" applyFill="1" applyBorder="1" applyAlignment="1">
      <alignment horizontal="center" vertical="center"/>
    </xf>
    <xf numFmtId="177" fontId="18" fillId="0" borderId="86" xfId="1" quotePrefix="1" applyNumberFormat="1" applyFont="1" applyBorder="1" applyAlignment="1" applyProtection="1">
      <alignment horizontal="center" vertical="center"/>
      <protection locked="0"/>
    </xf>
    <xf numFmtId="177" fontId="18" fillId="0" borderId="87" xfId="1" applyNumberFormat="1" applyFont="1" applyBorder="1" applyAlignment="1" applyProtection="1">
      <alignment horizontal="center" vertical="center"/>
      <protection locked="0"/>
    </xf>
    <xf numFmtId="177" fontId="33" fillId="0" borderId="93" xfId="1" applyNumberFormat="1" applyFont="1" applyBorder="1" applyAlignment="1" applyProtection="1">
      <alignment horizontal="center" vertical="center"/>
    </xf>
    <xf numFmtId="177" fontId="33" fillId="0" borderId="0" xfId="1" applyNumberFormat="1" applyFont="1" applyBorder="1" applyAlignment="1" applyProtection="1">
      <alignment horizontal="center" vertical="center"/>
    </xf>
    <xf numFmtId="177" fontId="33" fillId="0" borderId="94" xfId="1" applyNumberFormat="1" applyFont="1" applyBorder="1" applyAlignment="1" applyProtection="1">
      <alignment horizontal="center" vertical="center"/>
    </xf>
    <xf numFmtId="172" fontId="2" fillId="0" borderId="85" xfId="1" applyNumberFormat="1" applyFont="1" applyBorder="1" applyAlignment="1" applyProtection="1">
      <alignment horizontal="center" vertical="center"/>
      <protection locked="0"/>
    </xf>
    <xf numFmtId="172" fontId="2" fillId="0" borderId="82" xfId="1" applyNumberFormat="1" applyFont="1" applyBorder="1" applyAlignment="1" applyProtection="1">
      <alignment horizontal="center" vertical="center"/>
      <protection locked="0"/>
    </xf>
    <xf numFmtId="172" fontId="2" fillId="0" borderId="89" xfId="1" applyNumberFormat="1" applyFont="1" applyBorder="1" applyAlignment="1" applyProtection="1">
      <alignment horizontal="center" vertical="center"/>
      <protection locked="0"/>
    </xf>
    <xf numFmtId="172" fontId="2" fillId="0" borderId="83" xfId="1" applyNumberFormat="1" applyFont="1" applyBorder="1" applyAlignment="1" applyProtection="1">
      <alignment horizontal="center" vertical="center"/>
      <protection locked="0"/>
    </xf>
    <xf numFmtId="172" fontId="2" fillId="0" borderId="12" xfId="1" applyNumberFormat="1" applyFont="1" applyBorder="1" applyAlignment="1" applyProtection="1">
      <alignment horizontal="center" vertical="center"/>
      <protection locked="0"/>
    </xf>
    <xf numFmtId="172" fontId="4" fillId="0" borderId="0" xfId="1" applyNumberFormat="1" applyFont="1" applyBorder="1" applyAlignment="1" applyProtection="1">
      <alignment horizontal="center" vertical="center"/>
    </xf>
    <xf numFmtId="172" fontId="4" fillId="0" borderId="32" xfId="1" applyNumberFormat="1" applyFont="1" applyBorder="1" applyAlignment="1" applyProtection="1">
      <alignment horizontal="center" vertical="center"/>
    </xf>
    <xf numFmtId="172" fontId="2" fillId="0" borderId="67" xfId="1" applyNumberFormat="1" applyFont="1" applyBorder="1" applyAlignment="1" applyProtection="1">
      <alignment horizontal="center" vertical="center"/>
    </xf>
    <xf numFmtId="172" fontId="2" fillId="0" borderId="89" xfId="1" quotePrefix="1" applyNumberFormat="1" applyFont="1" applyBorder="1" applyAlignment="1" applyProtection="1">
      <alignment horizontal="center" vertical="center"/>
    </xf>
    <xf numFmtId="0" fontId="45" fillId="0" borderId="0" xfId="0" quotePrefix="1" applyFont="1" applyBorder="1" applyAlignment="1">
      <alignment horizontal="right" vertical="center"/>
    </xf>
    <xf numFmtId="0" fontId="45" fillId="0" borderId="0" xfId="0" applyFont="1" applyBorder="1" applyAlignment="1">
      <alignment horizontal="right" vertical="center"/>
    </xf>
    <xf numFmtId="172" fontId="6" fillId="0" borderId="61" xfId="1" quotePrefix="1" applyNumberFormat="1" applyFont="1" applyBorder="1" applyAlignment="1" applyProtection="1">
      <alignment horizontal="center" vertical="center" wrapText="1"/>
      <protection locked="0"/>
    </xf>
    <xf numFmtId="172" fontId="6" fillId="0" borderId="0" xfId="1" applyNumberFormat="1" applyFont="1" applyBorder="1" applyAlignment="1" applyProtection="1">
      <alignment horizontal="center" vertical="center" wrapText="1"/>
      <protection locked="0"/>
    </xf>
    <xf numFmtId="0" fontId="34" fillId="0" borderId="58" xfId="0" applyFont="1" applyBorder="1" applyAlignment="1" applyProtection="1">
      <alignment vertical="center"/>
      <protection locked="0"/>
    </xf>
    <xf numFmtId="0" fontId="34" fillId="0" borderId="61" xfId="0" applyFont="1" applyBorder="1" applyAlignment="1" applyProtection="1">
      <alignment vertical="center"/>
      <protection locked="0"/>
    </xf>
    <xf numFmtId="0" fontId="34" fillId="0" borderId="0" xfId="0" applyFont="1" applyBorder="1" applyAlignment="1" applyProtection="1">
      <alignment vertical="center"/>
      <protection locked="0"/>
    </xf>
    <xf numFmtId="172" fontId="67" fillId="0" borderId="84" xfId="1" applyFont="1" applyBorder="1" applyAlignment="1" applyProtection="1">
      <alignment horizontal="center" vertical="center"/>
      <protection locked="0"/>
    </xf>
    <xf numFmtId="172" fontId="67" fillId="0" borderId="75" xfId="1" applyFont="1" applyBorder="1" applyAlignment="1" applyProtection="1">
      <alignment horizontal="center" vertical="center"/>
      <protection locked="0"/>
    </xf>
    <xf numFmtId="172" fontId="17" fillId="0" borderId="86" xfId="1" quotePrefix="1" applyFont="1" applyBorder="1" applyAlignment="1" applyProtection="1">
      <alignment horizontal="left" vertical="center"/>
      <protection locked="0"/>
    </xf>
    <xf numFmtId="172" fontId="17" fillId="0" borderId="87" xfId="1" quotePrefix="1" applyFont="1" applyBorder="1" applyAlignment="1" applyProtection="1">
      <alignment horizontal="left" vertical="center"/>
      <protection locked="0"/>
    </xf>
    <xf numFmtId="172" fontId="17" fillId="0" borderId="88" xfId="1" quotePrefix="1" applyFont="1" applyBorder="1" applyAlignment="1" applyProtection="1">
      <alignment horizontal="left" vertical="center"/>
      <protection locked="0"/>
    </xf>
    <xf numFmtId="0" fontId="11" fillId="0" borderId="0" xfId="0" applyFont="1" applyBorder="1" applyAlignment="1">
      <alignment horizontal="right" vertical="center"/>
    </xf>
    <xf numFmtId="0" fontId="7" fillId="0" borderId="84" xfId="0" quotePrefix="1" applyFont="1" applyBorder="1" applyAlignment="1" applyProtection="1">
      <alignment horizontal="center" vertical="center"/>
      <protection locked="0"/>
    </xf>
    <xf numFmtId="0" fontId="7" fillId="0" borderId="75" xfId="0" applyFont="1" applyBorder="1" applyAlignment="1" applyProtection="1">
      <alignment horizontal="center" vertical="center"/>
      <protection locked="0"/>
    </xf>
    <xf numFmtId="0" fontId="17" fillId="0" borderId="3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 vertical="center"/>
      <protection locked="0"/>
    </xf>
    <xf numFmtId="172" fontId="2" fillId="0" borderId="10" xfId="1" applyNumberFormat="1" applyFont="1" applyBorder="1" applyAlignment="1" applyProtection="1">
      <alignment horizontal="center"/>
      <protection locked="0"/>
    </xf>
    <xf numFmtId="172" fontId="4" fillId="0" borderId="0" xfId="1" applyNumberFormat="1" applyFont="1" applyBorder="1" applyAlignment="1" applyProtection="1">
      <alignment horizontal="left"/>
    </xf>
    <xf numFmtId="172" fontId="4" fillId="0" borderId="47" xfId="1" applyNumberFormat="1" applyFont="1" applyBorder="1" applyAlignment="1" applyProtection="1">
      <alignment horizontal="left"/>
    </xf>
    <xf numFmtId="172" fontId="4" fillId="0" borderId="0" xfId="1" applyNumberFormat="1" applyFont="1" applyBorder="1" applyAlignment="1" applyProtection="1">
      <alignment horizontal="center" vertical="center"/>
      <protection locked="0"/>
    </xf>
    <xf numFmtId="172" fontId="6" fillId="0" borderId="46" xfId="1" applyNumberFormat="1" applyFont="1" applyBorder="1" applyAlignment="1" applyProtection="1">
      <alignment horizontal="center"/>
      <protection locked="0"/>
    </xf>
    <xf numFmtId="172" fontId="6" fillId="0" borderId="0" xfId="1" applyNumberFormat="1" applyFont="1" applyBorder="1" applyAlignment="1" applyProtection="1">
      <alignment horizontal="center"/>
      <protection locked="0"/>
    </xf>
    <xf numFmtId="172" fontId="6" fillId="0" borderId="58" xfId="1" applyNumberFormat="1" applyFont="1" applyBorder="1" applyAlignment="1" applyProtection="1">
      <alignment horizontal="center"/>
      <protection locked="0"/>
    </xf>
    <xf numFmtId="172" fontId="2" fillId="0" borderId="1" xfId="1" applyNumberFormat="1" applyFont="1" applyBorder="1" applyAlignment="1" applyProtection="1">
      <alignment horizontal="center"/>
    </xf>
    <xf numFmtId="172" fontId="4" fillId="0" borderId="47" xfId="1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right"/>
      <protection locked="0"/>
    </xf>
    <xf numFmtId="172" fontId="2" fillId="0" borderId="32" xfId="1" applyNumberFormat="1" applyFont="1" applyBorder="1" applyAlignment="1" applyProtection="1">
      <alignment horizontal="right" vertical="center"/>
      <protection locked="0"/>
    </xf>
    <xf numFmtId="172" fontId="2" fillId="0" borderId="0" xfId="1" applyNumberFormat="1" applyFont="1" applyBorder="1" applyAlignment="1" applyProtection="1">
      <alignment horizontal="right" vertical="center"/>
      <protection locked="0"/>
    </xf>
    <xf numFmtId="172" fontId="52" fillId="0" borderId="12" xfId="1" applyNumberFormat="1" applyFont="1" applyBorder="1" applyAlignment="1" applyProtection="1">
      <alignment horizontal="center"/>
      <protection locked="0"/>
    </xf>
    <xf numFmtId="172" fontId="52" fillId="0" borderId="38" xfId="1" applyNumberFormat="1" applyFont="1" applyBorder="1" applyAlignment="1" applyProtection="1">
      <alignment horizontal="center"/>
      <protection locked="0"/>
    </xf>
    <xf numFmtId="172" fontId="4" fillId="0" borderId="0" xfId="1" applyNumberFormat="1" applyFont="1" applyBorder="1" applyAlignment="1" applyProtection="1">
      <alignment horizontal="right"/>
    </xf>
    <xf numFmtId="172" fontId="2" fillId="0" borderId="32" xfId="1" applyNumberFormat="1" applyFont="1" applyBorder="1" applyAlignment="1" applyProtection="1">
      <alignment horizontal="right"/>
      <protection locked="0"/>
    </xf>
    <xf numFmtId="172" fontId="2" fillId="0" borderId="0" xfId="1" applyNumberFormat="1" applyFont="1" applyBorder="1" applyAlignment="1" applyProtection="1">
      <alignment horizontal="right"/>
      <protection locked="0"/>
    </xf>
    <xf numFmtId="172" fontId="2" fillId="0" borderId="0" xfId="1" applyNumberFormat="1" applyFont="1" applyBorder="1" applyAlignment="1" applyProtection="1">
      <alignment horizontal="center" vertical="center"/>
    </xf>
    <xf numFmtId="172" fontId="2" fillId="0" borderId="0" xfId="1" applyNumberFormat="1" applyFont="1" applyBorder="1" applyAlignment="1" applyProtection="1">
      <alignment horizontal="center" vertical="center"/>
      <protection locked="0"/>
    </xf>
    <xf numFmtId="172" fontId="2" fillId="0" borderId="0" xfId="1" quotePrefix="1" applyNumberFormat="1" applyFont="1" applyBorder="1" applyAlignment="1" applyProtection="1">
      <alignment horizontal="center" vertical="center"/>
    </xf>
    <xf numFmtId="176" fontId="11" fillId="0" borderId="0" xfId="0" applyNumberFormat="1" applyFont="1" applyBorder="1" applyAlignment="1" applyProtection="1">
      <alignment horizontal="center" vertical="center"/>
      <protection locked="0"/>
    </xf>
    <xf numFmtId="172" fontId="6" fillId="0" borderId="0" xfId="1" quotePrefix="1" applyNumberFormat="1" applyFont="1" applyBorder="1" applyAlignment="1" applyProtection="1">
      <alignment horizontal="center" vertical="center" wrapText="1"/>
      <protection locked="0"/>
    </xf>
    <xf numFmtId="172" fontId="52" fillId="0" borderId="100" xfId="1" applyNumberFormat="1" applyFont="1" applyBorder="1" applyAlignment="1" applyProtection="1">
      <alignment horizontal="center"/>
      <protection locked="0"/>
    </xf>
    <xf numFmtId="172" fontId="52" fillId="0" borderId="101" xfId="1" applyNumberFormat="1" applyFont="1" applyBorder="1" applyAlignment="1" applyProtection="1">
      <alignment horizontal="center"/>
      <protection locked="0"/>
    </xf>
    <xf numFmtId="172" fontId="52" fillId="0" borderId="10" xfId="1" applyNumberFormat="1" applyFont="1" applyBorder="1" applyAlignment="1" applyProtection="1">
      <alignment horizontal="center"/>
    </xf>
    <xf numFmtId="172" fontId="52" fillId="0" borderId="60" xfId="1" applyNumberFormat="1" applyFont="1" applyBorder="1" applyAlignment="1" applyProtection="1">
      <alignment horizontal="center"/>
    </xf>
  </cellXfs>
  <cellStyles count="10">
    <cellStyle name="Normal" xfId="0" builtinId="0"/>
    <cellStyle name="Normal_10-2-96" xfId="1"/>
    <cellStyle name="Normal_97glbud3_97glbud3" xfId="2"/>
    <cellStyle name="Normal_DIV_DEP" xfId="3"/>
    <cellStyle name="PSChar" xfId="4"/>
    <cellStyle name="PSDate" xfId="5"/>
    <cellStyle name="PSDec" xfId="6"/>
    <cellStyle name="PSHeading" xfId="7"/>
    <cellStyle name="PSInt" xfId="8"/>
    <cellStyle name="PSSpacer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1758950</xdr:colOff>
      <xdr:row>65</xdr:row>
      <xdr:rowOff>152400</xdr:rowOff>
    </xdr:from>
    <xdr:to>
      <xdr:col>3</xdr:col>
      <xdr:colOff>5905500</xdr:colOff>
      <xdr:row>70</xdr:row>
      <xdr:rowOff>69850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BDBE0AAF-DFCF-4054-AA4C-A639ECFD39E6}"/>
            </a:ext>
          </a:extLst>
        </xdr:cNvPr>
        <xdr:cNvSpPr txBox="1">
          <a:spLocks noChangeArrowheads="1"/>
        </xdr:cNvSpPr>
      </xdr:nvSpPr>
      <xdr:spPr bwMode="auto">
        <a:xfrm>
          <a:off x="4940300" y="11582400"/>
          <a:ext cx="4146550" cy="742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68686"/>
                </a:outerShdw>
              </a:effectLst>
            </a14:hiddenEffects>
          </a:ext>
        </a:extLst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endParaRPr lang="en-GB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See Program / SubProgram worksheet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ublic\stuf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ARF/DOlooku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Forms/Close%20Fo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TXT\FILE\cubs\Den3cub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udora\attach\aquati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fic examples"/>
      <sheetName val="programs"/>
      <sheetName val="4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oseonly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n3"/>
      <sheetName val="Webelos"/>
      <sheetName val="meetings"/>
      <sheetName val="Harvest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uatics"/>
    </sheetNames>
    <sheetDataSet>
      <sheetData sheetId="0">
        <row r="1">
          <cell r="A1" t="str">
            <v>Cub Scouts</v>
          </cell>
        </row>
        <row r="2">
          <cell r="G2" t="str">
            <v>PIN</v>
          </cell>
          <cell r="M2" t="str">
            <v>S P O R T S  P I N</v>
          </cell>
        </row>
        <row r="3">
          <cell r="C3" t="str">
            <v>mandatory</v>
          </cell>
          <cell r="E3" t="str">
            <v>Do  three  of  Six</v>
          </cell>
          <cell r="M3">
            <v>1</v>
          </cell>
          <cell r="Q3">
            <v>2</v>
          </cell>
          <cell r="T3">
            <v>3</v>
          </cell>
          <cell r="U3">
            <v>4</v>
          </cell>
          <cell r="V3">
            <v>5</v>
          </cell>
        </row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 t="str">
            <v>8 Belt Loop</v>
          </cell>
          <cell r="M4" t="str">
            <v>2 of 4</v>
          </cell>
          <cell r="Q4" t="str">
            <v>2 fo 3</v>
          </cell>
        </row>
        <row r="5">
          <cell r="A5" t="str">
            <v>Last</v>
          </cell>
          <cell r="B5" t="str">
            <v>First</v>
          </cell>
          <cell r="C5" t="str">
            <v>100ft 50% backstroke</v>
          </cell>
          <cell r="D5" t="str">
            <v>float one minute</v>
          </cell>
          <cell r="E5" t="str">
            <v>Surface Dive</v>
          </cell>
          <cell r="F5" t="str">
            <v>50 Ft  Mask, fins,
snorkel</v>
          </cell>
          <cell r="G5" t="str">
            <v>Water Rescue
reaching, throwing, support</v>
          </cell>
          <cell r="H5" t="str">
            <v>Small boat Safety</v>
          </cell>
          <cell r="I5" t="str">
            <v>PFD 25 feet
Personal flotation Device</v>
          </cell>
          <cell r="J5" t="str">
            <v>Safety Rules</v>
          </cell>
          <cell r="K5" t="str">
            <v>Jump &amp; Swim 50 ft</v>
          </cell>
          <cell r="L5" t="str">
            <v>Float</v>
          </cell>
          <cell r="M5" t="str">
            <v>Sidestroke</v>
          </cell>
          <cell r="N5" t="str">
            <v>Breaststroke</v>
          </cell>
          <cell r="O5" t="str">
            <v>crawl</v>
          </cell>
          <cell r="P5" t="str">
            <v>backstroke</v>
          </cell>
          <cell r="Q5" t="str">
            <v>Jellyfish Float</v>
          </cell>
          <cell r="R5" t="str">
            <v>Turtle Float</v>
          </cell>
          <cell r="S5" t="str">
            <v>Canoe Float</v>
          </cell>
          <cell r="T5" t="str">
            <v>Tread water
30 seconds</v>
          </cell>
          <cell r="U5" t="str">
            <v>Water Game</v>
          </cell>
          <cell r="V5" t="str">
            <v>Swim Lessons</v>
          </cell>
        </row>
        <row r="6">
          <cell r="A6" t="str">
            <v>Brew</v>
          </cell>
          <cell r="B6" t="str">
            <v>Connor</v>
          </cell>
        </row>
        <row r="7">
          <cell r="A7" t="str">
            <v>Carter</v>
          </cell>
          <cell r="B7" t="str">
            <v>Reed</v>
          </cell>
        </row>
        <row r="8">
          <cell r="A8" t="str">
            <v>Economos</v>
          </cell>
          <cell r="B8" t="str">
            <v>Peter</v>
          </cell>
        </row>
        <row r="9">
          <cell r="A9" t="str">
            <v>Nielsen</v>
          </cell>
          <cell r="B9" t="str">
            <v>Mikkel</v>
          </cell>
        </row>
        <row r="10">
          <cell r="A10" t="str">
            <v>Slayton</v>
          </cell>
          <cell r="B10" t="str">
            <v>Christian</v>
          </cell>
        </row>
        <row r="11">
          <cell r="A11" t="str">
            <v>Stober</v>
          </cell>
          <cell r="B11" t="str">
            <v>Andrew</v>
          </cell>
        </row>
        <row r="12">
          <cell r="A12" t="str">
            <v>Yee</v>
          </cell>
          <cell r="B12" t="str">
            <v>Stuart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showGridLines="0" tabSelected="1" zoomScale="75" zoomScaleNormal="75" zoomScaleSheetLayoutView="75" workbookViewId="0">
      <selection activeCell="H5" sqref="H5:K5"/>
    </sheetView>
  </sheetViews>
  <sheetFormatPr defaultColWidth="8.81640625" defaultRowHeight="15.5" x14ac:dyDescent="0.25"/>
  <cols>
    <col min="1" max="1" width="8.54296875" style="134" customWidth="1"/>
    <col min="2" max="2" width="15.26953125" style="171" customWidth="1"/>
    <col min="3" max="3" width="15.1796875" style="171" customWidth="1"/>
    <col min="4" max="6" width="10.7265625" style="146" customWidth="1"/>
    <col min="7" max="7" width="11.81640625" style="134" customWidth="1"/>
    <col min="8" max="8" width="15.26953125" style="134" customWidth="1"/>
    <col min="9" max="11" width="10.7265625" style="134" customWidth="1"/>
    <col min="12" max="12" width="12.26953125" style="134" customWidth="1"/>
    <col min="13" max="16384" width="8.81640625" style="134"/>
  </cols>
  <sheetData>
    <row r="1" spans="1:12" ht="16" thickTop="1" x14ac:dyDescent="0.25">
      <c r="A1" s="440" t="s">
        <v>346</v>
      </c>
      <c r="B1" s="441"/>
      <c r="C1" s="441"/>
      <c r="D1" s="441"/>
      <c r="E1" s="441"/>
      <c r="F1" s="441"/>
      <c r="G1" s="441"/>
      <c r="H1" s="441"/>
      <c r="I1" s="441"/>
      <c r="J1" s="441"/>
      <c r="K1" s="441"/>
      <c r="L1" s="442"/>
    </row>
    <row r="2" spans="1:12" x14ac:dyDescent="0.25">
      <c r="A2" s="413" t="s">
        <v>365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5"/>
    </row>
    <row r="3" spans="1:12" s="136" customFormat="1" x14ac:dyDescent="0.25">
      <c r="A3" s="318" t="s">
        <v>0</v>
      </c>
      <c r="B3" s="422" t="s">
        <v>731</v>
      </c>
      <c r="C3" s="422"/>
      <c r="D3" s="295" t="s">
        <v>730</v>
      </c>
      <c r="E3" s="135"/>
      <c r="F3" s="135"/>
      <c r="G3" s="135"/>
      <c r="H3" s="135"/>
      <c r="I3" s="135"/>
      <c r="J3" s="135"/>
      <c r="K3" s="135"/>
      <c r="L3" s="319"/>
    </row>
    <row r="4" spans="1:12" s="136" customFormat="1" x14ac:dyDescent="0.25">
      <c r="A4" s="320"/>
      <c r="B4" s="135"/>
      <c r="C4" s="135"/>
      <c r="D4" s="135"/>
      <c r="E4" s="135"/>
      <c r="F4" s="135"/>
      <c r="G4" s="135"/>
      <c r="H4" s="361"/>
      <c r="I4" s="362"/>
      <c r="J4" s="362"/>
      <c r="K4" s="363"/>
      <c r="L4" s="319"/>
    </row>
    <row r="5" spans="1:12" s="136" customFormat="1" ht="20.5" x14ac:dyDescent="0.25">
      <c r="A5" s="318" t="s">
        <v>1</v>
      </c>
      <c r="B5" s="421"/>
      <c r="C5" s="421"/>
      <c r="D5" s="135"/>
      <c r="E5" s="135" t="s">
        <v>11</v>
      </c>
      <c r="F5" s="296">
        <f ca="1">NOW()</f>
        <v>43857.436028819444</v>
      </c>
      <c r="G5" s="353">
        <f ca="1">NOW()</f>
        <v>43857.436028819444</v>
      </c>
      <c r="H5" s="445" t="str">
        <f>IF($D$13=0," ",$D$13)</f>
        <v xml:space="preserve"> </v>
      </c>
      <c r="I5" s="446"/>
      <c r="J5" s="446"/>
      <c r="K5" s="447"/>
      <c r="L5" s="321"/>
    </row>
    <row r="6" spans="1:12" s="136" customFormat="1" x14ac:dyDescent="0.25">
      <c r="A6" s="318"/>
      <c r="B6" s="137"/>
      <c r="C6" s="135"/>
      <c r="D6" s="135"/>
      <c r="E6" s="135"/>
      <c r="F6" s="135"/>
      <c r="G6" s="135"/>
      <c r="H6" s="364"/>
      <c r="I6" s="365"/>
      <c r="J6" s="365"/>
      <c r="K6" s="366"/>
      <c r="L6" s="321"/>
    </row>
    <row r="7" spans="1:12" s="136" customFormat="1" x14ac:dyDescent="0.25">
      <c r="A7" s="322"/>
      <c r="B7" s="138"/>
      <c r="C7" s="135"/>
      <c r="D7" s="135"/>
      <c r="E7" s="135"/>
      <c r="F7" s="135"/>
      <c r="G7" s="135"/>
      <c r="H7" s="135"/>
      <c r="I7" s="135"/>
      <c r="J7" s="135"/>
      <c r="K7" s="135"/>
      <c r="L7" s="323"/>
    </row>
    <row r="8" spans="1:12" s="136" customFormat="1" ht="19" customHeight="1" thickBot="1" x14ac:dyDescent="0.3">
      <c r="A8" s="324"/>
      <c r="B8" s="138" t="s">
        <v>12</v>
      </c>
      <c r="C8" s="417"/>
      <c r="D8" s="418"/>
      <c r="E8" s="140"/>
      <c r="F8" s="193" t="s">
        <v>362</v>
      </c>
      <c r="G8" s="419"/>
      <c r="H8" s="419"/>
      <c r="I8" s="135"/>
      <c r="J8" s="135"/>
      <c r="K8" s="135"/>
      <c r="L8" s="319"/>
    </row>
    <row r="9" spans="1:12" s="136" customFormat="1" ht="14.5" customHeight="1" x14ac:dyDescent="0.25">
      <c r="A9" s="320"/>
      <c r="B9" s="33"/>
      <c r="C9" s="135"/>
      <c r="D9" s="135"/>
      <c r="E9" s="135"/>
      <c r="F9" s="135"/>
      <c r="G9" s="135"/>
      <c r="H9" s="135"/>
      <c r="I9" s="135"/>
      <c r="J9" s="135"/>
      <c r="K9" s="135"/>
      <c r="L9" s="323"/>
    </row>
    <row r="10" spans="1:12" s="136" customFormat="1" ht="16" thickBot="1" x14ac:dyDescent="0.3">
      <c r="A10" s="324"/>
      <c r="B10" s="140"/>
      <c r="C10" s="192"/>
      <c r="D10" s="420" t="s">
        <v>364</v>
      </c>
      <c r="E10" s="420"/>
      <c r="F10" s="420"/>
      <c r="G10" s="416"/>
      <c r="H10" s="416"/>
      <c r="I10" s="416"/>
      <c r="J10" s="416"/>
      <c r="K10" s="416"/>
      <c r="L10" s="323"/>
    </row>
    <row r="11" spans="1:12" s="136" customFormat="1" x14ac:dyDescent="0.25">
      <c r="A11" s="320"/>
      <c r="B11" s="141"/>
      <c r="C11" s="137"/>
      <c r="D11" s="135"/>
      <c r="E11" s="135"/>
      <c r="F11" s="135"/>
      <c r="G11" s="135"/>
      <c r="H11" s="135"/>
      <c r="I11" s="135"/>
      <c r="J11" s="135"/>
      <c r="K11" s="135"/>
      <c r="L11" s="323"/>
    </row>
    <row r="12" spans="1:12" s="136" customFormat="1" ht="4.9000000000000004" customHeight="1" x14ac:dyDescent="0.25">
      <c r="A12" s="325"/>
      <c r="B12" s="142"/>
      <c r="C12" s="143"/>
      <c r="D12" s="144"/>
      <c r="E12" s="144"/>
      <c r="F12" s="144"/>
      <c r="G12" s="144"/>
      <c r="H12" s="144"/>
      <c r="I12" s="144"/>
      <c r="J12" s="144"/>
      <c r="K12" s="144"/>
      <c r="L12" s="326"/>
    </row>
    <row r="13" spans="1:12" s="136" customFormat="1" ht="18" customHeight="1" x14ac:dyDescent="0.25">
      <c r="A13" s="327" t="s">
        <v>15</v>
      </c>
      <c r="B13" s="412" t="s">
        <v>16</v>
      </c>
      <c r="C13" s="412"/>
      <c r="D13" s="443"/>
      <c r="E13" s="444"/>
      <c r="F13" s="444"/>
      <c r="G13" s="444"/>
      <c r="H13" s="444"/>
      <c r="I13" s="179" t="s">
        <v>778</v>
      </c>
      <c r="J13" s="135"/>
      <c r="K13" s="135"/>
      <c r="L13" s="323"/>
    </row>
    <row r="14" spans="1:12" s="136" customFormat="1" ht="18" customHeight="1" x14ac:dyDescent="0.25">
      <c r="A14" s="328" t="s">
        <v>351</v>
      </c>
      <c r="B14" s="412" t="s">
        <v>95</v>
      </c>
      <c r="C14" s="412"/>
      <c r="D14" s="423"/>
      <c r="E14" s="424"/>
      <c r="F14" s="424"/>
      <c r="G14" s="424"/>
      <c r="H14" s="424"/>
      <c r="I14" s="179" t="s">
        <v>347</v>
      </c>
      <c r="J14" s="135"/>
      <c r="K14" s="135"/>
      <c r="L14" s="323"/>
    </row>
    <row r="15" spans="1:12" s="136" customFormat="1" ht="18" customHeight="1" x14ac:dyDescent="0.25">
      <c r="A15" s="329"/>
      <c r="B15" s="412" t="s">
        <v>17</v>
      </c>
      <c r="C15" s="412"/>
      <c r="D15" s="466"/>
      <c r="E15" s="467"/>
      <c r="F15" s="467"/>
      <c r="G15" s="467"/>
      <c r="H15" s="467"/>
      <c r="I15" s="467"/>
      <c r="J15" s="467"/>
      <c r="K15" s="467"/>
      <c r="L15" s="468"/>
    </row>
    <row r="16" spans="1:12" ht="18" customHeight="1" x14ac:dyDescent="0.25">
      <c r="A16" s="329"/>
      <c r="B16" s="412" t="s">
        <v>18</v>
      </c>
      <c r="C16" s="412"/>
      <c r="D16" s="423"/>
      <c r="E16" s="424"/>
      <c r="F16" s="424"/>
      <c r="G16" s="424"/>
      <c r="H16" s="424"/>
      <c r="I16" s="145" t="s">
        <v>19</v>
      </c>
      <c r="J16" s="146"/>
      <c r="K16" s="146"/>
      <c r="L16" s="330"/>
    </row>
    <row r="17" spans="1:12" ht="18" customHeight="1" x14ac:dyDescent="0.25">
      <c r="A17" s="329"/>
      <c r="B17" s="32" t="s">
        <v>762</v>
      </c>
      <c r="C17" s="2"/>
      <c r="D17" s="464"/>
      <c r="E17" s="465"/>
      <c r="F17" s="465"/>
      <c r="G17" s="465"/>
      <c r="H17" s="465"/>
      <c r="I17" s="145" t="s">
        <v>764</v>
      </c>
      <c r="J17" s="146"/>
      <c r="K17" s="146"/>
      <c r="L17" s="330"/>
    </row>
    <row r="18" spans="1:12" ht="18" customHeight="1" x14ac:dyDescent="0.25">
      <c r="A18" s="329"/>
      <c r="B18" s="429" t="s">
        <v>139</v>
      </c>
      <c r="C18" s="412"/>
      <c r="D18" s="423"/>
      <c r="E18" s="424"/>
      <c r="F18" s="424"/>
      <c r="G18" s="424"/>
      <c r="H18" s="424"/>
      <c r="I18" s="145" t="s">
        <v>829</v>
      </c>
      <c r="J18" s="146"/>
      <c r="K18" s="146"/>
      <c r="L18" s="330"/>
    </row>
    <row r="19" spans="1:12" ht="18" customHeight="1" x14ac:dyDescent="0.25">
      <c r="A19" s="329"/>
      <c r="B19" s="412" t="s">
        <v>20</v>
      </c>
      <c r="C19" s="412"/>
      <c r="D19" s="423"/>
      <c r="E19" s="424"/>
      <c r="F19" s="424"/>
      <c r="G19" s="424"/>
      <c r="H19" s="424"/>
      <c r="I19" s="146"/>
      <c r="J19" s="146"/>
      <c r="K19" s="146"/>
      <c r="L19" s="330"/>
    </row>
    <row r="20" spans="1:12" ht="18" customHeight="1" x14ac:dyDescent="0.25">
      <c r="A20" s="329"/>
      <c r="B20" s="412" t="s">
        <v>21</v>
      </c>
      <c r="C20" s="412"/>
      <c r="D20" s="423"/>
      <c r="E20" s="424"/>
      <c r="F20" s="424"/>
      <c r="G20" s="424"/>
      <c r="H20" s="424"/>
      <c r="I20" s="146"/>
      <c r="J20" s="146"/>
      <c r="K20" s="146"/>
      <c r="L20" s="330"/>
    </row>
    <row r="21" spans="1:12" ht="18" customHeight="1" thickBot="1" x14ac:dyDescent="0.45">
      <c r="A21" s="329"/>
      <c r="B21" s="412" t="s">
        <v>361</v>
      </c>
      <c r="C21" s="412"/>
      <c r="D21" s="354" t="s">
        <v>96</v>
      </c>
      <c r="E21" s="356"/>
      <c r="F21" s="355" t="s">
        <v>97</v>
      </c>
      <c r="G21" s="439" t="e">
        <f>VLOOKUP(E21,dept!B:D,3,FALSE)</f>
        <v>#N/A</v>
      </c>
      <c r="H21" s="439"/>
      <c r="I21" s="145" t="s">
        <v>828</v>
      </c>
      <c r="J21" s="146"/>
      <c r="K21" s="146"/>
      <c r="L21" s="330"/>
    </row>
    <row r="22" spans="1:12" ht="18" customHeight="1" x14ac:dyDescent="0.25">
      <c r="A22" s="329"/>
      <c r="B22" s="412" t="s">
        <v>752</v>
      </c>
      <c r="C22" s="412"/>
      <c r="D22" s="436"/>
      <c r="E22" s="437"/>
      <c r="F22" s="437"/>
      <c r="G22" s="437"/>
      <c r="H22" s="437"/>
      <c r="I22" s="145" t="s">
        <v>348</v>
      </c>
      <c r="J22" s="146"/>
      <c r="K22" s="146"/>
      <c r="L22" s="330"/>
    </row>
    <row r="23" spans="1:12" ht="18" customHeight="1" x14ac:dyDescent="0.25">
      <c r="A23" s="329"/>
      <c r="B23" s="427" t="s">
        <v>26</v>
      </c>
      <c r="C23" s="428"/>
      <c r="D23" s="432"/>
      <c r="E23" s="433"/>
      <c r="F23" s="433"/>
      <c r="G23" s="433"/>
      <c r="H23" s="433"/>
      <c r="I23" s="147" t="s">
        <v>27</v>
      </c>
      <c r="J23" s="146"/>
      <c r="K23" s="146"/>
      <c r="L23" s="330"/>
    </row>
    <row r="24" spans="1:12" ht="18" customHeight="1" x14ac:dyDescent="0.25">
      <c r="A24" s="329"/>
      <c r="B24" s="425" t="s">
        <v>363</v>
      </c>
      <c r="C24" s="426"/>
      <c r="D24" s="432"/>
      <c r="E24" s="433"/>
      <c r="F24" s="433"/>
      <c r="G24" s="433"/>
      <c r="H24" s="433"/>
      <c r="I24" s="148" t="s">
        <v>345</v>
      </c>
      <c r="J24" s="146"/>
      <c r="K24" s="146"/>
      <c r="L24" s="330"/>
    </row>
    <row r="25" spans="1:12" ht="6" customHeight="1" x14ac:dyDescent="0.25">
      <c r="A25" s="331"/>
      <c r="B25" s="4"/>
      <c r="C25" s="150"/>
      <c r="D25" s="151"/>
      <c r="E25" s="152"/>
      <c r="F25" s="153"/>
      <c r="G25" s="151"/>
      <c r="H25" s="151"/>
      <c r="I25" s="153"/>
      <c r="J25" s="151"/>
      <c r="K25" s="151"/>
      <c r="L25" s="332"/>
    </row>
    <row r="26" spans="1:12" ht="18" customHeight="1" x14ac:dyDescent="0.25">
      <c r="A26" s="333" t="s">
        <v>527</v>
      </c>
      <c r="B26" s="429" t="s">
        <v>99</v>
      </c>
      <c r="C26" s="412"/>
      <c r="D26" s="472"/>
      <c r="E26" s="473"/>
      <c r="F26" s="473"/>
      <c r="G26" s="473"/>
      <c r="H26" s="473"/>
      <c r="I26" s="145" t="s">
        <v>773</v>
      </c>
      <c r="J26" s="146"/>
      <c r="K26" s="146"/>
      <c r="L26" s="330"/>
    </row>
    <row r="27" spans="1:12" ht="18" customHeight="1" x14ac:dyDescent="0.25">
      <c r="A27" s="333" t="s">
        <v>753</v>
      </c>
      <c r="B27" s="412" t="s">
        <v>525</v>
      </c>
      <c r="C27" s="412"/>
      <c r="D27" s="432"/>
      <c r="E27" s="433"/>
      <c r="F27" s="433"/>
      <c r="G27" s="433"/>
      <c r="H27" s="433"/>
      <c r="I27" s="146" t="s">
        <v>22</v>
      </c>
      <c r="J27" s="146"/>
      <c r="K27" s="146"/>
      <c r="L27" s="330"/>
    </row>
    <row r="28" spans="1:12" ht="18" customHeight="1" thickBot="1" x14ac:dyDescent="0.3">
      <c r="A28" s="333" t="s">
        <v>753</v>
      </c>
      <c r="B28" s="412" t="s">
        <v>101</v>
      </c>
      <c r="C28" s="412"/>
      <c r="D28" s="172" t="s">
        <v>102</v>
      </c>
      <c r="E28" s="438"/>
      <c r="F28" s="438"/>
      <c r="G28" s="173" t="s">
        <v>103</v>
      </c>
      <c r="H28" s="174"/>
      <c r="I28" s="149" t="s">
        <v>344</v>
      </c>
      <c r="J28" s="146"/>
      <c r="K28" s="146"/>
      <c r="L28" s="330"/>
    </row>
    <row r="29" spans="1:12" ht="18" customHeight="1" x14ac:dyDescent="0.25">
      <c r="A29" s="333" t="s">
        <v>754</v>
      </c>
      <c r="B29" s="412" t="s">
        <v>104</v>
      </c>
      <c r="C29" s="412"/>
      <c r="D29" s="472"/>
      <c r="E29" s="473"/>
      <c r="F29" s="473"/>
      <c r="G29" s="473"/>
      <c r="H29" s="473"/>
      <c r="I29" s="145" t="s">
        <v>105</v>
      </c>
      <c r="J29" s="146"/>
      <c r="K29" s="146"/>
      <c r="L29" s="330"/>
    </row>
    <row r="30" spans="1:12" ht="18" customHeight="1" x14ac:dyDescent="0.25">
      <c r="A30" s="333" t="s">
        <v>755</v>
      </c>
      <c r="B30" s="412" t="s">
        <v>106</v>
      </c>
      <c r="C30" s="412"/>
      <c r="D30" s="432"/>
      <c r="E30" s="433"/>
      <c r="F30" s="433"/>
      <c r="G30" s="433"/>
      <c r="H30" s="433"/>
      <c r="I30" s="145" t="s">
        <v>829</v>
      </c>
      <c r="J30" s="146"/>
      <c r="K30" s="146"/>
      <c r="L30" s="330"/>
    </row>
    <row r="31" spans="1:12" ht="18" customHeight="1" x14ac:dyDescent="0.25">
      <c r="A31" s="333" t="s">
        <v>756</v>
      </c>
      <c r="B31" s="412" t="s">
        <v>23</v>
      </c>
      <c r="C31" s="412"/>
      <c r="D31" s="470"/>
      <c r="E31" s="471"/>
      <c r="F31" s="471"/>
      <c r="G31" s="471"/>
      <c r="H31" s="471"/>
      <c r="I31" s="145" t="s">
        <v>829</v>
      </c>
      <c r="J31" s="146"/>
      <c r="K31" s="146"/>
      <c r="L31" s="330"/>
    </row>
    <row r="32" spans="1:12" ht="18" customHeight="1" x14ac:dyDescent="0.25">
      <c r="A32" s="333" t="s">
        <v>757</v>
      </c>
      <c r="B32" s="412" t="s">
        <v>107</v>
      </c>
      <c r="C32" s="412"/>
      <c r="D32" s="432"/>
      <c r="E32" s="433"/>
      <c r="F32" s="433"/>
      <c r="G32" s="433"/>
      <c r="H32" s="433"/>
      <c r="I32" s="145" t="s">
        <v>829</v>
      </c>
      <c r="J32" s="146"/>
      <c r="K32" s="146"/>
      <c r="L32" s="330"/>
    </row>
    <row r="33" spans="1:12" ht="18" customHeight="1" x14ac:dyDescent="0.25">
      <c r="A33" s="333" t="s">
        <v>753</v>
      </c>
      <c r="B33" s="429" t="s">
        <v>349</v>
      </c>
      <c r="C33" s="430"/>
      <c r="D33" s="432"/>
      <c r="E33" s="433"/>
      <c r="F33" s="433"/>
      <c r="G33" s="433"/>
      <c r="H33" s="433"/>
      <c r="I33" s="149" t="s">
        <v>350</v>
      </c>
      <c r="J33" s="146"/>
      <c r="K33" s="146"/>
      <c r="L33" s="330"/>
    </row>
    <row r="34" spans="1:12" ht="18" customHeight="1" x14ac:dyDescent="0.25">
      <c r="A34" s="333" t="s">
        <v>758</v>
      </c>
      <c r="B34" s="412" t="s">
        <v>14</v>
      </c>
      <c r="C34" s="412"/>
      <c r="D34" s="432"/>
      <c r="E34" s="433"/>
      <c r="F34" s="433"/>
      <c r="G34" s="433"/>
      <c r="H34" s="433"/>
      <c r="I34" s="309" t="s">
        <v>763</v>
      </c>
      <c r="J34" s="154"/>
      <c r="K34" s="154"/>
      <c r="L34" s="334"/>
    </row>
    <row r="35" spans="1:12" ht="18" customHeight="1" x14ac:dyDescent="0.25">
      <c r="A35" s="333" t="s">
        <v>759</v>
      </c>
      <c r="B35" s="2" t="s">
        <v>772</v>
      </c>
      <c r="C35" s="306"/>
      <c r="D35" s="432"/>
      <c r="E35" s="433"/>
      <c r="F35" s="433"/>
      <c r="G35" s="433"/>
      <c r="H35" s="433"/>
      <c r="I35" s="147" t="s">
        <v>108</v>
      </c>
      <c r="J35" s="146"/>
      <c r="K35" s="146"/>
      <c r="L35" s="330"/>
    </row>
    <row r="36" spans="1:12" ht="18" customHeight="1" x14ac:dyDescent="0.25">
      <c r="A36" s="329"/>
      <c r="B36" s="2" t="s">
        <v>771</v>
      </c>
      <c r="C36" s="2"/>
      <c r="D36" s="432"/>
      <c r="E36" s="433"/>
      <c r="F36" s="433"/>
      <c r="G36" s="433"/>
      <c r="H36" s="433"/>
      <c r="I36" s="147"/>
      <c r="J36" s="146"/>
      <c r="K36" s="146"/>
      <c r="L36" s="330"/>
    </row>
    <row r="37" spans="1:12" ht="18" customHeight="1" x14ac:dyDescent="0.25">
      <c r="A37" s="329"/>
      <c r="B37" s="412" t="s">
        <v>24</v>
      </c>
      <c r="C37" s="412"/>
      <c r="D37" s="432"/>
      <c r="E37" s="433"/>
      <c r="F37" s="433"/>
      <c r="G37" s="433"/>
      <c r="H37" s="433"/>
      <c r="I37" s="145" t="s">
        <v>774</v>
      </c>
      <c r="J37" s="146"/>
      <c r="K37" s="146"/>
      <c r="L37" s="330"/>
    </row>
    <row r="38" spans="1:12" ht="18" customHeight="1" x14ac:dyDescent="0.25">
      <c r="A38" s="329"/>
      <c r="B38" s="412" t="s">
        <v>56</v>
      </c>
      <c r="C38" s="412"/>
      <c r="D38" s="432"/>
      <c r="E38" s="433"/>
      <c r="F38" s="433"/>
      <c r="G38" s="433"/>
      <c r="H38" s="433"/>
      <c r="I38" s="147"/>
      <c r="J38" s="146"/>
      <c r="K38" s="146"/>
      <c r="L38" s="330"/>
    </row>
    <row r="39" spans="1:12" ht="18" customHeight="1" x14ac:dyDescent="0.25">
      <c r="A39" s="329"/>
      <c r="B39" s="412" t="s">
        <v>25</v>
      </c>
      <c r="C39" s="412"/>
      <c r="D39" s="434" t="e">
        <f>VLOOKUP(D34,'program  SubProgram'!B:E,3,FALSE)</f>
        <v>#N/A</v>
      </c>
      <c r="E39" s="435"/>
      <c r="F39" s="435"/>
      <c r="G39" s="358"/>
      <c r="H39" s="358"/>
      <c r="I39" s="145" t="s">
        <v>825</v>
      </c>
      <c r="J39" s="146"/>
      <c r="K39" s="146"/>
      <c r="L39" s="330"/>
    </row>
    <row r="40" spans="1:12" ht="18" customHeight="1" x14ac:dyDescent="0.25">
      <c r="A40" s="329"/>
      <c r="B40" s="32" t="s">
        <v>550</v>
      </c>
      <c r="C40" s="2"/>
      <c r="D40" s="432"/>
      <c r="E40" s="433"/>
      <c r="F40" s="433"/>
      <c r="G40" s="433"/>
      <c r="H40" s="433"/>
      <c r="I40" s="145" t="s">
        <v>826</v>
      </c>
      <c r="J40" s="146"/>
      <c r="K40" s="146"/>
      <c r="L40" s="330"/>
    </row>
    <row r="41" spans="1:12" ht="18" customHeight="1" thickBot="1" x14ac:dyDescent="0.3">
      <c r="A41" s="335"/>
      <c r="B41" s="412" t="s">
        <v>830</v>
      </c>
      <c r="C41" s="412"/>
      <c r="D41" s="359"/>
      <c r="E41" s="431"/>
      <c r="F41" s="431"/>
      <c r="G41" s="357"/>
      <c r="H41" s="194"/>
      <c r="I41" s="181"/>
      <c r="J41" s="180"/>
      <c r="K41" s="146"/>
      <c r="L41" s="330"/>
    </row>
    <row r="42" spans="1:12" ht="20.25" customHeight="1" thickBot="1" x14ac:dyDescent="0.3">
      <c r="A42" s="335"/>
      <c r="B42" s="2" t="s">
        <v>28</v>
      </c>
      <c r="C42" s="2"/>
      <c r="D42" s="185" t="s">
        <v>357</v>
      </c>
      <c r="E42" s="184"/>
      <c r="F42" s="190" t="s">
        <v>358</v>
      </c>
      <c r="G42" s="187"/>
      <c r="H42" s="191" t="s">
        <v>359</v>
      </c>
      <c r="I42" s="187"/>
      <c r="J42" s="186" t="s">
        <v>360</v>
      </c>
      <c r="K42" s="187"/>
      <c r="L42" s="330"/>
    </row>
    <row r="43" spans="1:12" ht="21" customHeight="1" thickBot="1" x14ac:dyDescent="0.3">
      <c r="A43" s="335"/>
      <c r="B43" s="189" t="s">
        <v>355</v>
      </c>
      <c r="C43" s="2"/>
      <c r="D43" s="156"/>
      <c r="E43" s="195"/>
      <c r="F43" s="155"/>
      <c r="G43" s="195"/>
      <c r="H43" s="469" t="s">
        <v>352</v>
      </c>
      <c r="I43" s="469"/>
      <c r="J43" s="196"/>
      <c r="K43" s="182" t="s">
        <v>353</v>
      </c>
      <c r="L43" s="330"/>
    </row>
    <row r="44" spans="1:12" ht="18" customHeight="1" thickBot="1" x14ac:dyDescent="0.4">
      <c r="A44" s="335"/>
      <c r="B44" s="2" t="s">
        <v>356</v>
      </c>
      <c r="C44" s="2"/>
      <c r="D44" s="155"/>
      <c r="E44" s="188" t="s">
        <v>109</v>
      </c>
      <c r="F44" s="360"/>
      <c r="G44" s="457" t="s">
        <v>354</v>
      </c>
      <c r="H44" s="458"/>
      <c r="I44" s="183"/>
      <c r="J44" s="155"/>
      <c r="K44" s="146"/>
      <c r="L44" s="330"/>
    </row>
    <row r="45" spans="1:12" ht="9.65" customHeight="1" x14ac:dyDescent="0.25">
      <c r="A45" s="335"/>
      <c r="B45" s="2"/>
      <c r="C45" s="2"/>
      <c r="D45" s="155"/>
      <c r="F45" s="155"/>
      <c r="G45" s="146"/>
      <c r="H45" s="157"/>
      <c r="I45" s="146"/>
      <c r="J45" s="155"/>
      <c r="K45" s="146"/>
      <c r="L45" s="330"/>
    </row>
    <row r="46" spans="1:12" ht="6.65" customHeight="1" thickBot="1" x14ac:dyDescent="0.3">
      <c r="A46" s="331"/>
      <c r="B46" s="158"/>
      <c r="C46" s="158"/>
      <c r="D46" s="151"/>
      <c r="E46" s="151"/>
      <c r="F46" s="151"/>
      <c r="G46" s="151"/>
      <c r="H46" s="151"/>
      <c r="I46" s="151"/>
      <c r="J46" s="151"/>
      <c r="K46" s="151"/>
      <c r="L46" s="332"/>
    </row>
    <row r="47" spans="1:12" s="136" customFormat="1" ht="16" thickTop="1" x14ac:dyDescent="0.25">
      <c r="A47" s="336" t="s">
        <v>2</v>
      </c>
      <c r="B47" s="159"/>
      <c r="C47" s="159"/>
      <c r="D47" s="160"/>
      <c r="E47" s="197" t="s">
        <v>366</v>
      </c>
      <c r="F47" s="159"/>
      <c r="G47" s="159"/>
      <c r="H47" s="160" t="s">
        <v>3</v>
      </c>
      <c r="I47" s="160"/>
      <c r="J47" s="159"/>
      <c r="K47" s="159"/>
      <c r="L47" s="337"/>
    </row>
    <row r="48" spans="1:12" s="136" customFormat="1" ht="16" thickBot="1" x14ac:dyDescent="0.3">
      <c r="A48" s="459"/>
      <c r="B48" s="460"/>
      <c r="C48" s="460"/>
      <c r="D48" s="461"/>
      <c r="E48" s="161"/>
      <c r="F48" s="162"/>
      <c r="G48" s="162"/>
      <c r="H48" s="135"/>
      <c r="I48" s="137" t="s">
        <v>11</v>
      </c>
      <c r="J48" s="411"/>
      <c r="K48" s="411"/>
      <c r="L48" s="323"/>
    </row>
    <row r="49" spans="1:12" s="136" customFormat="1" ht="42" customHeight="1" x14ac:dyDescent="0.25">
      <c r="A49" s="462"/>
      <c r="B49" s="463"/>
      <c r="C49" s="463"/>
      <c r="D49" s="461"/>
      <c r="E49" s="367"/>
      <c r="F49" s="421" t="s">
        <v>4</v>
      </c>
      <c r="G49" s="421"/>
      <c r="H49" s="421"/>
      <c r="I49" s="421"/>
      <c r="J49" s="421"/>
      <c r="K49" s="421"/>
      <c r="L49" s="323"/>
    </row>
    <row r="50" spans="1:12" s="136" customFormat="1" ht="9.65" customHeight="1" thickBot="1" x14ac:dyDescent="0.3">
      <c r="A50" s="338"/>
      <c r="B50" s="178"/>
      <c r="C50" s="178"/>
      <c r="D50" s="178"/>
      <c r="E50" s="164"/>
      <c r="F50" s="163"/>
      <c r="G50" s="163"/>
      <c r="H50" s="165"/>
      <c r="I50" s="166"/>
      <c r="J50" s="166"/>
      <c r="K50" s="166"/>
      <c r="L50" s="339"/>
    </row>
    <row r="51" spans="1:12" s="136" customFormat="1" ht="16" thickTop="1" x14ac:dyDescent="0.25">
      <c r="A51" s="318" t="s">
        <v>7</v>
      </c>
      <c r="B51" s="135"/>
      <c r="C51" s="135"/>
      <c r="D51" s="167"/>
      <c r="E51" s="304" t="s">
        <v>5</v>
      </c>
      <c r="F51" s="135"/>
      <c r="G51" s="135"/>
      <c r="H51" s="137" t="s">
        <v>6</v>
      </c>
      <c r="I51" s="139"/>
      <c r="J51" s="139"/>
      <c r="K51" s="139"/>
      <c r="L51" s="340"/>
    </row>
    <row r="52" spans="1:12" s="136" customFormat="1" x14ac:dyDescent="0.25">
      <c r="A52" s="341" t="s">
        <v>29</v>
      </c>
      <c r="B52" s="135"/>
      <c r="C52" s="135"/>
      <c r="D52" s="305"/>
      <c r="E52" s="454" t="s">
        <v>741</v>
      </c>
      <c r="F52" s="453"/>
      <c r="G52" s="453"/>
      <c r="H52" s="453" t="s">
        <v>750</v>
      </c>
      <c r="I52" s="453"/>
      <c r="J52" s="453"/>
      <c r="K52" s="453"/>
      <c r="L52" s="340"/>
    </row>
    <row r="53" spans="1:12" s="136" customFormat="1" ht="18" customHeight="1" x14ac:dyDescent="0.35">
      <c r="A53" s="456" t="s">
        <v>520</v>
      </c>
      <c r="B53" s="422"/>
      <c r="C53" s="167" t="s">
        <v>9</v>
      </c>
      <c r="D53" s="317">
        <v>3</v>
      </c>
      <c r="E53" s="342"/>
      <c r="F53" s="342"/>
      <c r="G53" s="303"/>
      <c r="H53" s="303" t="s">
        <v>742</v>
      </c>
      <c r="I53" s="303"/>
      <c r="J53" s="343" t="s">
        <v>751</v>
      </c>
      <c r="K53" s="303"/>
      <c r="L53" s="323"/>
    </row>
    <row r="54" spans="1:12" s="136" customFormat="1" ht="18" customHeight="1" x14ac:dyDescent="0.25">
      <c r="A54" s="451"/>
      <c r="B54" s="452"/>
      <c r="C54" s="167" t="s">
        <v>9</v>
      </c>
      <c r="D54" s="175"/>
      <c r="E54" s="168"/>
      <c r="F54" s="300" t="s">
        <v>737</v>
      </c>
      <c r="G54" s="352"/>
      <c r="H54" s="344" t="s">
        <v>743</v>
      </c>
      <c r="I54" s="352"/>
      <c r="J54" s="344" t="s">
        <v>748</v>
      </c>
      <c r="K54" s="352"/>
      <c r="L54" s="323"/>
    </row>
    <row r="55" spans="1:12" s="136" customFormat="1" ht="18" customHeight="1" x14ac:dyDescent="0.25">
      <c r="A55" s="450"/>
      <c r="B55" s="421"/>
      <c r="C55" s="167" t="s">
        <v>9</v>
      </c>
      <c r="D55" s="175"/>
      <c r="E55" s="299"/>
      <c r="F55" s="301" t="s">
        <v>738</v>
      </c>
      <c r="G55" s="169"/>
      <c r="H55" s="344" t="s">
        <v>744</v>
      </c>
      <c r="I55" s="169"/>
      <c r="J55" s="344" t="s">
        <v>749</v>
      </c>
      <c r="K55" s="169"/>
      <c r="L55" s="323"/>
    </row>
    <row r="56" spans="1:12" s="136" customFormat="1" ht="18" customHeight="1" x14ac:dyDescent="0.25">
      <c r="A56" s="450"/>
      <c r="B56" s="421"/>
      <c r="C56" s="167" t="s">
        <v>9</v>
      </c>
      <c r="D56" s="169"/>
      <c r="E56" s="168"/>
      <c r="F56" s="300" t="s">
        <v>739</v>
      </c>
      <c r="G56" s="169"/>
      <c r="H56" s="344" t="s">
        <v>745</v>
      </c>
      <c r="I56" s="169"/>
      <c r="J56" s="135"/>
      <c r="K56" s="135"/>
      <c r="L56" s="323"/>
    </row>
    <row r="57" spans="1:12" s="136" customFormat="1" ht="18" customHeight="1" x14ac:dyDescent="0.25">
      <c r="A57" s="450"/>
      <c r="B57" s="421"/>
      <c r="C57" s="167" t="s">
        <v>9</v>
      </c>
      <c r="D57" s="169"/>
      <c r="E57" s="168"/>
      <c r="F57" s="300" t="s">
        <v>740</v>
      </c>
      <c r="G57" s="169"/>
      <c r="H57" s="344" t="s">
        <v>746</v>
      </c>
      <c r="I57" s="169"/>
      <c r="J57" s="135"/>
      <c r="K57" s="135"/>
      <c r="L57" s="323"/>
    </row>
    <row r="58" spans="1:12" s="136" customFormat="1" ht="18" customHeight="1" x14ac:dyDescent="0.25">
      <c r="A58" s="450"/>
      <c r="B58" s="421"/>
      <c r="C58" s="167" t="s">
        <v>9</v>
      </c>
      <c r="D58" s="169"/>
      <c r="E58" s="298"/>
      <c r="F58" s="302" t="s">
        <v>526</v>
      </c>
      <c r="G58" s="169"/>
      <c r="H58" s="344" t="s">
        <v>747</v>
      </c>
      <c r="I58" s="169"/>
      <c r="J58" s="135"/>
      <c r="K58" s="135"/>
      <c r="L58" s="323"/>
    </row>
    <row r="59" spans="1:12" s="136" customFormat="1" ht="18" customHeight="1" x14ac:dyDescent="0.25">
      <c r="A59" s="450"/>
      <c r="B59" s="421"/>
      <c r="C59" s="167" t="s">
        <v>9</v>
      </c>
      <c r="D59" s="169"/>
      <c r="E59" s="368"/>
      <c r="F59" s="139"/>
      <c r="G59" s="170"/>
      <c r="H59" s="176" t="s">
        <v>8</v>
      </c>
      <c r="I59" s="177"/>
      <c r="J59" s="135"/>
      <c r="K59" s="135"/>
      <c r="L59" s="323"/>
    </row>
    <row r="60" spans="1:12" s="136" customFormat="1" ht="18" customHeight="1" thickBot="1" x14ac:dyDescent="0.3">
      <c r="A60" s="448"/>
      <c r="B60" s="449"/>
      <c r="C60" s="345" t="s">
        <v>9</v>
      </c>
      <c r="D60" s="346"/>
      <c r="E60" s="455" t="s">
        <v>10</v>
      </c>
      <c r="F60" s="455"/>
      <c r="G60" s="347"/>
      <c r="H60" s="347"/>
      <c r="I60" s="347"/>
      <c r="J60" s="369"/>
      <c r="K60" s="369"/>
      <c r="L60" s="348"/>
    </row>
    <row r="61" spans="1:12" ht="16" thickTop="1" x14ac:dyDescent="0.25">
      <c r="B61" s="349" t="s">
        <v>779</v>
      </c>
      <c r="C61" s="373" t="s">
        <v>836</v>
      </c>
    </row>
  </sheetData>
  <sheetCalcPr fullCalcOnLoad="1"/>
  <sheetProtection selectLockedCells="1"/>
  <mergeCells count="77">
    <mergeCell ref="D17:H17"/>
    <mergeCell ref="D15:L15"/>
    <mergeCell ref="H43:I43"/>
    <mergeCell ref="D30:H30"/>
    <mergeCell ref="D31:H31"/>
    <mergeCell ref="D32:H32"/>
    <mergeCell ref="D26:H26"/>
    <mergeCell ref="D29:H29"/>
    <mergeCell ref="D27:H27"/>
    <mergeCell ref="A53:B53"/>
    <mergeCell ref="G44:H44"/>
    <mergeCell ref="A58:B58"/>
    <mergeCell ref="A59:B59"/>
    <mergeCell ref="A48:D49"/>
    <mergeCell ref="D36:H36"/>
    <mergeCell ref="D18:H18"/>
    <mergeCell ref="A60:B60"/>
    <mergeCell ref="F49:K49"/>
    <mergeCell ref="A55:B55"/>
    <mergeCell ref="A56:B56"/>
    <mergeCell ref="A57:B57"/>
    <mergeCell ref="A54:B54"/>
    <mergeCell ref="H52:K52"/>
    <mergeCell ref="E52:G52"/>
    <mergeCell ref="E60:F60"/>
    <mergeCell ref="E28:F28"/>
    <mergeCell ref="G21:H21"/>
    <mergeCell ref="A1:L1"/>
    <mergeCell ref="B19:C19"/>
    <mergeCell ref="B13:C13"/>
    <mergeCell ref="B14:C14"/>
    <mergeCell ref="B15:C15"/>
    <mergeCell ref="D13:H13"/>
    <mergeCell ref="D14:H14"/>
    <mergeCell ref="H5:K5"/>
    <mergeCell ref="D35:H35"/>
    <mergeCell ref="B32:C32"/>
    <mergeCell ref="B34:C34"/>
    <mergeCell ref="D33:H33"/>
    <mergeCell ref="D34:H34"/>
    <mergeCell ref="D19:H19"/>
    <mergeCell ref="D20:H20"/>
    <mergeCell ref="D23:H23"/>
    <mergeCell ref="D24:H24"/>
    <mergeCell ref="D22:H22"/>
    <mergeCell ref="E41:F41"/>
    <mergeCell ref="B38:C38"/>
    <mergeCell ref="B39:C39"/>
    <mergeCell ref="D37:H37"/>
    <mergeCell ref="D38:H38"/>
    <mergeCell ref="D40:H40"/>
    <mergeCell ref="D39:F39"/>
    <mergeCell ref="B41:C41"/>
    <mergeCell ref="B31:C31"/>
    <mergeCell ref="B33:C33"/>
    <mergeCell ref="B30:C30"/>
    <mergeCell ref="B28:C28"/>
    <mergeCell ref="B26:C26"/>
    <mergeCell ref="B29:C29"/>
    <mergeCell ref="B37:C37"/>
    <mergeCell ref="B27:C27"/>
    <mergeCell ref="B24:C24"/>
    <mergeCell ref="B23:C23"/>
    <mergeCell ref="B22:C22"/>
    <mergeCell ref="B20:C20"/>
    <mergeCell ref="B21:C21"/>
    <mergeCell ref="B18:C18"/>
    <mergeCell ref="J48:K48"/>
    <mergeCell ref="B16:C16"/>
    <mergeCell ref="A2:L2"/>
    <mergeCell ref="G10:K10"/>
    <mergeCell ref="C8:D8"/>
    <mergeCell ref="G8:H8"/>
    <mergeCell ref="D10:F10"/>
    <mergeCell ref="B5:C5"/>
    <mergeCell ref="B3:C3"/>
    <mergeCell ref="D16:H16"/>
  </mergeCells>
  <phoneticPr fontId="0" type="noConversion"/>
  <dataValidations xWindow="623" yWindow="617" count="22">
    <dataValidation type="list" operator="equal" allowBlank="1" showErrorMessage="1" promptTitle="Chargeable ?" prompt="Can this AID be charged directly?" sqref="D16:H16">
      <formula1>"YES, NO"</formula1>
    </dataValidation>
    <dataValidation type="list" allowBlank="1" showErrorMessage="1" promptTitle="COST CATEGORIES" prompt="OPE = Operating Direct_x000a_SHP= Shop Charge Numbers_x000a_IND = Indirect Costs to be allocated_x000a_EQU=  Purchased Equipment_x000a_CEP = Capital Equipment Project_x000a_AIP = Accelerator Improvement Project_x000a_GPP = General Plant Project_x000a_ L. I.   =   Line Item_x000a_INV = Inventory_x000a_" sqref="D18:H18">
      <formula1>"OPE,SHP,IND,EQU,CEP,AIP,GPP,Line Item,INV, ACT"</formula1>
    </dataValidation>
    <dataValidation type="list" allowBlank="1" showErrorMessage="1" promptTitle="Division" prompt="Please enter the Divison" sqref="D20:H20">
      <formula1>"Technical,Research,SSRL,ES&amp;H,Director's Office,Business Services,Non Divisional"</formula1>
    </dataValidation>
    <dataValidation type="list" allowBlank="1" showErrorMessage="1" promptTitle="Research Type" prompt="What is the function of the activity?" sqref="D26:H26">
      <formula1>"SLAC,RFO,US,NR,PROP"</formula1>
    </dataValidation>
    <dataValidation type="list" allowBlank="1" showInputMessage="1" showErrorMessage="1" promptTitle="User/ Collaborator" prompt="User or Collaborator?" sqref="D27:H27">
      <formula1>"Yes,No"</formula1>
    </dataValidation>
    <dataValidation type="list" allowBlank="1" showInputMessage="1" showErrorMessage="1" sqref="D29:H29">
      <formula1>"DOE,SU,SLAC,N/A-Indirect"</formula1>
    </dataValidation>
    <dataValidation type="list" allowBlank="1" showInputMessage="1" showErrorMessage="1" promptTitle="Funding Source" prompt="Who was the ultimate source of the funding?" sqref="D30:H30">
      <formula1>"DOE,DOE Int,Fed-Non DOE,SU,NonFed NonSU,N/A-Indirect"</formula1>
    </dataValidation>
    <dataValidation type="date" allowBlank="1" showInputMessage="1" showErrorMessage="1" sqref="H28">
      <formula1>31048</formula1>
      <formula2>40543</formula2>
    </dataValidation>
    <dataValidation type="list" allowBlank="1" showInputMessage="1" showErrorMessage="1" promptTitle="Salary Permission?" prompt="Yes = 1_x000a_ No = 0" sqref="D24:H24">
      <formula1>"Yes =  1,No = 0"</formula1>
    </dataValidation>
    <dataValidation type="textLength" showInputMessage="1" showErrorMessage="1" prompt="Please enter 25 characters or less " sqref="D14:H14">
      <formula1>1</formula1>
      <formula2>25</formula2>
    </dataValidation>
    <dataValidation type="list" allowBlank="1" showInputMessage="1" showErrorMessage="1" sqref="I44">
      <formula1>"Yes,No"</formula1>
    </dataValidation>
    <dataValidation type="list" allowBlank="1" showInputMessage="1" showErrorMessage="1" sqref="D38:H38">
      <formula1>"Indirect,High Energy Physics,Synchrotron Radiation,Computation and Technology,Safeguard &amp; Security,Environmental Management,Education,Energy Efficiency,Facilities &amp; Infrastructure,General Research,Inventory,Not Research"</formula1>
    </dataValidation>
    <dataValidation type="list" allowBlank="1" showInputMessage="1" showErrorMessage="1" promptTitle="General &amp; Administrative" prompt="Standard, _x000a_None, _x000a_or_x000a_Special Rate_x000a_Please input below._x000a_" sqref="E42">
      <formula1>"Standard,None,Special"</formula1>
    </dataValidation>
    <dataValidation type="list" allowBlank="1" showInputMessage="1" showErrorMessage="1" promptTitle="Common Site Support" prompt="Standard, _x000a_None, _x000a_or_x000a_Special Rate_x000a_Please input below._x000a_" sqref="G42">
      <formula1>"Standard,None,Special"</formula1>
    </dataValidation>
    <dataValidation type="list" allowBlank="1" showInputMessage="1" showErrorMessage="1" promptTitle="Security" prompt="Security charge is only applied to Non DOE funding" sqref="K42">
      <formula1>"Standard,None"</formula1>
    </dataValidation>
    <dataValidation type="list" allowBlank="1" showInputMessage="1" showErrorMessage="1" sqref="D37:H37">
      <formula1>"WA,WP,Y8,YA,YN,SA,TE,TF,TC,2Y,3Y,3T,NONE"</formula1>
    </dataValidation>
    <dataValidation type="list" allowBlank="1" showInputMessage="1" showErrorMessage="1" promptTitle="Pool - Indirect Costs ONLY" prompt="G &amp; A = General &amp; Administrative_x000a_C S S = Common Site Support_x000a_" sqref="E41:F41">
      <formula1>"G &amp; A,C S S,PROCUREMENT,NONE"</formula1>
    </dataValidation>
    <dataValidation type="list" allowBlank="1" showInputMessage="1" showErrorMessage="1" sqref="I42">
      <formula1>"Standard,None"</formula1>
    </dataValidation>
    <dataValidation type="list" allowBlank="1" showInputMessage="1" showErrorMessage="1" promptTitle="Action Required" prompt="If Change, specify what to change below." sqref="C8:D8">
      <formula1>"OPEN,REOPEN,CLOSE,CHANGE"</formula1>
    </dataValidation>
    <dataValidation type="list" allowBlank="1" showInputMessage="1" showErrorMessage="1" sqref="G8:H8">
      <formula1>"TITLE,DEPARTMENT / DIVISION,B&amp;R CODE,SED LOCATION,WBS,OTHER - SEE BELOW,N/A"</formula1>
    </dataValidation>
    <dataValidation type="list" allowBlank="1" showInputMessage="1" showErrorMessage="1" sqref="F44">
      <formula1>"YES, NO"</formula1>
    </dataValidation>
    <dataValidation allowBlank="1" showInputMessage="1" sqref="D15:L15"/>
  </dataValidations>
  <printOptions horizontalCentered="1" verticalCentered="1"/>
  <pageMargins left="0" right="0" top="0.25" bottom="0.2" header="0" footer="0"/>
  <pageSetup scale="72" orientation="portrait" horizontalDpi="1200" verticalDpi="12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6"/>
  <sheetViews>
    <sheetView topLeftCell="A5" zoomScale="75" workbookViewId="0">
      <selection activeCell="A31" sqref="A31:A34"/>
    </sheetView>
  </sheetViews>
  <sheetFormatPr defaultColWidth="30.7265625" defaultRowHeight="15.5" x14ac:dyDescent="0.35"/>
  <cols>
    <col min="1" max="1" width="8.7265625" style="211" customWidth="1"/>
    <col min="2" max="2" width="13.7265625" style="211" customWidth="1"/>
    <col min="3" max="3" width="8.453125" style="211" customWidth="1"/>
    <col min="4" max="4" width="5.26953125" style="211" customWidth="1"/>
    <col min="5" max="5" width="3.453125" style="211" customWidth="1"/>
    <col min="6" max="6" width="14" style="211" customWidth="1"/>
    <col min="7" max="7" width="7.26953125" style="211" customWidth="1"/>
    <col min="8" max="8" width="7.453125" style="211" customWidth="1"/>
    <col min="9" max="9" width="6.1796875" style="211" customWidth="1"/>
    <col min="10" max="10" width="18.453125" style="211" customWidth="1"/>
    <col min="11" max="11" width="3.453125" style="211" customWidth="1"/>
    <col min="12" max="12" width="11.81640625" style="211" customWidth="1"/>
    <col min="13" max="13" width="5" style="211" customWidth="1"/>
    <col min="14" max="14" width="19.81640625" style="211" customWidth="1"/>
    <col min="15" max="15" width="5.54296875" style="211" customWidth="1"/>
    <col min="16" max="16" width="24.7265625" style="211" customWidth="1"/>
    <col min="17" max="16384" width="30.7265625" style="211"/>
  </cols>
  <sheetData>
    <row r="1" spans="1:16" s="202" customFormat="1" ht="26" thickTop="1" x14ac:dyDescent="0.65">
      <c r="A1" s="198" t="s">
        <v>370</v>
      </c>
      <c r="B1" s="199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1"/>
    </row>
    <row r="2" spans="1:16" s="202" customFormat="1" x14ac:dyDescent="0.35">
      <c r="A2" s="203" t="s">
        <v>371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5"/>
    </row>
    <row r="3" spans="1:16" s="202" customFormat="1" x14ac:dyDescent="0.35">
      <c r="A3" s="206" t="s">
        <v>390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5"/>
    </row>
    <row r="4" spans="1:16" x14ac:dyDescent="0.35">
      <c r="A4" s="207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10"/>
    </row>
    <row r="5" spans="1:16" x14ac:dyDescent="0.35">
      <c r="A5" s="212" t="s">
        <v>0</v>
      </c>
      <c r="B5" s="213" t="s">
        <v>838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10"/>
    </row>
    <row r="6" spans="1:16" x14ac:dyDescent="0.35">
      <c r="A6" s="207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10"/>
    </row>
    <row r="7" spans="1:16" ht="16.5" x14ac:dyDescent="0.35">
      <c r="A7" s="212" t="s">
        <v>1</v>
      </c>
      <c r="B7" s="474"/>
      <c r="C7" s="474"/>
      <c r="D7" s="474"/>
      <c r="E7" s="474"/>
      <c r="F7" s="474"/>
      <c r="G7" s="474"/>
      <c r="H7" s="474"/>
      <c r="I7" s="208"/>
      <c r="J7" s="208"/>
      <c r="K7" s="208"/>
      <c r="L7" s="214" t="s">
        <v>372</v>
      </c>
      <c r="M7" s="208"/>
      <c r="N7" s="375">
        <f ca="1" xml:space="preserve"> NOW()</f>
        <v>43857.436028819444</v>
      </c>
      <c r="O7" s="208"/>
      <c r="P7" s="210"/>
    </row>
    <row r="8" spans="1:16" ht="16.5" x14ac:dyDescent="0.35">
      <c r="A8" s="212"/>
      <c r="B8" s="213"/>
      <c r="C8" s="208"/>
      <c r="D8" s="208"/>
      <c r="E8" s="208"/>
      <c r="F8" s="208"/>
      <c r="G8" s="208"/>
      <c r="H8" s="208"/>
      <c r="I8" s="208"/>
      <c r="J8" s="208"/>
      <c r="K8" s="208"/>
      <c r="L8" s="214"/>
      <c r="M8" s="208"/>
      <c r="N8" s="374"/>
      <c r="O8" s="208"/>
      <c r="P8" s="210"/>
    </row>
    <row r="9" spans="1:16" x14ac:dyDescent="0.35">
      <c r="A9" s="212" t="s">
        <v>373</v>
      </c>
      <c r="B9" s="208"/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10"/>
    </row>
    <row r="10" spans="1:16" ht="19" customHeight="1" x14ac:dyDescent="0.35">
      <c r="A10" s="207"/>
      <c r="B10" s="215" t="s">
        <v>837</v>
      </c>
      <c r="C10" s="213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10"/>
    </row>
    <row r="11" spans="1:16" x14ac:dyDescent="0.35">
      <c r="A11" s="207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10"/>
    </row>
    <row r="12" spans="1:16" x14ac:dyDescent="0.35">
      <c r="A12" s="207"/>
      <c r="B12" s="208"/>
      <c r="C12" s="208"/>
      <c r="D12" s="208"/>
      <c r="E12" s="208"/>
      <c r="F12" s="208"/>
      <c r="G12" s="208"/>
      <c r="H12" s="208"/>
      <c r="I12" s="208"/>
      <c r="J12" s="213" t="s">
        <v>374</v>
      </c>
      <c r="K12" s="208"/>
      <c r="L12" s="216" t="s">
        <v>375</v>
      </c>
      <c r="M12" s="217"/>
      <c r="N12" s="217"/>
      <c r="O12" s="217"/>
      <c r="P12" s="218"/>
    </row>
    <row r="13" spans="1:16" x14ac:dyDescent="0.35">
      <c r="A13" s="207"/>
      <c r="B13" s="208"/>
      <c r="C13" s="208"/>
      <c r="D13" s="208"/>
      <c r="E13" s="208"/>
      <c r="F13" s="219" t="s">
        <v>376</v>
      </c>
      <c r="G13" s="208"/>
      <c r="H13" s="208"/>
      <c r="I13" s="208"/>
      <c r="J13" s="220" t="s">
        <v>377</v>
      </c>
      <c r="K13" s="208"/>
      <c r="L13" s="221" t="s">
        <v>378</v>
      </c>
      <c r="M13" s="208"/>
      <c r="N13" s="219" t="s">
        <v>379</v>
      </c>
      <c r="O13" s="208"/>
      <c r="P13" s="222" t="s">
        <v>380</v>
      </c>
    </row>
    <row r="14" spans="1:16" x14ac:dyDescent="0.35">
      <c r="A14" s="223" t="s">
        <v>381</v>
      </c>
      <c r="B14" s="224"/>
      <c r="C14" s="224"/>
      <c r="D14" s="224"/>
      <c r="E14" s="208"/>
      <c r="F14" s="225" t="s">
        <v>382</v>
      </c>
      <c r="G14" s="208"/>
      <c r="H14" s="225" t="s">
        <v>383</v>
      </c>
      <c r="I14" s="208"/>
      <c r="J14" s="226" t="s">
        <v>384</v>
      </c>
      <c r="K14" s="208"/>
      <c r="L14" s="227" t="s">
        <v>385</v>
      </c>
      <c r="M14" s="208"/>
      <c r="N14" s="225" t="s">
        <v>386</v>
      </c>
      <c r="O14" s="208"/>
      <c r="P14" s="228" t="s">
        <v>387</v>
      </c>
    </row>
    <row r="15" spans="1:16" s="237" customFormat="1" ht="20.5" x14ac:dyDescent="0.45">
      <c r="A15" s="381"/>
      <c r="B15" s="229"/>
      <c r="C15" s="229"/>
      <c r="D15" s="229"/>
      <c r="E15" s="230"/>
      <c r="F15" s="231"/>
      <c r="G15" s="234"/>
      <c r="H15" s="232"/>
      <c r="I15" s="234"/>
      <c r="J15" s="233"/>
      <c r="K15" s="234"/>
      <c r="L15" s="235"/>
      <c r="M15" s="376"/>
      <c r="N15" s="382"/>
      <c r="O15" s="376"/>
      <c r="P15" s="236"/>
    </row>
    <row r="16" spans="1:16" s="237" customFormat="1" ht="20.5" x14ac:dyDescent="0.45">
      <c r="A16" s="383"/>
      <c r="B16" s="229"/>
      <c r="C16" s="229"/>
      <c r="D16" s="229"/>
      <c r="E16" s="230"/>
      <c r="F16" s="231"/>
      <c r="G16" s="234"/>
      <c r="H16" s="232"/>
      <c r="I16" s="234"/>
      <c r="J16" s="269"/>
      <c r="K16" s="234"/>
      <c r="L16" s="235"/>
      <c r="M16" s="376"/>
      <c r="N16" s="382"/>
      <c r="O16" s="376"/>
      <c r="P16" s="236"/>
    </row>
    <row r="17" spans="1:16" s="237" customFormat="1" ht="20.5" x14ac:dyDescent="0.45">
      <c r="A17" s="384"/>
      <c r="B17" s="229"/>
      <c r="C17" s="229"/>
      <c r="D17" s="229"/>
      <c r="E17" s="230"/>
      <c r="F17" s="231"/>
      <c r="G17" s="234"/>
      <c r="H17" s="232"/>
      <c r="I17" s="234"/>
      <c r="J17" s="233"/>
      <c r="K17" s="234"/>
      <c r="L17" s="235"/>
      <c r="M17" s="376"/>
      <c r="N17" s="382"/>
      <c r="O17" s="376"/>
      <c r="P17" s="236"/>
    </row>
    <row r="18" spans="1:16" s="237" customFormat="1" ht="20.5" x14ac:dyDescent="0.45">
      <c r="A18" s="384"/>
      <c r="B18" s="229"/>
      <c r="C18" s="229"/>
      <c r="D18" s="229"/>
      <c r="E18" s="230"/>
      <c r="F18" s="231"/>
      <c r="G18" s="234"/>
      <c r="H18" s="232"/>
      <c r="I18" s="234"/>
      <c r="J18" s="233"/>
      <c r="K18" s="234"/>
      <c r="L18" s="235"/>
      <c r="M18" s="376"/>
      <c r="N18" s="382"/>
      <c r="O18" s="376"/>
      <c r="P18" s="236"/>
    </row>
    <row r="19" spans="1:16" s="237" customFormat="1" ht="20.5" x14ac:dyDescent="0.45">
      <c r="A19" s="384"/>
      <c r="B19" s="229"/>
      <c r="C19" s="229"/>
      <c r="D19" s="229"/>
      <c r="E19" s="230"/>
      <c r="F19" s="231"/>
      <c r="G19" s="234"/>
      <c r="H19" s="232"/>
      <c r="I19" s="234"/>
      <c r="J19" s="233"/>
      <c r="K19" s="234"/>
      <c r="L19" s="235"/>
      <c r="M19" s="376"/>
      <c r="N19" s="382"/>
      <c r="O19" s="376"/>
      <c r="P19" s="236"/>
    </row>
    <row r="20" spans="1:16" s="237" customFormat="1" ht="20.5" x14ac:dyDescent="0.45">
      <c r="A20" s="384"/>
      <c r="B20" s="229"/>
      <c r="C20" s="229"/>
      <c r="D20" s="229"/>
      <c r="E20" s="230"/>
      <c r="F20" s="231"/>
      <c r="G20" s="234"/>
      <c r="H20" s="232"/>
      <c r="I20" s="234"/>
      <c r="J20" s="233"/>
      <c r="K20" s="234"/>
      <c r="L20" s="235"/>
      <c r="M20" s="376"/>
      <c r="N20" s="382"/>
      <c r="O20" s="376"/>
      <c r="P20" s="236"/>
    </row>
    <row r="21" spans="1:16" s="237" customFormat="1" ht="20.5" x14ac:dyDescent="0.45">
      <c r="A21" s="384"/>
      <c r="B21" s="229"/>
      <c r="C21" s="229"/>
      <c r="D21" s="229"/>
      <c r="E21" s="230"/>
      <c r="F21" s="231"/>
      <c r="G21" s="234"/>
      <c r="H21" s="232"/>
      <c r="I21" s="234"/>
      <c r="J21" s="233"/>
      <c r="K21" s="234"/>
      <c r="L21" s="235"/>
      <c r="M21" s="376"/>
      <c r="N21" s="382"/>
      <c r="O21" s="376"/>
      <c r="P21" s="236"/>
    </row>
    <row r="22" spans="1:16" s="237" customFormat="1" ht="20.5" x14ac:dyDescent="0.45">
      <c r="A22" s="384"/>
      <c r="B22" s="229"/>
      <c r="C22" s="229"/>
      <c r="D22" s="229"/>
      <c r="E22" s="230"/>
      <c r="F22" s="231"/>
      <c r="G22" s="234"/>
      <c r="H22" s="232"/>
      <c r="I22" s="234"/>
      <c r="J22" s="233"/>
      <c r="K22" s="234"/>
      <c r="L22" s="235"/>
      <c r="M22" s="376"/>
      <c r="N22" s="382"/>
      <c r="O22" s="376"/>
      <c r="P22" s="236"/>
    </row>
    <row r="23" spans="1:16" s="237" customFormat="1" ht="20.5" x14ac:dyDescent="0.45">
      <c r="A23" s="384"/>
      <c r="B23" s="229"/>
      <c r="C23" s="229"/>
      <c r="D23" s="229"/>
      <c r="E23" s="230"/>
      <c r="F23" s="231"/>
      <c r="G23" s="234"/>
      <c r="H23" s="232"/>
      <c r="I23" s="234"/>
      <c r="J23" s="233"/>
      <c r="K23" s="234"/>
      <c r="L23" s="235"/>
      <c r="M23" s="376"/>
      <c r="N23" s="382"/>
      <c r="O23" s="376"/>
      <c r="P23" s="236"/>
    </row>
    <row r="24" spans="1:16" s="237" customFormat="1" ht="20.5" x14ac:dyDescent="0.45">
      <c r="A24" s="384"/>
      <c r="B24" s="229"/>
      <c r="C24" s="229"/>
      <c r="D24" s="229"/>
      <c r="E24" s="230"/>
      <c r="F24" s="231"/>
      <c r="G24" s="234"/>
      <c r="H24" s="232"/>
      <c r="I24" s="234"/>
      <c r="J24" s="233"/>
      <c r="K24" s="234"/>
      <c r="L24" s="235"/>
      <c r="M24" s="376"/>
      <c r="N24" s="382"/>
      <c r="O24" s="376"/>
      <c r="P24" s="236"/>
    </row>
    <row r="25" spans="1:16" s="237" customFormat="1" ht="20.5" x14ac:dyDescent="0.45">
      <c r="A25" s="384"/>
      <c r="B25" s="229"/>
      <c r="C25" s="229"/>
      <c r="D25" s="229"/>
      <c r="E25" s="230"/>
      <c r="F25" s="231"/>
      <c r="G25" s="234"/>
      <c r="H25" s="232"/>
      <c r="I25" s="234"/>
      <c r="J25" s="233"/>
      <c r="K25" s="234"/>
      <c r="L25" s="235"/>
      <c r="M25" s="376"/>
      <c r="N25" s="382"/>
      <c r="O25" s="376"/>
      <c r="P25" s="236"/>
    </row>
    <row r="26" spans="1:16" s="237" customFormat="1" ht="20.5" x14ac:dyDescent="0.45">
      <c r="A26" s="384"/>
      <c r="B26" s="229"/>
      <c r="C26" s="229"/>
      <c r="D26" s="229"/>
      <c r="E26" s="230"/>
      <c r="F26" s="231"/>
      <c r="G26" s="234"/>
      <c r="H26" s="232"/>
      <c r="I26" s="234"/>
      <c r="J26" s="233"/>
      <c r="K26" s="234"/>
      <c r="L26" s="235"/>
      <c r="M26" s="376"/>
      <c r="N26" s="382"/>
      <c r="O26" s="376"/>
      <c r="P26" s="236"/>
    </row>
    <row r="27" spans="1:16" s="237" customFormat="1" ht="20.5" x14ac:dyDescent="0.45">
      <c r="A27" s="384"/>
      <c r="B27" s="229"/>
      <c r="C27" s="229"/>
      <c r="D27" s="229"/>
      <c r="E27" s="230"/>
      <c r="F27" s="231"/>
      <c r="G27" s="234"/>
      <c r="H27" s="232"/>
      <c r="I27" s="234"/>
      <c r="J27" s="233"/>
      <c r="K27" s="234"/>
      <c r="L27" s="235"/>
      <c r="M27" s="376"/>
      <c r="N27" s="382"/>
      <c r="O27" s="376"/>
      <c r="P27" s="236"/>
    </row>
    <row r="28" spans="1:16" s="237" customFormat="1" ht="20.5" x14ac:dyDescent="0.45">
      <c r="A28" s="384"/>
      <c r="B28" s="229"/>
      <c r="C28" s="229"/>
      <c r="D28" s="229"/>
      <c r="E28" s="230"/>
      <c r="F28" s="231"/>
      <c r="G28" s="234"/>
      <c r="H28" s="232"/>
      <c r="I28" s="234"/>
      <c r="J28" s="233"/>
      <c r="K28" s="234"/>
      <c r="L28" s="235"/>
      <c r="M28" s="376"/>
      <c r="N28" s="382"/>
      <c r="O28" s="376"/>
      <c r="P28" s="236"/>
    </row>
    <row r="29" spans="1:16" s="237" customFormat="1" ht="20.5" x14ac:dyDescent="0.45">
      <c r="A29" s="384"/>
      <c r="B29" s="229"/>
      <c r="C29" s="229"/>
      <c r="D29" s="229"/>
      <c r="E29" s="230"/>
      <c r="F29" s="231"/>
      <c r="G29" s="234"/>
      <c r="H29" s="232"/>
      <c r="I29" s="234"/>
      <c r="J29" s="233"/>
      <c r="K29" s="234"/>
      <c r="L29" s="235"/>
      <c r="M29" s="376"/>
      <c r="N29" s="382"/>
      <c r="O29" s="376"/>
      <c r="P29" s="236"/>
    </row>
    <row r="30" spans="1:16" s="237" customFormat="1" ht="20.5" x14ac:dyDescent="0.45">
      <c r="A30" s="384"/>
      <c r="B30" s="229"/>
      <c r="C30" s="229"/>
      <c r="D30" s="229"/>
      <c r="E30" s="230"/>
      <c r="F30" s="231"/>
      <c r="G30" s="234"/>
      <c r="H30" s="232"/>
      <c r="I30" s="234"/>
      <c r="J30" s="233"/>
      <c r="K30" s="234"/>
      <c r="L30" s="235"/>
      <c r="M30" s="376"/>
      <c r="N30" s="382"/>
      <c r="O30" s="376"/>
      <c r="P30" s="236"/>
    </row>
    <row r="31" spans="1:16" s="237" customFormat="1" ht="20.5" x14ac:dyDescent="0.45">
      <c r="A31" s="384"/>
      <c r="B31" s="229"/>
      <c r="C31" s="229"/>
      <c r="D31" s="229"/>
      <c r="E31" s="230"/>
      <c r="F31" s="231"/>
      <c r="G31" s="234"/>
      <c r="H31" s="232"/>
      <c r="I31" s="234"/>
      <c r="J31" s="233"/>
      <c r="K31" s="234"/>
      <c r="L31" s="235"/>
      <c r="M31" s="376"/>
      <c r="N31" s="382"/>
      <c r="O31" s="376"/>
      <c r="P31" s="236"/>
    </row>
    <row r="32" spans="1:16" s="237" customFormat="1" ht="20.5" x14ac:dyDescent="0.45">
      <c r="A32" s="384"/>
      <c r="B32" s="229"/>
      <c r="C32" s="229"/>
      <c r="D32" s="229"/>
      <c r="E32" s="230"/>
      <c r="F32" s="231"/>
      <c r="G32" s="234"/>
      <c r="H32" s="232"/>
      <c r="I32" s="234"/>
      <c r="J32" s="233"/>
      <c r="K32" s="234"/>
      <c r="L32" s="235"/>
      <c r="M32" s="376"/>
      <c r="N32" s="382"/>
      <c r="O32" s="376"/>
      <c r="P32" s="236"/>
    </row>
    <row r="33" spans="1:16" s="237" customFormat="1" ht="20.5" x14ac:dyDescent="0.45">
      <c r="A33" s="384"/>
      <c r="B33" s="229"/>
      <c r="C33" s="229"/>
      <c r="D33" s="229"/>
      <c r="E33" s="230"/>
      <c r="F33" s="231"/>
      <c r="G33" s="234"/>
      <c r="H33" s="232"/>
      <c r="I33" s="234"/>
      <c r="J33" s="233"/>
      <c r="K33" s="234"/>
      <c r="L33" s="235"/>
      <c r="M33" s="376"/>
      <c r="N33" s="382"/>
      <c r="O33" s="376"/>
      <c r="P33" s="236"/>
    </row>
    <row r="34" spans="1:16" s="237" customFormat="1" ht="20.5" x14ac:dyDescent="0.45">
      <c r="A34" s="384"/>
      <c r="B34" s="229"/>
      <c r="C34" s="229"/>
      <c r="D34" s="229"/>
      <c r="E34" s="230"/>
      <c r="F34" s="231"/>
      <c r="G34" s="234"/>
      <c r="H34" s="232"/>
      <c r="I34" s="234"/>
      <c r="J34" s="233"/>
      <c r="K34" s="234"/>
      <c r="L34" s="235"/>
      <c r="M34" s="376"/>
      <c r="N34" s="382"/>
      <c r="O34" s="376"/>
      <c r="P34" s="236"/>
    </row>
    <row r="35" spans="1:16" s="237" customFormat="1" ht="20.5" x14ac:dyDescent="0.45">
      <c r="A35" s="384"/>
      <c r="B35" s="229"/>
      <c r="C35" s="229"/>
      <c r="D35" s="229"/>
      <c r="E35" s="230"/>
      <c r="F35" s="231"/>
      <c r="G35" s="234"/>
      <c r="H35" s="232"/>
      <c r="I35" s="234"/>
      <c r="J35" s="233"/>
      <c r="K35" s="234"/>
      <c r="L35" s="235"/>
      <c r="M35" s="376"/>
      <c r="N35" s="382"/>
      <c r="O35" s="376"/>
      <c r="P35" s="236"/>
    </row>
    <row r="36" spans="1:16" s="237" customFormat="1" ht="20.5" x14ac:dyDescent="0.45">
      <c r="A36" s="384"/>
      <c r="B36" s="229"/>
      <c r="C36" s="229"/>
      <c r="D36" s="229"/>
      <c r="E36" s="230"/>
      <c r="F36" s="231"/>
      <c r="G36" s="234"/>
      <c r="H36" s="232"/>
      <c r="I36" s="234"/>
      <c r="J36" s="233"/>
      <c r="K36" s="234"/>
      <c r="L36" s="235"/>
      <c r="M36" s="376"/>
      <c r="N36" s="382"/>
      <c r="O36" s="376"/>
      <c r="P36" s="236"/>
    </row>
    <row r="37" spans="1:16" s="237" customFormat="1" ht="20.5" x14ac:dyDescent="0.45">
      <c r="A37" s="384"/>
      <c r="B37" s="229"/>
      <c r="C37" s="229"/>
      <c r="D37" s="229"/>
      <c r="E37" s="230"/>
      <c r="F37" s="231"/>
      <c r="G37" s="234"/>
      <c r="H37" s="232"/>
      <c r="I37" s="234"/>
      <c r="J37" s="233"/>
      <c r="K37" s="234"/>
      <c r="L37" s="235"/>
      <c r="M37" s="376"/>
      <c r="N37" s="382"/>
      <c r="O37" s="376"/>
      <c r="P37" s="236"/>
    </row>
    <row r="38" spans="1:16" s="237" customFormat="1" ht="20.5" x14ac:dyDescent="0.45">
      <c r="A38" s="384"/>
      <c r="B38" s="229"/>
      <c r="C38" s="229"/>
      <c r="D38" s="229"/>
      <c r="E38" s="230"/>
      <c r="F38" s="231"/>
      <c r="G38" s="234"/>
      <c r="H38" s="232"/>
      <c r="I38" s="234"/>
      <c r="J38" s="233"/>
      <c r="K38" s="234"/>
      <c r="L38" s="235"/>
      <c r="M38" s="376"/>
      <c r="N38" s="382"/>
      <c r="O38" s="376"/>
      <c r="P38" s="236"/>
    </row>
    <row r="39" spans="1:16" ht="25.5" x14ac:dyDescent="0.65">
      <c r="A39" s="238"/>
      <c r="B39" s="239"/>
      <c r="C39" s="239"/>
      <c r="D39" s="239"/>
      <c r="E39" s="209"/>
      <c r="F39" s="240"/>
      <c r="G39" s="208"/>
      <c r="H39" s="241"/>
      <c r="I39" s="208"/>
      <c r="J39" s="239"/>
      <c r="K39" s="208"/>
      <c r="L39" s="242"/>
      <c r="M39" s="376"/>
      <c r="N39" s="385"/>
      <c r="O39" s="208"/>
      <c r="P39" s="243"/>
    </row>
    <row r="40" spans="1:16" ht="28" customHeight="1" x14ac:dyDescent="0.45">
      <c r="A40" s="238"/>
      <c r="B40" s="239"/>
      <c r="C40" s="239"/>
      <c r="D40" s="239"/>
      <c r="E40" s="209"/>
      <c r="F40" s="244"/>
      <c r="G40" s="208"/>
      <c r="H40" s="245"/>
      <c r="I40" s="208"/>
      <c r="J40" s="239"/>
      <c r="K40" s="208"/>
      <c r="L40" s="235"/>
      <c r="M40" s="208"/>
      <c r="N40" s="386"/>
      <c r="O40" s="208"/>
      <c r="P40" s="243"/>
    </row>
    <row r="41" spans="1:16" ht="28" customHeight="1" x14ac:dyDescent="0.45">
      <c r="A41" s="238"/>
      <c r="B41" s="239"/>
      <c r="C41" s="239"/>
      <c r="D41" s="239"/>
      <c r="E41" s="209"/>
      <c r="F41" s="244"/>
      <c r="G41" s="208"/>
      <c r="H41" s="246"/>
      <c r="I41" s="208"/>
      <c r="J41" s="239"/>
      <c r="K41" s="208"/>
      <c r="L41" s="235"/>
      <c r="M41" s="208"/>
      <c r="N41" s="386"/>
      <c r="O41" s="208"/>
      <c r="P41" s="243"/>
    </row>
    <row r="42" spans="1:16" ht="28" customHeight="1" thickBot="1" x14ac:dyDescent="0.4">
      <c r="A42" s="247"/>
      <c r="B42" s="239"/>
      <c r="C42" s="239"/>
      <c r="D42" s="239"/>
      <c r="E42" s="209"/>
      <c r="F42" s="248"/>
      <c r="G42" s="208"/>
      <c r="H42" s="239"/>
      <c r="I42" s="208"/>
      <c r="J42" s="239"/>
      <c r="K42" s="208"/>
      <c r="L42" s="249"/>
      <c r="M42" s="208"/>
      <c r="N42" s="239"/>
      <c r="O42" s="208"/>
      <c r="P42" s="250"/>
    </row>
    <row r="43" spans="1:16" ht="16" thickTop="1" x14ac:dyDescent="0.35">
      <c r="A43" s="251" t="s">
        <v>2</v>
      </c>
      <c r="B43" s="252"/>
      <c r="C43" s="252"/>
      <c r="D43" s="252"/>
      <c r="E43" s="252"/>
      <c r="F43" s="252"/>
      <c r="G43" s="253" t="s">
        <v>3</v>
      </c>
      <c r="H43" s="254" t="s">
        <v>388</v>
      </c>
      <c r="I43" s="252"/>
      <c r="J43" s="252"/>
      <c r="K43" s="252"/>
      <c r="L43" s="252"/>
      <c r="M43" s="252"/>
      <c r="N43" s="255" t="s">
        <v>372</v>
      </c>
      <c r="O43" s="252"/>
      <c r="P43" s="256"/>
    </row>
    <row r="44" spans="1:16" ht="20.5" customHeight="1" thickBot="1" x14ac:dyDescent="0.4">
      <c r="A44" s="478"/>
      <c r="B44" s="479"/>
      <c r="C44" s="479"/>
      <c r="D44" s="479"/>
      <c r="E44" s="479"/>
      <c r="F44" s="480"/>
      <c r="G44" s="257"/>
      <c r="H44" s="213"/>
      <c r="I44" s="208"/>
      <c r="J44" s="208"/>
      <c r="K44" s="208"/>
      <c r="L44" s="208"/>
      <c r="M44" s="208"/>
      <c r="N44" s="481"/>
      <c r="O44" s="481"/>
      <c r="P44" s="210"/>
    </row>
    <row r="45" spans="1:16" ht="83.5" customHeight="1" thickBot="1" x14ac:dyDescent="0.4">
      <c r="A45" s="478"/>
      <c r="B45" s="479"/>
      <c r="C45" s="479"/>
      <c r="D45" s="479"/>
      <c r="E45" s="479"/>
      <c r="F45" s="480"/>
      <c r="G45" s="257"/>
      <c r="H45" s="387"/>
      <c r="I45" s="388"/>
      <c r="J45" s="388"/>
      <c r="K45" s="388"/>
      <c r="L45" s="388"/>
      <c r="M45" s="388"/>
      <c r="N45" s="387"/>
      <c r="O45" s="388"/>
      <c r="P45" s="210"/>
    </row>
    <row r="46" spans="1:16" ht="21" thickBot="1" x14ac:dyDescent="0.5">
      <c r="A46" s="377"/>
      <c r="B46" s="378"/>
      <c r="C46" s="378"/>
      <c r="D46" s="378"/>
      <c r="E46" s="378"/>
      <c r="F46" s="378"/>
      <c r="G46" s="259" t="s">
        <v>4</v>
      </c>
      <c r="H46" s="260"/>
      <c r="I46" s="260"/>
      <c r="J46" s="260"/>
      <c r="K46" s="260"/>
      <c r="L46" s="260"/>
      <c r="M46" s="260"/>
      <c r="N46" s="260"/>
      <c r="O46" s="260"/>
      <c r="P46" s="261"/>
    </row>
    <row r="47" spans="1:16" ht="16" thickTop="1" x14ac:dyDescent="0.35">
      <c r="A47" s="251" t="s">
        <v>7</v>
      </c>
      <c r="B47" s="252"/>
      <c r="C47" s="262"/>
      <c r="D47" s="252"/>
      <c r="E47" s="252"/>
      <c r="F47" s="263"/>
      <c r="G47" s="257"/>
      <c r="H47" s="389" t="s">
        <v>5</v>
      </c>
      <c r="I47" s="208"/>
      <c r="J47" s="208"/>
      <c r="K47" s="208"/>
      <c r="L47" s="208"/>
      <c r="M47" s="208"/>
      <c r="N47" s="208"/>
      <c r="O47" s="208"/>
      <c r="P47" s="210"/>
    </row>
    <row r="48" spans="1:16" x14ac:dyDescent="0.35">
      <c r="A48" s="212"/>
      <c r="B48" s="208"/>
      <c r="C48" s="219"/>
      <c r="D48" s="208"/>
      <c r="E48" s="208"/>
      <c r="F48" s="208"/>
      <c r="G48" s="264" t="s">
        <v>3</v>
      </c>
      <c r="H48" s="213"/>
      <c r="I48" s="208"/>
      <c r="J48" s="208"/>
      <c r="K48" s="208"/>
      <c r="L48" s="208"/>
      <c r="M48" s="208"/>
      <c r="N48" s="208"/>
      <c r="O48" s="208"/>
      <c r="P48" s="210"/>
    </row>
    <row r="49" spans="1:16" ht="16.5" x14ac:dyDescent="0.35">
      <c r="A49" s="379" t="s">
        <v>520</v>
      </c>
      <c r="B49" s="258"/>
      <c r="C49" s="266" t="s">
        <v>9</v>
      </c>
      <c r="D49" s="498"/>
      <c r="E49" s="498"/>
      <c r="F49" s="499"/>
      <c r="G49" s="264" t="s">
        <v>6</v>
      </c>
      <c r="H49" s="213"/>
      <c r="I49" s="208"/>
      <c r="J49" s="208"/>
      <c r="K49" s="208"/>
      <c r="L49" s="208"/>
      <c r="M49" s="208"/>
      <c r="N49" s="488" t="s">
        <v>751</v>
      </c>
      <c r="O49" s="488"/>
      <c r="P49" s="210"/>
    </row>
    <row r="50" spans="1:16" ht="16.5" x14ac:dyDescent="0.35">
      <c r="A50" s="265"/>
      <c r="B50" s="239"/>
      <c r="C50" s="398" t="s">
        <v>9</v>
      </c>
      <c r="D50" s="486"/>
      <c r="E50" s="486"/>
      <c r="F50" s="487"/>
      <c r="G50" s="264" t="s">
        <v>389</v>
      </c>
      <c r="H50" s="213"/>
      <c r="I50" s="208"/>
      <c r="J50" s="208"/>
      <c r="K50" s="208"/>
      <c r="L50" s="208"/>
      <c r="M50" s="208"/>
      <c r="N50" s="208"/>
      <c r="O50" s="208"/>
      <c r="P50" s="210"/>
    </row>
    <row r="51" spans="1:16" ht="16.5" x14ac:dyDescent="0.35">
      <c r="A51" s="265"/>
      <c r="B51" s="239"/>
      <c r="C51" s="398" t="s">
        <v>9</v>
      </c>
      <c r="D51" s="486"/>
      <c r="E51" s="486"/>
      <c r="F51" s="487"/>
      <c r="G51" s="264" t="s">
        <v>8</v>
      </c>
      <c r="H51" s="453" t="s">
        <v>741</v>
      </c>
      <c r="I51" s="453"/>
      <c r="J51" s="453"/>
      <c r="K51" s="208"/>
      <c r="L51" s="453" t="s">
        <v>750</v>
      </c>
      <c r="M51" s="453"/>
      <c r="N51" s="453"/>
      <c r="O51" s="453"/>
      <c r="P51" s="482"/>
    </row>
    <row r="52" spans="1:16" ht="21" customHeight="1" x14ac:dyDescent="0.35">
      <c r="A52" s="265"/>
      <c r="B52" s="239"/>
      <c r="C52" s="398" t="s">
        <v>9</v>
      </c>
      <c r="D52" s="486"/>
      <c r="E52" s="486"/>
      <c r="F52" s="487"/>
      <c r="G52" s="257"/>
      <c r="H52" s="342"/>
      <c r="I52" s="208"/>
      <c r="J52" s="208"/>
      <c r="K52" s="208"/>
      <c r="L52" s="477" t="s">
        <v>742</v>
      </c>
      <c r="M52" s="477"/>
      <c r="N52" s="477"/>
      <c r="O52" s="475" t="s">
        <v>751</v>
      </c>
      <c r="P52" s="476"/>
    </row>
    <row r="53" spans="1:16" ht="21" customHeight="1" x14ac:dyDescent="0.35">
      <c r="A53" s="265"/>
      <c r="B53" s="239"/>
      <c r="C53" s="398" t="s">
        <v>9</v>
      </c>
      <c r="D53" s="486"/>
      <c r="E53" s="486"/>
      <c r="F53" s="487"/>
      <c r="G53" s="484" t="s">
        <v>737</v>
      </c>
      <c r="H53" s="485"/>
      <c r="I53" s="485"/>
      <c r="J53" s="239"/>
      <c r="K53" s="209"/>
      <c r="L53" s="483" t="s">
        <v>743</v>
      </c>
      <c r="M53" s="483"/>
      <c r="N53" s="402"/>
      <c r="O53" s="401" t="s">
        <v>748</v>
      </c>
      <c r="P53" s="250"/>
    </row>
    <row r="54" spans="1:16" ht="21" customHeight="1" x14ac:dyDescent="0.35">
      <c r="A54" s="267"/>
      <c r="B54" s="239"/>
      <c r="C54" s="398" t="s">
        <v>9</v>
      </c>
      <c r="D54" s="486"/>
      <c r="E54" s="486"/>
      <c r="F54" s="487"/>
      <c r="G54" s="489" t="s">
        <v>738</v>
      </c>
      <c r="H54" s="490"/>
      <c r="I54" s="490"/>
      <c r="J54" s="403"/>
      <c r="K54" s="209"/>
      <c r="L54" s="483" t="s">
        <v>744</v>
      </c>
      <c r="M54" s="483"/>
      <c r="N54" s="404"/>
      <c r="O54" s="401" t="s">
        <v>749</v>
      </c>
      <c r="P54" s="405"/>
    </row>
    <row r="55" spans="1:16" ht="21" customHeight="1" x14ac:dyDescent="0.35">
      <c r="A55" s="267"/>
      <c r="B55" s="239"/>
      <c r="C55" s="398" t="s">
        <v>9</v>
      </c>
      <c r="D55" s="486"/>
      <c r="E55" s="486"/>
      <c r="F55" s="487"/>
      <c r="G55" s="484" t="s">
        <v>739</v>
      </c>
      <c r="H55" s="485"/>
      <c r="I55" s="485"/>
      <c r="J55" s="403"/>
      <c r="K55" s="209"/>
      <c r="L55" s="483" t="s">
        <v>745</v>
      </c>
      <c r="M55" s="483"/>
      <c r="N55" s="403"/>
      <c r="O55" s="209"/>
      <c r="P55" s="406"/>
    </row>
    <row r="56" spans="1:16" ht="21" customHeight="1" x14ac:dyDescent="0.35">
      <c r="A56" s="267"/>
      <c r="B56" s="239"/>
      <c r="C56" s="398" t="s">
        <v>9</v>
      </c>
      <c r="D56" s="486"/>
      <c r="E56" s="486"/>
      <c r="F56" s="487"/>
      <c r="G56" s="484" t="s">
        <v>740</v>
      </c>
      <c r="H56" s="485"/>
      <c r="I56" s="485"/>
      <c r="J56" s="403"/>
      <c r="K56" s="209"/>
      <c r="L56" s="483" t="s">
        <v>746</v>
      </c>
      <c r="M56" s="483"/>
      <c r="N56" s="403"/>
      <c r="O56" s="209"/>
      <c r="P56" s="406"/>
    </row>
    <row r="57" spans="1:16" ht="21" customHeight="1" x14ac:dyDescent="0.35">
      <c r="A57" s="267"/>
      <c r="B57" s="239"/>
      <c r="C57" s="398" t="s">
        <v>9</v>
      </c>
      <c r="D57" s="486"/>
      <c r="E57" s="486"/>
      <c r="F57" s="487"/>
      <c r="G57" s="484" t="s">
        <v>526</v>
      </c>
      <c r="H57" s="485"/>
      <c r="I57" s="485"/>
      <c r="J57" s="403"/>
      <c r="K57" s="209"/>
      <c r="L57" s="483" t="s">
        <v>747</v>
      </c>
      <c r="M57" s="483"/>
      <c r="N57" s="403"/>
      <c r="O57" s="209"/>
      <c r="P57" s="406"/>
    </row>
    <row r="58" spans="1:16" ht="21" customHeight="1" x14ac:dyDescent="0.35">
      <c r="A58" s="267"/>
      <c r="B58" s="239"/>
      <c r="C58" s="398" t="s">
        <v>9</v>
      </c>
      <c r="D58" s="486"/>
      <c r="E58" s="486"/>
      <c r="F58" s="487"/>
      <c r="G58" s="407"/>
      <c r="H58" s="177"/>
      <c r="I58" s="209"/>
      <c r="J58" s="209"/>
      <c r="K58" s="209"/>
      <c r="L58" s="209"/>
      <c r="M58" s="209"/>
      <c r="N58" s="209"/>
      <c r="O58" s="209"/>
      <c r="P58" s="406"/>
    </row>
    <row r="59" spans="1:16" ht="21" customHeight="1" thickBot="1" x14ac:dyDescent="0.4">
      <c r="A59" s="399"/>
      <c r="B59" s="268"/>
      <c r="C59" s="400" t="s">
        <v>9</v>
      </c>
      <c r="D59" s="496"/>
      <c r="E59" s="496"/>
      <c r="F59" s="497"/>
      <c r="G59" s="408" t="s">
        <v>10</v>
      </c>
      <c r="H59" s="409"/>
      <c r="I59" s="268"/>
      <c r="J59" s="268"/>
      <c r="K59" s="268"/>
      <c r="L59" s="268"/>
      <c r="M59" s="268"/>
      <c r="N59" s="268"/>
      <c r="O59" s="268"/>
      <c r="P59" s="410"/>
    </row>
    <row r="60" spans="1:16" ht="16" thickTop="1" x14ac:dyDescent="0.35"/>
    <row r="61" spans="1:16" x14ac:dyDescent="0.35">
      <c r="A61" s="390"/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  <c r="M61" s="390"/>
      <c r="N61" s="390"/>
    </row>
    <row r="62" spans="1:16" x14ac:dyDescent="0.35">
      <c r="A62" s="137"/>
      <c r="B62" s="135"/>
      <c r="C62" s="135"/>
      <c r="D62" s="137"/>
      <c r="E62" s="391"/>
      <c r="F62" s="135"/>
      <c r="G62" s="135"/>
      <c r="H62" s="137"/>
      <c r="I62" s="137"/>
      <c r="J62" s="135"/>
      <c r="K62" s="135"/>
      <c r="L62" s="135"/>
      <c r="M62" s="390"/>
      <c r="N62" s="390"/>
    </row>
    <row r="63" spans="1:16" x14ac:dyDescent="0.35">
      <c r="A63" s="495"/>
      <c r="B63" s="460"/>
      <c r="C63" s="460"/>
      <c r="D63" s="463"/>
      <c r="E63" s="162"/>
      <c r="F63" s="162"/>
      <c r="G63" s="162"/>
      <c r="H63" s="135"/>
      <c r="I63" s="137"/>
      <c r="J63" s="494"/>
      <c r="K63" s="494"/>
      <c r="L63" s="135"/>
      <c r="M63" s="390"/>
      <c r="N63" s="390"/>
    </row>
    <row r="64" spans="1:16" x14ac:dyDescent="0.35">
      <c r="A64" s="463"/>
      <c r="B64" s="463"/>
      <c r="C64" s="463"/>
      <c r="D64" s="463"/>
      <c r="E64" s="392"/>
      <c r="F64" s="492"/>
      <c r="G64" s="492"/>
      <c r="H64" s="492"/>
      <c r="I64" s="492"/>
      <c r="J64" s="492"/>
      <c r="K64" s="492"/>
      <c r="L64" s="135"/>
      <c r="M64" s="390"/>
      <c r="N64" s="390"/>
    </row>
    <row r="65" spans="1:14" x14ac:dyDescent="0.35">
      <c r="A65" s="393"/>
      <c r="B65" s="394"/>
      <c r="C65" s="394"/>
      <c r="D65" s="394"/>
      <c r="E65" s="395"/>
      <c r="F65" s="395"/>
      <c r="G65" s="395"/>
      <c r="H65" s="135"/>
      <c r="I65" s="139"/>
      <c r="J65" s="139"/>
      <c r="K65" s="139"/>
      <c r="L65" s="139"/>
      <c r="M65" s="390"/>
      <c r="N65" s="390"/>
    </row>
    <row r="66" spans="1:14" x14ac:dyDescent="0.35">
      <c r="A66" s="137"/>
      <c r="B66" s="135"/>
      <c r="C66" s="135"/>
      <c r="D66" s="167"/>
      <c r="E66" s="396"/>
      <c r="F66" s="135"/>
      <c r="G66" s="135"/>
      <c r="H66" s="137"/>
      <c r="I66" s="139"/>
      <c r="J66" s="139"/>
      <c r="K66" s="139"/>
      <c r="L66" s="139"/>
      <c r="M66" s="390"/>
      <c r="N66" s="390"/>
    </row>
    <row r="67" spans="1:14" x14ac:dyDescent="0.35">
      <c r="A67" s="397"/>
      <c r="B67" s="135"/>
      <c r="C67" s="135"/>
      <c r="D67" s="167"/>
      <c r="E67" s="453"/>
      <c r="F67" s="453"/>
      <c r="G67" s="453"/>
      <c r="H67" s="453"/>
      <c r="I67" s="453"/>
      <c r="J67" s="453"/>
      <c r="K67" s="453"/>
      <c r="L67" s="139"/>
      <c r="M67" s="390"/>
      <c r="N67" s="390"/>
    </row>
    <row r="68" spans="1:14" x14ac:dyDescent="0.35">
      <c r="A68" s="493"/>
      <c r="B68" s="491"/>
      <c r="C68" s="167"/>
      <c r="D68" s="167"/>
      <c r="E68" s="342"/>
      <c r="F68" s="342"/>
      <c r="G68" s="303"/>
      <c r="H68" s="303"/>
      <c r="I68" s="303"/>
      <c r="J68" s="343"/>
      <c r="K68" s="303"/>
      <c r="L68" s="135"/>
      <c r="M68" s="390"/>
      <c r="N68" s="390"/>
    </row>
    <row r="69" spans="1:14" x14ac:dyDescent="0.35">
      <c r="A69" s="492"/>
      <c r="B69" s="492"/>
      <c r="C69" s="167"/>
      <c r="D69" s="380"/>
      <c r="E69" s="135"/>
      <c r="F69" s="300"/>
      <c r="G69" s="380"/>
      <c r="H69" s="344"/>
      <c r="I69" s="380"/>
      <c r="J69" s="344"/>
      <c r="K69" s="380"/>
      <c r="L69" s="135"/>
      <c r="M69" s="390"/>
      <c r="N69" s="390"/>
    </row>
    <row r="70" spans="1:14" x14ac:dyDescent="0.35">
      <c r="A70" s="492"/>
      <c r="B70" s="492"/>
      <c r="C70" s="167"/>
      <c r="D70" s="380"/>
      <c r="E70" s="171"/>
      <c r="F70" s="301"/>
      <c r="G70" s="380"/>
      <c r="H70" s="344"/>
      <c r="I70" s="380"/>
      <c r="J70" s="344"/>
      <c r="K70" s="380"/>
      <c r="L70" s="135"/>
      <c r="M70" s="390"/>
      <c r="N70" s="390"/>
    </row>
    <row r="71" spans="1:14" x14ac:dyDescent="0.35">
      <c r="A71" s="492"/>
      <c r="B71" s="492"/>
      <c r="C71" s="167"/>
      <c r="D71" s="380"/>
      <c r="E71" s="135"/>
      <c r="F71" s="300"/>
      <c r="G71" s="380"/>
      <c r="H71" s="344"/>
      <c r="I71" s="380"/>
      <c r="J71" s="135"/>
      <c r="K71" s="135"/>
      <c r="L71" s="135"/>
      <c r="M71" s="390"/>
      <c r="N71" s="390"/>
    </row>
    <row r="72" spans="1:14" x14ac:dyDescent="0.35">
      <c r="A72" s="492"/>
      <c r="B72" s="492"/>
      <c r="C72" s="167"/>
      <c r="D72" s="380"/>
      <c r="E72" s="135"/>
      <c r="F72" s="300"/>
      <c r="G72" s="380"/>
      <c r="H72" s="344"/>
      <c r="I72" s="380"/>
      <c r="J72" s="135"/>
      <c r="K72" s="135"/>
      <c r="L72" s="135"/>
      <c r="M72" s="390"/>
      <c r="N72" s="390"/>
    </row>
    <row r="73" spans="1:14" x14ac:dyDescent="0.35">
      <c r="A73" s="492"/>
      <c r="B73" s="492"/>
      <c r="C73" s="167"/>
      <c r="D73" s="380"/>
      <c r="E73" s="170"/>
      <c r="F73" s="302"/>
      <c r="G73" s="380"/>
      <c r="H73" s="344"/>
      <c r="I73" s="380"/>
      <c r="J73" s="135"/>
      <c r="K73" s="135"/>
      <c r="L73" s="135"/>
      <c r="M73" s="390"/>
      <c r="N73" s="390"/>
    </row>
    <row r="74" spans="1:14" x14ac:dyDescent="0.35">
      <c r="A74" s="492"/>
      <c r="B74" s="492"/>
      <c r="C74" s="167"/>
      <c r="D74" s="380"/>
      <c r="E74" s="300"/>
      <c r="F74" s="139"/>
      <c r="G74" s="170"/>
      <c r="H74" s="176"/>
      <c r="I74" s="177"/>
      <c r="J74" s="135"/>
      <c r="K74" s="135"/>
      <c r="L74" s="135"/>
      <c r="M74" s="390"/>
      <c r="N74" s="390"/>
    </row>
    <row r="75" spans="1:14" x14ac:dyDescent="0.35">
      <c r="A75" s="492"/>
      <c r="B75" s="492"/>
      <c r="C75" s="167"/>
      <c r="D75" s="380"/>
      <c r="E75" s="491"/>
      <c r="F75" s="491"/>
      <c r="G75" s="170"/>
      <c r="H75" s="170"/>
      <c r="I75" s="170"/>
      <c r="J75" s="135"/>
      <c r="K75" s="135"/>
      <c r="L75" s="135"/>
      <c r="M75" s="390"/>
      <c r="N75" s="390"/>
    </row>
    <row r="76" spans="1:14" x14ac:dyDescent="0.35">
      <c r="A76" s="390"/>
      <c r="B76" s="390"/>
      <c r="C76" s="390"/>
      <c r="D76" s="390"/>
      <c r="E76" s="390"/>
      <c r="F76" s="390"/>
      <c r="G76" s="390"/>
      <c r="H76" s="390"/>
      <c r="I76" s="390"/>
      <c r="J76" s="390"/>
      <c r="K76" s="390"/>
      <c r="L76" s="390"/>
      <c r="M76" s="390"/>
      <c r="N76" s="390"/>
    </row>
  </sheetData>
  <sheetProtection password="9C67" sheet="1" objects="1" scenarios="1"/>
  <mergeCells count="43">
    <mergeCell ref="D54:F54"/>
    <mergeCell ref="D53:F53"/>
    <mergeCell ref="D52:F52"/>
    <mergeCell ref="J63:K63"/>
    <mergeCell ref="F64:K64"/>
    <mergeCell ref="E67:G67"/>
    <mergeCell ref="H67:K67"/>
    <mergeCell ref="A63:D64"/>
    <mergeCell ref="D59:F59"/>
    <mergeCell ref="E75:F75"/>
    <mergeCell ref="A72:B72"/>
    <mergeCell ref="A73:B73"/>
    <mergeCell ref="A74:B74"/>
    <mergeCell ref="A75:B75"/>
    <mergeCell ref="A68:B68"/>
    <mergeCell ref="A69:B69"/>
    <mergeCell ref="A70:B70"/>
    <mergeCell ref="A71:B71"/>
    <mergeCell ref="D55:F55"/>
    <mergeCell ref="D56:F56"/>
    <mergeCell ref="D57:F57"/>
    <mergeCell ref="D58:F58"/>
    <mergeCell ref="N49:O49"/>
    <mergeCell ref="L53:M53"/>
    <mergeCell ref="L54:M54"/>
    <mergeCell ref="G53:I53"/>
    <mergeCell ref="G54:I54"/>
    <mergeCell ref="H51:J51"/>
    <mergeCell ref="L55:M55"/>
    <mergeCell ref="L56:M56"/>
    <mergeCell ref="L57:M57"/>
    <mergeCell ref="G55:I55"/>
    <mergeCell ref="G56:I56"/>
    <mergeCell ref="G57:I57"/>
    <mergeCell ref="B7:H7"/>
    <mergeCell ref="O52:P52"/>
    <mergeCell ref="L52:N52"/>
    <mergeCell ref="A44:F45"/>
    <mergeCell ref="N44:O44"/>
    <mergeCell ref="L51:P51"/>
    <mergeCell ref="D49:F49"/>
    <mergeCell ref="D50:F50"/>
    <mergeCell ref="D51:F51"/>
  </mergeCells>
  <phoneticPr fontId="0" type="noConversion"/>
  <dataValidations disablePrompts="1" count="1">
    <dataValidation type="list" allowBlank="1" showInputMessage="1" showErrorMessage="1" sqref="B10">
      <formula1>"Close Charge Number, Change conversion charge number"</formula1>
    </dataValidation>
  </dataValidations>
  <printOptions horizontalCentered="1" verticalCentered="1"/>
  <pageMargins left="0" right="0" top="0" bottom="0" header="0" footer="0"/>
  <pageSetup scale="62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245"/>
  <sheetViews>
    <sheetView zoomScale="75" workbookViewId="0"/>
  </sheetViews>
  <sheetFormatPr defaultColWidth="8.81640625" defaultRowHeight="13" x14ac:dyDescent="0.25"/>
  <cols>
    <col min="1" max="1" width="24.1796875" style="8" customWidth="1"/>
    <col min="2" max="2" width="15.54296875" style="23" bestFit="1" customWidth="1"/>
    <col min="3" max="3" width="5.81640625" style="9" customWidth="1"/>
    <col min="4" max="4" width="104.453125" style="10" customWidth="1"/>
    <col min="5" max="5" width="51.81640625" style="8" customWidth="1"/>
    <col min="6" max="16384" width="8.81640625" style="8"/>
  </cols>
  <sheetData>
    <row r="1" spans="1:5" s="7" customFormat="1" ht="26" x14ac:dyDescent="0.25">
      <c r="A1" s="7" t="s">
        <v>13</v>
      </c>
      <c r="B1" s="35" t="s">
        <v>110</v>
      </c>
      <c r="C1" s="36" t="s">
        <v>111</v>
      </c>
      <c r="D1" s="5" t="s">
        <v>32</v>
      </c>
    </row>
    <row r="2" spans="1:5" ht="13.5" thickBot="1" x14ac:dyDescent="0.3"/>
    <row r="3" spans="1:5" s="34" customFormat="1" ht="13.5" thickTop="1" x14ac:dyDescent="0.25">
      <c r="A3" s="122" t="s">
        <v>99</v>
      </c>
      <c r="B3" s="123"/>
      <c r="C3" s="124"/>
      <c r="D3" s="126" t="s">
        <v>55</v>
      </c>
    </row>
    <row r="4" spans="1:5" x14ac:dyDescent="0.25">
      <c r="A4" s="41" t="s">
        <v>33</v>
      </c>
      <c r="B4" s="42" t="s">
        <v>52</v>
      </c>
      <c r="C4" s="43">
        <v>1</v>
      </c>
      <c r="D4" s="44" t="s">
        <v>521</v>
      </c>
    </row>
    <row r="5" spans="1:5" ht="15.5" x14ac:dyDescent="0.25">
      <c r="A5" s="313" t="s">
        <v>766</v>
      </c>
      <c r="B5" s="45" t="s">
        <v>112</v>
      </c>
      <c r="C5" s="46">
        <v>2</v>
      </c>
      <c r="D5" s="47" t="s">
        <v>113</v>
      </c>
      <c r="E5" s="12" t="s">
        <v>34</v>
      </c>
    </row>
    <row r="6" spans="1:5" x14ac:dyDescent="0.25">
      <c r="A6" s="312" t="s">
        <v>765</v>
      </c>
      <c r="B6" s="48" t="s">
        <v>59</v>
      </c>
      <c r="C6" s="46">
        <v>3</v>
      </c>
      <c r="D6" s="49" t="s">
        <v>114</v>
      </c>
    </row>
    <row r="7" spans="1:5" ht="14" x14ac:dyDescent="0.25">
      <c r="A7" s="314" t="s">
        <v>767</v>
      </c>
      <c r="B7" s="310" t="s">
        <v>69</v>
      </c>
      <c r="C7" s="16">
        <v>4</v>
      </c>
      <c r="D7" s="311" t="s">
        <v>522</v>
      </c>
      <c r="E7" s="15" t="s">
        <v>115</v>
      </c>
    </row>
    <row r="8" spans="1:5" ht="14.5" thickBot="1" x14ac:dyDescent="0.3">
      <c r="A8" s="315" t="s">
        <v>769</v>
      </c>
      <c r="B8" s="50" t="s">
        <v>768</v>
      </c>
      <c r="C8" s="13">
        <v>5</v>
      </c>
      <c r="D8" s="14" t="s">
        <v>770</v>
      </c>
      <c r="E8" s="15"/>
    </row>
    <row r="9" spans="1:5" ht="14" thickTop="1" thickBot="1" x14ac:dyDescent="0.3">
      <c r="A9" s="12"/>
      <c r="B9" s="22"/>
      <c r="C9" s="16"/>
      <c r="D9" s="17"/>
    </row>
    <row r="10" spans="1:5" s="34" customFormat="1" ht="24" customHeight="1" thickTop="1" x14ac:dyDescent="0.25">
      <c r="A10" s="122" t="s">
        <v>100</v>
      </c>
      <c r="B10" s="123"/>
      <c r="C10" s="124"/>
      <c r="D10" s="125" t="s">
        <v>116</v>
      </c>
    </row>
    <row r="11" spans="1:5" ht="24" customHeight="1" x14ac:dyDescent="0.25">
      <c r="A11" s="51" t="s">
        <v>94</v>
      </c>
      <c r="B11" s="52" t="s">
        <v>117</v>
      </c>
      <c r="C11" s="43">
        <v>1</v>
      </c>
      <c r="D11" s="44" t="s">
        <v>776</v>
      </c>
    </row>
    <row r="12" spans="1:5" ht="14.5" thickBot="1" x14ac:dyDescent="0.3">
      <c r="A12" s="316" t="s">
        <v>775</v>
      </c>
      <c r="B12" s="50" t="s">
        <v>118</v>
      </c>
      <c r="C12" s="18">
        <v>2</v>
      </c>
      <c r="D12" s="53"/>
    </row>
    <row r="13" spans="1:5" ht="14" thickTop="1" thickBot="1" x14ac:dyDescent="0.3"/>
    <row r="14" spans="1:5" s="121" customFormat="1" ht="13.5" thickTop="1" x14ac:dyDescent="0.25">
      <c r="A14" s="117" t="s">
        <v>35</v>
      </c>
      <c r="B14" s="118"/>
      <c r="C14" s="119"/>
      <c r="D14" s="120" t="s">
        <v>119</v>
      </c>
    </row>
    <row r="15" spans="1:5" x14ac:dyDescent="0.25">
      <c r="A15" s="57" t="s">
        <v>120</v>
      </c>
      <c r="B15" s="42" t="s">
        <v>40</v>
      </c>
      <c r="C15" s="58">
        <v>1</v>
      </c>
      <c r="D15" s="59" t="s">
        <v>36</v>
      </c>
    </row>
    <row r="16" spans="1:5" x14ac:dyDescent="0.25">
      <c r="A16" s="57" t="s">
        <v>367</v>
      </c>
      <c r="B16" s="42" t="s">
        <v>368</v>
      </c>
      <c r="C16" s="58">
        <v>2</v>
      </c>
      <c r="D16" s="44" t="s">
        <v>369</v>
      </c>
    </row>
    <row r="17" spans="1:5" x14ac:dyDescent="0.25">
      <c r="A17" s="60" t="s">
        <v>121</v>
      </c>
      <c r="B17" s="48" t="s">
        <v>122</v>
      </c>
      <c r="C17" s="46">
        <v>3</v>
      </c>
      <c r="D17" s="61" t="s">
        <v>37</v>
      </c>
    </row>
    <row r="18" spans="1:5" ht="13.5" thickBot="1" x14ac:dyDescent="0.3">
      <c r="A18" s="20" t="s">
        <v>123</v>
      </c>
      <c r="B18" s="62" t="s">
        <v>52</v>
      </c>
      <c r="C18" s="18">
        <v>4</v>
      </c>
      <c r="D18" s="19" t="s">
        <v>38</v>
      </c>
    </row>
    <row r="19" spans="1:5" ht="14" thickTop="1" thickBot="1" x14ac:dyDescent="0.3"/>
    <row r="20" spans="1:5" s="34" customFormat="1" ht="13.5" thickTop="1" x14ac:dyDescent="0.25">
      <c r="A20" s="127" t="s">
        <v>106</v>
      </c>
      <c r="B20" s="128"/>
      <c r="C20" s="129"/>
      <c r="D20" s="130" t="s">
        <v>186</v>
      </c>
      <c r="E20" s="131" t="s">
        <v>39</v>
      </c>
    </row>
    <row r="21" spans="1:5" x14ac:dyDescent="0.25">
      <c r="A21" s="63" t="s">
        <v>40</v>
      </c>
      <c r="B21" s="64" t="s">
        <v>40</v>
      </c>
      <c r="C21" s="43">
        <v>1</v>
      </c>
      <c r="D21" s="65" t="s">
        <v>41</v>
      </c>
      <c r="E21" s="8" t="s">
        <v>42</v>
      </c>
    </row>
    <row r="22" spans="1:5" ht="25" x14ac:dyDescent="0.25">
      <c r="A22" s="66" t="s">
        <v>124</v>
      </c>
      <c r="B22" s="67" t="s">
        <v>125</v>
      </c>
      <c r="C22" s="68">
        <v>2</v>
      </c>
      <c r="D22" s="69" t="s">
        <v>43</v>
      </c>
      <c r="E22" s="8" t="s">
        <v>44</v>
      </c>
    </row>
    <row r="23" spans="1:5" x14ac:dyDescent="0.25">
      <c r="A23" s="66" t="s">
        <v>126</v>
      </c>
      <c r="B23" s="66" t="s">
        <v>127</v>
      </c>
      <c r="C23" s="46">
        <v>3</v>
      </c>
      <c r="D23" s="70" t="s">
        <v>45</v>
      </c>
      <c r="E23" s="8" t="s">
        <v>46</v>
      </c>
    </row>
    <row r="24" spans="1:5" ht="14" x14ac:dyDescent="0.25">
      <c r="A24" s="66" t="s">
        <v>181</v>
      </c>
      <c r="B24" s="48" t="s">
        <v>122</v>
      </c>
      <c r="C24" s="46">
        <v>4</v>
      </c>
      <c r="D24" s="70" t="s">
        <v>47</v>
      </c>
      <c r="E24" s="12" t="s">
        <v>48</v>
      </c>
    </row>
    <row r="25" spans="1:5" ht="13.5" thickBot="1" x14ac:dyDescent="0.3">
      <c r="A25" s="71" t="s">
        <v>49</v>
      </c>
      <c r="B25" s="72" t="s">
        <v>49</v>
      </c>
      <c r="C25" s="73">
        <v>5</v>
      </c>
      <c r="D25" s="74" t="s">
        <v>50</v>
      </c>
      <c r="E25" s="8" t="s">
        <v>51</v>
      </c>
    </row>
    <row r="26" spans="1:5" ht="14" thickTop="1" thickBot="1" x14ac:dyDescent="0.3"/>
    <row r="27" spans="1:5" s="23" customFormat="1" ht="25.5" hidden="1" thickTop="1" x14ac:dyDescent="0.25">
      <c r="A27" s="75" t="s">
        <v>128</v>
      </c>
      <c r="B27" s="76" t="s">
        <v>129</v>
      </c>
      <c r="C27" s="77"/>
      <c r="D27" s="78" t="s">
        <v>130</v>
      </c>
      <c r="E27" s="22"/>
    </row>
    <row r="28" spans="1:5" s="84" customFormat="1" ht="25.5" hidden="1" thickBot="1" x14ac:dyDescent="0.3">
      <c r="A28" s="79" t="s">
        <v>131</v>
      </c>
      <c r="B28" s="80" t="s">
        <v>132</v>
      </c>
      <c r="C28" s="81"/>
      <c r="D28" s="82" t="s">
        <v>133</v>
      </c>
      <c r="E28" s="83"/>
    </row>
    <row r="29" spans="1:5" s="40" customFormat="1" ht="13.5" thickTop="1" x14ac:dyDescent="0.25">
      <c r="A29" s="37" t="s">
        <v>23</v>
      </c>
      <c r="B29" s="38"/>
      <c r="C29" s="39"/>
      <c r="D29" s="126" t="s">
        <v>134</v>
      </c>
    </row>
    <row r="30" spans="1:5" x14ac:dyDescent="0.25">
      <c r="A30" s="24"/>
      <c r="D30" s="11" t="s">
        <v>54</v>
      </c>
    </row>
    <row r="31" spans="1:5" x14ac:dyDescent="0.25">
      <c r="A31" s="24"/>
      <c r="D31" s="11" t="s">
        <v>135</v>
      </c>
    </row>
    <row r="32" spans="1:5" x14ac:dyDescent="0.25">
      <c r="A32" s="24"/>
      <c r="D32" s="25" t="s">
        <v>46</v>
      </c>
    </row>
    <row r="33" spans="1:4" x14ac:dyDescent="0.25">
      <c r="A33" s="24"/>
      <c r="D33" s="11" t="s">
        <v>136</v>
      </c>
    </row>
    <row r="34" spans="1:4" ht="13.5" thickBot="1" x14ac:dyDescent="0.3">
      <c r="A34" s="26"/>
      <c r="B34" s="85"/>
      <c r="C34" s="18"/>
      <c r="D34" s="19" t="s">
        <v>137</v>
      </c>
    </row>
    <row r="35" spans="1:4" ht="14" thickTop="1" thickBot="1" x14ac:dyDescent="0.3">
      <c r="D35" s="15"/>
    </row>
    <row r="36" spans="1:4" s="40" customFormat="1" ht="25.15" customHeight="1" thickTop="1" thickBot="1" x14ac:dyDescent="0.3">
      <c r="A36" s="86" t="s">
        <v>107</v>
      </c>
      <c r="B36" s="87"/>
      <c r="C36" s="88"/>
      <c r="D36" s="89" t="s">
        <v>138</v>
      </c>
    </row>
    <row r="37" spans="1:4" s="40" customFormat="1" ht="14" thickTop="1" thickBot="1" x14ac:dyDescent="0.3">
      <c r="A37" s="90"/>
      <c r="C37" s="91"/>
      <c r="D37" s="92"/>
    </row>
    <row r="38" spans="1:4" s="40" customFormat="1" ht="13.5" thickTop="1" x14ac:dyDescent="0.25">
      <c r="A38" s="54" t="s">
        <v>139</v>
      </c>
      <c r="B38" s="55"/>
      <c r="C38" s="93"/>
      <c r="D38" s="94" t="s">
        <v>55</v>
      </c>
    </row>
    <row r="39" spans="1:4" x14ac:dyDescent="0.25">
      <c r="A39" s="57" t="s">
        <v>183</v>
      </c>
      <c r="B39" s="42" t="s">
        <v>827</v>
      </c>
      <c r="C39" s="43">
        <v>1</v>
      </c>
      <c r="D39" s="95"/>
    </row>
    <row r="40" spans="1:4" x14ac:dyDescent="0.25">
      <c r="A40" s="97" t="s">
        <v>777</v>
      </c>
      <c r="B40" s="42" t="s">
        <v>524</v>
      </c>
      <c r="C40" s="43">
        <v>2</v>
      </c>
      <c r="D40" s="95"/>
    </row>
    <row r="41" spans="1:4" x14ac:dyDescent="0.25">
      <c r="A41" s="97" t="s">
        <v>184</v>
      </c>
      <c r="B41" s="42" t="s">
        <v>185</v>
      </c>
      <c r="C41" s="43">
        <v>3</v>
      </c>
      <c r="D41" s="95"/>
    </row>
    <row r="42" spans="1:4" x14ac:dyDescent="0.25">
      <c r="A42" s="60" t="s">
        <v>140</v>
      </c>
      <c r="B42" s="48" t="s">
        <v>141</v>
      </c>
      <c r="C42" s="43">
        <v>4</v>
      </c>
      <c r="D42" s="96"/>
    </row>
    <row r="43" spans="1:4" x14ac:dyDescent="0.25">
      <c r="A43" s="60" t="s">
        <v>142</v>
      </c>
      <c r="B43" s="48" t="s">
        <v>143</v>
      </c>
      <c r="C43" s="43">
        <v>5</v>
      </c>
      <c r="D43" s="96"/>
    </row>
    <row r="44" spans="1:4" x14ac:dyDescent="0.25">
      <c r="A44" s="60" t="s">
        <v>144</v>
      </c>
      <c r="B44" s="48" t="s">
        <v>145</v>
      </c>
      <c r="C44" s="43">
        <v>6</v>
      </c>
      <c r="D44" s="49"/>
    </row>
    <row r="45" spans="1:4" x14ac:dyDescent="0.25">
      <c r="A45" s="60" t="s">
        <v>146</v>
      </c>
      <c r="B45" s="48" t="s">
        <v>147</v>
      </c>
      <c r="C45" s="43">
        <v>7</v>
      </c>
      <c r="D45" s="49"/>
    </row>
    <row r="46" spans="1:4" x14ac:dyDescent="0.25">
      <c r="A46" s="60" t="s">
        <v>148</v>
      </c>
      <c r="B46" s="48" t="s">
        <v>149</v>
      </c>
      <c r="C46" s="43">
        <v>8</v>
      </c>
      <c r="D46" s="49"/>
    </row>
    <row r="47" spans="1:4" x14ac:dyDescent="0.25">
      <c r="A47" s="97" t="s">
        <v>150</v>
      </c>
      <c r="B47" s="42" t="s">
        <v>151</v>
      </c>
      <c r="C47" s="43">
        <v>9</v>
      </c>
      <c r="D47" s="95"/>
    </row>
    <row r="48" spans="1:4" ht="13.5" thickBot="1" x14ac:dyDescent="0.3">
      <c r="A48" s="26"/>
      <c r="B48" s="85"/>
      <c r="C48" s="18"/>
      <c r="D48" s="27"/>
    </row>
    <row r="49" spans="1:4" ht="14" thickTop="1" thickBot="1" x14ac:dyDescent="0.3"/>
    <row r="50" spans="1:4" s="40" customFormat="1" ht="13.5" thickTop="1" x14ac:dyDescent="0.25">
      <c r="A50" s="98" t="s">
        <v>56</v>
      </c>
      <c r="B50" s="99"/>
      <c r="C50" s="93"/>
      <c r="D50" s="94" t="s">
        <v>55</v>
      </c>
    </row>
    <row r="51" spans="1:4" x14ac:dyDescent="0.25">
      <c r="A51" s="100"/>
      <c r="B51" s="35"/>
      <c r="D51" s="101"/>
    </row>
    <row r="52" spans="1:4" x14ac:dyDescent="0.25">
      <c r="A52" s="102" t="s">
        <v>58</v>
      </c>
      <c r="B52" s="64" t="s">
        <v>57</v>
      </c>
      <c r="C52" s="43">
        <v>1</v>
      </c>
      <c r="D52" s="95"/>
    </row>
    <row r="53" spans="1:4" x14ac:dyDescent="0.25">
      <c r="A53" s="103" t="s">
        <v>62</v>
      </c>
      <c r="B53" s="104" t="s">
        <v>61</v>
      </c>
      <c r="C53" s="43">
        <v>2</v>
      </c>
      <c r="D53" s="96"/>
    </row>
    <row r="54" spans="1:4" x14ac:dyDescent="0.25">
      <c r="A54" s="103" t="s">
        <v>64</v>
      </c>
      <c r="B54" s="104" t="s">
        <v>63</v>
      </c>
      <c r="C54" s="43">
        <v>3</v>
      </c>
      <c r="D54" s="96"/>
    </row>
    <row r="55" spans="1:4" x14ac:dyDescent="0.25">
      <c r="A55" s="60" t="s">
        <v>65</v>
      </c>
      <c r="B55" s="67" t="s">
        <v>152</v>
      </c>
      <c r="C55" s="43">
        <v>4</v>
      </c>
      <c r="D55" s="96"/>
    </row>
    <row r="56" spans="1:4" x14ac:dyDescent="0.25">
      <c r="A56" s="60" t="s">
        <v>153</v>
      </c>
      <c r="B56" s="48" t="s">
        <v>154</v>
      </c>
      <c r="C56" s="43">
        <v>5</v>
      </c>
      <c r="D56" s="96"/>
    </row>
    <row r="57" spans="1:4" x14ac:dyDescent="0.25">
      <c r="A57" s="103" t="s">
        <v>67</v>
      </c>
      <c r="B57" s="104" t="s">
        <v>66</v>
      </c>
      <c r="C57" s="43">
        <v>6</v>
      </c>
      <c r="D57" s="96"/>
    </row>
    <row r="58" spans="1:4" x14ac:dyDescent="0.25">
      <c r="A58" s="103" t="s">
        <v>155</v>
      </c>
      <c r="B58" s="104" t="s">
        <v>156</v>
      </c>
      <c r="C58" s="43">
        <v>7</v>
      </c>
      <c r="D58" s="96"/>
    </row>
    <row r="59" spans="1:4" x14ac:dyDescent="0.25">
      <c r="A59" s="105" t="s">
        <v>157</v>
      </c>
      <c r="B59" s="48" t="s">
        <v>158</v>
      </c>
      <c r="C59" s="43">
        <v>8</v>
      </c>
      <c r="D59" s="61" t="s">
        <v>159</v>
      </c>
    </row>
    <row r="60" spans="1:4" x14ac:dyDescent="0.25">
      <c r="A60" s="105" t="s">
        <v>160</v>
      </c>
      <c r="B60" s="48" t="s">
        <v>161</v>
      </c>
      <c r="C60" s="43">
        <v>9</v>
      </c>
      <c r="D60" s="61"/>
    </row>
    <row r="61" spans="1:4" x14ac:dyDescent="0.25">
      <c r="A61" s="106" t="s">
        <v>162</v>
      </c>
      <c r="B61" s="48" t="s">
        <v>163</v>
      </c>
      <c r="C61" s="43">
        <v>10</v>
      </c>
      <c r="D61" s="61" t="s">
        <v>164</v>
      </c>
    </row>
    <row r="62" spans="1:4" ht="13.5" thickBot="1" x14ac:dyDescent="0.3">
      <c r="A62" s="26" t="s">
        <v>70</v>
      </c>
      <c r="B62" s="85" t="s">
        <v>69</v>
      </c>
      <c r="C62" s="18">
        <v>11</v>
      </c>
      <c r="D62" s="27"/>
    </row>
    <row r="63" spans="1:4" ht="14" thickTop="1" thickBot="1" x14ac:dyDescent="0.3"/>
    <row r="64" spans="1:4" s="108" customFormat="1" ht="13.5" thickTop="1" x14ac:dyDescent="0.25">
      <c r="A64" s="98" t="s">
        <v>71</v>
      </c>
      <c r="B64" s="99"/>
      <c r="C64" s="56"/>
      <c r="D64" s="107" t="s">
        <v>53</v>
      </c>
    </row>
    <row r="65" spans="1:4" x14ac:dyDescent="0.25">
      <c r="A65" s="102" t="s">
        <v>72</v>
      </c>
      <c r="B65" s="64"/>
      <c r="C65" s="43">
        <v>1</v>
      </c>
      <c r="D65" s="109" t="s">
        <v>165</v>
      </c>
    </row>
    <row r="66" spans="1:4" x14ac:dyDescent="0.25">
      <c r="A66" s="103" t="s">
        <v>73</v>
      </c>
      <c r="B66" s="104"/>
      <c r="C66" s="46">
        <v>2</v>
      </c>
      <c r="D66" s="110" t="s">
        <v>166</v>
      </c>
    </row>
    <row r="67" spans="1:4" x14ac:dyDescent="0.25">
      <c r="A67" s="60" t="s">
        <v>74</v>
      </c>
      <c r="B67" s="67"/>
      <c r="C67" s="46">
        <v>3</v>
      </c>
      <c r="D67" s="110" t="s">
        <v>167</v>
      </c>
    </row>
    <row r="68" spans="1:4" x14ac:dyDescent="0.25">
      <c r="A68" s="105" t="s">
        <v>168</v>
      </c>
      <c r="B68" s="48"/>
      <c r="C68" s="46">
        <v>4</v>
      </c>
      <c r="D68" s="110" t="s">
        <v>169</v>
      </c>
    </row>
    <row r="69" spans="1:4" x14ac:dyDescent="0.25">
      <c r="A69" s="60" t="s">
        <v>75</v>
      </c>
      <c r="B69" s="67"/>
      <c r="C69" s="43">
        <v>5</v>
      </c>
      <c r="D69" s="110" t="s">
        <v>170</v>
      </c>
    </row>
    <row r="70" spans="1:4" x14ac:dyDescent="0.25">
      <c r="A70" s="103" t="s">
        <v>76</v>
      </c>
      <c r="B70" s="104"/>
      <c r="C70" s="46">
        <v>6</v>
      </c>
      <c r="D70" s="110" t="s">
        <v>171</v>
      </c>
    </row>
    <row r="71" spans="1:4" x14ac:dyDescent="0.25">
      <c r="A71" s="103" t="s">
        <v>77</v>
      </c>
      <c r="B71" s="104"/>
      <c r="C71" s="46">
        <v>7</v>
      </c>
      <c r="D71" s="111" t="s">
        <v>57</v>
      </c>
    </row>
    <row r="72" spans="1:4" x14ac:dyDescent="0.25">
      <c r="A72" s="103" t="s">
        <v>78</v>
      </c>
      <c r="B72" s="104"/>
      <c r="C72" s="46">
        <v>8</v>
      </c>
      <c r="D72" s="111" t="s">
        <v>60</v>
      </c>
    </row>
    <row r="73" spans="1:4" x14ac:dyDescent="0.25">
      <c r="A73" s="103" t="s">
        <v>79</v>
      </c>
      <c r="B73" s="104"/>
      <c r="C73" s="43">
        <v>9</v>
      </c>
      <c r="D73" s="110" t="s">
        <v>172</v>
      </c>
    </row>
    <row r="74" spans="1:4" x14ac:dyDescent="0.25">
      <c r="A74" s="103" t="s">
        <v>80</v>
      </c>
      <c r="B74" s="104"/>
      <c r="C74" s="46">
        <v>10</v>
      </c>
      <c r="D74" s="110" t="s">
        <v>173</v>
      </c>
    </row>
    <row r="75" spans="1:4" x14ac:dyDescent="0.25">
      <c r="A75" s="103" t="s">
        <v>81</v>
      </c>
      <c r="B75" s="104"/>
      <c r="C75" s="46">
        <v>11</v>
      </c>
      <c r="D75" s="110" t="s">
        <v>174</v>
      </c>
    </row>
    <row r="76" spans="1:4" x14ac:dyDescent="0.25">
      <c r="A76" s="103" t="s">
        <v>82</v>
      </c>
      <c r="B76" s="104"/>
      <c r="C76" s="46">
        <v>12</v>
      </c>
      <c r="D76" s="110" t="s">
        <v>175</v>
      </c>
    </row>
    <row r="77" spans="1:4" x14ac:dyDescent="0.25">
      <c r="A77" s="103" t="s">
        <v>83</v>
      </c>
      <c r="B77" s="104"/>
      <c r="C77" s="43">
        <v>13</v>
      </c>
      <c r="D77" s="110" t="s">
        <v>175</v>
      </c>
    </row>
    <row r="78" spans="1:4" x14ac:dyDescent="0.25">
      <c r="A78" s="103" t="s">
        <v>85</v>
      </c>
      <c r="B78" s="104"/>
      <c r="C78" s="46">
        <v>14</v>
      </c>
      <c r="D78" s="112" t="s">
        <v>176</v>
      </c>
    </row>
    <row r="79" spans="1:4" x14ac:dyDescent="0.25">
      <c r="A79" s="113" t="s">
        <v>84</v>
      </c>
      <c r="B79" s="104"/>
      <c r="C79" s="46">
        <v>15</v>
      </c>
      <c r="D79" s="111" t="s">
        <v>63</v>
      </c>
    </row>
    <row r="80" spans="1:4" x14ac:dyDescent="0.25">
      <c r="A80" s="103" t="s">
        <v>86</v>
      </c>
      <c r="B80" s="104"/>
      <c r="C80" s="46">
        <v>16</v>
      </c>
      <c r="D80" s="111" t="s">
        <v>68</v>
      </c>
    </row>
    <row r="81" spans="1:4" x14ac:dyDescent="0.25">
      <c r="A81" s="103" t="s">
        <v>87</v>
      </c>
      <c r="B81" s="104"/>
      <c r="C81" s="43">
        <v>17</v>
      </c>
      <c r="D81" s="110" t="s">
        <v>57</v>
      </c>
    </row>
    <row r="82" spans="1:4" x14ac:dyDescent="0.25">
      <c r="A82" s="103" t="s">
        <v>177</v>
      </c>
      <c r="B82" s="104"/>
      <c r="C82" s="43">
        <v>18</v>
      </c>
      <c r="D82" s="111" t="s">
        <v>178</v>
      </c>
    </row>
    <row r="83" spans="1:4" x14ac:dyDescent="0.25">
      <c r="A83" s="114" t="s">
        <v>179</v>
      </c>
      <c r="B83" s="104"/>
      <c r="C83" s="46">
        <v>19</v>
      </c>
      <c r="D83" s="111"/>
    </row>
    <row r="84" spans="1:4" x14ac:dyDescent="0.25">
      <c r="A84" s="103" t="s">
        <v>180</v>
      </c>
      <c r="B84" s="104"/>
      <c r="C84" s="43">
        <v>20</v>
      </c>
      <c r="D84" s="111"/>
    </row>
    <row r="85" spans="1:4" ht="13.5" thickBot="1" x14ac:dyDescent="0.3">
      <c r="A85" s="26"/>
      <c r="B85" s="85"/>
      <c r="C85" s="18"/>
      <c r="D85" s="27"/>
    </row>
    <row r="86" spans="1:4" ht="13.5" thickTop="1" x14ac:dyDescent="0.25"/>
    <row r="215" spans="1:5" s="29" customFormat="1" ht="12.5" x14ac:dyDescent="0.25">
      <c r="A215" s="6" t="s">
        <v>88</v>
      </c>
      <c r="B215" s="6"/>
      <c r="C215" s="28"/>
      <c r="D215" s="115" t="s">
        <v>89</v>
      </c>
      <c r="E215" s="8"/>
    </row>
    <row r="216" spans="1:5" s="29" customFormat="1" ht="12.5" x14ac:dyDescent="0.25">
      <c r="A216" s="6" t="s">
        <v>90</v>
      </c>
      <c r="B216" s="6"/>
      <c r="C216" s="28"/>
      <c r="D216" s="116" t="s">
        <v>91</v>
      </c>
      <c r="E216" s="8"/>
    </row>
    <row r="217" spans="1:5" s="29" customFormat="1" ht="12.5" x14ac:dyDescent="0.25">
      <c r="A217" s="6" t="s">
        <v>30</v>
      </c>
      <c r="B217" s="6"/>
      <c r="C217" s="28"/>
      <c r="D217" s="115" t="s">
        <v>92</v>
      </c>
      <c r="E217" s="8"/>
    </row>
    <row r="218" spans="1:5" s="29" customFormat="1" ht="12.5" x14ac:dyDescent="0.25">
      <c r="A218" s="6" t="s">
        <v>31</v>
      </c>
      <c r="B218" s="6"/>
      <c r="C218" s="28"/>
      <c r="D218" s="10"/>
      <c r="E218" s="8"/>
    </row>
    <row r="219" spans="1:5" s="29" customFormat="1" ht="12.5" x14ac:dyDescent="0.25">
      <c r="A219" s="6" t="s">
        <v>24</v>
      </c>
      <c r="B219" s="6"/>
      <c r="C219" s="28"/>
      <c r="D219" s="10" t="s">
        <v>93</v>
      </c>
      <c r="E219" s="8"/>
    </row>
    <row r="230" spans="1:5" x14ac:dyDescent="0.25">
      <c r="A230" s="21"/>
      <c r="B230" s="1"/>
      <c r="C230" s="30"/>
    </row>
    <row r="231" spans="1:5" x14ac:dyDescent="0.25">
      <c r="A231" s="12"/>
      <c r="B231" s="22"/>
      <c r="C231" s="16"/>
    </row>
    <row r="232" spans="1:5" x14ac:dyDescent="0.25">
      <c r="A232" s="12"/>
      <c r="B232" s="22"/>
      <c r="C232" s="16"/>
    </row>
    <row r="236" spans="1:5" x14ac:dyDescent="0.25">
      <c r="A236" s="21"/>
      <c r="B236" s="1"/>
      <c r="C236" s="30"/>
      <c r="E236" s="21"/>
    </row>
    <row r="237" spans="1:5" x14ac:dyDescent="0.25">
      <c r="A237" s="22"/>
      <c r="B237" s="22"/>
      <c r="C237" s="16"/>
      <c r="E237" s="3"/>
    </row>
    <row r="238" spans="1:5" x14ac:dyDescent="0.25">
      <c r="A238" s="22"/>
      <c r="B238" s="22"/>
      <c r="C238" s="16"/>
    </row>
    <row r="239" spans="1:5" x14ac:dyDescent="0.25">
      <c r="A239" s="22"/>
      <c r="B239" s="22"/>
      <c r="C239" s="16"/>
    </row>
    <row r="240" spans="1:5" x14ac:dyDescent="0.25">
      <c r="A240" s="22"/>
      <c r="B240" s="22"/>
      <c r="C240" s="16"/>
      <c r="D240" s="15"/>
    </row>
    <row r="241" spans="1:4" x14ac:dyDescent="0.25">
      <c r="A241" s="31"/>
      <c r="B241" s="31"/>
      <c r="D241" s="15"/>
    </row>
    <row r="242" spans="1:4" x14ac:dyDescent="0.25">
      <c r="A242" s="31"/>
      <c r="B242" s="31"/>
    </row>
    <row r="243" spans="1:4" x14ac:dyDescent="0.25">
      <c r="A243" s="21"/>
      <c r="B243" s="1"/>
      <c r="C243" s="30"/>
      <c r="D243" s="15"/>
    </row>
    <row r="244" spans="1:4" x14ac:dyDescent="0.25">
      <c r="A244" s="31"/>
      <c r="B244" s="31"/>
    </row>
    <row r="245" spans="1:4" x14ac:dyDescent="0.25">
      <c r="A245" s="31"/>
      <c r="B245" s="31"/>
      <c r="D245" s="15"/>
    </row>
  </sheetData>
  <phoneticPr fontId="0" type="noConversion"/>
  <printOptions horizontalCentered="1" verticalCentered="1"/>
  <pageMargins left="0" right="0" top="0" bottom="0" header="0" footer="0"/>
  <pageSetup scale="65" orientation="portrait" verticalDpi="300" r:id="rId1"/>
  <headerFooter alignWithMargins="0">
    <oddHeader>&amp;A</oddHeader>
    <oddFooter>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09"/>
  <sheetViews>
    <sheetView zoomScale="75" zoomScaleNormal="100" workbookViewId="0">
      <pane xSplit="2" ySplit="1" topLeftCell="C2" activePane="bottomRight" state="frozen"/>
      <selection activeCell="D14" sqref="D14:H14"/>
      <selection pane="topRight" activeCell="D14" sqref="D14:H14"/>
      <selection pane="bottomLeft" activeCell="D14" sqref="D14:H14"/>
      <selection pane="bottomRight" activeCell="C2" sqref="C2"/>
    </sheetView>
  </sheetViews>
  <sheetFormatPr defaultColWidth="9.1796875" defaultRowHeight="12.5" x14ac:dyDescent="0.25"/>
  <cols>
    <col min="1" max="1" width="9.1796875" style="275"/>
    <col min="2" max="2" width="20.1796875" style="290" customWidth="1"/>
    <col min="3" max="3" width="26.453125" style="277" customWidth="1"/>
    <col min="4" max="4" width="41" style="277" customWidth="1"/>
    <col min="5" max="5" width="27" style="275" bestFit="1" customWidth="1"/>
    <col min="6" max="16384" width="9.1796875" style="277"/>
  </cols>
  <sheetData>
    <row r="1" spans="1:255" s="274" customFormat="1" ht="13" x14ac:dyDescent="0.3">
      <c r="A1" s="272" t="s">
        <v>548</v>
      </c>
      <c r="B1" s="273" t="s">
        <v>14</v>
      </c>
      <c r="C1" s="274" t="s">
        <v>56</v>
      </c>
      <c r="D1" s="274" t="s">
        <v>549</v>
      </c>
      <c r="E1" s="272" t="s">
        <v>550</v>
      </c>
    </row>
    <row r="2" spans="1:255" x14ac:dyDescent="0.25">
      <c r="A2" s="275">
        <v>1</v>
      </c>
      <c r="B2" s="276" t="s">
        <v>551</v>
      </c>
      <c r="C2" s="277" t="s">
        <v>58</v>
      </c>
      <c r="D2" s="278" t="s">
        <v>552</v>
      </c>
    </row>
    <row r="3" spans="1:255" s="280" customFormat="1" x14ac:dyDescent="0.25">
      <c r="A3" s="275">
        <v>2</v>
      </c>
      <c r="B3" s="276" t="s">
        <v>553</v>
      </c>
      <c r="C3" s="277" t="s">
        <v>58</v>
      </c>
      <c r="D3" s="277" t="s">
        <v>554</v>
      </c>
      <c r="E3" s="275"/>
      <c r="F3" s="277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X3" s="279"/>
      <c r="BY3" s="279"/>
      <c r="BZ3" s="279"/>
      <c r="CA3" s="279"/>
      <c r="CB3" s="279"/>
      <c r="CC3" s="279"/>
      <c r="CD3" s="279"/>
      <c r="CE3" s="279"/>
      <c r="CF3" s="279"/>
      <c r="CG3" s="279"/>
      <c r="CH3" s="279"/>
      <c r="CI3" s="279"/>
      <c r="CJ3" s="279"/>
      <c r="CK3" s="279"/>
      <c r="CL3" s="279"/>
      <c r="CM3" s="279"/>
      <c r="CN3" s="279"/>
      <c r="CO3" s="279"/>
      <c r="CP3" s="279"/>
      <c r="CQ3" s="279"/>
      <c r="CR3" s="279"/>
      <c r="CS3" s="279"/>
      <c r="CT3" s="279"/>
      <c r="CU3" s="279"/>
      <c r="CV3" s="279"/>
      <c r="CW3" s="279"/>
      <c r="CX3" s="279"/>
      <c r="CY3" s="279"/>
      <c r="CZ3" s="279"/>
      <c r="DA3" s="279"/>
      <c r="DB3" s="279"/>
      <c r="DC3" s="279"/>
      <c r="DD3" s="279"/>
      <c r="DE3" s="279"/>
      <c r="DF3" s="279"/>
      <c r="DG3" s="279"/>
      <c r="DH3" s="279"/>
      <c r="DI3" s="279"/>
      <c r="DJ3" s="279"/>
      <c r="DK3" s="279"/>
      <c r="DL3" s="279"/>
      <c r="DM3" s="279"/>
      <c r="DN3" s="279"/>
      <c r="DO3" s="279"/>
      <c r="DP3" s="279"/>
      <c r="DQ3" s="279"/>
      <c r="DR3" s="279"/>
      <c r="DS3" s="279"/>
      <c r="DT3" s="279"/>
      <c r="DU3" s="279"/>
      <c r="DV3" s="279"/>
      <c r="DW3" s="279"/>
      <c r="DX3" s="279"/>
      <c r="DY3" s="279"/>
      <c r="DZ3" s="279"/>
      <c r="EA3" s="279"/>
      <c r="EB3" s="279"/>
      <c r="EC3" s="279"/>
      <c r="ED3" s="279"/>
      <c r="EE3" s="279"/>
      <c r="EF3" s="279"/>
      <c r="EG3" s="279"/>
      <c r="EH3" s="279"/>
      <c r="EI3" s="279"/>
      <c r="EJ3" s="279"/>
      <c r="EK3" s="279"/>
      <c r="EL3" s="279"/>
      <c r="EM3" s="279"/>
      <c r="EN3" s="279"/>
      <c r="EO3" s="279"/>
      <c r="EP3" s="279"/>
      <c r="EQ3" s="279"/>
      <c r="ER3" s="279"/>
      <c r="ES3" s="279"/>
      <c r="ET3" s="279"/>
      <c r="EU3" s="279"/>
      <c r="EV3" s="279"/>
      <c r="EW3" s="279"/>
      <c r="EX3" s="279"/>
      <c r="EY3" s="279"/>
      <c r="EZ3" s="279"/>
      <c r="FA3" s="279"/>
      <c r="FB3" s="279"/>
      <c r="FC3" s="279"/>
      <c r="FD3" s="279"/>
      <c r="FE3" s="279"/>
      <c r="FF3" s="279"/>
      <c r="FG3" s="279"/>
      <c r="FH3" s="279"/>
      <c r="FI3" s="279"/>
      <c r="FJ3" s="279"/>
      <c r="FK3" s="279"/>
      <c r="FL3" s="279"/>
      <c r="FM3" s="279"/>
      <c r="FN3" s="279"/>
      <c r="FO3" s="279"/>
      <c r="FP3" s="279"/>
      <c r="FQ3" s="279"/>
      <c r="FR3" s="279"/>
      <c r="FS3" s="279"/>
      <c r="FT3" s="279"/>
      <c r="FU3" s="279"/>
      <c r="FV3" s="279"/>
      <c r="FW3" s="279"/>
      <c r="FX3" s="279"/>
      <c r="FY3" s="279"/>
      <c r="FZ3" s="279"/>
      <c r="GA3" s="279"/>
      <c r="GB3" s="279"/>
      <c r="GC3" s="279"/>
      <c r="GD3" s="279"/>
      <c r="GE3" s="279"/>
      <c r="GF3" s="279"/>
      <c r="GG3" s="279"/>
      <c r="GH3" s="279"/>
      <c r="GI3" s="279"/>
      <c r="GJ3" s="279"/>
      <c r="GK3" s="279"/>
      <c r="GL3" s="279"/>
      <c r="GM3" s="279"/>
      <c r="GN3" s="279"/>
      <c r="GO3" s="279"/>
      <c r="GP3" s="279"/>
      <c r="GQ3" s="279"/>
      <c r="GR3" s="279"/>
      <c r="GS3" s="279"/>
      <c r="GT3" s="279"/>
      <c r="GU3" s="279"/>
      <c r="GV3" s="279"/>
      <c r="GW3" s="279"/>
      <c r="GX3" s="279"/>
      <c r="GY3" s="279"/>
      <c r="GZ3" s="279"/>
      <c r="HA3" s="279"/>
      <c r="HB3" s="279"/>
      <c r="HC3" s="279"/>
      <c r="HD3" s="279"/>
      <c r="HE3" s="279"/>
      <c r="HF3" s="279"/>
      <c r="HG3" s="279"/>
      <c r="HH3" s="279"/>
      <c r="HI3" s="279"/>
      <c r="HJ3" s="279"/>
      <c r="HK3" s="279"/>
      <c r="HL3" s="279"/>
      <c r="HM3" s="279"/>
      <c r="HN3" s="279"/>
      <c r="HO3" s="279"/>
      <c r="HP3" s="279"/>
      <c r="HQ3" s="279"/>
      <c r="HR3" s="279"/>
      <c r="HS3" s="279"/>
      <c r="HT3" s="279"/>
      <c r="HU3" s="279"/>
      <c r="HV3" s="279"/>
      <c r="HW3" s="279"/>
      <c r="HX3" s="279"/>
      <c r="HY3" s="279"/>
      <c r="HZ3" s="279"/>
      <c r="IA3" s="279"/>
      <c r="IB3" s="279"/>
      <c r="IC3" s="279"/>
      <c r="ID3" s="279"/>
      <c r="IE3" s="279"/>
      <c r="IF3" s="279"/>
      <c r="IG3" s="279"/>
      <c r="IH3" s="279"/>
      <c r="II3" s="279"/>
      <c r="IJ3" s="279"/>
      <c r="IK3" s="279"/>
      <c r="IL3" s="279"/>
      <c r="IM3" s="279"/>
      <c r="IN3" s="279"/>
      <c r="IO3" s="279"/>
      <c r="IP3" s="279"/>
      <c r="IQ3" s="279"/>
      <c r="IR3" s="279"/>
      <c r="IS3" s="279"/>
      <c r="IT3" s="279"/>
      <c r="IU3" s="279"/>
    </row>
    <row r="4" spans="1:255" s="280" customFormat="1" x14ac:dyDescent="0.25">
      <c r="A4" s="275">
        <v>3</v>
      </c>
      <c r="B4" s="276" t="s">
        <v>555</v>
      </c>
      <c r="C4" s="277" t="s">
        <v>58</v>
      </c>
      <c r="D4" s="277" t="s">
        <v>224</v>
      </c>
      <c r="E4" s="275"/>
      <c r="F4" s="277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79"/>
      <c r="BW4" s="279"/>
      <c r="BX4" s="279"/>
      <c r="BY4" s="279"/>
      <c r="BZ4" s="279"/>
      <c r="CA4" s="279"/>
      <c r="CB4" s="279"/>
      <c r="CC4" s="279"/>
      <c r="CD4" s="279"/>
      <c r="CE4" s="279"/>
      <c r="CF4" s="279"/>
      <c r="CG4" s="279"/>
      <c r="CH4" s="279"/>
      <c r="CI4" s="279"/>
      <c r="CJ4" s="279"/>
      <c r="CK4" s="279"/>
      <c r="CL4" s="279"/>
      <c r="CM4" s="279"/>
      <c r="CN4" s="279"/>
      <c r="CO4" s="279"/>
      <c r="CP4" s="279"/>
      <c r="CQ4" s="279"/>
      <c r="CR4" s="279"/>
      <c r="CS4" s="279"/>
      <c r="CT4" s="279"/>
      <c r="CU4" s="279"/>
      <c r="CV4" s="279"/>
      <c r="CW4" s="279"/>
      <c r="CX4" s="279"/>
      <c r="CY4" s="279"/>
      <c r="CZ4" s="279"/>
      <c r="DA4" s="279"/>
      <c r="DB4" s="279"/>
      <c r="DC4" s="279"/>
      <c r="DD4" s="279"/>
      <c r="DE4" s="279"/>
      <c r="DF4" s="279"/>
      <c r="DG4" s="279"/>
      <c r="DH4" s="279"/>
      <c r="DI4" s="279"/>
      <c r="DJ4" s="279"/>
      <c r="DK4" s="279"/>
      <c r="DL4" s="279"/>
      <c r="DM4" s="279"/>
      <c r="DN4" s="279"/>
      <c r="DO4" s="279"/>
      <c r="DP4" s="279"/>
      <c r="DQ4" s="279"/>
      <c r="DR4" s="279"/>
      <c r="DS4" s="279"/>
      <c r="DT4" s="279"/>
      <c r="DU4" s="279"/>
      <c r="DV4" s="279"/>
      <c r="DW4" s="279"/>
      <c r="DX4" s="279"/>
      <c r="DY4" s="279"/>
      <c r="DZ4" s="279"/>
      <c r="EA4" s="279"/>
      <c r="EB4" s="279"/>
      <c r="EC4" s="279"/>
      <c r="ED4" s="279"/>
      <c r="EE4" s="279"/>
      <c r="EF4" s="279"/>
      <c r="EG4" s="279"/>
      <c r="EH4" s="279"/>
      <c r="EI4" s="279"/>
      <c r="EJ4" s="279"/>
      <c r="EK4" s="279"/>
      <c r="EL4" s="279"/>
      <c r="EM4" s="279"/>
      <c r="EN4" s="279"/>
      <c r="EO4" s="279"/>
      <c r="EP4" s="279"/>
      <c r="EQ4" s="279"/>
      <c r="ER4" s="279"/>
      <c r="ES4" s="279"/>
      <c r="ET4" s="279"/>
      <c r="EU4" s="279"/>
      <c r="EV4" s="279"/>
      <c r="EW4" s="279"/>
      <c r="EX4" s="279"/>
      <c r="EY4" s="279"/>
      <c r="EZ4" s="279"/>
      <c r="FA4" s="279"/>
      <c r="FB4" s="279"/>
      <c r="FC4" s="279"/>
      <c r="FD4" s="279"/>
      <c r="FE4" s="279"/>
      <c r="FF4" s="279"/>
      <c r="FG4" s="279"/>
      <c r="FH4" s="279"/>
      <c r="FI4" s="279"/>
      <c r="FJ4" s="279"/>
      <c r="FK4" s="279"/>
      <c r="FL4" s="279"/>
      <c r="FM4" s="279"/>
      <c r="FN4" s="279"/>
      <c r="FO4" s="279"/>
      <c r="FP4" s="279"/>
      <c r="FQ4" s="279"/>
      <c r="FR4" s="279"/>
      <c r="FS4" s="279"/>
      <c r="FT4" s="279"/>
      <c r="FU4" s="279"/>
      <c r="FV4" s="279"/>
      <c r="FW4" s="279"/>
      <c r="FX4" s="279"/>
      <c r="FY4" s="279"/>
      <c r="FZ4" s="279"/>
      <c r="GA4" s="279"/>
      <c r="GB4" s="279"/>
      <c r="GC4" s="279"/>
      <c r="GD4" s="279"/>
      <c r="GE4" s="279"/>
      <c r="GF4" s="279"/>
      <c r="GG4" s="279"/>
      <c r="GH4" s="279"/>
      <c r="GI4" s="279"/>
      <c r="GJ4" s="279"/>
      <c r="GK4" s="279"/>
      <c r="GL4" s="279"/>
      <c r="GM4" s="279"/>
      <c r="GN4" s="279"/>
      <c r="GO4" s="279"/>
      <c r="GP4" s="279"/>
      <c r="GQ4" s="279"/>
      <c r="GR4" s="279"/>
      <c r="GS4" s="279"/>
      <c r="GT4" s="279"/>
      <c r="GU4" s="279"/>
      <c r="GV4" s="279"/>
      <c r="GW4" s="279"/>
      <c r="GX4" s="279"/>
      <c r="GY4" s="279"/>
      <c r="GZ4" s="279"/>
      <c r="HA4" s="279"/>
      <c r="HB4" s="279"/>
      <c r="HC4" s="279"/>
      <c r="HD4" s="279"/>
      <c r="HE4" s="279"/>
      <c r="HF4" s="279"/>
      <c r="HG4" s="279"/>
      <c r="HH4" s="279"/>
      <c r="HI4" s="279"/>
      <c r="HJ4" s="279"/>
      <c r="HK4" s="279"/>
      <c r="HL4" s="279"/>
      <c r="HM4" s="279"/>
      <c r="HN4" s="279"/>
      <c r="HO4" s="279"/>
      <c r="HP4" s="279"/>
      <c r="HQ4" s="279"/>
      <c r="HR4" s="279"/>
      <c r="HS4" s="279"/>
      <c r="HT4" s="279"/>
      <c r="HU4" s="279"/>
      <c r="HV4" s="279"/>
      <c r="HW4" s="279"/>
      <c r="HX4" s="279"/>
      <c r="HY4" s="279"/>
      <c r="HZ4" s="279"/>
      <c r="IA4" s="279"/>
      <c r="IB4" s="279"/>
      <c r="IC4" s="279"/>
      <c r="ID4" s="279"/>
      <c r="IE4" s="279"/>
      <c r="IF4" s="279"/>
      <c r="IG4" s="279"/>
      <c r="IH4" s="279"/>
      <c r="II4" s="279"/>
      <c r="IJ4" s="279"/>
      <c r="IK4" s="279"/>
      <c r="IL4" s="279"/>
      <c r="IM4" s="279"/>
      <c r="IN4" s="279"/>
      <c r="IO4" s="279"/>
      <c r="IP4" s="279"/>
      <c r="IQ4" s="279"/>
      <c r="IR4" s="279"/>
      <c r="IS4" s="279"/>
      <c r="IT4" s="279"/>
      <c r="IU4" s="279"/>
    </row>
    <row r="5" spans="1:255" s="280" customFormat="1" x14ac:dyDescent="0.25">
      <c r="A5" s="275">
        <v>4</v>
      </c>
      <c r="B5" s="276" t="s">
        <v>556</v>
      </c>
      <c r="C5" s="277" t="s">
        <v>58</v>
      </c>
      <c r="D5" s="278" t="s">
        <v>557</v>
      </c>
      <c r="E5" s="281" t="s">
        <v>558</v>
      </c>
      <c r="F5" s="277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  <c r="AK5" s="279"/>
      <c r="AL5" s="279"/>
      <c r="AM5" s="279"/>
      <c r="AN5" s="279"/>
      <c r="AO5" s="279"/>
      <c r="AP5" s="279"/>
      <c r="AQ5" s="279"/>
      <c r="AR5" s="279"/>
      <c r="AS5" s="279"/>
      <c r="AT5" s="279"/>
      <c r="AU5" s="279"/>
      <c r="AV5" s="279"/>
      <c r="AW5" s="279"/>
      <c r="AX5" s="279"/>
      <c r="AY5" s="279"/>
      <c r="AZ5" s="279"/>
      <c r="BA5" s="279"/>
      <c r="BB5" s="279"/>
      <c r="BC5" s="279"/>
      <c r="BD5" s="279"/>
      <c r="BE5" s="279"/>
      <c r="BF5" s="279"/>
      <c r="BG5" s="279"/>
      <c r="BH5" s="279"/>
      <c r="BI5" s="279"/>
      <c r="BJ5" s="279"/>
      <c r="BK5" s="279"/>
      <c r="BL5" s="279"/>
      <c r="BM5" s="279"/>
      <c r="BN5" s="279"/>
      <c r="BO5" s="279"/>
      <c r="BP5" s="279"/>
      <c r="BQ5" s="279"/>
      <c r="BR5" s="279"/>
      <c r="BS5" s="279"/>
      <c r="BT5" s="279"/>
      <c r="BU5" s="279"/>
      <c r="BV5" s="279"/>
      <c r="BW5" s="279"/>
      <c r="BX5" s="279"/>
      <c r="BY5" s="279"/>
      <c r="BZ5" s="279"/>
      <c r="CA5" s="279"/>
      <c r="CB5" s="279"/>
      <c r="CC5" s="279"/>
      <c r="CD5" s="279"/>
      <c r="CE5" s="279"/>
      <c r="CF5" s="279"/>
      <c r="CG5" s="279"/>
      <c r="CH5" s="279"/>
      <c r="CI5" s="279"/>
      <c r="CJ5" s="279"/>
      <c r="CK5" s="279"/>
      <c r="CL5" s="279"/>
      <c r="CM5" s="279"/>
      <c r="CN5" s="279"/>
      <c r="CO5" s="279"/>
      <c r="CP5" s="279"/>
      <c r="CQ5" s="279"/>
      <c r="CR5" s="279"/>
      <c r="CS5" s="279"/>
      <c r="CT5" s="279"/>
      <c r="CU5" s="279"/>
      <c r="CV5" s="279"/>
      <c r="CW5" s="279"/>
      <c r="CX5" s="279"/>
      <c r="CY5" s="279"/>
      <c r="CZ5" s="279"/>
      <c r="DA5" s="279"/>
      <c r="DB5" s="279"/>
      <c r="DC5" s="279"/>
      <c r="DD5" s="279"/>
      <c r="DE5" s="279"/>
      <c r="DF5" s="279"/>
      <c r="DG5" s="279"/>
      <c r="DH5" s="279"/>
      <c r="DI5" s="279"/>
      <c r="DJ5" s="279"/>
      <c r="DK5" s="279"/>
      <c r="DL5" s="279"/>
      <c r="DM5" s="279"/>
      <c r="DN5" s="279"/>
      <c r="DO5" s="279"/>
      <c r="DP5" s="279"/>
      <c r="DQ5" s="279"/>
      <c r="DR5" s="279"/>
      <c r="DS5" s="279"/>
      <c r="DT5" s="279"/>
      <c r="DU5" s="279"/>
      <c r="DV5" s="279"/>
      <c r="DW5" s="279"/>
      <c r="DX5" s="279"/>
      <c r="DY5" s="279"/>
      <c r="DZ5" s="279"/>
      <c r="EA5" s="279"/>
      <c r="EB5" s="279"/>
      <c r="EC5" s="279"/>
      <c r="ED5" s="279"/>
      <c r="EE5" s="279"/>
      <c r="EF5" s="279"/>
      <c r="EG5" s="279"/>
      <c r="EH5" s="279"/>
      <c r="EI5" s="279"/>
      <c r="EJ5" s="279"/>
      <c r="EK5" s="279"/>
      <c r="EL5" s="279"/>
      <c r="EM5" s="279"/>
      <c r="EN5" s="279"/>
      <c r="EO5" s="279"/>
      <c r="EP5" s="279"/>
      <c r="EQ5" s="279"/>
      <c r="ER5" s="279"/>
      <c r="ES5" s="279"/>
      <c r="ET5" s="279"/>
      <c r="EU5" s="279"/>
      <c r="EV5" s="279"/>
      <c r="EW5" s="279"/>
      <c r="EX5" s="279"/>
      <c r="EY5" s="279"/>
      <c r="EZ5" s="279"/>
      <c r="FA5" s="279"/>
      <c r="FB5" s="279"/>
      <c r="FC5" s="279"/>
      <c r="FD5" s="279"/>
      <c r="FE5" s="279"/>
      <c r="FF5" s="279"/>
      <c r="FG5" s="279"/>
      <c r="FH5" s="279"/>
      <c r="FI5" s="279"/>
      <c r="FJ5" s="279"/>
      <c r="FK5" s="279"/>
      <c r="FL5" s="279"/>
      <c r="FM5" s="279"/>
      <c r="FN5" s="279"/>
      <c r="FO5" s="279"/>
      <c r="FP5" s="279"/>
      <c r="FQ5" s="279"/>
      <c r="FR5" s="279"/>
      <c r="FS5" s="279"/>
      <c r="FT5" s="279"/>
      <c r="FU5" s="279"/>
      <c r="FV5" s="279"/>
      <c r="FW5" s="279"/>
      <c r="FX5" s="279"/>
      <c r="FY5" s="279"/>
      <c r="FZ5" s="279"/>
      <c r="GA5" s="279"/>
      <c r="GB5" s="279"/>
      <c r="GC5" s="279"/>
      <c r="GD5" s="279"/>
      <c r="GE5" s="279"/>
      <c r="GF5" s="279"/>
      <c r="GG5" s="279"/>
      <c r="GH5" s="279"/>
      <c r="GI5" s="279"/>
      <c r="GJ5" s="279"/>
      <c r="GK5" s="279"/>
      <c r="GL5" s="279"/>
      <c r="GM5" s="279"/>
      <c r="GN5" s="279"/>
      <c r="GO5" s="279"/>
      <c r="GP5" s="279"/>
      <c r="GQ5" s="279"/>
      <c r="GR5" s="279"/>
      <c r="GS5" s="279"/>
      <c r="GT5" s="279"/>
      <c r="GU5" s="279"/>
      <c r="GV5" s="279"/>
      <c r="GW5" s="279"/>
      <c r="GX5" s="279"/>
      <c r="GY5" s="279"/>
      <c r="GZ5" s="279"/>
      <c r="HA5" s="279"/>
      <c r="HB5" s="279"/>
      <c r="HC5" s="279"/>
      <c r="HD5" s="279"/>
      <c r="HE5" s="279"/>
      <c r="HF5" s="279"/>
      <c r="HG5" s="279"/>
      <c r="HH5" s="279"/>
      <c r="HI5" s="279"/>
      <c r="HJ5" s="279"/>
      <c r="HK5" s="279"/>
      <c r="HL5" s="279"/>
      <c r="HM5" s="279"/>
      <c r="HN5" s="279"/>
      <c r="HO5" s="279"/>
      <c r="HP5" s="279"/>
      <c r="HQ5" s="279"/>
      <c r="HR5" s="279"/>
      <c r="HS5" s="279"/>
      <c r="HT5" s="279"/>
      <c r="HU5" s="279"/>
      <c r="HV5" s="279"/>
      <c r="HW5" s="279"/>
      <c r="HX5" s="279"/>
      <c r="HY5" s="279"/>
      <c r="HZ5" s="279"/>
      <c r="IA5" s="279"/>
      <c r="IB5" s="279"/>
      <c r="IC5" s="279"/>
      <c r="ID5" s="279"/>
      <c r="IE5" s="279"/>
      <c r="IF5" s="279"/>
      <c r="IG5" s="279"/>
      <c r="IH5" s="279"/>
      <c r="II5" s="279"/>
      <c r="IJ5" s="279"/>
      <c r="IK5" s="279"/>
      <c r="IL5" s="279"/>
      <c r="IM5" s="279"/>
      <c r="IN5" s="279"/>
      <c r="IO5" s="279"/>
      <c r="IP5" s="279"/>
      <c r="IQ5" s="279"/>
      <c r="IR5" s="279"/>
      <c r="IS5" s="279"/>
      <c r="IT5" s="279"/>
      <c r="IU5" s="279"/>
    </row>
    <row r="6" spans="1:255" x14ac:dyDescent="0.25">
      <c r="A6" s="275">
        <v>5</v>
      </c>
      <c r="B6" s="282" t="s">
        <v>559</v>
      </c>
      <c r="C6" s="277" t="s">
        <v>58</v>
      </c>
      <c r="D6" s="277" t="s">
        <v>560</v>
      </c>
    </row>
    <row r="7" spans="1:255" x14ac:dyDescent="0.25">
      <c r="A7" s="275">
        <v>6</v>
      </c>
      <c r="B7" s="282" t="s">
        <v>561</v>
      </c>
      <c r="C7" s="277" t="s">
        <v>58</v>
      </c>
      <c r="D7" s="277" t="s">
        <v>562</v>
      </c>
      <c r="E7" s="275" t="s">
        <v>563</v>
      </c>
    </row>
    <row r="8" spans="1:255" x14ac:dyDescent="0.25">
      <c r="A8" s="275">
        <v>7</v>
      </c>
      <c r="B8" s="276" t="s">
        <v>564</v>
      </c>
      <c r="C8" s="277" t="s">
        <v>58</v>
      </c>
      <c r="D8" s="277" t="s">
        <v>565</v>
      </c>
      <c r="E8" s="275" t="s">
        <v>411</v>
      </c>
    </row>
    <row r="9" spans="1:255" x14ac:dyDescent="0.25">
      <c r="A9" s="275">
        <v>8</v>
      </c>
      <c r="B9" s="276" t="s">
        <v>566</v>
      </c>
      <c r="C9" s="277" t="s">
        <v>58</v>
      </c>
      <c r="D9" s="278" t="s">
        <v>567</v>
      </c>
    </row>
    <row r="10" spans="1:255" x14ac:dyDescent="0.25">
      <c r="A10" s="275">
        <v>9</v>
      </c>
      <c r="B10" s="276" t="s">
        <v>568</v>
      </c>
      <c r="C10" s="277" t="s">
        <v>58</v>
      </c>
      <c r="D10" s="278" t="s">
        <v>569</v>
      </c>
    </row>
    <row r="11" spans="1:255" x14ac:dyDescent="0.25">
      <c r="A11" s="275">
        <v>10</v>
      </c>
      <c r="B11" s="276" t="s">
        <v>570</v>
      </c>
      <c r="C11" s="277" t="s">
        <v>58</v>
      </c>
      <c r="D11" s="277" t="s">
        <v>571</v>
      </c>
      <c r="E11" s="283" t="s">
        <v>572</v>
      </c>
      <c r="F11" s="277" t="s">
        <v>573</v>
      </c>
    </row>
    <row r="12" spans="1:255" x14ac:dyDescent="0.25">
      <c r="A12" s="275">
        <v>11</v>
      </c>
      <c r="B12" s="276" t="s">
        <v>574</v>
      </c>
      <c r="C12" s="277" t="s">
        <v>58</v>
      </c>
      <c r="D12" s="278" t="s">
        <v>575</v>
      </c>
      <c r="E12" s="275" t="s">
        <v>180</v>
      </c>
    </row>
    <row r="13" spans="1:255" x14ac:dyDescent="0.25">
      <c r="A13" s="275">
        <v>12</v>
      </c>
      <c r="B13" s="276" t="s">
        <v>576</v>
      </c>
      <c r="C13" s="277" t="s">
        <v>58</v>
      </c>
      <c r="D13" s="277" t="s">
        <v>289</v>
      </c>
    </row>
    <row r="14" spans="1:255" x14ac:dyDescent="0.25">
      <c r="A14" s="275">
        <v>13</v>
      </c>
      <c r="B14" s="276" t="s">
        <v>577</v>
      </c>
      <c r="C14" s="277" t="s">
        <v>58</v>
      </c>
      <c r="D14" s="278" t="s">
        <v>732</v>
      </c>
    </row>
    <row r="15" spans="1:255" x14ac:dyDescent="0.25">
      <c r="A15" s="275">
        <v>14</v>
      </c>
      <c r="B15" s="276" t="s">
        <v>578</v>
      </c>
      <c r="C15" s="277" t="s">
        <v>58</v>
      </c>
      <c r="D15" s="277" t="s">
        <v>579</v>
      </c>
    </row>
    <row r="16" spans="1:255" x14ac:dyDescent="0.25">
      <c r="A16" s="275">
        <v>15</v>
      </c>
      <c r="B16" s="276" t="s">
        <v>580</v>
      </c>
      <c r="C16" s="277" t="s">
        <v>58</v>
      </c>
      <c r="D16" s="277" t="s">
        <v>581</v>
      </c>
    </row>
    <row r="17" spans="1:5" x14ac:dyDescent="0.25">
      <c r="A17" s="275">
        <v>16</v>
      </c>
      <c r="B17" s="276" t="s">
        <v>582</v>
      </c>
      <c r="C17" s="277" t="s">
        <v>58</v>
      </c>
      <c r="D17" s="277" t="s">
        <v>583</v>
      </c>
    </row>
    <row r="18" spans="1:5" x14ac:dyDescent="0.25">
      <c r="A18" s="275">
        <v>17</v>
      </c>
      <c r="B18" s="276" t="s">
        <v>584</v>
      </c>
      <c r="C18" s="277" t="s">
        <v>58</v>
      </c>
      <c r="D18" s="278" t="s">
        <v>585</v>
      </c>
      <c r="E18" s="275" t="s">
        <v>586</v>
      </c>
    </row>
    <row r="19" spans="1:5" x14ac:dyDescent="0.25">
      <c r="A19" s="275">
        <v>18</v>
      </c>
      <c r="B19" s="284" t="s">
        <v>587</v>
      </c>
      <c r="C19" s="277" t="s">
        <v>58</v>
      </c>
      <c r="D19" s="277" t="s">
        <v>411</v>
      </c>
    </row>
    <row r="20" spans="1:5" x14ac:dyDescent="0.25">
      <c r="A20" s="275">
        <v>19</v>
      </c>
      <c r="B20" s="285" t="s">
        <v>588</v>
      </c>
      <c r="C20" s="277" t="s">
        <v>58</v>
      </c>
      <c r="D20" s="277" t="s">
        <v>224</v>
      </c>
    </row>
    <row r="21" spans="1:5" x14ac:dyDescent="0.25">
      <c r="A21" s="275">
        <v>20</v>
      </c>
      <c r="B21" s="276" t="s">
        <v>589</v>
      </c>
      <c r="C21" s="277" t="s">
        <v>58</v>
      </c>
      <c r="D21" s="286" t="s">
        <v>590</v>
      </c>
    </row>
    <row r="22" spans="1:5" x14ac:dyDescent="0.25">
      <c r="A22" s="275">
        <v>21</v>
      </c>
      <c r="B22" s="276" t="s">
        <v>591</v>
      </c>
      <c r="C22" s="277" t="s">
        <v>58</v>
      </c>
      <c r="D22" s="287" t="s">
        <v>592</v>
      </c>
    </row>
    <row r="23" spans="1:5" x14ac:dyDescent="0.25">
      <c r="A23" s="275">
        <v>22</v>
      </c>
      <c r="B23" s="276" t="s">
        <v>593</v>
      </c>
      <c r="C23" s="277" t="s">
        <v>58</v>
      </c>
      <c r="D23" s="287" t="s">
        <v>594</v>
      </c>
    </row>
    <row r="24" spans="1:5" x14ac:dyDescent="0.25">
      <c r="A24" s="275">
        <v>23</v>
      </c>
      <c r="B24" s="276" t="s">
        <v>595</v>
      </c>
      <c r="C24" s="277" t="s">
        <v>58</v>
      </c>
      <c r="D24" s="287" t="s">
        <v>596</v>
      </c>
    </row>
    <row r="25" spans="1:5" x14ac:dyDescent="0.25">
      <c r="A25" s="275">
        <v>24</v>
      </c>
      <c r="B25" s="276" t="s">
        <v>597</v>
      </c>
      <c r="C25" s="277" t="s">
        <v>58</v>
      </c>
      <c r="D25" s="287" t="s">
        <v>598</v>
      </c>
    </row>
    <row r="26" spans="1:5" x14ac:dyDescent="0.25">
      <c r="A26" s="275">
        <v>25</v>
      </c>
      <c r="B26" s="285" t="s">
        <v>599</v>
      </c>
      <c r="C26" s="277" t="s">
        <v>58</v>
      </c>
      <c r="D26" s="285" t="s">
        <v>600</v>
      </c>
    </row>
    <row r="27" spans="1:5" x14ac:dyDescent="0.25">
      <c r="A27" s="275">
        <v>26</v>
      </c>
      <c r="B27" s="276" t="s">
        <v>601</v>
      </c>
      <c r="C27" s="277" t="s">
        <v>58</v>
      </c>
      <c r="D27" s="278" t="s">
        <v>602</v>
      </c>
      <c r="E27" s="283" t="s">
        <v>603</v>
      </c>
    </row>
    <row r="28" spans="1:5" x14ac:dyDescent="0.25">
      <c r="A28" s="275">
        <v>27</v>
      </c>
      <c r="B28" s="285" t="s">
        <v>604</v>
      </c>
      <c r="C28" s="277" t="s">
        <v>605</v>
      </c>
      <c r="D28" s="278"/>
    </row>
    <row r="29" spans="1:5" x14ac:dyDescent="0.25">
      <c r="A29" s="275">
        <v>28</v>
      </c>
      <c r="B29" s="285" t="s">
        <v>606</v>
      </c>
      <c r="C29" s="277" t="s">
        <v>605</v>
      </c>
      <c r="D29" s="278"/>
    </row>
    <row r="30" spans="1:5" x14ac:dyDescent="0.25">
      <c r="A30" s="275">
        <v>29</v>
      </c>
      <c r="B30" s="285" t="s">
        <v>607</v>
      </c>
      <c r="C30" s="277" t="s">
        <v>605</v>
      </c>
      <c r="D30" s="278"/>
    </row>
    <row r="31" spans="1:5" x14ac:dyDescent="0.25">
      <c r="A31" s="275">
        <v>30</v>
      </c>
      <c r="B31" s="285" t="s">
        <v>608</v>
      </c>
      <c r="C31" s="285" t="s">
        <v>605</v>
      </c>
      <c r="D31" s="278" t="s">
        <v>609</v>
      </c>
    </row>
    <row r="32" spans="1:5" x14ac:dyDescent="0.25">
      <c r="A32" s="275">
        <v>31</v>
      </c>
      <c r="B32" s="285" t="s">
        <v>610</v>
      </c>
      <c r="C32" s="288" t="s">
        <v>605</v>
      </c>
      <c r="D32" s="289" t="s">
        <v>611</v>
      </c>
    </row>
    <row r="33" spans="1:5" x14ac:dyDescent="0.25">
      <c r="A33" s="275">
        <v>32</v>
      </c>
      <c r="B33" s="276" t="s">
        <v>612</v>
      </c>
      <c r="C33" s="278" t="s">
        <v>62</v>
      </c>
      <c r="D33" s="278" t="s">
        <v>613</v>
      </c>
      <c r="E33" s="289" t="s">
        <v>614</v>
      </c>
    </row>
    <row r="34" spans="1:5" x14ac:dyDescent="0.25">
      <c r="A34" s="275">
        <v>33</v>
      </c>
      <c r="B34" s="276" t="s">
        <v>615</v>
      </c>
      <c r="C34" s="278" t="s">
        <v>62</v>
      </c>
      <c r="D34" s="278" t="s">
        <v>613</v>
      </c>
    </row>
    <row r="35" spans="1:5" x14ac:dyDescent="0.25">
      <c r="A35" s="275">
        <v>34</v>
      </c>
      <c r="B35" s="276" t="s">
        <v>616</v>
      </c>
      <c r="C35" s="278" t="s">
        <v>62</v>
      </c>
      <c r="D35" s="278" t="s">
        <v>617</v>
      </c>
    </row>
    <row r="36" spans="1:5" x14ac:dyDescent="0.25">
      <c r="A36" s="275">
        <v>35</v>
      </c>
      <c r="B36" s="276" t="s">
        <v>618</v>
      </c>
      <c r="C36" s="278" t="s">
        <v>62</v>
      </c>
      <c r="D36" s="278" t="s">
        <v>619</v>
      </c>
    </row>
    <row r="37" spans="1:5" x14ac:dyDescent="0.25">
      <c r="A37" s="275">
        <v>36</v>
      </c>
      <c r="B37" s="276" t="s">
        <v>620</v>
      </c>
      <c r="C37" s="278" t="s">
        <v>62</v>
      </c>
      <c r="D37" s="277" t="s">
        <v>621</v>
      </c>
      <c r="E37" s="275" t="s">
        <v>622</v>
      </c>
    </row>
    <row r="38" spans="1:5" x14ac:dyDescent="0.25">
      <c r="A38" s="275">
        <v>37</v>
      </c>
      <c r="B38" s="276" t="s">
        <v>620</v>
      </c>
      <c r="C38" s="278" t="s">
        <v>62</v>
      </c>
      <c r="D38" s="277" t="s">
        <v>621</v>
      </c>
    </row>
    <row r="39" spans="1:5" x14ac:dyDescent="0.25">
      <c r="A39" s="275">
        <v>38</v>
      </c>
      <c r="B39" s="284" t="s">
        <v>623</v>
      </c>
      <c r="C39" s="278" t="s">
        <v>62</v>
      </c>
      <c r="D39" s="277" t="s">
        <v>80</v>
      </c>
    </row>
    <row r="40" spans="1:5" x14ac:dyDescent="0.25">
      <c r="A40" s="275">
        <v>39</v>
      </c>
      <c r="B40" s="276" t="s">
        <v>624</v>
      </c>
      <c r="C40" s="278" t="s">
        <v>62</v>
      </c>
      <c r="D40" s="277" t="s">
        <v>80</v>
      </c>
    </row>
    <row r="41" spans="1:5" x14ac:dyDescent="0.25">
      <c r="A41" s="275">
        <v>40</v>
      </c>
      <c r="B41" s="285" t="s">
        <v>625</v>
      </c>
      <c r="C41" s="278" t="s">
        <v>62</v>
      </c>
      <c r="D41" s="277" t="s">
        <v>80</v>
      </c>
    </row>
    <row r="42" spans="1:5" x14ac:dyDescent="0.25">
      <c r="A42" s="275">
        <v>41</v>
      </c>
      <c r="B42" s="285" t="s">
        <v>626</v>
      </c>
      <c r="C42" s="278" t="s">
        <v>62</v>
      </c>
      <c r="D42" s="278" t="s">
        <v>627</v>
      </c>
    </row>
    <row r="43" spans="1:5" x14ac:dyDescent="0.25">
      <c r="A43" s="275">
        <v>42</v>
      </c>
      <c r="B43" s="276" t="s">
        <v>628</v>
      </c>
      <c r="C43" s="278" t="s">
        <v>62</v>
      </c>
      <c r="D43" s="278" t="s">
        <v>602</v>
      </c>
      <c r="E43" s="275" t="s">
        <v>629</v>
      </c>
    </row>
    <row r="44" spans="1:5" x14ac:dyDescent="0.25">
      <c r="A44" s="275">
        <v>43</v>
      </c>
      <c r="B44" s="285" t="s">
        <v>628</v>
      </c>
      <c r="C44" s="278" t="s">
        <v>62</v>
      </c>
      <c r="D44" s="277" t="s">
        <v>79</v>
      </c>
    </row>
    <row r="45" spans="1:5" x14ac:dyDescent="0.25">
      <c r="A45" s="275">
        <v>44</v>
      </c>
      <c r="B45" s="285" t="s">
        <v>630</v>
      </c>
      <c r="C45" s="278" t="s">
        <v>62</v>
      </c>
      <c r="D45" s="277" t="s">
        <v>80</v>
      </c>
    </row>
    <row r="46" spans="1:5" x14ac:dyDescent="0.25">
      <c r="A46" s="275">
        <v>45</v>
      </c>
      <c r="B46" s="276" t="s">
        <v>631</v>
      </c>
      <c r="C46" s="278" t="s">
        <v>62</v>
      </c>
      <c r="D46" s="278" t="s">
        <v>632</v>
      </c>
    </row>
    <row r="47" spans="1:5" x14ac:dyDescent="0.25">
      <c r="A47" s="275">
        <v>46</v>
      </c>
      <c r="B47" s="297" t="s">
        <v>733</v>
      </c>
      <c r="C47" s="278"/>
      <c r="D47" s="278"/>
    </row>
    <row r="48" spans="1:5" x14ac:dyDescent="0.25">
      <c r="A48" s="275">
        <v>47</v>
      </c>
      <c r="B48" s="276" t="s">
        <v>633</v>
      </c>
      <c r="C48" s="277" t="s">
        <v>634</v>
      </c>
      <c r="D48" s="278" t="s">
        <v>635</v>
      </c>
    </row>
    <row r="49" spans="1:6" x14ac:dyDescent="0.25">
      <c r="A49" s="275">
        <v>48</v>
      </c>
      <c r="B49" s="276" t="s">
        <v>636</v>
      </c>
      <c r="C49" s="277" t="s">
        <v>634</v>
      </c>
      <c r="D49" s="277" t="s">
        <v>637</v>
      </c>
    </row>
    <row r="50" spans="1:6" x14ac:dyDescent="0.25">
      <c r="A50" s="275">
        <v>49</v>
      </c>
      <c r="B50" s="285" t="s">
        <v>638</v>
      </c>
      <c r="C50" s="285" t="s">
        <v>639</v>
      </c>
      <c r="D50" s="285" t="s">
        <v>639</v>
      </c>
    </row>
    <row r="51" spans="1:6" x14ac:dyDescent="0.25">
      <c r="A51" s="275">
        <v>50</v>
      </c>
      <c r="B51" s="277" t="s">
        <v>640</v>
      </c>
      <c r="C51" s="288" t="s">
        <v>641</v>
      </c>
      <c r="D51" s="288" t="s">
        <v>82</v>
      </c>
    </row>
    <row r="52" spans="1:6" x14ac:dyDescent="0.25">
      <c r="A52" s="275">
        <v>51</v>
      </c>
      <c r="B52" s="285" t="s">
        <v>642</v>
      </c>
      <c r="C52" s="288" t="s">
        <v>641</v>
      </c>
      <c r="D52" s="288" t="s">
        <v>83</v>
      </c>
    </row>
    <row r="53" spans="1:6" x14ac:dyDescent="0.25">
      <c r="A53" s="275">
        <v>52</v>
      </c>
      <c r="B53" s="285" t="s">
        <v>643</v>
      </c>
      <c r="C53" s="288" t="s">
        <v>641</v>
      </c>
      <c r="D53" s="288" t="s">
        <v>644</v>
      </c>
    </row>
    <row r="54" spans="1:6" x14ac:dyDescent="0.25">
      <c r="A54" s="275">
        <v>53</v>
      </c>
      <c r="B54" s="277" t="s">
        <v>645</v>
      </c>
      <c r="C54" s="288" t="s">
        <v>641</v>
      </c>
      <c r="D54" s="288" t="s">
        <v>82</v>
      </c>
    </row>
    <row r="55" spans="1:6" x14ac:dyDescent="0.25">
      <c r="A55" s="275">
        <v>54</v>
      </c>
      <c r="B55" s="276" t="s">
        <v>646</v>
      </c>
      <c r="C55" s="288" t="s">
        <v>641</v>
      </c>
      <c r="D55" s="288" t="s">
        <v>83</v>
      </c>
    </row>
    <row r="56" spans="1:6" x14ac:dyDescent="0.25">
      <c r="A56" s="275">
        <v>55</v>
      </c>
      <c r="B56" s="277" t="s">
        <v>647</v>
      </c>
      <c r="C56" s="288" t="s">
        <v>641</v>
      </c>
      <c r="D56" s="289" t="s">
        <v>411</v>
      </c>
    </row>
    <row r="57" spans="1:6" x14ac:dyDescent="0.25">
      <c r="A57" s="275">
        <v>56</v>
      </c>
      <c r="B57" s="277" t="s">
        <v>648</v>
      </c>
      <c r="C57" s="288" t="s">
        <v>641</v>
      </c>
      <c r="D57" s="289" t="s">
        <v>411</v>
      </c>
    </row>
    <row r="58" spans="1:6" x14ac:dyDescent="0.25">
      <c r="A58" s="275">
        <v>57</v>
      </c>
      <c r="B58" s="285" t="s">
        <v>649</v>
      </c>
      <c r="C58" s="288" t="s">
        <v>641</v>
      </c>
      <c r="D58" s="289" t="s">
        <v>411</v>
      </c>
    </row>
    <row r="59" spans="1:6" x14ac:dyDescent="0.25">
      <c r="A59" s="275">
        <v>58</v>
      </c>
      <c r="B59" s="285" t="s">
        <v>650</v>
      </c>
      <c r="C59" s="288" t="s">
        <v>641</v>
      </c>
      <c r="D59" s="289" t="s">
        <v>411</v>
      </c>
    </row>
    <row r="60" spans="1:6" x14ac:dyDescent="0.25">
      <c r="A60" s="275">
        <v>59</v>
      </c>
      <c r="B60" s="276" t="s">
        <v>651</v>
      </c>
      <c r="C60" s="277" t="s">
        <v>153</v>
      </c>
      <c r="D60" s="277" t="s">
        <v>652</v>
      </c>
    </row>
    <row r="61" spans="1:6" x14ac:dyDescent="0.25">
      <c r="A61" s="275">
        <v>60</v>
      </c>
      <c r="B61" s="276" t="s">
        <v>653</v>
      </c>
      <c r="C61" s="288" t="s">
        <v>153</v>
      </c>
      <c r="D61" s="288" t="s">
        <v>652</v>
      </c>
    </row>
    <row r="62" spans="1:6" x14ac:dyDescent="0.25">
      <c r="A62" s="275">
        <v>61</v>
      </c>
      <c r="B62" s="276" t="s">
        <v>654</v>
      </c>
      <c r="C62" s="277" t="s">
        <v>153</v>
      </c>
      <c r="D62" s="278" t="s">
        <v>655</v>
      </c>
    </row>
    <row r="63" spans="1:6" x14ac:dyDescent="0.25">
      <c r="A63" s="275">
        <v>62</v>
      </c>
      <c r="B63" s="277" t="s">
        <v>656</v>
      </c>
      <c r="C63" s="279" t="s">
        <v>65</v>
      </c>
      <c r="D63" s="279" t="s">
        <v>657</v>
      </c>
      <c r="E63" s="279"/>
      <c r="F63" s="279"/>
    </row>
    <row r="64" spans="1:6" x14ac:dyDescent="0.25">
      <c r="A64" s="275">
        <v>63</v>
      </c>
      <c r="B64" s="277" t="s">
        <v>658</v>
      </c>
      <c r="C64" s="279" t="s">
        <v>65</v>
      </c>
      <c r="D64" s="279" t="s">
        <v>657</v>
      </c>
      <c r="E64" s="279"/>
      <c r="F64" s="279"/>
    </row>
    <row r="65" spans="1:4" x14ac:dyDescent="0.25">
      <c r="A65" s="275">
        <v>64</v>
      </c>
      <c r="B65" s="276" t="s">
        <v>659</v>
      </c>
      <c r="C65" s="277" t="s">
        <v>153</v>
      </c>
      <c r="D65" s="278" t="s">
        <v>655</v>
      </c>
    </row>
    <row r="66" spans="1:4" x14ac:dyDescent="0.25">
      <c r="A66" s="275">
        <v>65</v>
      </c>
      <c r="B66" s="276" t="s">
        <v>660</v>
      </c>
      <c r="C66" s="277" t="s">
        <v>157</v>
      </c>
      <c r="D66" s="277" t="s">
        <v>157</v>
      </c>
    </row>
    <row r="67" spans="1:4" x14ac:dyDescent="0.25">
      <c r="A67" s="275">
        <v>66</v>
      </c>
      <c r="B67" s="285" t="s">
        <v>661</v>
      </c>
      <c r="C67" s="277" t="s">
        <v>157</v>
      </c>
      <c r="D67" s="277" t="s">
        <v>662</v>
      </c>
    </row>
    <row r="68" spans="1:4" x14ac:dyDescent="0.25">
      <c r="A68" s="275">
        <v>67</v>
      </c>
      <c r="B68" s="276" t="s">
        <v>663</v>
      </c>
      <c r="C68" s="277" t="s">
        <v>157</v>
      </c>
      <c r="D68" s="277" t="s">
        <v>662</v>
      </c>
    </row>
    <row r="69" spans="1:4" x14ac:dyDescent="0.25">
      <c r="A69" s="275">
        <v>68</v>
      </c>
      <c r="B69" s="276" t="s">
        <v>664</v>
      </c>
      <c r="C69" s="277" t="s">
        <v>157</v>
      </c>
      <c r="D69" s="277" t="s">
        <v>662</v>
      </c>
    </row>
    <row r="70" spans="1:4" x14ac:dyDescent="0.25">
      <c r="A70" s="275">
        <v>69</v>
      </c>
      <c r="B70" s="276" t="s">
        <v>665</v>
      </c>
      <c r="C70" s="277" t="s">
        <v>666</v>
      </c>
      <c r="D70" s="278" t="s">
        <v>667</v>
      </c>
    </row>
    <row r="71" spans="1:4" x14ac:dyDescent="0.25">
      <c r="A71" s="275">
        <v>70</v>
      </c>
      <c r="B71" s="290" t="s">
        <v>668</v>
      </c>
      <c r="C71" s="278" t="s">
        <v>669</v>
      </c>
      <c r="D71" s="277" t="s">
        <v>670</v>
      </c>
    </row>
    <row r="72" spans="1:4" x14ac:dyDescent="0.25">
      <c r="A72" s="275">
        <v>71</v>
      </c>
      <c r="B72" s="276" t="s">
        <v>734</v>
      </c>
      <c r="C72" s="285" t="s">
        <v>669</v>
      </c>
      <c r="D72" t="s">
        <v>735</v>
      </c>
    </row>
    <row r="73" spans="1:4" x14ac:dyDescent="0.25">
      <c r="A73" s="275">
        <v>72</v>
      </c>
      <c r="B73" s="278" t="s">
        <v>736</v>
      </c>
      <c r="C73" s="285" t="s">
        <v>669</v>
      </c>
      <c r="D73" s="278" t="s">
        <v>602</v>
      </c>
    </row>
    <row r="74" spans="1:4" x14ac:dyDescent="0.25">
      <c r="A74" s="275">
        <v>73</v>
      </c>
      <c r="B74" s="276" t="s">
        <v>671</v>
      </c>
      <c r="C74" s="277" t="s">
        <v>672</v>
      </c>
      <c r="D74" s="278" t="s">
        <v>673</v>
      </c>
    </row>
    <row r="75" spans="1:4" x14ac:dyDescent="0.25">
      <c r="A75" s="275">
        <v>74</v>
      </c>
      <c r="B75" s="276" t="s">
        <v>674</v>
      </c>
      <c r="C75" s="278" t="s">
        <v>675</v>
      </c>
      <c r="D75" s="278"/>
    </row>
    <row r="76" spans="1:4" x14ac:dyDescent="0.25">
      <c r="A76" s="275">
        <v>75</v>
      </c>
      <c r="B76" s="284" t="s">
        <v>676</v>
      </c>
      <c r="C76" s="285" t="s">
        <v>677</v>
      </c>
      <c r="D76" s="277" t="s">
        <v>678</v>
      </c>
    </row>
    <row r="77" spans="1:4" x14ac:dyDescent="0.25">
      <c r="A77" s="275">
        <v>76</v>
      </c>
      <c r="B77" s="285" t="s">
        <v>679</v>
      </c>
      <c r="C77" s="285" t="s">
        <v>677</v>
      </c>
      <c r="D77" s="278" t="s">
        <v>680</v>
      </c>
    </row>
    <row r="78" spans="1:4" x14ac:dyDescent="0.25">
      <c r="A78" s="275">
        <v>77</v>
      </c>
      <c r="B78" s="284" t="s">
        <v>681</v>
      </c>
      <c r="C78" s="285" t="s">
        <v>682</v>
      </c>
      <c r="D78" s="277" t="s">
        <v>683</v>
      </c>
    </row>
    <row r="79" spans="1:4" x14ac:dyDescent="0.25">
      <c r="A79" s="275">
        <v>78</v>
      </c>
      <c r="B79" s="284" t="s">
        <v>684</v>
      </c>
      <c r="C79" s="285" t="s">
        <v>682</v>
      </c>
      <c r="D79" s="277" t="s">
        <v>685</v>
      </c>
    </row>
    <row r="80" spans="1:4" x14ac:dyDescent="0.25">
      <c r="A80" s="275">
        <v>79</v>
      </c>
      <c r="B80" s="284" t="s">
        <v>686</v>
      </c>
      <c r="C80" s="285" t="s">
        <v>639</v>
      </c>
    </row>
    <row r="81" spans="1:6" x14ac:dyDescent="0.25">
      <c r="A81" s="275">
        <v>80</v>
      </c>
      <c r="B81" s="284" t="s">
        <v>687</v>
      </c>
      <c r="C81" s="285" t="s">
        <v>688</v>
      </c>
      <c r="D81" s="277" t="s">
        <v>683</v>
      </c>
    </row>
    <row r="82" spans="1:6" x14ac:dyDescent="0.25">
      <c r="A82" s="275">
        <v>81</v>
      </c>
      <c r="B82" s="285" t="s">
        <v>689</v>
      </c>
      <c r="C82" s="288" t="s">
        <v>690</v>
      </c>
      <c r="D82" s="289" t="s">
        <v>691</v>
      </c>
    </row>
    <row r="83" spans="1:6" x14ac:dyDescent="0.25">
      <c r="A83" s="275">
        <v>82</v>
      </c>
      <c r="B83" s="276" t="s">
        <v>692</v>
      </c>
      <c r="C83" s="288" t="s">
        <v>690</v>
      </c>
      <c r="D83" s="289" t="s">
        <v>691</v>
      </c>
    </row>
    <row r="84" spans="1:6" x14ac:dyDescent="0.25">
      <c r="A84" s="275">
        <v>83</v>
      </c>
      <c r="B84" s="284" t="s">
        <v>693</v>
      </c>
      <c r="C84" s="277" t="s">
        <v>694</v>
      </c>
      <c r="D84" s="277" t="s">
        <v>695</v>
      </c>
    </row>
    <row r="85" spans="1:6" x14ac:dyDescent="0.25">
      <c r="A85" s="275">
        <v>84</v>
      </c>
      <c r="B85" s="276" t="s">
        <v>696</v>
      </c>
      <c r="C85" s="277" t="s">
        <v>697</v>
      </c>
      <c r="D85" s="277" t="s">
        <v>698</v>
      </c>
    </row>
    <row r="86" spans="1:6" x14ac:dyDescent="0.25">
      <c r="A86" s="275">
        <v>85</v>
      </c>
      <c r="B86" s="277" t="s">
        <v>699</v>
      </c>
      <c r="C86" s="277" t="s">
        <v>153</v>
      </c>
      <c r="D86" s="277" t="s">
        <v>697</v>
      </c>
    </row>
    <row r="87" spans="1:6" x14ac:dyDescent="0.25">
      <c r="A87" s="275">
        <v>86</v>
      </c>
      <c r="B87" s="291" t="s">
        <v>700</v>
      </c>
      <c r="C87" s="277" t="s">
        <v>153</v>
      </c>
      <c r="D87" s="278" t="s">
        <v>701</v>
      </c>
    </row>
    <row r="88" spans="1:6" x14ac:dyDescent="0.25">
      <c r="A88" s="275">
        <v>87</v>
      </c>
      <c r="B88" s="279" t="s">
        <v>702</v>
      </c>
      <c r="C88" s="279" t="s">
        <v>703</v>
      </c>
      <c r="D88" s="278" t="s">
        <v>701</v>
      </c>
      <c r="E88" s="279"/>
      <c r="F88" s="279"/>
    </row>
    <row r="89" spans="1:6" x14ac:dyDescent="0.25">
      <c r="A89" s="275">
        <v>88</v>
      </c>
      <c r="B89" s="276" t="s">
        <v>704</v>
      </c>
      <c r="C89" s="277" t="s">
        <v>705</v>
      </c>
      <c r="D89" s="277" t="s">
        <v>706</v>
      </c>
    </row>
    <row r="90" spans="1:6" x14ac:dyDescent="0.25">
      <c r="A90" s="275">
        <v>89</v>
      </c>
      <c r="B90" s="276" t="s">
        <v>707</v>
      </c>
      <c r="C90" s="277" t="s">
        <v>705</v>
      </c>
      <c r="D90" s="277" t="s">
        <v>708</v>
      </c>
      <c r="E90" s="275" t="s">
        <v>709</v>
      </c>
    </row>
    <row r="91" spans="1:6" x14ac:dyDescent="0.25">
      <c r="A91" s="275">
        <v>90</v>
      </c>
      <c r="B91" s="276" t="s">
        <v>710</v>
      </c>
      <c r="C91" s="278" t="s">
        <v>711</v>
      </c>
      <c r="D91" s="278" t="s">
        <v>712</v>
      </c>
    </row>
    <row r="92" spans="1:6" x14ac:dyDescent="0.25">
      <c r="A92" s="275">
        <v>91</v>
      </c>
      <c r="B92" s="276" t="s">
        <v>713</v>
      </c>
      <c r="C92" s="278" t="s">
        <v>711</v>
      </c>
      <c r="D92" s="278" t="s">
        <v>714</v>
      </c>
    </row>
    <row r="93" spans="1:6" x14ac:dyDescent="0.25">
      <c r="A93" s="275">
        <v>92</v>
      </c>
      <c r="B93" s="276" t="s">
        <v>715</v>
      </c>
      <c r="C93" s="278" t="s">
        <v>711</v>
      </c>
      <c r="D93" s="277" t="s">
        <v>698</v>
      </c>
      <c r="E93" s="283" t="s">
        <v>716</v>
      </c>
    </row>
    <row r="94" spans="1:6" x14ac:dyDescent="0.25">
      <c r="A94" s="275">
        <v>93</v>
      </c>
      <c r="B94" s="289" t="s">
        <v>717</v>
      </c>
      <c r="C94" s="278" t="s">
        <v>711</v>
      </c>
      <c r="D94" s="277" t="s">
        <v>718</v>
      </c>
    </row>
    <row r="95" spans="1:6" x14ac:dyDescent="0.25">
      <c r="A95" s="275">
        <v>94</v>
      </c>
      <c r="B95" s="278" t="s">
        <v>719</v>
      </c>
      <c r="C95" s="278" t="s">
        <v>711</v>
      </c>
    </row>
    <row r="96" spans="1:6" x14ac:dyDescent="0.25">
      <c r="A96" s="275">
        <v>95</v>
      </c>
      <c r="B96" s="289" t="s">
        <v>720</v>
      </c>
      <c r="C96" s="285" t="s">
        <v>721</v>
      </c>
      <c r="D96" s="278" t="s">
        <v>722</v>
      </c>
    </row>
    <row r="97" spans="1:5" x14ac:dyDescent="0.25">
      <c r="A97" s="275">
        <v>96</v>
      </c>
      <c r="B97" s="289" t="s">
        <v>723</v>
      </c>
      <c r="C97" s="285" t="s">
        <v>721</v>
      </c>
      <c r="D97" s="278" t="s">
        <v>98</v>
      </c>
    </row>
    <row r="98" spans="1:5" x14ac:dyDescent="0.25">
      <c r="A98" s="275">
        <v>97</v>
      </c>
      <c r="B98" s="285"/>
      <c r="C98" s="292" t="s">
        <v>724</v>
      </c>
    </row>
    <row r="99" spans="1:5" x14ac:dyDescent="0.25">
      <c r="A99" s="275">
        <v>98</v>
      </c>
      <c r="C99" s="31" t="s">
        <v>162</v>
      </c>
    </row>
    <row r="100" spans="1:5" x14ac:dyDescent="0.25">
      <c r="A100" s="275">
        <v>99</v>
      </c>
      <c r="C100" s="8" t="s">
        <v>70</v>
      </c>
    </row>
    <row r="101" spans="1:5" ht="13" thickBot="1" x14ac:dyDescent="0.3">
      <c r="A101" s="275">
        <v>100</v>
      </c>
      <c r="B101" s="293" t="s">
        <v>725</v>
      </c>
      <c r="C101" s="294" t="s">
        <v>726</v>
      </c>
    </row>
    <row r="102" spans="1:5" ht="13" thickTop="1" x14ac:dyDescent="0.25"/>
    <row r="105" spans="1:5" x14ac:dyDescent="0.25">
      <c r="B105" s="282"/>
    </row>
    <row r="106" spans="1:5" x14ac:dyDescent="0.25">
      <c r="E106" s="275" t="s">
        <v>727</v>
      </c>
    </row>
    <row r="107" spans="1:5" x14ac:dyDescent="0.25">
      <c r="E107" s="275" t="s">
        <v>728</v>
      </c>
    </row>
    <row r="108" spans="1:5" x14ac:dyDescent="0.25">
      <c r="E108" s="275" t="s">
        <v>729</v>
      </c>
    </row>
    <row r="109" spans="1:5" x14ac:dyDescent="0.25">
      <c r="E109" s="275" t="s">
        <v>709</v>
      </c>
    </row>
  </sheetData>
  <phoneticPr fontId="62" type="noConversion"/>
  <pageMargins left="0" right="0" top="0" bottom="0.49" header="0" footer="0.17"/>
  <pageSetup orientation="landscape" horizontalDpi="96" verticalDpi="96" r:id="rId1"/>
  <headerFooter alignWithMargins="0">
    <oddFooter>&amp;L10/17/03&amp;C&amp;P / &amp;N&amp;REconomos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workbookViewId="0"/>
  </sheetViews>
  <sheetFormatPr defaultColWidth="9.1796875" defaultRowHeight="13" x14ac:dyDescent="0.3"/>
  <cols>
    <col min="1" max="1" width="6.54296875" style="270" customWidth="1"/>
    <col min="2" max="2" width="8.1796875" style="270" customWidth="1"/>
    <col min="3" max="3" width="7.453125" style="270" customWidth="1"/>
    <col min="4" max="4" width="31.1796875" style="270" customWidth="1"/>
    <col min="5" max="10" width="29.26953125" style="270" customWidth="1"/>
    <col min="11" max="36" width="28.26953125" style="270" customWidth="1"/>
    <col min="37" max="16384" width="9.1796875" style="270"/>
  </cols>
  <sheetData>
    <row r="1" spans="1:4" ht="26.5" thickBot="1" x14ac:dyDescent="0.35">
      <c r="A1" s="132" t="s">
        <v>187</v>
      </c>
      <c r="B1" s="132" t="s">
        <v>391</v>
      </c>
      <c r="C1" s="132" t="s">
        <v>526</v>
      </c>
      <c r="D1" s="132" t="s">
        <v>392</v>
      </c>
    </row>
    <row r="2" spans="1:4" x14ac:dyDescent="0.3">
      <c r="A2" s="133" t="s">
        <v>306</v>
      </c>
      <c r="B2" s="271" t="s">
        <v>307</v>
      </c>
      <c r="C2" s="133" t="s">
        <v>527</v>
      </c>
      <c r="D2" s="133" t="s">
        <v>528</v>
      </c>
    </row>
    <row r="3" spans="1:4" x14ac:dyDescent="0.3">
      <c r="A3" s="133" t="s">
        <v>306</v>
      </c>
      <c r="B3" s="271" t="s">
        <v>308</v>
      </c>
      <c r="C3" s="133" t="s">
        <v>527</v>
      </c>
      <c r="D3" s="133" t="s">
        <v>394</v>
      </c>
    </row>
    <row r="4" spans="1:4" x14ac:dyDescent="0.3">
      <c r="A4" s="133" t="s">
        <v>306</v>
      </c>
      <c r="B4" s="271" t="s">
        <v>309</v>
      </c>
      <c r="C4" s="133" t="s">
        <v>527</v>
      </c>
      <c r="D4" s="133" t="s">
        <v>395</v>
      </c>
    </row>
    <row r="5" spans="1:4" x14ac:dyDescent="0.3">
      <c r="A5" s="133" t="s">
        <v>306</v>
      </c>
      <c r="B5" s="271" t="s">
        <v>311</v>
      </c>
      <c r="C5" s="133" t="s">
        <v>527</v>
      </c>
      <c r="D5" s="133" t="s">
        <v>397</v>
      </c>
    </row>
    <row r="6" spans="1:4" x14ac:dyDescent="0.3">
      <c r="A6" s="133" t="s">
        <v>306</v>
      </c>
      <c r="B6" s="271" t="s">
        <v>312</v>
      </c>
      <c r="C6" s="133" t="s">
        <v>527</v>
      </c>
      <c r="D6" s="133" t="s">
        <v>398</v>
      </c>
    </row>
    <row r="7" spans="1:4" x14ac:dyDescent="0.3">
      <c r="A7" s="133" t="s">
        <v>306</v>
      </c>
      <c r="B7" s="133" t="s">
        <v>310</v>
      </c>
      <c r="C7" s="133" t="s">
        <v>527</v>
      </c>
      <c r="D7" s="133" t="s">
        <v>396</v>
      </c>
    </row>
    <row r="8" spans="1:4" x14ac:dyDescent="0.3">
      <c r="A8" s="133" t="s">
        <v>306</v>
      </c>
      <c r="B8" s="133" t="s">
        <v>313</v>
      </c>
      <c r="C8" s="133" t="s">
        <v>527</v>
      </c>
      <c r="D8" s="133" t="s">
        <v>85</v>
      </c>
    </row>
    <row r="9" spans="1:4" x14ac:dyDescent="0.3">
      <c r="A9" s="133" t="s">
        <v>306</v>
      </c>
      <c r="B9" s="133" t="s">
        <v>314</v>
      </c>
      <c r="C9" s="133" t="s">
        <v>527</v>
      </c>
      <c r="D9" s="133" t="s">
        <v>399</v>
      </c>
    </row>
    <row r="10" spans="1:4" x14ac:dyDescent="0.3">
      <c r="A10" s="133" t="s">
        <v>306</v>
      </c>
      <c r="B10" s="133" t="s">
        <v>315</v>
      </c>
      <c r="C10" s="133" t="s">
        <v>527</v>
      </c>
      <c r="D10" s="133" t="s">
        <v>400</v>
      </c>
    </row>
    <row r="11" spans="1:4" x14ac:dyDescent="0.3">
      <c r="A11" s="133" t="s">
        <v>306</v>
      </c>
      <c r="B11" s="133" t="s">
        <v>316</v>
      </c>
      <c r="C11" s="133" t="s">
        <v>527</v>
      </c>
      <c r="D11" s="133" t="s">
        <v>317</v>
      </c>
    </row>
    <row r="12" spans="1:4" x14ac:dyDescent="0.3">
      <c r="A12" s="133" t="s">
        <v>306</v>
      </c>
      <c r="B12" s="271" t="s">
        <v>318</v>
      </c>
      <c r="C12" s="133" t="s">
        <v>527</v>
      </c>
      <c r="D12" s="133" t="s">
        <v>401</v>
      </c>
    </row>
    <row r="13" spans="1:4" x14ac:dyDescent="0.3">
      <c r="A13" s="133" t="s">
        <v>306</v>
      </c>
      <c r="B13" s="133" t="s">
        <v>306</v>
      </c>
      <c r="C13" s="133" t="s">
        <v>527</v>
      </c>
      <c r="D13" s="133" t="s">
        <v>393</v>
      </c>
    </row>
    <row r="14" spans="1:4" x14ac:dyDescent="0.3">
      <c r="A14" s="133" t="s">
        <v>188</v>
      </c>
      <c r="B14" s="271" t="s">
        <v>189</v>
      </c>
      <c r="C14" s="133" t="s">
        <v>527</v>
      </c>
      <c r="D14" s="133" t="s">
        <v>190</v>
      </c>
    </row>
    <row r="15" spans="1:4" x14ac:dyDescent="0.3">
      <c r="A15" s="133" t="s">
        <v>188</v>
      </c>
      <c r="B15" s="133" t="s">
        <v>191</v>
      </c>
      <c r="C15" s="133" t="s">
        <v>527</v>
      </c>
      <c r="D15" s="133" t="s">
        <v>192</v>
      </c>
    </row>
    <row r="16" spans="1:4" x14ac:dyDescent="0.3">
      <c r="A16" s="133" t="s">
        <v>188</v>
      </c>
      <c r="B16" s="133" t="s">
        <v>193</v>
      </c>
      <c r="C16" s="133" t="s">
        <v>527</v>
      </c>
      <c r="D16" s="133" t="s">
        <v>194</v>
      </c>
    </row>
    <row r="17" spans="1:4" x14ac:dyDescent="0.3">
      <c r="A17" s="133" t="s">
        <v>188</v>
      </c>
      <c r="B17" s="133" t="s">
        <v>195</v>
      </c>
      <c r="C17" s="133" t="s">
        <v>527</v>
      </c>
      <c r="D17" s="133" t="s">
        <v>196</v>
      </c>
    </row>
    <row r="18" spans="1:4" x14ac:dyDescent="0.3">
      <c r="A18" s="133" t="s">
        <v>188</v>
      </c>
      <c r="B18" s="133" t="s">
        <v>197</v>
      </c>
      <c r="C18" s="133" t="s">
        <v>527</v>
      </c>
      <c r="D18" s="133" t="s">
        <v>402</v>
      </c>
    </row>
    <row r="19" spans="1:4" x14ac:dyDescent="0.3">
      <c r="A19" s="133" t="s">
        <v>188</v>
      </c>
      <c r="B19" s="133" t="s">
        <v>403</v>
      </c>
      <c r="C19" s="133" t="s">
        <v>527</v>
      </c>
      <c r="D19" s="133" t="s">
        <v>402</v>
      </c>
    </row>
    <row r="20" spans="1:4" x14ac:dyDescent="0.3">
      <c r="A20" s="133" t="s">
        <v>188</v>
      </c>
      <c r="B20" s="133" t="s">
        <v>404</v>
      </c>
      <c r="C20" s="133" t="s">
        <v>527</v>
      </c>
      <c r="D20" s="133" t="s">
        <v>405</v>
      </c>
    </row>
    <row r="21" spans="1:4" x14ac:dyDescent="0.3">
      <c r="A21" s="133" t="s">
        <v>188</v>
      </c>
      <c r="B21" s="133" t="s">
        <v>188</v>
      </c>
      <c r="C21" s="133" t="s">
        <v>527</v>
      </c>
      <c r="D21" s="133" t="s">
        <v>406</v>
      </c>
    </row>
    <row r="22" spans="1:4" x14ac:dyDescent="0.3">
      <c r="A22" s="133" t="s">
        <v>319</v>
      </c>
      <c r="B22" s="271" t="s">
        <v>320</v>
      </c>
      <c r="C22" s="133" t="s">
        <v>527</v>
      </c>
      <c r="D22" s="133" t="s">
        <v>529</v>
      </c>
    </row>
    <row r="23" spans="1:4" x14ac:dyDescent="0.3">
      <c r="A23" s="133" t="s">
        <v>319</v>
      </c>
      <c r="B23" s="271" t="s">
        <v>321</v>
      </c>
      <c r="C23" s="133" t="s">
        <v>527</v>
      </c>
      <c r="D23" s="133" t="s">
        <v>408</v>
      </c>
    </row>
    <row r="24" spans="1:4" x14ac:dyDescent="0.3">
      <c r="A24" s="133" t="s">
        <v>319</v>
      </c>
      <c r="B24" s="271" t="s">
        <v>322</v>
      </c>
      <c r="C24" s="133" t="s">
        <v>527</v>
      </c>
      <c r="D24" s="133" t="s">
        <v>530</v>
      </c>
    </row>
    <row r="25" spans="1:4" x14ac:dyDescent="0.3">
      <c r="A25" s="133" t="s">
        <v>319</v>
      </c>
      <c r="B25" s="271" t="s">
        <v>323</v>
      </c>
      <c r="C25" s="133" t="s">
        <v>527</v>
      </c>
      <c r="D25" s="133" t="s">
        <v>409</v>
      </c>
    </row>
    <row r="26" spans="1:4" x14ac:dyDescent="0.3">
      <c r="A26" s="133" t="s">
        <v>319</v>
      </c>
      <c r="B26" s="271" t="s">
        <v>324</v>
      </c>
      <c r="C26" s="133" t="s">
        <v>527</v>
      </c>
      <c r="D26" s="133" t="s">
        <v>410</v>
      </c>
    </row>
    <row r="27" spans="1:4" x14ac:dyDescent="0.3">
      <c r="A27" s="133" t="s">
        <v>319</v>
      </c>
      <c r="B27" s="271" t="s">
        <v>325</v>
      </c>
      <c r="C27" s="133" t="s">
        <v>527</v>
      </c>
      <c r="D27" s="133" t="s">
        <v>411</v>
      </c>
    </row>
    <row r="28" spans="1:4" x14ac:dyDescent="0.3">
      <c r="A28" s="133" t="s">
        <v>319</v>
      </c>
      <c r="B28" s="271" t="s">
        <v>326</v>
      </c>
      <c r="C28" s="133" t="s">
        <v>527</v>
      </c>
      <c r="D28" s="133" t="s">
        <v>412</v>
      </c>
    </row>
    <row r="29" spans="1:4" x14ac:dyDescent="0.3">
      <c r="A29" s="133" t="s">
        <v>319</v>
      </c>
      <c r="B29" s="133" t="s">
        <v>319</v>
      </c>
      <c r="C29" s="133" t="s">
        <v>527</v>
      </c>
      <c r="D29" s="133" t="s">
        <v>407</v>
      </c>
    </row>
    <row r="30" spans="1:4" x14ac:dyDescent="0.3">
      <c r="A30" s="133" t="s">
        <v>319</v>
      </c>
      <c r="B30" s="133" t="s">
        <v>413</v>
      </c>
      <c r="C30" s="133" t="s">
        <v>527</v>
      </c>
      <c r="D30" s="133" t="s">
        <v>414</v>
      </c>
    </row>
    <row r="31" spans="1:4" x14ac:dyDescent="0.3">
      <c r="A31" s="133" t="s">
        <v>319</v>
      </c>
      <c r="B31" s="133" t="s">
        <v>415</v>
      </c>
      <c r="C31" s="133" t="s">
        <v>527</v>
      </c>
      <c r="D31" s="133" t="s">
        <v>416</v>
      </c>
    </row>
    <row r="32" spans="1:4" x14ac:dyDescent="0.3">
      <c r="A32" s="133" t="s">
        <v>417</v>
      </c>
      <c r="B32" s="271" t="s">
        <v>418</v>
      </c>
      <c r="C32" s="133" t="s">
        <v>527</v>
      </c>
      <c r="D32" s="133" t="s">
        <v>419</v>
      </c>
    </row>
    <row r="33" spans="1:4" x14ac:dyDescent="0.3">
      <c r="A33" s="133" t="s">
        <v>417</v>
      </c>
      <c r="B33" s="133" t="s">
        <v>40</v>
      </c>
      <c r="C33" s="133" t="s">
        <v>527</v>
      </c>
      <c r="D33" s="133" t="s">
        <v>420</v>
      </c>
    </row>
    <row r="34" spans="1:4" x14ac:dyDescent="0.3">
      <c r="A34" s="133" t="s">
        <v>417</v>
      </c>
      <c r="B34" s="133" t="s">
        <v>417</v>
      </c>
      <c r="C34" s="133" t="s">
        <v>527</v>
      </c>
      <c r="D34" s="133" t="s">
        <v>421</v>
      </c>
    </row>
    <row r="35" spans="1:4" x14ac:dyDescent="0.3">
      <c r="A35" s="133" t="s">
        <v>417</v>
      </c>
      <c r="B35" s="133" t="s">
        <v>422</v>
      </c>
      <c r="C35" s="133" t="s">
        <v>527</v>
      </c>
      <c r="D35" s="133" t="s">
        <v>423</v>
      </c>
    </row>
    <row r="36" spans="1:4" x14ac:dyDescent="0.3">
      <c r="A36" s="133" t="s">
        <v>417</v>
      </c>
      <c r="B36" s="133" t="s">
        <v>424</v>
      </c>
      <c r="C36" s="133" t="s">
        <v>527</v>
      </c>
      <c r="D36" s="133" t="s">
        <v>425</v>
      </c>
    </row>
    <row r="37" spans="1:4" x14ac:dyDescent="0.3">
      <c r="A37" s="133" t="s">
        <v>266</v>
      </c>
      <c r="B37" s="271" t="s">
        <v>267</v>
      </c>
      <c r="C37" s="133" t="s">
        <v>527</v>
      </c>
      <c r="D37" s="133" t="s">
        <v>268</v>
      </c>
    </row>
    <row r="38" spans="1:4" x14ac:dyDescent="0.3">
      <c r="A38" s="133" t="s">
        <v>266</v>
      </c>
      <c r="B38" s="271" t="s">
        <v>269</v>
      </c>
      <c r="C38" s="133" t="s">
        <v>527</v>
      </c>
      <c r="D38" s="133" t="s">
        <v>270</v>
      </c>
    </row>
    <row r="39" spans="1:4" x14ac:dyDescent="0.3">
      <c r="A39" s="133" t="s">
        <v>266</v>
      </c>
      <c r="B39" s="271" t="s">
        <v>426</v>
      </c>
      <c r="C39" s="133" t="s">
        <v>527</v>
      </c>
      <c r="D39" s="133" t="s">
        <v>180</v>
      </c>
    </row>
    <row r="40" spans="1:4" x14ac:dyDescent="0.3">
      <c r="A40" s="133" t="s">
        <v>266</v>
      </c>
      <c r="B40" s="271" t="s">
        <v>531</v>
      </c>
      <c r="C40" s="133" t="s">
        <v>527</v>
      </c>
      <c r="D40" s="133" t="s">
        <v>532</v>
      </c>
    </row>
    <row r="41" spans="1:4" x14ac:dyDescent="0.3">
      <c r="A41" s="133" t="s">
        <v>266</v>
      </c>
      <c r="B41" s="271" t="s">
        <v>271</v>
      </c>
      <c r="C41" s="133" t="s">
        <v>527</v>
      </c>
      <c r="D41" s="133" t="s">
        <v>182</v>
      </c>
    </row>
    <row r="42" spans="1:4" x14ac:dyDescent="0.3">
      <c r="A42" s="133" t="s">
        <v>266</v>
      </c>
      <c r="B42" s="271" t="s">
        <v>427</v>
      </c>
      <c r="C42" s="133" t="s">
        <v>527</v>
      </c>
      <c r="D42" s="133" t="s">
        <v>533</v>
      </c>
    </row>
    <row r="43" spans="1:4" x14ac:dyDescent="0.3">
      <c r="A43" s="133" t="s">
        <v>266</v>
      </c>
      <c r="B43" s="271" t="s">
        <v>278</v>
      </c>
      <c r="C43" s="133" t="s">
        <v>527</v>
      </c>
      <c r="D43" s="133" t="s">
        <v>279</v>
      </c>
    </row>
    <row r="44" spans="1:4" x14ac:dyDescent="0.3">
      <c r="A44" s="133" t="s">
        <v>266</v>
      </c>
      <c r="B44" s="271" t="s">
        <v>280</v>
      </c>
      <c r="C44" s="133" t="s">
        <v>527</v>
      </c>
      <c r="D44" s="133" t="s">
        <v>281</v>
      </c>
    </row>
    <row r="45" spans="1:4" x14ac:dyDescent="0.3">
      <c r="A45" s="133" t="s">
        <v>266</v>
      </c>
      <c r="B45" s="271" t="s">
        <v>282</v>
      </c>
      <c r="C45" s="133" t="s">
        <v>527</v>
      </c>
      <c r="D45" s="133" t="s">
        <v>283</v>
      </c>
    </row>
    <row r="46" spans="1:4" x14ac:dyDescent="0.3">
      <c r="A46" s="133" t="s">
        <v>266</v>
      </c>
      <c r="B46" s="271" t="s">
        <v>284</v>
      </c>
      <c r="C46" s="133" t="s">
        <v>527</v>
      </c>
      <c r="D46" s="133" t="s">
        <v>285</v>
      </c>
    </row>
    <row r="47" spans="1:4" x14ac:dyDescent="0.3">
      <c r="A47" s="133" t="s">
        <v>266</v>
      </c>
      <c r="B47" s="271" t="s">
        <v>429</v>
      </c>
      <c r="C47" s="133" t="s">
        <v>527</v>
      </c>
      <c r="D47" s="133" t="s">
        <v>430</v>
      </c>
    </row>
    <row r="48" spans="1:4" x14ac:dyDescent="0.3">
      <c r="A48" s="133" t="s">
        <v>266</v>
      </c>
      <c r="B48" s="271" t="s">
        <v>286</v>
      </c>
      <c r="C48" s="133" t="s">
        <v>527</v>
      </c>
      <c r="D48" s="133" t="s">
        <v>287</v>
      </c>
    </row>
    <row r="49" spans="1:4" x14ac:dyDescent="0.3">
      <c r="A49" s="133" t="s">
        <v>266</v>
      </c>
      <c r="B49" s="271" t="s">
        <v>288</v>
      </c>
      <c r="C49" s="133" t="s">
        <v>527</v>
      </c>
      <c r="D49" s="133" t="s">
        <v>289</v>
      </c>
    </row>
    <row r="50" spans="1:4" x14ac:dyDescent="0.3">
      <c r="A50" s="133" t="s">
        <v>266</v>
      </c>
      <c r="B50" s="271" t="s">
        <v>290</v>
      </c>
      <c r="C50" s="133" t="s">
        <v>527</v>
      </c>
      <c r="D50" s="133" t="s">
        <v>291</v>
      </c>
    </row>
    <row r="51" spans="1:4" x14ac:dyDescent="0.3">
      <c r="A51" s="133" t="s">
        <v>266</v>
      </c>
      <c r="B51" s="271" t="s">
        <v>292</v>
      </c>
      <c r="C51" s="133" t="s">
        <v>527</v>
      </c>
      <c r="D51" s="133" t="s">
        <v>293</v>
      </c>
    </row>
    <row r="52" spans="1:4" x14ac:dyDescent="0.3">
      <c r="A52" s="133" t="s">
        <v>266</v>
      </c>
      <c r="B52" s="271" t="s">
        <v>294</v>
      </c>
      <c r="C52" s="133" t="s">
        <v>527</v>
      </c>
      <c r="D52" s="133" t="s">
        <v>295</v>
      </c>
    </row>
    <row r="53" spans="1:4" x14ac:dyDescent="0.3">
      <c r="A53" s="133" t="s">
        <v>266</v>
      </c>
      <c r="B53" s="271" t="s">
        <v>296</v>
      </c>
      <c r="C53" s="133" t="s">
        <v>527</v>
      </c>
      <c r="D53" s="133" t="s">
        <v>297</v>
      </c>
    </row>
    <row r="54" spans="1:4" x14ac:dyDescent="0.3">
      <c r="A54" s="133" t="s">
        <v>266</v>
      </c>
      <c r="B54" s="271" t="s">
        <v>431</v>
      </c>
      <c r="C54" s="133" t="s">
        <v>527</v>
      </c>
      <c r="D54" s="133" t="s">
        <v>432</v>
      </c>
    </row>
    <row r="55" spans="1:4" x14ac:dyDescent="0.3">
      <c r="A55" s="133" t="s">
        <v>266</v>
      </c>
      <c r="B55" s="271" t="s">
        <v>523</v>
      </c>
      <c r="C55" s="133" t="s">
        <v>527</v>
      </c>
      <c r="D55" s="133" t="s">
        <v>534</v>
      </c>
    </row>
    <row r="56" spans="1:4" x14ac:dyDescent="0.3">
      <c r="A56" s="133" t="s">
        <v>266</v>
      </c>
      <c r="B56" s="271" t="s">
        <v>304</v>
      </c>
      <c r="C56" s="133" t="s">
        <v>527</v>
      </c>
      <c r="D56" s="133" t="s">
        <v>305</v>
      </c>
    </row>
    <row r="57" spans="1:4" x14ac:dyDescent="0.3">
      <c r="A57" s="133" t="s">
        <v>266</v>
      </c>
      <c r="B57" s="133" t="s">
        <v>272</v>
      </c>
      <c r="C57" s="133" t="s">
        <v>527</v>
      </c>
      <c r="D57" s="133" t="s">
        <v>273</v>
      </c>
    </row>
    <row r="58" spans="1:4" x14ac:dyDescent="0.3">
      <c r="A58" s="133" t="s">
        <v>266</v>
      </c>
      <c r="B58" s="133" t="s">
        <v>274</v>
      </c>
      <c r="C58" s="133" t="s">
        <v>527</v>
      </c>
      <c r="D58" s="133" t="s">
        <v>275</v>
      </c>
    </row>
    <row r="59" spans="1:4" x14ac:dyDescent="0.3">
      <c r="A59" s="133" t="s">
        <v>266</v>
      </c>
      <c r="B59" s="271" t="s">
        <v>276</v>
      </c>
      <c r="C59" s="133" t="s">
        <v>527</v>
      </c>
      <c r="D59" s="133" t="s">
        <v>277</v>
      </c>
    </row>
    <row r="60" spans="1:4" x14ac:dyDescent="0.3">
      <c r="A60" s="133" t="s">
        <v>266</v>
      </c>
      <c r="B60" s="133" t="s">
        <v>298</v>
      </c>
      <c r="C60" s="133" t="s">
        <v>527</v>
      </c>
      <c r="D60" s="133" t="s">
        <v>299</v>
      </c>
    </row>
    <row r="61" spans="1:4" x14ac:dyDescent="0.3">
      <c r="A61" s="133" t="s">
        <v>266</v>
      </c>
      <c r="B61" s="133" t="s">
        <v>300</v>
      </c>
      <c r="C61" s="133" t="s">
        <v>527</v>
      </c>
      <c r="D61" s="133" t="s">
        <v>301</v>
      </c>
    </row>
    <row r="62" spans="1:4" x14ac:dyDescent="0.3">
      <c r="A62" s="133" t="s">
        <v>266</v>
      </c>
      <c r="B62" s="133" t="s">
        <v>302</v>
      </c>
      <c r="C62" s="133" t="s">
        <v>527</v>
      </c>
      <c r="D62" s="133" t="s">
        <v>303</v>
      </c>
    </row>
    <row r="63" spans="1:4" x14ac:dyDescent="0.3">
      <c r="A63" s="133" t="s">
        <v>266</v>
      </c>
      <c r="B63" s="133" t="s">
        <v>266</v>
      </c>
      <c r="C63" s="133" t="s">
        <v>527</v>
      </c>
      <c r="D63" s="133" t="s">
        <v>428</v>
      </c>
    </row>
    <row r="64" spans="1:4" x14ac:dyDescent="0.3">
      <c r="A64" s="133" t="s">
        <v>52</v>
      </c>
      <c r="B64" s="133" t="s">
        <v>52</v>
      </c>
      <c r="C64" s="133" t="s">
        <v>527</v>
      </c>
      <c r="D64" s="133" t="s">
        <v>433</v>
      </c>
    </row>
    <row r="65" spans="1:4" x14ac:dyDescent="0.3">
      <c r="A65" s="133" t="s">
        <v>327</v>
      </c>
      <c r="B65" s="271" t="s">
        <v>328</v>
      </c>
      <c r="C65" s="133" t="s">
        <v>527</v>
      </c>
      <c r="D65" s="133" t="s">
        <v>535</v>
      </c>
    </row>
    <row r="66" spans="1:4" x14ac:dyDescent="0.3">
      <c r="A66" s="133" t="s">
        <v>327</v>
      </c>
      <c r="B66" s="271" t="s">
        <v>436</v>
      </c>
      <c r="C66" s="133" t="s">
        <v>527</v>
      </c>
      <c r="D66" s="133" t="s">
        <v>536</v>
      </c>
    </row>
    <row r="67" spans="1:4" x14ac:dyDescent="0.3">
      <c r="A67" s="133" t="s">
        <v>327</v>
      </c>
      <c r="B67" s="271" t="s">
        <v>332</v>
      </c>
      <c r="C67" s="133" t="s">
        <v>527</v>
      </c>
      <c r="D67" s="133" t="s">
        <v>439</v>
      </c>
    </row>
    <row r="68" spans="1:4" x14ac:dyDescent="0.3">
      <c r="A68" s="133" t="s">
        <v>327</v>
      </c>
      <c r="B68" s="271" t="s">
        <v>340</v>
      </c>
      <c r="C68" s="133" t="s">
        <v>527</v>
      </c>
      <c r="D68" s="133" t="s">
        <v>457</v>
      </c>
    </row>
    <row r="69" spans="1:4" x14ac:dyDescent="0.3">
      <c r="A69" s="133" t="s">
        <v>327</v>
      </c>
      <c r="B69" s="271" t="s">
        <v>476</v>
      </c>
      <c r="C69" s="133" t="s">
        <v>527</v>
      </c>
      <c r="D69" s="133" t="s">
        <v>477</v>
      </c>
    </row>
    <row r="70" spans="1:4" x14ac:dyDescent="0.3">
      <c r="A70" s="133" t="s">
        <v>327</v>
      </c>
      <c r="B70" s="133" t="s">
        <v>329</v>
      </c>
      <c r="C70" s="133" t="s">
        <v>527</v>
      </c>
      <c r="D70" s="133" t="s">
        <v>434</v>
      </c>
    </row>
    <row r="71" spans="1:4" x14ac:dyDescent="0.3">
      <c r="A71" s="133" t="s">
        <v>327</v>
      </c>
      <c r="B71" s="133" t="s">
        <v>330</v>
      </c>
      <c r="C71" s="133" t="s">
        <v>527</v>
      </c>
      <c r="D71" s="133" t="s">
        <v>435</v>
      </c>
    </row>
    <row r="72" spans="1:4" ht="15.5" x14ac:dyDescent="0.35">
      <c r="A72" s="133" t="s">
        <v>327</v>
      </c>
      <c r="B72" s="133" t="s">
        <v>331</v>
      </c>
      <c r="C72" s="133" t="s">
        <v>527</v>
      </c>
      <c r="D72" s="308" t="s">
        <v>761</v>
      </c>
    </row>
    <row r="73" spans="1:4" x14ac:dyDescent="0.3">
      <c r="A73" s="133" t="s">
        <v>327</v>
      </c>
      <c r="B73" s="133" t="s">
        <v>437</v>
      </c>
      <c r="C73" s="133" t="s">
        <v>527</v>
      </c>
      <c r="D73" s="133" t="s">
        <v>438</v>
      </c>
    </row>
    <row r="74" spans="1:4" x14ac:dyDescent="0.3">
      <c r="A74" s="133" t="s">
        <v>327</v>
      </c>
      <c r="B74" s="133" t="s">
        <v>333</v>
      </c>
      <c r="C74" s="133" t="s">
        <v>527</v>
      </c>
      <c r="D74" s="133" t="s">
        <v>440</v>
      </c>
    </row>
    <row r="75" spans="1:4" x14ac:dyDescent="0.3">
      <c r="A75" s="133" t="s">
        <v>327</v>
      </c>
      <c r="B75" s="133" t="s">
        <v>334</v>
      </c>
      <c r="C75" s="133" t="s">
        <v>527</v>
      </c>
      <c r="D75" s="133" t="s">
        <v>441</v>
      </c>
    </row>
    <row r="76" spans="1:4" x14ac:dyDescent="0.3">
      <c r="A76" s="133" t="s">
        <v>327</v>
      </c>
      <c r="B76" s="133" t="s">
        <v>335</v>
      </c>
      <c r="C76" s="133" t="s">
        <v>527</v>
      </c>
      <c r="D76" s="133" t="s">
        <v>537</v>
      </c>
    </row>
    <row r="77" spans="1:4" x14ac:dyDescent="0.3">
      <c r="A77" s="133" t="s">
        <v>327</v>
      </c>
      <c r="B77" s="271" t="s">
        <v>336</v>
      </c>
      <c r="C77" s="133" t="s">
        <v>527</v>
      </c>
      <c r="D77" s="133" t="s">
        <v>442</v>
      </c>
    </row>
    <row r="78" spans="1:4" x14ac:dyDescent="0.3">
      <c r="A78" s="133" t="s">
        <v>327</v>
      </c>
      <c r="B78" s="133" t="s">
        <v>443</v>
      </c>
      <c r="C78" s="133" t="s">
        <v>527</v>
      </c>
      <c r="D78" s="133" t="s">
        <v>444</v>
      </c>
    </row>
    <row r="79" spans="1:4" x14ac:dyDescent="0.3">
      <c r="A79" s="133" t="s">
        <v>327</v>
      </c>
      <c r="B79" s="133" t="s">
        <v>445</v>
      </c>
      <c r="C79" s="133" t="s">
        <v>527</v>
      </c>
      <c r="D79" s="133" t="s">
        <v>446</v>
      </c>
    </row>
    <row r="80" spans="1:4" x14ac:dyDescent="0.3">
      <c r="A80" s="133" t="s">
        <v>327</v>
      </c>
      <c r="B80" s="133" t="s">
        <v>447</v>
      </c>
      <c r="C80" s="133" t="s">
        <v>527</v>
      </c>
      <c r="D80" s="133" t="s">
        <v>448</v>
      </c>
    </row>
    <row r="81" spans="1:4" x14ac:dyDescent="0.3">
      <c r="A81" s="133" t="s">
        <v>327</v>
      </c>
      <c r="B81" s="133" t="s">
        <v>449</v>
      </c>
      <c r="C81" s="133" t="s">
        <v>527</v>
      </c>
      <c r="D81" s="133" t="s">
        <v>450</v>
      </c>
    </row>
    <row r="82" spans="1:4" x14ac:dyDescent="0.3">
      <c r="A82" s="133" t="s">
        <v>327</v>
      </c>
      <c r="B82" s="133" t="s">
        <v>451</v>
      </c>
      <c r="C82" s="133" t="s">
        <v>527</v>
      </c>
      <c r="D82" s="133" t="s">
        <v>452</v>
      </c>
    </row>
    <row r="83" spans="1:4" x14ac:dyDescent="0.3">
      <c r="A83" s="133" t="s">
        <v>327</v>
      </c>
      <c r="B83" s="133" t="s">
        <v>538</v>
      </c>
      <c r="C83" s="133" t="s">
        <v>527</v>
      </c>
      <c r="D83" s="133" t="s">
        <v>539</v>
      </c>
    </row>
    <row r="84" spans="1:4" x14ac:dyDescent="0.3">
      <c r="A84" s="133" t="s">
        <v>327</v>
      </c>
      <c r="B84" s="133" t="s">
        <v>337</v>
      </c>
      <c r="C84" s="133" t="s">
        <v>527</v>
      </c>
      <c r="D84" s="133" t="s">
        <v>453</v>
      </c>
    </row>
    <row r="85" spans="1:4" x14ac:dyDescent="0.3">
      <c r="A85" s="133" t="s">
        <v>327</v>
      </c>
      <c r="B85" s="133" t="s">
        <v>338</v>
      </c>
      <c r="C85" s="133" t="s">
        <v>527</v>
      </c>
      <c r="D85" s="133" t="s">
        <v>454</v>
      </c>
    </row>
    <row r="86" spans="1:4" x14ac:dyDescent="0.3">
      <c r="A86" s="133" t="s">
        <v>327</v>
      </c>
      <c r="B86" s="133" t="s">
        <v>339</v>
      </c>
      <c r="C86" s="133" t="s">
        <v>527</v>
      </c>
      <c r="D86" s="133" t="s">
        <v>455</v>
      </c>
    </row>
    <row r="87" spans="1:4" x14ac:dyDescent="0.3">
      <c r="A87" s="133" t="s">
        <v>327</v>
      </c>
      <c r="B87" s="133" t="s">
        <v>456</v>
      </c>
      <c r="C87" s="133" t="s">
        <v>527</v>
      </c>
      <c r="D87" s="307" t="s">
        <v>760</v>
      </c>
    </row>
    <row r="88" spans="1:4" x14ac:dyDescent="0.3">
      <c r="A88" s="133" t="s">
        <v>327</v>
      </c>
      <c r="B88" s="133" t="s">
        <v>341</v>
      </c>
      <c r="C88" s="133" t="s">
        <v>527</v>
      </c>
      <c r="D88" s="133" t="s">
        <v>540</v>
      </c>
    </row>
    <row r="89" spans="1:4" x14ac:dyDescent="0.3">
      <c r="A89" s="133" t="s">
        <v>327</v>
      </c>
      <c r="B89" s="133" t="s">
        <v>458</v>
      </c>
      <c r="C89" s="133" t="s">
        <v>527</v>
      </c>
      <c r="D89" s="133" t="s">
        <v>541</v>
      </c>
    </row>
    <row r="90" spans="1:4" x14ac:dyDescent="0.3">
      <c r="A90" s="133" t="s">
        <v>327</v>
      </c>
      <c r="B90" s="133" t="s">
        <v>342</v>
      </c>
      <c r="C90" s="133" t="s">
        <v>527</v>
      </c>
      <c r="D90" s="133" t="s">
        <v>460</v>
      </c>
    </row>
    <row r="91" spans="1:4" x14ac:dyDescent="0.3">
      <c r="A91" s="133" t="s">
        <v>327</v>
      </c>
      <c r="B91" s="133" t="s">
        <v>343</v>
      </c>
      <c r="C91" s="133" t="s">
        <v>527</v>
      </c>
      <c r="D91" s="133" t="s">
        <v>461</v>
      </c>
    </row>
    <row r="92" spans="1:4" x14ac:dyDescent="0.3">
      <c r="A92" s="133" t="s">
        <v>327</v>
      </c>
      <c r="B92" s="271" t="s">
        <v>462</v>
      </c>
      <c r="C92" s="133" t="s">
        <v>527</v>
      </c>
      <c r="D92" s="133" t="s">
        <v>463</v>
      </c>
    </row>
    <row r="93" spans="1:4" x14ac:dyDescent="0.3">
      <c r="A93" s="133" t="s">
        <v>327</v>
      </c>
      <c r="B93" s="133" t="s">
        <v>542</v>
      </c>
      <c r="C93" s="133" t="s">
        <v>527</v>
      </c>
      <c r="D93" s="133" t="s">
        <v>459</v>
      </c>
    </row>
    <row r="94" spans="1:4" x14ac:dyDescent="0.3">
      <c r="A94" s="133" t="s">
        <v>327</v>
      </c>
      <c r="B94" s="133" t="s">
        <v>543</v>
      </c>
      <c r="C94" s="133" t="s">
        <v>527</v>
      </c>
      <c r="D94" s="133" t="s">
        <v>544</v>
      </c>
    </row>
    <row r="95" spans="1:4" x14ac:dyDescent="0.3">
      <c r="A95" s="133" t="s">
        <v>327</v>
      </c>
      <c r="B95" s="133" t="s">
        <v>464</v>
      </c>
      <c r="C95" s="133" t="s">
        <v>527</v>
      </c>
      <c r="D95" s="133" t="s">
        <v>465</v>
      </c>
    </row>
    <row r="96" spans="1:4" x14ac:dyDescent="0.3">
      <c r="A96" s="133" t="s">
        <v>327</v>
      </c>
      <c r="B96" s="133" t="s">
        <v>466</v>
      </c>
      <c r="C96" s="133" t="s">
        <v>527</v>
      </c>
      <c r="D96" s="133" t="s">
        <v>467</v>
      </c>
    </row>
    <row r="97" spans="1:4" x14ac:dyDescent="0.3">
      <c r="A97" s="133" t="s">
        <v>327</v>
      </c>
      <c r="B97" s="133" t="s">
        <v>468</v>
      </c>
      <c r="C97" s="133" t="s">
        <v>527</v>
      </c>
      <c r="D97" s="133" t="s">
        <v>469</v>
      </c>
    </row>
    <row r="98" spans="1:4" x14ac:dyDescent="0.3">
      <c r="A98" s="133" t="s">
        <v>327</v>
      </c>
      <c r="B98" s="133" t="s">
        <v>470</v>
      </c>
      <c r="C98" s="133" t="s">
        <v>527</v>
      </c>
      <c r="D98" s="133" t="s">
        <v>471</v>
      </c>
    </row>
    <row r="99" spans="1:4" x14ac:dyDescent="0.3">
      <c r="A99" s="133" t="s">
        <v>327</v>
      </c>
      <c r="B99" s="133" t="s">
        <v>472</v>
      </c>
      <c r="C99" s="133" t="s">
        <v>527</v>
      </c>
      <c r="D99" s="133" t="s">
        <v>473</v>
      </c>
    </row>
    <row r="100" spans="1:4" x14ac:dyDescent="0.3">
      <c r="A100" s="133" t="s">
        <v>327</v>
      </c>
      <c r="B100" s="133" t="s">
        <v>474</v>
      </c>
      <c r="C100" s="133" t="s">
        <v>527</v>
      </c>
      <c r="D100" s="133" t="s">
        <v>475</v>
      </c>
    </row>
    <row r="101" spans="1:4" x14ac:dyDescent="0.3">
      <c r="A101" s="133" t="s">
        <v>327</v>
      </c>
      <c r="B101" s="133" t="s">
        <v>478</v>
      </c>
      <c r="C101" s="133" t="s">
        <v>527</v>
      </c>
      <c r="D101" s="133" t="s">
        <v>479</v>
      </c>
    </row>
    <row r="102" spans="1:4" x14ac:dyDescent="0.3">
      <c r="A102" s="133" t="s">
        <v>327</v>
      </c>
      <c r="B102" s="271" t="s">
        <v>480</v>
      </c>
      <c r="C102" s="133" t="s">
        <v>527</v>
      </c>
      <c r="D102" s="133" t="s">
        <v>481</v>
      </c>
    </row>
    <row r="103" spans="1:4" x14ac:dyDescent="0.3">
      <c r="A103" s="133" t="s">
        <v>327</v>
      </c>
      <c r="B103" s="133" t="s">
        <v>327</v>
      </c>
      <c r="C103" s="133" t="s">
        <v>527</v>
      </c>
      <c r="D103" s="133" t="s">
        <v>482</v>
      </c>
    </row>
    <row r="104" spans="1:4" x14ac:dyDescent="0.3">
      <c r="A104" s="133" t="s">
        <v>198</v>
      </c>
      <c r="B104" s="271" t="s">
        <v>199</v>
      </c>
      <c r="C104" s="133" t="s">
        <v>527</v>
      </c>
      <c r="D104" s="133" t="s">
        <v>545</v>
      </c>
    </row>
    <row r="105" spans="1:4" x14ac:dyDescent="0.3">
      <c r="A105" s="133" t="s">
        <v>198</v>
      </c>
      <c r="B105" s="271" t="s">
        <v>484</v>
      </c>
      <c r="C105" s="133" t="s">
        <v>527</v>
      </c>
      <c r="D105" s="133" t="s">
        <v>485</v>
      </c>
    </row>
    <row r="106" spans="1:4" x14ac:dyDescent="0.3">
      <c r="A106" s="133" t="s">
        <v>198</v>
      </c>
      <c r="B106" s="271" t="s">
        <v>487</v>
      </c>
      <c r="C106" s="133" t="s">
        <v>527</v>
      </c>
      <c r="D106" s="133" t="s">
        <v>488</v>
      </c>
    </row>
    <row r="107" spans="1:4" x14ac:dyDescent="0.3">
      <c r="A107" s="133" t="s">
        <v>198</v>
      </c>
      <c r="B107" s="271" t="s">
        <v>489</v>
      </c>
      <c r="C107" s="133" t="s">
        <v>527</v>
      </c>
      <c r="D107" s="133" t="s">
        <v>490</v>
      </c>
    </row>
    <row r="108" spans="1:4" x14ac:dyDescent="0.3">
      <c r="A108" s="133" t="s">
        <v>198</v>
      </c>
      <c r="B108" s="271" t="s">
        <v>234</v>
      </c>
      <c r="C108" s="133" t="s">
        <v>527</v>
      </c>
      <c r="D108" s="133" t="s">
        <v>235</v>
      </c>
    </row>
    <row r="109" spans="1:4" x14ac:dyDescent="0.3">
      <c r="A109" s="133" t="s">
        <v>198</v>
      </c>
      <c r="B109" s="271" t="s">
        <v>246</v>
      </c>
      <c r="C109" s="133" t="s">
        <v>527</v>
      </c>
      <c r="D109" s="133" t="s">
        <v>496</v>
      </c>
    </row>
    <row r="110" spans="1:4" x14ac:dyDescent="0.3">
      <c r="A110" s="133" t="s">
        <v>198</v>
      </c>
      <c r="B110" s="271" t="s">
        <v>256</v>
      </c>
      <c r="C110" s="133" t="s">
        <v>527</v>
      </c>
      <c r="D110" s="133" t="s">
        <v>502</v>
      </c>
    </row>
    <row r="111" spans="1:4" x14ac:dyDescent="0.3">
      <c r="A111" s="133" t="s">
        <v>198</v>
      </c>
      <c r="B111" s="271" t="s">
        <v>257</v>
      </c>
      <c r="C111" s="133" t="s">
        <v>527</v>
      </c>
      <c r="D111" s="133" t="s">
        <v>503</v>
      </c>
    </row>
    <row r="112" spans="1:4" x14ac:dyDescent="0.3">
      <c r="A112" s="133" t="s">
        <v>198</v>
      </c>
      <c r="B112" s="271" t="s">
        <v>504</v>
      </c>
      <c r="C112" s="133" t="s">
        <v>527</v>
      </c>
      <c r="D112" s="133" t="s">
        <v>505</v>
      </c>
    </row>
    <row r="113" spans="1:4" x14ac:dyDescent="0.3">
      <c r="A113" s="133" t="s">
        <v>198</v>
      </c>
      <c r="B113" s="271" t="s">
        <v>506</v>
      </c>
      <c r="C113" s="133" t="s">
        <v>527</v>
      </c>
      <c r="D113" s="133" t="s">
        <v>507</v>
      </c>
    </row>
    <row r="114" spans="1:4" x14ac:dyDescent="0.3">
      <c r="A114" s="133" t="s">
        <v>198</v>
      </c>
      <c r="B114" s="271" t="s">
        <v>518</v>
      </c>
      <c r="C114" s="133" t="s">
        <v>527</v>
      </c>
      <c r="D114" s="133" t="s">
        <v>519</v>
      </c>
    </row>
    <row r="115" spans="1:4" x14ac:dyDescent="0.3">
      <c r="A115" s="133" t="s">
        <v>198</v>
      </c>
      <c r="B115" s="133" t="s">
        <v>200</v>
      </c>
      <c r="C115" s="133" t="s">
        <v>527</v>
      </c>
      <c r="D115" s="133" t="s">
        <v>201</v>
      </c>
    </row>
    <row r="116" spans="1:4" x14ac:dyDescent="0.3">
      <c r="A116" s="133" t="s">
        <v>198</v>
      </c>
      <c r="B116" s="133" t="s">
        <v>202</v>
      </c>
      <c r="C116" s="133" t="s">
        <v>527</v>
      </c>
      <c r="D116" s="133" t="s">
        <v>203</v>
      </c>
    </row>
    <row r="117" spans="1:4" x14ac:dyDescent="0.3">
      <c r="A117" s="133" t="s">
        <v>198</v>
      </c>
      <c r="B117" s="133" t="s">
        <v>204</v>
      </c>
      <c r="C117" s="133" t="s">
        <v>527</v>
      </c>
      <c r="D117" s="133" t="s">
        <v>205</v>
      </c>
    </row>
    <row r="118" spans="1:4" x14ac:dyDescent="0.3">
      <c r="A118" s="133" t="s">
        <v>198</v>
      </c>
      <c r="B118" s="133" t="s">
        <v>206</v>
      </c>
      <c r="C118" s="133" t="s">
        <v>527</v>
      </c>
      <c r="D118" s="133" t="s">
        <v>207</v>
      </c>
    </row>
    <row r="119" spans="1:4" x14ac:dyDescent="0.3">
      <c r="A119" s="133" t="s">
        <v>198</v>
      </c>
      <c r="B119" s="133" t="s">
        <v>208</v>
      </c>
      <c r="C119" s="133" t="s">
        <v>527</v>
      </c>
      <c r="D119" s="133" t="s">
        <v>209</v>
      </c>
    </row>
    <row r="120" spans="1:4" x14ac:dyDescent="0.3">
      <c r="A120" s="133" t="s">
        <v>198</v>
      </c>
      <c r="B120" s="271" t="s">
        <v>210</v>
      </c>
      <c r="C120" s="133" t="s">
        <v>527</v>
      </c>
      <c r="D120" s="133" t="s">
        <v>211</v>
      </c>
    </row>
    <row r="121" spans="1:4" x14ac:dyDescent="0.3">
      <c r="A121" s="133" t="s">
        <v>198</v>
      </c>
      <c r="B121" s="133" t="s">
        <v>212</v>
      </c>
      <c r="C121" s="133" t="s">
        <v>527</v>
      </c>
      <c r="D121" s="133" t="s">
        <v>213</v>
      </c>
    </row>
    <row r="122" spans="1:4" x14ac:dyDescent="0.3">
      <c r="A122" s="133" t="s">
        <v>198</v>
      </c>
      <c r="B122" s="133" t="s">
        <v>214</v>
      </c>
      <c r="C122" s="133" t="s">
        <v>527</v>
      </c>
      <c r="D122" s="133" t="s">
        <v>215</v>
      </c>
    </row>
    <row r="123" spans="1:4" x14ac:dyDescent="0.3">
      <c r="A123" s="133" t="s">
        <v>198</v>
      </c>
      <c r="B123" s="133" t="s">
        <v>216</v>
      </c>
      <c r="C123" s="133" t="s">
        <v>527</v>
      </c>
      <c r="D123" s="133" t="s">
        <v>217</v>
      </c>
    </row>
    <row r="124" spans="1:4" x14ac:dyDescent="0.3">
      <c r="A124" s="133" t="s">
        <v>198</v>
      </c>
      <c r="B124" s="133" t="s">
        <v>218</v>
      </c>
      <c r="C124" s="133" t="s">
        <v>527</v>
      </c>
      <c r="D124" s="133" t="s">
        <v>486</v>
      </c>
    </row>
    <row r="125" spans="1:4" x14ac:dyDescent="0.3">
      <c r="A125" s="133" t="s">
        <v>198</v>
      </c>
      <c r="B125" s="133" t="s">
        <v>219</v>
      </c>
      <c r="C125" s="133" t="s">
        <v>527</v>
      </c>
      <c r="D125" s="133" t="s">
        <v>220</v>
      </c>
    </row>
    <row r="126" spans="1:4" x14ac:dyDescent="0.3">
      <c r="A126" s="133" t="s">
        <v>198</v>
      </c>
      <c r="B126" s="133" t="s">
        <v>221</v>
      </c>
      <c r="C126" s="133" t="s">
        <v>527</v>
      </c>
      <c r="D126" s="133" t="s">
        <v>222</v>
      </c>
    </row>
    <row r="127" spans="1:4" x14ac:dyDescent="0.3">
      <c r="A127" s="133" t="s">
        <v>198</v>
      </c>
      <c r="B127" s="133" t="s">
        <v>223</v>
      </c>
      <c r="C127" s="133" t="s">
        <v>527</v>
      </c>
      <c r="D127" s="133" t="s">
        <v>224</v>
      </c>
    </row>
    <row r="128" spans="1:4" x14ac:dyDescent="0.3">
      <c r="A128" s="133" t="s">
        <v>198</v>
      </c>
      <c r="B128" s="133" t="s">
        <v>225</v>
      </c>
      <c r="C128" s="133" t="s">
        <v>527</v>
      </c>
      <c r="D128" s="133" t="s">
        <v>226</v>
      </c>
    </row>
    <row r="129" spans="1:4" x14ac:dyDescent="0.3">
      <c r="A129" s="133" t="s">
        <v>198</v>
      </c>
      <c r="B129" s="133" t="s">
        <v>227</v>
      </c>
      <c r="C129" s="133" t="s">
        <v>527</v>
      </c>
      <c r="D129" s="133" t="s">
        <v>228</v>
      </c>
    </row>
    <row r="130" spans="1:4" x14ac:dyDescent="0.3">
      <c r="A130" s="133" t="s">
        <v>198</v>
      </c>
      <c r="B130" s="133" t="s">
        <v>229</v>
      </c>
      <c r="C130" s="133" t="s">
        <v>527</v>
      </c>
      <c r="D130" s="133" t="s">
        <v>230</v>
      </c>
    </row>
    <row r="131" spans="1:4" x14ac:dyDescent="0.3">
      <c r="A131" s="133" t="s">
        <v>198</v>
      </c>
      <c r="B131" s="133" t="s">
        <v>491</v>
      </c>
      <c r="C131" s="133" t="s">
        <v>527</v>
      </c>
      <c r="D131" s="133" t="s">
        <v>492</v>
      </c>
    </row>
    <row r="132" spans="1:4" x14ac:dyDescent="0.3">
      <c r="A132" s="133" t="s">
        <v>198</v>
      </c>
      <c r="B132" s="271" t="s">
        <v>231</v>
      </c>
      <c r="C132" s="133" t="s">
        <v>527</v>
      </c>
      <c r="D132" s="133" t="s">
        <v>493</v>
      </c>
    </row>
    <row r="133" spans="1:4" x14ac:dyDescent="0.3">
      <c r="A133" s="133" t="s">
        <v>198</v>
      </c>
      <c r="B133" s="133" t="s">
        <v>232</v>
      </c>
      <c r="C133" s="133" t="s">
        <v>527</v>
      </c>
      <c r="D133" s="133" t="s">
        <v>494</v>
      </c>
    </row>
    <row r="134" spans="1:4" x14ac:dyDescent="0.3">
      <c r="A134" s="133" t="s">
        <v>198</v>
      </c>
      <c r="B134" s="133" t="s">
        <v>233</v>
      </c>
      <c r="C134" s="133" t="s">
        <v>527</v>
      </c>
      <c r="D134" s="133" t="s">
        <v>495</v>
      </c>
    </row>
    <row r="135" spans="1:4" x14ac:dyDescent="0.3">
      <c r="A135" s="133" t="s">
        <v>198</v>
      </c>
      <c r="B135" s="133" t="s">
        <v>236</v>
      </c>
      <c r="C135" s="133" t="s">
        <v>527</v>
      </c>
      <c r="D135" s="133" t="s">
        <v>237</v>
      </c>
    </row>
    <row r="136" spans="1:4" x14ac:dyDescent="0.3">
      <c r="A136" s="133" t="s">
        <v>198</v>
      </c>
      <c r="B136" s="133" t="s">
        <v>238</v>
      </c>
      <c r="C136" s="133" t="s">
        <v>527</v>
      </c>
      <c r="D136" s="133" t="s">
        <v>239</v>
      </c>
    </row>
    <row r="137" spans="1:4" x14ac:dyDescent="0.3">
      <c r="A137" s="133" t="s">
        <v>198</v>
      </c>
      <c r="B137" s="133" t="s">
        <v>240</v>
      </c>
      <c r="C137" s="133" t="s">
        <v>527</v>
      </c>
      <c r="D137" s="133" t="s">
        <v>241</v>
      </c>
    </row>
    <row r="138" spans="1:4" x14ac:dyDescent="0.3">
      <c r="A138" s="133" t="s">
        <v>198</v>
      </c>
      <c r="B138" s="133" t="s">
        <v>242</v>
      </c>
      <c r="C138" s="133" t="s">
        <v>527</v>
      </c>
      <c r="D138" s="133" t="s">
        <v>243</v>
      </c>
    </row>
    <row r="139" spans="1:4" x14ac:dyDescent="0.3">
      <c r="A139" s="133" t="s">
        <v>198</v>
      </c>
      <c r="B139" s="133" t="s">
        <v>244</v>
      </c>
      <c r="C139" s="133" t="s">
        <v>527</v>
      </c>
      <c r="D139" s="133" t="s">
        <v>245</v>
      </c>
    </row>
    <row r="140" spans="1:4" x14ac:dyDescent="0.3">
      <c r="A140" s="133" t="s">
        <v>198</v>
      </c>
      <c r="B140" s="133" t="s">
        <v>247</v>
      </c>
      <c r="C140" s="133" t="s">
        <v>527</v>
      </c>
      <c r="D140" s="133" t="s">
        <v>248</v>
      </c>
    </row>
    <row r="141" spans="1:4" x14ac:dyDescent="0.3">
      <c r="A141" s="133" t="s">
        <v>198</v>
      </c>
      <c r="B141" s="133" t="s">
        <v>249</v>
      </c>
      <c r="C141" s="133" t="s">
        <v>527</v>
      </c>
      <c r="D141" s="133" t="s">
        <v>497</v>
      </c>
    </row>
    <row r="142" spans="1:4" x14ac:dyDescent="0.3">
      <c r="A142" s="133" t="s">
        <v>198</v>
      </c>
      <c r="B142" s="133" t="s">
        <v>250</v>
      </c>
      <c r="C142" s="133" t="s">
        <v>527</v>
      </c>
      <c r="D142" s="133" t="s">
        <v>251</v>
      </c>
    </row>
    <row r="143" spans="1:4" x14ac:dyDescent="0.3">
      <c r="A143" s="133" t="s">
        <v>198</v>
      </c>
      <c r="B143" s="133" t="s">
        <v>252</v>
      </c>
      <c r="C143" s="133" t="s">
        <v>527</v>
      </c>
      <c r="D143" s="133" t="s">
        <v>498</v>
      </c>
    </row>
    <row r="144" spans="1:4" x14ac:dyDescent="0.3">
      <c r="A144" s="133" t="s">
        <v>198</v>
      </c>
      <c r="B144" s="271" t="s">
        <v>253</v>
      </c>
      <c r="C144" s="133" t="s">
        <v>527</v>
      </c>
      <c r="D144" s="133" t="s">
        <v>499</v>
      </c>
    </row>
    <row r="145" spans="1:4" x14ac:dyDescent="0.3">
      <c r="A145" s="133" t="s">
        <v>198</v>
      </c>
      <c r="B145" s="133" t="s">
        <v>500</v>
      </c>
      <c r="C145" s="133" t="s">
        <v>527</v>
      </c>
      <c r="D145" s="133" t="s">
        <v>501</v>
      </c>
    </row>
    <row r="146" spans="1:4" x14ac:dyDescent="0.3">
      <c r="A146" s="133" t="s">
        <v>198</v>
      </c>
      <c r="B146" s="133" t="s">
        <v>254</v>
      </c>
      <c r="C146" s="133" t="s">
        <v>527</v>
      </c>
      <c r="D146" s="133" t="s">
        <v>255</v>
      </c>
    </row>
    <row r="147" spans="1:4" x14ac:dyDescent="0.3">
      <c r="A147" s="133" t="s">
        <v>198</v>
      </c>
      <c r="B147" s="133" t="s">
        <v>258</v>
      </c>
      <c r="C147" s="133" t="s">
        <v>527</v>
      </c>
      <c r="D147" s="133" t="s">
        <v>508</v>
      </c>
    </row>
    <row r="148" spans="1:4" x14ac:dyDescent="0.3">
      <c r="A148" s="133" t="s">
        <v>198</v>
      </c>
      <c r="B148" s="271" t="s">
        <v>259</v>
      </c>
      <c r="C148" s="133" t="s">
        <v>527</v>
      </c>
      <c r="D148" s="133" t="s">
        <v>509</v>
      </c>
    </row>
    <row r="149" spans="1:4" x14ac:dyDescent="0.3">
      <c r="A149" s="133" t="s">
        <v>198</v>
      </c>
      <c r="B149" s="133" t="s">
        <v>510</v>
      </c>
      <c r="C149" s="133" t="s">
        <v>527</v>
      </c>
      <c r="D149" s="133" t="s">
        <v>511</v>
      </c>
    </row>
    <row r="150" spans="1:4" x14ac:dyDescent="0.3">
      <c r="A150" s="133" t="s">
        <v>198</v>
      </c>
      <c r="B150" s="133" t="s">
        <v>512</v>
      </c>
      <c r="C150" s="133" t="s">
        <v>527</v>
      </c>
      <c r="D150" s="133" t="s">
        <v>513</v>
      </c>
    </row>
    <row r="151" spans="1:4" x14ac:dyDescent="0.3">
      <c r="A151" s="133" t="s">
        <v>198</v>
      </c>
      <c r="B151" s="133" t="s">
        <v>514</v>
      </c>
      <c r="C151" s="133" t="s">
        <v>527</v>
      </c>
      <c r="D151" s="133" t="s">
        <v>515</v>
      </c>
    </row>
    <row r="152" spans="1:4" x14ac:dyDescent="0.3">
      <c r="A152" s="133" t="s">
        <v>198</v>
      </c>
      <c r="B152" s="133" t="s">
        <v>516</v>
      </c>
      <c r="C152" s="133" t="s">
        <v>527</v>
      </c>
      <c r="D152" s="133" t="s">
        <v>517</v>
      </c>
    </row>
    <row r="153" spans="1:4" x14ac:dyDescent="0.3">
      <c r="A153" s="133" t="s">
        <v>198</v>
      </c>
      <c r="B153" s="133" t="s">
        <v>546</v>
      </c>
      <c r="C153" s="133" t="s">
        <v>527</v>
      </c>
      <c r="D153" s="133" t="s">
        <v>547</v>
      </c>
    </row>
    <row r="154" spans="1:4" x14ac:dyDescent="0.3">
      <c r="A154" s="133" t="s">
        <v>198</v>
      </c>
      <c r="B154" s="133" t="s">
        <v>260</v>
      </c>
      <c r="C154" s="133" t="s">
        <v>527</v>
      </c>
      <c r="D154" s="133" t="s">
        <v>261</v>
      </c>
    </row>
    <row r="155" spans="1:4" x14ac:dyDescent="0.3">
      <c r="A155" s="133" t="s">
        <v>198</v>
      </c>
      <c r="B155" s="133" t="s">
        <v>262</v>
      </c>
      <c r="C155" s="133" t="s">
        <v>527</v>
      </c>
      <c r="D155" s="133" t="s">
        <v>263</v>
      </c>
    </row>
    <row r="156" spans="1:4" x14ac:dyDescent="0.3">
      <c r="A156" s="133" t="s">
        <v>198</v>
      </c>
      <c r="B156" s="133" t="s">
        <v>264</v>
      </c>
      <c r="C156" s="133" t="s">
        <v>527</v>
      </c>
      <c r="D156" s="133" t="s">
        <v>265</v>
      </c>
    </row>
    <row r="157" spans="1:4" x14ac:dyDescent="0.3">
      <c r="A157" s="133" t="s">
        <v>198</v>
      </c>
      <c r="B157" s="133" t="s">
        <v>198</v>
      </c>
      <c r="C157" s="133" t="s">
        <v>527</v>
      </c>
      <c r="D157" s="133" t="s">
        <v>483</v>
      </c>
    </row>
  </sheetData>
  <phoneticPr fontId="3" type="noConversion"/>
  <printOptions gridLines="1" gridLinesSet="0"/>
  <pageMargins left="0.75" right="0.75" top="1" bottom="1" header="0.5" footer="0.5"/>
  <headerFooter alignWithMargins="0">
    <oddHeader>&amp;F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"/>
  <sheetViews>
    <sheetView workbookViewId="0">
      <selection activeCell="A2" sqref="A2"/>
    </sheetView>
  </sheetViews>
  <sheetFormatPr defaultRowHeight="12.5" x14ac:dyDescent="0.25"/>
  <cols>
    <col min="1" max="1" width="44.1796875" customWidth="1"/>
    <col min="2" max="2" width="5" bestFit="1" customWidth="1"/>
    <col min="3" max="3" width="5" customWidth="1"/>
    <col min="4" max="4" width="5" bestFit="1" customWidth="1"/>
  </cols>
  <sheetData>
    <row r="1" spans="1:1" ht="18" x14ac:dyDescent="0.4">
      <c r="A1" s="372" t="s">
        <v>835</v>
      </c>
    </row>
    <row r="2" spans="1:1" x14ac:dyDescent="0.25">
      <c r="A2" s="350" t="s">
        <v>634</v>
      </c>
    </row>
    <row r="3" spans="1:1" x14ac:dyDescent="0.25">
      <c r="A3" s="351" t="s">
        <v>563</v>
      </c>
    </row>
    <row r="4" spans="1:1" x14ac:dyDescent="0.25">
      <c r="A4" s="351" t="s">
        <v>780</v>
      </c>
    </row>
    <row r="5" spans="1:1" x14ac:dyDescent="0.25">
      <c r="A5" s="351" t="s">
        <v>781</v>
      </c>
    </row>
    <row r="6" spans="1:1" x14ac:dyDescent="0.25">
      <c r="A6" s="351" t="s">
        <v>782</v>
      </c>
    </row>
    <row r="7" spans="1:1" x14ac:dyDescent="0.25">
      <c r="A7" s="351" t="s">
        <v>783</v>
      </c>
    </row>
    <row r="8" spans="1:1" x14ac:dyDescent="0.25">
      <c r="A8" s="351" t="s">
        <v>784</v>
      </c>
    </row>
    <row r="9" spans="1:1" x14ac:dyDescent="0.25">
      <c r="A9" s="351" t="s">
        <v>785</v>
      </c>
    </row>
    <row r="10" spans="1:1" x14ac:dyDescent="0.25">
      <c r="A10" s="351" t="s">
        <v>786</v>
      </c>
    </row>
    <row r="11" spans="1:1" x14ac:dyDescent="0.25">
      <c r="A11" s="351" t="s">
        <v>787</v>
      </c>
    </row>
    <row r="12" spans="1:1" x14ac:dyDescent="0.25">
      <c r="A12" s="351" t="s">
        <v>788</v>
      </c>
    </row>
    <row r="13" spans="1:1" x14ac:dyDescent="0.25">
      <c r="A13" s="351" t="s">
        <v>789</v>
      </c>
    </row>
    <row r="14" spans="1:1" x14ac:dyDescent="0.25">
      <c r="A14" s="351" t="s">
        <v>790</v>
      </c>
    </row>
    <row r="15" spans="1:1" x14ac:dyDescent="0.25">
      <c r="A15" s="351" t="s">
        <v>791</v>
      </c>
    </row>
    <row r="16" spans="1:1" x14ac:dyDescent="0.25">
      <c r="A16" s="351" t="s">
        <v>792</v>
      </c>
    </row>
    <row r="17" spans="1:1" x14ac:dyDescent="0.25">
      <c r="A17" s="351" t="s">
        <v>793</v>
      </c>
    </row>
    <row r="18" spans="1:1" x14ac:dyDescent="0.25">
      <c r="A18" s="351" t="s">
        <v>794</v>
      </c>
    </row>
    <row r="19" spans="1:1" x14ac:dyDescent="0.25">
      <c r="A19" s="351" t="s">
        <v>795</v>
      </c>
    </row>
    <row r="20" spans="1:1" x14ac:dyDescent="0.25">
      <c r="A20" s="351" t="s">
        <v>796</v>
      </c>
    </row>
    <row r="21" spans="1:1" x14ac:dyDescent="0.25">
      <c r="A21" s="351" t="s">
        <v>157</v>
      </c>
    </row>
    <row r="22" spans="1:1" x14ac:dyDescent="0.25">
      <c r="A22" s="351" t="s">
        <v>797</v>
      </c>
    </row>
    <row r="23" spans="1:1" x14ac:dyDescent="0.25">
      <c r="A23" s="351" t="s">
        <v>798</v>
      </c>
    </row>
    <row r="24" spans="1:1" x14ac:dyDescent="0.25">
      <c r="A24" s="351" t="s">
        <v>669</v>
      </c>
    </row>
    <row r="25" spans="1:1" x14ac:dyDescent="0.25">
      <c r="A25" s="351" t="s">
        <v>799</v>
      </c>
    </row>
    <row r="26" spans="1:1" x14ac:dyDescent="0.25">
      <c r="A26" s="351" t="s">
        <v>833</v>
      </c>
    </row>
    <row r="27" spans="1:1" x14ac:dyDescent="0.25">
      <c r="A27" s="371" t="s">
        <v>834</v>
      </c>
    </row>
    <row r="28" spans="1:1" x14ac:dyDescent="0.25">
      <c r="A28" s="351" t="s">
        <v>800</v>
      </c>
    </row>
    <row r="29" spans="1:1" x14ac:dyDescent="0.25">
      <c r="A29" s="351" t="s">
        <v>801</v>
      </c>
    </row>
    <row r="30" spans="1:1" x14ac:dyDescent="0.25">
      <c r="A30" s="351" t="s">
        <v>802</v>
      </c>
    </row>
    <row r="31" spans="1:1" x14ac:dyDescent="0.25">
      <c r="A31" s="351" t="s">
        <v>803</v>
      </c>
    </row>
    <row r="32" spans="1:1" x14ac:dyDescent="0.25">
      <c r="A32" s="351" t="s">
        <v>804</v>
      </c>
    </row>
    <row r="33" spans="1:1" x14ac:dyDescent="0.25">
      <c r="A33" s="351" t="s">
        <v>805</v>
      </c>
    </row>
    <row r="34" spans="1:1" x14ac:dyDescent="0.25">
      <c r="A34" s="351" t="s">
        <v>806</v>
      </c>
    </row>
    <row r="35" spans="1:1" x14ac:dyDescent="0.25">
      <c r="A35" s="351" t="s">
        <v>153</v>
      </c>
    </row>
    <row r="36" spans="1:1" x14ac:dyDescent="0.25">
      <c r="A36" s="351" t="s">
        <v>807</v>
      </c>
    </row>
    <row r="37" spans="1:1" x14ac:dyDescent="0.25">
      <c r="A37" s="351" t="s">
        <v>808</v>
      </c>
    </row>
    <row r="38" spans="1:1" x14ac:dyDescent="0.25">
      <c r="A38" s="351" t="s">
        <v>809</v>
      </c>
    </row>
    <row r="39" spans="1:1" x14ac:dyDescent="0.25">
      <c r="A39" s="351" t="s">
        <v>810</v>
      </c>
    </row>
    <row r="40" spans="1:1" x14ac:dyDescent="0.25">
      <c r="A40" s="351" t="s">
        <v>811</v>
      </c>
    </row>
    <row r="41" spans="1:1" x14ac:dyDescent="0.25">
      <c r="A41" s="351" t="s">
        <v>812</v>
      </c>
    </row>
    <row r="42" spans="1:1" x14ac:dyDescent="0.25">
      <c r="A42" s="351" t="s">
        <v>813</v>
      </c>
    </row>
    <row r="43" spans="1:1" x14ac:dyDescent="0.25">
      <c r="A43" s="351" t="s">
        <v>814</v>
      </c>
    </row>
    <row r="44" spans="1:1" x14ac:dyDescent="0.25">
      <c r="A44" s="351" t="s">
        <v>815</v>
      </c>
    </row>
    <row r="45" spans="1:1" x14ac:dyDescent="0.25">
      <c r="A45" s="351" t="s">
        <v>816</v>
      </c>
    </row>
    <row r="46" spans="1:1" x14ac:dyDescent="0.25">
      <c r="A46" s="351" t="s">
        <v>817</v>
      </c>
    </row>
    <row r="47" spans="1:1" x14ac:dyDescent="0.25">
      <c r="A47" s="351" t="s">
        <v>554</v>
      </c>
    </row>
    <row r="48" spans="1:1" x14ac:dyDescent="0.25">
      <c r="A48" s="351" t="s">
        <v>94</v>
      </c>
    </row>
    <row r="49" spans="1:1" x14ac:dyDescent="0.25">
      <c r="A49" s="351" t="s">
        <v>411</v>
      </c>
    </row>
    <row r="50" spans="1:1" x14ac:dyDescent="0.25">
      <c r="A50" s="351" t="s">
        <v>82</v>
      </c>
    </row>
    <row r="51" spans="1:1" x14ac:dyDescent="0.25">
      <c r="A51" s="370" t="s">
        <v>831</v>
      </c>
    </row>
    <row r="52" spans="1:1" x14ac:dyDescent="0.25">
      <c r="A52" s="351" t="s">
        <v>818</v>
      </c>
    </row>
    <row r="53" spans="1:1" x14ac:dyDescent="0.25">
      <c r="A53" s="351" t="s">
        <v>819</v>
      </c>
    </row>
    <row r="54" spans="1:1" x14ac:dyDescent="0.25">
      <c r="A54" s="351" t="s">
        <v>820</v>
      </c>
    </row>
    <row r="55" spans="1:1" x14ac:dyDescent="0.25">
      <c r="A55" s="351" t="s">
        <v>821</v>
      </c>
    </row>
    <row r="56" spans="1:1" x14ac:dyDescent="0.25">
      <c r="A56" s="351" t="s">
        <v>822</v>
      </c>
    </row>
    <row r="57" spans="1:1" x14ac:dyDescent="0.25">
      <c r="A57" s="351" t="s">
        <v>823</v>
      </c>
    </row>
    <row r="58" spans="1:1" x14ac:dyDescent="0.25">
      <c r="A58" s="351" t="s">
        <v>824</v>
      </c>
    </row>
    <row r="59" spans="1:1" x14ac:dyDescent="0.25">
      <c r="A59" t="s">
        <v>832</v>
      </c>
    </row>
  </sheetData>
  <phoneticPr fontId="6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form</vt:lpstr>
      <vt:lpstr>closeonly</vt:lpstr>
      <vt:lpstr>definitions</vt:lpstr>
      <vt:lpstr>program  SubProgram</vt:lpstr>
      <vt:lpstr>dept</vt:lpstr>
      <vt:lpstr>Activity</vt:lpstr>
      <vt:lpstr>closeonly!Print_Area</vt:lpstr>
      <vt:lpstr>definitions!Print_Area</vt:lpstr>
      <vt:lpstr>form!Print_Area</vt:lpstr>
      <vt:lpstr>'program  SubProgram'!Print_Area</vt:lpstr>
      <vt:lpstr>'program  SubProgram'!Print_Titles</vt:lpstr>
    </vt:vector>
  </TitlesOfParts>
  <Company>Stanford Linear Accelerator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Carina Negreanu</cp:lastModifiedBy>
  <cp:lastPrinted>2004-03-25T17:25:00Z</cp:lastPrinted>
  <dcterms:created xsi:type="dcterms:W3CDTF">2001-10-09T15:51:26Z</dcterms:created>
  <dcterms:modified xsi:type="dcterms:W3CDTF">2020-01-27T10:27:53Z</dcterms:modified>
</cp:coreProperties>
</file>