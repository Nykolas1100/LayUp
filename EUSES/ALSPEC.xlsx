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03789F7-ED5D-4537-8E9B-D657922772F1}" xr6:coauthVersionLast="45" xr6:coauthVersionMax="45" xr10:uidLastSave="{00000000-0000-0000-0000-000000000000}"/>
  <bookViews>
    <workbookView xWindow="3420" yWindow="3420" windowWidth="28800" windowHeight="15460" tabRatio="716"/>
  </bookViews>
  <sheets>
    <sheet name="Model Workspace" sheetId="1" r:id="rId1"/>
    <sheet name="Al Total Chart" sheetId="2" r:id="rId2"/>
    <sheet name="Al and EDTA Chart" sheetId="3" r:id="rId3"/>
    <sheet name="Al and EDTA with Ca Chart" sheetId="4" r:id="rId4"/>
  </sheets>
  <calcPr calcId="0"/>
</workbook>
</file>

<file path=xl/calcChain.xml><?xml version="1.0" encoding="utf-8"?>
<calcChain xmlns="http://schemas.openxmlformats.org/spreadsheetml/2006/main">
  <c r="D2" i="1" l="1"/>
  <c r="G2" i="1"/>
  <c r="L2" i="1"/>
  <c r="O2" i="1"/>
  <c r="U2" i="1"/>
  <c r="D3" i="1"/>
  <c r="L3" i="1"/>
  <c r="O3" i="1"/>
  <c r="U3" i="1"/>
  <c r="D4" i="1"/>
  <c r="L4" i="1"/>
  <c r="O4" i="1"/>
  <c r="D5" i="1"/>
  <c r="L5" i="1"/>
  <c r="D6" i="1"/>
  <c r="L6" i="1"/>
  <c r="D7" i="1"/>
  <c r="L7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</calcChain>
</file>

<file path=xl/sharedStrings.xml><?xml version="1.0" encoding="utf-8"?>
<sst xmlns="http://schemas.openxmlformats.org/spreadsheetml/2006/main" count="56" uniqueCount="45">
  <si>
    <t>Al/OH Data</t>
  </si>
  <si>
    <t>EDTA data</t>
  </si>
  <si>
    <t>Calcium data</t>
  </si>
  <si>
    <t>Ksp</t>
  </si>
  <si>
    <t>Kw</t>
  </si>
  <si>
    <r>
      <t>p</t>
    </r>
    <r>
      <rPr>
        <vertAlign val="subscript"/>
        <sz val="12"/>
        <rFont val="Book Antiqua"/>
        <family val="1"/>
      </rPr>
      <t>1</t>
    </r>
  </si>
  <si>
    <r>
      <t>f</t>
    </r>
    <r>
      <rPr>
        <vertAlign val="subscript"/>
        <sz val="12"/>
        <rFont val="Book Antiqua"/>
        <family val="1"/>
      </rPr>
      <t>1</t>
    </r>
  </si>
  <si>
    <r>
      <t>Ca</t>
    </r>
    <r>
      <rPr>
        <vertAlign val="subscript"/>
        <sz val="12"/>
        <rFont val="Book Antiqua"/>
        <family val="1"/>
      </rPr>
      <t>Total</t>
    </r>
  </si>
  <si>
    <r>
      <t>b</t>
    </r>
    <r>
      <rPr>
        <vertAlign val="subscript"/>
        <sz val="12"/>
        <rFont val="Book Antiqua"/>
        <family val="1"/>
      </rPr>
      <t>1</t>
    </r>
  </si>
  <si>
    <r>
      <t>p</t>
    </r>
    <r>
      <rPr>
        <vertAlign val="subscript"/>
        <sz val="12"/>
        <rFont val="Book Antiqua"/>
        <family val="1"/>
      </rPr>
      <t>2</t>
    </r>
  </si>
  <si>
    <r>
      <t>f</t>
    </r>
    <r>
      <rPr>
        <vertAlign val="subscript"/>
        <sz val="12"/>
        <rFont val="Book Antiqua"/>
        <family val="1"/>
      </rPr>
      <t>2</t>
    </r>
  </si>
  <si>
    <t>b2</t>
  </si>
  <si>
    <t>p3</t>
  </si>
  <si>
    <t>f3</t>
  </si>
  <si>
    <t>b3</t>
  </si>
  <si>
    <t>p4</t>
  </si>
  <si>
    <t>b4</t>
  </si>
  <si>
    <t>p5</t>
  </si>
  <si>
    <t>b5</t>
  </si>
  <si>
    <t>p6</t>
  </si>
  <si>
    <r>
      <t>A</t>
    </r>
    <r>
      <rPr>
        <vertAlign val="subscript"/>
        <sz val="12"/>
        <rFont val="Book Antiqua"/>
        <family val="1"/>
      </rPr>
      <t>Total</t>
    </r>
  </si>
  <si>
    <t>pH</t>
  </si>
  <si>
    <r>
      <t>H</t>
    </r>
    <r>
      <rPr>
        <vertAlign val="superscript"/>
        <sz val="12"/>
        <rFont val="Book Antiqua"/>
        <family val="1"/>
      </rPr>
      <t>+</t>
    </r>
  </si>
  <si>
    <r>
      <t>OH</t>
    </r>
    <r>
      <rPr>
        <vertAlign val="superscript"/>
        <sz val="12"/>
        <rFont val="Book Antiqua"/>
        <family val="1"/>
      </rPr>
      <t>-</t>
    </r>
  </si>
  <si>
    <r>
      <t>Al</t>
    </r>
    <r>
      <rPr>
        <vertAlign val="superscript"/>
        <sz val="12"/>
        <rFont val="Book Antiqua"/>
        <family val="1"/>
      </rPr>
      <t>3+</t>
    </r>
  </si>
  <si>
    <r>
      <t>AlOH</t>
    </r>
    <r>
      <rPr>
        <vertAlign val="superscript"/>
        <sz val="12"/>
        <rFont val="Book Antiqua"/>
        <family val="1"/>
      </rPr>
      <t>2+</t>
    </r>
  </si>
  <si>
    <r>
      <t>Al(OH)</t>
    </r>
    <r>
      <rPr>
        <vertAlign val="subscript"/>
        <sz val="12"/>
        <rFont val="Book Antiqua"/>
        <family val="1"/>
      </rPr>
      <t>2</t>
    </r>
    <r>
      <rPr>
        <vertAlign val="superscript"/>
        <sz val="12"/>
        <rFont val="Book Antiqua"/>
        <family val="1"/>
      </rPr>
      <t>+</t>
    </r>
  </si>
  <si>
    <r>
      <t>Al(OH)</t>
    </r>
    <r>
      <rPr>
        <vertAlign val="subscript"/>
        <sz val="12"/>
        <rFont val="Book Antiqua"/>
        <family val="1"/>
      </rPr>
      <t>3</t>
    </r>
  </si>
  <si>
    <r>
      <t>Al(OH)</t>
    </r>
    <r>
      <rPr>
        <vertAlign val="subscript"/>
        <sz val="12"/>
        <rFont val="Book Antiqua"/>
        <family val="1"/>
      </rPr>
      <t>4</t>
    </r>
    <r>
      <rPr>
        <vertAlign val="superscript"/>
        <sz val="12"/>
        <rFont val="Book Antiqua"/>
        <family val="1"/>
      </rPr>
      <t>-</t>
    </r>
  </si>
  <si>
    <r>
      <t>Al</t>
    </r>
    <r>
      <rPr>
        <vertAlign val="subscript"/>
        <sz val="12"/>
        <rFont val="Book Antiqua"/>
        <family val="1"/>
      </rPr>
      <t>3</t>
    </r>
    <r>
      <rPr>
        <sz val="12"/>
        <rFont val="Book Antiqua"/>
      </rPr>
      <t>(OH)</t>
    </r>
    <r>
      <rPr>
        <vertAlign val="subscript"/>
        <sz val="12"/>
        <rFont val="Book Antiqua"/>
        <family val="1"/>
      </rPr>
      <t>4</t>
    </r>
    <r>
      <rPr>
        <vertAlign val="superscript"/>
        <sz val="12"/>
        <rFont val="Book Antiqua"/>
        <family val="1"/>
      </rPr>
      <t>5+</t>
    </r>
  </si>
  <si>
    <r>
      <t xml:space="preserve">log Al </t>
    </r>
    <r>
      <rPr>
        <vertAlign val="subscript"/>
        <sz val="12"/>
        <rFont val="Book Antiqua"/>
        <family val="1"/>
      </rPr>
      <t>Total</t>
    </r>
  </si>
  <si>
    <r>
      <t>L</t>
    </r>
    <r>
      <rPr>
        <vertAlign val="superscript"/>
        <sz val="12"/>
        <rFont val="Book Antiqua"/>
        <family val="1"/>
      </rPr>
      <t>6-</t>
    </r>
  </si>
  <si>
    <t>AlL</t>
  </si>
  <si>
    <t>AlHL</t>
  </si>
  <si>
    <t>AlOHL</t>
  </si>
  <si>
    <r>
      <t>Ca</t>
    </r>
    <r>
      <rPr>
        <vertAlign val="superscript"/>
        <sz val="12"/>
        <rFont val="Book Antiqua"/>
        <family val="1"/>
      </rPr>
      <t>2+</t>
    </r>
  </si>
  <si>
    <t>Log AlTotal</t>
  </si>
  <si>
    <r>
      <t xml:space="preserve">                                       log Al</t>
    </r>
    <r>
      <rPr>
        <vertAlign val="subscript"/>
        <sz val="12"/>
        <rFont val="Book Antiqua"/>
        <family val="1"/>
      </rPr>
      <t>Total</t>
    </r>
  </si>
  <si>
    <t>0 M EDTA</t>
  </si>
  <si>
    <r>
      <t>10</t>
    </r>
    <r>
      <rPr>
        <vertAlign val="superscript"/>
        <sz val="10"/>
        <rFont val="Book Antiqua"/>
        <family val="1"/>
      </rPr>
      <t>-4</t>
    </r>
    <r>
      <rPr>
        <sz val="10"/>
        <rFont val="Book Antiqua"/>
        <family val="1"/>
      </rPr>
      <t xml:space="preserve"> M EDTA</t>
    </r>
  </si>
  <si>
    <r>
      <t>10</t>
    </r>
    <r>
      <rPr>
        <vertAlign val="superscript"/>
        <sz val="10"/>
        <rFont val="Book Antiqua"/>
        <family val="1"/>
      </rPr>
      <t>-6</t>
    </r>
    <r>
      <rPr>
        <sz val="10"/>
        <rFont val="Book Antiqua"/>
        <family val="1"/>
      </rPr>
      <t xml:space="preserve"> M EDTA</t>
    </r>
  </si>
  <si>
    <t>10-6 M EDTA</t>
  </si>
  <si>
    <t>No Ca</t>
  </si>
  <si>
    <t>With Ca</t>
  </si>
  <si>
    <r>
      <t>10</t>
    </r>
    <r>
      <rPr>
        <vertAlign val="superscript"/>
        <sz val="12"/>
        <rFont val="Book Antiqua"/>
        <family val="1"/>
      </rPr>
      <t>-3</t>
    </r>
    <r>
      <rPr>
        <sz val="12"/>
        <rFont val="Book Antiqua"/>
      </rPr>
      <t xml:space="preserve"> 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</si>
</sst>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name val="Book Antiqua"/>
    </font>
    <font>
      <sz val="12"/>
      <name val="Symbol"/>
      <family val="1"/>
      <charset val="2"/>
    </font>
    <font>
      <vertAlign val="subscript"/>
      <sz val="12"/>
      <name val="Book Antiqua"/>
      <family val="1"/>
    </font>
    <font>
      <vertAlign val="superscript"/>
      <sz val="12"/>
      <name val="Book Antiqua"/>
      <family val="1"/>
    </font>
    <font>
      <sz val="10"/>
      <name val="Book Antiqua"/>
      <family val="1"/>
    </font>
    <font>
      <vertAlign val="superscript"/>
      <sz val="10"/>
      <name val="Book Antiqua"/>
      <family val="1"/>
    </font>
    <font>
      <sz val="12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348144779759319"/>
          <c:y val="0.12085682126588518"/>
          <c:w val="0.65471147634553462"/>
          <c:h val="0.61139333110977212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'Al Total Chart'!$A$2:$A$92</c:f>
              <c:numCache>
                <c:formatCode>General</c:formatCode>
                <c:ptCount val="91"/>
                <c:pt idx="0">
                  <c:v>3</c:v>
                </c:pt>
                <c:pt idx="1">
                  <c:v>3.1</c:v>
                </c:pt>
                <c:pt idx="2">
                  <c:v>3.2</c:v>
                </c:pt>
                <c:pt idx="3">
                  <c:v>3.3</c:v>
                </c:pt>
                <c:pt idx="4">
                  <c:v>3.4</c:v>
                </c:pt>
                <c:pt idx="5">
                  <c:v>3.5</c:v>
                </c:pt>
                <c:pt idx="6">
                  <c:v>3.6</c:v>
                </c:pt>
                <c:pt idx="7">
                  <c:v>3.7</c:v>
                </c:pt>
                <c:pt idx="8">
                  <c:v>3.8</c:v>
                </c:pt>
                <c:pt idx="9">
                  <c:v>3.9</c:v>
                </c:pt>
                <c:pt idx="10">
                  <c:v>4</c:v>
                </c:pt>
                <c:pt idx="11">
                  <c:v>4.0999999999999996</c:v>
                </c:pt>
                <c:pt idx="12">
                  <c:v>4.2</c:v>
                </c:pt>
                <c:pt idx="13">
                  <c:v>4.3</c:v>
                </c:pt>
                <c:pt idx="14">
                  <c:v>4.4000000000000004</c:v>
                </c:pt>
                <c:pt idx="15">
                  <c:v>4.5</c:v>
                </c:pt>
                <c:pt idx="16">
                  <c:v>4.5999999999999996</c:v>
                </c:pt>
                <c:pt idx="17">
                  <c:v>4.7</c:v>
                </c:pt>
                <c:pt idx="18">
                  <c:v>4.8</c:v>
                </c:pt>
                <c:pt idx="19">
                  <c:v>4.9000000000000004</c:v>
                </c:pt>
                <c:pt idx="20">
                  <c:v>5</c:v>
                </c:pt>
                <c:pt idx="21">
                  <c:v>5.0999999999999996</c:v>
                </c:pt>
                <c:pt idx="22">
                  <c:v>5.2</c:v>
                </c:pt>
                <c:pt idx="23">
                  <c:v>5.3</c:v>
                </c:pt>
                <c:pt idx="24">
                  <c:v>5.4</c:v>
                </c:pt>
                <c:pt idx="25">
                  <c:v>5.5</c:v>
                </c:pt>
                <c:pt idx="26">
                  <c:v>5.6</c:v>
                </c:pt>
                <c:pt idx="27">
                  <c:v>5.7</c:v>
                </c:pt>
                <c:pt idx="28">
                  <c:v>5.8</c:v>
                </c:pt>
                <c:pt idx="29">
                  <c:v>5.9</c:v>
                </c:pt>
                <c:pt idx="30">
                  <c:v>6</c:v>
                </c:pt>
                <c:pt idx="31">
                  <c:v>6.1</c:v>
                </c:pt>
                <c:pt idx="32">
                  <c:v>6.2</c:v>
                </c:pt>
                <c:pt idx="33">
                  <c:v>6.3</c:v>
                </c:pt>
                <c:pt idx="34">
                  <c:v>6.4</c:v>
                </c:pt>
                <c:pt idx="35">
                  <c:v>6.5</c:v>
                </c:pt>
                <c:pt idx="36">
                  <c:v>6.6</c:v>
                </c:pt>
                <c:pt idx="37">
                  <c:v>6.7</c:v>
                </c:pt>
                <c:pt idx="38">
                  <c:v>6.8</c:v>
                </c:pt>
                <c:pt idx="39">
                  <c:v>6.9</c:v>
                </c:pt>
                <c:pt idx="40">
                  <c:v>7</c:v>
                </c:pt>
                <c:pt idx="41">
                  <c:v>7.1</c:v>
                </c:pt>
                <c:pt idx="42">
                  <c:v>7.2</c:v>
                </c:pt>
                <c:pt idx="43">
                  <c:v>7.3</c:v>
                </c:pt>
                <c:pt idx="44">
                  <c:v>7.4</c:v>
                </c:pt>
                <c:pt idx="45">
                  <c:v>7.5</c:v>
                </c:pt>
                <c:pt idx="46">
                  <c:v>7.6</c:v>
                </c:pt>
                <c:pt idx="47">
                  <c:v>7.7</c:v>
                </c:pt>
                <c:pt idx="48">
                  <c:v>7.8</c:v>
                </c:pt>
                <c:pt idx="49">
                  <c:v>7.9</c:v>
                </c:pt>
                <c:pt idx="50">
                  <c:v>8</c:v>
                </c:pt>
                <c:pt idx="51">
                  <c:v>8.1</c:v>
                </c:pt>
                <c:pt idx="52">
                  <c:v>8.1999999999999993</c:v>
                </c:pt>
                <c:pt idx="53">
                  <c:v>8.3000000000000007</c:v>
                </c:pt>
                <c:pt idx="54">
                  <c:v>8.4000000000000057</c:v>
                </c:pt>
                <c:pt idx="55">
                  <c:v>8.5000000000000053</c:v>
                </c:pt>
                <c:pt idx="56">
                  <c:v>8.6</c:v>
                </c:pt>
                <c:pt idx="57">
                  <c:v>8.6999999999999993</c:v>
                </c:pt>
                <c:pt idx="58">
                  <c:v>8.8000000000000007</c:v>
                </c:pt>
                <c:pt idx="59">
                  <c:v>8.9000000000000057</c:v>
                </c:pt>
                <c:pt idx="60">
                  <c:v>9.0000000000000053</c:v>
                </c:pt>
                <c:pt idx="61">
                  <c:v>9.1</c:v>
                </c:pt>
                <c:pt idx="62">
                  <c:v>9.2000000000000064</c:v>
                </c:pt>
                <c:pt idx="63">
                  <c:v>9.300000000000006</c:v>
                </c:pt>
                <c:pt idx="64">
                  <c:v>9.4000000000000057</c:v>
                </c:pt>
                <c:pt idx="65">
                  <c:v>9.5000000000000053</c:v>
                </c:pt>
                <c:pt idx="66">
                  <c:v>9.6</c:v>
                </c:pt>
                <c:pt idx="67">
                  <c:v>9.7000000000000064</c:v>
                </c:pt>
                <c:pt idx="68">
                  <c:v>9.800000000000006</c:v>
                </c:pt>
                <c:pt idx="69">
                  <c:v>9.9000000000000057</c:v>
                </c:pt>
                <c:pt idx="70">
                  <c:v>10</c:v>
                </c:pt>
                <c:pt idx="71">
                  <c:v>10.1</c:v>
                </c:pt>
                <c:pt idx="72">
                  <c:v>10.199999999999999</c:v>
                </c:pt>
                <c:pt idx="73">
                  <c:v>10.3</c:v>
                </c:pt>
                <c:pt idx="74">
                  <c:v>10.4</c:v>
                </c:pt>
                <c:pt idx="75">
                  <c:v>10.5</c:v>
                </c:pt>
                <c:pt idx="76">
                  <c:v>10.6</c:v>
                </c:pt>
                <c:pt idx="77">
                  <c:v>10.7</c:v>
                </c:pt>
                <c:pt idx="78">
                  <c:v>10.8</c:v>
                </c:pt>
                <c:pt idx="79">
                  <c:v>10.9</c:v>
                </c:pt>
                <c:pt idx="80">
                  <c:v>11</c:v>
                </c:pt>
                <c:pt idx="81">
                  <c:v>11.1</c:v>
                </c:pt>
                <c:pt idx="82">
                  <c:v>11.2</c:v>
                </c:pt>
                <c:pt idx="83">
                  <c:v>11.3</c:v>
                </c:pt>
                <c:pt idx="84">
                  <c:v>11.4</c:v>
                </c:pt>
                <c:pt idx="85">
                  <c:v>11.5</c:v>
                </c:pt>
                <c:pt idx="86">
                  <c:v>11.6</c:v>
                </c:pt>
                <c:pt idx="87">
                  <c:v>11.7</c:v>
                </c:pt>
                <c:pt idx="88">
                  <c:v>11.8</c:v>
                </c:pt>
                <c:pt idx="89">
                  <c:v>11.9</c:v>
                </c:pt>
                <c:pt idx="90">
                  <c:v>12</c:v>
                </c:pt>
              </c:numCache>
            </c:numRef>
          </c:xVal>
          <c:yVal>
            <c:numRef>
              <c:f>'Al Total Chart'!$B$2:$B$92</c:f>
              <c:numCache>
                <c:formatCode>General</c:formatCode>
                <c:ptCount val="91"/>
                <c:pt idx="0">
                  <c:v>-0.8851934437873461</c:v>
                </c:pt>
                <c:pt idx="1">
                  <c:v>-1.1840558290455208</c:v>
                </c:pt>
                <c:pt idx="2">
                  <c:v>-1.4825247579132284</c:v>
                </c:pt>
                <c:pt idx="3">
                  <c:v>-1.7805009727857395</c:v>
                </c:pt>
                <c:pt idx="4">
                  <c:v>-2.0778394816060817</c:v>
                </c:pt>
                <c:pt idx="5">
                  <c:v>-2.3743347732269569</c:v>
                </c:pt>
                <c:pt idx="6">
                  <c:v>-2.6696981280311833</c:v>
                </c:pt>
                <c:pt idx="7">
                  <c:v>-2.9635244153934943</c:v>
                </c:pt>
                <c:pt idx="8">
                  <c:v>-3.2552451206026389</c:v>
                </c:pt>
                <c:pt idx="9">
                  <c:v>-3.5440644483173784</c:v>
                </c:pt>
                <c:pt idx="10">
                  <c:v>-3.8288774795950595</c:v>
                </c:pt>
                <c:pt idx="11">
                  <c:v>-4.1081758664664756</c:v>
                </c:pt>
                <c:pt idx="12">
                  <c:v>-4.3799607250604842</c:v>
                </c:pt>
                <c:pt idx="13">
                  <c:v>-4.6417062406617609</c:v>
                </c:pt>
                <c:pt idx="14">
                  <c:v>-4.8904449306634117</c:v>
                </c:pt>
                <c:pt idx="15">
                  <c:v>-5.1230517200492081</c:v>
                </c:pt>
                <c:pt idx="16">
                  <c:v>-5.3367462600139657</c:v>
                </c:pt>
                <c:pt idx="17">
                  <c:v>-5.5296933604715006</c:v>
                </c:pt>
                <c:pt idx="18">
                  <c:v>-5.7014406950005583</c:v>
                </c:pt>
                <c:pt idx="19">
                  <c:v>-5.8529512443548048</c:v>
                </c:pt>
                <c:pt idx="20">
                  <c:v>-5.9862117731297309</c:v>
                </c:pt>
                <c:pt idx="21">
                  <c:v>-6.1036408100886081</c:v>
                </c:pt>
                <c:pt idx="22">
                  <c:v>-6.2075698479563268</c:v>
                </c:pt>
                <c:pt idx="23">
                  <c:v>-6.2999429123544619</c:v>
                </c:pt>
                <c:pt idx="24">
                  <c:v>-6.3822305566876221</c:v>
                </c:pt>
                <c:pt idx="25">
                  <c:v>-6.4554824723820134</c:v>
                </c:pt>
                <c:pt idx="26">
                  <c:v>-6.5204407125156854</c:v>
                </c:pt>
                <c:pt idx="27">
                  <c:v>-6.5776605812682956</c:v>
                </c:pt>
                <c:pt idx="28">
                  <c:v>-6.6276111531168409</c:v>
                </c:pt>
                <c:pt idx="29">
                  <c:v>-6.6707443783253213</c:v>
                </c:pt>
                <c:pt idx="30">
                  <c:v>-6.7075319247466227</c:v>
                </c:pt>
                <c:pt idx="31">
                  <c:v>-6.7384747309888668</c:v>
                </c:pt>
                <c:pt idx="32">
                  <c:v>-6.7640931201777548</c:v>
                </c:pt>
                <c:pt idx="33">
                  <c:v>-6.7849058998976872</c:v>
                </c:pt>
                <c:pt idx="34">
                  <c:v>-6.8014057207857794</c:v>
                </c:pt>
                <c:pt idx="35">
                  <c:v>-6.8140358351251775</c:v>
                </c:pt>
                <c:pt idx="36">
                  <c:v>-6.8231710822801181</c:v>
                </c:pt>
                <c:pt idx="37">
                  <c:v>-6.8291040253955249</c:v>
                </c:pt>
                <c:pt idx="38">
                  <c:v>-6.8320359522659402</c:v>
                </c:pt>
                <c:pt idx="39">
                  <c:v>-6.8320719371452787</c:v>
                </c:pt>
                <c:pt idx="40">
                  <c:v>-6.8292191896211358</c:v>
                </c:pt>
                <c:pt idx="41">
                  <c:v>-6.8233882966124648</c:v>
                </c:pt>
                <c:pt idx="42">
                  <c:v>-6.8143975116760549</c:v>
                </c:pt>
                <c:pt idx="43">
                  <c:v>-6.8019807999030739</c:v>
                </c:pt>
                <c:pt idx="44">
                  <c:v>-6.785800745700743</c:v>
                </c:pt>
                <c:pt idx="45">
                  <c:v>-6.7654674981800209</c:v>
                </c:pt>
                <c:pt idx="46">
                  <c:v>-6.7405644870208326</c:v>
                </c:pt>
                <c:pt idx="47">
                  <c:v>-6.7106805775644549</c:v>
                </c:pt>
                <c:pt idx="48">
                  <c:v>-6.6754467119792764</c:v>
                </c:pt>
                <c:pt idx="49">
                  <c:v>-6.6345732524315677</c:v>
                </c:pt>
                <c:pt idx="50">
                  <c:v>-6.5878828346143941</c:v>
                </c:pt>
                <c:pt idx="51">
                  <c:v>-6.5353332720678008</c:v>
                </c:pt>
                <c:pt idx="52">
                  <c:v>-6.4770263527674299</c:v>
                </c:pt>
                <c:pt idx="53">
                  <c:v>-6.413201045812678</c:v>
                </c:pt>
                <c:pt idx="54">
                  <c:v>-6.3442128449247672</c:v>
                </c:pt>
                <c:pt idx="55">
                  <c:v>-6.2705036042953886</c:v>
                </c:pt>
                <c:pt idx="56">
                  <c:v>-6.1925674502562762</c:v>
                </c:pt>
                <c:pt idx="57">
                  <c:v>-6.1109180140070691</c:v>
                </c:pt>
                <c:pt idx="58">
                  <c:v>-6.026060772331765</c:v>
                </c:pt>
                <c:pt idx="59">
                  <c:v>-5.9384724183840554</c:v>
                </c:pt>
                <c:pt idx="60">
                  <c:v>-5.8485875273658925</c:v>
                </c:pt>
                <c:pt idx="61">
                  <c:v>-5.7567916570207656</c:v>
                </c:pt>
                <c:pt idx="62">
                  <c:v>-5.6634194733581955</c:v>
                </c:pt>
                <c:pt idx="63">
                  <c:v>-5.5687563915644427</c:v>
                </c:pt>
                <c:pt idx="64">
                  <c:v>-5.4730423930609478</c:v>
                </c:pt>
                <c:pt idx="65">
                  <c:v>-5.3764769679763988</c:v>
                </c:pt>
                <c:pt idx="66">
                  <c:v>-5.2792244347755961</c:v>
                </c:pt>
                <c:pt idx="67">
                  <c:v>-5.1814191511873444</c:v>
                </c:pt>
                <c:pt idx="68">
                  <c:v>-5.0831703334719345</c:v>
                </c:pt>
                <c:pt idx="69">
                  <c:v>-4.984566345095808</c:v>
                </c:pt>
                <c:pt idx="70">
                  <c:v>-4.8856784107092102</c:v>
                </c:pt>
                <c:pt idx="71">
                  <c:v>-4.7865637689944043</c:v>
                </c:pt>
                <c:pt idx="72">
                  <c:v>-4.6872683095551366</c:v>
                </c:pt>
                <c:pt idx="73">
                  <c:v>-4.5878287534340219</c:v>
                </c:pt>
                <c:pt idx="74">
                  <c:v>-4.4882744406107351</c:v>
                </c:pt>
                <c:pt idx="75">
                  <c:v>-4.3886287854696331</c:v>
                </c:pt>
                <c:pt idx="76">
                  <c:v>-4.2889104557008464</c:v>
                </c:pt>
                <c:pt idx="77">
                  <c:v>-4.1891343232691449</c:v>
                </c:pt>
                <c:pt idx="78">
                  <c:v>-4.0893122290468877</c:v>
                </c:pt>
                <c:pt idx="79">
                  <c:v>-3.9894535960617556</c:v>
                </c:pt>
                <c:pt idx="80">
                  <c:v>-3.8895659203462283</c:v>
                </c:pt>
                <c:pt idx="81">
                  <c:v>-3.7896551631967057</c:v>
                </c:pt>
                <c:pt idx="82">
                  <c:v>-3.68972606425252</c:v>
                </c:pt>
                <c:pt idx="83">
                  <c:v>-3.5897823911302664</c:v>
                </c:pt>
                <c:pt idx="84">
                  <c:v>-3.4898271383141739</c:v>
                </c:pt>
                <c:pt idx="85">
                  <c:v>-3.389862685518747</c:v>
                </c:pt>
                <c:pt idx="86">
                  <c:v>-3.2898909237198319</c:v>
                </c:pt>
                <c:pt idx="87">
                  <c:v>-3.1899133554156682</c:v>
                </c:pt>
                <c:pt idx="88">
                  <c:v>-3.0899311743624605</c:v>
                </c:pt>
                <c:pt idx="89">
                  <c:v>-2.9899453289708231</c:v>
                </c:pt>
                <c:pt idx="90">
                  <c:v>-2.8899565727013745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18-4867-AA34-1762582E5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10511"/>
        <c:axId val="1"/>
      </c:scatterChart>
      <c:valAx>
        <c:axId val="695710511"/>
        <c:scaling>
          <c:orientation val="minMax"/>
          <c:max val="14"/>
          <c:min val="2"/>
        </c:scaling>
        <c:delete val="0"/>
        <c:axPos val="b"/>
        <c:title>
          <c:tx>
            <c:rich>
              <a:bodyPr/>
              <a:lstStyle/>
              <a:p>
                <a:pPr>
                  <a:defRPr sz="2000" b="1" i="0" u="none" strike="noStrike" baseline="0">
                    <a:solidFill>
                      <a:srgbClr val="000000"/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GB"/>
                  <a:t>pH</a:t>
                </a:r>
              </a:p>
            </c:rich>
          </c:tx>
          <c:layout>
            <c:manualLayout>
              <c:xMode val="edge"/>
              <c:yMode val="edge"/>
              <c:x val="0.52496682402096218"/>
              <c:y val="0.815191108146362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1"/>
        <c:crossesAt val="-7"/>
        <c:crossBetween val="midCat"/>
        <c:majorUnit val="2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2000" b="1" i="0" u="none" strike="noStrike" baseline="0">
                    <a:solidFill>
                      <a:srgbClr val="000000"/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GB" sz="2000" b="1" i="0" u="none" strike="noStrike" baseline="0">
                    <a:solidFill>
                      <a:srgbClr val="000000"/>
                    </a:solidFill>
                    <a:latin typeface="Book Antiqua"/>
                  </a:rPr>
                  <a:t>log Al</a:t>
                </a:r>
                <a:r>
                  <a:rPr lang="en-GB" sz="2000" b="1" i="0" u="none" strike="noStrike" baseline="-25000">
                    <a:solidFill>
                      <a:srgbClr val="000000"/>
                    </a:solidFill>
                    <a:latin typeface="Book Antiqua"/>
                  </a:rPr>
                  <a:t>Total</a:t>
                </a:r>
              </a:p>
            </c:rich>
          </c:tx>
          <c:layout>
            <c:manualLayout>
              <c:xMode val="edge"/>
              <c:yMode val="edge"/>
              <c:x val="1.5968572593793525E-2"/>
              <c:y val="0.206167518630039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695710511"/>
        <c:crosses val="autoZero"/>
        <c:crossBetween val="midCat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Book Antiqua"/>
          <a:ea typeface="Book Antiqua"/>
          <a:cs typeface="Book Antiqua"/>
        </a:defRPr>
      </a:pPr>
      <a:endParaRPr lang="en-US"/>
    </a:p>
  </c:txPr>
  <c:printSettings>
    <c:headerFooter alignWithMargins="0">
      <c:oddFooter>&amp;CFigure 5</c:oddFooter>
    </c:headerFooter>
    <c:pageMargins b="3.5433070866141736" l="0.98425196850393704" r="0.98425196850393704" t="3.5433070866141736" header="0.51181102362204722" footer="0.51181102362204722"/>
    <c:pageSetup paperSize="9" orientation="portrait" horizontalDpi="0" verticalDpi="0" copies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050982932205005"/>
          <c:y val="0.10200320627754107"/>
          <c:w val="0.67593107846315426"/>
          <c:h val="0.68802162665635547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'Al and EDTA Chart'!$A$3:$A$93</c:f>
              <c:numCache>
                <c:formatCode>General</c:formatCode>
                <c:ptCount val="91"/>
                <c:pt idx="0">
                  <c:v>3</c:v>
                </c:pt>
                <c:pt idx="1">
                  <c:v>3.1</c:v>
                </c:pt>
                <c:pt idx="2">
                  <c:v>3.2</c:v>
                </c:pt>
                <c:pt idx="3">
                  <c:v>3.3</c:v>
                </c:pt>
                <c:pt idx="4">
                  <c:v>3.4</c:v>
                </c:pt>
                <c:pt idx="5">
                  <c:v>3.5</c:v>
                </c:pt>
                <c:pt idx="6">
                  <c:v>3.6</c:v>
                </c:pt>
                <c:pt idx="7">
                  <c:v>3.7</c:v>
                </c:pt>
                <c:pt idx="8">
                  <c:v>3.8</c:v>
                </c:pt>
                <c:pt idx="9">
                  <c:v>3.9</c:v>
                </c:pt>
                <c:pt idx="10">
                  <c:v>4</c:v>
                </c:pt>
                <c:pt idx="11">
                  <c:v>4.0999999999999996</c:v>
                </c:pt>
                <c:pt idx="12">
                  <c:v>4.2</c:v>
                </c:pt>
                <c:pt idx="13">
                  <c:v>4.3</c:v>
                </c:pt>
                <c:pt idx="14">
                  <c:v>4.4000000000000004</c:v>
                </c:pt>
                <c:pt idx="15">
                  <c:v>4.5</c:v>
                </c:pt>
                <c:pt idx="16">
                  <c:v>4.5999999999999996</c:v>
                </c:pt>
                <c:pt idx="17">
                  <c:v>4.7</c:v>
                </c:pt>
                <c:pt idx="18">
                  <c:v>4.8</c:v>
                </c:pt>
                <c:pt idx="19">
                  <c:v>4.9000000000000004</c:v>
                </c:pt>
                <c:pt idx="20">
                  <c:v>5</c:v>
                </c:pt>
                <c:pt idx="21">
                  <c:v>5.0999999999999996</c:v>
                </c:pt>
                <c:pt idx="22">
                  <c:v>5.2</c:v>
                </c:pt>
                <c:pt idx="23">
                  <c:v>5.3</c:v>
                </c:pt>
                <c:pt idx="24">
                  <c:v>5.4</c:v>
                </c:pt>
                <c:pt idx="25">
                  <c:v>5.5</c:v>
                </c:pt>
                <c:pt idx="26">
                  <c:v>5.6</c:v>
                </c:pt>
                <c:pt idx="27">
                  <c:v>5.7</c:v>
                </c:pt>
                <c:pt idx="28">
                  <c:v>5.8</c:v>
                </c:pt>
                <c:pt idx="29">
                  <c:v>5.9</c:v>
                </c:pt>
                <c:pt idx="30">
                  <c:v>6</c:v>
                </c:pt>
                <c:pt idx="31">
                  <c:v>6.1</c:v>
                </c:pt>
                <c:pt idx="32">
                  <c:v>6.2</c:v>
                </c:pt>
                <c:pt idx="33">
                  <c:v>6.3</c:v>
                </c:pt>
                <c:pt idx="34">
                  <c:v>6.4</c:v>
                </c:pt>
                <c:pt idx="35">
                  <c:v>6.5</c:v>
                </c:pt>
                <c:pt idx="36">
                  <c:v>6.6</c:v>
                </c:pt>
                <c:pt idx="37">
                  <c:v>6.7</c:v>
                </c:pt>
                <c:pt idx="38">
                  <c:v>6.8</c:v>
                </c:pt>
                <c:pt idx="39">
                  <c:v>6.9</c:v>
                </c:pt>
                <c:pt idx="40">
                  <c:v>7</c:v>
                </c:pt>
                <c:pt idx="41">
                  <c:v>7.1</c:v>
                </c:pt>
                <c:pt idx="42">
                  <c:v>7.2</c:v>
                </c:pt>
                <c:pt idx="43">
                  <c:v>7.3</c:v>
                </c:pt>
                <c:pt idx="44">
                  <c:v>7.4</c:v>
                </c:pt>
                <c:pt idx="45">
                  <c:v>7.5</c:v>
                </c:pt>
                <c:pt idx="46">
                  <c:v>7.6</c:v>
                </c:pt>
                <c:pt idx="47">
                  <c:v>7.7</c:v>
                </c:pt>
                <c:pt idx="48">
                  <c:v>7.8</c:v>
                </c:pt>
                <c:pt idx="49">
                  <c:v>7.9</c:v>
                </c:pt>
                <c:pt idx="50">
                  <c:v>8</c:v>
                </c:pt>
                <c:pt idx="51">
                  <c:v>8.1</c:v>
                </c:pt>
                <c:pt idx="52">
                  <c:v>8.1999999999999993</c:v>
                </c:pt>
                <c:pt idx="53">
                  <c:v>8.3000000000000007</c:v>
                </c:pt>
                <c:pt idx="54">
                  <c:v>8.4000000000000057</c:v>
                </c:pt>
                <c:pt idx="55">
                  <c:v>8.5000000000000053</c:v>
                </c:pt>
                <c:pt idx="56">
                  <c:v>8.6</c:v>
                </c:pt>
                <c:pt idx="57">
                  <c:v>8.6999999999999993</c:v>
                </c:pt>
                <c:pt idx="58">
                  <c:v>8.8000000000000007</c:v>
                </c:pt>
                <c:pt idx="59">
                  <c:v>8.9000000000000057</c:v>
                </c:pt>
                <c:pt idx="60">
                  <c:v>9.0000000000000053</c:v>
                </c:pt>
                <c:pt idx="61">
                  <c:v>9.1</c:v>
                </c:pt>
                <c:pt idx="62">
                  <c:v>9.2000000000000064</c:v>
                </c:pt>
                <c:pt idx="63">
                  <c:v>9.300000000000006</c:v>
                </c:pt>
                <c:pt idx="64">
                  <c:v>9.4000000000000057</c:v>
                </c:pt>
                <c:pt idx="65">
                  <c:v>9.5000000000000053</c:v>
                </c:pt>
                <c:pt idx="66">
                  <c:v>9.6</c:v>
                </c:pt>
                <c:pt idx="67">
                  <c:v>9.7000000000000064</c:v>
                </c:pt>
                <c:pt idx="68">
                  <c:v>9.800000000000006</c:v>
                </c:pt>
                <c:pt idx="69">
                  <c:v>9.9000000000000057</c:v>
                </c:pt>
                <c:pt idx="70">
                  <c:v>10</c:v>
                </c:pt>
                <c:pt idx="71">
                  <c:v>10.1</c:v>
                </c:pt>
                <c:pt idx="72">
                  <c:v>10.199999999999999</c:v>
                </c:pt>
                <c:pt idx="73">
                  <c:v>10.3</c:v>
                </c:pt>
                <c:pt idx="74">
                  <c:v>10.4</c:v>
                </c:pt>
                <c:pt idx="75">
                  <c:v>10.5</c:v>
                </c:pt>
                <c:pt idx="76">
                  <c:v>10.6</c:v>
                </c:pt>
                <c:pt idx="77">
                  <c:v>10.7</c:v>
                </c:pt>
                <c:pt idx="78">
                  <c:v>10.8</c:v>
                </c:pt>
                <c:pt idx="79">
                  <c:v>10.9</c:v>
                </c:pt>
                <c:pt idx="80">
                  <c:v>11</c:v>
                </c:pt>
                <c:pt idx="81">
                  <c:v>11.1</c:v>
                </c:pt>
                <c:pt idx="82">
                  <c:v>11.2</c:v>
                </c:pt>
                <c:pt idx="83">
                  <c:v>11.3</c:v>
                </c:pt>
                <c:pt idx="84">
                  <c:v>11.4</c:v>
                </c:pt>
                <c:pt idx="85">
                  <c:v>11.5</c:v>
                </c:pt>
                <c:pt idx="86">
                  <c:v>11.6</c:v>
                </c:pt>
                <c:pt idx="87">
                  <c:v>11.7</c:v>
                </c:pt>
                <c:pt idx="88">
                  <c:v>11.8</c:v>
                </c:pt>
                <c:pt idx="89">
                  <c:v>11.9</c:v>
                </c:pt>
                <c:pt idx="90">
                  <c:v>12</c:v>
                </c:pt>
              </c:numCache>
            </c:numRef>
          </c:xVal>
          <c:yVal>
            <c:numRef>
              <c:f>'Al and EDTA Chart'!$B$3:$B$93</c:f>
              <c:numCache>
                <c:formatCode>General</c:formatCode>
                <c:ptCount val="91"/>
                <c:pt idx="0">
                  <c:v>-0.8851934437873461</c:v>
                </c:pt>
                <c:pt idx="1">
                  <c:v>-1.1840558290455208</c:v>
                </c:pt>
                <c:pt idx="2">
                  <c:v>-1.4825247579132284</c:v>
                </c:pt>
                <c:pt idx="3">
                  <c:v>-1.7805009727857395</c:v>
                </c:pt>
                <c:pt idx="4">
                  <c:v>-2.0778394816060817</c:v>
                </c:pt>
                <c:pt idx="5">
                  <c:v>-2.3743347732269569</c:v>
                </c:pt>
                <c:pt idx="6">
                  <c:v>-2.6696981280311833</c:v>
                </c:pt>
                <c:pt idx="7">
                  <c:v>-2.9635244153934943</c:v>
                </c:pt>
                <c:pt idx="8">
                  <c:v>-3.2552451206026389</c:v>
                </c:pt>
                <c:pt idx="9">
                  <c:v>-3.5440644483173784</c:v>
                </c:pt>
                <c:pt idx="10">
                  <c:v>-3.8288774795950595</c:v>
                </c:pt>
                <c:pt idx="11">
                  <c:v>-4.1081758664664756</c:v>
                </c:pt>
                <c:pt idx="12">
                  <c:v>-4.3799607250604842</c:v>
                </c:pt>
                <c:pt idx="13">
                  <c:v>-4.6417062406617609</c:v>
                </c:pt>
                <c:pt idx="14">
                  <c:v>-4.8904449306634117</c:v>
                </c:pt>
                <c:pt idx="15">
                  <c:v>-5.1230517200492081</c:v>
                </c:pt>
                <c:pt idx="16">
                  <c:v>-5.3367462600139657</c:v>
                </c:pt>
                <c:pt idx="17">
                  <c:v>-5.5296933604715006</c:v>
                </c:pt>
                <c:pt idx="18">
                  <c:v>-5.7014406950005583</c:v>
                </c:pt>
                <c:pt idx="19">
                  <c:v>-5.8529512443548048</c:v>
                </c:pt>
                <c:pt idx="20">
                  <c:v>-5.9862117731297309</c:v>
                </c:pt>
                <c:pt idx="21">
                  <c:v>-6.1036408100886081</c:v>
                </c:pt>
                <c:pt idx="22">
                  <c:v>-6.2075698479563268</c:v>
                </c:pt>
                <c:pt idx="23">
                  <c:v>-6.2999429123544619</c:v>
                </c:pt>
                <c:pt idx="24">
                  <c:v>-6.3822305566876221</c:v>
                </c:pt>
                <c:pt idx="25">
                  <c:v>-6.4554824723820134</c:v>
                </c:pt>
                <c:pt idx="26">
                  <c:v>-6.5204407125156854</c:v>
                </c:pt>
                <c:pt idx="27">
                  <c:v>-6.5776605812682956</c:v>
                </c:pt>
                <c:pt idx="28">
                  <c:v>-6.6276111531168409</c:v>
                </c:pt>
                <c:pt idx="29">
                  <c:v>-6.6707443783253213</c:v>
                </c:pt>
                <c:pt idx="30">
                  <c:v>-6.7075319247466227</c:v>
                </c:pt>
                <c:pt idx="31">
                  <c:v>-6.7384747309888668</c:v>
                </c:pt>
                <c:pt idx="32">
                  <c:v>-6.7640931201777548</c:v>
                </c:pt>
                <c:pt idx="33">
                  <c:v>-6.7849058998976872</c:v>
                </c:pt>
                <c:pt idx="34">
                  <c:v>-6.8014057207857794</c:v>
                </c:pt>
                <c:pt idx="35">
                  <c:v>-6.8140358351251775</c:v>
                </c:pt>
                <c:pt idx="36">
                  <c:v>-6.8231710822801181</c:v>
                </c:pt>
                <c:pt idx="37">
                  <c:v>-6.8291040253955249</c:v>
                </c:pt>
                <c:pt idx="38">
                  <c:v>-6.8320359522659402</c:v>
                </c:pt>
                <c:pt idx="39">
                  <c:v>-6.8320719371452787</c:v>
                </c:pt>
                <c:pt idx="40">
                  <c:v>-6.8292191896211358</c:v>
                </c:pt>
                <c:pt idx="41">
                  <c:v>-6.8233882966124648</c:v>
                </c:pt>
                <c:pt idx="42">
                  <c:v>-6.8143975116760549</c:v>
                </c:pt>
                <c:pt idx="43">
                  <c:v>-6.8019807999030739</c:v>
                </c:pt>
                <c:pt idx="44">
                  <c:v>-6.785800745700743</c:v>
                </c:pt>
                <c:pt idx="45">
                  <c:v>-6.7654674981800209</c:v>
                </c:pt>
                <c:pt idx="46">
                  <c:v>-6.7405644870208326</c:v>
                </c:pt>
                <c:pt idx="47">
                  <c:v>-6.7106805775644549</c:v>
                </c:pt>
                <c:pt idx="48">
                  <c:v>-6.6754467119792764</c:v>
                </c:pt>
                <c:pt idx="49">
                  <c:v>-6.6345732524315677</c:v>
                </c:pt>
                <c:pt idx="50">
                  <c:v>-6.5878828346143941</c:v>
                </c:pt>
                <c:pt idx="51">
                  <c:v>-6.5353332720678008</c:v>
                </c:pt>
                <c:pt idx="52">
                  <c:v>-6.4770263527674299</c:v>
                </c:pt>
                <c:pt idx="53">
                  <c:v>-6.413201045812678</c:v>
                </c:pt>
                <c:pt idx="54">
                  <c:v>-6.3442128449247672</c:v>
                </c:pt>
                <c:pt idx="55">
                  <c:v>-6.2705036042953886</c:v>
                </c:pt>
                <c:pt idx="56">
                  <c:v>-6.1925674502562762</c:v>
                </c:pt>
                <c:pt idx="57">
                  <c:v>-6.1109180140070691</c:v>
                </c:pt>
                <c:pt idx="58">
                  <c:v>-6.026060772331765</c:v>
                </c:pt>
                <c:pt idx="59">
                  <c:v>-5.9384724183840554</c:v>
                </c:pt>
                <c:pt idx="60">
                  <c:v>-5.8485875273658925</c:v>
                </c:pt>
                <c:pt idx="61">
                  <c:v>-5.7567916570207656</c:v>
                </c:pt>
                <c:pt idx="62">
                  <c:v>-5.6634194733581955</c:v>
                </c:pt>
                <c:pt idx="63">
                  <c:v>-5.5687563915644427</c:v>
                </c:pt>
                <c:pt idx="64">
                  <c:v>-5.4730423930609478</c:v>
                </c:pt>
                <c:pt idx="65">
                  <c:v>-5.3764769679763988</c:v>
                </c:pt>
                <c:pt idx="66">
                  <c:v>-5.2792244347755961</c:v>
                </c:pt>
                <c:pt idx="67">
                  <c:v>-5.1814191511873444</c:v>
                </c:pt>
                <c:pt idx="68">
                  <c:v>-5.0831703334719345</c:v>
                </c:pt>
                <c:pt idx="69">
                  <c:v>-4.984566345095808</c:v>
                </c:pt>
                <c:pt idx="70">
                  <c:v>-4.8856784107092102</c:v>
                </c:pt>
                <c:pt idx="71">
                  <c:v>-4.7865637689944043</c:v>
                </c:pt>
                <c:pt idx="72">
                  <c:v>-4.6872683095551366</c:v>
                </c:pt>
                <c:pt idx="73">
                  <c:v>-4.5878287534340219</c:v>
                </c:pt>
                <c:pt idx="74">
                  <c:v>-4.4882744406107351</c:v>
                </c:pt>
                <c:pt idx="75">
                  <c:v>-4.3886287854696331</c:v>
                </c:pt>
                <c:pt idx="76">
                  <c:v>-4.2889104557008464</c:v>
                </c:pt>
                <c:pt idx="77">
                  <c:v>-4.1891343232691449</c:v>
                </c:pt>
                <c:pt idx="78">
                  <c:v>-4.0893122290468877</c:v>
                </c:pt>
                <c:pt idx="79">
                  <c:v>-3.9894535960617556</c:v>
                </c:pt>
                <c:pt idx="80">
                  <c:v>-3.8895659203462283</c:v>
                </c:pt>
                <c:pt idx="81">
                  <c:v>-3.7896551631967057</c:v>
                </c:pt>
                <c:pt idx="82">
                  <c:v>-3.68972606425252</c:v>
                </c:pt>
                <c:pt idx="83">
                  <c:v>-3.5897823911302664</c:v>
                </c:pt>
                <c:pt idx="84">
                  <c:v>-3.4898271383141739</c:v>
                </c:pt>
                <c:pt idx="85">
                  <c:v>-3.389862685518747</c:v>
                </c:pt>
                <c:pt idx="86">
                  <c:v>-3.2898909237198319</c:v>
                </c:pt>
                <c:pt idx="87">
                  <c:v>-3.1899133554156682</c:v>
                </c:pt>
                <c:pt idx="88">
                  <c:v>-3.0899311743624605</c:v>
                </c:pt>
                <c:pt idx="89">
                  <c:v>-2.9899453289708231</c:v>
                </c:pt>
                <c:pt idx="90">
                  <c:v>-2.8899565727013745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E2-4883-A075-04641D427C2E}"/>
            </c:ext>
          </c:extLst>
        </c:ser>
        <c:ser>
          <c:idx val="1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'Al and EDTA Chart'!$A$3:$A$93</c:f>
              <c:numCache>
                <c:formatCode>General</c:formatCode>
                <c:ptCount val="91"/>
                <c:pt idx="0">
                  <c:v>3</c:v>
                </c:pt>
                <c:pt idx="1">
                  <c:v>3.1</c:v>
                </c:pt>
                <c:pt idx="2">
                  <c:v>3.2</c:v>
                </c:pt>
                <c:pt idx="3">
                  <c:v>3.3</c:v>
                </c:pt>
                <c:pt idx="4">
                  <c:v>3.4</c:v>
                </c:pt>
                <c:pt idx="5">
                  <c:v>3.5</c:v>
                </c:pt>
                <c:pt idx="6">
                  <c:v>3.6</c:v>
                </c:pt>
                <c:pt idx="7">
                  <c:v>3.7</c:v>
                </c:pt>
                <c:pt idx="8">
                  <c:v>3.8</c:v>
                </c:pt>
                <c:pt idx="9">
                  <c:v>3.9</c:v>
                </c:pt>
                <c:pt idx="10">
                  <c:v>4</c:v>
                </c:pt>
                <c:pt idx="11">
                  <c:v>4.0999999999999996</c:v>
                </c:pt>
                <c:pt idx="12">
                  <c:v>4.2</c:v>
                </c:pt>
                <c:pt idx="13">
                  <c:v>4.3</c:v>
                </c:pt>
                <c:pt idx="14">
                  <c:v>4.4000000000000004</c:v>
                </c:pt>
                <c:pt idx="15">
                  <c:v>4.5</c:v>
                </c:pt>
                <c:pt idx="16">
                  <c:v>4.5999999999999996</c:v>
                </c:pt>
                <c:pt idx="17">
                  <c:v>4.7</c:v>
                </c:pt>
                <c:pt idx="18">
                  <c:v>4.8</c:v>
                </c:pt>
                <c:pt idx="19">
                  <c:v>4.9000000000000004</c:v>
                </c:pt>
                <c:pt idx="20">
                  <c:v>5</c:v>
                </c:pt>
                <c:pt idx="21">
                  <c:v>5.0999999999999996</c:v>
                </c:pt>
                <c:pt idx="22">
                  <c:v>5.2</c:v>
                </c:pt>
                <c:pt idx="23">
                  <c:v>5.3</c:v>
                </c:pt>
                <c:pt idx="24">
                  <c:v>5.4</c:v>
                </c:pt>
                <c:pt idx="25">
                  <c:v>5.5</c:v>
                </c:pt>
                <c:pt idx="26">
                  <c:v>5.6</c:v>
                </c:pt>
                <c:pt idx="27">
                  <c:v>5.7</c:v>
                </c:pt>
                <c:pt idx="28">
                  <c:v>5.8</c:v>
                </c:pt>
                <c:pt idx="29">
                  <c:v>5.9</c:v>
                </c:pt>
                <c:pt idx="30">
                  <c:v>6</c:v>
                </c:pt>
                <c:pt idx="31">
                  <c:v>6.1</c:v>
                </c:pt>
                <c:pt idx="32">
                  <c:v>6.2</c:v>
                </c:pt>
                <c:pt idx="33">
                  <c:v>6.3</c:v>
                </c:pt>
                <c:pt idx="34">
                  <c:v>6.4</c:v>
                </c:pt>
                <c:pt idx="35">
                  <c:v>6.5</c:v>
                </c:pt>
                <c:pt idx="36">
                  <c:v>6.6</c:v>
                </c:pt>
                <c:pt idx="37">
                  <c:v>6.7</c:v>
                </c:pt>
                <c:pt idx="38">
                  <c:v>6.8</c:v>
                </c:pt>
                <c:pt idx="39">
                  <c:v>6.9</c:v>
                </c:pt>
                <c:pt idx="40">
                  <c:v>7</c:v>
                </c:pt>
                <c:pt idx="41">
                  <c:v>7.1</c:v>
                </c:pt>
                <c:pt idx="42">
                  <c:v>7.2</c:v>
                </c:pt>
                <c:pt idx="43">
                  <c:v>7.3</c:v>
                </c:pt>
                <c:pt idx="44">
                  <c:v>7.4</c:v>
                </c:pt>
                <c:pt idx="45">
                  <c:v>7.5</c:v>
                </c:pt>
                <c:pt idx="46">
                  <c:v>7.6</c:v>
                </c:pt>
                <c:pt idx="47">
                  <c:v>7.7</c:v>
                </c:pt>
                <c:pt idx="48">
                  <c:v>7.8</c:v>
                </c:pt>
                <c:pt idx="49">
                  <c:v>7.9</c:v>
                </c:pt>
                <c:pt idx="50">
                  <c:v>8</c:v>
                </c:pt>
                <c:pt idx="51">
                  <c:v>8.1</c:v>
                </c:pt>
                <c:pt idx="52">
                  <c:v>8.1999999999999993</c:v>
                </c:pt>
                <c:pt idx="53">
                  <c:v>8.3000000000000007</c:v>
                </c:pt>
                <c:pt idx="54">
                  <c:v>8.4000000000000057</c:v>
                </c:pt>
                <c:pt idx="55">
                  <c:v>8.5000000000000053</c:v>
                </c:pt>
                <c:pt idx="56">
                  <c:v>8.6</c:v>
                </c:pt>
                <c:pt idx="57">
                  <c:v>8.6999999999999993</c:v>
                </c:pt>
                <c:pt idx="58">
                  <c:v>8.8000000000000007</c:v>
                </c:pt>
                <c:pt idx="59">
                  <c:v>8.9000000000000057</c:v>
                </c:pt>
                <c:pt idx="60">
                  <c:v>9.0000000000000053</c:v>
                </c:pt>
                <c:pt idx="61">
                  <c:v>9.1</c:v>
                </c:pt>
                <c:pt idx="62">
                  <c:v>9.2000000000000064</c:v>
                </c:pt>
                <c:pt idx="63">
                  <c:v>9.300000000000006</c:v>
                </c:pt>
                <c:pt idx="64">
                  <c:v>9.4000000000000057</c:v>
                </c:pt>
                <c:pt idx="65">
                  <c:v>9.5000000000000053</c:v>
                </c:pt>
                <c:pt idx="66">
                  <c:v>9.6</c:v>
                </c:pt>
                <c:pt idx="67">
                  <c:v>9.7000000000000064</c:v>
                </c:pt>
                <c:pt idx="68">
                  <c:v>9.800000000000006</c:v>
                </c:pt>
                <c:pt idx="69">
                  <c:v>9.9000000000000057</c:v>
                </c:pt>
                <c:pt idx="70">
                  <c:v>10</c:v>
                </c:pt>
                <c:pt idx="71">
                  <c:v>10.1</c:v>
                </c:pt>
                <c:pt idx="72">
                  <c:v>10.199999999999999</c:v>
                </c:pt>
                <c:pt idx="73">
                  <c:v>10.3</c:v>
                </c:pt>
                <c:pt idx="74">
                  <c:v>10.4</c:v>
                </c:pt>
                <c:pt idx="75">
                  <c:v>10.5</c:v>
                </c:pt>
                <c:pt idx="76">
                  <c:v>10.6</c:v>
                </c:pt>
                <c:pt idx="77">
                  <c:v>10.7</c:v>
                </c:pt>
                <c:pt idx="78">
                  <c:v>10.8</c:v>
                </c:pt>
                <c:pt idx="79">
                  <c:v>10.9</c:v>
                </c:pt>
                <c:pt idx="80">
                  <c:v>11</c:v>
                </c:pt>
                <c:pt idx="81">
                  <c:v>11.1</c:v>
                </c:pt>
                <c:pt idx="82">
                  <c:v>11.2</c:v>
                </c:pt>
                <c:pt idx="83">
                  <c:v>11.3</c:v>
                </c:pt>
                <c:pt idx="84">
                  <c:v>11.4</c:v>
                </c:pt>
                <c:pt idx="85">
                  <c:v>11.5</c:v>
                </c:pt>
                <c:pt idx="86">
                  <c:v>11.6</c:v>
                </c:pt>
                <c:pt idx="87">
                  <c:v>11.7</c:v>
                </c:pt>
                <c:pt idx="88">
                  <c:v>11.8</c:v>
                </c:pt>
                <c:pt idx="89">
                  <c:v>11.9</c:v>
                </c:pt>
                <c:pt idx="90">
                  <c:v>12</c:v>
                </c:pt>
              </c:numCache>
            </c:numRef>
          </c:xVal>
          <c:yVal>
            <c:numRef>
              <c:f>'Al and EDTA Chart'!$C$3:$C$93</c:f>
              <c:numCache>
                <c:formatCode>General</c:formatCode>
                <c:ptCount val="91"/>
                <c:pt idx="0">
                  <c:v>-0.88486017102997805</c:v>
                </c:pt>
                <c:pt idx="1">
                  <c:v>-1.1833928575395829</c:v>
                </c:pt>
                <c:pt idx="2">
                  <c:v>-1.4812076132127252</c:v>
                </c:pt>
                <c:pt idx="3">
                  <c:v>-1.7778890643864531</c:v>
                </c:pt>
                <c:pt idx="4">
                  <c:v>-2.0726751580703207</c:v>
                </c:pt>
                <c:pt idx="5">
                  <c:v>-2.3641723755131903</c:v>
                </c:pt>
                <c:pt idx="6">
                  <c:v>-2.6498606522632637</c:v>
                </c:pt>
                <c:pt idx="7">
                  <c:v>-2.9253281123240678</c:v>
                </c:pt>
                <c:pt idx="8">
                  <c:v>-3.183376674800793</c:v>
                </c:pt>
                <c:pt idx="9">
                  <c:v>-3.4137515519947672</c:v>
                </c:pt>
                <c:pt idx="10">
                  <c:v>-3.6050731689479467</c:v>
                </c:pt>
                <c:pt idx="11">
                  <c:v>-3.7497662179191602</c:v>
                </c:pt>
                <c:pt idx="12">
                  <c:v>-3.8487651679927333</c:v>
                </c:pt>
                <c:pt idx="13">
                  <c:v>-3.9108889565132934</c:v>
                </c:pt>
                <c:pt idx="14">
                  <c:v>-3.9476340489266128</c:v>
                </c:pt>
                <c:pt idx="15">
                  <c:v>-3.9687355026801741</c:v>
                </c:pt>
                <c:pt idx="16">
                  <c:v>-3.9808014227223314</c:v>
                </c:pt>
                <c:pt idx="17">
                  <c:v>-3.9878106716766104</c:v>
                </c:pt>
                <c:pt idx="18">
                  <c:v>-3.9920166246837891</c:v>
                </c:pt>
                <c:pt idx="19">
                  <c:v>-3.9946623516329849</c:v>
                </c:pt>
                <c:pt idx="20">
                  <c:v>-3.99643075898017</c:v>
                </c:pt>
                <c:pt idx="21">
                  <c:v>-3.9977015804568579</c:v>
                </c:pt>
                <c:pt idx="22">
                  <c:v>-3.9986917094718541</c:v>
                </c:pt>
                <c:pt idx="23">
                  <c:v>-3.9995304269988101</c:v>
                </c:pt>
                <c:pt idx="24">
                  <c:v>-4.0002995920439259</c:v>
                </c:pt>
                <c:pt idx="25">
                  <c:v>-4.0010553022984086</c:v>
                </c:pt>
                <c:pt idx="26">
                  <c:v>-4.0018398705951501</c:v>
                </c:pt>
                <c:pt idx="27">
                  <c:v>-4.0026888375916467</c:v>
                </c:pt>
                <c:pt idx="28">
                  <c:v>-4.0036355590563639</c:v>
                </c:pt>
                <c:pt idx="29">
                  <c:v>-4.0047147415398268</c:v>
                </c:pt>
                <c:pt idx="30">
                  <c:v>-4.0059656545678086</c:v>
                </c:pt>
                <c:pt idx="31">
                  <c:v>-4.0074353728079641</c:v>
                </c:pt>
                <c:pt idx="32">
                  <c:v>-4.0091821877310378</c:v>
                </c:pt>
                <c:pt idx="33">
                  <c:v>-4.0112792276629028</c:v>
                </c:pt>
                <c:pt idx="34">
                  <c:v>-4.0138183044477698</c:v>
                </c:pt>
                <c:pt idx="35">
                  <c:v>-4.0169140233103127</c:v>
                </c:pt>
                <c:pt idx="36">
                  <c:v>-4.0207082037810391</c:v>
                </c:pt>
                <c:pt idx="37">
                  <c:v>-4.0253746253177516</c:v>
                </c:pt>
                <c:pt idx="38">
                  <c:v>-4.0311240094108696</c:v>
                </c:pt>
                <c:pt idx="39">
                  <c:v>-4.0382089737306641</c:v>
                </c:pt>
                <c:pt idx="40">
                  <c:v>-4.0469284468408562</c:v>
                </c:pt>
                <c:pt idx="41">
                  <c:v>-4.0576307276668393</c:v>
                </c:pt>
                <c:pt idx="42">
                  <c:v>-4.0707140442032514</c:v>
                </c:pt>
                <c:pt idx="43">
                  <c:v>-4.0866231767030801</c:v>
                </c:pt>
                <c:pt idx="44">
                  <c:v>-4.1058405755915119</c:v>
                </c:pt>
                <c:pt idx="45">
                  <c:v>-4.1288705830852477</c:v>
                </c:pt>
                <c:pt idx="46">
                  <c:v>-4.1562160269655859</c:v>
                </c:pt>
                <c:pt idx="47">
                  <c:v>-4.1883476812595193</c:v>
                </c:pt>
                <c:pt idx="48">
                  <c:v>-4.2256687617531821</c:v>
                </c:pt>
                <c:pt idx="49">
                  <c:v>-4.2684783200831804</c:v>
                </c:pt>
                <c:pt idx="50">
                  <c:v>-4.316938424437704</c:v>
                </c:pt>
                <c:pt idx="51">
                  <c:v>-4.3710496444730573</c:v>
                </c:pt>
                <c:pt idx="52">
                  <c:v>-4.4306372226426536</c:v>
                </c:pt>
                <c:pt idx="53">
                  <c:v>-4.4953466838832314</c:v>
                </c:pt>
                <c:pt idx="54">
                  <c:v>-4.5646433646158755</c:v>
                </c:pt>
                <c:pt idx="55">
                  <c:v>-4.6378064616778829</c:v>
                </c:pt>
                <c:pt idx="56">
                  <c:v>-4.7139055006632251</c:v>
                </c:pt>
                <c:pt idx="57">
                  <c:v>-4.791746201913627</c:v>
                </c:pt>
                <c:pt idx="58">
                  <c:v>-4.8697748726003409</c:v>
                </c:pt>
                <c:pt idx="59">
                  <c:v>-4.9459393756632748</c:v>
                </c:pt>
                <c:pt idx="60">
                  <c:v>-5.0175282738840838</c:v>
                </c:pt>
                <c:pt idx="61">
                  <c:v>-5.081058116625905</c:v>
                </c:pt>
                <c:pt idx="62">
                  <c:v>-5.1323498609790112</c:v>
                </c:pt>
                <c:pt idx="63">
                  <c:v>-5.1669784072875009</c:v>
                </c:pt>
                <c:pt idx="64">
                  <c:v>-5.181172073989349</c:v>
                </c:pt>
                <c:pt idx="65">
                  <c:v>-5.1729010715162866</c:v>
                </c:pt>
                <c:pt idx="66">
                  <c:v>-5.1425522416603382</c:v>
                </c:pt>
                <c:pt idx="67">
                  <c:v>-5.0927164889512975</c:v>
                </c:pt>
                <c:pt idx="68">
                  <c:v>-5.0272401235057638</c:v>
                </c:pt>
                <c:pt idx="69">
                  <c:v>-4.9501505279202833</c:v>
                </c:pt>
                <c:pt idx="70">
                  <c:v>-4.8649398388581613</c:v>
                </c:pt>
                <c:pt idx="71">
                  <c:v>-4.7742964199033091</c:v>
                </c:pt>
                <c:pt idx="72">
                  <c:v>-4.6801340517182393</c:v>
                </c:pt>
                <c:pt idx="73">
                  <c:v>-4.5837453991055792</c:v>
                </c:pt>
                <c:pt idx="74">
                  <c:v>-4.485972510243351</c:v>
                </c:pt>
                <c:pt idx="75">
                  <c:v>-4.3873497147391642</c:v>
                </c:pt>
                <c:pt idx="76">
                  <c:v>-4.2882093511614334</c:v>
                </c:pt>
                <c:pt idx="77">
                  <c:v>-4.1887548548847944</c:v>
                </c:pt>
                <c:pt idx="78">
                  <c:v>-4.0891092039613177</c:v>
                </c:pt>
                <c:pt idx="79">
                  <c:v>-3.9893460926165809</c:v>
                </c:pt>
                <c:pt idx="80">
                  <c:v>-3.8895095140388687</c:v>
                </c:pt>
                <c:pt idx="81">
                  <c:v>-3.7896258007363479</c:v>
                </c:pt>
                <c:pt idx="82">
                  <c:v>-3.6897108826857163</c:v>
                </c:pt>
                <c:pt idx="83">
                  <c:v>-3.5897745863794337</c:v>
                </c:pt>
                <c:pt idx="84">
                  <c:v>-3.4898231450346135</c:v>
                </c:pt>
                <c:pt idx="85">
                  <c:v>-3.3898606504147089</c:v>
                </c:pt>
                <c:pt idx="86">
                  <c:v>-3.2898898899194573</c:v>
                </c:pt>
                <c:pt idx="87">
                  <c:v>-3.1899128316474279</c:v>
                </c:pt>
                <c:pt idx="88">
                  <c:v>-3.0899309095671179</c:v>
                </c:pt>
                <c:pt idx="89">
                  <c:v>-2.9899451953331391</c:v>
                </c:pt>
                <c:pt idx="90">
                  <c:v>-2.8899565053507779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E2-4883-A075-04641D427C2E}"/>
            </c:ext>
          </c:extLst>
        </c:ser>
        <c:ser>
          <c:idx val="2"/>
          <c:order val="2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'Al and EDTA Chart'!$A$3:$A$93</c:f>
              <c:numCache>
                <c:formatCode>General</c:formatCode>
                <c:ptCount val="91"/>
                <c:pt idx="0">
                  <c:v>3</c:v>
                </c:pt>
                <c:pt idx="1">
                  <c:v>3.1</c:v>
                </c:pt>
                <c:pt idx="2">
                  <c:v>3.2</c:v>
                </c:pt>
                <c:pt idx="3">
                  <c:v>3.3</c:v>
                </c:pt>
                <c:pt idx="4">
                  <c:v>3.4</c:v>
                </c:pt>
                <c:pt idx="5">
                  <c:v>3.5</c:v>
                </c:pt>
                <c:pt idx="6">
                  <c:v>3.6</c:v>
                </c:pt>
                <c:pt idx="7">
                  <c:v>3.7</c:v>
                </c:pt>
                <c:pt idx="8">
                  <c:v>3.8</c:v>
                </c:pt>
                <c:pt idx="9">
                  <c:v>3.9</c:v>
                </c:pt>
                <c:pt idx="10">
                  <c:v>4</c:v>
                </c:pt>
                <c:pt idx="11">
                  <c:v>4.0999999999999996</c:v>
                </c:pt>
                <c:pt idx="12">
                  <c:v>4.2</c:v>
                </c:pt>
                <c:pt idx="13">
                  <c:v>4.3</c:v>
                </c:pt>
                <c:pt idx="14">
                  <c:v>4.4000000000000004</c:v>
                </c:pt>
                <c:pt idx="15">
                  <c:v>4.5</c:v>
                </c:pt>
                <c:pt idx="16">
                  <c:v>4.5999999999999996</c:v>
                </c:pt>
                <c:pt idx="17">
                  <c:v>4.7</c:v>
                </c:pt>
                <c:pt idx="18">
                  <c:v>4.8</c:v>
                </c:pt>
                <c:pt idx="19">
                  <c:v>4.9000000000000004</c:v>
                </c:pt>
                <c:pt idx="20">
                  <c:v>5</c:v>
                </c:pt>
                <c:pt idx="21">
                  <c:v>5.0999999999999996</c:v>
                </c:pt>
                <c:pt idx="22">
                  <c:v>5.2</c:v>
                </c:pt>
                <c:pt idx="23">
                  <c:v>5.3</c:v>
                </c:pt>
                <c:pt idx="24">
                  <c:v>5.4</c:v>
                </c:pt>
                <c:pt idx="25">
                  <c:v>5.5</c:v>
                </c:pt>
                <c:pt idx="26">
                  <c:v>5.6</c:v>
                </c:pt>
                <c:pt idx="27">
                  <c:v>5.7</c:v>
                </c:pt>
                <c:pt idx="28">
                  <c:v>5.8</c:v>
                </c:pt>
                <c:pt idx="29">
                  <c:v>5.9</c:v>
                </c:pt>
                <c:pt idx="30">
                  <c:v>6</c:v>
                </c:pt>
                <c:pt idx="31">
                  <c:v>6.1</c:v>
                </c:pt>
                <c:pt idx="32">
                  <c:v>6.2</c:v>
                </c:pt>
                <c:pt idx="33">
                  <c:v>6.3</c:v>
                </c:pt>
                <c:pt idx="34">
                  <c:v>6.4</c:v>
                </c:pt>
                <c:pt idx="35">
                  <c:v>6.5</c:v>
                </c:pt>
                <c:pt idx="36">
                  <c:v>6.6</c:v>
                </c:pt>
                <c:pt idx="37">
                  <c:v>6.7</c:v>
                </c:pt>
                <c:pt idx="38">
                  <c:v>6.8</c:v>
                </c:pt>
                <c:pt idx="39">
                  <c:v>6.9</c:v>
                </c:pt>
                <c:pt idx="40">
                  <c:v>7</c:v>
                </c:pt>
                <c:pt idx="41">
                  <c:v>7.1</c:v>
                </c:pt>
                <c:pt idx="42">
                  <c:v>7.2</c:v>
                </c:pt>
                <c:pt idx="43">
                  <c:v>7.3</c:v>
                </c:pt>
                <c:pt idx="44">
                  <c:v>7.4</c:v>
                </c:pt>
                <c:pt idx="45">
                  <c:v>7.5</c:v>
                </c:pt>
                <c:pt idx="46">
                  <c:v>7.6</c:v>
                </c:pt>
                <c:pt idx="47">
                  <c:v>7.7</c:v>
                </c:pt>
                <c:pt idx="48">
                  <c:v>7.8</c:v>
                </c:pt>
                <c:pt idx="49">
                  <c:v>7.9</c:v>
                </c:pt>
                <c:pt idx="50">
                  <c:v>8</c:v>
                </c:pt>
                <c:pt idx="51">
                  <c:v>8.1</c:v>
                </c:pt>
                <c:pt idx="52">
                  <c:v>8.1999999999999993</c:v>
                </c:pt>
                <c:pt idx="53">
                  <c:v>8.3000000000000007</c:v>
                </c:pt>
                <c:pt idx="54">
                  <c:v>8.4000000000000057</c:v>
                </c:pt>
                <c:pt idx="55">
                  <c:v>8.5000000000000053</c:v>
                </c:pt>
                <c:pt idx="56">
                  <c:v>8.6</c:v>
                </c:pt>
                <c:pt idx="57">
                  <c:v>8.6999999999999993</c:v>
                </c:pt>
                <c:pt idx="58">
                  <c:v>8.8000000000000007</c:v>
                </c:pt>
                <c:pt idx="59">
                  <c:v>8.9000000000000057</c:v>
                </c:pt>
                <c:pt idx="60">
                  <c:v>9.0000000000000053</c:v>
                </c:pt>
                <c:pt idx="61">
                  <c:v>9.1</c:v>
                </c:pt>
                <c:pt idx="62">
                  <c:v>9.2000000000000064</c:v>
                </c:pt>
                <c:pt idx="63">
                  <c:v>9.300000000000006</c:v>
                </c:pt>
                <c:pt idx="64">
                  <c:v>9.4000000000000057</c:v>
                </c:pt>
                <c:pt idx="65">
                  <c:v>9.5000000000000053</c:v>
                </c:pt>
                <c:pt idx="66">
                  <c:v>9.6</c:v>
                </c:pt>
                <c:pt idx="67">
                  <c:v>9.7000000000000064</c:v>
                </c:pt>
                <c:pt idx="68">
                  <c:v>9.800000000000006</c:v>
                </c:pt>
                <c:pt idx="69">
                  <c:v>9.9000000000000057</c:v>
                </c:pt>
                <c:pt idx="70">
                  <c:v>10</c:v>
                </c:pt>
                <c:pt idx="71">
                  <c:v>10.1</c:v>
                </c:pt>
                <c:pt idx="72">
                  <c:v>10.199999999999999</c:v>
                </c:pt>
                <c:pt idx="73">
                  <c:v>10.3</c:v>
                </c:pt>
                <c:pt idx="74">
                  <c:v>10.4</c:v>
                </c:pt>
                <c:pt idx="75">
                  <c:v>10.5</c:v>
                </c:pt>
                <c:pt idx="76">
                  <c:v>10.6</c:v>
                </c:pt>
                <c:pt idx="77">
                  <c:v>10.7</c:v>
                </c:pt>
                <c:pt idx="78">
                  <c:v>10.8</c:v>
                </c:pt>
                <c:pt idx="79">
                  <c:v>10.9</c:v>
                </c:pt>
                <c:pt idx="80">
                  <c:v>11</c:v>
                </c:pt>
                <c:pt idx="81">
                  <c:v>11.1</c:v>
                </c:pt>
                <c:pt idx="82">
                  <c:v>11.2</c:v>
                </c:pt>
                <c:pt idx="83">
                  <c:v>11.3</c:v>
                </c:pt>
                <c:pt idx="84">
                  <c:v>11.4</c:v>
                </c:pt>
                <c:pt idx="85">
                  <c:v>11.5</c:v>
                </c:pt>
                <c:pt idx="86">
                  <c:v>11.6</c:v>
                </c:pt>
                <c:pt idx="87">
                  <c:v>11.7</c:v>
                </c:pt>
                <c:pt idx="88">
                  <c:v>11.8</c:v>
                </c:pt>
                <c:pt idx="89">
                  <c:v>11.9</c:v>
                </c:pt>
                <c:pt idx="90">
                  <c:v>12</c:v>
                </c:pt>
              </c:numCache>
            </c:numRef>
          </c:xVal>
          <c:yVal>
            <c:numRef>
              <c:f>'Al and EDTA Chart'!$D$3:$D$93</c:f>
              <c:numCache>
                <c:formatCode>General</c:formatCode>
                <c:ptCount val="91"/>
                <c:pt idx="0">
                  <c:v>-0.88519010979349355</c:v>
                </c:pt>
                <c:pt idx="1">
                  <c:v>-1.1840491943182749</c:v>
                </c:pt>
                <c:pt idx="2">
                  <c:v>-1.4825115666729223</c:v>
                </c:pt>
                <c:pt idx="3">
                  <c:v>-1.7804747757922519</c:v>
                </c:pt>
                <c:pt idx="4">
                  <c:v>-2.0777875332046003</c:v>
                </c:pt>
                <c:pt idx="5">
                  <c:v>-2.3742319631016779</c:v>
                </c:pt>
                <c:pt idx="6">
                  <c:v>-2.6694952002840657</c:v>
                </c:pt>
                <c:pt idx="7">
                  <c:v>-2.96312533545944</c:v>
                </c:pt>
                <c:pt idx="8">
                  <c:v>-3.2544642529849011</c:v>
                </c:pt>
                <c:pt idx="9">
                  <c:v>-3.5425473522787745</c:v>
                </c:pt>
                <c:pt idx="10">
                  <c:v>-3.8259593427280696</c:v>
                </c:pt>
                <c:pt idx="11">
                  <c:v>-4.1026414794195238</c:v>
                </c:pt>
                <c:pt idx="12">
                  <c:v>-4.3696701738905226</c:v>
                </c:pt>
                <c:pt idx="13">
                  <c:v>-4.6230871436507144</c:v>
                </c:pt>
                <c:pt idx="14">
                  <c:v>-4.8579624015292291</c:v>
                </c:pt>
                <c:pt idx="15">
                  <c:v>-5.0689503933690396</c:v>
                </c:pt>
                <c:pt idx="16">
                  <c:v>-5.2514707928127926</c:v>
                </c:pt>
                <c:pt idx="17">
                  <c:v>-5.4031583037612601</c:v>
                </c:pt>
                <c:pt idx="18">
                  <c:v>-5.5247182235772181</c:v>
                </c:pt>
                <c:pt idx="19">
                  <c:v>-5.6195521840514386</c:v>
                </c:pt>
                <c:pt idx="20">
                  <c:v>-5.6924638090567647</c:v>
                </c:pt>
                <c:pt idx="21">
                  <c:v>-5.7483310362788904</c:v>
                </c:pt>
                <c:pt idx="22">
                  <c:v>-5.7913245330437295</c:v>
                </c:pt>
                <c:pt idx="23">
                  <c:v>-5.8246846771586869</c:v>
                </c:pt>
                <c:pt idx="24">
                  <c:v>-5.8508126519476846</c:v>
                </c:pt>
                <c:pt idx="25">
                  <c:v>-5.8714612138160351</c:v>
                </c:pt>
                <c:pt idx="26">
                  <c:v>-5.8879165710624966</c:v>
                </c:pt>
                <c:pt idx="27">
                  <c:v>-5.9011380239731182</c:v>
                </c:pt>
                <c:pt idx="28">
                  <c:v>-5.9118559413611962</c:v>
                </c:pt>
                <c:pt idx="29">
                  <c:v>-5.9206384152711511</c:v>
                </c:pt>
                <c:pt idx="30">
                  <c:v>-5.9279368663507714</c:v>
                </c:pt>
                <c:pt idx="31">
                  <c:v>-5.9341181608918765</c:v>
                </c:pt>
                <c:pt idx="32">
                  <c:v>-5.939488147344079</c:v>
                </c:pt>
                <c:pt idx="33">
                  <c:v>-5.9443096097552113</c:v>
                </c:pt>
                <c:pt idx="34">
                  <c:v>-5.9488164337267495</c:v>
                </c:pt>
                <c:pt idx="35">
                  <c:v>-5.953225068422741</c:v>
                </c:pt>
                <c:pt idx="36">
                  <c:v>-5.9577439299717554</c:v>
                </c:pt>
                <c:pt idx="37">
                  <c:v>-5.9625810669807748</c:v>
                </c:pt>
                <c:pt idx="38">
                  <c:v>-5.9679500963048255</c:v>
                </c:pt>
                <c:pt idx="39">
                  <c:v>-5.9740740587169201</c:v>
                </c:pt>
                <c:pt idx="40">
                  <c:v>-5.9811864086277238</c:v>
                </c:pt>
                <c:pt idx="41">
                  <c:v>-5.9895278280516333</c:v>
                </c:pt>
                <c:pt idx="42">
                  <c:v>-5.9993369579082616</c:v>
                </c:pt>
                <c:pt idx="43">
                  <c:v>-6.0108325332572514</c:v>
                </c:pt>
                <c:pt idx="44">
                  <c:v>-6.0241839386531506</c:v>
                </c:pt>
                <c:pt idx="45">
                  <c:v>-6.0394671323933853</c:v>
                </c:pt>
                <c:pt idx="46">
                  <c:v>-6.0566036533065839</c:v>
                </c:pt>
                <c:pt idx="47">
                  <c:v>-6.0752826506544615</c:v>
                </c:pt>
                <c:pt idx="48">
                  <c:v>-6.0948704183288864</c:v>
                </c:pt>
                <c:pt idx="49">
                  <c:v>-6.1143197564379035</c:v>
                </c:pt>
                <c:pt idx="50">
                  <c:v>-6.1321032200783678</c:v>
                </c:pt>
                <c:pt idx="51">
                  <c:v>-6.1462084407243909</c:v>
                </c:pt>
                <c:pt idx="52">
                  <c:v>-6.1542431948188403</c:v>
                </c:pt>
                <c:pt idx="53">
                  <c:v>-6.1536873050484084</c:v>
                </c:pt>
                <c:pt idx="54">
                  <c:v>-6.1422799952648308</c:v>
                </c:pt>
                <c:pt idx="55">
                  <c:v>-6.1184486819454245</c:v>
                </c:pt>
                <c:pt idx="56">
                  <c:v>-6.0816189507666492</c:v>
                </c:pt>
                <c:pt idx="57">
                  <c:v>-6.0322685360773702</c:v>
                </c:pt>
                <c:pt idx="58">
                  <c:v>-5.9717108623210127</c:v>
                </c:pt>
                <c:pt idx="59">
                  <c:v>-5.9017256385735068</c:v>
                </c:pt>
                <c:pt idx="60">
                  <c:v>-5.8241948871031717</c:v>
                </c:pt>
                <c:pt idx="61">
                  <c:v>-5.7408474602844555</c:v>
                </c:pt>
                <c:pt idx="62">
                  <c:v>-5.653133100722628</c:v>
                </c:pt>
                <c:pt idx="63">
                  <c:v>-5.5621954093416335</c:v>
                </c:pt>
                <c:pt idx="64">
                  <c:v>-5.4689005367522894</c:v>
                </c:pt>
                <c:pt idx="65">
                  <c:v>-5.3738876353826939</c:v>
                </c:pt>
                <c:pt idx="66">
                  <c:v>-5.2776211708708525</c:v>
                </c:pt>
                <c:pt idx="67">
                  <c:v>-5.1804361568563326</c:v>
                </c:pt>
                <c:pt idx="68">
                  <c:v>-5.0825738294877683</c:v>
                </c:pt>
                <c:pt idx="69">
                  <c:v>-4.9842083306041536</c:v>
                </c:pt>
                <c:pt idx="70">
                  <c:v>-4.8854660455795997</c:v>
                </c:pt>
                <c:pt idx="71">
                  <c:v>-4.7864393643389596</c:v>
                </c:pt>
                <c:pt idx="72">
                  <c:v>-4.6871963837305284</c:v>
                </c:pt>
                <c:pt idx="73">
                  <c:v>-4.5877877292613389</c:v>
                </c:pt>
                <c:pt idx="74">
                  <c:v>-4.4882513608067631</c:v>
                </c:pt>
                <c:pt idx="75">
                  <c:v>-4.3886159760973316</c:v>
                </c:pt>
                <c:pt idx="76">
                  <c:v>-4.2889034390499381</c:v>
                </c:pt>
                <c:pt idx="77">
                  <c:v>-4.1891305269435932</c:v>
                </c:pt>
                <c:pt idx="78">
                  <c:v>-4.0893101983261531</c:v>
                </c:pt>
                <c:pt idx="79">
                  <c:v>-3.9894525208955693</c:v>
                </c:pt>
                <c:pt idx="80">
                  <c:v>-3.8895653562468895</c:v>
                </c:pt>
                <c:pt idx="81">
                  <c:v>-3.7896548695622752</c:v>
                </c:pt>
                <c:pt idx="82">
                  <c:v>-3.6897259124342252</c:v>
                </c:pt>
                <c:pt idx="83">
                  <c:v>-3.5897823130820643</c:v>
                </c:pt>
                <c:pt idx="84">
                  <c:v>-3.489827098381197</c:v>
                </c:pt>
                <c:pt idx="85">
                  <c:v>-3.3898626651676596</c:v>
                </c:pt>
                <c:pt idx="86">
                  <c:v>-3.2898909133818166</c:v>
                </c:pt>
                <c:pt idx="87">
                  <c:v>-3.1899133501779828</c:v>
                </c:pt>
                <c:pt idx="88">
                  <c:v>-3.0899311717145066</c:v>
                </c:pt>
                <c:pt idx="89">
                  <c:v>-2.9899453276344463</c:v>
                </c:pt>
                <c:pt idx="90">
                  <c:v>-2.8899565720278688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E2-4883-A075-04641D427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15919"/>
        <c:axId val="1"/>
      </c:scatterChart>
      <c:valAx>
        <c:axId val="695715919"/>
        <c:scaling>
          <c:orientation val="minMax"/>
          <c:min val="2"/>
        </c:scaling>
        <c:delete val="0"/>
        <c:axPos val="b"/>
        <c:title>
          <c:tx>
            <c:rich>
              <a:bodyPr/>
              <a:lstStyle/>
              <a:p>
                <a:pPr>
                  <a:defRPr sz="2000" b="1" i="0" u="none" strike="noStrike" baseline="0">
                    <a:solidFill>
                      <a:srgbClr val="000000"/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GB"/>
                  <a:t>pH</a:t>
                </a:r>
              </a:p>
            </c:rich>
          </c:tx>
          <c:layout>
            <c:manualLayout>
              <c:xMode val="edge"/>
              <c:yMode val="edge"/>
              <c:x val="0.51128120037597569"/>
              <c:y val="0.844026530374947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1"/>
        <c:crossesAt val="-7"/>
        <c:crossBetween val="midCat"/>
        <c:majorUnit val="2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2000" b="1" i="0" u="none" strike="noStrike" baseline="0">
                    <a:solidFill>
                      <a:srgbClr val="000000"/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GB" sz="2000" b="1" i="0" u="none" strike="noStrike" baseline="0">
                    <a:solidFill>
                      <a:srgbClr val="000000"/>
                    </a:solidFill>
                    <a:latin typeface="Book Antiqua"/>
                  </a:rPr>
                  <a:t>log Al</a:t>
                </a:r>
                <a:r>
                  <a:rPr lang="en-GB" sz="2000" b="1" i="0" u="none" strike="noStrike" baseline="-25000">
                    <a:solidFill>
                      <a:srgbClr val="000000"/>
                    </a:solidFill>
                    <a:latin typeface="Book Antiqua"/>
                  </a:rPr>
                  <a:t>Total</a:t>
                </a:r>
              </a:p>
            </c:rich>
          </c:tx>
          <c:layout>
            <c:manualLayout>
              <c:xMode val="edge"/>
              <c:yMode val="edge"/>
              <c:x val="1.3865252891551882E-2"/>
              <c:y val="0.260008172864320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695715919"/>
        <c:crosses val="autoZero"/>
        <c:crossBetween val="midCat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Book Antiqua"/>
          <a:ea typeface="Book Antiqua"/>
          <a:cs typeface="Book Antiqua"/>
        </a:defRPr>
      </a:pPr>
      <a:endParaRPr lang="en-US"/>
    </a:p>
  </c:txPr>
  <c:printSettings>
    <c:headerFooter alignWithMargins="0">
      <c:oddFooter>&amp;CFigure 6</c:oddFooter>
    </c:headerFooter>
    <c:pageMargins b="3.5433070866141736" l="0.98425196850393704" r="0.98425196850393704" t="3.5433070866141736" header="0.51181102362204722" footer="0.51181102362204722"/>
    <c:pageSetup paperSize="9" orientation="portrait" horizontalDpi="0" verticalDpi="0" copies="0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0278180302135"/>
          <c:y val="9.5330343763968678E-2"/>
          <c:w val="0.73249946101273022"/>
          <c:h val="0.76077352768500495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'Al and EDTA with Ca Chart'!$A$4:$A$94</c:f>
              <c:numCache>
                <c:formatCode>General</c:formatCode>
                <c:ptCount val="91"/>
                <c:pt idx="0">
                  <c:v>3</c:v>
                </c:pt>
                <c:pt idx="1">
                  <c:v>3.1</c:v>
                </c:pt>
                <c:pt idx="2">
                  <c:v>3.2</c:v>
                </c:pt>
                <c:pt idx="3">
                  <c:v>3.3</c:v>
                </c:pt>
                <c:pt idx="4">
                  <c:v>3.4</c:v>
                </c:pt>
                <c:pt idx="5">
                  <c:v>3.5</c:v>
                </c:pt>
                <c:pt idx="6">
                  <c:v>3.6</c:v>
                </c:pt>
                <c:pt idx="7">
                  <c:v>3.7</c:v>
                </c:pt>
                <c:pt idx="8">
                  <c:v>3.8</c:v>
                </c:pt>
                <c:pt idx="9">
                  <c:v>3.9</c:v>
                </c:pt>
                <c:pt idx="10">
                  <c:v>4</c:v>
                </c:pt>
                <c:pt idx="11">
                  <c:v>4.0999999999999996</c:v>
                </c:pt>
                <c:pt idx="12">
                  <c:v>4.2</c:v>
                </c:pt>
                <c:pt idx="13">
                  <c:v>4.3</c:v>
                </c:pt>
                <c:pt idx="14">
                  <c:v>4.4000000000000004</c:v>
                </c:pt>
                <c:pt idx="15">
                  <c:v>4.5</c:v>
                </c:pt>
                <c:pt idx="16">
                  <c:v>4.5999999999999996</c:v>
                </c:pt>
                <c:pt idx="17">
                  <c:v>4.7</c:v>
                </c:pt>
                <c:pt idx="18">
                  <c:v>4.8</c:v>
                </c:pt>
                <c:pt idx="19">
                  <c:v>4.9000000000000004</c:v>
                </c:pt>
                <c:pt idx="20">
                  <c:v>5</c:v>
                </c:pt>
                <c:pt idx="21">
                  <c:v>5.0999999999999996</c:v>
                </c:pt>
                <c:pt idx="22">
                  <c:v>5.2</c:v>
                </c:pt>
                <c:pt idx="23">
                  <c:v>5.3</c:v>
                </c:pt>
                <c:pt idx="24">
                  <c:v>5.4</c:v>
                </c:pt>
                <c:pt idx="25">
                  <c:v>5.5</c:v>
                </c:pt>
                <c:pt idx="26">
                  <c:v>5.6</c:v>
                </c:pt>
                <c:pt idx="27">
                  <c:v>5.7</c:v>
                </c:pt>
                <c:pt idx="28">
                  <c:v>5.8</c:v>
                </c:pt>
                <c:pt idx="29">
                  <c:v>5.9</c:v>
                </c:pt>
                <c:pt idx="30">
                  <c:v>6</c:v>
                </c:pt>
                <c:pt idx="31">
                  <c:v>6.1</c:v>
                </c:pt>
                <c:pt idx="32">
                  <c:v>6.2</c:v>
                </c:pt>
                <c:pt idx="33">
                  <c:v>6.3</c:v>
                </c:pt>
                <c:pt idx="34">
                  <c:v>6.4</c:v>
                </c:pt>
                <c:pt idx="35">
                  <c:v>6.5</c:v>
                </c:pt>
                <c:pt idx="36">
                  <c:v>6.6</c:v>
                </c:pt>
                <c:pt idx="37">
                  <c:v>6.7</c:v>
                </c:pt>
                <c:pt idx="38">
                  <c:v>6.8</c:v>
                </c:pt>
                <c:pt idx="39">
                  <c:v>6.9</c:v>
                </c:pt>
                <c:pt idx="40">
                  <c:v>7</c:v>
                </c:pt>
                <c:pt idx="41">
                  <c:v>7.1</c:v>
                </c:pt>
                <c:pt idx="42">
                  <c:v>7.2</c:v>
                </c:pt>
                <c:pt idx="43">
                  <c:v>7.3</c:v>
                </c:pt>
                <c:pt idx="44">
                  <c:v>7.4</c:v>
                </c:pt>
                <c:pt idx="45">
                  <c:v>7.5</c:v>
                </c:pt>
                <c:pt idx="46">
                  <c:v>7.6</c:v>
                </c:pt>
                <c:pt idx="47">
                  <c:v>7.7</c:v>
                </c:pt>
                <c:pt idx="48">
                  <c:v>7.8</c:v>
                </c:pt>
                <c:pt idx="49">
                  <c:v>7.9</c:v>
                </c:pt>
                <c:pt idx="50">
                  <c:v>8</c:v>
                </c:pt>
                <c:pt idx="51">
                  <c:v>8.1</c:v>
                </c:pt>
                <c:pt idx="52">
                  <c:v>8.1999999999999993</c:v>
                </c:pt>
                <c:pt idx="53">
                  <c:v>8.3000000000000007</c:v>
                </c:pt>
                <c:pt idx="54">
                  <c:v>8.4000000000000057</c:v>
                </c:pt>
                <c:pt idx="55">
                  <c:v>8.5000000000000053</c:v>
                </c:pt>
                <c:pt idx="56">
                  <c:v>8.6</c:v>
                </c:pt>
                <c:pt idx="57">
                  <c:v>8.6999999999999993</c:v>
                </c:pt>
                <c:pt idx="58">
                  <c:v>8.8000000000000007</c:v>
                </c:pt>
                <c:pt idx="59">
                  <c:v>8.9000000000000057</c:v>
                </c:pt>
                <c:pt idx="60">
                  <c:v>9.0000000000000053</c:v>
                </c:pt>
                <c:pt idx="61">
                  <c:v>9.1</c:v>
                </c:pt>
                <c:pt idx="62">
                  <c:v>9.2000000000000064</c:v>
                </c:pt>
                <c:pt idx="63">
                  <c:v>9.300000000000006</c:v>
                </c:pt>
                <c:pt idx="64">
                  <c:v>9.4000000000000057</c:v>
                </c:pt>
                <c:pt idx="65">
                  <c:v>9.5000000000000053</c:v>
                </c:pt>
                <c:pt idx="66">
                  <c:v>9.6</c:v>
                </c:pt>
                <c:pt idx="67">
                  <c:v>9.7000000000000064</c:v>
                </c:pt>
                <c:pt idx="68">
                  <c:v>9.800000000000006</c:v>
                </c:pt>
                <c:pt idx="69">
                  <c:v>9.9000000000000057</c:v>
                </c:pt>
                <c:pt idx="70">
                  <c:v>10</c:v>
                </c:pt>
                <c:pt idx="71">
                  <c:v>10.1</c:v>
                </c:pt>
                <c:pt idx="72">
                  <c:v>10.199999999999999</c:v>
                </c:pt>
                <c:pt idx="73">
                  <c:v>10.3</c:v>
                </c:pt>
                <c:pt idx="74">
                  <c:v>10.4</c:v>
                </c:pt>
                <c:pt idx="75">
                  <c:v>10.5</c:v>
                </c:pt>
                <c:pt idx="76">
                  <c:v>10.6</c:v>
                </c:pt>
                <c:pt idx="77">
                  <c:v>10.7</c:v>
                </c:pt>
                <c:pt idx="78">
                  <c:v>10.8</c:v>
                </c:pt>
                <c:pt idx="79">
                  <c:v>10.9</c:v>
                </c:pt>
                <c:pt idx="80">
                  <c:v>11</c:v>
                </c:pt>
                <c:pt idx="81">
                  <c:v>11.1</c:v>
                </c:pt>
                <c:pt idx="82">
                  <c:v>11.2</c:v>
                </c:pt>
                <c:pt idx="83">
                  <c:v>11.3</c:v>
                </c:pt>
                <c:pt idx="84">
                  <c:v>11.4</c:v>
                </c:pt>
                <c:pt idx="85">
                  <c:v>11.5</c:v>
                </c:pt>
                <c:pt idx="86">
                  <c:v>11.6</c:v>
                </c:pt>
                <c:pt idx="87">
                  <c:v>11.7</c:v>
                </c:pt>
                <c:pt idx="88">
                  <c:v>11.8</c:v>
                </c:pt>
                <c:pt idx="89">
                  <c:v>11.9</c:v>
                </c:pt>
                <c:pt idx="90">
                  <c:v>12</c:v>
                </c:pt>
              </c:numCache>
            </c:numRef>
          </c:xVal>
          <c:yVal>
            <c:numRef>
              <c:f>'Al and EDTA with Ca Chart'!$B$4:$B$94</c:f>
              <c:numCache>
                <c:formatCode>General</c:formatCode>
                <c:ptCount val="91"/>
                <c:pt idx="0">
                  <c:v>-0.88519010979349355</c:v>
                </c:pt>
                <c:pt idx="1">
                  <c:v>-1.1840491943182749</c:v>
                </c:pt>
                <c:pt idx="2">
                  <c:v>-1.4825115666729223</c:v>
                </c:pt>
                <c:pt idx="3">
                  <c:v>-1.7804747757922519</c:v>
                </c:pt>
                <c:pt idx="4">
                  <c:v>-2.0777875332046003</c:v>
                </c:pt>
                <c:pt idx="5">
                  <c:v>-2.3742319631016779</c:v>
                </c:pt>
                <c:pt idx="6">
                  <c:v>-2.6694952002840657</c:v>
                </c:pt>
                <c:pt idx="7">
                  <c:v>-2.96312533545944</c:v>
                </c:pt>
                <c:pt idx="8">
                  <c:v>-3.2544642529849011</c:v>
                </c:pt>
                <c:pt idx="9">
                  <c:v>-3.5425473522787745</c:v>
                </c:pt>
                <c:pt idx="10">
                  <c:v>-3.8259593427280696</c:v>
                </c:pt>
                <c:pt idx="11">
                  <c:v>-4.1026414794195238</c:v>
                </c:pt>
                <c:pt idx="12">
                  <c:v>-4.3696701738905226</c:v>
                </c:pt>
                <c:pt idx="13">
                  <c:v>-4.6230871436507144</c:v>
                </c:pt>
                <c:pt idx="14">
                  <c:v>-4.8579624015292291</c:v>
                </c:pt>
                <c:pt idx="15">
                  <c:v>-5.0689503933690396</c:v>
                </c:pt>
                <c:pt idx="16">
                  <c:v>-5.2514707928127926</c:v>
                </c:pt>
                <c:pt idx="17">
                  <c:v>-5.4031583037612601</c:v>
                </c:pt>
                <c:pt idx="18">
                  <c:v>-5.5247182235772181</c:v>
                </c:pt>
                <c:pt idx="19">
                  <c:v>-5.6195521840514386</c:v>
                </c:pt>
                <c:pt idx="20">
                  <c:v>-5.6924638090567647</c:v>
                </c:pt>
                <c:pt idx="21">
                  <c:v>-5.7483310362788904</c:v>
                </c:pt>
                <c:pt idx="22">
                  <c:v>-5.7913245330437295</c:v>
                </c:pt>
                <c:pt idx="23">
                  <c:v>-5.8246846771586869</c:v>
                </c:pt>
                <c:pt idx="24">
                  <c:v>-5.8508126519476846</c:v>
                </c:pt>
                <c:pt idx="25">
                  <c:v>-5.8714612138160351</c:v>
                </c:pt>
                <c:pt idx="26">
                  <c:v>-5.8879165710624966</c:v>
                </c:pt>
                <c:pt idx="27">
                  <c:v>-5.9011380239731182</c:v>
                </c:pt>
                <c:pt idx="28">
                  <c:v>-5.9118559413611962</c:v>
                </c:pt>
                <c:pt idx="29">
                  <c:v>-5.9206384152711511</c:v>
                </c:pt>
                <c:pt idx="30">
                  <c:v>-5.9279368663507714</c:v>
                </c:pt>
                <c:pt idx="31">
                  <c:v>-5.9341181608918765</c:v>
                </c:pt>
                <c:pt idx="32">
                  <c:v>-5.939488147344079</c:v>
                </c:pt>
                <c:pt idx="33">
                  <c:v>-5.9443096097552113</c:v>
                </c:pt>
                <c:pt idx="34">
                  <c:v>-5.9488164337267495</c:v>
                </c:pt>
                <c:pt idx="35">
                  <c:v>-5.953225068422741</c:v>
                </c:pt>
                <c:pt idx="36">
                  <c:v>-5.9577439299717554</c:v>
                </c:pt>
                <c:pt idx="37">
                  <c:v>-5.9625810669807748</c:v>
                </c:pt>
                <c:pt idx="38">
                  <c:v>-5.9679500963048255</c:v>
                </c:pt>
                <c:pt idx="39">
                  <c:v>-5.9740740587169201</c:v>
                </c:pt>
                <c:pt idx="40">
                  <c:v>-5.9811864086277238</c:v>
                </c:pt>
                <c:pt idx="41">
                  <c:v>-5.9895278280516333</c:v>
                </c:pt>
                <c:pt idx="42">
                  <c:v>-5.9993369579082616</c:v>
                </c:pt>
                <c:pt idx="43">
                  <c:v>-6.0108325332572514</c:v>
                </c:pt>
                <c:pt idx="44">
                  <c:v>-6.0241839386531506</c:v>
                </c:pt>
                <c:pt idx="45">
                  <c:v>-6.0394671323933853</c:v>
                </c:pt>
                <c:pt idx="46">
                  <c:v>-6.0566036533065839</c:v>
                </c:pt>
                <c:pt idx="47">
                  <c:v>-6.0752826506544615</c:v>
                </c:pt>
                <c:pt idx="48">
                  <c:v>-6.0948704183288864</c:v>
                </c:pt>
                <c:pt idx="49">
                  <c:v>-6.1143197564379035</c:v>
                </c:pt>
                <c:pt idx="50">
                  <c:v>-6.1321032200783678</c:v>
                </c:pt>
                <c:pt idx="51">
                  <c:v>-6.1462084407243909</c:v>
                </c:pt>
                <c:pt idx="52">
                  <c:v>-6.1542431948188403</c:v>
                </c:pt>
                <c:pt idx="53">
                  <c:v>-6.1536873050484084</c:v>
                </c:pt>
                <c:pt idx="54">
                  <c:v>-6.1422799952648308</c:v>
                </c:pt>
                <c:pt idx="55">
                  <c:v>-6.1184486819454245</c:v>
                </c:pt>
                <c:pt idx="56">
                  <c:v>-6.0816189507666492</c:v>
                </c:pt>
                <c:pt idx="57">
                  <c:v>-6.0322685360773702</c:v>
                </c:pt>
                <c:pt idx="58">
                  <c:v>-5.9717108623210127</c:v>
                </c:pt>
                <c:pt idx="59">
                  <c:v>-5.9017256385735068</c:v>
                </c:pt>
                <c:pt idx="60">
                  <c:v>-5.8241948871031717</c:v>
                </c:pt>
                <c:pt idx="61">
                  <c:v>-5.7408474602844555</c:v>
                </c:pt>
                <c:pt idx="62">
                  <c:v>-5.653133100722628</c:v>
                </c:pt>
                <c:pt idx="63">
                  <c:v>-5.5621954093416335</c:v>
                </c:pt>
                <c:pt idx="64">
                  <c:v>-5.4689005367522894</c:v>
                </c:pt>
                <c:pt idx="65">
                  <c:v>-5.3738876353826939</c:v>
                </c:pt>
                <c:pt idx="66">
                  <c:v>-5.2776211708708525</c:v>
                </c:pt>
                <c:pt idx="67">
                  <c:v>-5.1804361568563326</c:v>
                </c:pt>
                <c:pt idx="68">
                  <c:v>-5.0825738294877683</c:v>
                </c:pt>
                <c:pt idx="69">
                  <c:v>-4.9842083306041536</c:v>
                </c:pt>
                <c:pt idx="70">
                  <c:v>-4.8854660455795997</c:v>
                </c:pt>
                <c:pt idx="71">
                  <c:v>-4.7864393643389596</c:v>
                </c:pt>
                <c:pt idx="72">
                  <c:v>-4.6871963837305284</c:v>
                </c:pt>
                <c:pt idx="73">
                  <c:v>-4.5877877292613389</c:v>
                </c:pt>
                <c:pt idx="74">
                  <c:v>-4.4882513608067631</c:v>
                </c:pt>
                <c:pt idx="75">
                  <c:v>-4.3886159760973316</c:v>
                </c:pt>
                <c:pt idx="76">
                  <c:v>-4.2889034390499381</c:v>
                </c:pt>
                <c:pt idx="77">
                  <c:v>-4.1891305269435932</c:v>
                </c:pt>
                <c:pt idx="78">
                  <c:v>-4.0893101983261531</c:v>
                </c:pt>
                <c:pt idx="79">
                  <c:v>-3.9894525208955693</c:v>
                </c:pt>
                <c:pt idx="80">
                  <c:v>-3.8895653562468895</c:v>
                </c:pt>
                <c:pt idx="81">
                  <c:v>-3.7896548695622752</c:v>
                </c:pt>
                <c:pt idx="82">
                  <c:v>-3.6897259124342252</c:v>
                </c:pt>
                <c:pt idx="83">
                  <c:v>-3.5897823130820643</c:v>
                </c:pt>
                <c:pt idx="84">
                  <c:v>-3.489827098381197</c:v>
                </c:pt>
                <c:pt idx="85">
                  <c:v>-3.3898626651676596</c:v>
                </c:pt>
                <c:pt idx="86">
                  <c:v>-3.2898909133818166</c:v>
                </c:pt>
                <c:pt idx="87">
                  <c:v>-3.1899133501779828</c:v>
                </c:pt>
                <c:pt idx="88">
                  <c:v>-3.0899311717145066</c:v>
                </c:pt>
                <c:pt idx="89">
                  <c:v>-2.9899453276344463</c:v>
                </c:pt>
                <c:pt idx="90">
                  <c:v>-2.8899565720278688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1A-4137-B716-3AA4A0B3C4D8}"/>
            </c:ext>
          </c:extLst>
        </c:ser>
        <c:ser>
          <c:idx val="1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'Al and EDTA with Ca Chart'!$A$4:$A$94</c:f>
              <c:numCache>
                <c:formatCode>General</c:formatCode>
                <c:ptCount val="91"/>
                <c:pt idx="0">
                  <c:v>3</c:v>
                </c:pt>
                <c:pt idx="1">
                  <c:v>3.1</c:v>
                </c:pt>
                <c:pt idx="2">
                  <c:v>3.2</c:v>
                </c:pt>
                <c:pt idx="3">
                  <c:v>3.3</c:v>
                </c:pt>
                <c:pt idx="4">
                  <c:v>3.4</c:v>
                </c:pt>
                <c:pt idx="5">
                  <c:v>3.5</c:v>
                </c:pt>
                <c:pt idx="6">
                  <c:v>3.6</c:v>
                </c:pt>
                <c:pt idx="7">
                  <c:v>3.7</c:v>
                </c:pt>
                <c:pt idx="8">
                  <c:v>3.8</c:v>
                </c:pt>
                <c:pt idx="9">
                  <c:v>3.9</c:v>
                </c:pt>
                <c:pt idx="10">
                  <c:v>4</c:v>
                </c:pt>
                <c:pt idx="11">
                  <c:v>4.0999999999999996</c:v>
                </c:pt>
                <c:pt idx="12">
                  <c:v>4.2</c:v>
                </c:pt>
                <c:pt idx="13">
                  <c:v>4.3</c:v>
                </c:pt>
                <c:pt idx="14">
                  <c:v>4.4000000000000004</c:v>
                </c:pt>
                <c:pt idx="15">
                  <c:v>4.5</c:v>
                </c:pt>
                <c:pt idx="16">
                  <c:v>4.5999999999999996</c:v>
                </c:pt>
                <c:pt idx="17">
                  <c:v>4.7</c:v>
                </c:pt>
                <c:pt idx="18">
                  <c:v>4.8</c:v>
                </c:pt>
                <c:pt idx="19">
                  <c:v>4.9000000000000004</c:v>
                </c:pt>
                <c:pt idx="20">
                  <c:v>5</c:v>
                </c:pt>
                <c:pt idx="21">
                  <c:v>5.0999999999999996</c:v>
                </c:pt>
                <c:pt idx="22">
                  <c:v>5.2</c:v>
                </c:pt>
                <c:pt idx="23">
                  <c:v>5.3</c:v>
                </c:pt>
                <c:pt idx="24">
                  <c:v>5.4</c:v>
                </c:pt>
                <c:pt idx="25">
                  <c:v>5.5</c:v>
                </c:pt>
                <c:pt idx="26">
                  <c:v>5.6</c:v>
                </c:pt>
                <c:pt idx="27">
                  <c:v>5.7</c:v>
                </c:pt>
                <c:pt idx="28">
                  <c:v>5.8</c:v>
                </c:pt>
                <c:pt idx="29">
                  <c:v>5.9</c:v>
                </c:pt>
                <c:pt idx="30">
                  <c:v>6</c:v>
                </c:pt>
                <c:pt idx="31">
                  <c:v>6.1</c:v>
                </c:pt>
                <c:pt idx="32">
                  <c:v>6.2</c:v>
                </c:pt>
                <c:pt idx="33">
                  <c:v>6.3</c:v>
                </c:pt>
                <c:pt idx="34">
                  <c:v>6.4</c:v>
                </c:pt>
                <c:pt idx="35">
                  <c:v>6.5</c:v>
                </c:pt>
                <c:pt idx="36">
                  <c:v>6.6</c:v>
                </c:pt>
                <c:pt idx="37">
                  <c:v>6.7</c:v>
                </c:pt>
                <c:pt idx="38">
                  <c:v>6.8</c:v>
                </c:pt>
                <c:pt idx="39">
                  <c:v>6.9</c:v>
                </c:pt>
                <c:pt idx="40">
                  <c:v>7</c:v>
                </c:pt>
                <c:pt idx="41">
                  <c:v>7.1</c:v>
                </c:pt>
                <c:pt idx="42">
                  <c:v>7.2</c:v>
                </c:pt>
                <c:pt idx="43">
                  <c:v>7.3</c:v>
                </c:pt>
                <c:pt idx="44">
                  <c:v>7.4</c:v>
                </c:pt>
                <c:pt idx="45">
                  <c:v>7.5</c:v>
                </c:pt>
                <c:pt idx="46">
                  <c:v>7.6</c:v>
                </c:pt>
                <c:pt idx="47">
                  <c:v>7.7</c:v>
                </c:pt>
                <c:pt idx="48">
                  <c:v>7.8</c:v>
                </c:pt>
                <c:pt idx="49">
                  <c:v>7.9</c:v>
                </c:pt>
                <c:pt idx="50">
                  <c:v>8</c:v>
                </c:pt>
                <c:pt idx="51">
                  <c:v>8.1</c:v>
                </c:pt>
                <c:pt idx="52">
                  <c:v>8.1999999999999993</c:v>
                </c:pt>
                <c:pt idx="53">
                  <c:v>8.3000000000000007</c:v>
                </c:pt>
                <c:pt idx="54">
                  <c:v>8.4000000000000057</c:v>
                </c:pt>
                <c:pt idx="55">
                  <c:v>8.5000000000000053</c:v>
                </c:pt>
                <c:pt idx="56">
                  <c:v>8.6</c:v>
                </c:pt>
                <c:pt idx="57">
                  <c:v>8.6999999999999993</c:v>
                </c:pt>
                <c:pt idx="58">
                  <c:v>8.8000000000000007</c:v>
                </c:pt>
                <c:pt idx="59">
                  <c:v>8.9000000000000057</c:v>
                </c:pt>
                <c:pt idx="60">
                  <c:v>9.0000000000000053</c:v>
                </c:pt>
                <c:pt idx="61">
                  <c:v>9.1</c:v>
                </c:pt>
                <c:pt idx="62">
                  <c:v>9.2000000000000064</c:v>
                </c:pt>
                <c:pt idx="63">
                  <c:v>9.300000000000006</c:v>
                </c:pt>
                <c:pt idx="64">
                  <c:v>9.4000000000000057</c:v>
                </c:pt>
                <c:pt idx="65">
                  <c:v>9.5000000000000053</c:v>
                </c:pt>
                <c:pt idx="66">
                  <c:v>9.6</c:v>
                </c:pt>
                <c:pt idx="67">
                  <c:v>9.7000000000000064</c:v>
                </c:pt>
                <c:pt idx="68">
                  <c:v>9.800000000000006</c:v>
                </c:pt>
                <c:pt idx="69">
                  <c:v>9.9000000000000057</c:v>
                </c:pt>
                <c:pt idx="70">
                  <c:v>10</c:v>
                </c:pt>
                <c:pt idx="71">
                  <c:v>10.1</c:v>
                </c:pt>
                <c:pt idx="72">
                  <c:v>10.199999999999999</c:v>
                </c:pt>
                <c:pt idx="73">
                  <c:v>10.3</c:v>
                </c:pt>
                <c:pt idx="74">
                  <c:v>10.4</c:v>
                </c:pt>
                <c:pt idx="75">
                  <c:v>10.5</c:v>
                </c:pt>
                <c:pt idx="76">
                  <c:v>10.6</c:v>
                </c:pt>
                <c:pt idx="77">
                  <c:v>10.7</c:v>
                </c:pt>
                <c:pt idx="78">
                  <c:v>10.8</c:v>
                </c:pt>
                <c:pt idx="79">
                  <c:v>10.9</c:v>
                </c:pt>
                <c:pt idx="80">
                  <c:v>11</c:v>
                </c:pt>
                <c:pt idx="81">
                  <c:v>11.1</c:v>
                </c:pt>
                <c:pt idx="82">
                  <c:v>11.2</c:v>
                </c:pt>
                <c:pt idx="83">
                  <c:v>11.3</c:v>
                </c:pt>
                <c:pt idx="84">
                  <c:v>11.4</c:v>
                </c:pt>
                <c:pt idx="85">
                  <c:v>11.5</c:v>
                </c:pt>
                <c:pt idx="86">
                  <c:v>11.6</c:v>
                </c:pt>
                <c:pt idx="87">
                  <c:v>11.7</c:v>
                </c:pt>
                <c:pt idx="88">
                  <c:v>11.8</c:v>
                </c:pt>
                <c:pt idx="89">
                  <c:v>11.9</c:v>
                </c:pt>
                <c:pt idx="90">
                  <c:v>12</c:v>
                </c:pt>
              </c:numCache>
            </c:numRef>
          </c:xVal>
          <c:yVal>
            <c:numRef>
              <c:f>'Al and EDTA with Ca Chart'!$C$4:$C$94</c:f>
              <c:numCache>
                <c:formatCode>General</c:formatCode>
                <c:ptCount val="91"/>
                <c:pt idx="0">
                  <c:v>-0.88519010979365176</c:v>
                </c:pt>
                <c:pt idx="1">
                  <c:v>-1.184049194318864</c:v>
                </c:pt>
                <c:pt idx="2">
                  <c:v>-1.4825115666751203</c:v>
                </c:pt>
                <c:pt idx="3">
                  <c:v>-1.7804747758004864</c:v>
                </c:pt>
                <c:pt idx="4">
                  <c:v>-2.0777875332355698</c:v>
                </c:pt>
                <c:pt idx="5">
                  <c:v>-2.374231963218576</c:v>
                </c:pt>
                <c:pt idx="6">
                  <c:v>-2.6694952007265798</c:v>
                </c:pt>
                <c:pt idx="7">
                  <c:v>-2.9631253371370865</c:v>
                </c:pt>
                <c:pt idx="8">
                  <c:v>-3.2544642593419177</c:v>
                </c:pt>
                <c:pt idx="9">
                  <c:v>-3.5425473762867457</c:v>
                </c:pt>
                <c:pt idx="10">
                  <c:v>-3.8259594327398978</c:v>
                </c:pt>
                <c:pt idx="11">
                  <c:v>-4.1026418126346389</c:v>
                </c:pt>
                <c:pt idx="12">
                  <c:v>-4.3696713828259579</c:v>
                </c:pt>
                <c:pt idx="13">
                  <c:v>-4.6230914003425925</c:v>
                </c:pt>
                <c:pt idx="14">
                  <c:v>-4.8579767727084837</c:v>
                </c:pt>
                <c:pt idx="15">
                  <c:v>-5.0689963122485375</c:v>
                </c:pt>
                <c:pt idx="16">
                  <c:v>-5.2516080780859209</c:v>
                </c:pt>
                <c:pt idx="17">
                  <c:v>-5.4035398868142455</c:v>
                </c:pt>
                <c:pt idx="18">
                  <c:v>-5.5257045650198124</c:v>
                </c:pt>
                <c:pt idx="19">
                  <c:v>-5.6219375140003747</c:v>
                </c:pt>
                <c:pt idx="20">
                  <c:v>-5.6979059572428374</c:v>
                </c:pt>
                <c:pt idx="21">
                  <c:v>-5.7601266214182845</c:v>
                </c:pt>
                <c:pt idx="22">
                  <c:v>-5.8156829675808508</c:v>
                </c:pt>
                <c:pt idx="23">
                  <c:v>-5.8724759514031115</c:v>
                </c:pt>
                <c:pt idx="24">
                  <c:v>-5.9391191279101676</c:v>
                </c:pt>
                <c:pt idx="25">
                  <c:v>-6.0231496227826318</c:v>
                </c:pt>
                <c:pt idx="26">
                  <c:v>-6.1272099494418919</c:v>
                </c:pt>
                <c:pt idx="27">
                  <c:v>-6.2459624621354974</c:v>
                </c:pt>
                <c:pt idx="28">
                  <c:v>-6.3677037981902496</c:v>
                </c:pt>
                <c:pt idx="29">
                  <c:v>-6.4800682281279007</c:v>
                </c:pt>
                <c:pt idx="30">
                  <c:v>-6.5750029321396921</c:v>
                </c:pt>
                <c:pt idx="31">
                  <c:v>-6.6500517983630418</c:v>
                </c:pt>
                <c:pt idx="32">
                  <c:v>-6.7067682400703266</c:v>
                </c:pt>
                <c:pt idx="33">
                  <c:v>-6.7484381119701533</c:v>
                </c:pt>
                <c:pt idx="34">
                  <c:v>-6.7784789932025777</c:v>
                </c:pt>
                <c:pt idx="35">
                  <c:v>-6.7997249670587667</c:v>
                </c:pt>
                <c:pt idx="36">
                  <c:v>-6.81427710973714</c:v>
                </c:pt>
                <c:pt idx="37">
                  <c:v>-6.823592496360682</c:v>
                </c:pt>
                <c:pt idx="38">
                  <c:v>-6.8286283752142527</c:v>
                </c:pt>
                <c:pt idx="39">
                  <c:v>-6.829970066959179</c:v>
                </c:pt>
                <c:pt idx="40">
                  <c:v>-6.8279262905883638</c:v>
                </c:pt>
                <c:pt idx="41">
                  <c:v>-6.8225957782671669</c:v>
                </c:pt>
                <c:pt idx="42">
                  <c:v>-6.8139138554273853</c:v>
                </c:pt>
                <c:pt idx="43">
                  <c:v>-6.8016872537102984</c:v>
                </c:pt>
                <c:pt idx="44">
                  <c:v>-6.7856237715098038</c:v>
                </c:pt>
                <c:pt idx="45">
                  <c:v>-6.7653616479337773</c:v>
                </c:pt>
                <c:pt idx="46">
                  <c:v>-6.7405017571210974</c:v>
                </c:pt>
                <c:pt idx="47">
                  <c:v>-6.7106437868682747</c:v>
                </c:pt>
                <c:pt idx="48">
                  <c:v>-6.6754253803790879</c:v>
                </c:pt>
                <c:pt idx="49">
                  <c:v>-6.6345610353322</c:v>
                </c:pt>
                <c:pt idx="50">
                  <c:v>-6.5878759268849381</c:v>
                </c:pt>
                <c:pt idx="51">
                  <c:v>-6.5353294169737985</c:v>
                </c:pt>
                <c:pt idx="52">
                  <c:v>-6.4770242288858864</c:v>
                </c:pt>
                <c:pt idx="53">
                  <c:v>-6.4131998901547576</c:v>
                </c:pt>
                <c:pt idx="54">
                  <c:v>-6.3442122233938818</c:v>
                </c:pt>
                <c:pt idx="55">
                  <c:v>-6.2705032735813884</c:v>
                </c:pt>
                <c:pt idx="56">
                  <c:v>-6.1925672759643717</c:v>
                </c:pt>
                <c:pt idx="57">
                  <c:v>-6.1109179229240036</c:v>
                </c:pt>
                <c:pt idx="58">
                  <c:v>-6.0260607250787759</c:v>
                </c:pt>
                <c:pt idx="59">
                  <c:v>-5.9384723940216118</c:v>
                </c:pt>
                <c:pt idx="60">
                  <c:v>-5.8485875148707693</c:v>
                </c:pt>
                <c:pt idx="61">
                  <c:v>-5.756791650640058</c:v>
                </c:pt>
                <c:pt idx="62">
                  <c:v>-5.6634194701115383</c:v>
                </c:pt>
                <c:pt idx="63">
                  <c:v>-5.568756389917322</c:v>
                </c:pt>
                <c:pt idx="64">
                  <c:v>-5.4730423922273186</c:v>
                </c:pt>
                <c:pt idx="65">
                  <c:v>-5.3764769675553064</c:v>
                </c:pt>
                <c:pt idx="66">
                  <c:v>-5.2792244345632229</c:v>
                </c:pt>
                <c:pt idx="67">
                  <c:v>-5.1814191510803713</c:v>
                </c:pt>
                <c:pt idx="68">
                  <c:v>-5.0831703334181064</c:v>
                </c:pt>
                <c:pt idx="69">
                  <c:v>-4.9845663450687443</c:v>
                </c:pt>
                <c:pt idx="70">
                  <c:v>-4.8856784106956122</c:v>
                </c:pt>
                <c:pt idx="71">
                  <c:v>-4.7865637689875751</c:v>
                </c:pt>
                <c:pt idx="72">
                  <c:v>-4.6872683095517091</c:v>
                </c:pt>
                <c:pt idx="73">
                  <c:v>-4.5878287534323015</c:v>
                </c:pt>
                <c:pt idx="74">
                  <c:v>-4.4882744406098727</c:v>
                </c:pt>
                <c:pt idx="75">
                  <c:v>-4.3886287854692005</c:v>
                </c:pt>
                <c:pt idx="76">
                  <c:v>-4.2889104557006297</c:v>
                </c:pt>
                <c:pt idx="77">
                  <c:v>-4.1891343232690366</c:v>
                </c:pt>
                <c:pt idx="78">
                  <c:v>-4.0893122290468336</c:v>
                </c:pt>
                <c:pt idx="79">
                  <c:v>-3.9894535960617286</c:v>
                </c:pt>
                <c:pt idx="80">
                  <c:v>-3.889565920346215</c:v>
                </c:pt>
                <c:pt idx="81">
                  <c:v>-3.789655163196699</c:v>
                </c:pt>
                <c:pt idx="82">
                  <c:v>-3.6897260642525169</c:v>
                </c:pt>
                <c:pt idx="83">
                  <c:v>-3.5897823911302651</c:v>
                </c:pt>
                <c:pt idx="84">
                  <c:v>-3.4898271383141735</c:v>
                </c:pt>
                <c:pt idx="85">
                  <c:v>-3.3898626855187466</c:v>
                </c:pt>
                <c:pt idx="86">
                  <c:v>-3.2898909237198319</c:v>
                </c:pt>
                <c:pt idx="87">
                  <c:v>-3.1899133554156682</c:v>
                </c:pt>
                <c:pt idx="88">
                  <c:v>-3.0899311743624609</c:v>
                </c:pt>
                <c:pt idx="89">
                  <c:v>-2.9899453289708231</c:v>
                </c:pt>
                <c:pt idx="90">
                  <c:v>-2.8899565727013745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1A-4137-B716-3AA4A0B3C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10095"/>
        <c:axId val="1"/>
      </c:scatterChart>
      <c:valAx>
        <c:axId val="695710095"/>
        <c:scaling>
          <c:orientation val="minMax"/>
          <c:max val="12"/>
          <c:min val="2"/>
        </c:scaling>
        <c:delete val="0"/>
        <c:axPos val="b"/>
        <c:title>
          <c:tx>
            <c:rich>
              <a:bodyPr/>
              <a:lstStyle/>
              <a:p>
                <a:pPr>
                  <a:defRPr sz="2000" b="1" i="0" u="none" strike="noStrike" baseline="0">
                    <a:solidFill>
                      <a:srgbClr val="000000"/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GB"/>
                  <a:t>pH</a:t>
                </a:r>
              </a:p>
            </c:rich>
          </c:tx>
          <c:layout>
            <c:manualLayout>
              <c:xMode val="edge"/>
              <c:yMode val="edge"/>
              <c:x val="0.50931603148541393"/>
              <c:y val="0.854234649022229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1"/>
        <c:crossesAt val="-7"/>
        <c:crossBetween val="midCat"/>
        <c:majorUnit val="2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2000" b="1" i="0" u="none" strike="noStrike" baseline="0">
                    <a:solidFill>
                      <a:srgbClr val="000000"/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GB" sz="2000" b="1" i="0" u="none" strike="noStrike" baseline="0">
                    <a:solidFill>
                      <a:srgbClr val="000000"/>
                    </a:solidFill>
                    <a:latin typeface="Book Antiqua"/>
                  </a:rPr>
                  <a:t>log Al</a:t>
                </a:r>
                <a:r>
                  <a:rPr lang="en-GB" sz="2000" b="1" i="0" u="none" strike="noStrike" baseline="-25000">
                    <a:solidFill>
                      <a:srgbClr val="000000"/>
                    </a:solidFill>
                    <a:latin typeface="Book Antiqua"/>
                  </a:rPr>
                  <a:t>Total</a:t>
                </a:r>
              </a:p>
            </c:rich>
          </c:tx>
          <c:layout>
            <c:manualLayout>
              <c:xMode val="edge"/>
              <c:yMode val="edge"/>
              <c:x val="1.144530407832391E-2"/>
              <c:y val="0.300944810705861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695710095"/>
        <c:crosses val="autoZero"/>
        <c:crossBetween val="midCat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Book Antiqua"/>
          <a:ea typeface="Book Antiqua"/>
          <a:cs typeface="Book Antiqua"/>
        </a:defRPr>
      </a:pPr>
      <a:endParaRPr lang="en-US"/>
    </a:p>
  </c:txPr>
  <c:printSettings>
    <c:headerFooter alignWithMargins="0">
      <c:oddFooter>&amp;CFigure 7</c:oddFooter>
    </c:headerFooter>
    <c:pageMargins b="3.5433070866141736" l="0.98425196850393704" r="0.98425196850393704" t="3.5433070866141736" header="0.51181102362204722" footer="0.51181102362204722"/>
    <c:pageSetup paperSize="9" orientation="portrait" horizontalDpi="0" verticalDpi="0" copies="0"/>
  </c:printSettings>
  <c:userShapes r:id="rId1"/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152400</xdr:rowOff>
    </xdr:from>
    <xdr:to>
      <xdr:col>1</xdr:col>
      <xdr:colOff>647700</xdr:colOff>
      <xdr:row>6</xdr:row>
      <xdr:rowOff>107950</xdr:rowOff>
    </xdr:to>
    <xdr:sp macro="" textlink="">
      <xdr:nvSpPr>
        <xdr:cNvPr id="1025" name="Text 1">
          <a:extLst>
            <a:ext uri="{FF2B5EF4-FFF2-40B4-BE49-F238E27FC236}">
              <a16:creationId xmlns:a16="http://schemas.microsoft.com/office/drawing/2014/main" id="{B0FE1FF3-074C-46F9-B7A2-668B301923E4}"/>
            </a:ext>
          </a:extLst>
        </xdr:cNvPr>
        <xdr:cNvSpPr txBox="1">
          <a:spLocks noChangeArrowheads="1"/>
        </xdr:cNvSpPr>
      </xdr:nvSpPr>
      <xdr:spPr bwMode="auto">
        <a:xfrm>
          <a:off x="76200" y="152400"/>
          <a:ext cx="1301750" cy="1187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C0" mc:Ignorable="a14" a14:legacySpreadsheetColorIndex="26"/>
        </a:solidFill>
        <a:ln w="2476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36576" tIns="36576" rIns="36576" bIns="0" anchor="t" upright="1"/>
        <a:lstStyle/>
        <a:p>
          <a:pPr algn="ctr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Book Antiqua"/>
            </a:rPr>
            <a:t>Calculation workspace for Al speciation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76200</xdr:rowOff>
    </xdr:from>
    <xdr:to>
      <xdr:col>7</xdr:col>
      <xdr:colOff>488950</xdr:colOff>
      <xdr:row>14</xdr:row>
      <xdr:rowOff>0</xdr:rowOff>
    </xdr:to>
    <xdr:graphicFrame macro="">
      <xdr:nvGraphicFramePr>
        <xdr:cNvPr id="2054" name="Chart 6">
          <a:extLst>
            <a:ext uri="{FF2B5EF4-FFF2-40B4-BE49-F238E27FC236}">
              <a16:creationId xmlns:a16="http://schemas.microsoft.com/office/drawing/2014/main" id="{E3E4561D-B7A6-40F5-8B01-A0336DCD9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50800</xdr:colOff>
      <xdr:row>0</xdr:row>
      <xdr:rowOff>82550</xdr:rowOff>
    </xdr:from>
    <xdr:to>
      <xdr:col>9</xdr:col>
      <xdr:colOff>349250</xdr:colOff>
      <xdr:row>16</xdr:row>
      <xdr:rowOff>82550</xdr:rowOff>
    </xdr:to>
    <xdr:graphicFrame macro="">
      <xdr:nvGraphicFramePr>
        <xdr:cNvPr id="3075" name="Chart 3">
          <a:extLst>
            <a:ext uri="{FF2B5EF4-FFF2-40B4-BE49-F238E27FC236}">
              <a16:creationId xmlns:a16="http://schemas.microsoft.com/office/drawing/2014/main" id="{F1BA5975-B4DB-43E7-8495-FEFCF018B0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0.41978</cdr:x>
      <cdr:y>0.42401</cdr:y>
    </cdr:from>
    <cdr:to>
      <cdr:x>0.5756</cdr:x>
      <cdr:y>0.48354</cdr:y>
    </cdr:to>
    <cdr:sp macro="" textlink="">
      <cdr:nvSpPr>
        <cdr:cNvPr id="4097" name="Text 1">
          <a:extLst xmlns:a="http://schemas.openxmlformats.org/drawingml/2006/main">
            <a:ext uri="{FF2B5EF4-FFF2-40B4-BE49-F238E27FC236}">
              <a16:creationId xmlns:a16="http://schemas.microsoft.com/office/drawing/2014/main" id="{D50F83F2-7C1F-4B27-8B95-0725614D50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40732" y="1348915"/>
          <a:ext cx="571884" cy="189404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6576" rIns="36576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Book Antiqua"/>
            </a:rPr>
            <a:t>10</a:t>
          </a:r>
          <a:r>
            <a:rPr lang="en-GB" sz="1200" b="0" i="0" u="none" strike="noStrike" baseline="30000">
              <a:solidFill>
                <a:srgbClr val="000000"/>
              </a:solidFill>
              <a:latin typeface="Book Antiqua"/>
            </a:rPr>
            <a:t>-4</a:t>
          </a:r>
          <a:r>
            <a:rPr lang="en-GB" sz="1200" b="0" i="0" u="none" strike="noStrike" baseline="0">
              <a:solidFill>
                <a:srgbClr val="000000"/>
              </a:solidFill>
              <a:latin typeface="Book Antiqua"/>
            </a:rPr>
            <a:t> M EDTA</a:t>
          </a:r>
        </a:p>
      </cdr:txBody>
    </cdr:sp>
  </cdr:relSizeAnchor>
  <cdr:relSizeAnchor xmlns:cdr="http://schemas.openxmlformats.org/drawingml/2006/chartDrawing">
    <cdr:from>
      <cdr:x>0.42853</cdr:x>
      <cdr:y>0.59753</cdr:y>
    </cdr:from>
    <cdr:to>
      <cdr:x>0.57438</cdr:x>
      <cdr:y>0.65804</cdr:y>
    </cdr:to>
    <cdr:sp macro="" textlink="">
      <cdr:nvSpPr>
        <cdr:cNvPr id="4098" name="Text 2">
          <a:extLst xmlns:a="http://schemas.openxmlformats.org/drawingml/2006/main">
            <a:ext uri="{FF2B5EF4-FFF2-40B4-BE49-F238E27FC236}">
              <a16:creationId xmlns:a16="http://schemas.microsoft.com/office/drawing/2014/main" id="{06F3C1CA-089D-4FE5-AEB7-D7EC18D5573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72851" y="1900960"/>
          <a:ext cx="535305" cy="192484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6576" rIns="36576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Book Antiqua"/>
            </a:rPr>
            <a:t>10</a:t>
          </a:r>
          <a:r>
            <a:rPr lang="en-GB" sz="1200" b="0" i="0" u="none" strike="noStrike" baseline="30000">
              <a:solidFill>
                <a:srgbClr val="000000"/>
              </a:solidFill>
              <a:latin typeface="Book Antiqua"/>
            </a:rPr>
            <a:t>-6</a:t>
          </a:r>
          <a:r>
            <a:rPr lang="en-GB" sz="1200" b="0" i="0" u="none" strike="noStrike" baseline="0">
              <a:solidFill>
                <a:srgbClr val="000000"/>
              </a:solidFill>
              <a:latin typeface="Book Antiqua"/>
            </a:rPr>
            <a:t> M EDTA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0</xdr:row>
      <xdr:rowOff>69850</xdr:rowOff>
    </xdr:from>
    <xdr:to>
      <xdr:col>9</xdr:col>
      <xdr:colOff>666750</xdr:colOff>
      <xdr:row>17</xdr:row>
      <xdr:rowOff>82550</xdr:rowOff>
    </xdr:to>
    <xdr:graphicFrame macro="">
      <xdr:nvGraphicFramePr>
        <xdr:cNvPr id="5121" name="Chart 1">
          <a:extLst>
            <a:ext uri="{FF2B5EF4-FFF2-40B4-BE49-F238E27FC236}">
              <a16:creationId xmlns:a16="http://schemas.microsoft.com/office/drawing/2014/main" id="{3144CD93-B664-4D17-A671-6C9E46DA7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0.39398</cdr:x>
      <cdr:y>0.33216</cdr:y>
    </cdr:from>
    <cdr:to>
      <cdr:x>0.50073</cdr:x>
      <cdr:y>0.46726</cdr:y>
    </cdr:to>
    <cdr:sp macro="" textlink="">
      <cdr:nvSpPr>
        <cdr:cNvPr id="6145" name="Text 1">
          <a:extLst xmlns:a="http://schemas.openxmlformats.org/drawingml/2006/main">
            <a:ext uri="{FF2B5EF4-FFF2-40B4-BE49-F238E27FC236}">
              <a16:creationId xmlns:a16="http://schemas.microsoft.com/office/drawing/2014/main" id="{F3A48562-4B8E-48B1-A4FE-2AEB60C61DC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1241" y="1130554"/>
          <a:ext cx="474517" cy="459804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6576" rIns="36576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Book Antiqua"/>
            </a:rPr>
            <a:t>With</a:t>
          </a:r>
        </a:p>
        <a:p xmlns:a="http://schemas.openxmlformats.org/drawingml/2006/main">
          <a:pPr algn="ctr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Book Antiqua"/>
            </a:rPr>
            <a:t> Ca</a:t>
          </a:r>
          <a:r>
            <a:rPr lang="en-GB" sz="1200" b="0" i="0" u="none" strike="noStrike" baseline="30000">
              <a:solidFill>
                <a:srgbClr val="000000"/>
              </a:solidFill>
              <a:latin typeface="Book Antiqua"/>
            </a:rPr>
            <a:t>2+</a:t>
          </a:r>
        </a:p>
      </cdr:txBody>
    </cdr:sp>
  </cdr:relSizeAnchor>
  <cdr:relSizeAnchor xmlns:cdr="http://schemas.openxmlformats.org/drawingml/2006/chartDrawing">
    <cdr:from>
      <cdr:x>0.4614</cdr:x>
      <cdr:y>0.47114</cdr:y>
    </cdr:from>
    <cdr:to>
      <cdr:x>0.52712</cdr:x>
      <cdr:y>0.81651</cdr:y>
    </cdr:to>
    <cdr:sp macro="" textlink="">
      <cdr:nvSpPr>
        <cdr:cNvPr id="6146" name="Line 2">
          <a:extLst xmlns:a="http://schemas.openxmlformats.org/drawingml/2006/main">
            <a:ext uri="{FF2B5EF4-FFF2-40B4-BE49-F238E27FC236}">
              <a16:creationId xmlns:a16="http://schemas.microsoft.com/office/drawing/2014/main" id="{950B8393-ACEE-4E6B-A0B3-3102165F7F6A}"/>
            </a:ext>
          </a:extLst>
        </cdr:cNvPr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050936" y="1603566"/>
          <a:ext cx="292093" cy="117551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  <cdr:relSizeAnchor xmlns:cdr="http://schemas.openxmlformats.org/drawingml/2006/chartDrawing">
    <cdr:from>
      <cdr:x>0.67271</cdr:x>
      <cdr:y>0.35108</cdr:y>
    </cdr:from>
    <cdr:to>
      <cdr:x>0.77946</cdr:x>
      <cdr:y>0.48618</cdr:y>
    </cdr:to>
    <cdr:sp macro="" textlink="">
      <cdr:nvSpPr>
        <cdr:cNvPr id="6147" name="Text 3">
          <a:extLst xmlns:a="http://schemas.openxmlformats.org/drawingml/2006/main">
            <a:ext uri="{FF2B5EF4-FFF2-40B4-BE49-F238E27FC236}">
              <a16:creationId xmlns:a16="http://schemas.microsoft.com/office/drawing/2014/main" id="{3E0503DD-A656-432A-9A25-57F4A899F4A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90196" y="1194943"/>
          <a:ext cx="474516" cy="459804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6576" rIns="36576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Book Antiqua"/>
            </a:rPr>
            <a:t>No</a:t>
          </a:r>
        </a:p>
        <a:p xmlns:a="http://schemas.openxmlformats.org/drawingml/2006/main">
          <a:pPr algn="ctr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Book Antiqua"/>
            </a:rPr>
            <a:t> Ca</a:t>
          </a:r>
          <a:r>
            <a:rPr lang="en-GB" sz="1200" b="0" i="0" u="none" strike="noStrike" baseline="30000">
              <a:solidFill>
                <a:srgbClr val="000000"/>
              </a:solidFill>
              <a:latin typeface="Book Antiqua"/>
            </a:rPr>
            <a:t>2+</a:t>
          </a:r>
        </a:p>
      </cdr:txBody>
    </cdr:sp>
  </cdr:relSizeAnchor>
  <cdr:relSizeAnchor xmlns:cdr="http://schemas.openxmlformats.org/drawingml/2006/chartDrawing">
    <cdr:from>
      <cdr:x>0.6092</cdr:x>
      <cdr:y>0.48933</cdr:y>
    </cdr:from>
    <cdr:to>
      <cdr:x>0.72181</cdr:x>
      <cdr:y>0.73987</cdr:y>
    </cdr:to>
    <cdr:sp macro="" textlink="">
      <cdr:nvSpPr>
        <cdr:cNvPr id="6148" name="Line 4">
          <a:extLst xmlns:a="http://schemas.openxmlformats.org/drawingml/2006/main">
            <a:ext uri="{FF2B5EF4-FFF2-40B4-BE49-F238E27FC236}">
              <a16:creationId xmlns:a16="http://schemas.microsoft.com/office/drawing/2014/main" id="{4CDD3CE9-542A-4317-83C8-DDB09272AAC9}"/>
            </a:ext>
          </a:extLst>
        </cdr:cNvPr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2707875" y="1665478"/>
          <a:ext cx="500577" cy="85274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tabSelected="1" workbookViewId="0"/>
  </sheetViews>
  <sheetFormatPr defaultColWidth="8.83203125" defaultRowHeight="15.5" x14ac:dyDescent="0.35"/>
  <cols>
    <col min="1" max="10" width="9.58203125" customWidth="1"/>
  </cols>
  <sheetData>
    <row r="1" spans="1:21" x14ac:dyDescent="0.35">
      <c r="C1" t="s">
        <v>0</v>
      </c>
      <c r="K1" t="s">
        <v>1</v>
      </c>
      <c r="Q1" t="s">
        <v>2</v>
      </c>
    </row>
    <row r="2" spans="1:21" ht="17.5" x14ac:dyDescent="0.45">
      <c r="C2" t="s">
        <v>3</v>
      </c>
      <c r="D2" s="2">
        <f>10^-33.89</f>
        <v>1.2882495516931301E-34</v>
      </c>
      <c r="F2" t="s">
        <v>4</v>
      </c>
      <c r="G2">
        <f>10^-14</f>
        <v>1E-14</v>
      </c>
      <c r="K2" s="1" t="s">
        <v>5</v>
      </c>
      <c r="L2">
        <f>10^10.34</f>
        <v>21877616239.495541</v>
      </c>
      <c r="N2" s="1" t="s">
        <v>6</v>
      </c>
      <c r="O2">
        <f>10^16.13</f>
        <v>1.3489628825916566E+16</v>
      </c>
      <c r="Q2" s="6" t="s">
        <v>7</v>
      </c>
      <c r="R2" s="2">
        <v>1E-3</v>
      </c>
      <c r="T2" s="1" t="s">
        <v>6</v>
      </c>
      <c r="U2">
        <f>10^10.7</f>
        <v>50118723362.727272</v>
      </c>
    </row>
    <row r="3" spans="1:21" ht="17.5" x14ac:dyDescent="0.45">
      <c r="C3" s="1" t="s">
        <v>8</v>
      </c>
      <c r="D3" s="2">
        <f>10^9</f>
        <v>1000000000</v>
      </c>
      <c r="K3" s="1" t="s">
        <v>9</v>
      </c>
      <c r="L3">
        <f>10^16.58</f>
        <v>3.801893963205604E+16</v>
      </c>
      <c r="N3" s="1" t="s">
        <v>10</v>
      </c>
      <c r="O3">
        <f>10^18.7</f>
        <v>5.0118723362727178E+18</v>
      </c>
      <c r="T3" s="1" t="s">
        <v>10</v>
      </c>
      <c r="U3">
        <f>10^13.8</f>
        <v>63095734448019.523</v>
      </c>
    </row>
    <row r="4" spans="1:21" x14ac:dyDescent="0.35">
      <c r="C4" s="1" t="s">
        <v>11</v>
      </c>
      <c r="D4" s="2">
        <f>10^18.7</f>
        <v>5.0118723362727178E+18</v>
      </c>
      <c r="K4" s="1" t="s">
        <v>12</v>
      </c>
      <c r="L4">
        <f>10^19.33</f>
        <v>2.1379620895022322E+19</v>
      </c>
      <c r="N4" s="1" t="s">
        <v>13</v>
      </c>
      <c r="O4">
        <f>10^24.2</f>
        <v>1.5848931924611188E+24</v>
      </c>
    </row>
    <row r="5" spans="1:21" x14ac:dyDescent="0.35">
      <c r="C5" s="1" t="s">
        <v>14</v>
      </c>
      <c r="D5" s="2">
        <f>10^27</f>
        <v>1E+27</v>
      </c>
      <c r="K5" s="1" t="s">
        <v>15</v>
      </c>
      <c r="L5">
        <f>10^21.4</f>
        <v>2.5118864315095843E+21</v>
      </c>
    </row>
    <row r="6" spans="1:21" x14ac:dyDescent="0.35">
      <c r="C6" s="1" t="s">
        <v>16</v>
      </c>
      <c r="D6" s="2">
        <f>10^33</f>
        <v>9.9999999999999995E+32</v>
      </c>
      <c r="K6" s="1" t="s">
        <v>17</v>
      </c>
      <c r="L6">
        <f>10^23</f>
        <v>9.9999999999999992E+22</v>
      </c>
    </row>
    <row r="7" spans="1:21" x14ac:dyDescent="0.35">
      <c r="C7" s="1" t="s">
        <v>18</v>
      </c>
      <c r="D7" s="2">
        <f>10^42.1</f>
        <v>1.2589254117941797E+42</v>
      </c>
      <c r="K7" s="1" t="s">
        <v>19</v>
      </c>
      <c r="L7">
        <f>10^23.9</f>
        <v>7.9432823472428071E+23</v>
      </c>
    </row>
    <row r="8" spans="1:21" ht="17.5" x14ac:dyDescent="0.45">
      <c r="K8" t="s">
        <v>20</v>
      </c>
      <c r="L8" s="2">
        <v>9.9999999999999995E-7</v>
      </c>
    </row>
    <row r="10" spans="1:21" ht="19.5" x14ac:dyDescent="0.45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28</v>
      </c>
      <c r="I10" t="s">
        <v>29</v>
      </c>
      <c r="J10" t="s">
        <v>30</v>
      </c>
      <c r="K10" t="s">
        <v>31</v>
      </c>
      <c r="L10" t="s">
        <v>32</v>
      </c>
      <c r="M10" t="s">
        <v>33</v>
      </c>
      <c r="N10" t="s">
        <v>34</v>
      </c>
      <c r="O10" t="s">
        <v>30</v>
      </c>
      <c r="P10" t="s">
        <v>35</v>
      </c>
      <c r="Q10" t="s">
        <v>31</v>
      </c>
      <c r="R10" t="s">
        <v>32</v>
      </c>
      <c r="S10" t="s">
        <v>33</v>
      </c>
      <c r="T10" t="s">
        <v>34</v>
      </c>
      <c r="U10" t="s">
        <v>30</v>
      </c>
    </row>
    <row r="11" spans="1:21" x14ac:dyDescent="0.35">
      <c r="B11">
        <f>10^-A9</f>
        <v>1</v>
      </c>
      <c r="C11">
        <f>G2/10^-A9</f>
        <v>1E-14</v>
      </c>
      <c r="D11" s="2">
        <f>D2/C11^3</f>
        <v>128824955.169313</v>
      </c>
      <c r="E11">
        <f>D3*D11*C11</f>
        <v>1288.2495516931299</v>
      </c>
      <c r="F11">
        <f>D4*D11*C11^2</f>
        <v>6.4565422903465286E-2</v>
      </c>
      <c r="G11">
        <f>D5*D11*C11^3</f>
        <v>1.28824955169313E-7</v>
      </c>
      <c r="H11">
        <f>D6*D11*C11^4</f>
        <v>1.2882495516931299E-15</v>
      </c>
      <c r="I11">
        <f>D7*D11^3*C11^4</f>
        <v>26915348039.269173</v>
      </c>
      <c r="J11">
        <f>LOG(SUM(D11:H11)+3*I11)</f>
        <v>10.907813597523173</v>
      </c>
      <c r="K11" s="2">
        <f>$L$8/(1+$L$2*$B$11+$L$3*$B$11^2+$L$4*$B$11^3+$L$5*$B$11^4+$L$6*$B$11^5+$L$7*$B$11^6+$O$2*$D$11+$O$3*$D$11*$B$11+$O$4*$D$11*$C$11)</f>
        <v>1.5425221843423114E-33</v>
      </c>
      <c r="L11">
        <f>$O$2*$K$11*$D$11</f>
        <v>2.6805963303143634E-9</v>
      </c>
      <c r="M11">
        <f>$O$3*$K$11*$D$11*$B$11</f>
        <v>9.9593597170038381E-7</v>
      </c>
      <c r="N11">
        <f>$O$4*$D$11*$C$11*$K$11</f>
        <v>3.1494260742662248E-15</v>
      </c>
      <c r="O11">
        <f>LOG(SUM(L11:N11)+10^$J$11)</f>
        <v>10.907813597523175</v>
      </c>
      <c r="P11" s="2">
        <f>R2</f>
        <v>1E-3</v>
      </c>
      <c r="Q11" s="2">
        <f>$L$8/(1+$L$2*$B$11+$L$3*$B$11^2+$L$4*$B$11^3+$L$5*$B$11^4+$L$6*$B$11^5+$L$7*$B$11^6+$O$2*$D$11+$O$3*$D$11*$B$11+$O$4*$D$11*$C$11+U2*P11+U3*P11*B11)</f>
        <v>1.5425221843423114E-33</v>
      </c>
      <c r="R11">
        <f>$O$2*Q11*$D$11</f>
        <v>2.6805963303143634E-9</v>
      </c>
      <c r="S11">
        <f>$O$3*Q11*$D$11*$B$11</f>
        <v>9.9593597170038381E-7</v>
      </c>
      <c r="T11">
        <f>$O$4*$D$11*$C$11*Q11</f>
        <v>3.1494260742662248E-15</v>
      </c>
      <c r="U11">
        <f>LOG(SUM(R11:T11)+10^$J$11)</f>
        <v>10.907813597523175</v>
      </c>
    </row>
    <row r="12" spans="1:21" x14ac:dyDescent="0.35">
      <c r="A12">
        <v>3</v>
      </c>
      <c r="B12">
        <f t="dataTable" ref="B12:U102" dt2D="0" dtr="0" r1="A9"/>
        <v>1E-3</v>
      </c>
      <c r="C12">
        <v>9.9999999999999994E-12</v>
      </c>
      <c r="D12">
        <v>0.12882495516931303</v>
      </c>
      <c r="E12">
        <v>1.2882495516931302E-3</v>
      </c>
      <c r="F12">
        <v>6.4565422903465301E-5</v>
      </c>
      <c r="G12">
        <v>1.28824955169313E-7</v>
      </c>
      <c r="H12">
        <v>1.2882495516931301E-12</v>
      </c>
      <c r="I12">
        <v>2.691534803926919E-5</v>
      </c>
      <c r="J12">
        <v>-0.8851934437873461</v>
      </c>
      <c r="K12">
        <v>4.1918899165570898E-22</v>
      </c>
      <c r="L12">
        <v>7.2846697710190564E-7</v>
      </c>
      <c r="M12">
        <v>2.7065114522728036E-7</v>
      </c>
      <c r="N12">
        <v>8.5587407025122013E-10</v>
      </c>
      <c r="O12">
        <v>-0.88519010979349355</v>
      </c>
      <c r="P12">
        <v>1E-3</v>
      </c>
      <c r="Q12">
        <v>4.1918897176173212E-22</v>
      </c>
      <c r="R12">
        <v>7.2846694253013615E-7</v>
      </c>
      <c r="S12">
        <v>2.7065113238265003E-7</v>
      </c>
      <c r="T12">
        <v>8.5587402963293274E-10</v>
      </c>
      <c r="U12">
        <v>-0.88519010979365176</v>
      </c>
    </row>
    <row r="13" spans="1:21" x14ac:dyDescent="0.35">
      <c r="A13">
        <v>3.1</v>
      </c>
      <c r="B13">
        <v>7.9432823472428099E-4</v>
      </c>
      <c r="C13">
        <v>1.2589254117941681E-11</v>
      </c>
      <c r="D13">
        <v>6.4565422903465217E-2</v>
      </c>
      <c r="E13">
        <v>8.1283051616409569E-4</v>
      </c>
      <c r="F13">
        <v>5.1286138399136244E-5</v>
      </c>
      <c r="G13">
        <v>1.28824955169313E-7</v>
      </c>
      <c r="H13">
        <v>1.6218100973589262E-12</v>
      </c>
      <c r="I13">
        <v>8.5113803820237412E-6</v>
      </c>
      <c r="J13">
        <v>-1.1840558290455208</v>
      </c>
      <c r="K13">
        <v>8.8548299032854544E-22</v>
      </c>
      <c r="L13">
        <v>7.7122344410159307E-7</v>
      </c>
      <c r="M13">
        <v>2.2760417440540405E-7</v>
      </c>
      <c r="N13">
        <v>1.1407230653226431E-9</v>
      </c>
      <c r="O13">
        <v>-1.1840491943182749</v>
      </c>
      <c r="P13">
        <v>1E-3</v>
      </c>
      <c r="Q13">
        <v>8.8548291173436289E-22</v>
      </c>
      <c r="R13">
        <v>7.7122337564892169E-7</v>
      </c>
      <c r="S13">
        <v>2.2760415420358851E-7</v>
      </c>
      <c r="T13">
        <v>1.1407229640737226E-9</v>
      </c>
      <c r="U13">
        <v>-1.184049194318864</v>
      </c>
    </row>
    <row r="14" spans="1:21" x14ac:dyDescent="0.35">
      <c r="A14">
        <v>3.2</v>
      </c>
      <c r="B14">
        <v>6.3095734448019244E-4</v>
      </c>
      <c r="C14">
        <v>1.5848931924611156E-11</v>
      </c>
      <c r="D14">
        <v>3.2359365692962598E-2</v>
      </c>
      <c r="E14">
        <v>5.1286138399136191E-4</v>
      </c>
      <c r="F14">
        <v>4.0738027780411051E-5</v>
      </c>
      <c r="G14">
        <v>1.28824955169313E-7</v>
      </c>
      <c r="H14">
        <v>2.0417379446695259E-12</v>
      </c>
      <c r="I14">
        <v>2.6915348039268998E-6</v>
      </c>
      <c r="J14">
        <v>-1.4825247579132284</v>
      </c>
      <c r="K14">
        <v>1.8529537077683304E-21</v>
      </c>
      <c r="L14">
        <v>8.0884362984899009E-7</v>
      </c>
      <c r="M14">
        <v>1.8961145441799551E-7</v>
      </c>
      <c r="N14">
        <v>1.50613731871351E-9</v>
      </c>
      <c r="O14">
        <v>-1.4825115666729223</v>
      </c>
      <c r="P14">
        <v>1E-3</v>
      </c>
      <c r="Q14">
        <v>1.8529533990012736E-21</v>
      </c>
      <c r="R14">
        <v>8.0884349506728132E-7</v>
      </c>
      <c r="S14">
        <v>1.8961142282207897E-7</v>
      </c>
      <c r="T14">
        <v>1.5061370677382238E-9</v>
      </c>
      <c r="U14">
        <v>-1.4825115666751203</v>
      </c>
    </row>
    <row r="15" spans="1:21" x14ac:dyDescent="0.35">
      <c r="A15">
        <v>3.3</v>
      </c>
      <c r="B15">
        <v>5.0118723362727209E-4</v>
      </c>
      <c r="C15">
        <v>1.9952623149688802E-11</v>
      </c>
      <c r="D15">
        <v>1.6218100973589233E-2</v>
      </c>
      <c r="E15">
        <v>3.2359365692962702E-4</v>
      </c>
      <c r="F15">
        <v>3.235936569296268E-5</v>
      </c>
      <c r="G15">
        <v>1.28824955169313E-7</v>
      </c>
      <c r="H15">
        <v>2.5703957827688565E-12</v>
      </c>
      <c r="I15">
        <v>8.5113803820237567E-7</v>
      </c>
      <c r="J15">
        <v>-1.7805009727857395</v>
      </c>
      <c r="K15">
        <v>3.8455701233820854E-21</v>
      </c>
      <c r="L15">
        <v>8.4131907381422561E-7</v>
      </c>
      <c r="M15">
        <v>1.5666094251785813E-7</v>
      </c>
      <c r="N15">
        <v>1.9722444157135791E-9</v>
      </c>
      <c r="O15">
        <v>-1.7804747757922519</v>
      </c>
      <c r="P15">
        <v>1E-3</v>
      </c>
      <c r="Q15">
        <v>3.8455689145556846E-21</v>
      </c>
      <c r="R15">
        <v>8.413188093518247E-7</v>
      </c>
      <c r="S15">
        <v>1.5666089327265465E-7</v>
      </c>
      <c r="T15">
        <v>1.9722437957531978E-9</v>
      </c>
      <c r="U15">
        <v>-1.7804747758004864</v>
      </c>
    </row>
    <row r="16" spans="1:21" x14ac:dyDescent="0.35">
      <c r="A16">
        <v>3.4</v>
      </c>
      <c r="B16">
        <v>3.9810717055349708E-4</v>
      </c>
      <c r="C16">
        <v>2.511886431509581E-11</v>
      </c>
      <c r="D16">
        <v>8.1283051616409599E-3</v>
      </c>
      <c r="E16">
        <v>2.041737944669522E-4</v>
      </c>
      <c r="F16">
        <v>2.570395782768853E-5</v>
      </c>
      <c r="G16">
        <v>1.28824955169313E-7</v>
      </c>
      <c r="H16">
        <v>3.2359365692962739E-12</v>
      </c>
      <c r="I16">
        <v>2.6915348039269133E-7</v>
      </c>
      <c r="J16">
        <v>-2.0778394816060817</v>
      </c>
      <c r="K16">
        <v>7.9241210503439431E-21</v>
      </c>
      <c r="L16">
        <v>8.6886259553013516E-7</v>
      </c>
      <c r="M16">
        <v>1.285141953214219E-7</v>
      </c>
      <c r="N16">
        <v>2.5641953086338429E-9</v>
      </c>
      <c r="O16">
        <v>-2.0777875332046003</v>
      </c>
      <c r="P16">
        <v>1E-3</v>
      </c>
      <c r="Q16">
        <v>7.9241163260511462E-21</v>
      </c>
      <c r="R16">
        <v>8.6886207752173071E-7</v>
      </c>
      <c r="S16">
        <v>1.2851411870236426E-7</v>
      </c>
      <c r="T16">
        <v>2.5641937798826602E-9</v>
      </c>
      <c r="U16">
        <v>-2.0777875332355698</v>
      </c>
    </row>
    <row r="17" spans="1:21" x14ac:dyDescent="0.35">
      <c r="A17">
        <v>3.5</v>
      </c>
      <c r="B17">
        <v>3.1622776601683783E-4</v>
      </c>
      <c r="C17">
        <v>3.16227766016838E-11</v>
      </c>
      <c r="D17">
        <v>4.0738027780411121E-3</v>
      </c>
      <c r="E17">
        <v>1.2882495516931296E-4</v>
      </c>
      <c r="F17">
        <v>2.0417379446695206E-5</v>
      </c>
      <c r="G17">
        <v>1.28824955169313E-7</v>
      </c>
      <c r="H17">
        <v>4.0738027780411165E-12</v>
      </c>
      <c r="I17">
        <v>8.511380382023762E-8</v>
      </c>
      <c r="J17">
        <v>-2.3743347732269569</v>
      </c>
      <c r="K17">
        <v>1.6228677963178217E-20</v>
      </c>
      <c r="L17">
        <v>8.9183218694389175E-7</v>
      </c>
      <c r="M17">
        <v>1.0478114558567483E-7</v>
      </c>
      <c r="N17">
        <v>3.3134707589243168E-9</v>
      </c>
      <c r="O17">
        <v>-2.3742319631016779</v>
      </c>
      <c r="P17">
        <v>1E-3</v>
      </c>
      <c r="Q17">
        <v>1.6228659508509485E-20</v>
      </c>
      <c r="R17">
        <v>8.9183117278441358E-7</v>
      </c>
      <c r="S17">
        <v>1.047810264323257E-7</v>
      </c>
      <c r="T17">
        <v>3.3134669909645759E-9</v>
      </c>
      <c r="U17">
        <v>-2.374231963218576</v>
      </c>
    </row>
    <row r="18" spans="1:21" x14ac:dyDescent="0.35">
      <c r="A18">
        <v>3.6</v>
      </c>
      <c r="B18">
        <v>2.5118864315095774E-4</v>
      </c>
      <c r="C18">
        <v>3.9810717055349766E-11</v>
      </c>
      <c r="D18">
        <v>2.0417379446695167E-3</v>
      </c>
      <c r="E18">
        <v>8.1283051616409512E-5</v>
      </c>
      <c r="F18">
        <v>1.6218100973589217E-5</v>
      </c>
      <c r="G18">
        <v>1.28824955169313E-7</v>
      </c>
      <c r="H18">
        <v>5.128613839913638E-12</v>
      </c>
      <c r="I18">
        <v>2.6915348039269038E-8</v>
      </c>
      <c r="J18">
        <v>-2.6696981280311833</v>
      </c>
      <c r="K18">
        <v>3.3064124084402056E-20</v>
      </c>
      <c r="L18">
        <v>9.1066159603994559E-7</v>
      </c>
      <c r="M18">
        <v>8.4987885107492755E-8</v>
      </c>
      <c r="N18">
        <v>4.2594843028857031E-9</v>
      </c>
      <c r="O18">
        <v>-2.6694952002840657</v>
      </c>
      <c r="P18">
        <v>1E-3</v>
      </c>
      <c r="Q18">
        <v>3.3064051966323876E-20</v>
      </c>
      <c r="R18">
        <v>9.1065960974313603E-7</v>
      </c>
      <c r="S18">
        <v>8.498769973548874E-8</v>
      </c>
      <c r="T18">
        <v>4.2594750122775146E-9</v>
      </c>
      <c r="U18">
        <v>-2.6694952007265798</v>
      </c>
    </row>
    <row r="19" spans="1:21" x14ac:dyDescent="0.35">
      <c r="A19">
        <v>3.7</v>
      </c>
      <c r="B19">
        <v>1.9952623149688758E-4</v>
      </c>
      <c r="C19">
        <v>5.0118723362727323E-11</v>
      </c>
      <c r="D19">
        <v>1.0232929922807453E-3</v>
      </c>
      <c r="E19">
        <v>5.1286138399136142E-5</v>
      </c>
      <c r="F19">
        <v>1.2882495516931264E-5</v>
      </c>
      <c r="G19">
        <v>1.28824955169313E-7</v>
      </c>
      <c r="H19">
        <v>6.4565422903465474E-12</v>
      </c>
      <c r="I19">
        <v>8.5113803820236925E-9</v>
      </c>
      <c r="J19">
        <v>-2.9635244153934943</v>
      </c>
      <c r="K19">
        <v>6.7068584308780096E-20</v>
      </c>
      <c r="L19">
        <v>9.258041842903139E-7</v>
      </c>
      <c r="M19">
        <v>6.8630812325364831E-8</v>
      </c>
      <c r="N19">
        <v>5.4515392002100941E-9</v>
      </c>
      <c r="O19">
        <v>-2.96312533545944</v>
      </c>
      <c r="P19">
        <v>1E-3</v>
      </c>
      <c r="Q19">
        <v>6.706830223725558E-20</v>
      </c>
      <c r="R19">
        <v>9.2580029061937462E-7</v>
      </c>
      <c r="S19">
        <v>6.8630523683550471E-8</v>
      </c>
      <c r="T19">
        <v>5.4515162725758073E-9</v>
      </c>
      <c r="U19">
        <v>-2.9631253371370865</v>
      </c>
    </row>
    <row r="20" spans="1:21" x14ac:dyDescent="0.35">
      <c r="A20">
        <v>3.8</v>
      </c>
      <c r="B20">
        <v>1.584893192461112E-4</v>
      </c>
      <c r="C20">
        <v>6.3095734448019386E-11</v>
      </c>
      <c r="D20">
        <v>5.128613839913618E-4</v>
      </c>
      <c r="E20">
        <v>3.2359365692962667E-5</v>
      </c>
      <c r="F20">
        <v>1.0232929922807489E-5</v>
      </c>
      <c r="G20">
        <v>1.28824955169313E-7</v>
      </c>
      <c r="H20">
        <v>8.1283051616409735E-12</v>
      </c>
      <c r="I20">
        <v>2.6915348039269043E-9</v>
      </c>
      <c r="J20">
        <v>-3.2552451206026389</v>
      </c>
      <c r="K20">
        <v>1.3553769501931417E-19</v>
      </c>
      <c r="L20">
        <v>9.376917514132647E-7</v>
      </c>
      <c r="M20">
        <v>5.5215383849896873E-8</v>
      </c>
      <c r="N20">
        <v>6.9512049850604867E-9</v>
      </c>
      <c r="O20">
        <v>-3.2544642529849011</v>
      </c>
      <c r="P20">
        <v>1E-3</v>
      </c>
      <c r="Q20">
        <v>1.3553659061930337E-19</v>
      </c>
      <c r="R20">
        <v>9.3768411083194718E-7</v>
      </c>
      <c r="S20">
        <v>5.5214933939113678E-8</v>
      </c>
      <c r="T20">
        <v>6.9511483446486847E-9</v>
      </c>
      <c r="U20">
        <v>-3.2544642593419177</v>
      </c>
    </row>
    <row r="21" spans="1:21" x14ac:dyDescent="0.35">
      <c r="A21">
        <v>3.9</v>
      </c>
      <c r="B21">
        <v>1.2589254117941672E-4</v>
      </c>
      <c r="C21">
        <v>7.9432823472428153E-11</v>
      </c>
      <c r="D21">
        <v>2.5703957827688555E-4</v>
      </c>
      <c r="E21">
        <v>2.041737944669523E-5</v>
      </c>
      <c r="F21">
        <v>8.1283051616409593E-6</v>
      </c>
      <c r="G21">
        <v>1.28824955169313E-7</v>
      </c>
      <c r="H21">
        <v>1.023292992280751E-11</v>
      </c>
      <c r="I21">
        <v>8.5113803820237686E-10</v>
      </c>
      <c r="J21">
        <v>-3.5440644483173784</v>
      </c>
      <c r="K21">
        <v>2.7303325718842423E-19</v>
      </c>
      <c r="L21">
        <v>9.4670691666310172E-7</v>
      </c>
      <c r="M21">
        <v>4.4280809342298223E-8</v>
      </c>
      <c r="N21">
        <v>8.8351830157009929E-9</v>
      </c>
      <c r="O21">
        <v>-3.5425473522787745</v>
      </c>
      <c r="P21">
        <v>1E-3</v>
      </c>
      <c r="Q21">
        <v>2.7302892889943766E-19</v>
      </c>
      <c r="R21">
        <v>9.4669190889019113E-7</v>
      </c>
      <c r="S21">
        <v>4.4280107376019949E-8</v>
      </c>
      <c r="T21">
        <v>8.8350429550148526E-9</v>
      </c>
      <c r="U21">
        <v>-3.5425473762867457</v>
      </c>
    </row>
    <row r="22" spans="1:21" x14ac:dyDescent="0.35">
      <c r="A22">
        <v>4</v>
      </c>
      <c r="B22">
        <v>1E-4</v>
      </c>
      <c r="C22">
        <v>9.9999999999999991E-11</v>
      </c>
      <c r="D22">
        <v>1.2882495516931304E-4</v>
      </c>
      <c r="E22">
        <v>1.2882495516931303E-5</v>
      </c>
      <c r="F22">
        <v>6.4565422903465303E-6</v>
      </c>
      <c r="G22">
        <v>1.28824955169313E-7</v>
      </c>
      <c r="H22">
        <v>1.2882495516931296E-11</v>
      </c>
      <c r="I22">
        <v>2.6915348039269189E-10</v>
      </c>
      <c r="J22">
        <v>-3.8288774795950595</v>
      </c>
      <c r="K22">
        <v>5.4848989649921995E-19</v>
      </c>
      <c r="L22">
        <v>9.5316619669700311E-7</v>
      </c>
      <c r="M22">
        <v>3.541348212575005E-8</v>
      </c>
      <c r="N22">
        <v>1.1198726339503207E-8</v>
      </c>
      <c r="O22">
        <v>-3.8259593427280696</v>
      </c>
      <c r="P22">
        <v>1E-3</v>
      </c>
      <c r="Q22">
        <v>5.484729210699768E-19</v>
      </c>
      <c r="R22">
        <v>9.5313669678199601E-7</v>
      </c>
      <c r="S22">
        <v>3.5412386099982006E-8</v>
      </c>
      <c r="T22">
        <v>1.1198379745723079E-8</v>
      </c>
      <c r="U22">
        <v>-3.8259594327398978</v>
      </c>
    </row>
    <row r="23" spans="1:21" x14ac:dyDescent="0.35">
      <c r="A23">
        <v>4.0999999999999996</v>
      </c>
      <c r="B23">
        <v>7.9432823472428153E-5</v>
      </c>
      <c r="C23">
        <v>1.2589254117941672E-10</v>
      </c>
      <c r="D23">
        <v>6.4565422903465356E-5</v>
      </c>
      <c r="E23">
        <v>8.1283051616409678E-6</v>
      </c>
      <c r="F23">
        <v>5.1286138399136278E-6</v>
      </c>
      <c r="G23">
        <v>1.28824955169313E-7</v>
      </c>
      <c r="H23">
        <v>1.6218100973589247E-11</v>
      </c>
      <c r="I23">
        <v>8.5113803820237706E-11</v>
      </c>
      <c r="J23">
        <v>-4.1081758664664756</v>
      </c>
      <c r="K23">
        <v>1.0991396727184303E-18</v>
      </c>
      <c r="L23">
        <v>9.5731063521399468E-7</v>
      </c>
      <c r="M23">
        <v>2.825223979429391E-8</v>
      </c>
      <c r="N23">
        <v>1.4159661906276561E-8</v>
      </c>
      <c r="O23">
        <v>-4.1026414794195238</v>
      </c>
      <c r="P23">
        <v>1E-3</v>
      </c>
      <c r="Q23">
        <v>1.0990730730393001E-18</v>
      </c>
      <c r="R23">
        <v>9.5725262931836954E-7</v>
      </c>
      <c r="S23">
        <v>2.8250527918950211E-8</v>
      </c>
      <c r="T23">
        <v>1.4158803936208738E-8</v>
      </c>
      <c r="U23">
        <v>-4.1026418126346389</v>
      </c>
    </row>
    <row r="24" spans="1:21" x14ac:dyDescent="0.35">
      <c r="A24">
        <v>4.2</v>
      </c>
      <c r="B24">
        <v>6.3095734448019279E-5</v>
      </c>
      <c r="C24">
        <v>1.5848931924611148E-10</v>
      </c>
      <c r="D24">
        <v>3.2359365692962646E-5</v>
      </c>
      <c r="E24">
        <v>5.1286138399136235E-6</v>
      </c>
      <c r="F24">
        <v>4.0738027780411069E-6</v>
      </c>
      <c r="G24">
        <v>1.28824955169313E-7</v>
      </c>
      <c r="H24">
        <v>2.0417379446695242E-11</v>
      </c>
      <c r="I24">
        <v>2.6915348039269061E-11</v>
      </c>
      <c r="J24">
        <v>-4.3799607250604842</v>
      </c>
      <c r="K24">
        <v>2.1976321152598875E-18</v>
      </c>
      <c r="L24">
        <v>9.593012117503828E-7</v>
      </c>
      <c r="M24">
        <v>2.2488215431565571E-8</v>
      </c>
      <c r="N24">
        <v>1.7863024465854933E-8</v>
      </c>
      <c r="O24">
        <v>-4.3696701738905226</v>
      </c>
      <c r="P24">
        <v>1E-3</v>
      </c>
      <c r="Q24">
        <v>2.1973708666577991E-18</v>
      </c>
      <c r="R24">
        <v>9.5918717259942077E-7</v>
      </c>
      <c r="S24">
        <v>2.2485542092927965E-8</v>
      </c>
      <c r="T24">
        <v>1.7860900957494105E-8</v>
      </c>
      <c r="U24">
        <v>-4.3696713828259579</v>
      </c>
    </row>
    <row r="25" spans="1:21" x14ac:dyDescent="0.35">
      <c r="A25">
        <v>4.3</v>
      </c>
      <c r="B25">
        <v>5.0118723362727238E-5</v>
      </c>
      <c r="C25">
        <v>1.9952623149688792E-10</v>
      </c>
      <c r="D25">
        <v>1.6218100973589261E-5</v>
      </c>
      <c r="E25">
        <v>3.2359365692962741E-6</v>
      </c>
      <c r="F25">
        <v>3.2359365692962707E-6</v>
      </c>
      <c r="G25">
        <v>1.28824955169313E-7</v>
      </c>
      <c r="H25">
        <v>2.5703957827688555E-11</v>
      </c>
      <c r="I25">
        <v>8.5113803820237823E-12</v>
      </c>
      <c r="J25">
        <v>-4.6417062406617609</v>
      </c>
      <c r="K25">
        <v>4.3844672289259063E-18</v>
      </c>
      <c r="L25">
        <v>9.5921691449085327E-7</v>
      </c>
      <c r="M25">
        <v>1.786145477742858E-8</v>
      </c>
      <c r="N25">
        <v>2.2486239310917264E-8</v>
      </c>
      <c r="O25">
        <v>-4.6230871436507144</v>
      </c>
      <c r="P25">
        <v>1E-3</v>
      </c>
      <c r="Q25">
        <v>4.3834432180031278E-18</v>
      </c>
      <c r="R25">
        <v>9.5899288531091739E-7</v>
      </c>
      <c r="S25">
        <v>1.7857283158886625E-8</v>
      </c>
      <c r="T25">
        <v>2.2480987554326479E-8</v>
      </c>
      <c r="U25">
        <v>-4.6230914003425925</v>
      </c>
    </row>
    <row r="26" spans="1:21" x14ac:dyDescent="0.35">
      <c r="A26">
        <v>4.4000000000000004</v>
      </c>
      <c r="B26">
        <v>3.9810717055349634E-5</v>
      </c>
      <c r="C26">
        <v>2.5118864315095861E-10</v>
      </c>
      <c r="D26">
        <v>8.1283051616409102E-6</v>
      </c>
      <c r="E26">
        <v>2.0417379446695138E-6</v>
      </c>
      <c r="F26">
        <v>2.5703957827688473E-6</v>
      </c>
      <c r="G26">
        <v>1.2882495516931303E-7</v>
      </c>
      <c r="H26">
        <v>3.2359365692962804E-11</v>
      </c>
      <c r="I26">
        <v>2.691534803926886E-12</v>
      </c>
      <c r="J26">
        <v>-4.8904449306634117</v>
      </c>
      <c r="K26">
        <v>8.7284370573590126E-18</v>
      </c>
      <c r="L26">
        <v>9.5705409198022647E-7</v>
      </c>
      <c r="M26">
        <v>1.4155867353786523E-8</v>
      </c>
      <c r="N26">
        <v>2.8244668666708741E-8</v>
      </c>
      <c r="O26">
        <v>-4.8579624015292291</v>
      </c>
      <c r="P26">
        <v>1E-3</v>
      </c>
      <c r="Q26">
        <v>8.724429203204763E-18</v>
      </c>
      <c r="R26">
        <v>9.5661463951088086E-7</v>
      </c>
      <c r="S26">
        <v>1.4149367375450419E-8</v>
      </c>
      <c r="T26">
        <v>2.8231699504886599E-8</v>
      </c>
      <c r="U26">
        <v>-4.8579767727084837</v>
      </c>
    </row>
    <row r="27" spans="1:21" x14ac:dyDescent="0.35">
      <c r="A27">
        <v>4.5</v>
      </c>
      <c r="B27">
        <v>3.1622776601683748E-5</v>
      </c>
      <c r="C27">
        <v>3.1622776601683837E-10</v>
      </c>
      <c r="D27">
        <v>4.0738027780410984E-6</v>
      </c>
      <c r="E27">
        <v>1.2882495516931265E-6</v>
      </c>
      <c r="F27">
        <v>2.0417379446695184E-6</v>
      </c>
      <c r="G27">
        <v>1.28824955169313E-7</v>
      </c>
      <c r="H27">
        <v>4.0738027780411205E-11</v>
      </c>
      <c r="I27">
        <v>8.5113803820237148E-13</v>
      </c>
      <c r="J27">
        <v>-5.1230517200492081</v>
      </c>
      <c r="K27">
        <v>1.7336770727730836E-17</v>
      </c>
      <c r="L27">
        <v>9.5272641355864427E-7</v>
      </c>
      <c r="M27">
        <v>1.119355933816353E-8</v>
      </c>
      <c r="N27">
        <v>3.5397142632843933E-8</v>
      </c>
      <c r="O27">
        <v>-5.0689503933690396</v>
      </c>
      <c r="P27">
        <v>1E-3</v>
      </c>
      <c r="Q27">
        <v>1.7321121298656018E-17</v>
      </c>
      <c r="R27">
        <v>9.5186641346572939E-7</v>
      </c>
      <c r="S27">
        <v>1.1183455218099398E-8</v>
      </c>
      <c r="T27">
        <v>3.536519059968946E-8</v>
      </c>
      <c r="U27">
        <v>-5.0689963122485375</v>
      </c>
    </row>
    <row r="28" spans="1:21" x14ac:dyDescent="0.35">
      <c r="A28">
        <v>4.5999999999999996</v>
      </c>
      <c r="B28">
        <v>2.5118864315095791E-5</v>
      </c>
      <c r="C28">
        <v>3.981071705534974E-10</v>
      </c>
      <c r="D28">
        <v>2.041737944669521E-6</v>
      </c>
      <c r="E28">
        <v>8.1283051616409614E-7</v>
      </c>
      <c r="F28">
        <v>1.6218100973589228E-6</v>
      </c>
      <c r="G28">
        <v>1.28824955169313E-7</v>
      </c>
      <c r="H28">
        <v>5.1286138399136344E-11</v>
      </c>
      <c r="I28">
        <v>2.6915348039269132E-13</v>
      </c>
      <c r="J28">
        <v>-5.3367462600139657</v>
      </c>
      <c r="K28">
        <v>3.4349560642900393E-17</v>
      </c>
      <c r="L28">
        <v>9.4606545869731086E-7</v>
      </c>
      <c r="M28">
        <v>8.8291965816474023E-9</v>
      </c>
      <c r="N28">
        <v>4.4250806099072528E-8</v>
      </c>
      <c r="O28">
        <v>-5.2514707928127926</v>
      </c>
      <c r="P28">
        <v>1E-3</v>
      </c>
      <c r="Q28">
        <v>3.4288664095055469E-17</v>
      </c>
      <c r="R28">
        <v>9.4438822849722399E-7</v>
      </c>
      <c r="S28">
        <v>8.8135437586708262E-9</v>
      </c>
      <c r="T28">
        <v>4.4172356148611647E-8</v>
      </c>
      <c r="U28">
        <v>-5.2516080780859209</v>
      </c>
    </row>
    <row r="29" spans="1:21" x14ac:dyDescent="0.35">
      <c r="A29">
        <v>4.7</v>
      </c>
      <c r="B29">
        <v>1.9952623149688769E-5</v>
      </c>
      <c r="C29">
        <v>5.0118723362727298E-10</v>
      </c>
      <c r="D29">
        <v>1.0232929922807467E-6</v>
      </c>
      <c r="E29">
        <v>5.1286138399136184E-7</v>
      </c>
      <c r="F29">
        <v>1.2882495516931269E-6</v>
      </c>
      <c r="G29">
        <v>1.28824955169313E-7</v>
      </c>
      <c r="H29">
        <v>6.4565422903465441E-11</v>
      </c>
      <c r="I29">
        <v>8.5113803820237115E-14</v>
      </c>
      <c r="J29">
        <v>-5.5296933604715006</v>
      </c>
      <c r="K29">
        <v>6.7866801404121816E-17</v>
      </c>
      <c r="L29">
        <v>9.368226474717826E-7</v>
      </c>
      <c r="M29">
        <v>6.9447622285346844E-9</v>
      </c>
      <c r="N29">
        <v>5.5164207215718619E-8</v>
      </c>
      <c r="O29">
        <v>-5.4031583037612601</v>
      </c>
      <c r="P29">
        <v>1E-3</v>
      </c>
      <c r="Q29">
        <v>6.7630983210752912E-17</v>
      </c>
      <c r="R29">
        <v>9.335674502374475E-7</v>
      </c>
      <c r="S29">
        <v>6.9206311180620125E-9</v>
      </c>
      <c r="T29">
        <v>5.4972526991881689E-8</v>
      </c>
      <c r="U29">
        <v>-5.4035398868142455</v>
      </c>
    </row>
    <row r="30" spans="1:21" x14ac:dyDescent="0.35">
      <c r="A30">
        <v>4.8</v>
      </c>
      <c r="B30">
        <v>1.5848931924611131E-5</v>
      </c>
      <c r="C30">
        <v>6.3095734448019342E-10</v>
      </c>
      <c r="D30">
        <v>5.128613839913628E-7</v>
      </c>
      <c r="E30">
        <v>3.2359365692962705E-7</v>
      </c>
      <c r="F30">
        <v>1.0232929922807497E-6</v>
      </c>
      <c r="G30">
        <v>1.2882495516931298E-7</v>
      </c>
      <c r="H30">
        <v>8.128305161640968E-11</v>
      </c>
      <c r="I30">
        <v>2.6915348039269125E-14</v>
      </c>
      <c r="J30">
        <v>-5.7014406950005583</v>
      </c>
      <c r="K30">
        <v>1.3365604930263282E-16</v>
      </c>
      <c r="L30">
        <v>9.2467394358229538E-7</v>
      </c>
      <c r="M30">
        <v>5.4448838495106461E-9</v>
      </c>
      <c r="N30">
        <v>6.8547026424166333E-8</v>
      </c>
      <c r="O30">
        <v>-5.5247182235772181</v>
      </c>
      <c r="P30">
        <v>1E-3</v>
      </c>
      <c r="Q30">
        <v>1.3274906433789692E-16</v>
      </c>
      <c r="R30">
        <v>9.1839914069467429E-7</v>
      </c>
      <c r="S30">
        <v>5.4079350708208196E-9</v>
      </c>
      <c r="T30">
        <v>6.808186885989252E-8</v>
      </c>
      <c r="U30">
        <v>-5.5257045650198124</v>
      </c>
    </row>
    <row r="31" spans="1:21" x14ac:dyDescent="0.35">
      <c r="A31">
        <v>4.9000000000000004</v>
      </c>
      <c r="B31">
        <v>1.2589254117941658E-5</v>
      </c>
      <c r="C31">
        <v>7.9432823472428238E-10</v>
      </c>
      <c r="D31">
        <v>2.5703957827688478E-7</v>
      </c>
      <c r="E31">
        <v>2.0417379446695188E-7</v>
      </c>
      <c r="F31">
        <v>8.1283051616409519E-7</v>
      </c>
      <c r="G31">
        <v>1.28824955169313E-7</v>
      </c>
      <c r="H31">
        <v>1.023292992280752E-10</v>
      </c>
      <c r="I31">
        <v>8.5113803820237254E-15</v>
      </c>
      <c r="J31">
        <v>-5.8529512443548048</v>
      </c>
      <c r="K31">
        <v>2.6222465078250377E-16</v>
      </c>
      <c r="L31">
        <v>9.0922949523339979E-7</v>
      </c>
      <c r="M31">
        <v>4.2527858641548028E-9</v>
      </c>
      <c r="N31">
        <v>8.4854233683804945E-8</v>
      </c>
      <c r="O31">
        <v>-5.6195521840514386</v>
      </c>
      <c r="P31">
        <v>1E-3</v>
      </c>
      <c r="Q31">
        <v>2.5876990252655664E-16</v>
      </c>
      <c r="R31">
        <v>8.9725060993966506E-7</v>
      </c>
      <c r="S31">
        <v>4.1967564081015206E-9</v>
      </c>
      <c r="T31">
        <v>8.373629906189176E-8</v>
      </c>
      <c r="U31">
        <v>-5.6219375140003747</v>
      </c>
    </row>
    <row r="32" spans="1:21" x14ac:dyDescent="0.35">
      <c r="A32">
        <v>5</v>
      </c>
      <c r="B32">
        <v>1.0000000000000001E-5</v>
      </c>
      <c r="C32">
        <v>9.9999999999999986E-10</v>
      </c>
      <c r="D32">
        <v>1.2882495516931306E-7</v>
      </c>
      <c r="E32">
        <v>1.2882495516931303E-7</v>
      </c>
      <c r="F32">
        <v>6.4565422903465297E-7</v>
      </c>
      <c r="G32">
        <v>1.28824955169313E-7</v>
      </c>
      <c r="H32">
        <v>1.2882495516931296E-10</v>
      </c>
      <c r="I32">
        <v>2.6915348039269193E-15</v>
      </c>
      <c r="J32">
        <v>-5.9862117731297309</v>
      </c>
      <c r="K32">
        <v>5.1217091164443394E-16</v>
      </c>
      <c r="L32">
        <v>8.9005103471702006E-7</v>
      </c>
      <c r="M32">
        <v>3.3068531509176247E-9</v>
      </c>
      <c r="N32">
        <v>1.0457187844604264E-7</v>
      </c>
      <c r="O32">
        <v>-5.6924638090567647</v>
      </c>
      <c r="P32">
        <v>1E-3</v>
      </c>
      <c r="Q32">
        <v>4.9919556579207829E-16</v>
      </c>
      <c r="R32">
        <v>8.6750246794148666E-7</v>
      </c>
      <c r="S32">
        <v>3.2230772816900175E-9</v>
      </c>
      <c r="T32">
        <v>1.0192265284884614E-7</v>
      </c>
      <c r="U32">
        <v>-5.6979059572428374</v>
      </c>
    </row>
    <row r="33" spans="1:21" x14ac:dyDescent="0.35">
      <c r="A33">
        <v>5.0999999999999996</v>
      </c>
      <c r="B33">
        <v>7.9432823472428065E-6</v>
      </c>
      <c r="C33">
        <v>1.2589254117941685E-9</v>
      </c>
      <c r="D33">
        <v>6.4565422903465146E-8</v>
      </c>
      <c r="E33">
        <v>8.12830516164095E-8</v>
      </c>
      <c r="F33">
        <v>5.1286138399136227E-7</v>
      </c>
      <c r="G33">
        <v>1.28824955169313E-7</v>
      </c>
      <c r="H33">
        <v>1.6218100973589266E-10</v>
      </c>
      <c r="I33">
        <v>8.5113803820237268E-16</v>
      </c>
      <c r="J33">
        <v>-6.1036408100886081</v>
      </c>
      <c r="K33">
        <v>9.9508202589929258E-16</v>
      </c>
      <c r="L33">
        <v>8.6668021357801391E-7</v>
      </c>
      <c r="M33">
        <v>2.5577546428806178E-9</v>
      </c>
      <c r="N33">
        <v>1.2819139737626569E-7</v>
      </c>
      <c r="O33">
        <v>-5.7483310362788904</v>
      </c>
      <c r="P33">
        <v>1E-3</v>
      </c>
      <c r="Q33">
        <v>9.4736246599962169E-16</v>
      </c>
      <c r="R33">
        <v>8.2511821437667253E-7</v>
      </c>
      <c r="S33">
        <v>2.4350964873589185E-9</v>
      </c>
      <c r="T33">
        <v>1.2204392721149124E-7</v>
      </c>
      <c r="U33">
        <v>-5.7601266214182845</v>
      </c>
    </row>
    <row r="34" spans="1:21" x14ac:dyDescent="0.35">
      <c r="A34">
        <v>5.2</v>
      </c>
      <c r="B34">
        <v>6.3095734448019212E-6</v>
      </c>
      <c r="C34">
        <v>1.5848931924611163E-9</v>
      </c>
      <c r="D34">
        <v>3.2359365692962557E-8</v>
      </c>
      <c r="E34">
        <v>5.128613839913615E-8</v>
      </c>
      <c r="F34">
        <v>4.0738027780411038E-7</v>
      </c>
      <c r="G34">
        <v>1.28824955169313E-7</v>
      </c>
      <c r="H34">
        <v>2.0417379446695269E-10</v>
      </c>
      <c r="I34">
        <v>2.6915348039268945E-16</v>
      </c>
      <c r="J34">
        <v>-6.2075698479563268</v>
      </c>
      <c r="K34">
        <v>1.921306543203409E-15</v>
      </c>
      <c r="L34">
        <v>8.3868072469490728E-7</v>
      </c>
      <c r="M34">
        <v>1.9660595216831865E-9</v>
      </c>
      <c r="N34">
        <v>1.5616965892214834E-7</v>
      </c>
      <c r="O34">
        <v>-5.7913245330437295</v>
      </c>
      <c r="P34">
        <v>1E-3</v>
      </c>
      <c r="Q34">
        <v>1.7513258077088542E-15</v>
      </c>
      <c r="R34">
        <v>7.6448144247570669E-7</v>
      </c>
      <c r="S34">
        <v>1.7921194262288823E-9</v>
      </c>
      <c r="T34">
        <v>1.4235310602514917E-7</v>
      </c>
      <c r="U34">
        <v>-5.8156829675808508</v>
      </c>
    </row>
    <row r="35" spans="1:21" x14ac:dyDescent="0.35">
      <c r="A35">
        <v>5.3</v>
      </c>
      <c r="B35">
        <v>5.011872336272719E-6</v>
      </c>
      <c r="C35">
        <v>1.9952623149688811E-9</v>
      </c>
      <c r="D35">
        <v>1.6218100973589214E-8</v>
      </c>
      <c r="E35">
        <v>3.2359365692962676E-8</v>
      </c>
      <c r="F35">
        <v>3.2359365692962668E-7</v>
      </c>
      <c r="G35">
        <v>1.2882495516931303E-7</v>
      </c>
      <c r="H35">
        <v>2.5703957827688571E-10</v>
      </c>
      <c r="I35">
        <v>8.5113803820237386E-17</v>
      </c>
      <c r="J35">
        <v>-6.2999429123544619</v>
      </c>
      <c r="K35">
        <v>3.6827391573093656E-15</v>
      </c>
      <c r="L35">
        <v>8.0569553993777197E-7</v>
      </c>
      <c r="M35">
        <v>1.5002753009847627E-9</v>
      </c>
      <c r="N35">
        <v>1.8887347010968718E-7</v>
      </c>
      <c r="O35">
        <v>-5.8246846771586869</v>
      </c>
      <c r="P35">
        <v>1E-3</v>
      </c>
      <c r="Q35">
        <v>3.1058604578767886E-15</v>
      </c>
      <c r="R35">
        <v>6.7948823190852033E-7</v>
      </c>
      <c r="S35">
        <v>1.2652662961506459E-9</v>
      </c>
      <c r="T35">
        <v>1.592875892910742E-7</v>
      </c>
      <c r="U35">
        <v>-5.8724759514031115</v>
      </c>
    </row>
    <row r="36" spans="1:21" x14ac:dyDescent="0.35">
      <c r="A36">
        <v>5.4</v>
      </c>
      <c r="B36">
        <v>3.9810717055349657E-6</v>
      </c>
      <c r="C36">
        <v>2.5118864315095845E-9</v>
      </c>
      <c r="D36">
        <v>8.1283051616409249E-9</v>
      </c>
      <c r="E36">
        <v>2.0417379446695161E-8</v>
      </c>
      <c r="F36">
        <v>2.5703957827688489E-7</v>
      </c>
      <c r="G36">
        <v>1.28824955169313E-7</v>
      </c>
      <c r="H36">
        <v>3.2359365692962782E-10</v>
      </c>
      <c r="I36">
        <v>2.6915348039268943E-17</v>
      </c>
      <c r="J36">
        <v>-6.3822305566876221</v>
      </c>
      <c r="K36">
        <v>6.9998417336331094E-15</v>
      </c>
      <c r="L36">
        <v>7.6751738373817695E-7</v>
      </c>
      <c r="M36">
        <v>1.1352414003520488E-9</v>
      </c>
      <c r="N36">
        <v>2.2651043845149594E-7</v>
      </c>
      <c r="O36">
        <v>-5.8508126519476846</v>
      </c>
      <c r="P36">
        <v>1E-3</v>
      </c>
      <c r="Q36">
        <v>5.1751722082005282E-15</v>
      </c>
      <c r="R36">
        <v>5.6744634875780242E-7</v>
      </c>
      <c r="S36">
        <v>8.3931465428308362E-10</v>
      </c>
      <c r="T36">
        <v>1.674652900092183E-7</v>
      </c>
      <c r="U36">
        <v>-5.9391191279101676</v>
      </c>
    </row>
    <row r="37" spans="1:21" x14ac:dyDescent="0.35">
      <c r="A37">
        <v>5.5</v>
      </c>
      <c r="B37">
        <v>3.1622776601683767E-6</v>
      </c>
      <c r="C37">
        <v>3.162277660168382E-9</v>
      </c>
      <c r="D37">
        <v>4.0738027780411041E-9</v>
      </c>
      <c r="E37">
        <v>1.2882495516931277E-8</v>
      </c>
      <c r="F37">
        <v>2.0417379446695193E-7</v>
      </c>
      <c r="G37">
        <v>1.28824955169313E-7</v>
      </c>
      <c r="H37">
        <v>4.073802778041118E-10</v>
      </c>
      <c r="I37">
        <v>8.5113803820237334E-18</v>
      </c>
      <c r="J37">
        <v>-6.4554824723820134</v>
      </c>
      <c r="K37">
        <v>1.3177646974930956E-14</v>
      </c>
      <c r="L37">
        <v>7.2416556339908148E-7</v>
      </c>
      <c r="M37">
        <v>8.5082034980898432E-10</v>
      </c>
      <c r="N37">
        <v>2.6905301850176133E-7</v>
      </c>
      <c r="O37">
        <v>-5.8714612138160351</v>
      </c>
      <c r="P37">
        <v>1E-3</v>
      </c>
      <c r="Q37">
        <v>7.9236582984949388E-15</v>
      </c>
      <c r="R37">
        <v>4.3543741055041118E-7</v>
      </c>
      <c r="S37">
        <v>5.1159434898487612E-10</v>
      </c>
      <c r="T37">
        <v>1.6178033808632694E-7</v>
      </c>
      <c r="U37">
        <v>-6.0231496227826318</v>
      </c>
    </row>
    <row r="38" spans="1:21" x14ac:dyDescent="0.35">
      <c r="A38">
        <v>5.6</v>
      </c>
      <c r="B38">
        <v>2.5118864315095806E-6</v>
      </c>
      <c r="C38">
        <v>3.9810717055349714E-9</v>
      </c>
      <c r="D38">
        <v>2.0417379446695247E-9</v>
      </c>
      <c r="E38">
        <v>8.1283051616409712E-9</v>
      </c>
      <c r="F38">
        <v>1.6218100973589237E-7</v>
      </c>
      <c r="G38">
        <v>1.28824955169313E-7</v>
      </c>
      <c r="H38">
        <v>5.1286138399136304E-10</v>
      </c>
      <c r="I38">
        <v>2.6915348039269212E-18</v>
      </c>
      <c r="J38">
        <v>-6.5204407125156854</v>
      </c>
      <c r="K38">
        <v>2.454248884330585E-14</v>
      </c>
      <c r="L38">
        <v>6.7595627223589682E-7</v>
      </c>
      <c r="M38">
        <v>6.3083909821485044E-10</v>
      </c>
      <c r="N38">
        <v>3.1616850249822528E-7</v>
      </c>
      <c r="O38">
        <v>-5.8879165710624966</v>
      </c>
      <c r="P38">
        <v>1E-3</v>
      </c>
      <c r="Q38">
        <v>1.0986249152991109E-14</v>
      </c>
      <c r="R38">
        <v>3.0258642759192729E-7</v>
      </c>
      <c r="S38">
        <v>2.8239008491296262E-10</v>
      </c>
      <c r="T38">
        <v>1.4153030546129879E-7</v>
      </c>
      <c r="U38">
        <v>-6.1272099494418919</v>
      </c>
    </row>
    <row r="39" spans="1:21" x14ac:dyDescent="0.35">
      <c r="A39">
        <v>5.7</v>
      </c>
      <c r="B39">
        <v>1.9952623149688749E-6</v>
      </c>
      <c r="C39">
        <v>5.0118723362727346E-9</v>
      </c>
      <c r="D39">
        <v>1.0232929922807439E-9</v>
      </c>
      <c r="E39">
        <v>5.1286138399136095E-9</v>
      </c>
      <c r="F39">
        <v>1.2882495516931258E-7</v>
      </c>
      <c r="G39">
        <v>1.2882495516931303E-7</v>
      </c>
      <c r="H39">
        <v>6.4565422903465506E-10</v>
      </c>
      <c r="I39">
        <v>8.5113803820236723E-19</v>
      </c>
      <c r="J39">
        <v>-6.5776605812682956</v>
      </c>
      <c r="K39">
        <v>4.5172098062117425E-14</v>
      </c>
      <c r="L39">
        <v>6.2354853364044873E-7</v>
      </c>
      <c r="M39">
        <v>4.6224291393583179E-10</v>
      </c>
      <c r="N39">
        <v>3.6717259784046058E-7</v>
      </c>
      <c r="O39">
        <v>-5.9011380239731182</v>
      </c>
      <c r="P39">
        <v>1E-3</v>
      </c>
      <c r="Q39">
        <v>1.3815556068147728E-14</v>
      </c>
      <c r="R39">
        <v>1.9070776203209876E-7</v>
      </c>
      <c r="S39">
        <v>1.4137361708997232E-10</v>
      </c>
      <c r="T39">
        <v>1.1229705569966523E-7</v>
      </c>
      <c r="U39">
        <v>-6.2459624621354974</v>
      </c>
    </row>
    <row r="40" spans="1:21" x14ac:dyDescent="0.35">
      <c r="A40">
        <v>5.8</v>
      </c>
      <c r="B40">
        <v>1.5848931924611111E-6</v>
      </c>
      <c r="C40">
        <v>6.309573444801942E-9</v>
      </c>
      <c r="D40">
        <v>5.1286138399136098E-10</v>
      </c>
      <c r="E40">
        <v>3.235936569296263E-9</v>
      </c>
      <c r="F40">
        <v>1.0232929922807483E-7</v>
      </c>
      <c r="G40">
        <v>1.28824955169313E-7</v>
      </c>
      <c r="H40">
        <v>8.1283051616409789E-10</v>
      </c>
      <c r="I40">
        <v>2.6915348039268969E-19</v>
      </c>
      <c r="J40">
        <v>-6.6276111531168409</v>
      </c>
      <c r="K40">
        <v>8.2093337919782475E-14</v>
      </c>
      <c r="L40">
        <v>5.6794713679019152E-7</v>
      </c>
      <c r="M40">
        <v>3.3443206807627549E-10</v>
      </c>
      <c r="N40">
        <v>4.2102502902010319E-7</v>
      </c>
      <c r="O40">
        <v>-5.9118559413611962</v>
      </c>
      <c r="P40">
        <v>1E-3</v>
      </c>
      <c r="Q40">
        <v>1.6025646216535462E-14</v>
      </c>
      <c r="R40">
        <v>1.108703838158905E-7</v>
      </c>
      <c r="S40">
        <v>6.5285322076825785E-11</v>
      </c>
      <c r="T40">
        <v>8.2189350979683344E-8</v>
      </c>
      <c r="U40">
        <v>-6.3677037981902496</v>
      </c>
    </row>
    <row r="41" spans="1:21" x14ac:dyDescent="0.35">
      <c r="A41">
        <v>5.9</v>
      </c>
      <c r="B41">
        <v>1.2589254117941642E-6</v>
      </c>
      <c r="C41">
        <v>7.9432823472428335E-9</v>
      </c>
      <c r="D41">
        <v>2.570395782768838E-10</v>
      </c>
      <c r="E41">
        <v>2.0417379446695135E-9</v>
      </c>
      <c r="F41">
        <v>8.1283051616409408E-8</v>
      </c>
      <c r="G41">
        <v>1.28824955169313E-7</v>
      </c>
      <c r="H41">
        <v>1.0232929922807534E-9</v>
      </c>
      <c r="I41">
        <v>8.5113803820236723E-20</v>
      </c>
      <c r="J41">
        <v>-6.6707443783253213</v>
      </c>
      <c r="K41">
        <v>1.4721537422406746E-13</v>
      </c>
      <c r="L41">
        <v>5.1044995196643553E-7</v>
      </c>
      <c r="M41">
        <v>2.3875538040306294E-10</v>
      </c>
      <c r="N41">
        <v>4.7637961301429512E-7</v>
      </c>
      <c r="O41">
        <v>-5.9206384152711511</v>
      </c>
      <c r="P41">
        <v>1E-3</v>
      </c>
      <c r="Q41">
        <v>1.7546653267174748E-14</v>
      </c>
      <c r="R41">
        <v>6.0840712898427488E-8</v>
      </c>
      <c r="S41">
        <v>2.8457339443559683E-11</v>
      </c>
      <c r="T41">
        <v>5.677985697601261E-8</v>
      </c>
      <c r="U41">
        <v>-6.4800682281279007</v>
      </c>
    </row>
    <row r="42" spans="1:21" x14ac:dyDescent="0.35">
      <c r="A42">
        <v>6</v>
      </c>
      <c r="B42">
        <v>9.9999999999999995E-7</v>
      </c>
      <c r="C42">
        <v>1E-8</v>
      </c>
      <c r="D42">
        <v>1.2882495516931299E-10</v>
      </c>
      <c r="E42">
        <v>1.28824955169313E-9</v>
      </c>
      <c r="F42">
        <v>6.4565422903465291E-8</v>
      </c>
      <c r="G42">
        <v>1.28824955169313E-7</v>
      </c>
      <c r="H42">
        <v>1.28824955169313E-9</v>
      </c>
      <c r="I42">
        <v>2.6915348039269176E-20</v>
      </c>
      <c r="J42">
        <v>-6.7075319247466227</v>
      </c>
      <c r="K42">
        <v>2.6040965692341883E-13</v>
      </c>
      <c r="L42">
        <v>4.5254011761585738E-7</v>
      </c>
      <c r="M42">
        <v>1.6813459627406839E-10</v>
      </c>
      <c r="N42">
        <v>5.316882776989185E-7</v>
      </c>
      <c r="O42">
        <v>-5.9279368663507714</v>
      </c>
      <c r="P42">
        <v>1E-3</v>
      </c>
      <c r="Q42">
        <v>1.8511003578002936E-14</v>
      </c>
      <c r="R42">
        <v>3.2168437358836122E-8</v>
      </c>
      <c r="S42">
        <v>1.1951707743813185E-11</v>
      </c>
      <c r="T42">
        <v>3.779461839912203E-8</v>
      </c>
      <c r="U42">
        <v>-6.5750029321396921</v>
      </c>
    </row>
    <row r="43" spans="1:21" x14ac:dyDescent="0.35">
      <c r="A43">
        <v>6.1</v>
      </c>
      <c r="B43">
        <v>7.9432823472428114E-7</v>
      </c>
      <c r="C43">
        <v>1.2589254117941678E-8</v>
      </c>
      <c r="D43">
        <v>6.4565422903465273E-11</v>
      </c>
      <c r="E43">
        <v>8.1283051616409613E-10</v>
      </c>
      <c r="F43">
        <v>5.1286138399136249E-8</v>
      </c>
      <c r="G43">
        <v>1.28824955169313E-7</v>
      </c>
      <c r="H43">
        <v>1.6218100973589255E-9</v>
      </c>
      <c r="I43">
        <v>8.5113803820237524E-21</v>
      </c>
      <c r="J43">
        <v>-6.7384747309888668</v>
      </c>
      <c r="K43">
        <v>4.5437026694674694E-13</v>
      </c>
      <c r="L43">
        <v>3.9573995886924059E-7</v>
      </c>
      <c r="M43">
        <v>1.1679114179754746E-10</v>
      </c>
      <c r="N43">
        <v>5.8534229269683603E-7</v>
      </c>
      <c r="O43">
        <v>-5.9341181608918765</v>
      </c>
      <c r="P43">
        <v>1E-3</v>
      </c>
      <c r="Q43">
        <v>1.909501457562045E-14</v>
      </c>
      <c r="R43">
        <v>1.6631062445046038E-8</v>
      </c>
      <c r="S43">
        <v>4.90817449370845E-12</v>
      </c>
      <c r="T43">
        <v>2.459914396661689E-8</v>
      </c>
      <c r="U43">
        <v>-6.6500517983630418</v>
      </c>
    </row>
    <row r="44" spans="1:21" x14ac:dyDescent="0.35">
      <c r="A44">
        <v>6.2</v>
      </c>
      <c r="B44">
        <v>6.3095734448019254E-7</v>
      </c>
      <c r="C44">
        <v>1.5848931924611153E-8</v>
      </c>
      <c r="D44">
        <v>3.2359365692962616E-11</v>
      </c>
      <c r="E44">
        <v>5.1286138399136211E-10</v>
      </c>
      <c r="F44">
        <v>4.0738027780411062E-8</v>
      </c>
      <c r="G44">
        <v>1.28824955169313E-7</v>
      </c>
      <c r="H44">
        <v>2.0417379446695255E-9</v>
      </c>
      <c r="I44">
        <v>2.691534803926902E-21</v>
      </c>
      <c r="J44">
        <v>-6.7640931201777548</v>
      </c>
      <c r="K44">
        <v>7.8223114791491158E-13</v>
      </c>
      <c r="L44">
        <v>3.4145628053625655E-7</v>
      </c>
      <c r="M44">
        <v>8.0045165200505212E-11</v>
      </c>
      <c r="N44">
        <v>6.3582134771931219E-7</v>
      </c>
      <c r="O44">
        <v>-5.939488147344079</v>
      </c>
      <c r="P44">
        <v>1E-3</v>
      </c>
      <c r="Q44">
        <v>1.9441285231094378E-14</v>
      </c>
      <c r="R44">
        <v>8.4864288024695742E-9</v>
      </c>
      <c r="S44">
        <v>1.9894130937910025E-12</v>
      </c>
      <c r="T44">
        <v>1.5802469909283892E-8</v>
      </c>
      <c r="U44">
        <v>-6.7067682400703266</v>
      </c>
    </row>
    <row r="45" spans="1:21" x14ac:dyDescent="0.35">
      <c r="A45">
        <v>6.3</v>
      </c>
      <c r="B45">
        <v>5.0118723362727218E-7</v>
      </c>
      <c r="C45">
        <v>1.99526231496888E-8</v>
      </c>
      <c r="D45">
        <v>1.621810097358924E-11</v>
      </c>
      <c r="E45">
        <v>3.2359365692962715E-10</v>
      </c>
      <c r="F45">
        <v>3.2359365692962683E-8</v>
      </c>
      <c r="G45">
        <v>1.28824955169313E-7</v>
      </c>
      <c r="H45">
        <v>2.5703957827688564E-9</v>
      </c>
      <c r="I45">
        <v>8.5113803820237626E-22</v>
      </c>
      <c r="J45">
        <v>-6.7849058998976872</v>
      </c>
      <c r="K45">
        <v>1.3294395220895888E-12</v>
      </c>
      <c r="L45">
        <v>2.9084967677894312E-7</v>
      </c>
      <c r="M45">
        <v>5.4158744183262087E-11</v>
      </c>
      <c r="N45">
        <v>6.8181819323168501E-7</v>
      </c>
      <c r="O45">
        <v>-5.9443096097552113</v>
      </c>
      <c r="P45">
        <v>1E-3</v>
      </c>
      <c r="Q45">
        <v>1.9645383993333388E-14</v>
      </c>
      <c r="R45">
        <v>4.2979417188367541E-9</v>
      </c>
      <c r="S45">
        <v>8.0031419887725868E-13</v>
      </c>
      <c r="T45">
        <v>1.0075358823862765E-8</v>
      </c>
      <c r="U45">
        <v>-6.7484381119701533</v>
      </c>
    </row>
    <row r="46" spans="1:21" x14ac:dyDescent="0.35">
      <c r="A46">
        <v>6.4</v>
      </c>
      <c r="B46">
        <v>3.9810717055349618E-7</v>
      </c>
      <c r="C46">
        <v>2.5118864315095867E-8</v>
      </c>
      <c r="D46">
        <v>8.128305161640904E-12</v>
      </c>
      <c r="E46">
        <v>2.0417379446695125E-10</v>
      </c>
      <c r="F46">
        <v>2.5703957827688468E-8</v>
      </c>
      <c r="G46">
        <v>1.28824955169313E-7</v>
      </c>
      <c r="H46">
        <v>3.2359365692962812E-9</v>
      </c>
      <c r="I46">
        <v>2.6915348039268832E-22</v>
      </c>
      <c r="J46">
        <v>-6.8014057207857794</v>
      </c>
      <c r="K46">
        <v>2.232166397374362E-12</v>
      </c>
      <c r="L46">
        <v>2.4475217848844513E-7</v>
      </c>
      <c r="M46">
        <v>3.620150002246993E-11</v>
      </c>
      <c r="N46">
        <v>7.2231488740179998E-7</v>
      </c>
      <c r="O46">
        <v>-5.9488164337267495</v>
      </c>
      <c r="P46">
        <v>1E-3</v>
      </c>
      <c r="Q46">
        <v>1.976603439143928E-14</v>
      </c>
      <c r="R46">
        <v>2.1673025734429311E-9</v>
      </c>
      <c r="S46">
        <v>3.2056754160779625E-13</v>
      </c>
      <c r="T46">
        <v>6.3961633517226042E-9</v>
      </c>
      <c r="U46">
        <v>-6.7784789932025777</v>
      </c>
    </row>
    <row r="47" spans="1:21" x14ac:dyDescent="0.35">
      <c r="A47">
        <v>6.5</v>
      </c>
      <c r="B47">
        <v>3.1622776601683734E-7</v>
      </c>
      <c r="C47">
        <v>3.1622776601683851E-8</v>
      </c>
      <c r="D47">
        <v>4.073802778041093E-12</v>
      </c>
      <c r="E47">
        <v>1.2882495516931255E-10</v>
      </c>
      <c r="F47">
        <v>2.0417379446695175E-8</v>
      </c>
      <c r="G47">
        <v>1.28824955169313E-7</v>
      </c>
      <c r="H47">
        <v>4.0738027780411223E-9</v>
      </c>
      <c r="I47">
        <v>8.5113803820236939E-23</v>
      </c>
      <c r="J47">
        <v>-6.8140358351251775</v>
      </c>
      <c r="K47">
        <v>3.7056770704081943E-12</v>
      </c>
      <c r="L47">
        <v>2.0364210155062686E-7</v>
      </c>
      <c r="M47">
        <v>2.3925860719457766E-11</v>
      </c>
      <c r="N47">
        <v>7.5660214853442045E-7</v>
      </c>
      <c r="O47">
        <v>-5.953225068422741</v>
      </c>
      <c r="P47">
        <v>1E-3</v>
      </c>
      <c r="Q47">
        <v>1.9837911485937053E-14</v>
      </c>
      <c r="R47">
        <v>1.090174321349199E-9</v>
      </c>
      <c r="S47">
        <v>1.2808431446110279E-13</v>
      </c>
      <c r="T47">
        <v>4.050381662383304E-9</v>
      </c>
      <c r="U47">
        <v>-6.7997249670587667</v>
      </c>
    </row>
    <row r="48" spans="1:21" x14ac:dyDescent="0.35">
      <c r="A48">
        <v>6.6</v>
      </c>
      <c r="B48">
        <v>2.511886431509578E-7</v>
      </c>
      <c r="C48">
        <v>3.9810717055349756E-8</v>
      </c>
      <c r="D48">
        <v>2.0417379446695187E-12</v>
      </c>
      <c r="E48">
        <v>8.1283051616409551E-11</v>
      </c>
      <c r="F48">
        <v>1.6218100973589224E-8</v>
      </c>
      <c r="G48">
        <v>1.28824955169313E-7</v>
      </c>
      <c r="H48">
        <v>5.1286138399136368E-9</v>
      </c>
      <c r="I48">
        <v>2.6915348039269084E-23</v>
      </c>
      <c r="J48">
        <v>-6.8231710822801181</v>
      </c>
      <c r="K48">
        <v>6.087709535562091E-12</v>
      </c>
      <c r="L48">
        <v>1.6766944340430519E-7</v>
      </c>
      <c r="M48">
        <v>1.564782291693049E-11</v>
      </c>
      <c r="N48">
        <v>7.8424890800258716E-7</v>
      </c>
      <c r="O48">
        <v>-5.9577439299717554</v>
      </c>
      <c r="P48">
        <v>1E-3</v>
      </c>
      <c r="Q48">
        <v>1.988117511199078E-14</v>
      </c>
      <c r="R48">
        <v>5.4757303149537221E-10</v>
      </c>
      <c r="S48">
        <v>5.1102488664350039E-14</v>
      </c>
      <c r="T48">
        <v>2.5611914925154787E-9</v>
      </c>
      <c r="U48">
        <v>-6.81427710973714</v>
      </c>
    </row>
    <row r="49" spans="1:21" x14ac:dyDescent="0.35">
      <c r="A49">
        <v>6.7</v>
      </c>
      <c r="B49">
        <v>1.9952623149688761E-7</v>
      </c>
      <c r="C49">
        <v>5.0118723362727316E-8</v>
      </c>
      <c r="D49">
        <v>1.0232929922807458E-12</v>
      </c>
      <c r="E49">
        <v>5.1286138399136151E-11</v>
      </c>
      <c r="F49">
        <v>1.2882495516931265E-8</v>
      </c>
      <c r="G49">
        <v>1.28824955169313E-7</v>
      </c>
      <c r="H49">
        <v>6.4565422903465475E-9</v>
      </c>
      <c r="I49">
        <v>8.5113803820237012E-24</v>
      </c>
      <c r="J49">
        <v>-6.8291040253955249</v>
      </c>
      <c r="K49">
        <v>9.9041469767635974E-12</v>
      </c>
      <c r="L49">
        <v>1.3671528641038624E-7</v>
      </c>
      <c r="M49">
        <v>1.0134844195840695E-11</v>
      </c>
      <c r="N49">
        <v>8.050392899287833E-7</v>
      </c>
      <c r="O49">
        <v>-5.9625810669807748</v>
      </c>
      <c r="P49">
        <v>1E-3</v>
      </c>
      <c r="Q49">
        <v>1.9907517468114077E-14</v>
      </c>
      <c r="R49">
        <v>2.7480023860291573E-10</v>
      </c>
      <c r="S49">
        <v>2.0371223118827614E-14</v>
      </c>
      <c r="T49">
        <v>1.6181437699152938E-9</v>
      </c>
      <c r="U49">
        <v>-6.823592496360682</v>
      </c>
    </row>
    <row r="50" spans="1:21" x14ac:dyDescent="0.35">
      <c r="A50">
        <v>6.8</v>
      </c>
      <c r="B50">
        <v>1.5848931924611122E-7</v>
      </c>
      <c r="C50">
        <v>6.3095734448019376E-8</v>
      </c>
      <c r="D50">
        <v>5.1286138399136206E-13</v>
      </c>
      <c r="E50">
        <v>3.2359365692962675E-11</v>
      </c>
      <c r="F50">
        <v>1.0232929922807493E-8</v>
      </c>
      <c r="G50">
        <v>1.28824955169313E-7</v>
      </c>
      <c r="H50">
        <v>8.1283051616409745E-9</v>
      </c>
      <c r="I50">
        <v>2.6915348039269068E-24</v>
      </c>
      <c r="J50">
        <v>-6.8320359522659402</v>
      </c>
      <c r="K50">
        <v>1.5967222053654957E-11</v>
      </c>
      <c r="L50">
        <v>1.1046618736258329E-7</v>
      </c>
      <c r="M50">
        <v>6.5047313559778649E-12</v>
      </c>
      <c r="N50">
        <v>8.1889716009349134E-7</v>
      </c>
      <c r="O50">
        <v>-5.9679500963048255</v>
      </c>
      <c r="P50">
        <v>1E-3</v>
      </c>
      <c r="Q50">
        <v>1.9923751141152291E-14</v>
      </c>
      <c r="R50">
        <v>1.3783868096330613E-10</v>
      </c>
      <c r="S50">
        <v>8.1165432747825688E-15</v>
      </c>
      <c r="T50">
        <v>1.0218122584550886E-9</v>
      </c>
      <c r="U50">
        <v>-6.8286283752142527</v>
      </c>
    </row>
    <row r="51" spans="1:21" x14ac:dyDescent="0.35">
      <c r="A51">
        <v>6.9</v>
      </c>
      <c r="B51">
        <v>1.2589254117941651E-7</v>
      </c>
      <c r="C51">
        <v>7.9432823472428286E-8</v>
      </c>
      <c r="D51">
        <v>2.5703957827688432E-13</v>
      </c>
      <c r="E51">
        <v>2.0417379446695165E-11</v>
      </c>
      <c r="F51">
        <v>8.1283051616409464E-9</v>
      </c>
      <c r="G51">
        <v>1.28824955169313E-7</v>
      </c>
      <c r="H51">
        <v>1.0232929922807529E-8</v>
      </c>
      <c r="I51">
        <v>8.5113803820237024E-25</v>
      </c>
      <c r="J51">
        <v>-6.8320719371452787</v>
      </c>
      <c r="K51">
        <v>2.5520146961030187E-11</v>
      </c>
      <c r="L51">
        <v>8.8487753803533036E-8</v>
      </c>
      <c r="M51">
        <v>4.1388832027482127E-12</v>
      </c>
      <c r="N51">
        <v>8.2581576805012732E-7</v>
      </c>
      <c r="O51">
        <v>-5.9740740587169201</v>
      </c>
      <c r="P51">
        <v>1E-3</v>
      </c>
      <c r="Q51">
        <v>1.9933878776951348E-14</v>
      </c>
      <c r="R51">
        <v>6.9118103444226349E-11</v>
      </c>
      <c r="S51">
        <v>3.2328965879988223E-15</v>
      </c>
      <c r="T51">
        <v>6.4504767302255738E-10</v>
      </c>
      <c r="U51">
        <v>-6.829970066959179</v>
      </c>
    </row>
    <row r="52" spans="1:21" x14ac:dyDescent="0.35">
      <c r="A52">
        <v>7</v>
      </c>
      <c r="B52">
        <v>9.9999999999999995E-8</v>
      </c>
      <c r="C52">
        <v>1.0000000000000001E-7</v>
      </c>
      <c r="D52">
        <v>1.2882495516931297E-13</v>
      </c>
      <c r="E52">
        <v>1.2882495516931299E-11</v>
      </c>
      <c r="F52">
        <v>6.4565422903465277E-9</v>
      </c>
      <c r="G52">
        <v>1.28824955169313E-7</v>
      </c>
      <c r="H52">
        <v>1.28824955169313E-8</v>
      </c>
      <c r="I52">
        <v>2.6915348039269165E-25</v>
      </c>
      <c r="J52">
        <v>-6.8292191896211358</v>
      </c>
      <c r="K52">
        <v>4.0446174301579564E-11</v>
      </c>
      <c r="L52">
        <v>7.028739522102658E-8</v>
      </c>
      <c r="M52">
        <v>2.6114243486087536E-12</v>
      </c>
      <c r="N52">
        <v>8.2580488788252611E-7</v>
      </c>
      <c r="O52">
        <v>-5.9811864086277238</v>
      </c>
      <c r="P52">
        <v>1E-3</v>
      </c>
      <c r="Q52">
        <v>1.9940276020497982E-14</v>
      </c>
      <c r="R52">
        <v>3.4652228193912653E-11</v>
      </c>
      <c r="S52">
        <v>1.2874523540752797E-15</v>
      </c>
      <c r="T52">
        <v>4.0712818178234657E-10</v>
      </c>
      <c r="U52">
        <v>-6.8279262905883638</v>
      </c>
    </row>
    <row r="53" spans="1:21" x14ac:dyDescent="0.35">
      <c r="A53">
        <v>7.1</v>
      </c>
      <c r="B53">
        <v>7.943282347242818E-8</v>
      </c>
      <c r="C53">
        <v>1.2589254117941667E-7</v>
      </c>
      <c r="D53">
        <v>6.4565422903465444E-14</v>
      </c>
      <c r="E53">
        <v>8.1283051616409767E-12</v>
      </c>
      <c r="F53">
        <v>5.1286138399136311E-9</v>
      </c>
      <c r="G53">
        <v>1.2882495516931303E-7</v>
      </c>
      <c r="H53">
        <v>1.6218100973589247E-8</v>
      </c>
      <c r="I53">
        <v>8.5113803820237928E-26</v>
      </c>
      <c r="J53">
        <v>-6.8233882966124648</v>
      </c>
      <c r="K53">
        <v>6.3563983024060051E-11</v>
      </c>
      <c r="L53">
        <v>5.5361914846542736E-8</v>
      </c>
      <c r="M53">
        <v>1.6338459390103523E-12</v>
      </c>
      <c r="N53">
        <v>8.1886272634575441E-7</v>
      </c>
      <c r="O53">
        <v>-5.9895278280516333</v>
      </c>
      <c r="P53">
        <v>1E-3</v>
      </c>
      <c r="Q53">
        <v>1.9944368210552864E-14</v>
      </c>
      <c r="R53">
        <v>1.7370818536069063E-11</v>
      </c>
      <c r="S53">
        <v>5.1264919938394352E-16</v>
      </c>
      <c r="T53">
        <v>2.5693323406047554E-10</v>
      </c>
      <c r="U53">
        <v>-6.8225957782671669</v>
      </c>
    </row>
    <row r="54" spans="1:21" x14ac:dyDescent="0.35">
      <c r="A54">
        <v>7.2</v>
      </c>
      <c r="B54">
        <v>6.3095734448019177E-8</v>
      </c>
      <c r="C54">
        <v>1.5848931924611173E-7</v>
      </c>
      <c r="D54">
        <v>3.23593656929625E-14</v>
      </c>
      <c r="E54">
        <v>5.1286138399136089E-12</v>
      </c>
      <c r="F54">
        <v>4.0738027780411016E-9</v>
      </c>
      <c r="G54">
        <v>1.28824955169313E-7</v>
      </c>
      <c r="H54">
        <v>2.0417379446695284E-8</v>
      </c>
      <c r="I54">
        <v>2.6915348039268872E-26</v>
      </c>
      <c r="J54">
        <v>-6.8143975116760549</v>
      </c>
      <c r="K54">
        <v>9.9033659394281809E-11</v>
      </c>
      <c r="L54">
        <v>4.3229760250283717E-8</v>
      </c>
      <c r="M54">
        <v>1.0134044965808629E-12</v>
      </c>
      <c r="N54">
        <v>8.049758048307332E-7</v>
      </c>
      <c r="O54">
        <v>-5.9993369579082616</v>
      </c>
      <c r="P54">
        <v>1E-3</v>
      </c>
      <c r="Q54">
        <v>1.9947019912675467E-14</v>
      </c>
      <c r="R54">
        <v>8.7071899978926263E-12</v>
      </c>
      <c r="S54">
        <v>2.0411645693525191E-16</v>
      </c>
      <c r="T54">
        <v>1.6213546491555495E-10</v>
      </c>
      <c r="U54">
        <v>-6.8139138554273853</v>
      </c>
    </row>
    <row r="55" spans="1:21" x14ac:dyDescent="0.35">
      <c r="A55">
        <v>7.3</v>
      </c>
      <c r="B55">
        <v>5.0118723362727164E-8</v>
      </c>
      <c r="C55">
        <v>1.9952623149688821E-7</v>
      </c>
      <c r="D55">
        <v>1.6218100973589187E-14</v>
      </c>
      <c r="E55">
        <v>3.2359365692962642E-12</v>
      </c>
      <c r="F55">
        <v>3.2359365692962646E-9</v>
      </c>
      <c r="G55">
        <v>1.28824955169313E-7</v>
      </c>
      <c r="H55">
        <v>2.570395782768859E-8</v>
      </c>
      <c r="I55">
        <v>8.5113803820237136E-27</v>
      </c>
      <c r="J55">
        <v>-6.8019807999030739</v>
      </c>
      <c r="K55">
        <v>1.5289644995755686E-10</v>
      </c>
      <c r="L55">
        <v>3.3450098565526447E-8</v>
      </c>
      <c r="M55">
        <v>6.2286998258971557E-13</v>
      </c>
      <c r="N55">
        <v>7.8414684932598883E-7</v>
      </c>
      <c r="O55">
        <v>-6.0108325332572514</v>
      </c>
      <c r="P55">
        <v>1E-3</v>
      </c>
      <c r="Q55">
        <v>1.9948761202048348E-14</v>
      </c>
      <c r="R55">
        <v>4.3643134203174917E-12</v>
      </c>
      <c r="S55">
        <v>8.1267318803382872E-17</v>
      </c>
      <c r="T55">
        <v>1.0230949278995734E-10</v>
      </c>
      <c r="U55">
        <v>-6.8016872537102984</v>
      </c>
    </row>
    <row r="56" spans="1:21" x14ac:dyDescent="0.35">
      <c r="A56">
        <v>7.4</v>
      </c>
      <c r="B56">
        <v>3.981071705534957E-8</v>
      </c>
      <c r="C56">
        <v>2.5118864315095897E-7</v>
      </c>
      <c r="D56">
        <v>8.1283051616408747E-15</v>
      </c>
      <c r="E56">
        <v>2.0417379446695073E-12</v>
      </c>
      <c r="F56">
        <v>2.570395782768844E-9</v>
      </c>
      <c r="G56">
        <v>1.28824955169313E-7</v>
      </c>
      <c r="H56">
        <v>3.2359365692962848E-8</v>
      </c>
      <c r="I56">
        <v>2.6915348039268664E-27</v>
      </c>
      <c r="J56">
        <v>-6.785800745700743</v>
      </c>
      <c r="K56">
        <v>2.3376464189410977E-10</v>
      </c>
      <c r="L56">
        <v>2.5631783286610798E-8</v>
      </c>
      <c r="M56">
        <v>3.7912185662935416E-13</v>
      </c>
      <c r="N56">
        <v>7.5644755331359404E-7</v>
      </c>
      <c r="O56">
        <v>-6.0241839386531506</v>
      </c>
      <c r="P56">
        <v>1E-3</v>
      </c>
      <c r="Q56">
        <v>1.9949920490219565E-14</v>
      </c>
      <c r="R56">
        <v>2.1874652832315645E-12</v>
      </c>
      <c r="S56">
        <v>3.2354982492545278E-17</v>
      </c>
      <c r="T56">
        <v>6.4556677268854232E-11</v>
      </c>
      <c r="U56">
        <v>-6.7856237715098038</v>
      </c>
    </row>
    <row r="57" spans="1:21" x14ac:dyDescent="0.35">
      <c r="A57">
        <v>7.5</v>
      </c>
      <c r="B57">
        <v>3.1622776601683699E-8</v>
      </c>
      <c r="C57">
        <v>3.1622776601683887E-7</v>
      </c>
      <c r="D57">
        <v>4.0738027780410789E-15</v>
      </c>
      <c r="E57">
        <v>1.2882495516931224E-12</v>
      </c>
      <c r="F57">
        <v>2.0417379446695152E-9</v>
      </c>
      <c r="G57">
        <v>1.2882495516931303E-7</v>
      </c>
      <c r="H57">
        <v>4.0738027780411274E-8</v>
      </c>
      <c r="I57">
        <v>8.5113803820236476E-28</v>
      </c>
      <c r="J57">
        <v>-6.7654674981800209</v>
      </c>
      <c r="K57">
        <v>3.5366390767898672E-10</v>
      </c>
      <c r="L57">
        <v>1.9435277287781076E-8</v>
      </c>
      <c r="M57">
        <v>2.2834459764985613E-13</v>
      </c>
      <c r="N57">
        <v>7.2208901996828457E-7</v>
      </c>
      <c r="O57">
        <v>-6.0394671323933853</v>
      </c>
      <c r="P57">
        <v>1E-3</v>
      </c>
      <c r="Q57">
        <v>1.9950703340944098E-14</v>
      </c>
      <c r="R57">
        <v>1.0963726948056544E-12</v>
      </c>
      <c r="S57">
        <v>1.2881255984296182E-17</v>
      </c>
      <c r="T57">
        <v>4.0734108034050493E-11</v>
      </c>
      <c r="U57">
        <v>-6.7653616479337773</v>
      </c>
    </row>
    <row r="58" spans="1:21" x14ac:dyDescent="0.35">
      <c r="A58">
        <v>7.6</v>
      </c>
      <c r="B58">
        <v>2.5118864315095751E-8</v>
      </c>
      <c r="C58">
        <v>3.9810717055349803E-7</v>
      </c>
      <c r="D58">
        <v>2.041737944669511E-15</v>
      </c>
      <c r="E58">
        <v>8.1283051616409343E-13</v>
      </c>
      <c r="F58">
        <v>1.6218100973589203E-9</v>
      </c>
      <c r="G58">
        <v>1.28824955169313E-7</v>
      </c>
      <c r="H58">
        <v>5.1286138399136428E-8</v>
      </c>
      <c r="I58">
        <v>2.6915348039268911E-28</v>
      </c>
      <c r="J58">
        <v>-6.7405644870208326</v>
      </c>
      <c r="K58">
        <v>5.290105028043692E-10</v>
      </c>
      <c r="L58">
        <v>1.4570159111911393E-8</v>
      </c>
      <c r="M58">
        <v>1.3597663654487705E-13</v>
      </c>
      <c r="N58">
        <v>6.8149754307868549E-7</v>
      </c>
      <c r="O58">
        <v>-6.0566036533065839</v>
      </c>
      <c r="P58">
        <v>1E-3</v>
      </c>
      <c r="Q58">
        <v>1.9951239737671002E-14</v>
      </c>
      <c r="R58">
        <v>5.4950277152674133E-13</v>
      </c>
      <c r="S58">
        <v>5.12825824827195E-18</v>
      </c>
      <c r="T58">
        <v>2.5702175647776813E-11</v>
      </c>
      <c r="U58">
        <v>-6.7405017571210974</v>
      </c>
    </row>
    <row r="59" spans="1:21" x14ac:dyDescent="0.35">
      <c r="A59">
        <v>7.7</v>
      </c>
      <c r="B59">
        <v>1.9952623149688773E-8</v>
      </c>
      <c r="C59">
        <v>5.0118723362727281E-7</v>
      </c>
      <c r="D59">
        <v>1.0232929922807477E-15</v>
      </c>
      <c r="E59">
        <v>5.1286138399136226E-13</v>
      </c>
      <c r="F59">
        <v>1.2882495516931275E-9</v>
      </c>
      <c r="G59">
        <v>1.28824955169313E-7</v>
      </c>
      <c r="H59">
        <v>6.4565422903465424E-8</v>
      </c>
      <c r="I59">
        <v>8.5113803820237261E-29</v>
      </c>
      <c r="J59">
        <v>-6.7106805775644549</v>
      </c>
      <c r="K59">
        <v>7.8168598799266989E-10</v>
      </c>
      <c r="L59">
        <v>1.0790270376856366E-8</v>
      </c>
      <c r="M59">
        <v>7.998937936769501E-14</v>
      </c>
      <c r="N59">
        <v>6.3537822509832452E-7</v>
      </c>
      <c r="O59">
        <v>-6.0752826506544615</v>
      </c>
      <c r="P59">
        <v>1E-3</v>
      </c>
      <c r="Q59">
        <v>1.9951612720667376E-14</v>
      </c>
      <c r="R59">
        <v>2.7540892253059887E-13</v>
      </c>
      <c r="S59">
        <v>2.0416345481758303E-18</v>
      </c>
      <c r="T59">
        <v>1.6217279666046239E-11</v>
      </c>
      <c r="U59">
        <v>-6.7106437868682747</v>
      </c>
    </row>
    <row r="60" spans="1:21" x14ac:dyDescent="0.35">
      <c r="A60">
        <v>7.8</v>
      </c>
      <c r="B60">
        <v>1.5848931924611133E-8</v>
      </c>
      <c r="C60">
        <v>6.3095734448019328E-7</v>
      </c>
      <c r="D60">
        <v>5.128613839913633E-16</v>
      </c>
      <c r="E60">
        <v>3.235936569296273E-13</v>
      </c>
      <c r="F60">
        <v>1.0232929922807499E-9</v>
      </c>
      <c r="G60">
        <v>1.28824955169313E-7</v>
      </c>
      <c r="H60">
        <v>8.1283051616409686E-8</v>
      </c>
      <c r="I60">
        <v>2.6915348039269184E-29</v>
      </c>
      <c r="J60">
        <v>-6.6754467119792764</v>
      </c>
      <c r="K60">
        <v>1.1401642756824259E-9</v>
      </c>
      <c r="L60">
        <v>7.8880095785245804E-9</v>
      </c>
      <c r="M60">
        <v>4.6448043936982969E-14</v>
      </c>
      <c r="N60">
        <v>5.8474622840400112E-7</v>
      </c>
      <c r="O60">
        <v>-6.0948704183288864</v>
      </c>
      <c r="P60">
        <v>1E-3</v>
      </c>
      <c r="Q60">
        <v>1.9951875904003503E-14</v>
      </c>
      <c r="R60">
        <v>1.3803325678320866E-13</v>
      </c>
      <c r="S60">
        <v>8.1280007484860953E-19</v>
      </c>
      <c r="T60">
        <v>1.0232546689351203E-11</v>
      </c>
      <c r="U60">
        <v>-6.6754253803790879</v>
      </c>
    </row>
    <row r="61" spans="1:21" x14ac:dyDescent="0.35">
      <c r="A61">
        <v>7.9</v>
      </c>
      <c r="B61">
        <v>1.2589254117941638E-8</v>
      </c>
      <c r="C61">
        <v>7.9432823472428368E-7</v>
      </c>
      <c r="D61">
        <v>2.5703957827688349E-16</v>
      </c>
      <c r="E61">
        <v>2.0417379446695122E-13</v>
      </c>
      <c r="F61">
        <v>8.1283051616409375E-10</v>
      </c>
      <c r="G61">
        <v>1.28824955169313E-7</v>
      </c>
      <c r="H61">
        <v>1.0232929922807538E-7</v>
      </c>
      <c r="I61">
        <v>8.5113803820236557E-30</v>
      </c>
      <c r="J61">
        <v>-6.6345732524315677</v>
      </c>
      <c r="K61">
        <v>1.6406633811918909E-9</v>
      </c>
      <c r="L61">
        <v>5.6887845344727244E-9</v>
      </c>
      <c r="M61">
        <v>2.6608444379840122E-14</v>
      </c>
      <c r="N61">
        <v>5.3090826331040992E-7</v>
      </c>
      <c r="O61">
        <v>-6.1143197564379035</v>
      </c>
      <c r="P61">
        <v>1E-3</v>
      </c>
      <c r="Q61">
        <v>1.9952064287454054E-14</v>
      </c>
      <c r="R61">
        <v>6.9181159310581911E-14</v>
      </c>
      <c r="S61">
        <v>3.2358459324547002E-19</v>
      </c>
      <c r="T61">
        <v>6.4563614460722623E-12</v>
      </c>
      <c r="U61">
        <v>-6.6345610353322</v>
      </c>
    </row>
    <row r="62" spans="1:21" x14ac:dyDescent="0.35">
      <c r="A62">
        <v>8</v>
      </c>
      <c r="B62">
        <v>1E-8</v>
      </c>
      <c r="C62">
        <v>9.9999999999999995E-7</v>
      </c>
      <c r="D62">
        <v>1.2882495516931303E-16</v>
      </c>
      <c r="E62">
        <v>1.2882495516931302E-13</v>
      </c>
      <c r="F62">
        <v>6.4565422903465299E-10</v>
      </c>
      <c r="G62">
        <v>1.2882495516931303E-7</v>
      </c>
      <c r="H62">
        <v>1.28824955169313E-7</v>
      </c>
      <c r="I62">
        <v>2.6915348039269195E-30</v>
      </c>
      <c r="J62">
        <v>-6.5878828346143941</v>
      </c>
      <c r="K62">
        <v>2.3283446558886707E-9</v>
      </c>
      <c r="L62">
        <v>4.0461992726175086E-9</v>
      </c>
      <c r="M62">
        <v>1.503305573724754E-14</v>
      </c>
      <c r="N62">
        <v>4.7538696321964196E-7</v>
      </c>
      <c r="O62">
        <v>-6.1321032200783678</v>
      </c>
      <c r="P62">
        <v>1E-3</v>
      </c>
      <c r="Q62">
        <v>1.9952200987056955E-14</v>
      </c>
      <c r="R62">
        <v>3.4672951410681667E-14</v>
      </c>
      <c r="S62">
        <v>1.28822229458427E-19</v>
      </c>
      <c r="T62">
        <v>4.073716583494704E-12</v>
      </c>
      <c r="U62">
        <v>-6.5878759268849381</v>
      </c>
    </row>
    <row r="63" spans="1:21" x14ac:dyDescent="0.35">
      <c r="A63">
        <v>8.1</v>
      </c>
      <c r="B63">
        <v>7.9432823472428087E-9</v>
      </c>
      <c r="C63">
        <v>1.2589254117941682E-6</v>
      </c>
      <c r="D63">
        <v>6.4565422903465208E-17</v>
      </c>
      <c r="E63">
        <v>8.1283051616409558E-14</v>
      </c>
      <c r="F63">
        <v>5.1286138399136242E-10</v>
      </c>
      <c r="G63">
        <v>1.2882495516931303E-7</v>
      </c>
      <c r="H63">
        <v>1.6218100973589266E-7</v>
      </c>
      <c r="I63">
        <v>8.5113803820237405E-31</v>
      </c>
      <c r="J63">
        <v>-6.5353332720678008</v>
      </c>
      <c r="K63">
        <v>3.2586574202562652E-9</v>
      </c>
      <c r="L63">
        <v>2.8381719651834082E-9</v>
      </c>
      <c r="M63">
        <v>8.3760392905151101E-15</v>
      </c>
      <c r="N63">
        <v>4.1979639607666325E-7</v>
      </c>
      <c r="O63">
        <v>-6.1462084407243909</v>
      </c>
      <c r="P63">
        <v>1E-3</v>
      </c>
      <c r="Q63">
        <v>1.9952301459566491E-14</v>
      </c>
      <c r="R63">
        <v>1.7377728107109927E-14</v>
      </c>
      <c r="S63">
        <v>5.128531152820239E-20</v>
      </c>
      <c r="T63">
        <v>2.5703543410532762E-12</v>
      </c>
      <c r="U63">
        <v>-6.5353294169737985</v>
      </c>
    </row>
    <row r="64" spans="1:21" x14ac:dyDescent="0.35">
      <c r="A64">
        <v>8.1999999999999993</v>
      </c>
      <c r="B64">
        <v>6.3095734448019329E-9</v>
      </c>
      <c r="C64">
        <v>1.5848931924611134E-6</v>
      </c>
      <c r="D64">
        <v>3.2359365692962734E-17</v>
      </c>
      <c r="E64">
        <v>5.1286138399136339E-14</v>
      </c>
      <c r="F64">
        <v>4.0738027780411108E-10</v>
      </c>
      <c r="G64">
        <v>1.28824955169313E-7</v>
      </c>
      <c r="H64">
        <v>2.041737944669523E-7</v>
      </c>
      <c r="I64">
        <v>2.6915348039269189E-31</v>
      </c>
      <c r="J64">
        <v>-6.4770263527674299</v>
      </c>
      <c r="K64">
        <v>4.4990011003751229E-9</v>
      </c>
      <c r="L64">
        <v>1.9638852095796681E-9</v>
      </c>
      <c r="M64">
        <v>4.6037962982772479E-15</v>
      </c>
      <c r="N64">
        <v>3.6569253866407635E-7</v>
      </c>
      <c r="O64">
        <v>-6.1542431948188403</v>
      </c>
      <c r="P64">
        <v>1E-3</v>
      </c>
      <c r="Q64">
        <v>1.9952376175524162E-14</v>
      </c>
      <c r="R64">
        <v>8.7095280914277843E-15</v>
      </c>
      <c r="S64">
        <v>2.0417126719763269E-20</v>
      </c>
      <c r="T64">
        <v>1.6217900225451589E-12</v>
      </c>
      <c r="U64">
        <v>-6.4770242288858864</v>
      </c>
    </row>
    <row r="65" spans="1:21" x14ac:dyDescent="0.35">
      <c r="A65">
        <v>8.3000000000000007</v>
      </c>
      <c r="B65">
        <v>5.0118723362727114E-9</v>
      </c>
      <c r="C65">
        <v>1.9952623149688842E-6</v>
      </c>
      <c r="D65">
        <v>1.621810097358914E-17</v>
      </c>
      <c r="E65">
        <v>3.2359365692962582E-14</v>
      </c>
      <c r="F65">
        <v>3.2359365692962622E-10</v>
      </c>
      <c r="G65">
        <v>1.28824955169313E-7</v>
      </c>
      <c r="H65">
        <v>2.5703957827688611E-7</v>
      </c>
      <c r="I65">
        <v>8.5113803820236746E-32</v>
      </c>
      <c r="J65">
        <v>-6.413201045812678</v>
      </c>
      <c r="K65">
        <v>6.1309172830343434E-9</v>
      </c>
      <c r="L65">
        <v>1.3412985551431492E-9</v>
      </c>
      <c r="M65">
        <v>2.4976147859565336E-15</v>
      </c>
      <c r="N65">
        <v>3.1443107229135584E-7</v>
      </c>
      <c r="O65">
        <v>-6.1536873050484084</v>
      </c>
      <c r="P65">
        <v>1E-3</v>
      </c>
      <c r="Q65">
        <v>1.9952432324615821E-14</v>
      </c>
      <c r="R65">
        <v>4.3651165744244724E-15</v>
      </c>
      <c r="S65">
        <v>8.1282274232696455E-21</v>
      </c>
      <c r="T65">
        <v>1.0232832055996473E-12</v>
      </c>
      <c r="U65">
        <v>-6.4131998901547576</v>
      </c>
    </row>
    <row r="66" spans="1:21" x14ac:dyDescent="0.35">
      <c r="A66">
        <v>8.4000000000000057</v>
      </c>
      <c r="B66">
        <v>3.9810717055349102E-9</v>
      </c>
      <c r="C66">
        <v>2.5118864315096195E-6</v>
      </c>
      <c r="D66">
        <v>8.1283051616405847E-18</v>
      </c>
      <c r="E66">
        <v>2.0417379446694587E-14</v>
      </c>
      <c r="F66">
        <v>2.5703957827688131E-10</v>
      </c>
      <c r="G66">
        <v>1.28824955169313E-7</v>
      </c>
      <c r="H66">
        <v>3.2359365692963235E-7</v>
      </c>
      <c r="I66">
        <v>2.6915348039267063E-32</v>
      </c>
      <c r="J66">
        <v>-6.3442128449247672</v>
      </c>
      <c r="K66">
        <v>8.2530086157664684E-9</v>
      </c>
      <c r="L66">
        <v>9.0492439997693476E-10</v>
      </c>
      <c r="M66">
        <v>1.3384812706639408E-15</v>
      </c>
      <c r="N66">
        <v>2.6706212386475175E-7</v>
      </c>
      <c r="O66">
        <v>-6.1422799952648308</v>
      </c>
      <c r="P66">
        <v>1E-3</v>
      </c>
      <c r="Q66">
        <v>1.9952474912966894E-14</v>
      </c>
      <c r="R66">
        <v>2.1877453701161043E-15</v>
      </c>
      <c r="S66">
        <v>3.2359125281148283E-21</v>
      </c>
      <c r="T66">
        <v>6.4564943218834225E-13</v>
      </c>
      <c r="U66">
        <v>-6.3442122233938818</v>
      </c>
    </row>
    <row r="67" spans="1:21" x14ac:dyDescent="0.35">
      <c r="A67">
        <v>8.5000000000000053</v>
      </c>
      <c r="B67">
        <v>3.1622776601683328E-9</v>
      </c>
      <c r="C67">
        <v>3.1622776601684258E-6</v>
      </c>
      <c r="D67">
        <v>4.0738027780409349E-18</v>
      </c>
      <c r="E67">
        <v>1.2882495516930919E-14</v>
      </c>
      <c r="F67">
        <v>2.0417379446694908E-10</v>
      </c>
      <c r="G67">
        <v>1.28824955169313E-7</v>
      </c>
      <c r="H67">
        <v>4.0738027780411737E-7</v>
      </c>
      <c r="I67">
        <v>8.5113803820231434E-33</v>
      </c>
      <c r="J67">
        <v>-6.2705036042953886</v>
      </c>
      <c r="K67">
        <v>1.0984711167115671E-8</v>
      </c>
      <c r="L67">
        <v>6.0365477738500805E-10</v>
      </c>
      <c r="M67">
        <v>7.0923252197719933E-16</v>
      </c>
      <c r="N67">
        <v>2.2427901601134521E-7</v>
      </c>
      <c r="O67">
        <v>-6.1184486819454245</v>
      </c>
      <c r="P67">
        <v>1E-3</v>
      </c>
      <c r="Q67">
        <v>1.9952507475602523E-14</v>
      </c>
      <c r="R67">
        <v>1.0964718393792902E-15</v>
      </c>
      <c r="S67">
        <v>1.2882420831467538E-21</v>
      </c>
      <c r="T67">
        <v>4.0737791604238919E-13</v>
      </c>
      <c r="U67">
        <v>-6.2705032735813884</v>
      </c>
    </row>
    <row r="68" spans="1:21" x14ac:dyDescent="0.35">
      <c r="A68">
        <v>8.6</v>
      </c>
      <c r="B68">
        <v>2.5118864315095812E-9</v>
      </c>
      <c r="C68">
        <v>3.9810717055349708E-6</v>
      </c>
      <c r="D68">
        <v>2.0417379446695257E-18</v>
      </c>
      <c r="E68">
        <v>8.1283051616409741E-15</v>
      </c>
      <c r="F68">
        <v>1.621810097358924E-10</v>
      </c>
      <c r="G68">
        <v>1.28824955169313E-7</v>
      </c>
      <c r="H68">
        <v>5.1286138399136301E-7</v>
      </c>
      <c r="I68">
        <v>2.6915348039269232E-33</v>
      </c>
      <c r="J68">
        <v>-6.1925674502562762</v>
      </c>
      <c r="K68">
        <v>1.4470940495304079E-8</v>
      </c>
      <c r="L68">
        <v>3.9856279676465134E-10</v>
      </c>
      <c r="M68">
        <v>3.7196044421828692E-16</v>
      </c>
      <c r="N68">
        <v>1.8642182605653522E-7</v>
      </c>
      <c r="O68">
        <v>-6.0816189507666492</v>
      </c>
      <c r="P68">
        <v>1E-3</v>
      </c>
      <c r="Q68">
        <v>1.9952532543564346E-14</v>
      </c>
      <c r="R68">
        <v>5.4953837835773817E-16</v>
      </c>
      <c r="S68">
        <v>5.1285905505536179E-22</v>
      </c>
      <c r="T68">
        <v>2.5703841104389467E-13</v>
      </c>
      <c r="U68">
        <v>-6.1925672759643717</v>
      </c>
    </row>
    <row r="69" spans="1:21" x14ac:dyDescent="0.35">
      <c r="A69">
        <v>8.6999999999999993</v>
      </c>
      <c r="B69">
        <v>1.9952623149688824E-9</v>
      </c>
      <c r="C69">
        <v>5.0118723362727157E-6</v>
      </c>
      <c r="D69">
        <v>1.0232929922807554E-18</v>
      </c>
      <c r="E69">
        <v>5.1286138399136478E-15</v>
      </c>
      <c r="F69">
        <v>1.2882495516931306E-10</v>
      </c>
      <c r="G69">
        <v>1.28824955169313E-7</v>
      </c>
      <c r="H69">
        <v>6.4565422903465265E-7</v>
      </c>
      <c r="I69">
        <v>8.5113803820238327E-34</v>
      </c>
      <c r="J69">
        <v>-6.1109180140070691</v>
      </c>
      <c r="K69">
        <v>1.8887507476225013E-8</v>
      </c>
      <c r="L69">
        <v>2.6072018117750446E-10</v>
      </c>
      <c r="M69">
        <v>1.9327454042071441E-16</v>
      </c>
      <c r="N69">
        <v>1.5352342450953309E-7</v>
      </c>
      <c r="O69">
        <v>-6.0322685360773702</v>
      </c>
      <c r="P69">
        <v>1E-3</v>
      </c>
      <c r="Q69">
        <v>1.9952551953415997E-14</v>
      </c>
      <c r="R69">
        <v>2.7542188755167088E-16</v>
      </c>
      <c r="S69">
        <v>2.0417306592048293E-22</v>
      </c>
      <c r="T69">
        <v>1.6218043103086183E-13</v>
      </c>
      <c r="U69">
        <v>-6.1109179229240036</v>
      </c>
    </row>
    <row r="70" spans="1:21" x14ac:dyDescent="0.35">
      <c r="A70">
        <v>8.8000000000000007</v>
      </c>
      <c r="B70">
        <v>1.584893192461106E-9</v>
      </c>
      <c r="C70">
        <v>6.3095734448019627E-6</v>
      </c>
      <c r="D70">
        <v>5.1286138399135587E-19</v>
      </c>
      <c r="E70">
        <v>3.2359365692962415E-15</v>
      </c>
      <c r="F70">
        <v>1.0232929922807449E-10</v>
      </c>
      <c r="G70">
        <v>1.28824955169313E-7</v>
      </c>
      <c r="H70">
        <v>8.1283051616410059E-7</v>
      </c>
      <c r="I70">
        <v>2.6915348039268529E-34</v>
      </c>
      <c r="J70">
        <v>-6.026060772331765</v>
      </c>
      <c r="K70">
        <v>2.4447058542917714E-8</v>
      </c>
      <c r="L70">
        <v>1.6913232247858584E-10</v>
      </c>
      <c r="M70">
        <v>9.9592495007069933E-17</v>
      </c>
      <c r="N70">
        <v>1.253795227883858E-7</v>
      </c>
      <c r="O70">
        <v>-5.9717108623210127</v>
      </c>
      <c r="P70">
        <v>1E-3</v>
      </c>
      <c r="Q70">
        <v>1.9952567054668466E-14</v>
      </c>
      <c r="R70">
        <v>1.380380383775626E-16</v>
      </c>
      <c r="S70">
        <v>8.1282823096358375E-23</v>
      </c>
      <c r="T70">
        <v>1.0232901153837684E-13</v>
      </c>
      <c r="U70">
        <v>-6.0260607250787759</v>
      </c>
    </row>
    <row r="71" spans="1:21" x14ac:dyDescent="0.35">
      <c r="A71">
        <v>8.9000000000000057</v>
      </c>
      <c r="B71">
        <v>1.2589254117941489E-9</v>
      </c>
      <c r="C71">
        <v>7.9432823472429302E-6</v>
      </c>
      <c r="D71">
        <v>2.5703957827687438E-19</v>
      </c>
      <c r="E71">
        <v>2.0417379446694636E-15</v>
      </c>
      <c r="F71">
        <v>8.1283051616408413E-11</v>
      </c>
      <c r="G71">
        <v>1.28824955169313E-7</v>
      </c>
      <c r="H71">
        <v>1.0232929922807658E-6</v>
      </c>
      <c r="I71">
        <v>8.511380382023153E-35</v>
      </c>
      <c r="J71">
        <v>-5.9384724183840554</v>
      </c>
      <c r="K71">
        <v>3.1405114794467802E-8</v>
      </c>
      <c r="L71">
        <v>1.0889310591933487E-10</v>
      </c>
      <c r="M71">
        <v>5.0933132282381027E-17</v>
      </c>
      <c r="N71">
        <v>1.0162495942636313E-7</v>
      </c>
      <c r="O71">
        <v>-5.9017256385735068</v>
      </c>
      <c r="P71">
        <v>1E-3</v>
      </c>
      <c r="Q71">
        <v>1.9952578850503117E-14</v>
      </c>
      <c r="R71">
        <v>6.9182943490289373E-17</v>
      </c>
      <c r="S71">
        <v>3.2359293848094167E-23</v>
      </c>
      <c r="T71">
        <v>6.4565279554108756E-14</v>
      </c>
      <c r="U71">
        <v>-5.9384723940216118</v>
      </c>
    </row>
    <row r="72" spans="1:21" x14ac:dyDescent="0.35">
      <c r="A72">
        <v>9.0000000000000053</v>
      </c>
      <c r="B72">
        <v>9.9999999999998662E-10</v>
      </c>
      <c r="C72">
        <v>1.0000000000000133E-5</v>
      </c>
      <c r="D72">
        <v>1.2882495516930787E-19</v>
      </c>
      <c r="E72">
        <v>1.2882495516930957E-15</v>
      </c>
      <c r="F72">
        <v>6.4565422903464433E-11</v>
      </c>
      <c r="G72">
        <v>1.28824955169313E-7</v>
      </c>
      <c r="H72">
        <v>1.288249551693147E-6</v>
      </c>
      <c r="I72">
        <v>2.6915348039267385E-35</v>
      </c>
      <c r="J72">
        <v>-5.8485875273658925</v>
      </c>
      <c r="K72">
        <v>4.006552966319448E-8</v>
      </c>
      <c r="L72">
        <v>6.9625910652979232E-11</v>
      </c>
      <c r="M72">
        <v>2.5868478665553474E-17</v>
      </c>
      <c r="N72">
        <v>8.18033121866246E-8</v>
      </c>
      <c r="O72">
        <v>-5.8241948871031717</v>
      </c>
      <c r="P72">
        <v>1E-3</v>
      </c>
      <c r="Q72">
        <v>1.9952588094485014E-14</v>
      </c>
      <c r="R72">
        <v>3.4673624126289566E-17</v>
      </c>
      <c r="S72">
        <v>1.2882472883390031E-23</v>
      </c>
      <c r="T72">
        <v>4.073795620687048E-14</v>
      </c>
      <c r="U72">
        <v>-5.8485875148707693</v>
      </c>
    </row>
    <row r="73" spans="1:21" x14ac:dyDescent="0.35">
      <c r="A73">
        <v>9.1</v>
      </c>
      <c r="B73">
        <v>7.9432823472428E-10</v>
      </c>
      <c r="C73">
        <v>1.2589254117941695E-5</v>
      </c>
      <c r="D73">
        <v>6.4565422903465002E-20</v>
      </c>
      <c r="E73">
        <v>8.1283051616409378E-16</v>
      </c>
      <c r="F73">
        <v>5.1286138399136176E-11</v>
      </c>
      <c r="G73">
        <v>1.28824955169313E-7</v>
      </c>
      <c r="H73">
        <v>1.6218100973589276E-6</v>
      </c>
      <c r="I73">
        <v>8.5113803820236921E-36</v>
      </c>
      <c r="J73">
        <v>-5.7567916570207656</v>
      </c>
      <c r="K73">
        <v>5.078432029736694E-8</v>
      </c>
      <c r="L73">
        <v>4.4231293919673883E-11</v>
      </c>
      <c r="M73">
        <v>1.3053580272313369E-17</v>
      </c>
      <c r="N73">
        <v>6.5422877856123259E-8</v>
      </c>
      <c r="O73">
        <v>-5.7408474602844555</v>
      </c>
      <c r="P73">
        <v>1E-3</v>
      </c>
      <c r="Q73">
        <v>1.995259535792941E-14</v>
      </c>
      <c r="R73">
        <v>1.7377984081883118E-17</v>
      </c>
      <c r="S73">
        <v>5.1286066963314779E-24</v>
      </c>
      <c r="T73">
        <v>2.5703922024966982E-14</v>
      </c>
      <c r="U73">
        <v>-5.756791650640058</v>
      </c>
    </row>
    <row r="74" spans="1:21" x14ac:dyDescent="0.35">
      <c r="A74">
        <v>9.2000000000000064</v>
      </c>
      <c r="B74">
        <v>6.309573444801837E-10</v>
      </c>
      <c r="C74">
        <v>1.5848931924611375E-5</v>
      </c>
      <c r="D74">
        <v>3.235936569296125E-20</v>
      </c>
      <c r="E74">
        <v>5.1286138399134772E-16</v>
      </c>
      <c r="F74">
        <v>4.0738027780410481E-11</v>
      </c>
      <c r="G74">
        <v>1.28824955169313E-7</v>
      </c>
      <c r="H74">
        <v>2.041737944669554E-6</v>
      </c>
      <c r="I74">
        <v>2.6915348039267128E-36</v>
      </c>
      <c r="J74">
        <v>-5.6634194733581955</v>
      </c>
      <c r="K74">
        <v>6.3970337022349217E-8</v>
      </c>
      <c r="L74">
        <v>2.7924064903993372E-11</v>
      </c>
      <c r="M74">
        <v>6.5460397588803797E-18</v>
      </c>
      <c r="N74">
        <v>5.1997042061065926E-8</v>
      </c>
      <c r="O74">
        <v>-5.653133100722628</v>
      </c>
      <c r="P74">
        <v>1E-3</v>
      </c>
      <c r="Q74">
        <v>1.9952601077472327E-14</v>
      </c>
      <c r="R74">
        <v>8.7096262646884592E-18</v>
      </c>
      <c r="S74">
        <v>2.0417356860349533E-24</v>
      </c>
      <c r="T74">
        <v>1.6218083032617704E-14</v>
      </c>
      <c r="U74">
        <v>-5.6634194701115383</v>
      </c>
    </row>
    <row r="75" spans="1:21" x14ac:dyDescent="0.35">
      <c r="A75">
        <v>9.300000000000006</v>
      </c>
      <c r="B75">
        <v>5.0118723362726523E-10</v>
      </c>
      <c r="C75">
        <v>1.9952623149689078E-5</v>
      </c>
      <c r="D75">
        <v>1.6218100973588564E-20</v>
      </c>
      <c r="E75">
        <v>3.2359365692961815E-16</v>
      </c>
      <c r="F75">
        <v>3.2359365692962235E-11</v>
      </c>
      <c r="G75">
        <v>1.28824955169313E-7</v>
      </c>
      <c r="H75">
        <v>2.5703957827688918E-6</v>
      </c>
      <c r="I75">
        <v>8.5113803820231712E-37</v>
      </c>
      <c r="J75">
        <v>-5.5687563915644427</v>
      </c>
      <c r="K75">
        <v>8.0080644090362262E-8</v>
      </c>
      <c r="L75">
        <v>1.7519735996204951E-11</v>
      </c>
      <c r="M75">
        <v>3.2623275036262087E-18</v>
      </c>
      <c r="N75">
        <v>4.1070269959101957E-8</v>
      </c>
      <c r="O75">
        <v>-5.5621954093416335</v>
      </c>
      <c r="P75">
        <v>1E-3</v>
      </c>
      <c r="Q75">
        <v>1.9952605589121836E-14</v>
      </c>
      <c r="R75">
        <v>4.365154480568022E-18</v>
      </c>
      <c r="S75">
        <v>8.1282980078118544E-25</v>
      </c>
      <c r="T75">
        <v>1.023292091667058E-14</v>
      </c>
      <c r="U75">
        <v>-5.568756389917322</v>
      </c>
    </row>
    <row r="76" spans="1:21" x14ac:dyDescent="0.35">
      <c r="A76">
        <v>9.4000000000000057</v>
      </c>
      <c r="B76">
        <v>3.9810717055349058E-10</v>
      </c>
      <c r="C76">
        <v>2.5118864315096222E-5</v>
      </c>
      <c r="D76">
        <v>8.1283051616405583E-21</v>
      </c>
      <c r="E76">
        <v>2.0417379446694544E-16</v>
      </c>
      <c r="F76">
        <v>2.57039578276881E-11</v>
      </c>
      <c r="G76">
        <v>1.28824955169313E-7</v>
      </c>
      <c r="H76">
        <v>3.2359365692963266E-6</v>
      </c>
      <c r="I76">
        <v>2.6915348039266918E-37</v>
      </c>
      <c r="J76">
        <v>-5.4730423930609478</v>
      </c>
      <c r="K76">
        <v>9.9607895496238941E-8</v>
      </c>
      <c r="L76">
        <v>1.0921788557532936E-11</v>
      </c>
      <c r="M76">
        <v>1.6154509069246191E-18</v>
      </c>
      <c r="N76">
        <v>3.2232483162691132E-8</v>
      </c>
      <c r="O76">
        <v>-5.4689005367522894</v>
      </c>
      <c r="P76">
        <v>1E-3</v>
      </c>
      <c r="Q76">
        <v>1.9952609152955485E-14</v>
      </c>
      <c r="R76">
        <v>2.1877600892381515E-18</v>
      </c>
      <c r="S76">
        <v>3.2359342992917105E-25</v>
      </c>
      <c r="T76">
        <v>6.4565377610922223E-15</v>
      </c>
      <c r="U76">
        <v>-5.4730423922273186</v>
      </c>
    </row>
    <row r="77" spans="1:21" x14ac:dyDescent="0.35">
      <c r="A77">
        <v>9.5000000000000053</v>
      </c>
      <c r="B77">
        <v>3.1622776601683294E-10</v>
      </c>
      <c r="C77">
        <v>3.162277660168429E-5</v>
      </c>
      <c r="D77">
        <v>4.0738027780409226E-21</v>
      </c>
      <c r="E77">
        <v>1.2882495516930894E-16</v>
      </c>
      <c r="F77">
        <v>2.041737944669489E-11</v>
      </c>
      <c r="G77">
        <v>1.28824955169313E-7</v>
      </c>
      <c r="H77">
        <v>4.0738027780411789E-6</v>
      </c>
      <c r="I77">
        <v>8.5113803820231032E-38</v>
      </c>
      <c r="J77">
        <v>-5.3764769679763988</v>
      </c>
      <c r="K77">
        <v>1.2305662286295652E-7</v>
      </c>
      <c r="L77">
        <v>6.762464406207402E-12</v>
      </c>
      <c r="M77">
        <v>7.9452028962185228E-19</v>
      </c>
      <c r="N77">
        <v>2.5124937624217842E-8</v>
      </c>
      <c r="O77">
        <v>-5.3738876353826939</v>
      </c>
      <c r="P77">
        <v>1E-3</v>
      </c>
      <c r="Q77">
        <v>1.9952611971258329E-14</v>
      </c>
      <c r="R77">
        <v>1.0964775818426876E-18</v>
      </c>
      <c r="S77">
        <v>1.2882488299529571E-25</v>
      </c>
      <c r="T77">
        <v>4.0738004956984353E-15</v>
      </c>
      <c r="U77">
        <v>-5.3764769675553064</v>
      </c>
    </row>
    <row r="78" spans="1:21" x14ac:dyDescent="0.35">
      <c r="A78">
        <v>9.6</v>
      </c>
      <c r="B78">
        <v>2.5118864315095784E-10</v>
      </c>
      <c r="C78">
        <v>3.9810717055349756E-5</v>
      </c>
      <c r="D78">
        <v>2.0417379446695185E-21</v>
      </c>
      <c r="E78">
        <v>8.1283051616409563E-17</v>
      </c>
      <c r="F78">
        <v>1.6218100973589221E-11</v>
      </c>
      <c r="G78">
        <v>1.28824955169313E-7</v>
      </c>
      <c r="H78">
        <v>5.1286138399136362E-6</v>
      </c>
      <c r="I78">
        <v>2.6915348039269076E-38</v>
      </c>
      <c r="J78">
        <v>-5.2792244347755961</v>
      </c>
      <c r="K78">
        <v>1.5090558283408164E-7</v>
      </c>
      <c r="L78">
        <v>4.1562848773560165E-12</v>
      </c>
      <c r="M78">
        <v>3.8788707371299817E-19</v>
      </c>
      <c r="N78">
        <v>1.9440404943399648E-8</v>
      </c>
      <c r="O78">
        <v>-5.2776211708708525</v>
      </c>
      <c r="P78">
        <v>1E-3</v>
      </c>
      <c r="Q78">
        <v>1.9952614201998455E-14</v>
      </c>
      <c r="R78">
        <v>5.4954062741776724E-19</v>
      </c>
      <c r="S78">
        <v>5.128611540003061E-26</v>
      </c>
      <c r="T78">
        <v>2.5703946300830531E-15</v>
      </c>
      <c r="U78">
        <v>-5.2792244345632229</v>
      </c>
    </row>
    <row r="79" spans="1:21" x14ac:dyDescent="0.35">
      <c r="A79">
        <v>9.7000000000000064</v>
      </c>
      <c r="B79">
        <v>1.9952623149688448E-10</v>
      </c>
      <c r="C79">
        <v>5.0118723362728105E-5</v>
      </c>
      <c r="D79">
        <v>1.0232929922806974E-21</v>
      </c>
      <c r="E79">
        <v>5.1286138399134535E-17</v>
      </c>
      <c r="F79">
        <v>1.2882495516931063E-11</v>
      </c>
      <c r="G79">
        <v>1.28824955169313E-7</v>
      </c>
      <c r="H79">
        <v>6.456542290346648E-6</v>
      </c>
      <c r="I79">
        <v>8.511380382023028E-39</v>
      </c>
      <c r="J79">
        <v>-5.1814191511873444</v>
      </c>
      <c r="K79">
        <v>1.8355465089033778E-7</v>
      </c>
      <c r="L79">
        <v>2.533759517836847E-12</v>
      </c>
      <c r="M79">
        <v>1.8783018795660907E-19</v>
      </c>
      <c r="N79">
        <v>1.4919882162750915E-8</v>
      </c>
      <c r="O79">
        <v>-5.1804361568563326</v>
      </c>
      <c r="P79">
        <v>1E-3</v>
      </c>
      <c r="Q79">
        <v>1.9952615968943608E-14</v>
      </c>
      <c r="R79">
        <v>2.7542277121192534E-19</v>
      </c>
      <c r="S79">
        <v>2.0417372098687554E-26</v>
      </c>
      <c r="T79">
        <v>1.6218095136859921E-15</v>
      </c>
      <c r="U79">
        <v>-5.1814191510803713</v>
      </c>
    </row>
    <row r="80" spans="1:21" x14ac:dyDescent="0.35">
      <c r="A80">
        <v>9.800000000000006</v>
      </c>
      <c r="B80">
        <v>1.5848931924610874E-10</v>
      </c>
      <c r="C80">
        <v>6.3095734448020364E-5</v>
      </c>
      <c r="D80">
        <v>5.1286138399133793E-22</v>
      </c>
      <c r="E80">
        <v>3.2359365692961662E-17</v>
      </c>
      <c r="F80">
        <v>1.023292992280733E-11</v>
      </c>
      <c r="G80">
        <v>1.2882495516931298E-7</v>
      </c>
      <c r="H80">
        <v>8.1283051616411016E-6</v>
      </c>
      <c r="I80">
        <v>2.6915348039266956E-39</v>
      </c>
      <c r="J80">
        <v>-5.0831703334719345</v>
      </c>
      <c r="K80">
        <v>2.2125770805398195E-7</v>
      </c>
      <c r="L80">
        <v>1.5307293498627723E-12</v>
      </c>
      <c r="M80">
        <v>9.0136026573326128E-20</v>
      </c>
      <c r="N80">
        <v>1.1347453437131882E-8</v>
      </c>
      <c r="O80">
        <v>-5.0825738294877683</v>
      </c>
      <c r="P80">
        <v>1E-3</v>
      </c>
      <c r="Q80">
        <v>1.9952617369326991E-14</v>
      </c>
      <c r="R80">
        <v>1.3803838646994835E-19</v>
      </c>
      <c r="S80">
        <v>8.1283028068350256E-27</v>
      </c>
      <c r="T80">
        <v>1.0232926958282852E-15</v>
      </c>
      <c r="U80">
        <v>-5.0831703334181064</v>
      </c>
    </row>
    <row r="81" spans="1:21" x14ac:dyDescent="0.35">
      <c r="A81">
        <v>9.9000000000000057</v>
      </c>
      <c r="B81">
        <v>1.2589254117941476E-10</v>
      </c>
      <c r="C81">
        <v>7.9432823472429386E-5</v>
      </c>
      <c r="D81">
        <v>2.5703957827687359E-22</v>
      </c>
      <c r="E81">
        <v>2.0417379446694598E-17</v>
      </c>
      <c r="F81">
        <v>8.1283051616408329E-12</v>
      </c>
      <c r="G81">
        <v>1.28824955169313E-7</v>
      </c>
      <c r="H81">
        <v>1.0232929922807669E-5</v>
      </c>
      <c r="I81">
        <v>8.5113803820231089E-40</v>
      </c>
      <c r="J81">
        <v>-4.984566345095808</v>
      </c>
      <c r="K81">
        <v>2.6404772891061204E-7</v>
      </c>
      <c r="L81">
        <v>9.1555077891605146E-13</v>
      </c>
      <c r="M81">
        <v>4.2823527293189564E-20</v>
      </c>
      <c r="N81">
        <v>8.5444170202145447E-9</v>
      </c>
      <c r="O81">
        <v>-4.9842083306041536</v>
      </c>
      <c r="P81">
        <v>1E-3</v>
      </c>
      <c r="Q81">
        <v>1.9952618479703084E-14</v>
      </c>
      <c r="R81">
        <v>6.9183080899328978E-20</v>
      </c>
      <c r="S81">
        <v>3.2359358119130696E-27</v>
      </c>
      <c r="T81">
        <v>6.4565407791686014E-16</v>
      </c>
      <c r="U81">
        <v>-4.9845663450687443</v>
      </c>
    </row>
    <row r="82" spans="1:21" x14ac:dyDescent="0.35">
      <c r="A82">
        <v>10</v>
      </c>
      <c r="B82">
        <v>1E-10</v>
      </c>
      <c r="C82">
        <v>9.9999999999999991E-5</v>
      </c>
      <c r="D82">
        <v>1.2882495516931303E-22</v>
      </c>
      <c r="E82">
        <v>1.2882495516931302E-17</v>
      </c>
      <c r="F82">
        <v>6.4565422903465296E-12</v>
      </c>
      <c r="G82">
        <v>1.28824955169313E-7</v>
      </c>
      <c r="H82">
        <v>1.2882495516931298E-5</v>
      </c>
      <c r="I82">
        <v>2.6915348039269188E-40</v>
      </c>
      <c r="J82">
        <v>-4.8856784107092102</v>
      </c>
      <c r="K82">
        <v>3.1166620227105184E-7</v>
      </c>
      <c r="L82">
        <v>5.4161378459980402E-13</v>
      </c>
      <c r="M82">
        <v>2.012286015434742E-20</v>
      </c>
      <c r="N82">
        <v>6.3634071124785543E-9</v>
      </c>
      <c r="O82">
        <v>-4.8854660455795997</v>
      </c>
      <c r="P82">
        <v>1E-3</v>
      </c>
      <c r="Q82">
        <v>1.9952619360451955E-14</v>
      </c>
      <c r="R82">
        <v>3.4673678460314215E-20</v>
      </c>
      <c r="S82">
        <v>1.28824930703945E-27</v>
      </c>
      <c r="T82">
        <v>4.0738020043782652E-16</v>
      </c>
      <c r="U82">
        <v>-4.8856784106956122</v>
      </c>
    </row>
    <row r="83" spans="1:21" x14ac:dyDescent="0.35">
      <c r="A83">
        <v>10.1</v>
      </c>
      <c r="B83">
        <v>7.943282347242792E-11</v>
      </c>
      <c r="C83">
        <v>1.258925411794171E-4</v>
      </c>
      <c r="D83">
        <v>6.4565422903464785E-23</v>
      </c>
      <c r="E83">
        <v>8.1283051616409205E-18</v>
      </c>
      <c r="F83">
        <v>5.128613839913613E-12</v>
      </c>
      <c r="G83">
        <v>1.28824955169313E-7</v>
      </c>
      <c r="H83">
        <v>1.6218100973589302E-5</v>
      </c>
      <c r="I83">
        <v>8.5113803820236474E-41</v>
      </c>
      <c r="J83">
        <v>-4.7865637689944043</v>
      </c>
      <c r="K83">
        <v>3.6351421247999116E-7</v>
      </c>
      <c r="L83">
        <v>3.1660764350162756E-13</v>
      </c>
      <c r="M83">
        <v>9.343753987350991E-21</v>
      </c>
      <c r="N83">
        <v>4.6829702126142869E-9</v>
      </c>
      <c r="O83">
        <v>-4.7864393643389596</v>
      </c>
      <c r="P83">
        <v>1E-3</v>
      </c>
      <c r="Q83">
        <v>1.9952620059264341E-14</v>
      </c>
      <c r="R83">
        <v>1.737800559584641E-20</v>
      </c>
      <c r="S83">
        <v>5.1286130455521695E-28</v>
      </c>
      <c r="T83">
        <v>2.5703953846450578E-16</v>
      </c>
      <c r="U83">
        <v>-4.7865637689875751</v>
      </c>
    </row>
    <row r="84" spans="1:21" x14ac:dyDescent="0.35">
      <c r="A84">
        <v>10.199999999999999</v>
      </c>
      <c r="B84">
        <v>6.3095734448019192E-11</v>
      </c>
      <c r="C84">
        <v>1.5848931924611169E-4</v>
      </c>
      <c r="D84">
        <v>3.2359365692962519E-23</v>
      </c>
      <c r="E84">
        <v>5.1286138399136107E-18</v>
      </c>
      <c r="F84">
        <v>4.0738027780411027E-12</v>
      </c>
      <c r="G84">
        <v>1.28824955169313E-7</v>
      </c>
      <c r="H84">
        <v>2.0417379446695274E-5</v>
      </c>
      <c r="I84">
        <v>2.6915348039268893E-41</v>
      </c>
      <c r="J84">
        <v>-4.6872683095551366</v>
      </c>
      <c r="K84">
        <v>4.1864399860297866E-7</v>
      </c>
      <c r="L84">
        <v>1.8274473346252877E-13</v>
      </c>
      <c r="M84">
        <v>4.2839547003081649E-21</v>
      </c>
      <c r="N84">
        <v>3.4028661747346023E-9</v>
      </c>
      <c r="O84">
        <v>-4.6871963837305284</v>
      </c>
      <c r="P84">
        <v>1E-3</v>
      </c>
      <c r="Q84">
        <v>1.9952620613851499E-14</v>
      </c>
      <c r="R84">
        <v>8.709634792627615E-21</v>
      </c>
      <c r="S84">
        <v>2.0417376851790496E-28</v>
      </c>
      <c r="T84">
        <v>1.6218098912383295E-16</v>
      </c>
      <c r="U84">
        <v>-4.6872683095517091</v>
      </c>
    </row>
    <row r="85" spans="1:21" x14ac:dyDescent="0.35">
      <c r="A85">
        <v>10.3</v>
      </c>
      <c r="B85">
        <v>5.0118723362726993E-11</v>
      </c>
      <c r="C85">
        <v>1.9952623149688891E-4</v>
      </c>
      <c r="D85">
        <v>1.6218100973589019E-23</v>
      </c>
      <c r="E85">
        <v>3.2359365692962418E-18</v>
      </c>
      <c r="F85">
        <v>3.2359365692962541E-12</v>
      </c>
      <c r="G85">
        <v>1.28824955169313E-7</v>
      </c>
      <c r="H85">
        <v>2.5703957827688675E-5</v>
      </c>
      <c r="I85">
        <v>8.5113803820235679E-42</v>
      </c>
      <c r="J85">
        <v>-4.5878287534340219</v>
      </c>
      <c r="K85">
        <v>4.758047281514333E-7</v>
      </c>
      <c r="L85">
        <v>1.0409473247434394E-13</v>
      </c>
      <c r="M85">
        <v>1.9383346233483676E-21</v>
      </c>
      <c r="N85">
        <v>2.4402187138937694E-9</v>
      </c>
      <c r="O85">
        <v>-4.5877877292613389</v>
      </c>
      <c r="P85">
        <v>1E-3</v>
      </c>
      <c r="Q85">
        <v>1.995262105406074E-14</v>
      </c>
      <c r="R85">
        <v>4.3651578639281302E-21</v>
      </c>
      <c r="S85">
        <v>8.1283043079232658E-29</v>
      </c>
      <c r="T85">
        <v>1.0232928848040741E-16</v>
      </c>
      <c r="U85">
        <v>-4.5878287534323015</v>
      </c>
    </row>
    <row r="86" spans="1:21" x14ac:dyDescent="0.35">
      <c r="A86">
        <v>10.4</v>
      </c>
      <c r="B86">
        <v>3.9810717055349579E-11</v>
      </c>
      <c r="C86">
        <v>2.5118864315095893E-4</v>
      </c>
      <c r="D86">
        <v>8.1283051616408787E-24</v>
      </c>
      <c r="E86">
        <v>2.0417379446695084E-18</v>
      </c>
      <c r="F86">
        <v>2.570395782768844E-12</v>
      </c>
      <c r="G86">
        <v>1.28824955169313E-7</v>
      </c>
      <c r="H86">
        <v>3.235936569296285E-5</v>
      </c>
      <c r="I86">
        <v>2.6915348039268692E-42</v>
      </c>
      <c r="J86">
        <v>-4.4882744406107351</v>
      </c>
      <c r="K86">
        <v>5.335439360343297E-7</v>
      </c>
      <c r="L86">
        <v>5.8501929254604986E-14</v>
      </c>
      <c r="M86">
        <v>8.6530694284508682E-22</v>
      </c>
      <c r="N86">
        <v>1.726514333939752E-9</v>
      </c>
      <c r="O86">
        <v>-4.4882513608067631</v>
      </c>
      <c r="P86">
        <v>1E-3</v>
      </c>
      <c r="Q86">
        <v>1.995262140353263E-14</v>
      </c>
      <c r="R86">
        <v>2.1877614324873107E-21</v>
      </c>
      <c r="S86">
        <v>3.2359362861028523E-29</v>
      </c>
      <c r="T86">
        <v>6.456541725301451E-17</v>
      </c>
      <c r="U86">
        <v>-4.4882744406098727</v>
      </c>
    </row>
    <row r="87" spans="1:21" x14ac:dyDescent="0.35">
      <c r="A87">
        <v>10.5</v>
      </c>
      <c r="B87">
        <v>3.162277660168371E-11</v>
      </c>
      <c r="C87">
        <v>3.1622776601683875E-4</v>
      </c>
      <c r="D87">
        <v>4.073802778041083E-24</v>
      </c>
      <c r="E87">
        <v>1.2882495516931233E-18</v>
      </c>
      <c r="F87">
        <v>2.0417379446695154E-12</v>
      </c>
      <c r="G87">
        <v>1.28824955169313E-7</v>
      </c>
      <c r="H87">
        <v>4.0738027780411247E-5</v>
      </c>
      <c r="I87">
        <v>8.511380382023659E-43</v>
      </c>
      <c r="J87">
        <v>-4.3886287854696331</v>
      </c>
      <c r="K87">
        <v>5.903498638646214E-7</v>
      </c>
      <c r="L87">
        <v>3.2442138006989092E-14</v>
      </c>
      <c r="M87">
        <v>3.8116188621422043E-22</v>
      </c>
      <c r="N87">
        <v>1.2053397176828825E-9</v>
      </c>
      <c r="O87">
        <v>-4.3886159760973316</v>
      </c>
      <c r="P87">
        <v>1E-3</v>
      </c>
      <c r="Q87">
        <v>1.9952621681002621E-14</v>
      </c>
      <c r="R87">
        <v>1.096478115432867E-21</v>
      </c>
      <c r="S87">
        <v>1.2882494568667715E-29</v>
      </c>
      <c r="T87">
        <v>4.073802478173878E-17</v>
      </c>
      <c r="U87">
        <v>-4.3886287854692005</v>
      </c>
    </row>
    <row r="88" spans="1:21" x14ac:dyDescent="0.35">
      <c r="A88">
        <v>10.6</v>
      </c>
      <c r="B88">
        <v>2.5118864315095759E-11</v>
      </c>
      <c r="C88">
        <v>3.9810717055349795E-4</v>
      </c>
      <c r="D88">
        <v>2.0417379446695123E-24</v>
      </c>
      <c r="E88">
        <v>8.1283051616409386E-19</v>
      </c>
      <c r="F88">
        <v>1.6218100973589207E-12</v>
      </c>
      <c r="G88">
        <v>1.28824955169313E-7</v>
      </c>
      <c r="H88">
        <v>5.128613839913642E-5</v>
      </c>
      <c r="I88">
        <v>2.6915348039268943E-43</v>
      </c>
      <c r="J88">
        <v>-4.2889104557008464</v>
      </c>
      <c r="K88">
        <v>6.4480638086951914E-7</v>
      </c>
      <c r="L88">
        <v>1.7759442422864206E-14</v>
      </c>
      <c r="M88">
        <v>1.6574076020894475E-22</v>
      </c>
      <c r="N88">
        <v>8.3067153108402762E-10</v>
      </c>
      <c r="O88">
        <v>-4.2889034390499381</v>
      </c>
      <c r="P88">
        <v>1E-3</v>
      </c>
      <c r="Q88">
        <v>1.9952621901325757E-14</v>
      </c>
      <c r="R88">
        <v>5.4954083947484799E-22</v>
      </c>
      <c r="S88">
        <v>5.1286135190348828E-30</v>
      </c>
      <c r="T88">
        <v>2.5703956219485433E-17</v>
      </c>
      <c r="U88">
        <v>-4.2889104557006297</v>
      </c>
    </row>
    <row r="89" spans="1:21" x14ac:dyDescent="0.35">
      <c r="A89">
        <v>10.7</v>
      </c>
      <c r="B89">
        <v>1.995262314968878E-11</v>
      </c>
      <c r="C89">
        <v>5.0118723362727274E-4</v>
      </c>
      <c r="D89">
        <v>1.0232929922807481E-24</v>
      </c>
      <c r="E89">
        <v>5.1286138399136232E-19</v>
      </c>
      <c r="F89">
        <v>1.2882495516931277E-12</v>
      </c>
      <c r="G89">
        <v>1.28824955169313E-7</v>
      </c>
      <c r="H89">
        <v>6.456542290346541E-5</v>
      </c>
      <c r="I89">
        <v>8.5113803820237311E-44</v>
      </c>
      <c r="J89">
        <v>-4.1891343232691449</v>
      </c>
      <c r="K89">
        <v>6.9572776640566175E-7</v>
      </c>
      <c r="L89">
        <v>9.6037166119368346E-15</v>
      </c>
      <c r="M89">
        <v>7.1193334789804969E-23</v>
      </c>
      <c r="N89">
        <v>5.6550875947720893E-10</v>
      </c>
      <c r="O89">
        <v>-4.1891305269435932</v>
      </c>
      <c r="P89">
        <v>1E-3</v>
      </c>
      <c r="Q89">
        <v>1.9952622076284725E-14</v>
      </c>
      <c r="R89">
        <v>2.7542285551671469E-22</v>
      </c>
      <c r="S89">
        <v>2.041737834828827E-30</v>
      </c>
      <c r="T89">
        <v>1.6218100101093685E-17</v>
      </c>
      <c r="U89">
        <v>-4.1891343232690366</v>
      </c>
    </row>
    <row r="90" spans="1:21" x14ac:dyDescent="0.35">
      <c r="A90">
        <v>10.8</v>
      </c>
      <c r="B90">
        <v>1.5848931924611082E-11</v>
      </c>
      <c r="C90">
        <v>6.3095734448019537E-4</v>
      </c>
      <c r="D90">
        <v>5.1286138399135808E-25</v>
      </c>
      <c r="E90">
        <v>3.2359365692962507E-19</v>
      </c>
      <c r="F90">
        <v>1.0232929922807466E-12</v>
      </c>
      <c r="G90">
        <v>1.2882495516931303E-7</v>
      </c>
      <c r="H90">
        <v>8.1283051616409945E-5</v>
      </c>
      <c r="I90">
        <v>2.6915348039268722E-44</v>
      </c>
      <c r="J90">
        <v>-4.0893122290468877</v>
      </c>
      <c r="K90">
        <v>7.4224763061321538E-7</v>
      </c>
      <c r="L90">
        <v>5.1350989894941528E-15</v>
      </c>
      <c r="M90">
        <v>3.0237704595865079E-23</v>
      </c>
      <c r="N90">
        <v>3.8067014710060248E-10</v>
      </c>
      <c r="O90">
        <v>-4.0893101983261531</v>
      </c>
      <c r="P90">
        <v>1E-3</v>
      </c>
      <c r="Q90">
        <v>1.9952622215228077E-14</v>
      </c>
      <c r="R90">
        <v>1.3803841999539829E-22</v>
      </c>
      <c r="S90">
        <v>8.1283047809599824E-31</v>
      </c>
      <c r="T90">
        <v>1.0232929443558656E-17</v>
      </c>
      <c r="U90">
        <v>-4.0893122290468336</v>
      </c>
    </row>
    <row r="91" spans="1:21" x14ac:dyDescent="0.35">
      <c r="A91">
        <v>10.9</v>
      </c>
      <c r="B91">
        <v>1.2589254117941641E-11</v>
      </c>
      <c r="C91">
        <v>7.9432823472428348E-4</v>
      </c>
      <c r="D91">
        <v>2.5703957827688372E-25</v>
      </c>
      <c r="E91">
        <v>2.0417379446695134E-19</v>
      </c>
      <c r="F91">
        <v>8.1283051616409404E-13</v>
      </c>
      <c r="G91">
        <v>1.28824955169313E-7</v>
      </c>
      <c r="H91">
        <v>1.0232929922807534E-4</v>
      </c>
      <c r="I91">
        <v>8.5113803820236676E-45</v>
      </c>
      <c r="J91">
        <v>-3.9894535960617556</v>
      </c>
      <c r="K91">
        <v>7.8385110391287949E-7</v>
      </c>
      <c r="L91">
        <v>2.717900629944897E-15</v>
      </c>
      <c r="M91">
        <v>1.2712576351518342E-23</v>
      </c>
      <c r="N91">
        <v>2.5364924520349356E-10</v>
      </c>
      <c r="O91">
        <v>-3.9894525208955693</v>
      </c>
      <c r="P91">
        <v>1E-3</v>
      </c>
      <c r="Q91">
        <v>1.995262232557483E-14</v>
      </c>
      <c r="R91">
        <v>6.9183094234386285E-23</v>
      </c>
      <c r="S91">
        <v>3.2359364356406023E-31</v>
      </c>
      <c r="T91">
        <v>6.456542023668474E-18</v>
      </c>
      <c r="U91">
        <v>-3.9894535960617286</v>
      </c>
    </row>
    <row r="92" spans="1:21" x14ac:dyDescent="0.35">
      <c r="A92">
        <v>11</v>
      </c>
      <c r="B92">
        <v>9.9999999999999994E-12</v>
      </c>
      <c r="C92">
        <v>1E-3</v>
      </c>
      <c r="D92">
        <v>1.2882495516931301E-25</v>
      </c>
      <c r="E92">
        <v>1.28824955169313E-19</v>
      </c>
      <c r="F92">
        <v>6.456542290346529E-13</v>
      </c>
      <c r="G92">
        <v>1.28824955169313E-7</v>
      </c>
      <c r="H92">
        <v>1.2882495516931299E-4</v>
      </c>
      <c r="I92">
        <v>2.691534803926918E-45</v>
      </c>
      <c r="J92">
        <v>-3.8895659203462283</v>
      </c>
      <c r="K92">
        <v>8.2035521819559789E-7</v>
      </c>
      <c r="L92">
        <v>1.4256139780491836E-15</v>
      </c>
      <c r="M92">
        <v>5.2966581593863323E-24</v>
      </c>
      <c r="N92">
        <v>1.674950377097604E-10</v>
      </c>
      <c r="O92">
        <v>-3.8895653562468895</v>
      </c>
      <c r="P92">
        <v>1E-3</v>
      </c>
      <c r="Q92">
        <v>1.9952622413213834E-14</v>
      </c>
      <c r="R92">
        <v>3.4673683765406336E-23</v>
      </c>
      <c r="S92">
        <v>1.2882495041423112E-31</v>
      </c>
      <c r="T92">
        <v>4.0738026276722412E-18</v>
      </c>
      <c r="U92">
        <v>-3.889565920346215</v>
      </c>
    </row>
    <row r="93" spans="1:21" x14ac:dyDescent="0.35">
      <c r="A93">
        <v>11.1</v>
      </c>
      <c r="B93">
        <v>7.9432823472428101E-12</v>
      </c>
      <c r="C93">
        <v>1.2589254117941679E-3</v>
      </c>
      <c r="D93">
        <v>6.4565422903465242E-26</v>
      </c>
      <c r="E93">
        <v>8.1283051616409589E-20</v>
      </c>
      <c r="F93">
        <v>5.1286138399136247E-13</v>
      </c>
      <c r="G93">
        <v>1.2882495516931303E-7</v>
      </c>
      <c r="H93">
        <v>1.621810097358926E-4</v>
      </c>
      <c r="I93">
        <v>8.5113803820237454E-46</v>
      </c>
      <c r="J93">
        <v>-3.7896551631967057</v>
      </c>
      <c r="K93">
        <v>8.5185311154440587E-7</v>
      </c>
      <c r="L93">
        <v>7.4193304414597145E-16</v>
      </c>
      <c r="M93">
        <v>2.1895996454522616E-24</v>
      </c>
      <c r="N93">
        <v>1.0973993890554812E-10</v>
      </c>
      <c r="O93">
        <v>-3.7896548695622752</v>
      </c>
      <c r="P93">
        <v>1E-3</v>
      </c>
      <c r="Q93">
        <v>1.9952622482820059E-14</v>
      </c>
      <c r="R93">
        <v>1.7378007706675321E-23</v>
      </c>
      <c r="S93">
        <v>5.1286136685019573E-32</v>
      </c>
      <c r="T93">
        <v>2.5703956968595264E-18</v>
      </c>
      <c r="U93">
        <v>-3.789655163196699</v>
      </c>
    </row>
    <row r="94" spans="1:21" x14ac:dyDescent="0.35">
      <c r="A94">
        <v>11.2</v>
      </c>
      <c r="B94">
        <v>6.3095734448019345E-12</v>
      </c>
      <c r="C94">
        <v>1.584893192461113E-3</v>
      </c>
      <c r="D94">
        <v>3.235936569296276E-26</v>
      </c>
      <c r="E94">
        <v>5.1286138399136362E-20</v>
      </c>
      <c r="F94">
        <v>4.0738027780411121E-13</v>
      </c>
      <c r="G94">
        <v>1.2882495516931303E-7</v>
      </c>
      <c r="H94">
        <v>2.0417379446695223E-4</v>
      </c>
      <c r="I94">
        <v>2.6915348039269221E-46</v>
      </c>
      <c r="J94">
        <v>-3.68972606425252</v>
      </c>
      <c r="K94">
        <v>8.7864102640688467E-7</v>
      </c>
      <c r="L94">
        <v>3.8354071888235492E-16</v>
      </c>
      <c r="M94">
        <v>8.9910720505253156E-25</v>
      </c>
      <c r="N94">
        <v>7.1418623901726269E-11</v>
      </c>
      <c r="O94">
        <v>-3.6897259124342252</v>
      </c>
      <c r="P94">
        <v>1E-3</v>
      </c>
      <c r="Q94">
        <v>1.9952622538105258E-14</v>
      </c>
      <c r="R94">
        <v>8.7096356325949096E-24</v>
      </c>
      <c r="S94">
        <v>2.0417378820866088E-32</v>
      </c>
      <c r="T94">
        <v>1.6218100476475552E-18</v>
      </c>
      <c r="U94">
        <v>-3.6897260642525169</v>
      </c>
    </row>
    <row r="95" spans="1:21" x14ac:dyDescent="0.35">
      <c r="A95">
        <v>11.3</v>
      </c>
      <c r="B95">
        <v>5.0118723362726945E-12</v>
      </c>
      <c r="C95">
        <v>1.9952623149688911E-3</v>
      </c>
      <c r="D95">
        <v>1.6218100973588969E-26</v>
      </c>
      <c r="E95">
        <v>3.2359365692962358E-20</v>
      </c>
      <c r="F95">
        <v>3.2359365692962508E-13</v>
      </c>
      <c r="G95">
        <v>1.2882495516931298E-7</v>
      </c>
      <c r="H95">
        <v>2.5703957827688702E-4</v>
      </c>
      <c r="I95">
        <v>8.5113803820235247E-47</v>
      </c>
      <c r="J95">
        <v>-3.5897823911302664</v>
      </c>
      <c r="K95">
        <v>9.0114440394931828E-7</v>
      </c>
      <c r="L95">
        <v>1.9714891445971765E-16</v>
      </c>
      <c r="M95">
        <v>3.6710845762248492E-25</v>
      </c>
      <c r="N95">
        <v>4.6216216618551571E-11</v>
      </c>
      <c r="O95">
        <v>-3.5897823130820643</v>
      </c>
      <c r="P95">
        <v>1E-3</v>
      </c>
      <c r="Q95">
        <v>1.9952622582016702E-14</v>
      </c>
      <c r="R95">
        <v>4.3651581982084583E-24</v>
      </c>
      <c r="S95">
        <v>8.1283049303823573E-33</v>
      </c>
      <c r="T95">
        <v>1.0232929631670329E-18</v>
      </c>
      <c r="U95">
        <v>-3.5897823911302651</v>
      </c>
    </row>
    <row r="96" spans="1:21" x14ac:dyDescent="0.35">
      <c r="A96">
        <v>11.4</v>
      </c>
      <c r="B96">
        <v>3.9810717055349533E-12</v>
      </c>
      <c r="C96">
        <v>2.511886431509592E-3</v>
      </c>
      <c r="D96">
        <v>8.1283051616408524E-27</v>
      </c>
      <c r="E96">
        <v>2.0417379446695038E-20</v>
      </c>
      <c r="F96">
        <v>2.5703957827688417E-13</v>
      </c>
      <c r="G96">
        <v>1.2882495516931303E-7</v>
      </c>
      <c r="H96">
        <v>3.2359365692962875E-4</v>
      </c>
      <c r="I96">
        <v>2.6915348039268539E-47</v>
      </c>
      <c r="J96">
        <v>-3.4898271383141739</v>
      </c>
      <c r="K96">
        <v>9.198537659273669E-7</v>
      </c>
      <c r="L96">
        <v>1.0085995979795397E-16</v>
      </c>
      <c r="M96">
        <v>1.4918281256746069E-25</v>
      </c>
      <c r="N96">
        <v>2.9765884395692425E-11</v>
      </c>
      <c r="O96">
        <v>-3.489827098381197</v>
      </c>
      <c r="P96">
        <v>1E-3</v>
      </c>
      <c r="Q96">
        <v>1.9952622616894814E-14</v>
      </c>
      <c r="R96">
        <v>2.1877615655298212E-24</v>
      </c>
      <c r="S96">
        <v>3.2359364828871418E-33</v>
      </c>
      <c r="T96">
        <v>6.4565421179377429E-19</v>
      </c>
      <c r="U96">
        <v>-3.4898271383141735</v>
      </c>
    </row>
    <row r="97" spans="1:21" x14ac:dyDescent="0.35">
      <c r="A97">
        <v>11.5</v>
      </c>
      <c r="B97">
        <v>3.1622776601683669E-12</v>
      </c>
      <c r="C97">
        <v>3.162277660168392E-3</v>
      </c>
      <c r="D97">
        <v>4.073802778041066E-27</v>
      </c>
      <c r="E97">
        <v>1.2882495516931196E-20</v>
      </c>
      <c r="F97">
        <v>2.0417379446695129E-13</v>
      </c>
      <c r="G97">
        <v>1.28824955169313E-7</v>
      </c>
      <c r="H97">
        <v>4.0738027780411309E-4</v>
      </c>
      <c r="I97">
        <v>8.5113803820236015E-48</v>
      </c>
      <c r="J97">
        <v>-3.389862685518747</v>
      </c>
      <c r="K97">
        <v>9.3527530618087294E-7</v>
      </c>
      <c r="L97">
        <v>5.1397200905608769E-17</v>
      </c>
      <c r="M97">
        <v>6.0386445674735079E-26</v>
      </c>
      <c r="N97">
        <v>1.9095870813418855E-11</v>
      </c>
      <c r="O97">
        <v>-3.3898626651676596</v>
      </c>
      <c r="P97">
        <v>1E-3</v>
      </c>
      <c r="Q97">
        <v>1.995262264459823E-14</v>
      </c>
      <c r="R97">
        <v>1.0964781683863798E-24</v>
      </c>
      <c r="S97">
        <v>1.2882495190817222E-33</v>
      </c>
      <c r="T97">
        <v>4.0738026749148383E-19</v>
      </c>
      <c r="U97">
        <v>-3.3898626855187466</v>
      </c>
    </row>
    <row r="98" spans="1:21" x14ac:dyDescent="0.35">
      <c r="A98">
        <v>11.6</v>
      </c>
      <c r="B98">
        <v>2.5118864315095726E-12</v>
      </c>
      <c r="C98">
        <v>3.9810717055349847E-3</v>
      </c>
      <c r="D98">
        <v>2.0417379446695043E-27</v>
      </c>
      <c r="E98">
        <v>8.1283051616409179E-21</v>
      </c>
      <c r="F98">
        <v>1.6218100973589187E-13</v>
      </c>
      <c r="G98">
        <v>1.28824955169313E-7</v>
      </c>
      <c r="H98">
        <v>5.1286138399136484E-4</v>
      </c>
      <c r="I98">
        <v>2.6915348039268765E-48</v>
      </c>
      <c r="J98">
        <v>-3.2898909237198319</v>
      </c>
      <c r="K98">
        <v>9.4789675993536764E-7</v>
      </c>
      <c r="L98">
        <v>2.6107244640152107E-17</v>
      </c>
      <c r="M98">
        <v>2.4364698342380993E-26</v>
      </c>
      <c r="N98">
        <v>1.2211275760381044E-11</v>
      </c>
      <c r="O98">
        <v>-3.2898909133818166</v>
      </c>
      <c r="P98">
        <v>1E-3</v>
      </c>
      <c r="Q98">
        <v>1.9952622666603047E-14</v>
      </c>
      <c r="R98">
        <v>5.4954086055233262E-25</v>
      </c>
      <c r="S98">
        <v>5.128613715741408E-34</v>
      </c>
      <c r="T98">
        <v>2.5703957205353485E-19</v>
      </c>
      <c r="U98">
        <v>-3.2898909237198319</v>
      </c>
    </row>
    <row r="99" spans="1:21" x14ac:dyDescent="0.35">
      <c r="A99">
        <v>11.7</v>
      </c>
      <c r="B99">
        <v>1.9952623149688759E-12</v>
      </c>
      <c r="C99">
        <v>5.0118723362727324E-3</v>
      </c>
      <c r="D99">
        <v>1.0232929922807453E-27</v>
      </c>
      <c r="E99">
        <v>5.1286138399136136E-21</v>
      </c>
      <c r="F99">
        <v>1.2882495516931265E-13</v>
      </c>
      <c r="G99">
        <v>1.28824955169313E-7</v>
      </c>
      <c r="H99">
        <v>6.456542290346548E-4</v>
      </c>
      <c r="I99">
        <v>8.5113803820236933E-49</v>
      </c>
      <c r="J99">
        <v>-3.1899133554156682</v>
      </c>
      <c r="K99">
        <v>9.5816657854616778E-7</v>
      </c>
      <c r="L99">
        <v>1.3226380678935056E-17</v>
      </c>
      <c r="M99">
        <v>9.8048514526390889E-27</v>
      </c>
      <c r="N99">
        <v>7.7882703461086787E-12</v>
      </c>
      <c r="O99">
        <v>-3.1899133501779828</v>
      </c>
      <c r="P99">
        <v>1E-3</v>
      </c>
      <c r="Q99">
        <v>1.9952622684081589E-14</v>
      </c>
      <c r="R99">
        <v>2.7542286390664624E-25</v>
      </c>
      <c r="S99">
        <v>2.0417378970242464E-34</v>
      </c>
      <c r="T99">
        <v>1.6218100595129498E-19</v>
      </c>
      <c r="U99">
        <v>-3.1899133554156682</v>
      </c>
    </row>
    <row r="100" spans="1:21" x14ac:dyDescent="0.35">
      <c r="A100">
        <v>11.8</v>
      </c>
      <c r="B100">
        <v>1.5848931924611065E-12</v>
      </c>
      <c r="C100">
        <v>6.3095734448019598E-3</v>
      </c>
      <c r="D100">
        <v>5.1286138399135669E-28</v>
      </c>
      <c r="E100">
        <v>3.2359365692962455E-21</v>
      </c>
      <c r="F100">
        <v>1.0232929922807457E-13</v>
      </c>
      <c r="G100">
        <v>1.28824955169313E-7</v>
      </c>
      <c r="H100">
        <v>8.1283051616410024E-4</v>
      </c>
      <c r="I100">
        <v>2.6915348039268604E-49</v>
      </c>
      <c r="J100">
        <v>-3.0899311743624605</v>
      </c>
      <c r="K100">
        <v>9.6648340962777809E-7</v>
      </c>
      <c r="L100">
        <v>6.6864315565982078E-18</v>
      </c>
      <c r="M100">
        <v>3.9372627990722195E-27</v>
      </c>
      <c r="N100">
        <v>4.9567201906639138E-12</v>
      </c>
      <c r="O100">
        <v>-3.0899311717145066</v>
      </c>
      <c r="P100">
        <v>1E-3</v>
      </c>
      <c r="Q100">
        <v>1.9952622697964979E-14</v>
      </c>
      <c r="R100">
        <v>1.3803842333512132E-25</v>
      </c>
      <c r="S100">
        <v>8.1283049776174456E-35</v>
      </c>
      <c r="T100">
        <v>1.0232929691135756E-19</v>
      </c>
      <c r="U100">
        <v>-3.0899311743624609</v>
      </c>
    </row>
    <row r="101" spans="1:21" x14ac:dyDescent="0.35">
      <c r="A101">
        <v>11.9</v>
      </c>
      <c r="B101">
        <v>1.2589254117941629E-12</v>
      </c>
      <c r="C101">
        <v>7.9432823472428433E-3</v>
      </c>
      <c r="D101">
        <v>2.5703957827688287E-28</v>
      </c>
      <c r="E101">
        <v>2.0417379446695087E-21</v>
      </c>
      <c r="F101">
        <v>8.1283051616409305E-14</v>
      </c>
      <c r="G101">
        <v>1.28824955169313E-7</v>
      </c>
      <c r="H101">
        <v>1.0232929922807544E-3</v>
      </c>
      <c r="I101">
        <v>8.5113803820236213E-50</v>
      </c>
      <c r="J101">
        <v>-2.9899453289708231</v>
      </c>
      <c r="K101">
        <v>9.7319283574475902E-7</v>
      </c>
      <c r="L101">
        <v>3.3744181874910184E-18</v>
      </c>
      <c r="M101">
        <v>1.5783339676881924E-27</v>
      </c>
      <c r="N101">
        <v>3.1491902861635952E-12</v>
      </c>
      <c r="O101">
        <v>-2.9899453276344463</v>
      </c>
      <c r="P101">
        <v>1E-3</v>
      </c>
      <c r="Q101">
        <v>1.9952622708992747E-14</v>
      </c>
      <c r="R101">
        <v>6.9183095563837257E-26</v>
      </c>
      <c r="S101">
        <v>3.2359364978236938E-35</v>
      </c>
      <c r="T101">
        <v>6.4565421477400653E-20</v>
      </c>
      <c r="U101">
        <v>-2.9899453289708231</v>
      </c>
    </row>
    <row r="102" spans="1:21" x14ac:dyDescent="0.35">
      <c r="A102">
        <v>12</v>
      </c>
      <c r="B102">
        <v>9.9999999999999998E-13</v>
      </c>
      <c r="C102">
        <v>0.01</v>
      </c>
      <c r="D102">
        <v>1.2882495516931299E-28</v>
      </c>
      <c r="E102">
        <v>1.2882495516931299E-21</v>
      </c>
      <c r="F102">
        <v>6.4565422903465293E-14</v>
      </c>
      <c r="G102">
        <v>1.2882495516931303E-7</v>
      </c>
      <c r="H102">
        <v>1.28824955169313E-3</v>
      </c>
      <c r="I102">
        <v>2.6915348039269174E-50</v>
      </c>
      <c r="J102">
        <v>-2.8899565727013745</v>
      </c>
      <c r="K102">
        <v>9.7858877509377786E-7</v>
      </c>
      <c r="L102">
        <v>1.7005923843628018E-18</v>
      </c>
      <c r="M102">
        <v>6.3182998112513847E-28</v>
      </c>
      <c r="N102">
        <v>1.9980218343366427E-12</v>
      </c>
      <c r="O102">
        <v>-2.8899565720278688</v>
      </c>
      <c r="P102">
        <v>1E-3</v>
      </c>
      <c r="Q102">
        <v>1.995262271775229E-14</v>
      </c>
      <c r="R102">
        <v>3.4673684294633517E-26</v>
      </c>
      <c r="S102">
        <v>1.2882495238049654E-35</v>
      </c>
      <c r="T102">
        <v>4.0738026898510127E-20</v>
      </c>
      <c r="U102">
        <v>-2.8899565727013745</v>
      </c>
    </row>
  </sheetData>
  <printOptions gridLines="1" gridLinesSet="0"/>
  <pageMargins left="0.75" right="0.75" top="1" bottom="1" header="0.5" footer="0.5"/>
  <pageSetup paperSize="9" orientation="portrait" horizontalDpi="0" verticalDpi="0" copies="0" r:id="rId1"/>
  <headerFooter alignWithMargins="0">
    <oddHeader>&amp;A</oddHead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2"/>
  <sheetViews>
    <sheetView workbookViewId="0"/>
  </sheetViews>
  <sheetFormatPr defaultColWidth="8.83203125" defaultRowHeight="15.5" x14ac:dyDescent="0.35"/>
  <sheetData>
    <row r="1" spans="1:2" x14ac:dyDescent="0.35">
      <c r="A1" t="s">
        <v>21</v>
      </c>
      <c r="B1" t="s">
        <v>36</v>
      </c>
    </row>
    <row r="2" spans="1:2" x14ac:dyDescent="0.35">
      <c r="A2">
        <v>3</v>
      </c>
      <c r="B2">
        <v>-0.8851934437873461</v>
      </c>
    </row>
    <row r="3" spans="1:2" x14ac:dyDescent="0.35">
      <c r="A3">
        <v>3.1</v>
      </c>
      <c r="B3">
        <v>-1.1840558290455208</v>
      </c>
    </row>
    <row r="4" spans="1:2" x14ac:dyDescent="0.35">
      <c r="A4">
        <v>3.2</v>
      </c>
      <c r="B4">
        <v>-1.4825247579132284</v>
      </c>
    </row>
    <row r="5" spans="1:2" x14ac:dyDescent="0.35">
      <c r="A5">
        <v>3.3</v>
      </c>
      <c r="B5">
        <v>-1.7805009727857395</v>
      </c>
    </row>
    <row r="6" spans="1:2" x14ac:dyDescent="0.35">
      <c r="A6">
        <v>3.4</v>
      </c>
      <c r="B6">
        <v>-2.0778394816060817</v>
      </c>
    </row>
    <row r="7" spans="1:2" x14ac:dyDescent="0.35">
      <c r="A7">
        <v>3.5</v>
      </c>
      <c r="B7">
        <v>-2.3743347732269569</v>
      </c>
    </row>
    <row r="8" spans="1:2" x14ac:dyDescent="0.35">
      <c r="A8">
        <v>3.6</v>
      </c>
      <c r="B8">
        <v>-2.6696981280311833</v>
      </c>
    </row>
    <row r="9" spans="1:2" x14ac:dyDescent="0.35">
      <c r="A9">
        <v>3.7</v>
      </c>
      <c r="B9">
        <v>-2.9635244153934943</v>
      </c>
    </row>
    <row r="10" spans="1:2" x14ac:dyDescent="0.35">
      <c r="A10">
        <v>3.8</v>
      </c>
      <c r="B10">
        <v>-3.2552451206026389</v>
      </c>
    </row>
    <row r="11" spans="1:2" x14ac:dyDescent="0.35">
      <c r="A11">
        <v>3.9</v>
      </c>
      <c r="B11">
        <v>-3.5440644483173784</v>
      </c>
    </row>
    <row r="12" spans="1:2" x14ac:dyDescent="0.35">
      <c r="A12">
        <v>4</v>
      </c>
      <c r="B12">
        <v>-3.8288774795950595</v>
      </c>
    </row>
    <row r="13" spans="1:2" x14ac:dyDescent="0.35">
      <c r="A13">
        <v>4.0999999999999996</v>
      </c>
      <c r="B13">
        <v>-4.1081758664664756</v>
      </c>
    </row>
    <row r="14" spans="1:2" x14ac:dyDescent="0.35">
      <c r="A14">
        <v>4.2</v>
      </c>
      <c r="B14">
        <v>-4.3799607250604842</v>
      </c>
    </row>
    <row r="15" spans="1:2" x14ac:dyDescent="0.35">
      <c r="A15">
        <v>4.3</v>
      </c>
      <c r="B15">
        <v>-4.6417062406617609</v>
      </c>
    </row>
    <row r="16" spans="1:2" x14ac:dyDescent="0.35">
      <c r="A16">
        <v>4.4000000000000004</v>
      </c>
      <c r="B16">
        <v>-4.8904449306634117</v>
      </c>
    </row>
    <row r="17" spans="1:2" x14ac:dyDescent="0.35">
      <c r="A17">
        <v>4.5</v>
      </c>
      <c r="B17">
        <v>-5.1230517200492081</v>
      </c>
    </row>
    <row r="18" spans="1:2" x14ac:dyDescent="0.35">
      <c r="A18">
        <v>4.5999999999999996</v>
      </c>
      <c r="B18">
        <v>-5.3367462600139657</v>
      </c>
    </row>
    <row r="19" spans="1:2" x14ac:dyDescent="0.35">
      <c r="A19">
        <v>4.7</v>
      </c>
      <c r="B19">
        <v>-5.5296933604715006</v>
      </c>
    </row>
    <row r="20" spans="1:2" x14ac:dyDescent="0.35">
      <c r="A20">
        <v>4.8</v>
      </c>
      <c r="B20">
        <v>-5.7014406950005583</v>
      </c>
    </row>
    <row r="21" spans="1:2" x14ac:dyDescent="0.35">
      <c r="A21">
        <v>4.9000000000000004</v>
      </c>
      <c r="B21">
        <v>-5.8529512443548048</v>
      </c>
    </row>
    <row r="22" spans="1:2" x14ac:dyDescent="0.35">
      <c r="A22">
        <v>5</v>
      </c>
      <c r="B22">
        <v>-5.9862117731297309</v>
      </c>
    </row>
    <row r="23" spans="1:2" x14ac:dyDescent="0.35">
      <c r="A23">
        <v>5.0999999999999996</v>
      </c>
      <c r="B23">
        <v>-6.1036408100886081</v>
      </c>
    </row>
    <row r="24" spans="1:2" x14ac:dyDescent="0.35">
      <c r="A24">
        <v>5.2</v>
      </c>
      <c r="B24">
        <v>-6.2075698479563268</v>
      </c>
    </row>
    <row r="25" spans="1:2" x14ac:dyDescent="0.35">
      <c r="A25">
        <v>5.3</v>
      </c>
      <c r="B25">
        <v>-6.2999429123544619</v>
      </c>
    </row>
    <row r="26" spans="1:2" x14ac:dyDescent="0.35">
      <c r="A26">
        <v>5.4</v>
      </c>
      <c r="B26">
        <v>-6.3822305566876221</v>
      </c>
    </row>
    <row r="27" spans="1:2" x14ac:dyDescent="0.35">
      <c r="A27">
        <v>5.5</v>
      </c>
      <c r="B27">
        <v>-6.4554824723820134</v>
      </c>
    </row>
    <row r="28" spans="1:2" x14ac:dyDescent="0.35">
      <c r="A28">
        <v>5.6</v>
      </c>
      <c r="B28">
        <v>-6.5204407125156854</v>
      </c>
    </row>
    <row r="29" spans="1:2" x14ac:dyDescent="0.35">
      <c r="A29">
        <v>5.7</v>
      </c>
      <c r="B29">
        <v>-6.5776605812682956</v>
      </c>
    </row>
    <row r="30" spans="1:2" x14ac:dyDescent="0.35">
      <c r="A30">
        <v>5.8</v>
      </c>
      <c r="B30">
        <v>-6.6276111531168409</v>
      </c>
    </row>
    <row r="31" spans="1:2" x14ac:dyDescent="0.35">
      <c r="A31">
        <v>5.9</v>
      </c>
      <c r="B31">
        <v>-6.6707443783253213</v>
      </c>
    </row>
    <row r="32" spans="1:2" x14ac:dyDescent="0.35">
      <c r="A32">
        <v>6</v>
      </c>
      <c r="B32">
        <v>-6.7075319247466227</v>
      </c>
    </row>
    <row r="33" spans="1:2" x14ac:dyDescent="0.35">
      <c r="A33">
        <v>6.1</v>
      </c>
      <c r="B33">
        <v>-6.7384747309888668</v>
      </c>
    </row>
    <row r="34" spans="1:2" x14ac:dyDescent="0.35">
      <c r="A34">
        <v>6.2</v>
      </c>
      <c r="B34">
        <v>-6.7640931201777548</v>
      </c>
    </row>
    <row r="35" spans="1:2" x14ac:dyDescent="0.35">
      <c r="A35">
        <v>6.3</v>
      </c>
      <c r="B35">
        <v>-6.7849058998976872</v>
      </c>
    </row>
    <row r="36" spans="1:2" x14ac:dyDescent="0.35">
      <c r="A36">
        <v>6.4</v>
      </c>
      <c r="B36">
        <v>-6.8014057207857794</v>
      </c>
    </row>
    <row r="37" spans="1:2" x14ac:dyDescent="0.35">
      <c r="A37">
        <v>6.5</v>
      </c>
      <c r="B37">
        <v>-6.8140358351251775</v>
      </c>
    </row>
    <row r="38" spans="1:2" x14ac:dyDescent="0.35">
      <c r="A38">
        <v>6.6</v>
      </c>
      <c r="B38">
        <v>-6.8231710822801181</v>
      </c>
    </row>
    <row r="39" spans="1:2" x14ac:dyDescent="0.35">
      <c r="A39">
        <v>6.7</v>
      </c>
      <c r="B39">
        <v>-6.8291040253955249</v>
      </c>
    </row>
    <row r="40" spans="1:2" x14ac:dyDescent="0.35">
      <c r="A40">
        <v>6.8</v>
      </c>
      <c r="B40">
        <v>-6.8320359522659402</v>
      </c>
    </row>
    <row r="41" spans="1:2" x14ac:dyDescent="0.35">
      <c r="A41">
        <v>6.9</v>
      </c>
      <c r="B41">
        <v>-6.8320719371452787</v>
      </c>
    </row>
    <row r="42" spans="1:2" x14ac:dyDescent="0.35">
      <c r="A42">
        <v>7</v>
      </c>
      <c r="B42">
        <v>-6.8292191896211358</v>
      </c>
    </row>
    <row r="43" spans="1:2" x14ac:dyDescent="0.35">
      <c r="A43">
        <v>7.1</v>
      </c>
      <c r="B43">
        <v>-6.8233882966124648</v>
      </c>
    </row>
    <row r="44" spans="1:2" x14ac:dyDescent="0.35">
      <c r="A44">
        <v>7.2</v>
      </c>
      <c r="B44">
        <v>-6.8143975116760549</v>
      </c>
    </row>
    <row r="45" spans="1:2" x14ac:dyDescent="0.35">
      <c r="A45">
        <v>7.3</v>
      </c>
      <c r="B45">
        <v>-6.8019807999030739</v>
      </c>
    </row>
    <row r="46" spans="1:2" x14ac:dyDescent="0.35">
      <c r="A46">
        <v>7.4</v>
      </c>
      <c r="B46">
        <v>-6.785800745700743</v>
      </c>
    </row>
    <row r="47" spans="1:2" x14ac:dyDescent="0.35">
      <c r="A47">
        <v>7.5</v>
      </c>
      <c r="B47">
        <v>-6.7654674981800209</v>
      </c>
    </row>
    <row r="48" spans="1:2" x14ac:dyDescent="0.35">
      <c r="A48">
        <v>7.6</v>
      </c>
      <c r="B48">
        <v>-6.7405644870208326</v>
      </c>
    </row>
    <row r="49" spans="1:2" x14ac:dyDescent="0.35">
      <c r="A49">
        <v>7.7</v>
      </c>
      <c r="B49">
        <v>-6.7106805775644549</v>
      </c>
    </row>
    <row r="50" spans="1:2" x14ac:dyDescent="0.35">
      <c r="A50">
        <v>7.8</v>
      </c>
      <c r="B50">
        <v>-6.6754467119792764</v>
      </c>
    </row>
    <row r="51" spans="1:2" x14ac:dyDescent="0.35">
      <c r="A51">
        <v>7.9</v>
      </c>
      <c r="B51">
        <v>-6.6345732524315677</v>
      </c>
    </row>
    <row r="52" spans="1:2" x14ac:dyDescent="0.35">
      <c r="A52">
        <v>8</v>
      </c>
      <c r="B52">
        <v>-6.5878828346143941</v>
      </c>
    </row>
    <row r="53" spans="1:2" x14ac:dyDescent="0.35">
      <c r="A53">
        <v>8.1</v>
      </c>
      <c r="B53">
        <v>-6.5353332720678008</v>
      </c>
    </row>
    <row r="54" spans="1:2" x14ac:dyDescent="0.35">
      <c r="A54">
        <v>8.1999999999999993</v>
      </c>
      <c r="B54">
        <v>-6.4770263527674299</v>
      </c>
    </row>
    <row r="55" spans="1:2" x14ac:dyDescent="0.35">
      <c r="A55">
        <v>8.3000000000000007</v>
      </c>
      <c r="B55">
        <v>-6.413201045812678</v>
      </c>
    </row>
    <row r="56" spans="1:2" x14ac:dyDescent="0.35">
      <c r="A56">
        <v>8.4000000000000057</v>
      </c>
      <c r="B56">
        <v>-6.3442128449247672</v>
      </c>
    </row>
    <row r="57" spans="1:2" x14ac:dyDescent="0.35">
      <c r="A57">
        <v>8.5000000000000053</v>
      </c>
      <c r="B57">
        <v>-6.2705036042953886</v>
      </c>
    </row>
    <row r="58" spans="1:2" x14ac:dyDescent="0.35">
      <c r="A58">
        <v>8.6</v>
      </c>
      <c r="B58">
        <v>-6.1925674502562762</v>
      </c>
    </row>
    <row r="59" spans="1:2" x14ac:dyDescent="0.35">
      <c r="A59">
        <v>8.6999999999999993</v>
      </c>
      <c r="B59">
        <v>-6.1109180140070691</v>
      </c>
    </row>
    <row r="60" spans="1:2" x14ac:dyDescent="0.35">
      <c r="A60">
        <v>8.8000000000000007</v>
      </c>
      <c r="B60">
        <v>-6.026060772331765</v>
      </c>
    </row>
    <row r="61" spans="1:2" x14ac:dyDescent="0.35">
      <c r="A61">
        <v>8.9000000000000057</v>
      </c>
      <c r="B61">
        <v>-5.9384724183840554</v>
      </c>
    </row>
    <row r="62" spans="1:2" x14ac:dyDescent="0.35">
      <c r="A62">
        <v>9.0000000000000053</v>
      </c>
      <c r="B62">
        <v>-5.8485875273658925</v>
      </c>
    </row>
    <row r="63" spans="1:2" x14ac:dyDescent="0.35">
      <c r="A63">
        <v>9.1</v>
      </c>
      <c r="B63">
        <v>-5.7567916570207656</v>
      </c>
    </row>
    <row r="64" spans="1:2" x14ac:dyDescent="0.35">
      <c r="A64">
        <v>9.2000000000000064</v>
      </c>
      <c r="B64">
        <v>-5.6634194733581955</v>
      </c>
    </row>
    <row r="65" spans="1:2" x14ac:dyDescent="0.35">
      <c r="A65">
        <v>9.300000000000006</v>
      </c>
      <c r="B65">
        <v>-5.5687563915644427</v>
      </c>
    </row>
    <row r="66" spans="1:2" x14ac:dyDescent="0.35">
      <c r="A66">
        <v>9.4000000000000057</v>
      </c>
      <c r="B66">
        <v>-5.4730423930609478</v>
      </c>
    </row>
    <row r="67" spans="1:2" x14ac:dyDescent="0.35">
      <c r="A67">
        <v>9.5000000000000053</v>
      </c>
      <c r="B67">
        <v>-5.3764769679763988</v>
      </c>
    </row>
    <row r="68" spans="1:2" x14ac:dyDescent="0.35">
      <c r="A68">
        <v>9.6</v>
      </c>
      <c r="B68">
        <v>-5.2792244347755961</v>
      </c>
    </row>
    <row r="69" spans="1:2" x14ac:dyDescent="0.35">
      <c r="A69">
        <v>9.7000000000000064</v>
      </c>
      <c r="B69">
        <v>-5.1814191511873444</v>
      </c>
    </row>
    <row r="70" spans="1:2" x14ac:dyDescent="0.35">
      <c r="A70">
        <v>9.800000000000006</v>
      </c>
      <c r="B70">
        <v>-5.0831703334719345</v>
      </c>
    </row>
    <row r="71" spans="1:2" x14ac:dyDescent="0.35">
      <c r="A71">
        <v>9.9000000000000057</v>
      </c>
      <c r="B71">
        <v>-4.984566345095808</v>
      </c>
    </row>
    <row r="72" spans="1:2" x14ac:dyDescent="0.35">
      <c r="A72">
        <v>10</v>
      </c>
      <c r="B72">
        <v>-4.8856784107092102</v>
      </c>
    </row>
    <row r="73" spans="1:2" x14ac:dyDescent="0.35">
      <c r="A73">
        <v>10.1</v>
      </c>
      <c r="B73">
        <v>-4.7865637689944043</v>
      </c>
    </row>
    <row r="74" spans="1:2" x14ac:dyDescent="0.35">
      <c r="A74">
        <v>10.199999999999999</v>
      </c>
      <c r="B74">
        <v>-4.6872683095551366</v>
      </c>
    </row>
    <row r="75" spans="1:2" x14ac:dyDescent="0.35">
      <c r="A75">
        <v>10.3</v>
      </c>
      <c r="B75">
        <v>-4.5878287534340219</v>
      </c>
    </row>
    <row r="76" spans="1:2" x14ac:dyDescent="0.35">
      <c r="A76">
        <v>10.4</v>
      </c>
      <c r="B76">
        <v>-4.4882744406107351</v>
      </c>
    </row>
    <row r="77" spans="1:2" x14ac:dyDescent="0.35">
      <c r="A77">
        <v>10.5</v>
      </c>
      <c r="B77">
        <v>-4.3886287854696331</v>
      </c>
    </row>
    <row r="78" spans="1:2" x14ac:dyDescent="0.35">
      <c r="A78">
        <v>10.6</v>
      </c>
      <c r="B78">
        <v>-4.2889104557008464</v>
      </c>
    </row>
    <row r="79" spans="1:2" x14ac:dyDescent="0.35">
      <c r="A79">
        <v>10.7</v>
      </c>
      <c r="B79">
        <v>-4.1891343232691449</v>
      </c>
    </row>
    <row r="80" spans="1:2" x14ac:dyDescent="0.35">
      <c r="A80">
        <v>10.8</v>
      </c>
      <c r="B80">
        <v>-4.0893122290468877</v>
      </c>
    </row>
    <row r="81" spans="1:2" x14ac:dyDescent="0.35">
      <c r="A81">
        <v>10.9</v>
      </c>
      <c r="B81">
        <v>-3.9894535960617556</v>
      </c>
    </row>
    <row r="82" spans="1:2" x14ac:dyDescent="0.35">
      <c r="A82">
        <v>11</v>
      </c>
      <c r="B82">
        <v>-3.8895659203462283</v>
      </c>
    </row>
    <row r="83" spans="1:2" x14ac:dyDescent="0.35">
      <c r="A83">
        <v>11.1</v>
      </c>
      <c r="B83">
        <v>-3.7896551631967057</v>
      </c>
    </row>
    <row r="84" spans="1:2" x14ac:dyDescent="0.35">
      <c r="A84">
        <v>11.2</v>
      </c>
      <c r="B84">
        <v>-3.68972606425252</v>
      </c>
    </row>
    <row r="85" spans="1:2" x14ac:dyDescent="0.35">
      <c r="A85">
        <v>11.3</v>
      </c>
      <c r="B85">
        <v>-3.5897823911302664</v>
      </c>
    </row>
    <row r="86" spans="1:2" x14ac:dyDescent="0.35">
      <c r="A86">
        <v>11.4</v>
      </c>
      <c r="B86">
        <v>-3.4898271383141739</v>
      </c>
    </row>
    <row r="87" spans="1:2" x14ac:dyDescent="0.35">
      <c r="A87">
        <v>11.5</v>
      </c>
      <c r="B87">
        <v>-3.389862685518747</v>
      </c>
    </row>
    <row r="88" spans="1:2" x14ac:dyDescent="0.35">
      <c r="A88">
        <v>11.6</v>
      </c>
      <c r="B88">
        <v>-3.2898909237198319</v>
      </c>
    </row>
    <row r="89" spans="1:2" x14ac:dyDescent="0.35">
      <c r="A89">
        <v>11.7</v>
      </c>
      <c r="B89">
        <v>-3.1899133554156682</v>
      </c>
    </row>
    <row r="90" spans="1:2" x14ac:dyDescent="0.35">
      <c r="A90">
        <v>11.8</v>
      </c>
      <c r="B90">
        <v>-3.0899311743624605</v>
      </c>
    </row>
    <row r="91" spans="1:2" x14ac:dyDescent="0.35">
      <c r="A91">
        <v>11.9</v>
      </c>
      <c r="B91">
        <v>-2.9899453289708231</v>
      </c>
    </row>
    <row r="92" spans="1:2" x14ac:dyDescent="0.35">
      <c r="A92">
        <v>12</v>
      </c>
      <c r="B92">
        <v>-2.8899565727013745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workbookViewId="0"/>
  </sheetViews>
  <sheetFormatPr defaultColWidth="8.83203125" defaultRowHeight="15.5" x14ac:dyDescent="0.35"/>
  <cols>
    <col min="1" max="4" width="10.58203125" customWidth="1"/>
  </cols>
  <sheetData>
    <row r="1" spans="1:4" ht="17.5" x14ac:dyDescent="0.45">
      <c r="A1" s="3"/>
      <c r="B1" s="3" t="s">
        <v>37</v>
      </c>
    </row>
    <row r="2" spans="1:4" x14ac:dyDescent="0.35">
      <c r="A2" s="3" t="s">
        <v>21</v>
      </c>
      <c r="B2" s="4" t="s">
        <v>38</v>
      </c>
      <c r="C2" s="5" t="s">
        <v>39</v>
      </c>
      <c r="D2" s="5" t="s">
        <v>40</v>
      </c>
    </row>
    <row r="3" spans="1:4" x14ac:dyDescent="0.35">
      <c r="A3">
        <v>3</v>
      </c>
      <c r="B3">
        <v>-0.8851934437873461</v>
      </c>
      <c r="C3">
        <v>-0.88486017102997805</v>
      </c>
      <c r="D3">
        <v>-0.88519010979349355</v>
      </c>
    </row>
    <row r="4" spans="1:4" x14ac:dyDescent="0.35">
      <c r="A4">
        <v>3.1</v>
      </c>
      <c r="B4">
        <v>-1.1840558290455208</v>
      </c>
      <c r="C4">
        <v>-1.1833928575395829</v>
      </c>
      <c r="D4">
        <v>-1.1840491943182749</v>
      </c>
    </row>
    <row r="5" spans="1:4" x14ac:dyDescent="0.35">
      <c r="A5">
        <v>3.2</v>
      </c>
      <c r="B5">
        <v>-1.4825247579132284</v>
      </c>
      <c r="C5">
        <v>-1.4812076132127252</v>
      </c>
      <c r="D5">
        <v>-1.4825115666729223</v>
      </c>
    </row>
    <row r="6" spans="1:4" x14ac:dyDescent="0.35">
      <c r="A6">
        <v>3.3</v>
      </c>
      <c r="B6">
        <v>-1.7805009727857395</v>
      </c>
      <c r="C6">
        <v>-1.7778890643864531</v>
      </c>
      <c r="D6">
        <v>-1.7804747757922519</v>
      </c>
    </row>
    <row r="7" spans="1:4" x14ac:dyDescent="0.35">
      <c r="A7">
        <v>3.4</v>
      </c>
      <c r="B7">
        <v>-2.0778394816060817</v>
      </c>
      <c r="C7">
        <v>-2.0726751580703207</v>
      </c>
      <c r="D7">
        <v>-2.0777875332046003</v>
      </c>
    </row>
    <row r="8" spans="1:4" x14ac:dyDescent="0.35">
      <c r="A8">
        <v>3.5</v>
      </c>
      <c r="B8">
        <v>-2.3743347732269569</v>
      </c>
      <c r="C8">
        <v>-2.3641723755131903</v>
      </c>
      <c r="D8">
        <v>-2.3742319631016779</v>
      </c>
    </row>
    <row r="9" spans="1:4" x14ac:dyDescent="0.35">
      <c r="A9">
        <v>3.6</v>
      </c>
      <c r="B9">
        <v>-2.6696981280311833</v>
      </c>
      <c r="C9">
        <v>-2.6498606522632637</v>
      </c>
      <c r="D9">
        <v>-2.6694952002840657</v>
      </c>
    </row>
    <row r="10" spans="1:4" x14ac:dyDescent="0.35">
      <c r="A10">
        <v>3.7</v>
      </c>
      <c r="B10">
        <v>-2.9635244153934943</v>
      </c>
      <c r="C10">
        <v>-2.9253281123240678</v>
      </c>
      <c r="D10">
        <v>-2.96312533545944</v>
      </c>
    </row>
    <row r="11" spans="1:4" x14ac:dyDescent="0.35">
      <c r="A11">
        <v>3.8</v>
      </c>
      <c r="B11">
        <v>-3.2552451206026389</v>
      </c>
      <c r="C11">
        <v>-3.183376674800793</v>
      </c>
      <c r="D11">
        <v>-3.2544642529849011</v>
      </c>
    </row>
    <row r="12" spans="1:4" x14ac:dyDescent="0.35">
      <c r="A12">
        <v>3.9</v>
      </c>
      <c r="B12">
        <v>-3.5440644483173784</v>
      </c>
      <c r="C12">
        <v>-3.4137515519947672</v>
      </c>
      <c r="D12">
        <v>-3.5425473522787745</v>
      </c>
    </row>
    <row r="13" spans="1:4" x14ac:dyDescent="0.35">
      <c r="A13">
        <v>4</v>
      </c>
      <c r="B13">
        <v>-3.8288774795950595</v>
      </c>
      <c r="C13">
        <v>-3.6050731689479467</v>
      </c>
      <c r="D13">
        <v>-3.8259593427280696</v>
      </c>
    </row>
    <row r="14" spans="1:4" x14ac:dyDescent="0.35">
      <c r="A14">
        <v>4.0999999999999996</v>
      </c>
      <c r="B14">
        <v>-4.1081758664664756</v>
      </c>
      <c r="C14">
        <v>-3.7497662179191602</v>
      </c>
      <c r="D14">
        <v>-4.1026414794195238</v>
      </c>
    </row>
    <row r="15" spans="1:4" x14ac:dyDescent="0.35">
      <c r="A15">
        <v>4.2</v>
      </c>
      <c r="B15">
        <v>-4.3799607250604842</v>
      </c>
      <c r="C15">
        <v>-3.8487651679927333</v>
      </c>
      <c r="D15">
        <v>-4.3696701738905226</v>
      </c>
    </row>
    <row r="16" spans="1:4" x14ac:dyDescent="0.35">
      <c r="A16">
        <v>4.3</v>
      </c>
      <c r="B16">
        <v>-4.6417062406617609</v>
      </c>
      <c r="C16">
        <v>-3.9108889565132934</v>
      </c>
      <c r="D16">
        <v>-4.6230871436507144</v>
      </c>
    </row>
    <row r="17" spans="1:5" x14ac:dyDescent="0.35">
      <c r="A17">
        <v>4.4000000000000004</v>
      </c>
      <c r="B17">
        <v>-4.8904449306634117</v>
      </c>
      <c r="C17">
        <v>-3.9476340489266128</v>
      </c>
      <c r="D17">
        <v>-4.8579624015292291</v>
      </c>
    </row>
    <row r="18" spans="1:5" x14ac:dyDescent="0.35">
      <c r="A18">
        <v>4.5</v>
      </c>
      <c r="B18">
        <v>-5.1230517200492081</v>
      </c>
      <c r="C18">
        <v>-3.9687355026801741</v>
      </c>
      <c r="D18">
        <v>-5.0689503933690396</v>
      </c>
    </row>
    <row r="19" spans="1:5" x14ac:dyDescent="0.35">
      <c r="A19">
        <v>4.5999999999999996</v>
      </c>
      <c r="B19">
        <v>-5.3367462600139657</v>
      </c>
      <c r="C19">
        <v>-3.9808014227223314</v>
      </c>
      <c r="D19">
        <v>-5.2514707928127926</v>
      </c>
    </row>
    <row r="20" spans="1:5" x14ac:dyDescent="0.35">
      <c r="A20">
        <v>4.7</v>
      </c>
      <c r="B20">
        <v>-5.5296933604715006</v>
      </c>
      <c r="C20">
        <v>-3.9878106716766104</v>
      </c>
      <c r="D20">
        <v>-5.4031583037612601</v>
      </c>
    </row>
    <row r="21" spans="1:5" x14ac:dyDescent="0.35">
      <c r="A21">
        <v>4.8</v>
      </c>
      <c r="B21">
        <v>-5.7014406950005583</v>
      </c>
      <c r="C21">
        <v>-3.9920166246837891</v>
      </c>
      <c r="D21">
        <v>-5.5247182235772181</v>
      </c>
    </row>
    <row r="22" spans="1:5" x14ac:dyDescent="0.35">
      <c r="A22">
        <v>4.9000000000000004</v>
      </c>
      <c r="B22">
        <v>-5.8529512443548048</v>
      </c>
      <c r="C22">
        <v>-3.9946623516329849</v>
      </c>
      <c r="D22">
        <v>-5.6195521840514386</v>
      </c>
    </row>
    <row r="23" spans="1:5" x14ac:dyDescent="0.35">
      <c r="A23">
        <v>5</v>
      </c>
      <c r="B23">
        <v>-5.9862117731297309</v>
      </c>
      <c r="C23">
        <v>-3.99643075898017</v>
      </c>
      <c r="D23">
        <v>-5.6924638090567647</v>
      </c>
    </row>
    <row r="24" spans="1:5" x14ac:dyDescent="0.35">
      <c r="A24">
        <v>5.0999999999999996</v>
      </c>
      <c r="B24">
        <v>-6.1036408100886081</v>
      </c>
      <c r="C24">
        <v>-3.9977015804568579</v>
      </c>
      <c r="D24">
        <v>-5.7483310362788904</v>
      </c>
    </row>
    <row r="25" spans="1:5" x14ac:dyDescent="0.35">
      <c r="A25">
        <v>5.2</v>
      </c>
      <c r="B25">
        <v>-6.2075698479563268</v>
      </c>
      <c r="C25">
        <v>-3.9986917094718541</v>
      </c>
      <c r="D25">
        <v>-5.7913245330437295</v>
      </c>
    </row>
    <row r="26" spans="1:5" x14ac:dyDescent="0.35">
      <c r="A26">
        <v>5.3</v>
      </c>
      <c r="B26">
        <v>-6.2999429123544619</v>
      </c>
      <c r="C26">
        <v>-3.9995304269988101</v>
      </c>
      <c r="D26">
        <v>-5.8246846771586869</v>
      </c>
    </row>
    <row r="27" spans="1:5" x14ac:dyDescent="0.35">
      <c r="A27">
        <v>5.4</v>
      </c>
      <c r="B27">
        <v>-6.3822305566876221</v>
      </c>
      <c r="C27">
        <v>-4.0002995920439259</v>
      </c>
      <c r="D27">
        <v>-5.8508126519476846</v>
      </c>
    </row>
    <row r="28" spans="1:5" x14ac:dyDescent="0.35">
      <c r="A28">
        <v>5.5</v>
      </c>
      <c r="B28">
        <v>-6.4554824723820134</v>
      </c>
      <c r="C28">
        <v>-4.0010553022984086</v>
      </c>
      <c r="D28">
        <v>-5.8714612138160351</v>
      </c>
      <c r="E28" s="5"/>
    </row>
    <row r="29" spans="1:5" x14ac:dyDescent="0.35">
      <c r="A29">
        <v>5.6</v>
      </c>
      <c r="B29">
        <v>-6.5204407125156854</v>
      </c>
      <c r="C29">
        <v>-4.0018398705951501</v>
      </c>
      <c r="D29">
        <v>-5.8879165710624966</v>
      </c>
    </row>
    <row r="30" spans="1:5" x14ac:dyDescent="0.35">
      <c r="A30">
        <v>5.7</v>
      </c>
      <c r="B30">
        <v>-6.5776605812682956</v>
      </c>
      <c r="C30">
        <v>-4.0026888375916467</v>
      </c>
      <c r="D30">
        <v>-5.9011380239731182</v>
      </c>
    </row>
    <row r="31" spans="1:5" x14ac:dyDescent="0.35">
      <c r="A31">
        <v>5.8</v>
      </c>
      <c r="B31">
        <v>-6.6276111531168409</v>
      </c>
      <c r="C31">
        <v>-4.0036355590563639</v>
      </c>
      <c r="D31">
        <v>-5.9118559413611962</v>
      </c>
    </row>
    <row r="32" spans="1:5" x14ac:dyDescent="0.35">
      <c r="A32">
        <v>5.9</v>
      </c>
      <c r="B32">
        <v>-6.6707443783253213</v>
      </c>
      <c r="C32">
        <v>-4.0047147415398268</v>
      </c>
      <c r="D32">
        <v>-5.9206384152711511</v>
      </c>
    </row>
    <row r="33" spans="1:4" x14ac:dyDescent="0.35">
      <c r="A33">
        <v>6</v>
      </c>
      <c r="B33">
        <v>-6.7075319247466227</v>
      </c>
      <c r="C33">
        <v>-4.0059656545678086</v>
      </c>
      <c r="D33">
        <v>-5.9279368663507714</v>
      </c>
    </row>
    <row r="34" spans="1:4" x14ac:dyDescent="0.35">
      <c r="A34">
        <v>6.1</v>
      </c>
      <c r="B34">
        <v>-6.7384747309888668</v>
      </c>
      <c r="C34">
        <v>-4.0074353728079641</v>
      </c>
      <c r="D34">
        <v>-5.9341181608918765</v>
      </c>
    </row>
    <row r="35" spans="1:4" x14ac:dyDescent="0.35">
      <c r="A35">
        <v>6.2</v>
      </c>
      <c r="B35">
        <v>-6.7640931201777548</v>
      </c>
      <c r="C35">
        <v>-4.0091821877310378</v>
      </c>
      <c r="D35">
        <v>-5.939488147344079</v>
      </c>
    </row>
    <row r="36" spans="1:4" x14ac:dyDescent="0.35">
      <c r="A36">
        <v>6.3</v>
      </c>
      <c r="B36">
        <v>-6.7849058998976872</v>
      </c>
      <c r="C36">
        <v>-4.0112792276629028</v>
      </c>
      <c r="D36">
        <v>-5.9443096097552113</v>
      </c>
    </row>
    <row r="37" spans="1:4" x14ac:dyDescent="0.35">
      <c r="A37">
        <v>6.4</v>
      </c>
      <c r="B37">
        <v>-6.8014057207857794</v>
      </c>
      <c r="C37">
        <v>-4.0138183044477698</v>
      </c>
      <c r="D37">
        <v>-5.9488164337267495</v>
      </c>
    </row>
    <row r="38" spans="1:4" x14ac:dyDescent="0.35">
      <c r="A38">
        <v>6.5</v>
      </c>
      <c r="B38">
        <v>-6.8140358351251775</v>
      </c>
      <c r="C38">
        <v>-4.0169140233103127</v>
      </c>
      <c r="D38">
        <v>-5.953225068422741</v>
      </c>
    </row>
    <row r="39" spans="1:4" x14ac:dyDescent="0.35">
      <c r="A39">
        <v>6.6</v>
      </c>
      <c r="B39">
        <v>-6.8231710822801181</v>
      </c>
      <c r="C39">
        <v>-4.0207082037810391</v>
      </c>
      <c r="D39">
        <v>-5.9577439299717554</v>
      </c>
    </row>
    <row r="40" spans="1:4" x14ac:dyDescent="0.35">
      <c r="A40">
        <v>6.7</v>
      </c>
      <c r="B40">
        <v>-6.8291040253955249</v>
      </c>
      <c r="C40">
        <v>-4.0253746253177516</v>
      </c>
      <c r="D40">
        <v>-5.9625810669807748</v>
      </c>
    </row>
    <row r="41" spans="1:4" x14ac:dyDescent="0.35">
      <c r="A41">
        <v>6.8</v>
      </c>
      <c r="B41">
        <v>-6.8320359522659402</v>
      </c>
      <c r="C41">
        <v>-4.0311240094108696</v>
      </c>
      <c r="D41">
        <v>-5.9679500963048255</v>
      </c>
    </row>
    <row r="42" spans="1:4" x14ac:dyDescent="0.35">
      <c r="A42">
        <v>6.9</v>
      </c>
      <c r="B42">
        <v>-6.8320719371452787</v>
      </c>
      <c r="C42">
        <v>-4.0382089737306641</v>
      </c>
      <c r="D42">
        <v>-5.9740740587169201</v>
      </c>
    </row>
    <row r="43" spans="1:4" x14ac:dyDescent="0.35">
      <c r="A43">
        <v>7</v>
      </c>
      <c r="B43">
        <v>-6.8292191896211358</v>
      </c>
      <c r="C43">
        <v>-4.0469284468408562</v>
      </c>
      <c r="D43">
        <v>-5.9811864086277238</v>
      </c>
    </row>
    <row r="44" spans="1:4" x14ac:dyDescent="0.35">
      <c r="A44">
        <v>7.1</v>
      </c>
      <c r="B44">
        <v>-6.8233882966124648</v>
      </c>
      <c r="C44">
        <v>-4.0576307276668393</v>
      </c>
      <c r="D44">
        <v>-5.9895278280516333</v>
      </c>
    </row>
    <row r="45" spans="1:4" x14ac:dyDescent="0.35">
      <c r="A45">
        <v>7.2</v>
      </c>
      <c r="B45">
        <v>-6.8143975116760549</v>
      </c>
      <c r="C45">
        <v>-4.0707140442032514</v>
      </c>
      <c r="D45">
        <v>-5.9993369579082616</v>
      </c>
    </row>
    <row r="46" spans="1:4" x14ac:dyDescent="0.35">
      <c r="A46">
        <v>7.3</v>
      </c>
      <c r="B46">
        <v>-6.8019807999030739</v>
      </c>
      <c r="C46">
        <v>-4.0866231767030801</v>
      </c>
      <c r="D46">
        <v>-6.0108325332572514</v>
      </c>
    </row>
    <row r="47" spans="1:4" x14ac:dyDescent="0.35">
      <c r="A47">
        <v>7.4</v>
      </c>
      <c r="B47">
        <v>-6.785800745700743</v>
      </c>
      <c r="C47">
        <v>-4.1058405755915119</v>
      </c>
      <c r="D47">
        <v>-6.0241839386531506</v>
      </c>
    </row>
    <row r="48" spans="1:4" x14ac:dyDescent="0.35">
      <c r="A48">
        <v>7.5</v>
      </c>
      <c r="B48">
        <v>-6.7654674981800209</v>
      </c>
      <c r="C48">
        <v>-4.1288705830852477</v>
      </c>
      <c r="D48">
        <v>-6.0394671323933853</v>
      </c>
    </row>
    <row r="49" spans="1:4" x14ac:dyDescent="0.35">
      <c r="A49">
        <v>7.6</v>
      </c>
      <c r="B49">
        <v>-6.7405644870208326</v>
      </c>
      <c r="C49">
        <v>-4.1562160269655859</v>
      </c>
      <c r="D49">
        <v>-6.0566036533065839</v>
      </c>
    </row>
    <row r="50" spans="1:4" x14ac:dyDescent="0.35">
      <c r="A50">
        <v>7.7</v>
      </c>
      <c r="B50">
        <v>-6.7106805775644549</v>
      </c>
      <c r="C50">
        <v>-4.1883476812595193</v>
      </c>
      <c r="D50">
        <v>-6.0752826506544615</v>
      </c>
    </row>
    <row r="51" spans="1:4" x14ac:dyDescent="0.35">
      <c r="A51">
        <v>7.8</v>
      </c>
      <c r="B51">
        <v>-6.6754467119792764</v>
      </c>
      <c r="C51">
        <v>-4.2256687617531821</v>
      </c>
      <c r="D51">
        <v>-6.0948704183288864</v>
      </c>
    </row>
    <row r="52" spans="1:4" x14ac:dyDescent="0.35">
      <c r="A52">
        <v>7.9</v>
      </c>
      <c r="B52">
        <v>-6.6345732524315677</v>
      </c>
      <c r="C52">
        <v>-4.2684783200831804</v>
      </c>
      <c r="D52">
        <v>-6.1143197564379035</v>
      </c>
    </row>
    <row r="53" spans="1:4" x14ac:dyDescent="0.35">
      <c r="A53">
        <v>8</v>
      </c>
      <c r="B53">
        <v>-6.5878828346143941</v>
      </c>
      <c r="C53">
        <v>-4.316938424437704</v>
      </c>
      <c r="D53">
        <v>-6.1321032200783678</v>
      </c>
    </row>
    <row r="54" spans="1:4" x14ac:dyDescent="0.35">
      <c r="A54">
        <v>8.1</v>
      </c>
      <c r="B54">
        <v>-6.5353332720678008</v>
      </c>
      <c r="C54">
        <v>-4.3710496444730573</v>
      </c>
      <c r="D54">
        <v>-6.1462084407243909</v>
      </c>
    </row>
    <row r="55" spans="1:4" x14ac:dyDescent="0.35">
      <c r="A55">
        <v>8.1999999999999993</v>
      </c>
      <c r="B55">
        <v>-6.4770263527674299</v>
      </c>
      <c r="C55">
        <v>-4.4306372226426536</v>
      </c>
      <c r="D55">
        <v>-6.1542431948188403</v>
      </c>
    </row>
    <row r="56" spans="1:4" x14ac:dyDescent="0.35">
      <c r="A56">
        <v>8.3000000000000007</v>
      </c>
      <c r="B56">
        <v>-6.413201045812678</v>
      </c>
      <c r="C56">
        <v>-4.4953466838832314</v>
      </c>
      <c r="D56">
        <v>-6.1536873050484084</v>
      </c>
    </row>
    <row r="57" spans="1:4" x14ac:dyDescent="0.35">
      <c r="A57">
        <v>8.4000000000000057</v>
      </c>
      <c r="B57">
        <v>-6.3442128449247672</v>
      </c>
      <c r="C57">
        <v>-4.5646433646158755</v>
      </c>
      <c r="D57">
        <v>-6.1422799952648308</v>
      </c>
    </row>
    <row r="58" spans="1:4" x14ac:dyDescent="0.35">
      <c r="A58">
        <v>8.5000000000000053</v>
      </c>
      <c r="B58">
        <v>-6.2705036042953886</v>
      </c>
      <c r="C58">
        <v>-4.6378064616778829</v>
      </c>
      <c r="D58">
        <v>-6.1184486819454245</v>
      </c>
    </row>
    <row r="59" spans="1:4" x14ac:dyDescent="0.35">
      <c r="A59">
        <v>8.6</v>
      </c>
      <c r="B59">
        <v>-6.1925674502562762</v>
      </c>
      <c r="C59">
        <v>-4.7139055006632251</v>
      </c>
      <c r="D59">
        <v>-6.0816189507666492</v>
      </c>
    </row>
    <row r="60" spans="1:4" x14ac:dyDescent="0.35">
      <c r="A60">
        <v>8.6999999999999993</v>
      </c>
      <c r="B60">
        <v>-6.1109180140070691</v>
      </c>
      <c r="C60">
        <v>-4.791746201913627</v>
      </c>
      <c r="D60">
        <v>-6.0322685360773702</v>
      </c>
    </row>
    <row r="61" spans="1:4" x14ac:dyDescent="0.35">
      <c r="A61">
        <v>8.8000000000000007</v>
      </c>
      <c r="B61">
        <v>-6.026060772331765</v>
      </c>
      <c r="C61">
        <v>-4.8697748726003409</v>
      </c>
      <c r="D61">
        <v>-5.9717108623210127</v>
      </c>
    </row>
    <row r="62" spans="1:4" x14ac:dyDescent="0.35">
      <c r="A62">
        <v>8.9000000000000057</v>
      </c>
      <c r="B62">
        <v>-5.9384724183840554</v>
      </c>
      <c r="C62">
        <v>-4.9459393756632748</v>
      </c>
      <c r="D62">
        <v>-5.9017256385735068</v>
      </c>
    </row>
    <row r="63" spans="1:4" x14ac:dyDescent="0.35">
      <c r="A63">
        <v>9.0000000000000053</v>
      </c>
      <c r="B63">
        <v>-5.8485875273658925</v>
      </c>
      <c r="C63">
        <v>-5.0175282738840838</v>
      </c>
      <c r="D63">
        <v>-5.8241948871031717</v>
      </c>
    </row>
    <row r="64" spans="1:4" x14ac:dyDescent="0.35">
      <c r="A64">
        <v>9.1</v>
      </c>
      <c r="B64">
        <v>-5.7567916570207656</v>
      </c>
      <c r="C64">
        <v>-5.081058116625905</v>
      </c>
      <c r="D64">
        <v>-5.7408474602844555</v>
      </c>
    </row>
    <row r="65" spans="1:4" x14ac:dyDescent="0.35">
      <c r="A65">
        <v>9.2000000000000064</v>
      </c>
      <c r="B65">
        <v>-5.6634194733581955</v>
      </c>
      <c r="C65">
        <v>-5.1323498609790112</v>
      </c>
      <c r="D65">
        <v>-5.653133100722628</v>
      </c>
    </row>
    <row r="66" spans="1:4" x14ac:dyDescent="0.35">
      <c r="A66">
        <v>9.300000000000006</v>
      </c>
      <c r="B66">
        <v>-5.5687563915644427</v>
      </c>
      <c r="C66">
        <v>-5.1669784072875009</v>
      </c>
      <c r="D66">
        <v>-5.5621954093416335</v>
      </c>
    </row>
    <row r="67" spans="1:4" x14ac:dyDescent="0.35">
      <c r="A67">
        <v>9.4000000000000057</v>
      </c>
      <c r="B67">
        <v>-5.4730423930609478</v>
      </c>
      <c r="C67">
        <v>-5.181172073989349</v>
      </c>
      <c r="D67">
        <v>-5.4689005367522894</v>
      </c>
    </row>
    <row r="68" spans="1:4" x14ac:dyDescent="0.35">
      <c r="A68">
        <v>9.5000000000000053</v>
      </c>
      <c r="B68">
        <v>-5.3764769679763988</v>
      </c>
      <c r="C68">
        <v>-5.1729010715162866</v>
      </c>
      <c r="D68">
        <v>-5.3738876353826939</v>
      </c>
    </row>
    <row r="69" spans="1:4" x14ac:dyDescent="0.35">
      <c r="A69">
        <v>9.6</v>
      </c>
      <c r="B69">
        <v>-5.2792244347755961</v>
      </c>
      <c r="C69">
        <v>-5.1425522416603382</v>
      </c>
      <c r="D69">
        <v>-5.2776211708708525</v>
      </c>
    </row>
    <row r="70" spans="1:4" x14ac:dyDescent="0.35">
      <c r="A70">
        <v>9.7000000000000064</v>
      </c>
      <c r="B70">
        <v>-5.1814191511873444</v>
      </c>
      <c r="C70">
        <v>-5.0927164889512975</v>
      </c>
      <c r="D70">
        <v>-5.1804361568563326</v>
      </c>
    </row>
    <row r="71" spans="1:4" x14ac:dyDescent="0.35">
      <c r="A71">
        <v>9.800000000000006</v>
      </c>
      <c r="B71">
        <v>-5.0831703334719345</v>
      </c>
      <c r="C71">
        <v>-5.0272401235057638</v>
      </c>
      <c r="D71">
        <v>-5.0825738294877683</v>
      </c>
    </row>
    <row r="72" spans="1:4" x14ac:dyDescent="0.35">
      <c r="A72">
        <v>9.9000000000000057</v>
      </c>
      <c r="B72">
        <v>-4.984566345095808</v>
      </c>
      <c r="C72">
        <v>-4.9501505279202833</v>
      </c>
      <c r="D72">
        <v>-4.9842083306041536</v>
      </c>
    </row>
    <row r="73" spans="1:4" x14ac:dyDescent="0.35">
      <c r="A73">
        <v>10</v>
      </c>
      <c r="B73">
        <v>-4.8856784107092102</v>
      </c>
      <c r="C73">
        <v>-4.8649398388581613</v>
      </c>
      <c r="D73">
        <v>-4.8854660455795997</v>
      </c>
    </row>
    <row r="74" spans="1:4" x14ac:dyDescent="0.35">
      <c r="A74">
        <v>10.1</v>
      </c>
      <c r="B74">
        <v>-4.7865637689944043</v>
      </c>
      <c r="C74">
        <v>-4.7742964199033091</v>
      </c>
      <c r="D74">
        <v>-4.7864393643389596</v>
      </c>
    </row>
    <row r="75" spans="1:4" x14ac:dyDescent="0.35">
      <c r="A75">
        <v>10.199999999999999</v>
      </c>
      <c r="B75">
        <v>-4.6872683095551366</v>
      </c>
      <c r="C75">
        <v>-4.6801340517182393</v>
      </c>
      <c r="D75">
        <v>-4.6871963837305284</v>
      </c>
    </row>
    <row r="76" spans="1:4" x14ac:dyDescent="0.35">
      <c r="A76">
        <v>10.3</v>
      </c>
      <c r="B76">
        <v>-4.5878287534340219</v>
      </c>
      <c r="C76">
        <v>-4.5837453991055792</v>
      </c>
      <c r="D76">
        <v>-4.5877877292613389</v>
      </c>
    </row>
    <row r="77" spans="1:4" x14ac:dyDescent="0.35">
      <c r="A77">
        <v>10.4</v>
      </c>
      <c r="B77">
        <v>-4.4882744406107351</v>
      </c>
      <c r="C77">
        <v>-4.485972510243351</v>
      </c>
      <c r="D77">
        <v>-4.4882513608067631</v>
      </c>
    </row>
    <row r="78" spans="1:4" x14ac:dyDescent="0.35">
      <c r="A78">
        <v>10.5</v>
      </c>
      <c r="B78">
        <v>-4.3886287854696331</v>
      </c>
      <c r="C78">
        <v>-4.3873497147391642</v>
      </c>
      <c r="D78">
        <v>-4.3886159760973316</v>
      </c>
    </row>
    <row r="79" spans="1:4" x14ac:dyDescent="0.35">
      <c r="A79">
        <v>10.6</v>
      </c>
      <c r="B79">
        <v>-4.2889104557008464</v>
      </c>
      <c r="C79">
        <v>-4.2882093511614334</v>
      </c>
      <c r="D79">
        <v>-4.2889034390499381</v>
      </c>
    </row>
    <row r="80" spans="1:4" x14ac:dyDescent="0.35">
      <c r="A80">
        <v>10.7</v>
      </c>
      <c r="B80">
        <v>-4.1891343232691449</v>
      </c>
      <c r="C80">
        <v>-4.1887548548847944</v>
      </c>
      <c r="D80">
        <v>-4.1891305269435932</v>
      </c>
    </row>
    <row r="81" spans="1:4" x14ac:dyDescent="0.35">
      <c r="A81">
        <v>10.8</v>
      </c>
      <c r="B81">
        <v>-4.0893122290468877</v>
      </c>
      <c r="C81">
        <v>-4.0891092039613177</v>
      </c>
      <c r="D81">
        <v>-4.0893101983261531</v>
      </c>
    </row>
    <row r="82" spans="1:4" x14ac:dyDescent="0.35">
      <c r="A82">
        <v>10.9</v>
      </c>
      <c r="B82">
        <v>-3.9894535960617556</v>
      </c>
      <c r="C82">
        <v>-3.9893460926165809</v>
      </c>
      <c r="D82">
        <v>-3.9894525208955693</v>
      </c>
    </row>
    <row r="83" spans="1:4" x14ac:dyDescent="0.35">
      <c r="A83">
        <v>11</v>
      </c>
      <c r="B83">
        <v>-3.8895659203462283</v>
      </c>
      <c r="C83">
        <v>-3.8895095140388687</v>
      </c>
      <c r="D83">
        <v>-3.8895653562468895</v>
      </c>
    </row>
    <row r="84" spans="1:4" x14ac:dyDescent="0.35">
      <c r="A84">
        <v>11.1</v>
      </c>
      <c r="B84">
        <v>-3.7896551631967057</v>
      </c>
      <c r="C84">
        <v>-3.7896258007363479</v>
      </c>
      <c r="D84">
        <v>-3.7896548695622752</v>
      </c>
    </row>
    <row r="85" spans="1:4" x14ac:dyDescent="0.35">
      <c r="A85">
        <v>11.2</v>
      </c>
      <c r="B85">
        <v>-3.68972606425252</v>
      </c>
      <c r="C85">
        <v>-3.6897108826857163</v>
      </c>
      <c r="D85">
        <v>-3.6897259124342252</v>
      </c>
    </row>
    <row r="86" spans="1:4" x14ac:dyDescent="0.35">
      <c r="A86">
        <v>11.3</v>
      </c>
      <c r="B86">
        <v>-3.5897823911302664</v>
      </c>
      <c r="C86">
        <v>-3.5897745863794337</v>
      </c>
      <c r="D86">
        <v>-3.5897823130820643</v>
      </c>
    </row>
    <row r="87" spans="1:4" x14ac:dyDescent="0.35">
      <c r="A87">
        <v>11.4</v>
      </c>
      <c r="B87">
        <v>-3.4898271383141739</v>
      </c>
      <c r="C87">
        <v>-3.4898231450346135</v>
      </c>
      <c r="D87">
        <v>-3.489827098381197</v>
      </c>
    </row>
    <row r="88" spans="1:4" x14ac:dyDescent="0.35">
      <c r="A88">
        <v>11.5</v>
      </c>
      <c r="B88">
        <v>-3.389862685518747</v>
      </c>
      <c r="C88">
        <v>-3.3898606504147089</v>
      </c>
      <c r="D88">
        <v>-3.3898626651676596</v>
      </c>
    </row>
    <row r="89" spans="1:4" x14ac:dyDescent="0.35">
      <c r="A89">
        <v>11.6</v>
      </c>
      <c r="B89">
        <v>-3.2898909237198319</v>
      </c>
      <c r="C89">
        <v>-3.2898898899194573</v>
      </c>
      <c r="D89">
        <v>-3.2898909133818166</v>
      </c>
    </row>
    <row r="90" spans="1:4" x14ac:dyDescent="0.35">
      <c r="A90">
        <v>11.7</v>
      </c>
      <c r="B90">
        <v>-3.1899133554156682</v>
      </c>
      <c r="C90">
        <v>-3.1899128316474279</v>
      </c>
      <c r="D90">
        <v>-3.1899133501779828</v>
      </c>
    </row>
    <row r="91" spans="1:4" x14ac:dyDescent="0.35">
      <c r="A91">
        <v>11.8</v>
      </c>
      <c r="B91">
        <v>-3.0899311743624605</v>
      </c>
      <c r="C91">
        <v>-3.0899309095671179</v>
      </c>
      <c r="D91">
        <v>-3.0899311717145066</v>
      </c>
    </row>
    <row r="92" spans="1:4" x14ac:dyDescent="0.35">
      <c r="A92">
        <v>11.9</v>
      </c>
      <c r="B92">
        <v>-2.9899453289708231</v>
      </c>
      <c r="C92">
        <v>-2.9899451953331391</v>
      </c>
      <c r="D92">
        <v>-2.9899453276344463</v>
      </c>
    </row>
    <row r="93" spans="1:4" x14ac:dyDescent="0.35">
      <c r="A93">
        <v>12</v>
      </c>
      <c r="B93">
        <v>-2.8899565727013745</v>
      </c>
      <c r="C93">
        <v>-2.8899565053507779</v>
      </c>
      <c r="D93">
        <v>-2.8899565720278688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4"/>
  <sheetViews>
    <sheetView workbookViewId="0"/>
  </sheetViews>
  <sheetFormatPr defaultColWidth="8.83203125" defaultRowHeight="15.5" x14ac:dyDescent="0.35"/>
  <sheetData>
    <row r="1" spans="1:3" x14ac:dyDescent="0.35">
      <c r="B1" t="s">
        <v>41</v>
      </c>
    </row>
    <row r="2" spans="1:3" x14ac:dyDescent="0.35">
      <c r="A2" t="s">
        <v>21</v>
      </c>
      <c r="B2" t="s">
        <v>42</v>
      </c>
      <c r="C2" t="s">
        <v>43</v>
      </c>
    </row>
    <row r="3" spans="1:3" ht="18.5" x14ac:dyDescent="0.35">
      <c r="C3" t="s">
        <v>44</v>
      </c>
    </row>
    <row r="4" spans="1:3" x14ac:dyDescent="0.35">
      <c r="A4">
        <v>3</v>
      </c>
      <c r="B4">
        <v>-0.88519010979349355</v>
      </c>
      <c r="C4">
        <v>-0.88519010979365176</v>
      </c>
    </row>
    <row r="5" spans="1:3" x14ac:dyDescent="0.35">
      <c r="A5">
        <v>3.1</v>
      </c>
      <c r="B5">
        <v>-1.1840491943182749</v>
      </c>
      <c r="C5">
        <v>-1.184049194318864</v>
      </c>
    </row>
    <row r="6" spans="1:3" x14ac:dyDescent="0.35">
      <c r="A6">
        <v>3.2</v>
      </c>
      <c r="B6">
        <v>-1.4825115666729223</v>
      </c>
      <c r="C6">
        <v>-1.4825115666751203</v>
      </c>
    </row>
    <row r="7" spans="1:3" x14ac:dyDescent="0.35">
      <c r="A7">
        <v>3.3</v>
      </c>
      <c r="B7">
        <v>-1.7804747757922519</v>
      </c>
      <c r="C7">
        <v>-1.7804747758004864</v>
      </c>
    </row>
    <row r="8" spans="1:3" x14ac:dyDescent="0.35">
      <c r="A8">
        <v>3.4</v>
      </c>
      <c r="B8">
        <v>-2.0777875332046003</v>
      </c>
      <c r="C8">
        <v>-2.0777875332355698</v>
      </c>
    </row>
    <row r="9" spans="1:3" x14ac:dyDescent="0.35">
      <c r="A9">
        <v>3.5</v>
      </c>
      <c r="B9">
        <v>-2.3742319631016779</v>
      </c>
      <c r="C9">
        <v>-2.374231963218576</v>
      </c>
    </row>
    <row r="10" spans="1:3" x14ac:dyDescent="0.35">
      <c r="A10">
        <v>3.6</v>
      </c>
      <c r="B10">
        <v>-2.6694952002840657</v>
      </c>
      <c r="C10">
        <v>-2.6694952007265798</v>
      </c>
    </row>
    <row r="11" spans="1:3" x14ac:dyDescent="0.35">
      <c r="A11">
        <v>3.7</v>
      </c>
      <c r="B11">
        <v>-2.96312533545944</v>
      </c>
      <c r="C11">
        <v>-2.9631253371370865</v>
      </c>
    </row>
    <row r="12" spans="1:3" x14ac:dyDescent="0.35">
      <c r="A12">
        <v>3.8</v>
      </c>
      <c r="B12">
        <v>-3.2544642529849011</v>
      </c>
      <c r="C12">
        <v>-3.2544642593419177</v>
      </c>
    </row>
    <row r="13" spans="1:3" x14ac:dyDescent="0.35">
      <c r="A13">
        <v>3.9</v>
      </c>
      <c r="B13">
        <v>-3.5425473522787745</v>
      </c>
      <c r="C13">
        <v>-3.5425473762867457</v>
      </c>
    </row>
    <row r="14" spans="1:3" x14ac:dyDescent="0.35">
      <c r="A14">
        <v>4</v>
      </c>
      <c r="B14">
        <v>-3.8259593427280696</v>
      </c>
      <c r="C14">
        <v>-3.8259594327398978</v>
      </c>
    </row>
    <row r="15" spans="1:3" x14ac:dyDescent="0.35">
      <c r="A15">
        <v>4.0999999999999996</v>
      </c>
      <c r="B15">
        <v>-4.1026414794195238</v>
      </c>
      <c r="C15">
        <v>-4.1026418126346389</v>
      </c>
    </row>
    <row r="16" spans="1:3" x14ac:dyDescent="0.35">
      <c r="A16">
        <v>4.2</v>
      </c>
      <c r="B16">
        <v>-4.3696701738905226</v>
      </c>
      <c r="C16">
        <v>-4.3696713828259579</v>
      </c>
    </row>
    <row r="17" spans="1:3" x14ac:dyDescent="0.35">
      <c r="A17">
        <v>4.3</v>
      </c>
      <c r="B17">
        <v>-4.6230871436507144</v>
      </c>
      <c r="C17">
        <v>-4.6230914003425925</v>
      </c>
    </row>
    <row r="18" spans="1:3" x14ac:dyDescent="0.35">
      <c r="A18">
        <v>4.4000000000000004</v>
      </c>
      <c r="B18">
        <v>-4.8579624015292291</v>
      </c>
      <c r="C18">
        <v>-4.8579767727084837</v>
      </c>
    </row>
    <row r="19" spans="1:3" x14ac:dyDescent="0.35">
      <c r="A19">
        <v>4.5</v>
      </c>
      <c r="B19">
        <v>-5.0689503933690396</v>
      </c>
      <c r="C19">
        <v>-5.0689963122485375</v>
      </c>
    </row>
    <row r="20" spans="1:3" x14ac:dyDescent="0.35">
      <c r="A20">
        <v>4.5999999999999996</v>
      </c>
      <c r="B20">
        <v>-5.2514707928127926</v>
      </c>
      <c r="C20">
        <v>-5.2516080780859209</v>
      </c>
    </row>
    <row r="21" spans="1:3" x14ac:dyDescent="0.35">
      <c r="A21">
        <v>4.7</v>
      </c>
      <c r="B21">
        <v>-5.4031583037612601</v>
      </c>
      <c r="C21">
        <v>-5.4035398868142455</v>
      </c>
    </row>
    <row r="22" spans="1:3" x14ac:dyDescent="0.35">
      <c r="A22">
        <v>4.8</v>
      </c>
      <c r="B22">
        <v>-5.5247182235772181</v>
      </c>
      <c r="C22">
        <v>-5.5257045650198124</v>
      </c>
    </row>
    <row r="23" spans="1:3" x14ac:dyDescent="0.35">
      <c r="A23">
        <v>4.9000000000000004</v>
      </c>
      <c r="B23">
        <v>-5.6195521840514386</v>
      </c>
      <c r="C23">
        <v>-5.6219375140003747</v>
      </c>
    </row>
    <row r="24" spans="1:3" x14ac:dyDescent="0.35">
      <c r="A24">
        <v>5</v>
      </c>
      <c r="B24">
        <v>-5.6924638090567647</v>
      </c>
      <c r="C24">
        <v>-5.6979059572428374</v>
      </c>
    </row>
    <row r="25" spans="1:3" x14ac:dyDescent="0.35">
      <c r="A25">
        <v>5.0999999999999996</v>
      </c>
      <c r="B25">
        <v>-5.7483310362788904</v>
      </c>
      <c r="C25">
        <v>-5.7601266214182845</v>
      </c>
    </row>
    <row r="26" spans="1:3" x14ac:dyDescent="0.35">
      <c r="A26">
        <v>5.2</v>
      </c>
      <c r="B26">
        <v>-5.7913245330437295</v>
      </c>
      <c r="C26">
        <v>-5.8156829675808508</v>
      </c>
    </row>
    <row r="27" spans="1:3" x14ac:dyDescent="0.35">
      <c r="A27">
        <v>5.3</v>
      </c>
      <c r="B27">
        <v>-5.8246846771586869</v>
      </c>
      <c r="C27">
        <v>-5.8724759514031115</v>
      </c>
    </row>
    <row r="28" spans="1:3" x14ac:dyDescent="0.35">
      <c r="A28">
        <v>5.4</v>
      </c>
      <c r="B28">
        <v>-5.8508126519476846</v>
      </c>
      <c r="C28">
        <v>-5.9391191279101676</v>
      </c>
    </row>
    <row r="29" spans="1:3" x14ac:dyDescent="0.35">
      <c r="A29">
        <v>5.5</v>
      </c>
      <c r="B29">
        <v>-5.8714612138160351</v>
      </c>
      <c r="C29">
        <v>-6.0231496227826318</v>
      </c>
    </row>
    <row r="30" spans="1:3" x14ac:dyDescent="0.35">
      <c r="A30">
        <v>5.6</v>
      </c>
      <c r="B30">
        <v>-5.8879165710624966</v>
      </c>
      <c r="C30">
        <v>-6.1272099494418919</v>
      </c>
    </row>
    <row r="31" spans="1:3" x14ac:dyDescent="0.35">
      <c r="A31">
        <v>5.7</v>
      </c>
      <c r="B31">
        <v>-5.9011380239731182</v>
      </c>
      <c r="C31">
        <v>-6.2459624621354974</v>
      </c>
    </row>
    <row r="32" spans="1:3" x14ac:dyDescent="0.35">
      <c r="A32">
        <v>5.8</v>
      </c>
      <c r="B32">
        <v>-5.9118559413611962</v>
      </c>
      <c r="C32">
        <v>-6.3677037981902496</v>
      </c>
    </row>
    <row r="33" spans="1:3" x14ac:dyDescent="0.35">
      <c r="A33">
        <v>5.9</v>
      </c>
      <c r="B33">
        <v>-5.9206384152711511</v>
      </c>
      <c r="C33">
        <v>-6.4800682281279007</v>
      </c>
    </row>
    <row r="34" spans="1:3" x14ac:dyDescent="0.35">
      <c r="A34">
        <v>6</v>
      </c>
      <c r="B34">
        <v>-5.9279368663507714</v>
      </c>
      <c r="C34">
        <v>-6.5750029321396921</v>
      </c>
    </row>
    <row r="35" spans="1:3" x14ac:dyDescent="0.35">
      <c r="A35">
        <v>6.1</v>
      </c>
      <c r="B35">
        <v>-5.9341181608918765</v>
      </c>
      <c r="C35">
        <v>-6.6500517983630418</v>
      </c>
    </row>
    <row r="36" spans="1:3" x14ac:dyDescent="0.35">
      <c r="A36">
        <v>6.2</v>
      </c>
      <c r="B36">
        <v>-5.939488147344079</v>
      </c>
      <c r="C36">
        <v>-6.7067682400703266</v>
      </c>
    </row>
    <row r="37" spans="1:3" x14ac:dyDescent="0.35">
      <c r="A37">
        <v>6.3</v>
      </c>
      <c r="B37">
        <v>-5.9443096097552113</v>
      </c>
      <c r="C37">
        <v>-6.7484381119701533</v>
      </c>
    </row>
    <row r="38" spans="1:3" x14ac:dyDescent="0.35">
      <c r="A38">
        <v>6.4</v>
      </c>
      <c r="B38">
        <v>-5.9488164337267495</v>
      </c>
      <c r="C38">
        <v>-6.7784789932025777</v>
      </c>
    </row>
    <row r="39" spans="1:3" x14ac:dyDescent="0.35">
      <c r="A39">
        <v>6.5</v>
      </c>
      <c r="B39">
        <v>-5.953225068422741</v>
      </c>
      <c r="C39">
        <v>-6.7997249670587667</v>
      </c>
    </row>
    <row r="40" spans="1:3" x14ac:dyDescent="0.35">
      <c r="A40">
        <v>6.6</v>
      </c>
      <c r="B40">
        <v>-5.9577439299717554</v>
      </c>
      <c r="C40">
        <v>-6.81427710973714</v>
      </c>
    </row>
    <row r="41" spans="1:3" x14ac:dyDescent="0.35">
      <c r="A41">
        <v>6.7</v>
      </c>
      <c r="B41">
        <v>-5.9625810669807748</v>
      </c>
      <c r="C41">
        <v>-6.823592496360682</v>
      </c>
    </row>
    <row r="42" spans="1:3" x14ac:dyDescent="0.35">
      <c r="A42">
        <v>6.8</v>
      </c>
      <c r="B42">
        <v>-5.9679500963048255</v>
      </c>
      <c r="C42">
        <v>-6.8286283752142527</v>
      </c>
    </row>
    <row r="43" spans="1:3" x14ac:dyDescent="0.35">
      <c r="A43">
        <v>6.9</v>
      </c>
      <c r="B43">
        <v>-5.9740740587169201</v>
      </c>
      <c r="C43">
        <v>-6.829970066959179</v>
      </c>
    </row>
    <row r="44" spans="1:3" x14ac:dyDescent="0.35">
      <c r="A44">
        <v>7</v>
      </c>
      <c r="B44">
        <v>-5.9811864086277238</v>
      </c>
      <c r="C44">
        <v>-6.8279262905883638</v>
      </c>
    </row>
    <row r="45" spans="1:3" x14ac:dyDescent="0.35">
      <c r="A45">
        <v>7.1</v>
      </c>
      <c r="B45">
        <v>-5.9895278280516333</v>
      </c>
      <c r="C45">
        <v>-6.8225957782671669</v>
      </c>
    </row>
    <row r="46" spans="1:3" x14ac:dyDescent="0.35">
      <c r="A46">
        <v>7.2</v>
      </c>
      <c r="B46">
        <v>-5.9993369579082616</v>
      </c>
      <c r="C46">
        <v>-6.8139138554273853</v>
      </c>
    </row>
    <row r="47" spans="1:3" x14ac:dyDescent="0.35">
      <c r="A47">
        <v>7.3</v>
      </c>
      <c r="B47">
        <v>-6.0108325332572514</v>
      </c>
      <c r="C47">
        <v>-6.8016872537102984</v>
      </c>
    </row>
    <row r="48" spans="1:3" x14ac:dyDescent="0.35">
      <c r="A48">
        <v>7.4</v>
      </c>
      <c r="B48">
        <v>-6.0241839386531506</v>
      </c>
      <c r="C48">
        <v>-6.7856237715098038</v>
      </c>
    </row>
    <row r="49" spans="1:3" x14ac:dyDescent="0.35">
      <c r="A49">
        <v>7.5</v>
      </c>
      <c r="B49">
        <v>-6.0394671323933853</v>
      </c>
      <c r="C49">
        <v>-6.7653616479337773</v>
      </c>
    </row>
    <row r="50" spans="1:3" x14ac:dyDescent="0.35">
      <c r="A50">
        <v>7.6</v>
      </c>
      <c r="B50">
        <v>-6.0566036533065839</v>
      </c>
      <c r="C50">
        <v>-6.7405017571210974</v>
      </c>
    </row>
    <row r="51" spans="1:3" x14ac:dyDescent="0.35">
      <c r="A51">
        <v>7.7</v>
      </c>
      <c r="B51">
        <v>-6.0752826506544615</v>
      </c>
      <c r="C51">
        <v>-6.7106437868682747</v>
      </c>
    </row>
    <row r="52" spans="1:3" x14ac:dyDescent="0.35">
      <c r="A52">
        <v>7.8</v>
      </c>
      <c r="B52">
        <v>-6.0948704183288864</v>
      </c>
      <c r="C52">
        <v>-6.6754253803790879</v>
      </c>
    </row>
    <row r="53" spans="1:3" x14ac:dyDescent="0.35">
      <c r="A53">
        <v>7.9</v>
      </c>
      <c r="B53">
        <v>-6.1143197564379035</v>
      </c>
      <c r="C53">
        <v>-6.6345610353322</v>
      </c>
    </row>
    <row r="54" spans="1:3" x14ac:dyDescent="0.35">
      <c r="A54">
        <v>8</v>
      </c>
      <c r="B54">
        <v>-6.1321032200783678</v>
      </c>
      <c r="C54">
        <v>-6.5878759268849381</v>
      </c>
    </row>
    <row r="55" spans="1:3" x14ac:dyDescent="0.35">
      <c r="A55">
        <v>8.1</v>
      </c>
      <c r="B55">
        <v>-6.1462084407243909</v>
      </c>
      <c r="C55">
        <v>-6.5353294169737985</v>
      </c>
    </row>
    <row r="56" spans="1:3" x14ac:dyDescent="0.35">
      <c r="A56">
        <v>8.1999999999999993</v>
      </c>
      <c r="B56">
        <v>-6.1542431948188403</v>
      </c>
      <c r="C56">
        <v>-6.4770242288858864</v>
      </c>
    </row>
    <row r="57" spans="1:3" x14ac:dyDescent="0.35">
      <c r="A57">
        <v>8.3000000000000007</v>
      </c>
      <c r="B57">
        <v>-6.1536873050484084</v>
      </c>
      <c r="C57">
        <v>-6.4131998901547576</v>
      </c>
    </row>
    <row r="58" spans="1:3" x14ac:dyDescent="0.35">
      <c r="A58">
        <v>8.4000000000000057</v>
      </c>
      <c r="B58">
        <v>-6.1422799952648308</v>
      </c>
      <c r="C58">
        <v>-6.3442122233938818</v>
      </c>
    </row>
    <row r="59" spans="1:3" x14ac:dyDescent="0.35">
      <c r="A59">
        <v>8.5000000000000053</v>
      </c>
      <c r="B59">
        <v>-6.1184486819454245</v>
      </c>
      <c r="C59">
        <v>-6.2705032735813884</v>
      </c>
    </row>
    <row r="60" spans="1:3" x14ac:dyDescent="0.35">
      <c r="A60">
        <v>8.6</v>
      </c>
      <c r="B60">
        <v>-6.0816189507666492</v>
      </c>
      <c r="C60">
        <v>-6.1925672759643717</v>
      </c>
    </row>
    <row r="61" spans="1:3" x14ac:dyDescent="0.35">
      <c r="A61">
        <v>8.6999999999999993</v>
      </c>
      <c r="B61">
        <v>-6.0322685360773702</v>
      </c>
      <c r="C61">
        <v>-6.1109179229240036</v>
      </c>
    </row>
    <row r="62" spans="1:3" x14ac:dyDescent="0.35">
      <c r="A62">
        <v>8.8000000000000007</v>
      </c>
      <c r="B62">
        <v>-5.9717108623210127</v>
      </c>
      <c r="C62">
        <v>-6.0260607250787759</v>
      </c>
    </row>
    <row r="63" spans="1:3" x14ac:dyDescent="0.35">
      <c r="A63">
        <v>8.9000000000000057</v>
      </c>
      <c r="B63">
        <v>-5.9017256385735068</v>
      </c>
      <c r="C63">
        <v>-5.9384723940216118</v>
      </c>
    </row>
    <row r="64" spans="1:3" x14ac:dyDescent="0.35">
      <c r="A64">
        <v>9.0000000000000053</v>
      </c>
      <c r="B64">
        <v>-5.8241948871031717</v>
      </c>
      <c r="C64">
        <v>-5.8485875148707693</v>
      </c>
    </row>
    <row r="65" spans="1:3" x14ac:dyDescent="0.35">
      <c r="A65">
        <v>9.1</v>
      </c>
      <c r="B65">
        <v>-5.7408474602844555</v>
      </c>
      <c r="C65">
        <v>-5.756791650640058</v>
      </c>
    </row>
    <row r="66" spans="1:3" x14ac:dyDescent="0.35">
      <c r="A66">
        <v>9.2000000000000064</v>
      </c>
      <c r="B66">
        <v>-5.653133100722628</v>
      </c>
      <c r="C66">
        <v>-5.6634194701115383</v>
      </c>
    </row>
    <row r="67" spans="1:3" x14ac:dyDescent="0.35">
      <c r="A67">
        <v>9.300000000000006</v>
      </c>
      <c r="B67">
        <v>-5.5621954093416335</v>
      </c>
      <c r="C67">
        <v>-5.568756389917322</v>
      </c>
    </row>
    <row r="68" spans="1:3" x14ac:dyDescent="0.35">
      <c r="A68">
        <v>9.4000000000000057</v>
      </c>
      <c r="B68">
        <v>-5.4689005367522894</v>
      </c>
      <c r="C68">
        <v>-5.4730423922273186</v>
      </c>
    </row>
    <row r="69" spans="1:3" x14ac:dyDescent="0.35">
      <c r="A69">
        <v>9.5000000000000053</v>
      </c>
      <c r="B69">
        <v>-5.3738876353826939</v>
      </c>
      <c r="C69">
        <v>-5.3764769675553064</v>
      </c>
    </row>
    <row r="70" spans="1:3" x14ac:dyDescent="0.35">
      <c r="A70">
        <v>9.6</v>
      </c>
      <c r="B70">
        <v>-5.2776211708708525</v>
      </c>
      <c r="C70">
        <v>-5.2792244345632229</v>
      </c>
    </row>
    <row r="71" spans="1:3" x14ac:dyDescent="0.35">
      <c r="A71">
        <v>9.7000000000000064</v>
      </c>
      <c r="B71">
        <v>-5.1804361568563326</v>
      </c>
      <c r="C71">
        <v>-5.1814191510803713</v>
      </c>
    </row>
    <row r="72" spans="1:3" x14ac:dyDescent="0.35">
      <c r="A72">
        <v>9.800000000000006</v>
      </c>
      <c r="B72">
        <v>-5.0825738294877683</v>
      </c>
      <c r="C72">
        <v>-5.0831703334181064</v>
      </c>
    </row>
    <row r="73" spans="1:3" x14ac:dyDescent="0.35">
      <c r="A73">
        <v>9.9000000000000057</v>
      </c>
      <c r="B73">
        <v>-4.9842083306041536</v>
      </c>
      <c r="C73">
        <v>-4.9845663450687443</v>
      </c>
    </row>
    <row r="74" spans="1:3" x14ac:dyDescent="0.35">
      <c r="A74">
        <v>10</v>
      </c>
      <c r="B74">
        <v>-4.8854660455795997</v>
      </c>
      <c r="C74">
        <v>-4.8856784106956122</v>
      </c>
    </row>
    <row r="75" spans="1:3" x14ac:dyDescent="0.35">
      <c r="A75">
        <v>10.1</v>
      </c>
      <c r="B75">
        <v>-4.7864393643389596</v>
      </c>
      <c r="C75">
        <v>-4.7865637689875751</v>
      </c>
    </row>
    <row r="76" spans="1:3" x14ac:dyDescent="0.35">
      <c r="A76">
        <v>10.199999999999999</v>
      </c>
      <c r="B76">
        <v>-4.6871963837305284</v>
      </c>
      <c r="C76">
        <v>-4.6872683095517091</v>
      </c>
    </row>
    <row r="77" spans="1:3" x14ac:dyDescent="0.35">
      <c r="A77">
        <v>10.3</v>
      </c>
      <c r="B77">
        <v>-4.5877877292613389</v>
      </c>
      <c r="C77">
        <v>-4.5878287534323015</v>
      </c>
    </row>
    <row r="78" spans="1:3" x14ac:dyDescent="0.35">
      <c r="A78">
        <v>10.4</v>
      </c>
      <c r="B78">
        <v>-4.4882513608067631</v>
      </c>
      <c r="C78">
        <v>-4.4882744406098727</v>
      </c>
    </row>
    <row r="79" spans="1:3" x14ac:dyDescent="0.35">
      <c r="A79">
        <v>10.5</v>
      </c>
      <c r="B79">
        <v>-4.3886159760973316</v>
      </c>
      <c r="C79">
        <v>-4.3886287854692005</v>
      </c>
    </row>
    <row r="80" spans="1:3" x14ac:dyDescent="0.35">
      <c r="A80">
        <v>10.6</v>
      </c>
      <c r="B80">
        <v>-4.2889034390499381</v>
      </c>
      <c r="C80">
        <v>-4.2889104557006297</v>
      </c>
    </row>
    <row r="81" spans="1:3" x14ac:dyDescent="0.35">
      <c r="A81">
        <v>10.7</v>
      </c>
      <c r="B81">
        <v>-4.1891305269435932</v>
      </c>
      <c r="C81">
        <v>-4.1891343232690366</v>
      </c>
    </row>
    <row r="82" spans="1:3" x14ac:dyDescent="0.35">
      <c r="A82">
        <v>10.8</v>
      </c>
      <c r="B82">
        <v>-4.0893101983261531</v>
      </c>
      <c r="C82">
        <v>-4.0893122290468336</v>
      </c>
    </row>
    <row r="83" spans="1:3" x14ac:dyDescent="0.35">
      <c r="A83">
        <v>10.9</v>
      </c>
      <c r="B83">
        <v>-3.9894525208955693</v>
      </c>
      <c r="C83">
        <v>-3.9894535960617286</v>
      </c>
    </row>
    <row r="84" spans="1:3" x14ac:dyDescent="0.35">
      <c r="A84">
        <v>11</v>
      </c>
      <c r="B84">
        <v>-3.8895653562468895</v>
      </c>
      <c r="C84">
        <v>-3.889565920346215</v>
      </c>
    </row>
    <row r="85" spans="1:3" x14ac:dyDescent="0.35">
      <c r="A85">
        <v>11.1</v>
      </c>
      <c r="B85">
        <v>-3.7896548695622752</v>
      </c>
      <c r="C85">
        <v>-3.789655163196699</v>
      </c>
    </row>
    <row r="86" spans="1:3" x14ac:dyDescent="0.35">
      <c r="A86">
        <v>11.2</v>
      </c>
      <c r="B86">
        <v>-3.6897259124342252</v>
      </c>
      <c r="C86">
        <v>-3.6897260642525169</v>
      </c>
    </row>
    <row r="87" spans="1:3" x14ac:dyDescent="0.35">
      <c r="A87">
        <v>11.3</v>
      </c>
      <c r="B87">
        <v>-3.5897823130820643</v>
      </c>
      <c r="C87">
        <v>-3.5897823911302651</v>
      </c>
    </row>
    <row r="88" spans="1:3" x14ac:dyDescent="0.35">
      <c r="A88">
        <v>11.4</v>
      </c>
      <c r="B88">
        <v>-3.489827098381197</v>
      </c>
      <c r="C88">
        <v>-3.4898271383141735</v>
      </c>
    </row>
    <row r="89" spans="1:3" x14ac:dyDescent="0.35">
      <c r="A89">
        <v>11.5</v>
      </c>
      <c r="B89">
        <v>-3.3898626651676596</v>
      </c>
      <c r="C89">
        <v>-3.3898626855187466</v>
      </c>
    </row>
    <row r="90" spans="1:3" x14ac:dyDescent="0.35">
      <c r="A90">
        <v>11.6</v>
      </c>
      <c r="B90">
        <v>-3.2898909133818166</v>
      </c>
      <c r="C90">
        <v>-3.2898909237198319</v>
      </c>
    </row>
    <row r="91" spans="1:3" x14ac:dyDescent="0.35">
      <c r="A91">
        <v>11.7</v>
      </c>
      <c r="B91">
        <v>-3.1899133501779828</v>
      </c>
      <c r="C91">
        <v>-3.1899133554156682</v>
      </c>
    </row>
    <row r="92" spans="1:3" x14ac:dyDescent="0.35">
      <c r="A92">
        <v>11.8</v>
      </c>
      <c r="B92">
        <v>-3.0899311717145066</v>
      </c>
      <c r="C92">
        <v>-3.0899311743624609</v>
      </c>
    </row>
    <row r="93" spans="1:3" x14ac:dyDescent="0.35">
      <c r="A93">
        <v>11.9</v>
      </c>
      <c r="B93">
        <v>-2.9899453276344463</v>
      </c>
      <c r="C93">
        <v>-2.9899453289708231</v>
      </c>
    </row>
    <row r="94" spans="1:3" x14ac:dyDescent="0.35">
      <c r="A94">
        <v>12</v>
      </c>
      <c r="B94">
        <v>-2.8899565720278688</v>
      </c>
      <c r="C94">
        <v>-2.8899565727013745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 Workspace</vt:lpstr>
      <vt:lpstr>Al Total Chart</vt:lpstr>
      <vt:lpstr>Al and EDTA Chart</vt:lpstr>
      <vt:lpstr>Al and EDTA with Ca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Steve Leharne</dc:creator>
  <cp:keywords/>
  <dc:description/>
  <cp:lastModifiedBy>Carina Negreanu</cp:lastModifiedBy>
  <dcterms:created xsi:type="dcterms:W3CDTF">2020-01-27T11:14:26Z</dcterms:created>
  <dcterms:modified xsi:type="dcterms:W3CDTF">2020-01-27T11:14:27Z</dcterms:modified>
</cp:coreProperties>
</file>