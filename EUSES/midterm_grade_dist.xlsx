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49186D-8FED-42F1-90E0-2ED341217B60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 a="1"/>
  <c r="E4" i="1" s="1"/>
  <c r="G4" i="1" s="1"/>
  <c r="D18" i="1"/>
  <c r="D17" i="1"/>
  <c r="E3" i="1" l="1"/>
  <c r="E8" i="1"/>
  <c r="G8" i="1" s="1"/>
  <c r="E6" i="1"/>
  <c r="G6" i="1" s="1"/>
  <c r="E11" i="1"/>
  <c r="G11" i="1" s="1"/>
  <c r="E10" i="1"/>
  <c r="G10" i="1" s="1"/>
  <c r="E9" i="1"/>
  <c r="G9" i="1" s="1"/>
  <c r="E5" i="1"/>
  <c r="G5" i="1" s="1"/>
  <c r="E12" i="1"/>
  <c r="G12" i="1" s="1"/>
  <c r="E7" i="1"/>
  <c r="G7" i="1" s="1"/>
  <c r="G3" i="1" l="1"/>
  <c r="F3" i="1"/>
  <c r="F4" i="1" s="1"/>
  <c r="F5" i="1" s="1"/>
  <c r="F6" i="1" s="1"/>
  <c r="F7" i="1" s="1"/>
  <c r="F8" i="1" s="1"/>
  <c r="F9" i="1" s="1"/>
  <c r="F10" i="1" s="1"/>
  <c r="F11" i="1" s="1"/>
  <c r="F12" i="1" s="1"/>
</calcChain>
</file>

<file path=xl/sharedStrings.xml><?xml version="1.0" encoding="utf-8"?>
<sst xmlns="http://schemas.openxmlformats.org/spreadsheetml/2006/main" count="18" uniqueCount="18">
  <si>
    <t>95-100</t>
  </si>
  <si>
    <t>85-89</t>
  </si>
  <si>
    <t>80-84</t>
  </si>
  <si>
    <t>90-94</t>
  </si>
  <si>
    <t>75-79</t>
  </si>
  <si>
    <t>70-74</t>
  </si>
  <si>
    <t>65-69</t>
  </si>
  <si>
    <t>60-64</t>
  </si>
  <si>
    <t>55-59</t>
  </si>
  <si>
    <t>50-54</t>
  </si>
  <si>
    <t>Upper limit</t>
  </si>
  <si>
    <t>Frequency</t>
  </si>
  <si>
    <t>Cummul</t>
  </si>
  <si>
    <t>Mean</t>
  </si>
  <si>
    <t>Median</t>
  </si>
  <si>
    <t>Maximum</t>
  </si>
  <si>
    <t>Minimum</t>
  </si>
  <si>
    <t>Relative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</si>
</sst>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Midterm Grades</a:t>
            </a:r>
          </a:p>
        </c:rich>
      </c:tx>
      <c:layout>
        <c:manualLayout>
          <c:xMode val="edge"/>
          <c:yMode val="edge"/>
          <c:x val="0.36135585195447661"/>
          <c:y val="3.2155426267434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465029852091892E-2"/>
          <c:y val="0.16720821659066126"/>
          <c:w val="0.91828696416338451"/>
          <c:h val="0.668832866362645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Sheet1!$C$3:$C$12</c:f>
              <c:strCache>
                <c:ptCount val="10"/>
                <c:pt idx="0">
                  <c:v>50-54</c:v>
                </c:pt>
                <c:pt idx="1">
                  <c:v>55-59</c:v>
                </c:pt>
                <c:pt idx="2">
                  <c:v>60-64</c:v>
                </c:pt>
                <c:pt idx="3">
                  <c:v>65-69</c:v>
                </c:pt>
                <c:pt idx="4">
                  <c:v>70-74</c:v>
                </c:pt>
                <c:pt idx="5">
                  <c:v>75-79</c:v>
                </c:pt>
                <c:pt idx="6">
                  <c:v>80-84</c:v>
                </c:pt>
                <c:pt idx="7">
                  <c:v>85-89</c:v>
                </c:pt>
                <c:pt idx="8">
                  <c:v>90-94</c:v>
                </c:pt>
                <c:pt idx="9">
                  <c:v>95-100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D-45AF-ABD2-746E5328F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73991263"/>
        <c:axId val="1"/>
      </c:barChart>
      <c:catAx>
        <c:axId val="77399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.49734177510013589"/>
              <c:y val="0.908390792055034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1.6807248928115193E-2"/>
              <c:y val="0.34406306106155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912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23</xdr:row>
      <xdr:rowOff>38100</xdr:rowOff>
    </xdr:from>
    <xdr:to>
      <xdr:col>11</xdr:col>
      <xdr:colOff>209550</xdr:colOff>
      <xdr:row>48</xdr:row>
      <xdr:rowOff>19050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556904A5-46DA-4EA6-B2C4-886BD50EA9FF}"/>
            </a:ext>
          </a:extLst>
        </xdr:cNvPr>
        <xdr:cNvGrpSpPr>
          <a:grpSpLocks/>
        </xdr:cNvGrpSpPr>
      </xdr:nvGrpSpPr>
      <xdr:grpSpPr bwMode="auto">
        <a:xfrm>
          <a:off x="355600" y="3721100"/>
          <a:ext cx="8312150" cy="3949700"/>
          <a:chOff x="37" y="395"/>
          <a:chExt cx="853" cy="423"/>
        </a:xfrm>
      </xdr:grpSpPr>
      <xdr:graphicFrame macro="">
        <xdr:nvGraphicFramePr>
          <xdr:cNvPr id="1025" name="Chart 1">
            <a:extLst>
              <a:ext uri="{FF2B5EF4-FFF2-40B4-BE49-F238E27FC236}">
                <a16:creationId xmlns:a16="http://schemas.microsoft.com/office/drawing/2014/main" id="{ABE68626-04F6-44AD-80CA-D535BA8E9F5E}"/>
              </a:ext>
            </a:extLst>
          </xdr:cNvPr>
          <xdr:cNvGraphicFramePr>
            <a:graphicFrameLocks/>
          </xdr:cNvGraphicFramePr>
        </xdr:nvGraphicFramePr>
        <xdr:xfrm>
          <a:off x="37" y="395"/>
          <a:ext cx="853" cy="4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26" name="Line 2">
            <a:extLst>
              <a:ext uri="{FF2B5EF4-FFF2-40B4-BE49-F238E27FC236}">
                <a16:creationId xmlns:a16="http://schemas.microsoft.com/office/drawing/2014/main" id="{3A289A05-6150-4292-BC47-1B051553EF45}"/>
              </a:ext>
            </a:extLst>
          </xdr:cNvPr>
          <xdr:cNvSpPr>
            <a:spLocks noChangeShapeType="1"/>
          </xdr:cNvSpPr>
        </xdr:nvSpPr>
        <xdr:spPr bwMode="auto">
          <a:xfrm flipV="1">
            <a:off x="567" y="482"/>
            <a:ext cx="0" cy="267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H15" sqref="H15"/>
    </sheetView>
  </sheetViews>
  <sheetFormatPr defaultRowHeight="12.5" x14ac:dyDescent="0.25"/>
  <cols>
    <col min="4" max="4" width="11.81640625" customWidth="1"/>
    <col min="5" max="5" width="12.26953125" customWidth="1"/>
    <col min="6" max="6" width="11.453125" customWidth="1"/>
    <col min="7" max="7" width="24.453125" customWidth="1"/>
  </cols>
  <sheetData>
    <row r="1" spans="1:7" x14ac:dyDescent="0.25">
      <c r="A1" s="1">
        <v>52</v>
      </c>
    </row>
    <row r="2" spans="1:7" ht="13" x14ac:dyDescent="0.3">
      <c r="A2" s="1">
        <v>53</v>
      </c>
      <c r="D2" s="2" t="s">
        <v>10</v>
      </c>
      <c r="E2" s="2" t="s">
        <v>11</v>
      </c>
      <c r="F2" s="2" t="s">
        <v>12</v>
      </c>
      <c r="G2" s="2" t="s">
        <v>17</v>
      </c>
    </row>
    <row r="3" spans="1:7" x14ac:dyDescent="0.25">
      <c r="A3" s="1">
        <v>62.5</v>
      </c>
      <c r="C3" t="s">
        <v>9</v>
      </c>
      <c r="D3">
        <v>54.5</v>
      </c>
      <c r="E3">
        <f t="array" ref="E3:E12">+FREQUENCY(A1:A24,D3:D12)</f>
        <v>2</v>
      </c>
      <c r="F3">
        <f>+E3</f>
        <v>2</v>
      </c>
      <c r="G3" s="3">
        <f>+E3/23</f>
        <v>8.6956521739130432E-2</v>
      </c>
    </row>
    <row r="4" spans="1:7" x14ac:dyDescent="0.25">
      <c r="A4" s="1">
        <v>63.5</v>
      </c>
      <c r="C4" t="s">
        <v>8</v>
      </c>
      <c r="D4">
        <v>59.5</v>
      </c>
      <c r="E4">
        <v>0</v>
      </c>
      <c r="F4">
        <f>+F3+E4</f>
        <v>2</v>
      </c>
      <c r="G4" s="3">
        <f t="shared" ref="G4:G12" si="0">+E4/23</f>
        <v>0</v>
      </c>
    </row>
    <row r="5" spans="1:7" x14ac:dyDescent="0.25">
      <c r="A5" s="1">
        <v>65.5</v>
      </c>
      <c r="C5" t="s">
        <v>7</v>
      </c>
      <c r="D5">
        <v>64.5</v>
      </c>
      <c r="E5">
        <v>2</v>
      </c>
      <c r="F5">
        <f t="shared" ref="F5:F12" si="1">+F4+E5</f>
        <v>4</v>
      </c>
      <c r="G5" s="3">
        <f t="shared" si="0"/>
        <v>8.6956521739130432E-2</v>
      </c>
    </row>
    <row r="6" spans="1:7" x14ac:dyDescent="0.25">
      <c r="A6" s="1">
        <v>72.5</v>
      </c>
      <c r="C6" t="s">
        <v>6</v>
      </c>
      <c r="D6">
        <v>69.5</v>
      </c>
      <c r="E6">
        <v>1</v>
      </c>
      <c r="F6">
        <f t="shared" si="1"/>
        <v>5</v>
      </c>
      <c r="G6" s="3">
        <f t="shared" si="0"/>
        <v>4.3478260869565216E-2</v>
      </c>
    </row>
    <row r="7" spans="1:7" x14ac:dyDescent="0.25">
      <c r="A7" s="1">
        <v>72.5</v>
      </c>
      <c r="C7" t="s">
        <v>5</v>
      </c>
      <c r="D7">
        <v>74.5</v>
      </c>
      <c r="E7">
        <v>3</v>
      </c>
      <c r="F7">
        <f t="shared" si="1"/>
        <v>8</v>
      </c>
      <c r="G7" s="3">
        <f t="shared" si="0"/>
        <v>0.13043478260869565</v>
      </c>
    </row>
    <row r="8" spans="1:7" x14ac:dyDescent="0.25">
      <c r="A8" s="1">
        <v>74</v>
      </c>
      <c r="C8" t="s">
        <v>4</v>
      </c>
      <c r="D8">
        <v>79.5</v>
      </c>
      <c r="E8">
        <v>2</v>
      </c>
      <c r="F8">
        <f t="shared" si="1"/>
        <v>10</v>
      </c>
      <c r="G8" s="3">
        <f t="shared" si="0"/>
        <v>8.6956521739130432E-2</v>
      </c>
    </row>
    <row r="9" spans="1:7" x14ac:dyDescent="0.25">
      <c r="A9" s="1">
        <v>75</v>
      </c>
      <c r="C9" t="s">
        <v>2</v>
      </c>
      <c r="D9">
        <v>84.5</v>
      </c>
      <c r="E9">
        <v>3</v>
      </c>
      <c r="F9">
        <f t="shared" si="1"/>
        <v>13</v>
      </c>
      <c r="G9" s="3">
        <f t="shared" si="0"/>
        <v>0.13043478260869565</v>
      </c>
    </row>
    <row r="10" spans="1:7" x14ac:dyDescent="0.25">
      <c r="A10" s="1">
        <v>75.5</v>
      </c>
      <c r="C10" t="s">
        <v>1</v>
      </c>
      <c r="D10">
        <v>89.5</v>
      </c>
      <c r="E10">
        <v>3</v>
      </c>
      <c r="F10">
        <f t="shared" si="1"/>
        <v>16</v>
      </c>
      <c r="G10" s="3">
        <f t="shared" si="0"/>
        <v>0.13043478260869565</v>
      </c>
    </row>
    <row r="11" spans="1:7" x14ac:dyDescent="0.25">
      <c r="A11" s="1">
        <v>80.5</v>
      </c>
      <c r="C11" t="s">
        <v>3</v>
      </c>
      <c r="D11">
        <v>94.5</v>
      </c>
      <c r="E11">
        <v>5</v>
      </c>
      <c r="F11">
        <f t="shared" si="1"/>
        <v>21</v>
      </c>
      <c r="G11" s="3">
        <f t="shared" si="0"/>
        <v>0.21739130434782608</v>
      </c>
    </row>
    <row r="12" spans="1:7" x14ac:dyDescent="0.25">
      <c r="A12" s="1">
        <v>82</v>
      </c>
      <c r="C12" t="s">
        <v>0</v>
      </c>
      <c r="D12">
        <v>100</v>
      </c>
      <c r="E12">
        <v>2</v>
      </c>
      <c r="F12">
        <f t="shared" si="1"/>
        <v>23</v>
      </c>
      <c r="G12" s="3">
        <f t="shared" si="0"/>
        <v>8.6956521739130432E-2</v>
      </c>
    </row>
    <row r="13" spans="1:7" x14ac:dyDescent="0.25">
      <c r="A13" s="1">
        <v>84.5</v>
      </c>
    </row>
    <row r="14" spans="1:7" x14ac:dyDescent="0.25">
      <c r="A14" s="1">
        <v>85</v>
      </c>
    </row>
    <row r="15" spans="1:7" ht="13" x14ac:dyDescent="0.3">
      <c r="A15" s="1">
        <v>87</v>
      </c>
      <c r="C15" s="2" t="s">
        <v>15</v>
      </c>
      <c r="D15" s="2">
        <v>97</v>
      </c>
    </row>
    <row r="16" spans="1:7" ht="13" x14ac:dyDescent="0.3">
      <c r="A16" s="1">
        <v>88</v>
      </c>
      <c r="C16" s="2" t="s">
        <v>16</v>
      </c>
      <c r="D16" s="2">
        <v>52</v>
      </c>
    </row>
    <row r="17" spans="1:4" ht="13" x14ac:dyDescent="0.3">
      <c r="A17" s="1">
        <v>90</v>
      </c>
      <c r="C17" s="2" t="s">
        <v>13</v>
      </c>
      <c r="D17" s="4">
        <f>+AVERAGE(A1:A23)</f>
        <v>79.130434782608702</v>
      </c>
    </row>
    <row r="18" spans="1:4" ht="13" x14ac:dyDescent="0.3">
      <c r="A18" s="1">
        <v>90</v>
      </c>
      <c r="C18" s="2" t="s">
        <v>14</v>
      </c>
      <c r="D18" s="2">
        <f>+MEDIAN(A1:A23)</f>
        <v>82</v>
      </c>
    </row>
    <row r="19" spans="1:4" x14ac:dyDescent="0.25">
      <c r="A19" s="1">
        <v>90</v>
      </c>
    </row>
    <row r="20" spans="1:4" x14ac:dyDescent="0.25">
      <c r="A20" s="1">
        <v>91.5</v>
      </c>
    </row>
    <row r="21" spans="1:4" x14ac:dyDescent="0.25">
      <c r="A21" s="1">
        <v>92.5</v>
      </c>
    </row>
    <row r="22" spans="1:4" x14ac:dyDescent="0.25">
      <c r="A22" s="1">
        <v>96</v>
      </c>
    </row>
    <row r="23" spans="1:4" x14ac:dyDescent="0.25">
      <c r="A23" s="1">
        <v>97</v>
      </c>
    </row>
  </sheetData>
  <phoneticPr fontId="1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Bebchuk</dc:creator>
  <cp:lastModifiedBy>Carina Negreanu</cp:lastModifiedBy>
  <dcterms:created xsi:type="dcterms:W3CDTF">2004-03-16T22:17:16Z</dcterms:created>
  <dcterms:modified xsi:type="dcterms:W3CDTF">2020-01-27T11:51:34Z</dcterms:modified>
</cp:coreProperties>
</file>