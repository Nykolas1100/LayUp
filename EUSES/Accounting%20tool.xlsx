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2FAA30A-3AC2-43BA-BC17-F686B90A5533}" xr6:coauthVersionLast="45" xr6:coauthVersionMax="45" xr10:uidLastSave="{00000000-0000-0000-0000-000000000000}"/>
  <bookViews>
    <workbookView xWindow="3420" yWindow="3420" windowWidth="28800" windowHeight="15460" firstSheet="1" activeTab="1"/>
  </bookViews>
  <sheets>
    <sheet name="CASHnew.XLS" sheetId="1" r:id="rId1"/>
    <sheet name="F-BALANC.XLS" sheetId="2" r:id="rId2"/>
    <sheet name="INC-STMT.XLS" sheetId="3" r:id="rId3"/>
    <sheet name="CASH_YR2.XLS" sheetId="4" r:id="rId4"/>
    <sheet name="CASH_YR3.XLS" sheetId="5" r:id="rId5"/>
  </sheets>
  <definedNames>
    <definedName name="Advertising">'CASHnew.XLS'!$N$22</definedName>
    <definedName name="Baked_Goods_Sales">'CASHnew.XLS'!#REF!</definedName>
    <definedName name="Baking_Inventory">'CASHnew.XLS'!$N$18</definedName>
    <definedName name="Bank_Fees" localSheetId="0">'CASHnew.XLS'!$N$24</definedName>
    <definedName name="Bank_Fees" localSheetId="2">'INC-STMT.XLS'!$N$33</definedName>
    <definedName name="Consignment_Sales">'CASHnew.XLS'!#REF!</definedName>
    <definedName name="Cost_of_Sales" localSheetId="3">'CASH_YR2.XLS'!$N$18:$N$24</definedName>
    <definedName name="Cost_of_Sales" localSheetId="4">'CASH_YR3.XLS'!$N$20:$N$26</definedName>
    <definedName name="Cost_of_Sales" localSheetId="0">'CASHnew.XLS'!$N$16:$N$22</definedName>
    <definedName name="Cost_of_Sales" localSheetId="2">'INC-STMT.XLS'!$N$26:$N$31</definedName>
    <definedName name="Courses">'CASHnew.XLS'!#REF!</definedName>
    <definedName name="depreciables" localSheetId="0">'CASHnew.XLS'!$N$15:$N$15</definedName>
    <definedName name="depreciables" localSheetId="2">'INC-STMT.XLS'!$N$25:$N$25</definedName>
    <definedName name="Drawings" localSheetId="0">'CASHnew.XLS'!$N$34</definedName>
    <definedName name="Drawings" localSheetId="1">'F-BALANC.XLS'!$N$42</definedName>
    <definedName name="Equipment" localSheetId="0">'CASHnew.XLS'!$N$15:$N$15</definedName>
    <definedName name="Equipment" localSheetId="1">'F-BALANC.XLS'!$N$19:$N$20</definedName>
    <definedName name="Equipment_Depreciation">'F-BALANC.XLS'!$F$5</definedName>
    <definedName name="Fixed_Assets" localSheetId="1">'F-BALANC.XLS'!$B$14:$B$15</definedName>
    <definedName name="Fixed_Assets" localSheetId="2">'INC-STMT.XLS'!$B$20:$B$21</definedName>
    <definedName name="Fixed_Costs" localSheetId="3">'CASH_YR2.XLS'!$N$22:$N$31,'CASH_YR2.XLS'!$N$33</definedName>
    <definedName name="Fixed_Costs" localSheetId="4">'CASH_YR3.XLS'!$N$24:$N$33,'CASH_YR3.XLS'!$N$35</definedName>
    <definedName name="Fixed_Costs" localSheetId="0">'CASHnew.XLS'!$N$22:$N$31,'CASHnew.XLS'!$N$33</definedName>
    <definedName name="Fixed_Costs" localSheetId="1">'F-BALANC.XLS'!$N$26:$N$37,'F-BALANC.XLS'!$N$39</definedName>
    <definedName name="Fixed_Costs" localSheetId="2">'INC-STMT.XLS'!$N$29:$N$38,'INC-STMT.XLS'!$N$40</definedName>
    <definedName name="Improvements" localSheetId="0">'CASHnew.XLS'!#REF!</definedName>
    <definedName name="Improvements" localSheetId="1">'F-BALANC.XLS'!$N$21</definedName>
    <definedName name="Insurance" localSheetId="0">'CASHnew.XLS'!$N$26</definedName>
    <definedName name="Insurance" localSheetId="2">'INC-STMT.XLS'!$N$35</definedName>
    <definedName name="Inventory_99">'F-BALANC.XLS'!$B$9:$B$10</definedName>
    <definedName name="Leasehold_Depreciation">'F-BALANC.XLS'!$H$3</definedName>
    <definedName name="Legal__accntng_costs">'CASHnew.XLS'!$N$25</definedName>
    <definedName name="Licenses">'CASHnew.XLS'!$N$27</definedName>
    <definedName name="Loan_Payment" localSheetId="0">'CASHnew.XLS'!$N$32</definedName>
    <definedName name="Loan_Payment" localSheetId="1">'F-BALANC.XLS'!$N$40</definedName>
    <definedName name="loans" localSheetId="0">'CASHnew.XLS'!$N$8:$N$9</definedName>
    <definedName name="loans" localSheetId="1">'F-BALANC.XLS'!$N$11:$N$13</definedName>
    <definedName name="Misc.">'CASHnew.XLS'!$N$33</definedName>
    <definedName name="Net_Cash">'CASHnew.XLS'!$N$39</definedName>
    <definedName name="Other_Sales_Costs">'CASHnew.XLS'!$N$20:$N$21</definedName>
    <definedName name="_xlnm.Print_Area" localSheetId="3">'CASH_YR2.XLS'!$A$1:$N$44</definedName>
    <definedName name="_xlnm.Print_Area" localSheetId="4">'CASH_YR3.XLS'!$A$1:$N$46</definedName>
    <definedName name="_xlnm.Print_Area" localSheetId="0">'CASHnew.XLS'!$A$1:$N$43</definedName>
    <definedName name="_xlnm.Print_Area" localSheetId="1">'F-BALANC.XLS'!$A$1:$G$55</definedName>
    <definedName name="Rent">'CASHnew.XLS'!$N$29</definedName>
    <definedName name="Repairs___Maint.">'CASHnew.XLS'!$N$31</definedName>
    <definedName name="sales" localSheetId="0">'CASHnew.XLS'!$N$5:$N$6</definedName>
    <definedName name="sales" localSheetId="2">'INC-STMT.XLS'!$N$6:$N$8</definedName>
    <definedName name="Tea_Inventory">'CASHnew.XLS'!$N$17</definedName>
    <definedName name="Tea_Room_Sales">'CASHnew.XLS'!$N$5</definedName>
    <definedName name="Telephone">'CASHnew.XLS'!$N$28</definedName>
    <definedName name="Utilities">'CASHnew.XLS'!$N$30</definedName>
    <definedName name="Yarn_Inventory">'CASHnew.XLS'!$N$16</definedName>
    <definedName name="Yarn_Price_Ratio">'F-BALANC.XLS'!$H$7</definedName>
    <definedName name="Yarn_Shop_Sales">'CASHnew.XLS'!$N$6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N14" i="4" l="1"/>
  <c r="N15" i="4"/>
  <c r="N16" i="4"/>
  <c r="N17" i="4"/>
  <c r="N38" i="4" s="1"/>
  <c r="N40" i="4" s="1"/>
  <c r="N18" i="4"/>
  <c r="N19" i="4"/>
  <c r="N20" i="4"/>
  <c r="N21" i="4"/>
  <c r="N22" i="4"/>
  <c r="N23" i="4"/>
  <c r="N24" i="4"/>
  <c r="C17" i="3" s="1"/>
  <c r="N26" i="4"/>
  <c r="C19" i="3" s="1"/>
  <c r="N27" i="4"/>
  <c r="C20" i="3" s="1"/>
  <c r="N28" i="4"/>
  <c r="C21" i="3" s="1"/>
  <c r="N29" i="4"/>
  <c r="C22" i="3" s="1"/>
  <c r="N30" i="4"/>
  <c r="C23" i="3" s="1"/>
  <c r="N31" i="4"/>
  <c r="N32" i="4"/>
  <c r="N33" i="4"/>
  <c r="C24" i="3" s="1"/>
  <c r="N34" i="4"/>
  <c r="F34" i="2" s="1"/>
  <c r="N35" i="4"/>
  <c r="N36" i="4"/>
  <c r="M38" i="4"/>
  <c r="M40" i="4" s="1"/>
  <c r="M41" i="4" s="1"/>
  <c r="L38" i="4"/>
  <c r="K38" i="4"/>
  <c r="J38" i="4"/>
  <c r="I38" i="4"/>
  <c r="H38" i="4"/>
  <c r="G38" i="4"/>
  <c r="G40" i="4" s="1"/>
  <c r="G41" i="4" s="1"/>
  <c r="F38" i="4"/>
  <c r="F40" i="4" s="1"/>
  <c r="F41" i="4" s="1"/>
  <c r="E38" i="4"/>
  <c r="E40" i="4" s="1"/>
  <c r="E41" i="4" s="1"/>
  <c r="D38" i="4"/>
  <c r="D40" i="4" s="1"/>
  <c r="D41" i="4" s="1"/>
  <c r="C38" i="4"/>
  <c r="C40" i="4" s="1"/>
  <c r="C41" i="4" s="1"/>
  <c r="B38" i="4"/>
  <c r="B40" i="4" s="1"/>
  <c r="B41" i="4" s="1"/>
  <c r="N5" i="4"/>
  <c r="C4" i="3" s="1"/>
  <c r="N6" i="4"/>
  <c r="C5" i="3" s="1"/>
  <c r="N7" i="4"/>
  <c r="N8" i="4"/>
  <c r="N9" i="4"/>
  <c r="H40" i="4"/>
  <c r="I40" i="4"/>
  <c r="J40" i="4"/>
  <c r="K40" i="4"/>
  <c r="K41" i="4" s="1"/>
  <c r="L40" i="4"/>
  <c r="L41" i="4" s="1"/>
  <c r="H41" i="4"/>
  <c r="I41" i="4"/>
  <c r="J41" i="4"/>
  <c r="N11" i="4"/>
  <c r="N10" i="4"/>
  <c r="F31" i="2" s="1"/>
  <c r="N16" i="5"/>
  <c r="N17" i="5"/>
  <c r="N18" i="5"/>
  <c r="N19" i="5"/>
  <c r="N40" i="5" s="1"/>
  <c r="N42" i="5" s="1"/>
  <c r="N20" i="5"/>
  <c r="N21" i="5"/>
  <c r="N22" i="5"/>
  <c r="D13" i="3" s="1"/>
  <c r="N23" i="5"/>
  <c r="D14" i="3" s="1"/>
  <c r="N24" i="5"/>
  <c r="D15" i="3" s="1"/>
  <c r="N25" i="5"/>
  <c r="D16" i="3" s="1"/>
  <c r="N26" i="5"/>
  <c r="D17" i="3" s="1"/>
  <c r="N28" i="5"/>
  <c r="D19" i="3" s="1"/>
  <c r="N29" i="5"/>
  <c r="D20" i="3" s="1"/>
  <c r="N30" i="5"/>
  <c r="D21" i="3" s="1"/>
  <c r="N31" i="5"/>
  <c r="D22" i="3" s="1"/>
  <c r="N32" i="5"/>
  <c r="D23" i="3" s="1"/>
  <c r="N33" i="5"/>
  <c r="N34" i="5"/>
  <c r="N35" i="5"/>
  <c r="D25" i="3" s="1"/>
  <c r="N36" i="5"/>
  <c r="N37" i="5"/>
  <c r="N38" i="5"/>
  <c r="M40" i="5"/>
  <c r="L40" i="5"/>
  <c r="K40" i="5"/>
  <c r="J40" i="5"/>
  <c r="I40" i="5"/>
  <c r="I42" i="5" s="1"/>
  <c r="I43" i="5" s="1"/>
  <c r="H40" i="5"/>
  <c r="H42" i="5" s="1"/>
  <c r="H43" i="5" s="1"/>
  <c r="G40" i="5"/>
  <c r="G42" i="5" s="1"/>
  <c r="G43" i="5" s="1"/>
  <c r="F40" i="5"/>
  <c r="F42" i="5" s="1"/>
  <c r="F43" i="5" s="1"/>
  <c r="E40" i="5"/>
  <c r="E42" i="5" s="1"/>
  <c r="E43" i="5" s="1"/>
  <c r="D40" i="5"/>
  <c r="D42" i="5" s="1"/>
  <c r="D43" i="5" s="1"/>
  <c r="C40" i="5"/>
  <c r="C42" i="5" s="1"/>
  <c r="C43" i="5" s="1"/>
  <c r="B40" i="5"/>
  <c r="B42" i="5" s="1"/>
  <c r="B43" i="5" s="1"/>
  <c r="N6" i="5"/>
  <c r="N7" i="5"/>
  <c r="D4" i="3" s="1"/>
  <c r="D6" i="3" s="1"/>
  <c r="N8" i="5"/>
  <c r="N10" i="5"/>
  <c r="N11" i="5"/>
  <c r="J42" i="5"/>
  <c r="K42" i="5"/>
  <c r="L42" i="5"/>
  <c r="L43" i="5" s="1"/>
  <c r="M42" i="5"/>
  <c r="M43" i="5" s="1"/>
  <c r="J43" i="5"/>
  <c r="K43" i="5"/>
  <c r="N12" i="5"/>
  <c r="N13" i="5"/>
  <c r="M36" i="1"/>
  <c r="L36" i="1"/>
  <c r="K36" i="1"/>
  <c r="J36" i="1"/>
  <c r="I36" i="1"/>
  <c r="H36" i="1"/>
  <c r="G36" i="1"/>
  <c r="F36" i="1"/>
  <c r="E36" i="1"/>
  <c r="D36" i="1"/>
  <c r="C36" i="1"/>
  <c r="B36" i="1"/>
  <c r="N14" i="1"/>
  <c r="N16" i="1"/>
  <c r="N17" i="1"/>
  <c r="B10" i="3" s="1"/>
  <c r="N18" i="1"/>
  <c r="B11" i="3" s="1"/>
  <c r="N15" i="1"/>
  <c r="N36" i="1" s="1"/>
  <c r="N19" i="1"/>
  <c r="B12" i="3" s="1"/>
  <c r="N20" i="1"/>
  <c r="B13" i="3" s="1"/>
  <c r="N21" i="1"/>
  <c r="B14" i="3" s="1"/>
  <c r="N22" i="1"/>
  <c r="N23" i="1"/>
  <c r="N24" i="1"/>
  <c r="N26" i="1"/>
  <c r="B19" i="3" s="1"/>
  <c r="N27" i="1"/>
  <c r="B20" i="3" s="1"/>
  <c r="N28" i="1"/>
  <c r="B21" i="3" s="1"/>
  <c r="N30" i="1"/>
  <c r="B23" i="3" s="1"/>
  <c r="N31" i="1"/>
  <c r="N32" i="1"/>
  <c r="N33" i="1"/>
  <c r="B24" i="3" s="1"/>
  <c r="N34" i="1"/>
  <c r="N25" i="1"/>
  <c r="N29" i="1"/>
  <c r="B22" i="3" s="1"/>
  <c r="N8" i="1"/>
  <c r="N10" i="1"/>
  <c r="N5" i="1"/>
  <c r="B4" i="3" s="1"/>
  <c r="N6" i="1"/>
  <c r="B5" i="3" s="1"/>
  <c r="N9" i="1"/>
  <c r="B11" i="1"/>
  <c r="N11" i="1" s="1"/>
  <c r="N38" i="1" s="1"/>
  <c r="C11" i="1"/>
  <c r="D11" i="1"/>
  <c r="E11" i="1"/>
  <c r="F11" i="1"/>
  <c r="G11" i="1"/>
  <c r="H11" i="1"/>
  <c r="I11" i="1"/>
  <c r="J11" i="1"/>
  <c r="J38" i="1" s="1"/>
  <c r="J39" i="1" s="1"/>
  <c r="K11" i="1"/>
  <c r="K38" i="1" s="1"/>
  <c r="K39" i="1" s="1"/>
  <c r="L11" i="1"/>
  <c r="L38" i="1" s="1"/>
  <c r="L39" i="1" s="1"/>
  <c r="M11" i="1"/>
  <c r="M38" i="1" s="1"/>
  <c r="M39" i="1" s="1"/>
  <c r="C38" i="1"/>
  <c r="C39" i="1" s="1"/>
  <c r="D38" i="1"/>
  <c r="D39" i="1" s="1"/>
  <c r="E38" i="1"/>
  <c r="E39" i="1" s="1"/>
  <c r="F38" i="1"/>
  <c r="F39" i="1" s="1"/>
  <c r="G38" i="1"/>
  <c r="G39" i="1" s="1"/>
  <c r="H38" i="1"/>
  <c r="H39" i="1" s="1"/>
  <c r="I38" i="1"/>
  <c r="I39" i="1" s="1"/>
  <c r="F15" i="2"/>
  <c r="G18" i="2"/>
  <c r="G27" i="2"/>
  <c r="G45" i="2"/>
  <c r="C35" i="2"/>
  <c r="H14" i="2"/>
  <c r="C16" i="2"/>
  <c r="C55" i="2"/>
  <c r="C37" i="2"/>
  <c r="F49" i="2"/>
  <c r="B15" i="3"/>
  <c r="B16" i="3"/>
  <c r="B17" i="3"/>
  <c r="B18" i="3"/>
  <c r="B25" i="3"/>
  <c r="C10" i="3"/>
  <c r="C11" i="3"/>
  <c r="C12" i="3"/>
  <c r="C13" i="3"/>
  <c r="C14" i="3"/>
  <c r="C15" i="3"/>
  <c r="C16" i="3"/>
  <c r="C18" i="3"/>
  <c r="D5" i="3"/>
  <c r="D10" i="3"/>
  <c r="D11" i="3"/>
  <c r="D12" i="3"/>
  <c r="D18" i="3"/>
  <c r="B29" i="3" l="1"/>
  <c r="C6" i="3"/>
  <c r="B6" i="3"/>
  <c r="B31" i="3" s="1"/>
  <c r="F13" i="2" s="1"/>
  <c r="B43" i="4"/>
  <c r="C43" i="4" s="1"/>
  <c r="D43" i="4" s="1"/>
  <c r="E43" i="4" s="1"/>
  <c r="F43" i="4" s="1"/>
  <c r="G43" i="4" s="1"/>
  <c r="H43" i="4" s="1"/>
  <c r="I43" i="4" s="1"/>
  <c r="J43" i="4" s="1"/>
  <c r="K43" i="4" s="1"/>
  <c r="L43" i="4" s="1"/>
  <c r="M43" i="4" s="1"/>
  <c r="N41" i="4"/>
  <c r="B26" i="2" s="1"/>
  <c r="C29" i="2" s="1"/>
  <c r="B45" i="5"/>
  <c r="C45" i="5" s="1"/>
  <c r="D45" i="5" s="1"/>
  <c r="E45" i="5" s="1"/>
  <c r="F45" i="5" s="1"/>
  <c r="G45" i="5" s="1"/>
  <c r="H45" i="5" s="1"/>
  <c r="I45" i="5" s="1"/>
  <c r="J45" i="5" s="1"/>
  <c r="K45" i="5" s="1"/>
  <c r="L45" i="5" s="1"/>
  <c r="M45" i="5" s="1"/>
  <c r="N43" i="5"/>
  <c r="B44" i="2" s="1"/>
  <c r="D24" i="3"/>
  <c r="D29" i="3" s="1"/>
  <c r="D31" i="3" s="1"/>
  <c r="F50" i="2" s="1"/>
  <c r="G51" i="2" s="1"/>
  <c r="G55" i="2" s="1"/>
  <c r="B38" i="1"/>
  <c r="B39" i="1" s="1"/>
  <c r="C25" i="3"/>
  <c r="C29" i="3" s="1"/>
  <c r="B41" i="1" l="1"/>
  <c r="C41" i="1" s="1"/>
  <c r="D41" i="1" s="1"/>
  <c r="E41" i="1" s="1"/>
  <c r="F41" i="1" s="1"/>
  <c r="G41" i="1" s="1"/>
  <c r="H41" i="1" s="1"/>
  <c r="I41" i="1" s="1"/>
  <c r="J41" i="1" s="1"/>
  <c r="K41" i="1" s="1"/>
  <c r="L41" i="1" s="1"/>
  <c r="M41" i="1" s="1"/>
  <c r="B6" i="2" s="1"/>
  <c r="C11" i="2" s="1"/>
  <c r="C18" i="2" s="1"/>
  <c r="N39" i="1"/>
  <c r="C31" i="3"/>
  <c r="F32" i="2" s="1"/>
  <c r="G33" i="2" s="1"/>
  <c r="G37" i="2" s="1"/>
</calcChain>
</file>

<file path=xl/sharedStrings.xml><?xml version="1.0" encoding="utf-8"?>
<sst xmlns="http://schemas.openxmlformats.org/spreadsheetml/2006/main" count="232" uniqueCount="102">
  <si>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</si>
  <si>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</si>
  <si>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</si>
  <si>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</si>
  <si>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</si>
  <si>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</si>
  <si>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</si>
  <si>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</si>
  <si>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</si>
  <si>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</si>
  <si>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</si>
  <si>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</si>
  <si>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TOTAL</t>
  </si>
  <si>
    <t>REVENUE</t>
  </si>
  <si>
    <t xml:space="preserve"> Sales</t>
  </si>
  <si>
    <t>Cash Equity</t>
  </si>
  <si>
    <t>Total Cash In</t>
  </si>
  <si>
    <t>EXPENSES</t>
  </si>
  <si>
    <t>Bank Fees</t>
  </si>
  <si>
    <t xml:space="preserve">Bookkeeping </t>
  </si>
  <si>
    <t>Insurance</t>
  </si>
  <si>
    <t>Licenses</t>
  </si>
  <si>
    <t>Telephone</t>
  </si>
  <si>
    <t>Rent</t>
  </si>
  <si>
    <t>Utilities</t>
  </si>
  <si>
    <t>Loan Payment</t>
  </si>
  <si>
    <t>Drawings</t>
  </si>
  <si>
    <t>Total Expenses</t>
  </si>
  <si>
    <t>Net Cash</t>
  </si>
  <si>
    <t>Surplus (Deficit)</t>
  </si>
  <si>
    <t>Cumulative</t>
  </si>
  <si>
    <t>ASSETS</t>
  </si>
  <si>
    <t>LIABILITIES</t>
  </si>
  <si>
    <t>Current Assets:</t>
  </si>
  <si>
    <t>Loans Payable</t>
  </si>
  <si>
    <t>Cash</t>
  </si>
  <si>
    <t>Accounts Payable</t>
  </si>
  <si>
    <t>OWNER'S EQUITY</t>
  </si>
  <si>
    <t>Fixed Assets:</t>
  </si>
  <si>
    <t>Income for the year</t>
  </si>
  <si>
    <t>Equipment</t>
  </si>
  <si>
    <t>Less Owner's Drawings</t>
  </si>
  <si>
    <t>TOTAL LIABILITIES</t>
  </si>
  <si>
    <t>TOTAL ASSETS</t>
  </si>
  <si>
    <t xml:space="preserve">Projected Income Statement </t>
  </si>
  <si>
    <t>SALES</t>
  </si>
  <si>
    <t>Cost of Goods Sold</t>
  </si>
  <si>
    <t>GROSS PROFIT</t>
  </si>
  <si>
    <t>OPERATING EXPENSES</t>
  </si>
  <si>
    <t>TOTAL EXPENSES</t>
  </si>
  <si>
    <t>NET PROFIT (before taxes)</t>
  </si>
  <si>
    <t>SEPT</t>
  </si>
  <si>
    <t>Sales</t>
  </si>
  <si>
    <t xml:space="preserve">Advertising </t>
  </si>
  <si>
    <t>Cellular Phone</t>
  </si>
  <si>
    <t xml:space="preserve"> </t>
  </si>
  <si>
    <t>Internet</t>
  </si>
  <si>
    <t>Loan Maintenance fee</t>
  </si>
  <si>
    <t>Seminars</t>
  </si>
  <si>
    <t>Membership Fees</t>
  </si>
  <si>
    <t>Equipment&amp; Software</t>
  </si>
  <si>
    <t>Advertising</t>
  </si>
  <si>
    <t>Location Improvement</t>
  </si>
  <si>
    <t>Equipment &amp; Software</t>
  </si>
  <si>
    <t>Product Supplies</t>
  </si>
  <si>
    <t>Office Supplies</t>
  </si>
  <si>
    <t>Travel &amp; Parking</t>
  </si>
  <si>
    <t>Bookkeeping</t>
  </si>
  <si>
    <t>Licences</t>
  </si>
  <si>
    <t>FED</t>
  </si>
  <si>
    <t>Equipment&amp;Software</t>
  </si>
  <si>
    <t>Location Improvements</t>
  </si>
  <si>
    <t>Loan Payment*</t>
  </si>
  <si>
    <t>*No principal payment required in Year 1, only interest (at 9.5%)</t>
  </si>
  <si>
    <t>The Balance Sheet  as of October 31, 2003</t>
  </si>
  <si>
    <t>Year ending October 31,</t>
  </si>
  <si>
    <t>Depreciation*</t>
  </si>
  <si>
    <t>Interest**</t>
  </si>
  <si>
    <t>*Deprecation of Location Improvements at 20%</t>
  </si>
  <si>
    <t xml:space="preserve">  Depreciation of Equipment at 30%</t>
  </si>
  <si>
    <t xml:space="preserve">** Interest only in Year 1, and </t>
  </si>
  <si>
    <t>Retail Sales</t>
  </si>
  <si>
    <t>Retail Inventory</t>
  </si>
  <si>
    <t>Capital, A. Sample</t>
  </si>
  <si>
    <t>Projected Cash Flow for A. Sample</t>
  </si>
  <si>
    <t>Accounts Receivable</t>
  </si>
  <si>
    <t xml:space="preserve">   Year 2 &amp; 3 interest payable at 8.5% for a term of 36months</t>
  </si>
  <si>
    <t>PARO Loan</t>
  </si>
  <si>
    <t>Total Liabilities</t>
  </si>
  <si>
    <t>TOTAL LIABILITIES/OWNER'S EQUITY</t>
  </si>
  <si>
    <t>Income for the Year</t>
  </si>
  <si>
    <t>TOTAL CURRENT ASSETS</t>
  </si>
  <si>
    <t>TOTAL LIABILITES</t>
  </si>
  <si>
    <t>TOTAL FIXED ASSETS</t>
  </si>
  <si>
    <t>Loan Maintenance Fee</t>
  </si>
  <si>
    <t xml:space="preserve"> November 2001 - October 2002</t>
  </si>
  <si>
    <t>Year Two-November 1 2002 - October 31 2003</t>
  </si>
  <si>
    <t>Year Three- November 1 2003 - October 31 2004</t>
  </si>
  <si>
    <t>Projected Balance Sheet  as of October 31,2002</t>
  </si>
  <si>
    <t>The Balance Sheet  as of October 31, 2004</t>
  </si>
  <si>
    <t>Inventory</t>
  </si>
  <si>
    <t>Celluar 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</si>
</sst>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7" formatCode="&quot;$&quot;#,##0.00_);[Red]\(&quot;$&quot;#,##0.00\)"/>
    <numFmt numFmtId="178" formatCode="&quot;$&quot;#,##0"/>
  </numFmts>
  <fonts count="13" x14ac:knownFonts="1">
    <font>
      <sz val="10"/>
      <name val="Arial"/>
    </font>
    <font>
      <sz val="10"/>
      <name val="MS Sans Serif"/>
    </font>
    <font>
      <b/>
      <sz val="14"/>
      <name val="Arial"/>
    </font>
    <font>
      <sz val="10"/>
      <name val="Arial"/>
    </font>
    <font>
      <sz val="11"/>
      <name val="Arial"/>
    </font>
    <font>
      <b/>
      <sz val="10"/>
      <name val="Arial"/>
    </font>
    <font>
      <b/>
      <sz val="12"/>
      <name val="Arial"/>
    </font>
    <font>
      <sz val="12"/>
      <name val="Arial"/>
    </font>
    <font>
      <b/>
      <sz val="11"/>
      <name val="Arial"/>
    </font>
    <font>
      <b/>
      <i/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7" fontId="1" fillId="0" borderId="0" applyFont="0" applyFill="0" applyBorder="0" applyAlignment="0" applyProtection="0"/>
  </cellStyleXfs>
  <cellXfs count="71">
    <xf numFmtId="0" fontId="0" fillId="0" borderId="0" xfId="0"/>
    <xf numFmtId="3" fontId="0" fillId="0" borderId="0" xfId="0" applyNumberFormat="1" applyBorder="1"/>
    <xf numFmtId="0" fontId="5" fillId="0" borderId="0" xfId="0" applyFont="1" applyBorder="1"/>
    <xf numFmtId="0" fontId="0" fillId="0" borderId="0" xfId="0" applyBorder="1"/>
    <xf numFmtId="178" fontId="5" fillId="0" borderId="0" xfId="1" applyNumberFormat="1" applyFont="1" applyBorder="1"/>
    <xf numFmtId="178" fontId="0" fillId="0" borderId="0" xfId="0" applyNumberFormat="1"/>
    <xf numFmtId="3" fontId="5" fillId="0" borderId="0" xfId="0" applyNumberFormat="1" applyFont="1" applyBorder="1"/>
    <xf numFmtId="178" fontId="3" fillId="0" borderId="0" xfId="1" applyNumberFormat="1" applyFont="1"/>
    <xf numFmtId="0" fontId="2" fillId="0" borderId="0" xfId="0" applyFont="1" applyAlignment="1">
      <alignment horizontal="centerContinuous"/>
    </xf>
    <xf numFmtId="0" fontId="6" fillId="0" borderId="0" xfId="0" applyFont="1" applyAlignment="1">
      <alignment horizontal="centerContinuous"/>
    </xf>
    <xf numFmtId="0" fontId="7" fillId="0" borderId="0" xfId="0" applyFont="1" applyAlignment="1">
      <alignment horizontal="centerContinuous"/>
    </xf>
    <xf numFmtId="3" fontId="5" fillId="0" borderId="0" xfId="0" applyNumberFormat="1" applyFont="1" applyAlignment="1">
      <alignment horizontal="left"/>
    </xf>
    <xf numFmtId="3" fontId="5" fillId="0" borderId="0" xfId="0" applyNumberFormat="1" applyFont="1"/>
    <xf numFmtId="3" fontId="0" fillId="0" borderId="0" xfId="0" applyNumberFormat="1"/>
    <xf numFmtId="9" fontId="0" fillId="0" borderId="0" xfId="0" applyNumberFormat="1"/>
    <xf numFmtId="3" fontId="0" fillId="0" borderId="0" xfId="0" applyNumberFormat="1" applyAlignment="1">
      <alignment horizontal="left"/>
    </xf>
    <xf numFmtId="3" fontId="0" fillId="0" borderId="0" xfId="0" applyNumberFormat="1" applyAlignment="1">
      <alignment horizontal="right"/>
    </xf>
    <xf numFmtId="3" fontId="0" fillId="0" borderId="0" xfId="0" applyNumberFormat="1" applyBorder="1" applyAlignment="1">
      <alignment horizontal="right"/>
    </xf>
    <xf numFmtId="3" fontId="3" fillId="0" borderId="0" xfId="0" applyNumberFormat="1" applyFont="1" applyBorder="1" applyProtection="1">
      <protection locked="0"/>
    </xf>
    <xf numFmtId="3" fontId="8" fillId="0" borderId="0" xfId="0" applyNumberFormat="1" applyFont="1" applyAlignment="1">
      <alignment horizontal="left"/>
    </xf>
    <xf numFmtId="3" fontId="3" fillId="0" borderId="0" xfId="0" applyNumberFormat="1" applyFont="1" applyFill="1" applyBorder="1" applyProtection="1">
      <protection locked="0"/>
    </xf>
    <xf numFmtId="3" fontId="6" fillId="0" borderId="0" xfId="0" applyNumberFormat="1" applyFont="1"/>
    <xf numFmtId="0" fontId="8" fillId="0" borderId="0" xfId="0" applyFont="1" applyAlignment="1">
      <alignment horizontal="centerContinuous"/>
    </xf>
    <xf numFmtId="0" fontId="4" fillId="0" borderId="0" xfId="0" applyFont="1" applyAlignment="1">
      <alignment horizontal="centerContinuous"/>
    </xf>
    <xf numFmtId="3" fontId="7" fillId="0" borderId="0" xfId="0" applyNumberFormat="1" applyFont="1"/>
    <xf numFmtId="0" fontId="7" fillId="0" borderId="0" xfId="0" applyFont="1"/>
    <xf numFmtId="0" fontId="5" fillId="0" borderId="0" xfId="0" applyFont="1"/>
    <xf numFmtId="3" fontId="9" fillId="0" borderId="0" xfId="0" applyNumberFormat="1" applyFont="1"/>
    <xf numFmtId="3" fontId="5" fillId="0" borderId="0" xfId="1" applyNumberFormat="1" applyFont="1" applyBorder="1"/>
    <xf numFmtId="0" fontId="2" fillId="0" borderId="1" xfId="0" applyFont="1" applyBorder="1" applyAlignment="1">
      <alignment horizontal="centerContinuous"/>
    </xf>
    <xf numFmtId="0" fontId="0" fillId="0" borderId="1" xfId="0" applyBorder="1" applyAlignment="1">
      <alignment horizontal="centerContinuous"/>
    </xf>
    <xf numFmtId="178" fontId="3" fillId="0" borderId="1" xfId="1" applyNumberFormat="1" applyFont="1" applyBorder="1" applyAlignment="1">
      <alignment horizontal="centerContinuous"/>
    </xf>
    <xf numFmtId="0" fontId="4" fillId="0" borderId="1" xfId="0" applyFont="1" applyBorder="1" applyAlignment="1">
      <alignment horizontal="centerContinuous"/>
    </xf>
    <xf numFmtId="3" fontId="0" fillId="0" borderId="1" xfId="0" applyNumberFormat="1" applyBorder="1"/>
    <xf numFmtId="0" fontId="0" fillId="0" borderId="1" xfId="0" applyBorder="1" applyAlignment="1">
      <alignment horizontal="center"/>
    </xf>
    <xf numFmtId="178" fontId="3" fillId="0" borderId="1" xfId="1" applyNumberFormat="1" applyFont="1" applyBorder="1" applyAlignment="1">
      <alignment horizontal="center"/>
    </xf>
    <xf numFmtId="0" fontId="5" fillId="0" borderId="1" xfId="0" applyFont="1" applyBorder="1"/>
    <xf numFmtId="0" fontId="0" fillId="0" borderId="1" xfId="0" applyBorder="1"/>
    <xf numFmtId="178" fontId="3" fillId="0" borderId="1" xfId="1" applyNumberFormat="1" applyFont="1" applyBorder="1"/>
    <xf numFmtId="0" fontId="0" fillId="0" borderId="1" xfId="0" applyBorder="1" applyAlignment="1">
      <alignment horizontal="right"/>
    </xf>
    <xf numFmtId="3" fontId="0" fillId="0" borderId="1" xfId="0" applyNumberFormat="1" applyBorder="1" applyProtection="1">
      <protection locked="0"/>
    </xf>
    <xf numFmtId="178" fontId="5" fillId="0" borderId="1" xfId="1" applyNumberFormat="1" applyFont="1" applyBorder="1"/>
    <xf numFmtId="37" fontId="0" fillId="0" borderId="1" xfId="0" applyNumberFormat="1" applyBorder="1"/>
    <xf numFmtId="3" fontId="5" fillId="0" borderId="1" xfId="0" applyNumberFormat="1" applyFont="1" applyBorder="1"/>
    <xf numFmtId="3" fontId="2" fillId="0" borderId="1" xfId="0" applyNumberFormat="1" applyFont="1" applyBorder="1" applyAlignment="1">
      <alignment horizontal="centerContinuous"/>
    </xf>
    <xf numFmtId="3" fontId="0" fillId="0" borderId="1" xfId="0" applyNumberFormat="1" applyBorder="1" applyAlignment="1">
      <alignment horizontal="centerContinuous"/>
    </xf>
    <xf numFmtId="3" fontId="5" fillId="0" borderId="1" xfId="1" applyNumberFormat="1" applyFont="1" applyBorder="1" applyAlignment="1">
      <alignment horizontal="centerContinuous"/>
    </xf>
    <xf numFmtId="3" fontId="4" fillId="0" borderId="1" xfId="0" applyNumberFormat="1" applyFont="1" applyBorder="1" applyAlignment="1">
      <alignment horizontal="centerContinuous"/>
    </xf>
    <xf numFmtId="3" fontId="0" fillId="0" borderId="1" xfId="0" applyNumberFormat="1" applyBorder="1" applyAlignment="1">
      <alignment horizontal="center"/>
    </xf>
    <xf numFmtId="3" fontId="5" fillId="0" borderId="1" xfId="1" applyNumberFormat="1" applyFont="1" applyBorder="1" applyAlignment="1">
      <alignment horizontal="center"/>
    </xf>
    <xf numFmtId="3" fontId="5" fillId="0" borderId="1" xfId="1" applyNumberFormat="1" applyFont="1" applyBorder="1"/>
    <xf numFmtId="3" fontId="0" fillId="0" borderId="1" xfId="0" applyNumberFormat="1" applyBorder="1" applyAlignment="1">
      <alignment horizontal="right"/>
    </xf>
    <xf numFmtId="3" fontId="3" fillId="0" borderId="1" xfId="1" applyNumberFormat="1" applyFont="1" applyBorder="1" applyAlignment="1">
      <alignment horizontal="centerContinuous"/>
    </xf>
    <xf numFmtId="3" fontId="5" fillId="0" borderId="1" xfId="0" applyNumberFormat="1" applyFont="1" applyBorder="1" applyAlignment="1">
      <alignment horizontal="centerContinuous"/>
    </xf>
    <xf numFmtId="3" fontId="3" fillId="0" borderId="1" xfId="1" applyNumberFormat="1" applyFont="1" applyBorder="1" applyAlignment="1">
      <alignment horizontal="center"/>
    </xf>
    <xf numFmtId="3" fontId="3" fillId="0" borderId="1" xfId="1" applyNumberFormat="1" applyFont="1" applyBorder="1"/>
    <xf numFmtId="0" fontId="9" fillId="0" borderId="1" xfId="0" applyFont="1" applyBorder="1"/>
    <xf numFmtId="3" fontId="9" fillId="0" borderId="1" xfId="0" applyNumberFormat="1" applyFont="1" applyBorder="1"/>
    <xf numFmtId="1" fontId="10" fillId="0" borderId="1" xfId="1" applyNumberFormat="1" applyFont="1" applyBorder="1"/>
    <xf numFmtId="3" fontId="10" fillId="0" borderId="1" xfId="0" applyNumberFormat="1" applyFont="1" applyBorder="1"/>
    <xf numFmtId="1" fontId="10" fillId="0" borderId="1" xfId="0" applyNumberFormat="1" applyFont="1" applyBorder="1"/>
    <xf numFmtId="0" fontId="10" fillId="0" borderId="1" xfId="0" applyFont="1" applyBorder="1" applyAlignment="1">
      <alignment horizontal="right"/>
    </xf>
    <xf numFmtId="3" fontId="10" fillId="0" borderId="1" xfId="0" applyNumberFormat="1" applyFont="1" applyBorder="1" applyAlignment="1">
      <alignment horizontal="right"/>
    </xf>
    <xf numFmtId="3" fontId="11" fillId="0" borderId="0" xfId="0" applyNumberFormat="1" applyFont="1" applyAlignment="1">
      <alignment horizontal="right"/>
    </xf>
    <xf numFmtId="3" fontId="11" fillId="0" borderId="0" xfId="0" applyNumberFormat="1" applyFont="1"/>
    <xf numFmtId="3" fontId="11" fillId="0" borderId="0" xfId="0" applyNumberFormat="1" applyFont="1" applyAlignment="1">
      <alignment horizontal="left"/>
    </xf>
    <xf numFmtId="3" fontId="11" fillId="0" borderId="0" xfId="0" applyNumberFormat="1" applyFont="1" applyBorder="1" applyAlignment="1">
      <alignment horizontal="right"/>
    </xf>
    <xf numFmtId="178" fontId="11" fillId="0" borderId="1" xfId="1" applyNumberFormat="1" applyFont="1" applyBorder="1"/>
    <xf numFmtId="178" fontId="11" fillId="0" borderId="1" xfId="1" applyNumberFormat="1" applyFont="1" applyBorder="1" applyAlignment="1">
      <alignment horizontal="center"/>
    </xf>
    <xf numFmtId="178" fontId="0" fillId="0" borderId="1" xfId="0" applyNumberFormat="1" applyBorder="1"/>
    <xf numFmtId="3" fontId="12" fillId="0" borderId="0" xfId="0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35"/>
  <sheetViews>
    <sheetView topLeftCell="A13" workbookViewId="0">
      <selection activeCell="A16" sqref="A16:A30"/>
    </sheetView>
  </sheetViews>
  <sheetFormatPr defaultRowHeight="12.5" x14ac:dyDescent="0.25"/>
  <cols>
    <col min="1" max="1" width="19" customWidth="1"/>
    <col min="2" max="2" width="6.54296875" customWidth="1"/>
    <col min="3" max="3" width="6.1796875" customWidth="1"/>
    <col min="4" max="4" width="6.7265625" customWidth="1"/>
    <col min="5" max="5" width="6.54296875" customWidth="1"/>
    <col min="6" max="6" width="6.81640625" customWidth="1"/>
    <col min="7" max="7" width="6.54296875" customWidth="1"/>
    <col min="8" max="8" width="6.7265625" customWidth="1"/>
    <col min="9" max="9" width="6.54296875" customWidth="1"/>
    <col min="10" max="10" width="6.453125" customWidth="1"/>
    <col min="11" max="11" width="6.54296875" customWidth="1"/>
    <col min="12" max="12" width="7" customWidth="1"/>
    <col min="13" max="13" width="6.54296875" customWidth="1"/>
    <col min="14" max="14" width="10" style="7" customWidth="1"/>
  </cols>
  <sheetData>
    <row r="1" spans="1:16" ht="18" x14ac:dyDescent="0.4">
      <c r="A1" s="29" t="s">
        <v>84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1"/>
    </row>
    <row r="2" spans="1:16" ht="14" x14ac:dyDescent="0.3">
      <c r="A2" s="32" t="s">
        <v>95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1"/>
    </row>
    <row r="3" spans="1:16" x14ac:dyDescent="0.25">
      <c r="A3" s="33"/>
      <c r="B3" s="34" t="s">
        <v>0</v>
      </c>
      <c r="C3" s="34" t="s">
        <v>1</v>
      </c>
      <c r="D3" s="34" t="s">
        <v>2</v>
      </c>
      <c r="E3" s="34" t="s">
        <v>3</v>
      </c>
      <c r="F3" s="34" t="s">
        <v>4</v>
      </c>
      <c r="G3" s="34" t="s">
        <v>5</v>
      </c>
      <c r="H3" s="34" t="s">
        <v>6</v>
      </c>
      <c r="I3" s="34" t="s">
        <v>7</v>
      </c>
      <c r="J3" s="34" t="s">
        <v>8</v>
      </c>
      <c r="K3" s="34" t="s">
        <v>9</v>
      </c>
      <c r="L3" s="34" t="s">
        <v>10</v>
      </c>
      <c r="M3" s="34" t="s">
        <v>11</v>
      </c>
      <c r="N3" s="35" t="s">
        <v>12</v>
      </c>
    </row>
    <row r="4" spans="1:16" ht="13" x14ac:dyDescent="0.3">
      <c r="A4" s="36" t="s">
        <v>13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8"/>
    </row>
    <row r="5" spans="1:16" ht="13" x14ac:dyDescent="0.3">
      <c r="A5" s="39" t="s">
        <v>14</v>
      </c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67">
        <f>SUM(B5:M5)</f>
        <v>0</v>
      </c>
    </row>
    <row r="6" spans="1:16" ht="13" x14ac:dyDescent="0.3">
      <c r="A6" s="39" t="s">
        <v>81</v>
      </c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67">
        <f>SUM(B6:M6)</f>
        <v>0</v>
      </c>
    </row>
    <row r="7" spans="1:16" ht="13" x14ac:dyDescent="0.3">
      <c r="A7" s="39"/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68"/>
    </row>
    <row r="8" spans="1:16" ht="13" x14ac:dyDescent="0.3">
      <c r="A8" s="39" t="s">
        <v>87</v>
      </c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67">
        <f>SUM(B8:M8)</f>
        <v>0</v>
      </c>
    </row>
    <row r="9" spans="1:16" ht="13" x14ac:dyDescent="0.3">
      <c r="A9" s="39"/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67">
        <f>SUM(B9)</f>
        <v>0</v>
      </c>
    </row>
    <row r="10" spans="1:16" ht="13" x14ac:dyDescent="0.3">
      <c r="A10" s="39" t="s">
        <v>15</v>
      </c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67">
        <f>SUM(B10:M10)</f>
        <v>0</v>
      </c>
    </row>
    <row r="11" spans="1:16" ht="13" x14ac:dyDescent="0.3">
      <c r="A11" s="36" t="s">
        <v>16</v>
      </c>
      <c r="B11" s="33">
        <f t="shared" ref="B11:M11" si="0">SUM(B5:B10)</f>
        <v>0</v>
      </c>
      <c r="C11" s="33">
        <f t="shared" si="0"/>
        <v>0</v>
      </c>
      <c r="D11" s="33">
        <f t="shared" si="0"/>
        <v>0</v>
      </c>
      <c r="E11" s="33">
        <f t="shared" si="0"/>
        <v>0</v>
      </c>
      <c r="F11" s="33">
        <f t="shared" si="0"/>
        <v>0</v>
      </c>
      <c r="G11" s="33">
        <f t="shared" si="0"/>
        <v>0</v>
      </c>
      <c r="H11" s="33">
        <f t="shared" si="0"/>
        <v>0</v>
      </c>
      <c r="I11" s="33">
        <f t="shared" si="0"/>
        <v>0</v>
      </c>
      <c r="J11" s="33">
        <f t="shared" si="0"/>
        <v>0</v>
      </c>
      <c r="K11" s="33">
        <f t="shared" si="0"/>
        <v>0</v>
      </c>
      <c r="L11" s="33">
        <f t="shared" si="0"/>
        <v>0</v>
      </c>
      <c r="M11" s="33">
        <f t="shared" si="0"/>
        <v>0</v>
      </c>
      <c r="N11" s="41">
        <f>SUM(B11:M11)</f>
        <v>0</v>
      </c>
    </row>
    <row r="12" spans="1:16" x14ac:dyDescent="0.25">
      <c r="A12" s="37"/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3"/>
    </row>
    <row r="13" spans="1:16" ht="13" x14ac:dyDescent="0.3">
      <c r="A13" s="36" t="s">
        <v>17</v>
      </c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41"/>
    </row>
    <row r="14" spans="1:16" ht="13" x14ac:dyDescent="0.3">
      <c r="A14" s="61" t="s">
        <v>82</v>
      </c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41">
        <f t="shared" ref="N14:N34" si="1">SUM(B14:M14)</f>
        <v>0</v>
      </c>
    </row>
    <row r="15" spans="1:16" ht="13" x14ac:dyDescent="0.3">
      <c r="A15" s="39" t="s">
        <v>60</v>
      </c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1">
        <f t="shared" si="1"/>
        <v>0</v>
      </c>
    </row>
    <row r="16" spans="1:16" ht="13" x14ac:dyDescent="0.3">
      <c r="A16" s="39" t="s">
        <v>64</v>
      </c>
      <c r="B16" s="37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1">
        <f t="shared" si="1"/>
        <v>0</v>
      </c>
      <c r="P16" s="5"/>
    </row>
    <row r="17" spans="1:16" ht="13" x14ac:dyDescent="0.3">
      <c r="A17" s="39" t="s">
        <v>65</v>
      </c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1">
        <f t="shared" si="1"/>
        <v>0</v>
      </c>
      <c r="P17" s="5"/>
    </row>
    <row r="18" spans="1:16" ht="13" x14ac:dyDescent="0.3">
      <c r="A18" s="39" t="s">
        <v>56</v>
      </c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1">
        <f t="shared" si="1"/>
        <v>0</v>
      </c>
    </row>
    <row r="19" spans="1:16" ht="13" x14ac:dyDescent="0.3">
      <c r="A19" s="39" t="s">
        <v>94</v>
      </c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1">
        <f t="shared" si="1"/>
        <v>0</v>
      </c>
    </row>
    <row r="20" spans="1:16" ht="13" x14ac:dyDescent="0.3">
      <c r="A20" s="39" t="s">
        <v>66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1">
        <f t="shared" si="1"/>
        <v>0</v>
      </c>
    </row>
    <row r="21" spans="1:16" ht="13" x14ac:dyDescent="0.3">
      <c r="A21" s="39" t="s">
        <v>59</v>
      </c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1">
        <f t="shared" si="1"/>
        <v>0</v>
      </c>
    </row>
    <row r="22" spans="1:16" ht="13" x14ac:dyDescent="0.3">
      <c r="A22" s="39" t="s">
        <v>58</v>
      </c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1">
        <f t="shared" si="1"/>
        <v>0</v>
      </c>
      <c r="O22" s="5"/>
    </row>
    <row r="23" spans="1:16" ht="13" x14ac:dyDescent="0.3">
      <c r="A23" s="39" t="s">
        <v>61</v>
      </c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41">
        <f t="shared" si="1"/>
        <v>0</v>
      </c>
    </row>
    <row r="24" spans="1:16" ht="13" x14ac:dyDescent="0.3">
      <c r="A24" s="39" t="s">
        <v>18</v>
      </c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1">
        <f t="shared" si="1"/>
        <v>0</v>
      </c>
    </row>
    <row r="25" spans="1:16" ht="13" x14ac:dyDescent="0.3">
      <c r="A25" s="39" t="s">
        <v>19</v>
      </c>
      <c r="B25" s="37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1">
        <f t="shared" si="1"/>
        <v>0</v>
      </c>
    </row>
    <row r="26" spans="1:16" ht="13" x14ac:dyDescent="0.3">
      <c r="A26" s="39" t="s">
        <v>20</v>
      </c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1">
        <f t="shared" si="1"/>
        <v>0</v>
      </c>
    </row>
    <row r="27" spans="1:16" ht="13" x14ac:dyDescent="0.3">
      <c r="A27" s="39" t="s">
        <v>21</v>
      </c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1">
        <f t="shared" si="1"/>
        <v>0</v>
      </c>
    </row>
    <row r="28" spans="1:16" ht="13" x14ac:dyDescent="0.3">
      <c r="A28" s="39" t="s">
        <v>22</v>
      </c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1">
        <f t="shared" si="1"/>
        <v>0</v>
      </c>
    </row>
    <row r="29" spans="1:16" ht="13" x14ac:dyDescent="0.3">
      <c r="A29" s="39" t="s">
        <v>23</v>
      </c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1">
        <f t="shared" si="1"/>
        <v>0</v>
      </c>
    </row>
    <row r="30" spans="1:16" ht="13" x14ac:dyDescent="0.3">
      <c r="A30" s="39" t="s">
        <v>24</v>
      </c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1">
        <f t="shared" si="1"/>
        <v>0</v>
      </c>
    </row>
    <row r="31" spans="1:16" ht="13" x14ac:dyDescent="0.3">
      <c r="A31" s="39" t="s">
        <v>62</v>
      </c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1">
        <f t="shared" si="1"/>
        <v>0</v>
      </c>
    </row>
    <row r="32" spans="1:16" ht="13" x14ac:dyDescent="0.3">
      <c r="A32" s="39" t="s">
        <v>72</v>
      </c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1">
        <f t="shared" si="1"/>
        <v>0</v>
      </c>
    </row>
    <row r="33" spans="1:14" ht="13" x14ac:dyDescent="0.3">
      <c r="A33" s="39" t="s">
        <v>54</v>
      </c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1">
        <f t="shared" si="1"/>
        <v>0</v>
      </c>
    </row>
    <row r="34" spans="1:14" ht="13" x14ac:dyDescent="0.3">
      <c r="A34" s="39" t="s">
        <v>26</v>
      </c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1">
        <f t="shared" si="1"/>
        <v>0</v>
      </c>
    </row>
    <row r="35" spans="1:14" x14ac:dyDescent="0.25">
      <c r="A35" s="37" t="s">
        <v>55</v>
      </c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7"/>
    </row>
    <row r="36" spans="1:14" ht="13" x14ac:dyDescent="0.3">
      <c r="A36" s="36" t="s">
        <v>27</v>
      </c>
      <c r="B36" s="33">
        <f t="shared" ref="B36:N36" si="2">SUM(B14:B34)</f>
        <v>0</v>
      </c>
      <c r="C36" s="33">
        <f t="shared" si="2"/>
        <v>0</v>
      </c>
      <c r="D36" s="33">
        <f t="shared" si="2"/>
        <v>0</v>
      </c>
      <c r="E36" s="33">
        <f t="shared" si="2"/>
        <v>0</v>
      </c>
      <c r="F36" s="33">
        <f t="shared" si="2"/>
        <v>0</v>
      </c>
      <c r="G36" s="33">
        <f t="shared" si="2"/>
        <v>0</v>
      </c>
      <c r="H36" s="33">
        <f t="shared" si="2"/>
        <v>0</v>
      </c>
      <c r="I36" s="33">
        <f t="shared" si="2"/>
        <v>0</v>
      </c>
      <c r="J36" s="33">
        <f t="shared" si="2"/>
        <v>0</v>
      </c>
      <c r="K36" s="33">
        <f t="shared" si="2"/>
        <v>0</v>
      </c>
      <c r="L36" s="33">
        <f t="shared" si="2"/>
        <v>0</v>
      </c>
      <c r="M36" s="33">
        <f t="shared" si="2"/>
        <v>0</v>
      </c>
      <c r="N36" s="38">
        <f t="shared" si="2"/>
        <v>0</v>
      </c>
    </row>
    <row r="37" spans="1:14" ht="13" x14ac:dyDescent="0.3">
      <c r="A37" s="37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41"/>
    </row>
    <row r="38" spans="1:14" ht="13" x14ac:dyDescent="0.3">
      <c r="A38" s="36" t="s">
        <v>28</v>
      </c>
      <c r="B38" s="33">
        <f t="shared" ref="B38:N38" si="3">SUM(B11-B36)</f>
        <v>0</v>
      </c>
      <c r="C38" s="33">
        <f t="shared" si="3"/>
        <v>0</v>
      </c>
      <c r="D38" s="33">
        <f t="shared" si="3"/>
        <v>0</v>
      </c>
      <c r="E38" s="33">
        <f t="shared" si="3"/>
        <v>0</v>
      </c>
      <c r="F38" s="33">
        <f t="shared" si="3"/>
        <v>0</v>
      </c>
      <c r="G38" s="33">
        <f t="shared" si="3"/>
        <v>0</v>
      </c>
      <c r="H38" s="33">
        <f t="shared" si="3"/>
        <v>0</v>
      </c>
      <c r="I38" s="33">
        <f t="shared" si="3"/>
        <v>0</v>
      </c>
      <c r="J38" s="33">
        <f t="shared" si="3"/>
        <v>0</v>
      </c>
      <c r="K38" s="33">
        <f t="shared" si="3"/>
        <v>0</v>
      </c>
      <c r="L38" s="33">
        <f t="shared" si="3"/>
        <v>0</v>
      </c>
      <c r="M38" s="33">
        <f t="shared" si="3"/>
        <v>0</v>
      </c>
      <c r="N38" s="38">
        <f t="shared" si="3"/>
        <v>0</v>
      </c>
    </row>
    <row r="39" spans="1:14" ht="13" x14ac:dyDescent="0.3">
      <c r="A39" s="37" t="s">
        <v>29</v>
      </c>
      <c r="B39" s="33">
        <f t="shared" ref="B39:M39" si="4">B38</f>
        <v>0</v>
      </c>
      <c r="C39" s="33">
        <f t="shared" si="4"/>
        <v>0</v>
      </c>
      <c r="D39" s="42">
        <f t="shared" si="4"/>
        <v>0</v>
      </c>
      <c r="E39" s="33">
        <f t="shared" si="4"/>
        <v>0</v>
      </c>
      <c r="F39" s="33">
        <f t="shared" si="4"/>
        <v>0</v>
      </c>
      <c r="G39" s="33">
        <f t="shared" si="4"/>
        <v>0</v>
      </c>
      <c r="H39" s="42">
        <f t="shared" si="4"/>
        <v>0</v>
      </c>
      <c r="I39" s="42">
        <f t="shared" si="4"/>
        <v>0</v>
      </c>
      <c r="J39" s="42">
        <f t="shared" si="4"/>
        <v>0</v>
      </c>
      <c r="K39" s="33">
        <f t="shared" si="4"/>
        <v>0</v>
      </c>
      <c r="L39" s="33">
        <f t="shared" si="4"/>
        <v>0</v>
      </c>
      <c r="M39" s="33">
        <f t="shared" si="4"/>
        <v>0</v>
      </c>
      <c r="N39" s="41">
        <f>SUM(B39:M39)</f>
        <v>0</v>
      </c>
    </row>
    <row r="40" spans="1:14" ht="13" x14ac:dyDescent="0.3">
      <c r="A40" s="37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41"/>
    </row>
    <row r="41" spans="1:14" ht="13" x14ac:dyDescent="0.3">
      <c r="A41" s="36" t="s">
        <v>30</v>
      </c>
      <c r="B41" s="33">
        <f>B39</f>
        <v>0</v>
      </c>
      <c r="C41" s="33">
        <f t="shared" ref="C41:M41" si="5">SUM(B41,C38)</f>
        <v>0</v>
      </c>
      <c r="D41" s="33">
        <f t="shared" si="5"/>
        <v>0</v>
      </c>
      <c r="E41" s="33">
        <f t="shared" si="5"/>
        <v>0</v>
      </c>
      <c r="F41" s="33">
        <f t="shared" si="5"/>
        <v>0</v>
      </c>
      <c r="G41" s="33">
        <f t="shared" si="5"/>
        <v>0</v>
      </c>
      <c r="H41" s="33">
        <f t="shared" si="5"/>
        <v>0</v>
      </c>
      <c r="I41" s="33">
        <f t="shared" si="5"/>
        <v>0</v>
      </c>
      <c r="J41" s="33">
        <f t="shared" si="5"/>
        <v>0</v>
      </c>
      <c r="K41" s="33">
        <f t="shared" si="5"/>
        <v>0</v>
      </c>
      <c r="L41" s="33">
        <f t="shared" si="5"/>
        <v>0</v>
      </c>
      <c r="M41" s="43">
        <f t="shared" si="5"/>
        <v>0</v>
      </c>
      <c r="N41" s="41"/>
    </row>
    <row r="42" spans="1:14" ht="13" x14ac:dyDescent="0.3">
      <c r="A42" s="2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6"/>
      <c r="N42" s="4"/>
    </row>
    <row r="43" spans="1:14" ht="13" x14ac:dyDescent="0.3">
      <c r="A43" s="3"/>
      <c r="B43" s="1"/>
      <c r="C43" s="1"/>
      <c r="D43" s="1"/>
      <c r="E43" s="1"/>
      <c r="F43" s="1"/>
      <c r="G43" s="1"/>
      <c r="H43" s="6"/>
      <c r="I43" s="1"/>
      <c r="J43" s="1"/>
      <c r="K43" s="1"/>
      <c r="L43" s="1"/>
      <c r="M43" s="1"/>
      <c r="N43" s="4"/>
    </row>
    <row r="44" spans="1:14" x14ac:dyDescent="0.25">
      <c r="A44" t="s">
        <v>73</v>
      </c>
      <c r="N44"/>
    </row>
    <row r="45" spans="1:14" x14ac:dyDescent="0.25">
      <c r="N45"/>
    </row>
    <row r="46" spans="1:14" x14ac:dyDescent="0.25">
      <c r="N46"/>
    </row>
    <row r="47" spans="1:14" x14ac:dyDescent="0.25">
      <c r="N47"/>
    </row>
    <row r="48" spans="1:14" x14ac:dyDescent="0.25">
      <c r="N48"/>
    </row>
    <row r="49" spans="14:14" x14ac:dyDescent="0.25">
      <c r="N49"/>
    </row>
    <row r="50" spans="14:14" x14ac:dyDescent="0.25">
      <c r="N50"/>
    </row>
    <row r="51" spans="14:14" x14ac:dyDescent="0.25">
      <c r="N51"/>
    </row>
    <row r="52" spans="14:14" x14ac:dyDescent="0.25">
      <c r="N52"/>
    </row>
    <row r="53" spans="14:14" x14ac:dyDescent="0.25">
      <c r="N53"/>
    </row>
    <row r="54" spans="14:14" x14ac:dyDescent="0.25">
      <c r="N54"/>
    </row>
    <row r="55" spans="14:14" x14ac:dyDescent="0.25">
      <c r="N55"/>
    </row>
    <row r="56" spans="14:14" x14ac:dyDescent="0.25">
      <c r="N56"/>
    </row>
    <row r="57" spans="14:14" x14ac:dyDescent="0.25">
      <c r="N57"/>
    </row>
    <row r="58" spans="14:14" x14ac:dyDescent="0.25">
      <c r="N58"/>
    </row>
    <row r="59" spans="14:14" x14ac:dyDescent="0.25">
      <c r="N59"/>
    </row>
    <row r="60" spans="14:14" x14ac:dyDescent="0.25">
      <c r="N60"/>
    </row>
    <row r="61" spans="14:14" x14ac:dyDescent="0.25">
      <c r="N61"/>
    </row>
    <row r="62" spans="14:14" x14ac:dyDescent="0.25">
      <c r="N62"/>
    </row>
    <row r="63" spans="14:14" x14ac:dyDescent="0.25">
      <c r="N63"/>
    </row>
    <row r="64" spans="14:14" x14ac:dyDescent="0.25">
      <c r="N64"/>
    </row>
    <row r="65" spans="14:14" x14ac:dyDescent="0.25">
      <c r="N65"/>
    </row>
    <row r="66" spans="14:14" x14ac:dyDescent="0.25">
      <c r="N66"/>
    </row>
    <row r="67" spans="14:14" x14ac:dyDescent="0.25">
      <c r="N67"/>
    </row>
    <row r="68" spans="14:14" x14ac:dyDescent="0.25">
      <c r="N68"/>
    </row>
    <row r="69" spans="14:14" x14ac:dyDescent="0.25">
      <c r="N69"/>
    </row>
    <row r="70" spans="14:14" x14ac:dyDescent="0.25">
      <c r="N70"/>
    </row>
    <row r="71" spans="14:14" x14ac:dyDescent="0.25">
      <c r="N71"/>
    </row>
    <row r="72" spans="14:14" x14ac:dyDescent="0.25">
      <c r="N72"/>
    </row>
    <row r="73" spans="14:14" x14ac:dyDescent="0.25">
      <c r="N73"/>
    </row>
    <row r="74" spans="14:14" x14ac:dyDescent="0.25">
      <c r="N74"/>
    </row>
    <row r="75" spans="14:14" x14ac:dyDescent="0.25">
      <c r="N75"/>
    </row>
    <row r="76" spans="14:14" x14ac:dyDescent="0.25">
      <c r="N76"/>
    </row>
    <row r="77" spans="14:14" x14ac:dyDescent="0.25">
      <c r="N77"/>
    </row>
    <row r="78" spans="14:14" x14ac:dyDescent="0.25">
      <c r="N78"/>
    </row>
    <row r="79" spans="14:14" x14ac:dyDescent="0.25">
      <c r="N79"/>
    </row>
    <row r="80" spans="14:14" x14ac:dyDescent="0.25">
      <c r="N80"/>
    </row>
    <row r="81" spans="14:14" x14ac:dyDescent="0.25">
      <c r="N81"/>
    </row>
    <row r="82" spans="14:14" x14ac:dyDescent="0.25">
      <c r="N82"/>
    </row>
    <row r="83" spans="14:14" x14ac:dyDescent="0.25">
      <c r="N83"/>
    </row>
    <row r="84" spans="14:14" x14ac:dyDescent="0.25">
      <c r="N84"/>
    </row>
    <row r="85" spans="14:14" x14ac:dyDescent="0.25">
      <c r="N85"/>
    </row>
    <row r="86" spans="14:14" x14ac:dyDescent="0.25">
      <c r="N86"/>
    </row>
    <row r="87" spans="14:14" x14ac:dyDescent="0.25">
      <c r="N87"/>
    </row>
    <row r="88" spans="14:14" x14ac:dyDescent="0.25">
      <c r="N88"/>
    </row>
    <row r="89" spans="14:14" x14ac:dyDescent="0.25">
      <c r="N89"/>
    </row>
    <row r="90" spans="14:14" x14ac:dyDescent="0.25">
      <c r="N90"/>
    </row>
    <row r="91" spans="14:14" x14ac:dyDescent="0.25">
      <c r="N91"/>
    </row>
    <row r="92" spans="14:14" x14ac:dyDescent="0.25">
      <c r="N92"/>
    </row>
    <row r="93" spans="14:14" x14ac:dyDescent="0.25">
      <c r="N93"/>
    </row>
    <row r="94" spans="14:14" x14ac:dyDescent="0.25">
      <c r="N94"/>
    </row>
    <row r="95" spans="14:14" x14ac:dyDescent="0.25">
      <c r="N95"/>
    </row>
    <row r="96" spans="14:14" x14ac:dyDescent="0.25">
      <c r="N96"/>
    </row>
    <row r="97" spans="14:14" x14ac:dyDescent="0.25">
      <c r="N97"/>
    </row>
    <row r="98" spans="14:14" x14ac:dyDescent="0.25">
      <c r="N98"/>
    </row>
    <row r="99" spans="14:14" x14ac:dyDescent="0.25">
      <c r="N99"/>
    </row>
    <row r="100" spans="14:14" x14ac:dyDescent="0.25">
      <c r="N100"/>
    </row>
    <row r="101" spans="14:14" x14ac:dyDescent="0.25">
      <c r="N101"/>
    </row>
    <row r="102" spans="14:14" x14ac:dyDescent="0.25">
      <c r="N102"/>
    </row>
    <row r="103" spans="14:14" x14ac:dyDescent="0.25">
      <c r="N103"/>
    </row>
    <row r="104" spans="14:14" x14ac:dyDescent="0.25">
      <c r="N104"/>
    </row>
    <row r="105" spans="14:14" x14ac:dyDescent="0.25">
      <c r="N105"/>
    </row>
    <row r="106" spans="14:14" x14ac:dyDescent="0.25">
      <c r="N106"/>
    </row>
    <row r="107" spans="14:14" x14ac:dyDescent="0.25">
      <c r="N107"/>
    </row>
    <row r="108" spans="14:14" x14ac:dyDescent="0.25">
      <c r="N108"/>
    </row>
    <row r="109" spans="14:14" x14ac:dyDescent="0.25">
      <c r="N109"/>
    </row>
    <row r="110" spans="14:14" x14ac:dyDescent="0.25">
      <c r="N110"/>
    </row>
    <row r="111" spans="14:14" x14ac:dyDescent="0.25">
      <c r="N111"/>
    </row>
    <row r="112" spans="14:14" x14ac:dyDescent="0.25">
      <c r="N112"/>
    </row>
    <row r="113" spans="14:14" x14ac:dyDescent="0.25">
      <c r="N113"/>
    </row>
    <row r="114" spans="14:14" x14ac:dyDescent="0.25">
      <c r="N114"/>
    </row>
    <row r="115" spans="14:14" x14ac:dyDescent="0.25">
      <c r="N115"/>
    </row>
    <row r="116" spans="14:14" x14ac:dyDescent="0.25">
      <c r="N116"/>
    </row>
    <row r="117" spans="14:14" x14ac:dyDescent="0.25">
      <c r="N117"/>
    </row>
    <row r="118" spans="14:14" x14ac:dyDescent="0.25">
      <c r="N118"/>
    </row>
    <row r="119" spans="14:14" x14ac:dyDescent="0.25">
      <c r="N119"/>
    </row>
    <row r="120" spans="14:14" x14ac:dyDescent="0.25">
      <c r="N120"/>
    </row>
    <row r="121" spans="14:14" x14ac:dyDescent="0.25">
      <c r="N121"/>
    </row>
    <row r="122" spans="14:14" x14ac:dyDescent="0.25">
      <c r="N122"/>
    </row>
    <row r="123" spans="14:14" x14ac:dyDescent="0.25">
      <c r="N123"/>
    </row>
    <row r="124" spans="14:14" x14ac:dyDescent="0.25">
      <c r="N124"/>
    </row>
    <row r="125" spans="14:14" x14ac:dyDescent="0.25">
      <c r="N125"/>
    </row>
    <row r="126" spans="14:14" x14ac:dyDescent="0.25">
      <c r="N126"/>
    </row>
    <row r="127" spans="14:14" x14ac:dyDescent="0.25">
      <c r="N127"/>
    </row>
    <row r="128" spans="14:14" x14ac:dyDescent="0.25">
      <c r="N128"/>
    </row>
    <row r="129" spans="14:14" x14ac:dyDescent="0.25">
      <c r="N129"/>
    </row>
    <row r="130" spans="14:14" x14ac:dyDescent="0.25">
      <c r="N130"/>
    </row>
    <row r="131" spans="14:14" x14ac:dyDescent="0.25">
      <c r="N131"/>
    </row>
    <row r="132" spans="14:14" x14ac:dyDescent="0.25">
      <c r="N132"/>
    </row>
    <row r="133" spans="14:14" x14ac:dyDescent="0.25">
      <c r="N133"/>
    </row>
    <row r="134" spans="14:14" x14ac:dyDescent="0.25">
      <c r="N134"/>
    </row>
    <row r="135" spans="14:14" x14ac:dyDescent="0.25">
      <c r="N135"/>
    </row>
  </sheetData>
  <phoneticPr fontId="0" type="noConversion"/>
  <printOptions horizontalCentered="1" verticalCentered="1"/>
  <pageMargins left="0.84" right="0.75" top="1.1599999999999999" bottom="0.42" header="0.5" footer="0.5"/>
  <pageSetup scale="93" orientation="landscape" horizontalDpi="180" verticalDpi="180" r:id="rId1"/>
  <headerFooter alignWithMargins="0">
    <oddFooter>&amp;C17</oddFooter>
  </headerFooter>
  <rowBreaks count="2" manualBreakCount="2">
    <brk id="46" max="65535" man="1"/>
    <brk id="89" max="65535" man="1"/>
  </rowBreaks>
  <colBreaks count="1" manualBreakCount="1">
    <brk id="14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60"/>
  <sheetViews>
    <sheetView tabSelected="1" topLeftCell="A10" workbookViewId="0">
      <selection activeCell="G27" sqref="G27"/>
    </sheetView>
  </sheetViews>
  <sheetFormatPr defaultRowHeight="12.5" x14ac:dyDescent="0.25"/>
  <cols>
    <col min="1" max="1" width="22.26953125" customWidth="1"/>
    <col min="3" max="3" width="8.1796875" customWidth="1"/>
    <col min="4" max="4" width="3.7265625" customWidth="1"/>
    <col min="5" max="5" width="20.26953125" customWidth="1"/>
    <col min="6" max="6" width="14.453125" customWidth="1"/>
    <col min="7" max="7" width="11.81640625" customWidth="1"/>
  </cols>
  <sheetData>
    <row r="1" spans="1:9" ht="24.75" customHeight="1" x14ac:dyDescent="0.4">
      <c r="A1" s="8" t="s">
        <v>98</v>
      </c>
      <c r="B1" s="9"/>
      <c r="C1" s="10"/>
      <c r="D1" s="10"/>
      <c r="E1" s="10"/>
      <c r="F1" s="10"/>
      <c r="G1" s="10"/>
    </row>
    <row r="3" spans="1:9" ht="13" x14ac:dyDescent="0.3">
      <c r="A3" s="11" t="s">
        <v>31</v>
      </c>
      <c r="B3" s="12"/>
      <c r="C3" s="13"/>
      <c r="D3" s="13"/>
      <c r="E3" s="12" t="s">
        <v>32</v>
      </c>
      <c r="F3" s="13"/>
      <c r="G3" s="13"/>
      <c r="H3" s="14"/>
    </row>
    <row r="4" spans="1:9" x14ac:dyDescent="0.25">
      <c r="A4" s="15"/>
      <c r="B4" s="13"/>
      <c r="C4" s="13"/>
      <c r="D4" s="13"/>
      <c r="E4" s="13"/>
      <c r="F4" s="13"/>
      <c r="G4" s="13"/>
      <c r="H4" s="14"/>
    </row>
    <row r="5" spans="1:9" ht="13" x14ac:dyDescent="0.3">
      <c r="A5" s="11" t="s">
        <v>33</v>
      </c>
      <c r="B5" s="13"/>
      <c r="C5" s="13"/>
      <c r="D5" s="13"/>
      <c r="E5" s="16" t="s">
        <v>34</v>
      </c>
      <c r="F5" s="13">
        <v>0</v>
      </c>
    </row>
    <row r="6" spans="1:9" x14ac:dyDescent="0.25">
      <c r="A6" s="16" t="s">
        <v>35</v>
      </c>
      <c r="B6" s="13">
        <f>'CASHnew.XLS'!M41</f>
        <v>0</v>
      </c>
      <c r="C6" s="13"/>
      <c r="D6" s="13"/>
      <c r="E6" s="16" t="s">
        <v>36</v>
      </c>
      <c r="F6" s="13">
        <v>0</v>
      </c>
      <c r="H6" s="14"/>
    </row>
    <row r="7" spans="1:9" ht="13" x14ac:dyDescent="0.3">
      <c r="A7" s="16" t="s">
        <v>100</v>
      </c>
      <c r="B7" s="13">
        <v>0</v>
      </c>
      <c r="C7" s="13"/>
      <c r="D7" s="13"/>
      <c r="E7" s="64" t="s">
        <v>88</v>
      </c>
      <c r="F7" s="13"/>
      <c r="G7" s="13"/>
      <c r="H7" s="14"/>
      <c r="I7" s="13"/>
    </row>
    <row r="8" spans="1:9" x14ac:dyDescent="0.25">
      <c r="A8" s="16"/>
      <c r="B8" s="13"/>
      <c r="C8" s="13"/>
      <c r="D8" s="13"/>
      <c r="E8" s="13"/>
      <c r="F8" s="13"/>
      <c r="G8" s="13"/>
      <c r="H8" s="14"/>
      <c r="I8" s="13"/>
    </row>
    <row r="9" spans="1:9" ht="13" x14ac:dyDescent="0.3">
      <c r="A9" s="17"/>
      <c r="B9" s="18"/>
      <c r="C9" s="13"/>
      <c r="D9" s="13"/>
      <c r="E9" s="12" t="s">
        <v>37</v>
      </c>
      <c r="F9" s="13"/>
      <c r="G9" s="13"/>
      <c r="H9" s="13"/>
    </row>
    <row r="10" spans="1:9" ht="13" x14ac:dyDescent="0.3">
      <c r="A10" s="16" t="s">
        <v>85</v>
      </c>
      <c r="B10" s="13">
        <v>0</v>
      </c>
      <c r="C10" s="13"/>
      <c r="D10" s="13"/>
      <c r="E10" s="12"/>
      <c r="F10" s="13"/>
      <c r="G10" s="13"/>
      <c r="H10" s="13"/>
    </row>
    <row r="11" spans="1:9" ht="13" x14ac:dyDescent="0.3">
      <c r="A11" s="63" t="s">
        <v>91</v>
      </c>
      <c r="B11" s="13"/>
      <c r="C11" s="12">
        <f>SUM(B6:B10)</f>
        <v>0</v>
      </c>
      <c r="D11" s="13"/>
      <c r="E11" s="16" t="s">
        <v>83</v>
      </c>
      <c r="F11" s="13">
        <v>0</v>
      </c>
      <c r="H11" s="13"/>
    </row>
    <row r="12" spans="1:9" ht="13" x14ac:dyDescent="0.3">
      <c r="A12" s="63"/>
      <c r="B12" s="13"/>
      <c r="C12" s="12"/>
      <c r="D12" s="13"/>
      <c r="E12" s="16"/>
      <c r="F12" s="13"/>
      <c r="H12" s="13"/>
    </row>
    <row r="13" spans="1:9" ht="14" x14ac:dyDescent="0.3">
      <c r="A13" s="19" t="s">
        <v>38</v>
      </c>
      <c r="B13" s="13"/>
      <c r="C13" s="13"/>
      <c r="D13" s="13"/>
      <c r="E13" s="16" t="s">
        <v>90</v>
      </c>
      <c r="F13" s="13">
        <f>'INC-STMT.XLS'!B31</f>
        <v>0</v>
      </c>
      <c r="H13" s="13"/>
    </row>
    <row r="14" spans="1:9" ht="13" x14ac:dyDescent="0.3">
      <c r="A14" s="17" t="s">
        <v>71</v>
      </c>
      <c r="B14" s="20">
        <v>0</v>
      </c>
      <c r="D14" s="13"/>
      <c r="E14" s="16"/>
      <c r="G14" s="12"/>
      <c r="H14" s="12">
        <f>SUM(G11:G13)+G5+G6</f>
        <v>0</v>
      </c>
    </row>
    <row r="15" spans="1:9" x14ac:dyDescent="0.25">
      <c r="A15" s="17" t="s">
        <v>40</v>
      </c>
      <c r="B15" s="20">
        <v>0</v>
      </c>
      <c r="D15" s="13"/>
      <c r="E15" s="16" t="s">
        <v>41</v>
      </c>
      <c r="F15" s="13">
        <f>CASHnew.XLS!Drawings</f>
        <v>0</v>
      </c>
      <c r="H15" s="13"/>
    </row>
    <row r="16" spans="1:9" ht="13" x14ac:dyDescent="0.3">
      <c r="A16" s="63" t="s">
        <v>93</v>
      </c>
      <c r="B16" s="13"/>
      <c r="C16" s="64">
        <f>SUM(B14:B15)</f>
        <v>0</v>
      </c>
      <c r="D16" s="13"/>
      <c r="E16" s="13"/>
      <c r="G16" s="13"/>
      <c r="H16" s="13"/>
    </row>
    <row r="17" spans="1:8" x14ac:dyDescent="0.25">
      <c r="A17" s="16"/>
      <c r="B17" s="13"/>
      <c r="C17" s="13"/>
      <c r="D17" s="13"/>
      <c r="E17" s="13"/>
      <c r="G17" s="13"/>
      <c r="H17" s="13"/>
    </row>
    <row r="18" spans="1:8" ht="15.5" x14ac:dyDescent="0.35">
      <c r="A18" s="65" t="s">
        <v>43</v>
      </c>
      <c r="B18" s="21"/>
      <c r="C18" s="21">
        <f>C11+B14+B15</f>
        <v>0</v>
      </c>
      <c r="D18" s="13"/>
      <c r="E18" s="64" t="s">
        <v>89</v>
      </c>
      <c r="G18" s="21">
        <f>SUM(G14-F15)</f>
        <v>0</v>
      </c>
      <c r="H18" s="21"/>
    </row>
    <row r="19" spans="1:8" x14ac:dyDescent="0.25">
      <c r="A19" s="13"/>
      <c r="B19" s="13"/>
      <c r="C19" s="13"/>
      <c r="D19" s="13"/>
      <c r="E19" s="13"/>
      <c r="F19" s="13"/>
      <c r="G19" s="13"/>
      <c r="H19" s="13"/>
    </row>
    <row r="21" spans="1:8" ht="18.75" customHeight="1" x14ac:dyDescent="0.4">
      <c r="A21" s="8" t="s">
        <v>74</v>
      </c>
      <c r="B21" s="22"/>
      <c r="C21" s="23"/>
      <c r="D21" s="23"/>
      <c r="E21" s="23"/>
      <c r="F21" s="23"/>
      <c r="G21" s="23"/>
    </row>
    <row r="23" spans="1:8" ht="13" x14ac:dyDescent="0.3">
      <c r="A23" s="11" t="s">
        <v>31</v>
      </c>
      <c r="B23" s="12"/>
      <c r="C23" s="13"/>
      <c r="D23" s="13"/>
      <c r="E23" s="12" t="s">
        <v>32</v>
      </c>
      <c r="F23" s="13"/>
      <c r="G23" s="13"/>
      <c r="H23" s="13"/>
    </row>
    <row r="24" spans="1:8" x14ac:dyDescent="0.25">
      <c r="A24" s="15"/>
      <c r="B24" s="13"/>
      <c r="C24" s="13"/>
      <c r="D24" s="13"/>
      <c r="E24" s="13"/>
      <c r="F24" s="13"/>
      <c r="G24" s="13"/>
      <c r="H24" s="13"/>
    </row>
    <row r="25" spans="1:8" ht="13" x14ac:dyDescent="0.3">
      <c r="A25" s="11" t="s">
        <v>33</v>
      </c>
      <c r="B25" s="13"/>
      <c r="C25" s="13"/>
      <c r="D25" s="13"/>
      <c r="E25" s="16" t="s">
        <v>34</v>
      </c>
      <c r="F25" s="13">
        <v>0</v>
      </c>
      <c r="H25" s="13"/>
    </row>
    <row r="26" spans="1:8" x14ac:dyDescent="0.25">
      <c r="A26" s="16" t="s">
        <v>35</v>
      </c>
      <c r="B26" s="13">
        <f>'CASH_YR2.XLS'!$N$41</f>
        <v>0</v>
      </c>
      <c r="C26" s="13"/>
      <c r="D26" s="13"/>
      <c r="E26" s="16" t="s">
        <v>36</v>
      </c>
      <c r="F26" s="13">
        <v>0</v>
      </c>
      <c r="G26" s="13"/>
      <c r="H26" s="13"/>
    </row>
    <row r="27" spans="1:8" ht="15.5" x14ac:dyDescent="0.35">
      <c r="A27" s="16" t="s">
        <v>100</v>
      </c>
      <c r="B27" s="13">
        <v>0</v>
      </c>
      <c r="C27" s="13"/>
      <c r="D27" s="13"/>
      <c r="E27" s="63" t="s">
        <v>92</v>
      </c>
      <c r="F27" s="13"/>
      <c r="G27" s="70">
        <f>SUM(F25:F26)</f>
        <v>0</v>
      </c>
      <c r="H27" s="13"/>
    </row>
    <row r="28" spans="1:8" x14ac:dyDescent="0.25">
      <c r="A28" s="16"/>
      <c r="B28" s="13"/>
      <c r="C28" s="13"/>
      <c r="D28" s="13"/>
      <c r="E28" s="13"/>
      <c r="F28" s="13"/>
      <c r="G28" s="13"/>
      <c r="H28" s="13"/>
    </row>
    <row r="29" spans="1:8" ht="13" x14ac:dyDescent="0.3">
      <c r="A29" s="66" t="s">
        <v>91</v>
      </c>
      <c r="B29" s="18"/>
      <c r="C29" s="64">
        <f>SUM(B26:B27)</f>
        <v>0</v>
      </c>
      <c r="D29" s="13"/>
      <c r="E29" s="12" t="s">
        <v>37</v>
      </c>
      <c r="F29" s="13"/>
      <c r="G29" s="13"/>
      <c r="H29" s="13"/>
    </row>
    <row r="30" spans="1:8" ht="13" x14ac:dyDescent="0.3">
      <c r="A30" s="63"/>
      <c r="B30" s="13"/>
      <c r="C30" s="64"/>
      <c r="D30" s="13"/>
      <c r="E30" s="12"/>
      <c r="F30" s="13"/>
      <c r="G30" s="13"/>
      <c r="H30" s="13"/>
    </row>
    <row r="31" spans="1:8" ht="13" x14ac:dyDescent="0.3">
      <c r="A31" s="63"/>
      <c r="B31" s="13"/>
      <c r="C31" s="13"/>
      <c r="D31" s="13"/>
      <c r="E31" s="16" t="s">
        <v>83</v>
      </c>
      <c r="F31" s="13">
        <f>'CASH_YR2.XLS'!$N$10-SUM(F5:F6)+SUM(B9:B10)+SUM(B14:B15)</f>
        <v>0</v>
      </c>
      <c r="H31" s="13"/>
    </row>
    <row r="32" spans="1:8" ht="14" x14ac:dyDescent="0.3">
      <c r="A32" s="19" t="s">
        <v>38</v>
      </c>
      <c r="B32" s="13"/>
      <c r="C32" s="13"/>
      <c r="D32" s="13"/>
      <c r="E32" s="16" t="s">
        <v>39</v>
      </c>
      <c r="F32" s="13">
        <f>'INC-STMT.XLS'!$C$31</f>
        <v>0</v>
      </c>
      <c r="H32" s="13"/>
    </row>
    <row r="33" spans="1:8" x14ac:dyDescent="0.25">
      <c r="A33" s="17" t="s">
        <v>71</v>
      </c>
      <c r="B33" s="3">
        <v>0</v>
      </c>
      <c r="C33" s="20"/>
      <c r="D33" s="13"/>
      <c r="E33" s="16"/>
      <c r="F33" s="13"/>
      <c r="G33" s="13">
        <f>SUM(F31:F32)+G27</f>
        <v>0</v>
      </c>
      <c r="H33" s="13"/>
    </row>
    <row r="34" spans="1:8" x14ac:dyDescent="0.25">
      <c r="A34" s="17" t="s">
        <v>40</v>
      </c>
      <c r="B34" s="20">
        <v>0</v>
      </c>
      <c r="C34" s="20"/>
      <c r="D34" s="13"/>
      <c r="E34" s="16" t="s">
        <v>41</v>
      </c>
      <c r="F34" s="13">
        <f>'CASH_YR2.XLS'!N34</f>
        <v>0</v>
      </c>
      <c r="G34" s="13"/>
      <c r="H34" s="13"/>
    </row>
    <row r="35" spans="1:8" ht="13" x14ac:dyDescent="0.3">
      <c r="A35" s="63" t="s">
        <v>93</v>
      </c>
      <c r="B35" s="13"/>
      <c r="C35" s="64">
        <f>SUM(B33:B34)</f>
        <v>0</v>
      </c>
      <c r="D35" s="13"/>
      <c r="E35" s="13"/>
      <c r="F35" s="13"/>
      <c r="G35" s="13"/>
      <c r="H35" s="13"/>
    </row>
    <row r="36" spans="1:8" x14ac:dyDescent="0.25">
      <c r="A36" s="16"/>
      <c r="B36" s="13"/>
      <c r="C36" s="13"/>
      <c r="D36" s="13"/>
      <c r="E36" s="13"/>
      <c r="F36" s="13"/>
      <c r="G36" s="13"/>
      <c r="H36" s="13"/>
    </row>
    <row r="37" spans="1:8" s="25" customFormat="1" ht="15.5" x14ac:dyDescent="0.35">
      <c r="A37" s="65" t="s">
        <v>43</v>
      </c>
      <c r="B37" s="21"/>
      <c r="C37" s="21">
        <f>C31+B33+B34</f>
        <v>0</v>
      </c>
      <c r="D37" s="24"/>
      <c r="E37" s="64" t="s">
        <v>89</v>
      </c>
      <c r="F37" s="21"/>
      <c r="G37" s="21">
        <f>G33-F34</f>
        <v>0</v>
      </c>
      <c r="H37" s="24"/>
    </row>
    <row r="38" spans="1:8" ht="7.5" customHeight="1" x14ac:dyDescent="0.25">
      <c r="A38" s="13"/>
      <c r="B38" s="13"/>
      <c r="C38" s="13"/>
      <c r="D38" s="13"/>
      <c r="E38" s="13"/>
      <c r="F38" s="13"/>
      <c r="G38" s="13"/>
      <c r="H38" s="13"/>
    </row>
    <row r="39" spans="1:8" ht="22.5" customHeight="1" x14ac:dyDescent="0.4">
      <c r="A39" s="8" t="s">
        <v>99</v>
      </c>
      <c r="B39" s="22"/>
      <c r="C39" s="23"/>
      <c r="D39" s="23"/>
      <c r="E39" s="23"/>
      <c r="F39" s="23"/>
      <c r="G39" s="23"/>
    </row>
    <row r="40" spans="1:8" x14ac:dyDescent="0.25">
      <c r="G40" s="13"/>
    </row>
    <row r="41" spans="1:8" ht="13" x14ac:dyDescent="0.3">
      <c r="A41" s="11" t="s">
        <v>31</v>
      </c>
      <c r="B41" s="12"/>
      <c r="C41" s="13"/>
      <c r="D41" s="13"/>
      <c r="E41" s="12" t="s">
        <v>32</v>
      </c>
      <c r="F41" s="13"/>
      <c r="G41" s="13"/>
      <c r="H41" s="13"/>
    </row>
    <row r="42" spans="1:8" x14ac:dyDescent="0.25">
      <c r="A42" s="15"/>
      <c r="B42" s="13"/>
      <c r="C42" s="13"/>
      <c r="D42" s="13"/>
      <c r="E42" s="13"/>
      <c r="F42" s="13"/>
      <c r="G42" s="13"/>
      <c r="H42" s="13"/>
    </row>
    <row r="43" spans="1:8" ht="13" x14ac:dyDescent="0.3">
      <c r="A43" s="11" t="s">
        <v>33</v>
      </c>
      <c r="B43" s="13"/>
      <c r="C43" s="13"/>
      <c r="D43" s="13"/>
      <c r="E43" s="16" t="s">
        <v>34</v>
      </c>
      <c r="F43" s="13">
        <v>0</v>
      </c>
      <c r="H43" s="13"/>
    </row>
    <row r="44" spans="1:8" x14ac:dyDescent="0.25">
      <c r="A44" s="16" t="s">
        <v>35</v>
      </c>
      <c r="B44" s="13">
        <f>'CASH_YR3.XLS'!$N$43</f>
        <v>0</v>
      </c>
      <c r="C44" s="13"/>
      <c r="D44" s="13"/>
      <c r="E44" s="16" t="s">
        <v>36</v>
      </c>
      <c r="F44" s="13"/>
      <c r="G44" s="13"/>
      <c r="H44" s="13"/>
    </row>
    <row r="45" spans="1:8" ht="13" x14ac:dyDescent="0.3">
      <c r="A45" s="16" t="s">
        <v>100</v>
      </c>
      <c r="B45" s="13">
        <v>0</v>
      </c>
      <c r="C45" s="13"/>
      <c r="D45" s="13"/>
      <c r="E45" s="64" t="s">
        <v>42</v>
      </c>
      <c r="F45" s="13"/>
      <c r="G45" s="64">
        <f>SUM(G43:G44)</f>
        <v>0</v>
      </c>
      <c r="H45" s="13"/>
    </row>
    <row r="46" spans="1:8" x14ac:dyDescent="0.25">
      <c r="A46" s="16"/>
      <c r="B46" s="13"/>
      <c r="C46" s="13"/>
      <c r="D46" s="13"/>
      <c r="E46" s="13"/>
      <c r="F46" s="13"/>
      <c r="G46" s="13"/>
      <c r="H46" s="13"/>
    </row>
    <row r="47" spans="1:8" ht="13" x14ac:dyDescent="0.3">
      <c r="A47" s="17"/>
      <c r="B47" s="18"/>
      <c r="D47" s="13"/>
      <c r="E47" s="12" t="s">
        <v>37</v>
      </c>
      <c r="F47" s="13"/>
      <c r="G47" s="13"/>
      <c r="H47" s="13"/>
    </row>
    <row r="48" spans="1:8" ht="13" x14ac:dyDescent="0.3">
      <c r="A48" s="63" t="s">
        <v>91</v>
      </c>
      <c r="B48" s="13"/>
      <c r="C48" s="13"/>
      <c r="D48" s="13"/>
      <c r="E48" s="12"/>
      <c r="F48" s="13"/>
      <c r="G48" s="13"/>
      <c r="H48" s="13"/>
    </row>
    <row r="49" spans="1:8" x14ac:dyDescent="0.25">
      <c r="A49" s="16"/>
      <c r="B49" s="13"/>
      <c r="C49" s="13"/>
      <c r="D49" s="13"/>
      <c r="E49" s="16" t="s">
        <v>83</v>
      </c>
      <c r="F49" s="13">
        <f>'CASH_YR3.XLS'!N12-SUM(F25:F26)+SUM(B27:B29)+SUM(B33:B34)</f>
        <v>0</v>
      </c>
      <c r="H49" s="13"/>
    </row>
    <row r="50" spans="1:8" ht="14" x14ac:dyDescent="0.3">
      <c r="A50" s="19" t="s">
        <v>38</v>
      </c>
      <c r="B50" s="13"/>
      <c r="C50" s="13"/>
      <c r="D50" s="13"/>
      <c r="E50" s="16" t="s">
        <v>39</v>
      </c>
      <c r="F50" s="13">
        <f>'INC-STMT.XLS'!$D$31</f>
        <v>0</v>
      </c>
      <c r="H50" s="13"/>
    </row>
    <row r="51" spans="1:8" x14ac:dyDescent="0.25">
      <c r="A51" s="17" t="s">
        <v>71</v>
      </c>
      <c r="B51">
        <v>0</v>
      </c>
      <c r="C51" s="20"/>
      <c r="D51" s="13"/>
      <c r="E51" s="16"/>
      <c r="F51" s="13"/>
      <c r="G51" s="13">
        <f>SUM(F49:F50)+F43</f>
        <v>0</v>
      </c>
      <c r="H51" s="13"/>
    </row>
    <row r="52" spans="1:8" x14ac:dyDescent="0.25">
      <c r="A52" s="17" t="s">
        <v>40</v>
      </c>
      <c r="B52" s="20">
        <v>0</v>
      </c>
      <c r="C52" s="13"/>
      <c r="D52" s="13"/>
      <c r="E52" s="16" t="s">
        <v>41</v>
      </c>
      <c r="F52" s="13">
        <v>0</v>
      </c>
      <c r="G52" s="13"/>
      <c r="H52" s="13"/>
    </row>
    <row r="53" spans="1:8" ht="13" x14ac:dyDescent="0.3">
      <c r="A53" s="63" t="s">
        <v>93</v>
      </c>
      <c r="B53" s="13"/>
      <c r="C53" s="13"/>
      <c r="D53" s="13"/>
      <c r="E53" s="13"/>
      <c r="F53" s="13"/>
      <c r="G53" s="13"/>
      <c r="H53" s="13"/>
    </row>
    <row r="54" spans="1:8" x14ac:dyDescent="0.25">
      <c r="A54" s="16"/>
      <c r="B54" s="13"/>
      <c r="C54" s="13"/>
      <c r="D54" s="13"/>
      <c r="E54" s="13"/>
      <c r="F54" s="13"/>
      <c r="G54" s="13"/>
      <c r="H54" s="13"/>
    </row>
    <row r="55" spans="1:8" ht="15.5" x14ac:dyDescent="0.35">
      <c r="A55" s="65" t="s">
        <v>43</v>
      </c>
      <c r="B55" s="21"/>
      <c r="C55" s="21">
        <f>C49+B51+B52</f>
        <v>0</v>
      </c>
      <c r="D55" s="13"/>
      <c r="E55" s="64" t="s">
        <v>89</v>
      </c>
      <c r="F55" s="21"/>
      <c r="G55" s="21">
        <f>G51-F52</f>
        <v>0</v>
      </c>
      <c r="H55" s="13"/>
    </row>
    <row r="56" spans="1:8" x14ac:dyDescent="0.25">
      <c r="A56" s="13"/>
      <c r="B56" s="13"/>
      <c r="C56" s="13"/>
      <c r="D56" s="13"/>
      <c r="E56" s="13"/>
      <c r="F56" s="13"/>
      <c r="G56" s="13"/>
      <c r="H56" s="13"/>
    </row>
    <row r="58" spans="1:8" x14ac:dyDescent="0.25">
      <c r="C58" s="13"/>
      <c r="E58" s="13"/>
    </row>
    <row r="60" spans="1:8" x14ac:dyDescent="0.25">
      <c r="E60" s="13"/>
    </row>
  </sheetData>
  <phoneticPr fontId="0" type="noConversion"/>
  <printOptions horizontalCentered="1"/>
  <pageMargins left="0.75" right="0.75" top="0.79" bottom="1" header="0.5" footer="0.5"/>
  <pageSetup orientation="portrait" horizontalDpi="360" verticalDpi="360" r:id="rId1"/>
  <headerFooter alignWithMargins="0">
    <oddFooter>&amp;C21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8"/>
  <sheetViews>
    <sheetView topLeftCell="A10" workbookViewId="0">
      <selection activeCell="D24" sqref="D24"/>
    </sheetView>
  </sheetViews>
  <sheetFormatPr defaultRowHeight="12.5" x14ac:dyDescent="0.25"/>
  <cols>
    <col min="1" max="1" width="25.1796875" customWidth="1"/>
  </cols>
  <sheetData>
    <row r="1" spans="1:9" ht="21" customHeight="1" x14ac:dyDescent="0.4">
      <c r="A1" s="8" t="s">
        <v>44</v>
      </c>
      <c r="B1" s="22"/>
      <c r="C1" s="22"/>
      <c r="D1" s="22"/>
    </row>
    <row r="2" spans="1:9" ht="30.75" customHeight="1" x14ac:dyDescent="0.25">
      <c r="A2" s="37" t="s">
        <v>75</v>
      </c>
      <c r="B2" s="37">
        <v>2002</v>
      </c>
      <c r="C2" s="34">
        <v>2003</v>
      </c>
      <c r="D2" s="34">
        <v>2004</v>
      </c>
    </row>
    <row r="3" spans="1:9" x14ac:dyDescent="0.25">
      <c r="A3" s="37"/>
      <c r="B3" s="37"/>
      <c r="C3" s="37"/>
      <c r="D3" s="37"/>
    </row>
    <row r="4" spans="1:9" ht="13" x14ac:dyDescent="0.3">
      <c r="A4" s="36" t="s">
        <v>45</v>
      </c>
      <c r="B4" s="33">
        <f>Tea_Room_Sales+Yarn_Shop_Sales</f>
        <v>0</v>
      </c>
      <c r="C4" s="33">
        <f>SUM('CASH_YR2.XLS'!$N$5:$N$6)</f>
        <v>0</v>
      </c>
      <c r="D4" s="33">
        <f>SUM('CASH_YR3.XLS'!$N$6:$N$8)</f>
        <v>0</v>
      </c>
      <c r="E4" s="13"/>
      <c r="F4" s="13"/>
      <c r="G4" s="13"/>
      <c r="H4" s="13"/>
      <c r="I4" s="13"/>
    </row>
    <row r="5" spans="1:9" x14ac:dyDescent="0.25">
      <c r="A5" s="39" t="s">
        <v>46</v>
      </c>
      <c r="B5" s="33">
        <f>(Yarn_Shop_Sales*0.5)+Yarn_Inventory</f>
        <v>0</v>
      </c>
      <c r="C5" s="33">
        <f>'CASH_YR2.XLS'!N16+('CASH_YR2.XLS'!N6*0.5)</f>
        <v>0</v>
      </c>
      <c r="D5" s="33">
        <f>'CASH_YR3.XLS'!N18+'CASH_YR3.XLS'!N7*0.5</f>
        <v>0</v>
      </c>
      <c r="E5" s="13"/>
      <c r="F5" s="13"/>
      <c r="G5" s="13"/>
      <c r="H5" s="13"/>
      <c r="I5" s="13"/>
    </row>
    <row r="6" spans="1:9" x14ac:dyDescent="0.25">
      <c r="A6" s="37" t="s">
        <v>47</v>
      </c>
      <c r="B6" s="33">
        <f>SUM(B4-B5)</f>
        <v>0</v>
      </c>
      <c r="C6" s="33">
        <f>SUM(C4-C5)</f>
        <v>0</v>
      </c>
      <c r="D6" s="33">
        <f>SUM(D4-D5)</f>
        <v>0</v>
      </c>
      <c r="E6" s="13"/>
      <c r="F6" s="13"/>
      <c r="G6" s="13"/>
      <c r="H6" s="13"/>
      <c r="I6" s="13"/>
    </row>
    <row r="7" spans="1:9" x14ac:dyDescent="0.25">
      <c r="A7" s="37"/>
      <c r="B7" s="33"/>
      <c r="C7" s="33"/>
      <c r="D7" s="33"/>
      <c r="E7" s="13"/>
      <c r="F7" s="13"/>
      <c r="G7" s="13"/>
      <c r="H7" s="13"/>
      <c r="I7" s="13"/>
    </row>
    <row r="8" spans="1:9" ht="13" x14ac:dyDescent="0.3">
      <c r="A8" s="36" t="s">
        <v>48</v>
      </c>
      <c r="B8" s="33"/>
      <c r="C8" s="33"/>
      <c r="D8" s="33"/>
      <c r="E8" s="13"/>
      <c r="F8" s="13"/>
      <c r="G8" s="13"/>
      <c r="H8" s="13"/>
      <c r="I8" s="13"/>
    </row>
    <row r="9" spans="1:9" ht="13" x14ac:dyDescent="0.3">
      <c r="A9" s="56"/>
      <c r="B9" s="57"/>
      <c r="C9" s="57"/>
      <c r="D9" s="57"/>
      <c r="E9" s="27"/>
      <c r="F9" s="27"/>
      <c r="G9" s="27"/>
      <c r="H9" s="27"/>
      <c r="I9" s="13"/>
    </row>
    <row r="10" spans="1:9" ht="13" x14ac:dyDescent="0.3">
      <c r="A10" s="39" t="s">
        <v>64</v>
      </c>
      <c r="B10" s="58">
        <f>'CASHnew.XLS'!N17</f>
        <v>0</v>
      </c>
      <c r="C10" s="59">
        <f>'CASH_YR2.XLS'!N17</f>
        <v>0</v>
      </c>
      <c r="D10" s="59">
        <f>'CASH_YR3.XLS'!N19</f>
        <v>0</v>
      </c>
      <c r="E10" s="27"/>
      <c r="F10" s="27"/>
      <c r="G10" s="27"/>
      <c r="H10" s="27"/>
      <c r="I10" s="13"/>
    </row>
    <row r="11" spans="1:9" ht="13" x14ac:dyDescent="0.3">
      <c r="A11" s="39" t="s">
        <v>65</v>
      </c>
      <c r="B11" s="58">
        <f>'CASHnew.XLS'!N18</f>
        <v>0</v>
      </c>
      <c r="C11" s="59">
        <f>'CASH_YR2.XLS'!N18</f>
        <v>0</v>
      </c>
      <c r="D11" s="59">
        <f>'CASH_YR3.XLS'!N20</f>
        <v>0</v>
      </c>
      <c r="E11" s="27"/>
      <c r="F11" s="27"/>
      <c r="G11" s="27"/>
      <c r="H11" s="27"/>
      <c r="I11" s="13"/>
    </row>
    <row r="12" spans="1:9" ht="13" x14ac:dyDescent="0.3">
      <c r="A12" s="39" t="s">
        <v>56</v>
      </c>
      <c r="B12" s="58">
        <f>'CASHnew.XLS'!N19</f>
        <v>0</v>
      </c>
      <c r="C12" s="59">
        <f>'CASH_YR2.XLS'!N19</f>
        <v>0</v>
      </c>
      <c r="D12" s="59">
        <f>'CASH_YR3.XLS'!N21</f>
        <v>0</v>
      </c>
      <c r="E12" s="27"/>
      <c r="F12" s="27"/>
      <c r="G12" s="27"/>
      <c r="H12" s="27"/>
      <c r="I12" s="13"/>
    </row>
    <row r="13" spans="1:9" ht="13" x14ac:dyDescent="0.3">
      <c r="A13" s="39" t="s">
        <v>94</v>
      </c>
      <c r="B13" s="58">
        <f>'CASHnew.XLS'!N20</f>
        <v>0</v>
      </c>
      <c r="C13" s="59">
        <f>'CASH_YR2.XLS'!N20</f>
        <v>0</v>
      </c>
      <c r="D13" s="59">
        <f>'CASH_YR3.XLS'!N22</f>
        <v>0</v>
      </c>
      <c r="E13" s="27"/>
      <c r="F13" s="27"/>
      <c r="G13" s="27"/>
      <c r="H13" s="27"/>
      <c r="I13" s="13"/>
    </row>
    <row r="14" spans="1:9" ht="13" x14ac:dyDescent="0.3">
      <c r="A14" s="39" t="s">
        <v>66</v>
      </c>
      <c r="B14" s="58">
        <f>'CASHnew.XLS'!N21</f>
        <v>0</v>
      </c>
      <c r="C14" s="59">
        <f>'CASH_YR2.XLS'!N21</f>
        <v>0</v>
      </c>
      <c r="D14" s="59">
        <f>'CASH_YR3.XLS'!N23</f>
        <v>0</v>
      </c>
      <c r="E14" s="27"/>
      <c r="F14" s="27"/>
      <c r="G14" s="27"/>
      <c r="H14" s="27"/>
      <c r="I14" s="13"/>
    </row>
    <row r="15" spans="1:9" ht="13" x14ac:dyDescent="0.3">
      <c r="A15" s="39" t="s">
        <v>59</v>
      </c>
      <c r="B15" s="58">
        <f>'CASHnew.XLS'!N22</f>
        <v>0</v>
      </c>
      <c r="C15" s="59">
        <f>'CASH_YR2.XLS'!N22</f>
        <v>0</v>
      </c>
      <c r="D15" s="59">
        <f>'CASH_YR3.XLS'!N24</f>
        <v>0</v>
      </c>
      <c r="E15" s="27"/>
      <c r="F15" s="27"/>
      <c r="G15" s="27"/>
      <c r="H15" s="27"/>
      <c r="I15" s="13"/>
    </row>
    <row r="16" spans="1:9" ht="13" x14ac:dyDescent="0.3">
      <c r="A16" s="39" t="s">
        <v>58</v>
      </c>
      <c r="B16" s="58">
        <f>'CASHnew.XLS'!N23</f>
        <v>0</v>
      </c>
      <c r="C16" s="59">
        <f>'CASH_YR2.XLS'!N23</f>
        <v>0</v>
      </c>
      <c r="D16" s="59">
        <f>'CASH_YR3.XLS'!N25</f>
        <v>0</v>
      </c>
      <c r="E16" s="27"/>
      <c r="F16" s="27"/>
      <c r="G16" s="27"/>
      <c r="H16" s="27"/>
      <c r="I16" s="13"/>
    </row>
    <row r="17" spans="1:9" ht="13" x14ac:dyDescent="0.3">
      <c r="A17" s="39" t="s">
        <v>61</v>
      </c>
      <c r="B17" s="58">
        <f>'CASHnew.XLS'!N24</f>
        <v>0</v>
      </c>
      <c r="C17" s="59">
        <f>'CASH_YR2.XLS'!N24</f>
        <v>0</v>
      </c>
      <c r="D17" s="59">
        <f>'CASH_YR3.XLS'!N26</f>
        <v>0</v>
      </c>
      <c r="E17" s="27"/>
      <c r="F17" s="27"/>
      <c r="G17" s="27"/>
      <c r="H17" s="27"/>
      <c r="I17" s="13"/>
    </row>
    <row r="18" spans="1:9" ht="13" x14ac:dyDescent="0.3">
      <c r="A18" s="39" t="s">
        <v>18</v>
      </c>
      <c r="B18" s="58">
        <f>'CASHnew.XLS'!N25</f>
        <v>0</v>
      </c>
      <c r="C18" s="59">
        <f>'CASH_YR2.XLS'!N25</f>
        <v>0</v>
      </c>
      <c r="D18" s="59">
        <f>'CASH_YR3.XLS'!N27</f>
        <v>0</v>
      </c>
      <c r="E18" s="27"/>
      <c r="F18" s="27"/>
      <c r="G18" s="27"/>
      <c r="H18" s="27"/>
      <c r="I18" s="13"/>
    </row>
    <row r="19" spans="1:9" x14ac:dyDescent="0.25">
      <c r="A19" s="39" t="s">
        <v>19</v>
      </c>
      <c r="B19" s="58">
        <f>'CASHnew.XLS'!N26</f>
        <v>0</v>
      </c>
      <c r="C19" s="59">
        <f>'CASH_YR2.XLS'!N26</f>
        <v>0</v>
      </c>
      <c r="D19" s="59">
        <f>'CASH_YR3.XLS'!N28</f>
        <v>0</v>
      </c>
      <c r="E19" s="13"/>
      <c r="F19" s="13"/>
      <c r="G19" s="13"/>
      <c r="H19" s="13"/>
      <c r="I19" s="13"/>
    </row>
    <row r="20" spans="1:9" x14ac:dyDescent="0.25">
      <c r="A20" s="39" t="s">
        <v>20</v>
      </c>
      <c r="B20" s="58">
        <f>'CASHnew.XLS'!N27</f>
        <v>0</v>
      </c>
      <c r="C20" s="59">
        <f>'CASH_YR2.XLS'!N27</f>
        <v>0</v>
      </c>
      <c r="D20" s="59">
        <f>'CASH_YR3.XLS'!N29</f>
        <v>0</v>
      </c>
      <c r="E20" s="13"/>
      <c r="F20" s="13"/>
      <c r="G20" s="13"/>
      <c r="H20" s="13"/>
      <c r="I20" s="13"/>
    </row>
    <row r="21" spans="1:9" x14ac:dyDescent="0.25">
      <c r="A21" s="39" t="s">
        <v>21</v>
      </c>
      <c r="B21" s="58">
        <f>'CASHnew.XLS'!N28</f>
        <v>0</v>
      </c>
      <c r="C21" s="59">
        <f>'CASH_YR2.XLS'!N28</f>
        <v>0</v>
      </c>
      <c r="D21" s="59">
        <f>'CASH_YR3.XLS'!N30</f>
        <v>0</v>
      </c>
      <c r="E21" s="13"/>
      <c r="F21" s="13"/>
      <c r="G21" s="13"/>
      <c r="H21" s="13"/>
      <c r="I21" s="13"/>
    </row>
    <row r="22" spans="1:9" x14ac:dyDescent="0.25">
      <c r="A22" s="39" t="s">
        <v>22</v>
      </c>
      <c r="B22" s="58">
        <f>'CASHnew.XLS'!N29</f>
        <v>0</v>
      </c>
      <c r="C22" s="59">
        <f>'CASH_YR2.XLS'!N29</f>
        <v>0</v>
      </c>
      <c r="D22" s="59">
        <f>'CASH_YR3.XLS'!N31</f>
        <v>0</v>
      </c>
      <c r="E22" s="13"/>
      <c r="F22" s="13"/>
      <c r="G22" s="13"/>
      <c r="H22" s="13"/>
      <c r="I22" s="13"/>
    </row>
    <row r="23" spans="1:9" x14ac:dyDescent="0.25">
      <c r="A23" s="39" t="s">
        <v>23</v>
      </c>
      <c r="B23" s="58">
        <f>'CASHnew.XLS'!N30</f>
        <v>0</v>
      </c>
      <c r="C23" s="59">
        <f>'CASH_YR2.XLS'!N30</f>
        <v>0</v>
      </c>
      <c r="D23" s="59">
        <f>'CASH_YR3.XLS'!N32</f>
        <v>0</v>
      </c>
      <c r="E23" s="13"/>
      <c r="F23" s="13"/>
      <c r="G23" s="13"/>
      <c r="H23" s="13"/>
      <c r="I23" s="13"/>
    </row>
    <row r="24" spans="1:9" x14ac:dyDescent="0.25">
      <c r="A24" s="39" t="s">
        <v>101</v>
      </c>
      <c r="B24" s="58">
        <f>Misc.</f>
        <v>0</v>
      </c>
      <c r="C24" s="59">
        <f>'CASH_YR2.XLS'!N33</f>
        <v>0</v>
      </c>
      <c r="D24" s="59">
        <f>'CASH_YR3.XLS'!N35</f>
        <v>0</v>
      </c>
      <c r="E24" s="13"/>
      <c r="F24" s="13"/>
      <c r="G24" s="13"/>
      <c r="H24" s="13"/>
      <c r="I24" s="13"/>
    </row>
    <row r="25" spans="1:9" x14ac:dyDescent="0.25">
      <c r="A25" s="39" t="s">
        <v>24</v>
      </c>
      <c r="B25" s="58">
        <f>Misc.</f>
        <v>0</v>
      </c>
      <c r="C25" s="59">
        <f>'CASH_YR2.XLS'!N33</f>
        <v>0</v>
      </c>
      <c r="D25" s="33">
        <f>'CASH_YR3.XLS'!N35</f>
        <v>0</v>
      </c>
      <c r="E25" s="13"/>
      <c r="F25" s="13"/>
      <c r="G25" s="13"/>
      <c r="H25" s="13"/>
      <c r="I25" s="13"/>
    </row>
    <row r="26" spans="1:9" x14ac:dyDescent="0.25">
      <c r="A26" s="39" t="s">
        <v>76</v>
      </c>
      <c r="B26" s="60"/>
      <c r="C26" s="59"/>
      <c r="D26" s="33"/>
      <c r="F26" s="13"/>
      <c r="G26" s="13"/>
      <c r="H26" s="13"/>
      <c r="I26" s="13"/>
    </row>
    <row r="27" spans="1:9" x14ac:dyDescent="0.25">
      <c r="A27" s="39" t="s">
        <v>77</v>
      </c>
      <c r="B27" s="60"/>
      <c r="C27" s="59"/>
      <c r="D27" s="33"/>
      <c r="E27" s="13"/>
      <c r="F27" s="13"/>
      <c r="G27" s="13"/>
      <c r="H27" s="13"/>
      <c r="I27" s="13"/>
    </row>
    <row r="28" spans="1:9" x14ac:dyDescent="0.25">
      <c r="A28" s="37"/>
      <c r="B28" s="33"/>
      <c r="C28" s="33"/>
      <c r="D28" s="33"/>
      <c r="E28" s="13"/>
      <c r="F28" s="13"/>
      <c r="G28" s="13"/>
      <c r="H28" s="13"/>
      <c r="I28" s="13"/>
    </row>
    <row r="29" spans="1:9" ht="13" x14ac:dyDescent="0.3">
      <c r="A29" s="36" t="s">
        <v>49</v>
      </c>
      <c r="B29" s="33">
        <f>SUM(B10:B27)</f>
        <v>0</v>
      </c>
      <c r="C29" s="33">
        <f>SUM(C10:C27)</f>
        <v>0</v>
      </c>
      <c r="D29" s="33">
        <f>SUM(D10:D27)</f>
        <v>0</v>
      </c>
      <c r="E29" s="13"/>
      <c r="F29" s="13"/>
      <c r="G29" s="13"/>
      <c r="H29" s="13"/>
      <c r="I29" s="13"/>
    </row>
    <row r="30" spans="1:9" x14ac:dyDescent="0.25">
      <c r="A30" s="37"/>
      <c r="B30" s="33"/>
      <c r="C30" s="33"/>
      <c r="D30" s="33"/>
      <c r="E30" s="13"/>
      <c r="F30" s="13"/>
      <c r="G30" s="13"/>
      <c r="H30" s="13"/>
      <c r="I30" s="13"/>
    </row>
    <row r="31" spans="1:9" ht="13" x14ac:dyDescent="0.3">
      <c r="A31" s="36" t="s">
        <v>50</v>
      </c>
      <c r="B31" s="43">
        <f>SUM(B6-B29)</f>
        <v>0</v>
      </c>
      <c r="C31" s="43">
        <f>SUM(C6-C29)</f>
        <v>0</v>
      </c>
      <c r="D31" s="43">
        <f>SUM(D6-D29)</f>
        <v>0</v>
      </c>
      <c r="E31" s="13"/>
      <c r="F31" s="13"/>
      <c r="G31" s="13"/>
      <c r="H31" s="13"/>
      <c r="I31" s="13"/>
    </row>
    <row r="32" spans="1:9" x14ac:dyDescent="0.25">
      <c r="B32" s="13"/>
      <c r="C32" s="13"/>
      <c r="D32" s="13"/>
      <c r="E32" s="13"/>
      <c r="F32" s="13"/>
      <c r="G32" s="13"/>
      <c r="H32" s="13"/>
      <c r="I32" s="13"/>
    </row>
    <row r="33" spans="1:9" x14ac:dyDescent="0.25">
      <c r="B33" s="13"/>
      <c r="C33" s="13"/>
      <c r="D33" s="13"/>
      <c r="E33" s="13"/>
      <c r="F33" s="13"/>
      <c r="G33" s="13"/>
      <c r="H33" s="13"/>
      <c r="I33" s="13"/>
    </row>
    <row r="34" spans="1:9" x14ac:dyDescent="0.25">
      <c r="A34" t="s">
        <v>78</v>
      </c>
      <c r="B34" s="13"/>
      <c r="C34" s="13"/>
      <c r="D34" s="13"/>
      <c r="E34" s="13"/>
      <c r="F34" s="13"/>
      <c r="G34" s="13"/>
      <c r="H34" s="13"/>
      <c r="I34" s="13"/>
    </row>
    <row r="35" spans="1:9" x14ac:dyDescent="0.25">
      <c r="A35" t="s">
        <v>79</v>
      </c>
      <c r="B35" s="13"/>
      <c r="C35" s="13"/>
      <c r="D35" s="13"/>
      <c r="E35" s="13"/>
      <c r="F35" s="13"/>
      <c r="G35" s="13"/>
      <c r="H35" s="13"/>
      <c r="I35" s="13"/>
    </row>
    <row r="37" spans="1:9" x14ac:dyDescent="0.25">
      <c r="A37" t="s">
        <v>80</v>
      </c>
    </row>
    <row r="38" spans="1:9" x14ac:dyDescent="0.25">
      <c r="A38" t="s">
        <v>86</v>
      </c>
    </row>
  </sheetData>
  <phoneticPr fontId="0" type="noConversion"/>
  <printOptions horizontalCentered="1"/>
  <pageMargins left="0.75" right="0.75" top="1" bottom="1" header="0.5" footer="0.5"/>
  <pageSetup orientation="portrait" horizontalDpi="360" verticalDpi="360" r:id="rId1"/>
  <headerFooter alignWithMargins="0">
    <oddFooter>&amp;C20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F48"/>
  <sheetViews>
    <sheetView showGridLines="0" topLeftCell="A4" workbookViewId="0">
      <pane ySplit="540" topLeftCell="A15" activePane="bottomLeft"/>
      <selection activeCell="F4" sqref="F4"/>
      <selection pane="bottomLeft" activeCell="N6" sqref="N6:N43"/>
    </sheetView>
  </sheetViews>
  <sheetFormatPr defaultColWidth="9.1796875" defaultRowHeight="13" x14ac:dyDescent="0.3"/>
  <cols>
    <col min="1" max="1" width="19" style="13" customWidth="1"/>
    <col min="2" max="13" width="6.54296875" style="13" customWidth="1"/>
    <col min="14" max="14" width="6.7265625" style="12" customWidth="1"/>
    <col min="15" max="16384" width="9.1796875" style="13"/>
  </cols>
  <sheetData>
    <row r="1" spans="1:58" ht="18" x14ac:dyDescent="0.4">
      <c r="A1" s="44" t="s">
        <v>84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6"/>
    </row>
    <row r="2" spans="1:58" ht="14" x14ac:dyDescent="0.3">
      <c r="A2" s="47" t="s">
        <v>96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6"/>
    </row>
    <row r="3" spans="1:58" x14ac:dyDescent="0.3">
      <c r="A3" s="33"/>
      <c r="B3" s="48" t="s">
        <v>0</v>
      </c>
      <c r="C3" s="48" t="s">
        <v>1</v>
      </c>
      <c r="D3" s="48" t="s">
        <v>2</v>
      </c>
      <c r="E3" s="48" t="s">
        <v>3</v>
      </c>
      <c r="F3" s="48" t="s">
        <v>4</v>
      </c>
      <c r="G3" s="48" t="s">
        <v>5</v>
      </c>
      <c r="H3" s="48" t="s">
        <v>6</v>
      </c>
      <c r="I3" s="48" t="s">
        <v>7</v>
      </c>
      <c r="J3" s="48" t="s">
        <v>8</v>
      </c>
      <c r="K3" s="48" t="s">
        <v>9</v>
      </c>
      <c r="L3" s="48" t="s">
        <v>10</v>
      </c>
      <c r="M3" s="48" t="s">
        <v>11</v>
      </c>
      <c r="N3" s="49" t="s">
        <v>12</v>
      </c>
    </row>
    <row r="4" spans="1:58" x14ac:dyDescent="0.3">
      <c r="A4" s="43" t="s">
        <v>13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50"/>
    </row>
    <row r="5" spans="1:58" x14ac:dyDescent="0.3">
      <c r="A5" s="51" t="s">
        <v>52</v>
      </c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1">
        <f t="shared" ref="N5:N11" si="0">SUM(B5:M5)</f>
        <v>0</v>
      </c>
    </row>
    <row r="6" spans="1:58" x14ac:dyDescent="0.3">
      <c r="A6" s="51" t="s">
        <v>81</v>
      </c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1">
        <f t="shared" si="0"/>
        <v>0</v>
      </c>
    </row>
    <row r="7" spans="1:58" x14ac:dyDescent="0.3">
      <c r="A7" s="51"/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1">
        <f t="shared" si="0"/>
        <v>0</v>
      </c>
    </row>
    <row r="8" spans="1:58" x14ac:dyDescent="0.3">
      <c r="A8" s="51"/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1">
        <f t="shared" si="0"/>
        <v>0</v>
      </c>
    </row>
    <row r="9" spans="1:58" x14ac:dyDescent="0.3">
      <c r="A9" s="51"/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1">
        <f t="shared" si="0"/>
        <v>0</v>
      </c>
    </row>
    <row r="10" spans="1:58" x14ac:dyDescent="0.3">
      <c r="A10" s="51" t="s">
        <v>15</v>
      </c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1">
        <f t="shared" si="0"/>
        <v>0</v>
      </c>
    </row>
    <row r="11" spans="1:58" x14ac:dyDescent="0.3">
      <c r="A11" s="43" t="s">
        <v>16</v>
      </c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41">
        <f t="shared" si="0"/>
        <v>0</v>
      </c>
    </row>
    <row r="12" spans="1:58" x14ac:dyDescent="0.3">
      <c r="A12" s="33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41"/>
      <c r="BF12"/>
    </row>
    <row r="13" spans="1:58" x14ac:dyDescent="0.3">
      <c r="A13" s="43" t="s">
        <v>17</v>
      </c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41"/>
    </row>
    <row r="14" spans="1:58" x14ac:dyDescent="0.3">
      <c r="A14" s="62" t="s">
        <v>82</v>
      </c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41">
        <f t="shared" ref="N14:N24" si="1">SUM(B14:M14)</f>
        <v>0</v>
      </c>
    </row>
    <row r="15" spans="1:58" x14ac:dyDescent="0.3">
      <c r="A15" s="51" t="s">
        <v>63</v>
      </c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1">
        <f t="shared" si="1"/>
        <v>0</v>
      </c>
    </row>
    <row r="16" spans="1:58" x14ac:dyDescent="0.3">
      <c r="A16" s="51" t="s">
        <v>64</v>
      </c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1">
        <f t="shared" si="1"/>
        <v>0</v>
      </c>
    </row>
    <row r="17" spans="1:15" x14ac:dyDescent="0.3">
      <c r="A17" s="51" t="s">
        <v>65</v>
      </c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1">
        <f t="shared" si="1"/>
        <v>0</v>
      </c>
    </row>
    <row r="18" spans="1:15" x14ac:dyDescent="0.3">
      <c r="A18" s="51" t="s">
        <v>56</v>
      </c>
      <c r="B18" s="40"/>
      <c r="C18" s="40"/>
      <c r="D18" s="40"/>
      <c r="E18" s="37"/>
      <c r="F18" s="37"/>
      <c r="G18" s="33"/>
      <c r="H18" s="40"/>
      <c r="I18" s="40"/>
      <c r="J18" s="40"/>
      <c r="K18" s="40"/>
      <c r="L18" s="40"/>
      <c r="M18" s="40"/>
      <c r="N18" s="41">
        <f t="shared" si="1"/>
        <v>0</v>
      </c>
    </row>
    <row r="19" spans="1:15" x14ac:dyDescent="0.3">
      <c r="A19" s="51" t="s">
        <v>57</v>
      </c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1">
        <f t="shared" si="1"/>
        <v>0</v>
      </c>
      <c r="O19"/>
    </row>
    <row r="20" spans="1:15" x14ac:dyDescent="0.3">
      <c r="A20" s="51" t="s">
        <v>66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1">
        <f t="shared" si="1"/>
        <v>0</v>
      </c>
    </row>
    <row r="21" spans="1:15" x14ac:dyDescent="0.3">
      <c r="A21" s="51" t="s">
        <v>59</v>
      </c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1">
        <f t="shared" si="1"/>
        <v>0</v>
      </c>
    </row>
    <row r="22" spans="1:15" x14ac:dyDescent="0.3">
      <c r="A22" s="51" t="s">
        <v>58</v>
      </c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1">
        <f t="shared" si="1"/>
        <v>0</v>
      </c>
    </row>
    <row r="23" spans="1:15" x14ac:dyDescent="0.3">
      <c r="A23" s="51" t="s">
        <v>53</v>
      </c>
      <c r="B23" s="40"/>
      <c r="C23" s="40"/>
      <c r="D23" s="40"/>
      <c r="E23" s="40"/>
      <c r="F23" s="40"/>
      <c r="G23" s="40"/>
      <c r="H23" s="40"/>
      <c r="I23" s="33"/>
      <c r="J23" s="40"/>
      <c r="K23" s="40"/>
      <c r="L23" s="40"/>
      <c r="M23" s="40"/>
      <c r="N23" s="41">
        <f t="shared" si="1"/>
        <v>0</v>
      </c>
    </row>
    <row r="24" spans="1:15" x14ac:dyDescent="0.3">
      <c r="A24" s="51" t="s">
        <v>18</v>
      </c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1">
        <f t="shared" si="1"/>
        <v>0</v>
      </c>
    </row>
    <row r="25" spans="1:15" ht="12.5" x14ac:dyDescent="0.25">
      <c r="A25" s="39" t="s">
        <v>67</v>
      </c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69"/>
    </row>
    <row r="26" spans="1:15" x14ac:dyDescent="0.3">
      <c r="A26" s="51" t="s">
        <v>20</v>
      </c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1">
        <f>SUM(B26:M26)</f>
        <v>0</v>
      </c>
    </row>
    <row r="27" spans="1:15" x14ac:dyDescent="0.3">
      <c r="A27" s="51" t="s">
        <v>68</v>
      </c>
      <c r="B27" s="37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1">
        <f>SUM(C27:M27)</f>
        <v>0</v>
      </c>
    </row>
    <row r="28" spans="1:15" x14ac:dyDescent="0.3">
      <c r="A28" s="51" t="s">
        <v>22</v>
      </c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1">
        <f t="shared" ref="N28:N36" si="2">SUM(B28:M28)</f>
        <v>0</v>
      </c>
    </row>
    <row r="29" spans="1:15" x14ac:dyDescent="0.3">
      <c r="A29" s="51" t="s">
        <v>23</v>
      </c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1">
        <f t="shared" si="2"/>
        <v>0</v>
      </c>
    </row>
    <row r="30" spans="1:15" x14ac:dyDescent="0.3">
      <c r="A30" s="51" t="s">
        <v>24</v>
      </c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1">
        <f t="shared" si="2"/>
        <v>0</v>
      </c>
    </row>
    <row r="31" spans="1:15" x14ac:dyDescent="0.3">
      <c r="A31" s="51" t="s">
        <v>62</v>
      </c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1">
        <f t="shared" si="2"/>
        <v>0</v>
      </c>
    </row>
    <row r="32" spans="1:15" x14ac:dyDescent="0.3">
      <c r="A32" s="51" t="s">
        <v>25</v>
      </c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1">
        <f t="shared" si="2"/>
        <v>0</v>
      </c>
    </row>
    <row r="33" spans="1:14" x14ac:dyDescent="0.3">
      <c r="A33" s="51" t="s">
        <v>54</v>
      </c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1">
        <f t="shared" si="2"/>
        <v>0</v>
      </c>
    </row>
    <row r="34" spans="1:14" x14ac:dyDescent="0.3">
      <c r="A34" s="51" t="s">
        <v>26</v>
      </c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1">
        <f t="shared" si="2"/>
        <v>0</v>
      </c>
    </row>
    <row r="35" spans="1:14" x14ac:dyDescent="0.3">
      <c r="A35" s="51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1">
        <f t="shared" si="2"/>
        <v>0</v>
      </c>
    </row>
    <row r="36" spans="1:14" x14ac:dyDescent="0.3">
      <c r="A36" s="51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1">
        <f t="shared" si="2"/>
        <v>0</v>
      </c>
    </row>
    <row r="37" spans="1:14" x14ac:dyDescent="0.3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41"/>
    </row>
    <row r="38" spans="1:14" x14ac:dyDescent="0.3">
      <c r="A38" s="43" t="s">
        <v>27</v>
      </c>
      <c r="B38" s="33">
        <f t="shared" ref="B38:N38" si="3">SUM(B14:B36)</f>
        <v>0</v>
      </c>
      <c r="C38" s="33">
        <f t="shared" si="3"/>
        <v>0</v>
      </c>
      <c r="D38" s="33">
        <f t="shared" si="3"/>
        <v>0</v>
      </c>
      <c r="E38" s="33">
        <f t="shared" si="3"/>
        <v>0</v>
      </c>
      <c r="F38" s="33">
        <f t="shared" si="3"/>
        <v>0</v>
      </c>
      <c r="G38" s="33">
        <f t="shared" si="3"/>
        <v>0</v>
      </c>
      <c r="H38" s="33">
        <f t="shared" si="3"/>
        <v>0</v>
      </c>
      <c r="I38" s="33">
        <f t="shared" si="3"/>
        <v>0</v>
      </c>
      <c r="J38" s="33">
        <f t="shared" si="3"/>
        <v>0</v>
      </c>
      <c r="K38" s="33">
        <f t="shared" si="3"/>
        <v>0</v>
      </c>
      <c r="L38" s="33">
        <f t="shared" si="3"/>
        <v>0</v>
      </c>
      <c r="M38" s="33">
        <f t="shared" si="3"/>
        <v>0</v>
      </c>
      <c r="N38" s="69">
        <f t="shared" si="3"/>
        <v>0</v>
      </c>
    </row>
    <row r="39" spans="1:14" x14ac:dyDescent="0.3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41"/>
    </row>
    <row r="40" spans="1:14" x14ac:dyDescent="0.3">
      <c r="A40" s="43" t="s">
        <v>28</v>
      </c>
      <c r="B40" s="33">
        <f t="shared" ref="B40:N40" si="4">SUM(B11-B38)</f>
        <v>0</v>
      </c>
      <c r="C40" s="33">
        <f t="shared" si="4"/>
        <v>0</v>
      </c>
      <c r="D40" s="33">
        <f t="shared" si="4"/>
        <v>0</v>
      </c>
      <c r="E40" s="33">
        <f t="shared" si="4"/>
        <v>0</v>
      </c>
      <c r="F40" s="33">
        <f t="shared" si="4"/>
        <v>0</v>
      </c>
      <c r="G40" s="33">
        <f t="shared" si="4"/>
        <v>0</v>
      </c>
      <c r="H40" s="33">
        <f t="shared" si="4"/>
        <v>0</v>
      </c>
      <c r="I40" s="33">
        <f t="shared" si="4"/>
        <v>0</v>
      </c>
      <c r="J40" s="33">
        <f t="shared" si="4"/>
        <v>0</v>
      </c>
      <c r="K40" s="33">
        <f t="shared" si="4"/>
        <v>0</v>
      </c>
      <c r="L40" s="33">
        <f t="shared" si="4"/>
        <v>0</v>
      </c>
      <c r="M40" s="33">
        <f t="shared" si="4"/>
        <v>0</v>
      </c>
      <c r="N40" s="41">
        <f t="shared" si="4"/>
        <v>0</v>
      </c>
    </row>
    <row r="41" spans="1:14" x14ac:dyDescent="0.3">
      <c r="A41" s="33" t="s">
        <v>29</v>
      </c>
      <c r="B41" s="33">
        <f t="shared" ref="B41:M41" si="5">B40</f>
        <v>0</v>
      </c>
      <c r="C41" s="33">
        <f t="shared" si="5"/>
        <v>0</v>
      </c>
      <c r="D41" s="33">
        <f t="shared" si="5"/>
        <v>0</v>
      </c>
      <c r="E41" s="33">
        <f t="shared" si="5"/>
        <v>0</v>
      </c>
      <c r="F41" s="33">
        <f t="shared" si="5"/>
        <v>0</v>
      </c>
      <c r="G41" s="33">
        <f t="shared" si="5"/>
        <v>0</v>
      </c>
      <c r="H41" s="33">
        <f t="shared" si="5"/>
        <v>0</v>
      </c>
      <c r="I41" s="33">
        <f t="shared" si="5"/>
        <v>0</v>
      </c>
      <c r="J41" s="33">
        <f t="shared" si="5"/>
        <v>0</v>
      </c>
      <c r="K41" s="33">
        <f t="shared" si="5"/>
        <v>0</v>
      </c>
      <c r="L41" s="33">
        <f t="shared" si="5"/>
        <v>0</v>
      </c>
      <c r="M41" s="33">
        <f t="shared" si="5"/>
        <v>0</v>
      </c>
      <c r="N41" s="41">
        <f>SUM(B41:M41)</f>
        <v>0</v>
      </c>
    </row>
    <row r="42" spans="1:14" x14ac:dyDescent="0.3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41"/>
    </row>
    <row r="43" spans="1:14" s="12" customFormat="1" x14ac:dyDescent="0.3">
      <c r="A43" s="43" t="s">
        <v>30</v>
      </c>
      <c r="B43" s="43">
        <f>B41</f>
        <v>0</v>
      </c>
      <c r="C43" s="43">
        <f t="shared" ref="C43:M43" si="6">SUM(B43,C40)</f>
        <v>0</v>
      </c>
      <c r="D43" s="43">
        <f t="shared" si="6"/>
        <v>0</v>
      </c>
      <c r="E43" s="43">
        <f t="shared" si="6"/>
        <v>0</v>
      </c>
      <c r="F43" s="43">
        <f t="shared" si="6"/>
        <v>0</v>
      </c>
      <c r="G43" s="43">
        <f t="shared" si="6"/>
        <v>0</v>
      </c>
      <c r="H43" s="43">
        <f t="shared" si="6"/>
        <v>0</v>
      </c>
      <c r="I43" s="43">
        <f t="shared" si="6"/>
        <v>0</v>
      </c>
      <c r="J43" s="43">
        <f t="shared" si="6"/>
        <v>0</v>
      </c>
      <c r="K43" s="43">
        <f t="shared" si="6"/>
        <v>0</v>
      </c>
      <c r="L43" s="43">
        <f t="shared" si="6"/>
        <v>0</v>
      </c>
      <c r="M43" s="43">
        <f t="shared" si="6"/>
        <v>0</v>
      </c>
      <c r="N43" s="41"/>
    </row>
    <row r="44" spans="1:14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28"/>
    </row>
    <row r="48" spans="1:14" customFormat="1" x14ac:dyDescent="0.3">
      <c r="N48" s="26"/>
    </row>
  </sheetData>
  <phoneticPr fontId="0" type="noConversion"/>
  <printOptions horizontalCentered="1" verticalCentered="1" gridLinesSet="0"/>
  <pageMargins left="0.75" right="0.75" top="1" bottom="1" header="0.5" footer="0.5"/>
  <pageSetup scale="84" orientation="landscape" horizontalDpi="360" verticalDpi="360" r:id="rId1"/>
  <headerFooter alignWithMargins="0">
    <oddFooter>&amp;C18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46"/>
  <sheetViews>
    <sheetView showGridLines="0" topLeftCell="A4" workbookViewId="0">
      <pane ySplit="510" topLeftCell="A34" activePane="bottomLeft"/>
      <selection activeCell="B4" sqref="B1:B65536"/>
      <selection pane="bottomLeft" activeCell="N6" sqref="N6:N45"/>
    </sheetView>
  </sheetViews>
  <sheetFormatPr defaultColWidth="9.1796875" defaultRowHeight="12.5" x14ac:dyDescent="0.25"/>
  <cols>
    <col min="1" max="1" width="18.453125" style="13" customWidth="1"/>
    <col min="2" max="13" width="6.54296875" style="13" customWidth="1"/>
    <col min="14" max="14" width="7.54296875" style="13" customWidth="1"/>
    <col min="15" max="16384" width="9.1796875" style="13"/>
  </cols>
  <sheetData>
    <row r="1" spans="1:14" ht="21.75" customHeight="1" x14ac:dyDescent="0.4">
      <c r="A1" s="44" t="s">
        <v>84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52"/>
    </row>
    <row r="2" spans="1:14" ht="13" x14ac:dyDescent="0.3">
      <c r="A2" s="53" t="s">
        <v>97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52"/>
    </row>
    <row r="3" spans="1:14" x14ac:dyDescent="0.25">
      <c r="A3" s="45"/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52"/>
    </row>
    <row r="4" spans="1:14" x14ac:dyDescent="0.25">
      <c r="A4" s="33"/>
      <c r="B4" s="48" t="s">
        <v>0</v>
      </c>
      <c r="C4" s="48" t="s">
        <v>1</v>
      </c>
      <c r="D4" s="48" t="s">
        <v>2</v>
      </c>
      <c r="E4" s="48" t="s">
        <v>69</v>
      </c>
      <c r="F4" s="48" t="s">
        <v>4</v>
      </c>
      <c r="G4" s="48" t="s">
        <v>5</v>
      </c>
      <c r="H4" s="48" t="s">
        <v>6</v>
      </c>
      <c r="I4" s="48" t="s">
        <v>7</v>
      </c>
      <c r="J4" s="48" t="s">
        <v>8</v>
      </c>
      <c r="K4" s="48" t="s">
        <v>9</v>
      </c>
      <c r="L4" s="48" t="s">
        <v>51</v>
      </c>
      <c r="M4" s="48" t="s">
        <v>11</v>
      </c>
      <c r="N4" s="54" t="s">
        <v>12</v>
      </c>
    </row>
    <row r="5" spans="1:14" ht="13" x14ac:dyDescent="0.3">
      <c r="A5" s="43" t="s">
        <v>13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55"/>
    </row>
    <row r="6" spans="1:14" ht="13" x14ac:dyDescent="0.3">
      <c r="A6" s="51" t="s">
        <v>14</v>
      </c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67">
        <f>SUM(B6:M6)</f>
        <v>0</v>
      </c>
    </row>
    <row r="7" spans="1:14" ht="13" x14ac:dyDescent="0.3">
      <c r="A7" s="51" t="s">
        <v>81</v>
      </c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67">
        <f>SUM(B7:M7)</f>
        <v>0</v>
      </c>
    </row>
    <row r="8" spans="1:14" ht="13" x14ac:dyDescent="0.3">
      <c r="A8" s="51"/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67">
        <f>SUM(B8:M8)</f>
        <v>0</v>
      </c>
    </row>
    <row r="9" spans="1:14" ht="13" x14ac:dyDescent="0.3">
      <c r="A9" s="51"/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68"/>
    </row>
    <row r="10" spans="1:14" ht="13" x14ac:dyDescent="0.3">
      <c r="A10" s="51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67">
        <f>SUM(B10)</f>
        <v>0</v>
      </c>
    </row>
    <row r="11" spans="1:14" ht="13" x14ac:dyDescent="0.3">
      <c r="A11" s="51"/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67">
        <f>SUM(B11)</f>
        <v>0</v>
      </c>
    </row>
    <row r="12" spans="1:14" ht="13" x14ac:dyDescent="0.3">
      <c r="A12" s="51" t="s">
        <v>15</v>
      </c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67">
        <f>SUM(B12)</f>
        <v>0</v>
      </c>
    </row>
    <row r="13" spans="1:14" ht="13" x14ac:dyDescent="0.3">
      <c r="A13" s="43" t="s">
        <v>16</v>
      </c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41">
        <f>SUM(B13:M13)</f>
        <v>0</v>
      </c>
    </row>
    <row r="14" spans="1:14" ht="13" x14ac:dyDescent="0.3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41"/>
    </row>
    <row r="15" spans="1:14" ht="13" x14ac:dyDescent="0.3">
      <c r="A15" s="43" t="s">
        <v>17</v>
      </c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41"/>
    </row>
    <row r="16" spans="1:14" ht="13" x14ac:dyDescent="0.3">
      <c r="A16" s="62" t="s">
        <v>82</v>
      </c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41">
        <f t="shared" ref="N16:N26" si="0">SUM(B16:M16)</f>
        <v>0</v>
      </c>
    </row>
    <row r="17" spans="1:14" ht="13" x14ac:dyDescent="0.3">
      <c r="A17" s="51" t="s">
        <v>70</v>
      </c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1">
        <f t="shared" si="0"/>
        <v>0</v>
      </c>
    </row>
    <row r="18" spans="1:14" ht="13" x14ac:dyDescent="0.3">
      <c r="A18" s="51" t="s">
        <v>64</v>
      </c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1">
        <f t="shared" si="0"/>
        <v>0</v>
      </c>
    </row>
    <row r="19" spans="1:14" ht="13" x14ac:dyDescent="0.3">
      <c r="A19" s="51" t="s">
        <v>65</v>
      </c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1">
        <f t="shared" si="0"/>
        <v>0</v>
      </c>
    </row>
    <row r="20" spans="1:14" ht="13" x14ac:dyDescent="0.3">
      <c r="A20" s="51" t="s">
        <v>56</v>
      </c>
      <c r="B20" s="40"/>
      <c r="C20" s="40"/>
      <c r="D20" s="40"/>
      <c r="E20" s="40"/>
      <c r="F20" s="33"/>
      <c r="G20" s="40"/>
      <c r="H20" s="40"/>
      <c r="I20" s="40"/>
      <c r="J20" s="40"/>
      <c r="K20" s="40"/>
      <c r="L20" s="40"/>
      <c r="M20" s="40"/>
      <c r="N20" s="41">
        <f t="shared" si="0"/>
        <v>0</v>
      </c>
    </row>
    <row r="21" spans="1:14" ht="13" x14ac:dyDescent="0.3">
      <c r="A21" s="51" t="s">
        <v>57</v>
      </c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1">
        <f t="shared" si="0"/>
        <v>0</v>
      </c>
    </row>
    <row r="22" spans="1:14" ht="13" x14ac:dyDescent="0.3">
      <c r="A22" s="51" t="s">
        <v>66</v>
      </c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1">
        <f t="shared" si="0"/>
        <v>0</v>
      </c>
    </row>
    <row r="23" spans="1:14" ht="13" x14ac:dyDescent="0.3">
      <c r="A23" s="51" t="s">
        <v>59</v>
      </c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1">
        <f t="shared" si="0"/>
        <v>0</v>
      </c>
    </row>
    <row r="24" spans="1:14" ht="13" x14ac:dyDescent="0.3">
      <c r="A24" s="51" t="s">
        <v>58</v>
      </c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1">
        <f t="shared" si="0"/>
        <v>0</v>
      </c>
    </row>
    <row r="25" spans="1:14" ht="13" x14ac:dyDescent="0.3">
      <c r="A25" s="51" t="s">
        <v>53</v>
      </c>
      <c r="B25" s="40"/>
      <c r="C25" s="40"/>
      <c r="D25" s="40"/>
      <c r="E25" s="40"/>
      <c r="F25" s="40"/>
      <c r="G25" s="40"/>
      <c r="H25" s="40"/>
      <c r="I25" s="33"/>
      <c r="J25" s="40"/>
      <c r="K25" s="40"/>
      <c r="L25" s="40"/>
      <c r="M25" s="40"/>
      <c r="N25" s="41">
        <f t="shared" si="0"/>
        <v>0</v>
      </c>
    </row>
    <row r="26" spans="1:14" ht="13" x14ac:dyDescent="0.3">
      <c r="A26" s="51" t="s">
        <v>18</v>
      </c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1">
        <f t="shared" si="0"/>
        <v>0</v>
      </c>
    </row>
    <row r="27" spans="1:14" customFormat="1" x14ac:dyDescent="0.25">
      <c r="A27" s="39" t="s">
        <v>67</v>
      </c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69"/>
    </row>
    <row r="28" spans="1:14" ht="13" x14ac:dyDescent="0.3">
      <c r="A28" s="51" t="s">
        <v>20</v>
      </c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1">
        <f t="shared" ref="N28:N38" si="1">SUM(B28:M28)</f>
        <v>0</v>
      </c>
    </row>
    <row r="29" spans="1:14" ht="13" x14ac:dyDescent="0.3">
      <c r="A29" s="51" t="s">
        <v>21</v>
      </c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1">
        <f t="shared" si="1"/>
        <v>0</v>
      </c>
    </row>
    <row r="30" spans="1:14" ht="13" x14ac:dyDescent="0.3">
      <c r="A30" s="51" t="s">
        <v>22</v>
      </c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1">
        <f t="shared" si="1"/>
        <v>0</v>
      </c>
    </row>
    <row r="31" spans="1:14" ht="13" x14ac:dyDescent="0.3">
      <c r="A31" s="51" t="s">
        <v>23</v>
      </c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1">
        <f t="shared" si="1"/>
        <v>0</v>
      </c>
    </row>
    <row r="32" spans="1:14" ht="13" x14ac:dyDescent="0.3">
      <c r="A32" s="51" t="s">
        <v>24</v>
      </c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1">
        <f t="shared" si="1"/>
        <v>0</v>
      </c>
    </row>
    <row r="33" spans="1:14" ht="13" x14ac:dyDescent="0.3">
      <c r="A33" s="51" t="s">
        <v>62</v>
      </c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1">
        <f t="shared" si="1"/>
        <v>0</v>
      </c>
    </row>
    <row r="34" spans="1:14" ht="13" x14ac:dyDescent="0.3">
      <c r="A34" s="51" t="s">
        <v>25</v>
      </c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1">
        <f t="shared" si="1"/>
        <v>0</v>
      </c>
    </row>
    <row r="35" spans="1:14" ht="13" x14ac:dyDescent="0.3">
      <c r="A35" s="51" t="s">
        <v>54</v>
      </c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1">
        <f t="shared" si="1"/>
        <v>0</v>
      </c>
    </row>
    <row r="36" spans="1:14" ht="13" x14ac:dyDescent="0.3">
      <c r="A36" s="51" t="s">
        <v>26</v>
      </c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1">
        <f t="shared" si="1"/>
        <v>0</v>
      </c>
    </row>
    <row r="37" spans="1:14" ht="13" x14ac:dyDescent="0.3">
      <c r="A37" s="51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1">
        <f t="shared" si="1"/>
        <v>0</v>
      </c>
    </row>
    <row r="38" spans="1:14" ht="13" x14ac:dyDescent="0.3">
      <c r="A38" s="51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1">
        <f t="shared" si="1"/>
        <v>0</v>
      </c>
    </row>
    <row r="39" spans="1:14" x14ac:dyDescent="0.25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69"/>
    </row>
    <row r="40" spans="1:14" ht="13" x14ac:dyDescent="0.3">
      <c r="A40" s="43" t="s">
        <v>27</v>
      </c>
      <c r="B40" s="33">
        <f t="shared" ref="B40:N40" si="2">SUM(B16:B38)</f>
        <v>0</v>
      </c>
      <c r="C40" s="33">
        <f t="shared" si="2"/>
        <v>0</v>
      </c>
      <c r="D40" s="33">
        <f t="shared" si="2"/>
        <v>0</v>
      </c>
      <c r="E40" s="33">
        <f t="shared" si="2"/>
        <v>0</v>
      </c>
      <c r="F40" s="33">
        <f t="shared" si="2"/>
        <v>0</v>
      </c>
      <c r="G40" s="33">
        <f t="shared" si="2"/>
        <v>0</v>
      </c>
      <c r="H40" s="33">
        <f t="shared" si="2"/>
        <v>0</v>
      </c>
      <c r="I40" s="33">
        <f t="shared" si="2"/>
        <v>0</v>
      </c>
      <c r="J40" s="33">
        <f t="shared" si="2"/>
        <v>0</v>
      </c>
      <c r="K40" s="33">
        <f t="shared" si="2"/>
        <v>0</v>
      </c>
      <c r="L40" s="33">
        <f t="shared" si="2"/>
        <v>0</v>
      </c>
      <c r="M40" s="33">
        <f t="shared" si="2"/>
        <v>0</v>
      </c>
      <c r="N40" s="69">
        <f t="shared" si="2"/>
        <v>0</v>
      </c>
    </row>
    <row r="41" spans="1:14" ht="13" x14ac:dyDescent="0.3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41"/>
    </row>
    <row r="42" spans="1:14" ht="13" x14ac:dyDescent="0.3">
      <c r="A42" s="43" t="s">
        <v>28</v>
      </c>
      <c r="B42" s="33">
        <f t="shared" ref="B42:N42" si="3">SUM(B13-B40)</f>
        <v>0</v>
      </c>
      <c r="C42" s="33">
        <f t="shared" si="3"/>
        <v>0</v>
      </c>
      <c r="D42" s="33">
        <f t="shared" si="3"/>
        <v>0</v>
      </c>
      <c r="E42" s="33">
        <f t="shared" si="3"/>
        <v>0</v>
      </c>
      <c r="F42" s="33">
        <f t="shared" si="3"/>
        <v>0</v>
      </c>
      <c r="G42" s="33">
        <f t="shared" si="3"/>
        <v>0</v>
      </c>
      <c r="H42" s="33">
        <f t="shared" si="3"/>
        <v>0</v>
      </c>
      <c r="I42" s="33">
        <f t="shared" si="3"/>
        <v>0</v>
      </c>
      <c r="J42" s="33">
        <f t="shared" si="3"/>
        <v>0</v>
      </c>
      <c r="K42" s="33">
        <f t="shared" si="3"/>
        <v>0</v>
      </c>
      <c r="L42" s="33">
        <f t="shared" si="3"/>
        <v>0</v>
      </c>
      <c r="M42" s="33">
        <f t="shared" si="3"/>
        <v>0</v>
      </c>
      <c r="N42" s="38">
        <f t="shared" si="3"/>
        <v>0</v>
      </c>
    </row>
    <row r="43" spans="1:14" ht="13" x14ac:dyDescent="0.3">
      <c r="A43" s="33" t="s">
        <v>29</v>
      </c>
      <c r="B43" s="33">
        <f t="shared" ref="B43:M43" si="4">B42</f>
        <v>0</v>
      </c>
      <c r="C43" s="33">
        <f t="shared" si="4"/>
        <v>0</v>
      </c>
      <c r="D43" s="33">
        <f t="shared" si="4"/>
        <v>0</v>
      </c>
      <c r="E43" s="33">
        <f t="shared" si="4"/>
        <v>0</v>
      </c>
      <c r="F43" s="33">
        <f t="shared" si="4"/>
        <v>0</v>
      </c>
      <c r="G43" s="33">
        <f t="shared" si="4"/>
        <v>0</v>
      </c>
      <c r="H43" s="33">
        <f t="shared" si="4"/>
        <v>0</v>
      </c>
      <c r="I43" s="33">
        <f t="shared" si="4"/>
        <v>0</v>
      </c>
      <c r="J43" s="33">
        <f t="shared" si="4"/>
        <v>0</v>
      </c>
      <c r="K43" s="33">
        <f t="shared" si="4"/>
        <v>0</v>
      </c>
      <c r="L43" s="33">
        <f t="shared" si="4"/>
        <v>0</v>
      </c>
      <c r="M43" s="33">
        <f t="shared" si="4"/>
        <v>0</v>
      </c>
      <c r="N43" s="41">
        <f>SUM(B43:M43)</f>
        <v>0</v>
      </c>
    </row>
    <row r="44" spans="1:14" ht="13" x14ac:dyDescent="0.3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41"/>
    </row>
    <row r="45" spans="1:14" ht="13" x14ac:dyDescent="0.3">
      <c r="A45" s="43" t="s">
        <v>30</v>
      </c>
      <c r="B45" s="33">
        <f>B43</f>
        <v>0</v>
      </c>
      <c r="C45" s="33">
        <f t="shared" ref="C45:M45" si="5">SUM(B45,C42)</f>
        <v>0</v>
      </c>
      <c r="D45" s="33">
        <f t="shared" si="5"/>
        <v>0</v>
      </c>
      <c r="E45" s="33">
        <f t="shared" si="5"/>
        <v>0</v>
      </c>
      <c r="F45" s="33">
        <f t="shared" si="5"/>
        <v>0</v>
      </c>
      <c r="G45" s="33">
        <f t="shared" si="5"/>
        <v>0</v>
      </c>
      <c r="H45" s="33">
        <f t="shared" si="5"/>
        <v>0</v>
      </c>
      <c r="I45" s="33">
        <f t="shared" si="5"/>
        <v>0</v>
      </c>
      <c r="J45" s="33">
        <f t="shared" si="5"/>
        <v>0</v>
      </c>
      <c r="K45" s="33">
        <f t="shared" si="5"/>
        <v>0</v>
      </c>
      <c r="L45" s="33">
        <f t="shared" si="5"/>
        <v>0</v>
      </c>
      <c r="M45" s="43">
        <f t="shared" si="5"/>
        <v>0</v>
      </c>
      <c r="N45" s="41"/>
    </row>
    <row r="46" spans="1:14" ht="13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28"/>
    </row>
  </sheetData>
  <phoneticPr fontId="0" type="noConversion"/>
  <printOptions horizontalCentered="1" verticalCentered="1"/>
  <pageMargins left="0.56999999999999995" right="0.56000000000000005" top="0.79" bottom="1" header="0.5" footer="0.5"/>
  <pageSetup scale="83" orientation="landscape" horizontalDpi="360" verticalDpi="360" r:id="rId1"/>
  <headerFooter alignWithMargins="0">
    <oddFooter>&amp;C19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51</vt:i4>
      </vt:variant>
    </vt:vector>
  </HeadingPairs>
  <TitlesOfParts>
    <vt:vector size="56" baseType="lpstr">
      <vt:lpstr>CASHnew.XLS</vt:lpstr>
      <vt:lpstr>F-BALANC.XLS</vt:lpstr>
      <vt:lpstr>INC-STMT.XLS</vt:lpstr>
      <vt:lpstr>CASH_YR2.XLS</vt:lpstr>
      <vt:lpstr>CASH_YR3.XLS</vt:lpstr>
      <vt:lpstr>Advertising</vt:lpstr>
      <vt:lpstr>Baking_Inventory</vt:lpstr>
      <vt:lpstr>CASHnew.XLS!Bank_Fees</vt:lpstr>
      <vt:lpstr>'INC-STMT.XLS'!Bank_Fees</vt:lpstr>
      <vt:lpstr>CASH_YR2.XLS!Cost_of_Sales</vt:lpstr>
      <vt:lpstr>CASH_YR3.XLS!Cost_of_Sales</vt:lpstr>
      <vt:lpstr>CASHnew.XLS!Cost_of_Sales</vt:lpstr>
      <vt:lpstr>'INC-STMT.XLS'!Cost_of_Sales</vt:lpstr>
      <vt:lpstr>CASHnew.XLS!depreciables</vt:lpstr>
      <vt:lpstr>'INC-STMT.XLS'!depreciables</vt:lpstr>
      <vt:lpstr>CASHnew.XLS!Drawings</vt:lpstr>
      <vt:lpstr>'F-BALANC.XLS'!Drawings</vt:lpstr>
      <vt:lpstr>CASHnew.XLS!Equipment</vt:lpstr>
      <vt:lpstr>'F-BALANC.XLS'!Equipment</vt:lpstr>
      <vt:lpstr>Equipment_Depreciation</vt:lpstr>
      <vt:lpstr>'F-BALANC.XLS'!Fixed_Assets</vt:lpstr>
      <vt:lpstr>'INC-STMT.XLS'!Fixed_Assets</vt:lpstr>
      <vt:lpstr>CASH_YR2.XLS!Fixed_Costs</vt:lpstr>
      <vt:lpstr>CASH_YR3.XLS!Fixed_Costs</vt:lpstr>
      <vt:lpstr>CASHnew.XLS!Fixed_Costs</vt:lpstr>
      <vt:lpstr>'F-BALANC.XLS'!Fixed_Costs</vt:lpstr>
      <vt:lpstr>'INC-STMT.XLS'!Fixed_Costs</vt:lpstr>
      <vt:lpstr>'F-BALANC.XLS'!Improvements</vt:lpstr>
      <vt:lpstr>CASHnew.XLS!Insurance</vt:lpstr>
      <vt:lpstr>'INC-STMT.XLS'!Insurance</vt:lpstr>
      <vt:lpstr>Inventory_99</vt:lpstr>
      <vt:lpstr>Leasehold_Depreciation</vt:lpstr>
      <vt:lpstr>Legal__accntng_costs</vt:lpstr>
      <vt:lpstr>Licenses</vt:lpstr>
      <vt:lpstr>CASHnew.XLS!Loan_Payment</vt:lpstr>
      <vt:lpstr>'F-BALANC.XLS'!Loan_Payment</vt:lpstr>
      <vt:lpstr>CASHnew.XLS!loans</vt:lpstr>
      <vt:lpstr>'F-BALANC.XLS'!loans</vt:lpstr>
      <vt:lpstr>Misc.</vt:lpstr>
      <vt:lpstr>Net_Cash</vt:lpstr>
      <vt:lpstr>Other_Sales_Costs</vt:lpstr>
      <vt:lpstr>CASH_YR2.XLS!Print_Area</vt:lpstr>
      <vt:lpstr>CASH_YR3.XLS!Print_Area</vt:lpstr>
      <vt:lpstr>CASHnew.XLS!Print_Area</vt:lpstr>
      <vt:lpstr>'F-BALANC.XLS'!Print_Area</vt:lpstr>
      <vt:lpstr>Rent</vt:lpstr>
      <vt:lpstr>Repairs___Maint.</vt:lpstr>
      <vt:lpstr>CASHnew.XLS!sales</vt:lpstr>
      <vt:lpstr>'INC-STMT.XLS'!sales</vt:lpstr>
      <vt:lpstr>Tea_Inventory</vt:lpstr>
      <vt:lpstr>Tea_Room_Sales</vt:lpstr>
      <vt:lpstr>Telephone</vt:lpstr>
      <vt:lpstr>Utilities</vt:lpstr>
      <vt:lpstr>Yarn_Inventory</vt:lpstr>
      <vt:lpstr>Yarn_Price_Ratio</vt:lpstr>
      <vt:lpstr>Yarn_Shop_Sales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cp:lastPrinted>2001-02-07T21:24:05Z</cp:lastPrinted>
  <dcterms:created xsi:type="dcterms:W3CDTF">2000-12-02T23:38:24Z</dcterms:created>
  <dcterms:modified xsi:type="dcterms:W3CDTF">2020-01-27T10:25:04Z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996521883</vt:i4>
  </property>
  <property fmtid="{D5CDD505-2E9C-101B-9397-08002B2CF9AE}" pid="3" name="_EmailSubject">
    <vt:lpwstr>PARO Linked File</vt:lpwstr>
  </property>
  <property fmtid="{D5CDD505-2E9C-101B-9397-08002B2CF9AE}" pid="4" name="_AuthorEmail">
    <vt:lpwstr>rlockyer@paro.ca</vt:lpwstr>
  </property>
  <property fmtid="{D5CDD505-2E9C-101B-9397-08002B2CF9AE}" pid="5" name="_AuthorEmailDisplayName">
    <vt:lpwstr>Rosalind Lockyer - PARO</vt:lpwstr>
  </property>
  <property fmtid="{D5CDD505-2E9C-101B-9397-08002B2CF9AE}" pid="6" name="_ReviewingToolsShownOnce">
    <vt:lpwstr/>
  </property>
</Properties>
</file>