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1841EE4-C621-46FD-8931-3334A912EA76}" xr6:coauthVersionLast="45" xr6:coauthVersionMax="45" xr10:uidLastSave="{00000000-0000-0000-0000-000000000000}"/>
  <bookViews>
    <workbookView xWindow="3420" yWindow="3420" windowWidth="28800" windowHeight="15460"/>
  </bookViews>
  <sheets>
    <sheet name="DP-2" sheetId="2" r:id="rId1"/>
    <sheet name="DP-3" sheetId="3" r:id="rId2"/>
    <sheet name="DP-4" sheetId="4" r:id="rId3"/>
  </sheets>
  <definedNames>
    <definedName name="_xlnm.Print_Area" localSheetId="0">'DP-2'!$A$1:$G$76</definedName>
    <definedName name="_xlnm.Print_Area" localSheetId="1">'DP-3'!$A$1:$G$76</definedName>
    <definedName name="_xlnm.Print_Area" localSheetId="2">'DP-4'!$A$1:$G$75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0" i="2" l="1"/>
  <c r="C11" i="2"/>
  <c r="G11" i="2"/>
  <c r="C12" i="2"/>
  <c r="G12" i="2"/>
  <c r="C13" i="2"/>
  <c r="G13" i="2"/>
  <c r="C14" i="2"/>
  <c r="G14" i="2"/>
  <c r="C15" i="2"/>
  <c r="G15" i="2"/>
  <c r="G16" i="2"/>
  <c r="G17" i="2"/>
  <c r="G18" i="2"/>
  <c r="C19" i="2"/>
  <c r="C20" i="2"/>
  <c r="C21" i="2"/>
  <c r="C22" i="2"/>
  <c r="G22" i="2"/>
  <c r="C23" i="2"/>
  <c r="G23" i="2"/>
  <c r="C24" i="2"/>
  <c r="G24" i="2"/>
  <c r="C25" i="2"/>
  <c r="G25" i="2"/>
  <c r="G26" i="2"/>
  <c r="G27" i="2"/>
  <c r="G31" i="2"/>
  <c r="C32" i="2"/>
  <c r="G32" i="2"/>
  <c r="C33" i="2"/>
  <c r="G33" i="2"/>
  <c r="C34" i="2"/>
  <c r="G34" i="2"/>
  <c r="C35" i="2"/>
  <c r="G35" i="2"/>
  <c r="C36" i="2"/>
  <c r="G36" i="2"/>
  <c r="C37" i="2"/>
  <c r="G37" i="2"/>
  <c r="C38" i="2"/>
  <c r="G38" i="2"/>
  <c r="G39" i="2"/>
  <c r="G42" i="2"/>
  <c r="C43" i="2"/>
  <c r="G43" i="2"/>
  <c r="G44" i="2"/>
  <c r="G45" i="2"/>
  <c r="G46" i="2"/>
  <c r="C47" i="2"/>
  <c r="G47" i="2"/>
  <c r="G48" i="2"/>
  <c r="G49" i="2"/>
  <c r="G50" i="2"/>
  <c r="G51" i="2"/>
  <c r="C52" i="2"/>
  <c r="G52" i="2"/>
  <c r="G53" i="2"/>
  <c r="G54" i="2"/>
  <c r="C55" i="2"/>
  <c r="G55" i="2"/>
  <c r="G56" i="2"/>
  <c r="C57" i="2"/>
  <c r="G57" i="2"/>
  <c r="G58" i="2"/>
  <c r="G59" i="2"/>
  <c r="G60" i="2"/>
  <c r="C61" i="2"/>
  <c r="G61" i="2"/>
  <c r="G62" i="2"/>
  <c r="G63" i="2"/>
  <c r="G64" i="2"/>
  <c r="C65" i="2"/>
  <c r="G65" i="2"/>
  <c r="C66" i="2"/>
  <c r="G66" i="2"/>
  <c r="C67" i="2"/>
  <c r="G67" i="2"/>
  <c r="C68" i="2"/>
  <c r="G68" i="2"/>
  <c r="C69" i="2"/>
  <c r="G69" i="2"/>
  <c r="C70" i="2"/>
  <c r="G70" i="2"/>
  <c r="C71" i="2"/>
  <c r="G71" i="2"/>
  <c r="C9" i="3"/>
  <c r="G9" i="3"/>
  <c r="C10" i="3"/>
  <c r="G10" i="3"/>
  <c r="C11" i="3"/>
  <c r="G11" i="3"/>
  <c r="C12" i="3"/>
  <c r="G12" i="3"/>
  <c r="C13" i="3"/>
  <c r="G13" i="3"/>
  <c r="G14" i="3"/>
  <c r="C15" i="3"/>
  <c r="G15" i="3"/>
  <c r="C16" i="3"/>
  <c r="G16" i="3"/>
  <c r="G17" i="3"/>
  <c r="C18" i="3"/>
  <c r="G18" i="3"/>
  <c r="C19" i="3"/>
  <c r="G19" i="3"/>
  <c r="C20" i="3"/>
  <c r="C21" i="3"/>
  <c r="G22" i="3"/>
  <c r="C23" i="3"/>
  <c r="C24" i="3"/>
  <c r="G24" i="3"/>
  <c r="G26" i="3"/>
  <c r="C27" i="3"/>
  <c r="C28" i="3"/>
  <c r="G28" i="3"/>
  <c r="C29" i="3"/>
  <c r="C30" i="3"/>
  <c r="G30" i="3"/>
  <c r="C31" i="3"/>
  <c r="C32" i="3"/>
  <c r="C33" i="3"/>
  <c r="G33" i="3"/>
  <c r="G34" i="3"/>
  <c r="G35" i="3"/>
  <c r="G36" i="3"/>
  <c r="C37" i="3"/>
  <c r="G37" i="3"/>
  <c r="G38" i="3"/>
  <c r="C39" i="3"/>
  <c r="G39" i="3"/>
  <c r="C40" i="3"/>
  <c r="G40" i="3"/>
  <c r="C41" i="3"/>
  <c r="G41" i="3"/>
  <c r="C42" i="3"/>
  <c r="G42" i="3"/>
  <c r="G43" i="3"/>
  <c r="C44" i="3"/>
  <c r="C46" i="3"/>
  <c r="C49" i="3"/>
  <c r="C50" i="3"/>
  <c r="C51" i="3"/>
  <c r="C52" i="3"/>
  <c r="C53" i="3"/>
  <c r="C54" i="3"/>
  <c r="C55" i="3"/>
  <c r="C57" i="3"/>
  <c r="C59" i="3"/>
  <c r="C60" i="3"/>
  <c r="C62" i="3"/>
  <c r="C63" i="3"/>
  <c r="C64" i="3"/>
  <c r="C67" i="3"/>
  <c r="C68" i="3"/>
  <c r="C70" i="3"/>
  <c r="C71" i="3"/>
  <c r="C8" i="4"/>
  <c r="G9" i="4"/>
  <c r="C10" i="4"/>
  <c r="G10" i="4"/>
  <c r="C11" i="4"/>
  <c r="G11" i="4"/>
  <c r="C12" i="4"/>
  <c r="G12" i="4"/>
  <c r="C13" i="4"/>
  <c r="C14" i="4"/>
  <c r="G14" i="4"/>
  <c r="C15" i="4"/>
  <c r="C16" i="4"/>
  <c r="G16" i="4"/>
  <c r="C17" i="4"/>
  <c r="G17" i="4"/>
  <c r="C18" i="4"/>
  <c r="G18" i="4"/>
  <c r="G19" i="4"/>
  <c r="G20" i="4"/>
  <c r="C21" i="4"/>
  <c r="G21" i="4"/>
  <c r="C22" i="4"/>
  <c r="G22" i="4"/>
  <c r="C23" i="4"/>
  <c r="G23" i="4"/>
  <c r="C24" i="4"/>
  <c r="C25" i="4"/>
  <c r="C26" i="4"/>
  <c r="C27" i="4"/>
  <c r="C28" i="4"/>
  <c r="G28" i="4"/>
  <c r="G29" i="4"/>
  <c r="G30" i="4"/>
  <c r="C31" i="4"/>
  <c r="G31" i="4"/>
  <c r="C32" i="4"/>
  <c r="G32" i="4"/>
  <c r="C33" i="4"/>
  <c r="G33" i="4"/>
  <c r="C34" i="4"/>
  <c r="G34" i="4"/>
  <c r="C35" i="4"/>
  <c r="G35" i="4"/>
  <c r="C36" i="4"/>
  <c r="C37" i="4"/>
  <c r="G37" i="4"/>
  <c r="C38" i="4"/>
  <c r="C39" i="4"/>
  <c r="C42" i="4"/>
  <c r="G43" i="4"/>
  <c r="C44" i="4"/>
  <c r="G44" i="4"/>
  <c r="C45" i="4"/>
  <c r="G45" i="4"/>
  <c r="C46" i="4"/>
  <c r="G46" i="4"/>
  <c r="C47" i="4"/>
  <c r="G47" i="4"/>
  <c r="C48" i="4"/>
  <c r="G48" i="4"/>
  <c r="C49" i="4"/>
  <c r="G49" i="4"/>
  <c r="G51" i="4"/>
  <c r="C52" i="4"/>
  <c r="C53" i="4"/>
  <c r="G53" i="4"/>
  <c r="C54" i="4"/>
  <c r="G54" i="4"/>
  <c r="C55" i="4"/>
  <c r="G55" i="4"/>
  <c r="G56" i="4"/>
  <c r="G57" i="4"/>
  <c r="C58" i="4"/>
  <c r="G58" i="4"/>
  <c r="C59" i="4"/>
  <c r="G59" i="4"/>
  <c r="C60" i="4"/>
  <c r="G60" i="4"/>
  <c r="C61" i="4"/>
  <c r="C62" i="4"/>
  <c r="C63" i="4"/>
  <c r="C65" i="4"/>
  <c r="G65" i="4"/>
  <c r="C66" i="4"/>
  <c r="G66" i="4"/>
  <c r="G67" i="4"/>
  <c r="G68" i="4"/>
  <c r="C69" i="4"/>
  <c r="G69" i="4"/>
  <c r="C70" i="4"/>
  <c r="G70" i="4"/>
  <c r="C71" i="4"/>
  <c r="G71" i="4"/>
</calcChain>
</file>

<file path=xl/sharedStrings.xml><?xml version="1.0" encoding="utf-8"?>
<sst xmlns="http://schemas.openxmlformats.org/spreadsheetml/2006/main" count="537" uniqueCount="329">
  <si>
    <t>Not in labor force.................................................................................</t>
  </si>
  <si>
    <t>$75,000 to $99,999.................................................................................</t>
  </si>
  <si>
    <t>$100,000 to $149,999.................................................................................</t>
  </si>
  <si>
    <t xml:space="preserve">       Females 16 years and over.................................................................................</t>
  </si>
  <si>
    <t>Median household income (dollars).................................................................................</t>
  </si>
  <si>
    <t>With earnings.................................................................................</t>
  </si>
  <si>
    <t xml:space="preserve">       Own children under 6 years.................................................................................</t>
  </si>
  <si>
    <t>All parents in family in labor force.................................................................................</t>
  </si>
  <si>
    <t>With Social Security income.................................................................................</t>
  </si>
  <si>
    <t>With public assistance income.................................................................................</t>
  </si>
  <si>
    <t>With retirement income.................................................................................</t>
  </si>
  <si>
    <t>COMMUTING TO WORK</t>
  </si>
  <si>
    <t xml:space="preserve">        Families................................................................................</t>
  </si>
  <si>
    <t xml:space="preserve">       Workers 16 years and over.................................................................................</t>
  </si>
  <si>
    <t>Car, truck, or van - - drove alone.................................................................................</t>
  </si>
  <si>
    <t>Car, truck, or van - - carpooled.................................................................................</t>
  </si>
  <si>
    <t>Public transportation (including taxicab).................................................................................</t>
  </si>
  <si>
    <t>Other means.................................................................................</t>
  </si>
  <si>
    <t>Worked at home.................................................................................</t>
  </si>
  <si>
    <t xml:space="preserve">       Employed civilian population</t>
  </si>
  <si>
    <t>Median family income (dollars).................................................................................</t>
  </si>
  <si>
    <t xml:space="preserve">          16 years and over.................................................................................</t>
  </si>
  <si>
    <t>OCCUPATION</t>
  </si>
  <si>
    <t>Management, professional, and related occupations................</t>
  </si>
  <si>
    <t>Service occupations.................................................................................</t>
  </si>
  <si>
    <t>Median earnings (dollars):</t>
  </si>
  <si>
    <t>Sales and office occupations.................................................................................</t>
  </si>
  <si>
    <t>Male full-time, year-round workers.................................................................................</t>
  </si>
  <si>
    <t>Female full-time, year-round workers.................................................................................</t>
  </si>
  <si>
    <t>Production, transportation, and material moving</t>
  </si>
  <si>
    <t xml:space="preserve">  occupations.................................................................................</t>
  </si>
  <si>
    <t>below</t>
  </si>
  <si>
    <t>poverty</t>
  </si>
  <si>
    <t>INDUSTRY</t>
  </si>
  <si>
    <t>level</t>
  </si>
  <si>
    <t>POVERTY STATUS IN 1999</t>
  </si>
  <si>
    <t>With Supplemental Security Income.................................................................................</t>
  </si>
  <si>
    <t>Information……………………………………………………………..</t>
  </si>
  <si>
    <t xml:space="preserve">  and waste management services.................................................................................</t>
  </si>
  <si>
    <t>Educational, health and social services.................................................................................</t>
  </si>
  <si>
    <t>Public administration………………………………………………………</t>
  </si>
  <si>
    <t>Walked..............................................................................………………….</t>
  </si>
  <si>
    <t>Construction.................................................................................</t>
  </si>
  <si>
    <t>Manufacturing.................................................................................</t>
  </si>
  <si>
    <t>With related children under 18 years.................................................................................</t>
  </si>
  <si>
    <t>Wholesale trade.................................................................................</t>
  </si>
  <si>
    <t xml:space="preserve">    With related children under 5 years.................................................................................</t>
  </si>
  <si>
    <t>Retail trade.................................................................................</t>
  </si>
  <si>
    <t xml:space="preserve">        Families with female householder, no</t>
  </si>
  <si>
    <t xml:space="preserve">          husband present.................................................................................</t>
  </si>
  <si>
    <t xml:space="preserve">        Individuals........................................................................</t>
  </si>
  <si>
    <t>CLASS OF WORKER</t>
  </si>
  <si>
    <t>Private wage and salary workers.................................................................................</t>
  </si>
  <si>
    <t xml:space="preserve">    65 years and over.................................................................................</t>
  </si>
  <si>
    <t>Government workers.................................................................................</t>
  </si>
  <si>
    <t>Related children under 18 years.................................................................................</t>
  </si>
  <si>
    <t xml:space="preserve">    Related children 5 to 17 years.................................................................................</t>
  </si>
  <si>
    <t>Unrelated individuals 15 years and over……………………………….</t>
  </si>
  <si>
    <t xml:space="preserve">Table DP-4.  Profile of Selected Housing Characteristics:  2000                                  </t>
  </si>
  <si>
    <t xml:space="preserve">         Total housing units.............................................................</t>
  </si>
  <si>
    <t>OCCUPANTS PER ROOM</t>
  </si>
  <si>
    <t>UNITS IN STRUCTURE</t>
  </si>
  <si>
    <t xml:space="preserve">        Occupied housing units.................................................................................</t>
  </si>
  <si>
    <t>1-unit, detached.............................................................</t>
  </si>
  <si>
    <t>1.00 or less.................................................................................</t>
  </si>
  <si>
    <t>1-unit, attached.............................................................</t>
  </si>
  <si>
    <t>1.01 to 1.50.................................................................................</t>
  </si>
  <si>
    <t>2 units..........................................................…………..</t>
  </si>
  <si>
    <t>1.51 or more.................................................................................</t>
  </si>
  <si>
    <t>3 or 4 units.............................................................</t>
  </si>
  <si>
    <t>5 to 9 units.............................................................</t>
  </si>
  <si>
    <t xml:space="preserve">        Specified owner-occupied units................................................</t>
  </si>
  <si>
    <t>10 to 19 units.............................................................</t>
  </si>
  <si>
    <t>VALUE</t>
  </si>
  <si>
    <t>20 or more units.............................................................</t>
  </si>
  <si>
    <t>Less than $50,000.................................................................................</t>
  </si>
  <si>
    <t>Mobile home.............................................................</t>
  </si>
  <si>
    <t>$50,000 to $99,999.................................................................................</t>
  </si>
  <si>
    <t>Boat, RV, van, etc..............................................................</t>
  </si>
  <si>
    <t>$150,000 to $199,999.................................................................................</t>
  </si>
  <si>
    <t>YEAR STRUCTURE BUILT</t>
  </si>
  <si>
    <t>$200,000 to $299,999.................................................................................</t>
  </si>
  <si>
    <t>1999 to March 2000......................................................................</t>
  </si>
  <si>
    <t>$300,000 to $499,999.................................................................................</t>
  </si>
  <si>
    <t>1995 to 1998.......................................................................</t>
  </si>
  <si>
    <t>$500,000 to $999,999.................................................................................</t>
  </si>
  <si>
    <t>1990 to 1994.......................................................................</t>
  </si>
  <si>
    <t>$1,000,000 or more.................................................................................</t>
  </si>
  <si>
    <t>1980 to 1989.......................................................................</t>
  </si>
  <si>
    <t>Median (dollars).................................................................................</t>
  </si>
  <si>
    <t>1970 to 1979.......................................................................</t>
  </si>
  <si>
    <t>Source:  U.S. Census Bureau, Census 2000.</t>
  </si>
  <si>
    <t xml:space="preserve">     Born outside United States .............................................................</t>
  </si>
  <si>
    <t xml:space="preserve">            Total (excluding born at sea) ........................................................</t>
  </si>
  <si>
    <t xml:space="preserve">          Total ancestries reported……………………………………………….</t>
  </si>
  <si>
    <t>$200,000 or more.................................................................................</t>
  </si>
  <si>
    <t>$150,000 to $199,999 ............................................................................</t>
  </si>
  <si>
    <t>1960 to 1969.......................................................................</t>
  </si>
  <si>
    <t>MORTGAGE STATUS AND SELECTED</t>
  </si>
  <si>
    <t>1940 to 1959.......................................................................</t>
  </si>
  <si>
    <t xml:space="preserve">   MONTHLY OWNER COSTS </t>
  </si>
  <si>
    <t>1939 or earlier.......................................................................</t>
  </si>
  <si>
    <t>With a mortgage.................................................................................</t>
  </si>
  <si>
    <t xml:space="preserve">     Less than $300.................................................................................</t>
  </si>
  <si>
    <t>ROOMS</t>
  </si>
  <si>
    <t xml:space="preserve">     $300 to $499.................................................................................</t>
  </si>
  <si>
    <t>1 room.................................................................................</t>
  </si>
  <si>
    <t xml:space="preserve">     $500 to $699.................................................................................</t>
  </si>
  <si>
    <t>2 rooms.................................................................................</t>
  </si>
  <si>
    <t xml:space="preserve">     $700 to $999.................................................................................</t>
  </si>
  <si>
    <t>3 rooms.................................................................................</t>
  </si>
  <si>
    <t xml:space="preserve">     $1,000 to $1,499.................................................................................</t>
  </si>
  <si>
    <t>4 rooms.................................................................................</t>
  </si>
  <si>
    <t xml:space="preserve">     $1,500 to $1,999.................................................................................</t>
  </si>
  <si>
    <t>5 rooms.................................................................................</t>
  </si>
  <si>
    <t xml:space="preserve">     $2,000 or more.................................................................................</t>
  </si>
  <si>
    <t>6 rooms.................................................................................</t>
  </si>
  <si>
    <t xml:space="preserve">     Median (dollars).................................................................................</t>
  </si>
  <si>
    <t>7 rooms.................................................................................</t>
  </si>
  <si>
    <t>Not mortgaged.................................................................................</t>
  </si>
  <si>
    <t>8 rooms.................................................................................</t>
  </si>
  <si>
    <t>9 or more rooms.................................................................................</t>
  </si>
  <si>
    <t>Median (rooms).................................................................................</t>
  </si>
  <si>
    <t>SELECTED MONTHLY OWNER COSTS</t>
  </si>
  <si>
    <r>
      <t xml:space="preserve">Czech </t>
    </r>
    <r>
      <rPr>
        <vertAlign val="superscript"/>
        <sz val="10"/>
        <rFont val="Arial"/>
        <family val="2"/>
      </rPr>
      <t>1</t>
    </r>
    <r>
      <rPr>
        <sz val="10"/>
        <rFont val="Arial"/>
      </rPr>
      <t xml:space="preserve"> .................................................................................</t>
    </r>
  </si>
  <si>
    <r>
      <t xml:space="preserve">French (except Basque) </t>
    </r>
    <r>
      <rPr>
        <vertAlign val="superscript"/>
        <sz val="10"/>
        <rFont val="Arial"/>
        <family val="2"/>
      </rPr>
      <t>1</t>
    </r>
    <r>
      <rPr>
        <sz val="10"/>
        <rFont val="Arial"/>
      </rPr>
      <t xml:space="preserve"> .................................................................................</t>
    </r>
  </si>
  <si>
    <r>
      <t xml:space="preserve">French Canadian </t>
    </r>
    <r>
      <rPr>
        <vertAlign val="superscript"/>
        <sz val="10"/>
        <rFont val="Arial"/>
        <family val="2"/>
      </rPr>
      <t>1</t>
    </r>
    <r>
      <rPr>
        <sz val="10"/>
        <rFont val="Arial"/>
      </rPr>
      <t xml:space="preserve"> .................................................................................</t>
    </r>
  </si>
  <si>
    <r>
      <t xml:space="preserve">Irish </t>
    </r>
    <r>
      <rPr>
        <vertAlign val="superscript"/>
        <sz val="10"/>
        <rFont val="Arial"/>
        <family val="2"/>
      </rPr>
      <t>1</t>
    </r>
    <r>
      <rPr>
        <sz val="10"/>
        <rFont val="Arial"/>
      </rPr>
      <t xml:space="preserve"> .................................................................................</t>
    </r>
  </si>
  <si>
    <t xml:space="preserve">    Alsatian.  French Canadian includes Acadian/Cajun.  Irish includes Celtic.</t>
  </si>
  <si>
    <t xml:space="preserve">   AS A PERCENTAGE OF HOUSEHOLD </t>
  </si>
  <si>
    <t xml:space="preserve">         Occupied housing units.................................................................................</t>
  </si>
  <si>
    <t xml:space="preserve">   INCOME IN 1999</t>
  </si>
  <si>
    <t>YEAR HOUSEHOLDER MOVED INTO UNIT</t>
  </si>
  <si>
    <t>Less than 15.0 percent.................................................................................</t>
  </si>
  <si>
    <t>1999 to March 2000.................................................................................</t>
  </si>
  <si>
    <t>15.0 to 19.9 percent.................................................................................</t>
  </si>
  <si>
    <t>1995 to 1998.................................................................................</t>
  </si>
  <si>
    <t>20.0 to 24.9 percent.................................................................................</t>
  </si>
  <si>
    <t>1990 to 1994.................................................................................</t>
  </si>
  <si>
    <t>25.0 to 29.9 percent.................................................................................</t>
  </si>
  <si>
    <t>1980 to 1989.................................................................................</t>
  </si>
  <si>
    <t>30.0 to 34.9 percent.................................................................................</t>
  </si>
  <si>
    <t>1970 to 1979.................................................................................</t>
  </si>
  <si>
    <t>35.0 percent or more.................................................................................</t>
  </si>
  <si>
    <t>1969 or earlier.................................................................................</t>
  </si>
  <si>
    <t>Not computed.................................................................................</t>
  </si>
  <si>
    <t>VEHICLES AVAILABLE</t>
  </si>
  <si>
    <t xml:space="preserve">        Specified renter-occupied units.................................................................................</t>
  </si>
  <si>
    <t>None.................................................................................</t>
  </si>
  <si>
    <t>GROSS RENT</t>
  </si>
  <si>
    <t>1.................................................................................</t>
  </si>
  <si>
    <t>Less than $200.................................................................................</t>
  </si>
  <si>
    <t>2.................................................................................</t>
  </si>
  <si>
    <t>$200 to $299.................................................................................</t>
  </si>
  <si>
    <t>3 or more.................................................................................</t>
  </si>
  <si>
    <t>$300 to $499.................................................................................</t>
  </si>
  <si>
    <t>$500 to $749.................................................................................</t>
  </si>
  <si>
    <t>HOUSE HEATING FUEL</t>
  </si>
  <si>
    <t>$750 to $999.................................................................................</t>
  </si>
  <si>
    <t>Utility gas.................................................................................</t>
  </si>
  <si>
    <t>$1,000 to $1,499.................................................................................</t>
  </si>
  <si>
    <t>Bottled, tank, or LP gas.................................................................................</t>
  </si>
  <si>
    <t>$1,500 or more.................................................................................</t>
  </si>
  <si>
    <t>Electricity.................................................................................</t>
  </si>
  <si>
    <t>No cash rent.................................................................................</t>
  </si>
  <si>
    <t>Fuel oil, kerosene, etc..................................................................................</t>
  </si>
  <si>
    <t>Coal or coke.................................................................................</t>
  </si>
  <si>
    <t>Wood.................................................................................</t>
  </si>
  <si>
    <t>GROSS RENT AS A PERCENTAGE OF</t>
  </si>
  <si>
    <t>Solar energy.................................................................................</t>
  </si>
  <si>
    <t xml:space="preserve">   HOUSEHOLD INCOME IN 1999</t>
  </si>
  <si>
    <t>Other fuel.................................................................................</t>
  </si>
  <si>
    <t>No fuel used.................................................................................</t>
  </si>
  <si>
    <t>SELECTED CHARACTERISTICS</t>
  </si>
  <si>
    <t>Lacking complete plumbing facilities.................................................................................</t>
  </si>
  <si>
    <t xml:space="preserve"> </t>
  </si>
  <si>
    <t>Lacking complete kitchen facilities.................................................................................</t>
  </si>
  <si>
    <t>No telephone service.................................................................................</t>
  </si>
  <si>
    <t>Subject</t>
  </si>
  <si>
    <t>Number</t>
  </si>
  <si>
    <t>Percent</t>
  </si>
  <si>
    <t>Same house in 1995.........................................................................</t>
  </si>
  <si>
    <t>Different house in the U.S. in 1995............................................................</t>
  </si>
  <si>
    <t>Elsewhere in 1995..................................................................</t>
  </si>
  <si>
    <t xml:space="preserve">     Asian and Pacific Island languages.............................................................</t>
  </si>
  <si>
    <t>Farming, fishing, and forestry occupations……………………….</t>
  </si>
  <si>
    <t>(X)</t>
  </si>
  <si>
    <t>18 years and over.................................................................................</t>
  </si>
  <si>
    <t>Table DP-2.  Profile of Selected Social Characteristics:  2000</t>
  </si>
  <si>
    <t>SCHOOL ENROLLMENT</t>
  </si>
  <si>
    <t>NATIVITY AND PLACE OF BIRTH</t>
  </si>
  <si>
    <t xml:space="preserve">          Population 3 years and over </t>
  </si>
  <si>
    <t>[Data based on a sample.  For information on confidentiality protection, sampling error, nonsampling error, and definitions, see text]</t>
  </si>
  <si>
    <t xml:space="preserve">          Total population.............................................................</t>
  </si>
  <si>
    <t xml:space="preserve">             enrolled in school.............................................................</t>
  </si>
  <si>
    <t>Native......................................................................</t>
  </si>
  <si>
    <t>Nursery school, preschool.............................................................</t>
  </si>
  <si>
    <t xml:space="preserve">     Born in United States.............................................................</t>
  </si>
  <si>
    <t>Kindergarten.............................................................</t>
  </si>
  <si>
    <t xml:space="preserve">         State of residence.............................................................</t>
  </si>
  <si>
    <t>Elementary school (grades 1-8).............................................................</t>
  </si>
  <si>
    <t xml:space="preserve">         Different state.............................................................</t>
  </si>
  <si>
    <t>High school (grades 9-12).............................................................</t>
  </si>
  <si>
    <t>Foreign born.............................................................</t>
  </si>
  <si>
    <t xml:space="preserve">         Entered 1990 to March 2000............................................................</t>
  </si>
  <si>
    <t>EDUCATIONAL ATTAINMENT</t>
  </si>
  <si>
    <t xml:space="preserve">     Naturalized citizen.............................................................</t>
  </si>
  <si>
    <t xml:space="preserve">          Population 25 years and over.............................................................</t>
  </si>
  <si>
    <t xml:space="preserve">     Not a citizen..........................................................................</t>
  </si>
  <si>
    <t>Less than 9th grade.............................................................</t>
  </si>
  <si>
    <t>9th to 12th grade, no diploma.............................................................</t>
  </si>
  <si>
    <t>REGION OF BIRTH OF FOREIGN BORN</t>
  </si>
  <si>
    <t>High school graduate (includes equivalency)............................................................</t>
  </si>
  <si>
    <t>Professional, scientific, management, administrative,</t>
  </si>
  <si>
    <t xml:space="preserve">Finance, insurance, real estate, and rental and </t>
  </si>
  <si>
    <t xml:space="preserve">Construction, extraction, and maintenance </t>
  </si>
  <si>
    <t xml:space="preserve">  occupations………………………………………………………………………………..</t>
  </si>
  <si>
    <t xml:space="preserve">Agriculture, forestry, fishing and hunting, and mining……………………. </t>
  </si>
  <si>
    <t>Other services (except public administration)……………………………………….</t>
  </si>
  <si>
    <t xml:space="preserve"> - Represents zero or rounds to zero.  (X) Not applicable.</t>
  </si>
  <si>
    <t xml:space="preserve">          Population 15 years and over............................................................</t>
  </si>
  <si>
    <t xml:space="preserve">    Female…………………………………………………………</t>
  </si>
  <si>
    <t>GRANDPARENTS AS CAREGIVERS</t>
  </si>
  <si>
    <t xml:space="preserve">          Grandparent living in household with one or</t>
  </si>
  <si>
    <t xml:space="preserve">             more own grandchildren under 18 years.............................................</t>
  </si>
  <si>
    <t>Grandparent responsible for grandchildren……………………………………………………</t>
  </si>
  <si>
    <t>Some college, no degree.............................................................</t>
  </si>
  <si>
    <t>Europe.........................................................................................</t>
  </si>
  <si>
    <t>Associate degree.............................................................</t>
  </si>
  <si>
    <t>Asia..........................................................................</t>
  </si>
  <si>
    <t>Bachelor's degree.............................................................</t>
  </si>
  <si>
    <t>Africa.........................................................................</t>
  </si>
  <si>
    <t>Graduate or professional degree.............................................................</t>
  </si>
  <si>
    <t>Oceania..........................................................................</t>
  </si>
  <si>
    <t>Latin America.............................................................</t>
  </si>
  <si>
    <t>Percent high school graduate or higher............................................................</t>
  </si>
  <si>
    <t>Northern America.............................................................</t>
  </si>
  <si>
    <t>Percent bachelor's degree or higher............................................................</t>
  </si>
  <si>
    <t>LANGUAGE SPOKEN AT HOME</t>
  </si>
  <si>
    <t>MARITAL STATUS</t>
  </si>
  <si>
    <t xml:space="preserve">          Population 5 years and over.............................................................</t>
  </si>
  <si>
    <t>English only.............................................................</t>
  </si>
  <si>
    <t>Never married...................................................................</t>
  </si>
  <si>
    <t>Language other than English.............................................................</t>
  </si>
  <si>
    <t>Now married, except separated.............................................................</t>
  </si>
  <si>
    <t xml:space="preserve">         Speak English less than "very well".........................................................................................................................</t>
  </si>
  <si>
    <t>Separated.......................................................................</t>
  </si>
  <si>
    <t xml:space="preserve">     Spanish.........................................................................................................................</t>
  </si>
  <si>
    <t>College or graduate school ..................................................................................</t>
  </si>
  <si>
    <t>Widowed........................................................................</t>
  </si>
  <si>
    <t>Divorced..........................................................................</t>
  </si>
  <si>
    <t xml:space="preserve">     Other Indo-European languages.............................................................</t>
  </si>
  <si>
    <t>ANCESTRY (single or multiple)</t>
  </si>
  <si>
    <t>Arab.................................................................................</t>
  </si>
  <si>
    <t>VETERAN STATUS</t>
  </si>
  <si>
    <t xml:space="preserve">          Civilian population 18 years and over.............................................................</t>
  </si>
  <si>
    <t>Danish.................................................................................</t>
  </si>
  <si>
    <t>Civilian veterans.............................................................</t>
  </si>
  <si>
    <t>Dutch.................................................................................</t>
  </si>
  <si>
    <t>English.................................................................................</t>
  </si>
  <si>
    <t>DISABILITY STATUS OF THE CIVILIAN</t>
  </si>
  <si>
    <t xml:space="preserve">  NONINSTITUTIONALIZED POPULATION </t>
  </si>
  <si>
    <t xml:space="preserve">          Population 5 to 20 years.......................................................................</t>
  </si>
  <si>
    <t>German.................................................................................</t>
  </si>
  <si>
    <t>With a disability.......................................................................</t>
  </si>
  <si>
    <t>Greek.................................................................................</t>
  </si>
  <si>
    <t>Hungarian.................................................................................</t>
  </si>
  <si>
    <t xml:space="preserve">          Population 21 to 64 years.......................................................................</t>
  </si>
  <si>
    <t>Italian.................................................................................</t>
  </si>
  <si>
    <t xml:space="preserve">    Percent employed.......................................................................</t>
  </si>
  <si>
    <t>Lithuanian.................................................................................</t>
  </si>
  <si>
    <t>No disability.......................................................................</t>
  </si>
  <si>
    <t>Norwegian.................................................................................</t>
  </si>
  <si>
    <t>Polish.................................................................................</t>
  </si>
  <si>
    <t>Portuguese.................................................................................</t>
  </si>
  <si>
    <t xml:space="preserve">          Population 65 years and over.......................................................................</t>
  </si>
  <si>
    <t>Russian.................................................................................</t>
  </si>
  <si>
    <t>Scotch-Irish.................................................................................</t>
  </si>
  <si>
    <t>Scottish.................................................................................</t>
  </si>
  <si>
    <t>RESIDENCE IN 1995</t>
  </si>
  <si>
    <t>Slovak.................................................................................</t>
  </si>
  <si>
    <t xml:space="preserve">          Population 5 years and over...........................................................</t>
  </si>
  <si>
    <t>Subsaharan African.................................................................................</t>
  </si>
  <si>
    <t>Swedish.................................................................................</t>
  </si>
  <si>
    <t>Swiss.................................................................................</t>
  </si>
  <si>
    <t xml:space="preserve">    Same county.............................................................</t>
  </si>
  <si>
    <t>Ukrainian.................................................................................</t>
  </si>
  <si>
    <t xml:space="preserve">    Different county.............................................................</t>
  </si>
  <si>
    <t>United States or American.................................................................................</t>
  </si>
  <si>
    <t xml:space="preserve">       Same state.............................................................</t>
  </si>
  <si>
    <t>Welsh.................................................................................</t>
  </si>
  <si>
    <t xml:space="preserve">       Different state.............................................................</t>
  </si>
  <si>
    <t>West Indian (excluding Hispanic groups).……….</t>
  </si>
  <si>
    <t>Other ancestries……………………………………………..</t>
  </si>
  <si>
    <t>Transportation and warehousing, and utilities…………………………………….</t>
  </si>
  <si>
    <t>Unpaid family workers……………………………………………………………</t>
  </si>
  <si>
    <t xml:space="preserve">  leasing……………………………………………………………………</t>
  </si>
  <si>
    <t xml:space="preserve">Arts, entertainment, recreation, accommodation and </t>
  </si>
  <si>
    <t xml:space="preserve">  food services……………………………………………………………………..</t>
  </si>
  <si>
    <t xml:space="preserve">Self-employed workers in own not incorporated </t>
  </si>
  <si>
    <t xml:space="preserve">  business..............................................................................…</t>
  </si>
  <si>
    <t xml:space="preserve">Table DP-3.  Profile of Selected Economic Characteristics:  2000                 </t>
  </si>
  <si>
    <t>EMPLOYMENT STATUS</t>
  </si>
  <si>
    <t>INCOME IN 1999</t>
  </si>
  <si>
    <t xml:space="preserve">       Population 16 years and over.................................................................................</t>
  </si>
  <si>
    <t xml:space="preserve">        Households.................................................................................</t>
  </si>
  <si>
    <t>In labor force.................................................................................</t>
  </si>
  <si>
    <t>Less than $10,000.................................................................................</t>
  </si>
  <si>
    <t xml:space="preserve">   Civilian labor force.................................................................................</t>
  </si>
  <si>
    <t>$10,000 to $14,999.................................................................................</t>
  </si>
  <si>
    <t xml:space="preserve">      Employed.................................................................................</t>
  </si>
  <si>
    <t>$15,000 to $24,999.................................................................................</t>
  </si>
  <si>
    <t xml:space="preserve">      Unemployed.................................................................................</t>
  </si>
  <si>
    <t>$25,000 to $34,999.................................................................................</t>
  </si>
  <si>
    <t xml:space="preserve">           Percent of civilian labor force....................................................................</t>
  </si>
  <si>
    <t>$35,000 to $49,999.................................................................................</t>
  </si>
  <si>
    <t xml:space="preserve">    Armed Forces.................................................................................</t>
  </si>
  <si>
    <t>$50,000 to $74,999.................................................................................</t>
  </si>
  <si>
    <r>
      <t>Mean travel time to work (minutes)</t>
    </r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>.................................................................................</t>
    </r>
  </si>
  <si>
    <r>
      <t xml:space="preserve">    Mean earnings (dollars)</t>
    </r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>.................................................................................</t>
    </r>
  </si>
  <si>
    <r>
      <t xml:space="preserve">    Mean Social Security income (dollars)</t>
    </r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>.................................................................................</t>
    </r>
  </si>
  <si>
    <r>
      <t xml:space="preserve">    Mean Supplemental Security Income (dollars)</t>
    </r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>.................................................................................</t>
    </r>
  </si>
  <si>
    <r>
      <t xml:space="preserve">    Mean public assistance income (dollars)</t>
    </r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>.................................................................................</t>
    </r>
  </si>
  <si>
    <r>
      <t xml:space="preserve">    Mean retirement income (dollars)</t>
    </r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>.................................................................................</t>
    </r>
  </si>
  <si>
    <r>
      <t>Per capita income (dollars)</t>
    </r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>.................................................................................</t>
    </r>
  </si>
  <si>
    <r>
      <t xml:space="preserve"> </t>
    </r>
    <r>
      <rPr>
        <vertAlign val="superscript"/>
        <sz val="9"/>
        <rFont val="Arial"/>
        <family val="2"/>
      </rPr>
      <t>1</t>
    </r>
    <r>
      <rPr>
        <sz val="9"/>
        <rFont val="Arial"/>
        <family val="2"/>
      </rPr>
      <t xml:space="preserve"> If the denominator of a mean value or per capita value is less than 30, then that value is calculated using a rounded aggregate in the numerator.  See text.</t>
    </r>
  </si>
  <si>
    <r>
      <t xml:space="preserve"> </t>
    </r>
    <r>
      <rPr>
        <vertAlign val="superscript"/>
        <sz val="9"/>
        <rFont val="Arial"/>
        <family val="2"/>
      </rPr>
      <t>1</t>
    </r>
    <r>
      <rPr>
        <sz val="9"/>
        <rFont val="Arial"/>
        <family val="2"/>
      </rPr>
      <t xml:space="preserve"> The data represent a combination of two ancestries shown separately in Summary File 3.  Czech includes Czechoslovakian.  French includes </t>
    </r>
  </si>
  <si>
    <t xml:space="preserve">           Geographic area: United States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</si>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</sst>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_);\(&quot;$&quot;#,##0\)"/>
    <numFmt numFmtId="166" formatCode="&quot;$&quot;#,##0.00_);\(&quot;$&quot;#,##0.00\)"/>
    <numFmt numFmtId="172" formatCode="0.0"/>
  </numFmts>
  <fonts count="14" x14ac:knownFonts="1">
    <font>
      <sz val="10"/>
      <name val="Arial"/>
    </font>
    <font>
      <b/>
      <sz val="18"/>
      <name val="Arial"/>
    </font>
    <font>
      <b/>
      <sz val="12"/>
      <name val="Arial"/>
    </font>
    <font>
      <sz val="8"/>
      <name val="Arial"/>
    </font>
    <font>
      <b/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</font>
    <font>
      <b/>
      <i/>
      <sz val="10"/>
      <name val="Arial"/>
      <family val="2"/>
    </font>
    <font>
      <vertAlign val="superscript"/>
      <sz val="10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vertAlign val="superscript"/>
      <sz val="9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 style="double">
        <color indexed="0"/>
      </top>
      <bottom/>
      <diagonal/>
    </border>
    <border>
      <left/>
      <right style="thin">
        <color indexed="0"/>
      </right>
      <top/>
      <bottom/>
      <diagonal/>
    </border>
    <border>
      <left style="thick">
        <color indexed="0"/>
      </left>
      <right style="thin">
        <color indexed="0"/>
      </right>
      <top/>
      <bottom/>
      <diagonal/>
    </border>
    <border>
      <left style="thick">
        <color indexed="0"/>
      </left>
      <right style="thin">
        <color indexed="0"/>
      </right>
      <top/>
      <bottom style="thick">
        <color indexed="0"/>
      </bottom>
      <diagonal/>
    </border>
    <border>
      <left/>
      <right/>
      <top style="thick">
        <color indexed="0"/>
      </top>
      <bottom/>
      <diagonal/>
    </border>
    <border>
      <left/>
      <right style="thin">
        <color indexed="0"/>
      </right>
      <top/>
      <bottom style="thick">
        <color indexed="0"/>
      </bottom>
      <diagonal/>
    </border>
    <border>
      <left style="thick">
        <color indexed="0"/>
      </left>
      <right style="thin">
        <color indexed="0"/>
      </right>
      <top/>
      <bottom style="thin">
        <color indexed="0"/>
      </bottom>
      <diagonal/>
    </border>
    <border>
      <left/>
      <right style="thick">
        <color indexed="0"/>
      </right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 style="thick">
        <color indexed="0"/>
      </left>
      <right style="thin">
        <color indexed="0"/>
      </right>
      <top style="thick">
        <color indexed="0"/>
      </top>
      <bottom/>
      <diagonal/>
    </border>
    <border>
      <left/>
      <right style="thin">
        <color indexed="0"/>
      </right>
      <top style="thick">
        <color indexed="0"/>
      </top>
      <bottom/>
      <diagonal/>
    </border>
    <border>
      <left/>
      <right style="thick">
        <color indexed="0"/>
      </right>
      <top/>
      <bottom/>
      <diagonal/>
    </border>
    <border>
      <left/>
      <right/>
      <top/>
      <bottom style="thick">
        <color indexed="0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ck">
        <color indexed="0"/>
      </right>
      <top/>
      <bottom style="thick">
        <color indexed="0"/>
      </bottom>
      <diagonal/>
    </border>
    <border>
      <left/>
      <right style="thin">
        <color indexed="64"/>
      </right>
      <top/>
      <bottom/>
      <diagonal/>
    </border>
    <border>
      <left/>
      <right style="thick">
        <color indexed="0"/>
      </right>
      <top style="thick">
        <color indexed="0"/>
      </top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ck">
        <color indexed="0"/>
      </top>
      <bottom/>
      <diagonal/>
    </border>
    <border>
      <left/>
      <right style="thin">
        <color indexed="64"/>
      </right>
      <top/>
      <bottom style="thick">
        <color indexed="0"/>
      </bottom>
      <diagonal/>
    </border>
  </borders>
  <cellStyleXfs count="9">
    <xf numFmtId="0" fontId="0" fillId="0" borderId="0">
      <alignment vertical="top"/>
    </xf>
    <xf numFmtId="3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4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0" fontId="1" fillId="0" borderId="0" applyNumberFormat="0" applyFont="0" applyFill="0" applyAlignment="0" applyProtection="0"/>
    <xf numFmtId="0" fontId="2" fillId="0" borderId="0" applyNumberFormat="0" applyFont="0" applyFill="0" applyAlignment="0" applyProtection="0"/>
    <xf numFmtId="0" fontId="7" fillId="0" borderId="1" applyNumberFormat="0" applyFont="0" applyBorder="0" applyAlignment="0" applyProtection="0"/>
  </cellStyleXfs>
  <cellXfs count="92">
    <xf numFmtId="0" fontId="0" fillId="0" borderId="0" xfId="0" applyAlignment="1"/>
    <xf numFmtId="0" fontId="0" fillId="0" borderId="2" xfId="0" applyFill="1" applyBorder="1" applyAlignment="1"/>
    <xf numFmtId="0" fontId="4" fillId="0" borderId="0" xfId="0" applyFont="1" applyBorder="1" applyAlignment="1"/>
    <xf numFmtId="0" fontId="0" fillId="0" borderId="3" xfId="0" applyFill="1" applyBorder="1" applyAlignment="1"/>
    <xf numFmtId="0" fontId="4" fillId="0" borderId="3" xfId="0" applyFont="1" applyFill="1" applyBorder="1" applyAlignment="1"/>
    <xf numFmtId="0" fontId="0" fillId="0" borderId="4" xfId="0" applyFill="1" applyBorder="1" applyAlignment="1"/>
    <xf numFmtId="0" fontId="0" fillId="0" borderId="5" xfId="0" applyFill="1" applyBorder="1" applyAlignment="1"/>
    <xf numFmtId="0" fontId="0" fillId="0" borderId="6" xfId="0" applyFill="1" applyBorder="1" applyAlignment="1"/>
    <xf numFmtId="0" fontId="5" fillId="0" borderId="7" xfId="0" applyFont="1" applyFill="1" applyBorder="1" applyAlignment="1">
      <alignment horizontal="left"/>
    </xf>
    <xf numFmtId="0" fontId="5" fillId="0" borderId="8" xfId="0" applyFont="1" applyFill="1" applyBorder="1" applyAlignment="1">
      <alignment horizontal="right"/>
    </xf>
    <xf numFmtId="0" fontId="5" fillId="0" borderId="9" xfId="0" applyFont="1" applyFill="1" applyBorder="1" applyAlignment="1">
      <alignment horizontal="left"/>
    </xf>
    <xf numFmtId="0" fontId="4" fillId="0" borderId="2" xfId="0" applyFont="1" applyFill="1" applyBorder="1" applyAlignment="1"/>
    <xf numFmtId="0" fontId="0" fillId="0" borderId="10" xfId="0" applyFill="1" applyBorder="1" applyAlignment="1"/>
    <xf numFmtId="0" fontId="0" fillId="0" borderId="11" xfId="0" applyFill="1" applyBorder="1" applyAlignment="1"/>
    <xf numFmtId="0" fontId="0" fillId="0" borderId="12" xfId="0" applyFill="1" applyBorder="1" applyAlignment="1"/>
    <xf numFmtId="0" fontId="5" fillId="0" borderId="7" xfId="0" applyFont="1" applyFill="1" applyBorder="1" applyAlignment="1"/>
    <xf numFmtId="0" fontId="5" fillId="0" borderId="9" xfId="0" applyFont="1" applyFill="1" applyBorder="1" applyAlignment="1">
      <alignment horizontal="right"/>
    </xf>
    <xf numFmtId="0" fontId="5" fillId="0" borderId="10" xfId="0" applyFont="1" applyFill="1" applyBorder="1" applyAlignment="1"/>
    <xf numFmtId="0" fontId="5" fillId="0" borderId="9" xfId="0" applyFont="1" applyFill="1" applyBorder="1" applyAlignment="1"/>
    <xf numFmtId="172" fontId="0" fillId="0" borderId="13" xfId="0" applyNumberFormat="1" applyFill="1" applyBorder="1" applyAlignment="1">
      <alignment horizontal="right"/>
    </xf>
    <xf numFmtId="3" fontId="0" fillId="0" borderId="0" xfId="0" applyNumberFormat="1" applyAlignment="1"/>
    <xf numFmtId="0" fontId="0" fillId="0" borderId="14" xfId="0" applyFill="1" applyBorder="1" applyAlignment="1"/>
    <xf numFmtId="0" fontId="8" fillId="0" borderId="2" xfId="0" applyFont="1" applyFill="1" applyBorder="1" applyAlignment="1"/>
    <xf numFmtId="0" fontId="5" fillId="0" borderId="2" xfId="0" applyFont="1" applyFill="1" applyBorder="1" applyAlignment="1"/>
    <xf numFmtId="3" fontId="5" fillId="0" borderId="2" xfId="0" applyNumberFormat="1" applyFont="1" applyFill="1" applyBorder="1" applyAlignment="1">
      <alignment horizontal="right"/>
    </xf>
    <xf numFmtId="172" fontId="5" fillId="0" borderId="13" xfId="0" applyNumberFormat="1" applyFont="1" applyFill="1" applyBorder="1" applyAlignment="1">
      <alignment horizontal="right"/>
    </xf>
    <xf numFmtId="3" fontId="5" fillId="0" borderId="13" xfId="0" applyNumberFormat="1" applyFont="1" applyFill="1" applyBorder="1" applyAlignment="1">
      <alignment horizontal="right"/>
    </xf>
    <xf numFmtId="3" fontId="5" fillId="0" borderId="9" xfId="0" applyNumberFormat="1" applyFont="1" applyFill="1" applyBorder="1" applyAlignment="1">
      <alignment horizontal="right"/>
    </xf>
    <xf numFmtId="3" fontId="5" fillId="0" borderId="8" xfId="0" applyNumberFormat="1" applyFont="1" applyFill="1" applyBorder="1" applyAlignment="1">
      <alignment horizontal="right"/>
    </xf>
    <xf numFmtId="0" fontId="5" fillId="0" borderId="10" xfId="0" applyFont="1" applyFill="1" applyBorder="1" applyAlignment="1">
      <alignment horizontal="right"/>
    </xf>
    <xf numFmtId="0" fontId="10" fillId="0" borderId="2" xfId="0" applyFont="1" applyFill="1" applyBorder="1" applyAlignment="1"/>
    <xf numFmtId="0" fontId="6" fillId="0" borderId="3" xfId="0" applyFont="1" applyFill="1" applyBorder="1" applyAlignment="1"/>
    <xf numFmtId="0" fontId="5" fillId="0" borderId="0" xfId="0" applyFont="1" applyBorder="1" applyAlignment="1"/>
    <xf numFmtId="0" fontId="6" fillId="0" borderId="0" xfId="0" applyFont="1" applyAlignment="1"/>
    <xf numFmtId="0" fontId="6" fillId="0" borderId="10" xfId="0" applyFont="1" applyFill="1" applyBorder="1" applyAlignment="1"/>
    <xf numFmtId="0" fontId="6" fillId="0" borderId="11" xfId="0" applyFont="1" applyFill="1" applyBorder="1" applyAlignment="1"/>
    <xf numFmtId="0" fontId="6" fillId="0" borderId="12" xfId="0" applyFont="1" applyFill="1" applyBorder="1" applyAlignment="1"/>
    <xf numFmtId="0" fontId="6" fillId="0" borderId="5" xfId="0" applyFont="1" applyFill="1" applyBorder="1" applyAlignment="1"/>
    <xf numFmtId="0" fontId="5" fillId="0" borderId="3" xfId="0" applyFont="1" applyFill="1" applyBorder="1" applyAlignment="1"/>
    <xf numFmtId="0" fontId="6" fillId="0" borderId="2" xfId="0" applyFont="1" applyFill="1" applyBorder="1" applyAlignment="1"/>
    <xf numFmtId="172" fontId="6" fillId="0" borderId="13" xfId="0" applyNumberFormat="1" applyFont="1" applyFill="1" applyBorder="1" applyAlignment="1">
      <alignment horizontal="right"/>
    </xf>
    <xf numFmtId="3" fontId="6" fillId="0" borderId="2" xfId="0" applyNumberFormat="1" applyFont="1" applyFill="1" applyBorder="1" applyAlignment="1">
      <alignment horizontal="right"/>
    </xf>
    <xf numFmtId="0" fontId="6" fillId="0" borderId="14" xfId="0" applyFont="1" applyFill="1" applyBorder="1" applyAlignment="1"/>
    <xf numFmtId="0" fontId="6" fillId="0" borderId="6" xfId="0" applyFont="1" applyFill="1" applyBorder="1" applyAlignment="1"/>
    <xf numFmtId="0" fontId="6" fillId="0" borderId="15" xfId="0" applyFont="1" applyBorder="1" applyAlignment="1"/>
    <xf numFmtId="0" fontId="6" fillId="0" borderId="16" xfId="0" applyFont="1" applyBorder="1" applyAlignment="1"/>
    <xf numFmtId="0" fontId="6" fillId="0" borderId="17" xfId="0" applyFont="1" applyBorder="1" applyAlignment="1"/>
    <xf numFmtId="3" fontId="6" fillId="0" borderId="6" xfId="0" applyNumberFormat="1" applyFont="1" applyFill="1" applyBorder="1" applyAlignment="1">
      <alignment horizontal="right"/>
    </xf>
    <xf numFmtId="172" fontId="6" fillId="0" borderId="18" xfId="0" applyNumberFormat="1" applyFont="1" applyFill="1" applyBorder="1" applyAlignment="1">
      <alignment horizontal="right"/>
    </xf>
    <xf numFmtId="3" fontId="6" fillId="0" borderId="19" xfId="0" applyNumberFormat="1" applyFont="1" applyFill="1" applyBorder="1" applyAlignment="1">
      <alignment horizontal="right"/>
    </xf>
    <xf numFmtId="3" fontId="4" fillId="0" borderId="19" xfId="0" applyNumberFormat="1" applyFont="1" applyFill="1" applyBorder="1" applyAlignment="1">
      <alignment horizontal="right"/>
    </xf>
    <xf numFmtId="0" fontId="4" fillId="0" borderId="0" xfId="0" applyFont="1" applyBorder="1" applyAlignment="1">
      <alignment horizontal="right"/>
    </xf>
    <xf numFmtId="0" fontId="0" fillId="0" borderId="0" xfId="0" applyAlignment="1">
      <alignment horizontal="right"/>
    </xf>
    <xf numFmtId="0" fontId="0" fillId="0" borderId="10" xfId="0" applyFill="1" applyBorder="1" applyAlignment="1">
      <alignment horizontal="right"/>
    </xf>
    <xf numFmtId="0" fontId="0" fillId="0" borderId="20" xfId="0" applyFill="1" applyBorder="1" applyAlignment="1">
      <alignment horizontal="right"/>
    </xf>
    <xf numFmtId="0" fontId="0" fillId="0" borderId="13" xfId="0" applyFill="1" applyBorder="1" applyAlignment="1">
      <alignment horizontal="right"/>
    </xf>
    <xf numFmtId="172" fontId="4" fillId="0" borderId="13" xfId="0" applyNumberFormat="1" applyFont="1" applyFill="1" applyBorder="1" applyAlignment="1">
      <alignment horizontal="right"/>
    </xf>
    <xf numFmtId="172" fontId="0" fillId="0" borderId="18" xfId="0" applyNumberFormat="1" applyFill="1" applyBorder="1" applyAlignment="1">
      <alignment horizontal="right"/>
    </xf>
    <xf numFmtId="172" fontId="0" fillId="0" borderId="0" xfId="0" applyNumberFormat="1" applyBorder="1" applyAlignment="1"/>
    <xf numFmtId="0" fontId="11" fillId="0" borderId="0" xfId="0" applyFont="1" applyBorder="1" applyAlignment="1"/>
    <xf numFmtId="0" fontId="12" fillId="0" borderId="0" xfId="0" applyFont="1" applyAlignment="1"/>
    <xf numFmtId="172" fontId="10" fillId="0" borderId="13" xfId="0" applyNumberFormat="1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6" fillId="0" borderId="10" xfId="0" applyFont="1" applyFill="1" applyBorder="1" applyAlignment="1">
      <alignment horizontal="right"/>
    </xf>
    <xf numFmtId="0" fontId="6" fillId="0" borderId="20" xfId="0" applyFont="1" applyFill="1" applyBorder="1" applyAlignment="1">
      <alignment horizontal="right"/>
    </xf>
    <xf numFmtId="0" fontId="6" fillId="0" borderId="13" xfId="0" applyFont="1" applyFill="1" applyBorder="1" applyAlignment="1">
      <alignment horizontal="right"/>
    </xf>
    <xf numFmtId="172" fontId="6" fillId="0" borderId="21" xfId="0" applyNumberFormat="1" applyFont="1" applyFill="1" applyBorder="1" applyAlignment="1">
      <alignment horizontal="right"/>
    </xf>
    <xf numFmtId="172" fontId="0" fillId="0" borderId="0" xfId="0" applyNumberFormat="1" applyAlignment="1">
      <alignment horizontal="right"/>
    </xf>
    <xf numFmtId="3" fontId="5" fillId="0" borderId="22" xfId="0" applyNumberFormat="1" applyFont="1" applyFill="1" applyBorder="1" applyAlignment="1">
      <alignment horizontal="right"/>
    </xf>
    <xf numFmtId="3" fontId="5" fillId="0" borderId="0" xfId="0" applyNumberFormat="1" applyFont="1" applyBorder="1">
      <alignment vertical="top"/>
    </xf>
    <xf numFmtId="0" fontId="0" fillId="0" borderId="12" xfId="0" applyFill="1" applyBorder="1" applyAlignment="1">
      <alignment horizontal="right"/>
    </xf>
    <xf numFmtId="0" fontId="0" fillId="0" borderId="2" xfId="0" applyFill="1" applyBorder="1" applyAlignment="1">
      <alignment horizontal="right"/>
    </xf>
    <xf numFmtId="3" fontId="4" fillId="0" borderId="2" xfId="0" applyNumberFormat="1" applyFont="1" applyFill="1" applyBorder="1" applyAlignment="1">
      <alignment horizontal="right"/>
    </xf>
    <xf numFmtId="0" fontId="0" fillId="0" borderId="2" xfId="0" applyBorder="1" applyAlignment="1">
      <alignment horizontal="right"/>
    </xf>
    <xf numFmtId="3" fontId="0" fillId="0" borderId="0" xfId="0" applyNumberFormat="1" applyAlignment="1">
      <alignment horizontal="right"/>
    </xf>
    <xf numFmtId="0" fontId="6" fillId="0" borderId="12" xfId="0" applyFont="1" applyFill="1" applyBorder="1" applyAlignment="1">
      <alignment horizontal="right"/>
    </xf>
    <xf numFmtId="0" fontId="6" fillId="0" borderId="2" xfId="0" applyFont="1" applyFill="1" applyBorder="1" applyAlignment="1">
      <alignment horizontal="right"/>
    </xf>
    <xf numFmtId="0" fontId="6" fillId="0" borderId="2" xfId="0" applyFont="1" applyBorder="1" applyAlignment="1">
      <alignment horizontal="right"/>
    </xf>
    <xf numFmtId="3" fontId="0" fillId="0" borderId="23" xfId="0" applyNumberFormat="1" applyBorder="1" applyAlignment="1">
      <alignment horizontal="right"/>
    </xf>
    <xf numFmtId="3" fontId="6" fillId="0" borderId="24" xfId="0" applyNumberFormat="1" applyFont="1" applyFill="1" applyBorder="1" applyAlignment="1">
      <alignment horizontal="right"/>
    </xf>
    <xf numFmtId="3" fontId="0" fillId="0" borderId="25" xfId="0" applyNumberFormat="1" applyFill="1" applyBorder="1" applyAlignment="1">
      <alignment horizontal="right"/>
    </xf>
    <xf numFmtId="3" fontId="0" fillId="0" borderId="19" xfId="0" applyNumberFormat="1" applyFill="1" applyBorder="1" applyAlignment="1">
      <alignment horizontal="right"/>
    </xf>
    <xf numFmtId="172" fontId="0" fillId="0" borderId="2" xfId="0" applyNumberFormat="1" applyBorder="1" applyAlignment="1">
      <alignment horizontal="right"/>
    </xf>
    <xf numFmtId="3" fontId="5" fillId="0" borderId="19" xfId="0" applyNumberFormat="1" applyFont="1" applyBorder="1" applyAlignment="1">
      <alignment horizontal="right"/>
    </xf>
    <xf numFmtId="3" fontId="0" fillId="0" borderId="19" xfId="0" applyNumberFormat="1" applyBorder="1" applyAlignment="1">
      <alignment horizontal="right"/>
    </xf>
    <xf numFmtId="172" fontId="0" fillId="0" borderId="19" xfId="0" applyNumberFormat="1" applyBorder="1" applyAlignment="1">
      <alignment horizontal="right"/>
    </xf>
    <xf numFmtId="0" fontId="0" fillId="0" borderId="19" xfId="0" applyBorder="1" applyAlignment="1">
      <alignment horizontal="right"/>
    </xf>
    <xf numFmtId="3" fontId="6" fillId="0" borderId="26" xfId="0" applyNumberFormat="1" applyFont="1" applyFill="1" applyBorder="1" applyAlignment="1">
      <alignment horizontal="right"/>
    </xf>
    <xf numFmtId="3" fontId="10" fillId="0" borderId="2" xfId="0" applyNumberFormat="1" applyFont="1" applyFill="1" applyBorder="1" applyAlignment="1">
      <alignment horizontal="right"/>
    </xf>
    <xf numFmtId="166" fontId="0" fillId="0" borderId="0" xfId="2" applyFont="1"/>
    <xf numFmtId="3" fontId="0" fillId="0" borderId="23" xfId="0" applyNumberFormat="1" applyBorder="1" applyAlignment="1"/>
  </cellXfs>
  <cellStyles count="9">
    <cellStyle name="Comma0" xfId="1"/>
    <cellStyle name="Currency" xfId="2" builtinId="4"/>
    <cellStyle name="Currency0" xfId="3"/>
    <cellStyle name="Date" xfId="4"/>
    <cellStyle name="Fixed" xfId="5"/>
    <cellStyle name="Heading 1" xfId="6" builtinId="16" customBuiltin="1"/>
    <cellStyle name="Heading 2" xfId="7" builtinId="17" customBuiltin="1"/>
    <cellStyle name="Normal" xfId="0" builtinId="0"/>
    <cellStyle name="Total" xfId="8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216"/>
  <sheetViews>
    <sheetView showGridLines="0" tabSelected="1" zoomScaleNormal="100" zoomScaleSheetLayoutView="75" workbookViewId="0"/>
  </sheetViews>
  <sheetFormatPr defaultColWidth="9.1796875" defaultRowHeight="12.5" x14ac:dyDescent="0.25"/>
  <cols>
    <col min="1" max="1" width="45.26953125" customWidth="1"/>
    <col min="2" max="2" width="11.453125" style="85" customWidth="1"/>
    <col min="3" max="3" width="8.54296875" style="52" customWidth="1"/>
    <col min="4" max="4" width="0.7265625" customWidth="1"/>
    <col min="5" max="5" width="39.26953125" customWidth="1"/>
    <col min="6" max="6" width="11.26953125" style="52" customWidth="1"/>
    <col min="7" max="7" width="8.453125" style="52" customWidth="1"/>
    <col min="9" max="9" width="11.1796875" bestFit="1" customWidth="1"/>
    <col min="10" max="10" width="9.7265625" customWidth="1"/>
  </cols>
  <sheetData>
    <row r="1" spans="1:7" ht="14" x14ac:dyDescent="0.3">
      <c r="A1" s="59" t="s">
        <v>188</v>
      </c>
      <c r="B1" s="75"/>
      <c r="C1" s="51"/>
      <c r="D1" s="2"/>
      <c r="E1" s="2"/>
      <c r="F1" s="51"/>
      <c r="G1" s="51"/>
    </row>
    <row r="2" spans="1:7" x14ac:dyDescent="0.25">
      <c r="A2" s="90" t="s">
        <v>327</v>
      </c>
      <c r="B2" s="75"/>
    </row>
    <row r="3" spans="1:7" x14ac:dyDescent="0.25">
      <c r="B3" s="75"/>
    </row>
    <row r="4" spans="1:7" x14ac:dyDescent="0.25">
      <c r="A4" s="12" t="s">
        <v>192</v>
      </c>
      <c r="B4" s="75"/>
      <c r="C4" s="53"/>
      <c r="D4" s="12"/>
      <c r="E4" s="12"/>
      <c r="F4" s="53"/>
      <c r="G4" s="53"/>
    </row>
    <row r="5" spans="1:7" x14ac:dyDescent="0.25">
      <c r="A5" s="13"/>
      <c r="B5" s="81"/>
      <c r="C5" s="54"/>
      <c r="D5" s="6"/>
      <c r="E5" s="14"/>
      <c r="F5" s="71"/>
      <c r="G5" s="54"/>
    </row>
    <row r="6" spans="1:7" ht="13" x14ac:dyDescent="0.3">
      <c r="A6" s="15" t="s">
        <v>178</v>
      </c>
      <c r="B6" s="69" t="s">
        <v>179</v>
      </c>
      <c r="C6" s="9" t="s">
        <v>180</v>
      </c>
      <c r="D6" s="17"/>
      <c r="E6" s="18" t="s">
        <v>178</v>
      </c>
      <c r="F6" s="16" t="s">
        <v>179</v>
      </c>
      <c r="G6" s="9" t="s">
        <v>180</v>
      </c>
    </row>
    <row r="7" spans="1:7" x14ac:dyDescent="0.25">
      <c r="A7" s="3"/>
      <c r="B7" s="82"/>
      <c r="C7" s="55"/>
      <c r="E7" s="1"/>
      <c r="F7" s="72"/>
      <c r="G7" s="55"/>
    </row>
    <row r="8" spans="1:7" ht="13" x14ac:dyDescent="0.3">
      <c r="A8" s="4" t="s">
        <v>189</v>
      </c>
      <c r="B8" s="82"/>
      <c r="C8" s="55"/>
      <c r="E8" s="11" t="s">
        <v>190</v>
      </c>
      <c r="F8" s="72"/>
      <c r="G8" s="55"/>
    </row>
    <row r="9" spans="1:7" ht="13" x14ac:dyDescent="0.3">
      <c r="A9" s="4" t="s">
        <v>191</v>
      </c>
      <c r="B9" s="82"/>
      <c r="C9" s="55"/>
      <c r="E9" s="11" t="s">
        <v>193</v>
      </c>
      <c r="F9" s="73">
        <v>281421906</v>
      </c>
      <c r="G9" s="56">
        <v>100</v>
      </c>
    </row>
    <row r="10" spans="1:7" ht="13" x14ac:dyDescent="0.3">
      <c r="A10" s="4" t="s">
        <v>194</v>
      </c>
      <c r="B10" s="50">
        <v>76632927</v>
      </c>
      <c r="C10" s="56">
        <v>100</v>
      </c>
      <c r="E10" s="1" t="s">
        <v>195</v>
      </c>
      <c r="F10" s="41">
        <v>250314017</v>
      </c>
      <c r="G10" s="40">
        <f t="shared" ref="G10:G16" si="0">(F10/$F$9)*100</f>
        <v>88.946173578967944</v>
      </c>
    </row>
    <row r="11" spans="1:7" x14ac:dyDescent="0.25">
      <c r="A11" s="3" t="s">
        <v>196</v>
      </c>
      <c r="B11" s="49">
        <v>4957582</v>
      </c>
      <c r="C11" s="19">
        <f>(B11/$B$10)*100</f>
        <v>6.4692583124222827</v>
      </c>
      <c r="E11" s="1" t="s">
        <v>197</v>
      </c>
      <c r="F11" s="41">
        <v>246786466</v>
      </c>
      <c r="G11" s="40">
        <f t="shared" si="0"/>
        <v>87.692699373587502</v>
      </c>
    </row>
    <row r="12" spans="1:7" x14ac:dyDescent="0.25">
      <c r="A12" s="3" t="s">
        <v>198</v>
      </c>
      <c r="B12" s="49">
        <v>4157491</v>
      </c>
      <c r="C12" s="19">
        <f>(B12/$B$10)*100</f>
        <v>5.4252018848242605</v>
      </c>
      <c r="E12" s="1" t="s">
        <v>199</v>
      </c>
      <c r="F12" s="41">
        <v>168729388</v>
      </c>
      <c r="G12" s="40">
        <f t="shared" si="0"/>
        <v>59.956024887415836</v>
      </c>
    </row>
    <row r="13" spans="1:7" x14ac:dyDescent="0.25">
      <c r="A13" s="3" t="s">
        <v>200</v>
      </c>
      <c r="B13" s="49">
        <v>33653641</v>
      </c>
      <c r="C13" s="19">
        <f>(B13/$B$10)*100</f>
        <v>43.915379873197324</v>
      </c>
      <c r="E13" s="1" t="s">
        <v>201</v>
      </c>
      <c r="F13" s="41">
        <v>78057078</v>
      </c>
      <c r="G13" s="40">
        <f t="shared" si="0"/>
        <v>27.736674486171665</v>
      </c>
    </row>
    <row r="14" spans="1:7" x14ac:dyDescent="0.25">
      <c r="A14" s="3" t="s">
        <v>202</v>
      </c>
      <c r="B14" s="49">
        <v>16380951</v>
      </c>
      <c r="C14" s="19">
        <f>(B14/$B$10)*100</f>
        <v>21.375864972507184</v>
      </c>
      <c r="E14" s="1" t="s">
        <v>92</v>
      </c>
      <c r="F14" s="41">
        <v>3527551</v>
      </c>
      <c r="G14" s="40">
        <f t="shared" si="0"/>
        <v>1.253474205380444</v>
      </c>
    </row>
    <row r="15" spans="1:7" x14ac:dyDescent="0.25">
      <c r="A15" s="3" t="s">
        <v>248</v>
      </c>
      <c r="B15" s="49">
        <v>17483262</v>
      </c>
      <c r="C15" s="19">
        <f>(B15/$B$10)*100</f>
        <v>22.814294957048944</v>
      </c>
      <c r="E15" s="1" t="s">
        <v>203</v>
      </c>
      <c r="F15" s="41">
        <v>31107889</v>
      </c>
      <c r="G15" s="40">
        <f t="shared" si="0"/>
        <v>11.053826421032058</v>
      </c>
    </row>
    <row r="16" spans="1:7" ht="13" x14ac:dyDescent="0.3">
      <c r="A16" s="3"/>
      <c r="B16" s="50" t="s">
        <v>175</v>
      </c>
      <c r="C16" s="19"/>
      <c r="E16" s="1" t="s">
        <v>204</v>
      </c>
      <c r="F16" s="41">
        <v>13178276</v>
      </c>
      <c r="G16" s="40">
        <f t="shared" si="0"/>
        <v>4.6827470495491559</v>
      </c>
    </row>
    <row r="17" spans="1:10" ht="13" x14ac:dyDescent="0.3">
      <c r="A17" s="4" t="s">
        <v>205</v>
      </c>
      <c r="B17" s="50" t="s">
        <v>175</v>
      </c>
      <c r="C17" s="19"/>
      <c r="E17" s="1" t="s">
        <v>206</v>
      </c>
      <c r="F17" s="41">
        <v>12542626</v>
      </c>
      <c r="G17" s="40">
        <f>(F17/$F$9)*100</f>
        <v>4.456876217731252</v>
      </c>
    </row>
    <row r="18" spans="1:10" ht="13" x14ac:dyDescent="0.3">
      <c r="A18" s="4" t="s">
        <v>207</v>
      </c>
      <c r="B18" s="50">
        <v>182211639</v>
      </c>
      <c r="C18" s="56">
        <v>100</v>
      </c>
      <c r="E18" s="1" t="s">
        <v>208</v>
      </c>
      <c r="F18" s="41">
        <v>18565263</v>
      </c>
      <c r="G18" s="40">
        <f>(F18/$F$9)*100</f>
        <v>6.5969502033008052</v>
      </c>
    </row>
    <row r="19" spans="1:10" x14ac:dyDescent="0.25">
      <c r="A19" s="3" t="s">
        <v>209</v>
      </c>
      <c r="B19" s="49">
        <v>13755477</v>
      </c>
      <c r="C19" s="40">
        <f t="shared" ref="C19:C25" si="1">(B19/$B$18)*100</f>
        <v>7.5491758240536981</v>
      </c>
      <c r="E19" s="1"/>
      <c r="F19" s="41" t="s">
        <v>175</v>
      </c>
      <c r="G19" s="40"/>
    </row>
    <row r="20" spans="1:10" ht="13" x14ac:dyDescent="0.3">
      <c r="A20" s="3" t="s">
        <v>210</v>
      </c>
      <c r="B20" s="49">
        <v>21960148</v>
      </c>
      <c r="C20" s="40">
        <f t="shared" si="1"/>
        <v>12.052000695740407</v>
      </c>
      <c r="E20" s="11" t="s">
        <v>211</v>
      </c>
      <c r="F20" s="41" t="s">
        <v>175</v>
      </c>
      <c r="G20" s="40"/>
    </row>
    <row r="21" spans="1:10" ht="13" x14ac:dyDescent="0.3">
      <c r="A21" s="3" t="s">
        <v>212</v>
      </c>
      <c r="B21" s="49">
        <v>52168981</v>
      </c>
      <c r="C21" s="40">
        <f t="shared" si="1"/>
        <v>28.630981690472584</v>
      </c>
      <c r="E21" s="11" t="s">
        <v>93</v>
      </c>
      <c r="F21" s="24">
        <v>31107573</v>
      </c>
      <c r="G21" s="25">
        <v>100</v>
      </c>
    </row>
    <row r="22" spans="1:10" x14ac:dyDescent="0.25">
      <c r="A22" s="3" t="s">
        <v>226</v>
      </c>
      <c r="B22" s="49">
        <v>38351595</v>
      </c>
      <c r="C22" s="40">
        <f t="shared" si="1"/>
        <v>21.047829441894216</v>
      </c>
      <c r="E22" s="1" t="s">
        <v>227</v>
      </c>
      <c r="F22" s="41">
        <v>4915557</v>
      </c>
      <c r="G22" s="40">
        <f t="shared" ref="G22:G27" si="2">(F22/$F$21)*100</f>
        <v>15.801801702755789</v>
      </c>
    </row>
    <row r="23" spans="1:10" x14ac:dyDescent="0.25">
      <c r="A23" s="3" t="s">
        <v>228</v>
      </c>
      <c r="B23" s="49">
        <v>11512833</v>
      </c>
      <c r="C23" s="40">
        <f t="shared" si="1"/>
        <v>6.3183850730852598</v>
      </c>
      <c r="E23" s="1" t="s">
        <v>229</v>
      </c>
      <c r="F23" s="41">
        <v>8226254</v>
      </c>
      <c r="G23" s="40">
        <f t="shared" si="2"/>
        <v>26.444538119383342</v>
      </c>
    </row>
    <row r="24" spans="1:10" x14ac:dyDescent="0.25">
      <c r="A24" s="3" t="s">
        <v>230</v>
      </c>
      <c r="B24" s="49">
        <v>28317792</v>
      </c>
      <c r="C24" s="40">
        <f t="shared" si="1"/>
        <v>15.541154316711896</v>
      </c>
      <c r="E24" s="1" t="s">
        <v>231</v>
      </c>
      <c r="F24" s="41">
        <v>881300</v>
      </c>
      <c r="G24" s="40">
        <f t="shared" si="2"/>
        <v>2.8330721911349368</v>
      </c>
    </row>
    <row r="25" spans="1:10" x14ac:dyDescent="0.25">
      <c r="A25" s="3" t="s">
        <v>232</v>
      </c>
      <c r="B25" s="49">
        <v>16144813</v>
      </c>
      <c r="C25" s="40">
        <f t="shared" si="1"/>
        <v>8.8604729580419406</v>
      </c>
      <c r="E25" s="1" t="s">
        <v>233</v>
      </c>
      <c r="F25" s="41">
        <v>168046</v>
      </c>
      <c r="G25" s="40">
        <f t="shared" si="2"/>
        <v>0.54020929244464033</v>
      </c>
    </row>
    <row r="26" spans="1:10" ht="13" x14ac:dyDescent="0.3">
      <c r="A26" s="3"/>
      <c r="B26" s="50" t="s">
        <v>175</v>
      </c>
      <c r="C26" s="19"/>
      <c r="E26" s="1" t="s">
        <v>234</v>
      </c>
      <c r="F26" s="41">
        <v>16086974</v>
      </c>
      <c r="G26" s="40">
        <f t="shared" si="2"/>
        <v>51.714011890287935</v>
      </c>
    </row>
    <row r="27" spans="1:10" x14ac:dyDescent="0.25">
      <c r="A27" s="3" t="s">
        <v>235</v>
      </c>
      <c r="B27" s="83">
        <v>80.400000000000006</v>
      </c>
      <c r="C27" s="19" t="s">
        <v>186</v>
      </c>
      <c r="E27" s="1" t="s">
        <v>236</v>
      </c>
      <c r="F27" s="41">
        <v>829442</v>
      </c>
      <c r="G27" s="40">
        <f t="shared" si="2"/>
        <v>2.6663668039933555</v>
      </c>
    </row>
    <row r="28" spans="1:10" x14ac:dyDescent="0.25">
      <c r="A28" s="3" t="s">
        <v>237</v>
      </c>
      <c r="B28" s="83">
        <v>24.4</v>
      </c>
      <c r="C28" s="19" t="s">
        <v>186</v>
      </c>
      <c r="E28" s="1"/>
      <c r="F28" s="41" t="s">
        <v>175</v>
      </c>
      <c r="G28" s="40"/>
    </row>
    <row r="29" spans="1:10" ht="13" x14ac:dyDescent="0.3">
      <c r="A29" s="3"/>
      <c r="B29" s="50" t="s">
        <v>175</v>
      </c>
      <c r="C29" s="19"/>
      <c r="E29" s="11" t="s">
        <v>238</v>
      </c>
      <c r="F29" s="41" t="s">
        <v>175</v>
      </c>
      <c r="G29" s="40"/>
    </row>
    <row r="30" spans="1:10" ht="13" x14ac:dyDescent="0.3">
      <c r="A30" s="4" t="s">
        <v>239</v>
      </c>
      <c r="B30" s="50" t="s">
        <v>175</v>
      </c>
      <c r="C30" s="19"/>
      <c r="E30" s="11" t="s">
        <v>240</v>
      </c>
      <c r="F30" s="24">
        <v>262375152</v>
      </c>
      <c r="G30" s="25">
        <v>100</v>
      </c>
      <c r="J30" s="20"/>
    </row>
    <row r="31" spans="1:10" ht="13" x14ac:dyDescent="0.3">
      <c r="A31" s="4" t="s">
        <v>220</v>
      </c>
      <c r="B31" s="50">
        <v>221148671</v>
      </c>
      <c r="C31" s="56">
        <v>100</v>
      </c>
      <c r="E31" s="1" t="s">
        <v>241</v>
      </c>
      <c r="F31" s="41">
        <v>215423557</v>
      </c>
      <c r="G31" s="40">
        <f>(F31/$F$30)*100</f>
        <v>82.10516710820238</v>
      </c>
      <c r="J31" s="20"/>
    </row>
    <row r="32" spans="1:10" x14ac:dyDescent="0.25">
      <c r="A32" s="3" t="s">
        <v>242</v>
      </c>
      <c r="B32" s="49">
        <v>59913370</v>
      </c>
      <c r="C32" s="19">
        <f>(B32/$B$31)*100</f>
        <v>27.091896925756338</v>
      </c>
      <c r="E32" s="1" t="s">
        <v>243</v>
      </c>
      <c r="F32" s="41">
        <v>46951595</v>
      </c>
      <c r="G32" s="40">
        <f t="shared" ref="G32:G39" si="3">(F32/$F$30)*100</f>
        <v>17.89483289179762</v>
      </c>
      <c r="J32" s="20"/>
    </row>
    <row r="33" spans="1:10" x14ac:dyDescent="0.25">
      <c r="A33" s="3" t="s">
        <v>244</v>
      </c>
      <c r="B33" s="49">
        <v>120231273</v>
      </c>
      <c r="C33" s="19">
        <f t="shared" ref="C33:C38" si="4">(B33/$B$31)*100</f>
        <v>54.366717401616214</v>
      </c>
      <c r="E33" s="1" t="s">
        <v>245</v>
      </c>
      <c r="F33" s="41">
        <v>21320407</v>
      </c>
      <c r="G33" s="40">
        <f t="shared" si="3"/>
        <v>8.1259245921275358</v>
      </c>
      <c r="J33" s="20"/>
    </row>
    <row r="34" spans="1:10" x14ac:dyDescent="0.25">
      <c r="A34" s="3" t="s">
        <v>246</v>
      </c>
      <c r="B34" s="49">
        <v>4769220</v>
      </c>
      <c r="C34" s="19">
        <f t="shared" si="4"/>
        <v>2.1565673347410712</v>
      </c>
      <c r="E34" s="1" t="s">
        <v>247</v>
      </c>
      <c r="F34" s="41">
        <v>28101052</v>
      </c>
      <c r="G34" s="40">
        <f t="shared" si="3"/>
        <v>10.710256587102425</v>
      </c>
    </row>
    <row r="35" spans="1:10" x14ac:dyDescent="0.25">
      <c r="A35" s="3" t="s">
        <v>249</v>
      </c>
      <c r="B35" s="49">
        <v>14674500</v>
      </c>
      <c r="C35" s="19">
        <f t="shared" si="4"/>
        <v>6.6355813641764998</v>
      </c>
      <c r="E35" s="1" t="s">
        <v>245</v>
      </c>
      <c r="F35" s="41">
        <v>13751256</v>
      </c>
      <c r="G35" s="40">
        <f t="shared" si="3"/>
        <v>5.241066425375525</v>
      </c>
    </row>
    <row r="36" spans="1:10" x14ac:dyDescent="0.25">
      <c r="A36" s="3" t="s">
        <v>221</v>
      </c>
      <c r="B36" s="49">
        <v>11975325</v>
      </c>
      <c r="C36" s="19">
        <f t="shared" si="4"/>
        <v>5.4150562813013696</v>
      </c>
      <c r="E36" s="1" t="s">
        <v>251</v>
      </c>
      <c r="F36" s="41">
        <v>10017989</v>
      </c>
      <c r="G36" s="40">
        <f t="shared" si="3"/>
        <v>3.818192738007447</v>
      </c>
    </row>
    <row r="37" spans="1:10" x14ac:dyDescent="0.25">
      <c r="A37" s="3" t="s">
        <v>250</v>
      </c>
      <c r="B37" s="49">
        <v>21560308</v>
      </c>
      <c r="C37" s="19">
        <f t="shared" si="4"/>
        <v>9.7492369737098716</v>
      </c>
      <c r="E37" s="1" t="s">
        <v>245</v>
      </c>
      <c r="F37" s="41">
        <v>3390301</v>
      </c>
      <c r="G37" s="40">
        <f t="shared" si="3"/>
        <v>1.2921578031139169</v>
      </c>
    </row>
    <row r="38" spans="1:10" x14ac:dyDescent="0.25">
      <c r="A38" s="3" t="s">
        <v>221</v>
      </c>
      <c r="B38" s="49">
        <v>12305294</v>
      </c>
      <c r="C38" s="19">
        <f t="shared" si="4"/>
        <v>5.5642631467588606</v>
      </c>
      <c r="E38" s="1" t="s">
        <v>184</v>
      </c>
      <c r="F38" s="41">
        <v>6960065</v>
      </c>
      <c r="G38" s="40">
        <f t="shared" si="3"/>
        <v>2.6527149949016513</v>
      </c>
    </row>
    <row r="39" spans="1:10" x14ac:dyDescent="0.25">
      <c r="A39" s="3"/>
      <c r="B39" s="49"/>
      <c r="C39" s="19"/>
      <c r="E39" s="1" t="s">
        <v>245</v>
      </c>
      <c r="F39" s="41">
        <v>3590024</v>
      </c>
      <c r="G39" s="40">
        <f t="shared" si="3"/>
        <v>1.3682789595868439</v>
      </c>
    </row>
    <row r="40" spans="1:10" ht="13" x14ac:dyDescent="0.3">
      <c r="A40" s="38" t="s">
        <v>222</v>
      </c>
      <c r="B40" s="50" t="s">
        <v>175</v>
      </c>
      <c r="C40" s="19"/>
      <c r="E40" s="1"/>
      <c r="F40" s="41" t="s">
        <v>175</v>
      </c>
      <c r="G40" s="40"/>
    </row>
    <row r="41" spans="1:10" ht="13" x14ac:dyDescent="0.3">
      <c r="A41" s="38" t="s">
        <v>223</v>
      </c>
      <c r="B41" s="50"/>
      <c r="C41" s="25"/>
      <c r="E41" s="11" t="s">
        <v>252</v>
      </c>
      <c r="F41" s="41" t="s">
        <v>175</v>
      </c>
      <c r="G41" s="40"/>
    </row>
    <row r="42" spans="1:10" ht="13" x14ac:dyDescent="0.3">
      <c r="A42" s="38" t="s">
        <v>224</v>
      </c>
      <c r="B42" s="50">
        <v>5771671</v>
      </c>
      <c r="C42" s="25">
        <v>100</v>
      </c>
      <c r="E42" s="11" t="s">
        <v>193</v>
      </c>
      <c r="F42" s="24">
        <v>281421906</v>
      </c>
      <c r="G42" s="25">
        <f>(F42/$F$42)*100</f>
        <v>100</v>
      </c>
      <c r="I42" s="20"/>
    </row>
    <row r="43" spans="1:10" ht="13" x14ac:dyDescent="0.3">
      <c r="A43" s="3" t="s">
        <v>225</v>
      </c>
      <c r="B43" s="49">
        <v>2426730</v>
      </c>
      <c r="C43" s="19">
        <f>(B43/$B$42)*100</f>
        <v>42.045535859545701</v>
      </c>
      <c r="E43" s="30" t="s">
        <v>94</v>
      </c>
      <c r="F43" s="89">
        <v>287304886</v>
      </c>
      <c r="G43" s="61">
        <f t="shared" ref="G43:G71" si="5">(F43/$F$42)*100</f>
        <v>102.09044849550553</v>
      </c>
    </row>
    <row r="44" spans="1:10" ht="13" x14ac:dyDescent="0.3">
      <c r="A44" s="3"/>
      <c r="B44" s="50" t="s">
        <v>175</v>
      </c>
      <c r="C44" s="19"/>
      <c r="E44" s="1" t="s">
        <v>253</v>
      </c>
      <c r="F44" s="41">
        <v>1202871</v>
      </c>
      <c r="G44" s="40">
        <f t="shared" si="5"/>
        <v>0.42742621464584918</v>
      </c>
    </row>
    <row r="45" spans="1:10" ht="15" x14ac:dyDescent="0.3">
      <c r="A45" s="4" t="s">
        <v>254</v>
      </c>
      <c r="B45" s="50" t="s">
        <v>175</v>
      </c>
      <c r="C45" s="19"/>
      <c r="E45" s="1" t="s">
        <v>124</v>
      </c>
      <c r="F45" s="41">
        <v>1703930</v>
      </c>
      <c r="G45" s="40">
        <f t="shared" si="5"/>
        <v>0.6054717005576673</v>
      </c>
    </row>
    <row r="46" spans="1:10" ht="13" x14ac:dyDescent="0.3">
      <c r="A46" s="4" t="s">
        <v>255</v>
      </c>
      <c r="B46" s="50">
        <v>208130352</v>
      </c>
      <c r="C46" s="56">
        <v>100</v>
      </c>
      <c r="E46" s="1" t="s">
        <v>256</v>
      </c>
      <c r="F46" s="41">
        <v>1430897</v>
      </c>
      <c r="G46" s="40">
        <f t="shared" si="5"/>
        <v>0.50845260070124032</v>
      </c>
    </row>
    <row r="47" spans="1:10" x14ac:dyDescent="0.25">
      <c r="A47" s="3" t="s">
        <v>257</v>
      </c>
      <c r="B47" s="49">
        <v>26403703</v>
      </c>
      <c r="C47" s="19">
        <f>(B47/$B$46)*100</f>
        <v>12.686137675873436</v>
      </c>
      <c r="E47" s="1" t="s">
        <v>258</v>
      </c>
      <c r="F47" s="41">
        <v>4542494</v>
      </c>
      <c r="G47" s="40">
        <f t="shared" si="5"/>
        <v>1.6141223917373368</v>
      </c>
    </row>
    <row r="48" spans="1:10" ht="13" x14ac:dyDescent="0.3">
      <c r="A48" s="3"/>
      <c r="B48" s="50" t="s">
        <v>175</v>
      </c>
      <c r="C48" s="19"/>
      <c r="E48" s="1" t="s">
        <v>259</v>
      </c>
      <c r="F48" s="41">
        <v>24515138</v>
      </c>
      <c r="G48" s="40">
        <f t="shared" si="5"/>
        <v>8.7111690587441331</v>
      </c>
    </row>
    <row r="49" spans="1:10" ht="15" x14ac:dyDescent="0.3">
      <c r="A49" s="4" t="s">
        <v>260</v>
      </c>
      <c r="B49" s="50" t="s">
        <v>175</v>
      </c>
      <c r="C49" s="19"/>
      <c r="E49" s="1" t="s">
        <v>125</v>
      </c>
      <c r="F49" s="41">
        <v>8325509</v>
      </c>
      <c r="G49" s="40">
        <f t="shared" si="5"/>
        <v>2.9583727572366025</v>
      </c>
    </row>
    <row r="50" spans="1:10" ht="15" x14ac:dyDescent="0.3">
      <c r="A50" s="4" t="s">
        <v>261</v>
      </c>
      <c r="B50" s="50" t="s">
        <v>175</v>
      </c>
      <c r="C50" s="19"/>
      <c r="E50" s="1" t="s">
        <v>126</v>
      </c>
      <c r="F50" s="41">
        <v>2435098</v>
      </c>
      <c r="G50" s="40">
        <f t="shared" si="5"/>
        <v>0.86528374233951788</v>
      </c>
    </row>
    <row r="51" spans="1:10" ht="13" x14ac:dyDescent="0.3">
      <c r="A51" s="4" t="s">
        <v>262</v>
      </c>
      <c r="B51" s="50">
        <v>64689357</v>
      </c>
      <c r="C51" s="56">
        <v>100</v>
      </c>
      <c r="E51" s="1" t="s">
        <v>263</v>
      </c>
      <c r="F51" s="41">
        <v>42885162</v>
      </c>
      <c r="G51" s="40">
        <f t="shared" si="5"/>
        <v>15.238743354968252</v>
      </c>
    </row>
    <row r="52" spans="1:10" x14ac:dyDescent="0.25">
      <c r="A52" s="3" t="s">
        <v>264</v>
      </c>
      <c r="B52" s="49">
        <v>5214334</v>
      </c>
      <c r="C52" s="19">
        <f>(B52/$B$51)*100</f>
        <v>8.0605747866685391</v>
      </c>
      <c r="E52" s="1" t="s">
        <v>265</v>
      </c>
      <c r="F52" s="41">
        <v>1153307</v>
      </c>
      <c r="G52" s="40">
        <f t="shared" si="5"/>
        <v>0.40981422391475097</v>
      </c>
    </row>
    <row r="53" spans="1:10" ht="13" x14ac:dyDescent="0.3">
      <c r="A53" s="3"/>
      <c r="B53" s="50" t="s">
        <v>175</v>
      </c>
      <c r="C53" s="19"/>
      <c r="E53" s="1" t="s">
        <v>266</v>
      </c>
      <c r="F53" s="41">
        <v>1398724</v>
      </c>
      <c r="G53" s="40">
        <f t="shared" si="5"/>
        <v>0.49702029947874771</v>
      </c>
      <c r="I53" s="58" t="s">
        <v>175</v>
      </c>
    </row>
    <row r="54" spans="1:10" ht="15" x14ac:dyDescent="0.3">
      <c r="A54" s="4" t="s">
        <v>267</v>
      </c>
      <c r="B54" s="84">
        <v>159131544</v>
      </c>
      <c r="C54" s="56">
        <v>100</v>
      </c>
      <c r="E54" s="1" t="s">
        <v>127</v>
      </c>
      <c r="F54" s="41">
        <v>30594130</v>
      </c>
      <c r="G54" s="40">
        <f t="shared" si="5"/>
        <v>10.871268137882629</v>
      </c>
    </row>
    <row r="55" spans="1:10" ht="13" x14ac:dyDescent="0.25">
      <c r="A55" s="3" t="s">
        <v>264</v>
      </c>
      <c r="B55" s="85">
        <v>30553796</v>
      </c>
      <c r="C55" s="19">
        <f>(B55/$B$54)*100</f>
        <v>19.200339060368822</v>
      </c>
      <c r="E55" s="1" t="s">
        <v>268</v>
      </c>
      <c r="F55" s="41">
        <v>15723555</v>
      </c>
      <c r="G55" s="40">
        <f t="shared" si="5"/>
        <v>5.5871823283010524</v>
      </c>
      <c r="J55" s="70" t="s">
        <v>175</v>
      </c>
    </row>
    <row r="56" spans="1:10" x14ac:dyDescent="0.25">
      <c r="A56" s="3" t="s">
        <v>269</v>
      </c>
      <c r="B56" s="86">
        <v>56.6</v>
      </c>
      <c r="C56" s="19" t="s">
        <v>186</v>
      </c>
      <c r="E56" s="1" t="s">
        <v>270</v>
      </c>
      <c r="F56" s="41">
        <v>659992</v>
      </c>
      <c r="G56" s="40">
        <f t="shared" si="5"/>
        <v>0.23452047830278003</v>
      </c>
    </row>
    <row r="57" spans="1:10" x14ac:dyDescent="0.25">
      <c r="A57" s="3" t="s">
        <v>271</v>
      </c>
      <c r="B57" s="85">
        <v>128577748</v>
      </c>
      <c r="C57" s="19">
        <f>(B57/$B$54)*100</f>
        <v>80.799660939631181</v>
      </c>
      <c r="E57" s="1" t="s">
        <v>272</v>
      </c>
      <c r="F57" s="41">
        <v>4477725</v>
      </c>
      <c r="G57" s="40">
        <f t="shared" si="5"/>
        <v>1.5911074811638866</v>
      </c>
    </row>
    <row r="58" spans="1:10" x14ac:dyDescent="0.25">
      <c r="A58" s="3" t="s">
        <v>269</v>
      </c>
      <c r="B58" s="87">
        <v>77.2</v>
      </c>
      <c r="C58" s="19" t="s">
        <v>186</v>
      </c>
      <c r="E58" s="1" t="s">
        <v>273</v>
      </c>
      <c r="F58" s="41">
        <v>8977444</v>
      </c>
      <c r="G58" s="40">
        <f t="shared" si="5"/>
        <v>3.1900302743312383</v>
      </c>
    </row>
    <row r="59" spans="1:10" ht="13" x14ac:dyDescent="0.3">
      <c r="A59" s="3"/>
      <c r="B59" s="50" t="s">
        <v>175</v>
      </c>
      <c r="C59" s="19"/>
      <c r="E59" s="1" t="s">
        <v>274</v>
      </c>
      <c r="F59" s="41">
        <v>1177112</v>
      </c>
      <c r="G59" s="40">
        <f t="shared" si="5"/>
        <v>0.4182730536975327</v>
      </c>
    </row>
    <row r="60" spans="1:10" ht="13" x14ac:dyDescent="0.3">
      <c r="A60" s="4" t="s">
        <v>275</v>
      </c>
      <c r="B60" s="50">
        <v>33346626</v>
      </c>
      <c r="C60" s="56">
        <v>100</v>
      </c>
      <c r="E60" s="1" t="s">
        <v>276</v>
      </c>
      <c r="F60" s="41">
        <v>2652214</v>
      </c>
      <c r="G60" s="40">
        <f t="shared" si="5"/>
        <v>0.94243338683094557</v>
      </c>
    </row>
    <row r="61" spans="1:10" x14ac:dyDescent="0.25">
      <c r="A61" s="3" t="s">
        <v>264</v>
      </c>
      <c r="B61" s="49">
        <v>13978118</v>
      </c>
      <c r="C61" s="19">
        <f>(B61/$B$60)*100</f>
        <v>41.917638084284746</v>
      </c>
      <c r="E61" s="1" t="s">
        <v>277</v>
      </c>
      <c r="F61" s="41">
        <v>4319232</v>
      </c>
      <c r="G61" s="40">
        <f t="shared" si="5"/>
        <v>1.5347888376535976</v>
      </c>
    </row>
    <row r="62" spans="1:10" ht="13" x14ac:dyDescent="0.3">
      <c r="A62" s="3"/>
      <c r="B62" s="50" t="s">
        <v>175</v>
      </c>
      <c r="C62" s="19"/>
      <c r="E62" s="1" t="s">
        <v>278</v>
      </c>
      <c r="F62" s="41">
        <v>4890581</v>
      </c>
      <c r="G62" s="40">
        <f t="shared" si="5"/>
        <v>1.7378110572529488</v>
      </c>
    </row>
    <row r="63" spans="1:10" ht="13" x14ac:dyDescent="0.3">
      <c r="A63" s="4" t="s">
        <v>279</v>
      </c>
      <c r="B63" s="50" t="s">
        <v>175</v>
      </c>
      <c r="C63" s="19"/>
      <c r="E63" s="1" t="s">
        <v>280</v>
      </c>
      <c r="F63" s="41">
        <v>797764</v>
      </c>
      <c r="G63" s="40">
        <f t="shared" si="5"/>
        <v>0.28347615554845967</v>
      </c>
    </row>
    <row r="64" spans="1:10" ht="13" x14ac:dyDescent="0.3">
      <c r="A64" s="4" t="s">
        <v>281</v>
      </c>
      <c r="B64" s="50">
        <v>262375152</v>
      </c>
      <c r="C64" s="56">
        <v>100</v>
      </c>
      <c r="E64" s="1" t="s">
        <v>282</v>
      </c>
      <c r="F64" s="41">
        <v>1781877</v>
      </c>
      <c r="G64" s="40">
        <f t="shared" si="5"/>
        <v>0.63316926010727825</v>
      </c>
    </row>
    <row r="65" spans="1:7" x14ac:dyDescent="0.25">
      <c r="A65" s="3" t="s">
        <v>181</v>
      </c>
      <c r="B65" s="49">
        <v>142027478</v>
      </c>
      <c r="C65" s="19">
        <f>(B65/$B$64)*100</f>
        <v>54.131451441712741</v>
      </c>
      <c r="E65" s="1" t="s">
        <v>283</v>
      </c>
      <c r="F65" s="41">
        <v>3998310</v>
      </c>
      <c r="G65" s="40">
        <f t="shared" si="5"/>
        <v>1.4207529388277258</v>
      </c>
    </row>
    <row r="66" spans="1:7" x14ac:dyDescent="0.25">
      <c r="A66" s="3" t="s">
        <v>182</v>
      </c>
      <c r="B66" s="49">
        <v>112851828</v>
      </c>
      <c r="C66" s="19">
        <f t="shared" ref="C66:C71" si="6">(B66/$B$64)*100</f>
        <v>43.011629393929802</v>
      </c>
      <c r="E66" s="1" t="s">
        <v>284</v>
      </c>
      <c r="F66" s="41">
        <v>911502</v>
      </c>
      <c r="G66" s="40">
        <f t="shared" si="5"/>
        <v>0.32389163052573455</v>
      </c>
    </row>
    <row r="67" spans="1:7" x14ac:dyDescent="0.25">
      <c r="A67" s="3" t="s">
        <v>285</v>
      </c>
      <c r="B67" s="49">
        <v>65435013</v>
      </c>
      <c r="C67" s="19">
        <f t="shared" si="6"/>
        <v>24.939485504328552</v>
      </c>
      <c r="E67" s="1" t="s">
        <v>286</v>
      </c>
      <c r="F67" s="41">
        <v>892922</v>
      </c>
      <c r="G67" s="40">
        <f t="shared" si="5"/>
        <v>0.31728944370094631</v>
      </c>
    </row>
    <row r="68" spans="1:7" x14ac:dyDescent="0.25">
      <c r="A68" s="3" t="s">
        <v>287</v>
      </c>
      <c r="B68" s="49">
        <v>47416815</v>
      </c>
      <c r="C68" s="19">
        <f t="shared" si="6"/>
        <v>18.072143889601254</v>
      </c>
      <c r="E68" s="1" t="s">
        <v>288</v>
      </c>
      <c r="F68" s="41">
        <v>20625093</v>
      </c>
      <c r="G68" s="40">
        <f t="shared" si="5"/>
        <v>7.3288868280211279</v>
      </c>
    </row>
    <row r="69" spans="1:7" x14ac:dyDescent="0.25">
      <c r="A69" s="3" t="s">
        <v>289</v>
      </c>
      <c r="B69" s="49">
        <v>25327355</v>
      </c>
      <c r="C69" s="19">
        <f t="shared" si="6"/>
        <v>9.6531073186381615</v>
      </c>
      <c r="E69" s="1" t="s">
        <v>290</v>
      </c>
      <c r="F69" s="41">
        <v>1753794</v>
      </c>
      <c r="G69" s="40">
        <f t="shared" si="5"/>
        <v>0.62319029279831539</v>
      </c>
    </row>
    <row r="70" spans="1:7" x14ac:dyDescent="0.25">
      <c r="A70" s="3" t="s">
        <v>291</v>
      </c>
      <c r="B70" s="49">
        <v>22089460</v>
      </c>
      <c r="C70" s="19">
        <f t="shared" si="6"/>
        <v>8.4190365709630921</v>
      </c>
      <c r="E70" s="1" t="s">
        <v>292</v>
      </c>
      <c r="F70" s="41">
        <v>1869504</v>
      </c>
      <c r="G70" s="40">
        <f t="shared" si="5"/>
        <v>0.66430649503169803</v>
      </c>
    </row>
    <row r="71" spans="1:7" x14ac:dyDescent="0.25">
      <c r="A71" s="5" t="s">
        <v>183</v>
      </c>
      <c r="B71" s="88">
        <v>7495846</v>
      </c>
      <c r="C71" s="57">
        <f t="shared" si="6"/>
        <v>2.8569191643574543</v>
      </c>
      <c r="D71" s="21"/>
      <c r="E71" s="7" t="s">
        <v>293</v>
      </c>
      <c r="F71" s="47">
        <v>91609005</v>
      </c>
      <c r="G71" s="48">
        <f t="shared" si="5"/>
        <v>32.552194071203537</v>
      </c>
    </row>
    <row r="72" spans="1:7" x14ac:dyDescent="0.25">
      <c r="B72" s="75"/>
    </row>
    <row r="73" spans="1:7" x14ac:dyDescent="0.25">
      <c r="A73" s="60" t="s">
        <v>219</v>
      </c>
      <c r="B73" s="75"/>
    </row>
    <row r="74" spans="1:7" ht="13.5" x14ac:dyDescent="0.25">
      <c r="A74" s="60" t="s">
        <v>326</v>
      </c>
      <c r="B74" s="75"/>
    </row>
    <row r="75" spans="1:7" x14ac:dyDescent="0.25">
      <c r="A75" s="60" t="s">
        <v>128</v>
      </c>
      <c r="B75" s="75"/>
    </row>
    <row r="76" spans="1:7" x14ac:dyDescent="0.25">
      <c r="A76" s="60" t="s">
        <v>91</v>
      </c>
      <c r="B76" s="75"/>
    </row>
    <row r="77" spans="1:7" x14ac:dyDescent="0.25">
      <c r="B77" s="75"/>
    </row>
    <row r="78" spans="1:7" x14ac:dyDescent="0.25">
      <c r="B78" s="75"/>
    </row>
    <row r="79" spans="1:7" x14ac:dyDescent="0.25">
      <c r="B79" s="75"/>
    </row>
    <row r="80" spans="1:7" x14ac:dyDescent="0.25">
      <c r="B80" s="75"/>
    </row>
    <row r="81" spans="2:2" x14ac:dyDescent="0.25">
      <c r="B81" s="75"/>
    </row>
    <row r="82" spans="2:2" x14ac:dyDescent="0.25">
      <c r="B82" s="75"/>
    </row>
    <row r="83" spans="2:2" x14ac:dyDescent="0.25">
      <c r="B83" s="75"/>
    </row>
    <row r="84" spans="2:2" x14ac:dyDescent="0.25">
      <c r="B84" s="75"/>
    </row>
    <row r="85" spans="2:2" x14ac:dyDescent="0.25">
      <c r="B85" s="75"/>
    </row>
    <row r="86" spans="2:2" x14ac:dyDescent="0.25">
      <c r="B86" s="75"/>
    </row>
    <row r="87" spans="2:2" x14ac:dyDescent="0.25">
      <c r="B87" s="75"/>
    </row>
    <row r="88" spans="2:2" x14ac:dyDescent="0.25">
      <c r="B88" s="75"/>
    </row>
    <row r="89" spans="2:2" x14ac:dyDescent="0.25">
      <c r="B89" s="75"/>
    </row>
    <row r="90" spans="2:2" x14ac:dyDescent="0.25">
      <c r="B90" s="75"/>
    </row>
    <row r="91" spans="2:2" x14ac:dyDescent="0.25">
      <c r="B91" s="75"/>
    </row>
    <row r="92" spans="2:2" x14ac:dyDescent="0.25">
      <c r="B92" s="75"/>
    </row>
    <row r="93" spans="2:2" x14ac:dyDescent="0.25">
      <c r="B93" s="75"/>
    </row>
    <row r="94" spans="2:2" x14ac:dyDescent="0.25">
      <c r="B94" s="75"/>
    </row>
    <row r="95" spans="2:2" x14ac:dyDescent="0.25">
      <c r="B95" s="75"/>
    </row>
    <row r="96" spans="2:2" x14ac:dyDescent="0.25">
      <c r="B96" s="75"/>
    </row>
    <row r="97" spans="2:2" x14ac:dyDescent="0.25">
      <c r="B97" s="75"/>
    </row>
    <row r="98" spans="2:2" x14ac:dyDescent="0.25">
      <c r="B98" s="75"/>
    </row>
    <row r="99" spans="2:2" x14ac:dyDescent="0.25">
      <c r="B99" s="75"/>
    </row>
    <row r="100" spans="2:2" x14ac:dyDescent="0.25">
      <c r="B100" s="75"/>
    </row>
    <row r="101" spans="2:2" x14ac:dyDescent="0.25">
      <c r="B101" s="75"/>
    </row>
    <row r="102" spans="2:2" x14ac:dyDescent="0.25">
      <c r="B102" s="75"/>
    </row>
    <row r="103" spans="2:2" x14ac:dyDescent="0.25">
      <c r="B103" s="75"/>
    </row>
    <row r="104" spans="2:2" x14ac:dyDescent="0.25">
      <c r="B104" s="75"/>
    </row>
    <row r="105" spans="2:2" x14ac:dyDescent="0.25">
      <c r="B105" s="75"/>
    </row>
    <row r="106" spans="2:2" x14ac:dyDescent="0.25">
      <c r="B106" s="75"/>
    </row>
    <row r="107" spans="2:2" x14ac:dyDescent="0.25">
      <c r="B107" s="75"/>
    </row>
    <row r="108" spans="2:2" x14ac:dyDescent="0.25">
      <c r="B108" s="75"/>
    </row>
    <row r="109" spans="2:2" x14ac:dyDescent="0.25">
      <c r="B109" s="75"/>
    </row>
    <row r="110" spans="2:2" x14ac:dyDescent="0.25">
      <c r="B110" s="75"/>
    </row>
    <row r="111" spans="2:2" x14ac:dyDescent="0.25">
      <c r="B111" s="75"/>
    </row>
    <row r="112" spans="2:2" x14ac:dyDescent="0.25">
      <c r="B112" s="75"/>
    </row>
    <row r="113" spans="2:2" x14ac:dyDescent="0.25">
      <c r="B113" s="75"/>
    </row>
    <row r="114" spans="2:2" x14ac:dyDescent="0.25">
      <c r="B114" s="75"/>
    </row>
    <row r="115" spans="2:2" x14ac:dyDescent="0.25">
      <c r="B115" s="75"/>
    </row>
    <row r="116" spans="2:2" x14ac:dyDescent="0.25">
      <c r="B116" s="75"/>
    </row>
    <row r="117" spans="2:2" x14ac:dyDescent="0.25">
      <c r="B117" s="75"/>
    </row>
    <row r="118" spans="2:2" x14ac:dyDescent="0.25">
      <c r="B118" s="75"/>
    </row>
    <row r="119" spans="2:2" x14ac:dyDescent="0.25">
      <c r="B119" s="75"/>
    </row>
    <row r="120" spans="2:2" x14ac:dyDescent="0.25">
      <c r="B120" s="75"/>
    </row>
    <row r="121" spans="2:2" x14ac:dyDescent="0.25">
      <c r="B121" s="75"/>
    </row>
    <row r="122" spans="2:2" x14ac:dyDescent="0.25">
      <c r="B122" s="75"/>
    </row>
    <row r="123" spans="2:2" x14ac:dyDescent="0.25">
      <c r="B123" s="75"/>
    </row>
    <row r="124" spans="2:2" x14ac:dyDescent="0.25">
      <c r="B124" s="75"/>
    </row>
    <row r="125" spans="2:2" x14ac:dyDescent="0.25">
      <c r="B125" s="75"/>
    </row>
    <row r="126" spans="2:2" x14ac:dyDescent="0.25">
      <c r="B126" s="75"/>
    </row>
    <row r="127" spans="2:2" x14ac:dyDescent="0.25">
      <c r="B127" s="75"/>
    </row>
    <row r="128" spans="2:2" x14ac:dyDescent="0.25">
      <c r="B128" s="75"/>
    </row>
    <row r="129" spans="2:2" x14ac:dyDescent="0.25">
      <c r="B129" s="75"/>
    </row>
    <row r="130" spans="2:2" x14ac:dyDescent="0.25">
      <c r="B130" s="75"/>
    </row>
    <row r="131" spans="2:2" x14ac:dyDescent="0.25">
      <c r="B131" s="75"/>
    </row>
    <row r="132" spans="2:2" x14ac:dyDescent="0.25">
      <c r="B132" s="75"/>
    </row>
    <row r="133" spans="2:2" x14ac:dyDescent="0.25">
      <c r="B133" s="75"/>
    </row>
    <row r="134" spans="2:2" x14ac:dyDescent="0.25">
      <c r="B134" s="75"/>
    </row>
    <row r="135" spans="2:2" x14ac:dyDescent="0.25">
      <c r="B135" s="75"/>
    </row>
    <row r="136" spans="2:2" x14ac:dyDescent="0.25">
      <c r="B136" s="75"/>
    </row>
    <row r="137" spans="2:2" x14ac:dyDescent="0.25">
      <c r="B137" s="75"/>
    </row>
    <row r="138" spans="2:2" x14ac:dyDescent="0.25">
      <c r="B138" s="75"/>
    </row>
    <row r="139" spans="2:2" x14ac:dyDescent="0.25">
      <c r="B139" s="75"/>
    </row>
    <row r="140" spans="2:2" x14ac:dyDescent="0.25">
      <c r="B140" s="75"/>
    </row>
    <row r="141" spans="2:2" x14ac:dyDescent="0.25">
      <c r="B141" s="75"/>
    </row>
    <row r="142" spans="2:2" x14ac:dyDescent="0.25">
      <c r="B142" s="75"/>
    </row>
    <row r="143" spans="2:2" x14ac:dyDescent="0.25">
      <c r="B143" s="75"/>
    </row>
    <row r="144" spans="2:2" x14ac:dyDescent="0.25">
      <c r="B144" s="75"/>
    </row>
    <row r="145" spans="2:2" x14ac:dyDescent="0.25">
      <c r="B145" s="75"/>
    </row>
    <row r="146" spans="2:2" x14ac:dyDescent="0.25">
      <c r="B146" s="75"/>
    </row>
    <row r="147" spans="2:2" x14ac:dyDescent="0.25">
      <c r="B147" s="75"/>
    </row>
    <row r="148" spans="2:2" x14ac:dyDescent="0.25">
      <c r="B148" s="75"/>
    </row>
    <row r="149" spans="2:2" x14ac:dyDescent="0.25">
      <c r="B149" s="75"/>
    </row>
    <row r="150" spans="2:2" x14ac:dyDescent="0.25">
      <c r="B150" s="75"/>
    </row>
    <row r="151" spans="2:2" x14ac:dyDescent="0.25">
      <c r="B151" s="75"/>
    </row>
    <row r="152" spans="2:2" x14ac:dyDescent="0.25">
      <c r="B152" s="75"/>
    </row>
    <row r="153" spans="2:2" x14ac:dyDescent="0.25">
      <c r="B153" s="75"/>
    </row>
    <row r="154" spans="2:2" x14ac:dyDescent="0.25">
      <c r="B154" s="75"/>
    </row>
    <row r="155" spans="2:2" x14ac:dyDescent="0.25">
      <c r="B155" s="75"/>
    </row>
    <row r="156" spans="2:2" x14ac:dyDescent="0.25">
      <c r="B156" s="75"/>
    </row>
    <row r="157" spans="2:2" x14ac:dyDescent="0.25">
      <c r="B157" s="75"/>
    </row>
    <row r="158" spans="2:2" x14ac:dyDescent="0.25">
      <c r="B158" s="75"/>
    </row>
    <row r="159" spans="2:2" x14ac:dyDescent="0.25">
      <c r="B159" s="75"/>
    </row>
    <row r="160" spans="2:2" x14ac:dyDescent="0.25">
      <c r="B160" s="75"/>
    </row>
    <row r="161" spans="2:2" x14ac:dyDescent="0.25">
      <c r="B161" s="75"/>
    </row>
    <row r="162" spans="2:2" x14ac:dyDescent="0.25">
      <c r="B162" s="75"/>
    </row>
    <row r="163" spans="2:2" x14ac:dyDescent="0.25">
      <c r="B163" s="75"/>
    </row>
    <row r="164" spans="2:2" x14ac:dyDescent="0.25">
      <c r="B164" s="75"/>
    </row>
    <row r="165" spans="2:2" x14ac:dyDescent="0.25">
      <c r="B165" s="75"/>
    </row>
    <row r="166" spans="2:2" x14ac:dyDescent="0.25">
      <c r="B166" s="75"/>
    </row>
    <row r="167" spans="2:2" x14ac:dyDescent="0.25">
      <c r="B167" s="75"/>
    </row>
    <row r="168" spans="2:2" x14ac:dyDescent="0.25">
      <c r="B168" s="75"/>
    </row>
    <row r="169" spans="2:2" x14ac:dyDescent="0.25">
      <c r="B169" s="75"/>
    </row>
    <row r="170" spans="2:2" x14ac:dyDescent="0.25">
      <c r="B170" s="75"/>
    </row>
    <row r="171" spans="2:2" x14ac:dyDescent="0.25">
      <c r="B171" s="75"/>
    </row>
    <row r="172" spans="2:2" x14ac:dyDescent="0.25">
      <c r="B172" s="75"/>
    </row>
    <row r="173" spans="2:2" x14ac:dyDescent="0.25">
      <c r="B173" s="75"/>
    </row>
    <row r="174" spans="2:2" x14ac:dyDescent="0.25">
      <c r="B174" s="75"/>
    </row>
    <row r="175" spans="2:2" x14ac:dyDescent="0.25">
      <c r="B175" s="75"/>
    </row>
    <row r="176" spans="2:2" x14ac:dyDescent="0.25">
      <c r="B176" s="75"/>
    </row>
    <row r="177" spans="2:2" x14ac:dyDescent="0.25">
      <c r="B177" s="75"/>
    </row>
    <row r="178" spans="2:2" x14ac:dyDescent="0.25">
      <c r="B178" s="75"/>
    </row>
    <row r="179" spans="2:2" x14ac:dyDescent="0.25">
      <c r="B179" s="75"/>
    </row>
    <row r="180" spans="2:2" x14ac:dyDescent="0.25">
      <c r="B180" s="75"/>
    </row>
    <row r="181" spans="2:2" x14ac:dyDescent="0.25">
      <c r="B181" s="75"/>
    </row>
    <row r="182" spans="2:2" x14ac:dyDescent="0.25">
      <c r="B182" s="75"/>
    </row>
    <row r="183" spans="2:2" x14ac:dyDescent="0.25">
      <c r="B183" s="75"/>
    </row>
    <row r="184" spans="2:2" x14ac:dyDescent="0.25">
      <c r="B184" s="75"/>
    </row>
    <row r="185" spans="2:2" x14ac:dyDescent="0.25">
      <c r="B185" s="75"/>
    </row>
    <row r="186" spans="2:2" x14ac:dyDescent="0.25">
      <c r="B186" s="75"/>
    </row>
    <row r="187" spans="2:2" x14ac:dyDescent="0.25">
      <c r="B187" s="75"/>
    </row>
    <row r="188" spans="2:2" x14ac:dyDescent="0.25">
      <c r="B188" s="75"/>
    </row>
    <row r="189" spans="2:2" x14ac:dyDescent="0.25">
      <c r="B189" s="75"/>
    </row>
    <row r="190" spans="2:2" x14ac:dyDescent="0.25">
      <c r="B190" s="75"/>
    </row>
    <row r="191" spans="2:2" x14ac:dyDescent="0.25">
      <c r="B191" s="75"/>
    </row>
    <row r="192" spans="2:2" x14ac:dyDescent="0.25">
      <c r="B192" s="75"/>
    </row>
    <row r="193" spans="2:2" x14ac:dyDescent="0.25">
      <c r="B193" s="75"/>
    </row>
    <row r="194" spans="2:2" x14ac:dyDescent="0.25">
      <c r="B194" s="75"/>
    </row>
    <row r="195" spans="2:2" x14ac:dyDescent="0.25">
      <c r="B195" s="75"/>
    </row>
    <row r="196" spans="2:2" x14ac:dyDescent="0.25">
      <c r="B196" s="75"/>
    </row>
    <row r="197" spans="2:2" x14ac:dyDescent="0.25">
      <c r="B197" s="75"/>
    </row>
    <row r="198" spans="2:2" x14ac:dyDescent="0.25">
      <c r="B198" s="75"/>
    </row>
    <row r="199" spans="2:2" x14ac:dyDescent="0.25">
      <c r="B199" s="75"/>
    </row>
    <row r="200" spans="2:2" x14ac:dyDescent="0.25">
      <c r="B200" s="75"/>
    </row>
    <row r="201" spans="2:2" x14ac:dyDescent="0.25">
      <c r="B201" s="75"/>
    </row>
    <row r="202" spans="2:2" x14ac:dyDescent="0.25">
      <c r="B202" s="75"/>
    </row>
    <row r="203" spans="2:2" x14ac:dyDescent="0.25">
      <c r="B203" s="75"/>
    </row>
    <row r="204" spans="2:2" x14ac:dyDescent="0.25">
      <c r="B204" s="75"/>
    </row>
    <row r="205" spans="2:2" x14ac:dyDescent="0.25">
      <c r="B205" s="75"/>
    </row>
    <row r="206" spans="2:2" x14ac:dyDescent="0.25">
      <c r="B206" s="75"/>
    </row>
    <row r="207" spans="2:2" x14ac:dyDescent="0.25">
      <c r="B207" s="75"/>
    </row>
    <row r="208" spans="2:2" x14ac:dyDescent="0.25">
      <c r="B208" s="75"/>
    </row>
    <row r="209" spans="2:2" x14ac:dyDescent="0.25">
      <c r="B209" s="75"/>
    </row>
    <row r="210" spans="2:2" x14ac:dyDescent="0.25">
      <c r="B210" s="75"/>
    </row>
    <row r="211" spans="2:2" x14ac:dyDescent="0.25">
      <c r="B211" s="75"/>
    </row>
    <row r="212" spans="2:2" x14ac:dyDescent="0.25">
      <c r="B212" s="75"/>
    </row>
    <row r="213" spans="2:2" x14ac:dyDescent="0.25">
      <c r="B213" s="75"/>
    </row>
    <row r="214" spans="2:2" x14ac:dyDescent="0.25">
      <c r="B214" s="75"/>
    </row>
    <row r="215" spans="2:2" x14ac:dyDescent="0.25">
      <c r="B215" s="75"/>
    </row>
    <row r="216" spans="2:2" x14ac:dyDescent="0.25">
      <c r="B216" s="75"/>
    </row>
  </sheetData>
  <phoneticPr fontId="3" type="noConversion"/>
  <pageMargins left="0.49" right="0.34" top="0.3" bottom="0.23" header="0.28999999999999998" footer="0.27"/>
  <pageSetup scale="7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76"/>
  <sheetViews>
    <sheetView showGridLines="0" zoomScaleNormal="100" zoomScaleSheetLayoutView="100" workbookViewId="0"/>
  </sheetViews>
  <sheetFormatPr defaultColWidth="9.1796875" defaultRowHeight="12.5" x14ac:dyDescent="0.25"/>
  <cols>
    <col min="1" max="1" width="44.1796875" customWidth="1"/>
    <col min="2" max="2" width="11" style="52" customWidth="1"/>
    <col min="3" max="3" width="8.7265625" style="52" bestFit="1" customWidth="1"/>
    <col min="4" max="4" width="0.7265625" customWidth="1"/>
    <col min="5" max="5" width="40.54296875" customWidth="1"/>
    <col min="6" max="6" width="11.1796875" style="52" customWidth="1"/>
    <col min="7" max="7" width="8.7265625" style="52" customWidth="1"/>
  </cols>
  <sheetData>
    <row r="1" spans="1:7" ht="14" x14ac:dyDescent="0.3">
      <c r="A1" s="59" t="s">
        <v>301</v>
      </c>
      <c r="B1" s="62"/>
      <c r="C1" s="62"/>
      <c r="D1" s="32"/>
      <c r="E1" s="32"/>
      <c r="F1" s="63"/>
      <c r="G1" s="63"/>
    </row>
    <row r="2" spans="1:7" x14ac:dyDescent="0.25">
      <c r="A2" t="s">
        <v>327</v>
      </c>
      <c r="B2" s="63"/>
      <c r="C2" s="63"/>
      <c r="D2" s="33"/>
      <c r="E2" s="33"/>
      <c r="F2" s="63"/>
      <c r="G2" s="63"/>
    </row>
    <row r="3" spans="1:7" x14ac:dyDescent="0.25">
      <c r="A3" s="33"/>
      <c r="B3" s="63"/>
      <c r="C3" s="63"/>
      <c r="D3" s="33"/>
      <c r="E3" s="33"/>
      <c r="F3" s="63"/>
      <c r="G3" s="63"/>
    </row>
    <row r="4" spans="1:7" ht="13" thickBot="1" x14ac:dyDescent="0.3">
      <c r="A4" s="34" t="s">
        <v>192</v>
      </c>
      <c r="B4" s="64"/>
      <c r="C4" s="64"/>
      <c r="D4" s="34"/>
      <c r="E4" s="34"/>
      <c r="F4" s="64"/>
      <c r="G4" s="64"/>
    </row>
    <row r="5" spans="1:7" ht="13" thickTop="1" x14ac:dyDescent="0.25">
      <c r="A5" s="35"/>
      <c r="B5" s="76"/>
      <c r="C5" s="65"/>
      <c r="D5" s="37"/>
      <c r="E5" s="36"/>
      <c r="F5" s="76"/>
      <c r="G5" s="65"/>
    </row>
    <row r="6" spans="1:7" ht="13" x14ac:dyDescent="0.3">
      <c r="A6" s="15" t="s">
        <v>178</v>
      </c>
      <c r="B6" s="16" t="s">
        <v>179</v>
      </c>
      <c r="C6" s="9" t="s">
        <v>180</v>
      </c>
      <c r="D6" s="17"/>
      <c r="E6" s="18" t="s">
        <v>178</v>
      </c>
      <c r="F6" s="16" t="s">
        <v>179</v>
      </c>
      <c r="G6" s="9" t="s">
        <v>180</v>
      </c>
    </row>
    <row r="7" spans="1:7" ht="13" x14ac:dyDescent="0.3">
      <c r="A7" s="31"/>
      <c r="B7" s="77"/>
      <c r="C7" s="66"/>
      <c r="D7" s="33"/>
      <c r="E7" s="23"/>
      <c r="F7" s="77"/>
      <c r="G7" s="66"/>
    </row>
    <row r="8" spans="1:7" ht="13" x14ac:dyDescent="0.3">
      <c r="A8" s="38" t="s">
        <v>302</v>
      </c>
      <c r="B8" s="77"/>
      <c r="C8" s="66"/>
      <c r="D8" s="33"/>
      <c r="E8" s="23" t="s">
        <v>303</v>
      </c>
      <c r="F8" s="77"/>
      <c r="G8" s="66"/>
    </row>
    <row r="9" spans="1:7" ht="13" x14ac:dyDescent="0.3">
      <c r="A9" s="38" t="s">
        <v>304</v>
      </c>
      <c r="B9" s="24">
        <v>217168077</v>
      </c>
      <c r="C9" s="25">
        <f>(B9/$B$9)*100</f>
        <v>100</v>
      </c>
      <c r="D9" s="33"/>
      <c r="E9" s="23" t="s">
        <v>305</v>
      </c>
      <c r="F9" s="24">
        <v>105539122</v>
      </c>
      <c r="G9" s="25">
        <f>(F9/$F$9)*100</f>
        <v>100</v>
      </c>
    </row>
    <row r="10" spans="1:7" x14ac:dyDescent="0.25">
      <c r="A10" s="31" t="s">
        <v>306</v>
      </c>
      <c r="B10" s="41">
        <v>138820935</v>
      </c>
      <c r="C10" s="40">
        <f>(B10/$B$9)*100</f>
        <v>63.923269440747497</v>
      </c>
      <c r="D10" s="33"/>
      <c r="E10" s="39" t="s">
        <v>307</v>
      </c>
      <c r="F10" s="41">
        <v>10067027</v>
      </c>
      <c r="G10" s="40">
        <f t="shared" ref="G10:G19" si="0">(F10/$F$9)*100</f>
        <v>9.5386685138426675</v>
      </c>
    </row>
    <row r="11" spans="1:7" x14ac:dyDescent="0.25">
      <c r="A11" s="31" t="s">
        <v>308</v>
      </c>
      <c r="B11" s="41">
        <v>137668798</v>
      </c>
      <c r="C11" s="40">
        <f t="shared" ref="C11:C16" si="1">(B11/$B$9)*100</f>
        <v>63.392741650514317</v>
      </c>
      <c r="D11" s="33"/>
      <c r="E11" s="39" t="s">
        <v>309</v>
      </c>
      <c r="F11" s="41">
        <v>6657228</v>
      </c>
      <c r="G11" s="40">
        <f t="shared" si="0"/>
        <v>6.3078296217017993</v>
      </c>
    </row>
    <row r="12" spans="1:7" x14ac:dyDescent="0.25">
      <c r="A12" s="31" t="s">
        <v>310</v>
      </c>
      <c r="B12" s="41">
        <v>129721512</v>
      </c>
      <c r="C12" s="40">
        <f t="shared" si="1"/>
        <v>59.733232338747463</v>
      </c>
      <c r="D12" s="33"/>
      <c r="E12" s="39" t="s">
        <v>311</v>
      </c>
      <c r="F12" s="41">
        <v>13536965</v>
      </c>
      <c r="G12" s="40">
        <f t="shared" si="0"/>
        <v>12.82649006687776</v>
      </c>
    </row>
    <row r="13" spans="1:7" x14ac:dyDescent="0.25">
      <c r="A13" s="31" t="s">
        <v>312</v>
      </c>
      <c r="B13" s="41">
        <v>7947286</v>
      </c>
      <c r="C13" s="40">
        <f t="shared" si="1"/>
        <v>3.6595093117668487</v>
      </c>
      <c r="D13" s="33"/>
      <c r="E13" s="39" t="s">
        <v>313</v>
      </c>
      <c r="F13" s="41">
        <v>13519242</v>
      </c>
      <c r="G13" s="40">
        <f t="shared" si="0"/>
        <v>12.809697241938398</v>
      </c>
    </row>
    <row r="14" spans="1:7" x14ac:dyDescent="0.25">
      <c r="A14" s="31" t="s">
        <v>314</v>
      </c>
      <c r="B14" s="78">
        <v>5.8</v>
      </c>
      <c r="C14" s="40" t="s">
        <v>186</v>
      </c>
      <c r="D14" s="33"/>
      <c r="E14" s="39" t="s">
        <v>315</v>
      </c>
      <c r="F14" s="41">
        <v>17446272</v>
      </c>
      <c r="G14" s="40">
        <f t="shared" si="0"/>
        <v>16.530620749336915</v>
      </c>
    </row>
    <row r="15" spans="1:7" x14ac:dyDescent="0.25">
      <c r="A15" s="31" t="s">
        <v>316</v>
      </c>
      <c r="B15" s="79">
        <v>1152137</v>
      </c>
      <c r="C15" s="40">
        <f t="shared" si="1"/>
        <v>0.5305277902331843</v>
      </c>
      <c r="D15" s="33"/>
      <c r="E15" s="39" t="s">
        <v>317</v>
      </c>
      <c r="F15" s="41">
        <v>20540604</v>
      </c>
      <c r="G15" s="40">
        <f t="shared" si="0"/>
        <v>19.46254963159538</v>
      </c>
    </row>
    <row r="16" spans="1:7" x14ac:dyDescent="0.25">
      <c r="A16" s="31" t="s">
        <v>0</v>
      </c>
      <c r="B16" s="41">
        <v>78347142</v>
      </c>
      <c r="C16" s="40">
        <f t="shared" si="1"/>
        <v>36.076730559252503</v>
      </c>
      <c r="D16" s="33"/>
      <c r="E16" s="39" t="s">
        <v>1</v>
      </c>
      <c r="F16" s="41">
        <v>10799245</v>
      </c>
      <c r="G16" s="40">
        <f t="shared" si="0"/>
        <v>10.232456737701494</v>
      </c>
    </row>
    <row r="17" spans="1:7" x14ac:dyDescent="0.25">
      <c r="A17" s="31"/>
      <c r="B17" s="41" t="s">
        <v>175</v>
      </c>
      <c r="C17" s="40" t="s">
        <v>175</v>
      </c>
      <c r="D17" s="33"/>
      <c r="E17" s="39" t="s">
        <v>2</v>
      </c>
      <c r="F17" s="41">
        <v>8147826</v>
      </c>
      <c r="G17" s="40">
        <f t="shared" si="0"/>
        <v>7.7201949813454007</v>
      </c>
    </row>
    <row r="18" spans="1:7" ht="13" x14ac:dyDescent="0.3">
      <c r="A18" s="38" t="s">
        <v>3</v>
      </c>
      <c r="B18" s="24">
        <v>112185795</v>
      </c>
      <c r="C18" s="25">
        <f>(B18/$B$18)*100</f>
        <v>100</v>
      </c>
      <c r="D18" s="33"/>
      <c r="E18" s="39" t="s">
        <v>96</v>
      </c>
      <c r="F18" s="41">
        <v>2322038</v>
      </c>
      <c r="G18" s="40">
        <f t="shared" si="0"/>
        <v>2.2001680097357643</v>
      </c>
    </row>
    <row r="19" spans="1:7" x14ac:dyDescent="0.25">
      <c r="A19" s="31" t="s">
        <v>306</v>
      </c>
      <c r="B19" s="41">
        <v>64547732</v>
      </c>
      <c r="C19" s="40">
        <f>(B19/$B$18)*100</f>
        <v>57.536457267161147</v>
      </c>
      <c r="D19" s="33"/>
      <c r="E19" s="39" t="s">
        <v>95</v>
      </c>
      <c r="F19" s="41">
        <v>2502675</v>
      </c>
      <c r="G19" s="40">
        <f t="shared" si="0"/>
        <v>2.3713244459244223</v>
      </c>
    </row>
    <row r="20" spans="1:7" x14ac:dyDescent="0.25">
      <c r="A20" s="31" t="s">
        <v>308</v>
      </c>
      <c r="B20" s="41">
        <v>64383493</v>
      </c>
      <c r="C20" s="40">
        <f>(B20/$B$18)*100</f>
        <v>57.390058161998134</v>
      </c>
      <c r="D20" s="33"/>
      <c r="E20" s="39" t="s">
        <v>4</v>
      </c>
      <c r="F20" s="41">
        <v>41994</v>
      </c>
      <c r="G20" s="40" t="s">
        <v>186</v>
      </c>
    </row>
    <row r="21" spans="1:7" x14ac:dyDescent="0.25">
      <c r="A21" s="31" t="s">
        <v>310</v>
      </c>
      <c r="B21" s="41">
        <v>60630069</v>
      </c>
      <c r="C21" s="40">
        <f>(B21/$B$18)*100</f>
        <v>54.04433689666326</v>
      </c>
      <c r="D21" s="33"/>
      <c r="E21" s="39"/>
      <c r="F21" s="41" t="s">
        <v>175</v>
      </c>
      <c r="G21" s="40" t="s">
        <v>175</v>
      </c>
    </row>
    <row r="22" spans="1:7" x14ac:dyDescent="0.25">
      <c r="A22" s="31"/>
      <c r="B22" s="41" t="s">
        <v>175</v>
      </c>
      <c r="C22" s="40" t="s">
        <v>175</v>
      </c>
      <c r="D22" s="33"/>
      <c r="E22" s="39" t="s">
        <v>5</v>
      </c>
      <c r="F22" s="41">
        <v>84962743</v>
      </c>
      <c r="G22" s="40">
        <f>(F22/$F$9)*100</f>
        <v>80.503552985782846</v>
      </c>
    </row>
    <row r="23" spans="1:7" ht="15" x14ac:dyDescent="0.3">
      <c r="A23" s="38" t="s">
        <v>6</v>
      </c>
      <c r="B23" s="24">
        <v>21833613</v>
      </c>
      <c r="C23" s="25">
        <f>(B23/$B$23)*100</f>
        <v>100</v>
      </c>
      <c r="D23" s="33"/>
      <c r="E23" s="39" t="s">
        <v>319</v>
      </c>
      <c r="F23" s="41">
        <v>56604</v>
      </c>
      <c r="G23" s="40" t="s">
        <v>186</v>
      </c>
    </row>
    <row r="24" spans="1:7" x14ac:dyDescent="0.25">
      <c r="A24" s="31" t="s">
        <v>7</v>
      </c>
      <c r="B24" s="41">
        <v>12787501</v>
      </c>
      <c r="C24" s="40">
        <f>(B24/$B$23)*100</f>
        <v>58.567956663883351</v>
      </c>
      <c r="D24" s="33"/>
      <c r="E24" s="39" t="s">
        <v>8</v>
      </c>
      <c r="F24" s="41">
        <v>27084417</v>
      </c>
      <c r="G24" s="40">
        <f>(F24/$F$9)*100</f>
        <v>25.662916733379689</v>
      </c>
    </row>
    <row r="25" spans="1:7" ht="14.5" x14ac:dyDescent="0.25">
      <c r="A25" s="31"/>
      <c r="B25" s="41" t="s">
        <v>175</v>
      </c>
      <c r="C25" s="40" t="s">
        <v>175</v>
      </c>
      <c r="D25" s="33"/>
      <c r="E25" s="39" t="s">
        <v>320</v>
      </c>
      <c r="F25" s="41">
        <v>11320</v>
      </c>
      <c r="G25" s="40" t="s">
        <v>186</v>
      </c>
    </row>
    <row r="26" spans="1:7" ht="13" x14ac:dyDescent="0.3">
      <c r="A26" s="38" t="s">
        <v>11</v>
      </c>
      <c r="B26" s="41" t="s">
        <v>175</v>
      </c>
      <c r="C26" s="40" t="s">
        <v>175</v>
      </c>
      <c r="D26" s="33"/>
      <c r="E26" s="39" t="s">
        <v>36</v>
      </c>
      <c r="F26" s="41">
        <v>4615885</v>
      </c>
      <c r="G26" s="40">
        <f>(F26/$F$9)*100</f>
        <v>4.3736245977107906</v>
      </c>
    </row>
    <row r="27" spans="1:7" ht="15" x14ac:dyDescent="0.3">
      <c r="A27" s="38" t="s">
        <v>13</v>
      </c>
      <c r="B27" s="24">
        <v>128279228</v>
      </c>
      <c r="C27" s="25">
        <f>(B27/$B$27)*100</f>
        <v>100</v>
      </c>
      <c r="D27" s="33"/>
      <c r="E27" s="39" t="s">
        <v>321</v>
      </c>
      <c r="F27" s="41">
        <v>6320</v>
      </c>
      <c r="G27" s="40" t="s">
        <v>186</v>
      </c>
    </row>
    <row r="28" spans="1:7" x14ac:dyDescent="0.25">
      <c r="A28" s="31" t="s">
        <v>14</v>
      </c>
      <c r="B28" s="41">
        <v>97102050</v>
      </c>
      <c r="C28" s="40">
        <f t="shared" ref="C28:C33" si="2">(B28/$B$27)*100</f>
        <v>75.69584843463511</v>
      </c>
      <c r="D28" s="33"/>
      <c r="E28" s="39" t="s">
        <v>9</v>
      </c>
      <c r="F28" s="41">
        <v>3629732</v>
      </c>
      <c r="G28" s="40">
        <f>(F28/$F$9)*100</f>
        <v>3.4392289145630759</v>
      </c>
    </row>
    <row r="29" spans="1:7" ht="14.5" x14ac:dyDescent="0.25">
      <c r="A29" s="31" t="s">
        <v>15</v>
      </c>
      <c r="B29" s="41">
        <v>15634051</v>
      </c>
      <c r="C29" s="40">
        <f t="shared" si="2"/>
        <v>12.187515659199322</v>
      </c>
      <c r="D29" s="33"/>
      <c r="E29" s="39" t="s">
        <v>322</v>
      </c>
      <c r="F29" s="41">
        <v>3032</v>
      </c>
      <c r="G29" s="40" t="s">
        <v>186</v>
      </c>
    </row>
    <row r="30" spans="1:7" x14ac:dyDescent="0.25">
      <c r="A30" s="31" t="s">
        <v>16</v>
      </c>
      <c r="B30" s="41">
        <v>6067703</v>
      </c>
      <c r="C30" s="40">
        <f t="shared" si="2"/>
        <v>4.7300744591322292</v>
      </c>
      <c r="D30" s="33"/>
      <c r="E30" s="39" t="s">
        <v>10</v>
      </c>
      <c r="F30" s="41">
        <v>17659058</v>
      </c>
      <c r="G30" s="40">
        <f>(F30/$F$9)*100</f>
        <v>16.732238875362256</v>
      </c>
    </row>
    <row r="31" spans="1:7" ht="14.5" x14ac:dyDescent="0.25">
      <c r="A31" s="31" t="s">
        <v>41</v>
      </c>
      <c r="B31" s="41">
        <v>3758982</v>
      </c>
      <c r="C31" s="40">
        <f t="shared" si="2"/>
        <v>2.930312302783737</v>
      </c>
      <c r="D31" s="33"/>
      <c r="E31" s="39" t="s">
        <v>323</v>
      </c>
      <c r="F31" s="41">
        <v>17376</v>
      </c>
      <c r="G31" s="40" t="s">
        <v>186</v>
      </c>
    </row>
    <row r="32" spans="1:7" ht="13" x14ac:dyDescent="0.3">
      <c r="A32" s="31" t="s">
        <v>17</v>
      </c>
      <c r="B32" s="41">
        <v>1532219</v>
      </c>
      <c r="C32" s="40">
        <f t="shared" si="2"/>
        <v>1.1944404592144879</v>
      </c>
      <c r="D32" s="33"/>
      <c r="E32" s="23"/>
      <c r="F32" s="41" t="s">
        <v>175</v>
      </c>
      <c r="G32" s="40" t="s">
        <v>175</v>
      </c>
    </row>
    <row r="33" spans="1:7" ht="13" x14ac:dyDescent="0.3">
      <c r="A33" s="31" t="s">
        <v>18</v>
      </c>
      <c r="B33" s="41">
        <v>4184223</v>
      </c>
      <c r="C33" s="40">
        <f t="shared" si="2"/>
        <v>3.2618086850351178</v>
      </c>
      <c r="D33" s="33"/>
      <c r="E33" s="23" t="s">
        <v>12</v>
      </c>
      <c r="F33" s="24">
        <v>72261780</v>
      </c>
      <c r="G33" s="25">
        <f>(F33/$F$33)*100</f>
        <v>100</v>
      </c>
    </row>
    <row r="34" spans="1:7" ht="14.5" x14ac:dyDescent="0.25">
      <c r="A34" s="31" t="s">
        <v>318</v>
      </c>
      <c r="B34" s="78">
        <v>25.5</v>
      </c>
      <c r="C34" s="40" t="s">
        <v>186</v>
      </c>
      <c r="D34" s="33"/>
      <c r="E34" s="39" t="s">
        <v>307</v>
      </c>
      <c r="F34" s="41">
        <v>4155386</v>
      </c>
      <c r="G34" s="40">
        <f t="shared" ref="G34:G43" si="3">(F34/$F$33)*100</f>
        <v>5.7504617240261728</v>
      </c>
    </row>
    <row r="35" spans="1:7" x14ac:dyDescent="0.25">
      <c r="A35" s="31"/>
      <c r="B35" s="41" t="s">
        <v>175</v>
      </c>
      <c r="C35" s="40" t="s">
        <v>175</v>
      </c>
      <c r="D35" s="33"/>
      <c r="E35" s="39" t="s">
        <v>309</v>
      </c>
      <c r="F35" s="41">
        <v>3115586</v>
      </c>
      <c r="G35" s="40">
        <f t="shared" si="3"/>
        <v>4.3115267849754044</v>
      </c>
    </row>
    <row r="36" spans="1:7" ht="13" x14ac:dyDescent="0.3">
      <c r="A36" s="38" t="s">
        <v>19</v>
      </c>
      <c r="B36" s="41"/>
      <c r="C36" s="40" t="s">
        <v>175</v>
      </c>
      <c r="D36" s="33"/>
      <c r="E36" s="39" t="s">
        <v>311</v>
      </c>
      <c r="F36" s="41">
        <v>7757397</v>
      </c>
      <c r="G36" s="40">
        <f t="shared" si="3"/>
        <v>10.735131351594163</v>
      </c>
    </row>
    <row r="37" spans="1:7" ht="13" x14ac:dyDescent="0.3">
      <c r="A37" s="38" t="s">
        <v>21</v>
      </c>
      <c r="B37" s="24">
        <v>129721512</v>
      </c>
      <c r="C37" s="25">
        <f>(B37/$B$37)*100</f>
        <v>100</v>
      </c>
      <c r="D37" s="33"/>
      <c r="E37" s="39" t="s">
        <v>313</v>
      </c>
      <c r="F37" s="41">
        <v>8684429</v>
      </c>
      <c r="G37" s="40">
        <f t="shared" si="3"/>
        <v>12.018011457785844</v>
      </c>
    </row>
    <row r="38" spans="1:7" ht="13" x14ac:dyDescent="0.3">
      <c r="A38" s="38" t="s">
        <v>22</v>
      </c>
      <c r="B38" s="41" t="s">
        <v>175</v>
      </c>
      <c r="C38" s="40" t="s">
        <v>175</v>
      </c>
      <c r="D38" s="33"/>
      <c r="E38" s="39" t="s">
        <v>315</v>
      </c>
      <c r="F38" s="41">
        <v>12377108</v>
      </c>
      <c r="G38" s="40">
        <f t="shared" si="3"/>
        <v>17.128152669364084</v>
      </c>
    </row>
    <row r="39" spans="1:7" x14ac:dyDescent="0.25">
      <c r="A39" s="31" t="s">
        <v>23</v>
      </c>
      <c r="B39" s="41">
        <v>43646731</v>
      </c>
      <c r="C39" s="40">
        <f>(B39/$B$37)*100</f>
        <v>33.646486482519563</v>
      </c>
      <c r="D39" s="33"/>
      <c r="E39" s="39" t="s">
        <v>317</v>
      </c>
      <c r="F39" s="41">
        <v>16130100</v>
      </c>
      <c r="G39" s="40">
        <f t="shared" si="3"/>
        <v>22.32175847315137</v>
      </c>
    </row>
    <row r="40" spans="1:7" x14ac:dyDescent="0.25">
      <c r="A40" s="31" t="s">
        <v>24</v>
      </c>
      <c r="B40" s="41">
        <v>19276947</v>
      </c>
      <c r="C40" s="40">
        <f>(B40/$B$37)*100</f>
        <v>14.860254635329875</v>
      </c>
      <c r="D40" s="33"/>
      <c r="E40" s="39" t="s">
        <v>1</v>
      </c>
      <c r="F40" s="41">
        <v>9009327</v>
      </c>
      <c r="G40" s="40">
        <f t="shared" si="3"/>
        <v>12.467623963871358</v>
      </c>
    </row>
    <row r="41" spans="1:7" x14ac:dyDescent="0.25">
      <c r="A41" s="31" t="s">
        <v>26</v>
      </c>
      <c r="B41" s="41">
        <v>34621390</v>
      </c>
      <c r="C41" s="40">
        <f>(B41/$B$37)*100</f>
        <v>26.689012073803148</v>
      </c>
      <c r="D41" s="33"/>
      <c r="E41" s="39" t="s">
        <v>2</v>
      </c>
      <c r="F41" s="41">
        <v>6936210</v>
      </c>
      <c r="G41" s="40">
        <f t="shared" si="3"/>
        <v>9.5987256333846194</v>
      </c>
    </row>
    <row r="42" spans="1:7" x14ac:dyDescent="0.25">
      <c r="A42" s="31" t="s">
        <v>185</v>
      </c>
      <c r="B42" s="41">
        <v>951810</v>
      </c>
      <c r="C42" s="40">
        <f>(B42/$B$37)*100</f>
        <v>0.73373335333926726</v>
      </c>
      <c r="D42" s="33"/>
      <c r="E42" s="39" t="s">
        <v>96</v>
      </c>
      <c r="F42" s="41">
        <v>1983673</v>
      </c>
      <c r="G42" s="40">
        <f t="shared" si="3"/>
        <v>2.7451205879511962</v>
      </c>
    </row>
    <row r="43" spans="1:7" x14ac:dyDescent="0.25">
      <c r="A43" s="31" t="s">
        <v>215</v>
      </c>
      <c r="B43" s="41" t="s">
        <v>175</v>
      </c>
      <c r="C43" s="40" t="s">
        <v>175</v>
      </c>
      <c r="D43" s="33"/>
      <c r="E43" s="39" t="s">
        <v>95</v>
      </c>
      <c r="F43" s="41">
        <v>2112564</v>
      </c>
      <c r="G43" s="40">
        <f t="shared" si="3"/>
        <v>2.9234873538957937</v>
      </c>
    </row>
    <row r="44" spans="1:7" x14ac:dyDescent="0.25">
      <c r="A44" s="31" t="s">
        <v>216</v>
      </c>
      <c r="B44" s="41">
        <v>12256138</v>
      </c>
      <c r="C44" s="40">
        <f>(B44/$B$37)*100</f>
        <v>9.4480381943127529</v>
      </c>
      <c r="D44" s="33"/>
      <c r="E44" s="39" t="s">
        <v>20</v>
      </c>
      <c r="F44" s="41">
        <v>50046</v>
      </c>
      <c r="G44" s="40" t="s">
        <v>186</v>
      </c>
    </row>
    <row r="45" spans="1:7" x14ac:dyDescent="0.25">
      <c r="A45" s="31" t="s">
        <v>29</v>
      </c>
      <c r="B45" s="41" t="s">
        <v>175</v>
      </c>
      <c r="C45" s="40" t="s">
        <v>175</v>
      </c>
      <c r="D45" s="33"/>
      <c r="E45" s="39"/>
      <c r="F45" s="41" t="s">
        <v>175</v>
      </c>
      <c r="G45" s="40" t="s">
        <v>175</v>
      </c>
    </row>
    <row r="46" spans="1:7" ht="14.5" x14ac:dyDescent="0.25">
      <c r="A46" s="31" t="s">
        <v>30</v>
      </c>
      <c r="B46" s="41">
        <v>18968496</v>
      </c>
      <c r="C46" s="40">
        <f>(B46/$B$37)*100</f>
        <v>14.622475260695388</v>
      </c>
      <c r="D46" s="33"/>
      <c r="E46" s="39" t="s">
        <v>324</v>
      </c>
      <c r="F46" s="91">
        <v>21587</v>
      </c>
      <c r="G46" s="40" t="s">
        <v>186</v>
      </c>
    </row>
    <row r="47" spans="1:7" ht="13" x14ac:dyDescent="0.3">
      <c r="A47" s="38"/>
      <c r="B47" s="41" t="s">
        <v>175</v>
      </c>
      <c r="C47" s="40" t="s">
        <v>175</v>
      </c>
      <c r="D47" s="33"/>
      <c r="E47" s="22" t="s">
        <v>25</v>
      </c>
      <c r="F47" s="41" t="s">
        <v>175</v>
      </c>
      <c r="G47" s="40" t="s">
        <v>175</v>
      </c>
    </row>
    <row r="48" spans="1:7" ht="13" x14ac:dyDescent="0.3">
      <c r="A48" s="38" t="s">
        <v>33</v>
      </c>
      <c r="B48" s="41" t="s">
        <v>175</v>
      </c>
      <c r="C48" s="40" t="s">
        <v>175</v>
      </c>
      <c r="D48" s="33"/>
      <c r="E48" s="39" t="s">
        <v>27</v>
      </c>
      <c r="F48" s="41">
        <v>37057</v>
      </c>
      <c r="G48" s="40" t="s">
        <v>186</v>
      </c>
    </row>
    <row r="49" spans="1:7" ht="13" thickBot="1" x14ac:dyDescent="0.3">
      <c r="A49" s="31" t="s">
        <v>217</v>
      </c>
      <c r="B49" s="41">
        <v>2426053</v>
      </c>
      <c r="C49" s="40">
        <f t="shared" ref="C49:C55" si="4">(B49/$B$37)*100</f>
        <v>1.8702009887149633</v>
      </c>
      <c r="D49" s="42"/>
      <c r="E49" s="43" t="s">
        <v>28</v>
      </c>
      <c r="F49" s="47">
        <v>27194</v>
      </c>
      <c r="G49" s="48" t="s">
        <v>186</v>
      </c>
    </row>
    <row r="50" spans="1:7" ht="13" thickTop="1" x14ac:dyDescent="0.25">
      <c r="A50" s="31" t="s">
        <v>42</v>
      </c>
      <c r="B50" s="41">
        <v>8801507</v>
      </c>
      <c r="C50" s="40">
        <f t="shared" si="4"/>
        <v>6.7849247702262359</v>
      </c>
      <c r="D50" s="33"/>
      <c r="E50" s="39"/>
      <c r="F50" s="41"/>
      <c r="G50" s="40"/>
    </row>
    <row r="51" spans="1:7" ht="13" x14ac:dyDescent="0.3">
      <c r="A51" s="31" t="s">
        <v>43</v>
      </c>
      <c r="B51" s="41">
        <v>18286005</v>
      </c>
      <c r="C51" s="40">
        <f t="shared" si="4"/>
        <v>14.096355121115147</v>
      </c>
      <c r="D51" s="33"/>
      <c r="E51" s="23"/>
      <c r="F51" s="24" t="s">
        <v>179</v>
      </c>
      <c r="G51" s="25" t="s">
        <v>180</v>
      </c>
    </row>
    <row r="52" spans="1:7" ht="13" x14ac:dyDescent="0.3">
      <c r="A52" s="31" t="s">
        <v>45</v>
      </c>
      <c r="B52" s="41">
        <v>4666757</v>
      </c>
      <c r="C52" s="40">
        <f t="shared" si="4"/>
        <v>3.5975197390545368</v>
      </c>
      <c r="D52" s="33"/>
      <c r="E52" s="23"/>
      <c r="F52" s="24" t="s">
        <v>31</v>
      </c>
      <c r="G52" s="25" t="s">
        <v>31</v>
      </c>
    </row>
    <row r="53" spans="1:7" ht="13" x14ac:dyDescent="0.3">
      <c r="A53" s="31" t="s">
        <v>47</v>
      </c>
      <c r="B53" s="41">
        <v>15221716</v>
      </c>
      <c r="C53" s="40">
        <f t="shared" si="4"/>
        <v>11.734149383026001</v>
      </c>
      <c r="D53" s="33"/>
      <c r="E53" s="23"/>
      <c r="F53" s="24" t="s">
        <v>32</v>
      </c>
      <c r="G53" s="26" t="s">
        <v>32</v>
      </c>
    </row>
    <row r="54" spans="1:7" ht="13" x14ac:dyDescent="0.3">
      <c r="A54" s="31" t="s">
        <v>294</v>
      </c>
      <c r="B54" s="41">
        <v>6740102</v>
      </c>
      <c r="C54" s="40">
        <f t="shared" si="4"/>
        <v>5.1958244211646258</v>
      </c>
      <c r="D54" s="34"/>
      <c r="E54" s="18" t="s">
        <v>178</v>
      </c>
      <c r="F54" s="27" t="s">
        <v>34</v>
      </c>
      <c r="G54" s="28" t="s">
        <v>34</v>
      </c>
    </row>
    <row r="55" spans="1:7" x14ac:dyDescent="0.25">
      <c r="A55" s="31" t="s">
        <v>37</v>
      </c>
      <c r="B55" s="41">
        <v>3996564</v>
      </c>
      <c r="C55" s="40">
        <f t="shared" si="4"/>
        <v>3.0808799083377938</v>
      </c>
      <c r="D55" s="33"/>
      <c r="E55" s="39"/>
      <c r="F55" s="41"/>
      <c r="G55" s="40"/>
    </row>
    <row r="56" spans="1:7" ht="13" x14ac:dyDescent="0.3">
      <c r="A56" s="31" t="s">
        <v>214</v>
      </c>
      <c r="B56" s="41" t="s">
        <v>175</v>
      </c>
      <c r="C56" s="40" t="s">
        <v>175</v>
      </c>
      <c r="D56" s="33"/>
      <c r="E56" s="23" t="s">
        <v>35</v>
      </c>
      <c r="F56" s="41"/>
      <c r="G56" s="40"/>
    </row>
    <row r="57" spans="1:7" ht="13" x14ac:dyDescent="0.3">
      <c r="A57" s="31" t="s">
        <v>296</v>
      </c>
      <c r="B57" s="41">
        <v>8934972</v>
      </c>
      <c r="C57" s="40">
        <f>(B57/$B$37)*100</f>
        <v>6.8878105583598188</v>
      </c>
      <c r="D57" s="33"/>
      <c r="E57" s="23" t="s">
        <v>12</v>
      </c>
      <c r="F57" s="24">
        <v>6620945</v>
      </c>
      <c r="G57" s="25">
        <v>9.162443825767923</v>
      </c>
    </row>
    <row r="58" spans="1:7" x14ac:dyDescent="0.25">
      <c r="A58" s="31" t="s">
        <v>213</v>
      </c>
      <c r="B58" s="41" t="s">
        <v>175</v>
      </c>
      <c r="C58" s="40" t="s">
        <v>175</v>
      </c>
      <c r="D58" s="33"/>
      <c r="E58" s="39" t="s">
        <v>44</v>
      </c>
      <c r="F58" s="41">
        <v>5155866</v>
      </c>
      <c r="G58" s="40">
        <v>13.567808847446523</v>
      </c>
    </row>
    <row r="59" spans="1:7" x14ac:dyDescent="0.25">
      <c r="A59" s="31" t="s">
        <v>38</v>
      </c>
      <c r="B59" s="41">
        <v>12061865</v>
      </c>
      <c r="C59" s="40">
        <f>(B59/$B$37)*100</f>
        <v>9.298276603498115</v>
      </c>
      <c r="D59" s="33"/>
      <c r="E59" s="39" t="s">
        <v>46</v>
      </c>
      <c r="F59" s="41">
        <v>2562263</v>
      </c>
      <c r="G59" s="40">
        <v>16.995364761227695</v>
      </c>
    </row>
    <row r="60" spans="1:7" ht="13" x14ac:dyDescent="0.3">
      <c r="A60" s="31" t="s">
        <v>39</v>
      </c>
      <c r="B60" s="41">
        <v>25843029</v>
      </c>
      <c r="C60" s="40">
        <f>(B60/$B$37)*100</f>
        <v>19.921930142164857</v>
      </c>
      <c r="D60" s="33"/>
      <c r="E60" s="23"/>
      <c r="F60" s="41" t="s">
        <v>175</v>
      </c>
      <c r="G60" s="40" t="s">
        <v>175</v>
      </c>
    </row>
    <row r="61" spans="1:7" ht="13" x14ac:dyDescent="0.3">
      <c r="A61" s="31" t="s">
        <v>297</v>
      </c>
      <c r="B61" s="41" t="s">
        <v>175</v>
      </c>
      <c r="C61" s="40" t="s">
        <v>175</v>
      </c>
      <c r="D61" s="33"/>
      <c r="E61" s="23" t="s">
        <v>48</v>
      </c>
      <c r="F61" s="41" t="s">
        <v>175</v>
      </c>
      <c r="G61" s="40" t="s">
        <v>175</v>
      </c>
    </row>
    <row r="62" spans="1:7" ht="13" x14ac:dyDescent="0.3">
      <c r="A62" s="31" t="s">
        <v>298</v>
      </c>
      <c r="B62" s="41">
        <v>10210295</v>
      </c>
      <c r="C62" s="40">
        <f>(B62/$B$37)*100</f>
        <v>7.8709343135007543</v>
      </c>
      <c r="D62" s="33"/>
      <c r="E62" s="23" t="s">
        <v>49</v>
      </c>
      <c r="F62" s="24">
        <v>3315916</v>
      </c>
      <c r="G62" s="25">
        <v>26.525713114585585</v>
      </c>
    </row>
    <row r="63" spans="1:7" x14ac:dyDescent="0.25">
      <c r="A63" s="31" t="s">
        <v>218</v>
      </c>
      <c r="B63" s="41">
        <v>6320632</v>
      </c>
      <c r="C63" s="40">
        <f>(B63/$B$37)*100</f>
        <v>4.8724624794690952</v>
      </c>
      <c r="D63" s="33"/>
      <c r="E63" s="39" t="s">
        <v>44</v>
      </c>
      <c r="F63" s="41">
        <v>2940459</v>
      </c>
      <c r="G63" s="40">
        <v>34.290955084928001</v>
      </c>
    </row>
    <row r="64" spans="1:7" x14ac:dyDescent="0.25">
      <c r="A64" s="31" t="s">
        <v>40</v>
      </c>
      <c r="B64" s="41">
        <v>6212015</v>
      </c>
      <c r="C64" s="40">
        <f>(B64/$B$37)*100</f>
        <v>4.7887315713680554</v>
      </c>
      <c r="D64" s="33"/>
      <c r="E64" s="39" t="s">
        <v>46</v>
      </c>
      <c r="F64" s="41">
        <v>1401493</v>
      </c>
      <c r="G64" s="40">
        <v>46.400722815298046</v>
      </c>
    </row>
    <row r="65" spans="1:7" ht="13" x14ac:dyDescent="0.3">
      <c r="A65" s="31"/>
      <c r="B65" s="41" t="s">
        <v>175</v>
      </c>
      <c r="C65" s="40" t="s">
        <v>175</v>
      </c>
      <c r="D65" s="33"/>
      <c r="E65" s="23"/>
      <c r="F65" s="41" t="s">
        <v>175</v>
      </c>
      <c r="G65" s="40" t="s">
        <v>175</v>
      </c>
    </row>
    <row r="66" spans="1:7" ht="13" x14ac:dyDescent="0.3">
      <c r="A66" s="38" t="s">
        <v>51</v>
      </c>
      <c r="B66" s="41" t="s">
        <v>175</v>
      </c>
      <c r="C66" s="40" t="s">
        <v>175</v>
      </c>
      <c r="D66" s="33"/>
      <c r="E66" s="23" t="s">
        <v>50</v>
      </c>
      <c r="F66" s="24">
        <v>33899812</v>
      </c>
      <c r="G66" s="25">
        <v>12.377514142647998</v>
      </c>
    </row>
    <row r="67" spans="1:7" x14ac:dyDescent="0.25">
      <c r="A67" s="31" t="s">
        <v>52</v>
      </c>
      <c r="B67" s="41">
        <v>101794361</v>
      </c>
      <c r="C67" s="40">
        <f>(B67/$B$37)*100</f>
        <v>78.471457378634312</v>
      </c>
      <c r="D67" s="33"/>
      <c r="E67" s="39" t="s">
        <v>187</v>
      </c>
      <c r="F67" s="41">
        <v>22152954</v>
      </c>
      <c r="G67" s="40">
        <v>10.915098846247563</v>
      </c>
    </row>
    <row r="68" spans="1:7" x14ac:dyDescent="0.25">
      <c r="A68" s="31" t="s">
        <v>54</v>
      </c>
      <c r="B68" s="41">
        <v>18923353</v>
      </c>
      <c r="C68" s="40">
        <f>(B68/$B$37)*100</f>
        <v>14.587675327126931</v>
      </c>
      <c r="D68" s="33"/>
      <c r="E68" s="39" t="s">
        <v>53</v>
      </c>
      <c r="F68" s="41">
        <v>3287774</v>
      </c>
      <c r="G68" s="40">
        <v>9.8594133341777983</v>
      </c>
    </row>
    <row r="69" spans="1:7" x14ac:dyDescent="0.25">
      <c r="A69" s="31" t="s">
        <v>299</v>
      </c>
      <c r="B69" s="41" t="s">
        <v>175</v>
      </c>
      <c r="C69" s="40" t="s">
        <v>175</v>
      </c>
      <c r="D69" s="33"/>
      <c r="E69" s="39" t="s">
        <v>55</v>
      </c>
      <c r="F69" s="41">
        <v>11386031</v>
      </c>
      <c r="G69" s="40">
        <v>16.149089474519901</v>
      </c>
    </row>
    <row r="70" spans="1:7" x14ac:dyDescent="0.25">
      <c r="A70" s="31" t="s">
        <v>300</v>
      </c>
      <c r="B70" s="41">
        <v>8603761</v>
      </c>
      <c r="C70" s="40">
        <f>(B70/$B$37)*100</f>
        <v>6.6324859056530263</v>
      </c>
      <c r="D70" s="33"/>
      <c r="E70" s="39" t="s">
        <v>56</v>
      </c>
      <c r="F70" s="41">
        <v>7974006</v>
      </c>
      <c r="G70" s="40">
        <v>15.400069221076711</v>
      </c>
    </row>
    <row r="71" spans="1:7" ht="13" thickBot="1" x14ac:dyDescent="0.3">
      <c r="A71" s="44" t="s">
        <v>295</v>
      </c>
      <c r="B71" s="80">
        <v>400037</v>
      </c>
      <c r="C71" s="67">
        <f>(B71/$B$37)*100</f>
        <v>0.30838138858572661</v>
      </c>
      <c r="D71" s="45"/>
      <c r="E71" s="46" t="s">
        <v>57</v>
      </c>
      <c r="F71" s="80">
        <v>10721935</v>
      </c>
      <c r="G71" s="67">
        <v>22.744575888516028</v>
      </c>
    </row>
    <row r="72" spans="1:7" ht="13" thickTop="1" x14ac:dyDescent="0.25"/>
    <row r="73" spans="1:7" x14ac:dyDescent="0.25">
      <c r="A73" s="60" t="s">
        <v>219</v>
      </c>
    </row>
    <row r="74" spans="1:7" ht="14.25" customHeight="1" x14ac:dyDescent="0.25">
      <c r="A74" s="60" t="s">
        <v>325</v>
      </c>
    </row>
    <row r="75" spans="1:7" x14ac:dyDescent="0.25">
      <c r="A75" s="60"/>
    </row>
    <row r="76" spans="1:7" x14ac:dyDescent="0.25">
      <c r="A76" s="60" t="s">
        <v>91</v>
      </c>
    </row>
  </sheetData>
  <phoneticPr fontId="3" type="noConversion"/>
  <pageMargins left="0.49" right="0.34" top="0.43" bottom="0.35" header="0.45" footer="0.43"/>
  <pageSetup scale="7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76"/>
  <sheetViews>
    <sheetView showGridLines="0" topLeftCell="A9" zoomScaleNormal="75" zoomScaleSheetLayoutView="80" workbookViewId="0"/>
  </sheetViews>
  <sheetFormatPr defaultColWidth="9.1796875" defaultRowHeight="12.5" x14ac:dyDescent="0.25"/>
  <cols>
    <col min="1" max="1" width="39.26953125" customWidth="1"/>
    <col min="2" max="2" width="11.1796875" style="52" customWidth="1"/>
    <col min="3" max="3" width="9" style="52" customWidth="1"/>
    <col min="4" max="4" width="0.7265625" customWidth="1"/>
    <col min="5" max="5" width="39.1796875" customWidth="1"/>
    <col min="6" max="6" width="11.26953125" style="52" customWidth="1"/>
    <col min="7" max="7" width="10.26953125" style="52" customWidth="1"/>
    <col min="8" max="8" width="9" customWidth="1"/>
    <col min="9" max="9" width="10.7265625" customWidth="1"/>
  </cols>
  <sheetData>
    <row r="1" spans="1:9" ht="14" x14ac:dyDescent="0.3">
      <c r="A1" s="59" t="s">
        <v>58</v>
      </c>
      <c r="B1" s="51"/>
      <c r="C1" s="51"/>
      <c r="D1" s="2"/>
      <c r="E1" s="2"/>
    </row>
    <row r="2" spans="1:9" x14ac:dyDescent="0.25">
      <c r="A2" t="s">
        <v>327</v>
      </c>
    </row>
    <row r="4" spans="1:9" x14ac:dyDescent="0.25">
      <c r="A4" s="12" t="s">
        <v>192</v>
      </c>
      <c r="B4" s="53"/>
      <c r="C4" s="53"/>
      <c r="D4" s="12"/>
      <c r="E4" s="12"/>
      <c r="F4" s="53"/>
      <c r="G4" s="53"/>
    </row>
    <row r="5" spans="1:9" x14ac:dyDescent="0.25">
      <c r="A5" s="13"/>
      <c r="B5" s="71"/>
      <c r="C5" s="54"/>
      <c r="D5" s="6"/>
      <c r="E5" s="14"/>
      <c r="F5" s="71"/>
      <c r="G5" s="54"/>
    </row>
    <row r="6" spans="1:9" ht="13" x14ac:dyDescent="0.3">
      <c r="A6" s="8" t="s">
        <v>178</v>
      </c>
      <c r="B6" s="16" t="s">
        <v>179</v>
      </c>
      <c r="C6" s="9" t="s">
        <v>180</v>
      </c>
      <c r="D6" s="29"/>
      <c r="E6" s="10" t="s">
        <v>178</v>
      </c>
      <c r="F6" s="16" t="s">
        <v>179</v>
      </c>
      <c r="G6" s="9" t="s">
        <v>180</v>
      </c>
    </row>
    <row r="7" spans="1:9" x14ac:dyDescent="0.25">
      <c r="A7" s="3"/>
      <c r="B7" s="72"/>
      <c r="C7" s="55"/>
      <c r="E7" s="1"/>
      <c r="F7" s="72"/>
      <c r="G7" s="55"/>
    </row>
    <row r="8" spans="1:9" ht="13" x14ac:dyDescent="0.3">
      <c r="A8" s="4" t="s">
        <v>59</v>
      </c>
      <c r="B8" s="73">
        <v>115904641</v>
      </c>
      <c r="C8" s="56">
        <f>(B8/$B$8)*100</f>
        <v>100</v>
      </c>
      <c r="E8" s="11" t="s">
        <v>60</v>
      </c>
      <c r="F8" s="73" t="s">
        <v>175</v>
      </c>
      <c r="G8" s="56" t="s">
        <v>175</v>
      </c>
    </row>
    <row r="9" spans="1:9" ht="13" x14ac:dyDescent="0.3">
      <c r="A9" s="4" t="s">
        <v>61</v>
      </c>
      <c r="B9" s="41" t="s">
        <v>175</v>
      </c>
      <c r="C9" s="40" t="s">
        <v>175</v>
      </c>
      <c r="E9" s="11" t="s">
        <v>62</v>
      </c>
      <c r="F9" s="24">
        <v>105480101</v>
      </c>
      <c r="G9" s="25">
        <f>(F9/$F$9)*100</f>
        <v>100</v>
      </c>
      <c r="I9" s="2"/>
    </row>
    <row r="10" spans="1:9" x14ac:dyDescent="0.25">
      <c r="A10" s="3" t="s">
        <v>63</v>
      </c>
      <c r="B10" s="41">
        <v>69865957</v>
      </c>
      <c r="C10" s="40">
        <f t="shared" ref="C10:C18" si="0">(B10/$B$8)*100</f>
        <v>60.278826108438579</v>
      </c>
      <c r="E10" s="1" t="s">
        <v>64</v>
      </c>
      <c r="F10" s="41">
        <v>99406609</v>
      </c>
      <c r="G10" s="40">
        <f>(F10/$F$9)*100</f>
        <v>94.242049502777775</v>
      </c>
    </row>
    <row r="11" spans="1:9" x14ac:dyDescent="0.25">
      <c r="A11" s="3" t="s">
        <v>65</v>
      </c>
      <c r="B11" s="41">
        <v>6447453</v>
      </c>
      <c r="C11" s="40">
        <f t="shared" si="0"/>
        <v>5.5627220311221182</v>
      </c>
      <c r="E11" s="1" t="s">
        <v>66</v>
      </c>
      <c r="F11" s="41">
        <v>3198596</v>
      </c>
      <c r="G11" s="40">
        <f>(F11/$F$9)*100</f>
        <v>3.032416512380852</v>
      </c>
    </row>
    <row r="12" spans="1:9" x14ac:dyDescent="0.25">
      <c r="A12" s="3" t="s">
        <v>67</v>
      </c>
      <c r="B12" s="41">
        <v>4995350</v>
      </c>
      <c r="C12" s="40">
        <f t="shared" si="0"/>
        <v>4.3098791876677307</v>
      </c>
      <c r="E12" s="1" t="s">
        <v>68</v>
      </c>
      <c r="F12" s="41">
        <v>2874896</v>
      </c>
      <c r="G12" s="40">
        <f>(F12/$F$9)*100</f>
        <v>2.7255339848413684</v>
      </c>
    </row>
    <row r="13" spans="1:9" x14ac:dyDescent="0.25">
      <c r="A13" s="3" t="s">
        <v>69</v>
      </c>
      <c r="B13" s="41">
        <v>5494280</v>
      </c>
      <c r="C13" s="40">
        <f t="shared" si="0"/>
        <v>4.7403451256106299</v>
      </c>
      <c r="E13" s="1"/>
      <c r="F13" s="41" t="s">
        <v>175</v>
      </c>
      <c r="G13" s="40" t="s">
        <v>175</v>
      </c>
    </row>
    <row r="14" spans="1:9" ht="13" x14ac:dyDescent="0.3">
      <c r="A14" s="3" t="s">
        <v>70</v>
      </c>
      <c r="B14" s="41">
        <v>5414988</v>
      </c>
      <c r="C14" s="40">
        <f t="shared" si="0"/>
        <v>4.671933714888949</v>
      </c>
      <c r="E14" s="11" t="s">
        <v>71</v>
      </c>
      <c r="F14" s="24">
        <v>55212108</v>
      </c>
      <c r="G14" s="25">
        <f>(F14/$F$14)*100</f>
        <v>100</v>
      </c>
    </row>
    <row r="15" spans="1:9" ht="13" x14ac:dyDescent="0.3">
      <c r="A15" s="3" t="s">
        <v>72</v>
      </c>
      <c r="B15" s="41">
        <v>4636717</v>
      </c>
      <c r="C15" s="40">
        <f t="shared" si="0"/>
        <v>4.0004584458356591</v>
      </c>
      <c r="E15" s="11" t="s">
        <v>73</v>
      </c>
      <c r="F15" s="41" t="s">
        <v>175</v>
      </c>
      <c r="G15" s="40" t="s">
        <v>175</v>
      </c>
    </row>
    <row r="16" spans="1:9" x14ac:dyDescent="0.25">
      <c r="A16" s="3" t="s">
        <v>74</v>
      </c>
      <c r="B16" s="41">
        <v>10008058</v>
      </c>
      <c r="C16" s="40">
        <f t="shared" si="0"/>
        <v>8.6347344797004286</v>
      </c>
      <c r="E16" s="1" t="s">
        <v>75</v>
      </c>
      <c r="F16" s="41">
        <v>5457817</v>
      </c>
      <c r="G16" s="40">
        <f>(F16/$F$14)*100</f>
        <v>9.8851813446427368</v>
      </c>
    </row>
    <row r="17" spans="1:7" x14ac:dyDescent="0.25">
      <c r="A17" s="3" t="s">
        <v>76</v>
      </c>
      <c r="B17" s="41">
        <v>8779228</v>
      </c>
      <c r="C17" s="40">
        <f t="shared" si="0"/>
        <v>7.5745267180457416</v>
      </c>
      <c r="E17" s="1" t="s">
        <v>77</v>
      </c>
      <c r="F17" s="41">
        <v>16778971</v>
      </c>
      <c r="G17" s="40">
        <f t="shared" ref="G17:G23" si="1">(F17/$F$14)*100</f>
        <v>30.390020609247522</v>
      </c>
    </row>
    <row r="18" spans="1:7" x14ac:dyDescent="0.25">
      <c r="A18" s="3" t="s">
        <v>78</v>
      </c>
      <c r="B18" s="41">
        <v>262610</v>
      </c>
      <c r="C18" s="40">
        <f t="shared" si="0"/>
        <v>0.22657418869016643</v>
      </c>
      <c r="E18" s="1" t="s">
        <v>2</v>
      </c>
      <c r="F18" s="41">
        <v>13110384</v>
      </c>
      <c r="G18" s="40">
        <f t="shared" si="1"/>
        <v>23.745487131192313</v>
      </c>
    </row>
    <row r="19" spans="1:7" ht="13" x14ac:dyDescent="0.3">
      <c r="A19" s="4"/>
      <c r="B19" s="41" t="s">
        <v>175</v>
      </c>
      <c r="C19" s="40" t="s">
        <v>175</v>
      </c>
      <c r="E19" s="1" t="s">
        <v>79</v>
      </c>
      <c r="F19" s="41">
        <v>8075904</v>
      </c>
      <c r="G19" s="40">
        <f t="shared" si="1"/>
        <v>14.627052457406625</v>
      </c>
    </row>
    <row r="20" spans="1:7" ht="13" x14ac:dyDescent="0.3">
      <c r="A20" s="4" t="s">
        <v>80</v>
      </c>
      <c r="B20" s="41" t="s">
        <v>175</v>
      </c>
      <c r="C20" s="40" t="s">
        <v>175</v>
      </c>
      <c r="E20" s="1" t="s">
        <v>81</v>
      </c>
      <c r="F20" s="41">
        <v>6583049</v>
      </c>
      <c r="G20" s="40">
        <f t="shared" si="1"/>
        <v>11.92319807821864</v>
      </c>
    </row>
    <row r="21" spans="1:7" x14ac:dyDescent="0.25">
      <c r="A21" s="3" t="s">
        <v>82</v>
      </c>
      <c r="B21" s="41">
        <v>2755075</v>
      </c>
      <c r="C21" s="40">
        <f t="shared" ref="C21:C28" si="2">(B21/$B$8)*100</f>
        <v>2.3770187079911667</v>
      </c>
      <c r="E21" s="1" t="s">
        <v>83</v>
      </c>
      <c r="F21" s="41">
        <v>3584108</v>
      </c>
      <c r="G21" s="40">
        <f t="shared" si="1"/>
        <v>6.4915253733836789</v>
      </c>
    </row>
    <row r="22" spans="1:7" x14ac:dyDescent="0.25">
      <c r="A22" s="3" t="s">
        <v>84</v>
      </c>
      <c r="B22" s="41">
        <v>8478975</v>
      </c>
      <c r="C22" s="40">
        <f t="shared" si="2"/>
        <v>7.3154749687719578</v>
      </c>
      <c r="E22" s="1" t="s">
        <v>85</v>
      </c>
      <c r="F22" s="41">
        <v>1308116</v>
      </c>
      <c r="G22" s="40">
        <f t="shared" si="1"/>
        <v>2.3692556712379105</v>
      </c>
    </row>
    <row r="23" spans="1:7" x14ac:dyDescent="0.25">
      <c r="A23" s="3" t="s">
        <v>86</v>
      </c>
      <c r="B23" s="41">
        <v>8467008</v>
      </c>
      <c r="C23" s="40">
        <f t="shared" si="2"/>
        <v>7.3051501017979081</v>
      </c>
      <c r="E23" s="1" t="s">
        <v>87</v>
      </c>
      <c r="F23" s="41">
        <v>313759</v>
      </c>
      <c r="G23" s="40">
        <f t="shared" si="1"/>
        <v>0.56827933467057623</v>
      </c>
    </row>
    <row r="24" spans="1:7" x14ac:dyDescent="0.25">
      <c r="A24" s="3" t="s">
        <v>88</v>
      </c>
      <c r="B24" s="41">
        <v>18326847</v>
      </c>
      <c r="C24" s="40">
        <f t="shared" si="2"/>
        <v>15.812004456318535</v>
      </c>
      <c r="E24" s="1" t="s">
        <v>89</v>
      </c>
      <c r="F24" s="41">
        <v>119600</v>
      </c>
      <c r="G24" s="40" t="s">
        <v>186</v>
      </c>
    </row>
    <row r="25" spans="1:7" x14ac:dyDescent="0.25">
      <c r="A25" s="3" t="s">
        <v>90</v>
      </c>
      <c r="B25" s="41">
        <v>21438863</v>
      </c>
      <c r="C25" s="40">
        <f t="shared" si="2"/>
        <v>18.496984085391368</v>
      </c>
      <c r="E25" s="1"/>
      <c r="F25" s="41" t="s">
        <v>175</v>
      </c>
      <c r="G25" s="40" t="s">
        <v>175</v>
      </c>
    </row>
    <row r="26" spans="1:7" ht="13" x14ac:dyDescent="0.3">
      <c r="A26" s="3" t="s">
        <v>97</v>
      </c>
      <c r="B26" s="41">
        <v>15911903</v>
      </c>
      <c r="C26" s="40">
        <f t="shared" si="2"/>
        <v>13.72844336750933</v>
      </c>
      <c r="E26" s="11" t="s">
        <v>98</v>
      </c>
      <c r="F26" s="41" t="s">
        <v>175</v>
      </c>
      <c r="G26" s="40" t="s">
        <v>175</v>
      </c>
    </row>
    <row r="27" spans="1:7" ht="13" x14ac:dyDescent="0.3">
      <c r="A27" s="3" t="s">
        <v>99</v>
      </c>
      <c r="B27" s="41">
        <v>23145917</v>
      </c>
      <c r="C27" s="40">
        <f t="shared" si="2"/>
        <v>19.969793099139142</v>
      </c>
      <c r="E27" s="11" t="s">
        <v>100</v>
      </c>
      <c r="F27" s="41" t="s">
        <v>175</v>
      </c>
      <c r="G27" s="40" t="s">
        <v>175</v>
      </c>
    </row>
    <row r="28" spans="1:7" x14ac:dyDescent="0.25">
      <c r="A28" s="3" t="s">
        <v>101</v>
      </c>
      <c r="B28" s="41">
        <v>17380053</v>
      </c>
      <c r="C28" s="40">
        <f t="shared" si="2"/>
        <v>14.995131213080587</v>
      </c>
      <c r="E28" s="1" t="s">
        <v>102</v>
      </c>
      <c r="F28" s="41">
        <v>38663887</v>
      </c>
      <c r="G28" s="40">
        <f t="shared" ref="G28:G35" si="3">(F28/$F$14)*100</f>
        <v>70.027913080225076</v>
      </c>
    </row>
    <row r="29" spans="1:7" x14ac:dyDescent="0.25">
      <c r="A29" s="3"/>
      <c r="B29" s="41" t="s">
        <v>175</v>
      </c>
      <c r="C29" s="40" t="s">
        <v>175</v>
      </c>
      <c r="E29" s="1" t="s">
        <v>103</v>
      </c>
      <c r="F29" s="41">
        <v>255243</v>
      </c>
      <c r="G29" s="40">
        <f t="shared" si="3"/>
        <v>0.46229533565354902</v>
      </c>
    </row>
    <row r="30" spans="1:7" ht="13" x14ac:dyDescent="0.3">
      <c r="A30" s="4" t="s">
        <v>104</v>
      </c>
      <c r="B30" s="41" t="s">
        <v>175</v>
      </c>
      <c r="C30" s="40" t="s">
        <v>175</v>
      </c>
      <c r="E30" s="1" t="s">
        <v>105</v>
      </c>
      <c r="F30" s="41">
        <v>2149992</v>
      </c>
      <c r="G30" s="40">
        <f t="shared" si="3"/>
        <v>3.8940588901260571</v>
      </c>
    </row>
    <row r="31" spans="1:7" x14ac:dyDescent="0.25">
      <c r="A31" s="3" t="s">
        <v>106</v>
      </c>
      <c r="B31" s="41">
        <v>2551061</v>
      </c>
      <c r="C31" s="40">
        <f t="shared" ref="C31:C39" si="4">(B31/$B$8)*100</f>
        <v>2.2009998719550841</v>
      </c>
      <c r="E31" s="1" t="s">
        <v>107</v>
      </c>
      <c r="F31" s="41">
        <v>4943283</v>
      </c>
      <c r="G31" s="40">
        <f t="shared" si="3"/>
        <v>8.9532589482002756</v>
      </c>
    </row>
    <row r="32" spans="1:7" x14ac:dyDescent="0.25">
      <c r="A32" s="3" t="s">
        <v>108</v>
      </c>
      <c r="B32" s="41">
        <v>5578182</v>
      </c>
      <c r="C32" s="40">
        <f t="shared" si="4"/>
        <v>4.8127339439324093</v>
      </c>
      <c r="E32" s="1" t="s">
        <v>109</v>
      </c>
      <c r="F32" s="41">
        <v>9612512</v>
      </c>
      <c r="G32" s="40">
        <f t="shared" si="3"/>
        <v>17.410152135469996</v>
      </c>
    </row>
    <row r="33" spans="1:7" x14ac:dyDescent="0.25">
      <c r="A33" s="3" t="s">
        <v>110</v>
      </c>
      <c r="B33" s="41">
        <v>11405588</v>
      </c>
      <c r="C33" s="40">
        <f t="shared" si="4"/>
        <v>9.8404929272849397</v>
      </c>
      <c r="E33" s="1" t="s">
        <v>111</v>
      </c>
      <c r="F33" s="41">
        <v>11679988</v>
      </c>
      <c r="G33" s="40">
        <f t="shared" si="3"/>
        <v>21.154758300480029</v>
      </c>
    </row>
    <row r="34" spans="1:7" x14ac:dyDescent="0.25">
      <c r="A34" s="3" t="s">
        <v>112</v>
      </c>
      <c r="B34" s="41">
        <v>18514383</v>
      </c>
      <c r="C34" s="40">
        <f t="shared" si="4"/>
        <v>15.973806432824379</v>
      </c>
      <c r="E34" s="1" t="s">
        <v>113</v>
      </c>
      <c r="F34" s="41">
        <v>5555203</v>
      </c>
      <c r="G34" s="40">
        <f t="shared" si="3"/>
        <v>10.061566567970925</v>
      </c>
    </row>
    <row r="35" spans="1:7" x14ac:dyDescent="0.25">
      <c r="A35" s="3" t="s">
        <v>114</v>
      </c>
      <c r="B35" s="41">
        <v>24214071</v>
      </c>
      <c r="C35" s="40">
        <f t="shared" si="4"/>
        <v>20.891373107311555</v>
      </c>
      <c r="E35" s="1" t="s">
        <v>115</v>
      </c>
      <c r="F35" s="41">
        <v>4467666</v>
      </c>
      <c r="G35" s="40">
        <f t="shared" si="3"/>
        <v>8.0918229023242514</v>
      </c>
    </row>
    <row r="36" spans="1:7" x14ac:dyDescent="0.25">
      <c r="A36" s="3" t="s">
        <v>116</v>
      </c>
      <c r="B36" s="41">
        <v>21385794</v>
      </c>
      <c r="C36" s="40">
        <f t="shared" si="4"/>
        <v>18.451197307966297</v>
      </c>
      <c r="E36" s="1" t="s">
        <v>117</v>
      </c>
      <c r="F36" s="41">
        <v>1088</v>
      </c>
      <c r="G36" s="40" t="s">
        <v>186</v>
      </c>
    </row>
    <row r="37" spans="1:7" x14ac:dyDescent="0.25">
      <c r="A37" s="3" t="s">
        <v>118</v>
      </c>
      <c r="B37" s="41">
        <v>13981917</v>
      </c>
      <c r="C37" s="40">
        <f t="shared" si="4"/>
        <v>12.063293479335311</v>
      </c>
      <c r="E37" s="1" t="s">
        <v>119</v>
      </c>
      <c r="F37" s="41">
        <v>16548221</v>
      </c>
      <c r="G37" s="40">
        <f>(F37/$F$14)*100</f>
        <v>29.972086919774917</v>
      </c>
    </row>
    <row r="38" spans="1:7" x14ac:dyDescent="0.25">
      <c r="A38" s="3" t="s">
        <v>120</v>
      </c>
      <c r="B38" s="41">
        <v>9343740</v>
      </c>
      <c r="C38" s="40">
        <f t="shared" si="4"/>
        <v>8.0615753772965828</v>
      </c>
      <c r="E38" s="1" t="s">
        <v>117</v>
      </c>
      <c r="F38" s="41">
        <v>295</v>
      </c>
      <c r="G38" s="40" t="s">
        <v>186</v>
      </c>
    </row>
    <row r="39" spans="1:7" x14ac:dyDescent="0.25">
      <c r="A39" s="3" t="s">
        <v>121</v>
      </c>
      <c r="B39" s="41">
        <v>8929905</v>
      </c>
      <c r="C39" s="40">
        <f t="shared" si="4"/>
        <v>7.7045275520934489</v>
      </c>
      <c r="E39" s="1"/>
      <c r="F39" s="41" t="s">
        <v>175</v>
      </c>
      <c r="G39" s="40" t="s">
        <v>175</v>
      </c>
    </row>
    <row r="40" spans="1:7" ht="13" x14ac:dyDescent="0.3">
      <c r="A40" s="3" t="s">
        <v>122</v>
      </c>
      <c r="B40" s="74">
        <v>5.3</v>
      </c>
      <c r="C40" s="40" t="s">
        <v>186</v>
      </c>
      <c r="E40" s="11" t="s">
        <v>123</v>
      </c>
      <c r="F40" s="41" t="s">
        <v>175</v>
      </c>
      <c r="G40" s="40" t="s">
        <v>175</v>
      </c>
    </row>
    <row r="41" spans="1:7" ht="13" x14ac:dyDescent="0.3">
      <c r="A41" s="3"/>
      <c r="B41" s="41" t="s">
        <v>175</v>
      </c>
      <c r="C41" s="40" t="s">
        <v>175</v>
      </c>
      <c r="E41" s="11" t="s">
        <v>129</v>
      </c>
      <c r="F41" s="41" t="s">
        <v>175</v>
      </c>
      <c r="G41" s="40" t="s">
        <v>175</v>
      </c>
    </row>
    <row r="42" spans="1:7" ht="13" x14ac:dyDescent="0.3">
      <c r="A42" s="4" t="s">
        <v>130</v>
      </c>
      <c r="B42" s="24">
        <v>105480101</v>
      </c>
      <c r="C42" s="25">
        <f>(B42/$B$42)*100</f>
        <v>100</v>
      </c>
      <c r="E42" s="11" t="s">
        <v>131</v>
      </c>
      <c r="F42" s="41" t="s">
        <v>175</v>
      </c>
      <c r="G42" s="40" t="s">
        <v>175</v>
      </c>
    </row>
    <row r="43" spans="1:7" ht="13" x14ac:dyDescent="0.3">
      <c r="A43" s="4" t="s">
        <v>132</v>
      </c>
      <c r="B43" s="41" t="s">
        <v>175</v>
      </c>
      <c r="C43" s="40" t="s">
        <v>175</v>
      </c>
      <c r="E43" s="1" t="s">
        <v>133</v>
      </c>
      <c r="F43" s="41">
        <v>20165963</v>
      </c>
      <c r="G43" s="40">
        <f t="shared" ref="G43:G49" si="5">(F43/$F$14)*100</f>
        <v>36.524530090392496</v>
      </c>
    </row>
    <row r="44" spans="1:7" x14ac:dyDescent="0.25">
      <c r="A44" s="3" t="s">
        <v>134</v>
      </c>
      <c r="B44" s="41">
        <v>21041090</v>
      </c>
      <c r="C44" s="40">
        <f t="shared" ref="C44:C49" si="6">(B44/$B$42)*100</f>
        <v>19.947923637274485</v>
      </c>
      <c r="E44" s="1" t="s">
        <v>135</v>
      </c>
      <c r="F44" s="41">
        <v>9661469</v>
      </c>
      <c r="G44" s="40">
        <f t="shared" si="5"/>
        <v>17.498822903121177</v>
      </c>
    </row>
    <row r="45" spans="1:7" x14ac:dyDescent="0.25">
      <c r="A45" s="3" t="s">
        <v>136</v>
      </c>
      <c r="B45" s="41">
        <v>30479848</v>
      </c>
      <c r="C45" s="40">
        <f t="shared" si="6"/>
        <v>28.896301492923293</v>
      </c>
      <c r="E45" s="1" t="s">
        <v>137</v>
      </c>
      <c r="F45" s="41">
        <v>7688019</v>
      </c>
      <c r="G45" s="40">
        <f t="shared" si="5"/>
        <v>13.92451633978547</v>
      </c>
    </row>
    <row r="46" spans="1:7" x14ac:dyDescent="0.25">
      <c r="A46" s="3" t="s">
        <v>138</v>
      </c>
      <c r="B46" s="41">
        <v>16948257</v>
      </c>
      <c r="C46" s="40">
        <f t="shared" si="6"/>
        <v>16.067729210839492</v>
      </c>
      <c r="E46" s="1" t="s">
        <v>139</v>
      </c>
      <c r="F46" s="41">
        <v>5210523</v>
      </c>
      <c r="G46" s="40">
        <f t="shared" si="5"/>
        <v>9.4372832133125577</v>
      </c>
    </row>
    <row r="47" spans="1:7" x14ac:dyDescent="0.25">
      <c r="A47" s="3" t="s">
        <v>140</v>
      </c>
      <c r="B47" s="41">
        <v>16429173</v>
      </c>
      <c r="C47" s="40">
        <f t="shared" si="6"/>
        <v>15.575613641098048</v>
      </c>
      <c r="E47" s="1" t="s">
        <v>141</v>
      </c>
      <c r="F47" s="41">
        <v>3325083</v>
      </c>
      <c r="G47" s="40">
        <f t="shared" si="5"/>
        <v>6.0223800909756964</v>
      </c>
    </row>
    <row r="48" spans="1:7" x14ac:dyDescent="0.25">
      <c r="A48" s="3" t="s">
        <v>142</v>
      </c>
      <c r="B48" s="41">
        <v>10399015</v>
      </c>
      <c r="C48" s="40">
        <f t="shared" si="6"/>
        <v>9.8587457742384981</v>
      </c>
      <c r="E48" s="1" t="s">
        <v>143</v>
      </c>
      <c r="F48" s="41">
        <v>8719648</v>
      </c>
      <c r="G48" s="40">
        <f t="shared" si="5"/>
        <v>15.792999607984539</v>
      </c>
    </row>
    <row r="49" spans="1:7" x14ac:dyDescent="0.25">
      <c r="A49" s="3" t="s">
        <v>144</v>
      </c>
      <c r="B49" s="41">
        <v>10182718</v>
      </c>
      <c r="C49" s="40">
        <f t="shared" si="6"/>
        <v>9.6536862436261792</v>
      </c>
      <c r="E49" s="1" t="s">
        <v>145</v>
      </c>
      <c r="F49" s="41">
        <v>441403</v>
      </c>
      <c r="G49" s="40">
        <f t="shared" si="5"/>
        <v>0.7994677544280685</v>
      </c>
    </row>
    <row r="50" spans="1:7" ht="13" x14ac:dyDescent="0.3">
      <c r="A50" s="3"/>
      <c r="B50" s="41" t="s">
        <v>175</v>
      </c>
      <c r="C50" s="40" t="s">
        <v>175</v>
      </c>
      <c r="E50" s="11"/>
      <c r="F50" s="41" t="s">
        <v>175</v>
      </c>
      <c r="G50" s="40" t="s">
        <v>175</v>
      </c>
    </row>
    <row r="51" spans="1:7" ht="13" x14ac:dyDescent="0.3">
      <c r="A51" s="4" t="s">
        <v>146</v>
      </c>
      <c r="B51" s="41" t="s">
        <v>175</v>
      </c>
      <c r="C51" s="40" t="s">
        <v>175</v>
      </c>
      <c r="E51" s="11" t="s">
        <v>147</v>
      </c>
      <c r="F51" s="24">
        <v>35199502</v>
      </c>
      <c r="G51" s="25">
        <f>(F51/F$51)*100</f>
        <v>100</v>
      </c>
    </row>
    <row r="52" spans="1:7" ht="13" x14ac:dyDescent="0.3">
      <c r="A52" s="3" t="s">
        <v>148</v>
      </c>
      <c r="B52" s="41">
        <v>10861067</v>
      </c>
      <c r="C52" s="40">
        <f>(B52/$B$42)*100</f>
        <v>10.296792377929179</v>
      </c>
      <c r="E52" s="11" t="s">
        <v>149</v>
      </c>
      <c r="F52" s="41" t="s">
        <v>175</v>
      </c>
      <c r="G52" s="40" t="s">
        <v>175</v>
      </c>
    </row>
    <row r="53" spans="1:7" x14ac:dyDescent="0.25">
      <c r="A53" s="3" t="s">
        <v>150</v>
      </c>
      <c r="B53" s="41">
        <v>36123613</v>
      </c>
      <c r="C53" s="40">
        <f>(B53/$B$42)*100</f>
        <v>34.24685097713359</v>
      </c>
      <c r="E53" s="1" t="s">
        <v>151</v>
      </c>
      <c r="F53" s="41">
        <v>1844181</v>
      </c>
      <c r="G53" s="40">
        <f>(F53/F$51)*100</f>
        <v>5.2392246913038711</v>
      </c>
    </row>
    <row r="54" spans="1:7" x14ac:dyDescent="0.25">
      <c r="A54" s="3" t="s">
        <v>152</v>
      </c>
      <c r="B54" s="41">
        <v>40461920</v>
      </c>
      <c r="C54" s="40">
        <f>(B54/$B$42)*100</f>
        <v>38.359766075688533</v>
      </c>
      <c r="E54" s="1" t="s">
        <v>153</v>
      </c>
      <c r="F54" s="41">
        <v>1818764</v>
      </c>
      <c r="G54" s="40">
        <f t="shared" ref="G54:G60" si="7">(F54/F$51)*100</f>
        <v>5.1670162833553723</v>
      </c>
    </row>
    <row r="55" spans="1:7" x14ac:dyDescent="0.25">
      <c r="A55" s="3" t="s">
        <v>154</v>
      </c>
      <c r="B55" s="41">
        <v>18033501</v>
      </c>
      <c r="C55" s="40">
        <f>(B55/$B$42)*100</f>
        <v>17.096590569248697</v>
      </c>
      <c r="E55" s="1" t="s">
        <v>155</v>
      </c>
      <c r="F55" s="41">
        <v>7739515</v>
      </c>
      <c r="G55" s="40">
        <f t="shared" si="7"/>
        <v>21.98756959686532</v>
      </c>
    </row>
    <row r="56" spans="1:7" x14ac:dyDescent="0.25">
      <c r="A56" s="3"/>
      <c r="B56" s="41" t="s">
        <v>175</v>
      </c>
      <c r="C56" s="40" t="s">
        <v>175</v>
      </c>
      <c r="E56" s="1" t="s">
        <v>156</v>
      </c>
      <c r="F56" s="41">
        <v>11860298</v>
      </c>
      <c r="G56" s="40">
        <f t="shared" si="7"/>
        <v>33.694505109759795</v>
      </c>
    </row>
    <row r="57" spans="1:7" ht="13" x14ac:dyDescent="0.3">
      <c r="A57" s="4" t="s">
        <v>157</v>
      </c>
      <c r="B57" s="41" t="s">
        <v>175</v>
      </c>
      <c r="C57" s="40" t="s">
        <v>175</v>
      </c>
      <c r="E57" s="1" t="s">
        <v>158</v>
      </c>
      <c r="F57" s="41">
        <v>6045173</v>
      </c>
      <c r="G57" s="40">
        <f t="shared" si="7"/>
        <v>17.174029905309457</v>
      </c>
    </row>
    <row r="58" spans="1:7" x14ac:dyDescent="0.25">
      <c r="A58" s="3" t="s">
        <v>159</v>
      </c>
      <c r="B58" s="41">
        <v>54027880</v>
      </c>
      <c r="C58" s="40">
        <f t="shared" ref="C58:C66" si="8">(B58/$B$42)*100</f>
        <v>51.220921754710872</v>
      </c>
      <c r="E58" s="1" t="s">
        <v>160</v>
      </c>
      <c r="F58" s="41">
        <v>3054099</v>
      </c>
      <c r="G58" s="40">
        <f t="shared" si="7"/>
        <v>8.6765403669631471</v>
      </c>
    </row>
    <row r="59" spans="1:7" x14ac:dyDescent="0.25">
      <c r="A59" s="3" t="s">
        <v>161</v>
      </c>
      <c r="B59" s="41">
        <v>6880185</v>
      </c>
      <c r="C59" s="40">
        <f t="shared" si="8"/>
        <v>6.5227326621539738</v>
      </c>
      <c r="E59" s="1" t="s">
        <v>162</v>
      </c>
      <c r="F59" s="41">
        <v>1024296</v>
      </c>
      <c r="G59" s="40">
        <f t="shared" si="7"/>
        <v>2.909972987686019</v>
      </c>
    </row>
    <row r="60" spans="1:7" x14ac:dyDescent="0.25">
      <c r="A60" s="3" t="s">
        <v>163</v>
      </c>
      <c r="B60" s="41">
        <v>32010401</v>
      </c>
      <c r="C60" s="40">
        <f t="shared" si="8"/>
        <v>30.347336318913836</v>
      </c>
      <c r="E60" s="1" t="s">
        <v>164</v>
      </c>
      <c r="F60" s="41">
        <v>1813176</v>
      </c>
      <c r="G60" s="40">
        <f t="shared" si="7"/>
        <v>5.1511410587570241</v>
      </c>
    </row>
    <row r="61" spans="1:7" x14ac:dyDescent="0.25">
      <c r="A61" s="3" t="s">
        <v>165</v>
      </c>
      <c r="B61" s="41">
        <v>9457850</v>
      </c>
      <c r="C61" s="40">
        <f t="shared" si="8"/>
        <v>8.9664779520831139</v>
      </c>
      <c r="E61" s="1" t="s">
        <v>89</v>
      </c>
      <c r="F61" s="41">
        <v>602</v>
      </c>
      <c r="G61" s="40" t="s">
        <v>186</v>
      </c>
    </row>
    <row r="62" spans="1:7" x14ac:dyDescent="0.25">
      <c r="A62" s="3" t="s">
        <v>166</v>
      </c>
      <c r="B62" s="41">
        <v>142876</v>
      </c>
      <c r="C62" s="40">
        <f t="shared" si="8"/>
        <v>0.13545303677705048</v>
      </c>
      <c r="E62" s="1"/>
      <c r="F62" s="41" t="s">
        <v>175</v>
      </c>
      <c r="G62" s="40" t="s">
        <v>175</v>
      </c>
    </row>
    <row r="63" spans="1:7" ht="13" x14ac:dyDescent="0.3">
      <c r="A63" s="3" t="s">
        <v>167</v>
      </c>
      <c r="B63" s="41">
        <v>1769781</v>
      </c>
      <c r="C63" s="40">
        <f t="shared" si="8"/>
        <v>1.6778340020740028</v>
      </c>
      <c r="E63" s="11" t="s">
        <v>168</v>
      </c>
      <c r="F63" s="41" t="s">
        <v>175</v>
      </c>
      <c r="G63" s="40" t="s">
        <v>175</v>
      </c>
    </row>
    <row r="64" spans="1:7" ht="13" x14ac:dyDescent="0.3">
      <c r="A64" s="3" t="s">
        <v>169</v>
      </c>
      <c r="B64" s="41">
        <v>47069</v>
      </c>
      <c r="C64" s="40" t="s">
        <v>328</v>
      </c>
      <c r="E64" s="11" t="s">
        <v>170</v>
      </c>
      <c r="F64" s="41" t="s">
        <v>175</v>
      </c>
      <c r="G64" s="40" t="s">
        <v>175</v>
      </c>
    </row>
    <row r="65" spans="1:7" x14ac:dyDescent="0.25">
      <c r="A65" s="3" t="s">
        <v>171</v>
      </c>
      <c r="B65" s="41">
        <v>412553</v>
      </c>
      <c r="C65" s="40">
        <f t="shared" si="8"/>
        <v>0.391119269026866</v>
      </c>
      <c r="E65" s="1" t="s">
        <v>133</v>
      </c>
      <c r="F65" s="41">
        <v>6370263</v>
      </c>
      <c r="G65" s="40">
        <f t="shared" ref="G65:G71" si="9">(F65/F$51)*100</f>
        <v>18.097594108007549</v>
      </c>
    </row>
    <row r="66" spans="1:7" x14ac:dyDescent="0.25">
      <c r="A66" s="3" t="s">
        <v>172</v>
      </c>
      <c r="B66" s="41">
        <v>731506</v>
      </c>
      <c r="C66" s="40">
        <f t="shared" si="8"/>
        <v>0.69350142165677298</v>
      </c>
      <c r="E66" s="1" t="s">
        <v>135</v>
      </c>
      <c r="F66" s="41">
        <v>5037981</v>
      </c>
      <c r="G66" s="40">
        <f t="shared" si="9"/>
        <v>14.312648514175002</v>
      </c>
    </row>
    <row r="67" spans="1:7" x14ac:dyDescent="0.25">
      <c r="A67" s="3"/>
      <c r="B67" s="41" t="s">
        <v>175</v>
      </c>
      <c r="C67" s="40" t="s">
        <v>175</v>
      </c>
      <c r="E67" s="1" t="s">
        <v>137</v>
      </c>
      <c r="F67" s="41">
        <v>4498604</v>
      </c>
      <c r="G67" s="40">
        <f t="shared" si="9"/>
        <v>12.780305812281096</v>
      </c>
    </row>
    <row r="68" spans="1:7" ht="13" x14ac:dyDescent="0.3">
      <c r="A68" s="4" t="s">
        <v>173</v>
      </c>
      <c r="B68" s="41" t="s">
        <v>175</v>
      </c>
      <c r="C68" s="40" t="s">
        <v>175</v>
      </c>
      <c r="E68" s="1" t="s">
        <v>139</v>
      </c>
      <c r="F68" s="41">
        <v>3666233</v>
      </c>
      <c r="G68" s="40">
        <f t="shared" si="9"/>
        <v>10.415582015904656</v>
      </c>
    </row>
    <row r="69" spans="1:7" x14ac:dyDescent="0.25">
      <c r="A69" s="3" t="s">
        <v>174</v>
      </c>
      <c r="B69" s="41">
        <v>670986</v>
      </c>
      <c r="C69" s="40">
        <f>(B69/$B$42)*100</f>
        <v>0.63612567075566229</v>
      </c>
      <c r="E69" s="1" t="s">
        <v>141</v>
      </c>
      <c r="F69" s="41">
        <v>2585327</v>
      </c>
      <c r="G69" s="40">
        <f t="shared" si="9"/>
        <v>7.3447828892579228</v>
      </c>
    </row>
    <row r="70" spans="1:7" x14ac:dyDescent="0.25">
      <c r="A70" s="3" t="s">
        <v>176</v>
      </c>
      <c r="B70" s="41">
        <v>715535</v>
      </c>
      <c r="C70" s="40">
        <f>(B70/$B$42)*100</f>
        <v>0.67836017714848418</v>
      </c>
      <c r="E70" s="1" t="s">
        <v>143</v>
      </c>
      <c r="F70" s="41">
        <v>10383959</v>
      </c>
      <c r="G70" s="40">
        <f t="shared" si="9"/>
        <v>29.500300884938657</v>
      </c>
    </row>
    <row r="71" spans="1:7" x14ac:dyDescent="0.25">
      <c r="A71" s="5" t="s">
        <v>177</v>
      </c>
      <c r="B71" s="47">
        <v>2570705</v>
      </c>
      <c r="C71" s="48">
        <f>(B71/$B$42)*100</f>
        <v>2.4371468889662897</v>
      </c>
      <c r="D71" s="21"/>
      <c r="E71" s="7" t="s">
        <v>145</v>
      </c>
      <c r="F71" s="47">
        <v>2657135</v>
      </c>
      <c r="G71" s="48">
        <f t="shared" si="9"/>
        <v>7.5487857754351184</v>
      </c>
    </row>
    <row r="73" spans="1:7" x14ac:dyDescent="0.25">
      <c r="A73" s="60" t="s">
        <v>219</v>
      </c>
      <c r="B73" s="75"/>
      <c r="C73" s="68"/>
    </row>
    <row r="74" spans="1:7" x14ac:dyDescent="0.25">
      <c r="A74" s="60"/>
      <c r="B74" s="75"/>
      <c r="C74" s="68"/>
    </row>
    <row r="75" spans="1:7" x14ac:dyDescent="0.25">
      <c r="A75" s="60" t="s">
        <v>91</v>
      </c>
      <c r="B75" s="75"/>
      <c r="C75" s="68"/>
    </row>
    <row r="76" spans="1:7" x14ac:dyDescent="0.25">
      <c r="B76" s="75"/>
      <c r="C76" s="68"/>
    </row>
  </sheetData>
  <phoneticPr fontId="3" type="noConversion"/>
  <pageMargins left="0.49" right="0.34" top="0.43" bottom="0.35" header="0.45" footer="0.73"/>
  <pageSetup scale="7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DP-2</vt:lpstr>
      <vt:lpstr>DP-3</vt:lpstr>
      <vt:lpstr>DP-4</vt:lpstr>
      <vt:lpstr>'DP-2'!Print_Area</vt:lpstr>
      <vt:lpstr>'DP-3'!Print_Area</vt:lpstr>
      <vt:lpstr>'DP-4'!Print_Area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2002-05-30T21:20:48Z</cp:lastPrinted>
  <dcterms:created xsi:type="dcterms:W3CDTF">2001-10-15T13:22:32Z</dcterms:created>
  <dcterms:modified xsi:type="dcterms:W3CDTF">2020-01-27T11:12:10Z</dcterms:modified>
</cp:coreProperties>
</file>