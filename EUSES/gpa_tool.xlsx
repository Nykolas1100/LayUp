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F6A0E2A-15DE-429A-A4FE-A38D0F293CB9}" xr6:coauthVersionLast="45" xr6:coauthVersionMax="45" xr10:uidLastSave="{00000000-0000-0000-0000-000000000000}"/>
  <bookViews>
    <workbookView xWindow="380" yWindow="380" windowWidth="28800" windowHeight="15460"/>
  </bookViews>
  <sheets>
    <sheet name="GPA on 4.0 Scale"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1" i="1" l="1"/>
  <c r="D12" i="1"/>
  <c r="D13" i="1"/>
  <c r="D14" i="1"/>
  <c r="D15" i="1"/>
  <c r="C17" i="1"/>
  <c r="D17" i="1"/>
  <c r="F13" i="1" s="1"/>
</calcChain>
</file>

<file path=xl/sharedStrings.xml><?xml version="1.0" encoding="utf-8"?>
<sst xmlns="http://schemas.openxmlformats.org/spreadsheetml/2006/main" count="23" uniqueCount="20">
  <si>
    <t xml:space="preserve"> </t>
  </si>
  <si>
    <t>Grade</t>
  </si>
  <si>
    <t>Credit Hours</t>
  </si>
  <si>
    <t>Totals</t>
  </si>
  <si>
    <t>GPA calculator</t>
  </si>
  <si>
    <t>"Last 60 credit hour" GPA</t>
  </si>
  <si>
    <t xml:space="preserve">For the purpose of this calculation, ignore "+" and "-"; for example, treat "B+" and "B-" as "B."  Also, if you have any non-graded courses or courses with grades which do not receive grade points (pass/fail, credit/non-credit, incomplete, deferred, etc.), do not enter these hours below.  However, these hours are to be used to determine the last 60 hour cohort described above.  </t>
  </si>
  <si>
    <r>
      <t xml:space="preserve">Use this tool to calculate your GPA.  This tool is appropriate for students who have studied under an A-F (U.S. style) grading system.  </t>
    </r>
    <r>
      <rPr>
        <sz val="10"/>
        <rFont val="Arial"/>
        <family val="2"/>
      </rPr>
      <t>Press the Enter or arrow key after your last entry to obtain the correct GPA.</t>
    </r>
    <r>
      <rPr>
        <b/>
        <sz val="10"/>
        <rFont val="Arial"/>
        <family val="2"/>
      </rPr>
      <t xml:space="preserve">  </t>
    </r>
  </si>
  <si>
    <r>
      <t xml:space="preserve">A GPA for an applicant's last 60 credit hours (90 quarter hours) of your first </t>
    </r>
    <r>
      <rPr>
        <sz val="10"/>
        <rFont val="Arial"/>
        <family val="2"/>
      </rPr>
      <t xml:space="preserve">college/university (baccalaureate) </t>
    </r>
    <r>
      <rPr>
        <sz val="10"/>
        <rFont val="Arial"/>
      </rPr>
      <t xml:space="preserve">degree is requested in Question 21 of the Graduate College application.  </t>
    </r>
    <r>
      <rPr>
        <sz val="10"/>
        <rFont val="Arial"/>
        <family val="2"/>
      </rPr>
      <t xml:space="preserve">If your first degree is still in progress, use the last 60 hours completed to date.  When counting back to arrive at your last 60 credit hours, please include the entire semester's grades in which your final 60th credit hour falls.  Therefore, the total credit hours you arrive at may be slightly more than 60.  </t>
    </r>
    <r>
      <rPr>
        <sz val="10"/>
        <rFont val="Arial"/>
      </rPr>
      <t>Enter credit hours earned for certain letter grades and the calculator below will automatically 1) multiply the</t>
    </r>
    <r>
      <rPr>
        <sz val="10"/>
        <rFont val="Arial"/>
        <family val="2"/>
      </rPr>
      <t xml:space="preserve"> grade points </t>
    </r>
    <r>
      <rPr>
        <sz val="10"/>
        <rFont val="Arial"/>
      </rPr>
      <t>for the number of credit hours certain grades are received, 2) sum total credit hours and total weighted credits, and 3) divide total weighted credits by total credit hours to arrive at a GPA.</t>
    </r>
  </si>
  <si>
    <t>Weighted Credits</t>
  </si>
  <si>
    <t>University of Illinois at Chicago</t>
  </si>
  <si>
    <t>Graduate Admissions</t>
  </si>
  <si>
    <t>Office of Admissions and Records</t>
  </si>
  <si>
    <t>1200 W Harrison St - MC 018</t>
  </si>
  <si>
    <t>Student Services Building</t>
  </si>
  <si>
    <t>A (4.0)</t>
  </si>
  <si>
    <t>B (3.0)</t>
  </si>
  <si>
    <t>C (2.0)</t>
  </si>
  <si>
    <t>D (1.0)</t>
  </si>
  <si>
    <t>F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</si>
</sst>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10"/>
      <name val="Arial"/>
      <family val="2"/>
    </font>
    <font>
      <b/>
      <sz val="12"/>
      <color indexed="10"/>
      <name val="Arial"/>
      <family val="2"/>
    </font>
  </fonts>
  <fills count="2">
    <fill>
      <patternFill patternType="none"/>
    </fill>
    <fill>
      <patternFill patternType="gray125"/>
    </fill>
  </fills>
  <borders count="9">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16">
    <xf numFmtId="0" fontId="0" fillId="0" borderId="0" xfId="0"/>
    <xf numFmtId="2" fontId="1" fillId="0" borderId="0" xfId="0" applyNumberFormat="1" applyFont="1"/>
    <xf numFmtId="1" fontId="0" fillId="0" borderId="0" xfId="0" applyNumberFormat="1"/>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0" fillId="0" borderId="1" xfId="0" applyNumberFormat="1" applyBorder="1" applyAlignment="1">
      <alignment vertical="top" wrapText="1"/>
    </xf>
    <xf numFmtId="0" fontId="0" fillId="0" borderId="2" xfId="0" applyNumberFormat="1" applyBorder="1" applyAlignment="1">
      <alignment vertical="top" wrapText="1"/>
    </xf>
    <xf numFmtId="0" fontId="0" fillId="0" borderId="3" xfId="0" applyNumberFormat="1" applyBorder="1" applyAlignment="1">
      <alignment vertical="top" wrapText="1"/>
    </xf>
    <xf numFmtId="0" fontId="0" fillId="0" borderId="4" xfId="0" applyNumberFormat="1" applyBorder="1" applyAlignment="1">
      <alignment vertical="top" wrapText="1"/>
    </xf>
    <xf numFmtId="0" fontId="0" fillId="0" borderId="0" xfId="0" applyNumberFormat="1" applyBorder="1" applyAlignment="1">
      <alignment vertical="top" wrapText="1"/>
    </xf>
    <xf numFmtId="0" fontId="0" fillId="0" borderId="5" xfId="0" applyNumberFormat="1" applyBorder="1" applyAlignment="1">
      <alignment vertical="top" wrapText="1"/>
    </xf>
    <xf numFmtId="0" fontId="1" fillId="0" borderId="6" xfId="0" applyNumberFormat="1" applyFont="1" applyBorder="1" applyAlignment="1">
      <alignment vertical="top" wrapText="1"/>
    </xf>
    <xf numFmtId="0" fontId="2" fillId="0" borderId="7" xfId="0" applyNumberFormat="1" applyFont="1" applyBorder="1" applyAlignment="1">
      <alignment vertical="top" wrapText="1"/>
    </xf>
    <xf numFmtId="0" fontId="2" fillId="0" borderId="8" xfId="0" applyNumberFormat="1" applyFont="1" applyBorder="1" applyAlignment="1">
      <alignment vertical="top" wrapText="1"/>
    </xf>
  </cellXfs>
  <cellStyles count="1">
    <cellStyle name="Normal" xfId="0" builtinId="0"/>
  </cellStyles>
  <dxfs count="1">
    <dxf>
      <font>
        <b val="0"/>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22"/>
  <sheetViews>
    <sheetView tabSelected="1" topLeftCell="A5" workbookViewId="0">
      <selection activeCell="D12" sqref="D12"/>
    </sheetView>
  </sheetViews>
  <sheetFormatPr defaultRowHeight="12.5" x14ac:dyDescent="0.25"/>
  <cols>
    <col min="1" max="1" width="22.1796875" customWidth="1"/>
    <col min="2" max="2" width="7.1796875" customWidth="1"/>
    <col min="3" max="3" width="10.81640625" customWidth="1"/>
    <col min="4" max="4" width="14.7265625" customWidth="1"/>
    <col min="5" max="5" width="8.453125" customWidth="1"/>
    <col min="6" max="6" width="15.7265625" customWidth="1"/>
    <col min="69" max="69" width="0.26953125" customWidth="1"/>
    <col min="70" max="73" width="9.1796875" hidden="1" customWidth="1"/>
  </cols>
  <sheetData>
    <row r="1" spans="1:9" ht="15.5" x14ac:dyDescent="0.35">
      <c r="A1" s="6" t="s">
        <v>10</v>
      </c>
      <c r="G1" t="s">
        <v>11</v>
      </c>
    </row>
    <row r="2" spans="1:9" x14ac:dyDescent="0.25">
      <c r="G2" t="s">
        <v>12</v>
      </c>
    </row>
    <row r="3" spans="1:9" x14ac:dyDescent="0.25">
      <c r="G3" t="s">
        <v>13</v>
      </c>
    </row>
    <row r="4" spans="1:9" x14ac:dyDescent="0.25">
      <c r="G4" t="s">
        <v>14</v>
      </c>
    </row>
    <row r="5" spans="1:9" ht="13.5" thickBot="1" x14ac:dyDescent="0.35">
      <c r="A5" s="3" t="s">
        <v>4</v>
      </c>
    </row>
    <row r="6" spans="1:9" ht="30.75" customHeight="1" thickTop="1" x14ac:dyDescent="0.25">
      <c r="A6" s="7" t="s">
        <v>7</v>
      </c>
      <c r="B6" s="8"/>
      <c r="C6" s="8"/>
      <c r="D6" s="8"/>
      <c r="E6" s="8"/>
      <c r="F6" s="8"/>
      <c r="G6" s="8"/>
      <c r="H6" s="8"/>
      <c r="I6" s="9"/>
    </row>
    <row r="7" spans="1:9" ht="90.75" customHeight="1" x14ac:dyDescent="0.25">
      <c r="A7" s="10" t="s">
        <v>8</v>
      </c>
      <c r="B7" s="11"/>
      <c r="C7" s="11"/>
      <c r="D7" s="11"/>
      <c r="E7" s="11"/>
      <c r="F7" s="11"/>
      <c r="G7" s="11"/>
      <c r="H7" s="11"/>
      <c r="I7" s="12"/>
    </row>
    <row r="8" spans="1:9" ht="41.25" customHeight="1" thickBot="1" x14ac:dyDescent="0.3">
      <c r="A8" s="13" t="s">
        <v>6</v>
      </c>
      <c r="B8" s="14"/>
      <c r="C8" s="14"/>
      <c r="D8" s="14"/>
      <c r="E8" s="14"/>
      <c r="F8" s="14"/>
      <c r="G8" s="14"/>
      <c r="H8" s="14"/>
      <c r="I8" s="15"/>
    </row>
    <row r="9" spans="1:9" ht="13" thickTop="1" x14ac:dyDescent="0.25">
      <c r="A9" s="5"/>
    </row>
    <row r="10" spans="1:9" x14ac:dyDescent="0.25">
      <c r="A10" t="s">
        <v>0</v>
      </c>
      <c r="B10" t="s">
        <v>1</v>
      </c>
      <c r="C10" t="s">
        <v>2</v>
      </c>
      <c r="D10" t="s">
        <v>9</v>
      </c>
    </row>
    <row r="11" spans="1:9" x14ac:dyDescent="0.25">
      <c r="A11" t="s">
        <v>0</v>
      </c>
      <c r="B11" t="s">
        <v>15</v>
      </c>
      <c r="C11" s="2"/>
      <c r="D11">
        <f>SUM(C11*4)</f>
        <v>0</v>
      </c>
    </row>
    <row r="12" spans="1:9" x14ac:dyDescent="0.25">
      <c r="A12" t="s">
        <v>0</v>
      </c>
      <c r="B12" t="s">
        <v>16</v>
      </c>
      <c r="C12" s="2"/>
      <c r="D12">
        <f>SUM(C12*3)</f>
        <v>0</v>
      </c>
      <c r="F12" t="s">
        <v>5</v>
      </c>
    </row>
    <row r="13" spans="1:9" ht="13" x14ac:dyDescent="0.3">
      <c r="A13" t="s">
        <v>0</v>
      </c>
      <c r="B13" t="s">
        <v>17</v>
      </c>
      <c r="C13" s="2"/>
      <c r="D13">
        <f>SUM(C13*2)</f>
        <v>0</v>
      </c>
      <c r="F13" s="1" t="e">
        <f>SUM(D17/C17)</f>
        <v>#DIV/0!</v>
      </c>
    </row>
    <row r="14" spans="1:9" x14ac:dyDescent="0.25">
      <c r="B14" t="s">
        <v>18</v>
      </c>
      <c r="C14" s="2"/>
      <c r="D14">
        <f>SUM(C14*1)</f>
        <v>0</v>
      </c>
    </row>
    <row r="15" spans="1:9" x14ac:dyDescent="0.25">
      <c r="B15" t="s">
        <v>19</v>
      </c>
      <c r="C15" s="2"/>
      <c r="D15">
        <f>SUM(C15*0)</f>
        <v>0</v>
      </c>
    </row>
    <row r="17" spans="1:10" x14ac:dyDescent="0.25">
      <c r="B17" t="s">
        <v>3</v>
      </c>
      <c r="C17">
        <f>SUM(C11:C15)</f>
        <v>0</v>
      </c>
      <c r="D17">
        <f>SUM(D11:D15)</f>
        <v>0</v>
      </c>
    </row>
    <row r="18" spans="1:10" ht="13" x14ac:dyDescent="0.3">
      <c r="A18" s="4"/>
    </row>
    <row r="19" spans="1:10" ht="13" x14ac:dyDescent="0.3">
      <c r="A19" s="3"/>
    </row>
    <row r="21" spans="1:10" x14ac:dyDescent="0.25">
      <c r="B21" s="11"/>
      <c r="C21" s="11"/>
      <c r="D21" s="11"/>
      <c r="E21" s="11"/>
      <c r="F21" s="11"/>
      <c r="G21" s="11"/>
      <c r="H21" s="11"/>
      <c r="I21" s="11"/>
      <c r="J21" s="11"/>
    </row>
    <row r="22" spans="1:10" x14ac:dyDescent="0.25">
      <c r="B22" s="11"/>
      <c r="C22" s="11"/>
      <c r="D22" s="11"/>
      <c r="E22" s="11"/>
      <c r="F22" s="11"/>
      <c r="G22" s="11"/>
      <c r="H22" s="11"/>
      <c r="I22" s="11"/>
      <c r="J22" s="11"/>
    </row>
  </sheetData>
  <mergeCells count="5">
    <mergeCell ref="A6:I6"/>
    <mergeCell ref="A7:I7"/>
    <mergeCell ref="B21:J21"/>
    <mergeCell ref="B22:J22"/>
    <mergeCell ref="A8:I8"/>
  </mergeCells>
  <conditionalFormatting sqref="B21:B22 A6:A8">
    <cfRule type="cellIs" dxfId="0" priority="1" stopIfTrue="1" operator="between">
      <formula>"a2"</formula>
      <formula>"j2"</formula>
    </cfRule>
  </conditionalFormatting>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 on 4.0 Scale</vt:lpstr>
    </vt:vector>
  </TitlesOfParts>
  <Company>UIC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R. Dixon</dc:creator>
  <cp:lastModifiedBy>Carina Negreanu</cp:lastModifiedBy>
  <cp:lastPrinted>2002-03-14T18:21:38Z</cp:lastPrinted>
  <dcterms:created xsi:type="dcterms:W3CDTF">2002-03-11T17:42:37Z</dcterms:created>
  <dcterms:modified xsi:type="dcterms:W3CDTF">2020-01-27T11:38:49Z</dcterms:modified>
</cp:coreProperties>
</file>