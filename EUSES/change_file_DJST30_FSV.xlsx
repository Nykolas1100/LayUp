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3ED408-A2BE-4736-8AAF-7E4CC3FEE75D}" xr6:coauthVersionLast="45" xr6:coauthVersionMax="45" xr10:uidLastSave="{00000000-0000-0000-0000-000000000000}"/>
  <bookViews>
    <workbookView xWindow="3420" yWindow="3420" windowWidth="28800" windowHeight="15460"/>
  </bookViews>
  <sheets>
    <sheet name="Close" sheetId="4" r:id="rId1"/>
    <sheet name="Changes" sheetId="3" r:id="rId2"/>
    <sheet name="Openin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1" i="2" l="1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</calcChain>
</file>

<file path=xl/sharedStrings.xml><?xml version="1.0" encoding="utf-8"?>
<sst xmlns="http://schemas.openxmlformats.org/spreadsheetml/2006/main" count="944" uniqueCount="243">
  <si>
    <t>Opening for:</t>
  </si>
  <si>
    <t>Region</t>
  </si>
  <si>
    <t>Category</t>
  </si>
  <si>
    <t>Name</t>
  </si>
  <si>
    <t>Forex</t>
  </si>
  <si>
    <t>Ticker</t>
  </si>
  <si>
    <t>ISIN</t>
  </si>
  <si>
    <t>CUSIP</t>
  </si>
  <si>
    <t>SEDOL</t>
  </si>
  <si>
    <t>No. Comp.</t>
  </si>
  <si>
    <t>Float</t>
  </si>
  <si>
    <t>Open Quotation</t>
  </si>
  <si>
    <t>Close</t>
  </si>
  <si>
    <t>Mcap(local)</t>
  </si>
  <si>
    <t>Mcap(EUR)</t>
  </si>
  <si>
    <t>Mcap(USD)</t>
  </si>
  <si>
    <t>Divisor</t>
  </si>
  <si>
    <t>Change</t>
  </si>
  <si>
    <t>Global</t>
  </si>
  <si>
    <t>Blue Chip</t>
  </si>
  <si>
    <t>Dow Jones Sector Titans - Financial Svcs. Sector (U.S. $) Price</t>
  </si>
  <si>
    <t>USD</t>
  </si>
  <si>
    <t>DJTFSV</t>
  </si>
  <si>
    <t>XC0006972993</t>
  </si>
  <si>
    <t>Dow Jones Sector Titans - Financial Svcs. Sector (U.S. $) Return</t>
  </si>
  <si>
    <t>No</t>
  </si>
  <si>
    <t>Dow Jones Sector Titans - Financial Svcs. Sector (Euro) Price</t>
  </si>
  <si>
    <t>EUR</t>
  </si>
  <si>
    <t>DJTFSVE</t>
  </si>
  <si>
    <t>XC0006973181</t>
  </si>
  <si>
    <t>Dow Jones Sector Titans - Financial Svcs. Sector (Euro) Return</t>
  </si>
  <si>
    <t>Financial Services-Asia Close Price</t>
  </si>
  <si>
    <t>DJPFSV</t>
  </si>
  <si>
    <t>US26057A5838</t>
  </si>
  <si>
    <t>Financial Services-Asia Close Return</t>
  </si>
  <si>
    <t>Financial Services-Asia Close (in Euros) Price</t>
  </si>
  <si>
    <t>DJPFSVE</t>
  </si>
  <si>
    <t>US26057A5911</t>
  </si>
  <si>
    <t>Financial Services-Asia Close (in Euros) Return</t>
  </si>
  <si>
    <t>Financial Services-Europe Close Price</t>
  </si>
  <si>
    <t>DJEFSV</t>
  </si>
  <si>
    <t>US26057A6091</t>
  </si>
  <si>
    <t>Financial Services-Europe Close Return</t>
  </si>
  <si>
    <t>Financial Services-Europe Close (in Euros) Price</t>
  </si>
  <si>
    <t>DJEFSVE</t>
  </si>
  <si>
    <t>US26057A6174</t>
  </si>
  <si>
    <t>Financial Services-Europe Close (in Euros) Return</t>
  </si>
  <si>
    <t>Financial Services-US Close Price</t>
  </si>
  <si>
    <t>DJAFSV</t>
  </si>
  <si>
    <t>US26057A6257</t>
  </si>
  <si>
    <t>Financial Services-US Close Return</t>
  </si>
  <si>
    <t>Financial Services-US Close (in Euros) Price</t>
  </si>
  <si>
    <t>DJAFSVE</t>
  </si>
  <si>
    <t>US26057A6331</t>
  </si>
  <si>
    <t>Financial Services-US Close (in Euros) Return</t>
  </si>
  <si>
    <t xml:space="preserve">Country </t>
  </si>
  <si>
    <t>Exchange</t>
  </si>
  <si>
    <t>RIC</t>
  </si>
  <si>
    <t>Internal Number</t>
  </si>
  <si>
    <t>Shares</t>
  </si>
  <si>
    <t>Free Float</t>
  </si>
  <si>
    <t>10%Cap</t>
  </si>
  <si>
    <t>Open(local)</t>
  </si>
  <si>
    <t>Close(local)</t>
  </si>
  <si>
    <t>Wgt.</t>
  </si>
  <si>
    <t>Econ. Sector</t>
  </si>
  <si>
    <t>Market Sector</t>
  </si>
  <si>
    <t>Ind. Group</t>
  </si>
  <si>
    <t>Subgroup</t>
  </si>
  <si>
    <t>Corp. Action</t>
  </si>
  <si>
    <t>US</t>
  </si>
  <si>
    <t>Citigroup Inc.</t>
  </si>
  <si>
    <t>C.N</t>
  </si>
  <si>
    <t>US1729671016</t>
  </si>
  <si>
    <t>2297907</t>
  </si>
  <si>
    <t>C</t>
  </si>
  <si>
    <t>FIN</t>
  </si>
  <si>
    <t>FSV</t>
  </si>
  <si>
    <t>FIS</t>
  </si>
  <si>
    <t>Fannie Mae</t>
  </si>
  <si>
    <t>FNM.N</t>
  </si>
  <si>
    <t>US3135861090</t>
  </si>
  <si>
    <t>2333889</t>
  </si>
  <si>
    <t>FNM</t>
  </si>
  <si>
    <t>American Express Co.</t>
  </si>
  <si>
    <t>AXP.N</t>
  </si>
  <si>
    <t>US0258161092</t>
  </si>
  <si>
    <t>2026082</t>
  </si>
  <si>
    <t>AXP</t>
  </si>
  <si>
    <t>Morgan Stanley</t>
  </si>
  <si>
    <t>MWD.N</t>
  </si>
  <si>
    <t>US6174464486</t>
  </si>
  <si>
    <t>2262314</t>
  </si>
  <si>
    <t>MWD</t>
  </si>
  <si>
    <t>SCR</t>
  </si>
  <si>
    <t>Merrill Lynch &amp; Co. Inc.</t>
  </si>
  <si>
    <t>MER.N</t>
  </si>
  <si>
    <t>US5901881087</t>
  </si>
  <si>
    <t>2580986</t>
  </si>
  <si>
    <t>MER</t>
  </si>
  <si>
    <t>Freddie Mac</t>
  </si>
  <si>
    <t>FRE.N</t>
  </si>
  <si>
    <t>US3134003017</t>
  </si>
  <si>
    <t>2334150</t>
  </si>
  <si>
    <t>FRE</t>
  </si>
  <si>
    <t>JP</t>
  </si>
  <si>
    <t>Nomura Holdings Inc.</t>
  </si>
  <si>
    <t>JPY</t>
  </si>
  <si>
    <t>8604.T</t>
  </si>
  <si>
    <t>JP3762600009</t>
  </si>
  <si>
    <t>6643108</t>
  </si>
  <si>
    <t>jT8604</t>
  </si>
  <si>
    <t>Goldman Sachs Group Inc.</t>
  </si>
  <si>
    <t>GS.N</t>
  </si>
  <si>
    <t>US38141G1040</t>
  </si>
  <si>
    <t>2407966</t>
  </si>
  <si>
    <t>GS</t>
  </si>
  <si>
    <t>MBNA Corp.</t>
  </si>
  <si>
    <t>KRB.N</t>
  </si>
  <si>
    <t>US55262L1008</t>
  </si>
  <si>
    <t>2547055</t>
  </si>
  <si>
    <t>KRB</t>
  </si>
  <si>
    <t>NL</t>
  </si>
  <si>
    <t>Fortis N.V.</t>
  </si>
  <si>
    <t>FOR.AS</t>
  </si>
  <si>
    <t>BE0003801181</t>
  </si>
  <si>
    <t>7266117</t>
  </si>
  <si>
    <t>eA30086</t>
  </si>
  <si>
    <t>Lehman Brothers Holdings Inc.</t>
  </si>
  <si>
    <t>LEH.N</t>
  </si>
  <si>
    <t>US5249081002</t>
  </si>
  <si>
    <t>2510723</t>
  </si>
  <si>
    <t>LEH</t>
  </si>
  <si>
    <t>SLM Corp.</t>
  </si>
  <si>
    <t>SLM.N</t>
  </si>
  <si>
    <t>US78442P1066</t>
  </si>
  <si>
    <t>2101967</t>
  </si>
  <si>
    <t>SLM</t>
  </si>
  <si>
    <t>Capital One Financial Corp.</t>
  </si>
  <si>
    <t>COF.N</t>
  </si>
  <si>
    <t>US14040H1059</t>
  </si>
  <si>
    <t>2654461</t>
  </si>
  <si>
    <t>COF</t>
  </si>
  <si>
    <t>Countrywide Financial Corp.</t>
  </si>
  <si>
    <t>CFC.N</t>
  </si>
  <si>
    <t>US2223721042</t>
  </si>
  <si>
    <t>2229676</t>
  </si>
  <si>
    <t>CFC</t>
  </si>
  <si>
    <t>Mitsubishi Estate Co. Ltd.</t>
  </si>
  <si>
    <t>8802.T</t>
  </si>
  <si>
    <t>JP3899600005</t>
  </si>
  <si>
    <t>6596729</t>
  </si>
  <si>
    <t>jT8802</t>
  </si>
  <si>
    <t>REA</t>
  </si>
  <si>
    <t>State Street Corp.</t>
  </si>
  <si>
    <t>STT.N</t>
  </si>
  <si>
    <t>US8574771031</t>
  </si>
  <si>
    <t>2842040</t>
  </si>
  <si>
    <t>STT</t>
  </si>
  <si>
    <t>Mellon Financial Corp.</t>
  </si>
  <si>
    <t>MEL.N</t>
  </si>
  <si>
    <t>US58551A1088</t>
  </si>
  <si>
    <t>2576350</t>
  </si>
  <si>
    <t>MEL</t>
  </si>
  <si>
    <t>HK</t>
  </si>
  <si>
    <t>Cheung Kong (Holdings) Ltd.</t>
  </si>
  <si>
    <t>HKD</t>
  </si>
  <si>
    <t>0001.HK</t>
  </si>
  <si>
    <t>HK0001000014</t>
  </si>
  <si>
    <t>6190273</t>
  </si>
  <si>
    <t>jB0001</t>
  </si>
  <si>
    <t>Sun Hung Kai Properties Ltd.</t>
  </si>
  <si>
    <t>0016.HK</t>
  </si>
  <si>
    <t>HK0016000132</t>
  </si>
  <si>
    <t>6859927</t>
  </si>
  <si>
    <t>jB0016</t>
  </si>
  <si>
    <t>Charles Schwab Corp.</t>
  </si>
  <si>
    <t>SCH.N</t>
  </si>
  <si>
    <t>US8085131055</t>
  </si>
  <si>
    <t>2779397</t>
  </si>
  <si>
    <t>SCH</t>
  </si>
  <si>
    <t>Equity Office Properties Trust</t>
  </si>
  <si>
    <t>EOP.N</t>
  </si>
  <si>
    <t>US2947411037</t>
  </si>
  <si>
    <t>2038430</t>
  </si>
  <si>
    <t>EOP</t>
  </si>
  <si>
    <t>Principal Financial Group Inc.</t>
  </si>
  <si>
    <t>PFG.N</t>
  </si>
  <si>
    <t>US74251V1026</t>
  </si>
  <si>
    <t>2803014</t>
  </si>
  <si>
    <t>PFG</t>
  </si>
  <si>
    <t>Daiwa Securities Group Inc.</t>
  </si>
  <si>
    <t>8601.T</t>
  </si>
  <si>
    <t>JP3502200003</t>
  </si>
  <si>
    <t>6251448</t>
  </si>
  <si>
    <t>jT8601</t>
  </si>
  <si>
    <t>GB</t>
  </si>
  <si>
    <t>Land Securities Group PLC</t>
  </si>
  <si>
    <t>GBP</t>
  </si>
  <si>
    <t>LAND.L</t>
  </si>
  <si>
    <t>GB0031809436</t>
  </si>
  <si>
    <t>3180943</t>
  </si>
  <si>
    <t>lLLAND</t>
  </si>
  <si>
    <t>Bear Stearns Cos.</t>
  </si>
  <si>
    <t>BSC.N</t>
  </si>
  <si>
    <t>US0739021089</t>
  </si>
  <si>
    <t>2086138</t>
  </si>
  <si>
    <t>BSC</t>
  </si>
  <si>
    <t>Equity Residential</t>
  </si>
  <si>
    <t>EQR.N</t>
  </si>
  <si>
    <t>US29476L1070</t>
  </si>
  <si>
    <t>2319157</t>
  </si>
  <si>
    <t>EQR</t>
  </si>
  <si>
    <t>CIT Group Inc.</t>
  </si>
  <si>
    <t>CIT.N</t>
  </si>
  <si>
    <t>US1255811085</t>
  </si>
  <si>
    <t>2965549</t>
  </si>
  <si>
    <t>CIT</t>
  </si>
  <si>
    <t>AU</t>
  </si>
  <si>
    <t>AMP Ltd.</t>
  </si>
  <si>
    <t>AUD</t>
  </si>
  <si>
    <t>AMP.AX</t>
  </si>
  <si>
    <t>AU000000AMP6</t>
  </si>
  <si>
    <t>6709958</t>
  </si>
  <si>
    <t>jXAMP</t>
  </si>
  <si>
    <t>Franklin Resources Inc.</t>
  </si>
  <si>
    <t>BEN.N</t>
  </si>
  <si>
    <t>US3546131018</t>
  </si>
  <si>
    <t>2350684</t>
  </si>
  <si>
    <t>BEN</t>
  </si>
  <si>
    <t>CA</t>
  </si>
  <si>
    <t>Power Corp. of Canada</t>
  </si>
  <si>
    <t>CAD</t>
  </si>
  <si>
    <t>POW.TO</t>
  </si>
  <si>
    <t>CA7392391016</t>
  </si>
  <si>
    <t>2697701</t>
  </si>
  <si>
    <t>TPOW</t>
  </si>
  <si>
    <t>Effective:</t>
  </si>
  <si>
    <t>Country</t>
  </si>
  <si>
    <t>Ferex</t>
  </si>
  <si>
    <t>Changes</t>
  </si>
  <si>
    <t>Close for: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</si>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</sst>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2" formatCode="mmm\.\ dd\,\ yyyy"/>
    <numFmt numFmtId="173" formatCode="#0"/>
    <numFmt numFmtId="174" formatCode="0.0000"/>
    <numFmt numFmtId="175" formatCode="#####00000"/>
    <numFmt numFmtId="176" formatCode="##0.00"/>
    <numFmt numFmtId="177" formatCode="##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2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/>
    <xf numFmtId="173" fontId="0" fillId="0" borderId="0" xfId="0" applyNumberFormat="1"/>
    <xf numFmtId="174" fontId="0" fillId="0" borderId="0" xfId="0" applyNumberFormat="1"/>
    <xf numFmtId="49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tabSelected="1" workbookViewId="0"/>
  </sheetViews>
  <sheetFormatPr defaultRowHeight="12.5" x14ac:dyDescent="0.25"/>
  <cols>
    <col min="1" max="1" width="8.54296875" bestFit="1" customWidth="1"/>
    <col min="2" max="2" width="10" bestFit="1" customWidth="1"/>
    <col min="3" max="3" width="54.81640625" bestFit="1" customWidth="1"/>
    <col min="4" max="4" width="6.26953125" bestFit="1" customWidth="1"/>
    <col min="5" max="5" width="9.453125" bestFit="1" customWidth="1"/>
    <col min="6" max="6" width="14.7265625" bestFit="1" customWidth="1"/>
    <col min="7" max="7" width="6.7265625" bestFit="1" customWidth="1"/>
    <col min="8" max="8" width="8" bestFit="1" customWidth="1"/>
    <col min="9" max="9" width="15.7265625" bestFit="1" customWidth="1"/>
    <col min="10" max="10" width="11" bestFit="1" customWidth="1"/>
    <col min="11" max="11" width="10.26953125" bestFit="1" customWidth="1"/>
    <col min="12" max="12" width="8" bestFit="1" customWidth="1"/>
    <col min="13" max="13" width="15.26953125" bestFit="1" customWidth="1"/>
    <col min="14" max="14" width="11.54296875" bestFit="1" customWidth="1"/>
    <col min="15" max="15" width="14" bestFit="1" customWidth="1"/>
    <col min="16" max="17" width="13" bestFit="1" customWidth="1"/>
    <col min="18" max="18" width="6.54296875" bestFit="1" customWidth="1"/>
    <col min="19" max="19" width="15.54296875" bestFit="1" customWidth="1"/>
    <col min="20" max="20" width="13.54296875" bestFit="1" customWidth="1"/>
    <col min="21" max="21" width="10.54296875" bestFit="1" customWidth="1"/>
    <col min="22" max="22" width="9.81640625" bestFit="1" customWidth="1"/>
    <col min="23" max="23" width="12.1796875" bestFit="1" customWidth="1"/>
  </cols>
  <sheetData>
    <row r="1" spans="1:21" x14ac:dyDescent="0.25">
      <c r="B1" t="s">
        <v>241</v>
      </c>
      <c r="C1" s="1">
        <v>38077</v>
      </c>
    </row>
    <row r="2" spans="1:21" ht="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  <c r="K2" s="2" t="s">
        <v>10</v>
      </c>
      <c r="L2" s="2"/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/>
      <c r="S2" s="2" t="s">
        <v>16</v>
      </c>
      <c r="T2" s="2" t="s">
        <v>17</v>
      </c>
    </row>
    <row r="3" spans="1:2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J3">
        <v>30</v>
      </c>
      <c r="K3" s="3">
        <v>0.72819233653254722</v>
      </c>
      <c r="N3" s="3">
        <v>313.185683217274</v>
      </c>
      <c r="O3" s="4">
        <v>724772937895.06799</v>
      </c>
      <c r="P3" s="4"/>
      <c r="Q3" s="4">
        <v>724772937895.06799</v>
      </c>
      <c r="S3" s="5">
        <v>2314195624.9393902</v>
      </c>
      <c r="T3" s="6" t="s">
        <v>25</v>
      </c>
      <c r="U3" s="5"/>
    </row>
    <row r="4" spans="1:21" x14ac:dyDescent="0.25">
      <c r="A4" t="s">
        <v>18</v>
      </c>
      <c r="B4" t="s">
        <v>19</v>
      </c>
      <c r="C4" t="s">
        <v>24</v>
      </c>
      <c r="D4" t="s">
        <v>21</v>
      </c>
      <c r="J4">
        <v>30</v>
      </c>
      <c r="K4" s="3">
        <v>0.72819233653254722</v>
      </c>
      <c r="N4" s="3">
        <v>391.56724182071503</v>
      </c>
      <c r="O4" s="4">
        <v>724772937895.06799</v>
      </c>
      <c r="P4" s="4"/>
      <c r="Q4" s="4">
        <v>724772937895.06799</v>
      </c>
      <c r="S4" s="5">
        <v>1850953962.6578801</v>
      </c>
      <c r="T4" s="6" t="s">
        <v>242</v>
      </c>
      <c r="U4" s="5"/>
    </row>
    <row r="5" spans="1:21" x14ac:dyDescent="0.25">
      <c r="A5" t="s">
        <v>18</v>
      </c>
      <c r="B5" t="s">
        <v>19</v>
      </c>
      <c r="C5" t="s">
        <v>26</v>
      </c>
      <c r="D5" t="s">
        <v>27</v>
      </c>
      <c r="E5" t="s">
        <v>28</v>
      </c>
      <c r="F5" t="s">
        <v>29</v>
      </c>
      <c r="J5">
        <v>30</v>
      </c>
      <c r="K5" s="3">
        <v>0.72819233653254722</v>
      </c>
      <c r="N5" s="3">
        <v>341.23075729838803</v>
      </c>
      <c r="O5" s="4">
        <v>589773730864.974</v>
      </c>
      <c r="P5" s="4">
        <v>589773730864.974</v>
      </c>
      <c r="Q5" s="4"/>
      <c r="S5" s="5">
        <v>1728372130.15136</v>
      </c>
      <c r="T5" s="6" t="s">
        <v>25</v>
      </c>
      <c r="U5" s="5"/>
    </row>
    <row r="6" spans="1:21" x14ac:dyDescent="0.25">
      <c r="A6" t="s">
        <v>18</v>
      </c>
      <c r="B6" t="s">
        <v>19</v>
      </c>
      <c r="C6" t="s">
        <v>30</v>
      </c>
      <c r="D6" t="s">
        <v>27</v>
      </c>
      <c r="J6">
        <v>30</v>
      </c>
      <c r="K6" s="3">
        <v>0.72819233653254722</v>
      </c>
      <c r="N6" s="3">
        <v>426.63120832068</v>
      </c>
      <c r="O6" s="4">
        <v>589773730864.974</v>
      </c>
      <c r="P6" s="4">
        <v>589773730864.974</v>
      </c>
      <c r="Q6" s="4"/>
      <c r="S6" s="5">
        <v>1382397066.5119901</v>
      </c>
      <c r="T6" s="6" t="s">
        <v>242</v>
      </c>
      <c r="U6" s="5"/>
    </row>
    <row r="7" spans="1:21" x14ac:dyDescent="0.25">
      <c r="A7" t="s">
        <v>18</v>
      </c>
      <c r="B7" t="s">
        <v>19</v>
      </c>
      <c r="C7" t="s">
        <v>31</v>
      </c>
      <c r="D7" t="s">
        <v>21</v>
      </c>
      <c r="E7" t="s">
        <v>32</v>
      </c>
      <c r="F7" t="s">
        <v>33</v>
      </c>
      <c r="J7">
        <v>30</v>
      </c>
      <c r="K7" s="3">
        <v>0.72819233653254722</v>
      </c>
      <c r="N7" s="3">
        <v>313.185683217274</v>
      </c>
      <c r="O7" s="4">
        <v>724772937895.06799</v>
      </c>
      <c r="P7" s="4"/>
      <c r="Q7" s="4">
        <v>724772937895.06799</v>
      </c>
      <c r="S7" s="5">
        <v>2314195624.9393902</v>
      </c>
      <c r="T7" s="6" t="s">
        <v>25</v>
      </c>
      <c r="U7" s="5"/>
    </row>
    <row r="8" spans="1:21" x14ac:dyDescent="0.25">
      <c r="A8" t="s">
        <v>18</v>
      </c>
      <c r="B8" t="s">
        <v>19</v>
      </c>
      <c r="C8" t="s">
        <v>34</v>
      </c>
      <c r="D8" t="s">
        <v>21</v>
      </c>
      <c r="J8">
        <v>30</v>
      </c>
      <c r="K8" s="3">
        <v>0.72819233653254722</v>
      </c>
      <c r="N8" s="3">
        <v>391.56724182071503</v>
      </c>
      <c r="O8" s="4">
        <v>724772937895.06799</v>
      </c>
      <c r="P8" s="4"/>
      <c r="Q8" s="4">
        <v>724772937895.06799</v>
      </c>
      <c r="S8" s="5">
        <v>1850953962.6578801</v>
      </c>
      <c r="T8" s="6" t="s">
        <v>242</v>
      </c>
      <c r="U8" s="5"/>
    </row>
    <row r="9" spans="1:21" x14ac:dyDescent="0.25">
      <c r="A9" t="s">
        <v>18</v>
      </c>
      <c r="B9" t="s">
        <v>19</v>
      </c>
      <c r="C9" t="s">
        <v>35</v>
      </c>
      <c r="D9" t="s">
        <v>27</v>
      </c>
      <c r="E9" t="s">
        <v>36</v>
      </c>
      <c r="F9" t="s">
        <v>37</v>
      </c>
      <c r="J9">
        <v>30</v>
      </c>
      <c r="K9" s="3">
        <v>0.72819233653254722</v>
      </c>
      <c r="N9" s="3">
        <v>341.23075729838803</v>
      </c>
      <c r="O9" s="4">
        <v>589773730864.974</v>
      </c>
      <c r="P9" s="4">
        <v>589773730864.974</v>
      </c>
      <c r="Q9" s="4"/>
      <c r="S9" s="5">
        <v>1728372130.15136</v>
      </c>
      <c r="T9" s="6" t="s">
        <v>25</v>
      </c>
      <c r="U9" s="5"/>
    </row>
    <row r="10" spans="1:21" x14ac:dyDescent="0.25">
      <c r="A10" t="s">
        <v>18</v>
      </c>
      <c r="B10" t="s">
        <v>19</v>
      </c>
      <c r="C10" t="s">
        <v>38</v>
      </c>
      <c r="D10" t="s">
        <v>27</v>
      </c>
      <c r="J10">
        <v>30</v>
      </c>
      <c r="K10" s="3">
        <v>0.72819233653254722</v>
      </c>
      <c r="N10" s="3">
        <v>426.63120832068</v>
      </c>
      <c r="O10" s="4">
        <v>589773730864.974</v>
      </c>
      <c r="P10" s="4">
        <v>589773730864.974</v>
      </c>
      <c r="Q10" s="4"/>
      <c r="S10" s="5">
        <v>1382397066.5119901</v>
      </c>
      <c r="T10" s="6" t="s">
        <v>242</v>
      </c>
      <c r="U10" s="5"/>
    </row>
    <row r="11" spans="1:21" x14ac:dyDescent="0.25">
      <c r="A11" t="s">
        <v>18</v>
      </c>
      <c r="B11" t="s">
        <v>19</v>
      </c>
      <c r="C11" t="s">
        <v>39</v>
      </c>
      <c r="D11" t="s">
        <v>21</v>
      </c>
      <c r="E11" t="s">
        <v>40</v>
      </c>
      <c r="F11" t="s">
        <v>41</v>
      </c>
      <c r="J11">
        <v>30</v>
      </c>
      <c r="K11" s="3">
        <v>0.72819233653254722</v>
      </c>
      <c r="N11" s="3">
        <v>313.185683217274</v>
      </c>
      <c r="O11" s="4">
        <v>724772937895.06799</v>
      </c>
      <c r="P11" s="4"/>
      <c r="Q11" s="4">
        <v>724772937895.06799</v>
      </c>
      <c r="S11" s="5">
        <v>2314195624.9393902</v>
      </c>
      <c r="T11" s="6" t="s">
        <v>25</v>
      </c>
      <c r="U11" s="5"/>
    </row>
    <row r="12" spans="1:21" x14ac:dyDescent="0.25">
      <c r="A12" t="s">
        <v>18</v>
      </c>
      <c r="B12" t="s">
        <v>19</v>
      </c>
      <c r="C12" t="s">
        <v>42</v>
      </c>
      <c r="D12" t="s">
        <v>21</v>
      </c>
      <c r="J12">
        <v>30</v>
      </c>
      <c r="K12" s="3">
        <v>0.72819233653254722</v>
      </c>
      <c r="N12" s="3">
        <v>391.56724182071503</v>
      </c>
      <c r="O12" s="4">
        <v>724772937895.06799</v>
      </c>
      <c r="P12" s="4"/>
      <c r="Q12" s="4">
        <v>724772937895.06799</v>
      </c>
      <c r="S12" s="5">
        <v>1850953962.6578801</v>
      </c>
      <c r="T12" s="6" t="s">
        <v>242</v>
      </c>
      <c r="U12" s="5"/>
    </row>
    <row r="13" spans="1:21" x14ac:dyDescent="0.25">
      <c r="A13" t="s">
        <v>18</v>
      </c>
      <c r="B13" t="s">
        <v>19</v>
      </c>
      <c r="C13" t="s">
        <v>43</v>
      </c>
      <c r="D13" t="s">
        <v>27</v>
      </c>
      <c r="E13" t="s">
        <v>44</v>
      </c>
      <c r="F13" t="s">
        <v>45</v>
      </c>
      <c r="J13">
        <v>30</v>
      </c>
      <c r="K13" s="3">
        <v>0.72819233653254722</v>
      </c>
      <c r="N13" s="3">
        <v>341.23075729838803</v>
      </c>
      <c r="O13" s="4">
        <v>589773730864.974</v>
      </c>
      <c r="P13" s="4">
        <v>589773730864.974</v>
      </c>
      <c r="Q13" s="4"/>
      <c r="S13" s="5">
        <v>1728372130.15136</v>
      </c>
      <c r="T13" s="6" t="s">
        <v>25</v>
      </c>
      <c r="U13" s="5"/>
    </row>
    <row r="14" spans="1:21" x14ac:dyDescent="0.25">
      <c r="A14" t="s">
        <v>18</v>
      </c>
      <c r="B14" t="s">
        <v>19</v>
      </c>
      <c r="C14" t="s">
        <v>46</v>
      </c>
      <c r="D14" t="s">
        <v>27</v>
      </c>
      <c r="J14">
        <v>30</v>
      </c>
      <c r="K14" s="3">
        <v>0.72819233653254722</v>
      </c>
      <c r="N14" s="3">
        <v>426.63120832068</v>
      </c>
      <c r="O14" s="4">
        <v>589773730864.974</v>
      </c>
      <c r="P14" s="4">
        <v>589773730864.974</v>
      </c>
      <c r="Q14" s="4"/>
      <c r="S14" s="5">
        <v>1382397066.5119901</v>
      </c>
      <c r="T14" s="6" t="s">
        <v>242</v>
      </c>
      <c r="U14" s="5"/>
    </row>
    <row r="15" spans="1:21" x14ac:dyDescent="0.25">
      <c r="A15" t="s">
        <v>18</v>
      </c>
      <c r="B15" t="s">
        <v>19</v>
      </c>
      <c r="C15" t="s">
        <v>47</v>
      </c>
      <c r="D15" t="s">
        <v>21</v>
      </c>
      <c r="E15" t="s">
        <v>48</v>
      </c>
      <c r="F15" t="s">
        <v>49</v>
      </c>
      <c r="J15">
        <v>30</v>
      </c>
      <c r="K15" s="3">
        <v>0.72819233653254722</v>
      </c>
      <c r="N15" s="3">
        <v>313.185683217274</v>
      </c>
      <c r="O15" s="4">
        <v>724772937895.06799</v>
      </c>
      <c r="P15" s="4"/>
      <c r="Q15" s="4">
        <v>724772937895.06799</v>
      </c>
      <c r="S15" s="5">
        <v>2314195624.9393902</v>
      </c>
      <c r="T15" s="6" t="s">
        <v>25</v>
      </c>
      <c r="U15" s="5"/>
    </row>
    <row r="16" spans="1:21" x14ac:dyDescent="0.25">
      <c r="A16" t="s">
        <v>18</v>
      </c>
      <c r="B16" t="s">
        <v>19</v>
      </c>
      <c r="C16" t="s">
        <v>50</v>
      </c>
      <c r="D16" t="s">
        <v>21</v>
      </c>
      <c r="J16">
        <v>30</v>
      </c>
      <c r="K16" s="3">
        <v>0.72819233653254722</v>
      </c>
      <c r="N16" s="3">
        <v>391.56724182071503</v>
      </c>
      <c r="O16" s="4">
        <v>724772937895.06799</v>
      </c>
      <c r="P16" s="4"/>
      <c r="Q16" s="4">
        <v>724772937895.06799</v>
      </c>
      <c r="S16" s="5">
        <v>1850953962.6578801</v>
      </c>
      <c r="T16" s="6" t="s">
        <v>242</v>
      </c>
      <c r="U16" s="5"/>
    </row>
    <row r="17" spans="1:23" x14ac:dyDescent="0.25">
      <c r="A17" t="s">
        <v>18</v>
      </c>
      <c r="B17" t="s">
        <v>19</v>
      </c>
      <c r="C17" t="s">
        <v>51</v>
      </c>
      <c r="D17" t="s">
        <v>27</v>
      </c>
      <c r="E17" t="s">
        <v>52</v>
      </c>
      <c r="F17" t="s">
        <v>53</v>
      </c>
      <c r="J17">
        <v>30</v>
      </c>
      <c r="K17" s="3">
        <v>0.72819233653254722</v>
      </c>
      <c r="N17" s="3">
        <v>341.23075729838803</v>
      </c>
      <c r="O17" s="4">
        <v>589773730864.974</v>
      </c>
      <c r="P17" s="4">
        <v>589773730864.974</v>
      </c>
      <c r="Q17" s="4"/>
      <c r="S17" s="5">
        <v>1728372130.15136</v>
      </c>
      <c r="T17" s="6" t="s">
        <v>25</v>
      </c>
      <c r="U17" s="5"/>
    </row>
    <row r="18" spans="1:23" x14ac:dyDescent="0.25">
      <c r="A18" t="s">
        <v>18</v>
      </c>
      <c r="B18" t="s">
        <v>19</v>
      </c>
      <c r="C18" t="s">
        <v>54</v>
      </c>
      <c r="D18" t="s">
        <v>27</v>
      </c>
      <c r="J18">
        <v>30</v>
      </c>
      <c r="K18" s="3">
        <v>0.72819233653254722</v>
      </c>
      <c r="N18" s="3">
        <v>426.63120832068</v>
      </c>
      <c r="O18" s="4">
        <v>589773730864.974</v>
      </c>
      <c r="P18" s="4">
        <v>589773730864.974</v>
      </c>
      <c r="Q18" s="4"/>
      <c r="S18" s="5">
        <v>1382397066.5119901</v>
      </c>
      <c r="T18" s="6" t="s">
        <v>242</v>
      </c>
      <c r="U18" s="5"/>
    </row>
    <row r="20" spans="1:23" ht="13" x14ac:dyDescent="0.3">
      <c r="A20" s="2" t="s">
        <v>55</v>
      </c>
      <c r="B20" s="2" t="s">
        <v>56</v>
      </c>
      <c r="C20" s="2" t="s">
        <v>3</v>
      </c>
      <c r="D20" s="2" t="s">
        <v>4</v>
      </c>
      <c r="E20" s="2" t="s">
        <v>57</v>
      </c>
      <c r="F20" s="2" t="s">
        <v>6</v>
      </c>
      <c r="G20" s="2" t="s">
        <v>7</v>
      </c>
      <c r="H20" s="2" t="s">
        <v>8</v>
      </c>
      <c r="I20" s="2" t="s">
        <v>58</v>
      </c>
      <c r="J20" s="2" t="s">
        <v>59</v>
      </c>
      <c r="K20" s="2" t="s">
        <v>60</v>
      </c>
      <c r="L20" s="2" t="s">
        <v>61</v>
      </c>
      <c r="M20" s="2" t="s">
        <v>62</v>
      </c>
      <c r="N20" s="2" t="s">
        <v>63</v>
      </c>
      <c r="O20" s="2" t="s">
        <v>13</v>
      </c>
      <c r="P20" s="2" t="s">
        <v>14</v>
      </c>
      <c r="Q20" s="2" t="s">
        <v>15</v>
      </c>
      <c r="R20" s="2" t="s">
        <v>64</v>
      </c>
      <c r="S20" s="2" t="s">
        <v>65</v>
      </c>
      <c r="T20" s="2" t="s">
        <v>66</v>
      </c>
      <c r="U20" s="2" t="s">
        <v>67</v>
      </c>
      <c r="V20" s="2" t="s">
        <v>68</v>
      </c>
      <c r="W20" s="2" t="s">
        <v>69</v>
      </c>
    </row>
    <row r="21" spans="1:23" x14ac:dyDescent="0.25">
      <c r="A21" s="6" t="s">
        <v>70</v>
      </c>
      <c r="B21" s="6"/>
      <c r="C21" s="6" t="s">
        <v>71</v>
      </c>
      <c r="D21" s="6" t="s">
        <v>21</v>
      </c>
      <c r="E21" s="6" t="s">
        <v>72</v>
      </c>
      <c r="F21" s="6" t="s">
        <v>73</v>
      </c>
      <c r="G21" s="6"/>
      <c r="H21" s="6" t="s">
        <v>74</v>
      </c>
      <c r="I21" s="6" t="s">
        <v>75</v>
      </c>
      <c r="J21" s="7">
        <v>5165780530</v>
      </c>
      <c r="K21" s="5">
        <v>1</v>
      </c>
      <c r="L21" s="5">
        <v>0.27622785519999998</v>
      </c>
      <c r="M21" s="8">
        <v>51.94</v>
      </c>
      <c r="N21" s="8">
        <v>51.7</v>
      </c>
      <c r="O21" s="9">
        <v>73772409021.3918</v>
      </c>
      <c r="P21" s="9">
        <v>60031254798.105453</v>
      </c>
      <c r="Q21" s="9">
        <v>73772409021.3918</v>
      </c>
      <c r="R21" s="5">
        <v>0.101786925482685</v>
      </c>
      <c r="S21" s="6" t="s">
        <v>76</v>
      </c>
      <c r="T21" s="6" t="s">
        <v>77</v>
      </c>
      <c r="U21" s="6" t="s">
        <v>78</v>
      </c>
      <c r="V21" s="6" t="s">
        <v>78</v>
      </c>
    </row>
    <row r="22" spans="1:23" x14ac:dyDescent="0.25">
      <c r="A22" s="6" t="s">
        <v>70</v>
      </c>
      <c r="B22" s="6"/>
      <c r="C22" s="6" t="s">
        <v>79</v>
      </c>
      <c r="D22" s="6" t="s">
        <v>21</v>
      </c>
      <c r="E22" s="6" t="s">
        <v>80</v>
      </c>
      <c r="F22" s="6" t="s">
        <v>81</v>
      </c>
      <c r="G22" s="6"/>
      <c r="H22" s="6" t="s">
        <v>82</v>
      </c>
      <c r="I22" s="6" t="s">
        <v>83</v>
      </c>
      <c r="J22" s="7">
        <v>971667000</v>
      </c>
      <c r="K22" s="5">
        <v>0.90169999999999995</v>
      </c>
      <c r="L22" s="5">
        <v>1</v>
      </c>
      <c r="M22" s="8">
        <v>75.33</v>
      </c>
      <c r="N22" s="8">
        <v>74.349999999999994</v>
      </c>
      <c r="O22" s="9">
        <v>65141911155.464996</v>
      </c>
      <c r="P22" s="9">
        <v>53008309183.387573</v>
      </c>
      <c r="Q22" s="9">
        <v>65141911155.464996</v>
      </c>
      <c r="R22" s="5">
        <v>8.9879061081742803E-2</v>
      </c>
      <c r="S22" s="6" t="s">
        <v>76</v>
      </c>
      <c r="T22" s="6" t="s">
        <v>77</v>
      </c>
      <c r="U22" s="6" t="s">
        <v>78</v>
      </c>
      <c r="V22" s="6" t="s">
        <v>78</v>
      </c>
    </row>
    <row r="23" spans="1:23" x14ac:dyDescent="0.25">
      <c r="A23" s="6" t="s">
        <v>70</v>
      </c>
      <c r="B23" s="6"/>
      <c r="C23" s="6" t="s">
        <v>84</v>
      </c>
      <c r="D23" s="6" t="s">
        <v>21</v>
      </c>
      <c r="E23" s="6" t="s">
        <v>85</v>
      </c>
      <c r="F23" s="6" t="s">
        <v>86</v>
      </c>
      <c r="G23" s="6"/>
      <c r="H23" s="6" t="s">
        <v>87</v>
      </c>
      <c r="I23" s="6" t="s">
        <v>88</v>
      </c>
      <c r="J23" s="7">
        <v>1284000000</v>
      </c>
      <c r="K23" s="5">
        <v>0.88629999999999998</v>
      </c>
      <c r="L23" s="5">
        <v>1</v>
      </c>
      <c r="M23" s="8">
        <v>51.76</v>
      </c>
      <c r="N23" s="8">
        <v>51.85</v>
      </c>
      <c r="O23" s="9">
        <v>59005777020</v>
      </c>
      <c r="P23" s="9">
        <v>48015116787.370819</v>
      </c>
      <c r="Q23" s="9">
        <v>59005777020</v>
      </c>
      <c r="R23" s="5">
        <v>8.1412776243230595E-2</v>
      </c>
      <c r="S23" s="6" t="s">
        <v>76</v>
      </c>
      <c r="T23" s="6" t="s">
        <v>77</v>
      </c>
      <c r="U23" s="6" t="s">
        <v>78</v>
      </c>
      <c r="V23" s="6" t="s">
        <v>78</v>
      </c>
    </row>
    <row r="24" spans="1:23" x14ac:dyDescent="0.25">
      <c r="A24" s="6" t="s">
        <v>70</v>
      </c>
      <c r="B24" s="6"/>
      <c r="C24" s="6" t="s">
        <v>89</v>
      </c>
      <c r="D24" s="6" t="s">
        <v>21</v>
      </c>
      <c r="E24" s="6" t="s">
        <v>90</v>
      </c>
      <c r="F24" s="6" t="s">
        <v>91</v>
      </c>
      <c r="G24" s="6"/>
      <c r="H24" s="6" t="s">
        <v>92</v>
      </c>
      <c r="I24" s="6" t="s">
        <v>93</v>
      </c>
      <c r="J24" s="7">
        <v>1085171000</v>
      </c>
      <c r="K24" s="5">
        <v>0.91200000000000003</v>
      </c>
      <c r="L24" s="5">
        <v>1</v>
      </c>
      <c r="M24" s="8">
        <v>57.43</v>
      </c>
      <c r="N24" s="8">
        <v>57.3</v>
      </c>
      <c r="O24" s="9">
        <v>56708432049.599998</v>
      </c>
      <c r="P24" s="9">
        <v>46145684799.088608</v>
      </c>
      <c r="Q24" s="9">
        <v>56708432049.599998</v>
      </c>
      <c r="R24" s="5">
        <v>7.8243031830487905E-2</v>
      </c>
      <c r="S24" s="6" t="s">
        <v>76</v>
      </c>
      <c r="T24" s="6" t="s">
        <v>77</v>
      </c>
      <c r="U24" s="6" t="s">
        <v>94</v>
      </c>
      <c r="V24" s="6" t="s">
        <v>94</v>
      </c>
    </row>
    <row r="25" spans="1:23" x14ac:dyDescent="0.25">
      <c r="A25" s="6" t="s">
        <v>70</v>
      </c>
      <c r="B25" s="6"/>
      <c r="C25" s="6" t="s">
        <v>95</v>
      </c>
      <c r="D25" s="6" t="s">
        <v>21</v>
      </c>
      <c r="E25" s="6" t="s">
        <v>96</v>
      </c>
      <c r="F25" s="6" t="s">
        <v>97</v>
      </c>
      <c r="G25" s="6"/>
      <c r="H25" s="6" t="s">
        <v>98</v>
      </c>
      <c r="I25" s="6" t="s">
        <v>99</v>
      </c>
      <c r="J25" s="7">
        <v>942399000</v>
      </c>
      <c r="K25" s="5">
        <v>0.91930000000000001</v>
      </c>
      <c r="L25" s="5">
        <v>1</v>
      </c>
      <c r="M25" s="8">
        <v>59.5</v>
      </c>
      <c r="N25" s="8">
        <v>59.56</v>
      </c>
      <c r="O25" s="9">
        <v>51599651185.692001</v>
      </c>
      <c r="P25" s="9">
        <v>41988486602.402145</v>
      </c>
      <c r="Q25" s="9">
        <v>51599651185.692001</v>
      </c>
      <c r="R25" s="5">
        <v>7.1194229927446007E-2</v>
      </c>
      <c r="S25" s="6" t="s">
        <v>76</v>
      </c>
      <c r="T25" s="6" t="s">
        <v>77</v>
      </c>
      <c r="U25" s="6" t="s">
        <v>94</v>
      </c>
      <c r="V25" s="6" t="s">
        <v>94</v>
      </c>
    </row>
    <row r="26" spans="1:23" x14ac:dyDescent="0.25">
      <c r="A26" s="6" t="s">
        <v>70</v>
      </c>
      <c r="B26" s="6"/>
      <c r="C26" s="6" t="s">
        <v>100</v>
      </c>
      <c r="D26" s="6" t="s">
        <v>21</v>
      </c>
      <c r="E26" s="6" t="s">
        <v>101</v>
      </c>
      <c r="F26" s="6" t="s">
        <v>102</v>
      </c>
      <c r="G26" s="6"/>
      <c r="H26" s="6" t="s">
        <v>103</v>
      </c>
      <c r="I26" s="6" t="s">
        <v>104</v>
      </c>
      <c r="J26" s="7">
        <v>693921000</v>
      </c>
      <c r="K26" s="5">
        <v>1</v>
      </c>
      <c r="L26" s="5">
        <v>1</v>
      </c>
      <c r="M26" s="8">
        <v>59.7</v>
      </c>
      <c r="N26" s="8">
        <v>59.06</v>
      </c>
      <c r="O26" s="9">
        <v>40982974260</v>
      </c>
      <c r="P26" s="9">
        <v>33349315859.711933</v>
      </c>
      <c r="Q26" s="9">
        <v>40982974260</v>
      </c>
      <c r="R26" s="5">
        <v>5.6545949934368997E-2</v>
      </c>
      <c r="S26" s="6" t="s">
        <v>76</v>
      </c>
      <c r="T26" s="6" t="s">
        <v>77</v>
      </c>
      <c r="U26" s="6" t="s">
        <v>78</v>
      </c>
      <c r="V26" s="6" t="s">
        <v>78</v>
      </c>
    </row>
    <row r="27" spans="1:23" x14ac:dyDescent="0.25">
      <c r="A27" s="6" t="s">
        <v>105</v>
      </c>
      <c r="B27" s="6"/>
      <c r="C27" s="6" t="s">
        <v>106</v>
      </c>
      <c r="D27" s="6" t="s">
        <v>107</v>
      </c>
      <c r="E27" s="6" t="s">
        <v>108</v>
      </c>
      <c r="F27" s="6" t="s">
        <v>109</v>
      </c>
      <c r="G27" s="6"/>
      <c r="H27" s="6" t="s">
        <v>110</v>
      </c>
      <c r="I27" s="6" t="s">
        <v>111</v>
      </c>
      <c r="J27" s="7">
        <v>1965919860</v>
      </c>
      <c r="K27" s="5">
        <v>1</v>
      </c>
      <c r="L27" s="5">
        <v>1</v>
      </c>
      <c r="M27" s="8">
        <v>1885</v>
      </c>
      <c r="N27" s="8">
        <v>1895</v>
      </c>
      <c r="O27" s="9">
        <v>3725418134700</v>
      </c>
      <c r="P27" s="9">
        <v>29139293008.685001</v>
      </c>
      <c r="Q27" s="9">
        <v>35809277178.373001</v>
      </c>
      <c r="R27" s="5">
        <v>4.9407580369063703E-2</v>
      </c>
      <c r="S27" s="6" t="s">
        <v>76</v>
      </c>
      <c r="T27" s="6" t="s">
        <v>77</v>
      </c>
      <c r="U27" s="6" t="s">
        <v>94</v>
      </c>
      <c r="V27" s="6" t="s">
        <v>94</v>
      </c>
    </row>
    <row r="28" spans="1:23" x14ac:dyDescent="0.25">
      <c r="A28" s="6" t="s">
        <v>70</v>
      </c>
      <c r="B28" s="6"/>
      <c r="C28" s="6" t="s">
        <v>112</v>
      </c>
      <c r="D28" s="6" t="s">
        <v>21</v>
      </c>
      <c r="E28" s="6" t="s">
        <v>113</v>
      </c>
      <c r="F28" s="6" t="s">
        <v>114</v>
      </c>
      <c r="G28" s="6"/>
      <c r="H28" s="6" t="s">
        <v>115</v>
      </c>
      <c r="I28" s="6" t="s">
        <v>116</v>
      </c>
      <c r="J28" s="7">
        <v>483312000</v>
      </c>
      <c r="K28" s="5">
        <v>0.6361</v>
      </c>
      <c r="L28" s="5">
        <v>1</v>
      </c>
      <c r="M28" s="8">
        <v>104.27</v>
      </c>
      <c r="N28" s="8">
        <v>104.35</v>
      </c>
      <c r="O28" s="9">
        <v>32080817539.919998</v>
      </c>
      <c r="P28" s="9">
        <v>26105311693.319225</v>
      </c>
      <c r="Q28" s="9">
        <v>32080817539.919998</v>
      </c>
      <c r="R28" s="5">
        <v>4.4263266276319803E-2</v>
      </c>
      <c r="S28" s="6" t="s">
        <v>76</v>
      </c>
      <c r="T28" s="6" t="s">
        <v>77</v>
      </c>
      <c r="U28" s="6" t="s">
        <v>94</v>
      </c>
      <c r="V28" s="6" t="s">
        <v>94</v>
      </c>
    </row>
    <row r="29" spans="1:23" x14ac:dyDescent="0.25">
      <c r="A29" s="6" t="s">
        <v>70</v>
      </c>
      <c r="B29" s="6"/>
      <c r="C29" s="6" t="s">
        <v>117</v>
      </c>
      <c r="D29" s="6" t="s">
        <v>21</v>
      </c>
      <c r="E29" s="6" t="s">
        <v>118</v>
      </c>
      <c r="F29" s="6" t="s">
        <v>119</v>
      </c>
      <c r="G29" s="6"/>
      <c r="H29" s="6" t="s">
        <v>120</v>
      </c>
      <c r="I29" s="6" t="s">
        <v>121</v>
      </c>
      <c r="J29" s="7">
        <v>1277672000</v>
      </c>
      <c r="K29" s="5">
        <v>0.8841</v>
      </c>
      <c r="L29" s="5">
        <v>1</v>
      </c>
      <c r="M29" s="8">
        <v>27.7</v>
      </c>
      <c r="N29" s="8">
        <v>27.63</v>
      </c>
      <c r="O29" s="9">
        <v>31210566593.976002</v>
      </c>
      <c r="P29" s="9">
        <v>25397157290.240051</v>
      </c>
      <c r="Q29" s="9">
        <v>31210566593.976002</v>
      </c>
      <c r="R29" s="5">
        <v>4.3062544090870403E-2</v>
      </c>
      <c r="S29" s="6" t="s">
        <v>76</v>
      </c>
      <c r="T29" s="6" t="s">
        <v>77</v>
      </c>
      <c r="U29" s="6" t="s">
        <v>78</v>
      </c>
      <c r="V29" s="6" t="s">
        <v>78</v>
      </c>
    </row>
    <row r="30" spans="1:23" x14ac:dyDescent="0.25">
      <c r="A30" s="6" t="s">
        <v>122</v>
      </c>
      <c r="B30" s="6"/>
      <c r="C30" s="6" t="s">
        <v>123</v>
      </c>
      <c r="D30" s="6" t="s">
        <v>27</v>
      </c>
      <c r="E30" s="6" t="s">
        <v>124</v>
      </c>
      <c r="F30" s="6" t="s">
        <v>125</v>
      </c>
      <c r="G30" s="6"/>
      <c r="H30" s="6" t="s">
        <v>126</v>
      </c>
      <c r="I30" s="6" t="s">
        <v>127</v>
      </c>
      <c r="J30" s="7">
        <v>1295379559</v>
      </c>
      <c r="K30" s="5">
        <v>0.94099999999999995</v>
      </c>
      <c r="L30" s="5">
        <v>1</v>
      </c>
      <c r="M30" s="8">
        <v>17.420000000000002</v>
      </c>
      <c r="N30" s="8">
        <v>17.309999999999999</v>
      </c>
      <c r="O30" s="9">
        <v>21100061976.478901</v>
      </c>
      <c r="P30" s="9">
        <v>21100061976.478882</v>
      </c>
      <c r="Q30" s="9">
        <v>25929866162.894901</v>
      </c>
      <c r="R30" s="5">
        <v>3.5776537460410797E-2</v>
      </c>
      <c r="S30" s="6" t="s">
        <v>76</v>
      </c>
      <c r="T30" s="6" t="s">
        <v>77</v>
      </c>
      <c r="U30" s="6" t="s">
        <v>78</v>
      </c>
      <c r="V30" s="6" t="s">
        <v>78</v>
      </c>
    </row>
    <row r="31" spans="1:23" x14ac:dyDescent="0.25">
      <c r="A31" s="6" t="s">
        <v>70</v>
      </c>
      <c r="B31" s="6"/>
      <c r="C31" s="6" t="s">
        <v>128</v>
      </c>
      <c r="D31" s="6" t="s">
        <v>21</v>
      </c>
      <c r="E31" s="6" t="s">
        <v>129</v>
      </c>
      <c r="F31" s="6" t="s">
        <v>130</v>
      </c>
      <c r="G31" s="6"/>
      <c r="H31" s="6" t="s">
        <v>131</v>
      </c>
      <c r="I31" s="6" t="s">
        <v>132</v>
      </c>
      <c r="J31" s="7">
        <v>277257000</v>
      </c>
      <c r="K31" s="5">
        <v>1</v>
      </c>
      <c r="L31" s="5">
        <v>1</v>
      </c>
      <c r="M31" s="8">
        <v>83.26</v>
      </c>
      <c r="N31" s="8">
        <v>82.87</v>
      </c>
      <c r="O31" s="9">
        <v>22976287590</v>
      </c>
      <c r="P31" s="9">
        <v>18696629172.430626</v>
      </c>
      <c r="Q31" s="9">
        <v>22976287590</v>
      </c>
      <c r="R31" s="5">
        <v>3.1701359679252403E-2</v>
      </c>
      <c r="S31" s="6" t="s">
        <v>76</v>
      </c>
      <c r="T31" s="6" t="s">
        <v>77</v>
      </c>
      <c r="U31" s="6" t="s">
        <v>94</v>
      </c>
      <c r="V31" s="6" t="s">
        <v>94</v>
      </c>
    </row>
    <row r="32" spans="1:23" x14ac:dyDescent="0.25">
      <c r="A32" s="6" t="s">
        <v>70</v>
      </c>
      <c r="B32" s="6"/>
      <c r="C32" s="6" t="s">
        <v>133</v>
      </c>
      <c r="D32" s="6" t="s">
        <v>21</v>
      </c>
      <c r="E32" s="6" t="s">
        <v>134</v>
      </c>
      <c r="F32" s="6" t="s">
        <v>135</v>
      </c>
      <c r="G32" s="6"/>
      <c r="H32" s="6" t="s">
        <v>136</v>
      </c>
      <c r="I32" s="6" t="s">
        <v>137</v>
      </c>
      <c r="J32" s="7">
        <v>450826000</v>
      </c>
      <c r="K32" s="5">
        <v>1</v>
      </c>
      <c r="L32" s="5">
        <v>1</v>
      </c>
      <c r="M32" s="8">
        <v>41.17</v>
      </c>
      <c r="N32" s="8">
        <v>41.85</v>
      </c>
      <c r="O32" s="9">
        <v>18867068100</v>
      </c>
      <c r="P32" s="9">
        <v>15352809911.30279</v>
      </c>
      <c r="Q32" s="9">
        <v>18867068100</v>
      </c>
      <c r="R32" s="5">
        <v>2.60316950503077E-2</v>
      </c>
      <c r="S32" s="6" t="s">
        <v>76</v>
      </c>
      <c r="T32" s="6" t="s">
        <v>77</v>
      </c>
      <c r="U32" s="6" t="s">
        <v>78</v>
      </c>
      <c r="V32" s="6" t="s">
        <v>78</v>
      </c>
    </row>
    <row r="33" spans="1:22" x14ac:dyDescent="0.25">
      <c r="A33" s="6" t="s">
        <v>70</v>
      </c>
      <c r="B33" s="6"/>
      <c r="C33" s="6" t="s">
        <v>138</v>
      </c>
      <c r="D33" s="6" t="s">
        <v>21</v>
      </c>
      <c r="E33" s="6" t="s">
        <v>139</v>
      </c>
      <c r="F33" s="6" t="s">
        <v>140</v>
      </c>
      <c r="G33" s="6"/>
      <c r="H33" s="6" t="s">
        <v>141</v>
      </c>
      <c r="I33" s="6" t="s">
        <v>142</v>
      </c>
      <c r="J33" s="7">
        <v>235000000</v>
      </c>
      <c r="K33" s="5">
        <v>1</v>
      </c>
      <c r="L33" s="5">
        <v>1</v>
      </c>
      <c r="M33" s="8">
        <v>76.150000000000006</v>
      </c>
      <c r="N33" s="8">
        <v>75.430000000000007</v>
      </c>
      <c r="O33" s="9">
        <v>17726050000</v>
      </c>
      <c r="P33" s="9">
        <v>14424322564.895433</v>
      </c>
      <c r="Q33" s="9">
        <v>17726050000</v>
      </c>
      <c r="R33" s="5">
        <v>2.4457383924241301E-2</v>
      </c>
      <c r="S33" s="6" t="s">
        <v>76</v>
      </c>
      <c r="T33" s="6" t="s">
        <v>77</v>
      </c>
      <c r="U33" s="6" t="s">
        <v>78</v>
      </c>
      <c r="V33" s="6" t="s">
        <v>78</v>
      </c>
    </row>
    <row r="34" spans="1:22" x14ac:dyDescent="0.25">
      <c r="A34" s="6" t="s">
        <v>70</v>
      </c>
      <c r="B34" s="6"/>
      <c r="C34" s="6" t="s">
        <v>143</v>
      </c>
      <c r="D34" s="6" t="s">
        <v>21</v>
      </c>
      <c r="E34" s="6" t="s">
        <v>144</v>
      </c>
      <c r="F34" s="6" t="s">
        <v>145</v>
      </c>
      <c r="G34" s="6"/>
      <c r="H34" s="6" t="s">
        <v>146</v>
      </c>
      <c r="I34" s="6" t="s">
        <v>147</v>
      </c>
      <c r="J34" s="7">
        <v>184278230</v>
      </c>
      <c r="K34" s="5">
        <v>1</v>
      </c>
      <c r="L34" s="5">
        <v>1</v>
      </c>
      <c r="M34" s="8">
        <v>94.95</v>
      </c>
      <c r="N34" s="8">
        <v>95.9</v>
      </c>
      <c r="O34" s="9">
        <v>17672282257</v>
      </c>
      <c r="P34" s="9">
        <v>14380569824.233053</v>
      </c>
      <c r="Q34" s="9">
        <v>17672282257</v>
      </c>
      <c r="R34" s="5">
        <v>2.4383198285969399E-2</v>
      </c>
      <c r="S34" s="6" t="s">
        <v>76</v>
      </c>
      <c r="T34" s="6" t="s">
        <v>77</v>
      </c>
      <c r="U34" s="6" t="s">
        <v>78</v>
      </c>
      <c r="V34" s="6" t="s">
        <v>78</v>
      </c>
    </row>
    <row r="35" spans="1:22" x14ac:dyDescent="0.25">
      <c r="A35" s="6" t="s">
        <v>105</v>
      </c>
      <c r="B35" s="6"/>
      <c r="C35" s="6" t="s">
        <v>148</v>
      </c>
      <c r="D35" s="6" t="s">
        <v>107</v>
      </c>
      <c r="E35" s="6" t="s">
        <v>149</v>
      </c>
      <c r="F35" s="6" t="s">
        <v>150</v>
      </c>
      <c r="G35" s="6"/>
      <c r="H35" s="6" t="s">
        <v>151</v>
      </c>
      <c r="I35" s="6" t="s">
        <v>152</v>
      </c>
      <c r="J35" s="7">
        <v>1299185054</v>
      </c>
      <c r="K35" s="5">
        <v>1</v>
      </c>
      <c r="L35" s="5">
        <v>1</v>
      </c>
      <c r="M35" s="8">
        <v>1390</v>
      </c>
      <c r="N35" s="8">
        <v>1411</v>
      </c>
      <c r="O35" s="9">
        <v>1833150111194</v>
      </c>
      <c r="P35" s="9">
        <v>14338443709.564161</v>
      </c>
      <c r="Q35" s="9">
        <v>17620513474.683399</v>
      </c>
      <c r="R35" s="5">
        <v>2.4311770698638401E-2</v>
      </c>
      <c r="S35" s="6" t="s">
        <v>76</v>
      </c>
      <c r="T35" s="6" t="s">
        <v>77</v>
      </c>
      <c r="U35" s="6" t="s">
        <v>153</v>
      </c>
      <c r="V35" s="6" t="s">
        <v>153</v>
      </c>
    </row>
    <row r="36" spans="1:22" x14ac:dyDescent="0.25">
      <c r="A36" s="6" t="s">
        <v>70</v>
      </c>
      <c r="B36" s="6"/>
      <c r="C36" s="6" t="s">
        <v>154</v>
      </c>
      <c r="D36" s="6" t="s">
        <v>21</v>
      </c>
      <c r="E36" s="6" t="s">
        <v>155</v>
      </c>
      <c r="F36" s="6" t="s">
        <v>156</v>
      </c>
      <c r="G36" s="6"/>
      <c r="H36" s="6" t="s">
        <v>157</v>
      </c>
      <c r="I36" s="6" t="s">
        <v>158</v>
      </c>
      <c r="J36" s="7">
        <v>334214000</v>
      </c>
      <c r="K36" s="5">
        <v>1</v>
      </c>
      <c r="L36" s="5">
        <v>1</v>
      </c>
      <c r="M36" s="8">
        <v>52.1</v>
      </c>
      <c r="N36" s="8">
        <v>52.13</v>
      </c>
      <c r="O36" s="9">
        <v>17422575820</v>
      </c>
      <c r="P36" s="9">
        <v>14177374741.638863</v>
      </c>
      <c r="Q36" s="9">
        <v>17422575820</v>
      </c>
      <c r="R36" s="5">
        <v>2.4038667711020999E-2</v>
      </c>
      <c r="S36" s="6" t="s">
        <v>76</v>
      </c>
      <c r="T36" s="6" t="s">
        <v>77</v>
      </c>
      <c r="U36" s="6" t="s">
        <v>94</v>
      </c>
      <c r="V36" s="6" t="s">
        <v>94</v>
      </c>
    </row>
    <row r="37" spans="1:22" x14ac:dyDescent="0.25">
      <c r="A37" s="6" t="s">
        <v>70</v>
      </c>
      <c r="B37" s="6"/>
      <c r="C37" s="6" t="s">
        <v>159</v>
      </c>
      <c r="D37" s="6" t="s">
        <v>21</v>
      </c>
      <c r="E37" s="6" t="s">
        <v>160</v>
      </c>
      <c r="F37" s="6" t="s">
        <v>161</v>
      </c>
      <c r="G37" s="6"/>
      <c r="H37" s="6" t="s">
        <v>162</v>
      </c>
      <c r="I37" s="6" t="s">
        <v>163</v>
      </c>
      <c r="J37" s="7">
        <v>430232000</v>
      </c>
      <c r="K37" s="5">
        <v>1</v>
      </c>
      <c r="L37" s="5">
        <v>1</v>
      </c>
      <c r="M37" s="8">
        <v>31.38</v>
      </c>
      <c r="N37" s="8">
        <v>31.29</v>
      </c>
      <c r="O37" s="9">
        <v>13461959280</v>
      </c>
      <c r="P37" s="9">
        <v>10954479030.026852</v>
      </c>
      <c r="Q37" s="9">
        <v>13461959280</v>
      </c>
      <c r="R37" s="5">
        <v>1.8574036882636799E-2</v>
      </c>
      <c r="S37" s="6" t="s">
        <v>76</v>
      </c>
      <c r="T37" s="6" t="s">
        <v>77</v>
      </c>
      <c r="U37" s="6" t="s">
        <v>94</v>
      </c>
      <c r="V37" s="6" t="s">
        <v>94</v>
      </c>
    </row>
    <row r="38" spans="1:22" x14ac:dyDescent="0.25">
      <c r="A38" s="6" t="s">
        <v>164</v>
      </c>
      <c r="B38" s="6"/>
      <c r="C38" s="6" t="s">
        <v>165</v>
      </c>
      <c r="D38" s="6" t="s">
        <v>166</v>
      </c>
      <c r="E38" s="6" t="s">
        <v>167</v>
      </c>
      <c r="F38" s="6" t="s">
        <v>168</v>
      </c>
      <c r="G38" s="6"/>
      <c r="H38" s="6" t="s">
        <v>169</v>
      </c>
      <c r="I38" s="6" t="s">
        <v>170</v>
      </c>
      <c r="J38" s="7">
        <v>2316164338</v>
      </c>
      <c r="K38" s="5">
        <v>0.64</v>
      </c>
      <c r="L38" s="5">
        <v>1</v>
      </c>
      <c r="M38" s="8">
        <v>66.5</v>
      </c>
      <c r="N38" s="8">
        <v>65.5</v>
      </c>
      <c r="O38" s="9">
        <v>97093609048.960007</v>
      </c>
      <c r="P38" s="9">
        <v>10140872477.494101</v>
      </c>
      <c r="Q38" s="9">
        <v>12462118187.592501</v>
      </c>
      <c r="R38" s="5">
        <v>1.71945136690475E-2</v>
      </c>
      <c r="S38" s="6" t="s">
        <v>76</v>
      </c>
      <c r="T38" s="6" t="s">
        <v>77</v>
      </c>
      <c r="U38" s="6" t="s">
        <v>153</v>
      </c>
      <c r="V38" s="6" t="s">
        <v>153</v>
      </c>
    </row>
    <row r="39" spans="1:22" x14ac:dyDescent="0.25">
      <c r="A39" s="6" t="s">
        <v>164</v>
      </c>
      <c r="B39" s="6"/>
      <c r="C39" s="6" t="s">
        <v>171</v>
      </c>
      <c r="D39" s="6" t="s">
        <v>166</v>
      </c>
      <c r="E39" s="6" t="s">
        <v>172</v>
      </c>
      <c r="F39" s="6" t="s">
        <v>173</v>
      </c>
      <c r="G39" s="6"/>
      <c r="H39" s="6" t="s">
        <v>174</v>
      </c>
      <c r="I39" s="6" t="s">
        <v>175</v>
      </c>
      <c r="J39" s="7">
        <v>2400931362</v>
      </c>
      <c r="K39" s="5">
        <v>0.55000000000000004</v>
      </c>
      <c r="L39" s="5">
        <v>1</v>
      </c>
      <c r="M39" s="8">
        <v>72.25</v>
      </c>
      <c r="N39" s="8">
        <v>71.25</v>
      </c>
      <c r="O39" s="9">
        <v>94086497748.375</v>
      </c>
      <c r="P39" s="9">
        <v>9826796890.8147926</v>
      </c>
      <c r="Q39" s="9">
        <v>12076150699.122299</v>
      </c>
      <c r="R39" s="5">
        <v>1.6661977935040699E-2</v>
      </c>
      <c r="S39" s="6" t="s">
        <v>76</v>
      </c>
      <c r="T39" s="6" t="s">
        <v>77</v>
      </c>
      <c r="U39" s="6" t="s">
        <v>153</v>
      </c>
      <c r="V39" s="6" t="s">
        <v>153</v>
      </c>
    </row>
    <row r="40" spans="1:22" x14ac:dyDescent="0.25">
      <c r="A40" s="6" t="s">
        <v>70</v>
      </c>
      <c r="B40" s="6"/>
      <c r="C40" s="6" t="s">
        <v>176</v>
      </c>
      <c r="D40" s="6" t="s">
        <v>21</v>
      </c>
      <c r="E40" s="6" t="s">
        <v>177</v>
      </c>
      <c r="F40" s="6" t="s">
        <v>178</v>
      </c>
      <c r="G40" s="6"/>
      <c r="H40" s="6" t="s">
        <v>179</v>
      </c>
      <c r="I40" s="6" t="s">
        <v>180</v>
      </c>
      <c r="J40" s="7">
        <v>1356593000</v>
      </c>
      <c r="K40" s="5">
        <v>0.76100000000000001</v>
      </c>
      <c r="L40" s="5">
        <v>1</v>
      </c>
      <c r="M40" s="8">
        <v>11.53</v>
      </c>
      <c r="N40" s="8">
        <v>11.61</v>
      </c>
      <c r="O40" s="9">
        <v>11985784039.530001</v>
      </c>
      <c r="P40" s="9">
        <v>9753262299.2350883</v>
      </c>
      <c r="Q40" s="9">
        <v>11985784039.530001</v>
      </c>
      <c r="R40" s="5">
        <v>1.65372952173682E-2</v>
      </c>
      <c r="S40" s="6" t="s">
        <v>76</v>
      </c>
      <c r="T40" s="6" t="s">
        <v>77</v>
      </c>
      <c r="U40" s="6" t="s">
        <v>94</v>
      </c>
      <c r="V40" s="6" t="s">
        <v>94</v>
      </c>
    </row>
    <row r="41" spans="1:22" x14ac:dyDescent="0.25">
      <c r="A41" s="6" t="s">
        <v>70</v>
      </c>
      <c r="B41" s="6"/>
      <c r="C41" s="6" t="s">
        <v>181</v>
      </c>
      <c r="D41" s="6" t="s">
        <v>21</v>
      </c>
      <c r="E41" s="6" t="s">
        <v>182</v>
      </c>
      <c r="F41" s="6" t="s">
        <v>183</v>
      </c>
      <c r="G41" s="6"/>
      <c r="H41" s="6" t="s">
        <v>184</v>
      </c>
      <c r="I41" s="6" t="s">
        <v>185</v>
      </c>
      <c r="J41" s="7">
        <v>400460000</v>
      </c>
      <c r="K41" s="5">
        <v>1</v>
      </c>
      <c r="L41" s="5">
        <v>1</v>
      </c>
      <c r="M41" s="8">
        <v>29.15</v>
      </c>
      <c r="N41" s="8">
        <v>28.89</v>
      </c>
      <c r="O41" s="9">
        <v>11569289400</v>
      </c>
      <c r="P41" s="9">
        <v>9414345674.9938965</v>
      </c>
      <c r="Q41" s="9">
        <v>11569289400</v>
      </c>
      <c r="R41" s="5">
        <v>1.5962639876704401E-2</v>
      </c>
      <c r="S41" s="6" t="s">
        <v>76</v>
      </c>
      <c r="T41" s="6" t="s">
        <v>77</v>
      </c>
      <c r="U41" s="6" t="s">
        <v>153</v>
      </c>
      <c r="V41" s="6" t="s">
        <v>153</v>
      </c>
    </row>
    <row r="42" spans="1:22" x14ac:dyDescent="0.25">
      <c r="A42" s="6" t="s">
        <v>70</v>
      </c>
      <c r="B42" s="6"/>
      <c r="C42" s="6" t="s">
        <v>186</v>
      </c>
      <c r="D42" s="6" t="s">
        <v>21</v>
      </c>
      <c r="E42" s="6" t="s">
        <v>187</v>
      </c>
      <c r="F42" s="6" t="s">
        <v>188</v>
      </c>
      <c r="G42" s="6"/>
      <c r="H42" s="6" t="s">
        <v>189</v>
      </c>
      <c r="I42" s="6" t="s">
        <v>190</v>
      </c>
      <c r="J42" s="7">
        <v>322968000</v>
      </c>
      <c r="K42" s="5">
        <v>1</v>
      </c>
      <c r="L42" s="5">
        <v>1</v>
      </c>
      <c r="M42" s="8">
        <v>35.68</v>
      </c>
      <c r="N42" s="8">
        <v>35.630000000000003</v>
      </c>
      <c r="O42" s="9">
        <v>11507349840</v>
      </c>
      <c r="P42" s="9">
        <v>9363943233.7863121</v>
      </c>
      <c r="Q42" s="9">
        <v>11507349840</v>
      </c>
      <c r="R42" s="5">
        <v>1.58771792355001E-2</v>
      </c>
      <c r="S42" s="6" t="s">
        <v>76</v>
      </c>
      <c r="T42" s="6" t="s">
        <v>77</v>
      </c>
      <c r="U42" s="6" t="s">
        <v>78</v>
      </c>
      <c r="V42" s="6" t="s">
        <v>78</v>
      </c>
    </row>
    <row r="43" spans="1:22" x14ac:dyDescent="0.25">
      <c r="A43" s="6" t="s">
        <v>105</v>
      </c>
      <c r="B43" s="6"/>
      <c r="C43" s="6" t="s">
        <v>191</v>
      </c>
      <c r="D43" s="6" t="s">
        <v>107</v>
      </c>
      <c r="E43" s="6" t="s">
        <v>192</v>
      </c>
      <c r="F43" s="6" t="s">
        <v>193</v>
      </c>
      <c r="G43" s="6"/>
      <c r="H43" s="6" t="s">
        <v>194</v>
      </c>
      <c r="I43" s="6" t="s">
        <v>195</v>
      </c>
      <c r="J43" s="7">
        <v>1331735258</v>
      </c>
      <c r="K43" s="5">
        <v>1</v>
      </c>
      <c r="L43" s="5">
        <v>1</v>
      </c>
      <c r="M43" s="8">
        <v>844</v>
      </c>
      <c r="N43" s="8">
        <v>850</v>
      </c>
      <c r="O43" s="9">
        <v>1131974969300</v>
      </c>
      <c r="P43" s="9">
        <v>8854026344.5048409</v>
      </c>
      <c r="Q43" s="9">
        <v>10880712974.761999</v>
      </c>
      <c r="R43" s="5">
        <v>1.50125817423074E-2</v>
      </c>
      <c r="S43" s="6" t="s">
        <v>76</v>
      </c>
      <c r="T43" s="6" t="s">
        <v>77</v>
      </c>
      <c r="U43" s="6" t="s">
        <v>94</v>
      </c>
      <c r="V43" s="6" t="s">
        <v>94</v>
      </c>
    </row>
    <row r="44" spans="1:22" x14ac:dyDescent="0.25">
      <c r="A44" s="6" t="s">
        <v>196</v>
      </c>
      <c r="B44" s="6"/>
      <c r="C44" s="6" t="s">
        <v>197</v>
      </c>
      <c r="D44" s="6" t="s">
        <v>198</v>
      </c>
      <c r="E44" s="6" t="s">
        <v>199</v>
      </c>
      <c r="F44" s="6" t="s">
        <v>200</v>
      </c>
      <c r="G44" s="6"/>
      <c r="H44" s="6" t="s">
        <v>201</v>
      </c>
      <c r="I44" s="6" t="s">
        <v>202</v>
      </c>
      <c r="J44" s="7">
        <v>465528836</v>
      </c>
      <c r="K44" s="5">
        <v>1</v>
      </c>
      <c r="L44" s="5">
        <v>1</v>
      </c>
      <c r="M44" s="8">
        <v>10.88</v>
      </c>
      <c r="N44" s="8">
        <v>10.9</v>
      </c>
      <c r="O44" s="9">
        <v>5074264312.3999996</v>
      </c>
      <c r="P44" s="9">
        <v>7588686358.9749689</v>
      </c>
      <c r="Q44" s="9">
        <v>9325736666.5443401</v>
      </c>
      <c r="R44" s="5">
        <v>1.2867114897568799E-2</v>
      </c>
      <c r="S44" s="6" t="s">
        <v>76</v>
      </c>
      <c r="T44" s="6" t="s">
        <v>77</v>
      </c>
      <c r="U44" s="6" t="s">
        <v>153</v>
      </c>
      <c r="V44" s="6" t="s">
        <v>153</v>
      </c>
    </row>
    <row r="45" spans="1:22" x14ac:dyDescent="0.25">
      <c r="A45" s="6" t="s">
        <v>70</v>
      </c>
      <c r="B45" s="6"/>
      <c r="C45" s="6" t="s">
        <v>203</v>
      </c>
      <c r="D45" s="6" t="s">
        <v>21</v>
      </c>
      <c r="E45" s="6" t="s">
        <v>204</v>
      </c>
      <c r="F45" s="6" t="s">
        <v>205</v>
      </c>
      <c r="G45" s="6"/>
      <c r="H45" s="6" t="s">
        <v>206</v>
      </c>
      <c r="I45" s="6" t="s">
        <v>207</v>
      </c>
      <c r="J45" s="7">
        <v>98021000</v>
      </c>
      <c r="K45" s="5">
        <v>1</v>
      </c>
      <c r="L45" s="5">
        <v>1</v>
      </c>
      <c r="M45" s="8">
        <v>86.95</v>
      </c>
      <c r="N45" s="8">
        <v>87.68</v>
      </c>
      <c r="O45" s="9">
        <v>8594481280</v>
      </c>
      <c r="P45" s="9">
        <v>6993637627.1462278</v>
      </c>
      <c r="Q45" s="9">
        <v>8594481280</v>
      </c>
      <c r="R45" s="5">
        <v>1.18581707878893E-2</v>
      </c>
      <c r="S45" s="6" t="s">
        <v>76</v>
      </c>
      <c r="T45" s="6" t="s">
        <v>77</v>
      </c>
      <c r="U45" s="6" t="s">
        <v>94</v>
      </c>
      <c r="V45" s="6" t="s">
        <v>94</v>
      </c>
    </row>
    <row r="46" spans="1:22" x14ac:dyDescent="0.25">
      <c r="A46" s="6" t="s">
        <v>70</v>
      </c>
      <c r="B46" s="6"/>
      <c r="C46" s="6" t="s">
        <v>208</v>
      </c>
      <c r="D46" s="6" t="s">
        <v>21</v>
      </c>
      <c r="E46" s="6" t="s">
        <v>209</v>
      </c>
      <c r="F46" s="6" t="s">
        <v>210</v>
      </c>
      <c r="G46" s="6"/>
      <c r="H46" s="6" t="s">
        <v>211</v>
      </c>
      <c r="I46" s="6" t="s">
        <v>212</v>
      </c>
      <c r="J46" s="7">
        <v>275461000</v>
      </c>
      <c r="K46" s="5">
        <v>1</v>
      </c>
      <c r="L46" s="5">
        <v>1</v>
      </c>
      <c r="M46" s="8">
        <v>29.6</v>
      </c>
      <c r="N46" s="8">
        <v>29.85</v>
      </c>
      <c r="O46" s="9">
        <v>8222510850</v>
      </c>
      <c r="P46" s="9">
        <v>6690951948.8973875</v>
      </c>
      <c r="Q46" s="9">
        <v>8222510850</v>
      </c>
      <c r="R46" s="5">
        <v>1.13449473898409E-2</v>
      </c>
      <c r="S46" s="6" t="s">
        <v>76</v>
      </c>
      <c r="T46" s="6" t="s">
        <v>77</v>
      </c>
      <c r="U46" s="6" t="s">
        <v>153</v>
      </c>
      <c r="V46" s="6" t="s">
        <v>153</v>
      </c>
    </row>
    <row r="47" spans="1:22" x14ac:dyDescent="0.25">
      <c r="A47" s="6" t="s">
        <v>70</v>
      </c>
      <c r="B47" s="6"/>
      <c r="C47" s="6" t="s">
        <v>213</v>
      </c>
      <c r="D47" s="6" t="s">
        <v>21</v>
      </c>
      <c r="E47" s="6" t="s">
        <v>214</v>
      </c>
      <c r="F47" s="6" t="s">
        <v>215</v>
      </c>
      <c r="G47" s="6"/>
      <c r="H47" s="6" t="s">
        <v>216</v>
      </c>
      <c r="I47" s="6" t="s">
        <v>217</v>
      </c>
      <c r="J47" s="7">
        <v>213304000</v>
      </c>
      <c r="K47" s="5">
        <v>1</v>
      </c>
      <c r="L47" s="5">
        <v>1</v>
      </c>
      <c r="M47" s="8">
        <v>38</v>
      </c>
      <c r="N47" s="8">
        <v>38.049999999999997</v>
      </c>
      <c r="O47" s="9">
        <v>8116217200</v>
      </c>
      <c r="P47" s="9">
        <v>6604456994.0597277</v>
      </c>
      <c r="Q47" s="9">
        <v>8116217200</v>
      </c>
      <c r="R47" s="5">
        <v>1.11982895271609E-2</v>
      </c>
      <c r="S47" s="6" t="s">
        <v>76</v>
      </c>
      <c r="T47" s="6" t="s">
        <v>77</v>
      </c>
      <c r="U47" s="6" t="s">
        <v>78</v>
      </c>
      <c r="V47" s="6" t="s">
        <v>78</v>
      </c>
    </row>
    <row r="48" spans="1:22" x14ac:dyDescent="0.25">
      <c r="A48" s="6" t="s">
        <v>218</v>
      </c>
      <c r="B48" s="6"/>
      <c r="C48" s="6" t="s">
        <v>219</v>
      </c>
      <c r="D48" s="6" t="s">
        <v>220</v>
      </c>
      <c r="E48" s="6" t="s">
        <v>221</v>
      </c>
      <c r="F48" s="6" t="s">
        <v>222</v>
      </c>
      <c r="G48" s="6"/>
      <c r="H48" s="6" t="s">
        <v>223</v>
      </c>
      <c r="I48" s="6" t="s">
        <v>224</v>
      </c>
      <c r="J48" s="7">
        <v>1845290787</v>
      </c>
      <c r="K48" s="5">
        <v>1</v>
      </c>
      <c r="L48" s="5">
        <v>1</v>
      </c>
      <c r="M48" s="8">
        <v>5.77</v>
      </c>
      <c r="N48" s="8">
        <v>5.63</v>
      </c>
      <c r="O48" s="9">
        <v>10388987130.809999</v>
      </c>
      <c r="P48" s="9">
        <v>6454123382.7137184</v>
      </c>
      <c r="Q48" s="9">
        <v>7931472225.0168896</v>
      </c>
      <c r="R48" s="5">
        <v>1.0943389039955001E-2</v>
      </c>
      <c r="S48" s="6" t="s">
        <v>76</v>
      </c>
      <c r="T48" s="6" t="s">
        <v>77</v>
      </c>
      <c r="U48" s="6" t="s">
        <v>78</v>
      </c>
      <c r="V48" s="6" t="s">
        <v>78</v>
      </c>
    </row>
    <row r="49" spans="1:22" x14ac:dyDescent="0.25">
      <c r="A49" s="6" t="s">
        <v>70</v>
      </c>
      <c r="B49" s="6"/>
      <c r="C49" s="6" t="s">
        <v>225</v>
      </c>
      <c r="D49" s="6" t="s">
        <v>21</v>
      </c>
      <c r="E49" s="6" t="s">
        <v>226</v>
      </c>
      <c r="F49" s="6" t="s">
        <v>227</v>
      </c>
      <c r="G49" s="6"/>
      <c r="H49" s="6" t="s">
        <v>228</v>
      </c>
      <c r="I49" s="6" t="s">
        <v>229</v>
      </c>
      <c r="J49" s="7">
        <v>249411310</v>
      </c>
      <c r="K49" s="5">
        <v>0.56110000000000004</v>
      </c>
      <c r="L49" s="5">
        <v>1</v>
      </c>
      <c r="M49" s="8">
        <v>55.95</v>
      </c>
      <c r="N49" s="8">
        <v>55.68</v>
      </c>
      <c r="O49" s="9">
        <v>7792120118.7628803</v>
      </c>
      <c r="P49" s="9">
        <v>6340727576.5016518</v>
      </c>
      <c r="Q49" s="9">
        <v>7792120118.7628803</v>
      </c>
      <c r="R49" s="5">
        <v>1.0751119021349301E-2</v>
      </c>
      <c r="S49" s="6" t="s">
        <v>76</v>
      </c>
      <c r="T49" s="6" t="s">
        <v>77</v>
      </c>
      <c r="U49" s="6" t="s">
        <v>94</v>
      </c>
      <c r="V49" s="6" t="s">
        <v>94</v>
      </c>
    </row>
    <row r="50" spans="1:22" x14ac:dyDescent="0.25">
      <c r="A50" s="6" t="s">
        <v>230</v>
      </c>
      <c r="B50" s="6"/>
      <c r="C50" s="6" t="s">
        <v>231</v>
      </c>
      <c r="D50" s="6" t="s">
        <v>232</v>
      </c>
      <c r="E50" s="6" t="s">
        <v>233</v>
      </c>
      <c r="F50" s="6" t="s">
        <v>234</v>
      </c>
      <c r="G50" s="6"/>
      <c r="H50" s="6" t="s">
        <v>235</v>
      </c>
      <c r="I50" s="6" t="s">
        <v>236</v>
      </c>
      <c r="J50" s="7">
        <v>196915950</v>
      </c>
      <c r="K50" s="5">
        <v>0.78410000000000002</v>
      </c>
      <c r="L50" s="5">
        <v>1</v>
      </c>
      <c r="M50" s="8">
        <v>53.85</v>
      </c>
      <c r="N50" s="8">
        <v>53.8</v>
      </c>
      <c r="O50" s="9">
        <v>8306816646.0509996</v>
      </c>
      <c r="P50" s="9">
        <v>5143279131.532793</v>
      </c>
      <c r="Q50" s="9">
        <v>6320575724.7406502</v>
      </c>
      <c r="R50" s="5">
        <v>8.7207667315742608E-3</v>
      </c>
      <c r="S50" s="6" t="s">
        <v>76</v>
      </c>
      <c r="T50" s="6" t="s">
        <v>77</v>
      </c>
      <c r="U50" s="6" t="s">
        <v>78</v>
      </c>
      <c r="V50" s="6" t="s">
        <v>78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2.5" x14ac:dyDescent="0.25"/>
  <cols>
    <col min="1" max="1" width="8" bestFit="1" customWidth="1"/>
    <col min="2" max="2" width="10" bestFit="1" customWidth="1"/>
    <col min="3" max="3" width="12.1796875" bestFit="1" customWidth="1"/>
    <col min="4" max="4" width="6.26953125" bestFit="1" customWidth="1"/>
    <col min="5" max="5" width="6.54296875" bestFit="1" customWidth="1"/>
    <col min="6" max="6" width="4.7265625" bestFit="1" customWidth="1"/>
    <col min="7" max="7" width="7.26953125" bestFit="1" customWidth="1"/>
    <col min="8" max="8" width="8.81640625" bestFit="1" customWidth="1"/>
  </cols>
  <sheetData>
    <row r="1" spans="1:9" x14ac:dyDescent="0.25">
      <c r="B1" t="s">
        <v>237</v>
      </c>
      <c r="C1" s="1">
        <v>38078</v>
      </c>
    </row>
    <row r="2" spans="1:9" ht="13" x14ac:dyDescent="0.3">
      <c r="A2" s="2" t="s">
        <v>238</v>
      </c>
      <c r="B2" s="2" t="s">
        <v>56</v>
      </c>
      <c r="C2" s="2" t="s">
        <v>3</v>
      </c>
      <c r="D2" s="2" t="s">
        <v>239</v>
      </c>
      <c r="E2" s="2" t="s">
        <v>5</v>
      </c>
      <c r="F2" s="2" t="s">
        <v>6</v>
      </c>
      <c r="G2" s="2" t="s">
        <v>8</v>
      </c>
      <c r="H2" s="2" t="s">
        <v>240</v>
      </c>
      <c r="I2" s="2" t="s">
        <v>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/>
  </sheetViews>
  <sheetFormatPr defaultRowHeight="12.5" x14ac:dyDescent="0.25"/>
  <cols>
    <col min="1" max="1" width="8.54296875" bestFit="1" customWidth="1"/>
    <col min="2" max="2" width="11" bestFit="1" customWidth="1"/>
    <col min="3" max="3" width="54.81640625" bestFit="1" customWidth="1"/>
    <col min="4" max="4" width="6.26953125" bestFit="1" customWidth="1"/>
    <col min="5" max="5" width="9.453125" bestFit="1" customWidth="1"/>
    <col min="6" max="6" width="14.7265625" bestFit="1" customWidth="1"/>
    <col min="7" max="7" width="6.7265625" bestFit="1" customWidth="1"/>
    <col min="8" max="8" width="8" bestFit="1" customWidth="1"/>
    <col min="9" max="9" width="15.7265625" bestFit="1" customWidth="1"/>
    <col min="10" max="10" width="11" bestFit="1" customWidth="1"/>
    <col min="11" max="11" width="10.26953125" bestFit="1" customWidth="1"/>
    <col min="12" max="12" width="8" bestFit="1" customWidth="1"/>
    <col min="13" max="13" width="15.26953125" bestFit="1" customWidth="1"/>
    <col min="14" max="14" width="11.54296875" bestFit="1" customWidth="1"/>
    <col min="15" max="15" width="14" bestFit="1" customWidth="1"/>
    <col min="16" max="17" width="13" bestFit="1" customWidth="1"/>
    <col min="18" max="18" width="6.54296875" bestFit="1" customWidth="1"/>
    <col min="19" max="19" width="15.54296875" bestFit="1" customWidth="1"/>
    <col min="20" max="20" width="13.54296875" bestFit="1" customWidth="1"/>
    <col min="21" max="21" width="10.54296875" bestFit="1" customWidth="1"/>
    <col min="22" max="22" width="9.81640625" bestFit="1" customWidth="1"/>
    <col min="23" max="23" width="12.1796875" bestFit="1" customWidth="1"/>
  </cols>
  <sheetData>
    <row r="1" spans="1:21" x14ac:dyDescent="0.25">
      <c r="B1" t="s">
        <v>0</v>
      </c>
      <c r="C1" s="1">
        <v>38078</v>
      </c>
    </row>
    <row r="2" spans="1:21" ht="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 t="s">
        <v>9</v>
      </c>
      <c r="K2" s="2" t="s">
        <v>10</v>
      </c>
      <c r="L2" s="2"/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/>
      <c r="S2" s="2" t="s">
        <v>16</v>
      </c>
      <c r="T2" s="2" t="s">
        <v>17</v>
      </c>
    </row>
    <row r="3" spans="1:2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J3">
        <v>30</v>
      </c>
      <c r="K3" s="3">
        <v>0.72819233653254722</v>
      </c>
      <c r="O3" s="4">
        <v>724772937895.06799</v>
      </c>
      <c r="P3" s="4"/>
      <c r="Q3" s="4">
        <v>724772937895.06799</v>
      </c>
      <c r="S3" s="5">
        <v>2314195624.9393902</v>
      </c>
      <c r="T3" s="6" t="s">
        <v>25</v>
      </c>
      <c r="U3" s="5"/>
    </row>
    <row r="4" spans="1:21" x14ac:dyDescent="0.25">
      <c r="A4" t="s">
        <v>18</v>
      </c>
      <c r="B4" t="s">
        <v>19</v>
      </c>
      <c r="C4" t="s">
        <v>24</v>
      </c>
      <c r="D4" t="s">
        <v>21</v>
      </c>
      <c r="J4">
        <v>30</v>
      </c>
      <c r="K4" s="3">
        <v>0.72819233653254722</v>
      </c>
      <c r="O4" s="4">
        <v>724772937895.06799</v>
      </c>
      <c r="P4" s="4"/>
      <c r="Q4" s="4">
        <v>724772937895.06799</v>
      </c>
      <c r="S4" s="5">
        <v>1850953962.6578801</v>
      </c>
      <c r="T4" s="6" t="s">
        <v>25</v>
      </c>
      <c r="U4" s="5"/>
    </row>
    <row r="5" spans="1:21" x14ac:dyDescent="0.25">
      <c r="A5" t="s">
        <v>18</v>
      </c>
      <c r="B5" t="s">
        <v>19</v>
      </c>
      <c r="C5" t="s">
        <v>26</v>
      </c>
      <c r="D5" t="s">
        <v>27</v>
      </c>
      <c r="E5" t="s">
        <v>28</v>
      </c>
      <c r="F5" t="s">
        <v>29</v>
      </c>
      <c r="J5">
        <v>30</v>
      </c>
      <c r="K5" s="3">
        <v>0.72819233653254722</v>
      </c>
      <c r="O5" s="4">
        <v>589773730864.974</v>
      </c>
      <c r="P5" s="4">
        <v>589773730864.974</v>
      </c>
      <c r="Q5" s="4"/>
      <c r="S5" s="5">
        <v>1728372130.15136</v>
      </c>
      <c r="T5" s="6" t="s">
        <v>25</v>
      </c>
      <c r="U5" s="5"/>
    </row>
    <row r="6" spans="1:21" x14ac:dyDescent="0.25">
      <c r="A6" t="s">
        <v>18</v>
      </c>
      <c r="B6" t="s">
        <v>19</v>
      </c>
      <c r="C6" t="s">
        <v>30</v>
      </c>
      <c r="D6" t="s">
        <v>27</v>
      </c>
      <c r="J6">
        <v>30</v>
      </c>
      <c r="K6" s="3">
        <v>0.72819233653254722</v>
      </c>
      <c r="O6" s="4">
        <v>589773730864.974</v>
      </c>
      <c r="P6" s="4">
        <v>589773730864.974</v>
      </c>
      <c r="Q6" s="4"/>
      <c r="S6" s="5">
        <v>1382397066.5119901</v>
      </c>
      <c r="T6" s="6" t="s">
        <v>25</v>
      </c>
      <c r="U6" s="5"/>
    </row>
    <row r="7" spans="1:21" x14ac:dyDescent="0.25">
      <c r="A7" t="s">
        <v>18</v>
      </c>
      <c r="B7" t="s">
        <v>19</v>
      </c>
      <c r="C7" t="s">
        <v>31</v>
      </c>
      <c r="D7" t="s">
        <v>21</v>
      </c>
      <c r="E7" t="s">
        <v>32</v>
      </c>
      <c r="F7" t="s">
        <v>33</v>
      </c>
      <c r="J7">
        <v>30</v>
      </c>
      <c r="K7" s="3">
        <v>0.72819233653254722</v>
      </c>
      <c r="O7" s="4">
        <v>724772937895.06799</v>
      </c>
      <c r="P7" s="4"/>
      <c r="Q7" s="4">
        <v>724772937895.06799</v>
      </c>
      <c r="S7" s="5">
        <v>2314195624.9393902</v>
      </c>
      <c r="T7" s="6" t="s">
        <v>25</v>
      </c>
      <c r="U7" s="5"/>
    </row>
    <row r="8" spans="1:21" x14ac:dyDescent="0.25">
      <c r="A8" t="s">
        <v>18</v>
      </c>
      <c r="B8" t="s">
        <v>19</v>
      </c>
      <c r="C8" t="s">
        <v>34</v>
      </c>
      <c r="D8" t="s">
        <v>21</v>
      </c>
      <c r="J8">
        <v>30</v>
      </c>
      <c r="K8" s="3">
        <v>0.72819233653254722</v>
      </c>
      <c r="O8" s="4">
        <v>724772937895.06799</v>
      </c>
      <c r="P8" s="4"/>
      <c r="Q8" s="4">
        <v>724772937895.06799</v>
      </c>
      <c r="S8" s="5">
        <v>1850953962.6578801</v>
      </c>
      <c r="T8" s="6" t="s">
        <v>25</v>
      </c>
      <c r="U8" s="5"/>
    </row>
    <row r="9" spans="1:21" x14ac:dyDescent="0.25">
      <c r="A9" t="s">
        <v>18</v>
      </c>
      <c r="B9" t="s">
        <v>19</v>
      </c>
      <c r="C9" t="s">
        <v>35</v>
      </c>
      <c r="D9" t="s">
        <v>27</v>
      </c>
      <c r="E9" t="s">
        <v>36</v>
      </c>
      <c r="F9" t="s">
        <v>37</v>
      </c>
      <c r="J9">
        <v>30</v>
      </c>
      <c r="K9" s="3">
        <v>0.72819233653254722</v>
      </c>
      <c r="O9" s="4">
        <v>589773730864.974</v>
      </c>
      <c r="P9" s="4">
        <v>589773730864.974</v>
      </c>
      <c r="Q9" s="4"/>
      <c r="S9" s="5">
        <v>1728372130.15136</v>
      </c>
      <c r="T9" s="6" t="s">
        <v>25</v>
      </c>
      <c r="U9" s="5"/>
    </row>
    <row r="10" spans="1:21" x14ac:dyDescent="0.25">
      <c r="A10" t="s">
        <v>18</v>
      </c>
      <c r="B10" t="s">
        <v>19</v>
      </c>
      <c r="C10" t="s">
        <v>38</v>
      </c>
      <c r="D10" t="s">
        <v>27</v>
      </c>
      <c r="J10">
        <v>30</v>
      </c>
      <c r="K10" s="3">
        <v>0.72819233653254722</v>
      </c>
      <c r="O10" s="4">
        <v>589773730864.974</v>
      </c>
      <c r="P10" s="4">
        <v>589773730864.974</v>
      </c>
      <c r="Q10" s="4"/>
      <c r="S10" s="5">
        <v>1382397066.5119901</v>
      </c>
      <c r="T10" s="6" t="s">
        <v>25</v>
      </c>
      <c r="U10" s="5"/>
    </row>
    <row r="11" spans="1:21" x14ac:dyDescent="0.25">
      <c r="A11" t="s">
        <v>18</v>
      </c>
      <c r="B11" t="s">
        <v>19</v>
      </c>
      <c r="C11" t="s">
        <v>39</v>
      </c>
      <c r="D11" t="s">
        <v>21</v>
      </c>
      <c r="E11" t="s">
        <v>40</v>
      </c>
      <c r="F11" t="s">
        <v>41</v>
      </c>
      <c r="J11">
        <v>30</v>
      </c>
      <c r="K11" s="3">
        <v>0.72819233653254722</v>
      </c>
      <c r="O11" s="4">
        <v>724772937895.06799</v>
      </c>
      <c r="P11" s="4"/>
      <c r="Q11" s="4">
        <v>724772937895.06799</v>
      </c>
      <c r="S11" s="5">
        <v>2314195624.9393902</v>
      </c>
      <c r="T11" s="6" t="s">
        <v>25</v>
      </c>
      <c r="U11" s="5"/>
    </row>
    <row r="12" spans="1:21" x14ac:dyDescent="0.25">
      <c r="A12" t="s">
        <v>18</v>
      </c>
      <c r="B12" t="s">
        <v>19</v>
      </c>
      <c r="C12" t="s">
        <v>42</v>
      </c>
      <c r="D12" t="s">
        <v>21</v>
      </c>
      <c r="J12">
        <v>30</v>
      </c>
      <c r="K12" s="3">
        <v>0.72819233653254722</v>
      </c>
      <c r="O12" s="4">
        <v>724772937895.06799</v>
      </c>
      <c r="P12" s="4"/>
      <c r="Q12" s="4">
        <v>724772937895.06799</v>
      </c>
      <c r="S12" s="5">
        <v>1850953962.6578801</v>
      </c>
      <c r="T12" s="6" t="s">
        <v>25</v>
      </c>
      <c r="U12" s="5"/>
    </row>
    <row r="13" spans="1:21" x14ac:dyDescent="0.25">
      <c r="A13" t="s">
        <v>18</v>
      </c>
      <c r="B13" t="s">
        <v>19</v>
      </c>
      <c r="C13" t="s">
        <v>43</v>
      </c>
      <c r="D13" t="s">
        <v>27</v>
      </c>
      <c r="E13" t="s">
        <v>44</v>
      </c>
      <c r="F13" t="s">
        <v>45</v>
      </c>
      <c r="J13">
        <v>30</v>
      </c>
      <c r="K13" s="3">
        <v>0.72819233653254722</v>
      </c>
      <c r="O13" s="4">
        <v>589773730864.974</v>
      </c>
      <c r="P13" s="4">
        <v>589773730864.974</v>
      </c>
      <c r="Q13" s="4"/>
      <c r="S13" s="5">
        <v>1728372130.15136</v>
      </c>
      <c r="T13" s="6" t="s">
        <v>25</v>
      </c>
      <c r="U13" s="5"/>
    </row>
    <row r="14" spans="1:21" x14ac:dyDescent="0.25">
      <c r="A14" t="s">
        <v>18</v>
      </c>
      <c r="B14" t="s">
        <v>19</v>
      </c>
      <c r="C14" t="s">
        <v>46</v>
      </c>
      <c r="D14" t="s">
        <v>27</v>
      </c>
      <c r="J14">
        <v>30</v>
      </c>
      <c r="K14" s="3">
        <v>0.72819233653254722</v>
      </c>
      <c r="O14" s="4">
        <v>589773730864.974</v>
      </c>
      <c r="P14" s="4">
        <v>589773730864.974</v>
      </c>
      <c r="Q14" s="4"/>
      <c r="S14" s="5">
        <v>1382397066.5119901</v>
      </c>
      <c r="T14" s="6" t="s">
        <v>25</v>
      </c>
      <c r="U14" s="5"/>
    </row>
    <row r="15" spans="1:21" x14ac:dyDescent="0.25">
      <c r="A15" t="s">
        <v>18</v>
      </c>
      <c r="B15" t="s">
        <v>19</v>
      </c>
      <c r="C15" t="s">
        <v>47</v>
      </c>
      <c r="D15" t="s">
        <v>21</v>
      </c>
      <c r="E15" t="s">
        <v>48</v>
      </c>
      <c r="F15" t="s">
        <v>49</v>
      </c>
      <c r="J15">
        <v>30</v>
      </c>
      <c r="K15" s="3">
        <v>0.72819233653254722</v>
      </c>
      <c r="O15" s="4">
        <v>724772937895.06799</v>
      </c>
      <c r="P15" s="4"/>
      <c r="Q15" s="4">
        <v>724772937895.06799</v>
      </c>
      <c r="S15" s="5">
        <v>2314195624.9393902</v>
      </c>
      <c r="T15" s="6" t="s">
        <v>25</v>
      </c>
      <c r="U15" s="5"/>
    </row>
    <row r="16" spans="1:21" x14ac:dyDescent="0.25">
      <c r="A16" t="s">
        <v>18</v>
      </c>
      <c r="B16" t="s">
        <v>19</v>
      </c>
      <c r="C16" t="s">
        <v>50</v>
      </c>
      <c r="D16" t="s">
        <v>21</v>
      </c>
      <c r="J16">
        <v>30</v>
      </c>
      <c r="K16" s="3">
        <v>0.72819233653254722</v>
      </c>
      <c r="O16" s="4">
        <v>724772937895.06799</v>
      </c>
      <c r="P16" s="4"/>
      <c r="Q16" s="4">
        <v>724772937895.06799</v>
      </c>
      <c r="S16" s="5">
        <v>1850953962.6578801</v>
      </c>
      <c r="T16" s="6" t="s">
        <v>25</v>
      </c>
      <c r="U16" s="5"/>
    </row>
    <row r="17" spans="1:23" x14ac:dyDescent="0.25">
      <c r="A17" t="s">
        <v>18</v>
      </c>
      <c r="B17" t="s">
        <v>19</v>
      </c>
      <c r="C17" t="s">
        <v>51</v>
      </c>
      <c r="D17" t="s">
        <v>27</v>
      </c>
      <c r="E17" t="s">
        <v>52</v>
      </c>
      <c r="F17" t="s">
        <v>53</v>
      </c>
      <c r="J17">
        <v>30</v>
      </c>
      <c r="K17" s="3">
        <v>0.72819233653254722</v>
      </c>
      <c r="O17" s="4">
        <v>589773730864.974</v>
      </c>
      <c r="P17" s="4">
        <v>589773730864.974</v>
      </c>
      <c r="Q17" s="4"/>
      <c r="S17" s="5">
        <v>1728372130.15136</v>
      </c>
      <c r="T17" s="6" t="s">
        <v>25</v>
      </c>
      <c r="U17" s="5"/>
    </row>
    <row r="18" spans="1:23" x14ac:dyDescent="0.25">
      <c r="A18" t="s">
        <v>18</v>
      </c>
      <c r="B18" t="s">
        <v>19</v>
      </c>
      <c r="C18" t="s">
        <v>54</v>
      </c>
      <c r="D18" t="s">
        <v>27</v>
      </c>
      <c r="J18">
        <v>30</v>
      </c>
      <c r="K18" s="3">
        <v>0.72819233653254722</v>
      </c>
      <c r="O18" s="4">
        <v>589773730864.974</v>
      </c>
      <c r="P18" s="4">
        <v>589773730864.974</v>
      </c>
      <c r="Q18" s="4"/>
      <c r="S18" s="5">
        <v>1382397066.5119901</v>
      </c>
      <c r="T18" s="6" t="s">
        <v>25</v>
      </c>
      <c r="U18" s="5"/>
    </row>
    <row r="20" spans="1:23" ht="13" x14ac:dyDescent="0.3">
      <c r="A20" s="2" t="s">
        <v>55</v>
      </c>
      <c r="B20" s="2" t="s">
        <v>56</v>
      </c>
      <c r="C20" s="2" t="s">
        <v>3</v>
      </c>
      <c r="D20" s="2" t="s">
        <v>4</v>
      </c>
      <c r="E20" s="2" t="s">
        <v>57</v>
      </c>
      <c r="F20" s="2" t="s">
        <v>6</v>
      </c>
      <c r="G20" s="2" t="s">
        <v>7</v>
      </c>
      <c r="H20" s="2" t="s">
        <v>8</v>
      </c>
      <c r="I20" s="2" t="s">
        <v>58</v>
      </c>
      <c r="J20" s="2" t="s">
        <v>59</v>
      </c>
      <c r="K20" s="2" t="s">
        <v>60</v>
      </c>
      <c r="L20" s="2" t="s">
        <v>61</v>
      </c>
      <c r="M20" s="2" t="s">
        <v>62</v>
      </c>
      <c r="N20" s="2" t="s">
        <v>63</v>
      </c>
      <c r="O20" s="2" t="s">
        <v>13</v>
      </c>
      <c r="P20" s="2" t="s">
        <v>14</v>
      </c>
      <c r="Q20" s="2" t="s">
        <v>15</v>
      </c>
      <c r="R20" s="2" t="s">
        <v>64</v>
      </c>
      <c r="S20" s="2" t="s">
        <v>65</v>
      </c>
      <c r="T20" s="2" t="s">
        <v>66</v>
      </c>
      <c r="U20" s="2" t="s">
        <v>67</v>
      </c>
      <c r="V20" s="2" t="s">
        <v>68</v>
      </c>
      <c r="W20" s="2" t="s">
        <v>69</v>
      </c>
    </row>
    <row r="21" spans="1:23" x14ac:dyDescent="0.25">
      <c r="A21" s="6" t="s">
        <v>70</v>
      </c>
      <c r="B21" s="6"/>
      <c r="C21" s="6" t="s">
        <v>71</v>
      </c>
      <c r="D21" s="6" t="s">
        <v>21</v>
      </c>
      <c r="E21" s="6" t="s">
        <v>72</v>
      </c>
      <c r="F21" s="6" t="s">
        <v>73</v>
      </c>
      <c r="G21" s="6"/>
      <c r="H21" s="6" t="s">
        <v>74</v>
      </c>
      <c r="I21" s="6" t="s">
        <v>75</v>
      </c>
      <c r="J21" s="7">
        <v>5165780530</v>
      </c>
      <c r="K21" s="5">
        <v>1</v>
      </c>
      <c r="L21" s="5">
        <v>0.27622785519999998</v>
      </c>
      <c r="M21" s="8"/>
      <c r="N21" s="8">
        <v>51.7</v>
      </c>
      <c r="O21" s="9">
        <v>73772409021.3918</v>
      </c>
      <c r="P21" s="9">
        <v>60031254798.105453</v>
      </c>
      <c r="Q21" s="9">
        <v>73772409021.3918</v>
      </c>
      <c r="R21" s="5">
        <v>0.101786925482685</v>
      </c>
      <c r="S21" s="6" t="s">
        <v>76</v>
      </c>
      <c r="T21" s="6" t="s">
        <v>77</v>
      </c>
      <c r="U21" s="6" t="s">
        <v>78</v>
      </c>
      <c r="V21" s="6" t="s">
        <v>78</v>
      </c>
      <c r="W21" t="str">
        <f>IF(ISERROR(MATCH(E21,Changes!$E:$E,0)),"","Yes")</f>
        <v/>
      </c>
    </row>
    <row r="22" spans="1:23" x14ac:dyDescent="0.25">
      <c r="A22" s="6" t="s">
        <v>70</v>
      </c>
      <c r="B22" s="6"/>
      <c r="C22" s="6" t="s">
        <v>79</v>
      </c>
      <c r="D22" s="6" t="s">
        <v>21</v>
      </c>
      <c r="E22" s="6" t="s">
        <v>80</v>
      </c>
      <c r="F22" s="6" t="s">
        <v>81</v>
      </c>
      <c r="G22" s="6"/>
      <c r="H22" s="6" t="s">
        <v>82</v>
      </c>
      <c r="I22" s="6" t="s">
        <v>83</v>
      </c>
      <c r="J22" s="7">
        <v>971667000</v>
      </c>
      <c r="K22" s="5">
        <v>0.90169999999999995</v>
      </c>
      <c r="L22" s="5">
        <v>1</v>
      </c>
      <c r="M22" s="8"/>
      <c r="N22" s="8">
        <v>74.349999999999994</v>
      </c>
      <c r="O22" s="9">
        <v>65141911155.464996</v>
      </c>
      <c r="P22" s="9">
        <v>53008309183.387573</v>
      </c>
      <c r="Q22" s="9">
        <v>65141911155.464996</v>
      </c>
      <c r="R22" s="5">
        <v>8.9879061081742803E-2</v>
      </c>
      <c r="S22" s="6" t="s">
        <v>76</v>
      </c>
      <c r="T22" s="6" t="s">
        <v>77</v>
      </c>
      <c r="U22" s="6" t="s">
        <v>78</v>
      </c>
      <c r="V22" s="6" t="s">
        <v>78</v>
      </c>
      <c r="W22" t="str">
        <f>IF(ISERROR(MATCH(E22,Changes!$E:$E,0)),"","Yes")</f>
        <v/>
      </c>
    </row>
    <row r="23" spans="1:23" x14ac:dyDescent="0.25">
      <c r="A23" s="6" t="s">
        <v>70</v>
      </c>
      <c r="B23" s="6"/>
      <c r="C23" s="6" t="s">
        <v>84</v>
      </c>
      <c r="D23" s="6" t="s">
        <v>21</v>
      </c>
      <c r="E23" s="6" t="s">
        <v>85</v>
      </c>
      <c r="F23" s="6" t="s">
        <v>86</v>
      </c>
      <c r="G23" s="6"/>
      <c r="H23" s="6" t="s">
        <v>87</v>
      </c>
      <c r="I23" s="6" t="s">
        <v>88</v>
      </c>
      <c r="J23" s="7">
        <v>1284000000</v>
      </c>
      <c r="K23" s="5">
        <v>0.88629999999999998</v>
      </c>
      <c r="L23" s="5">
        <v>1</v>
      </c>
      <c r="M23" s="8"/>
      <c r="N23" s="8">
        <v>51.85</v>
      </c>
      <c r="O23" s="9">
        <v>59005777020</v>
      </c>
      <c r="P23" s="9">
        <v>48015116787.370819</v>
      </c>
      <c r="Q23" s="9">
        <v>59005777020</v>
      </c>
      <c r="R23" s="5">
        <v>8.1412776243230595E-2</v>
      </c>
      <c r="S23" s="6" t="s">
        <v>76</v>
      </c>
      <c r="T23" s="6" t="s">
        <v>77</v>
      </c>
      <c r="U23" s="6" t="s">
        <v>78</v>
      </c>
      <c r="V23" s="6" t="s">
        <v>78</v>
      </c>
      <c r="W23" t="str">
        <f>IF(ISERROR(MATCH(E23,Changes!$E:$E,0)),"","Yes")</f>
        <v/>
      </c>
    </row>
    <row r="24" spans="1:23" x14ac:dyDescent="0.25">
      <c r="A24" s="6" t="s">
        <v>70</v>
      </c>
      <c r="B24" s="6"/>
      <c r="C24" s="6" t="s">
        <v>89</v>
      </c>
      <c r="D24" s="6" t="s">
        <v>21</v>
      </c>
      <c r="E24" s="6" t="s">
        <v>90</v>
      </c>
      <c r="F24" s="6" t="s">
        <v>91</v>
      </c>
      <c r="G24" s="6"/>
      <c r="H24" s="6" t="s">
        <v>92</v>
      </c>
      <c r="I24" s="6" t="s">
        <v>93</v>
      </c>
      <c r="J24" s="7">
        <v>1085171000</v>
      </c>
      <c r="K24" s="5">
        <v>0.91200000000000003</v>
      </c>
      <c r="L24" s="5">
        <v>1</v>
      </c>
      <c r="M24" s="8"/>
      <c r="N24" s="8">
        <v>57.3</v>
      </c>
      <c r="O24" s="9">
        <v>56708432049.599998</v>
      </c>
      <c r="P24" s="9">
        <v>46145684799.088608</v>
      </c>
      <c r="Q24" s="9">
        <v>56708432049.599998</v>
      </c>
      <c r="R24" s="5">
        <v>7.8243031830487905E-2</v>
      </c>
      <c r="S24" s="6" t="s">
        <v>76</v>
      </c>
      <c r="T24" s="6" t="s">
        <v>77</v>
      </c>
      <c r="U24" s="6" t="s">
        <v>94</v>
      </c>
      <c r="V24" s="6" t="s">
        <v>94</v>
      </c>
      <c r="W24" t="str">
        <f>IF(ISERROR(MATCH(E24,Changes!$E:$E,0)),"","Yes")</f>
        <v/>
      </c>
    </row>
    <row r="25" spans="1:23" x14ac:dyDescent="0.25">
      <c r="A25" s="6" t="s">
        <v>70</v>
      </c>
      <c r="B25" s="6"/>
      <c r="C25" s="6" t="s">
        <v>95</v>
      </c>
      <c r="D25" s="6" t="s">
        <v>21</v>
      </c>
      <c r="E25" s="6" t="s">
        <v>96</v>
      </c>
      <c r="F25" s="6" t="s">
        <v>97</v>
      </c>
      <c r="G25" s="6"/>
      <c r="H25" s="6" t="s">
        <v>98</v>
      </c>
      <c r="I25" s="6" t="s">
        <v>99</v>
      </c>
      <c r="J25" s="7">
        <v>942399000</v>
      </c>
      <c r="K25" s="5">
        <v>0.91930000000000001</v>
      </c>
      <c r="L25" s="5">
        <v>1</v>
      </c>
      <c r="M25" s="8"/>
      <c r="N25" s="8">
        <v>59.56</v>
      </c>
      <c r="O25" s="9">
        <v>51599651185.692001</v>
      </c>
      <c r="P25" s="9">
        <v>41988486602.402145</v>
      </c>
      <c r="Q25" s="9">
        <v>51599651185.692001</v>
      </c>
      <c r="R25" s="5">
        <v>7.1194229927446007E-2</v>
      </c>
      <c r="S25" s="6" t="s">
        <v>76</v>
      </c>
      <c r="T25" s="6" t="s">
        <v>77</v>
      </c>
      <c r="U25" s="6" t="s">
        <v>94</v>
      </c>
      <c r="V25" s="6" t="s">
        <v>94</v>
      </c>
      <c r="W25" t="str">
        <f>IF(ISERROR(MATCH(E25,Changes!$E:$E,0)),"","Yes")</f>
        <v/>
      </c>
    </row>
    <row r="26" spans="1:23" x14ac:dyDescent="0.25">
      <c r="A26" s="6" t="s">
        <v>70</v>
      </c>
      <c r="B26" s="6"/>
      <c r="C26" s="6" t="s">
        <v>100</v>
      </c>
      <c r="D26" s="6" t="s">
        <v>21</v>
      </c>
      <c r="E26" s="6" t="s">
        <v>101</v>
      </c>
      <c r="F26" s="6" t="s">
        <v>102</v>
      </c>
      <c r="G26" s="6"/>
      <c r="H26" s="6" t="s">
        <v>103</v>
      </c>
      <c r="I26" s="6" t="s">
        <v>104</v>
      </c>
      <c r="J26" s="7">
        <v>693921000</v>
      </c>
      <c r="K26" s="5">
        <v>1</v>
      </c>
      <c r="L26" s="5">
        <v>1</v>
      </c>
      <c r="M26" s="8"/>
      <c r="N26" s="8">
        <v>59.06</v>
      </c>
      <c r="O26" s="9">
        <v>40982974260</v>
      </c>
      <c r="P26" s="9">
        <v>33349315859.711933</v>
      </c>
      <c r="Q26" s="9">
        <v>40982974260</v>
      </c>
      <c r="R26" s="5">
        <v>5.6545949934368997E-2</v>
      </c>
      <c r="S26" s="6" t="s">
        <v>76</v>
      </c>
      <c r="T26" s="6" t="s">
        <v>77</v>
      </c>
      <c r="U26" s="6" t="s">
        <v>78</v>
      </c>
      <c r="V26" s="6" t="s">
        <v>78</v>
      </c>
      <c r="W26" t="str">
        <f>IF(ISERROR(MATCH(E26,Changes!$E:$E,0)),"","Yes")</f>
        <v/>
      </c>
    </row>
    <row r="27" spans="1:23" x14ac:dyDescent="0.25">
      <c r="A27" s="6" t="s">
        <v>105</v>
      </c>
      <c r="B27" s="6"/>
      <c r="C27" s="6" t="s">
        <v>106</v>
      </c>
      <c r="D27" s="6" t="s">
        <v>107</v>
      </c>
      <c r="E27" s="6" t="s">
        <v>108</v>
      </c>
      <c r="F27" s="6" t="s">
        <v>109</v>
      </c>
      <c r="G27" s="6"/>
      <c r="H27" s="6" t="s">
        <v>110</v>
      </c>
      <c r="I27" s="6" t="s">
        <v>111</v>
      </c>
      <c r="J27" s="7">
        <v>1965919860</v>
      </c>
      <c r="K27" s="5">
        <v>1</v>
      </c>
      <c r="L27" s="5">
        <v>1</v>
      </c>
      <c r="M27" s="8"/>
      <c r="N27" s="8">
        <v>1895</v>
      </c>
      <c r="O27" s="9">
        <v>3725418134700</v>
      </c>
      <c r="P27" s="9">
        <v>29139293008.685001</v>
      </c>
      <c r="Q27" s="9">
        <v>35809277178.373001</v>
      </c>
      <c r="R27" s="5">
        <v>4.9407580369063703E-2</v>
      </c>
      <c r="S27" s="6" t="s">
        <v>76</v>
      </c>
      <c r="T27" s="6" t="s">
        <v>77</v>
      </c>
      <c r="U27" s="6" t="s">
        <v>94</v>
      </c>
      <c r="V27" s="6" t="s">
        <v>94</v>
      </c>
      <c r="W27" t="str">
        <f>IF(ISERROR(MATCH(E27,Changes!$E:$E,0)),"","Yes")</f>
        <v/>
      </c>
    </row>
    <row r="28" spans="1:23" x14ac:dyDescent="0.25">
      <c r="A28" s="6" t="s">
        <v>70</v>
      </c>
      <c r="B28" s="6"/>
      <c r="C28" s="6" t="s">
        <v>112</v>
      </c>
      <c r="D28" s="6" t="s">
        <v>21</v>
      </c>
      <c r="E28" s="6" t="s">
        <v>113</v>
      </c>
      <c r="F28" s="6" t="s">
        <v>114</v>
      </c>
      <c r="G28" s="6"/>
      <c r="H28" s="6" t="s">
        <v>115</v>
      </c>
      <c r="I28" s="6" t="s">
        <v>116</v>
      </c>
      <c r="J28" s="7">
        <v>483312000</v>
      </c>
      <c r="K28" s="5">
        <v>0.6361</v>
      </c>
      <c r="L28" s="5">
        <v>1</v>
      </c>
      <c r="M28" s="8"/>
      <c r="N28" s="8">
        <v>104.35</v>
      </c>
      <c r="O28" s="9">
        <v>32080817539.919998</v>
      </c>
      <c r="P28" s="9">
        <v>26105311693.319225</v>
      </c>
      <c r="Q28" s="9">
        <v>32080817539.919998</v>
      </c>
      <c r="R28" s="5">
        <v>4.4263266276319803E-2</v>
      </c>
      <c r="S28" s="6" t="s">
        <v>76</v>
      </c>
      <c r="T28" s="6" t="s">
        <v>77</v>
      </c>
      <c r="U28" s="6" t="s">
        <v>94</v>
      </c>
      <c r="V28" s="6" t="s">
        <v>94</v>
      </c>
      <c r="W28" t="str">
        <f>IF(ISERROR(MATCH(E28,Changes!$E:$E,0)),"","Yes")</f>
        <v/>
      </c>
    </row>
    <row r="29" spans="1:23" x14ac:dyDescent="0.25">
      <c r="A29" s="6" t="s">
        <v>70</v>
      </c>
      <c r="B29" s="6"/>
      <c r="C29" s="6" t="s">
        <v>117</v>
      </c>
      <c r="D29" s="6" t="s">
        <v>21</v>
      </c>
      <c r="E29" s="6" t="s">
        <v>118</v>
      </c>
      <c r="F29" s="6" t="s">
        <v>119</v>
      </c>
      <c r="G29" s="6"/>
      <c r="H29" s="6" t="s">
        <v>120</v>
      </c>
      <c r="I29" s="6" t="s">
        <v>121</v>
      </c>
      <c r="J29" s="7">
        <v>1277672000</v>
      </c>
      <c r="K29" s="5">
        <v>0.8841</v>
      </c>
      <c r="L29" s="5">
        <v>1</v>
      </c>
      <c r="M29" s="8"/>
      <c r="N29" s="8">
        <v>27.63</v>
      </c>
      <c r="O29" s="9">
        <v>31210566593.976002</v>
      </c>
      <c r="P29" s="9">
        <v>25397157290.240051</v>
      </c>
      <c r="Q29" s="9">
        <v>31210566593.976002</v>
      </c>
      <c r="R29" s="5">
        <v>4.3062544090870403E-2</v>
      </c>
      <c r="S29" s="6" t="s">
        <v>76</v>
      </c>
      <c r="T29" s="6" t="s">
        <v>77</v>
      </c>
      <c r="U29" s="6" t="s">
        <v>78</v>
      </c>
      <c r="V29" s="6" t="s">
        <v>78</v>
      </c>
      <c r="W29" t="str">
        <f>IF(ISERROR(MATCH(E29,Changes!$E:$E,0)),"","Yes")</f>
        <v/>
      </c>
    </row>
    <row r="30" spans="1:23" x14ac:dyDescent="0.25">
      <c r="A30" s="6" t="s">
        <v>122</v>
      </c>
      <c r="B30" s="6"/>
      <c r="C30" s="6" t="s">
        <v>123</v>
      </c>
      <c r="D30" s="6" t="s">
        <v>27</v>
      </c>
      <c r="E30" s="6" t="s">
        <v>124</v>
      </c>
      <c r="F30" s="6" t="s">
        <v>125</v>
      </c>
      <c r="G30" s="6"/>
      <c r="H30" s="6" t="s">
        <v>126</v>
      </c>
      <c r="I30" s="6" t="s">
        <v>127</v>
      </c>
      <c r="J30" s="7">
        <v>1295379559</v>
      </c>
      <c r="K30" s="5">
        <v>0.94099999999999995</v>
      </c>
      <c r="L30" s="5">
        <v>1</v>
      </c>
      <c r="M30" s="8"/>
      <c r="N30" s="8">
        <v>17.309999999999999</v>
      </c>
      <c r="O30" s="9">
        <v>21100061976.478901</v>
      </c>
      <c r="P30" s="9">
        <v>21100061976.478882</v>
      </c>
      <c r="Q30" s="9">
        <v>25929866162.894901</v>
      </c>
      <c r="R30" s="5">
        <v>3.5776537460410797E-2</v>
      </c>
      <c r="S30" s="6" t="s">
        <v>76</v>
      </c>
      <c r="T30" s="6" t="s">
        <v>77</v>
      </c>
      <c r="U30" s="6" t="s">
        <v>78</v>
      </c>
      <c r="V30" s="6" t="s">
        <v>78</v>
      </c>
      <c r="W30" t="str">
        <f>IF(ISERROR(MATCH(E30,Changes!$E:$E,0)),"","Yes")</f>
        <v/>
      </c>
    </row>
    <row r="31" spans="1:23" x14ac:dyDescent="0.25">
      <c r="A31" s="6" t="s">
        <v>70</v>
      </c>
      <c r="B31" s="6"/>
      <c r="C31" s="6" t="s">
        <v>128</v>
      </c>
      <c r="D31" s="6" t="s">
        <v>21</v>
      </c>
      <c r="E31" s="6" t="s">
        <v>129</v>
      </c>
      <c r="F31" s="6" t="s">
        <v>130</v>
      </c>
      <c r="G31" s="6"/>
      <c r="H31" s="6" t="s">
        <v>131</v>
      </c>
      <c r="I31" s="6" t="s">
        <v>132</v>
      </c>
      <c r="J31" s="7">
        <v>277257000</v>
      </c>
      <c r="K31" s="5">
        <v>1</v>
      </c>
      <c r="L31" s="5">
        <v>1</v>
      </c>
      <c r="M31" s="8"/>
      <c r="N31" s="8">
        <v>82.87</v>
      </c>
      <c r="O31" s="9">
        <v>22976287590</v>
      </c>
      <c r="P31" s="9">
        <v>18696629172.430626</v>
      </c>
      <c r="Q31" s="9">
        <v>22976287590</v>
      </c>
      <c r="R31" s="5">
        <v>3.1701359679252403E-2</v>
      </c>
      <c r="S31" s="6" t="s">
        <v>76</v>
      </c>
      <c r="T31" s="6" t="s">
        <v>77</v>
      </c>
      <c r="U31" s="6" t="s">
        <v>94</v>
      </c>
      <c r="V31" s="6" t="s">
        <v>94</v>
      </c>
      <c r="W31" t="str">
        <f>IF(ISERROR(MATCH(E31,Changes!$E:$E,0)),"","Yes")</f>
        <v/>
      </c>
    </row>
    <row r="32" spans="1:23" x14ac:dyDescent="0.25">
      <c r="A32" s="6" t="s">
        <v>70</v>
      </c>
      <c r="B32" s="6"/>
      <c r="C32" s="6" t="s">
        <v>133</v>
      </c>
      <c r="D32" s="6" t="s">
        <v>21</v>
      </c>
      <c r="E32" s="6" t="s">
        <v>134</v>
      </c>
      <c r="F32" s="6" t="s">
        <v>135</v>
      </c>
      <c r="G32" s="6"/>
      <c r="H32" s="6" t="s">
        <v>136</v>
      </c>
      <c r="I32" s="6" t="s">
        <v>137</v>
      </c>
      <c r="J32" s="7">
        <v>450826000</v>
      </c>
      <c r="K32" s="5">
        <v>1</v>
      </c>
      <c r="L32" s="5">
        <v>1</v>
      </c>
      <c r="M32" s="8"/>
      <c r="N32" s="8">
        <v>41.85</v>
      </c>
      <c r="O32" s="9">
        <v>18867068100</v>
      </c>
      <c r="P32" s="9">
        <v>15352809911.30279</v>
      </c>
      <c r="Q32" s="9">
        <v>18867068100</v>
      </c>
      <c r="R32" s="5">
        <v>2.60316950503077E-2</v>
      </c>
      <c r="S32" s="6" t="s">
        <v>76</v>
      </c>
      <c r="T32" s="6" t="s">
        <v>77</v>
      </c>
      <c r="U32" s="6" t="s">
        <v>78</v>
      </c>
      <c r="V32" s="6" t="s">
        <v>78</v>
      </c>
      <c r="W32" t="str">
        <f>IF(ISERROR(MATCH(E32,Changes!$E:$E,0)),"","Yes")</f>
        <v/>
      </c>
    </row>
    <row r="33" spans="1:23" x14ac:dyDescent="0.25">
      <c r="A33" s="6" t="s">
        <v>70</v>
      </c>
      <c r="B33" s="6"/>
      <c r="C33" s="6" t="s">
        <v>138</v>
      </c>
      <c r="D33" s="6" t="s">
        <v>21</v>
      </c>
      <c r="E33" s="6" t="s">
        <v>139</v>
      </c>
      <c r="F33" s="6" t="s">
        <v>140</v>
      </c>
      <c r="G33" s="6"/>
      <c r="H33" s="6" t="s">
        <v>141</v>
      </c>
      <c r="I33" s="6" t="s">
        <v>142</v>
      </c>
      <c r="J33" s="7">
        <v>235000000</v>
      </c>
      <c r="K33" s="5">
        <v>1</v>
      </c>
      <c r="L33" s="5">
        <v>1</v>
      </c>
      <c r="M33" s="8"/>
      <c r="N33" s="8">
        <v>75.430000000000007</v>
      </c>
      <c r="O33" s="9">
        <v>17726050000</v>
      </c>
      <c r="P33" s="9">
        <v>14424322564.895433</v>
      </c>
      <c r="Q33" s="9">
        <v>17726050000</v>
      </c>
      <c r="R33" s="5">
        <v>2.4457383924241301E-2</v>
      </c>
      <c r="S33" s="6" t="s">
        <v>76</v>
      </c>
      <c r="T33" s="6" t="s">
        <v>77</v>
      </c>
      <c r="U33" s="6" t="s">
        <v>78</v>
      </c>
      <c r="V33" s="6" t="s">
        <v>78</v>
      </c>
      <c r="W33" t="str">
        <f>IF(ISERROR(MATCH(E33,Changes!$E:$E,0)),"","Yes")</f>
        <v/>
      </c>
    </row>
    <row r="34" spans="1:23" x14ac:dyDescent="0.25">
      <c r="A34" s="6" t="s">
        <v>70</v>
      </c>
      <c r="B34" s="6"/>
      <c r="C34" s="6" t="s">
        <v>143</v>
      </c>
      <c r="D34" s="6" t="s">
        <v>21</v>
      </c>
      <c r="E34" s="6" t="s">
        <v>144</v>
      </c>
      <c r="F34" s="6" t="s">
        <v>145</v>
      </c>
      <c r="G34" s="6"/>
      <c r="H34" s="6" t="s">
        <v>146</v>
      </c>
      <c r="I34" s="6" t="s">
        <v>147</v>
      </c>
      <c r="J34" s="7">
        <v>184278230</v>
      </c>
      <c r="K34" s="5">
        <v>1</v>
      </c>
      <c r="L34" s="5">
        <v>1</v>
      </c>
      <c r="M34" s="8"/>
      <c r="N34" s="8">
        <v>95.9</v>
      </c>
      <c r="O34" s="9">
        <v>17672282257</v>
      </c>
      <c r="P34" s="9">
        <v>14380569824.233053</v>
      </c>
      <c r="Q34" s="9">
        <v>17672282257</v>
      </c>
      <c r="R34" s="5">
        <v>2.4383198285969399E-2</v>
      </c>
      <c r="S34" s="6" t="s">
        <v>76</v>
      </c>
      <c r="T34" s="6" t="s">
        <v>77</v>
      </c>
      <c r="U34" s="6" t="s">
        <v>78</v>
      </c>
      <c r="V34" s="6" t="s">
        <v>78</v>
      </c>
      <c r="W34" t="str">
        <f>IF(ISERROR(MATCH(E34,Changes!$E:$E,0)),"","Yes")</f>
        <v/>
      </c>
    </row>
    <row r="35" spans="1:23" x14ac:dyDescent="0.25">
      <c r="A35" s="6" t="s">
        <v>105</v>
      </c>
      <c r="B35" s="6"/>
      <c r="C35" s="6" t="s">
        <v>148</v>
      </c>
      <c r="D35" s="6" t="s">
        <v>107</v>
      </c>
      <c r="E35" s="6" t="s">
        <v>149</v>
      </c>
      <c r="F35" s="6" t="s">
        <v>150</v>
      </c>
      <c r="G35" s="6"/>
      <c r="H35" s="6" t="s">
        <v>151</v>
      </c>
      <c r="I35" s="6" t="s">
        <v>152</v>
      </c>
      <c r="J35" s="7">
        <v>1299185054</v>
      </c>
      <c r="K35" s="5">
        <v>1</v>
      </c>
      <c r="L35" s="5">
        <v>1</v>
      </c>
      <c r="M35" s="8"/>
      <c r="N35" s="8">
        <v>1411</v>
      </c>
      <c r="O35" s="9">
        <v>1833150111194</v>
      </c>
      <c r="P35" s="9">
        <v>14338443709.564161</v>
      </c>
      <c r="Q35" s="9">
        <v>17620513474.683399</v>
      </c>
      <c r="R35" s="5">
        <v>2.4311770698638401E-2</v>
      </c>
      <c r="S35" s="6" t="s">
        <v>76</v>
      </c>
      <c r="T35" s="6" t="s">
        <v>77</v>
      </c>
      <c r="U35" s="6" t="s">
        <v>153</v>
      </c>
      <c r="V35" s="6" t="s">
        <v>153</v>
      </c>
      <c r="W35" t="str">
        <f>IF(ISERROR(MATCH(E35,Changes!$E:$E,0)),"","Yes")</f>
        <v/>
      </c>
    </row>
    <row r="36" spans="1:23" x14ac:dyDescent="0.25">
      <c r="A36" s="6" t="s">
        <v>70</v>
      </c>
      <c r="B36" s="6"/>
      <c r="C36" s="6" t="s">
        <v>154</v>
      </c>
      <c r="D36" s="6" t="s">
        <v>21</v>
      </c>
      <c r="E36" s="6" t="s">
        <v>155</v>
      </c>
      <c r="F36" s="6" t="s">
        <v>156</v>
      </c>
      <c r="G36" s="6"/>
      <c r="H36" s="6" t="s">
        <v>157</v>
      </c>
      <c r="I36" s="6" t="s">
        <v>158</v>
      </c>
      <c r="J36" s="7">
        <v>334214000</v>
      </c>
      <c r="K36" s="5">
        <v>1</v>
      </c>
      <c r="L36" s="5">
        <v>1</v>
      </c>
      <c r="M36" s="8"/>
      <c r="N36" s="8">
        <v>52.13</v>
      </c>
      <c r="O36" s="9">
        <v>17422575820</v>
      </c>
      <c r="P36" s="9">
        <v>14177374741.638863</v>
      </c>
      <c r="Q36" s="9">
        <v>17422575820</v>
      </c>
      <c r="R36" s="5">
        <v>2.4038667711020999E-2</v>
      </c>
      <c r="S36" s="6" t="s">
        <v>76</v>
      </c>
      <c r="T36" s="6" t="s">
        <v>77</v>
      </c>
      <c r="U36" s="6" t="s">
        <v>94</v>
      </c>
      <c r="V36" s="6" t="s">
        <v>94</v>
      </c>
      <c r="W36" t="str">
        <f>IF(ISERROR(MATCH(E36,Changes!$E:$E,0)),"","Yes")</f>
        <v/>
      </c>
    </row>
    <row r="37" spans="1:23" x14ac:dyDescent="0.25">
      <c r="A37" s="6" t="s">
        <v>70</v>
      </c>
      <c r="B37" s="6"/>
      <c r="C37" s="6" t="s">
        <v>159</v>
      </c>
      <c r="D37" s="6" t="s">
        <v>21</v>
      </c>
      <c r="E37" s="6" t="s">
        <v>160</v>
      </c>
      <c r="F37" s="6" t="s">
        <v>161</v>
      </c>
      <c r="G37" s="6"/>
      <c r="H37" s="6" t="s">
        <v>162</v>
      </c>
      <c r="I37" s="6" t="s">
        <v>163</v>
      </c>
      <c r="J37" s="7">
        <v>430232000</v>
      </c>
      <c r="K37" s="5">
        <v>1</v>
      </c>
      <c r="L37" s="5">
        <v>1</v>
      </c>
      <c r="M37" s="8"/>
      <c r="N37" s="8">
        <v>31.29</v>
      </c>
      <c r="O37" s="9">
        <v>13461959280</v>
      </c>
      <c r="P37" s="9">
        <v>10954479030.026852</v>
      </c>
      <c r="Q37" s="9">
        <v>13461959280</v>
      </c>
      <c r="R37" s="5">
        <v>1.8574036882636799E-2</v>
      </c>
      <c r="S37" s="6" t="s">
        <v>76</v>
      </c>
      <c r="T37" s="6" t="s">
        <v>77</v>
      </c>
      <c r="U37" s="6" t="s">
        <v>94</v>
      </c>
      <c r="V37" s="6" t="s">
        <v>94</v>
      </c>
      <c r="W37" t="str">
        <f>IF(ISERROR(MATCH(E37,Changes!$E:$E,0)),"","Yes")</f>
        <v/>
      </c>
    </row>
    <row r="38" spans="1:23" x14ac:dyDescent="0.25">
      <c r="A38" s="6" t="s">
        <v>164</v>
      </c>
      <c r="B38" s="6"/>
      <c r="C38" s="6" t="s">
        <v>165</v>
      </c>
      <c r="D38" s="6" t="s">
        <v>166</v>
      </c>
      <c r="E38" s="6" t="s">
        <v>167</v>
      </c>
      <c r="F38" s="6" t="s">
        <v>168</v>
      </c>
      <c r="G38" s="6"/>
      <c r="H38" s="6" t="s">
        <v>169</v>
      </c>
      <c r="I38" s="6" t="s">
        <v>170</v>
      </c>
      <c r="J38" s="7">
        <v>2316164338</v>
      </c>
      <c r="K38" s="5">
        <v>0.64</v>
      </c>
      <c r="L38" s="5">
        <v>1</v>
      </c>
      <c r="M38" s="8"/>
      <c r="N38" s="8">
        <v>65.5</v>
      </c>
      <c r="O38" s="9">
        <v>97093609048.960007</v>
      </c>
      <c r="P38" s="9">
        <v>10140872477.494101</v>
      </c>
      <c r="Q38" s="9">
        <v>12462118187.592501</v>
      </c>
      <c r="R38" s="5">
        <v>1.71945136690475E-2</v>
      </c>
      <c r="S38" s="6" t="s">
        <v>76</v>
      </c>
      <c r="T38" s="6" t="s">
        <v>77</v>
      </c>
      <c r="U38" s="6" t="s">
        <v>153</v>
      </c>
      <c r="V38" s="6" t="s">
        <v>153</v>
      </c>
      <c r="W38" t="str">
        <f>IF(ISERROR(MATCH(E38,Changes!$E:$E,0)),"","Yes")</f>
        <v/>
      </c>
    </row>
    <row r="39" spans="1:23" x14ac:dyDescent="0.25">
      <c r="A39" s="6" t="s">
        <v>164</v>
      </c>
      <c r="B39" s="6"/>
      <c r="C39" s="6" t="s">
        <v>171</v>
      </c>
      <c r="D39" s="6" t="s">
        <v>166</v>
      </c>
      <c r="E39" s="6" t="s">
        <v>172</v>
      </c>
      <c r="F39" s="6" t="s">
        <v>173</v>
      </c>
      <c r="G39" s="6"/>
      <c r="H39" s="6" t="s">
        <v>174</v>
      </c>
      <c r="I39" s="6" t="s">
        <v>175</v>
      </c>
      <c r="J39" s="7">
        <v>2400931362</v>
      </c>
      <c r="K39" s="5">
        <v>0.55000000000000004</v>
      </c>
      <c r="L39" s="5">
        <v>1</v>
      </c>
      <c r="M39" s="8"/>
      <c r="N39" s="8">
        <v>71.25</v>
      </c>
      <c r="O39" s="9">
        <v>94086497748.375</v>
      </c>
      <c r="P39" s="9">
        <v>9826796890.8147926</v>
      </c>
      <c r="Q39" s="9">
        <v>12076150699.122299</v>
      </c>
      <c r="R39" s="5">
        <v>1.6661977935040699E-2</v>
      </c>
      <c r="S39" s="6" t="s">
        <v>76</v>
      </c>
      <c r="T39" s="6" t="s">
        <v>77</v>
      </c>
      <c r="U39" s="6" t="s">
        <v>153</v>
      </c>
      <c r="V39" s="6" t="s">
        <v>153</v>
      </c>
      <c r="W39" t="str">
        <f>IF(ISERROR(MATCH(E39,Changes!$E:$E,0)),"","Yes")</f>
        <v/>
      </c>
    </row>
    <row r="40" spans="1:23" x14ac:dyDescent="0.25">
      <c r="A40" s="6" t="s">
        <v>70</v>
      </c>
      <c r="B40" s="6"/>
      <c r="C40" s="6" t="s">
        <v>176</v>
      </c>
      <c r="D40" s="6" t="s">
        <v>21</v>
      </c>
      <c r="E40" s="6" t="s">
        <v>177</v>
      </c>
      <c r="F40" s="6" t="s">
        <v>178</v>
      </c>
      <c r="G40" s="6"/>
      <c r="H40" s="6" t="s">
        <v>179</v>
      </c>
      <c r="I40" s="6" t="s">
        <v>180</v>
      </c>
      <c r="J40" s="7">
        <v>1356593000</v>
      </c>
      <c r="K40" s="5">
        <v>0.76100000000000001</v>
      </c>
      <c r="L40" s="5">
        <v>1</v>
      </c>
      <c r="M40" s="8"/>
      <c r="N40" s="8">
        <v>11.61</v>
      </c>
      <c r="O40" s="9">
        <v>11985784039.530001</v>
      </c>
      <c r="P40" s="9">
        <v>9753262299.2350883</v>
      </c>
      <c r="Q40" s="9">
        <v>11985784039.530001</v>
      </c>
      <c r="R40" s="5">
        <v>1.65372952173682E-2</v>
      </c>
      <c r="S40" s="6" t="s">
        <v>76</v>
      </c>
      <c r="T40" s="6" t="s">
        <v>77</v>
      </c>
      <c r="U40" s="6" t="s">
        <v>94</v>
      </c>
      <c r="V40" s="6" t="s">
        <v>94</v>
      </c>
      <c r="W40" t="str">
        <f>IF(ISERROR(MATCH(E40,Changes!$E:$E,0)),"","Yes")</f>
        <v/>
      </c>
    </row>
    <row r="41" spans="1:23" x14ac:dyDescent="0.25">
      <c r="A41" s="6" t="s">
        <v>70</v>
      </c>
      <c r="B41" s="6"/>
      <c r="C41" s="6" t="s">
        <v>181</v>
      </c>
      <c r="D41" s="6" t="s">
        <v>21</v>
      </c>
      <c r="E41" s="6" t="s">
        <v>182</v>
      </c>
      <c r="F41" s="6" t="s">
        <v>183</v>
      </c>
      <c r="G41" s="6"/>
      <c r="H41" s="6" t="s">
        <v>184</v>
      </c>
      <c r="I41" s="6" t="s">
        <v>185</v>
      </c>
      <c r="J41" s="7">
        <v>400460000</v>
      </c>
      <c r="K41" s="5">
        <v>1</v>
      </c>
      <c r="L41" s="5">
        <v>1</v>
      </c>
      <c r="M41" s="8"/>
      <c r="N41" s="8">
        <v>28.89</v>
      </c>
      <c r="O41" s="9">
        <v>11569289400</v>
      </c>
      <c r="P41" s="9">
        <v>9414345674.9938965</v>
      </c>
      <c r="Q41" s="9">
        <v>11569289400</v>
      </c>
      <c r="R41" s="5">
        <v>1.5962639876704401E-2</v>
      </c>
      <c r="S41" s="6" t="s">
        <v>76</v>
      </c>
      <c r="T41" s="6" t="s">
        <v>77</v>
      </c>
      <c r="U41" s="6" t="s">
        <v>153</v>
      </c>
      <c r="V41" s="6" t="s">
        <v>153</v>
      </c>
      <c r="W41" t="str">
        <f>IF(ISERROR(MATCH(E41,Changes!$E:$E,0)),"","Yes")</f>
        <v/>
      </c>
    </row>
    <row r="42" spans="1:23" x14ac:dyDescent="0.25">
      <c r="A42" s="6" t="s">
        <v>70</v>
      </c>
      <c r="B42" s="6"/>
      <c r="C42" s="6" t="s">
        <v>186</v>
      </c>
      <c r="D42" s="6" t="s">
        <v>21</v>
      </c>
      <c r="E42" s="6" t="s">
        <v>187</v>
      </c>
      <c r="F42" s="6" t="s">
        <v>188</v>
      </c>
      <c r="G42" s="6"/>
      <c r="H42" s="6" t="s">
        <v>189</v>
      </c>
      <c r="I42" s="6" t="s">
        <v>190</v>
      </c>
      <c r="J42" s="7">
        <v>322968000</v>
      </c>
      <c r="K42" s="5">
        <v>1</v>
      </c>
      <c r="L42" s="5">
        <v>1</v>
      </c>
      <c r="M42" s="8"/>
      <c r="N42" s="8">
        <v>35.630000000000003</v>
      </c>
      <c r="O42" s="9">
        <v>11507349840</v>
      </c>
      <c r="P42" s="9">
        <v>9363943233.7863121</v>
      </c>
      <c r="Q42" s="9">
        <v>11507349840</v>
      </c>
      <c r="R42" s="5">
        <v>1.58771792355001E-2</v>
      </c>
      <c r="S42" s="6" t="s">
        <v>76</v>
      </c>
      <c r="T42" s="6" t="s">
        <v>77</v>
      </c>
      <c r="U42" s="6" t="s">
        <v>78</v>
      </c>
      <c r="V42" s="6" t="s">
        <v>78</v>
      </c>
      <c r="W42" t="str">
        <f>IF(ISERROR(MATCH(E42,Changes!$E:$E,0)),"","Yes")</f>
        <v/>
      </c>
    </row>
    <row r="43" spans="1:23" x14ac:dyDescent="0.25">
      <c r="A43" s="6" t="s">
        <v>105</v>
      </c>
      <c r="B43" s="6"/>
      <c r="C43" s="6" t="s">
        <v>191</v>
      </c>
      <c r="D43" s="6" t="s">
        <v>107</v>
      </c>
      <c r="E43" s="6" t="s">
        <v>192</v>
      </c>
      <c r="F43" s="6" t="s">
        <v>193</v>
      </c>
      <c r="G43" s="6"/>
      <c r="H43" s="6" t="s">
        <v>194</v>
      </c>
      <c r="I43" s="6" t="s">
        <v>195</v>
      </c>
      <c r="J43" s="7">
        <v>1331735258</v>
      </c>
      <c r="K43" s="5">
        <v>1</v>
      </c>
      <c r="L43" s="5">
        <v>1</v>
      </c>
      <c r="M43" s="8"/>
      <c r="N43" s="8">
        <v>850</v>
      </c>
      <c r="O43" s="9">
        <v>1131974969300</v>
      </c>
      <c r="P43" s="9">
        <v>8854026344.5048409</v>
      </c>
      <c r="Q43" s="9">
        <v>10880712974.761999</v>
      </c>
      <c r="R43" s="5">
        <v>1.50125817423074E-2</v>
      </c>
      <c r="S43" s="6" t="s">
        <v>76</v>
      </c>
      <c r="T43" s="6" t="s">
        <v>77</v>
      </c>
      <c r="U43" s="6" t="s">
        <v>94</v>
      </c>
      <c r="V43" s="6" t="s">
        <v>94</v>
      </c>
      <c r="W43" t="str">
        <f>IF(ISERROR(MATCH(E43,Changes!$E:$E,0)),"","Yes")</f>
        <v/>
      </c>
    </row>
    <row r="44" spans="1:23" x14ac:dyDescent="0.25">
      <c r="A44" s="6" t="s">
        <v>196</v>
      </c>
      <c r="B44" s="6"/>
      <c r="C44" s="6" t="s">
        <v>197</v>
      </c>
      <c r="D44" s="6" t="s">
        <v>198</v>
      </c>
      <c r="E44" s="6" t="s">
        <v>199</v>
      </c>
      <c r="F44" s="6" t="s">
        <v>200</v>
      </c>
      <c r="G44" s="6"/>
      <c r="H44" s="6" t="s">
        <v>201</v>
      </c>
      <c r="I44" s="6" t="s">
        <v>202</v>
      </c>
      <c r="J44" s="7">
        <v>465528836</v>
      </c>
      <c r="K44" s="5">
        <v>1</v>
      </c>
      <c r="L44" s="5">
        <v>1</v>
      </c>
      <c r="M44" s="8"/>
      <c r="N44" s="8">
        <v>10.9</v>
      </c>
      <c r="O44" s="9">
        <v>5074264312.3999996</v>
      </c>
      <c r="P44" s="9">
        <v>7588686358.9749689</v>
      </c>
      <c r="Q44" s="9">
        <v>9325736666.5443401</v>
      </c>
      <c r="R44" s="5">
        <v>1.2867114897568799E-2</v>
      </c>
      <c r="S44" s="6" t="s">
        <v>76</v>
      </c>
      <c r="T44" s="6" t="s">
        <v>77</v>
      </c>
      <c r="U44" s="6" t="s">
        <v>153</v>
      </c>
      <c r="V44" s="6" t="s">
        <v>153</v>
      </c>
      <c r="W44" t="str">
        <f>IF(ISERROR(MATCH(E44,Changes!$E:$E,0)),"","Yes")</f>
        <v/>
      </c>
    </row>
    <row r="45" spans="1:23" x14ac:dyDescent="0.25">
      <c r="A45" s="6" t="s">
        <v>70</v>
      </c>
      <c r="B45" s="6"/>
      <c r="C45" s="6" t="s">
        <v>203</v>
      </c>
      <c r="D45" s="6" t="s">
        <v>21</v>
      </c>
      <c r="E45" s="6" t="s">
        <v>204</v>
      </c>
      <c r="F45" s="6" t="s">
        <v>205</v>
      </c>
      <c r="G45" s="6"/>
      <c r="H45" s="6" t="s">
        <v>206</v>
      </c>
      <c r="I45" s="6" t="s">
        <v>207</v>
      </c>
      <c r="J45" s="7">
        <v>98021000</v>
      </c>
      <c r="K45" s="5">
        <v>1</v>
      </c>
      <c r="L45" s="5">
        <v>1</v>
      </c>
      <c r="M45" s="8"/>
      <c r="N45" s="8">
        <v>87.68</v>
      </c>
      <c r="O45" s="9">
        <v>8594481280</v>
      </c>
      <c r="P45" s="9">
        <v>6993637627.1462278</v>
      </c>
      <c r="Q45" s="9">
        <v>8594481280</v>
      </c>
      <c r="R45" s="5">
        <v>1.18581707878893E-2</v>
      </c>
      <c r="S45" s="6" t="s">
        <v>76</v>
      </c>
      <c r="T45" s="6" t="s">
        <v>77</v>
      </c>
      <c r="U45" s="6" t="s">
        <v>94</v>
      </c>
      <c r="V45" s="6" t="s">
        <v>94</v>
      </c>
      <c r="W45" t="str">
        <f>IF(ISERROR(MATCH(E45,Changes!$E:$E,0)),"","Yes")</f>
        <v/>
      </c>
    </row>
    <row r="46" spans="1:23" x14ac:dyDescent="0.25">
      <c r="A46" s="6" t="s">
        <v>70</v>
      </c>
      <c r="B46" s="6"/>
      <c r="C46" s="6" t="s">
        <v>208</v>
      </c>
      <c r="D46" s="6" t="s">
        <v>21</v>
      </c>
      <c r="E46" s="6" t="s">
        <v>209</v>
      </c>
      <c r="F46" s="6" t="s">
        <v>210</v>
      </c>
      <c r="G46" s="6"/>
      <c r="H46" s="6" t="s">
        <v>211</v>
      </c>
      <c r="I46" s="6" t="s">
        <v>212</v>
      </c>
      <c r="J46" s="7">
        <v>275461000</v>
      </c>
      <c r="K46" s="5">
        <v>1</v>
      </c>
      <c r="L46" s="5">
        <v>1</v>
      </c>
      <c r="M46" s="8"/>
      <c r="N46" s="8">
        <v>29.85</v>
      </c>
      <c r="O46" s="9">
        <v>8222510850</v>
      </c>
      <c r="P46" s="9">
        <v>6690951948.8973875</v>
      </c>
      <c r="Q46" s="9">
        <v>8222510850</v>
      </c>
      <c r="R46" s="5">
        <v>1.13449473898409E-2</v>
      </c>
      <c r="S46" s="6" t="s">
        <v>76</v>
      </c>
      <c r="T46" s="6" t="s">
        <v>77</v>
      </c>
      <c r="U46" s="6" t="s">
        <v>153</v>
      </c>
      <c r="V46" s="6" t="s">
        <v>153</v>
      </c>
      <c r="W46" t="str">
        <f>IF(ISERROR(MATCH(E46,Changes!$E:$E,0)),"","Yes")</f>
        <v/>
      </c>
    </row>
    <row r="47" spans="1:23" x14ac:dyDescent="0.25">
      <c r="A47" s="6" t="s">
        <v>70</v>
      </c>
      <c r="B47" s="6"/>
      <c r="C47" s="6" t="s">
        <v>213</v>
      </c>
      <c r="D47" s="6" t="s">
        <v>21</v>
      </c>
      <c r="E47" s="6" t="s">
        <v>214</v>
      </c>
      <c r="F47" s="6" t="s">
        <v>215</v>
      </c>
      <c r="G47" s="6"/>
      <c r="H47" s="6" t="s">
        <v>216</v>
      </c>
      <c r="I47" s="6" t="s">
        <v>217</v>
      </c>
      <c r="J47" s="7">
        <v>213304000</v>
      </c>
      <c r="K47" s="5">
        <v>1</v>
      </c>
      <c r="L47" s="5">
        <v>1</v>
      </c>
      <c r="M47" s="8"/>
      <c r="N47" s="8">
        <v>38.049999999999997</v>
      </c>
      <c r="O47" s="9">
        <v>8116217200</v>
      </c>
      <c r="P47" s="9">
        <v>6604456994.0597277</v>
      </c>
      <c r="Q47" s="9">
        <v>8116217200</v>
      </c>
      <c r="R47" s="5">
        <v>1.11982895271609E-2</v>
      </c>
      <c r="S47" s="6" t="s">
        <v>76</v>
      </c>
      <c r="T47" s="6" t="s">
        <v>77</v>
      </c>
      <c r="U47" s="6" t="s">
        <v>78</v>
      </c>
      <c r="V47" s="6" t="s">
        <v>78</v>
      </c>
      <c r="W47" t="str">
        <f>IF(ISERROR(MATCH(E47,Changes!$E:$E,0)),"","Yes")</f>
        <v/>
      </c>
    </row>
    <row r="48" spans="1:23" x14ac:dyDescent="0.25">
      <c r="A48" s="6" t="s">
        <v>218</v>
      </c>
      <c r="B48" s="6"/>
      <c r="C48" s="6" t="s">
        <v>219</v>
      </c>
      <c r="D48" s="6" t="s">
        <v>220</v>
      </c>
      <c r="E48" s="6" t="s">
        <v>221</v>
      </c>
      <c r="F48" s="6" t="s">
        <v>222</v>
      </c>
      <c r="G48" s="6"/>
      <c r="H48" s="6" t="s">
        <v>223</v>
      </c>
      <c r="I48" s="6" t="s">
        <v>224</v>
      </c>
      <c r="J48" s="7">
        <v>1845290787</v>
      </c>
      <c r="K48" s="5">
        <v>1</v>
      </c>
      <c r="L48" s="5">
        <v>1</v>
      </c>
      <c r="M48" s="8"/>
      <c r="N48" s="8">
        <v>5.63</v>
      </c>
      <c r="O48" s="9">
        <v>10388987130.809999</v>
      </c>
      <c r="P48" s="9">
        <v>6454123382.7137184</v>
      </c>
      <c r="Q48" s="9">
        <v>7931472225.0168896</v>
      </c>
      <c r="R48" s="5">
        <v>1.0943389039955001E-2</v>
      </c>
      <c r="S48" s="6" t="s">
        <v>76</v>
      </c>
      <c r="T48" s="6" t="s">
        <v>77</v>
      </c>
      <c r="U48" s="6" t="s">
        <v>78</v>
      </c>
      <c r="V48" s="6" t="s">
        <v>78</v>
      </c>
      <c r="W48" t="str">
        <f>IF(ISERROR(MATCH(E48,Changes!$E:$E,0)),"","Yes")</f>
        <v/>
      </c>
    </row>
    <row r="49" spans="1:23" x14ac:dyDescent="0.25">
      <c r="A49" s="6" t="s">
        <v>70</v>
      </c>
      <c r="B49" s="6"/>
      <c r="C49" s="6" t="s">
        <v>225</v>
      </c>
      <c r="D49" s="6" t="s">
        <v>21</v>
      </c>
      <c r="E49" s="6" t="s">
        <v>226</v>
      </c>
      <c r="F49" s="6" t="s">
        <v>227</v>
      </c>
      <c r="G49" s="6"/>
      <c r="H49" s="6" t="s">
        <v>228</v>
      </c>
      <c r="I49" s="6" t="s">
        <v>229</v>
      </c>
      <c r="J49" s="7">
        <v>249411310</v>
      </c>
      <c r="K49" s="5">
        <v>0.56110000000000004</v>
      </c>
      <c r="L49" s="5">
        <v>1</v>
      </c>
      <c r="M49" s="8"/>
      <c r="N49" s="8">
        <v>55.68</v>
      </c>
      <c r="O49" s="9">
        <v>7792120118.7628803</v>
      </c>
      <c r="P49" s="9">
        <v>6340727576.5016518</v>
      </c>
      <c r="Q49" s="9">
        <v>7792120118.7628803</v>
      </c>
      <c r="R49" s="5">
        <v>1.0751119021349301E-2</v>
      </c>
      <c r="S49" s="6" t="s">
        <v>76</v>
      </c>
      <c r="T49" s="6" t="s">
        <v>77</v>
      </c>
      <c r="U49" s="6" t="s">
        <v>94</v>
      </c>
      <c r="V49" s="6" t="s">
        <v>94</v>
      </c>
      <c r="W49" t="str">
        <f>IF(ISERROR(MATCH(E49,Changes!$E:$E,0)),"","Yes")</f>
        <v/>
      </c>
    </row>
    <row r="50" spans="1:23" x14ac:dyDescent="0.25">
      <c r="A50" s="6" t="s">
        <v>230</v>
      </c>
      <c r="B50" s="6"/>
      <c r="C50" s="6" t="s">
        <v>231</v>
      </c>
      <c r="D50" s="6" t="s">
        <v>232</v>
      </c>
      <c r="E50" s="6" t="s">
        <v>233</v>
      </c>
      <c r="F50" s="6" t="s">
        <v>234</v>
      </c>
      <c r="G50" s="6"/>
      <c r="H50" s="6" t="s">
        <v>235</v>
      </c>
      <c r="I50" s="6" t="s">
        <v>236</v>
      </c>
      <c r="J50" s="7">
        <v>196915950</v>
      </c>
      <c r="K50" s="5">
        <v>0.78410000000000002</v>
      </c>
      <c r="L50" s="5">
        <v>1</v>
      </c>
      <c r="M50" s="8"/>
      <c r="N50" s="8">
        <v>53.8</v>
      </c>
      <c r="O50" s="9">
        <v>8306816646.0509996</v>
      </c>
      <c r="P50" s="9">
        <v>5143279131.532793</v>
      </c>
      <c r="Q50" s="9">
        <v>6320575724.7406502</v>
      </c>
      <c r="R50" s="5">
        <v>8.7207667315742608E-3</v>
      </c>
      <c r="S50" s="6" t="s">
        <v>76</v>
      </c>
      <c r="T50" s="6" t="s">
        <v>77</v>
      </c>
      <c r="U50" s="6" t="s">
        <v>78</v>
      </c>
      <c r="V50" s="6" t="s">
        <v>78</v>
      </c>
      <c r="W50" t="str">
        <f>IF(ISERROR(MATCH(E50,Changes!$E:$E,0)),"","Yes")</f>
        <v/>
      </c>
    </row>
  </sheetData>
  <sheetCalcPr fullCalcOnLoad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</vt:lpstr>
      <vt:lpstr>Changes</vt:lpstr>
      <vt:lpstr>Opening</vt:lpstr>
    </vt:vector>
  </TitlesOfParts>
  <Company>Dow Jones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wsipc-svr8</dc:creator>
  <cp:lastModifiedBy>Carina Negreanu</cp:lastModifiedBy>
  <dcterms:created xsi:type="dcterms:W3CDTF">2004-04-01T01:09:22Z</dcterms:created>
  <dcterms:modified xsi:type="dcterms:W3CDTF">2020-01-27T11:19:05Z</dcterms:modified>
</cp:coreProperties>
</file>