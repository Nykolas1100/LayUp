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630363B3-F5B4-4D2A-8E6D-A2CE464C8C71}" xr6:coauthVersionLast="45" xr6:coauthVersionMax="45" xr10:uidLastSave="{00000000-0000-0000-0000-000000000000}"/>
  <bookViews>
    <workbookView xWindow="380" yWindow="380" windowWidth="28800" windowHeight="15460"/>
  </bookViews>
  <sheets>
    <sheet name="Letlong" sheetId="1" r:id="rId1"/>
  </sheets>
  <definedNames>
    <definedName name="_xlnm.Print_Area" localSheetId="0">Letlong!$A$1:$H$57</definedName>
    <definedName name="_xlnm.Print_Titles" localSheetId="0">Letlong!$3:$4</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57" i="1" l="1"/>
  <c r="E44" i="1"/>
  <c r="E57" i="1"/>
  <c r="D57" i="1"/>
</calcChain>
</file>

<file path=xl/sharedStrings.xml><?xml version="1.0" encoding="utf-8"?>
<sst xmlns="http://schemas.openxmlformats.org/spreadsheetml/2006/main" count="156" uniqueCount="101">
  <si>
    <t>Item</t>
  </si>
  <si>
    <t>Agency</t>
  </si>
  <si>
    <t>Subject</t>
  </si>
  <si>
    <t>General</t>
  </si>
  <si>
    <t>Analyst</t>
  </si>
  <si>
    <t>Fund</t>
  </si>
  <si>
    <t>Funds</t>
  </si>
  <si>
    <t>Other</t>
  </si>
  <si>
    <t>Federal</t>
  </si>
  <si>
    <t>FTE</t>
  </si>
  <si>
    <t>Pos/</t>
  </si>
  <si>
    <t>ELECTED OFFICIALS</t>
  </si>
  <si>
    <t>EDUCATION</t>
  </si>
  <si>
    <t>PUBLIC SAFETY</t>
  </si>
  <si>
    <t>ECONOMIC AND COMMUNITY DEVELOPMENT</t>
  </si>
  <si>
    <t>NATURAL RESOURCES</t>
  </si>
  <si>
    <t>TRANSPORTATION</t>
  </si>
  <si>
    <t>CONSUMER AND BUSINESS SERVICES</t>
  </si>
  <si>
    <t>ADMINISTRATION</t>
  </si>
  <si>
    <t>EMERGENCY BOARD LETTERS</t>
  </si>
  <si>
    <t>TOTALS</t>
  </si>
  <si>
    <t>HUMAN RESOURCES</t>
  </si>
  <si>
    <t>Department of Education</t>
  </si>
  <si>
    <t>Ames</t>
  </si>
  <si>
    <t>Report on Maintenance of Effort status for special education programs.</t>
  </si>
  <si>
    <t>Commission on Children and Families</t>
  </si>
  <si>
    <t>Increase in expenditure limitation for Positive Youth Development grant.</t>
  </si>
  <si>
    <t>Health Licensing Office</t>
  </si>
  <si>
    <t>Fomenko</t>
  </si>
  <si>
    <t>State Fair and Exposition Center</t>
  </si>
  <si>
    <t>Report on financial status as required by Budget Note.</t>
  </si>
  <si>
    <t>Byerly/Shearer</t>
  </si>
  <si>
    <t>Department of Forestry</t>
  </si>
  <si>
    <t>Report on the Harvest and Habitat modeling project as required by Budget Note.</t>
  </si>
  <si>
    <t>Increase expenditure limitation to cover 2003 emergency and cooperative fire fighting costs.</t>
  </si>
  <si>
    <t>Allocation from special purpose appropriation for 2004 air tanker contract.</t>
  </si>
  <si>
    <t>Department of Land Conservation and Development</t>
  </si>
  <si>
    <t>Report on progress toward implementing agency work plan.  Allocation from special purpose appropriation to partially restore budget holdback.  Both actions provided for by Budget Note.</t>
  </si>
  <si>
    <t>Department of Transportation</t>
  </si>
  <si>
    <t>Report on organizational changes driven by the 2003 Oregon Transportation Investment Act (OTIA III).</t>
  </si>
  <si>
    <t>Increase expenditure limitation to support additional maintenance and preservation projects.</t>
  </si>
  <si>
    <t>Board of Pharmacy</t>
  </si>
  <si>
    <t>Gores</t>
  </si>
  <si>
    <t>Pearson</t>
  </si>
  <si>
    <t>Department of Environmental Quality</t>
  </si>
  <si>
    <t>Division of State Lands</t>
  </si>
  <si>
    <t>Board of Radiologic Technology</t>
  </si>
  <si>
    <t xml:space="preserve">Increase expenditure limitation for McCormick and Baxter superfund site cleanup.  </t>
  </si>
  <si>
    <t>Authorization to apply for U.S. Environmental Protection Agency state innovations grant.</t>
  </si>
  <si>
    <t>Report on reasonable progress made on work plan.</t>
  </si>
  <si>
    <t>Retroactive permission to apply for the Harold Rogers Prescription Drug Monitoring Program grant, a federal grant.</t>
  </si>
  <si>
    <t>Correction of a calculation error made when the Public Employees Retirement System disappropriation was determined for this agency in House Bill 5077 Section 87.</t>
  </si>
  <si>
    <t>Department of Corrections</t>
  </si>
  <si>
    <t>Gilbert</t>
  </si>
  <si>
    <t>Department of Administrative Services and Department of Higher Education</t>
  </si>
  <si>
    <t>McGee</t>
  </si>
  <si>
    <t>Department of Community Colleges and Workforce Development</t>
  </si>
  <si>
    <t>Report on distribution formula and request special purpose appropriation.</t>
  </si>
  <si>
    <t>Report on substance abuse and cognitive programs.</t>
  </si>
  <si>
    <t>Secretary of State</t>
  </si>
  <si>
    <t>Upadhyay</t>
  </si>
  <si>
    <t>Allocate special purpose appropriation to reimburse counties and pay for voters' pamphlet for September 2003 Special Election.</t>
  </si>
  <si>
    <t>Military Department</t>
  </si>
  <si>
    <t>Employment Department</t>
  </si>
  <si>
    <t>Department of Consumer and Business Services</t>
  </si>
  <si>
    <t>Employment Relations Board</t>
  </si>
  <si>
    <t>Department of Justice</t>
  </si>
  <si>
    <t>2/1.33</t>
  </si>
  <si>
    <t>Freels</t>
  </si>
  <si>
    <t>Economic and Community Development Department</t>
  </si>
  <si>
    <t>Department of Administrative Services</t>
  </si>
  <si>
    <t>Request approval of 2005-07 uniform rent rates.</t>
  </si>
  <si>
    <t>Teschner</t>
  </si>
  <si>
    <t>Report on the claims payment system for children's Psychiatric Day Treatment Services.</t>
  </si>
  <si>
    <t>Naughton</t>
  </si>
  <si>
    <t>Request to apply for a federal Internet Crimes Against Children Task Force Program grant.  Retroactive request to apply for the annual Parental Access and Visitation grant for the Child Support program.  Federal Funds requested for both grants.</t>
  </si>
  <si>
    <t>Approval to establish an administrative limitation to spend funds from the Sexual Assault Victims' Emergency Medical Response Fund approved through House Bill 752 (2003 Legislative Assembly). Federal Funds  to implement the Oregon School Safety Hotline.</t>
  </si>
  <si>
    <t>Department of Human Services</t>
  </si>
  <si>
    <t>Report on the progress to conduct a staffing study as directed by House Bill 5030 Budget Note.</t>
  </si>
  <si>
    <t>Request Other Funds expenditure limitation to implement Governor's "Brand Oregon" initiative.</t>
  </si>
  <si>
    <t>Report on Strategic Reserve Fund requested in Budget Note - Consent Agenda item.</t>
  </si>
  <si>
    <t>Report on the development and implementation of the Unemployment Insurance Claims Call Centers.</t>
  </si>
  <si>
    <t>Report on status of DAS reorganization.</t>
  </si>
  <si>
    <t>Report on compensation plan changes - Potential Consent Agenda Item.</t>
  </si>
  <si>
    <t>Establish two positions due to increased workload.</t>
  </si>
  <si>
    <t>2/1.50</t>
  </si>
  <si>
    <t>Request expenditure limitation for COP to continue E-Government.</t>
  </si>
  <si>
    <t>0/0.13</t>
  </si>
  <si>
    <t>Additional funding for the Baker City Readiness Center.</t>
  </si>
  <si>
    <t>Enhancement of security at the Anderson Readiness Center.</t>
  </si>
  <si>
    <t>Annual report on workers' compensation premium assessments.</t>
  </si>
  <si>
    <t>Reschedule limitation of $216,300 and increase limitation by $250,376 for technology related to implementation of E-government.</t>
  </si>
  <si>
    <t>Public Employees Retirement System</t>
  </si>
  <si>
    <t>Report on 2003 preliminary earnings.</t>
  </si>
  <si>
    <t>Seeking Emergency Board direction with respect to establishing a non-profit workers’ compensation insurance organization.</t>
  </si>
  <si>
    <t>Report on implementation of new computer system and request approval for the Department of Administrative Services to reschedule Other Funds in the amount of $96,473 for computer maintenance and network support that were previously unscheduled. (Report will go to JLIMT too.)</t>
  </si>
  <si>
    <t>Report on changes made within the agency, including changes made in leadership, and request for a continuation of 0.50 full-time equivalent position.</t>
  </si>
  <si>
    <t>Request federal expenditure limitation for grant to do preliminary planning for a potential Office of Rural Policy.</t>
  </si>
  <si>
    <t>Report on Oregon Smart Buy and request expenditure limitation to pay contractor costs.</t>
  </si>
  <si>
    <t>WITHDRAWN</t>
  </si>
  <si>
    <t>5/2.96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</si>
</sst>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_(* #,##0_);_(* \(#,##0\);_(* &quot;--&quot;_);_(@_)"/>
    <numFmt numFmtId="173" formatCode="_(&quot;$&quot;* #,##0_);_(&quot;$&quot;* \(#,##0\);_(&quot;$&quot;* &quot;--&quot;_);_(@_)"/>
  </numFmts>
  <fonts count="5" x14ac:knownFonts="1">
    <font>
      <sz val="10"/>
      <name val="Arial"/>
    </font>
    <font>
      <b/>
      <sz val="14"/>
      <name val="Arial"/>
      <family val="2"/>
    </font>
    <font>
      <sz val="11"/>
      <name val="Arial"/>
      <family val="2"/>
    </font>
    <font>
      <b/>
      <sz val="11"/>
      <name val="Arial"/>
      <family val="2"/>
    </font>
    <font>
      <u/>
      <sz val="10"/>
      <color indexed="12"/>
      <name val="Arial"/>
      <family val="2"/>
    </font>
  </fonts>
  <fills count="4">
    <fill>
      <patternFill patternType="none"/>
    </fill>
    <fill>
      <patternFill patternType="gray125"/>
    </fill>
    <fill>
      <patternFill patternType="solid">
        <fgColor indexed="22"/>
        <bgColor indexed="22"/>
      </patternFill>
    </fill>
    <fill>
      <patternFill patternType="solid">
        <fgColor indexed="22"/>
        <bgColor indexed="64"/>
      </patternFill>
    </fill>
  </fills>
  <borders count="12">
    <border>
      <left/>
      <right/>
      <top/>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double">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44">
    <xf numFmtId="0" fontId="0" fillId="0" borderId="0" xfId="0"/>
    <xf numFmtId="172" fontId="0" fillId="0" borderId="0" xfId="0" applyNumberFormat="1" applyAlignment="1">
      <alignment horizontal="left"/>
    </xf>
    <xf numFmtId="172" fontId="0" fillId="0" borderId="0" xfId="0" applyNumberFormat="1" applyAlignment="1"/>
    <xf numFmtId="172" fontId="0" fillId="0" borderId="0" xfId="0" applyNumberFormat="1" applyBorder="1" applyAlignment="1"/>
    <xf numFmtId="172" fontId="2" fillId="0" borderId="1" xfId="0" applyNumberFormat="1" applyFont="1" applyBorder="1" applyAlignment="1">
      <alignment horizontal="center"/>
    </xf>
    <xf numFmtId="172" fontId="2" fillId="0" borderId="0" xfId="0" applyNumberFormat="1" applyFont="1" applyBorder="1" applyAlignment="1">
      <alignment horizontal="center"/>
    </xf>
    <xf numFmtId="172" fontId="2" fillId="0" borderId="2" xfId="0" applyNumberFormat="1" applyFont="1" applyBorder="1" applyAlignment="1">
      <alignment horizontal="center"/>
    </xf>
    <xf numFmtId="172" fontId="3" fillId="2" borderId="3" xfId="0" applyNumberFormat="1" applyFont="1" applyFill="1" applyBorder="1" applyAlignment="1"/>
    <xf numFmtId="172" fontId="3" fillId="2" borderId="4" xfId="0" applyNumberFormat="1" applyFont="1" applyFill="1" applyBorder="1" applyAlignment="1"/>
    <xf numFmtId="172" fontId="3" fillId="2" borderId="5" xfId="0" applyNumberFormat="1" applyFont="1" applyFill="1" applyBorder="1" applyAlignment="1"/>
    <xf numFmtId="172" fontId="3" fillId="2" borderId="0" xfId="0" applyNumberFormat="1" applyFont="1" applyFill="1" applyBorder="1" applyAlignment="1"/>
    <xf numFmtId="172" fontId="2" fillId="0" borderId="6" xfId="0" applyNumberFormat="1" applyFont="1" applyBorder="1" applyAlignment="1">
      <alignment wrapText="1"/>
    </xf>
    <xf numFmtId="172" fontId="2" fillId="0" borderId="0" xfId="0" applyNumberFormat="1" applyFont="1" applyBorder="1" applyAlignment="1">
      <alignment wrapText="1"/>
    </xf>
    <xf numFmtId="172" fontId="2" fillId="0" borderId="6" xfId="0" applyNumberFormat="1" applyFont="1" applyFill="1" applyBorder="1" applyAlignment="1">
      <alignment wrapText="1"/>
    </xf>
    <xf numFmtId="172" fontId="2" fillId="0" borderId="0" xfId="0" applyNumberFormat="1" applyFont="1" applyFill="1" applyBorder="1" applyAlignment="1">
      <alignment wrapText="1"/>
    </xf>
    <xf numFmtId="172" fontId="3" fillId="3" borderId="7" xfId="0" applyNumberFormat="1" applyFont="1" applyFill="1" applyBorder="1" applyAlignment="1"/>
    <xf numFmtId="172" fontId="2" fillId="0" borderId="0" xfId="0" applyNumberFormat="1" applyFont="1" applyBorder="1" applyAlignment="1"/>
    <xf numFmtId="0" fontId="2" fillId="0" borderId="8" xfId="0" applyNumberFormat="1" applyFont="1" applyFill="1" applyBorder="1" applyAlignment="1">
      <alignment wrapText="1"/>
    </xf>
    <xf numFmtId="0" fontId="2" fillId="0" borderId="8" xfId="0" applyNumberFormat="1" applyFont="1" applyBorder="1" applyAlignment="1">
      <alignment wrapText="1"/>
    </xf>
    <xf numFmtId="172" fontId="3" fillId="0" borderId="0" xfId="0" applyNumberFormat="1" applyFont="1" applyFill="1" applyBorder="1" applyAlignment="1"/>
    <xf numFmtId="172" fontId="2" fillId="0" borderId="8" xfId="0" applyNumberFormat="1" applyFont="1" applyBorder="1" applyAlignment="1">
      <alignment horizontal="right"/>
    </xf>
    <xf numFmtId="172" fontId="2" fillId="0" borderId="8" xfId="0" applyNumberFormat="1" applyFont="1" applyFill="1" applyBorder="1" applyAlignment="1">
      <alignment horizontal="right"/>
    </xf>
    <xf numFmtId="173" fontId="2" fillId="3" borderId="9" xfId="0" applyNumberFormat="1" applyFont="1" applyFill="1" applyBorder="1" applyAlignment="1">
      <alignment horizontal="right"/>
    </xf>
    <xf numFmtId="172" fontId="2" fillId="0" borderId="10" xfId="0" applyNumberFormat="1" applyFont="1" applyBorder="1" applyAlignment="1"/>
    <xf numFmtId="172" fontId="2" fillId="0" borderId="10" xfId="0" applyNumberFormat="1" applyFont="1" applyFill="1" applyBorder="1" applyAlignment="1"/>
    <xf numFmtId="172" fontId="2" fillId="0" borderId="6" xfId="0" applyNumberFormat="1" applyFont="1" applyBorder="1" applyAlignment="1"/>
    <xf numFmtId="172" fontId="2" fillId="0" borderId="6" xfId="0" applyNumberFormat="1" applyFont="1" applyFill="1" applyBorder="1" applyAlignment="1"/>
    <xf numFmtId="172" fontId="3" fillId="0" borderId="8" xfId="0" applyNumberFormat="1" applyFont="1" applyFill="1" applyBorder="1" applyAlignment="1">
      <alignment horizontal="right"/>
    </xf>
    <xf numFmtId="172" fontId="3" fillId="2" borderId="6" xfId="0" applyNumberFormat="1" applyFont="1" applyFill="1" applyBorder="1" applyAlignment="1"/>
    <xf numFmtId="0" fontId="3" fillId="2" borderId="8" xfId="0" applyNumberFormat="1" applyFont="1" applyFill="1" applyBorder="1" applyAlignment="1">
      <alignment wrapText="1"/>
    </xf>
    <xf numFmtId="172" fontId="3" fillId="2" borderId="8" xfId="0" applyNumberFormat="1" applyFont="1" applyFill="1" applyBorder="1" applyAlignment="1">
      <alignment horizontal="right"/>
    </xf>
    <xf numFmtId="172" fontId="3" fillId="2" borderId="10" xfId="0" applyNumberFormat="1" applyFont="1" applyFill="1" applyBorder="1" applyAlignment="1"/>
    <xf numFmtId="172" fontId="2" fillId="3" borderId="9" xfId="0" applyNumberFormat="1" applyFont="1" applyFill="1" applyBorder="1" applyAlignment="1"/>
    <xf numFmtId="172" fontId="2" fillId="3" borderId="9" xfId="0" applyNumberFormat="1" applyFont="1" applyFill="1" applyBorder="1" applyAlignment="1">
      <alignment horizontal="right"/>
    </xf>
    <xf numFmtId="172" fontId="2" fillId="3" borderId="11" xfId="0" applyNumberFormat="1" applyFont="1" applyFill="1" applyBorder="1" applyAlignment="1"/>
    <xf numFmtId="172" fontId="2" fillId="0" borderId="8" xfId="0" applyNumberFormat="1" applyFont="1" applyFill="1" applyBorder="1" applyAlignment="1">
      <alignment wrapText="1"/>
    </xf>
    <xf numFmtId="172" fontId="2" fillId="0" borderId="10" xfId="0" applyNumberFormat="1" applyFont="1" applyFill="1" applyBorder="1" applyAlignment="1">
      <alignment wrapText="1"/>
    </xf>
    <xf numFmtId="172" fontId="2" fillId="0" borderId="6" xfId="0" applyNumberFormat="1" applyFont="1" applyFill="1" applyBorder="1" applyAlignment="1">
      <alignment horizontal="left" wrapText="1"/>
    </xf>
    <xf numFmtId="172" fontId="2" fillId="0" borderId="6" xfId="0" applyNumberFormat="1" applyFont="1" applyBorder="1" applyAlignment="1">
      <alignment horizontal="left" wrapText="1"/>
    </xf>
    <xf numFmtId="0" fontId="4" fillId="0" borderId="8" xfId="1" applyNumberFormat="1" applyFill="1" applyBorder="1" applyAlignment="1" applyProtection="1"/>
    <xf numFmtId="0" fontId="4" fillId="0" borderId="8" xfId="1" applyNumberFormat="1" applyBorder="1" applyAlignment="1" applyProtection="1">
      <alignment wrapText="1"/>
    </xf>
    <xf numFmtId="0" fontId="4" fillId="0" borderId="8" xfId="1" applyNumberFormat="1" applyFill="1" applyBorder="1" applyAlignment="1" applyProtection="1">
      <alignment wrapText="1"/>
    </xf>
    <xf numFmtId="172" fontId="4" fillId="0" borderId="8" xfId="1" applyNumberFormat="1" applyFill="1" applyBorder="1" applyAlignment="1" applyProtection="1">
      <alignment wrapText="1"/>
    </xf>
    <xf numFmtId="172" fontId="1" fillId="0" borderId="0" xfId="0" applyNumberFormat="1"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13_OECDD.doc" TargetMode="External"/><Relationship Id="rId18" Type="http://schemas.openxmlformats.org/officeDocument/2006/relationships/hyperlink" Target="21_Forestry.doc" TargetMode="External"/><Relationship Id="rId26" Type="http://schemas.openxmlformats.org/officeDocument/2006/relationships/hyperlink" Target="30_Pharmacy.doc" TargetMode="External"/><Relationship Id="rId21" Type="http://schemas.openxmlformats.org/officeDocument/2006/relationships/hyperlink" Target="24_ODOT.doc" TargetMode="External"/><Relationship Id="rId34" Type="http://schemas.openxmlformats.org/officeDocument/2006/relationships/hyperlink" Target="38_DAS.doc" TargetMode="External"/><Relationship Id="rId7" Type="http://schemas.openxmlformats.org/officeDocument/2006/relationships/hyperlink" Target="07_CCF.doc" TargetMode="External"/><Relationship Id="rId12" Type="http://schemas.openxmlformats.org/officeDocument/2006/relationships/hyperlink" Target="12_Military.doc" TargetMode="External"/><Relationship Id="rId17" Type="http://schemas.openxmlformats.org/officeDocument/2006/relationships/hyperlink" Target="20_Forestry.doc" TargetMode="External"/><Relationship Id="rId25" Type="http://schemas.openxmlformats.org/officeDocument/2006/relationships/hyperlink" Target="29_HLO.doc" TargetMode="External"/><Relationship Id="rId33" Type="http://schemas.openxmlformats.org/officeDocument/2006/relationships/hyperlink" Target="37_DAS.doc" TargetMode="External"/><Relationship Id="rId38" Type="http://schemas.openxmlformats.org/officeDocument/2006/relationships/printerSettings" Target="../printerSettings/printerSettings1.bin"/><Relationship Id="rId2" Type="http://schemas.openxmlformats.org/officeDocument/2006/relationships/hyperlink" Target="02_SecState.doc" TargetMode="External"/><Relationship Id="rId16" Type="http://schemas.openxmlformats.org/officeDocument/2006/relationships/hyperlink" Target="18_DEQ.doc" TargetMode="External"/><Relationship Id="rId20" Type="http://schemas.openxmlformats.org/officeDocument/2006/relationships/hyperlink" Target="23_StateLands.doc" TargetMode="External"/><Relationship Id="rId29" Type="http://schemas.openxmlformats.org/officeDocument/2006/relationships/hyperlink" Target="33_RadTech.doc" TargetMode="External"/><Relationship Id="rId1" Type="http://schemas.openxmlformats.org/officeDocument/2006/relationships/hyperlink" Target="01_SecStateWITHDRAWN.doc" TargetMode="External"/><Relationship Id="rId6" Type="http://schemas.openxmlformats.org/officeDocument/2006/relationships/hyperlink" Target="06_Education.doc" TargetMode="External"/><Relationship Id="rId11" Type="http://schemas.openxmlformats.org/officeDocument/2006/relationships/hyperlink" Target="11_Military.doc" TargetMode="External"/><Relationship Id="rId24" Type="http://schemas.openxmlformats.org/officeDocument/2006/relationships/hyperlink" Target="28_DCBS.doc" TargetMode="External"/><Relationship Id="rId32" Type="http://schemas.openxmlformats.org/officeDocument/2006/relationships/hyperlink" Target="36_DAS.doc" TargetMode="External"/><Relationship Id="rId37" Type="http://schemas.openxmlformats.org/officeDocument/2006/relationships/hyperlink" Target="43_CommCollege.doc" TargetMode="External"/><Relationship Id="rId5" Type="http://schemas.openxmlformats.org/officeDocument/2006/relationships/hyperlink" Target="05_EducationWITHDRAWN.doc" TargetMode="External"/><Relationship Id="rId15" Type="http://schemas.openxmlformats.org/officeDocument/2006/relationships/hyperlink" Target="17_DEQ.doc" TargetMode="External"/><Relationship Id="rId23" Type="http://schemas.openxmlformats.org/officeDocument/2006/relationships/hyperlink" Target="26_ODOT.doc" TargetMode="External"/><Relationship Id="rId28" Type="http://schemas.openxmlformats.org/officeDocument/2006/relationships/hyperlink" Target="32_Pharmacy.doc" TargetMode="External"/><Relationship Id="rId36" Type="http://schemas.openxmlformats.org/officeDocument/2006/relationships/hyperlink" Target="41_ERB.doc" TargetMode="External"/><Relationship Id="rId10" Type="http://schemas.openxmlformats.org/officeDocument/2006/relationships/hyperlink" Target="10_Corrections.doc" TargetMode="External"/><Relationship Id="rId19" Type="http://schemas.openxmlformats.org/officeDocument/2006/relationships/hyperlink" Target="22_DLCD.doc" TargetMode="External"/><Relationship Id="rId31" Type="http://schemas.openxmlformats.org/officeDocument/2006/relationships/hyperlink" Target="35_DAS.doc" TargetMode="External"/><Relationship Id="rId4" Type="http://schemas.openxmlformats.org/officeDocument/2006/relationships/hyperlink" Target="04_DOJ.doc" TargetMode="External"/><Relationship Id="rId9" Type="http://schemas.openxmlformats.org/officeDocument/2006/relationships/hyperlink" Target="09_DHS.doc" TargetMode="External"/><Relationship Id="rId14" Type="http://schemas.openxmlformats.org/officeDocument/2006/relationships/hyperlink" Target="15_Employment.doc" TargetMode="External"/><Relationship Id="rId22" Type="http://schemas.openxmlformats.org/officeDocument/2006/relationships/hyperlink" Target="25_ODOT.doc" TargetMode="External"/><Relationship Id="rId27" Type="http://schemas.openxmlformats.org/officeDocument/2006/relationships/hyperlink" Target="31_Pharmacy.doc" TargetMode="External"/><Relationship Id="rId30" Type="http://schemas.openxmlformats.org/officeDocument/2006/relationships/hyperlink" Target="34_DAS.doc" TargetMode="External"/><Relationship Id="rId35" Type="http://schemas.openxmlformats.org/officeDocument/2006/relationships/hyperlink" Target="39_DAS.doc" TargetMode="External"/><Relationship Id="rId8" Type="http://schemas.openxmlformats.org/officeDocument/2006/relationships/hyperlink" Target="08_DHS.doc" TargetMode="External"/><Relationship Id="rId3" Type="http://schemas.openxmlformats.org/officeDocument/2006/relationships/hyperlink" Target="03_DOJ.DO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8"/>
  <sheetViews>
    <sheetView tabSelected="1" view="pageBreakPreview" topLeftCell="A40" zoomScale="65" zoomScaleNormal="100" workbookViewId="0">
      <selection activeCell="B56" sqref="B56"/>
    </sheetView>
  </sheetViews>
  <sheetFormatPr defaultColWidth="9.1796875" defaultRowHeight="12.5" x14ac:dyDescent="0.25"/>
  <cols>
    <col min="1" max="1" width="8.7265625" style="2" customWidth="1"/>
    <col min="2" max="2" width="28" style="2" customWidth="1"/>
    <col min="3" max="3" width="54.7265625" style="2" customWidth="1"/>
    <col min="4" max="4" width="14.1796875" style="2" customWidth="1"/>
    <col min="5" max="5" width="15.54296875" style="2" bestFit="1" customWidth="1"/>
    <col min="6" max="6" width="13.7265625" style="2" bestFit="1" customWidth="1"/>
    <col min="7" max="7" width="17.453125" style="2" bestFit="1" customWidth="1"/>
    <col min="8" max="8" width="16.54296875" style="2" customWidth="1"/>
    <col min="9" max="16384" width="9.1796875" style="3"/>
  </cols>
  <sheetData>
    <row r="1" spans="1:8" ht="18" x14ac:dyDescent="0.4">
      <c r="A1" s="43" t="s">
        <v>19</v>
      </c>
      <c r="B1" s="43"/>
      <c r="C1" s="43"/>
      <c r="D1" s="43"/>
      <c r="E1" s="43"/>
      <c r="F1" s="43"/>
      <c r="G1" s="43"/>
      <c r="H1" s="43"/>
    </row>
    <row r="2" spans="1:8" ht="13" thickBot="1" x14ac:dyDescent="0.3">
      <c r="A2" s="1"/>
    </row>
    <row r="3" spans="1:8" s="5" customFormat="1" ht="14.5" thickTop="1" x14ac:dyDescent="0.3">
      <c r="A3" s="4"/>
      <c r="B3" s="4"/>
      <c r="C3" s="4"/>
      <c r="D3" s="4" t="s">
        <v>3</v>
      </c>
      <c r="E3" s="4" t="s">
        <v>7</v>
      </c>
      <c r="F3" s="4" t="s">
        <v>8</v>
      </c>
      <c r="G3" s="4" t="s">
        <v>10</v>
      </c>
      <c r="H3" s="4"/>
    </row>
    <row r="4" spans="1:8" s="5" customFormat="1" ht="14.5" thickBot="1" x14ac:dyDescent="0.35">
      <c r="A4" s="6" t="s">
        <v>0</v>
      </c>
      <c r="B4" s="6" t="s">
        <v>1</v>
      </c>
      <c r="C4" s="6" t="s">
        <v>2</v>
      </c>
      <c r="D4" s="6" t="s">
        <v>5</v>
      </c>
      <c r="E4" s="6" t="s">
        <v>6</v>
      </c>
      <c r="F4" s="6" t="s">
        <v>6</v>
      </c>
      <c r="G4" s="6" t="s">
        <v>9</v>
      </c>
      <c r="H4" s="6" t="s">
        <v>4</v>
      </c>
    </row>
    <row r="5" spans="1:8" s="10" customFormat="1" ht="14.5" thickTop="1" x14ac:dyDescent="0.3">
      <c r="A5" s="7" t="s">
        <v>11</v>
      </c>
      <c r="B5" s="8"/>
      <c r="C5" s="8"/>
      <c r="D5" s="8"/>
      <c r="E5" s="8"/>
      <c r="F5" s="8"/>
      <c r="G5" s="8"/>
      <c r="H5" s="9"/>
    </row>
    <row r="6" spans="1:8" s="19" customFormat="1" ht="14" x14ac:dyDescent="0.3">
      <c r="A6" s="26">
        <v>1</v>
      </c>
      <c r="B6" s="39" t="s">
        <v>59</v>
      </c>
      <c r="C6" s="17" t="s">
        <v>99</v>
      </c>
      <c r="D6" s="27">
        <v>0</v>
      </c>
      <c r="E6" s="27">
        <v>0</v>
      </c>
      <c r="F6" s="21">
        <v>0</v>
      </c>
      <c r="G6" s="27">
        <v>0</v>
      </c>
      <c r="H6" s="24" t="s">
        <v>60</v>
      </c>
    </row>
    <row r="7" spans="1:8" s="12" customFormat="1" ht="42" x14ac:dyDescent="0.3">
      <c r="A7" s="38">
        <v>2</v>
      </c>
      <c r="B7" s="40" t="s">
        <v>59</v>
      </c>
      <c r="C7" s="18" t="s">
        <v>61</v>
      </c>
      <c r="D7" s="20">
        <v>0</v>
      </c>
      <c r="E7" s="20">
        <v>0</v>
      </c>
      <c r="F7" s="20">
        <v>0</v>
      </c>
      <c r="G7" s="20">
        <v>0</v>
      </c>
      <c r="H7" s="23" t="s">
        <v>60</v>
      </c>
    </row>
    <row r="8" spans="1:8" s="12" customFormat="1" ht="70" x14ac:dyDescent="0.3">
      <c r="A8" s="25">
        <v>3</v>
      </c>
      <c r="B8" s="40" t="s">
        <v>66</v>
      </c>
      <c r="C8" s="18" t="s">
        <v>75</v>
      </c>
      <c r="D8" s="20">
        <v>0</v>
      </c>
      <c r="E8" s="20">
        <v>0</v>
      </c>
      <c r="F8" s="20">
        <v>362571</v>
      </c>
      <c r="G8" s="20" t="s">
        <v>67</v>
      </c>
      <c r="H8" s="23" t="s">
        <v>68</v>
      </c>
    </row>
    <row r="9" spans="1:8" s="16" customFormat="1" ht="70" x14ac:dyDescent="0.3">
      <c r="A9" s="11">
        <v>4</v>
      </c>
      <c r="B9" s="40" t="s">
        <v>66</v>
      </c>
      <c r="C9" s="18" t="s">
        <v>76</v>
      </c>
      <c r="D9" s="20">
        <v>0</v>
      </c>
      <c r="E9" s="20">
        <v>0</v>
      </c>
      <c r="F9" s="20">
        <v>149025</v>
      </c>
      <c r="G9" s="20">
        <v>0</v>
      </c>
      <c r="H9" s="23" t="s">
        <v>68</v>
      </c>
    </row>
    <row r="10" spans="1:8" s="12" customFormat="1" ht="14" x14ac:dyDescent="0.3">
      <c r="A10" s="38">
        <v>5</v>
      </c>
      <c r="B10" s="40" t="s">
        <v>22</v>
      </c>
      <c r="C10" s="18" t="s">
        <v>99</v>
      </c>
      <c r="D10" s="20">
        <v>0</v>
      </c>
      <c r="E10" s="20">
        <v>0</v>
      </c>
      <c r="F10" s="20">
        <v>0</v>
      </c>
      <c r="G10" s="20">
        <v>0</v>
      </c>
      <c r="H10" s="23" t="s">
        <v>23</v>
      </c>
    </row>
    <row r="11" spans="1:8" s="12" customFormat="1" ht="28" x14ac:dyDescent="0.3">
      <c r="A11" s="11">
        <v>6</v>
      </c>
      <c r="B11" s="40" t="s">
        <v>22</v>
      </c>
      <c r="C11" s="18" t="s">
        <v>24</v>
      </c>
      <c r="D11" s="20">
        <v>0</v>
      </c>
      <c r="E11" s="20">
        <v>0</v>
      </c>
      <c r="F11" s="20">
        <v>0</v>
      </c>
      <c r="G11" s="20">
        <v>0</v>
      </c>
      <c r="H11" s="23" t="s">
        <v>23</v>
      </c>
    </row>
    <row r="12" spans="1:8" s="10" customFormat="1" ht="14" x14ac:dyDescent="0.3">
      <c r="A12" s="28" t="s">
        <v>21</v>
      </c>
      <c r="B12" s="29"/>
      <c r="C12" s="29"/>
      <c r="D12" s="30"/>
      <c r="E12" s="30"/>
      <c r="F12" s="30"/>
      <c r="G12" s="30"/>
      <c r="H12" s="31"/>
    </row>
    <row r="13" spans="1:8" s="12" customFormat="1" ht="28" x14ac:dyDescent="0.3">
      <c r="A13" s="11">
        <v>7</v>
      </c>
      <c r="B13" s="40" t="s">
        <v>25</v>
      </c>
      <c r="C13" s="18" t="s">
        <v>26</v>
      </c>
      <c r="D13" s="20">
        <v>0</v>
      </c>
      <c r="E13" s="20">
        <v>0</v>
      </c>
      <c r="F13" s="20">
        <v>120000</v>
      </c>
      <c r="G13" s="20">
        <v>0</v>
      </c>
      <c r="H13" s="23" t="s">
        <v>23</v>
      </c>
    </row>
    <row r="14" spans="1:8" s="12" customFormat="1" ht="28" x14ac:dyDescent="0.3">
      <c r="A14" s="11">
        <v>8</v>
      </c>
      <c r="B14" s="40" t="s">
        <v>77</v>
      </c>
      <c r="C14" s="18" t="s">
        <v>78</v>
      </c>
      <c r="D14" s="20">
        <v>0</v>
      </c>
      <c r="E14" s="20">
        <v>0</v>
      </c>
      <c r="F14" s="20">
        <v>0</v>
      </c>
      <c r="G14" s="20">
        <v>0</v>
      </c>
      <c r="H14" s="23" t="s">
        <v>72</v>
      </c>
    </row>
    <row r="15" spans="1:8" s="12" customFormat="1" ht="28" x14ac:dyDescent="0.3">
      <c r="A15" s="11">
        <v>9</v>
      </c>
      <c r="B15" s="40" t="s">
        <v>77</v>
      </c>
      <c r="C15" s="18" t="s">
        <v>73</v>
      </c>
      <c r="D15" s="20">
        <v>0</v>
      </c>
      <c r="E15" s="20">
        <v>0</v>
      </c>
      <c r="F15" s="20">
        <v>0</v>
      </c>
      <c r="G15" s="20">
        <v>0</v>
      </c>
      <c r="H15" s="23" t="s">
        <v>74</v>
      </c>
    </row>
    <row r="16" spans="1:8" s="10" customFormat="1" ht="14" x14ac:dyDescent="0.3">
      <c r="A16" s="28" t="s">
        <v>13</v>
      </c>
      <c r="B16" s="29"/>
      <c r="C16" s="29"/>
      <c r="D16" s="30"/>
      <c r="E16" s="30"/>
      <c r="F16" s="30"/>
      <c r="G16" s="30"/>
      <c r="H16" s="31"/>
    </row>
    <row r="17" spans="1:8" s="12" customFormat="1" ht="14" x14ac:dyDescent="0.3">
      <c r="A17" s="11">
        <v>10</v>
      </c>
      <c r="B17" s="40" t="s">
        <v>52</v>
      </c>
      <c r="C17" s="18" t="s">
        <v>58</v>
      </c>
      <c r="D17" s="20">
        <v>0</v>
      </c>
      <c r="E17" s="20">
        <v>0</v>
      </c>
      <c r="F17" s="20">
        <v>0</v>
      </c>
      <c r="G17" s="20">
        <v>0</v>
      </c>
      <c r="H17" s="23" t="s">
        <v>53</v>
      </c>
    </row>
    <row r="18" spans="1:8" s="12" customFormat="1" ht="14" x14ac:dyDescent="0.3">
      <c r="A18" s="11">
        <v>11</v>
      </c>
      <c r="B18" s="40" t="s">
        <v>62</v>
      </c>
      <c r="C18" s="18" t="s">
        <v>88</v>
      </c>
      <c r="D18" s="20">
        <v>0</v>
      </c>
      <c r="E18" s="20">
        <v>275000</v>
      </c>
      <c r="F18" s="20">
        <v>0</v>
      </c>
      <c r="G18" s="20">
        <v>0</v>
      </c>
      <c r="H18" s="23" t="s">
        <v>60</v>
      </c>
    </row>
    <row r="19" spans="1:8" s="16" customFormat="1" ht="28" x14ac:dyDescent="0.3">
      <c r="A19" s="25">
        <v>12</v>
      </c>
      <c r="B19" s="40" t="s">
        <v>62</v>
      </c>
      <c r="C19" s="18" t="s">
        <v>89</v>
      </c>
      <c r="D19" s="20">
        <v>0</v>
      </c>
      <c r="E19" s="20">
        <v>0</v>
      </c>
      <c r="F19" s="20">
        <v>1882000</v>
      </c>
      <c r="G19" s="20">
        <v>0</v>
      </c>
      <c r="H19" s="23" t="s">
        <v>60</v>
      </c>
    </row>
    <row r="20" spans="1:8" s="10" customFormat="1" ht="14" x14ac:dyDescent="0.3">
      <c r="A20" s="28" t="s">
        <v>14</v>
      </c>
      <c r="B20" s="29"/>
      <c r="C20" s="29"/>
      <c r="D20" s="30"/>
      <c r="E20" s="30"/>
      <c r="F20" s="30"/>
      <c r="G20" s="30"/>
      <c r="H20" s="31"/>
    </row>
    <row r="21" spans="1:8" s="12" customFormat="1" ht="28" x14ac:dyDescent="0.3">
      <c r="A21" s="11">
        <v>13</v>
      </c>
      <c r="B21" s="40" t="s">
        <v>69</v>
      </c>
      <c r="C21" s="18" t="s">
        <v>79</v>
      </c>
      <c r="D21" s="20">
        <v>0</v>
      </c>
      <c r="E21" s="20">
        <v>200000</v>
      </c>
      <c r="F21" s="20">
        <v>0</v>
      </c>
      <c r="G21" s="20">
        <v>0</v>
      </c>
      <c r="H21" s="23" t="s">
        <v>68</v>
      </c>
    </row>
    <row r="22" spans="1:8" s="12" customFormat="1" ht="28" x14ac:dyDescent="0.3">
      <c r="A22" s="11">
        <v>14</v>
      </c>
      <c r="B22" s="18" t="s">
        <v>69</v>
      </c>
      <c r="C22" s="18" t="s">
        <v>80</v>
      </c>
      <c r="D22" s="20">
        <v>0</v>
      </c>
      <c r="E22" s="20">
        <v>0</v>
      </c>
      <c r="F22" s="20">
        <v>0</v>
      </c>
      <c r="G22" s="20">
        <v>0</v>
      </c>
      <c r="H22" s="23" t="s">
        <v>68</v>
      </c>
    </row>
    <row r="23" spans="1:8" s="12" customFormat="1" ht="28" x14ac:dyDescent="0.3">
      <c r="A23" s="11">
        <v>15</v>
      </c>
      <c r="B23" s="40" t="s">
        <v>63</v>
      </c>
      <c r="C23" s="18" t="s">
        <v>81</v>
      </c>
      <c r="D23" s="20">
        <v>0</v>
      </c>
      <c r="E23" s="20">
        <v>0</v>
      </c>
      <c r="F23" s="20">
        <v>0</v>
      </c>
      <c r="G23" s="20">
        <v>0</v>
      </c>
      <c r="H23" s="23" t="s">
        <v>60</v>
      </c>
    </row>
    <row r="24" spans="1:8" s="12" customFormat="1" ht="28" x14ac:dyDescent="0.3">
      <c r="A24" s="11">
        <v>16</v>
      </c>
      <c r="B24" s="18" t="s">
        <v>29</v>
      </c>
      <c r="C24" s="18" t="s">
        <v>30</v>
      </c>
      <c r="D24" s="20">
        <v>0</v>
      </c>
      <c r="E24" s="20">
        <v>0</v>
      </c>
      <c r="F24" s="20">
        <v>0</v>
      </c>
      <c r="G24" s="20">
        <v>0</v>
      </c>
      <c r="H24" s="23" t="s">
        <v>31</v>
      </c>
    </row>
    <row r="25" spans="1:8" s="10" customFormat="1" ht="14" x14ac:dyDescent="0.3">
      <c r="A25" s="28" t="s">
        <v>15</v>
      </c>
      <c r="B25" s="29"/>
      <c r="C25" s="29"/>
      <c r="D25" s="30"/>
      <c r="E25" s="30"/>
      <c r="F25" s="30"/>
      <c r="G25" s="30"/>
      <c r="H25" s="31"/>
    </row>
    <row r="26" spans="1:8" ht="28" x14ac:dyDescent="0.3">
      <c r="A26" s="13">
        <v>17</v>
      </c>
      <c r="B26" s="41" t="s">
        <v>44</v>
      </c>
      <c r="C26" s="17" t="s">
        <v>47</v>
      </c>
      <c r="D26" s="21">
        <v>0</v>
      </c>
      <c r="E26" s="21">
        <v>0</v>
      </c>
      <c r="F26" s="21">
        <v>5984524</v>
      </c>
      <c r="G26" s="21">
        <v>0</v>
      </c>
      <c r="H26" s="24" t="s">
        <v>43</v>
      </c>
    </row>
    <row r="27" spans="1:8" ht="28" x14ac:dyDescent="0.3">
      <c r="A27" s="13">
        <v>18</v>
      </c>
      <c r="B27" s="41" t="s">
        <v>44</v>
      </c>
      <c r="C27" s="17" t="s">
        <v>48</v>
      </c>
      <c r="D27" s="21">
        <v>0</v>
      </c>
      <c r="E27" s="21">
        <v>0</v>
      </c>
      <c r="F27" s="21">
        <v>0</v>
      </c>
      <c r="G27" s="21">
        <v>0</v>
      </c>
      <c r="H27" s="24" t="s">
        <v>43</v>
      </c>
    </row>
    <row r="28" spans="1:8" s="16" customFormat="1" ht="28" x14ac:dyDescent="0.3">
      <c r="A28" s="13">
        <v>19</v>
      </c>
      <c r="B28" s="17" t="s">
        <v>32</v>
      </c>
      <c r="C28" s="17" t="s">
        <v>33</v>
      </c>
      <c r="D28" s="21">
        <v>0</v>
      </c>
      <c r="E28" s="21">
        <v>0</v>
      </c>
      <c r="F28" s="21">
        <v>0</v>
      </c>
      <c r="G28" s="21">
        <v>0</v>
      </c>
      <c r="H28" s="23" t="s">
        <v>31</v>
      </c>
    </row>
    <row r="29" spans="1:8" s="16" customFormat="1" ht="28" x14ac:dyDescent="0.3">
      <c r="A29" s="13">
        <v>20</v>
      </c>
      <c r="B29" s="41" t="s">
        <v>32</v>
      </c>
      <c r="C29" s="17" t="s">
        <v>34</v>
      </c>
      <c r="D29" s="21">
        <v>0</v>
      </c>
      <c r="E29" s="21">
        <v>13750000</v>
      </c>
      <c r="F29" s="21">
        <v>0</v>
      </c>
      <c r="G29" s="21">
        <v>0</v>
      </c>
      <c r="H29" s="23" t="s">
        <v>31</v>
      </c>
    </row>
    <row r="30" spans="1:8" s="16" customFormat="1" ht="28" x14ac:dyDescent="0.3">
      <c r="A30" s="37">
        <v>21</v>
      </c>
      <c r="B30" s="41" t="s">
        <v>32</v>
      </c>
      <c r="C30" s="17" t="s">
        <v>35</v>
      </c>
      <c r="D30" s="21">
        <v>500000</v>
      </c>
      <c r="E30" s="21">
        <v>0</v>
      </c>
      <c r="F30" s="21">
        <v>0</v>
      </c>
      <c r="G30" s="21">
        <v>0</v>
      </c>
      <c r="H30" s="23" t="s">
        <v>31</v>
      </c>
    </row>
    <row r="31" spans="1:8" s="16" customFormat="1" ht="56" x14ac:dyDescent="0.3">
      <c r="A31" s="37">
        <v>22</v>
      </c>
      <c r="B31" s="41" t="s">
        <v>36</v>
      </c>
      <c r="C31" s="17" t="s">
        <v>37</v>
      </c>
      <c r="D31" s="21">
        <v>187500</v>
      </c>
      <c r="E31" s="21">
        <v>0</v>
      </c>
      <c r="F31" s="21">
        <v>0</v>
      </c>
      <c r="G31" s="21">
        <v>0</v>
      </c>
      <c r="H31" s="23" t="s">
        <v>31</v>
      </c>
    </row>
    <row r="32" spans="1:8" ht="14" x14ac:dyDescent="0.3">
      <c r="A32" s="13">
        <v>23</v>
      </c>
      <c r="B32" s="41" t="s">
        <v>45</v>
      </c>
      <c r="C32" s="17" t="s">
        <v>49</v>
      </c>
      <c r="D32" s="21">
        <v>0</v>
      </c>
      <c r="E32" s="21">
        <v>0</v>
      </c>
      <c r="F32" s="21">
        <v>0</v>
      </c>
      <c r="G32" s="21">
        <v>0</v>
      </c>
      <c r="H32" s="24" t="s">
        <v>43</v>
      </c>
    </row>
    <row r="33" spans="1:8" s="10" customFormat="1" ht="14" x14ac:dyDescent="0.3">
      <c r="A33" s="28" t="s">
        <v>16</v>
      </c>
      <c r="B33" s="29"/>
      <c r="C33" s="29"/>
      <c r="D33" s="30"/>
      <c r="E33" s="30"/>
      <c r="F33" s="30"/>
      <c r="G33" s="30"/>
      <c r="H33" s="31"/>
    </row>
    <row r="34" spans="1:8" s="14" customFormat="1" ht="28" x14ac:dyDescent="0.3">
      <c r="A34" s="13">
        <v>24</v>
      </c>
      <c r="B34" s="41" t="s">
        <v>38</v>
      </c>
      <c r="C34" s="17" t="s">
        <v>39</v>
      </c>
      <c r="D34" s="21">
        <v>0</v>
      </c>
      <c r="E34" s="21">
        <v>0</v>
      </c>
      <c r="F34" s="21">
        <v>0</v>
      </c>
      <c r="G34" s="21">
        <v>0</v>
      </c>
      <c r="H34" s="23" t="s">
        <v>31</v>
      </c>
    </row>
    <row r="35" spans="1:8" s="14" customFormat="1" ht="14" x14ac:dyDescent="0.3">
      <c r="A35" s="13">
        <v>25</v>
      </c>
      <c r="B35" s="41" t="s">
        <v>38</v>
      </c>
      <c r="C35" s="17" t="s">
        <v>99</v>
      </c>
      <c r="D35" s="21">
        <v>0</v>
      </c>
      <c r="E35" s="21">
        <v>300000000</v>
      </c>
      <c r="F35" s="21">
        <v>0</v>
      </c>
      <c r="G35" s="21">
        <v>0</v>
      </c>
      <c r="H35" s="23" t="s">
        <v>31</v>
      </c>
    </row>
    <row r="36" spans="1:8" s="14" customFormat="1" ht="28" x14ac:dyDescent="0.3">
      <c r="A36" s="13">
        <v>26</v>
      </c>
      <c r="B36" s="41" t="s">
        <v>38</v>
      </c>
      <c r="C36" s="17" t="s">
        <v>40</v>
      </c>
      <c r="D36" s="21">
        <v>0</v>
      </c>
      <c r="E36" s="21">
        <v>16000000</v>
      </c>
      <c r="F36" s="21">
        <v>0</v>
      </c>
      <c r="G36" s="21">
        <v>0</v>
      </c>
      <c r="H36" s="23" t="s">
        <v>31</v>
      </c>
    </row>
    <row r="37" spans="1:8" s="10" customFormat="1" ht="14" x14ac:dyDescent="0.3">
      <c r="A37" s="28" t="s">
        <v>17</v>
      </c>
      <c r="B37" s="29"/>
      <c r="C37" s="29"/>
      <c r="D37" s="30"/>
      <c r="E37" s="30"/>
      <c r="F37" s="30"/>
      <c r="G37" s="30"/>
      <c r="H37" s="31"/>
    </row>
    <row r="38" spans="1:8" s="14" customFormat="1" ht="28" x14ac:dyDescent="0.3">
      <c r="A38" s="13">
        <v>27</v>
      </c>
      <c r="B38" s="17" t="s">
        <v>64</v>
      </c>
      <c r="C38" s="17" t="s">
        <v>90</v>
      </c>
      <c r="D38" s="21">
        <v>0</v>
      </c>
      <c r="E38" s="21">
        <v>0</v>
      </c>
      <c r="F38" s="21">
        <v>0</v>
      </c>
      <c r="G38" s="21">
        <v>0</v>
      </c>
      <c r="H38" s="24" t="s">
        <v>60</v>
      </c>
    </row>
    <row r="39" spans="1:8" s="14" customFormat="1" ht="42" x14ac:dyDescent="0.3">
      <c r="A39" s="13">
        <v>28</v>
      </c>
      <c r="B39" s="41" t="s">
        <v>64</v>
      </c>
      <c r="C39" s="17" t="s">
        <v>94</v>
      </c>
      <c r="D39" s="21">
        <v>0</v>
      </c>
      <c r="E39" s="21">
        <v>0</v>
      </c>
      <c r="F39" s="21">
        <v>0</v>
      </c>
      <c r="G39" s="21">
        <v>0</v>
      </c>
      <c r="H39" s="24" t="s">
        <v>60</v>
      </c>
    </row>
    <row r="40" spans="1:8" s="14" customFormat="1" ht="42" x14ac:dyDescent="0.3">
      <c r="A40" s="13">
        <v>29</v>
      </c>
      <c r="B40" s="42" t="s">
        <v>27</v>
      </c>
      <c r="C40" s="35" t="s">
        <v>91</v>
      </c>
      <c r="D40" s="35">
        <v>0</v>
      </c>
      <c r="E40" s="35">
        <v>250376</v>
      </c>
      <c r="F40" s="14">
        <v>0</v>
      </c>
      <c r="G40" s="35">
        <v>0</v>
      </c>
      <c r="H40" s="36" t="s">
        <v>28</v>
      </c>
    </row>
    <row r="41" spans="1:8" s="14" customFormat="1" ht="33.75" customHeight="1" x14ac:dyDescent="0.3">
      <c r="A41" s="13">
        <v>30</v>
      </c>
      <c r="B41" s="41" t="s">
        <v>41</v>
      </c>
      <c r="C41" s="17" t="s">
        <v>50</v>
      </c>
      <c r="D41" s="21">
        <v>0</v>
      </c>
      <c r="E41" s="21">
        <v>0</v>
      </c>
      <c r="F41" s="21">
        <v>0</v>
      </c>
      <c r="G41" s="21">
        <v>0</v>
      </c>
      <c r="H41" s="24" t="s">
        <v>42</v>
      </c>
    </row>
    <row r="42" spans="1:8" s="14" customFormat="1" ht="74.25" customHeight="1" x14ac:dyDescent="0.3">
      <c r="A42" s="13">
        <v>31</v>
      </c>
      <c r="B42" s="41" t="s">
        <v>41</v>
      </c>
      <c r="C42" s="17" t="s">
        <v>95</v>
      </c>
      <c r="D42" s="21">
        <v>0</v>
      </c>
      <c r="E42" s="21">
        <v>96473</v>
      </c>
      <c r="F42" s="21">
        <v>0</v>
      </c>
      <c r="G42" s="21">
        <v>0</v>
      </c>
      <c r="H42" s="24" t="s">
        <v>42</v>
      </c>
    </row>
    <row r="43" spans="1:8" s="14" customFormat="1" ht="42" x14ac:dyDescent="0.3">
      <c r="A43" s="13">
        <v>32</v>
      </c>
      <c r="B43" s="41" t="s">
        <v>41</v>
      </c>
      <c r="C43" s="17" t="s">
        <v>51</v>
      </c>
      <c r="D43" s="21">
        <v>0</v>
      </c>
      <c r="E43" s="21">
        <v>231600</v>
      </c>
      <c r="F43" s="21">
        <v>0</v>
      </c>
      <c r="G43" s="21">
        <v>0</v>
      </c>
      <c r="H43" s="24" t="s">
        <v>42</v>
      </c>
    </row>
    <row r="44" spans="1:8" s="14" customFormat="1" ht="42" x14ac:dyDescent="0.3">
      <c r="A44" s="13">
        <v>33</v>
      </c>
      <c r="B44" s="41" t="s">
        <v>46</v>
      </c>
      <c r="C44" s="17" t="s">
        <v>96</v>
      </c>
      <c r="D44" s="21">
        <v>0</v>
      </c>
      <c r="E44" s="21">
        <f>(88272/24)/2*3</f>
        <v>5517</v>
      </c>
      <c r="F44" s="21">
        <v>0</v>
      </c>
      <c r="G44" s="21" t="s">
        <v>87</v>
      </c>
      <c r="H44" s="24" t="s">
        <v>42</v>
      </c>
    </row>
    <row r="45" spans="1:8" s="10" customFormat="1" ht="14" x14ac:dyDescent="0.3">
      <c r="A45" s="28" t="s">
        <v>18</v>
      </c>
      <c r="B45" s="29"/>
      <c r="C45" s="29"/>
      <c r="D45" s="30"/>
      <c r="E45" s="30"/>
      <c r="F45" s="30"/>
      <c r="G45" s="30"/>
      <c r="H45" s="31"/>
    </row>
    <row r="46" spans="1:8" s="14" customFormat="1" ht="38" x14ac:dyDescent="0.3">
      <c r="A46" s="13">
        <v>34</v>
      </c>
      <c r="B46" s="41" t="s">
        <v>54</v>
      </c>
      <c r="C46" s="18" t="s">
        <v>99</v>
      </c>
      <c r="D46" s="21">
        <v>0</v>
      </c>
      <c r="E46" s="21">
        <v>0</v>
      </c>
      <c r="F46" s="21">
        <v>0</v>
      </c>
      <c r="G46" s="21">
        <v>0</v>
      </c>
      <c r="H46" s="24" t="s">
        <v>55</v>
      </c>
    </row>
    <row r="47" spans="1:8" s="14" customFormat="1" ht="28" x14ac:dyDescent="0.3">
      <c r="A47" s="13">
        <v>35</v>
      </c>
      <c r="B47" s="41" t="s">
        <v>70</v>
      </c>
      <c r="C47" s="17" t="s">
        <v>97</v>
      </c>
      <c r="D47" s="21">
        <v>0</v>
      </c>
      <c r="E47" s="21">
        <v>0</v>
      </c>
      <c r="F47" s="21">
        <v>65000</v>
      </c>
      <c r="G47" s="21">
        <v>0</v>
      </c>
      <c r="H47" s="24" t="s">
        <v>68</v>
      </c>
    </row>
    <row r="48" spans="1:8" s="14" customFormat="1" ht="25.5" x14ac:dyDescent="0.3">
      <c r="A48" s="13">
        <v>36</v>
      </c>
      <c r="B48" s="41" t="s">
        <v>70</v>
      </c>
      <c r="C48" s="17" t="s">
        <v>82</v>
      </c>
      <c r="D48" s="21">
        <v>0</v>
      </c>
      <c r="E48" s="21">
        <v>0</v>
      </c>
      <c r="F48" s="21">
        <v>0</v>
      </c>
      <c r="G48" s="21">
        <v>0</v>
      </c>
      <c r="H48" s="24" t="s">
        <v>68</v>
      </c>
    </row>
    <row r="49" spans="1:8" s="14" customFormat="1" ht="25.5" x14ac:dyDescent="0.3">
      <c r="A49" s="13">
        <v>37</v>
      </c>
      <c r="B49" s="41" t="s">
        <v>70</v>
      </c>
      <c r="C49" s="17" t="s">
        <v>71</v>
      </c>
      <c r="D49" s="21">
        <v>0</v>
      </c>
      <c r="E49" s="21">
        <v>0</v>
      </c>
      <c r="F49" s="21">
        <v>0</v>
      </c>
      <c r="G49" s="21">
        <v>0</v>
      </c>
      <c r="H49" s="24" t="s">
        <v>68</v>
      </c>
    </row>
    <row r="50" spans="1:8" s="14" customFormat="1" ht="28" x14ac:dyDescent="0.3">
      <c r="A50" s="13">
        <v>38</v>
      </c>
      <c r="B50" s="41" t="s">
        <v>70</v>
      </c>
      <c r="C50" s="17" t="s">
        <v>98</v>
      </c>
      <c r="D50" s="21">
        <v>0</v>
      </c>
      <c r="E50" s="21">
        <v>3000000</v>
      </c>
      <c r="F50" s="21">
        <v>0</v>
      </c>
      <c r="G50" s="21">
        <v>0</v>
      </c>
      <c r="H50" s="24" t="s">
        <v>68</v>
      </c>
    </row>
    <row r="51" spans="1:8" s="14" customFormat="1" ht="28" x14ac:dyDescent="0.3">
      <c r="A51" s="13">
        <v>39</v>
      </c>
      <c r="B51" s="41" t="s">
        <v>70</v>
      </c>
      <c r="C51" s="17" t="s">
        <v>86</v>
      </c>
      <c r="D51" s="21">
        <v>0</v>
      </c>
      <c r="E51" s="21">
        <v>5000000</v>
      </c>
      <c r="F51" s="21">
        <v>0</v>
      </c>
      <c r="G51" s="21">
        <v>0</v>
      </c>
      <c r="H51" s="24" t="s">
        <v>68</v>
      </c>
    </row>
    <row r="52" spans="1:8" s="14" customFormat="1" ht="28" x14ac:dyDescent="0.3">
      <c r="A52" s="13">
        <v>40</v>
      </c>
      <c r="B52" s="17" t="s">
        <v>70</v>
      </c>
      <c r="C52" s="17" t="s">
        <v>83</v>
      </c>
      <c r="D52" s="21">
        <v>0</v>
      </c>
      <c r="E52" s="21">
        <v>0</v>
      </c>
      <c r="F52" s="21">
        <v>0</v>
      </c>
      <c r="G52" s="21">
        <v>0</v>
      </c>
      <c r="H52" s="24" t="s">
        <v>68</v>
      </c>
    </row>
    <row r="53" spans="1:8" s="14" customFormat="1" ht="14" x14ac:dyDescent="0.3">
      <c r="A53" s="13">
        <v>41</v>
      </c>
      <c r="B53" s="41" t="s">
        <v>65</v>
      </c>
      <c r="C53" s="17" t="s">
        <v>84</v>
      </c>
      <c r="D53" s="21">
        <v>0</v>
      </c>
      <c r="E53" s="21">
        <v>160731</v>
      </c>
      <c r="F53" s="21">
        <v>0</v>
      </c>
      <c r="G53" s="21" t="s">
        <v>85</v>
      </c>
      <c r="H53" s="24" t="s">
        <v>60</v>
      </c>
    </row>
    <row r="54" spans="1:8" s="14" customFormat="1" ht="28" x14ac:dyDescent="0.3">
      <c r="A54" s="13">
        <v>42</v>
      </c>
      <c r="B54" s="17" t="s">
        <v>92</v>
      </c>
      <c r="C54" s="17" t="s">
        <v>93</v>
      </c>
      <c r="D54" s="21">
        <v>0</v>
      </c>
      <c r="E54" s="21">
        <v>0</v>
      </c>
      <c r="F54" s="21">
        <v>0</v>
      </c>
      <c r="G54" s="21">
        <v>0</v>
      </c>
      <c r="H54" s="24" t="s">
        <v>74</v>
      </c>
    </row>
    <row r="55" spans="1:8" s="10" customFormat="1" ht="14" x14ac:dyDescent="0.3">
      <c r="A55" s="28" t="s">
        <v>12</v>
      </c>
      <c r="B55" s="29"/>
      <c r="C55" s="29"/>
      <c r="D55" s="30"/>
      <c r="E55" s="30"/>
      <c r="F55" s="30"/>
      <c r="G55" s="30"/>
      <c r="H55" s="31"/>
    </row>
    <row r="56" spans="1:8" s="12" customFormat="1" ht="38" x14ac:dyDescent="0.3">
      <c r="A56" s="38">
        <v>43</v>
      </c>
      <c r="B56" s="40" t="s">
        <v>56</v>
      </c>
      <c r="C56" s="18" t="s">
        <v>57</v>
      </c>
      <c r="D56" s="20">
        <v>10700000</v>
      </c>
      <c r="E56" s="20">
        <v>0</v>
      </c>
      <c r="F56" s="20">
        <v>0</v>
      </c>
      <c r="G56" s="20">
        <v>0</v>
      </c>
      <c r="H56" s="23" t="s">
        <v>55</v>
      </c>
    </row>
    <row r="57" spans="1:8" s="16" customFormat="1" ht="14.5" thickBot="1" x14ac:dyDescent="0.35">
      <c r="A57" s="15" t="s">
        <v>20</v>
      </c>
      <c r="B57" s="32"/>
      <c r="C57" s="32"/>
      <c r="D57" s="22">
        <f>SUM(D6:D56)</f>
        <v>11387500</v>
      </c>
      <c r="E57" s="22">
        <f>SUM(E6:E56)</f>
        <v>338969697</v>
      </c>
      <c r="F57" s="22">
        <f>SUM(F6:F56)</f>
        <v>8563120</v>
      </c>
      <c r="G57" s="33" t="s">
        <v>100</v>
      </c>
      <c r="H57" s="34"/>
    </row>
    <row r="58" spans="1:8" ht="13" thickTop="1" x14ac:dyDescent="0.25"/>
  </sheetData>
  <mergeCells count="1">
    <mergeCell ref="A1:H1"/>
  </mergeCells>
  <phoneticPr fontId="0" type="noConversion"/>
  <hyperlinks>
    <hyperlink ref="B6" r:id="rId1"/>
    <hyperlink ref="B7" r:id="rId2"/>
    <hyperlink ref="B8" r:id="rId3"/>
    <hyperlink ref="B9" r:id="rId4"/>
    <hyperlink ref="B10" r:id="rId5"/>
    <hyperlink ref="B11" r:id="rId6"/>
    <hyperlink ref="B13" r:id="rId7"/>
    <hyperlink ref="B14" r:id="rId8"/>
    <hyperlink ref="B15" r:id="rId9"/>
    <hyperlink ref="B17" r:id="rId10"/>
    <hyperlink ref="B18" r:id="rId11"/>
    <hyperlink ref="B19" r:id="rId12"/>
    <hyperlink ref="B21" r:id="rId13"/>
    <hyperlink ref="B23" r:id="rId14"/>
    <hyperlink ref="B26" r:id="rId15"/>
    <hyperlink ref="B27" r:id="rId16"/>
    <hyperlink ref="B29" r:id="rId17"/>
    <hyperlink ref="B30" r:id="rId18"/>
    <hyperlink ref="B31" r:id="rId19"/>
    <hyperlink ref="B32" r:id="rId20"/>
    <hyperlink ref="B34" r:id="rId21"/>
    <hyperlink ref="B35" r:id="rId22"/>
    <hyperlink ref="B36" r:id="rId23"/>
    <hyperlink ref="B39" r:id="rId24"/>
    <hyperlink ref="B40" r:id="rId25"/>
    <hyperlink ref="B41" r:id="rId26"/>
    <hyperlink ref="B42" r:id="rId27"/>
    <hyperlink ref="B43" r:id="rId28"/>
    <hyperlink ref="B44" r:id="rId29"/>
    <hyperlink ref="B46" r:id="rId30"/>
    <hyperlink ref="B47" r:id="rId31"/>
    <hyperlink ref="B48" r:id="rId32"/>
    <hyperlink ref="B49" r:id="rId33"/>
    <hyperlink ref="B50" r:id="rId34"/>
    <hyperlink ref="B51" r:id="rId35"/>
    <hyperlink ref="B53" r:id="rId36"/>
    <hyperlink ref="B56" r:id="rId37"/>
  </hyperlinks>
  <pageMargins left="0.3" right="0.25" top="0.4" bottom="0.4" header="0.5" footer="0.3"/>
  <pageSetup scale="80" orientation="landscape" r:id="rId38"/>
  <headerFooter alignWithMargins="0">
    <oddFooter>&amp;C&amp;P</oddFooter>
  </headerFooter>
  <rowBreaks count="2" manualBreakCount="2">
    <brk id="24" max="7" man="1"/>
    <brk id="44"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Letlong</vt:lpstr>
      <vt:lpstr>Letlong!Print_Area</vt:lpstr>
      <vt:lpstr>Letlong!Print_Titles</vt:lpstr>
    </vt:vector>
  </TitlesOfParts>
  <Company>BAM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Stacey Podrabsky</dc:creator>
  <cp:lastModifiedBy>Carina Negreanu</cp:lastModifiedBy>
  <cp:lastPrinted>2004-01-21T19:42:11Z</cp:lastPrinted>
  <dcterms:created xsi:type="dcterms:W3CDTF">1999-09-20T22:39:51Z</dcterms:created>
  <dcterms:modified xsi:type="dcterms:W3CDTF">2020-01-27T11:47:05Z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-1702730566</vt:i4>
  </property>
  <property fmtid="{D5CDD505-2E9C-101B-9397-08002B2CF9AE}" pid="3" name="_EmailSubject">
    <vt:lpwstr>Web Update</vt:lpwstr>
  </property>
  <property fmtid="{D5CDD505-2E9C-101B-9397-08002B2CF9AE}" pid="4" name="_AuthorEmail">
    <vt:lpwstr>Stacey.R.HALL@das.state.or.us</vt:lpwstr>
  </property>
  <property fmtid="{D5CDD505-2E9C-101B-9397-08002B2CF9AE}" pid="5" name="_AuthorEmailDisplayName">
    <vt:lpwstr>HALL Stacey R * DAS BAM</vt:lpwstr>
  </property>
  <property fmtid="{D5CDD505-2E9C-101B-9397-08002B2CF9AE}" pid="6" name="_ReviewingToolsShownOnce">
    <vt:lpwstr/>
  </property>
</Properties>
</file>