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370094-BE12-491E-8A32-C2F68AC1BBCC}" xr6:coauthVersionLast="45" xr6:coauthVersionMax="45" xr10:uidLastSave="{00000000-0000-0000-0000-000000000000}"/>
  <bookViews>
    <workbookView xWindow="3420" yWindow="3420" windowWidth="28800" windowHeight="15460"/>
  </bookViews>
  <sheets>
    <sheet name="Drift Velocity GaAs" sheetId="1" r:id="rId1"/>
  </sheets>
  <definedNames>
    <definedName name="__123Graph_A" localSheetId="0" hidden="1">'Drift Velocity GaAs'!$D$5:$D$15</definedName>
    <definedName name="__123Graph_X" localSheetId="0" hidden="1">'Drift Velocity GaAs'!$B$5:$B$15</definedName>
    <definedName name="_Fill" localSheetId="0" hidden="1">'Drift Velocity GaAs'!$B$5:$B$15</definedName>
    <definedName name="_Regression_Int" localSheetId="0" hidden="1">1</definedName>
    <definedName name="B">'Drift Velocity GaAs'!$H$5</definedName>
    <definedName name="E0">'Drift Velocity GaAs'!$H$3</definedName>
    <definedName name="K">'Drift Velocity GaAs'!$H$6</definedName>
    <definedName name="_MU1">'Drift Velocity GaAs'!$H$4</definedName>
  </definedNames>
  <calcPr calcId="0" calcOnSave="0"/>
</workbook>
</file>

<file path=xl/calcChain.xml><?xml version="1.0" encoding="utf-8"?>
<calcChain xmlns="http://schemas.openxmlformats.org/spreadsheetml/2006/main">
  <c r="C5" i="1" l="1"/>
  <c r="D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</calcChain>
</file>

<file path=xl/sharedStrings.xml><?xml version="1.0" encoding="utf-8"?>
<sst xmlns="http://schemas.openxmlformats.org/spreadsheetml/2006/main" count="15" uniqueCount="15">
  <si>
    <t>Drift velocity and mobility in GaAs</t>
  </si>
  <si>
    <t>Fitting Parameters</t>
  </si>
  <si>
    <t>E field</t>
  </si>
  <si>
    <t>F</t>
  </si>
  <si>
    <t>Drift vel</t>
  </si>
  <si>
    <t>Mobility</t>
  </si>
  <si>
    <t>E0 =</t>
  </si>
  <si>
    <t>V/cm</t>
  </si>
  <si>
    <t>(V/cm)</t>
  </si>
  <si>
    <t>(cm/s)</t>
  </si>
  <si>
    <r>
      <t>(cm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/V-s)</t>
    </r>
  </si>
  <si>
    <t>mu1 =</t>
  </si>
  <si>
    <r>
      <t>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/V-s</t>
    </r>
  </si>
  <si>
    <t>B =</t>
  </si>
  <si>
    <t>k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</si>
</sst>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3" formatCode="General_)"/>
  </numFmts>
  <fonts count="5" x14ac:knownFonts="1">
    <font>
      <sz val="10"/>
      <name val="Arial"/>
    </font>
    <font>
      <sz val="10"/>
      <name val="MS Sans Serif"/>
    </font>
    <font>
      <sz val="10"/>
      <name val="Courier"/>
    </font>
    <font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73" fontId="2" fillId="0" borderId="0"/>
  </cellStyleXfs>
  <cellXfs count="32">
    <xf numFmtId="0" fontId="0" fillId="0" borderId="0" xfId="0"/>
    <xf numFmtId="173" fontId="3" fillId="0" borderId="0" xfId="1" applyFont="1" applyAlignment="1" applyProtection="1">
      <alignment horizontal="left"/>
    </xf>
    <xf numFmtId="173" fontId="3" fillId="0" borderId="0" xfId="1" applyFont="1"/>
    <xf numFmtId="0" fontId="0" fillId="0" borderId="0" xfId="0" applyAlignment="1">
      <alignment horizontal="centerContinuous"/>
    </xf>
    <xf numFmtId="173" fontId="3" fillId="0" borderId="0" xfId="1" applyFont="1" applyAlignment="1">
      <alignment horizontal="centerContinuous"/>
    </xf>
    <xf numFmtId="173" fontId="3" fillId="0" borderId="1" xfId="1" applyFont="1" applyBorder="1" applyAlignment="1" applyProtection="1">
      <alignment horizontal="center"/>
    </xf>
    <xf numFmtId="173" fontId="3" fillId="0" borderId="2" xfId="1" applyFont="1" applyBorder="1" applyAlignment="1" applyProtection="1">
      <alignment horizontal="center"/>
    </xf>
    <xf numFmtId="173" fontId="3" fillId="0" borderId="3" xfId="1" applyFont="1" applyBorder="1" applyAlignment="1" applyProtection="1">
      <alignment horizontal="center"/>
    </xf>
    <xf numFmtId="173" fontId="3" fillId="0" borderId="1" xfId="1" applyFont="1" applyBorder="1" applyAlignment="1" applyProtection="1">
      <alignment horizontal="left"/>
    </xf>
    <xf numFmtId="173" fontId="3" fillId="0" borderId="3" xfId="1" applyFont="1" applyBorder="1" applyAlignment="1" applyProtection="1">
      <alignment horizontal="left"/>
    </xf>
    <xf numFmtId="173" fontId="3" fillId="0" borderId="4" xfId="1" applyFont="1" applyBorder="1" applyAlignment="1" applyProtection="1">
      <alignment horizontal="center"/>
    </xf>
    <xf numFmtId="173" fontId="3" fillId="0" borderId="5" xfId="1" applyFont="1" applyBorder="1"/>
    <xf numFmtId="173" fontId="3" fillId="0" borderId="5" xfId="1" applyFont="1" applyBorder="1" applyAlignment="1" applyProtection="1">
      <alignment horizontal="center"/>
    </xf>
    <xf numFmtId="173" fontId="3" fillId="0" borderId="6" xfId="1" applyFont="1" applyBorder="1" applyAlignment="1" applyProtection="1">
      <alignment horizontal="center"/>
    </xf>
    <xf numFmtId="173" fontId="3" fillId="0" borderId="4" xfId="1" applyFont="1" applyBorder="1" applyAlignment="1" applyProtection="1">
      <alignment horizontal="left"/>
    </xf>
    <xf numFmtId="173" fontId="3" fillId="0" borderId="6" xfId="1" applyFont="1" applyBorder="1" applyAlignment="1" applyProtection="1">
      <alignment horizontal="left"/>
    </xf>
    <xf numFmtId="173" fontId="3" fillId="0" borderId="3" xfId="1" applyFont="1" applyBorder="1"/>
    <xf numFmtId="173" fontId="3" fillId="0" borderId="6" xfId="1" applyFont="1" applyBorder="1"/>
    <xf numFmtId="2" fontId="3" fillId="0" borderId="2" xfId="1" applyNumberFormat="1" applyFont="1" applyBorder="1" applyProtection="1"/>
    <xf numFmtId="2" fontId="3" fillId="0" borderId="0" xfId="1" applyNumberFormat="1" applyFont="1" applyBorder="1" applyProtection="1"/>
    <xf numFmtId="2" fontId="3" fillId="0" borderId="5" xfId="1" applyNumberFormat="1" applyFont="1" applyBorder="1" applyProtection="1"/>
    <xf numFmtId="11" fontId="3" fillId="0" borderId="2" xfId="1" applyNumberFormat="1" applyFont="1" applyBorder="1" applyProtection="1"/>
    <xf numFmtId="11" fontId="3" fillId="0" borderId="3" xfId="1" applyNumberFormat="1" applyFont="1" applyBorder="1" applyProtection="1"/>
    <xf numFmtId="11" fontId="3" fillId="0" borderId="0" xfId="1" applyNumberFormat="1" applyFont="1" applyBorder="1" applyProtection="1"/>
    <xf numFmtId="11" fontId="3" fillId="0" borderId="7" xfId="1" applyNumberFormat="1" applyFont="1" applyBorder="1" applyProtection="1"/>
    <xf numFmtId="11" fontId="3" fillId="0" borderId="5" xfId="1" applyNumberFormat="1" applyFont="1" applyBorder="1" applyProtection="1"/>
    <xf numFmtId="11" fontId="3" fillId="0" borderId="6" xfId="1" applyNumberFormat="1" applyFont="1" applyBorder="1" applyProtection="1"/>
    <xf numFmtId="0" fontId="3" fillId="0" borderId="2" xfId="1" applyNumberFormat="1" applyFont="1" applyBorder="1" applyProtection="1"/>
    <xf numFmtId="0" fontId="3" fillId="0" borderId="5" xfId="1" applyNumberFormat="1" applyFont="1" applyBorder="1" applyProtection="1"/>
    <xf numFmtId="1" fontId="3" fillId="0" borderId="1" xfId="1" applyNumberFormat="1" applyFont="1" applyBorder="1" applyProtection="1"/>
    <xf numFmtId="1" fontId="3" fillId="0" borderId="8" xfId="1" applyNumberFormat="1" applyFont="1" applyBorder="1" applyProtection="1"/>
    <xf numFmtId="1" fontId="3" fillId="0" borderId="4" xfId="1" applyNumberFormat="1" applyFont="1" applyBorder="1" applyProtection="1"/>
  </cellXfs>
  <cellStyles count="2">
    <cellStyle name="Normal" xfId="0" builtinId="0"/>
    <cellStyle name="Normal_Prob 2.10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65214167420236"/>
          <c:y val="8.6959589554533798E-2"/>
          <c:w val="0.57413615773888615"/>
          <c:h val="0.69567671643627038"/>
        </c:manualLayout>
      </c:layout>
      <c:scatterChart>
        <c:scatterStyle val="lineMarker"/>
        <c:varyColors val="0"/>
        <c:ser>
          <c:idx val="1"/>
          <c:order val="0"/>
          <c:tx>
            <c:v>Drift Velocity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'Drift Velocity GaAs'!$B$5:$B$15</c:f>
              <c:numCache>
                <c:formatCode>0</c:formatCode>
                <c:ptCount val="1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'Drift Velocity GaAs'!$D$5:$D$15</c:f>
              <c:numCache>
                <c:formatCode>0.00E+00</c:formatCode>
                <c:ptCount val="11"/>
                <c:pt idx="0">
                  <c:v>0</c:v>
                </c:pt>
                <c:pt idx="1">
                  <c:v>7970428.0155642023</c:v>
                </c:pt>
                <c:pt idx="2">
                  <c:v>15105882.352941176</c:v>
                </c:pt>
                <c:pt idx="3">
                  <c:v>18519881.305637982</c:v>
                </c:pt>
                <c:pt idx="4">
                  <c:v>16800000</c:v>
                </c:pt>
                <c:pt idx="5">
                  <c:v>13041997.72985244</c:v>
                </c:pt>
                <c:pt idx="6">
                  <c:v>9921649.4845360816</c:v>
                </c:pt>
                <c:pt idx="7">
                  <c:v>7925780.9559653746</c:v>
                </c:pt>
                <c:pt idx="8">
                  <c:v>6776470.5882352944</c:v>
                </c:pt>
                <c:pt idx="9">
                  <c:v>6168637.2304532789</c:v>
                </c:pt>
                <c:pt idx="10">
                  <c:v>5897035.8814352574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1-489A-8167-69E18303E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819679"/>
        <c:axId val="1"/>
      </c:scatterChart>
      <c:scatterChart>
        <c:scatterStyle val="lineMarker"/>
        <c:varyColors val="0"/>
        <c:ser>
          <c:idx val="2"/>
          <c:order val="1"/>
          <c:tx>
            <c:v>Mobility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'Drift Velocity GaAs'!$B$6:$B$15</c:f>
              <c:numCache>
                <c:formatCode>0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'Drift Velocity GaAs'!$E$6:$E$15</c:f>
              <c:numCache>
                <c:formatCode>0.00E+00</c:formatCode>
                <c:ptCount val="10"/>
                <c:pt idx="0">
                  <c:v>7970.4280155642027</c:v>
                </c:pt>
                <c:pt idx="1">
                  <c:v>7552.9411764705883</c:v>
                </c:pt>
                <c:pt idx="2">
                  <c:v>6173.2937685459938</c:v>
                </c:pt>
                <c:pt idx="3">
                  <c:v>4200</c:v>
                </c:pt>
                <c:pt idx="4">
                  <c:v>2608.3995459704879</c:v>
                </c:pt>
                <c:pt idx="5">
                  <c:v>1653.6082474226803</c:v>
                </c:pt>
                <c:pt idx="6">
                  <c:v>1132.2544222807678</c:v>
                </c:pt>
                <c:pt idx="7">
                  <c:v>847.05882352941182</c:v>
                </c:pt>
                <c:pt idx="8">
                  <c:v>685.40413671703095</c:v>
                </c:pt>
                <c:pt idx="9">
                  <c:v>589.70358814352574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1-489A-8167-69E18303E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5581967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Electric Field (V/cm)</a:t>
                </a:r>
              </a:p>
            </c:rich>
          </c:tx>
          <c:layout>
            <c:manualLayout>
              <c:xMode val="edge"/>
              <c:yMode val="edge"/>
              <c:x val="0.35295255598702019"/>
              <c:y val="0.874711165519133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Drift Velocity (cm/s)</a:t>
                </a:r>
              </a:p>
            </c:rich>
          </c:tx>
          <c:layout>
            <c:manualLayout>
              <c:xMode val="edge"/>
              <c:yMode val="edge"/>
              <c:x val="2.353017039913468E-2"/>
              <c:y val="0.240417688768416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5819679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Mobility (cm</a:t>
                </a:r>
                <a:r>
                  <a:rPr lang="en-GB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/V-s)</a:t>
                </a:r>
              </a:p>
            </c:rich>
          </c:tx>
          <c:layout>
            <c:manualLayout>
              <c:xMode val="edge"/>
              <c:yMode val="edge"/>
              <c:x val="0.831791523609411"/>
              <c:y val="0.260878768663601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0236913802152539"/>
          <c:y val="0.1739191791090676"/>
          <c:w val="0.17177024391368317"/>
          <c:h val="0.13043938433180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158750</xdr:colOff>
      <xdr:row>0</xdr:row>
      <xdr:rowOff>44450</xdr:rowOff>
    </xdr:from>
    <xdr:to>
      <xdr:col>18</xdr:col>
      <xdr:colOff>120650</xdr:colOff>
      <xdr:row>15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BDB9A30-7A8E-4174-852B-DCBBB4EAC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I17"/>
  <sheetViews>
    <sheetView showGridLines="0" tabSelected="1" workbookViewId="0"/>
  </sheetViews>
  <sheetFormatPr defaultColWidth="9.7265625" defaultRowHeight="12.5" x14ac:dyDescent="0.25"/>
  <cols>
    <col min="1" max="1" width="2.81640625" style="2" customWidth="1"/>
    <col min="2" max="3" width="9.7265625" style="2"/>
    <col min="4" max="5" width="12.7265625" style="2" customWidth="1"/>
    <col min="6" max="6" width="4.26953125" style="2" customWidth="1"/>
    <col min="7" max="7" width="6.26953125" style="2" customWidth="1"/>
    <col min="8" max="8" width="7.1796875" style="2" customWidth="1"/>
    <col min="9" max="9" width="8.26953125" style="2" customWidth="1"/>
    <col min="10" max="10" width="7" style="2" customWidth="1"/>
    <col min="11" max="16384" width="9.7265625" style="2"/>
  </cols>
  <sheetData>
    <row r="1" spans="1:9" x14ac:dyDescent="0.25">
      <c r="A1" s="1" t="s">
        <v>0</v>
      </c>
      <c r="B1"/>
      <c r="E1"/>
      <c r="F1"/>
      <c r="G1"/>
      <c r="H1"/>
      <c r="I1"/>
    </row>
    <row r="2" spans="1:9" ht="13" thickBot="1" x14ac:dyDescent="0.3">
      <c r="B2"/>
      <c r="E2"/>
      <c r="F2"/>
      <c r="G2" s="3" t="s">
        <v>1</v>
      </c>
      <c r="H2" s="4"/>
      <c r="I2" s="4"/>
    </row>
    <row r="3" spans="1:9" x14ac:dyDescent="0.25">
      <c r="B3" s="5" t="s">
        <v>2</v>
      </c>
      <c r="C3" s="6" t="s">
        <v>3</v>
      </c>
      <c r="D3" s="6" t="s">
        <v>4</v>
      </c>
      <c r="E3" s="7" t="s">
        <v>5</v>
      </c>
      <c r="F3"/>
      <c r="G3" s="8" t="s">
        <v>6</v>
      </c>
      <c r="H3" s="27">
        <v>4000</v>
      </c>
      <c r="I3" s="9" t="s">
        <v>7</v>
      </c>
    </row>
    <row r="4" spans="1:9" ht="15" thickBot="1" x14ac:dyDescent="0.3">
      <c r="B4" s="10" t="s">
        <v>8</v>
      </c>
      <c r="C4" s="11"/>
      <c r="D4" s="12" t="s">
        <v>9</v>
      </c>
      <c r="E4" s="13" t="s">
        <v>10</v>
      </c>
      <c r="F4"/>
      <c r="G4" s="14" t="s">
        <v>11</v>
      </c>
      <c r="H4" s="28">
        <v>8000</v>
      </c>
      <c r="I4" s="15" t="s">
        <v>12</v>
      </c>
    </row>
    <row r="5" spans="1:9" x14ac:dyDescent="0.25">
      <c r="B5" s="29">
        <v>0</v>
      </c>
      <c r="C5" s="18">
        <f t="shared" ref="C5:C15" si="0">B5/E0</f>
        <v>0</v>
      </c>
      <c r="D5" s="21">
        <f t="shared" ref="D5:D15" si="1">_MU1*B5*(1+B*C5^K)/(1+C5^K)</f>
        <v>0</v>
      </c>
      <c r="E5" s="22">
        <v>0</v>
      </c>
      <c r="G5" s="8" t="s">
        <v>13</v>
      </c>
      <c r="H5" s="27">
        <v>0.05</v>
      </c>
      <c r="I5" s="16"/>
    </row>
    <row r="6" spans="1:9" ht="13" thickBot="1" x14ac:dyDescent="0.3">
      <c r="B6" s="30">
        <v>1000</v>
      </c>
      <c r="C6" s="19">
        <f t="shared" si="0"/>
        <v>0.25</v>
      </c>
      <c r="D6" s="23">
        <f t="shared" si="1"/>
        <v>7970428.0155642023</v>
      </c>
      <c r="E6" s="24">
        <f t="shared" ref="E6:E15" si="2">D6/B6</f>
        <v>7970.4280155642027</v>
      </c>
      <c r="G6" s="14" t="s">
        <v>14</v>
      </c>
      <c r="H6" s="28">
        <v>4</v>
      </c>
      <c r="I6" s="17"/>
    </row>
    <row r="7" spans="1:9" x14ac:dyDescent="0.25">
      <c r="B7" s="30">
        <v>2000</v>
      </c>
      <c r="C7" s="19">
        <f t="shared" si="0"/>
        <v>0.5</v>
      </c>
      <c r="D7" s="23">
        <f t="shared" si="1"/>
        <v>15105882.352941176</v>
      </c>
      <c r="E7" s="24">
        <f t="shared" si="2"/>
        <v>7552.9411764705883</v>
      </c>
      <c r="G7"/>
      <c r="H7"/>
      <c r="I7"/>
    </row>
    <row r="8" spans="1:9" x14ac:dyDescent="0.25">
      <c r="B8" s="30">
        <v>3000</v>
      </c>
      <c r="C8" s="19">
        <f t="shared" si="0"/>
        <v>0.75</v>
      </c>
      <c r="D8" s="23">
        <f t="shared" si="1"/>
        <v>18519881.305637982</v>
      </c>
      <c r="E8" s="24">
        <f t="shared" si="2"/>
        <v>6173.2937685459938</v>
      </c>
      <c r="G8"/>
      <c r="H8"/>
      <c r="I8"/>
    </row>
    <row r="9" spans="1:9" x14ac:dyDescent="0.25">
      <c r="B9" s="30">
        <v>4000</v>
      </c>
      <c r="C9" s="19">
        <f t="shared" si="0"/>
        <v>1</v>
      </c>
      <c r="D9" s="23">
        <f t="shared" si="1"/>
        <v>16800000</v>
      </c>
      <c r="E9" s="24">
        <f t="shared" si="2"/>
        <v>4200</v>
      </c>
    </row>
    <row r="10" spans="1:9" x14ac:dyDescent="0.25">
      <c r="B10" s="30">
        <v>5000</v>
      </c>
      <c r="C10" s="19">
        <f t="shared" si="0"/>
        <v>1.25</v>
      </c>
      <c r="D10" s="23">
        <f t="shared" si="1"/>
        <v>13041997.72985244</v>
      </c>
      <c r="E10" s="24">
        <f t="shared" si="2"/>
        <v>2608.3995459704879</v>
      </c>
    </row>
    <row r="11" spans="1:9" x14ac:dyDescent="0.25">
      <c r="B11" s="30">
        <v>6000</v>
      </c>
      <c r="C11" s="19">
        <f t="shared" si="0"/>
        <v>1.5</v>
      </c>
      <c r="D11" s="23">
        <f t="shared" si="1"/>
        <v>9921649.4845360816</v>
      </c>
      <c r="E11" s="24">
        <f t="shared" si="2"/>
        <v>1653.6082474226803</v>
      </c>
    </row>
    <row r="12" spans="1:9" x14ac:dyDescent="0.25">
      <c r="B12" s="30">
        <v>7000</v>
      </c>
      <c r="C12" s="19">
        <f t="shared" si="0"/>
        <v>1.75</v>
      </c>
      <c r="D12" s="23">
        <f t="shared" si="1"/>
        <v>7925780.9559653746</v>
      </c>
      <c r="E12" s="24">
        <f t="shared" si="2"/>
        <v>1132.2544222807678</v>
      </c>
    </row>
    <row r="13" spans="1:9" x14ac:dyDescent="0.25">
      <c r="B13" s="30">
        <v>8000</v>
      </c>
      <c r="C13" s="19">
        <f t="shared" si="0"/>
        <v>2</v>
      </c>
      <c r="D13" s="23">
        <f t="shared" si="1"/>
        <v>6776470.5882352944</v>
      </c>
      <c r="E13" s="24">
        <f t="shared" si="2"/>
        <v>847.05882352941182</v>
      </c>
    </row>
    <row r="14" spans="1:9" x14ac:dyDescent="0.25">
      <c r="B14" s="30">
        <v>9000</v>
      </c>
      <c r="C14" s="19">
        <f t="shared" si="0"/>
        <v>2.25</v>
      </c>
      <c r="D14" s="23">
        <f t="shared" si="1"/>
        <v>6168637.2304532789</v>
      </c>
      <c r="E14" s="24">
        <f t="shared" si="2"/>
        <v>685.40413671703095</v>
      </c>
    </row>
    <row r="15" spans="1:9" ht="13" thickBot="1" x14ac:dyDescent="0.3">
      <c r="B15" s="31">
        <v>10000</v>
      </c>
      <c r="C15" s="20">
        <f t="shared" si="0"/>
        <v>2.5</v>
      </c>
      <c r="D15" s="25">
        <f t="shared" si="1"/>
        <v>5897035.8814352574</v>
      </c>
      <c r="E15" s="26">
        <f t="shared" si="2"/>
        <v>589.70358814352574</v>
      </c>
    </row>
    <row r="16" spans="1:9" x14ac:dyDescent="0.25">
      <c r="B16"/>
      <c r="C16"/>
      <c r="D16"/>
      <c r="E16"/>
    </row>
    <row r="17" spans="2:5" x14ac:dyDescent="0.25">
      <c r="B17"/>
      <c r="C17"/>
      <c r="D17"/>
      <c r="E17"/>
    </row>
  </sheetData>
  <printOptions gridLinesSet="0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Drift Velocity GaAs</vt:lpstr>
      <vt:lpstr>B</vt:lpstr>
      <vt:lpstr>E0</vt:lpstr>
      <vt:lpstr>K</vt:lpstr>
      <vt:lpstr>MU1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2020-01-27T11:29:48Z</dcterms:created>
  <dcterms:modified xsi:type="dcterms:W3CDTF">2020-01-27T11:29:50Z</dcterms:modified>
</cp:coreProperties>
</file>