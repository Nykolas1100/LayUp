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7C39222-2F57-4EE1-ADF1-7DC8EC505501}" xr6:coauthVersionLast="45" xr6:coauthVersionMax="45" xr10:uidLastSave="{00000000-0000-0000-0000-000000000000}"/>
  <bookViews>
    <workbookView xWindow="3420" yWindow="3420" windowWidth="28800" windowHeight="15460"/>
  </bookViews>
  <sheets>
    <sheet name="Autumn 2003 Contract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1" i="1" l="1"/>
</calcChain>
</file>

<file path=xl/sharedStrings.xml><?xml version="1.0" encoding="utf-8"?>
<sst xmlns="http://schemas.openxmlformats.org/spreadsheetml/2006/main" count="196" uniqueCount="77">
  <si>
    <t>Contractor Name</t>
  </si>
  <si>
    <t>Total value of the consideration</t>
  </si>
  <si>
    <t>Subject matter of contract</t>
  </si>
  <si>
    <t>Confidentiality provisions</t>
  </si>
  <si>
    <t>Are there any other confidentiality provisions</t>
  </si>
  <si>
    <t>The reason for the confidentiality</t>
  </si>
  <si>
    <t>No</t>
  </si>
  <si>
    <t>Yes</t>
  </si>
  <si>
    <t>Contract contains commercially sensitive information</t>
  </si>
  <si>
    <t>National Polluntant Inventory implementation - Memorandum of Understanding with WA</t>
  </si>
  <si>
    <t>National Polluntant Inventory implementation - Memorandum of Understanding with NSW</t>
  </si>
  <si>
    <t>National Polluntant Inventory implementation - Memorandum of Understanding with Victoria</t>
  </si>
  <si>
    <t>National Polluntant Inventory implementation - Memorandum of Understanding with Qld</t>
  </si>
  <si>
    <t>Installation of waste oil collection facilities in Victoria</t>
  </si>
  <si>
    <t>Develop and trial technology to recycle oil packaging</t>
  </si>
  <si>
    <t>Installation of  waste oil collection facilities in the Riverina region of NSW</t>
  </si>
  <si>
    <t>Particle Composition in Australian Cities</t>
  </si>
  <si>
    <t>Testing the effects of 20% ethanol blends on vehicles</t>
  </si>
  <si>
    <t>Testing the effects of 10 and 20% ethanol on non-automotive engines</t>
  </si>
  <si>
    <t>Testing the effects of 10 and 20% ethanol on a small batch of marine outboard engines</t>
  </si>
  <si>
    <t>Diesel NEPM funding to establish a vehicle emissions testing program in South Australia.</t>
  </si>
  <si>
    <t>Management Services for the National Halon Bank</t>
  </si>
  <si>
    <t>Collection and Transportation of Halon Fire Extinguishers for the National Halon Bank</t>
  </si>
  <si>
    <t>Rental on Commonwealth Property occupied by the National Halon Bank - 10 year lease commitment.</t>
  </si>
  <si>
    <t>Testing of fuel samples under Fuel Quality Standards Act 2000</t>
  </si>
  <si>
    <t>Determine Dioxin levels in Agricultural commodities</t>
  </si>
  <si>
    <t>Agreement with  QLD to collect unused and unwanted AGVET chemicals</t>
  </si>
  <si>
    <t>Agreement with TAS to collect unused and unwanted AGVET chemicals</t>
  </si>
  <si>
    <t>Agreement with WA to collect unused and unwanted AGVET chemicals</t>
  </si>
  <si>
    <t>Commonwealth's contribution to the operating costs of the National Environmental Protection Council</t>
  </si>
  <si>
    <t>Prime Minister's Environmentalist of the Year Award</t>
  </si>
  <si>
    <t>Dept of Education and Training Vic</t>
  </si>
  <si>
    <t>Environmental Education - Formal Schooling</t>
  </si>
  <si>
    <t>Veg Service Level Agreemt: Progress pymt</t>
  </si>
  <si>
    <t>Veg Service Level Agreement</t>
  </si>
  <si>
    <t xml:space="preserve">Progress claim no.8 for Darwin Office   </t>
  </si>
  <si>
    <t xml:space="preserve">Provision of financial mgt trainining   </t>
  </si>
  <si>
    <t xml:space="preserve">Darwin International Airport       </t>
  </si>
  <si>
    <t xml:space="preserve">Rental of Darwin office Feb - July       </t>
  </si>
  <si>
    <t>Rental of Darwin office for period July to Jan</t>
  </si>
  <si>
    <t xml:space="preserve">Kimberley Land Council             </t>
  </si>
  <si>
    <t>State Library of SA Foundation Inc</t>
  </si>
  <si>
    <t xml:space="preserve">Mr &amp; Mrs Gavin Larkins             </t>
  </si>
  <si>
    <t xml:space="preserve">Pukatja Community Inc             </t>
  </si>
  <si>
    <t>Australian Council of National</t>
  </si>
  <si>
    <t xml:space="preserve">King Island Council          </t>
  </si>
  <si>
    <t xml:space="preserve">Presbyterian &amp; Methodist School    </t>
  </si>
  <si>
    <t xml:space="preserve">Banksia Environmental Foundation  </t>
  </si>
  <si>
    <t xml:space="preserve">CSIRO Sustainable Ecosystems     </t>
  </si>
  <si>
    <t xml:space="preserve">Barclay Mowlem Construction Ltd  </t>
  </si>
  <si>
    <t xml:space="preserve">Major Training Services            </t>
  </si>
  <si>
    <t xml:space="preserve">Waratah Wynard Council          </t>
  </si>
  <si>
    <t xml:space="preserve">One-off payment - grant in aid program  </t>
  </si>
  <si>
    <t xml:space="preserve">Dept of Environmental Protection   </t>
  </si>
  <si>
    <t xml:space="preserve">Environment Protection Authority   </t>
  </si>
  <si>
    <t>Ecorecycle Victoria</t>
  </si>
  <si>
    <t xml:space="preserve">Environmental Protection Agency    </t>
  </si>
  <si>
    <t xml:space="preserve">Mr Doug Hagen                      </t>
  </si>
  <si>
    <t xml:space="preserve">Coolamon Shire Council(reroc)      </t>
  </si>
  <si>
    <t xml:space="preserve">Orbital Engine Company Australia   </t>
  </si>
  <si>
    <t>Environment Protection Authority - victoria</t>
  </si>
  <si>
    <t>Department of Finance and Administration</t>
  </si>
  <si>
    <t xml:space="preserve">RMS  distribution              </t>
  </si>
  <si>
    <t xml:space="preserve">Intertek Testing Services          </t>
  </si>
  <si>
    <t>AFFA  CPM - Agriculture, Fisheries &amp; Forestry</t>
  </si>
  <si>
    <t xml:space="preserve">Department of Primary Industries  </t>
  </si>
  <si>
    <t xml:space="preserve">Wa Department of Environmental Protection       </t>
  </si>
  <si>
    <t xml:space="preserve">NEPC Service Corporation          </t>
  </si>
  <si>
    <t>Boat Harbour Beach-Phase 1-3</t>
  </si>
  <si>
    <t xml:space="preserve">Dascem Holdings p/l              </t>
  </si>
  <si>
    <t xml:space="preserve">Transport SA                      </t>
  </si>
  <si>
    <t>CHPP 894 Somerville House initial payment</t>
  </si>
  <si>
    <t xml:space="preserve">CHPP840 Currie Lighthouse-initial pay't </t>
  </si>
  <si>
    <t>CHPP535 royal SA society for the arts</t>
  </si>
  <si>
    <t xml:space="preserve">CHPP778 Cons of Ernabella Hospital -    </t>
  </si>
  <si>
    <t xml:space="preserve">CHPP775 Munurrucaring for culture and PMs award </t>
  </si>
  <si>
    <t>CHPP502 Cons of Warrock homestead-initial pay't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</si>
</sst>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9" formatCode="_-&quot;$&quot;* #,##0.00_-;\-&quot;$&quot;* #,##0.00_-;_-&quot;$&quot;* &quot;-&quot;??_-;_-@_-"/>
  </numFmts>
  <fonts count="7" x14ac:knownFonts="1">
    <font>
      <sz val="10"/>
      <name val="Arial"/>
    </font>
    <font>
      <sz val="10"/>
      <name val="Arial"/>
    </font>
    <font>
      <b/>
      <sz val="10"/>
      <name val="Times New Roman"/>
      <family val="1"/>
    </font>
    <font>
      <sz val="10"/>
      <name val="Times"/>
      <family val="1"/>
    </font>
    <font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0" fillId="0" borderId="0" xfId="0" applyAlignment="1">
      <alignment vertical="top"/>
    </xf>
    <xf numFmtId="0" fontId="6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69" fontId="2" fillId="0" borderId="1" xfId="0" applyNumberFormat="1" applyFont="1" applyBorder="1" applyAlignment="1">
      <alignment horizontal="right" wrapText="1"/>
    </xf>
    <xf numFmtId="169" fontId="0" fillId="0" borderId="0" xfId="0" applyNumberFormat="1" applyAlignment="1">
      <alignment horizontal="right"/>
    </xf>
    <xf numFmtId="169" fontId="6" fillId="0" borderId="0" xfId="0" applyNumberFormat="1" applyFont="1"/>
    <xf numFmtId="169" fontId="5" fillId="0" borderId="0" xfId="0" applyNumberFormat="1" applyFont="1"/>
    <xf numFmtId="0" fontId="4" fillId="0" borderId="1" xfId="0" applyFont="1" applyBorder="1"/>
    <xf numFmtId="49" fontId="4" fillId="0" borderId="1" xfId="0" applyNumberFormat="1" applyFont="1" applyBorder="1"/>
    <xf numFmtId="169" fontId="4" fillId="0" borderId="1" xfId="0" applyNumberFormat="1" applyFont="1" applyBorder="1" applyAlignment="1">
      <alignment horizontal="right"/>
    </xf>
    <xf numFmtId="169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wrapText="1"/>
    </xf>
    <xf numFmtId="169" fontId="4" fillId="0" borderId="1" xfId="1" applyNumberFormat="1" applyFont="1" applyFill="1" applyBorder="1" applyAlignment="1">
      <alignment horizontal="right"/>
    </xf>
    <xf numFmtId="169" fontId="4" fillId="0" borderId="1" xfId="1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69" fontId="4" fillId="0" borderId="1" xfId="0" applyNumberFormat="1" applyFont="1" applyFill="1" applyBorder="1" applyAlignment="1">
      <alignment horizontal="right"/>
    </xf>
    <xf numFmtId="0" fontId="4" fillId="0" borderId="1" xfId="0" applyFont="1" applyBorder="1" applyAlignment="1">
      <alignment wrapText="1"/>
    </xf>
    <xf numFmtId="169" fontId="4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9" fontId="4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3"/>
  <sheetViews>
    <sheetView tabSelected="1" workbookViewId="0">
      <selection activeCell="A8" sqref="A8"/>
    </sheetView>
  </sheetViews>
  <sheetFormatPr defaultRowHeight="12.5" x14ac:dyDescent="0.25"/>
  <cols>
    <col min="1" max="1" width="38" customWidth="1"/>
    <col min="2" max="2" width="15.81640625" style="13" customWidth="1"/>
    <col min="3" max="3" width="52.54296875" bestFit="1" customWidth="1"/>
    <col min="4" max="4" width="12.7265625" style="10" customWidth="1"/>
    <col min="5" max="5" width="19.453125" style="10" customWidth="1"/>
    <col min="6" max="6" width="45" customWidth="1"/>
  </cols>
  <sheetData>
    <row r="1" spans="1:8" ht="36.75" customHeight="1" x14ac:dyDescent="0.3">
      <c r="A1" s="1" t="s">
        <v>0</v>
      </c>
      <c r="B1" s="12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8" ht="11.25" customHeight="1" x14ac:dyDescent="0.3">
      <c r="A2" s="17" t="s">
        <v>40</v>
      </c>
      <c r="B2" s="18">
        <v>107800</v>
      </c>
      <c r="C2" s="16" t="s">
        <v>75</v>
      </c>
      <c r="D2" s="3" t="s">
        <v>6</v>
      </c>
      <c r="E2" s="3" t="s">
        <v>7</v>
      </c>
      <c r="F2" s="4" t="s">
        <v>8</v>
      </c>
    </row>
    <row r="3" spans="1:8" ht="13" hidden="1" x14ac:dyDescent="0.3">
      <c r="A3" s="17"/>
      <c r="B3" s="18"/>
      <c r="C3" s="16"/>
      <c r="D3" s="3" t="s">
        <v>6</v>
      </c>
      <c r="E3" s="3" t="s">
        <v>7</v>
      </c>
      <c r="F3" s="4" t="s">
        <v>8</v>
      </c>
    </row>
    <row r="4" spans="1:8" ht="13" x14ac:dyDescent="0.3">
      <c r="A4" s="17" t="s">
        <v>41</v>
      </c>
      <c r="B4" s="18">
        <v>103950</v>
      </c>
      <c r="C4" s="16" t="s">
        <v>73</v>
      </c>
      <c r="D4" s="3" t="s">
        <v>6</v>
      </c>
      <c r="E4" s="3" t="s">
        <v>7</v>
      </c>
      <c r="F4" s="4" t="s">
        <v>8</v>
      </c>
    </row>
    <row r="5" spans="1:8" ht="13" x14ac:dyDescent="0.3">
      <c r="A5" s="17" t="s">
        <v>42</v>
      </c>
      <c r="B5" s="18">
        <v>110000</v>
      </c>
      <c r="C5" s="16" t="s">
        <v>76</v>
      </c>
      <c r="D5" s="3" t="s">
        <v>6</v>
      </c>
      <c r="E5" s="3" t="s">
        <v>7</v>
      </c>
      <c r="F5" s="4" t="s">
        <v>8</v>
      </c>
    </row>
    <row r="6" spans="1:8" ht="13" x14ac:dyDescent="0.3">
      <c r="A6" s="17" t="s">
        <v>43</v>
      </c>
      <c r="B6" s="18">
        <v>225000</v>
      </c>
      <c r="C6" s="16" t="s">
        <v>74</v>
      </c>
      <c r="D6" s="3" t="s">
        <v>6</v>
      </c>
      <c r="E6" s="3" t="s">
        <v>7</v>
      </c>
      <c r="F6" s="4" t="s">
        <v>8</v>
      </c>
    </row>
    <row r="7" spans="1:8" ht="13" x14ac:dyDescent="0.3">
      <c r="A7" s="17" t="s">
        <v>44</v>
      </c>
      <c r="B7" s="18">
        <v>282946.40000000002</v>
      </c>
      <c r="C7" s="16" t="s">
        <v>52</v>
      </c>
      <c r="D7" s="3" t="s">
        <v>6</v>
      </c>
      <c r="E7" s="3" t="s">
        <v>7</v>
      </c>
      <c r="F7" s="4" t="s">
        <v>8</v>
      </c>
    </row>
    <row r="8" spans="1:8" ht="13" x14ac:dyDescent="0.3">
      <c r="A8" s="17" t="s">
        <v>45</v>
      </c>
      <c r="B8" s="18">
        <v>122925</v>
      </c>
      <c r="C8" s="16" t="s">
        <v>72</v>
      </c>
      <c r="D8" s="3" t="s">
        <v>6</v>
      </c>
      <c r="E8" s="3" t="s">
        <v>7</v>
      </c>
      <c r="F8" s="4" t="s">
        <v>8</v>
      </c>
    </row>
    <row r="9" spans="1:8" ht="13" x14ac:dyDescent="0.3">
      <c r="A9" s="17" t="s">
        <v>46</v>
      </c>
      <c r="B9" s="18">
        <v>100000</v>
      </c>
      <c r="C9" s="16" t="s">
        <v>71</v>
      </c>
      <c r="D9" s="3" t="s">
        <v>6</v>
      </c>
      <c r="E9" s="3" t="s">
        <v>7</v>
      </c>
      <c r="F9" s="4" t="s">
        <v>8</v>
      </c>
    </row>
    <row r="10" spans="1:8" ht="23.5" x14ac:dyDescent="0.3">
      <c r="A10" s="16" t="s">
        <v>53</v>
      </c>
      <c r="B10" s="19">
        <v>150000</v>
      </c>
      <c r="C10" s="20" t="s">
        <v>9</v>
      </c>
      <c r="D10" s="3" t="s">
        <v>6</v>
      </c>
      <c r="E10" s="3" t="s">
        <v>7</v>
      </c>
      <c r="F10" s="4" t="s">
        <v>8</v>
      </c>
    </row>
    <row r="11" spans="1:8" ht="23" x14ac:dyDescent="0.25">
      <c r="A11" s="16" t="s">
        <v>54</v>
      </c>
      <c r="B11" s="19">
        <v>150000</v>
      </c>
      <c r="C11" s="20" t="s">
        <v>10</v>
      </c>
      <c r="D11" s="5" t="s">
        <v>6</v>
      </c>
      <c r="E11" s="5" t="s">
        <v>7</v>
      </c>
      <c r="F11" s="6" t="s">
        <v>8</v>
      </c>
      <c r="G11" s="7"/>
      <c r="H11" s="7"/>
    </row>
    <row r="12" spans="1:8" ht="23" x14ac:dyDescent="0.25">
      <c r="A12" s="16" t="s">
        <v>54</v>
      </c>
      <c r="B12" s="19">
        <v>150000</v>
      </c>
      <c r="C12" s="20" t="s">
        <v>11</v>
      </c>
      <c r="D12" s="5" t="s">
        <v>6</v>
      </c>
      <c r="E12" s="5" t="s">
        <v>7</v>
      </c>
      <c r="F12" s="6" t="s">
        <v>8</v>
      </c>
    </row>
    <row r="13" spans="1:8" ht="23" x14ac:dyDescent="0.25">
      <c r="A13" s="16" t="s">
        <v>56</v>
      </c>
      <c r="B13" s="19">
        <v>150000</v>
      </c>
      <c r="C13" s="20" t="s">
        <v>12</v>
      </c>
      <c r="D13" s="5" t="s">
        <v>6</v>
      </c>
      <c r="E13" s="5" t="s">
        <v>7</v>
      </c>
      <c r="F13" s="6" t="s">
        <v>8</v>
      </c>
    </row>
    <row r="14" spans="1:8" ht="13" x14ac:dyDescent="0.25">
      <c r="A14" s="16" t="s">
        <v>55</v>
      </c>
      <c r="B14" s="19">
        <v>500000</v>
      </c>
      <c r="C14" s="20" t="s">
        <v>13</v>
      </c>
      <c r="D14" s="5" t="s">
        <v>6</v>
      </c>
      <c r="E14" s="5" t="s">
        <v>7</v>
      </c>
      <c r="F14" s="6" t="s">
        <v>8</v>
      </c>
    </row>
    <row r="15" spans="1:8" ht="13" x14ac:dyDescent="0.25">
      <c r="A15" s="16" t="s">
        <v>57</v>
      </c>
      <c r="B15" s="19">
        <v>110000</v>
      </c>
      <c r="C15" s="20" t="s">
        <v>14</v>
      </c>
      <c r="D15" s="5" t="s">
        <v>6</v>
      </c>
      <c r="E15" s="5" t="s">
        <v>7</v>
      </c>
      <c r="F15" s="6" t="s">
        <v>8</v>
      </c>
    </row>
    <row r="16" spans="1:8" ht="23" x14ac:dyDescent="0.25">
      <c r="A16" s="16" t="s">
        <v>58</v>
      </c>
      <c r="B16" s="19">
        <v>130000</v>
      </c>
      <c r="C16" s="20" t="s">
        <v>15</v>
      </c>
      <c r="D16" s="5" t="s">
        <v>6</v>
      </c>
      <c r="E16" s="5" t="s">
        <v>7</v>
      </c>
      <c r="F16" s="6" t="s">
        <v>8</v>
      </c>
    </row>
    <row r="17" spans="1:6" ht="13" hidden="1" x14ac:dyDescent="0.25">
      <c r="A17" s="16"/>
      <c r="B17" s="19"/>
      <c r="C17" s="20"/>
      <c r="D17" s="5"/>
      <c r="E17" s="5" t="s">
        <v>7</v>
      </c>
      <c r="F17" s="6"/>
    </row>
    <row r="18" spans="1:6" ht="13" x14ac:dyDescent="0.25">
      <c r="A18" s="16" t="s">
        <v>60</v>
      </c>
      <c r="B18" s="21">
        <v>344688</v>
      </c>
      <c r="C18" s="20" t="s">
        <v>16</v>
      </c>
      <c r="D18" s="5" t="s">
        <v>6</v>
      </c>
      <c r="E18" s="5" t="s">
        <v>7</v>
      </c>
      <c r="F18" s="6" t="s">
        <v>8</v>
      </c>
    </row>
    <row r="19" spans="1:6" ht="13" hidden="1" x14ac:dyDescent="0.25">
      <c r="A19" s="16"/>
      <c r="B19" s="21"/>
      <c r="C19" s="20"/>
      <c r="D19" s="5"/>
      <c r="E19" s="5" t="s">
        <v>7</v>
      </c>
      <c r="F19" s="6"/>
    </row>
    <row r="20" spans="1:6" ht="13" x14ac:dyDescent="0.25">
      <c r="A20" s="16" t="s">
        <v>59</v>
      </c>
      <c r="B20" s="22">
        <v>2990944.14</v>
      </c>
      <c r="C20" s="20" t="s">
        <v>17</v>
      </c>
      <c r="D20" s="5" t="s">
        <v>6</v>
      </c>
      <c r="E20" s="5" t="s">
        <v>7</v>
      </c>
      <c r="F20" s="6" t="s">
        <v>8</v>
      </c>
    </row>
    <row r="21" spans="1:6" ht="13" x14ac:dyDescent="0.25">
      <c r="A21" s="16" t="s">
        <v>59</v>
      </c>
      <c r="B21" s="21">
        <v>403500</v>
      </c>
      <c r="C21" s="20" t="s">
        <v>18</v>
      </c>
      <c r="D21" s="5" t="s">
        <v>6</v>
      </c>
      <c r="E21" s="5" t="s">
        <v>7</v>
      </c>
      <c r="F21" s="6" t="s">
        <v>8</v>
      </c>
    </row>
    <row r="22" spans="1:6" ht="23" x14ac:dyDescent="0.25">
      <c r="A22" s="16" t="s">
        <v>59</v>
      </c>
      <c r="B22" s="24">
        <v>180471.86</v>
      </c>
      <c r="C22" s="20" t="s">
        <v>19</v>
      </c>
      <c r="D22" s="5" t="s">
        <v>6</v>
      </c>
      <c r="E22" s="5" t="s">
        <v>7</v>
      </c>
      <c r="F22" s="6" t="s">
        <v>8</v>
      </c>
    </row>
    <row r="23" spans="1:6" ht="23" x14ac:dyDescent="0.25">
      <c r="A23" s="16" t="s">
        <v>70</v>
      </c>
      <c r="B23" s="24">
        <v>7700000</v>
      </c>
      <c r="C23" s="20" t="s">
        <v>20</v>
      </c>
      <c r="D23" s="5" t="s">
        <v>6</v>
      </c>
      <c r="E23" s="5" t="s">
        <v>7</v>
      </c>
      <c r="F23" s="6" t="s">
        <v>8</v>
      </c>
    </row>
    <row r="24" spans="1:6" ht="13" x14ac:dyDescent="0.25">
      <c r="A24" s="16" t="s">
        <v>69</v>
      </c>
      <c r="B24" s="24">
        <v>984000</v>
      </c>
      <c r="C24" s="20" t="s">
        <v>21</v>
      </c>
      <c r="D24" s="5" t="s">
        <v>6</v>
      </c>
      <c r="E24" s="5" t="s">
        <v>7</v>
      </c>
      <c r="F24" s="6" t="s">
        <v>8</v>
      </c>
    </row>
    <row r="25" spans="1:6" ht="23" x14ac:dyDescent="0.25">
      <c r="A25" s="16" t="s">
        <v>62</v>
      </c>
      <c r="B25" s="24">
        <v>500000</v>
      </c>
      <c r="C25" s="20" t="s">
        <v>22</v>
      </c>
      <c r="D25" s="5" t="s">
        <v>6</v>
      </c>
      <c r="E25" s="5" t="s">
        <v>7</v>
      </c>
      <c r="F25" s="6" t="s">
        <v>8</v>
      </c>
    </row>
    <row r="26" spans="1:6" ht="23" x14ac:dyDescent="0.25">
      <c r="A26" s="16" t="s">
        <v>61</v>
      </c>
      <c r="B26" s="24">
        <v>240000</v>
      </c>
      <c r="C26" s="20" t="s">
        <v>23</v>
      </c>
      <c r="D26" s="5" t="s">
        <v>6</v>
      </c>
      <c r="E26" s="5" t="s">
        <v>7</v>
      </c>
      <c r="F26" s="6" t="s">
        <v>8</v>
      </c>
    </row>
    <row r="27" spans="1:6" ht="13" x14ac:dyDescent="0.25">
      <c r="A27" s="16" t="s">
        <v>63</v>
      </c>
      <c r="B27" s="19">
        <v>225000</v>
      </c>
      <c r="C27" s="20" t="s">
        <v>24</v>
      </c>
      <c r="D27" s="5" t="s">
        <v>6</v>
      </c>
      <c r="E27" s="5" t="s">
        <v>7</v>
      </c>
      <c r="F27" s="6" t="s">
        <v>8</v>
      </c>
    </row>
    <row r="28" spans="1:6" ht="13" x14ac:dyDescent="0.25">
      <c r="A28" s="16" t="s">
        <v>64</v>
      </c>
      <c r="B28" s="19">
        <v>220000</v>
      </c>
      <c r="C28" s="20" t="s">
        <v>25</v>
      </c>
      <c r="D28" s="5" t="s">
        <v>6</v>
      </c>
      <c r="E28" s="5" t="s">
        <v>7</v>
      </c>
      <c r="F28" s="6" t="s">
        <v>8</v>
      </c>
    </row>
    <row r="29" spans="1:6" ht="23" x14ac:dyDescent="0.25">
      <c r="A29" s="16" t="s">
        <v>56</v>
      </c>
      <c r="B29" s="19">
        <v>1121098.54</v>
      </c>
      <c r="C29" s="20" t="s">
        <v>26</v>
      </c>
      <c r="D29" s="5" t="s">
        <v>6</v>
      </c>
      <c r="E29" s="5" t="s">
        <v>7</v>
      </c>
      <c r="F29" s="6" t="s">
        <v>8</v>
      </c>
    </row>
    <row r="30" spans="1:6" ht="23" x14ac:dyDescent="0.25">
      <c r="A30" s="16" t="s">
        <v>65</v>
      </c>
      <c r="B30" s="19">
        <v>140416.38</v>
      </c>
      <c r="C30" s="20" t="s">
        <v>27</v>
      </c>
      <c r="D30" s="23" t="s">
        <v>6</v>
      </c>
      <c r="E30" s="5" t="s">
        <v>7</v>
      </c>
      <c r="F30" s="6" t="s">
        <v>8</v>
      </c>
    </row>
    <row r="31" spans="1:6" ht="23" x14ac:dyDescent="0.25">
      <c r="A31" s="16" t="s">
        <v>66</v>
      </c>
      <c r="B31" s="19">
        <v>569485.6</v>
      </c>
      <c r="C31" s="20" t="s">
        <v>28</v>
      </c>
      <c r="D31" s="23" t="s">
        <v>6</v>
      </c>
      <c r="E31" s="5" t="s">
        <v>7</v>
      </c>
      <c r="F31" s="6" t="s">
        <v>8</v>
      </c>
    </row>
    <row r="32" spans="1:6" ht="23" x14ac:dyDescent="0.25">
      <c r="A32" s="16" t="s">
        <v>67</v>
      </c>
      <c r="B32" s="19">
        <v>212050</v>
      </c>
      <c r="C32" s="20" t="s">
        <v>29</v>
      </c>
      <c r="D32" s="23" t="s">
        <v>6</v>
      </c>
      <c r="E32" s="5" t="s">
        <v>7</v>
      </c>
      <c r="F32" s="6" t="s">
        <v>8</v>
      </c>
    </row>
    <row r="33" spans="1:6" ht="13" x14ac:dyDescent="0.25">
      <c r="A33" s="17" t="s">
        <v>47</v>
      </c>
      <c r="B33" s="18">
        <v>330000</v>
      </c>
      <c r="C33" s="25" t="s">
        <v>30</v>
      </c>
      <c r="D33" s="23" t="s">
        <v>6</v>
      </c>
      <c r="E33" s="5" t="s">
        <v>7</v>
      </c>
      <c r="F33" s="6" t="s">
        <v>8</v>
      </c>
    </row>
    <row r="34" spans="1:6" ht="13" x14ac:dyDescent="0.25">
      <c r="A34" s="17" t="s">
        <v>31</v>
      </c>
      <c r="B34" s="18">
        <v>100000</v>
      </c>
      <c r="C34" s="25" t="s">
        <v>32</v>
      </c>
      <c r="D34" s="23" t="s">
        <v>6</v>
      </c>
      <c r="E34" s="5" t="s">
        <v>7</v>
      </c>
      <c r="F34" s="6" t="s">
        <v>8</v>
      </c>
    </row>
    <row r="35" spans="1:6" ht="13" x14ac:dyDescent="0.25">
      <c r="A35" s="17" t="s">
        <v>48</v>
      </c>
      <c r="B35" s="26">
        <v>100000</v>
      </c>
      <c r="C35" s="17" t="s">
        <v>33</v>
      </c>
      <c r="D35" s="23" t="s">
        <v>6</v>
      </c>
      <c r="E35" s="5" t="s">
        <v>7</v>
      </c>
      <c r="F35" s="6" t="s">
        <v>8</v>
      </c>
    </row>
    <row r="36" spans="1:6" ht="13" x14ac:dyDescent="0.25">
      <c r="A36" s="17" t="s">
        <v>48</v>
      </c>
      <c r="B36" s="18">
        <v>500000</v>
      </c>
      <c r="C36" s="16" t="s">
        <v>34</v>
      </c>
      <c r="D36" s="23" t="s">
        <v>6</v>
      </c>
      <c r="E36" s="5" t="s">
        <v>7</v>
      </c>
      <c r="F36" s="6" t="s">
        <v>8</v>
      </c>
    </row>
    <row r="37" spans="1:6" ht="13" x14ac:dyDescent="0.25">
      <c r="A37" s="17" t="s">
        <v>49</v>
      </c>
      <c r="B37" s="28">
        <v>217228.86</v>
      </c>
      <c r="C37" s="17" t="s">
        <v>35</v>
      </c>
      <c r="D37" s="27" t="s">
        <v>6</v>
      </c>
      <c r="E37" s="5" t="s">
        <v>7</v>
      </c>
      <c r="F37" s="6" t="s">
        <v>8</v>
      </c>
    </row>
    <row r="38" spans="1:6" ht="13" x14ac:dyDescent="0.25">
      <c r="A38" s="17" t="s">
        <v>50</v>
      </c>
      <c r="B38" s="28">
        <v>300000</v>
      </c>
      <c r="C38" s="17" t="s">
        <v>36</v>
      </c>
      <c r="D38" s="27" t="s">
        <v>6</v>
      </c>
      <c r="E38" s="5" t="s">
        <v>7</v>
      </c>
      <c r="F38" s="6" t="s">
        <v>8</v>
      </c>
    </row>
    <row r="39" spans="1:6" ht="13" x14ac:dyDescent="0.25">
      <c r="A39" s="17" t="s">
        <v>37</v>
      </c>
      <c r="B39" s="28">
        <v>182180.1</v>
      </c>
      <c r="C39" s="17" t="s">
        <v>39</v>
      </c>
      <c r="D39" s="27" t="s">
        <v>6</v>
      </c>
      <c r="E39" s="5" t="s">
        <v>7</v>
      </c>
      <c r="F39" s="6" t="s">
        <v>8</v>
      </c>
    </row>
    <row r="40" spans="1:6" ht="13" x14ac:dyDescent="0.25">
      <c r="A40" s="17" t="s">
        <v>37</v>
      </c>
      <c r="B40" s="28">
        <v>279583.3</v>
      </c>
      <c r="C40" s="17" t="s">
        <v>38</v>
      </c>
      <c r="D40" s="27" t="s">
        <v>6</v>
      </c>
      <c r="E40" s="5" t="s">
        <v>7</v>
      </c>
      <c r="F40" s="6" t="s">
        <v>8</v>
      </c>
    </row>
    <row r="41" spans="1:6" ht="13" x14ac:dyDescent="0.25">
      <c r="A41" s="17" t="s">
        <v>51</v>
      </c>
      <c r="B41" s="28">
        <f>1171662+1828338</f>
        <v>3000000</v>
      </c>
      <c r="C41" s="17" t="s">
        <v>68</v>
      </c>
      <c r="D41" s="27" t="s">
        <v>6</v>
      </c>
      <c r="E41" s="5" t="s">
        <v>7</v>
      </c>
      <c r="F41" s="6" t="s">
        <v>8</v>
      </c>
    </row>
    <row r="49" spans="2:8" ht="13" x14ac:dyDescent="0.3">
      <c r="B49" s="14"/>
      <c r="F49" s="8"/>
    </row>
    <row r="50" spans="2:8" x14ac:dyDescent="0.25">
      <c r="B50" s="15"/>
      <c r="C50" s="9"/>
      <c r="D50" s="11"/>
      <c r="E50" s="11"/>
      <c r="F50" s="9"/>
      <c r="G50" s="9"/>
      <c r="H50" s="9"/>
    </row>
    <row r="51" spans="2:8" x14ac:dyDescent="0.25">
      <c r="B51" s="15"/>
      <c r="C51" s="9"/>
      <c r="D51" s="11"/>
      <c r="E51" s="11"/>
      <c r="F51" s="9"/>
      <c r="G51" s="9"/>
      <c r="H51" s="9"/>
    </row>
    <row r="52" spans="2:8" x14ac:dyDescent="0.25">
      <c r="B52" s="15"/>
      <c r="C52" s="9"/>
      <c r="D52" s="11"/>
      <c r="E52" s="11"/>
      <c r="F52" s="9"/>
      <c r="G52" s="9"/>
      <c r="H52" s="9"/>
    </row>
    <row r="53" spans="2:8" x14ac:dyDescent="0.25">
      <c r="B53" s="15"/>
      <c r="C53" s="9"/>
      <c r="D53" s="11"/>
      <c r="E53" s="11"/>
      <c r="F53" s="9"/>
      <c r="G53" s="9"/>
      <c r="H53" s="9"/>
    </row>
  </sheetData>
  <phoneticPr fontId="0" type="noConversion"/>
  <pageMargins left="0.75" right="0.75" top="1" bottom="1" header="0.5" footer="0.5"/>
  <pageSetup paperSize="9" scale="76" orientation="landscape" r:id="rId1"/>
  <headerFooter alignWithMargins="0">
    <oddHeader xml:space="preserve">&amp;CAutumn - Contract Update 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Autumn 2003 Contracts</vt:lpstr>
      <vt:lpstr>Sheet2</vt:lpstr>
      <vt:lpstr>Sheet3</vt:lpstr>
    </vt:vector>
  </TitlesOfParts>
  <Company>Environment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Autumn 2003 list of contracts</dc:title>
  <dc:creator>Environment Australia</dc:creator>
  <cp:lastModifiedBy>Carina Negreanu</cp:lastModifiedBy>
  <cp:lastPrinted>2002-05-09T00:40:15Z</cp:lastPrinted>
  <dcterms:created xsi:type="dcterms:W3CDTF">2002-04-08T04:35:08Z</dcterms:created>
  <dcterms:modified xsi:type="dcterms:W3CDTF">2020-01-27T10:27:08Z</dcterms:modified>
</cp:coreProperties>
</file>