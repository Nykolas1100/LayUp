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D51D89-55AE-414B-B155-CE93DAB6BAD1}" xr6:coauthVersionLast="45" xr6:coauthVersionMax="45" xr10:uidLastSave="{00000000-0000-0000-0000-000000000000}"/>
  <bookViews>
    <workbookView xWindow="1900" yWindow="1900" windowWidth="28800" windowHeight="15460"/>
  </bookViews>
  <sheets>
    <sheet name="Main Page" sheetId="2" r:id="rId1"/>
    <sheet name="Attendance" sheetId="1" r:id="rId2"/>
    <sheet name="Extra Credit" sheetId="3" r:id="rId3"/>
    <sheet name="Assignments" sheetId="5" r:id="rId4"/>
  </sheets>
  <definedNames>
    <definedName name="_xlnm.Print_Area" localSheetId="1">Attendance!$C$5:$BM$10</definedName>
    <definedName name="_xlnm.Print_Area" localSheetId="0">'Main Page'!$C$40:$W$43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5" l="1"/>
  <c r="B2" i="5"/>
  <c r="D2" i="5"/>
  <c r="F7" i="1"/>
  <c r="G7" i="1"/>
  <c r="P43" i="2" s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J5" i="3"/>
  <c r="K43" i="2" s="1"/>
  <c r="S9" i="2"/>
  <c r="T9" i="2"/>
  <c r="U9" i="2"/>
  <c r="W9" i="2"/>
  <c r="S11" i="2"/>
  <c r="T11" i="2"/>
  <c r="U11" i="2" s="1"/>
  <c r="W11" i="2" s="1"/>
  <c r="S43" i="2" s="1"/>
  <c r="V11" i="2"/>
  <c r="S17" i="2"/>
  <c r="T17" i="2" s="1"/>
  <c r="S19" i="2"/>
  <c r="U19" i="2" s="1"/>
  <c r="W19" i="2" s="1"/>
  <c r="T43" i="2" s="1"/>
  <c r="T19" i="2"/>
  <c r="V19" i="2"/>
  <c r="S25" i="2"/>
  <c r="T25" i="2"/>
  <c r="U25" i="2" s="1"/>
  <c r="W25" i="2" s="1"/>
  <c r="S27" i="2"/>
  <c r="T27" i="2"/>
  <c r="U27" i="2"/>
  <c r="V27" i="2"/>
  <c r="W27" i="2"/>
  <c r="U43" i="2" s="1"/>
  <c r="S33" i="2"/>
  <c r="T33" i="2" s="1"/>
  <c r="S35" i="2"/>
  <c r="T35" i="2"/>
  <c r="U35" i="2"/>
  <c r="W35" i="2" s="1"/>
  <c r="V43" i="2" s="1"/>
  <c r="V35" i="2"/>
  <c r="W43" i="2" l="1"/>
  <c r="U33" i="2"/>
  <c r="W33" i="2" s="1"/>
  <c r="U17" i="2"/>
  <c r="W17" i="2" s="1"/>
</calcChain>
</file>

<file path=xl/sharedStrings.xml><?xml version="1.0" encoding="utf-8"?>
<sst xmlns="http://schemas.openxmlformats.org/spreadsheetml/2006/main" count="134" uniqueCount="112">
  <si>
    <t>%</t>
  </si>
  <si>
    <t>Final</t>
  </si>
  <si>
    <t>T1</t>
  </si>
  <si>
    <t>T2</t>
  </si>
  <si>
    <t>T3</t>
  </si>
  <si>
    <t>T4</t>
  </si>
  <si>
    <t>T5</t>
  </si>
  <si>
    <t>Wght</t>
  </si>
  <si>
    <t xml:space="preserve">    Maximum Points -&gt;</t>
  </si>
  <si>
    <t>Final Grade</t>
  </si>
  <si>
    <t>H/W</t>
  </si>
  <si>
    <t>FINAL</t>
  </si>
  <si>
    <t>TEST</t>
  </si>
  <si>
    <t>by</t>
  </si>
  <si>
    <t>William P. Flinn</t>
  </si>
  <si>
    <t>Southeast Technical Institute</t>
  </si>
  <si>
    <t>Sioux Falls  SD  57107</t>
  </si>
  <si>
    <t>Gradebook Spreadsheet Template</t>
  </si>
  <si>
    <t>(Electronics Department)</t>
  </si>
  <si>
    <t>(For Microsoft Excel)</t>
  </si>
  <si>
    <t>Absences</t>
  </si>
  <si>
    <t>Deductions</t>
  </si>
  <si>
    <t>Extra Credit #1</t>
  </si>
  <si>
    <t>Extra Credit #2</t>
  </si>
  <si>
    <t>Extra Credit #3</t>
  </si>
  <si>
    <t>Points</t>
  </si>
  <si>
    <t>TOTAL</t>
  </si>
  <si>
    <t>Excess</t>
  </si>
  <si>
    <t>Extra Credit Points</t>
  </si>
  <si>
    <t>Earned</t>
  </si>
  <si>
    <t>Max.</t>
  </si>
  <si>
    <t>EXTRA CREDIT (+)</t>
  </si>
  <si>
    <t>ATTENDANCE (-)</t>
  </si>
  <si>
    <t>Due Date</t>
  </si>
  <si>
    <t>Assignment/Project</t>
  </si>
  <si>
    <t>LABS</t>
  </si>
  <si>
    <t>Q1</t>
  </si>
  <si>
    <t>Q2</t>
  </si>
  <si>
    <t>Q3</t>
  </si>
  <si>
    <t>Absences Per Week</t>
  </si>
  <si>
    <t>Lab Sheets &amp; Projects</t>
  </si>
  <si>
    <t>A</t>
  </si>
  <si>
    <t>B</t>
  </si>
  <si>
    <t>C</t>
  </si>
  <si>
    <t>D</t>
  </si>
  <si>
    <t>F</t>
  </si>
  <si>
    <t>NAME OF CLASS GOES HERE</t>
  </si>
  <si>
    <t>CLASS NUMBER GOES HERE</t>
  </si>
  <si>
    <t>CREDITS:</t>
  </si>
  <si>
    <t>(C) 1998, 2000</t>
  </si>
  <si>
    <t>Grading Scale:</t>
  </si>
  <si>
    <t>93% - 100%</t>
  </si>
  <si>
    <t>84% - 92%</t>
  </si>
  <si>
    <t>74% -  83%</t>
  </si>
  <si>
    <t>65% - 73%</t>
  </si>
  <si>
    <t>&lt; 65%</t>
  </si>
  <si>
    <t>Your grade in the right hand column</t>
  </si>
  <si>
    <t>labeled "FINAL" is the grade you currently</t>
  </si>
  <si>
    <t>DAILY</t>
  </si>
  <si>
    <t>Participation and Daily Grades</t>
  </si>
  <si>
    <t>Homework &amp; Assignments</t>
  </si>
  <si>
    <t>Tests, Exams, Quizzes</t>
  </si>
  <si>
    <t>Participation &amp; Daily Grades</t>
  </si>
  <si>
    <t>Max ---&gt;</t>
  </si>
  <si>
    <t>T6</t>
  </si>
  <si>
    <t>Q4</t>
  </si>
  <si>
    <t>MID</t>
  </si>
  <si>
    <t>FIN</t>
  </si>
  <si>
    <t>Under the "absences" column, enter the number</t>
  </si>
  <si>
    <t>of times you have been absent.  The number of</t>
  </si>
  <si>
    <t>absences you have will be calculated along</t>
  </si>
  <si>
    <t>with the number of absences you are allowed,</t>
  </si>
  <si>
    <t>and will result in the number of points (if any)</t>
  </si>
  <si>
    <t>to be deducted from your final grade.</t>
  </si>
  <si>
    <t xml:space="preserve">hold in this class, taking into account all grading </t>
  </si>
  <si>
    <t xml:space="preserve"> 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</si>
  <si>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</si>
  <si>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</si>
  <si>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</si>
  <si>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</si>
  <si>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</si>
  <si>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</si>
  <si>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</si>
  <si>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</si>
  <si>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</si>
  <si>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</si>
  <si>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</si>
  <si>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</si>
  <si>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</si>
  <si>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</si>
  <si>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</si>
  <si>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</si>
  <si>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</si>
  <si>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</si>
  <si>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</si>
  <si>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</si>
  <si>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If you aren't sure how many absences you have,</t>
  </si>
  <si>
    <t>just ask.  I will tell you how many unexcused absences</t>
  </si>
  <si>
    <t>you have that will count against you.</t>
  </si>
  <si>
    <t>INSTRUCTOR NAME</t>
  </si>
  <si>
    <t>Use this section to enter</t>
  </si>
  <si>
    <t>any extra credit assignments</t>
  </si>
  <si>
    <t>or points.</t>
  </si>
  <si>
    <t>The numbers to enter into</t>
  </si>
  <si>
    <t>these boxes will be provided</t>
  </si>
  <si>
    <t>weekly.  If you aren't sure</t>
  </si>
  <si>
    <t>just ask, and I will give these</t>
  </si>
  <si>
    <t>numbers to you.</t>
  </si>
  <si>
    <t>2320 Career Avenue</t>
  </si>
  <si>
    <t>(605) 782-3244, Ext 8013</t>
  </si>
  <si>
    <t>Other Assigned Points</t>
  </si>
  <si>
    <t>categories listed in the tables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</si>
</sst>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26"/>
      <color indexed="9"/>
      <name val="Arial"/>
      <family val="2"/>
    </font>
    <font>
      <b/>
      <sz val="18"/>
      <color indexed="9"/>
      <name val="Arial"/>
      <family val="2"/>
    </font>
    <font>
      <b/>
      <sz val="26"/>
      <name val="Book Antiqua"/>
      <family val="1"/>
    </font>
    <font>
      <b/>
      <sz val="24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8"/>
      <name val="Arial"/>
      <family val="2"/>
    </font>
    <font>
      <sz val="10"/>
      <color indexed="44"/>
      <name val="Arial"/>
      <family val="2"/>
    </font>
    <font>
      <b/>
      <sz val="9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24"/>
      <name val="Book Antiqua"/>
      <family val="1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/>
    <xf numFmtId="1" fontId="0" fillId="2" borderId="0" xfId="0" applyNumberFormat="1" applyFill="1" applyBorder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4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0" fontId="0" fillId="6" borderId="5" xfId="0" applyFill="1" applyBorder="1"/>
    <xf numFmtId="0" fontId="1" fillId="6" borderId="5" xfId="0" applyFont="1" applyFill="1" applyBorder="1"/>
    <xf numFmtId="1" fontId="1" fillId="2" borderId="0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2" borderId="7" xfId="0" applyFill="1" applyBorder="1"/>
    <xf numFmtId="0" fontId="1" fillId="2" borderId="0" xfId="0" applyFont="1" applyFill="1" applyBorder="1" applyAlignment="1">
      <alignment horizontal="left"/>
    </xf>
    <xf numFmtId="0" fontId="0" fillId="0" borderId="0" xfId="0" applyBorder="1"/>
    <xf numFmtId="0" fontId="6" fillId="2" borderId="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7" borderId="0" xfId="0" applyFill="1"/>
    <xf numFmtId="0" fontId="1" fillId="2" borderId="0" xfId="0" applyFont="1" applyFill="1" applyBorder="1" applyAlignment="1">
      <alignment horizontal="right"/>
    </xf>
    <xf numFmtId="0" fontId="0" fillId="2" borderId="0" xfId="0" applyFill="1"/>
    <xf numFmtId="0" fontId="11" fillId="2" borderId="0" xfId="0" applyFont="1" applyFill="1"/>
    <xf numFmtId="0" fontId="11" fillId="2" borderId="0" xfId="0" applyFont="1" applyFill="1" applyBorder="1"/>
    <xf numFmtId="0" fontId="12" fillId="0" borderId="1" xfId="0" applyFont="1" applyBorder="1"/>
    <xf numFmtId="0" fontId="12" fillId="0" borderId="1" xfId="0" applyFont="1" applyFill="1" applyBorder="1"/>
    <xf numFmtId="0" fontId="12" fillId="0" borderId="3" xfId="0" applyFont="1" applyFill="1" applyBorder="1"/>
    <xf numFmtId="0" fontId="12" fillId="2" borderId="0" xfId="0" applyFont="1" applyFill="1"/>
    <xf numFmtId="0" fontId="12" fillId="2" borderId="0" xfId="0" applyFont="1" applyFill="1" applyBorder="1"/>
    <xf numFmtId="0" fontId="12" fillId="0" borderId="0" xfId="0" applyFont="1"/>
    <xf numFmtId="0" fontId="12" fillId="2" borderId="0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0" fontId="0" fillId="4" borderId="11" xfId="0" applyFill="1" applyBorder="1"/>
    <xf numFmtId="0" fontId="0" fillId="3" borderId="12" xfId="0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12" xfId="0" applyFill="1" applyBorder="1"/>
    <xf numFmtId="0" fontId="0" fillId="4" borderId="12" xfId="0" applyFill="1" applyBorder="1"/>
    <xf numFmtId="0" fontId="0" fillId="3" borderId="16" xfId="0" applyFill="1" applyBorder="1"/>
    <xf numFmtId="0" fontId="0" fillId="5" borderId="11" xfId="0" applyFill="1" applyBorder="1"/>
    <xf numFmtId="0" fontId="0" fillId="5" borderId="12" xfId="0" applyFill="1" applyBorder="1"/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2" borderId="0" xfId="0" applyFont="1" applyFill="1" applyBorder="1"/>
    <xf numFmtId="14" fontId="12" fillId="0" borderId="1" xfId="0" applyNumberFormat="1" applyFont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4" fillId="8" borderId="6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12" fillId="8" borderId="1" xfId="0" applyFont="1" applyFill="1" applyBorder="1"/>
    <xf numFmtId="0" fontId="14" fillId="8" borderId="1" xfId="0" applyFont="1" applyFill="1" applyBorder="1" applyAlignment="1">
      <alignment horizontal="right"/>
    </xf>
    <xf numFmtId="0" fontId="0" fillId="8" borderId="1" xfId="0" applyFill="1" applyBorder="1"/>
    <xf numFmtId="0" fontId="14" fillId="8" borderId="1" xfId="0" applyFont="1" applyFill="1" applyBorder="1"/>
    <xf numFmtId="0" fontId="14" fillId="8" borderId="1" xfId="0" applyFont="1" applyFill="1" applyBorder="1" applyAlignment="1">
      <alignment horizontal="center"/>
    </xf>
    <xf numFmtId="0" fontId="20" fillId="2" borderId="0" xfId="0" applyFont="1" applyFill="1"/>
    <xf numFmtId="0" fontId="12" fillId="0" borderId="17" xfId="0" applyFont="1" applyBorder="1" applyAlignment="1">
      <alignment horizontal="center"/>
    </xf>
    <xf numFmtId="0" fontId="0" fillId="2" borderId="2" xfId="0" applyFill="1" applyBorder="1"/>
    <xf numFmtId="0" fontId="11" fillId="2" borderId="2" xfId="0" applyFont="1" applyFill="1" applyBorder="1"/>
    <xf numFmtId="0" fontId="2" fillId="2" borderId="8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6" fillId="0" borderId="1" xfId="0" applyFont="1" applyBorder="1" applyAlignment="1">
      <alignment horizontal="center"/>
    </xf>
    <xf numFmtId="49" fontId="14" fillId="8" borderId="6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16" fontId="21" fillId="8" borderId="1" xfId="0" applyNumberFormat="1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2" fillId="6" borderId="5" xfId="0" applyFont="1" applyFill="1" applyBorder="1"/>
    <xf numFmtId="0" fontId="23" fillId="6" borderId="5" xfId="0" applyFont="1" applyFill="1" applyBorder="1"/>
    <xf numFmtId="0" fontId="0" fillId="2" borderId="14" xfId="0" applyFill="1" applyBorder="1"/>
    <xf numFmtId="0" fontId="1" fillId="2" borderId="5" xfId="0" applyFont="1" applyFill="1" applyBorder="1" applyAlignment="1"/>
    <xf numFmtId="0" fontId="0" fillId="2" borderId="13" xfId="0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right"/>
    </xf>
    <xf numFmtId="0" fontId="1" fillId="8" borderId="18" xfId="0" applyFont="1" applyFill="1" applyBorder="1" applyAlignment="1">
      <alignment horizontal="left"/>
    </xf>
    <xf numFmtId="0" fontId="1" fillId="8" borderId="19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left"/>
    </xf>
    <xf numFmtId="0" fontId="1" fillId="8" borderId="22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center"/>
    </xf>
    <xf numFmtId="0" fontId="1" fillId="8" borderId="23" xfId="0" applyFont="1" applyFill="1" applyBorder="1"/>
    <xf numFmtId="0" fontId="0" fillId="2" borderId="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14" fillId="2" borderId="20" xfId="0" applyFont="1" applyFill="1" applyBorder="1"/>
    <xf numFmtId="0" fontId="5" fillId="2" borderId="0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" fontId="0" fillId="11" borderId="6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1" fontId="1" fillId="11" borderId="1" xfId="0" applyNumberFormat="1" applyFont="1" applyFill="1" applyBorder="1" applyAlignment="1">
      <alignment horizontal="center"/>
    </xf>
    <xf numFmtId="0" fontId="14" fillId="2" borderId="0" xfId="0" applyFont="1" applyFill="1" applyAlignment="1"/>
    <xf numFmtId="0" fontId="14" fillId="2" borderId="0" xfId="0" applyFont="1" applyFill="1"/>
    <xf numFmtId="49" fontId="0" fillId="2" borderId="0" xfId="0" applyNumberFormat="1" applyFill="1" applyBorder="1"/>
    <xf numFmtId="49" fontId="0" fillId="2" borderId="0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21" fillId="2" borderId="0" xfId="0" applyFont="1" applyFill="1" applyBorder="1" applyAlignment="1">
      <alignment horizontal="center"/>
    </xf>
    <xf numFmtId="49" fontId="12" fillId="2" borderId="0" xfId="0" applyNumberFormat="1" applyFont="1" applyFill="1" applyBorder="1"/>
    <xf numFmtId="49" fontId="12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49" fontId="5" fillId="2" borderId="0" xfId="0" applyNumberFormat="1" applyFont="1" applyFill="1" applyBorder="1"/>
    <xf numFmtId="0" fontId="7" fillId="6" borderId="26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2" fillId="0" borderId="18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311150</xdr:colOff>
          <xdr:row>66</xdr:row>
          <xdr:rowOff>38100</xdr:rowOff>
        </xdr:from>
        <xdr:to>
          <xdr:col>13</xdr:col>
          <xdr:colOff>177800</xdr:colOff>
          <xdr:row>73</xdr:row>
          <xdr:rowOff>95250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1264A5B-A9FA-48C8-90EE-D8D3A32DF2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94"/>
  <sheetViews>
    <sheetView tabSelected="1" zoomScale="75" zoomScaleNormal="75" workbookViewId="0">
      <selection activeCell="V16" sqref="V16"/>
    </sheetView>
  </sheetViews>
  <sheetFormatPr defaultRowHeight="12.5" x14ac:dyDescent="0.25"/>
  <cols>
    <col min="1" max="1" width="6.453125" customWidth="1"/>
    <col min="2" max="2" width="18.26953125" customWidth="1"/>
    <col min="3" max="3" width="8.7265625" customWidth="1"/>
    <col min="4" max="18" width="4.7265625" customWidth="1"/>
    <col min="19" max="22" width="6.7265625" customWidth="1"/>
    <col min="23" max="23" width="6.81640625" customWidth="1"/>
    <col min="24" max="39" width="7.7265625" customWidth="1"/>
    <col min="40" max="126" width="3.7265625" customWidth="1"/>
  </cols>
  <sheetData>
    <row r="1" spans="1:44" ht="32.5" x14ac:dyDescent="0.65">
      <c r="A1" s="54"/>
      <c r="B1" s="149" t="s">
        <v>46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55"/>
      <c r="Y1" s="6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4" ht="23" x14ac:dyDescent="0.5">
      <c r="A2" s="56" t="s">
        <v>75</v>
      </c>
      <c r="B2" s="150" t="s">
        <v>47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57"/>
      <c r="Y2" s="6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4" ht="23.25" customHeight="1" x14ac:dyDescent="0.5">
      <c r="A3" s="152" t="s">
        <v>99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3"/>
      <c r="Y3" s="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4" ht="20.5" thickBot="1" x14ac:dyDescent="0.45">
      <c r="A4" s="58"/>
      <c r="B4" s="19"/>
      <c r="C4" s="19"/>
      <c r="D4" s="18"/>
      <c r="E4" s="18"/>
      <c r="F4" s="18"/>
      <c r="G4" s="18"/>
      <c r="H4" s="18"/>
      <c r="I4" s="103" t="s">
        <v>48</v>
      </c>
      <c r="J4" s="103"/>
      <c r="K4" s="103"/>
      <c r="L4" s="103"/>
      <c r="M4" s="104"/>
      <c r="N4" s="103">
        <v>3</v>
      </c>
      <c r="O4" s="18"/>
      <c r="P4" s="18"/>
      <c r="Q4" s="18"/>
      <c r="R4" s="18"/>
      <c r="S4" s="18"/>
      <c r="T4" s="18"/>
      <c r="U4" s="18"/>
      <c r="V4" s="18"/>
      <c r="W4" s="18"/>
      <c r="X4" s="59"/>
      <c r="Y4" s="6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4" ht="15.5" x14ac:dyDescent="0.35">
      <c r="A5" s="60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61"/>
      <c r="Y5" s="6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4" ht="31" thickBot="1" x14ac:dyDescent="0.7">
      <c r="A6" s="62"/>
      <c r="B6" s="154" t="s">
        <v>61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63"/>
      <c r="Y6" s="7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3"/>
      <c r="AO6" s="3"/>
    </row>
    <row r="7" spans="1:44" ht="25.5" thickTop="1" x14ac:dyDescent="0.5">
      <c r="A7" s="64"/>
      <c r="B7" s="30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65"/>
      <c r="Y7" s="7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  <c r="AO7" s="3"/>
    </row>
    <row r="8" spans="1:44" x14ac:dyDescent="0.25">
      <c r="A8" s="64"/>
      <c r="B8" s="8"/>
      <c r="C8" s="8"/>
      <c r="D8" s="83" t="s">
        <v>2</v>
      </c>
      <c r="E8" s="83" t="s">
        <v>3</v>
      </c>
      <c r="F8" s="83" t="s">
        <v>4</v>
      </c>
      <c r="G8" s="83" t="s">
        <v>5</v>
      </c>
      <c r="H8" s="83" t="s">
        <v>6</v>
      </c>
      <c r="I8" s="83" t="s">
        <v>64</v>
      </c>
      <c r="J8" s="83"/>
      <c r="K8" s="83" t="s">
        <v>36</v>
      </c>
      <c r="L8" s="83" t="s">
        <v>37</v>
      </c>
      <c r="M8" s="83" t="s">
        <v>38</v>
      </c>
      <c r="N8" s="83" t="s">
        <v>65</v>
      </c>
      <c r="O8" s="83"/>
      <c r="P8" s="83" t="s">
        <v>66</v>
      </c>
      <c r="Q8" s="83" t="s">
        <v>67</v>
      </c>
      <c r="R8" s="83"/>
      <c r="S8" s="83" t="s">
        <v>29</v>
      </c>
      <c r="T8" s="83" t="s">
        <v>30</v>
      </c>
      <c r="U8" s="83" t="s">
        <v>0</v>
      </c>
      <c r="V8" s="83" t="s">
        <v>7</v>
      </c>
      <c r="W8" s="83" t="s">
        <v>1</v>
      </c>
      <c r="X8" s="65"/>
      <c r="Y8" s="7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3"/>
      <c r="AO8" s="3"/>
    </row>
    <row r="9" spans="1:44" ht="13" x14ac:dyDescent="0.3">
      <c r="A9" s="64"/>
      <c r="B9" s="9" t="s">
        <v>8</v>
      </c>
      <c r="C9" s="8"/>
      <c r="D9" s="84">
        <v>42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>
        <f>SUM(D9:R9)</f>
        <v>42</v>
      </c>
      <c r="T9" s="84">
        <f>S9</f>
        <v>42</v>
      </c>
      <c r="U9" s="84">
        <f>(S9/S9)*100</f>
        <v>100</v>
      </c>
      <c r="V9" s="84">
        <v>0.3</v>
      </c>
      <c r="W9" s="85">
        <f>U9*V9</f>
        <v>30</v>
      </c>
      <c r="X9" s="65"/>
      <c r="Y9" s="7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3"/>
      <c r="AO9" s="3"/>
    </row>
    <row r="10" spans="1:44" ht="13" x14ac:dyDescent="0.3">
      <c r="A10" s="64"/>
      <c r="B10" s="139"/>
      <c r="C10" s="139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65"/>
      <c r="Y10" s="7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3"/>
      <c r="AO10" s="3"/>
    </row>
    <row r="11" spans="1:44" x14ac:dyDescent="0.25">
      <c r="A11" s="64"/>
      <c r="B11" s="137"/>
      <c r="C11" s="138"/>
      <c r="D11" s="21">
        <v>41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>
        <f>SUM(D11:R11)</f>
        <v>41</v>
      </c>
      <c r="T11" s="23">
        <f>S9</f>
        <v>42</v>
      </c>
      <c r="U11" s="132">
        <f>(S11/T11)*100</f>
        <v>97.61904761904762</v>
      </c>
      <c r="V11" s="23">
        <f>V9</f>
        <v>0.3</v>
      </c>
      <c r="W11" s="24">
        <f>U11*V11</f>
        <v>29.285714285714285</v>
      </c>
      <c r="X11" s="65"/>
      <c r="Y11" s="7"/>
      <c r="Z11" s="2"/>
      <c r="AA11" s="2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4" ht="18.75" customHeight="1" thickBot="1" x14ac:dyDescent="0.3">
      <c r="A12" s="107"/>
      <c r="B12" s="108" t="s">
        <v>75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10"/>
      <c r="V12" s="109"/>
      <c r="W12" s="110"/>
      <c r="X12" s="111"/>
      <c r="Y12" s="7"/>
      <c r="Z12" s="2"/>
      <c r="AA12" s="2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4" x14ac:dyDescent="0.25">
      <c r="A13" s="6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67"/>
      <c r="Y13" s="7"/>
      <c r="Z13" s="2"/>
      <c r="AA13" s="2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44" ht="31" thickBot="1" x14ac:dyDescent="0.7">
      <c r="A14" s="62"/>
      <c r="B14" s="154" t="s">
        <v>60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68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5"/>
      <c r="AO14" s="5"/>
      <c r="AP14" s="5"/>
      <c r="AQ14" s="5"/>
      <c r="AR14" s="5"/>
    </row>
    <row r="15" spans="1:44" ht="25.5" thickTop="1" x14ac:dyDescent="0.5">
      <c r="A15" s="64"/>
      <c r="B15" s="30"/>
      <c r="C15" s="30"/>
      <c r="D15" s="95"/>
      <c r="E15" s="31"/>
      <c r="F15" s="31"/>
      <c r="G15" s="31"/>
      <c r="H15" s="31"/>
      <c r="I15" s="31"/>
      <c r="J15" s="31"/>
      <c r="K15" s="31"/>
      <c r="L15" s="31"/>
      <c r="M15" s="31"/>
      <c r="N15" s="95"/>
      <c r="O15" s="31"/>
      <c r="P15" s="31"/>
      <c r="Q15" s="31"/>
      <c r="R15" s="31"/>
      <c r="S15" s="31"/>
      <c r="T15" s="31"/>
      <c r="U15" s="31"/>
      <c r="V15" s="31"/>
      <c r="W15" s="31"/>
      <c r="X15" s="69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5"/>
      <c r="AO15" s="5"/>
      <c r="AP15" s="5"/>
      <c r="AQ15" s="5"/>
      <c r="AR15" s="5"/>
    </row>
    <row r="16" spans="1:44" x14ac:dyDescent="0.25">
      <c r="A16" s="64"/>
      <c r="B16" s="8"/>
      <c r="C16" s="8"/>
      <c r="D16" s="83" t="s">
        <v>76</v>
      </c>
      <c r="E16" s="83" t="s">
        <v>77</v>
      </c>
      <c r="F16" s="83" t="s">
        <v>78</v>
      </c>
      <c r="G16" s="83" t="s">
        <v>79</v>
      </c>
      <c r="H16" s="83" t="s">
        <v>80</v>
      </c>
      <c r="I16" s="83" t="s">
        <v>81</v>
      </c>
      <c r="J16" s="83" t="s">
        <v>82</v>
      </c>
      <c r="K16" s="83" t="s">
        <v>83</v>
      </c>
      <c r="L16" s="83" t="s">
        <v>84</v>
      </c>
      <c r="M16" s="83" t="s">
        <v>85</v>
      </c>
      <c r="N16" s="83"/>
      <c r="O16" s="83"/>
      <c r="P16" s="83"/>
      <c r="Q16" s="83"/>
      <c r="R16" s="83"/>
      <c r="S16" s="83" t="s">
        <v>29</v>
      </c>
      <c r="T16" s="83" t="s">
        <v>30</v>
      </c>
      <c r="U16" s="83" t="s">
        <v>0</v>
      </c>
      <c r="V16" s="83" t="s">
        <v>7</v>
      </c>
      <c r="W16" s="83" t="s">
        <v>1</v>
      </c>
      <c r="X16" s="70"/>
      <c r="Y16" s="6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3" x14ac:dyDescent="0.3">
      <c r="A17" s="64"/>
      <c r="B17" s="9" t="s">
        <v>8</v>
      </c>
      <c r="C17" s="8"/>
      <c r="D17" s="84">
        <v>10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>
        <f>SUM(D17:R17)</f>
        <v>10</v>
      </c>
      <c r="T17" s="84">
        <f>S17</f>
        <v>10</v>
      </c>
      <c r="U17" s="85">
        <f>(S17/T17)*100</f>
        <v>100</v>
      </c>
      <c r="V17" s="84">
        <v>0.3</v>
      </c>
      <c r="W17" s="85">
        <f>U17*V17</f>
        <v>30</v>
      </c>
      <c r="X17" s="70"/>
      <c r="Y17" s="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3" x14ac:dyDescent="0.3">
      <c r="A18" s="64"/>
      <c r="B18" s="139"/>
      <c r="C18" s="139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5"/>
      <c r="T18" s="25"/>
      <c r="U18" s="26"/>
      <c r="V18" s="25"/>
      <c r="W18" s="26"/>
      <c r="X18" s="70"/>
      <c r="Y18" s="6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5">
      <c r="A19" s="64"/>
      <c r="B19" s="137"/>
      <c r="C19" s="138"/>
      <c r="D19" s="21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>
        <f>SUM(D19:R19)</f>
        <v>9</v>
      </c>
      <c r="T19" s="23">
        <f>S17</f>
        <v>10</v>
      </c>
      <c r="U19" s="132">
        <f>(S19/T19)*100</f>
        <v>90</v>
      </c>
      <c r="V19" s="23">
        <f>V17</f>
        <v>0.3</v>
      </c>
      <c r="W19" s="24">
        <f>U19*V19</f>
        <v>27</v>
      </c>
      <c r="X19" s="70"/>
      <c r="Y19" s="6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9.5" customHeight="1" thickBot="1" x14ac:dyDescent="0.35">
      <c r="A20" s="107"/>
      <c r="B20" s="112"/>
      <c r="C20" s="113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10"/>
      <c r="V20" s="109"/>
      <c r="W20" s="110"/>
      <c r="X20" s="105"/>
      <c r="Y20" s="6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5" x14ac:dyDescent="0.35">
      <c r="A21" s="60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1"/>
      <c r="X21" s="61"/>
      <c r="Y21" s="6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31" thickBot="1" x14ac:dyDescent="0.7">
      <c r="A22" s="62"/>
      <c r="B22" s="154" t="s">
        <v>40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72"/>
      <c r="Y22" s="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25.5" thickTop="1" x14ac:dyDescent="0.5">
      <c r="A23" s="64"/>
      <c r="B23" s="30"/>
      <c r="C23" s="3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70"/>
      <c r="Y23" s="6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25">
      <c r="A24" s="64"/>
      <c r="B24" s="8"/>
      <c r="C24" s="8"/>
      <c r="D24" s="83" t="s">
        <v>86</v>
      </c>
      <c r="E24" s="83" t="s">
        <v>87</v>
      </c>
      <c r="F24" s="83" t="s">
        <v>88</v>
      </c>
      <c r="G24" s="83" t="s">
        <v>89</v>
      </c>
      <c r="H24" s="83" t="s">
        <v>90</v>
      </c>
      <c r="I24" s="83" t="s">
        <v>91</v>
      </c>
      <c r="J24" s="83" t="s">
        <v>92</v>
      </c>
      <c r="K24" s="83" t="s">
        <v>93</v>
      </c>
      <c r="L24" s="99" t="s">
        <v>94</v>
      </c>
      <c r="M24" s="83" t="s">
        <v>95</v>
      </c>
      <c r="N24" s="83"/>
      <c r="O24" s="83"/>
      <c r="P24" s="83"/>
      <c r="Q24" s="83"/>
      <c r="R24" s="83"/>
      <c r="S24" s="83" t="s">
        <v>29</v>
      </c>
      <c r="T24" s="83" t="s">
        <v>30</v>
      </c>
      <c r="U24" s="83" t="s">
        <v>0</v>
      </c>
      <c r="V24" s="83" t="s">
        <v>7</v>
      </c>
      <c r="W24" s="83" t="s">
        <v>1</v>
      </c>
      <c r="X24" s="70"/>
      <c r="Y24" s="6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3" x14ac:dyDescent="0.3">
      <c r="A25" s="64"/>
      <c r="B25" s="9" t="s">
        <v>8</v>
      </c>
      <c r="C25" s="8"/>
      <c r="D25" s="84">
        <v>10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>
        <f>SUM(D25:R25)</f>
        <v>10</v>
      </c>
      <c r="T25" s="84">
        <f>S25</f>
        <v>10</v>
      </c>
      <c r="U25" s="84">
        <f>(S25/T25)*100</f>
        <v>100</v>
      </c>
      <c r="V25" s="84">
        <v>0.3</v>
      </c>
      <c r="W25" s="85">
        <f>U25*V25</f>
        <v>30</v>
      </c>
      <c r="X25" s="70"/>
      <c r="Y25" s="6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3" x14ac:dyDescent="0.3">
      <c r="A26" s="64"/>
      <c r="B26" s="139"/>
      <c r="C26" s="139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70"/>
      <c r="Y26" s="6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25">
      <c r="A27" s="64"/>
      <c r="B27" s="137"/>
      <c r="C27" s="138"/>
      <c r="D27" s="21">
        <v>10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>
        <f>SUM(D27:R27)</f>
        <v>10</v>
      </c>
      <c r="T27" s="21">
        <f>S25</f>
        <v>10</v>
      </c>
      <c r="U27" s="133">
        <f>(S27/T27)*100</f>
        <v>100</v>
      </c>
      <c r="V27" s="21">
        <f>V25</f>
        <v>0.3</v>
      </c>
      <c r="W27" s="22">
        <f>U27*V27</f>
        <v>30</v>
      </c>
      <c r="X27" s="70"/>
      <c r="Y27" s="6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8.75" customHeight="1" thickBot="1" x14ac:dyDescent="0.3">
      <c r="A28" s="107"/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10"/>
      <c r="V28" s="109"/>
      <c r="W28" s="110"/>
      <c r="X28" s="105"/>
      <c r="Y28" s="6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5.5" x14ac:dyDescent="0.35">
      <c r="A29" s="6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1"/>
      <c r="X29" s="61"/>
      <c r="Y29" s="6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31" thickBot="1" x14ac:dyDescent="0.7">
      <c r="A30" s="62"/>
      <c r="B30" s="154" t="s">
        <v>59</v>
      </c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72"/>
      <c r="Y30" s="6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25.5" thickTop="1" x14ac:dyDescent="0.5">
      <c r="A31" s="64"/>
      <c r="B31" s="30"/>
      <c r="C31" s="30"/>
      <c r="D31" s="31"/>
      <c r="E31" s="31"/>
      <c r="F31" s="31"/>
      <c r="G31" s="31"/>
      <c r="H31" s="31"/>
      <c r="I31" s="31"/>
      <c r="J31" s="128"/>
      <c r="K31" s="128"/>
      <c r="L31" s="31"/>
      <c r="M31" s="31"/>
      <c r="N31" s="31"/>
      <c r="O31" s="31"/>
      <c r="P31" s="31"/>
      <c r="Q31" s="31"/>
      <c r="R31" s="128"/>
      <c r="S31" s="31"/>
      <c r="T31" s="31"/>
      <c r="U31" s="31"/>
      <c r="V31" s="31"/>
      <c r="W31" s="31"/>
      <c r="X31" s="70"/>
      <c r="Y31" s="6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3" x14ac:dyDescent="0.3">
      <c r="A32" s="64"/>
      <c r="B32" s="146" t="s">
        <v>103</v>
      </c>
      <c r="C32" s="8"/>
      <c r="D32" s="117" t="s">
        <v>62</v>
      </c>
      <c r="E32" s="118"/>
      <c r="F32" s="118"/>
      <c r="G32" s="118"/>
      <c r="H32" s="118"/>
      <c r="I32" s="119"/>
      <c r="J32" s="120"/>
      <c r="K32" s="121"/>
      <c r="L32" s="162" t="s">
        <v>110</v>
      </c>
      <c r="M32" s="163"/>
      <c r="N32" s="163"/>
      <c r="O32" s="163"/>
      <c r="P32" s="163"/>
      <c r="Q32" s="164"/>
      <c r="R32" s="129"/>
      <c r="S32" s="90" t="s">
        <v>29</v>
      </c>
      <c r="T32" s="83" t="s">
        <v>30</v>
      </c>
      <c r="U32" s="83" t="s">
        <v>0</v>
      </c>
      <c r="V32" s="83" t="s">
        <v>7</v>
      </c>
      <c r="W32" s="83" t="s">
        <v>1</v>
      </c>
      <c r="X32" s="70"/>
      <c r="Y32" s="6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3" x14ac:dyDescent="0.3">
      <c r="A33" s="64"/>
      <c r="B33" s="146" t="s">
        <v>104</v>
      </c>
      <c r="C33" s="8"/>
      <c r="D33" s="122"/>
      <c r="E33" s="123" t="s">
        <v>63</v>
      </c>
      <c r="F33" s="124"/>
      <c r="G33" s="124">
        <v>1</v>
      </c>
      <c r="H33" s="125"/>
      <c r="I33" s="126"/>
      <c r="J33" s="126"/>
      <c r="K33" s="126"/>
      <c r="L33" s="145"/>
      <c r="M33" s="145"/>
      <c r="N33" s="145"/>
      <c r="O33" s="145"/>
      <c r="P33" s="145"/>
      <c r="Q33" s="145"/>
      <c r="R33" s="127"/>
      <c r="S33" s="84">
        <f>SUM(D33:R33)</f>
        <v>1</v>
      </c>
      <c r="T33" s="84">
        <f>S33</f>
        <v>1</v>
      </c>
      <c r="U33" s="84">
        <f>(S33/T33)*100</f>
        <v>100</v>
      </c>
      <c r="V33" s="84">
        <v>0.1</v>
      </c>
      <c r="W33" s="85">
        <f>U33*V33</f>
        <v>10</v>
      </c>
      <c r="X33" s="70"/>
      <c r="Y33" s="6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3" x14ac:dyDescent="0.3">
      <c r="A34" s="64"/>
      <c r="B34" s="147" t="s">
        <v>105</v>
      </c>
      <c r="C34" s="140"/>
      <c r="D34" s="130"/>
      <c r="E34" s="126"/>
      <c r="F34" s="126"/>
      <c r="G34" s="25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25"/>
      <c r="T34" s="25"/>
      <c r="U34" s="25"/>
      <c r="V34" s="25"/>
      <c r="W34" s="26"/>
      <c r="X34" s="70"/>
      <c r="Y34" s="6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25">
      <c r="A35" s="64"/>
      <c r="B35" s="148" t="s">
        <v>106</v>
      </c>
      <c r="C35" s="138"/>
      <c r="D35" s="130"/>
      <c r="E35" s="126"/>
      <c r="F35" s="126"/>
      <c r="G35" s="21">
        <v>1</v>
      </c>
      <c r="H35" s="131"/>
      <c r="I35" s="126"/>
      <c r="J35" s="126"/>
      <c r="K35" s="126"/>
      <c r="L35" s="21"/>
      <c r="M35" s="21"/>
      <c r="N35" s="21"/>
      <c r="O35" s="21"/>
      <c r="P35" s="21"/>
      <c r="Q35" s="21"/>
      <c r="R35" s="126"/>
      <c r="S35" s="21">
        <f>SUM(D35:R35)</f>
        <v>1</v>
      </c>
      <c r="T35" s="21">
        <f>S33</f>
        <v>1</v>
      </c>
      <c r="U35" s="133">
        <f>(S35/T35)*100</f>
        <v>100</v>
      </c>
      <c r="V35" s="21">
        <f>V33</f>
        <v>0.1</v>
      </c>
      <c r="W35" s="22">
        <f>U35*V35</f>
        <v>10</v>
      </c>
      <c r="X35" s="70"/>
      <c r="Y35" s="6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25">
      <c r="A36" s="64"/>
      <c r="B36" s="148" t="s">
        <v>107</v>
      </c>
      <c r="C36" s="138"/>
      <c r="D36" s="130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0"/>
      <c r="V36" s="126"/>
      <c r="W36" s="10"/>
      <c r="X36" s="70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</row>
    <row r="37" spans="1:39" ht="18.75" customHeight="1" thickBot="1" x14ac:dyDescent="0.35">
      <c r="A37" s="107"/>
      <c r="B37" s="113"/>
      <c r="C37" s="106"/>
      <c r="D37" s="114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10"/>
      <c r="V37" s="109"/>
      <c r="W37" s="110"/>
      <c r="X37" s="105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</row>
    <row r="38" spans="1:39" x14ac:dyDescent="0.25">
      <c r="A38" s="6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61"/>
    </row>
    <row r="39" spans="1:39" ht="31" thickBot="1" x14ac:dyDescent="0.7">
      <c r="A39" s="62"/>
      <c r="B39" s="154" t="s">
        <v>9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3"/>
      <c r="X39" s="72"/>
    </row>
    <row r="40" spans="1:39" ht="20.25" customHeight="1" thickTop="1" x14ac:dyDescent="0.25">
      <c r="A40" s="6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0"/>
    </row>
    <row r="41" spans="1:39" ht="18" x14ac:dyDescent="0.4">
      <c r="A41" s="115" t="s">
        <v>50</v>
      </c>
      <c r="B41" s="116"/>
      <c r="C41" s="116"/>
      <c r="D41" s="116"/>
      <c r="E41" s="116"/>
      <c r="F41" s="116"/>
      <c r="G41" s="8"/>
      <c r="H41" s="86"/>
      <c r="I41" s="86"/>
      <c r="J41" s="86"/>
      <c r="K41" s="87" t="s">
        <v>31</v>
      </c>
      <c r="L41" s="80"/>
      <c r="M41" s="88"/>
      <c r="N41" s="89"/>
      <c r="O41" s="89"/>
      <c r="P41" s="87" t="s">
        <v>32</v>
      </c>
      <c r="Q41" s="43"/>
      <c r="R41" s="43"/>
      <c r="S41" s="90" t="s">
        <v>12</v>
      </c>
      <c r="T41" s="90" t="s">
        <v>10</v>
      </c>
      <c r="U41" s="90" t="s">
        <v>35</v>
      </c>
      <c r="V41" s="90" t="s">
        <v>58</v>
      </c>
      <c r="W41" s="90" t="s">
        <v>11</v>
      </c>
      <c r="X41" s="70"/>
    </row>
    <row r="42" spans="1:39" s="34" customFormat="1" ht="18" x14ac:dyDescent="0.4">
      <c r="A42" s="116"/>
      <c r="B42" s="116"/>
      <c r="C42" s="116"/>
      <c r="D42" s="116"/>
      <c r="E42" s="116"/>
      <c r="F42" s="116"/>
      <c r="G42" s="35"/>
      <c r="H42" s="165"/>
      <c r="I42" s="165"/>
      <c r="J42" s="165"/>
      <c r="K42" s="165"/>
      <c r="L42" s="165"/>
      <c r="M42" s="165"/>
      <c r="N42" s="165"/>
      <c r="O42" s="165"/>
      <c r="P42" s="27"/>
      <c r="Q42" s="8"/>
      <c r="R42" s="8"/>
      <c r="S42" s="166"/>
      <c r="T42" s="166"/>
      <c r="U42" s="166"/>
      <c r="V42" s="166"/>
      <c r="W42" s="166"/>
      <c r="X42" s="70"/>
    </row>
    <row r="43" spans="1:39" ht="18" x14ac:dyDescent="0.4">
      <c r="A43" s="116" t="s">
        <v>41</v>
      </c>
      <c r="B43" s="116"/>
      <c r="C43" s="115" t="s">
        <v>51</v>
      </c>
      <c r="D43" s="116"/>
      <c r="E43" s="116"/>
      <c r="F43" s="116"/>
      <c r="G43" s="8"/>
      <c r="H43" s="8"/>
      <c r="I43" s="8"/>
      <c r="J43" s="8"/>
      <c r="K43" s="52">
        <f>'Extra Credit'!J5</f>
        <v>0</v>
      </c>
      <c r="L43" s="8"/>
      <c r="M43" s="8"/>
      <c r="N43" s="8"/>
      <c r="O43" s="8"/>
      <c r="P43" s="53">
        <f>Attendance!G7</f>
        <v>0</v>
      </c>
      <c r="Q43" s="8"/>
      <c r="R43" s="8"/>
      <c r="S43" s="22">
        <f>W11</f>
        <v>29.285714285714285</v>
      </c>
      <c r="T43" s="22">
        <f>W19</f>
        <v>27</v>
      </c>
      <c r="U43" s="22">
        <f>W27</f>
        <v>30</v>
      </c>
      <c r="V43" s="22">
        <f>W35</f>
        <v>10</v>
      </c>
      <c r="W43" s="134">
        <f>SUM(D43:V43)</f>
        <v>96.285714285714278</v>
      </c>
      <c r="X43" s="70"/>
    </row>
    <row r="44" spans="1:39" ht="18" x14ac:dyDescent="0.4">
      <c r="A44" s="116" t="s">
        <v>42</v>
      </c>
      <c r="B44" s="116"/>
      <c r="C44" s="115" t="s">
        <v>52</v>
      </c>
      <c r="D44" s="116"/>
      <c r="E44" s="116"/>
      <c r="F44" s="116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70"/>
    </row>
    <row r="45" spans="1:39" ht="18" x14ac:dyDescent="0.4">
      <c r="A45" s="116" t="s">
        <v>43</v>
      </c>
      <c r="B45" s="116"/>
      <c r="C45" s="115" t="s">
        <v>53</v>
      </c>
      <c r="D45" s="116"/>
      <c r="E45" s="116"/>
      <c r="F45" s="116"/>
      <c r="G45" s="116"/>
      <c r="H45" s="28" t="s">
        <v>56</v>
      </c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70"/>
    </row>
    <row r="46" spans="1:39" ht="18" x14ac:dyDescent="0.4">
      <c r="A46" s="116" t="s">
        <v>44</v>
      </c>
      <c r="B46" s="116"/>
      <c r="C46" s="115" t="s">
        <v>54</v>
      </c>
      <c r="D46" s="116"/>
      <c r="E46" s="116"/>
      <c r="F46" s="116"/>
      <c r="G46" s="116"/>
      <c r="H46" s="28" t="s">
        <v>57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70"/>
    </row>
    <row r="47" spans="1:39" ht="18" x14ac:dyDescent="0.4">
      <c r="A47" s="116" t="s">
        <v>45</v>
      </c>
      <c r="B47" s="116"/>
      <c r="C47" s="115" t="s">
        <v>55</v>
      </c>
      <c r="D47" s="116"/>
      <c r="E47" s="116"/>
      <c r="F47" s="116"/>
      <c r="G47" s="116"/>
      <c r="H47" s="28" t="s">
        <v>74</v>
      </c>
      <c r="I47" s="35"/>
      <c r="J47" s="35"/>
      <c r="K47" s="35"/>
      <c r="L47" s="35"/>
      <c r="M47" s="35"/>
      <c r="N47" s="35"/>
      <c r="O47" s="35"/>
      <c r="P47" s="35"/>
      <c r="Q47" s="28"/>
      <c r="R47" s="35"/>
      <c r="S47" s="35"/>
      <c r="T47" s="35"/>
      <c r="U47" s="35"/>
      <c r="V47" s="35"/>
      <c r="W47" s="35"/>
      <c r="X47" s="70"/>
    </row>
    <row r="48" spans="1:39" ht="18" x14ac:dyDescent="0.4">
      <c r="A48" s="64"/>
      <c r="B48" s="35"/>
      <c r="C48" s="35"/>
      <c r="D48" s="35"/>
      <c r="E48" s="35"/>
      <c r="F48" s="116"/>
      <c r="G48" s="116"/>
      <c r="H48" s="28" t="s">
        <v>111</v>
      </c>
      <c r="I48" s="35"/>
      <c r="J48" s="35"/>
      <c r="K48" s="35"/>
      <c r="L48" s="35"/>
      <c r="M48" s="35"/>
      <c r="N48" s="35"/>
      <c r="O48" s="35"/>
      <c r="P48" s="35"/>
      <c r="Q48" s="28"/>
      <c r="R48" s="35"/>
      <c r="S48" s="35"/>
      <c r="T48" s="35"/>
      <c r="U48" s="35"/>
      <c r="V48" s="35"/>
      <c r="W48" s="35"/>
      <c r="X48" s="70"/>
    </row>
    <row r="49" spans="1:24" ht="18" x14ac:dyDescent="0.4">
      <c r="A49" s="64"/>
      <c r="B49" s="35"/>
      <c r="C49" s="35"/>
      <c r="D49" s="35"/>
      <c r="E49" s="35"/>
      <c r="F49" s="116"/>
      <c r="G49" s="116"/>
      <c r="H49" s="116"/>
      <c r="I49" s="115"/>
      <c r="J49" s="116"/>
      <c r="K49" s="116"/>
      <c r="L49" s="116"/>
      <c r="M49" s="35"/>
      <c r="N49" s="35"/>
      <c r="O49" s="35"/>
      <c r="P49" s="35"/>
      <c r="Q49" s="28"/>
      <c r="R49" s="35"/>
      <c r="S49" s="35"/>
      <c r="T49" s="35"/>
      <c r="U49" s="35"/>
      <c r="V49" s="35"/>
      <c r="W49" s="35"/>
      <c r="X49" s="70"/>
    </row>
    <row r="50" spans="1:24" ht="18.75" customHeight="1" x14ac:dyDescent="0.3">
      <c r="A50" s="6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0"/>
      <c r="T50" s="10"/>
      <c r="U50" s="10"/>
      <c r="V50" s="10"/>
      <c r="W50" s="20"/>
      <c r="X50" s="70"/>
    </row>
    <row r="51" spans="1:24" x14ac:dyDescent="0.25">
      <c r="A51" s="6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5"/>
      <c r="T51" s="15"/>
      <c r="U51" s="15"/>
      <c r="V51" s="15"/>
      <c r="W51" s="15"/>
      <c r="X51" s="71"/>
    </row>
    <row r="52" spans="1:24" x14ac:dyDescent="0.25">
      <c r="A52" s="73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7"/>
      <c r="U52" s="17"/>
      <c r="V52" s="17"/>
      <c r="W52" s="17"/>
      <c r="X52" s="74"/>
    </row>
    <row r="53" spans="1:24" x14ac:dyDescent="0.25">
      <c r="A53" s="73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7"/>
      <c r="U53" s="17"/>
      <c r="V53" s="17"/>
      <c r="W53" s="17"/>
      <c r="X53" s="74"/>
    </row>
    <row r="54" spans="1:24" ht="30" x14ac:dyDescent="0.6">
      <c r="A54" s="167" t="s">
        <v>17</v>
      </c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9"/>
    </row>
    <row r="55" spans="1:24" x14ac:dyDescent="0.25">
      <c r="A55" s="73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7"/>
      <c r="U55" s="17"/>
      <c r="V55" s="17"/>
      <c r="W55" s="17"/>
      <c r="X55" s="74"/>
    </row>
    <row r="56" spans="1:24" ht="15.5" x14ac:dyDescent="0.35">
      <c r="A56" s="73"/>
      <c r="B56" s="161" t="s">
        <v>19</v>
      </c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74"/>
    </row>
    <row r="57" spans="1:24" ht="15.5" x14ac:dyDescent="0.35">
      <c r="A57" s="7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74"/>
    </row>
    <row r="58" spans="1:24" ht="18" x14ac:dyDescent="0.4">
      <c r="A58" s="158" t="s">
        <v>13</v>
      </c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60"/>
    </row>
    <row r="59" spans="1:24" x14ac:dyDescent="0.25">
      <c r="A59" s="73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7"/>
      <c r="U59" s="17"/>
      <c r="V59" s="17"/>
      <c r="W59" s="17"/>
      <c r="X59" s="74"/>
    </row>
    <row r="60" spans="1:24" ht="33" x14ac:dyDescent="0.7">
      <c r="A60" s="155" t="s">
        <v>14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7"/>
    </row>
    <row r="61" spans="1:24" ht="15" customHeight="1" x14ac:dyDescent="0.4">
      <c r="A61" s="75"/>
      <c r="B61" s="161" t="s">
        <v>15</v>
      </c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76"/>
    </row>
    <row r="62" spans="1:24" ht="15" customHeight="1" x14ac:dyDescent="0.4">
      <c r="A62" s="75"/>
      <c r="B62" s="161" t="s">
        <v>18</v>
      </c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76"/>
    </row>
    <row r="63" spans="1:24" ht="15" customHeight="1" x14ac:dyDescent="0.4">
      <c r="A63" s="75"/>
      <c r="B63" s="161" t="s">
        <v>108</v>
      </c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76"/>
    </row>
    <row r="64" spans="1:24" ht="15" customHeight="1" x14ac:dyDescent="0.4">
      <c r="A64" s="75"/>
      <c r="B64" s="161" t="s">
        <v>16</v>
      </c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76"/>
    </row>
    <row r="65" spans="1:24" ht="15" customHeight="1" x14ac:dyDescent="0.4">
      <c r="A65" s="75"/>
      <c r="B65" s="161" t="s">
        <v>109</v>
      </c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76"/>
    </row>
    <row r="66" spans="1:24" ht="20" x14ac:dyDescent="0.4">
      <c r="A66" s="75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76"/>
    </row>
    <row r="67" spans="1:24" ht="18" x14ac:dyDescent="0.4">
      <c r="A67" s="158" t="s">
        <v>49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60"/>
    </row>
    <row r="68" spans="1:24" x14ac:dyDescent="0.25">
      <c r="A68" s="73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7"/>
      <c r="T68" s="17"/>
      <c r="U68" s="17"/>
      <c r="V68" s="17"/>
      <c r="W68" s="17"/>
      <c r="X68" s="74"/>
    </row>
    <row r="69" spans="1:24" x14ac:dyDescent="0.25">
      <c r="A69" s="73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7"/>
      <c r="T69" s="17"/>
      <c r="U69" s="17"/>
      <c r="V69" s="17"/>
      <c r="W69" s="17"/>
      <c r="X69" s="74"/>
    </row>
    <row r="70" spans="1:24" x14ac:dyDescent="0.25">
      <c r="A70" s="73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7"/>
      <c r="T70" s="17"/>
      <c r="U70" s="17"/>
      <c r="V70" s="17"/>
      <c r="W70" s="17"/>
      <c r="X70" s="74"/>
    </row>
    <row r="71" spans="1:24" x14ac:dyDescent="0.25">
      <c r="A71" s="73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7"/>
      <c r="T71" s="17"/>
      <c r="U71" s="17"/>
      <c r="V71" s="17"/>
      <c r="W71" s="17"/>
      <c r="X71" s="74"/>
    </row>
    <row r="72" spans="1:24" x14ac:dyDescent="0.25">
      <c r="A72" s="73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7"/>
      <c r="T72" s="17"/>
      <c r="U72" s="17"/>
      <c r="V72" s="17"/>
      <c r="W72" s="17"/>
      <c r="X72" s="74"/>
    </row>
    <row r="73" spans="1:24" x14ac:dyDescent="0.25">
      <c r="A73" s="73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7"/>
      <c r="T73" s="17"/>
      <c r="U73" s="17"/>
      <c r="V73" s="17"/>
      <c r="W73" s="17"/>
      <c r="X73" s="74"/>
    </row>
    <row r="74" spans="1:24" x14ac:dyDescent="0.25">
      <c r="A74" s="73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7"/>
      <c r="T74" s="17"/>
      <c r="U74" s="17"/>
      <c r="V74" s="17"/>
      <c r="W74" s="17"/>
      <c r="X74" s="74"/>
    </row>
    <row r="75" spans="1:24" x14ac:dyDescent="0.25">
      <c r="A75" s="73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7"/>
      <c r="T75" s="17"/>
      <c r="U75" s="17"/>
      <c r="V75" s="17"/>
      <c r="W75" s="17"/>
      <c r="X75" s="74"/>
    </row>
    <row r="76" spans="1:24" x14ac:dyDescent="0.25">
      <c r="A76" s="73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7"/>
      <c r="T76" s="17"/>
      <c r="U76" s="17"/>
      <c r="V76" s="17"/>
      <c r="W76" s="17"/>
      <c r="X76" s="74"/>
    </row>
    <row r="77" spans="1:24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7"/>
      <c r="T77" s="17"/>
      <c r="U77" s="17"/>
      <c r="V77" s="17"/>
      <c r="W77" s="17"/>
      <c r="X77" s="16"/>
    </row>
    <row r="78" spans="1:24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7"/>
      <c r="T78" s="17"/>
      <c r="U78" s="17"/>
      <c r="V78" s="17"/>
      <c r="W78" s="17"/>
      <c r="X78" s="16"/>
    </row>
    <row r="79" spans="1:24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7"/>
      <c r="T79" s="17"/>
      <c r="U79" s="17"/>
      <c r="V79" s="17"/>
      <c r="W79" s="17"/>
      <c r="X79" s="16"/>
    </row>
    <row r="80" spans="1:24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7"/>
      <c r="T80" s="17"/>
      <c r="U80" s="17"/>
      <c r="V80" s="17"/>
      <c r="W80" s="17"/>
      <c r="X80" s="16"/>
    </row>
    <row r="81" spans="1:24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</sheetData>
  <mergeCells count="24">
    <mergeCell ref="A58:X58"/>
    <mergeCell ref="B56:W56"/>
    <mergeCell ref="H42:O42"/>
    <mergeCell ref="S42:W42"/>
    <mergeCell ref="A54:X54"/>
    <mergeCell ref="B30:W30"/>
    <mergeCell ref="A60:X60"/>
    <mergeCell ref="A67:X67"/>
    <mergeCell ref="B61:W61"/>
    <mergeCell ref="B64:W64"/>
    <mergeCell ref="B65:W65"/>
    <mergeCell ref="B62:W62"/>
    <mergeCell ref="B63:W63"/>
    <mergeCell ref="L32:Q32"/>
    <mergeCell ref="B39:V39"/>
    <mergeCell ref="B1:W1"/>
    <mergeCell ref="B2:W2"/>
    <mergeCell ref="B29:V29"/>
    <mergeCell ref="B5:W5"/>
    <mergeCell ref="B21:V21"/>
    <mergeCell ref="A3:X3"/>
    <mergeCell ref="B6:W6"/>
    <mergeCell ref="B14:W14"/>
    <mergeCell ref="B22:W22"/>
  </mergeCells>
  <pageMargins left="1.94" right="0.56000000000000005" top="1.65" bottom="0.62" header="0.52" footer="0.5"/>
  <pageSetup scale="89" orientation="landscape" horizontalDpi="300" verticalDpi="300" r:id="rId1"/>
  <headerFooter alignWithMargins="0"/>
  <rowBreaks count="5" manualBreakCount="5">
    <brk id="12" max="16383" man="1"/>
    <brk id="20" max="16383" man="1"/>
    <brk id="28" max="16383" man="1"/>
    <brk id="37" max="16383" man="1"/>
    <brk id="51" max="16383" man="1"/>
  </rowBreaks>
  <colBreaks count="1" manualBreakCount="1">
    <brk id="24" max="1048575" man="1"/>
  </colBreaks>
  <drawing r:id="rId2"/>
  <legacyDrawing r:id="rId3"/>
  <oleObjects>
    <mc:AlternateContent xmlns:mc="http://schemas.openxmlformats.org/markup-compatibility/2006">
      <mc:Choice Requires="x14">
        <oleObject progId="MS_ClipArt_Gallery" shapeId="1028" r:id="rId4">
          <objectPr defaultSize="0" r:id="rId5">
            <anchor moveWithCells="1">
              <from>
                <xdr:col>8</xdr:col>
                <xdr:colOff>311150</xdr:colOff>
                <xdr:row>66</xdr:row>
                <xdr:rowOff>38100</xdr:rowOff>
              </from>
              <to>
                <xdr:col>13</xdr:col>
                <xdr:colOff>177800</xdr:colOff>
                <xdr:row>73</xdr:row>
                <xdr:rowOff>95250</xdr:rowOff>
              </to>
            </anchor>
          </objectPr>
        </oleObject>
      </mc:Choice>
      <mc:Fallback>
        <oleObject progId="MS_ClipArt_Gallery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8"/>
  <sheetViews>
    <sheetView workbookViewId="0">
      <selection activeCell="E8" sqref="E8"/>
    </sheetView>
  </sheetViews>
  <sheetFormatPr defaultRowHeight="12.5" x14ac:dyDescent="0.25"/>
  <cols>
    <col min="1" max="1" width="8.7265625" customWidth="1"/>
    <col min="3" max="3" width="20.54296875" customWidth="1"/>
    <col min="4" max="4" width="14.54296875" customWidth="1"/>
    <col min="5" max="6" width="12.453125" customWidth="1"/>
    <col min="7" max="7" width="13.54296875" customWidth="1"/>
    <col min="8" max="9" width="8.7265625" customWidth="1"/>
    <col min="10" max="28" width="3.7265625" customWidth="1"/>
    <col min="29" max="29" width="8.7265625" customWidth="1"/>
    <col min="30" max="116" width="3.7265625" customWidth="1"/>
  </cols>
  <sheetData>
    <row r="1" spans="1:67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67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3" spans="1:67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67" ht="11.15" customHeight="1" x14ac:dyDescent="0.35">
      <c r="A4" s="36"/>
      <c r="B4" s="36"/>
      <c r="C4" s="78"/>
      <c r="D4" s="78"/>
      <c r="E4" s="77"/>
      <c r="F4" s="77"/>
      <c r="G4" s="77"/>
      <c r="H4" s="36"/>
      <c r="I4" s="36"/>
      <c r="J4" s="36"/>
      <c r="K4" s="170" t="s">
        <v>39</v>
      </c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8"/>
      <c r="AE4" s="8"/>
      <c r="AF4" s="8"/>
      <c r="AG4" s="8"/>
      <c r="AH4" s="8"/>
    </row>
    <row r="5" spans="1:67" ht="11.15" customHeight="1" x14ac:dyDescent="0.25">
      <c r="A5" s="36"/>
      <c r="B5" s="135" t="s">
        <v>68</v>
      </c>
      <c r="C5" s="141"/>
      <c r="D5" s="141"/>
      <c r="E5" s="101" t="s">
        <v>20</v>
      </c>
      <c r="F5" s="101" t="s">
        <v>27</v>
      </c>
      <c r="G5" s="100" t="s">
        <v>21</v>
      </c>
      <c r="H5" s="8"/>
      <c r="I5" s="8"/>
      <c r="J5" s="8"/>
      <c r="K5" s="102">
        <v>1</v>
      </c>
      <c r="L5" s="102">
        <v>2</v>
      </c>
      <c r="M5" s="102">
        <v>3</v>
      </c>
      <c r="N5" s="102">
        <v>4</v>
      </c>
      <c r="O5" s="102">
        <v>5</v>
      </c>
      <c r="P5" s="102">
        <v>6</v>
      </c>
      <c r="Q5" s="102">
        <v>7</v>
      </c>
      <c r="R5" s="102">
        <v>8</v>
      </c>
      <c r="S5" s="102">
        <v>9</v>
      </c>
      <c r="T5" s="102">
        <v>10</v>
      </c>
      <c r="U5" s="102">
        <v>11</v>
      </c>
      <c r="V5" s="102">
        <v>12</v>
      </c>
      <c r="W5" s="102">
        <v>13</v>
      </c>
      <c r="X5" s="102">
        <v>14</v>
      </c>
      <c r="Y5" s="102">
        <v>15</v>
      </c>
      <c r="Z5" s="102">
        <v>16</v>
      </c>
      <c r="AA5" s="102">
        <v>17</v>
      </c>
      <c r="AB5" s="102">
        <v>18</v>
      </c>
      <c r="AC5" s="102" t="s">
        <v>26</v>
      </c>
      <c r="AD5" s="8"/>
      <c r="AE5" s="8"/>
      <c r="AF5" s="8"/>
      <c r="AG5" s="8"/>
      <c r="AH5" s="8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7" ht="11.15" customHeight="1" x14ac:dyDescent="0.25">
      <c r="A6" s="37"/>
      <c r="B6" s="136" t="s">
        <v>69</v>
      </c>
      <c r="C6" s="38"/>
      <c r="D6" s="38"/>
      <c r="E6" s="94"/>
      <c r="F6" s="94"/>
      <c r="G6" s="94"/>
      <c r="H6" s="38"/>
      <c r="I6" s="38"/>
      <c r="J6" s="38"/>
      <c r="K6" s="38"/>
      <c r="L6" s="38"/>
      <c r="M6" s="38"/>
      <c r="N6" s="3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7" s="44" customFormat="1" ht="11.15" customHeight="1" x14ac:dyDescent="0.25">
      <c r="A7" s="42"/>
      <c r="B7" s="136" t="s">
        <v>70</v>
      </c>
      <c r="C7" s="142"/>
      <c r="D7" s="143"/>
      <c r="E7" s="51">
        <v>0</v>
      </c>
      <c r="F7" s="50">
        <f>E7-'Main Page'!N4</f>
        <v>-3</v>
      </c>
      <c r="G7" s="50">
        <f>IF(F7&gt;0,-(F7*2),0)</f>
        <v>0</v>
      </c>
      <c r="H7" s="43"/>
      <c r="I7" s="43"/>
      <c r="J7" s="43"/>
      <c r="K7" s="96" t="e">
        <f>SUM(#REF!)</f>
        <v>#REF!</v>
      </c>
      <c r="L7" s="96" t="e">
        <f>SUM(#REF!)</f>
        <v>#REF!</v>
      </c>
      <c r="M7" s="96" t="e">
        <f>SUM(#REF!)</f>
        <v>#REF!</v>
      </c>
      <c r="N7" s="96" t="e">
        <f>SUM(#REF!)</f>
        <v>#REF!</v>
      </c>
      <c r="O7" s="79" t="e">
        <f>SUM(#REF!)</f>
        <v>#REF!</v>
      </c>
      <c r="P7" s="79" t="e">
        <f>SUM(#REF!)</f>
        <v>#REF!</v>
      </c>
      <c r="Q7" s="79" t="e">
        <f>SUM(#REF!)</f>
        <v>#REF!</v>
      </c>
      <c r="R7" s="79" t="e">
        <f>SUM(#REF!)</f>
        <v>#REF!</v>
      </c>
      <c r="S7" s="79" t="e">
        <f>SUM(#REF!)</f>
        <v>#REF!</v>
      </c>
      <c r="T7" s="79" t="e">
        <f>SUM(#REF!)</f>
        <v>#REF!</v>
      </c>
      <c r="U7" s="79" t="e">
        <f>SUM(#REF!)</f>
        <v>#REF!</v>
      </c>
      <c r="V7" s="79" t="e">
        <f>SUM(#REF!)</f>
        <v>#REF!</v>
      </c>
      <c r="W7" s="79" t="e">
        <f>SUM(#REF!)</f>
        <v>#REF!</v>
      </c>
      <c r="X7" s="79" t="e">
        <f>SUM(#REF!)</f>
        <v>#REF!</v>
      </c>
      <c r="Y7" s="79" t="e">
        <f>SUM(#REF!)</f>
        <v>#REF!</v>
      </c>
      <c r="Z7" s="79" t="e">
        <f>SUM(#REF!)</f>
        <v>#REF!</v>
      </c>
      <c r="AA7" s="79" t="e">
        <f>SUM(#REF!)</f>
        <v>#REF!</v>
      </c>
      <c r="AB7" s="79" t="e">
        <f>SUM(#REF!)</f>
        <v>#REF!</v>
      </c>
      <c r="AC7" s="98" t="e">
        <f>SUM(K7:AB7)</f>
        <v>#REF!</v>
      </c>
      <c r="AD7" s="43"/>
      <c r="AE7" s="43"/>
      <c r="AF7" s="43"/>
      <c r="AG7" s="43"/>
      <c r="AH7" s="43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</row>
    <row r="8" spans="1:67" s="44" customFormat="1" ht="11.15" customHeight="1" x14ac:dyDescent="0.25">
      <c r="A8" s="42"/>
      <c r="B8" s="136" t="s">
        <v>71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</row>
    <row r="9" spans="1:67" s="44" customFormat="1" ht="11.15" customHeight="1" x14ac:dyDescent="0.25">
      <c r="A9" s="42"/>
      <c r="B9" s="136" t="s">
        <v>72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</row>
    <row r="10" spans="1:67" s="44" customFormat="1" ht="11.15" customHeight="1" x14ac:dyDescent="0.25">
      <c r="A10" s="42"/>
      <c r="B10" s="136" t="s">
        <v>73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</row>
    <row r="11" spans="1:67" ht="11.15" customHeight="1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67" ht="11.15" customHeight="1" x14ac:dyDescent="0.25">
      <c r="A12" s="36"/>
      <c r="B12" s="36"/>
      <c r="C12" s="42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67" ht="11.15" customHeight="1" x14ac:dyDescent="0.25">
      <c r="A13" s="42"/>
      <c r="B13" s="136" t="s">
        <v>96</v>
      </c>
      <c r="C13" s="135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</row>
    <row r="14" spans="1:67" ht="11.15" customHeight="1" x14ac:dyDescent="0.25">
      <c r="A14" s="42"/>
      <c r="B14" s="136" t="s">
        <v>97</v>
      </c>
      <c r="C14" s="136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</row>
    <row r="15" spans="1:67" ht="11.15" customHeight="1" x14ac:dyDescent="0.25">
      <c r="A15" s="42"/>
      <c r="B15" s="136" t="s">
        <v>98</v>
      </c>
      <c r="C15" s="136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</row>
    <row r="16" spans="1:67" ht="11.15" customHeight="1" x14ac:dyDescent="0.25">
      <c r="A16" s="42"/>
      <c r="B16" s="42"/>
      <c r="C16" s="13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</row>
    <row r="17" spans="1:67" x14ac:dyDescent="0.25">
      <c r="A17" s="42"/>
      <c r="B17" s="42"/>
      <c r="C17" s="136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</row>
    <row r="18" spans="1:67" x14ac:dyDescent="0.25">
      <c r="A18" s="42"/>
      <c r="B18" s="42"/>
      <c r="C18" s="136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</row>
    <row r="19" spans="1:67" x14ac:dyDescent="0.25">
      <c r="A19" s="42"/>
      <c r="B19" s="42"/>
      <c r="C19" s="36"/>
      <c r="D19" s="36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</row>
    <row r="20" spans="1:67" x14ac:dyDescent="0.25">
      <c r="A20" s="42"/>
      <c r="B20" s="42"/>
      <c r="C20" s="36"/>
      <c r="D20" s="36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</row>
    <row r="21" spans="1:67" x14ac:dyDescent="0.25">
      <c r="A21" s="42"/>
      <c r="B21" s="42"/>
      <c r="C21" s="136"/>
      <c r="D21" s="36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</row>
    <row r="22" spans="1:67" x14ac:dyDescent="0.25">
      <c r="A22" s="42"/>
      <c r="B22" s="42"/>
      <c r="C22" s="136"/>
      <c r="D22" s="36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</row>
    <row r="23" spans="1:67" x14ac:dyDescent="0.25">
      <c r="A23" s="42"/>
      <c r="B23" s="42"/>
      <c r="C23" s="136"/>
      <c r="D23" s="36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</row>
    <row r="24" spans="1:67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</row>
    <row r="25" spans="1:67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</row>
    <row r="26" spans="1:67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</row>
    <row r="27" spans="1:67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</row>
    <row r="28" spans="1:67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</row>
    <row r="29" spans="1:67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</row>
    <row r="30" spans="1:67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</row>
    <row r="31" spans="1:67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</row>
    <row r="32" spans="1:67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</row>
    <row r="33" spans="1:67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</row>
    <row r="34" spans="1:67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</row>
    <row r="35" spans="1:67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</row>
    <row r="36" spans="1:67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</row>
    <row r="37" spans="1:67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</row>
    <row r="38" spans="1:67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</row>
    <row r="39" spans="1:67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</row>
    <row r="40" spans="1:67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</row>
    <row r="41" spans="1:67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</row>
    <row r="42" spans="1:67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</row>
    <row r="43" spans="1:67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</row>
    <row r="44" spans="1:67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</row>
    <row r="45" spans="1:67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</row>
    <row r="46" spans="1:67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</row>
    <row r="47" spans="1:67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</row>
    <row r="48" spans="1:67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</row>
    <row r="49" spans="1:67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</row>
    <row r="50" spans="1:67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</row>
    <row r="51" spans="1:67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</row>
    <row r="52" spans="1:67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</row>
    <row r="53" spans="1:67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</row>
    <row r="54" spans="1:67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</row>
    <row r="55" spans="1:67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</row>
    <row r="56" spans="1:67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</row>
    <row r="57" spans="1:67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</row>
    <row r="58" spans="1:67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</row>
    <row r="59" spans="1:67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</row>
    <row r="60" spans="1:67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</row>
    <row r="61" spans="1:67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</row>
    <row r="62" spans="1:67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</row>
    <row r="63" spans="1:67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</row>
    <row r="64" spans="1:67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</row>
    <row r="65" spans="1:67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</row>
    <row r="66" spans="1:67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</row>
    <row r="67" spans="1:67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</row>
    <row r="68" spans="1:67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</row>
    <row r="69" spans="1:67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</row>
    <row r="70" spans="1:67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</row>
    <row r="71" spans="1:67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</row>
    <row r="72" spans="1:67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</row>
    <row r="73" spans="1:67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</row>
    <row r="74" spans="1:67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</row>
    <row r="75" spans="1:67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</row>
    <row r="76" spans="1:67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</row>
    <row r="77" spans="1:67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</row>
    <row r="78" spans="1:67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</row>
    <row r="79" spans="1:67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</row>
    <row r="80" spans="1:67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</row>
    <row r="81" spans="1:67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</row>
    <row r="82" spans="1:67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</row>
    <row r="83" spans="1:67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</row>
    <row r="84" spans="1:67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</row>
    <row r="85" spans="1:67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</row>
    <row r="86" spans="1:67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</row>
    <row r="87" spans="1:67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</row>
    <row r="88" spans="1:67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</row>
    <row r="89" spans="1:67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</row>
    <row r="90" spans="1:67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</row>
    <row r="91" spans="1:67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</row>
    <row r="92" spans="1:67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</row>
    <row r="93" spans="1:67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</row>
    <row r="94" spans="1:67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</row>
    <row r="95" spans="1:67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</row>
    <row r="96" spans="1:67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</row>
    <row r="97" spans="1:67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</row>
    <row r="98" spans="1:67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</row>
    <row r="99" spans="1:67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</row>
    <row r="100" spans="1:67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</row>
    <row r="101" spans="1:67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</row>
    <row r="102" spans="1:67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</row>
    <row r="103" spans="1:67" x14ac:dyDescent="0.2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</row>
    <row r="104" spans="1:67" x14ac:dyDescent="0.2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</row>
    <row r="105" spans="1:67" x14ac:dyDescent="0.2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</row>
    <row r="106" spans="1:67" x14ac:dyDescent="0.2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</row>
    <row r="107" spans="1:67" x14ac:dyDescent="0.2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</row>
    <row r="108" spans="1:67" x14ac:dyDescent="0.2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</row>
    <row r="109" spans="1:67" x14ac:dyDescent="0.2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</row>
    <row r="110" spans="1:67" x14ac:dyDescent="0.2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</row>
    <row r="111" spans="1:67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</row>
    <row r="112" spans="1:67" x14ac:dyDescent="0.2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</row>
    <row r="113" spans="1:67" x14ac:dyDescent="0.2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</row>
    <row r="114" spans="1:67" x14ac:dyDescent="0.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</row>
    <row r="115" spans="1:67" x14ac:dyDescent="0.2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</row>
    <row r="116" spans="1:67" x14ac:dyDescent="0.2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</row>
    <row r="117" spans="1:67" x14ac:dyDescent="0.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</row>
    <row r="118" spans="1:67" x14ac:dyDescent="0.2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</row>
    <row r="119" spans="1:67" x14ac:dyDescent="0.2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</row>
    <row r="120" spans="1:67" x14ac:dyDescent="0.2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</row>
    <row r="121" spans="1:67" x14ac:dyDescent="0.2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</row>
    <row r="122" spans="1:67" x14ac:dyDescent="0.2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</row>
    <row r="123" spans="1:67" x14ac:dyDescent="0.2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</row>
    <row r="124" spans="1:67" x14ac:dyDescent="0.2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</row>
    <row r="125" spans="1:67" x14ac:dyDescent="0.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</row>
    <row r="126" spans="1:67" x14ac:dyDescent="0.2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</row>
    <row r="127" spans="1:67" x14ac:dyDescent="0.2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</row>
    <row r="128" spans="1:67" x14ac:dyDescent="0.2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</row>
    <row r="129" spans="1:67" x14ac:dyDescent="0.2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</row>
    <row r="130" spans="1:67" x14ac:dyDescent="0.2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</row>
    <row r="131" spans="1:67" x14ac:dyDescent="0.2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</row>
    <row r="132" spans="1:67" x14ac:dyDescent="0.2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</row>
    <row r="133" spans="1:67" x14ac:dyDescent="0.2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</row>
    <row r="134" spans="1:67" x14ac:dyDescent="0.2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</row>
    <row r="135" spans="1:67" x14ac:dyDescent="0.2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</row>
    <row r="136" spans="1:67" x14ac:dyDescent="0.2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</row>
    <row r="137" spans="1:67" x14ac:dyDescent="0.2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</row>
    <row r="138" spans="1:67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</row>
  </sheetData>
  <mergeCells count="1">
    <mergeCell ref="K4:AC4"/>
  </mergeCells>
  <pageMargins left="0.75" right="0.7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>
      <selection activeCell="B5" sqref="B5"/>
    </sheetView>
  </sheetViews>
  <sheetFormatPr defaultRowHeight="12.5" x14ac:dyDescent="0.25"/>
  <cols>
    <col min="1" max="1" width="4.1796875" customWidth="1"/>
    <col min="2" max="2" width="13.81640625" customWidth="1"/>
    <col min="3" max="3" width="10.81640625" customWidth="1"/>
    <col min="4" max="4" width="15.7265625" customWidth="1"/>
    <col min="5" max="5" width="6.7265625" customWidth="1"/>
    <col min="6" max="6" width="15.7265625" customWidth="1"/>
    <col min="7" max="7" width="6.7265625" customWidth="1"/>
    <col min="8" max="8" width="15.7265625" customWidth="1"/>
    <col min="9" max="9" width="6.7265625" customWidth="1"/>
    <col min="10" max="10" width="8.7265625" customWidth="1"/>
  </cols>
  <sheetData>
    <row r="1" spans="1:13" ht="23" x14ac:dyDescent="0.5">
      <c r="A1" s="36"/>
      <c r="B1" s="171" t="s">
        <v>28</v>
      </c>
      <c r="C1" s="171"/>
      <c r="D1" s="171"/>
      <c r="E1" s="171"/>
      <c r="F1" s="171"/>
      <c r="G1" s="171"/>
      <c r="H1" s="171"/>
      <c r="I1" s="171"/>
      <c r="J1" s="171"/>
      <c r="K1" s="36"/>
      <c r="L1" s="36"/>
    </row>
    <row r="2" spans="1:13" ht="15.5" x14ac:dyDescent="0.35">
      <c r="A2" s="36"/>
      <c r="B2" s="78"/>
      <c r="C2" s="78"/>
      <c r="D2" s="77"/>
      <c r="E2" s="77"/>
      <c r="F2" s="77"/>
      <c r="G2" s="77"/>
      <c r="H2" s="77"/>
      <c r="I2" s="77"/>
      <c r="J2" s="77"/>
      <c r="K2" s="36"/>
      <c r="L2" s="36"/>
    </row>
    <row r="3" spans="1:13" ht="13" x14ac:dyDescent="0.3">
      <c r="A3" s="136"/>
      <c r="B3" s="136" t="s">
        <v>100</v>
      </c>
      <c r="C3" s="144"/>
      <c r="D3" s="46" t="s">
        <v>22</v>
      </c>
      <c r="E3" s="46" t="s">
        <v>25</v>
      </c>
      <c r="F3" s="47" t="s">
        <v>23</v>
      </c>
      <c r="G3" s="46" t="s">
        <v>25</v>
      </c>
      <c r="H3" s="46" t="s">
        <v>24</v>
      </c>
      <c r="I3" s="46" t="s">
        <v>25</v>
      </c>
      <c r="J3" s="46" t="s">
        <v>26</v>
      </c>
      <c r="K3" s="36"/>
      <c r="L3" s="36"/>
    </row>
    <row r="4" spans="1:13" x14ac:dyDescent="0.25">
      <c r="A4" s="136"/>
      <c r="B4" s="136" t="s">
        <v>101</v>
      </c>
      <c r="C4" s="8"/>
      <c r="D4" s="93"/>
      <c r="E4" s="93"/>
      <c r="F4" s="93"/>
      <c r="G4" s="93"/>
      <c r="H4" s="93"/>
      <c r="I4" s="93"/>
      <c r="J4" s="93"/>
      <c r="K4" s="36"/>
      <c r="L4" s="36"/>
    </row>
    <row r="5" spans="1:13" s="44" customFormat="1" ht="10.5" x14ac:dyDescent="0.25">
      <c r="A5" s="136"/>
      <c r="B5" s="136" t="s">
        <v>102</v>
      </c>
      <c r="C5" s="143"/>
      <c r="D5" s="40"/>
      <c r="E5" s="48"/>
      <c r="F5" s="41"/>
      <c r="G5" s="48"/>
      <c r="H5" s="40"/>
      <c r="I5" s="48"/>
      <c r="J5" s="49">
        <f>E5+G5+I5</f>
        <v>0</v>
      </c>
      <c r="K5" s="42"/>
      <c r="L5" s="42"/>
    </row>
    <row r="6" spans="1:13" s="44" customFormat="1" ht="10" x14ac:dyDescent="0.2">
      <c r="A6" s="43"/>
      <c r="B6" s="43"/>
      <c r="C6" s="45"/>
      <c r="D6" s="43"/>
      <c r="E6" s="43"/>
      <c r="F6" s="43"/>
      <c r="G6" s="43"/>
      <c r="H6" s="43"/>
      <c r="I6" s="43"/>
      <c r="J6" s="43"/>
      <c r="K6" s="42"/>
      <c r="L6" s="42"/>
    </row>
    <row r="7" spans="1:13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3" x14ac:dyDescent="0.25">
      <c r="A8" s="36"/>
      <c r="B8" s="36"/>
      <c r="C8" s="36"/>
      <c r="D8" s="136"/>
      <c r="E8" s="36"/>
      <c r="F8" s="36"/>
      <c r="G8" s="36"/>
      <c r="H8" s="36"/>
      <c r="I8" s="36"/>
      <c r="J8" s="36"/>
      <c r="K8" s="36"/>
      <c r="L8" s="36"/>
    </row>
    <row r="9" spans="1:13" x14ac:dyDescent="0.25">
      <c r="A9" s="36"/>
      <c r="B9" s="36"/>
      <c r="C9" s="36"/>
      <c r="D9" s="136"/>
      <c r="E9" s="36"/>
      <c r="F9" s="36"/>
      <c r="G9" s="36"/>
      <c r="H9" s="36"/>
      <c r="I9" s="36"/>
      <c r="J9" s="36"/>
      <c r="K9" s="36"/>
      <c r="L9" s="36"/>
    </row>
    <row r="10" spans="1:13" x14ac:dyDescent="0.25">
      <c r="A10" s="36"/>
      <c r="B10" s="36"/>
      <c r="C10" s="36"/>
      <c r="D10" s="136"/>
      <c r="E10" s="36"/>
      <c r="F10" s="36"/>
      <c r="G10" s="36"/>
      <c r="H10" s="36"/>
      <c r="I10" s="36"/>
      <c r="J10" s="36"/>
      <c r="K10" s="36"/>
      <c r="L10" s="36"/>
    </row>
    <row r="11" spans="1:13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spans="1:13" x14ac:dyDescent="0.25">
      <c r="A13" s="36"/>
      <c r="B13" s="36"/>
      <c r="C13" s="36"/>
      <c r="D13" s="36" t="s">
        <v>75</v>
      </c>
      <c r="E13" s="36"/>
      <c r="F13" s="36"/>
      <c r="G13" s="36"/>
      <c r="H13" s="36"/>
      <c r="I13" s="36"/>
      <c r="J13" s="36"/>
      <c r="K13" s="36"/>
      <c r="L13" s="36"/>
    </row>
    <row r="14" spans="1:13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3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  <row r="16" spans="1:13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3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1:13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spans="1:13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3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spans="1:13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1:13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spans="1:13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spans="1:13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</row>
    <row r="29" spans="1:13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spans="1:13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</row>
    <row r="31" spans="1:13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spans="1:13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spans="1:13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spans="1:13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 spans="1:13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spans="1:13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spans="1:13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1:13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</row>
    <row r="63" spans="1:13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</row>
    <row r="64" spans="1:13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5" spans="1:13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 spans="1:13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spans="1:13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spans="1:13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 spans="1:13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 spans="1:13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spans="1:13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 spans="1:13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</row>
    <row r="79" spans="1:13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 spans="1:13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 spans="1:13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</row>
    <row r="82" spans="1:13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</row>
    <row r="83" spans="1:13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</row>
    <row r="84" spans="1:13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</row>
    <row r="85" spans="1:13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</row>
    <row r="86" spans="1:13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</row>
    <row r="87" spans="1:13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</row>
    <row r="88" spans="1:13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</row>
    <row r="89" spans="1:13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</row>
    <row r="90" spans="1:13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spans="1:13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</row>
    <row r="92" spans="1:13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</row>
    <row r="93" spans="1:13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</row>
    <row r="94" spans="1:13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</row>
    <row r="95" spans="1:13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</row>
    <row r="96" spans="1:13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</row>
    <row r="97" spans="1:13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</row>
    <row r="98" spans="1:13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</row>
    <row r="99" spans="1:13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</row>
    <row r="100" spans="1:13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</row>
    <row r="101" spans="1:13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</row>
    <row r="102" spans="1:13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</row>
    <row r="103" spans="1:13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</row>
    <row r="104" spans="1:13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</row>
    <row r="105" spans="1:13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 spans="1:13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</row>
    <row r="107" spans="1:13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</row>
    <row r="108" spans="1:13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1:13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 spans="1:13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</row>
    <row r="111" spans="1:13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</row>
    <row r="112" spans="1:13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spans="1:13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</row>
    <row r="114" spans="1:13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</row>
    <row r="115" spans="1:13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</row>
    <row r="116" spans="1:13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</row>
    <row r="117" spans="1:13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1:13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</row>
    <row r="119" spans="1:13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</row>
    <row r="120" spans="1:13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</row>
    <row r="121" spans="1:13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</row>
    <row r="123" spans="1:13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</row>
    <row r="124" spans="1:13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</row>
    <row r="125" spans="1:13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</row>
    <row r="126" spans="1:13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</row>
    <row r="127" spans="1:13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</row>
    <row r="128" spans="1:13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</row>
    <row r="129" spans="1:13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</row>
    <row r="130" spans="1:13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</row>
    <row r="131" spans="1:13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</row>
    <row r="132" spans="1:13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</row>
    <row r="133" spans="1:13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</row>
    <row r="134" spans="1:13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spans="1:13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3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</row>
    <row r="137" spans="1:13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</row>
    <row r="138" spans="1:13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</row>
    <row r="139" spans="1:13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</row>
    <row r="140" spans="1:13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</row>
    <row r="141" spans="1:13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</row>
    <row r="142" spans="1:13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</row>
    <row r="143" spans="1:13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</row>
    <row r="144" spans="1:13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</row>
    <row r="145" spans="1:13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</row>
    <row r="146" spans="1:13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</row>
    <row r="147" spans="1:13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</row>
    <row r="148" spans="1:13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</row>
    <row r="149" spans="1:13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</row>
    <row r="150" spans="1:13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</row>
    <row r="151" spans="1:13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</row>
    <row r="152" spans="1:13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</row>
    <row r="153" spans="1:13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</row>
    <row r="154" spans="1:13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</row>
    <row r="155" spans="1:13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</row>
    <row r="156" spans="1:13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spans="1:13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 spans="1:13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 spans="1:13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 spans="1:13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 spans="1:13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</row>
    <row r="162" spans="1:13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</row>
    <row r="163" spans="1:13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</row>
    <row r="164" spans="1:13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</row>
    <row r="165" spans="1:13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</row>
    <row r="166" spans="1:13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 spans="1:13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 spans="1:13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 spans="1:13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 spans="1:13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 spans="1:13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</row>
    <row r="172" spans="1:13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 spans="1:13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 spans="1:13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</row>
    <row r="175" spans="1:13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</row>
    <row r="176" spans="1:13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</row>
    <row r="177" spans="1:13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 spans="1:13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spans="1:13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</row>
    <row r="180" spans="1:13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</row>
    <row r="181" spans="1:13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</row>
    <row r="182" spans="1:13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</row>
    <row r="183" spans="1:13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</row>
    <row r="184" spans="1:13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</row>
    <row r="185" spans="1:13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</row>
    <row r="186" spans="1:13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</row>
    <row r="187" spans="1:13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</row>
    <row r="188" spans="1:13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</row>
    <row r="189" spans="1:13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</row>
    <row r="190" spans="1:13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</row>
    <row r="191" spans="1:13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</row>
    <row r="192" spans="1:13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</row>
    <row r="193" spans="1:13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</row>
    <row r="194" spans="1:13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</row>
    <row r="195" spans="1:13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</row>
    <row r="196" spans="1:13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</row>
    <row r="197" spans="1:13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</row>
    <row r="198" spans="1:13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</row>
    <row r="199" spans="1:13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</row>
    <row r="200" spans="1:13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 spans="1:13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</row>
    <row r="202" spans="1:13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</row>
    <row r="203" spans="1:13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</row>
    <row r="204" spans="1:13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</row>
    <row r="205" spans="1:13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</row>
    <row r="206" spans="1:13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</row>
    <row r="207" spans="1:13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</row>
    <row r="208" spans="1:13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</row>
    <row r="209" spans="1:13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</row>
    <row r="210" spans="1:13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</row>
    <row r="211" spans="1:13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 spans="1:13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3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3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 spans="1:13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 spans="1:13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 spans="1:13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 spans="1:13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3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3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3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3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13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13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13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13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13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13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 spans="1:13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 spans="1:13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 spans="1:13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 spans="1:13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 spans="1:13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 spans="1:13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 spans="1:13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spans="1:13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 spans="1:13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 spans="1:13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 spans="1:13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 spans="1:13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 spans="1:13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 spans="1:13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3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 spans="1:13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 spans="1:13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 spans="1:13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 spans="1:13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 spans="1:13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 spans="1:13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 spans="1:13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spans="1:13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 spans="1:13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 spans="1:13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 spans="1:13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spans="1:13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 spans="1:13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 spans="1:13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 spans="1:13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 spans="1:13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 spans="1:13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 spans="1:13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 spans="1:13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 spans="1:13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 spans="1:13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 spans="1:13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spans="1:13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 spans="1:13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 spans="1:13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 spans="1:13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 spans="1:13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 spans="1:13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 spans="1:13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 spans="1:13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  <row r="298" spans="1:13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</row>
    <row r="299" spans="1:13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</row>
    <row r="300" spans="1:13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</row>
    <row r="301" spans="1:13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</row>
    <row r="302" spans="1:13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</row>
  </sheetData>
  <mergeCells count="1">
    <mergeCell ref="B1:J1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selection activeCell="A2" sqref="A2"/>
    </sheetView>
  </sheetViews>
  <sheetFormatPr defaultRowHeight="12.5" x14ac:dyDescent="0.25"/>
  <cols>
    <col min="3" max="4" width="40.7265625" customWidth="1"/>
  </cols>
  <sheetData>
    <row r="1" spans="1:6" ht="20" x14ac:dyDescent="0.4">
      <c r="A1" s="36"/>
      <c r="B1" s="175" t="str">
        <f>'Main Page'!$B$1</f>
        <v>NAME OF CLASS GOES HERE</v>
      </c>
      <c r="C1" s="175"/>
      <c r="D1" s="175"/>
      <c r="E1" s="91"/>
      <c r="F1" s="36"/>
    </row>
    <row r="2" spans="1:6" ht="15.5" x14ac:dyDescent="0.35">
      <c r="A2" s="36"/>
      <c r="B2" s="28" t="str">
        <f>'Main Page'!$B$2</f>
        <v>CLASS NUMBER GOES HERE</v>
      </c>
      <c r="C2" s="78"/>
      <c r="D2" s="35" t="str">
        <f>'Main Page'!$A$3</f>
        <v>INSTRUCTOR NAME</v>
      </c>
      <c r="E2" s="91"/>
      <c r="F2" s="36"/>
    </row>
    <row r="3" spans="1:6" ht="15" customHeight="1" x14ac:dyDescent="0.3">
      <c r="A3" s="36"/>
      <c r="B3" s="82" t="s">
        <v>33</v>
      </c>
      <c r="C3" s="174" t="s">
        <v>34</v>
      </c>
      <c r="D3" s="174"/>
      <c r="E3" s="36"/>
      <c r="F3" s="36"/>
    </row>
    <row r="4" spans="1:6" ht="13" x14ac:dyDescent="0.3">
      <c r="A4" s="36"/>
      <c r="B4" s="36"/>
      <c r="C4" s="97"/>
      <c r="D4" s="97"/>
      <c r="E4" s="36"/>
      <c r="F4" s="36"/>
    </row>
    <row r="5" spans="1:6" x14ac:dyDescent="0.25">
      <c r="A5" s="42">
        <v>1</v>
      </c>
      <c r="B5" s="81"/>
      <c r="C5" s="172"/>
      <c r="D5" s="173"/>
      <c r="E5" s="36"/>
      <c r="F5" s="36"/>
    </row>
    <row r="6" spans="1:6" x14ac:dyDescent="0.25">
      <c r="A6" s="42">
        <v>2</v>
      </c>
      <c r="B6" s="81"/>
      <c r="C6" s="172"/>
      <c r="D6" s="173"/>
      <c r="E6" s="36"/>
      <c r="F6" s="36"/>
    </row>
    <row r="7" spans="1:6" x14ac:dyDescent="0.25">
      <c r="A7" s="42">
        <v>3</v>
      </c>
      <c r="B7" s="81"/>
      <c r="C7" s="172"/>
      <c r="D7" s="173"/>
      <c r="E7" s="36"/>
      <c r="F7" s="36"/>
    </row>
    <row r="8" spans="1:6" x14ac:dyDescent="0.25">
      <c r="A8" s="42">
        <v>4</v>
      </c>
      <c r="B8" s="81"/>
      <c r="C8" s="172"/>
      <c r="D8" s="173"/>
      <c r="E8" s="36"/>
      <c r="F8" s="36"/>
    </row>
    <row r="9" spans="1:6" x14ac:dyDescent="0.25">
      <c r="A9" s="42">
        <v>5</v>
      </c>
      <c r="B9" s="81"/>
      <c r="C9" s="172"/>
      <c r="D9" s="173"/>
      <c r="E9" s="36"/>
      <c r="F9" s="36"/>
    </row>
    <row r="10" spans="1:6" x14ac:dyDescent="0.25">
      <c r="A10" s="42">
        <v>6</v>
      </c>
      <c r="B10" s="81"/>
      <c r="C10" s="172"/>
      <c r="D10" s="173"/>
      <c r="E10" s="36"/>
      <c r="F10" s="36"/>
    </row>
    <row r="11" spans="1:6" x14ac:dyDescent="0.25">
      <c r="A11" s="42">
        <v>7</v>
      </c>
      <c r="B11" s="81"/>
      <c r="C11" s="172"/>
      <c r="D11" s="173"/>
      <c r="E11" s="36"/>
      <c r="F11" s="36"/>
    </row>
    <row r="12" spans="1:6" x14ac:dyDescent="0.25">
      <c r="A12" s="42">
        <v>8</v>
      </c>
      <c r="B12" s="81"/>
      <c r="C12" s="172"/>
      <c r="D12" s="173"/>
      <c r="E12" s="36"/>
      <c r="F12" s="36"/>
    </row>
    <row r="13" spans="1:6" x14ac:dyDescent="0.25">
      <c r="A13" s="42">
        <v>9</v>
      </c>
      <c r="B13" s="81"/>
      <c r="C13" s="172"/>
      <c r="D13" s="173"/>
      <c r="E13" s="36"/>
      <c r="F13" s="36"/>
    </row>
    <row r="14" spans="1:6" x14ac:dyDescent="0.25">
      <c r="A14" s="42">
        <v>10</v>
      </c>
      <c r="B14" s="81"/>
      <c r="C14" s="172"/>
      <c r="D14" s="173"/>
      <c r="E14" s="36"/>
      <c r="F14" s="36"/>
    </row>
    <row r="15" spans="1:6" x14ac:dyDescent="0.25">
      <c r="A15" s="42">
        <v>11</v>
      </c>
      <c r="B15" s="81"/>
      <c r="C15" s="172"/>
      <c r="D15" s="173"/>
      <c r="E15" s="36"/>
      <c r="F15" s="36"/>
    </row>
    <row r="16" spans="1:6" x14ac:dyDescent="0.25">
      <c r="A16" s="42">
        <v>12</v>
      </c>
      <c r="B16" s="81"/>
      <c r="C16" s="172"/>
      <c r="D16" s="173"/>
      <c r="E16" s="36"/>
      <c r="F16" s="36"/>
    </row>
    <row r="17" spans="1:6" x14ac:dyDescent="0.25">
      <c r="A17" s="42">
        <v>13</v>
      </c>
      <c r="B17" s="81"/>
      <c r="C17" s="172"/>
      <c r="D17" s="173"/>
      <c r="E17" s="36"/>
      <c r="F17" s="36"/>
    </row>
    <row r="18" spans="1:6" x14ac:dyDescent="0.25">
      <c r="A18" s="42">
        <v>14</v>
      </c>
      <c r="B18" s="81"/>
      <c r="C18" s="172"/>
      <c r="D18" s="173"/>
      <c r="E18" s="36"/>
      <c r="F18" s="36"/>
    </row>
    <row r="19" spans="1:6" x14ac:dyDescent="0.25">
      <c r="A19" s="42">
        <v>15</v>
      </c>
      <c r="B19" s="81"/>
      <c r="C19" s="172"/>
      <c r="D19" s="173"/>
      <c r="E19" s="36"/>
      <c r="F19" s="36"/>
    </row>
    <row r="20" spans="1:6" x14ac:dyDescent="0.25">
      <c r="A20" s="42">
        <v>16</v>
      </c>
      <c r="B20" s="81"/>
      <c r="C20" s="172"/>
      <c r="D20" s="173"/>
      <c r="E20" s="36"/>
      <c r="F20" s="36"/>
    </row>
    <row r="21" spans="1:6" x14ac:dyDescent="0.25">
      <c r="A21" s="42">
        <v>17</v>
      </c>
      <c r="B21" s="81"/>
      <c r="C21" s="172"/>
      <c r="D21" s="173"/>
      <c r="E21" s="36"/>
      <c r="F21" s="36"/>
    </row>
    <row r="22" spans="1:6" x14ac:dyDescent="0.25">
      <c r="A22" s="42">
        <v>18</v>
      </c>
      <c r="B22" s="81"/>
      <c r="C22" s="172"/>
      <c r="D22" s="173"/>
      <c r="E22" s="36"/>
      <c r="F22" s="36"/>
    </row>
    <row r="23" spans="1:6" x14ac:dyDescent="0.25">
      <c r="A23" s="42">
        <v>19</v>
      </c>
      <c r="B23" s="81"/>
      <c r="C23" s="172"/>
      <c r="D23" s="173"/>
      <c r="E23" s="36"/>
      <c r="F23" s="36"/>
    </row>
    <row r="24" spans="1:6" x14ac:dyDescent="0.25">
      <c r="A24" s="42">
        <v>20</v>
      </c>
      <c r="B24" s="81"/>
      <c r="C24" s="172"/>
      <c r="D24" s="173"/>
      <c r="E24" s="36"/>
      <c r="F24" s="36"/>
    </row>
    <row r="25" spans="1:6" x14ac:dyDescent="0.25">
      <c r="A25" s="42">
        <v>21</v>
      </c>
      <c r="B25" s="81"/>
      <c r="C25" s="172"/>
      <c r="D25" s="173"/>
      <c r="E25" s="36"/>
      <c r="F25" s="36"/>
    </row>
    <row r="26" spans="1:6" x14ac:dyDescent="0.25">
      <c r="A26" s="42">
        <v>22</v>
      </c>
      <c r="B26" s="81"/>
      <c r="C26" s="172"/>
      <c r="D26" s="173"/>
      <c r="E26" s="36"/>
      <c r="F26" s="36"/>
    </row>
    <row r="27" spans="1:6" x14ac:dyDescent="0.25">
      <c r="A27" s="42">
        <v>23</v>
      </c>
      <c r="B27" s="81"/>
      <c r="C27" s="172"/>
      <c r="D27" s="173"/>
      <c r="E27" s="36"/>
      <c r="F27" s="36"/>
    </row>
    <row r="28" spans="1:6" x14ac:dyDescent="0.25">
      <c r="A28" s="42">
        <v>24</v>
      </c>
      <c r="B28" s="81"/>
      <c r="C28" s="172"/>
      <c r="D28" s="173"/>
      <c r="E28" s="36"/>
      <c r="F28" s="36"/>
    </row>
    <row r="29" spans="1:6" x14ac:dyDescent="0.25">
      <c r="A29" s="42">
        <v>25</v>
      </c>
      <c r="B29" s="81"/>
      <c r="C29" s="172"/>
      <c r="D29" s="173"/>
      <c r="E29" s="36"/>
      <c r="F29" s="36"/>
    </row>
    <row r="30" spans="1:6" x14ac:dyDescent="0.25">
      <c r="A30" s="42">
        <v>26</v>
      </c>
      <c r="B30" s="81"/>
      <c r="C30" s="172"/>
      <c r="D30" s="173"/>
      <c r="E30" s="36"/>
      <c r="F30" s="36"/>
    </row>
    <row r="31" spans="1:6" x14ac:dyDescent="0.25">
      <c r="A31" s="42">
        <v>27</v>
      </c>
      <c r="B31" s="81"/>
      <c r="C31" s="172"/>
      <c r="D31" s="173"/>
      <c r="E31" s="36"/>
      <c r="F31" s="36"/>
    </row>
    <row r="32" spans="1:6" x14ac:dyDescent="0.25">
      <c r="A32" s="42">
        <v>28</v>
      </c>
      <c r="B32" s="81"/>
      <c r="C32" s="172"/>
      <c r="D32" s="173"/>
      <c r="E32" s="36"/>
      <c r="F32" s="36"/>
    </row>
    <row r="33" spans="1:6" x14ac:dyDescent="0.25">
      <c r="A33" s="42">
        <v>29</v>
      </c>
      <c r="B33" s="81"/>
      <c r="C33" s="172"/>
      <c r="D33" s="173"/>
      <c r="E33" s="36"/>
      <c r="F33" s="36"/>
    </row>
    <row r="34" spans="1:6" x14ac:dyDescent="0.25">
      <c r="A34" s="42">
        <v>30</v>
      </c>
      <c r="B34" s="81"/>
      <c r="C34" s="172"/>
      <c r="D34" s="173"/>
      <c r="E34" s="36"/>
      <c r="F34" s="36"/>
    </row>
    <row r="35" spans="1:6" x14ac:dyDescent="0.25">
      <c r="A35" s="42">
        <v>31</v>
      </c>
      <c r="B35" s="81"/>
      <c r="C35" s="172"/>
      <c r="D35" s="173"/>
      <c r="E35" s="36"/>
      <c r="F35" s="36"/>
    </row>
    <row r="36" spans="1:6" x14ac:dyDescent="0.25">
      <c r="A36" s="42">
        <v>32</v>
      </c>
      <c r="B36" s="81"/>
      <c r="C36" s="172"/>
      <c r="D36" s="173"/>
      <c r="E36" s="36"/>
      <c r="F36" s="36"/>
    </row>
    <row r="37" spans="1:6" x14ac:dyDescent="0.25">
      <c r="A37" s="42">
        <v>33</v>
      </c>
      <c r="B37" s="81"/>
      <c r="C37" s="172"/>
      <c r="D37" s="173"/>
      <c r="E37" s="36"/>
      <c r="F37" s="36"/>
    </row>
    <row r="38" spans="1:6" x14ac:dyDescent="0.25">
      <c r="A38" s="42">
        <v>34</v>
      </c>
      <c r="B38" s="81"/>
      <c r="C38" s="172"/>
      <c r="D38" s="173"/>
      <c r="E38" s="36"/>
      <c r="F38" s="36"/>
    </row>
    <row r="39" spans="1:6" x14ac:dyDescent="0.25">
      <c r="A39" s="42">
        <v>35</v>
      </c>
      <c r="B39" s="81"/>
      <c r="C39" s="172"/>
      <c r="D39" s="173"/>
      <c r="E39" s="36"/>
      <c r="F39" s="36"/>
    </row>
    <row r="40" spans="1:6" x14ac:dyDescent="0.25">
      <c r="A40" s="42">
        <v>36</v>
      </c>
      <c r="B40" s="81"/>
      <c r="C40" s="172"/>
      <c r="D40" s="173"/>
      <c r="E40" s="36"/>
      <c r="F40" s="36"/>
    </row>
    <row r="41" spans="1:6" x14ac:dyDescent="0.25">
      <c r="A41" s="42">
        <v>37</v>
      </c>
      <c r="B41" s="81"/>
      <c r="C41" s="172"/>
      <c r="D41" s="173"/>
      <c r="E41" s="36"/>
      <c r="F41" s="36"/>
    </row>
    <row r="42" spans="1:6" x14ac:dyDescent="0.25">
      <c r="A42" s="42">
        <v>38</v>
      </c>
      <c r="B42" s="81"/>
      <c r="C42" s="172"/>
      <c r="D42" s="173"/>
      <c r="E42" s="36"/>
      <c r="F42" s="36"/>
    </row>
    <row r="43" spans="1:6" x14ac:dyDescent="0.25">
      <c r="A43" s="42">
        <v>39</v>
      </c>
      <c r="B43" s="81"/>
      <c r="C43" s="172"/>
      <c r="D43" s="173"/>
      <c r="E43" s="36"/>
      <c r="F43" s="36"/>
    </row>
    <row r="44" spans="1:6" x14ac:dyDescent="0.25">
      <c r="A44" s="42">
        <v>40</v>
      </c>
      <c r="B44" s="81"/>
      <c r="C44" s="172"/>
      <c r="D44" s="173"/>
      <c r="E44" s="36"/>
      <c r="F44" s="36"/>
    </row>
    <row r="45" spans="1:6" x14ac:dyDescent="0.25">
      <c r="A45" s="42">
        <v>41</v>
      </c>
      <c r="B45" s="81"/>
      <c r="C45" s="172"/>
      <c r="D45" s="173"/>
      <c r="E45" s="36"/>
      <c r="F45" s="36"/>
    </row>
    <row r="46" spans="1:6" x14ac:dyDescent="0.25">
      <c r="A46" s="42">
        <v>42</v>
      </c>
      <c r="B46" s="81"/>
      <c r="C46" s="172"/>
      <c r="D46" s="173"/>
      <c r="E46" s="36"/>
      <c r="F46" s="36"/>
    </row>
    <row r="47" spans="1:6" x14ac:dyDescent="0.25">
      <c r="A47" s="42">
        <v>43</v>
      </c>
      <c r="B47" s="81"/>
      <c r="C47" s="172"/>
      <c r="D47" s="173"/>
      <c r="E47" s="36"/>
      <c r="F47" s="36"/>
    </row>
    <row r="48" spans="1:6" x14ac:dyDescent="0.25">
      <c r="A48" s="42">
        <v>44</v>
      </c>
      <c r="B48" s="81"/>
      <c r="C48" s="172"/>
      <c r="D48" s="173"/>
      <c r="E48" s="36"/>
      <c r="F48" s="36"/>
    </row>
    <row r="49" spans="1:6" x14ac:dyDescent="0.25">
      <c r="A49" s="42">
        <v>45</v>
      </c>
      <c r="B49" s="81"/>
      <c r="C49" s="172"/>
      <c r="D49" s="173"/>
      <c r="E49" s="36"/>
      <c r="F49" s="36"/>
    </row>
    <row r="50" spans="1:6" x14ac:dyDescent="0.25">
      <c r="A50" s="42">
        <v>46</v>
      </c>
      <c r="B50" s="81"/>
      <c r="C50" s="172"/>
      <c r="D50" s="173"/>
      <c r="E50" s="36"/>
      <c r="F50" s="36"/>
    </row>
    <row r="51" spans="1:6" x14ac:dyDescent="0.25">
      <c r="A51" s="42">
        <v>47</v>
      </c>
      <c r="B51" s="81"/>
      <c r="C51" s="172"/>
      <c r="D51" s="173"/>
      <c r="E51" s="36"/>
      <c r="F51" s="36"/>
    </row>
    <row r="52" spans="1:6" x14ac:dyDescent="0.25">
      <c r="A52" s="42">
        <v>48</v>
      </c>
      <c r="B52" s="81"/>
      <c r="C52" s="172"/>
      <c r="D52" s="173"/>
      <c r="E52" s="36"/>
      <c r="F52" s="36"/>
    </row>
    <row r="53" spans="1:6" x14ac:dyDescent="0.25">
      <c r="A53" s="42">
        <v>49</v>
      </c>
      <c r="B53" s="81"/>
      <c r="C53" s="172"/>
      <c r="D53" s="173"/>
      <c r="E53" s="36"/>
      <c r="F53" s="36"/>
    </row>
    <row r="54" spans="1:6" x14ac:dyDescent="0.25">
      <c r="A54" s="42">
        <v>50</v>
      </c>
      <c r="B54" s="81"/>
      <c r="C54" s="172"/>
      <c r="D54" s="173"/>
      <c r="E54" s="36"/>
      <c r="F54" s="36"/>
    </row>
    <row r="55" spans="1:6" x14ac:dyDescent="0.25">
      <c r="A55" s="42">
        <v>51</v>
      </c>
      <c r="B55" s="81"/>
      <c r="C55" s="172"/>
      <c r="D55" s="173"/>
      <c r="E55" s="36"/>
      <c r="F55" s="36"/>
    </row>
    <row r="56" spans="1:6" x14ac:dyDescent="0.25">
      <c r="A56" s="42">
        <v>52</v>
      </c>
      <c r="B56" s="79"/>
      <c r="C56" s="172"/>
      <c r="D56" s="173"/>
      <c r="E56" s="36"/>
      <c r="F56" s="36"/>
    </row>
    <row r="57" spans="1:6" x14ac:dyDescent="0.25">
      <c r="A57" s="42">
        <v>53</v>
      </c>
      <c r="B57" s="79"/>
      <c r="C57" s="172"/>
      <c r="D57" s="173"/>
      <c r="E57" s="36"/>
      <c r="F57" s="36"/>
    </row>
    <row r="58" spans="1:6" x14ac:dyDescent="0.25">
      <c r="A58" s="42">
        <v>54</v>
      </c>
      <c r="B58" s="79"/>
      <c r="C58" s="172"/>
      <c r="D58" s="173"/>
      <c r="E58" s="36"/>
      <c r="F58" s="36"/>
    </row>
    <row r="59" spans="1:6" x14ac:dyDescent="0.25">
      <c r="A59" s="42">
        <v>55</v>
      </c>
      <c r="B59" s="79"/>
      <c r="C59" s="172"/>
      <c r="D59" s="173"/>
      <c r="E59" s="36"/>
      <c r="F59" s="36"/>
    </row>
    <row r="60" spans="1:6" x14ac:dyDescent="0.25">
      <c r="A60" s="42">
        <v>56</v>
      </c>
      <c r="B60" s="79"/>
      <c r="C60" s="172"/>
      <c r="D60" s="173"/>
      <c r="E60" s="36"/>
      <c r="F60" s="36"/>
    </row>
    <row r="61" spans="1:6" x14ac:dyDescent="0.25">
      <c r="A61" s="42">
        <v>57</v>
      </c>
      <c r="B61" s="79"/>
      <c r="C61" s="172"/>
      <c r="D61" s="173"/>
      <c r="E61" s="36"/>
      <c r="F61" s="36"/>
    </row>
    <row r="62" spans="1:6" x14ac:dyDescent="0.25">
      <c r="A62" s="42">
        <v>58</v>
      </c>
      <c r="B62" s="79"/>
      <c r="C62" s="172"/>
      <c r="D62" s="173"/>
      <c r="E62" s="36"/>
      <c r="F62" s="36"/>
    </row>
    <row r="63" spans="1:6" x14ac:dyDescent="0.25">
      <c r="A63" s="42">
        <v>59</v>
      </c>
      <c r="B63" s="79"/>
      <c r="C63" s="172"/>
      <c r="D63" s="173"/>
      <c r="E63" s="36"/>
      <c r="F63" s="36"/>
    </row>
    <row r="64" spans="1:6" x14ac:dyDescent="0.25">
      <c r="A64" s="42">
        <v>60</v>
      </c>
      <c r="B64" s="79"/>
      <c r="C64" s="172"/>
      <c r="D64" s="173"/>
      <c r="E64" s="36"/>
      <c r="F64" s="36"/>
    </row>
    <row r="65" spans="1:6" x14ac:dyDescent="0.25">
      <c r="A65" s="42">
        <v>61</v>
      </c>
      <c r="B65" s="79"/>
      <c r="C65" s="172"/>
      <c r="D65" s="173"/>
      <c r="E65" s="36"/>
      <c r="F65" s="36"/>
    </row>
    <row r="66" spans="1:6" x14ac:dyDescent="0.25">
      <c r="A66" s="42">
        <v>62</v>
      </c>
      <c r="B66" s="79"/>
      <c r="C66" s="172"/>
      <c r="D66" s="173"/>
      <c r="E66" s="36"/>
      <c r="F66" s="36"/>
    </row>
    <row r="67" spans="1:6" x14ac:dyDescent="0.25">
      <c r="A67" s="42">
        <v>63</v>
      </c>
      <c r="B67" s="92"/>
      <c r="C67" s="172"/>
      <c r="D67" s="173"/>
      <c r="E67" s="36"/>
      <c r="F67" s="36"/>
    </row>
    <row r="68" spans="1:6" x14ac:dyDescent="0.25">
      <c r="A68" s="42">
        <v>64</v>
      </c>
      <c r="B68" s="79"/>
      <c r="C68" s="172"/>
      <c r="D68" s="173"/>
      <c r="E68" s="36"/>
      <c r="F68" s="36"/>
    </row>
    <row r="69" spans="1:6" x14ac:dyDescent="0.25">
      <c r="A69" s="36"/>
      <c r="B69" s="45"/>
      <c r="C69" s="36"/>
      <c r="D69" s="36"/>
      <c r="E69" s="36"/>
      <c r="F69" s="36"/>
    </row>
    <row r="70" spans="1:6" x14ac:dyDescent="0.25">
      <c r="A70" s="36"/>
      <c r="B70" s="8"/>
      <c r="C70" s="36"/>
      <c r="D70" s="36"/>
      <c r="E70" s="36"/>
      <c r="F70" s="36"/>
    </row>
    <row r="71" spans="1:6" x14ac:dyDescent="0.25">
      <c r="A71" s="36"/>
      <c r="B71" s="8"/>
      <c r="C71" s="36"/>
      <c r="D71" s="36"/>
      <c r="E71" s="36"/>
      <c r="F71" s="36"/>
    </row>
    <row r="72" spans="1:6" x14ac:dyDescent="0.25">
      <c r="A72" s="36"/>
      <c r="B72" s="8"/>
      <c r="C72" s="36"/>
      <c r="D72" s="36"/>
      <c r="E72" s="36"/>
      <c r="F72" s="36"/>
    </row>
  </sheetData>
  <mergeCells count="66">
    <mergeCell ref="C60:D60"/>
    <mergeCell ref="C61:D61"/>
    <mergeCell ref="C62:D62"/>
    <mergeCell ref="C63:D63"/>
    <mergeCell ref="C68:D68"/>
    <mergeCell ref="C64:D64"/>
    <mergeCell ref="C65:D65"/>
    <mergeCell ref="C66:D66"/>
    <mergeCell ref="C67:D67"/>
    <mergeCell ref="C54:D54"/>
    <mergeCell ref="C55:D55"/>
    <mergeCell ref="C56:D56"/>
    <mergeCell ref="C57:D57"/>
    <mergeCell ref="C58:D58"/>
    <mergeCell ref="C59:D59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24:D24"/>
    <mergeCell ref="C25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C12:D12"/>
    <mergeCell ref="C13:D13"/>
    <mergeCell ref="C14:D14"/>
    <mergeCell ref="C15:D15"/>
    <mergeCell ref="C16:D16"/>
    <mergeCell ref="C17:D17"/>
    <mergeCell ref="C11:D11"/>
    <mergeCell ref="C3:D3"/>
    <mergeCell ref="B1:D1"/>
    <mergeCell ref="C5:D5"/>
    <mergeCell ref="C6:D6"/>
    <mergeCell ref="C7:D7"/>
    <mergeCell ref="C8:D8"/>
    <mergeCell ref="C9:D9"/>
    <mergeCell ref="C10:D10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Main Page</vt:lpstr>
      <vt:lpstr>Attendance</vt:lpstr>
      <vt:lpstr>Extra Credit</vt:lpstr>
      <vt:lpstr>Assignments</vt:lpstr>
      <vt:lpstr>Attendance!Print_Area</vt:lpstr>
      <vt:lpstr>'Main Page'!Print_Area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2000-05-08T15:43:21Z</cp:lastPrinted>
  <dcterms:created xsi:type="dcterms:W3CDTF">1997-09-04T12:51:02Z</dcterms:created>
  <dcterms:modified xsi:type="dcterms:W3CDTF">2020-01-27T12:43:10Z</dcterms:modified>
</cp:coreProperties>
</file>