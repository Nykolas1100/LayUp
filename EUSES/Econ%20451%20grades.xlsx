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17E2839-E92F-47EB-ADF3-BFA126C18C49}" xr6:coauthVersionLast="45" xr6:coauthVersionMax="45" xr10:uidLastSave="{00000000-0000-0000-0000-000000000000}"/>
  <bookViews>
    <workbookView xWindow="3420" yWindow="3420" windowWidth="28800" windowHeight="15460"/>
  </bookViews>
  <sheets>
    <sheet name="A" sheetId="1" r:id="rId1"/>
  </sheets>
  <calcPr calcId="0" iterate="1" iterateCount="1"/>
</workbook>
</file>

<file path=xl/calcChain.xml><?xml version="1.0" encoding="utf-8"?>
<calcChain xmlns="http://schemas.openxmlformats.org/spreadsheetml/2006/main">
  <c r="G4" i="1" l="1"/>
  <c r="H4" i="1"/>
  <c r="K4" i="1"/>
  <c r="L4" i="1"/>
  <c r="M4" i="1"/>
  <c r="G5" i="1"/>
  <c r="H5" i="1"/>
  <c r="K5" i="1"/>
  <c r="L5" i="1"/>
  <c r="M5" i="1"/>
  <c r="G6" i="1"/>
  <c r="H6" i="1"/>
  <c r="K6" i="1"/>
  <c r="L6" i="1"/>
  <c r="M6" i="1"/>
  <c r="G7" i="1"/>
  <c r="H7" i="1"/>
  <c r="K7" i="1"/>
  <c r="L7" i="1"/>
  <c r="M7" i="1"/>
  <c r="G8" i="1"/>
  <c r="H8" i="1"/>
  <c r="K8" i="1"/>
  <c r="L8" i="1"/>
  <c r="M8" i="1"/>
  <c r="G9" i="1"/>
  <c r="H9" i="1"/>
  <c r="K9" i="1"/>
  <c r="L9" i="1"/>
  <c r="M9" i="1"/>
  <c r="G10" i="1"/>
  <c r="H10" i="1"/>
  <c r="K10" i="1"/>
  <c r="L10" i="1"/>
  <c r="M10" i="1"/>
  <c r="G11" i="1"/>
  <c r="H11" i="1"/>
  <c r="K11" i="1"/>
  <c r="L11" i="1"/>
  <c r="M11" i="1"/>
  <c r="G12" i="1"/>
  <c r="H12" i="1"/>
  <c r="K12" i="1"/>
  <c r="L12" i="1"/>
  <c r="M12" i="1"/>
  <c r="G13" i="1"/>
  <c r="H13" i="1"/>
  <c r="K13" i="1"/>
  <c r="L13" i="1"/>
  <c r="M13" i="1"/>
  <c r="G14" i="1"/>
  <c r="H14" i="1"/>
  <c r="K14" i="1"/>
  <c r="L14" i="1"/>
  <c r="M14" i="1"/>
  <c r="G15" i="1"/>
  <c r="H15" i="1"/>
  <c r="K15" i="1"/>
  <c r="L15" i="1"/>
  <c r="M15" i="1"/>
  <c r="G16" i="1"/>
  <c r="H16" i="1"/>
  <c r="K16" i="1"/>
  <c r="L16" i="1"/>
  <c r="M16" i="1"/>
  <c r="G17" i="1"/>
  <c r="H17" i="1"/>
  <c r="K17" i="1"/>
  <c r="L17" i="1"/>
  <c r="M17" i="1"/>
  <c r="G18" i="1"/>
  <c r="H18" i="1"/>
  <c r="K18" i="1"/>
  <c r="L18" i="1"/>
  <c r="M18" i="1"/>
  <c r="G19" i="1"/>
  <c r="H19" i="1"/>
  <c r="K19" i="1"/>
  <c r="L19" i="1"/>
  <c r="M19" i="1"/>
  <c r="G20" i="1"/>
  <c r="H20" i="1"/>
  <c r="K20" i="1"/>
  <c r="L20" i="1"/>
  <c r="M20" i="1"/>
  <c r="G21" i="1"/>
  <c r="H21" i="1"/>
  <c r="K21" i="1"/>
  <c r="L21" i="1"/>
  <c r="M21" i="1"/>
  <c r="G22" i="1"/>
  <c r="H22" i="1"/>
  <c r="K22" i="1"/>
  <c r="L22" i="1"/>
  <c r="M22" i="1"/>
  <c r="G23" i="1"/>
  <c r="H23" i="1"/>
  <c r="K23" i="1"/>
  <c r="L23" i="1"/>
  <c r="M23" i="1"/>
  <c r="G24" i="1"/>
  <c r="H24" i="1"/>
  <c r="K24" i="1"/>
  <c r="L24" i="1"/>
  <c r="M24" i="1"/>
  <c r="G25" i="1"/>
  <c r="H25" i="1"/>
  <c r="K25" i="1"/>
  <c r="L25" i="1"/>
  <c r="M25" i="1"/>
  <c r="G26" i="1"/>
  <c r="H26" i="1"/>
  <c r="K26" i="1"/>
  <c r="L26" i="1"/>
  <c r="M26" i="1"/>
  <c r="G27" i="1"/>
  <c r="H27" i="1"/>
  <c r="K27" i="1"/>
  <c r="L27" i="1"/>
  <c r="M27" i="1"/>
  <c r="G28" i="1"/>
  <c r="H28" i="1"/>
  <c r="K28" i="1"/>
  <c r="L28" i="1"/>
  <c r="M28" i="1"/>
  <c r="G29" i="1"/>
  <c r="H29" i="1"/>
  <c r="K29" i="1"/>
  <c r="L29" i="1"/>
  <c r="M29" i="1"/>
  <c r="G30" i="1"/>
  <c r="H30" i="1"/>
  <c r="K30" i="1"/>
  <c r="L30" i="1"/>
  <c r="M30" i="1"/>
  <c r="G31" i="1"/>
  <c r="H31" i="1"/>
  <c r="K31" i="1"/>
  <c r="L31" i="1"/>
  <c r="M31" i="1"/>
  <c r="G32" i="1"/>
  <c r="H32" i="1"/>
  <c r="K32" i="1"/>
  <c r="L32" i="1"/>
  <c r="M32" i="1"/>
  <c r="G33" i="1"/>
  <c r="H33" i="1"/>
  <c r="K33" i="1"/>
  <c r="L33" i="1"/>
  <c r="M33" i="1"/>
  <c r="G34" i="1"/>
  <c r="H34" i="1"/>
  <c r="K34" i="1"/>
  <c r="L34" i="1"/>
  <c r="M34" i="1"/>
  <c r="G35" i="1"/>
  <c r="H35" i="1"/>
  <c r="K35" i="1"/>
  <c r="L35" i="1"/>
  <c r="M35" i="1"/>
  <c r="G36" i="1"/>
  <c r="H36" i="1"/>
  <c r="K36" i="1"/>
  <c r="L36" i="1"/>
  <c r="M36" i="1"/>
  <c r="G37" i="1"/>
  <c r="H37" i="1"/>
  <c r="K37" i="1"/>
  <c r="L37" i="1"/>
  <c r="M37" i="1"/>
  <c r="G38" i="1"/>
  <c r="H38" i="1"/>
  <c r="K38" i="1"/>
  <c r="L38" i="1"/>
  <c r="M38" i="1"/>
  <c r="G39" i="1"/>
  <c r="H39" i="1"/>
  <c r="K39" i="1"/>
  <c r="L39" i="1"/>
  <c r="M39" i="1"/>
  <c r="G40" i="1"/>
  <c r="H40" i="1"/>
  <c r="K40" i="1"/>
  <c r="L40" i="1"/>
  <c r="M40" i="1"/>
  <c r="G41" i="1"/>
  <c r="H41" i="1"/>
  <c r="K41" i="1"/>
  <c r="L41" i="1"/>
  <c r="M41" i="1"/>
  <c r="G42" i="1"/>
  <c r="H42" i="1"/>
  <c r="K42" i="1"/>
  <c r="L42" i="1"/>
  <c r="M42" i="1"/>
  <c r="G43" i="1"/>
  <c r="H43" i="1"/>
  <c r="K43" i="1"/>
  <c r="L43" i="1"/>
  <c r="M43" i="1"/>
  <c r="G44" i="1"/>
  <c r="H44" i="1"/>
  <c r="K44" i="1"/>
  <c r="L44" i="1"/>
  <c r="M44" i="1"/>
  <c r="G45" i="1"/>
  <c r="H45" i="1"/>
  <c r="K45" i="1"/>
  <c r="L45" i="1"/>
  <c r="M45" i="1"/>
  <c r="G46" i="1"/>
  <c r="H46" i="1"/>
  <c r="K46" i="1"/>
  <c r="L46" i="1"/>
  <c r="M46" i="1"/>
  <c r="G47" i="1"/>
  <c r="H47" i="1"/>
  <c r="K47" i="1"/>
  <c r="L47" i="1"/>
  <c r="M47" i="1"/>
  <c r="G48" i="1"/>
  <c r="H48" i="1"/>
  <c r="K48" i="1"/>
  <c r="L48" i="1"/>
  <c r="M48" i="1"/>
</calcChain>
</file>

<file path=xl/sharedStrings.xml><?xml version="1.0" encoding="utf-8"?>
<sst xmlns="http://schemas.openxmlformats.org/spreadsheetml/2006/main" count="17" uniqueCount="14">
  <si>
    <t>1st midterm</t>
  </si>
  <si>
    <t>exams</t>
  </si>
  <si>
    <t>homework</t>
  </si>
  <si>
    <t>total</t>
  </si>
  <si>
    <t>ID #</t>
  </si>
  <si>
    <t>hw 1</t>
  </si>
  <si>
    <t>hw 2</t>
  </si>
  <si>
    <t>hw 3</t>
  </si>
  <si>
    <t>hw 4</t>
  </si>
  <si>
    <t>raw score</t>
  </si>
  <si>
    <t>percent</t>
  </si>
  <si>
    <t>adjusted</t>
  </si>
  <si>
    <t>hw 5</t>
  </si>
  <si>
    <t>class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</si>
</sst>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5" formatCode="&quot;£&quot;#,##0_);\(&quot;£&quot;#,##0\)"/>
  </numFmts>
  <fonts count="4" x14ac:knownFonts="1">
    <font>
      <sz val="10"/>
      <name val="Arial"/>
    </font>
    <font>
      <b/>
      <sz val="18"/>
      <name val="Arial"/>
    </font>
    <font>
      <b/>
      <sz val="12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top"/>
    </xf>
    <xf numFmtId="2" fontId="3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5" fontId="3" fillId="0" borderId="0" applyFont="0" applyFill="0" applyBorder="0" applyAlignment="0" applyProtection="0"/>
  </cellStyleXfs>
  <cellXfs count="5">
    <xf numFmtId="0" fontId="0" fillId="0" borderId="0" xfId="0" applyAlignment="1"/>
    <xf numFmtId="10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9" fontId="0" fillId="2" borderId="0" xfId="0" applyNumberFormat="1" applyFill="1" applyAlignment="1">
      <alignment horizontal="center"/>
    </xf>
  </cellXfs>
  <cellStyles count="8">
    <cellStyle name="Comma0" xfId="6"/>
    <cellStyle name="Currency0" xfId="7"/>
    <cellStyle name="Date" xfId="2"/>
    <cellStyle name="Fixed" xfId="1"/>
    <cellStyle name="Heading 1" xfId="3" builtinId="16" customBuiltin="1"/>
    <cellStyle name="Heading 2" xfId="4" builtinId="17" customBuiltin="1"/>
    <cellStyle name="Normal" xfId="0" builtinId="0"/>
    <cellStyle name="Total" xfId="5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48"/>
  <sheetViews>
    <sheetView tabSelected="1" topLeftCell="E1" workbookViewId="0">
      <selection activeCell="E32" sqref="E32"/>
    </sheetView>
  </sheetViews>
  <sheetFormatPr defaultRowHeight="12.5" x14ac:dyDescent="0.25"/>
  <cols>
    <col min="1" max="5" width="8.453125" style="2" customWidth="1"/>
    <col min="6" max="6" width="13.08984375" style="2" customWidth="1"/>
    <col min="7" max="7" width="15.54296875" style="2" customWidth="1"/>
    <col min="8" max="8" width="15.54296875" style="3" customWidth="1"/>
    <col min="9" max="10" width="11.08984375" style="2" customWidth="1"/>
    <col min="11" max="11" width="15" style="2" customWidth="1"/>
    <col min="12" max="12" width="14.08984375" style="2" customWidth="1"/>
    <col min="13" max="13" width="15.7265625" style="2" customWidth="1"/>
    <col min="14" max="14" width="14" style="2" customWidth="1"/>
    <col min="15" max="256" width="8.453125" style="2" customWidth="1"/>
  </cols>
  <sheetData>
    <row r="1" spans="1:14" x14ac:dyDescent="0.25">
      <c r="F1" s="2" t="s">
        <v>0</v>
      </c>
      <c r="G1" s="2" t="s">
        <v>0</v>
      </c>
      <c r="H1" s="3" t="s">
        <v>0</v>
      </c>
      <c r="K1" s="2" t="s">
        <v>1</v>
      </c>
      <c r="L1" s="2" t="s">
        <v>2</v>
      </c>
      <c r="M1" s="2" t="s">
        <v>3</v>
      </c>
    </row>
    <row r="2" spans="1:14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3" t="s">
        <v>11</v>
      </c>
      <c r="I2" s="2" t="s">
        <v>12</v>
      </c>
      <c r="K2" s="4">
        <v>0.9</v>
      </c>
      <c r="L2" s="4">
        <v>0.1</v>
      </c>
      <c r="M2" s="2" t="s">
        <v>13</v>
      </c>
      <c r="N2" s="2" t="s">
        <v>4</v>
      </c>
    </row>
    <row r="4" spans="1:14" x14ac:dyDescent="0.25">
      <c r="A4" s="2">
        <v>3796</v>
      </c>
      <c r="B4" s="2">
        <v>10</v>
      </c>
      <c r="C4" s="2">
        <v>10</v>
      </c>
      <c r="D4" s="2">
        <v>10</v>
      </c>
      <c r="E4" s="2">
        <v>9</v>
      </c>
      <c r="F4" s="2">
        <v>27</v>
      </c>
      <c r="G4" s="1">
        <f t="shared" ref="G4:G48" si="0">F4/50</f>
        <v>0.54</v>
      </c>
      <c r="H4" s="1">
        <f t="shared" ref="H4:H48" si="1">G4+(50-F4)*4/7/100</f>
        <v>0.67142857142857149</v>
      </c>
      <c r="K4" s="1">
        <f t="shared" ref="K4:K48" si="2">G4+(50-F4)*4/7/100</f>
        <v>0.67142857142857149</v>
      </c>
      <c r="L4" s="1">
        <f t="shared" ref="L4:L48" si="3">(B4+C4+D4+E4)/40</f>
        <v>0.97499999999999998</v>
      </c>
      <c r="M4" s="1">
        <f t="shared" ref="M4:M48" si="4">(B4+C4+D4+E4)/40*1/10+H4*9/10</f>
        <v>0.70178571428571435</v>
      </c>
      <c r="N4" s="2">
        <v>3796</v>
      </c>
    </row>
    <row r="5" spans="1:14" x14ac:dyDescent="0.25">
      <c r="A5" s="2">
        <v>2159</v>
      </c>
      <c r="B5" s="2">
        <v>10</v>
      </c>
      <c r="C5" s="2">
        <v>10</v>
      </c>
      <c r="D5" s="2">
        <v>10</v>
      </c>
      <c r="E5" s="2">
        <v>10</v>
      </c>
      <c r="F5" s="2">
        <v>44</v>
      </c>
      <c r="G5" s="1">
        <f t="shared" si="0"/>
        <v>0.88</v>
      </c>
      <c r="H5" s="1">
        <f t="shared" si="1"/>
        <v>0.91428571428571426</v>
      </c>
      <c r="K5" s="1">
        <f t="shared" si="2"/>
        <v>0.91428571428571426</v>
      </c>
      <c r="L5" s="1">
        <f t="shared" si="3"/>
        <v>1</v>
      </c>
      <c r="M5" s="1">
        <f t="shared" si="4"/>
        <v>0.92285714285714271</v>
      </c>
      <c r="N5" s="2">
        <v>2159</v>
      </c>
    </row>
    <row r="6" spans="1:14" x14ac:dyDescent="0.25">
      <c r="A6" s="2">
        <v>3523</v>
      </c>
      <c r="B6" s="2">
        <v>10</v>
      </c>
      <c r="C6" s="2">
        <v>10</v>
      </c>
      <c r="D6" s="2">
        <v>10</v>
      </c>
      <c r="E6" s="2">
        <v>10</v>
      </c>
      <c r="F6" s="2">
        <v>44</v>
      </c>
      <c r="G6" s="1">
        <f t="shared" si="0"/>
        <v>0.88</v>
      </c>
      <c r="H6" s="1">
        <f t="shared" si="1"/>
        <v>0.91428571428571426</v>
      </c>
      <c r="K6" s="1">
        <f t="shared" si="2"/>
        <v>0.91428571428571426</v>
      </c>
      <c r="L6" s="1">
        <f t="shared" si="3"/>
        <v>1</v>
      </c>
      <c r="M6" s="1">
        <f t="shared" si="4"/>
        <v>0.92285714285714271</v>
      </c>
      <c r="N6" s="2">
        <v>3523</v>
      </c>
    </row>
    <row r="7" spans="1:14" x14ac:dyDescent="0.25">
      <c r="A7" s="2">
        <v>4053</v>
      </c>
      <c r="B7" s="2">
        <v>10</v>
      </c>
      <c r="C7" s="2">
        <v>10</v>
      </c>
      <c r="D7" s="2">
        <v>10</v>
      </c>
      <c r="E7" s="2">
        <v>10</v>
      </c>
      <c r="F7" s="2">
        <v>31</v>
      </c>
      <c r="G7" s="1">
        <f t="shared" si="0"/>
        <v>0.62</v>
      </c>
      <c r="H7" s="1">
        <f t="shared" si="1"/>
        <v>0.72857142857142854</v>
      </c>
      <c r="K7" s="1">
        <f t="shared" si="2"/>
        <v>0.72857142857142854</v>
      </c>
      <c r="L7" s="1">
        <f t="shared" si="3"/>
        <v>1</v>
      </c>
      <c r="M7" s="1">
        <f t="shared" si="4"/>
        <v>0.75571428571428567</v>
      </c>
      <c r="N7" s="2">
        <v>4053</v>
      </c>
    </row>
    <row r="8" spans="1:14" x14ac:dyDescent="0.25">
      <c r="A8" s="2">
        <v>3586</v>
      </c>
      <c r="B8" s="2">
        <v>10</v>
      </c>
      <c r="C8" s="2">
        <v>10</v>
      </c>
      <c r="D8" s="2">
        <v>10</v>
      </c>
      <c r="E8" s="2">
        <v>10</v>
      </c>
      <c r="F8" s="2">
        <v>40</v>
      </c>
      <c r="G8" s="1">
        <f t="shared" si="0"/>
        <v>0.8</v>
      </c>
      <c r="H8" s="1">
        <f t="shared" si="1"/>
        <v>0.85714285714285721</v>
      </c>
      <c r="K8" s="1">
        <f t="shared" si="2"/>
        <v>0.85714285714285721</v>
      </c>
      <c r="L8" s="1">
        <f t="shared" si="3"/>
        <v>1</v>
      </c>
      <c r="M8" s="1">
        <f t="shared" si="4"/>
        <v>0.87142857142857155</v>
      </c>
      <c r="N8" s="2">
        <v>3586</v>
      </c>
    </row>
    <row r="9" spans="1:14" x14ac:dyDescent="0.25">
      <c r="A9" s="2">
        <v>5238</v>
      </c>
      <c r="B9" s="2">
        <v>10</v>
      </c>
      <c r="C9" s="2">
        <v>10</v>
      </c>
      <c r="D9" s="2">
        <v>10</v>
      </c>
      <c r="E9" s="2">
        <v>9</v>
      </c>
      <c r="F9" s="2">
        <v>39</v>
      </c>
      <c r="G9" s="1">
        <f t="shared" si="0"/>
        <v>0.78</v>
      </c>
      <c r="H9" s="1">
        <f t="shared" si="1"/>
        <v>0.84285714285714286</v>
      </c>
      <c r="K9" s="1">
        <f t="shared" si="2"/>
        <v>0.84285714285714286</v>
      </c>
      <c r="L9" s="1">
        <f t="shared" si="3"/>
        <v>0.97499999999999998</v>
      </c>
      <c r="M9" s="1">
        <f t="shared" si="4"/>
        <v>0.85607142857142859</v>
      </c>
      <c r="N9" s="2">
        <v>5238</v>
      </c>
    </row>
    <row r="10" spans="1:14" x14ac:dyDescent="0.25">
      <c r="A10" s="2">
        <v>3949</v>
      </c>
      <c r="B10" s="2">
        <v>10</v>
      </c>
      <c r="C10" s="2">
        <v>10</v>
      </c>
      <c r="D10" s="2">
        <v>10</v>
      </c>
      <c r="E10" s="2">
        <v>10</v>
      </c>
      <c r="F10" s="2">
        <v>36</v>
      </c>
      <c r="G10" s="1">
        <f t="shared" si="0"/>
        <v>0.72</v>
      </c>
      <c r="H10" s="1">
        <f t="shared" si="1"/>
        <v>0.79999999999999993</v>
      </c>
      <c r="K10" s="1">
        <f t="shared" si="2"/>
        <v>0.79999999999999993</v>
      </c>
      <c r="L10" s="1">
        <f t="shared" si="3"/>
        <v>1</v>
      </c>
      <c r="M10" s="1">
        <f t="shared" si="4"/>
        <v>0.82</v>
      </c>
      <c r="N10" s="2">
        <v>3949</v>
      </c>
    </row>
    <row r="11" spans="1:14" x14ac:dyDescent="0.25">
      <c r="A11" s="2">
        <v>1894</v>
      </c>
      <c r="B11" s="2">
        <v>10</v>
      </c>
      <c r="C11" s="2">
        <v>10</v>
      </c>
      <c r="D11" s="2">
        <v>10</v>
      </c>
      <c r="E11" s="2">
        <v>10</v>
      </c>
      <c r="F11" s="2">
        <v>35</v>
      </c>
      <c r="G11" s="1">
        <f t="shared" si="0"/>
        <v>0.7</v>
      </c>
      <c r="H11" s="1">
        <f t="shared" si="1"/>
        <v>0.7857142857142857</v>
      </c>
      <c r="K11" s="1">
        <f t="shared" si="2"/>
        <v>0.7857142857142857</v>
      </c>
      <c r="L11" s="1">
        <f t="shared" si="3"/>
        <v>1</v>
      </c>
      <c r="M11" s="1">
        <f t="shared" si="4"/>
        <v>0.80714285714285705</v>
      </c>
      <c r="N11" s="2">
        <v>1894</v>
      </c>
    </row>
    <row r="12" spans="1:14" x14ac:dyDescent="0.25">
      <c r="A12" s="2">
        <v>2017</v>
      </c>
      <c r="B12" s="2">
        <v>10</v>
      </c>
      <c r="C12" s="2">
        <v>10</v>
      </c>
      <c r="D12" s="2">
        <v>8</v>
      </c>
      <c r="E12" s="2">
        <v>9</v>
      </c>
      <c r="F12" s="2">
        <v>33</v>
      </c>
      <c r="G12" s="1">
        <f t="shared" si="0"/>
        <v>0.66</v>
      </c>
      <c r="H12" s="1">
        <f t="shared" si="1"/>
        <v>0.75714285714285712</v>
      </c>
      <c r="K12" s="1">
        <f t="shared" si="2"/>
        <v>0.75714285714285712</v>
      </c>
      <c r="L12" s="1">
        <f t="shared" si="3"/>
        <v>0.92500000000000004</v>
      </c>
      <c r="M12" s="1">
        <f t="shared" si="4"/>
        <v>0.77392857142857141</v>
      </c>
      <c r="N12" s="2">
        <v>2017</v>
      </c>
    </row>
    <row r="13" spans="1:14" x14ac:dyDescent="0.25">
      <c r="A13" s="2">
        <v>7482</v>
      </c>
      <c r="B13" s="2">
        <v>10</v>
      </c>
      <c r="C13" s="2">
        <v>10</v>
      </c>
      <c r="D13" s="2">
        <v>10</v>
      </c>
      <c r="E13" s="2">
        <v>10</v>
      </c>
      <c r="F13" s="2">
        <v>43</v>
      </c>
      <c r="G13" s="1">
        <f t="shared" si="0"/>
        <v>0.86</v>
      </c>
      <c r="H13" s="1">
        <f t="shared" si="1"/>
        <v>0.9</v>
      </c>
      <c r="K13" s="1">
        <f t="shared" si="2"/>
        <v>0.9</v>
      </c>
      <c r="L13" s="1">
        <f t="shared" si="3"/>
        <v>1</v>
      </c>
      <c r="M13" s="1">
        <f t="shared" si="4"/>
        <v>0.90999999999999992</v>
      </c>
      <c r="N13" s="2">
        <v>7482</v>
      </c>
    </row>
    <row r="14" spans="1:14" x14ac:dyDescent="0.25">
      <c r="A14" s="2">
        <v>3429</v>
      </c>
      <c r="B14" s="2">
        <v>10</v>
      </c>
      <c r="C14" s="2">
        <v>10</v>
      </c>
      <c r="D14" s="2">
        <v>10</v>
      </c>
      <c r="E14" s="2">
        <v>10</v>
      </c>
      <c r="F14" s="2">
        <v>41</v>
      </c>
      <c r="G14" s="1">
        <f t="shared" si="0"/>
        <v>0.82</v>
      </c>
      <c r="H14" s="1">
        <f t="shared" si="1"/>
        <v>0.87142857142857144</v>
      </c>
      <c r="K14" s="1">
        <f t="shared" si="2"/>
        <v>0.87142857142857144</v>
      </c>
      <c r="L14" s="1">
        <f t="shared" si="3"/>
        <v>1</v>
      </c>
      <c r="M14" s="1">
        <f t="shared" si="4"/>
        <v>0.88428571428571434</v>
      </c>
      <c r="N14" s="2">
        <v>3429</v>
      </c>
    </row>
    <row r="15" spans="1:14" x14ac:dyDescent="0.25">
      <c r="A15" s="2">
        <v>2718</v>
      </c>
      <c r="B15" s="2">
        <v>10</v>
      </c>
      <c r="C15" s="2">
        <v>10</v>
      </c>
      <c r="D15" s="2">
        <v>10</v>
      </c>
      <c r="E15" s="2">
        <v>9</v>
      </c>
      <c r="F15" s="2">
        <v>36</v>
      </c>
      <c r="G15" s="1">
        <f t="shared" si="0"/>
        <v>0.72</v>
      </c>
      <c r="H15" s="1">
        <f t="shared" si="1"/>
        <v>0.79999999999999993</v>
      </c>
      <c r="K15" s="1">
        <f t="shared" si="2"/>
        <v>0.79999999999999993</v>
      </c>
      <c r="L15" s="1">
        <f t="shared" si="3"/>
        <v>0.97499999999999998</v>
      </c>
      <c r="M15" s="1">
        <f t="shared" si="4"/>
        <v>0.8175</v>
      </c>
      <c r="N15" s="2">
        <v>2718</v>
      </c>
    </row>
    <row r="16" spans="1:14" x14ac:dyDescent="0.25">
      <c r="A16" s="2">
        <v>9582</v>
      </c>
      <c r="B16" s="2">
        <v>10</v>
      </c>
      <c r="C16" s="2">
        <v>10</v>
      </c>
      <c r="D16" s="2">
        <v>10</v>
      </c>
      <c r="E16" s="2">
        <v>10</v>
      </c>
      <c r="F16" s="2">
        <v>39</v>
      </c>
      <c r="G16" s="1">
        <f t="shared" si="0"/>
        <v>0.78</v>
      </c>
      <c r="H16" s="1">
        <f t="shared" si="1"/>
        <v>0.84285714285714286</v>
      </c>
      <c r="K16" s="1">
        <f t="shared" si="2"/>
        <v>0.84285714285714286</v>
      </c>
      <c r="L16" s="1">
        <f t="shared" si="3"/>
        <v>1</v>
      </c>
      <c r="M16" s="1">
        <f t="shared" si="4"/>
        <v>0.85857142857142854</v>
      </c>
      <c r="N16" s="2">
        <v>9582</v>
      </c>
    </row>
    <row r="17" spans="1:14" x14ac:dyDescent="0.25">
      <c r="A17" s="2">
        <v>1181</v>
      </c>
      <c r="B17" s="2">
        <v>10</v>
      </c>
      <c r="C17" s="2">
        <v>10</v>
      </c>
      <c r="D17" s="2">
        <v>10</v>
      </c>
      <c r="E17" s="2">
        <v>10</v>
      </c>
      <c r="F17" s="2">
        <v>31</v>
      </c>
      <c r="G17" s="1">
        <f t="shared" si="0"/>
        <v>0.62</v>
      </c>
      <c r="H17" s="1">
        <f t="shared" si="1"/>
        <v>0.72857142857142854</v>
      </c>
      <c r="K17" s="1">
        <f t="shared" si="2"/>
        <v>0.72857142857142854</v>
      </c>
      <c r="L17" s="1">
        <f t="shared" si="3"/>
        <v>1</v>
      </c>
      <c r="M17" s="1">
        <f t="shared" si="4"/>
        <v>0.75571428571428567</v>
      </c>
      <c r="N17" s="2">
        <v>1181</v>
      </c>
    </row>
    <row r="18" spans="1:14" x14ac:dyDescent="0.25">
      <c r="A18" s="2">
        <v>5035</v>
      </c>
      <c r="B18" s="2">
        <v>10</v>
      </c>
      <c r="C18" s="2">
        <v>10</v>
      </c>
      <c r="D18" s="2">
        <v>10</v>
      </c>
      <c r="E18" s="2">
        <v>10</v>
      </c>
      <c r="F18" s="2">
        <v>35</v>
      </c>
      <c r="G18" s="1">
        <f t="shared" si="0"/>
        <v>0.7</v>
      </c>
      <c r="H18" s="1">
        <f t="shared" si="1"/>
        <v>0.7857142857142857</v>
      </c>
      <c r="K18" s="1">
        <f t="shared" si="2"/>
        <v>0.7857142857142857</v>
      </c>
      <c r="L18" s="1">
        <f t="shared" si="3"/>
        <v>1</v>
      </c>
      <c r="M18" s="1">
        <f t="shared" si="4"/>
        <v>0.80714285714285705</v>
      </c>
      <c r="N18" s="2">
        <v>5035</v>
      </c>
    </row>
    <row r="19" spans="1:14" x14ac:dyDescent="0.25">
      <c r="A19" s="2">
        <v>9502</v>
      </c>
      <c r="B19" s="2">
        <v>10</v>
      </c>
      <c r="C19" s="2">
        <v>10</v>
      </c>
      <c r="D19" s="2">
        <v>0</v>
      </c>
      <c r="E19" s="2">
        <v>0</v>
      </c>
      <c r="F19" s="2">
        <v>33</v>
      </c>
      <c r="G19" s="1">
        <f t="shared" si="0"/>
        <v>0.66</v>
      </c>
      <c r="H19" s="1">
        <f t="shared" si="1"/>
        <v>0.75714285714285712</v>
      </c>
      <c r="K19" s="1">
        <f t="shared" si="2"/>
        <v>0.75714285714285712</v>
      </c>
      <c r="L19" s="1">
        <f t="shared" si="3"/>
        <v>0.5</v>
      </c>
      <c r="M19" s="1">
        <f t="shared" si="4"/>
        <v>0.73142857142857143</v>
      </c>
      <c r="N19" s="2">
        <v>9502</v>
      </c>
    </row>
    <row r="20" spans="1:14" x14ac:dyDescent="0.25">
      <c r="A20" s="2">
        <v>3345</v>
      </c>
      <c r="B20" s="2">
        <v>10</v>
      </c>
      <c r="C20" s="2">
        <v>10</v>
      </c>
      <c r="D20" s="2">
        <v>10</v>
      </c>
      <c r="E20" s="2">
        <v>10</v>
      </c>
      <c r="F20" s="2">
        <v>43</v>
      </c>
      <c r="G20" s="1">
        <f t="shared" si="0"/>
        <v>0.86</v>
      </c>
      <c r="H20" s="1">
        <f t="shared" si="1"/>
        <v>0.9</v>
      </c>
      <c r="K20" s="1">
        <f t="shared" si="2"/>
        <v>0.9</v>
      </c>
      <c r="L20" s="1">
        <f t="shared" si="3"/>
        <v>1</v>
      </c>
      <c r="M20" s="1">
        <f t="shared" si="4"/>
        <v>0.90999999999999992</v>
      </c>
      <c r="N20" s="2">
        <v>3345</v>
      </c>
    </row>
    <row r="21" spans="1:14" x14ac:dyDescent="0.25">
      <c r="A21" s="2">
        <v>8411</v>
      </c>
      <c r="B21" s="2">
        <v>10</v>
      </c>
      <c r="C21" s="2">
        <v>10</v>
      </c>
      <c r="D21" s="2">
        <v>10</v>
      </c>
      <c r="E21" s="2">
        <v>10</v>
      </c>
      <c r="F21" s="2">
        <v>33</v>
      </c>
      <c r="G21" s="1">
        <f t="shared" si="0"/>
        <v>0.66</v>
      </c>
      <c r="H21" s="1">
        <f t="shared" si="1"/>
        <v>0.75714285714285712</v>
      </c>
      <c r="K21" s="1">
        <f t="shared" si="2"/>
        <v>0.75714285714285712</v>
      </c>
      <c r="L21" s="1">
        <f t="shared" si="3"/>
        <v>1</v>
      </c>
      <c r="M21" s="1">
        <f t="shared" si="4"/>
        <v>0.78142857142857136</v>
      </c>
      <c r="N21" s="2">
        <v>8411</v>
      </c>
    </row>
    <row r="22" spans="1:14" x14ac:dyDescent="0.25">
      <c r="A22" s="2">
        <v>4805</v>
      </c>
      <c r="B22" s="2">
        <v>10</v>
      </c>
      <c r="C22" s="2">
        <v>10</v>
      </c>
      <c r="D22" s="2">
        <v>10</v>
      </c>
      <c r="E22" s="2">
        <v>8</v>
      </c>
      <c r="F22" s="2">
        <v>26</v>
      </c>
      <c r="G22" s="1">
        <f t="shared" si="0"/>
        <v>0.52</v>
      </c>
      <c r="H22" s="1">
        <f t="shared" si="1"/>
        <v>0.65714285714285714</v>
      </c>
      <c r="K22" s="1">
        <f t="shared" si="2"/>
        <v>0.65714285714285714</v>
      </c>
      <c r="L22" s="1">
        <f t="shared" si="3"/>
        <v>0.95</v>
      </c>
      <c r="M22" s="1">
        <f t="shared" si="4"/>
        <v>0.68642857142857139</v>
      </c>
      <c r="N22" s="2">
        <v>4805</v>
      </c>
    </row>
    <row r="23" spans="1:14" x14ac:dyDescent="0.25">
      <c r="A23" s="2">
        <v>4972</v>
      </c>
      <c r="B23" s="2">
        <v>10</v>
      </c>
      <c r="C23" s="2">
        <v>10</v>
      </c>
      <c r="D23" s="2">
        <v>10</v>
      </c>
      <c r="E23" s="2">
        <v>10</v>
      </c>
      <c r="F23" s="2">
        <v>37</v>
      </c>
      <c r="G23" s="1">
        <f t="shared" si="0"/>
        <v>0.74</v>
      </c>
      <c r="H23" s="1">
        <f t="shared" si="1"/>
        <v>0.81428571428571428</v>
      </c>
      <c r="K23" s="1">
        <f t="shared" si="2"/>
        <v>0.81428571428571428</v>
      </c>
      <c r="L23" s="1">
        <f t="shared" si="3"/>
        <v>1</v>
      </c>
      <c r="M23" s="1">
        <f t="shared" si="4"/>
        <v>0.83285714285714285</v>
      </c>
      <c r="N23" s="2">
        <v>4972</v>
      </c>
    </row>
    <row r="24" spans="1:14" x14ac:dyDescent="0.25">
      <c r="A24" s="2">
        <v>4590</v>
      </c>
      <c r="B24" s="2">
        <v>10</v>
      </c>
      <c r="C24" s="2">
        <v>10</v>
      </c>
      <c r="D24" s="2">
        <v>10</v>
      </c>
      <c r="E24" s="2">
        <v>10</v>
      </c>
      <c r="F24" s="2">
        <v>36</v>
      </c>
      <c r="G24" s="1">
        <f t="shared" si="0"/>
        <v>0.72</v>
      </c>
      <c r="H24" s="1">
        <f t="shared" si="1"/>
        <v>0.79999999999999993</v>
      </c>
      <c r="K24" s="1">
        <f t="shared" si="2"/>
        <v>0.79999999999999993</v>
      </c>
      <c r="L24" s="1">
        <f t="shared" si="3"/>
        <v>1</v>
      </c>
      <c r="M24" s="1">
        <f t="shared" si="4"/>
        <v>0.82</v>
      </c>
      <c r="N24" s="2">
        <v>4590</v>
      </c>
    </row>
    <row r="25" spans="1:14" x14ac:dyDescent="0.25">
      <c r="A25" s="2">
        <v>2414</v>
      </c>
      <c r="B25" s="2">
        <v>10</v>
      </c>
      <c r="C25" s="2">
        <v>10</v>
      </c>
      <c r="D25" s="2">
        <v>10</v>
      </c>
      <c r="E25" s="2">
        <v>10</v>
      </c>
      <c r="F25" s="2">
        <v>41</v>
      </c>
      <c r="G25" s="1">
        <f t="shared" si="0"/>
        <v>0.82</v>
      </c>
      <c r="H25" s="1">
        <f t="shared" si="1"/>
        <v>0.87142857142857144</v>
      </c>
      <c r="K25" s="1">
        <f t="shared" si="2"/>
        <v>0.87142857142857144</v>
      </c>
      <c r="L25" s="1">
        <f t="shared" si="3"/>
        <v>1</v>
      </c>
      <c r="M25" s="1">
        <f t="shared" si="4"/>
        <v>0.88428571428571434</v>
      </c>
      <c r="N25" s="2">
        <v>2414</v>
      </c>
    </row>
    <row r="26" spans="1:14" x14ac:dyDescent="0.25">
      <c r="A26" s="2">
        <v>50410</v>
      </c>
      <c r="B26" s="2">
        <v>10</v>
      </c>
      <c r="C26" s="2">
        <v>10</v>
      </c>
      <c r="D26" s="2">
        <v>10</v>
      </c>
      <c r="E26" s="2">
        <v>9</v>
      </c>
      <c r="F26" s="2">
        <v>34</v>
      </c>
      <c r="G26" s="1">
        <f t="shared" si="0"/>
        <v>0.68</v>
      </c>
      <c r="H26" s="1">
        <f t="shared" si="1"/>
        <v>0.77142857142857146</v>
      </c>
      <c r="K26" s="1">
        <f t="shared" si="2"/>
        <v>0.77142857142857146</v>
      </c>
      <c r="L26" s="1">
        <f t="shared" si="3"/>
        <v>0.97499999999999998</v>
      </c>
      <c r="M26" s="1">
        <f t="shared" si="4"/>
        <v>0.79178571428571431</v>
      </c>
      <c r="N26" s="2">
        <v>50410</v>
      </c>
    </row>
    <row r="27" spans="1:14" x14ac:dyDescent="0.25">
      <c r="A27" s="2">
        <v>6879</v>
      </c>
      <c r="B27" s="2">
        <v>10</v>
      </c>
      <c r="C27" s="2">
        <v>10</v>
      </c>
      <c r="D27" s="2">
        <v>10</v>
      </c>
      <c r="E27" s="2">
        <v>9</v>
      </c>
      <c r="F27" s="2">
        <v>33</v>
      </c>
      <c r="G27" s="1">
        <f t="shared" si="0"/>
        <v>0.66</v>
      </c>
      <c r="H27" s="1">
        <f t="shared" si="1"/>
        <v>0.75714285714285712</v>
      </c>
      <c r="K27" s="1">
        <f t="shared" si="2"/>
        <v>0.75714285714285712</v>
      </c>
      <c r="L27" s="1">
        <f t="shared" si="3"/>
        <v>0.97499999999999998</v>
      </c>
      <c r="M27" s="1">
        <f t="shared" si="4"/>
        <v>0.77892857142857141</v>
      </c>
      <c r="N27" s="2">
        <v>6879</v>
      </c>
    </row>
    <row r="28" spans="1:14" x14ac:dyDescent="0.25">
      <c r="A28" s="2">
        <v>7733</v>
      </c>
      <c r="B28" s="2">
        <v>10</v>
      </c>
      <c r="C28" s="2">
        <v>10</v>
      </c>
      <c r="D28" s="2">
        <v>10</v>
      </c>
      <c r="E28" s="2">
        <v>10</v>
      </c>
      <c r="F28" s="2">
        <v>32</v>
      </c>
      <c r="G28" s="1">
        <f t="shared" si="0"/>
        <v>0.64</v>
      </c>
      <c r="H28" s="1">
        <f t="shared" si="1"/>
        <v>0.74285714285714288</v>
      </c>
      <c r="K28" s="1">
        <f t="shared" si="2"/>
        <v>0.74285714285714288</v>
      </c>
      <c r="L28" s="1">
        <f t="shared" si="3"/>
        <v>1</v>
      </c>
      <c r="M28" s="1">
        <f t="shared" si="4"/>
        <v>0.76857142857142857</v>
      </c>
      <c r="N28" s="2">
        <v>7733</v>
      </c>
    </row>
    <row r="29" spans="1:14" x14ac:dyDescent="0.25">
      <c r="A29" s="2">
        <v>7875</v>
      </c>
      <c r="B29" s="2">
        <v>10</v>
      </c>
      <c r="C29" s="2">
        <v>10</v>
      </c>
      <c r="D29" s="2">
        <v>10</v>
      </c>
      <c r="E29" s="2">
        <v>10</v>
      </c>
      <c r="F29" s="2">
        <v>43</v>
      </c>
      <c r="G29" s="1">
        <f t="shared" si="0"/>
        <v>0.86</v>
      </c>
      <c r="H29" s="1">
        <f t="shared" si="1"/>
        <v>0.9</v>
      </c>
      <c r="K29" s="1">
        <f t="shared" si="2"/>
        <v>0.9</v>
      </c>
      <c r="L29" s="1">
        <f t="shared" si="3"/>
        <v>1</v>
      </c>
      <c r="M29" s="1">
        <f t="shared" si="4"/>
        <v>0.90999999999999992</v>
      </c>
      <c r="N29" s="2">
        <v>7875</v>
      </c>
    </row>
    <row r="30" spans="1:14" x14ac:dyDescent="0.25">
      <c r="A30" s="2">
        <v>4499</v>
      </c>
      <c r="B30" s="2">
        <v>10</v>
      </c>
      <c r="C30" s="2">
        <v>10</v>
      </c>
      <c r="D30" s="2">
        <v>10</v>
      </c>
      <c r="E30" s="2">
        <v>10</v>
      </c>
      <c r="F30" s="2">
        <v>41</v>
      </c>
      <c r="G30" s="1">
        <f t="shared" si="0"/>
        <v>0.82</v>
      </c>
      <c r="H30" s="1">
        <f t="shared" si="1"/>
        <v>0.87142857142857144</v>
      </c>
      <c r="K30" s="1">
        <f t="shared" si="2"/>
        <v>0.87142857142857144</v>
      </c>
      <c r="L30" s="1">
        <f t="shared" si="3"/>
        <v>1</v>
      </c>
      <c r="M30" s="1">
        <f t="shared" si="4"/>
        <v>0.88428571428571434</v>
      </c>
      <c r="N30" s="2">
        <v>4499</v>
      </c>
    </row>
    <row r="31" spans="1:14" x14ac:dyDescent="0.25">
      <c r="A31" s="2">
        <v>80410</v>
      </c>
      <c r="B31" s="2">
        <v>10</v>
      </c>
      <c r="C31" s="2">
        <v>10</v>
      </c>
      <c r="D31" s="2">
        <v>10</v>
      </c>
      <c r="E31" s="2">
        <v>10</v>
      </c>
      <c r="F31" s="2">
        <v>48</v>
      </c>
      <c r="G31" s="1">
        <f t="shared" si="0"/>
        <v>0.96</v>
      </c>
      <c r="H31" s="1">
        <f t="shared" si="1"/>
        <v>0.97142857142857142</v>
      </c>
      <c r="K31" s="1">
        <f t="shared" si="2"/>
        <v>0.97142857142857142</v>
      </c>
      <c r="L31" s="1">
        <f t="shared" si="3"/>
        <v>1</v>
      </c>
      <c r="M31" s="1">
        <f t="shared" si="4"/>
        <v>0.9742857142857142</v>
      </c>
      <c r="N31" s="2">
        <v>80410</v>
      </c>
    </row>
    <row r="32" spans="1:14" x14ac:dyDescent="0.25">
      <c r="A32" s="2">
        <v>20973</v>
      </c>
      <c r="B32" s="2">
        <v>10</v>
      </c>
      <c r="C32" s="2">
        <v>10</v>
      </c>
      <c r="D32" s="2">
        <v>10</v>
      </c>
      <c r="E32" s="2">
        <v>9</v>
      </c>
      <c r="F32" s="2">
        <v>35</v>
      </c>
      <c r="G32" s="1">
        <f t="shared" si="0"/>
        <v>0.7</v>
      </c>
      <c r="H32" s="1">
        <f t="shared" si="1"/>
        <v>0.7857142857142857</v>
      </c>
      <c r="K32" s="1">
        <f t="shared" si="2"/>
        <v>0.7857142857142857</v>
      </c>
      <c r="L32" s="1">
        <f t="shared" si="3"/>
        <v>0.97499999999999998</v>
      </c>
      <c r="M32" s="1">
        <f t="shared" si="4"/>
        <v>0.8046428571428571</v>
      </c>
      <c r="N32" s="2">
        <v>20973</v>
      </c>
    </row>
    <row r="33" spans="1:14" x14ac:dyDescent="0.25">
      <c r="A33" s="2">
        <v>70240</v>
      </c>
      <c r="B33" s="2">
        <v>10</v>
      </c>
      <c r="C33" s="2">
        <v>10</v>
      </c>
      <c r="D33" s="2">
        <v>10</v>
      </c>
      <c r="E33" s="2">
        <v>10</v>
      </c>
      <c r="F33" s="2">
        <v>39</v>
      </c>
      <c r="G33" s="1">
        <f t="shared" si="0"/>
        <v>0.78</v>
      </c>
      <c r="H33" s="1">
        <f t="shared" si="1"/>
        <v>0.84285714285714286</v>
      </c>
      <c r="K33" s="1">
        <f t="shared" si="2"/>
        <v>0.84285714285714286</v>
      </c>
      <c r="L33" s="1">
        <f t="shared" si="3"/>
        <v>1</v>
      </c>
      <c r="M33" s="1">
        <f t="shared" si="4"/>
        <v>0.85857142857142854</v>
      </c>
      <c r="N33" s="2">
        <v>70240</v>
      </c>
    </row>
    <row r="34" spans="1:14" x14ac:dyDescent="0.25">
      <c r="A34" s="2">
        <v>7337</v>
      </c>
      <c r="B34" s="2">
        <v>10</v>
      </c>
      <c r="C34" s="2">
        <v>10</v>
      </c>
      <c r="D34" s="2">
        <v>9</v>
      </c>
      <c r="E34" s="2">
        <v>0</v>
      </c>
      <c r="F34" s="2">
        <v>28</v>
      </c>
      <c r="G34" s="1">
        <f t="shared" si="0"/>
        <v>0.56000000000000005</v>
      </c>
      <c r="H34" s="1">
        <f t="shared" si="1"/>
        <v>0.68571428571428572</v>
      </c>
      <c r="K34" s="1">
        <f t="shared" si="2"/>
        <v>0.68571428571428572</v>
      </c>
      <c r="L34" s="1">
        <f t="shared" si="3"/>
        <v>0.72499999999999998</v>
      </c>
      <c r="M34" s="1">
        <f t="shared" si="4"/>
        <v>0.68964285714285722</v>
      </c>
      <c r="N34" s="2">
        <v>7337</v>
      </c>
    </row>
    <row r="35" spans="1:14" x14ac:dyDescent="0.25">
      <c r="A35" s="2">
        <v>8099</v>
      </c>
      <c r="B35" s="2">
        <v>10</v>
      </c>
      <c r="C35" s="2">
        <v>10</v>
      </c>
      <c r="D35" s="2">
        <v>10</v>
      </c>
      <c r="E35" s="2">
        <v>10</v>
      </c>
      <c r="F35" s="2">
        <v>31</v>
      </c>
      <c r="G35" s="1">
        <f t="shared" si="0"/>
        <v>0.62</v>
      </c>
      <c r="H35" s="1">
        <f t="shared" si="1"/>
        <v>0.72857142857142854</v>
      </c>
      <c r="K35" s="1">
        <f t="shared" si="2"/>
        <v>0.72857142857142854</v>
      </c>
      <c r="L35" s="1">
        <f t="shared" si="3"/>
        <v>1</v>
      </c>
      <c r="M35" s="1">
        <f t="shared" si="4"/>
        <v>0.75571428571428567</v>
      </c>
      <c r="N35" s="2">
        <v>8099</v>
      </c>
    </row>
    <row r="36" spans="1:14" x14ac:dyDescent="0.25">
      <c r="A36" s="2">
        <v>4486</v>
      </c>
      <c r="B36" s="2">
        <v>10</v>
      </c>
      <c r="C36" s="2">
        <v>10</v>
      </c>
      <c r="D36" s="2">
        <v>10</v>
      </c>
      <c r="E36" s="2">
        <v>6</v>
      </c>
      <c r="F36" s="2">
        <v>24</v>
      </c>
      <c r="G36" s="1">
        <f t="shared" si="0"/>
        <v>0.48</v>
      </c>
      <c r="H36" s="1">
        <f t="shared" si="1"/>
        <v>0.62857142857142856</v>
      </c>
      <c r="K36" s="1">
        <f t="shared" si="2"/>
        <v>0.62857142857142856</v>
      </c>
      <c r="L36" s="1">
        <f t="shared" si="3"/>
        <v>0.9</v>
      </c>
      <c r="M36" s="1">
        <f t="shared" si="4"/>
        <v>0.65571428571428558</v>
      </c>
      <c r="N36" s="2">
        <v>4486</v>
      </c>
    </row>
    <row r="37" spans="1:14" x14ac:dyDescent="0.25">
      <c r="A37" s="2">
        <v>1972</v>
      </c>
      <c r="B37" s="2">
        <v>10</v>
      </c>
      <c r="C37" s="2">
        <v>10</v>
      </c>
      <c r="D37" s="2">
        <v>10</v>
      </c>
      <c r="E37" s="2">
        <v>10</v>
      </c>
      <c r="F37" s="2">
        <v>42</v>
      </c>
      <c r="G37" s="1">
        <f t="shared" si="0"/>
        <v>0.84</v>
      </c>
      <c r="H37" s="1">
        <f t="shared" si="1"/>
        <v>0.88571428571428568</v>
      </c>
      <c r="K37" s="1">
        <f t="shared" si="2"/>
        <v>0.88571428571428568</v>
      </c>
      <c r="L37" s="1">
        <f t="shared" si="3"/>
        <v>1</v>
      </c>
      <c r="M37" s="1">
        <f t="shared" si="4"/>
        <v>0.89714285714285713</v>
      </c>
      <c r="N37" s="2">
        <v>1972</v>
      </c>
    </row>
    <row r="38" spans="1:14" x14ac:dyDescent="0.25">
      <c r="A38" s="2">
        <v>2335</v>
      </c>
      <c r="B38" s="2">
        <v>10</v>
      </c>
      <c r="C38" s="2">
        <v>10</v>
      </c>
      <c r="D38" s="2">
        <v>9</v>
      </c>
      <c r="E38" s="2">
        <v>9</v>
      </c>
      <c r="F38" s="2">
        <v>40</v>
      </c>
      <c r="G38" s="1">
        <f t="shared" si="0"/>
        <v>0.8</v>
      </c>
      <c r="H38" s="1">
        <f t="shared" si="1"/>
        <v>0.85714285714285721</v>
      </c>
      <c r="K38" s="1">
        <f t="shared" si="2"/>
        <v>0.85714285714285721</v>
      </c>
      <c r="L38" s="1">
        <f t="shared" si="3"/>
        <v>0.95</v>
      </c>
      <c r="M38" s="1">
        <f t="shared" si="4"/>
        <v>0.86642857142857155</v>
      </c>
      <c r="N38" s="2">
        <v>2335</v>
      </c>
    </row>
    <row r="39" spans="1:14" x14ac:dyDescent="0.25">
      <c r="A39" s="2">
        <v>6566</v>
      </c>
      <c r="B39" s="2">
        <v>10</v>
      </c>
      <c r="C39" s="2">
        <v>10</v>
      </c>
      <c r="D39" s="2">
        <v>10</v>
      </c>
      <c r="E39" s="2">
        <v>0</v>
      </c>
      <c r="F39" s="2">
        <v>39</v>
      </c>
      <c r="G39" s="1">
        <f t="shared" si="0"/>
        <v>0.78</v>
      </c>
      <c r="H39" s="1">
        <f t="shared" si="1"/>
        <v>0.84285714285714286</v>
      </c>
      <c r="K39" s="1">
        <f t="shared" si="2"/>
        <v>0.84285714285714286</v>
      </c>
      <c r="L39" s="1">
        <f t="shared" si="3"/>
        <v>0.75</v>
      </c>
      <c r="M39" s="1">
        <f t="shared" si="4"/>
        <v>0.83357142857142852</v>
      </c>
      <c r="N39" s="2">
        <v>6566</v>
      </c>
    </row>
    <row r="40" spans="1:14" x14ac:dyDescent="0.25">
      <c r="A40" s="2">
        <v>9710</v>
      </c>
      <c r="B40" s="2">
        <v>10</v>
      </c>
      <c r="C40" s="2">
        <v>10</v>
      </c>
      <c r="D40" s="2">
        <v>10</v>
      </c>
      <c r="E40" s="2">
        <v>10</v>
      </c>
      <c r="F40" s="2">
        <v>28</v>
      </c>
      <c r="G40" s="1">
        <f t="shared" si="0"/>
        <v>0.56000000000000005</v>
      </c>
      <c r="H40" s="1">
        <f t="shared" si="1"/>
        <v>0.68571428571428572</v>
      </c>
      <c r="K40" s="1">
        <f t="shared" si="2"/>
        <v>0.68571428571428572</v>
      </c>
      <c r="L40" s="1">
        <f t="shared" si="3"/>
        <v>1</v>
      </c>
      <c r="M40" s="1">
        <f t="shared" si="4"/>
        <v>0.71714285714285719</v>
      </c>
      <c r="N40" s="2">
        <v>9710</v>
      </c>
    </row>
    <row r="41" spans="1:14" x14ac:dyDescent="0.25">
      <c r="A41" s="2">
        <v>4012</v>
      </c>
      <c r="B41" s="2">
        <v>10</v>
      </c>
      <c r="C41" s="2">
        <v>10</v>
      </c>
      <c r="D41" s="2">
        <v>10</v>
      </c>
      <c r="E41" s="2">
        <v>10</v>
      </c>
      <c r="F41" s="2">
        <v>46</v>
      </c>
      <c r="G41" s="1">
        <f t="shared" si="0"/>
        <v>0.92</v>
      </c>
      <c r="H41" s="1">
        <f t="shared" si="1"/>
        <v>0.94285714285714295</v>
      </c>
      <c r="K41" s="1">
        <f t="shared" si="2"/>
        <v>0.94285714285714295</v>
      </c>
      <c r="L41" s="1">
        <f t="shared" si="3"/>
        <v>1</v>
      </c>
      <c r="M41" s="1">
        <f t="shared" si="4"/>
        <v>0.94857142857142851</v>
      </c>
      <c r="N41" s="2">
        <v>4012</v>
      </c>
    </row>
    <row r="42" spans="1:14" x14ac:dyDescent="0.25">
      <c r="A42" s="2">
        <v>1347</v>
      </c>
      <c r="B42" s="2">
        <v>10</v>
      </c>
      <c r="C42" s="2">
        <v>10</v>
      </c>
      <c r="D42" s="2">
        <v>10</v>
      </c>
      <c r="E42" s="2">
        <v>10</v>
      </c>
      <c r="F42" s="2">
        <v>50</v>
      </c>
      <c r="G42" s="1">
        <f t="shared" si="0"/>
        <v>1</v>
      </c>
      <c r="H42" s="1">
        <f t="shared" si="1"/>
        <v>1</v>
      </c>
      <c r="K42" s="1">
        <f t="shared" si="2"/>
        <v>1</v>
      </c>
      <c r="L42" s="1">
        <f t="shared" si="3"/>
        <v>1</v>
      </c>
      <c r="M42" s="1">
        <f t="shared" si="4"/>
        <v>1</v>
      </c>
      <c r="N42" s="2">
        <v>1347</v>
      </c>
    </row>
    <row r="43" spans="1:14" x14ac:dyDescent="0.25">
      <c r="A43" s="2">
        <v>2320</v>
      </c>
      <c r="B43" s="2">
        <v>10</v>
      </c>
      <c r="C43" s="2">
        <v>10</v>
      </c>
      <c r="D43" s="2">
        <v>10</v>
      </c>
      <c r="E43" s="2">
        <v>10</v>
      </c>
      <c r="F43" s="2">
        <v>41</v>
      </c>
      <c r="G43" s="1">
        <f t="shared" si="0"/>
        <v>0.82</v>
      </c>
      <c r="H43" s="1">
        <f t="shared" si="1"/>
        <v>0.87142857142857144</v>
      </c>
      <c r="K43" s="1">
        <f t="shared" si="2"/>
        <v>0.87142857142857144</v>
      </c>
      <c r="L43" s="1">
        <f t="shared" si="3"/>
        <v>1</v>
      </c>
      <c r="M43" s="1">
        <f t="shared" si="4"/>
        <v>0.88428571428571434</v>
      </c>
      <c r="N43" s="2">
        <v>2320</v>
      </c>
    </row>
    <row r="44" spans="1:14" x14ac:dyDescent="0.25">
      <c r="A44" s="2">
        <v>9790</v>
      </c>
      <c r="B44" s="2">
        <v>10</v>
      </c>
      <c r="C44" s="2">
        <v>0</v>
      </c>
      <c r="D44" s="2">
        <v>10</v>
      </c>
      <c r="E44" s="2">
        <v>10</v>
      </c>
      <c r="F44" s="2">
        <v>47</v>
      </c>
      <c r="G44" s="1">
        <f t="shared" si="0"/>
        <v>0.94</v>
      </c>
      <c r="H44" s="1">
        <f t="shared" si="1"/>
        <v>0.95714285714285707</v>
      </c>
      <c r="K44" s="1">
        <f t="shared" si="2"/>
        <v>0.95714285714285707</v>
      </c>
      <c r="L44" s="1">
        <f t="shared" si="3"/>
        <v>0.75</v>
      </c>
      <c r="M44" s="1">
        <f t="shared" si="4"/>
        <v>0.93642857142857139</v>
      </c>
      <c r="N44" s="2">
        <v>9790</v>
      </c>
    </row>
    <row r="45" spans="1:14" x14ac:dyDescent="0.25">
      <c r="A45" s="2">
        <v>4712</v>
      </c>
      <c r="B45" s="2">
        <v>10</v>
      </c>
      <c r="C45" s="2">
        <v>10</v>
      </c>
      <c r="D45" s="2">
        <v>10</v>
      </c>
      <c r="E45" s="2">
        <v>0</v>
      </c>
      <c r="F45" s="2">
        <v>37</v>
      </c>
      <c r="G45" s="1">
        <f t="shared" si="0"/>
        <v>0.74</v>
      </c>
      <c r="H45" s="1">
        <f t="shared" si="1"/>
        <v>0.81428571428571428</v>
      </c>
      <c r="K45" s="1">
        <f t="shared" si="2"/>
        <v>0.81428571428571428</v>
      </c>
      <c r="L45" s="1">
        <f t="shared" si="3"/>
        <v>0.75</v>
      </c>
      <c r="M45" s="1">
        <f t="shared" si="4"/>
        <v>0.80785714285714283</v>
      </c>
      <c r="N45" s="2">
        <v>4712</v>
      </c>
    </row>
    <row r="46" spans="1:14" x14ac:dyDescent="0.25">
      <c r="A46" s="2">
        <v>60455</v>
      </c>
      <c r="B46" s="2">
        <v>10</v>
      </c>
      <c r="C46" s="2">
        <v>10</v>
      </c>
      <c r="D46" s="2">
        <v>10</v>
      </c>
      <c r="E46" s="2">
        <v>10</v>
      </c>
      <c r="F46" s="2">
        <v>23</v>
      </c>
      <c r="G46" s="1">
        <f t="shared" si="0"/>
        <v>0.46</v>
      </c>
      <c r="H46" s="1">
        <f t="shared" si="1"/>
        <v>0.61428571428571432</v>
      </c>
      <c r="K46" s="1">
        <f t="shared" si="2"/>
        <v>0.61428571428571432</v>
      </c>
      <c r="L46" s="1">
        <f t="shared" si="3"/>
        <v>1</v>
      </c>
      <c r="M46" s="1">
        <f t="shared" si="4"/>
        <v>0.6528571428571428</v>
      </c>
      <c r="N46" s="2">
        <v>60455</v>
      </c>
    </row>
    <row r="47" spans="1:14" x14ac:dyDescent="0.25">
      <c r="A47" s="2">
        <v>5733</v>
      </c>
      <c r="B47" s="2">
        <v>10</v>
      </c>
      <c r="C47" s="2">
        <v>10</v>
      </c>
      <c r="D47" s="2">
        <v>10</v>
      </c>
      <c r="E47" s="2">
        <v>10</v>
      </c>
      <c r="F47" s="2">
        <v>38</v>
      </c>
      <c r="G47" s="1">
        <f t="shared" si="0"/>
        <v>0.76</v>
      </c>
      <c r="H47" s="1">
        <f t="shared" si="1"/>
        <v>0.82857142857142851</v>
      </c>
      <c r="K47" s="1">
        <f t="shared" si="2"/>
        <v>0.82857142857142851</v>
      </c>
      <c r="L47" s="1">
        <f t="shared" si="3"/>
        <v>1</v>
      </c>
      <c r="M47" s="1">
        <f t="shared" si="4"/>
        <v>0.84571428571428564</v>
      </c>
      <c r="N47" s="2">
        <v>5733</v>
      </c>
    </row>
    <row r="48" spans="1:14" x14ac:dyDescent="0.25">
      <c r="A48" s="2">
        <v>9806</v>
      </c>
      <c r="B48" s="2">
        <v>10</v>
      </c>
      <c r="C48" s="2">
        <v>10</v>
      </c>
      <c r="D48" s="2">
        <v>10</v>
      </c>
      <c r="E48" s="2">
        <v>10</v>
      </c>
      <c r="F48" s="2">
        <v>34</v>
      </c>
      <c r="G48" s="1">
        <f t="shared" si="0"/>
        <v>0.68</v>
      </c>
      <c r="H48" s="1">
        <f t="shared" si="1"/>
        <v>0.77142857142857146</v>
      </c>
      <c r="K48" s="1">
        <f t="shared" si="2"/>
        <v>0.77142857142857146</v>
      </c>
      <c r="L48" s="1">
        <f t="shared" si="3"/>
        <v>1</v>
      </c>
      <c r="M48" s="1">
        <f t="shared" si="4"/>
        <v>0.79428571428571426</v>
      </c>
      <c r="N48" s="2">
        <v>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2020-01-27T11:30:25Z</dcterms:created>
  <dcterms:modified xsi:type="dcterms:W3CDTF">2020-01-27T11:30:26Z</dcterms:modified>
</cp:coreProperties>
</file>