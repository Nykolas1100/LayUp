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800091-4744-4ECC-B3DA-D97AC926A36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B20" i="1" l="1"/>
  <c r="B21" i="1"/>
  <c r="B22" i="1"/>
  <c r="B23" i="1"/>
</calcChain>
</file>

<file path=xl/sharedStrings.xml><?xml version="1.0" encoding="utf-8"?>
<sst xmlns="http://schemas.openxmlformats.org/spreadsheetml/2006/main" count="25" uniqueCount="25">
  <si>
    <t>Purpose:To use inventory turnover to help decide on the optimum amount of supplies to keep on hand.</t>
  </si>
  <si>
    <t>Citations with documentation. 42.06.01</t>
  </si>
  <si>
    <t>Sriram &amp; Svirbely 1998</t>
  </si>
  <si>
    <t>data</t>
  </si>
  <si>
    <t>enter</t>
  </si>
  <si>
    <t>total amount spent on supply item</t>
  </si>
  <si>
    <t>monthly inventory value</t>
  </si>
  <si>
    <t>January</t>
  </si>
  <si>
    <t>February</t>
  </si>
  <si>
    <t>March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</si>
  <si>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</si>
  <si>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</si>
  <si>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</si>
  <si>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</si>
  <si>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</si>
  <si>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</si>
  <si>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</si>
  <si>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</si>
  <si>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</si>
  <si>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calculate</t>
  </si>
  <si>
    <t>result</t>
  </si>
  <si>
    <t>data complete?</t>
  </si>
  <si>
    <t>average monthly inventory value</t>
  </si>
  <si>
    <t>inventory turnover</t>
  </si>
  <si>
    <t>which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</si>
</sst>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_);\(&quot;$&quot;#,##0.00\)"/>
  </numFmts>
  <fonts count="3">
    <font>
      <sz val="10"/>
      <name val="Geneva"/>
    </font>
    <font>
      <b/>
      <sz val="10"/>
      <name val="Geneva"/>
    </font>
    <font>
      <sz val="9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Continuous" vertical="top" wrapText="1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1" xfId="0" applyFill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0" borderId="1" xfId="0" applyBorder="1" applyAlignment="1">
      <alignment horizontal="right"/>
    </xf>
    <xf numFmtId="0" fontId="2" fillId="0" borderId="0" xfId="0" applyFont="1" applyAlignment="1">
      <alignment horizontal="center" vertical="top" wrapText="1"/>
    </xf>
    <xf numFmtId="0" fontId="1" fillId="5" borderId="2" xfId="0" applyFont="1" applyFill="1" applyBorder="1"/>
    <xf numFmtId="0" fontId="1" fillId="5" borderId="3" xfId="0" applyFont="1" applyFill="1" applyBorder="1" applyProtection="1"/>
    <xf numFmtId="4" fontId="0" fillId="3" borderId="0" xfId="0" applyNumberFormat="1" applyFill="1"/>
    <xf numFmtId="166" fontId="0" fillId="0" borderId="1" xfId="0" applyNumberFormat="1" applyBorder="1" applyAlignment="1">
      <alignment horizontal="right"/>
    </xf>
    <xf numFmtId="0" fontId="0" fillId="4" borderId="1" xfId="0" applyFill="1" applyBorder="1" applyAlignment="1">
      <alignment horizontal="right"/>
    </xf>
    <xf numFmtId="166" fontId="0" fillId="0" borderId="1" xfId="0" applyNumberFormat="1" applyBorder="1" applyProtection="1">
      <protection locked="0"/>
    </xf>
    <xf numFmtId="166" fontId="0" fillId="0" borderId="1" xfId="0" applyNumberFormat="1" applyBorder="1" applyAlignment="1" applyProtection="1">
      <alignment horizontal="right"/>
      <protection locked="0"/>
    </xf>
    <xf numFmtId="166" fontId="0" fillId="3" borderId="0" xfId="0" applyNumberFormat="1" applyFill="1"/>
    <xf numFmtId="0" fontId="2" fillId="0" borderId="0" xfId="0" applyFont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/>
  </sheetViews>
  <sheetFormatPr defaultRowHeight="12.5"/>
  <cols>
    <col min="1" max="1" width="30.7265625" customWidth="1"/>
    <col min="2" max="256" width="10.90625" customWidth="1"/>
  </cols>
  <sheetData>
    <row r="1" spans="1:5" ht="39" customHeight="1">
      <c r="A1" s="1" t="s">
        <v>0</v>
      </c>
      <c r="B1" s="1"/>
      <c r="D1" s="21" t="s">
        <v>1</v>
      </c>
      <c r="E1" s="12" t="s">
        <v>2</v>
      </c>
    </row>
    <row r="2" spans="1:5">
      <c r="A2" s="2"/>
      <c r="B2" s="2"/>
      <c r="C2" s="2"/>
      <c r="D2" s="2"/>
      <c r="E2" s="2"/>
    </row>
    <row r="3" spans="1:5" ht="13">
      <c r="A3" s="3" t="s">
        <v>3</v>
      </c>
      <c r="B3" s="5" t="s">
        <v>4</v>
      </c>
      <c r="C3" s="4"/>
      <c r="D3" s="4"/>
      <c r="E3" s="4"/>
    </row>
    <row r="4" spans="1:5">
      <c r="A4" s="6" t="s">
        <v>5</v>
      </c>
      <c r="B4" s="19">
        <v>20000</v>
      </c>
      <c r="C4" s="4"/>
      <c r="D4" s="4"/>
      <c r="E4" s="4"/>
    </row>
    <row r="5" spans="1:5" ht="13">
      <c r="A5" s="13" t="s">
        <v>6</v>
      </c>
      <c r="B5" s="14"/>
      <c r="C5" s="4"/>
      <c r="D5" s="4"/>
      <c r="E5" s="4"/>
    </row>
    <row r="6" spans="1:5">
      <c r="A6" s="6" t="s">
        <v>7</v>
      </c>
      <c r="B6" s="18">
        <v>1600</v>
      </c>
      <c r="C6" s="4"/>
      <c r="D6" s="4"/>
      <c r="E6" s="4"/>
    </row>
    <row r="7" spans="1:5">
      <c r="A7" s="6" t="s">
        <v>8</v>
      </c>
      <c r="B7" s="18">
        <v>1000</v>
      </c>
      <c r="C7" s="4"/>
      <c r="D7" s="4"/>
      <c r="E7" s="4"/>
    </row>
    <row r="8" spans="1:5">
      <c r="A8" s="6" t="s">
        <v>9</v>
      </c>
      <c r="B8" s="18">
        <v>800</v>
      </c>
      <c r="C8" s="4"/>
      <c r="D8" s="15"/>
      <c r="E8" s="4"/>
    </row>
    <row r="9" spans="1:5">
      <c r="A9" s="6" t="s">
        <v>10</v>
      </c>
      <c r="B9" s="18">
        <v>1400</v>
      </c>
      <c r="C9" s="4"/>
      <c r="D9" s="4"/>
      <c r="E9" s="4"/>
    </row>
    <row r="10" spans="1:5">
      <c r="A10" s="6" t="s">
        <v>11</v>
      </c>
      <c r="B10" s="18">
        <v>1400</v>
      </c>
      <c r="C10" s="4"/>
      <c r="D10" s="4"/>
      <c r="E10" s="4"/>
    </row>
    <row r="11" spans="1:5">
      <c r="A11" s="6" t="s">
        <v>12</v>
      </c>
      <c r="B11" s="18">
        <v>2000</v>
      </c>
      <c r="C11" s="4"/>
      <c r="D11" s="4"/>
      <c r="E11" s="4"/>
    </row>
    <row r="12" spans="1:5">
      <c r="A12" s="6" t="s">
        <v>13</v>
      </c>
      <c r="B12" s="18">
        <v>1800</v>
      </c>
      <c r="C12" s="4"/>
      <c r="D12" s="4"/>
      <c r="E12" s="4"/>
    </row>
    <row r="13" spans="1:5">
      <c r="A13" s="6" t="s">
        <v>14</v>
      </c>
      <c r="B13" s="18">
        <v>2000</v>
      </c>
      <c r="C13" s="4"/>
      <c r="D13" s="4"/>
      <c r="E13" s="4"/>
    </row>
    <row r="14" spans="1:5">
      <c r="A14" s="6" t="s">
        <v>15</v>
      </c>
      <c r="B14" s="18">
        <v>2400</v>
      </c>
      <c r="C14" s="4"/>
      <c r="D14" s="20"/>
      <c r="E14" s="4"/>
    </row>
    <row r="15" spans="1:5">
      <c r="A15" s="6" t="s">
        <v>16</v>
      </c>
      <c r="B15" s="18">
        <v>2200</v>
      </c>
      <c r="C15" s="4"/>
      <c r="D15" s="4"/>
      <c r="E15" s="4"/>
    </row>
    <row r="16" spans="1:5">
      <c r="A16" s="6" t="s">
        <v>17</v>
      </c>
      <c r="B16" s="18">
        <v>2200</v>
      </c>
      <c r="C16" s="4"/>
      <c r="D16" s="4"/>
      <c r="E16" s="4"/>
    </row>
    <row r="17" spans="1:5">
      <c r="A17" s="6" t="s">
        <v>18</v>
      </c>
      <c r="B17" s="18">
        <v>1200</v>
      </c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 ht="13">
      <c r="A19" s="7" t="s">
        <v>19</v>
      </c>
      <c r="B19" s="8" t="s">
        <v>20</v>
      </c>
      <c r="C19" s="9"/>
      <c r="D19" s="9"/>
      <c r="E19" s="9"/>
    </row>
    <row r="20" spans="1:5">
      <c r="A20" s="10" t="s">
        <v>21</v>
      </c>
      <c r="B20" s="11" t="str">
        <f>IF(OR(ISBLANK(B4),ISBLANK(B6),ISBLANK(B7),ISBLANK(B8),ISBLANK(B9),ISBLANK(B10),ISBLANK(B11),ISBLANK(B12),ISBLANK(B13),ISBLANK(B14),ISBLANK(B15),ISBLANK(B16),ISBLANK(B17)),"No","Yes")</f>
        <v>Yes</v>
      </c>
      <c r="C20" s="9"/>
      <c r="D20" s="9"/>
      <c r="E20" s="9"/>
    </row>
    <row r="21" spans="1:5">
      <c r="A21" s="10" t="s">
        <v>22</v>
      </c>
      <c r="B21" s="16">
        <f>IF(B20="No","complete data",AVERAGE(B6:B17))</f>
        <v>1666.6666666666667</v>
      </c>
      <c r="C21" s="9"/>
      <c r="D21" s="9"/>
      <c r="E21" s="9"/>
    </row>
    <row r="22" spans="1:5">
      <c r="A22" s="10" t="s">
        <v>23</v>
      </c>
      <c r="B22" s="11">
        <f>IF(B20="No","complete data",B4/B21)</f>
        <v>12</v>
      </c>
      <c r="C22" s="9"/>
      <c r="D22" s="9"/>
      <c r="E22" s="9"/>
    </row>
    <row r="23" spans="1:5">
      <c r="A23" s="17" t="s">
        <v>24</v>
      </c>
      <c r="B23" s="11" t="str">
        <f>IF(B20="No","complete data",IF(B22&lt;6,"low",IF(B22&lt;10,"a bit low",IF(B22&lt;=13,"good",IF(B22&lt;18,"a bit high","high")))))</f>
        <v>good</v>
      </c>
      <c r="C23" s="9"/>
      <c r="D23" s="9"/>
      <c r="E23" s="9"/>
    </row>
    <row r="24" spans="1:5">
      <c r="A24" s="9"/>
      <c r="B24" s="9"/>
      <c r="C24" s="9"/>
      <c r="D24" s="9"/>
      <c r="E24" s="9"/>
    </row>
  </sheetData>
  <sheetProtection sheet="1" objects="1" scenarios="1"/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&amp;C&amp;"Helvetica,Regular"&amp;12&amp;F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Svirbely</dc:creator>
  <cp:lastModifiedBy>Carina Negreanu</cp:lastModifiedBy>
  <dcterms:created xsi:type="dcterms:W3CDTF">2020-01-27T10:31:15Z</dcterms:created>
  <dcterms:modified xsi:type="dcterms:W3CDTF">2020-01-27T10:31:15Z</dcterms:modified>
</cp:coreProperties>
</file>