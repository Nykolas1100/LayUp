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B41C9260-829E-475A-93FA-1A18E1261CF5}" xr6:coauthVersionLast="45" xr6:coauthVersionMax="45" xr10:uidLastSave="{00000000-0000-0000-0000-000000000000}"/>
  <bookViews>
    <workbookView xWindow="3420" yWindow="3420" windowWidth="28800" windowHeight="15460"/>
  </bookViews>
  <sheets>
    <sheet name="Outlook" sheetId="1" r:id="rId1"/>
    <sheet name="View" sheetId="2" r:id="rId2"/>
    <sheet name="Market Origination Database" sheetId="3" r:id="rId3"/>
  </sheets>
  <externalReferences>
    <externalReference r:id="rId4"/>
  </externalReferences>
  <definedNames>
    <definedName name="_xlnm.Print_Area" localSheetId="2">'Market Origination Database'!$A$1:$L$69</definedName>
    <definedName name="_xlnm.Print_Area" localSheetId="0">Outlook!$A$1:$Q$43</definedName>
    <definedName name="_xlnm.Print_Area" localSheetId="1">View!$A$1:$G$53</definedName>
    <definedName name="Print_Area_MI">Outlook!$O$44</definedName>
    <definedName name="_xlnm.Print_Titles" localSheetId="2">'Market Origination Database'!$1:$1</definedName>
  </definedNames>
  <calcPr calcId="0" fullCalcOnLoad="1" iterate="1" iterateCount="1"/>
</workbook>
</file>

<file path=xl/calcChain.xml><?xml version="1.0" encoding="utf-8"?>
<calcChain xmlns="http://schemas.openxmlformats.org/spreadsheetml/2006/main">
  <c r="I61" i="3" l="1"/>
  <c r="K61" i="3"/>
  <c r="L61" i="3"/>
  <c r="I62" i="3"/>
  <c r="J62" i="3"/>
  <c r="K62" i="3"/>
  <c r="L62" i="3"/>
  <c r="I63" i="3"/>
  <c r="J63" i="3"/>
  <c r="K63" i="3"/>
  <c r="L63" i="3"/>
  <c r="I64" i="3"/>
  <c r="J64" i="3"/>
  <c r="K64" i="3"/>
  <c r="L64" i="3"/>
  <c r="I65" i="3"/>
  <c r="J65" i="3"/>
  <c r="K65" i="3"/>
  <c r="L65" i="3"/>
  <c r="I66" i="3"/>
  <c r="J66" i="3"/>
  <c r="K66" i="3"/>
  <c r="L66" i="3"/>
  <c r="I67" i="3"/>
  <c r="J67" i="3"/>
  <c r="K67" i="3"/>
  <c r="L67" i="3"/>
  <c r="I68" i="3"/>
  <c r="J68" i="3"/>
  <c r="K68" i="3"/>
  <c r="L68" i="3"/>
  <c r="I69" i="3"/>
  <c r="J69" i="3"/>
  <c r="K69" i="3"/>
  <c r="L69" i="3"/>
  <c r="E27" i="1"/>
  <c r="G27" i="1"/>
  <c r="I27" i="1"/>
  <c r="J27" i="1"/>
  <c r="N27" i="1"/>
  <c r="O27" i="1"/>
  <c r="P27" i="1"/>
  <c r="E28" i="1"/>
  <c r="G28" i="1"/>
  <c r="I28" i="1"/>
  <c r="J28" i="1"/>
  <c r="N28" i="1"/>
  <c r="O28" i="1"/>
  <c r="P28" i="1"/>
  <c r="F26" i="2"/>
  <c r="F27" i="2"/>
  <c r="F28" i="2"/>
  <c r="F29" i="2"/>
  <c r="F30" i="2"/>
  <c r="F31" i="2"/>
  <c r="F32" i="2"/>
  <c r="F33" i="2"/>
  <c r="F34" i="2"/>
  <c r="F35" i="2"/>
  <c r="F36" i="2"/>
  <c r="F37" i="2"/>
  <c r="C41" i="2"/>
  <c r="D41" i="2"/>
  <c r="C42" i="2"/>
  <c r="D42" i="2"/>
  <c r="D43" i="2"/>
  <c r="C44" i="2"/>
  <c r="D44" i="2"/>
  <c r="C45" i="2"/>
  <c r="D45" i="2"/>
  <c r="E45" i="2"/>
  <c r="F45" i="2"/>
  <c r="C46" i="2"/>
  <c r="D46" i="2"/>
  <c r="E46" i="2"/>
  <c r="F46" i="2"/>
  <c r="C47" i="2"/>
  <c r="D47" i="2"/>
  <c r="E47" i="2"/>
  <c r="F47" i="2"/>
</calcChain>
</file>

<file path=xl/sharedStrings.xml><?xml version="1.0" encoding="utf-8"?>
<sst xmlns="http://schemas.openxmlformats.org/spreadsheetml/2006/main" count="96" uniqueCount="89">
  <si>
    <t>Revised 1/11/2000</t>
  </si>
  <si>
    <t>Major Economic Indicators</t>
  </si>
  <si>
    <t>Average for Year</t>
  </si>
  <si>
    <t>Indicator</t>
  </si>
  <si>
    <t>Q3</t>
  </si>
  <si>
    <t>Q4</t>
  </si>
  <si>
    <t>Q1</t>
  </si>
  <si>
    <t>Q2</t>
  </si>
  <si>
    <t>Real GDP (Growth) a.</t>
  </si>
  <si>
    <t>Consumer Prices (Growth) a.</t>
  </si>
  <si>
    <t>Unemployment Rate (Avg.)</t>
  </si>
  <si>
    <t>30-Year Fixed Mtg. Rate (Avg.)</t>
  </si>
  <si>
    <t>1-Year Const. Mat. Treas. Rate (Avg.)</t>
  </si>
  <si>
    <t>Note:  Quarterly and annual forecasts are shown in shaded areas.</t>
  </si>
  <si>
    <t>a.  Quarterly percent changes at annualized rates.</t>
  </si>
  <si>
    <t>Housing and Mortgage Markets</t>
  </si>
  <si>
    <t>Annual Totals</t>
  </si>
  <si>
    <t>Housing Starts a.</t>
  </si>
  <si>
    <t>Total Home Sales a.</t>
  </si>
  <si>
    <t>House Prices b.</t>
  </si>
  <si>
    <t>1-4 Family Mortgage</t>
  </si>
  <si>
    <t xml:space="preserve">    Originations c.</t>
  </si>
  <si>
    <t xml:space="preserve"> </t>
  </si>
  <si>
    <t>Conventional</t>
  </si>
  <si>
    <t>FHA/VA</t>
  </si>
  <si>
    <t>Total</t>
  </si>
  <si>
    <t>ARM Share (%) d.</t>
  </si>
  <si>
    <t>Refinancing Share (%)</t>
  </si>
  <si>
    <t>Residential  Debt Growth (%) f.</t>
  </si>
  <si>
    <t>Note:  Quarterly and annual forecasts are shown in shaded areas.  Totals may not add due to rounding.</t>
  </si>
  <si>
    <t>a. Millions of units.  Quarterly data at seasonally-adjusted annual rates.</t>
  </si>
  <si>
    <t>b. Freddie Mac-Fannie Mae Conventional Mortgage Home Price Index. Quarterly data at annual rates. Yearly data reflect Q4/Q4.</t>
  </si>
  <si>
    <t>c. Billions of dollars, not seasonally-adjusted.</t>
  </si>
  <si>
    <t>d. Percent of the number of mortgage loans closed for purchase.</t>
  </si>
  <si>
    <t>f.  Includes single-family and multifamily debt; Stated at an annual rate.</t>
  </si>
  <si>
    <t>Prepared by Financial Research (MAS 01/11/2000)</t>
  </si>
  <si>
    <t>g:/finres/firmas/forcasts/results/public.xls</t>
  </si>
  <si>
    <t xml:space="preserve">    3-Year Outlook for Home Sales and Mortgage Originations</t>
  </si>
  <si>
    <t>Home</t>
  </si>
  <si>
    <t>Conventional Mortgage</t>
  </si>
  <si>
    <t>Date</t>
  </si>
  <si>
    <t>Sales</t>
  </si>
  <si>
    <t>Originations</t>
  </si>
  <si>
    <t>Refinance Share (%)</t>
  </si>
  <si>
    <t>FHA/VA Originations</t>
  </si>
  <si>
    <t>1995:1</t>
  </si>
  <si>
    <t>1995:2</t>
  </si>
  <si>
    <t>1995:3</t>
  </si>
  <si>
    <t>1995:4</t>
  </si>
  <si>
    <t>1996:1</t>
  </si>
  <si>
    <t>1996:2</t>
  </si>
  <si>
    <t>1996:3</t>
  </si>
  <si>
    <t>1996:4</t>
  </si>
  <si>
    <t>1997:1</t>
  </si>
  <si>
    <t>1997:2</t>
  </si>
  <si>
    <t>1997:3</t>
  </si>
  <si>
    <t>1997:4</t>
  </si>
  <si>
    <t>1998:1</t>
  </si>
  <si>
    <t>1998:2</t>
  </si>
  <si>
    <t>1998:3</t>
  </si>
  <si>
    <t>1998:4</t>
  </si>
  <si>
    <t>1999:1</t>
  </si>
  <si>
    <t>1999:2</t>
  </si>
  <si>
    <t>1999:3</t>
  </si>
  <si>
    <t>1999:4</t>
  </si>
  <si>
    <t>2000:1</t>
  </si>
  <si>
    <t>2000:2</t>
  </si>
  <si>
    <t>2000:3</t>
  </si>
  <si>
    <t>2000:4</t>
  </si>
  <si>
    <t>2001:1</t>
  </si>
  <si>
    <t>2001:2</t>
  </si>
  <si>
    <t>2001:3</t>
  </si>
  <si>
    <t>2001:4</t>
  </si>
  <si>
    <t>Comments:</t>
  </si>
  <si>
    <t>--  Home sales are quarterly units (000) not seasonally adjusted; Originations are in billions of dollars</t>
  </si>
  <si>
    <t>--  Projections are shown in shaded areas</t>
  </si>
  <si>
    <t>** Reflects all purchases</t>
  </si>
  <si>
    <t>c</t>
  </si>
  <si>
    <t>R_Orig_NSA</t>
  </si>
  <si>
    <t>Arm%</t>
  </si>
  <si>
    <t>Refi%</t>
  </si>
  <si>
    <t>Pmms30</t>
  </si>
  <si>
    <t>CMT10</t>
  </si>
  <si>
    <t>CMT1</t>
  </si>
  <si>
    <t>H_Sales</t>
  </si>
  <si>
    <t>R_GDP</t>
  </si>
  <si>
    <t>Emp</t>
  </si>
  <si>
    <t>HPI</t>
  </si>
  <si>
    <t>Hhold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</si>
</sst>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1">
    <numFmt numFmtId="164" formatCode="&quot;$&quot;#,##0_);\(&quot;$&quot;#,##0\)"/>
    <numFmt numFmtId="165" formatCode="&quot;$&quot;#,##0_);[Red]\(&quot;$&quot;#,##0\)"/>
    <numFmt numFmtId="168" formatCode="_(&quot;$&quot;* #,##0_);_(&quot;$&quot;* \(#,##0\);_(&quot;$&quot;* &quot;-&quot;_);_(@_)"/>
    <numFmt numFmtId="169" formatCode="_(* #,##0_);_(* \(#,##0\);_(* &quot;-&quot;_);_(@_)"/>
    <numFmt numFmtId="170" formatCode="_(&quot;$&quot;* #,##0.00_);_(&quot;$&quot;* \(#,##0.00\);_(&quot;$&quot;* &quot;-&quot;??_);_(@_)"/>
    <numFmt numFmtId="171" formatCode="_(* #,##0.00_);_(* \(#,##0.00\);_(* &quot;-&quot;??_);_(@_)"/>
    <numFmt numFmtId="172" formatCode="0.0_)"/>
    <numFmt numFmtId="173" formatCode="0.00_)"/>
    <numFmt numFmtId="174" formatCode="0_)"/>
    <numFmt numFmtId="175" formatCode="General_)"/>
    <numFmt numFmtId="176" formatCode="0.000"/>
    <numFmt numFmtId="177" formatCode="0.0"/>
    <numFmt numFmtId="178" formatCode="&quot;$&quot;#,##0"/>
    <numFmt numFmtId="179" formatCode="#,##0.0"/>
    <numFmt numFmtId="180" formatCode="0.0%"/>
    <numFmt numFmtId="181" formatCode="&quot;$&quot;#,##0.0_);\(&quot;$&quot;#,##0.0\)"/>
    <numFmt numFmtId="182" formatCode="_(* #,##0.0_);_(* \(#,##0.0\);_(* &quot;-&quot;??_);_(@_)"/>
    <numFmt numFmtId="183" formatCode="0.0000"/>
    <numFmt numFmtId="193" formatCode="&quot;$&quot;#,##0.00\ ;\(&quot;$&quot;#,##0.00\)"/>
    <numFmt numFmtId="194" formatCode="&quot;$&quot;#,##0\ ;\(&quot;$&quot;#,##0\)"/>
    <numFmt numFmtId="195" formatCode="&quot;$&quot;#,##0.0"/>
  </numFmts>
  <fonts count="20" x14ac:knownFonts="1">
    <font>
      <sz val="10"/>
      <name val="Helv"/>
    </font>
    <font>
      <sz val="10"/>
      <name val="Arial"/>
    </font>
    <font>
      <b/>
      <sz val="18"/>
      <name val="Arial"/>
    </font>
    <font>
      <b/>
      <sz val="12"/>
      <name val="Arial"/>
    </font>
    <font>
      <b/>
      <i/>
      <u/>
      <sz val="10"/>
      <name val="Helv"/>
    </font>
    <font>
      <b/>
      <sz val="20"/>
      <name val="Helv"/>
    </font>
    <font>
      <b/>
      <sz val="10"/>
      <name val="Helv"/>
    </font>
    <font>
      <b/>
      <u/>
      <sz val="10"/>
      <name val="Helv"/>
    </font>
    <font>
      <b/>
      <sz val="14"/>
      <name val="Helv"/>
    </font>
    <font>
      <u/>
      <sz val="10"/>
      <name val="Helv"/>
    </font>
    <font>
      <b/>
      <sz val="12"/>
      <name val="Helvetica"/>
      <family val="2"/>
    </font>
    <font>
      <b/>
      <sz val="12"/>
      <name val="Arial"/>
      <family val="2"/>
    </font>
    <font>
      <b/>
      <sz val="14"/>
      <name val="Tms Rmn"/>
    </font>
    <font>
      <b/>
      <sz val="18"/>
      <name val="Arial"/>
      <family val="2"/>
    </font>
    <font>
      <sz val="16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b/>
      <i/>
      <u/>
      <sz val="10"/>
      <name val="Arial"/>
    </font>
    <font>
      <b/>
      <i/>
      <sz val="10"/>
      <name val="Arial"/>
    </font>
    <font>
      <b/>
      <i/>
      <sz val="1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9"/>
        <bgColor indexed="8"/>
      </patternFill>
    </fill>
    <fill>
      <patternFill patternType="gray0625">
        <bgColor indexed="9"/>
      </patternFill>
    </fill>
    <fill>
      <patternFill patternType="gray0625"/>
    </fill>
    <fill>
      <patternFill patternType="solid">
        <fgColor indexed="9"/>
        <bgColor indexed="64"/>
      </patternFill>
    </fill>
    <fill>
      <patternFill patternType="solid">
        <fgColor indexed="65"/>
        <bgColor indexed="8"/>
      </patternFill>
    </fill>
    <fill>
      <patternFill patternType="gray125">
        <fgColor indexed="9"/>
      </patternFill>
    </fill>
    <fill>
      <patternFill patternType="gray0625">
        <fgColor indexed="8"/>
      </patternFill>
    </fill>
    <fill>
      <patternFill patternType="gray0625">
        <fgColor indexed="9"/>
        <bgColor indexed="9"/>
      </patternFill>
    </fill>
    <fill>
      <patternFill patternType="gray0625">
        <fgColor indexed="8"/>
        <bgColor indexed="9"/>
      </patternFill>
    </fill>
    <fill>
      <patternFill patternType="mediumGray">
        <bgColor indexed="9"/>
      </patternFill>
    </fill>
    <fill>
      <patternFill patternType="mediumGray"/>
    </fill>
    <fill>
      <patternFill patternType="solid">
        <fgColor indexed="9"/>
        <bgColor indexed="9"/>
      </patternFill>
    </fill>
  </fills>
  <borders count="17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1">
    <xf numFmtId="175" fontId="0" fillId="0" borderId="0"/>
    <xf numFmtId="171" fontId="1" fillId="0" borderId="0" applyFont="0" applyFill="0" applyBorder="0" applyAlignment="0" applyProtection="0"/>
    <xf numFmtId="3" fontId="1" fillId="0" borderId="0" applyFont="0" applyFill="0" applyBorder="0" applyAlignment="0" applyProtection="0"/>
    <xf numFmtId="194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2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1" applyNumberFormat="0" applyFont="0" applyFill="0" applyAlignment="0" applyProtection="0"/>
  </cellStyleXfs>
  <cellXfs count="246">
    <xf numFmtId="175" fontId="0" fillId="0" borderId="0" xfId="0"/>
    <xf numFmtId="175" fontId="0" fillId="0" borderId="2" xfId="0" applyBorder="1"/>
    <xf numFmtId="175" fontId="0" fillId="0" borderId="3" xfId="0" applyBorder="1"/>
    <xf numFmtId="175" fontId="0" fillId="0" borderId="4" xfId="0" applyBorder="1"/>
    <xf numFmtId="175" fontId="4" fillId="0" borderId="5" xfId="0" applyFont="1" applyBorder="1"/>
    <xf numFmtId="175" fontId="0" fillId="0" borderId="0" xfId="0" applyBorder="1"/>
    <xf numFmtId="175" fontId="5" fillId="0" borderId="0" xfId="0" applyFont="1" applyFill="1" applyBorder="1" applyAlignment="1">
      <alignment horizontal="centerContinuous"/>
    </xf>
    <xf numFmtId="175" fontId="0" fillId="2" borderId="0" xfId="0" applyFill="1" applyBorder="1" applyAlignment="1">
      <alignment horizontal="centerContinuous"/>
    </xf>
    <xf numFmtId="175" fontId="5" fillId="2" borderId="0" xfId="0" applyFont="1" applyFill="1" applyBorder="1" applyAlignment="1">
      <alignment horizontal="centerContinuous"/>
    </xf>
    <xf numFmtId="175" fontId="5" fillId="0" borderId="0" xfId="0" applyFont="1" applyFill="1" applyBorder="1" applyAlignment="1"/>
    <xf numFmtId="175" fontId="0" fillId="0" borderId="6" xfId="0" applyBorder="1" applyAlignment="1"/>
    <xf numFmtId="175" fontId="0" fillId="0" borderId="5" xfId="0" applyBorder="1"/>
    <xf numFmtId="175" fontId="6" fillId="0" borderId="0" xfId="0" applyFont="1" applyBorder="1"/>
    <xf numFmtId="175" fontId="0" fillId="0" borderId="6" xfId="0" applyBorder="1"/>
    <xf numFmtId="175" fontId="6" fillId="0" borderId="0" xfId="0" applyFont="1" applyBorder="1" applyAlignment="1"/>
    <xf numFmtId="175" fontId="6" fillId="0" borderId="7" xfId="0" quotePrefix="1" applyFont="1" applyBorder="1" applyAlignment="1">
      <alignment horizontal="centerContinuous"/>
    </xf>
    <xf numFmtId="175" fontId="6" fillId="0" borderId="7" xfId="0" applyFont="1" applyBorder="1" applyAlignment="1">
      <alignment horizontal="centerContinuous"/>
    </xf>
    <xf numFmtId="175" fontId="7" fillId="0" borderId="7" xfId="0" quotePrefix="1" applyFont="1" applyBorder="1" applyAlignment="1">
      <alignment horizontal="centerContinuous"/>
    </xf>
    <xf numFmtId="175" fontId="7" fillId="0" borderId="7" xfId="0" applyFont="1" applyBorder="1" applyAlignment="1">
      <alignment horizontal="centerContinuous"/>
    </xf>
    <xf numFmtId="175" fontId="0" fillId="0" borderId="7" xfId="0" applyBorder="1" applyAlignment="1">
      <alignment horizontal="centerContinuous"/>
    </xf>
    <xf numFmtId="175" fontId="8" fillId="0" borderId="5" xfId="0" applyFont="1" applyBorder="1" applyAlignment="1">
      <alignment horizontal="left"/>
    </xf>
    <xf numFmtId="175" fontId="9" fillId="0" borderId="0" xfId="0" applyFont="1" applyBorder="1"/>
    <xf numFmtId="175" fontId="6" fillId="0" borderId="0" xfId="0" applyFont="1" applyBorder="1" applyAlignment="1">
      <alignment horizontal="right"/>
    </xf>
    <xf numFmtId="175" fontId="6" fillId="0" borderId="8" xfId="0" applyFont="1" applyBorder="1"/>
    <xf numFmtId="175" fontId="10" fillId="2" borderId="5" xfId="0" applyFont="1" applyFill="1" applyBorder="1" applyAlignment="1">
      <alignment horizontal="left"/>
    </xf>
    <xf numFmtId="175" fontId="11" fillId="2" borderId="0" xfId="0" applyFont="1" applyFill="1" applyBorder="1"/>
    <xf numFmtId="172" fontId="0" fillId="0" borderId="0" xfId="0" applyNumberFormat="1" applyBorder="1" applyProtection="1"/>
    <xf numFmtId="172" fontId="0" fillId="3" borderId="0" xfId="0" applyNumberFormat="1" applyFill="1" applyBorder="1" applyProtection="1"/>
    <xf numFmtId="172" fontId="0" fillId="4" borderId="9" xfId="0" applyNumberFormat="1" applyFont="1" applyFill="1" applyBorder="1" applyProtection="1"/>
    <xf numFmtId="172" fontId="0" fillId="4" borderId="3" xfId="0" applyNumberFormat="1" applyFill="1" applyBorder="1" applyProtection="1"/>
    <xf numFmtId="172" fontId="6" fillId="5" borderId="3" xfId="0" applyNumberFormat="1" applyFont="1" applyFill="1" applyBorder="1" applyProtection="1"/>
    <xf numFmtId="172" fontId="6" fillId="6" borderId="4" xfId="0" applyNumberFormat="1" applyFont="1" applyFill="1" applyBorder="1" applyProtection="1"/>
    <xf numFmtId="172" fontId="6" fillId="5" borderId="4" xfId="0" applyNumberFormat="1" applyFont="1" applyFill="1" applyBorder="1" applyProtection="1"/>
    <xf numFmtId="172" fontId="0" fillId="0" borderId="0" xfId="0" applyNumberFormat="1" applyFill="1" applyBorder="1" applyProtection="1"/>
    <xf numFmtId="172" fontId="0" fillId="0" borderId="9" xfId="0" applyNumberFormat="1" applyFill="1" applyBorder="1" applyProtection="1"/>
    <xf numFmtId="172" fontId="0" fillId="7" borderId="0" xfId="0" applyNumberFormat="1" applyFont="1" applyFill="1" applyBorder="1" applyProtection="1"/>
    <xf numFmtId="172" fontId="6" fillId="5" borderId="0" xfId="0" applyNumberFormat="1" applyFont="1" applyFill="1" applyBorder="1" applyProtection="1"/>
    <xf numFmtId="172" fontId="6" fillId="5" borderId="10" xfId="0" applyNumberFormat="1" applyFont="1" applyFill="1" applyBorder="1" applyProtection="1"/>
    <xf numFmtId="172" fontId="0" fillId="0" borderId="0" xfId="0" applyNumberFormat="1" applyProtection="1"/>
    <xf numFmtId="172" fontId="0" fillId="4" borderId="5" xfId="0" applyNumberFormat="1" applyFont="1" applyFill="1" applyBorder="1" applyProtection="1"/>
    <xf numFmtId="172" fontId="0" fillId="4" borderId="0" xfId="0" applyNumberFormat="1" applyFill="1" applyBorder="1" applyProtection="1"/>
    <xf numFmtId="172" fontId="6" fillId="6" borderId="6" xfId="0" applyNumberFormat="1" applyFont="1" applyFill="1" applyBorder="1" applyProtection="1"/>
    <xf numFmtId="172" fontId="6" fillId="5" borderId="6" xfId="0" applyNumberFormat="1" applyFont="1" applyFill="1" applyBorder="1" applyProtection="1"/>
    <xf numFmtId="172" fontId="0" fillId="0" borderId="5" xfId="0" applyNumberFormat="1" applyFill="1" applyBorder="1" applyProtection="1"/>
    <xf numFmtId="176" fontId="0" fillId="0" borderId="0" xfId="0" applyNumberFormat="1" applyProtection="1"/>
    <xf numFmtId="172" fontId="0" fillId="8" borderId="5" xfId="0" applyNumberFormat="1" applyFont="1" applyFill="1" applyBorder="1" applyProtection="1"/>
    <xf numFmtId="172" fontId="0" fillId="8" borderId="0" xfId="0" applyNumberFormat="1" applyFill="1" applyBorder="1" applyProtection="1"/>
    <xf numFmtId="172" fontId="6" fillId="0" borderId="0" xfId="0" applyNumberFormat="1" applyFont="1" applyFill="1" applyBorder="1" applyProtection="1"/>
    <xf numFmtId="172" fontId="6" fillId="0" borderId="6" xfId="0" applyNumberFormat="1" applyFont="1" applyFill="1" applyBorder="1" applyProtection="1"/>
    <xf numFmtId="172" fontId="0" fillId="9" borderId="5" xfId="0" applyNumberFormat="1" applyFill="1" applyBorder="1" applyProtection="1"/>
    <xf numFmtId="172" fontId="0" fillId="0" borderId="5" xfId="0" applyNumberFormat="1" applyFill="1" applyBorder="1" applyAlignment="1" applyProtection="1">
      <alignment horizontal="right"/>
    </xf>
    <xf numFmtId="172" fontId="6" fillId="5" borderId="10" xfId="0" applyNumberFormat="1" applyFont="1" applyFill="1" applyBorder="1" applyAlignment="1" applyProtection="1">
      <alignment horizontal="right"/>
    </xf>
    <xf numFmtId="172" fontId="0" fillId="9" borderId="11" xfId="0" applyNumberFormat="1" applyFill="1" applyBorder="1" applyProtection="1"/>
    <xf numFmtId="172" fontId="0" fillId="3" borderId="7" xfId="0" applyNumberFormat="1" applyFill="1" applyBorder="1" applyProtection="1"/>
    <xf numFmtId="172" fontId="6" fillId="0" borderId="7" xfId="0" applyNumberFormat="1" applyFont="1" applyFill="1" applyBorder="1" applyProtection="1"/>
    <xf numFmtId="172" fontId="6" fillId="0" borderId="12" xfId="0" applyNumberFormat="1" applyFont="1" applyFill="1" applyBorder="1" applyProtection="1"/>
    <xf numFmtId="172" fontId="6" fillId="5" borderId="7" xfId="0" applyNumberFormat="1" applyFont="1" applyFill="1" applyBorder="1" applyProtection="1"/>
    <xf numFmtId="172" fontId="6" fillId="5" borderId="12" xfId="0" applyNumberFormat="1" applyFont="1" applyFill="1" applyBorder="1" applyProtection="1"/>
    <xf numFmtId="172" fontId="0" fillId="0" borderId="11" xfId="0" applyNumberFormat="1" applyFill="1" applyBorder="1" applyAlignment="1" applyProtection="1">
      <alignment horizontal="right"/>
    </xf>
    <xf numFmtId="172" fontId="0" fillId="0" borderId="7" xfId="0" applyNumberFormat="1" applyFill="1" applyBorder="1" applyAlignment="1" applyProtection="1">
      <alignment horizontal="right"/>
    </xf>
    <xf numFmtId="172" fontId="0" fillId="8" borderId="7" xfId="0" applyNumberFormat="1" applyFill="1" applyBorder="1" applyProtection="1"/>
    <xf numFmtId="172" fontId="6" fillId="0" borderId="7" xfId="0" applyNumberFormat="1" applyFont="1" applyFill="1" applyBorder="1" applyAlignment="1" applyProtection="1">
      <alignment horizontal="right"/>
    </xf>
    <xf numFmtId="172" fontId="6" fillId="5" borderId="13" xfId="0" applyNumberFormat="1" applyFont="1" applyFill="1" applyBorder="1" applyAlignment="1" applyProtection="1">
      <alignment horizontal="right"/>
    </xf>
    <xf numFmtId="175" fontId="0" fillId="0" borderId="5" xfId="0" applyBorder="1" applyAlignment="1">
      <alignment horizontal="left"/>
    </xf>
    <xf numFmtId="175" fontId="0" fillId="0" borderId="11" xfId="0" applyBorder="1"/>
    <xf numFmtId="175" fontId="0" fillId="0" borderId="7" xfId="0" applyBorder="1"/>
    <xf numFmtId="175" fontId="0" fillId="0" borderId="12" xfId="0" applyBorder="1"/>
    <xf numFmtId="175" fontId="6" fillId="0" borderId="0" xfId="0" applyFont="1"/>
    <xf numFmtId="175" fontId="6" fillId="0" borderId="8" xfId="0" quotePrefix="1" applyFont="1" applyBorder="1" applyAlignment="1">
      <alignment horizontal="centerContinuous"/>
    </xf>
    <xf numFmtId="175" fontId="6" fillId="0" borderId="8" xfId="0" applyFont="1" applyBorder="1" applyAlignment="1">
      <alignment horizontal="centerContinuous"/>
    </xf>
    <xf numFmtId="175" fontId="12" fillId="2" borderId="0" xfId="0" applyFont="1" applyFill="1" applyBorder="1"/>
    <xf numFmtId="173" fontId="0" fillId="0" borderId="0" xfId="0" applyNumberFormat="1" applyFill="1" applyBorder="1" applyProtection="1"/>
    <xf numFmtId="173" fontId="0" fillId="4" borderId="9" xfId="0" applyNumberFormat="1" applyFont="1" applyFill="1" applyBorder="1" applyProtection="1"/>
    <xf numFmtId="173" fontId="6" fillId="10" borderId="3" xfId="0" applyNumberFormat="1" applyFont="1" applyFill="1" applyBorder="1" applyProtection="1"/>
    <xf numFmtId="173" fontId="6" fillId="5" borderId="3" xfId="0" applyNumberFormat="1" applyFont="1" applyFill="1" applyBorder="1" applyProtection="1"/>
    <xf numFmtId="173" fontId="6" fillId="5" borderId="4" xfId="0" applyNumberFormat="1" applyFont="1" applyFill="1" applyBorder="1" applyProtection="1"/>
    <xf numFmtId="173" fontId="0" fillId="8" borderId="9" xfId="0" applyNumberFormat="1" applyFill="1" applyBorder="1" applyProtection="1"/>
    <xf numFmtId="173" fontId="0" fillId="0" borderId="3" xfId="0" applyNumberFormat="1" applyFont="1" applyFill="1" applyBorder="1" applyProtection="1"/>
    <xf numFmtId="173" fontId="0" fillId="11" borderId="3" xfId="0" applyNumberFormat="1" applyFont="1" applyFill="1" applyBorder="1" applyProtection="1"/>
    <xf numFmtId="173" fontId="6" fillId="5" borderId="14" xfId="0" applyNumberFormat="1" applyFont="1" applyFill="1" applyBorder="1" applyProtection="1"/>
    <xf numFmtId="173" fontId="0" fillId="0" borderId="0" xfId="0" applyNumberFormat="1" applyProtection="1"/>
    <xf numFmtId="173" fontId="0" fillId="4" borderId="5" xfId="0" applyNumberFormat="1" applyFont="1" applyFill="1" applyBorder="1" applyProtection="1"/>
    <xf numFmtId="173" fontId="6" fillId="10" borderId="0" xfId="0" applyNumberFormat="1" applyFont="1" applyFill="1" applyBorder="1" applyProtection="1"/>
    <xf numFmtId="173" fontId="6" fillId="5" borderId="0" xfId="0" applyNumberFormat="1" applyFont="1" applyFill="1" applyBorder="1" applyProtection="1"/>
    <xf numFmtId="173" fontId="6" fillId="5" borderId="6" xfId="0" applyNumberFormat="1" applyFont="1" applyFill="1" applyBorder="1" applyProtection="1"/>
    <xf numFmtId="173" fontId="0" fillId="0" borderId="5" xfId="0" applyNumberFormat="1" applyFill="1" applyBorder="1" applyProtection="1"/>
    <xf numFmtId="173" fontId="0" fillId="0" borderId="0" xfId="0" applyNumberFormat="1" applyFont="1" applyFill="1" applyBorder="1" applyProtection="1"/>
    <xf numFmtId="2" fontId="0" fillId="7" borderId="0" xfId="0" applyNumberFormat="1" applyFont="1" applyFill="1" applyBorder="1" applyProtection="1"/>
    <xf numFmtId="173" fontId="6" fillId="5" borderId="10" xfId="0" applyNumberFormat="1" applyFont="1" applyFill="1" applyBorder="1" applyProtection="1"/>
    <xf numFmtId="173" fontId="6" fillId="12" borderId="0" xfId="0" applyNumberFormat="1" applyFont="1" applyFill="1" applyBorder="1" applyProtection="1"/>
    <xf numFmtId="173" fontId="6" fillId="12" borderId="6" xfId="0" applyNumberFormat="1" applyFont="1" applyFill="1" applyBorder="1" applyProtection="1"/>
    <xf numFmtId="173" fontId="0" fillId="7" borderId="0" xfId="0" applyNumberFormat="1" applyFont="1" applyFill="1" applyBorder="1" applyProtection="1"/>
    <xf numFmtId="173" fontId="0" fillId="7" borderId="5" xfId="0" applyNumberFormat="1" applyFill="1" applyBorder="1" applyProtection="1"/>
    <xf numFmtId="173" fontId="0" fillId="6" borderId="0" xfId="0" applyNumberFormat="1" applyFill="1" applyBorder="1" applyProtection="1"/>
    <xf numFmtId="173" fontId="0" fillId="7" borderId="0" xfId="0" applyNumberFormat="1" applyFill="1" applyBorder="1" applyProtection="1"/>
    <xf numFmtId="175" fontId="0" fillId="0" borderId="0" xfId="0" applyFill="1" applyBorder="1"/>
    <xf numFmtId="175" fontId="0" fillId="7" borderId="5" xfId="0" applyFill="1" applyBorder="1"/>
    <xf numFmtId="175" fontId="0" fillId="6" borderId="0" xfId="0" applyFill="1" applyBorder="1"/>
    <xf numFmtId="175" fontId="6" fillId="12" borderId="0" xfId="0" applyFont="1" applyFill="1" applyBorder="1"/>
    <xf numFmtId="175" fontId="6" fillId="12" borderId="6" xfId="0" applyFont="1" applyFill="1" applyBorder="1"/>
    <xf numFmtId="175" fontId="6" fillId="5" borderId="0" xfId="0" applyFont="1" applyFill="1" applyBorder="1"/>
    <xf numFmtId="175" fontId="6" fillId="5" borderId="6" xfId="0" applyFont="1" applyFill="1" applyBorder="1"/>
    <xf numFmtId="175" fontId="12" fillId="2" borderId="5" xfId="0" applyFont="1" applyFill="1" applyBorder="1" applyAlignment="1">
      <alignment horizontal="left"/>
    </xf>
    <xf numFmtId="175" fontId="6" fillId="2" borderId="0" xfId="0" applyFont="1" applyFill="1" applyBorder="1" applyAlignment="1">
      <alignment horizontal="left"/>
    </xf>
    <xf numFmtId="164" fontId="0" fillId="0" borderId="0" xfId="0" applyNumberFormat="1" applyBorder="1" applyProtection="1"/>
    <xf numFmtId="164" fontId="0" fillId="0" borderId="0" xfId="0" applyNumberFormat="1" applyFill="1" applyBorder="1" applyProtection="1"/>
    <xf numFmtId="164" fontId="6" fillId="5" borderId="5" xfId="0" applyNumberFormat="1" applyFont="1" applyFill="1" applyBorder="1" applyProtection="1"/>
    <xf numFmtId="164" fontId="0" fillId="12" borderId="0" xfId="0" applyNumberFormat="1" applyFill="1" applyBorder="1" applyProtection="1"/>
    <xf numFmtId="164" fontId="6" fillId="5" borderId="0" xfId="0" applyNumberFormat="1" applyFont="1" applyFill="1" applyBorder="1" applyProtection="1"/>
    <xf numFmtId="164" fontId="6" fillId="5" borderId="6" xfId="0" applyNumberFormat="1" applyFont="1" applyFill="1" applyBorder="1" applyProtection="1"/>
    <xf numFmtId="164" fontId="0" fillId="0" borderId="5" xfId="0" applyNumberFormat="1" applyFill="1" applyBorder="1" applyProtection="1"/>
    <xf numFmtId="178" fontId="0" fillId="9" borderId="0" xfId="0" applyNumberFormat="1" applyFill="1" applyBorder="1" applyProtection="1"/>
    <xf numFmtId="178" fontId="6" fillId="5" borderId="0" xfId="0" applyNumberFormat="1" applyFont="1" applyFill="1" applyBorder="1" applyProtection="1"/>
    <xf numFmtId="178" fontId="6" fillId="5" borderId="10" xfId="0" applyNumberFormat="1" applyFont="1" applyFill="1" applyBorder="1" applyProtection="1"/>
    <xf numFmtId="164" fontId="0" fillId="0" borderId="0" xfId="0" applyNumberFormat="1" applyProtection="1"/>
    <xf numFmtId="176" fontId="6" fillId="12" borderId="0" xfId="0" applyNumberFormat="1" applyFont="1" applyFill="1" applyBorder="1" applyProtection="1"/>
    <xf numFmtId="178" fontId="6" fillId="5" borderId="6" xfId="0" applyNumberFormat="1" applyFont="1" applyFill="1" applyBorder="1" applyProtection="1"/>
    <xf numFmtId="175" fontId="12" fillId="2" borderId="5" xfId="0" applyFont="1" applyFill="1" applyBorder="1"/>
    <xf numFmtId="175" fontId="6" fillId="2" borderId="0" xfId="0" applyFont="1" applyFill="1" applyBorder="1"/>
    <xf numFmtId="175" fontId="0" fillId="4" borderId="5" xfId="0" applyFont="1" applyFill="1" applyBorder="1"/>
    <xf numFmtId="175" fontId="0" fillId="12" borderId="0" xfId="0" applyFill="1" applyBorder="1"/>
    <xf numFmtId="175" fontId="0" fillId="0" borderId="5" xfId="0" applyFill="1" applyBorder="1"/>
    <xf numFmtId="175" fontId="6" fillId="5" borderId="10" xfId="0" applyFont="1" applyFill="1" applyBorder="1"/>
    <xf numFmtId="174" fontId="0" fillId="0" borderId="5" xfId="0" applyNumberFormat="1" applyFill="1" applyBorder="1" applyProtection="1"/>
    <xf numFmtId="1" fontId="0" fillId="0" borderId="0" xfId="0" applyNumberFormat="1" applyFill="1" applyBorder="1" applyProtection="1"/>
    <xf numFmtId="1" fontId="0" fillId="7" borderId="0" xfId="0" applyNumberFormat="1" applyFill="1" applyBorder="1" applyProtection="1"/>
    <xf numFmtId="1" fontId="6" fillId="5" borderId="0" xfId="0" applyNumberFormat="1" applyFont="1" applyFill="1" applyBorder="1" applyProtection="1"/>
    <xf numFmtId="174" fontId="6" fillId="5" borderId="10" xfId="0" applyNumberFormat="1" applyFont="1" applyFill="1" applyBorder="1" applyProtection="1"/>
    <xf numFmtId="174" fontId="0" fillId="0" borderId="0" xfId="0" applyNumberFormat="1" applyProtection="1"/>
    <xf numFmtId="175" fontId="0" fillId="4" borderId="11" xfId="0" applyFont="1" applyFill="1" applyBorder="1"/>
    <xf numFmtId="175" fontId="0" fillId="12" borderId="7" xfId="0" applyFill="1" applyBorder="1"/>
    <xf numFmtId="175" fontId="6" fillId="12" borderId="7" xfId="0" applyFont="1" applyFill="1" applyBorder="1"/>
    <xf numFmtId="175" fontId="6" fillId="12" borderId="12" xfId="0" applyFont="1" applyFill="1" applyBorder="1"/>
    <xf numFmtId="175" fontId="6" fillId="5" borderId="7" xfId="0" applyFont="1" applyFill="1" applyBorder="1"/>
    <xf numFmtId="175" fontId="6" fillId="5" borderId="12" xfId="0" applyFont="1" applyFill="1" applyBorder="1"/>
    <xf numFmtId="174" fontId="0" fillId="0" borderId="11" xfId="0" applyNumberFormat="1" applyFill="1" applyBorder="1" applyProtection="1"/>
    <xf numFmtId="1" fontId="0" fillId="0" borderId="7" xfId="0" applyNumberFormat="1" applyFill="1" applyBorder="1" applyProtection="1"/>
    <xf numFmtId="1" fontId="0" fillId="7" borderId="7" xfId="0" applyNumberFormat="1" applyFill="1" applyBorder="1" applyProtection="1"/>
    <xf numFmtId="1" fontId="6" fillId="5" borderId="7" xfId="0" applyNumberFormat="1" applyFont="1" applyFill="1" applyBorder="1" applyProtection="1"/>
    <xf numFmtId="174" fontId="6" fillId="5" borderId="13" xfId="0" applyNumberFormat="1" applyFont="1" applyFill="1" applyBorder="1" applyProtection="1"/>
    <xf numFmtId="175" fontId="6" fillId="13" borderId="7" xfId="0" applyFont="1" applyFill="1" applyBorder="1"/>
    <xf numFmtId="175" fontId="0" fillId="14" borderId="7" xfId="0" applyFill="1" applyBorder="1"/>
    <xf numFmtId="175" fontId="6" fillId="13" borderId="12" xfId="0" applyFont="1" applyFill="1" applyBorder="1"/>
    <xf numFmtId="175" fontId="6" fillId="13" borderId="0" xfId="0" applyFont="1" applyFill="1" applyBorder="1"/>
    <xf numFmtId="177" fontId="0" fillId="0" borderId="11" xfId="0" applyNumberFormat="1" applyFill="1" applyBorder="1" applyProtection="1"/>
    <xf numFmtId="177" fontId="0" fillId="0" borderId="7" xfId="0" applyNumberFormat="1" applyFill="1" applyBorder="1" applyProtection="1"/>
    <xf numFmtId="177" fontId="0" fillId="8" borderId="7" xfId="0" applyNumberFormat="1" applyFill="1" applyBorder="1" applyProtection="1"/>
    <xf numFmtId="177" fontId="6" fillId="13" borderId="7" xfId="0" applyNumberFormat="1" applyFont="1" applyFill="1" applyBorder="1" applyProtection="1"/>
    <xf numFmtId="177" fontId="6" fillId="13" borderId="13" xfId="0" applyNumberFormat="1" applyFont="1" applyFill="1" applyBorder="1" applyProtection="1"/>
    <xf numFmtId="175" fontId="0" fillId="0" borderId="0" xfId="0" quotePrefix="1" applyBorder="1"/>
    <xf numFmtId="175" fontId="0" fillId="0" borderId="11" xfId="0" applyBorder="1" applyAlignment="1">
      <alignment horizontal="left"/>
    </xf>
    <xf numFmtId="49" fontId="0" fillId="0" borderId="7" xfId="0" applyNumberFormat="1" applyBorder="1"/>
    <xf numFmtId="175" fontId="0" fillId="0" borderId="7" xfId="0" quotePrefix="1" applyBorder="1"/>
    <xf numFmtId="0" fontId="1" fillId="0" borderId="0" xfId="9"/>
    <xf numFmtId="0" fontId="13" fillId="0" borderId="0" xfId="9" applyFont="1" applyAlignment="1">
      <alignment horizontal="center"/>
    </xf>
    <xf numFmtId="0" fontId="14" fillId="0" borderId="0" xfId="9" quotePrefix="1" applyFont="1"/>
    <xf numFmtId="0" fontId="1" fillId="0" borderId="0" xfId="9" applyAlignment="1">
      <alignment horizontal="right"/>
    </xf>
    <xf numFmtId="0" fontId="1" fillId="0" borderId="7" xfId="9" applyBorder="1"/>
    <xf numFmtId="0" fontId="1" fillId="0" borderId="7" xfId="9" applyBorder="1" applyAlignment="1">
      <alignment horizontal="right"/>
    </xf>
    <xf numFmtId="0" fontId="1" fillId="0" borderId="0" xfId="9" quotePrefix="1"/>
    <xf numFmtId="3" fontId="1" fillId="0" borderId="0" xfId="9" applyNumberFormat="1"/>
    <xf numFmtId="181" fontId="1" fillId="0" borderId="0" xfId="9" applyNumberFormat="1"/>
    <xf numFmtId="180" fontId="1" fillId="0" borderId="0" xfId="9" applyNumberFormat="1"/>
    <xf numFmtId="181" fontId="1" fillId="7" borderId="0" xfId="9" applyNumberFormat="1" applyFill="1"/>
    <xf numFmtId="180" fontId="1" fillId="7" borderId="0" xfId="9" applyNumberFormat="1" applyFill="1"/>
    <xf numFmtId="46" fontId="1" fillId="0" borderId="0" xfId="9" quotePrefix="1" applyNumberFormat="1"/>
    <xf numFmtId="3" fontId="1" fillId="7" borderId="0" xfId="9" applyNumberFormat="1" applyFill="1"/>
    <xf numFmtId="3" fontId="1" fillId="15" borderId="0" xfId="9" applyNumberFormat="1" applyFill="1"/>
    <xf numFmtId="181" fontId="1" fillId="15" borderId="0" xfId="9" applyNumberFormat="1" applyFill="1"/>
    <xf numFmtId="181" fontId="1" fillId="2" borderId="0" xfId="9" applyNumberFormat="1" applyFill="1"/>
    <xf numFmtId="181" fontId="15" fillId="2" borderId="0" xfId="9" applyNumberFormat="1" applyFont="1" applyFill="1"/>
    <xf numFmtId="181" fontId="15" fillId="2" borderId="0" xfId="9" applyNumberFormat="1" applyFont="1" applyFill="1" applyBorder="1"/>
    <xf numFmtId="3" fontId="1" fillId="2" borderId="0" xfId="9" applyNumberFormat="1" applyFill="1"/>
    <xf numFmtId="181" fontId="16" fillId="2" borderId="0" xfId="9" applyNumberFormat="1" applyFont="1" applyFill="1"/>
    <xf numFmtId="0" fontId="1" fillId="0" borderId="15" xfId="9" applyBorder="1"/>
    <xf numFmtId="0" fontId="15" fillId="0" borderId="15" xfId="9" applyFont="1" applyBorder="1"/>
    <xf numFmtId="0" fontId="1" fillId="0" borderId="0" xfId="9" applyAlignment="1">
      <alignment horizontal="left"/>
    </xf>
    <xf numFmtId="165" fontId="1" fillId="0" borderId="0" xfId="9" applyNumberFormat="1"/>
    <xf numFmtId="165" fontId="1" fillId="7" borderId="0" xfId="9" applyNumberFormat="1" applyFill="1"/>
    <xf numFmtId="0" fontId="1" fillId="0" borderId="0" xfId="9" applyBorder="1"/>
    <xf numFmtId="0" fontId="1" fillId="0" borderId="0" xfId="9" applyBorder="1" applyAlignment="1">
      <alignment horizontal="left"/>
    </xf>
    <xf numFmtId="3" fontId="1" fillId="7" borderId="0" xfId="9" applyNumberFormat="1" applyFill="1" applyBorder="1"/>
    <xf numFmtId="181" fontId="1" fillId="2" borderId="0" xfId="9" applyNumberFormat="1" applyFill="1" applyBorder="1"/>
    <xf numFmtId="165" fontId="1" fillId="7" borderId="0" xfId="9" applyNumberFormat="1" applyFill="1" applyBorder="1"/>
    <xf numFmtId="3" fontId="1" fillId="2" borderId="0" xfId="9" applyNumberFormat="1" applyFill="1" applyBorder="1"/>
    <xf numFmtId="0" fontId="1" fillId="0" borderId="7" xfId="9" applyBorder="1" applyAlignment="1">
      <alignment horizontal="left"/>
    </xf>
    <xf numFmtId="3" fontId="1" fillId="2" borderId="7" xfId="9" applyNumberFormat="1" applyFill="1" applyBorder="1"/>
    <xf numFmtId="181" fontId="1" fillId="2" borderId="7" xfId="9" applyNumberFormat="1" applyFill="1" applyBorder="1"/>
    <xf numFmtId="0" fontId="17" fillId="0" borderId="0" xfId="9" applyFont="1"/>
    <xf numFmtId="0" fontId="1" fillId="0" borderId="16" xfId="8" applyBorder="1" applyAlignment="1">
      <alignment horizontal="right"/>
    </xf>
    <xf numFmtId="0" fontId="1" fillId="0" borderId="16" xfId="8" quotePrefix="1" applyBorder="1" applyAlignment="1">
      <alignment horizontal="right" wrapText="1"/>
    </xf>
    <xf numFmtId="0" fontId="1" fillId="0" borderId="0" xfId="8"/>
    <xf numFmtId="180" fontId="1" fillId="0" borderId="0" xfId="8" applyNumberFormat="1"/>
    <xf numFmtId="182" fontId="1" fillId="0" borderId="0" xfId="1" applyNumberFormat="1"/>
    <xf numFmtId="176" fontId="1" fillId="0" borderId="0" xfId="8" applyNumberFormat="1"/>
    <xf numFmtId="0" fontId="15" fillId="0" borderId="0" xfId="8" applyFont="1"/>
    <xf numFmtId="179" fontId="1" fillId="0" borderId="0" xfId="1" applyNumberFormat="1"/>
    <xf numFmtId="179" fontId="1" fillId="0" borderId="0" xfId="8" applyNumberFormat="1"/>
    <xf numFmtId="0" fontId="1" fillId="0" borderId="0" xfId="8" applyBorder="1"/>
    <xf numFmtId="182" fontId="1" fillId="0" borderId="0" xfId="1" applyNumberFormat="1" applyBorder="1"/>
    <xf numFmtId="176" fontId="1" fillId="0" borderId="0" xfId="8" applyNumberFormat="1" applyBorder="1"/>
    <xf numFmtId="183" fontId="1" fillId="0" borderId="0" xfId="8" applyNumberFormat="1"/>
    <xf numFmtId="0" fontId="1" fillId="0" borderId="0" xfId="8" applyFont="1" applyBorder="1"/>
    <xf numFmtId="182" fontId="1" fillId="0" borderId="0" xfId="1" applyNumberFormat="1" applyFont="1" applyBorder="1"/>
    <xf numFmtId="176" fontId="1" fillId="0" borderId="0" xfId="8" applyNumberFormat="1" applyFont="1" applyBorder="1"/>
    <xf numFmtId="1" fontId="1" fillId="0" borderId="0" xfId="1" applyNumberFormat="1" applyFont="1" applyBorder="1"/>
    <xf numFmtId="182" fontId="15" fillId="0" borderId="0" xfId="1" applyNumberFormat="1" applyFont="1" applyBorder="1"/>
    <xf numFmtId="176" fontId="15" fillId="0" borderId="0" xfId="8" applyNumberFormat="1" applyFont="1" applyBorder="1"/>
    <xf numFmtId="37" fontId="1" fillId="0" borderId="0" xfId="1" applyNumberFormat="1" applyFont="1" applyBorder="1"/>
    <xf numFmtId="182" fontId="1" fillId="0" borderId="0" xfId="1" applyNumberFormat="1" applyFont="1"/>
    <xf numFmtId="176" fontId="1" fillId="0" borderId="0" xfId="8" applyNumberFormat="1" applyFont="1"/>
    <xf numFmtId="0" fontId="1" fillId="0" borderId="16" xfId="8" applyFont="1" applyBorder="1"/>
    <xf numFmtId="37" fontId="1" fillId="0" borderId="16" xfId="1" applyNumberFormat="1" applyFont="1" applyBorder="1"/>
    <xf numFmtId="0" fontId="18" fillId="0" borderId="0" xfId="8" applyFont="1"/>
    <xf numFmtId="37" fontId="18" fillId="0" borderId="0" xfId="1" applyNumberFormat="1" applyFont="1"/>
    <xf numFmtId="0" fontId="15" fillId="0" borderId="0" xfId="8" applyFont="1" applyBorder="1"/>
    <xf numFmtId="0" fontId="19" fillId="0" borderId="0" xfId="8" applyFont="1"/>
    <xf numFmtId="3" fontId="19" fillId="0" borderId="0" xfId="8" applyNumberFormat="1" applyFont="1"/>
    <xf numFmtId="177" fontId="1" fillId="0" borderId="0" xfId="8" applyNumberFormat="1" applyFont="1" applyBorder="1"/>
    <xf numFmtId="179" fontId="1" fillId="0" borderId="0" xfId="8" applyNumberFormat="1" applyBorder="1"/>
    <xf numFmtId="179" fontId="1" fillId="0" borderId="0" xfId="1" applyNumberFormat="1" applyFont="1" applyBorder="1"/>
    <xf numFmtId="177" fontId="1" fillId="0" borderId="16" xfId="8" applyNumberFormat="1" applyFont="1" applyBorder="1"/>
    <xf numFmtId="182" fontId="1" fillId="0" borderId="16" xfId="1" applyNumberFormat="1" applyFont="1" applyBorder="1"/>
    <xf numFmtId="177" fontId="18" fillId="0" borderId="16" xfId="8" applyNumberFormat="1" applyFont="1" applyBorder="1"/>
    <xf numFmtId="177" fontId="19" fillId="0" borderId="0" xfId="8" applyNumberFormat="1" applyFont="1"/>
    <xf numFmtId="176" fontId="1" fillId="0" borderId="16" xfId="8" applyNumberFormat="1" applyFont="1" applyBorder="1"/>
    <xf numFmtId="179" fontId="18" fillId="0" borderId="16" xfId="1" applyNumberFormat="1" applyFont="1" applyBorder="1"/>
    <xf numFmtId="182" fontId="19" fillId="0" borderId="0" xfId="1" applyNumberFormat="1" applyFont="1"/>
    <xf numFmtId="182" fontId="18" fillId="0" borderId="0" xfId="1" applyNumberFormat="1" applyFont="1"/>
    <xf numFmtId="176" fontId="19" fillId="0" borderId="0" xfId="8" applyNumberFormat="1" applyFont="1"/>
    <xf numFmtId="176" fontId="18" fillId="0" borderId="0" xfId="8" applyNumberFormat="1" applyFont="1"/>
    <xf numFmtId="179" fontId="18" fillId="0" borderId="0" xfId="1" applyNumberFormat="1" applyFont="1"/>
    <xf numFmtId="179" fontId="18" fillId="0" borderId="0" xfId="8" applyNumberFormat="1" applyFont="1"/>
    <xf numFmtId="182" fontId="1" fillId="0" borderId="0" xfId="8" applyNumberFormat="1"/>
    <xf numFmtId="177" fontId="1" fillId="0" borderId="0" xfId="8" applyNumberFormat="1"/>
    <xf numFmtId="177" fontId="1" fillId="7" borderId="0" xfId="9" applyNumberFormat="1" applyFill="1"/>
    <xf numFmtId="177" fontId="16" fillId="7" borderId="0" xfId="9" applyNumberFormat="1" applyFont="1" applyFill="1"/>
    <xf numFmtId="177" fontId="1" fillId="2" borderId="0" xfId="9" applyNumberFormat="1" applyFill="1"/>
    <xf numFmtId="177" fontId="15" fillId="7" borderId="0" xfId="9" applyNumberFormat="1" applyFont="1" applyFill="1"/>
    <xf numFmtId="195" fontId="1" fillId="2" borderId="0" xfId="9" applyNumberFormat="1" applyFill="1"/>
    <xf numFmtId="0" fontId="1" fillId="0" borderId="7" xfId="9" applyFont="1" applyBorder="1" applyAlignment="1">
      <alignment horizontal="right"/>
    </xf>
    <xf numFmtId="180" fontId="1" fillId="7" borderId="0" xfId="9" applyNumberFormat="1" applyFill="1" applyBorder="1"/>
    <xf numFmtId="177" fontId="1" fillId="2" borderId="0" xfId="9" applyNumberFormat="1" applyFill="1" applyBorder="1"/>
    <xf numFmtId="177" fontId="1" fillId="2" borderId="7" xfId="9" applyNumberFormat="1" applyFill="1" applyBorder="1"/>
    <xf numFmtId="195" fontId="1" fillId="2" borderId="0" xfId="9" applyNumberFormat="1" applyFill="1" applyBorder="1"/>
    <xf numFmtId="195" fontId="1" fillId="2" borderId="7" xfId="9" applyNumberFormat="1" applyFill="1" applyBorder="1"/>
  </cellXfs>
  <cellStyles count="11">
    <cellStyle name="Comma_Market Origination Database" xfId="1"/>
    <cellStyle name="Comma0" xfId="2"/>
    <cellStyle name="Currency0" xfId="3"/>
    <cellStyle name="Date" xfId="4"/>
    <cellStyle name="Fixed" xfId="5"/>
    <cellStyle name="Heading 1" xfId="6" builtinId="16" customBuiltin="1"/>
    <cellStyle name="Heading 2" xfId="7" builtinId="17" customBuiltin="1"/>
    <cellStyle name="Normal" xfId="0" builtinId="0"/>
    <cellStyle name="Normal_Market Origination Database" xfId="8"/>
    <cellStyle name="Normal_View" xfId="9"/>
    <cellStyle name="Total" xfId="10" builtinId="25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FINRES/FIRMAS/FORCASTS/MODELS/model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se Data"/>
      <sheetName val="3-Year Bounded Forecast Outlook"/>
      <sheetName val="Forecast Assumptions"/>
    </sheetNames>
    <sheetDataSet>
      <sheetData sheetId="0"/>
      <sheetData sheetId="1"/>
      <sheetData sheetId="2">
        <row r="21">
          <cell r="G21">
            <v>1.028</v>
          </cell>
          <cell r="I21">
            <v>1.05</v>
          </cell>
          <cell r="J21">
            <v>1.01</v>
          </cell>
        </row>
        <row r="22">
          <cell r="G22">
            <v>1.0249999999999999</v>
          </cell>
          <cell r="H22">
            <v>1.01</v>
          </cell>
          <cell r="I22">
            <v>1.05</v>
          </cell>
          <cell r="J22">
            <v>1.01</v>
          </cell>
        </row>
        <row r="23">
          <cell r="G23">
            <v>1.0249999999999999</v>
          </cell>
          <cell r="H23">
            <v>1.01</v>
          </cell>
          <cell r="I23">
            <v>1.05</v>
          </cell>
          <cell r="J23">
            <v>1.01</v>
          </cell>
        </row>
        <row r="24">
          <cell r="G24">
            <v>1.0249999999999999</v>
          </cell>
          <cell r="H24">
            <v>1.01</v>
          </cell>
          <cell r="I24">
            <v>1.05</v>
          </cell>
          <cell r="J24">
            <v>1.01</v>
          </cell>
        </row>
        <row r="25">
          <cell r="G25">
            <v>1.0249999999999999</v>
          </cell>
          <cell r="H25">
            <v>1.01</v>
          </cell>
          <cell r="I25">
            <v>1.05</v>
          </cell>
          <cell r="J25">
            <v>1.01</v>
          </cell>
        </row>
        <row r="26">
          <cell r="G26">
            <v>1.0249999999999999</v>
          </cell>
          <cell r="H26">
            <v>1.01</v>
          </cell>
          <cell r="I26">
            <v>1.05</v>
          </cell>
          <cell r="J26">
            <v>1.01</v>
          </cell>
        </row>
        <row r="27">
          <cell r="G27">
            <v>1.0249999999999999</v>
          </cell>
          <cell r="H27">
            <v>1.01</v>
          </cell>
          <cell r="I27">
            <v>1.05</v>
          </cell>
          <cell r="J27">
            <v>1.01</v>
          </cell>
        </row>
        <row r="28">
          <cell r="G28">
            <v>1.0249999999999999</v>
          </cell>
          <cell r="H28">
            <v>1.01</v>
          </cell>
          <cell r="I28">
            <v>1.05</v>
          </cell>
          <cell r="J28">
            <v>1.01</v>
          </cell>
        </row>
        <row r="29">
          <cell r="G29">
            <v>1.0249999999999999</v>
          </cell>
          <cell r="H29">
            <v>1.01</v>
          </cell>
          <cell r="I29">
            <v>1.05</v>
          </cell>
          <cell r="J29">
            <v>1.01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/>
  <dimension ref="A1:X43"/>
  <sheetViews>
    <sheetView showGridLines="0" tabSelected="1" topLeftCell="C23" workbookViewId="0">
      <selection activeCell="L44" sqref="L44"/>
    </sheetView>
  </sheetViews>
  <sheetFormatPr defaultColWidth="9.7265625" defaultRowHeight="13" x14ac:dyDescent="0.3"/>
  <cols>
    <col min="1" max="1" width="29.26953125" customWidth="1"/>
    <col min="2" max="2" width="18.26953125" customWidth="1"/>
    <col min="3" max="3" width="2.7265625" customWidth="1"/>
    <col min="4" max="4" width="5.453125" customWidth="1"/>
    <col min="5" max="5" width="7.7265625" customWidth="1"/>
    <col min="6" max="6" width="1.7265625" customWidth="1"/>
    <col min="7" max="7" width="7.7265625" customWidth="1"/>
    <col min="8" max="8" width="1.7265625" customWidth="1"/>
    <col min="9" max="10" width="7.7265625" style="5" customWidth="1"/>
    <col min="11" max="11" width="5.81640625" customWidth="1"/>
    <col min="12" max="14" width="10.1796875" customWidth="1"/>
    <col min="15" max="16" width="10" customWidth="1"/>
    <col min="17" max="17" width="2.81640625" customWidth="1"/>
    <col min="18" max="18" width="3.26953125" customWidth="1"/>
  </cols>
  <sheetData>
    <row r="1" spans="1:20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</row>
    <row r="2" spans="1:20" ht="25" x14ac:dyDescent="0.5">
      <c r="A2" s="4" t="s">
        <v>0</v>
      </c>
      <c r="B2" s="5"/>
      <c r="C2" s="6" t="s">
        <v>1</v>
      </c>
      <c r="D2" s="7"/>
      <c r="E2" s="7"/>
      <c r="F2" s="7"/>
      <c r="G2" s="7"/>
      <c r="H2" s="7"/>
      <c r="I2" s="7"/>
      <c r="J2" s="7"/>
      <c r="K2" s="8"/>
      <c r="L2" s="8"/>
      <c r="M2" s="8"/>
      <c r="N2" s="8"/>
      <c r="O2" s="8"/>
      <c r="P2" s="9"/>
      <c r="Q2" s="10"/>
    </row>
    <row r="3" spans="1:20" x14ac:dyDescent="0.3">
      <c r="A3" s="11"/>
      <c r="B3" s="5"/>
      <c r="C3" s="5"/>
      <c r="D3" s="5"/>
      <c r="E3" s="5"/>
      <c r="F3" s="5"/>
      <c r="G3" s="5"/>
      <c r="H3" s="5"/>
      <c r="K3" s="12"/>
      <c r="L3" s="12"/>
      <c r="M3" s="12"/>
      <c r="N3" s="12"/>
      <c r="O3" s="5"/>
      <c r="P3" s="5"/>
      <c r="Q3" s="13"/>
    </row>
    <row r="4" spans="1:20" x14ac:dyDescent="0.3">
      <c r="A4" s="11"/>
      <c r="B4" s="5"/>
      <c r="C4" s="12"/>
      <c r="D4" s="14"/>
      <c r="E4" s="15">
        <v>1999</v>
      </c>
      <c r="F4" s="15"/>
      <c r="G4" s="16"/>
      <c r="H4" s="14"/>
      <c r="I4" s="15">
        <v>2000</v>
      </c>
      <c r="J4" s="17"/>
      <c r="K4" s="14"/>
      <c r="L4" s="16" t="s">
        <v>2</v>
      </c>
      <c r="M4" s="18"/>
      <c r="N4" s="19"/>
      <c r="O4" s="19"/>
      <c r="P4" s="19"/>
      <c r="Q4" s="13"/>
    </row>
    <row r="5" spans="1:20" ht="16.5" x14ac:dyDescent="0.35">
      <c r="A5" s="20" t="s">
        <v>3</v>
      </c>
      <c r="B5" s="21"/>
      <c r="C5" s="12"/>
      <c r="D5" s="22"/>
      <c r="E5" s="22" t="s">
        <v>4</v>
      </c>
      <c r="F5" s="22"/>
      <c r="G5" s="22" t="s">
        <v>5</v>
      </c>
      <c r="H5" s="22"/>
      <c r="I5" s="22" t="s">
        <v>6</v>
      </c>
      <c r="J5" s="22" t="s">
        <v>7</v>
      </c>
      <c r="K5" s="22"/>
      <c r="L5" s="22">
        <v>1996</v>
      </c>
      <c r="M5" s="23">
        <v>1997</v>
      </c>
      <c r="N5" s="23">
        <v>1998</v>
      </c>
      <c r="O5" s="23">
        <v>1999</v>
      </c>
      <c r="P5" s="23">
        <v>2000</v>
      </c>
      <c r="Q5" s="13"/>
    </row>
    <row r="6" spans="1:20" ht="18" customHeight="1" x14ac:dyDescent="0.35">
      <c r="A6" s="24" t="s">
        <v>8</v>
      </c>
      <c r="B6" s="25"/>
      <c r="C6" s="26"/>
      <c r="D6" s="27"/>
      <c r="E6" s="28">
        <v>5.7</v>
      </c>
      <c r="F6" s="29"/>
      <c r="G6" s="30">
        <v>3</v>
      </c>
      <c r="H6" s="31"/>
      <c r="I6" s="30">
        <v>2.5</v>
      </c>
      <c r="J6" s="32">
        <v>2.5</v>
      </c>
      <c r="K6" s="33"/>
      <c r="L6" s="34">
        <v>4.2</v>
      </c>
      <c r="M6" s="33">
        <v>4.3</v>
      </c>
      <c r="N6" s="35">
        <v>4.5999999999999996</v>
      </c>
      <c r="O6" s="36">
        <v>3.5</v>
      </c>
      <c r="P6" s="37">
        <v>2.5</v>
      </c>
      <c r="Q6" s="13"/>
      <c r="R6" s="38"/>
      <c r="S6" s="38"/>
      <c r="T6" s="38"/>
    </row>
    <row r="7" spans="1:20" ht="18" customHeight="1" x14ac:dyDescent="0.35">
      <c r="A7" s="24" t="s">
        <v>9</v>
      </c>
      <c r="B7" s="25"/>
      <c r="C7" s="26"/>
      <c r="D7" s="33"/>
      <c r="E7" s="39">
        <v>4.2</v>
      </c>
      <c r="F7" s="40"/>
      <c r="G7" s="36">
        <v>2.5</v>
      </c>
      <c r="H7" s="41"/>
      <c r="I7" s="36">
        <v>2.5</v>
      </c>
      <c r="J7" s="42">
        <v>2.5</v>
      </c>
      <c r="K7" s="33"/>
      <c r="L7" s="43">
        <v>3.3</v>
      </c>
      <c r="M7" s="33">
        <v>1.7</v>
      </c>
      <c r="N7" s="35">
        <v>1.6</v>
      </c>
      <c r="O7" s="36">
        <v>2.8</v>
      </c>
      <c r="P7" s="37">
        <v>2.5</v>
      </c>
      <c r="Q7" s="13"/>
      <c r="R7" s="38"/>
      <c r="S7" s="38"/>
      <c r="T7" s="44"/>
    </row>
    <row r="8" spans="1:20" ht="18" customHeight="1" x14ac:dyDescent="0.35">
      <c r="A8" s="24" t="s">
        <v>10</v>
      </c>
      <c r="B8" s="25"/>
      <c r="C8" s="26"/>
      <c r="D8" s="33"/>
      <c r="E8" s="45">
        <v>4.2</v>
      </c>
      <c r="F8" s="46"/>
      <c r="G8" s="47">
        <v>4.0999999999999996</v>
      </c>
      <c r="H8" s="48"/>
      <c r="I8" s="36">
        <v>4.2</v>
      </c>
      <c r="J8" s="42">
        <v>4.3</v>
      </c>
      <c r="K8" s="33"/>
      <c r="L8" s="43">
        <v>5.4</v>
      </c>
      <c r="M8" s="33">
        <v>4.9000000000000004</v>
      </c>
      <c r="N8" s="46">
        <v>4.5</v>
      </c>
      <c r="O8" s="47">
        <v>4.2</v>
      </c>
      <c r="P8" s="37">
        <v>4.3</v>
      </c>
      <c r="Q8" s="13"/>
      <c r="R8" s="38"/>
      <c r="S8" s="38"/>
      <c r="T8" s="38"/>
    </row>
    <row r="9" spans="1:20" ht="18" customHeight="1" x14ac:dyDescent="0.35">
      <c r="A9" s="24" t="s">
        <v>11</v>
      </c>
      <c r="B9" s="25"/>
      <c r="C9" s="26"/>
      <c r="D9" s="33"/>
      <c r="E9" s="49">
        <v>7.8</v>
      </c>
      <c r="F9" s="27"/>
      <c r="G9" s="47">
        <v>7.8</v>
      </c>
      <c r="H9" s="48"/>
      <c r="I9" s="36">
        <v>8.3000000000000007</v>
      </c>
      <c r="J9" s="42">
        <v>8.4</v>
      </c>
      <c r="K9" s="33"/>
      <c r="L9" s="50">
        <v>7.9</v>
      </c>
      <c r="M9" s="33">
        <v>7.6</v>
      </c>
      <c r="N9" s="46">
        <v>6.9</v>
      </c>
      <c r="O9" s="47">
        <v>7.4</v>
      </c>
      <c r="P9" s="51">
        <v>8.33</v>
      </c>
      <c r="Q9" s="13"/>
      <c r="R9" s="38"/>
      <c r="S9" s="38"/>
      <c r="T9" s="38"/>
    </row>
    <row r="10" spans="1:20" ht="18" customHeight="1" x14ac:dyDescent="0.35">
      <c r="A10" s="24" t="s">
        <v>12</v>
      </c>
      <c r="B10" s="25"/>
      <c r="C10" s="26"/>
      <c r="D10" s="33"/>
      <c r="E10" s="52">
        <v>5.2</v>
      </c>
      <c r="F10" s="53"/>
      <c r="G10" s="54">
        <v>5.6</v>
      </c>
      <c r="H10" s="55"/>
      <c r="I10" s="56">
        <v>6.2</v>
      </c>
      <c r="J10" s="57">
        <v>6.4</v>
      </c>
      <c r="K10" s="33"/>
      <c r="L10" s="58">
        <v>5.5</v>
      </c>
      <c r="M10" s="59">
        <v>5.63</v>
      </c>
      <c r="N10" s="60">
        <v>5.0999999999999996</v>
      </c>
      <c r="O10" s="61">
        <v>5.0999999999999996</v>
      </c>
      <c r="P10" s="62">
        <v>6.3</v>
      </c>
      <c r="Q10" s="13"/>
      <c r="R10" s="38"/>
      <c r="S10" s="38"/>
      <c r="T10" s="38"/>
    </row>
    <row r="11" spans="1:20" x14ac:dyDescent="0.3">
      <c r="A11" s="11"/>
      <c r="B11" s="5"/>
      <c r="C11" s="5"/>
      <c r="D11" s="5"/>
      <c r="E11" s="5"/>
      <c r="F11" s="5"/>
      <c r="G11" s="5"/>
      <c r="H11" s="5"/>
      <c r="K11" s="5"/>
      <c r="L11" s="5"/>
      <c r="M11" s="5"/>
      <c r="N11" s="5"/>
      <c r="O11" s="5"/>
      <c r="P11" s="5"/>
      <c r="Q11" s="13"/>
    </row>
    <row r="12" spans="1:20" x14ac:dyDescent="0.3">
      <c r="A12" s="63" t="s">
        <v>13</v>
      </c>
      <c r="B12" s="5"/>
      <c r="C12" s="5"/>
      <c r="D12" s="5"/>
      <c r="E12" s="5"/>
      <c r="F12" s="5"/>
      <c r="G12" s="5"/>
      <c r="H12" s="5"/>
      <c r="K12" s="5"/>
      <c r="L12" s="5"/>
      <c r="M12" s="5"/>
      <c r="N12" s="5"/>
      <c r="O12" s="5"/>
      <c r="P12" s="5"/>
      <c r="Q12" s="13"/>
    </row>
    <row r="13" spans="1:20" x14ac:dyDescent="0.3">
      <c r="A13" s="63" t="s">
        <v>14</v>
      </c>
      <c r="B13" s="5"/>
      <c r="C13" s="5"/>
      <c r="D13" s="5"/>
      <c r="E13" s="5"/>
      <c r="F13" s="5"/>
      <c r="G13" s="5"/>
      <c r="H13" s="5"/>
      <c r="K13" s="5"/>
      <c r="L13" s="5"/>
      <c r="M13" s="5"/>
      <c r="N13" s="5"/>
      <c r="O13" s="5"/>
      <c r="P13" s="5"/>
      <c r="Q13" s="13"/>
    </row>
    <row r="14" spans="1:20" x14ac:dyDescent="0.3">
      <c r="A14" s="64"/>
      <c r="B14" s="65"/>
      <c r="C14" s="65"/>
      <c r="D14" s="65"/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6"/>
    </row>
    <row r="15" spans="1:20" x14ac:dyDescent="0.3">
      <c r="I15"/>
      <c r="J15"/>
      <c r="P15" s="5"/>
    </row>
    <row r="16" spans="1:20" x14ac:dyDescent="0.3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3"/>
    </row>
    <row r="17" spans="1:24" ht="25" x14ac:dyDescent="0.5">
      <c r="A17" s="11"/>
      <c r="B17" s="5"/>
      <c r="C17" s="6" t="s">
        <v>15</v>
      </c>
      <c r="D17" s="7"/>
      <c r="E17" s="7"/>
      <c r="F17" s="7"/>
      <c r="G17" s="7"/>
      <c r="H17" s="7"/>
      <c r="I17" s="7"/>
      <c r="J17" s="7"/>
      <c r="K17" s="8"/>
      <c r="L17" s="8"/>
      <c r="M17" s="8"/>
      <c r="N17" s="8"/>
      <c r="O17" s="8"/>
      <c r="P17" s="8"/>
      <c r="Q17" s="13"/>
      <c r="R17" s="67"/>
    </row>
    <row r="18" spans="1:24" x14ac:dyDescent="0.3">
      <c r="A18" s="11"/>
      <c r="B18" s="5"/>
      <c r="C18" s="5"/>
      <c r="D18" s="5"/>
      <c r="E18" s="5"/>
      <c r="F18" s="5"/>
      <c r="G18" s="5"/>
      <c r="H18" s="5"/>
      <c r="K18" s="5"/>
      <c r="L18" s="5"/>
      <c r="M18" s="5"/>
      <c r="N18" s="5"/>
      <c r="O18" s="5"/>
      <c r="P18" s="5"/>
      <c r="Q18" s="13"/>
    </row>
    <row r="19" spans="1:24" x14ac:dyDescent="0.3">
      <c r="A19" s="11"/>
      <c r="B19" s="5"/>
      <c r="C19" s="12"/>
      <c r="D19" s="14"/>
      <c r="E19" s="68">
        <v>1999</v>
      </c>
      <c r="F19" s="15"/>
      <c r="G19" s="16"/>
      <c r="H19" s="14"/>
      <c r="I19" s="16">
        <v>2000</v>
      </c>
      <c r="J19" s="18"/>
      <c r="K19" s="14"/>
      <c r="L19" s="69" t="s">
        <v>16</v>
      </c>
      <c r="M19" s="69"/>
      <c r="N19" s="69"/>
      <c r="O19" s="69"/>
      <c r="P19" s="69"/>
      <c r="Q19" s="13"/>
    </row>
    <row r="20" spans="1:24" ht="16.5" x14ac:dyDescent="0.35">
      <c r="A20" s="20" t="s">
        <v>3</v>
      </c>
      <c r="B20" s="5"/>
      <c r="C20" s="12"/>
      <c r="D20" s="22"/>
      <c r="E20" s="22" t="s">
        <v>4</v>
      </c>
      <c r="F20" s="22"/>
      <c r="G20" s="22" t="s">
        <v>5</v>
      </c>
      <c r="H20" s="22"/>
      <c r="I20" s="22" t="s">
        <v>6</v>
      </c>
      <c r="J20" s="22" t="s">
        <v>7</v>
      </c>
      <c r="K20" s="22"/>
      <c r="L20" s="12">
        <v>1996</v>
      </c>
      <c r="M20" s="12">
        <v>1997</v>
      </c>
      <c r="N20" s="12">
        <v>1998</v>
      </c>
      <c r="O20" s="12">
        <v>1999</v>
      </c>
      <c r="P20" s="12">
        <v>2000</v>
      </c>
      <c r="Q20" s="13"/>
    </row>
    <row r="21" spans="1:24" ht="17" x14ac:dyDescent="0.35">
      <c r="A21" s="24" t="s">
        <v>17</v>
      </c>
      <c r="B21" s="70"/>
      <c r="C21" s="5"/>
      <c r="D21" s="71"/>
      <c r="E21" s="72">
        <v>1.66</v>
      </c>
      <c r="F21" s="73"/>
      <c r="G21" s="74">
        <v>1.61</v>
      </c>
      <c r="H21" s="75"/>
      <c r="I21" s="74">
        <v>1.55</v>
      </c>
      <c r="J21" s="75">
        <v>1.55</v>
      </c>
      <c r="K21" s="71"/>
      <c r="L21" s="76">
        <v>1.48</v>
      </c>
      <c r="M21" s="77">
        <v>1.47</v>
      </c>
      <c r="N21" s="78">
        <v>1.62</v>
      </c>
      <c r="O21" s="74">
        <v>1.67</v>
      </c>
      <c r="P21" s="79">
        <v>1.55</v>
      </c>
      <c r="Q21" s="13"/>
      <c r="R21" s="80"/>
      <c r="S21" s="80"/>
      <c r="T21" s="80"/>
      <c r="U21" s="80"/>
      <c r="V21" s="80"/>
      <c r="W21" s="80"/>
      <c r="X21" s="80"/>
    </row>
    <row r="22" spans="1:24" ht="17" x14ac:dyDescent="0.35">
      <c r="A22" s="24" t="s">
        <v>18</v>
      </c>
      <c r="B22" s="70"/>
      <c r="C22" s="5"/>
      <c r="D22" s="71"/>
      <c r="E22" s="81">
        <v>6.16</v>
      </c>
      <c r="F22" s="82"/>
      <c r="G22" s="83">
        <v>5.99</v>
      </c>
      <c r="H22" s="84"/>
      <c r="I22" s="83">
        <v>5.95</v>
      </c>
      <c r="J22" s="84">
        <v>5.9</v>
      </c>
      <c r="K22" s="71"/>
      <c r="L22" s="85">
        <v>4.96</v>
      </c>
      <c r="M22" s="86">
        <v>5.19</v>
      </c>
      <c r="N22" s="87">
        <v>5.86</v>
      </c>
      <c r="O22" s="83">
        <v>6.12</v>
      </c>
      <c r="P22" s="88">
        <v>5.9</v>
      </c>
      <c r="Q22" s="13"/>
      <c r="R22" s="80"/>
      <c r="S22" s="80"/>
      <c r="T22" s="80"/>
      <c r="U22" s="80"/>
      <c r="V22" s="80"/>
      <c r="W22" s="80"/>
      <c r="X22" s="80"/>
    </row>
    <row r="23" spans="1:24" ht="17" x14ac:dyDescent="0.35">
      <c r="A23" s="24" t="s">
        <v>19</v>
      </c>
      <c r="B23" s="70"/>
      <c r="C23" s="5"/>
      <c r="D23" s="71"/>
      <c r="E23" s="81">
        <v>7.22</v>
      </c>
      <c r="F23" s="89"/>
      <c r="G23" s="89">
        <v>6</v>
      </c>
      <c r="H23" s="90"/>
      <c r="I23" s="83">
        <v>5.5</v>
      </c>
      <c r="J23" s="84">
        <v>5.5</v>
      </c>
      <c r="K23" s="71"/>
      <c r="L23" s="85">
        <v>3.14</v>
      </c>
      <c r="M23" s="86">
        <v>5.08</v>
      </c>
      <c r="N23" s="91">
        <v>5.5</v>
      </c>
      <c r="O23" s="83">
        <v>6.32</v>
      </c>
      <c r="P23" s="88">
        <v>5.5</v>
      </c>
      <c r="Q23" s="13"/>
      <c r="R23" s="80"/>
      <c r="S23" s="80"/>
      <c r="T23" s="80"/>
      <c r="U23" s="80"/>
      <c r="V23" s="80"/>
      <c r="W23" s="80"/>
      <c r="X23" s="80"/>
    </row>
    <row r="24" spans="1:24" ht="17" x14ac:dyDescent="0.35">
      <c r="A24" s="24" t="s">
        <v>20</v>
      </c>
      <c r="B24" s="70"/>
      <c r="C24" s="5"/>
      <c r="D24" s="71"/>
      <c r="E24" s="92"/>
      <c r="F24" s="93"/>
      <c r="G24" s="89"/>
      <c r="H24" s="90"/>
      <c r="I24" s="83"/>
      <c r="J24" s="84"/>
      <c r="K24" s="71"/>
      <c r="L24" s="85"/>
      <c r="M24" s="71"/>
      <c r="N24" s="94"/>
      <c r="O24" s="83"/>
      <c r="P24" s="88"/>
      <c r="Q24" s="13"/>
      <c r="R24" s="80"/>
      <c r="S24" s="80"/>
    </row>
    <row r="25" spans="1:24" ht="17" x14ac:dyDescent="0.35">
      <c r="A25" s="24" t="s">
        <v>21</v>
      </c>
      <c r="B25" s="70"/>
      <c r="C25" s="5"/>
      <c r="D25" s="95"/>
      <c r="E25" s="96"/>
      <c r="F25" s="97"/>
      <c r="G25" s="98"/>
      <c r="H25" s="99"/>
      <c r="I25" s="100"/>
      <c r="J25" s="101"/>
      <c r="K25" s="95"/>
      <c r="L25" s="85"/>
      <c r="M25" s="71"/>
      <c r="N25" s="94"/>
      <c r="O25" s="83"/>
      <c r="P25" s="88"/>
      <c r="Q25" s="13"/>
      <c r="R25" s="80"/>
      <c r="S25" s="80"/>
    </row>
    <row r="26" spans="1:24" ht="17" x14ac:dyDescent="0.35">
      <c r="A26" s="102" t="s">
        <v>22</v>
      </c>
      <c r="B26" s="103" t="s">
        <v>23</v>
      </c>
      <c r="C26" s="104"/>
      <c r="D26" s="105"/>
      <c r="E26" s="106">
        <v>266.2</v>
      </c>
      <c r="F26" s="107"/>
      <c r="G26" s="108">
        <v>218.6</v>
      </c>
      <c r="H26" s="109"/>
      <c r="I26" s="108">
        <v>187.4</v>
      </c>
      <c r="J26" s="109">
        <v>209</v>
      </c>
      <c r="K26" s="105"/>
      <c r="L26" s="110">
        <v>677</v>
      </c>
      <c r="M26" s="111">
        <v>757</v>
      </c>
      <c r="N26" s="112">
        <v>1287</v>
      </c>
      <c r="O26" s="112">
        <v>1146</v>
      </c>
      <c r="P26" s="113">
        <v>851</v>
      </c>
      <c r="Q26" s="13"/>
      <c r="R26" s="114"/>
    </row>
    <row r="27" spans="1:24" ht="17" x14ac:dyDescent="0.35">
      <c r="A27" s="102" t="s">
        <v>22</v>
      </c>
      <c r="B27" s="103" t="s">
        <v>24</v>
      </c>
      <c r="C27" s="104"/>
      <c r="D27" s="105"/>
      <c r="E27" s="106">
        <f>E28-E26</f>
        <v>39.777011494252861</v>
      </c>
      <c r="F27" s="115"/>
      <c r="G27" s="108">
        <f>G28-G26</f>
        <v>32.664367816091954</v>
      </c>
      <c r="H27" s="109"/>
      <c r="I27" s="108">
        <f t="shared" ref="I27:J27" si="0">I28-I26</f>
        <v>28.002298850574704</v>
      </c>
      <c r="J27" s="109">
        <f t="shared" si="0"/>
        <v>31.229885057471279</v>
      </c>
      <c r="K27" s="105"/>
      <c r="L27" s="110">
        <v>108</v>
      </c>
      <c r="M27" s="111">
        <v>102</v>
      </c>
      <c r="N27" s="112">
        <f t="shared" ref="N27:P27" si="1">N28-N26</f>
        <v>159.06741573033696</v>
      </c>
      <c r="O27" s="112">
        <f t="shared" si="1"/>
        <v>171.24137931034488</v>
      </c>
      <c r="P27" s="116">
        <f t="shared" si="1"/>
        <v>127.16091954022988</v>
      </c>
      <c r="Q27" s="13"/>
      <c r="R27" s="114"/>
    </row>
    <row r="28" spans="1:24" ht="17" x14ac:dyDescent="0.35">
      <c r="A28" s="117"/>
      <c r="B28" s="103" t="s">
        <v>25</v>
      </c>
      <c r="C28" s="104"/>
      <c r="D28" s="105"/>
      <c r="E28" s="106">
        <f>E26/0.87</f>
        <v>305.97701149425285</v>
      </c>
      <c r="F28" s="107"/>
      <c r="G28" s="108">
        <f>G26/0.87</f>
        <v>251.26436781609195</v>
      </c>
      <c r="H28" s="109"/>
      <c r="I28" s="108">
        <f t="shared" ref="I28:J28" si="2">I26/0.87</f>
        <v>215.40229885057471</v>
      </c>
      <c r="J28" s="109">
        <f t="shared" si="2"/>
        <v>240.22988505747128</v>
      </c>
      <c r="K28" s="105"/>
      <c r="L28" s="110">
        <v>785</v>
      </c>
      <c r="M28" s="111">
        <v>859</v>
      </c>
      <c r="N28" s="112">
        <f>N26/0.89</f>
        <v>1446.067415730337</v>
      </c>
      <c r="O28" s="112">
        <f t="shared" ref="O28:P28" si="3">O26/0.87</f>
        <v>1317.2413793103449</v>
      </c>
      <c r="P28" s="116">
        <f t="shared" si="3"/>
        <v>978.16091954022988</v>
      </c>
      <c r="Q28" s="13"/>
      <c r="R28" s="114"/>
    </row>
    <row r="29" spans="1:24" ht="17" x14ac:dyDescent="0.35">
      <c r="A29" s="117"/>
      <c r="B29" s="118"/>
      <c r="C29" s="5"/>
      <c r="D29" s="95"/>
      <c r="E29" s="119"/>
      <c r="F29" s="120"/>
      <c r="G29" s="98"/>
      <c r="H29" s="99"/>
      <c r="I29" s="100"/>
      <c r="J29" s="101"/>
      <c r="K29" s="95"/>
      <c r="L29" s="121"/>
      <c r="M29" s="95"/>
      <c r="N29" s="94"/>
      <c r="O29" s="83"/>
      <c r="P29" s="122"/>
      <c r="Q29" s="13"/>
    </row>
    <row r="30" spans="1:24" ht="17" x14ac:dyDescent="0.35">
      <c r="A30" s="24" t="s">
        <v>26</v>
      </c>
      <c r="B30" s="70"/>
      <c r="C30" s="5"/>
      <c r="D30" s="95"/>
      <c r="E30" s="119">
        <v>28</v>
      </c>
      <c r="F30" s="120"/>
      <c r="G30" s="98">
        <v>30</v>
      </c>
      <c r="H30" s="99"/>
      <c r="I30" s="100">
        <v>30</v>
      </c>
      <c r="J30" s="101">
        <v>35</v>
      </c>
      <c r="K30" s="95"/>
      <c r="L30" s="123">
        <v>27</v>
      </c>
      <c r="M30" s="124">
        <v>22</v>
      </c>
      <c r="N30" s="125">
        <v>12</v>
      </c>
      <c r="O30" s="126">
        <v>22</v>
      </c>
      <c r="P30" s="127">
        <v>34</v>
      </c>
      <c r="Q30" s="13"/>
      <c r="R30" s="128"/>
      <c r="S30" s="128"/>
    </row>
    <row r="31" spans="1:24" ht="17" x14ac:dyDescent="0.35">
      <c r="A31" s="24" t="s">
        <v>27</v>
      </c>
      <c r="B31" s="70"/>
      <c r="C31" s="5"/>
      <c r="D31" s="95"/>
      <c r="E31" s="129">
        <v>22</v>
      </c>
      <c r="F31" s="130"/>
      <c r="G31" s="131">
        <v>25</v>
      </c>
      <c r="H31" s="132"/>
      <c r="I31" s="133">
        <v>20</v>
      </c>
      <c r="J31" s="134">
        <v>20</v>
      </c>
      <c r="K31" s="95"/>
      <c r="L31" s="135">
        <v>30</v>
      </c>
      <c r="M31" s="136">
        <v>31</v>
      </c>
      <c r="N31" s="137">
        <v>52</v>
      </c>
      <c r="O31" s="138">
        <v>34</v>
      </c>
      <c r="P31" s="139">
        <v>20</v>
      </c>
      <c r="Q31" s="13"/>
      <c r="R31" s="128"/>
      <c r="S31" s="128"/>
    </row>
    <row r="32" spans="1:24" ht="16.5" hidden="1" customHeight="1" x14ac:dyDescent="0.35">
      <c r="A32" s="24" t="s">
        <v>28</v>
      </c>
      <c r="B32" s="70"/>
      <c r="C32" s="5"/>
      <c r="D32" s="95"/>
      <c r="E32" s="140">
        <v>5.6</v>
      </c>
      <c r="F32" s="141"/>
      <c r="G32" s="140">
        <v>8.6999999999999993</v>
      </c>
      <c r="H32" s="140"/>
      <c r="I32" s="142">
        <v>8.6999999999999993</v>
      </c>
      <c r="J32" s="143"/>
      <c r="K32" s="95"/>
      <c r="L32" s="144">
        <v>5.2</v>
      </c>
      <c r="M32" s="145">
        <v>6.7</v>
      </c>
      <c r="N32" s="146">
        <v>7.1</v>
      </c>
      <c r="O32" s="147">
        <v>7.5</v>
      </c>
      <c r="P32" s="148">
        <v>7.1</v>
      </c>
      <c r="Q32" s="13"/>
    </row>
    <row r="33" spans="1:17" ht="6.75" customHeight="1" x14ac:dyDescent="0.3">
      <c r="A33" s="11"/>
      <c r="B33" s="5"/>
      <c r="C33" s="5"/>
      <c r="D33" s="5"/>
      <c r="E33" s="5"/>
      <c r="F33" s="5"/>
      <c r="G33" s="5"/>
      <c r="H33" s="5"/>
      <c r="K33" s="5"/>
      <c r="L33" s="5"/>
      <c r="M33" s="5"/>
      <c r="N33" s="5"/>
      <c r="O33" s="5"/>
      <c r="P33" s="5"/>
      <c r="Q33" s="13"/>
    </row>
    <row r="34" spans="1:17" ht="6" customHeight="1" x14ac:dyDescent="0.3">
      <c r="A34" s="11"/>
      <c r="B34" s="5"/>
      <c r="C34" s="5"/>
      <c r="D34" s="5"/>
      <c r="E34" s="5"/>
      <c r="F34" s="5"/>
      <c r="G34" s="5"/>
      <c r="H34" s="5"/>
      <c r="K34" s="5"/>
      <c r="L34" s="5"/>
      <c r="M34" s="5"/>
      <c r="N34" s="5"/>
      <c r="O34" s="5"/>
      <c r="P34" s="5"/>
      <c r="Q34" s="13"/>
    </row>
    <row r="35" spans="1:17" x14ac:dyDescent="0.3">
      <c r="A35" s="63" t="s">
        <v>29</v>
      </c>
      <c r="B35" s="5"/>
      <c r="C35" s="5"/>
      <c r="D35" s="5"/>
      <c r="E35" s="5"/>
      <c r="F35" s="5"/>
      <c r="G35" s="5"/>
      <c r="H35" s="5"/>
      <c r="K35" s="5"/>
      <c r="L35" s="5"/>
      <c r="M35" s="5"/>
      <c r="N35" s="5"/>
      <c r="O35" s="5"/>
      <c r="P35" s="5"/>
      <c r="Q35" s="13"/>
    </row>
    <row r="36" spans="1:17" x14ac:dyDescent="0.3">
      <c r="A36" s="63" t="s">
        <v>30</v>
      </c>
      <c r="B36" s="5"/>
      <c r="C36" s="5"/>
      <c r="D36" s="5"/>
      <c r="E36" s="5"/>
      <c r="F36" s="5"/>
      <c r="G36" s="5"/>
      <c r="H36" s="5"/>
      <c r="K36" s="5"/>
      <c r="L36" s="5"/>
      <c r="M36" s="5"/>
      <c r="N36" s="5"/>
      <c r="O36" s="5"/>
      <c r="P36" s="5"/>
      <c r="Q36" s="13"/>
    </row>
    <row r="37" spans="1:17" x14ac:dyDescent="0.3">
      <c r="A37" s="63" t="s">
        <v>31</v>
      </c>
      <c r="B37" s="5"/>
      <c r="C37" s="5"/>
      <c r="D37" s="5"/>
      <c r="E37" s="5"/>
      <c r="F37" s="5"/>
      <c r="G37" s="5"/>
      <c r="H37" s="5"/>
      <c r="K37" s="5"/>
      <c r="L37" s="5"/>
      <c r="M37" s="5"/>
      <c r="N37" s="5"/>
      <c r="O37" s="5"/>
      <c r="P37" s="5"/>
      <c r="Q37" s="13"/>
    </row>
    <row r="38" spans="1:17" x14ac:dyDescent="0.3">
      <c r="A38" s="63" t="s">
        <v>32</v>
      </c>
      <c r="B38" s="5"/>
      <c r="C38" s="5"/>
      <c r="D38" s="5"/>
      <c r="E38" s="5"/>
      <c r="F38" s="5"/>
      <c r="G38" s="5"/>
      <c r="H38" s="5"/>
      <c r="K38" s="5"/>
      <c r="L38" s="5"/>
      <c r="M38" s="5"/>
      <c r="N38" s="5"/>
      <c r="O38" s="5"/>
      <c r="P38" s="5"/>
      <c r="Q38" s="13"/>
    </row>
    <row r="39" spans="1:17" x14ac:dyDescent="0.3">
      <c r="A39" s="63" t="s">
        <v>33</v>
      </c>
      <c r="B39" s="5"/>
      <c r="C39" s="5"/>
      <c r="D39" s="5"/>
      <c r="E39" s="5"/>
      <c r="F39" s="5"/>
      <c r="G39" s="5"/>
      <c r="H39" s="5"/>
      <c r="K39" s="5"/>
      <c r="L39" s="5"/>
      <c r="M39" s="5"/>
      <c r="N39" s="5"/>
      <c r="O39" s="5"/>
      <c r="P39" s="5"/>
      <c r="Q39" s="13"/>
    </row>
    <row r="40" spans="1:17" x14ac:dyDescent="0.3">
      <c r="A40" s="63"/>
      <c r="B40" s="5"/>
      <c r="C40" s="5"/>
      <c r="D40" s="5"/>
      <c r="E40" s="5"/>
      <c r="F40" s="5"/>
      <c r="G40" s="5"/>
      <c r="H40" s="5"/>
      <c r="K40" s="5"/>
      <c r="L40" s="5"/>
      <c r="M40" s="5"/>
      <c r="N40" s="5"/>
      <c r="O40" s="5"/>
      <c r="P40" s="5"/>
      <c r="Q40" s="13"/>
    </row>
    <row r="41" spans="1:17" hidden="1" x14ac:dyDescent="0.3">
      <c r="A41" s="63" t="s">
        <v>34</v>
      </c>
      <c r="B41" s="5"/>
      <c r="C41" s="5"/>
      <c r="D41" s="5"/>
      <c r="E41" s="5"/>
      <c r="F41" s="5"/>
      <c r="G41" s="5"/>
      <c r="H41" s="5"/>
      <c r="K41" s="5"/>
      <c r="L41" s="5"/>
      <c r="M41" s="5"/>
      <c r="N41" s="149"/>
      <c r="O41" s="5"/>
      <c r="P41" s="5"/>
      <c r="Q41" s="13"/>
    </row>
    <row r="42" spans="1:17" ht="6.75" customHeight="1" x14ac:dyDescent="0.3">
      <c r="A42" s="11"/>
      <c r="B42" s="5"/>
      <c r="C42" s="5"/>
      <c r="D42" s="5"/>
      <c r="E42" s="5"/>
      <c r="F42" s="5"/>
      <c r="G42" s="5"/>
      <c r="H42" s="5"/>
      <c r="K42" s="5"/>
      <c r="L42" s="5"/>
      <c r="M42" s="5"/>
      <c r="N42" s="5"/>
      <c r="O42" s="5"/>
      <c r="P42" s="5"/>
      <c r="Q42" s="13"/>
    </row>
    <row r="43" spans="1:17" x14ac:dyDescent="0.3">
      <c r="A43" s="150" t="s">
        <v>35</v>
      </c>
      <c r="B43" s="151"/>
      <c r="C43" s="65"/>
      <c r="D43" s="65"/>
      <c r="E43" s="65"/>
      <c r="F43" s="65"/>
      <c r="G43" s="65"/>
      <c r="H43" s="65"/>
      <c r="I43" s="65"/>
      <c r="J43" s="65"/>
      <c r="K43" s="65"/>
      <c r="L43" s="65" t="s">
        <v>36</v>
      </c>
      <c r="M43" s="65"/>
      <c r="N43" s="152"/>
      <c r="O43" s="65"/>
      <c r="P43" s="65"/>
      <c r="Q43" s="66"/>
    </row>
  </sheetData>
  <printOptions horizontalCentered="1" verticalCentered="1" gridLinesSet="0"/>
  <pageMargins left="0" right="0" top="1.7000000000000001E-2" bottom="3.5999999999999997E-2" header="0.5" footer="0.5"/>
  <pageSetup scale="75" orientation="landscape" horizontalDpi="4294967292" verticalDpi="4294967292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BC52"/>
  <sheetViews>
    <sheetView workbookViewId="0">
      <selection activeCell="D18" sqref="D18"/>
    </sheetView>
  </sheetViews>
  <sheetFormatPr defaultColWidth="9.1796875" defaultRowHeight="12.5" x14ac:dyDescent="0.25"/>
  <cols>
    <col min="1" max="1" width="8.7265625" style="153" customWidth="1"/>
    <col min="2" max="2" width="12.26953125" style="153" customWidth="1"/>
    <col min="3" max="3" width="11.54296875" style="153" customWidth="1"/>
    <col min="4" max="4" width="27" style="153" customWidth="1"/>
    <col min="5" max="5" width="18.1796875" style="153" customWidth="1"/>
    <col min="6" max="6" width="19.7265625" style="153" customWidth="1"/>
    <col min="7" max="7" width="9.26953125" style="153" customWidth="1"/>
    <col min="8" max="16384" width="9.1796875" style="153"/>
  </cols>
  <sheetData>
    <row r="2" spans="1:7" ht="23" x14ac:dyDescent="0.5">
      <c r="D2" s="154"/>
    </row>
    <row r="3" spans="1:7" ht="20" x14ac:dyDescent="0.4">
      <c r="B3" s="155" t="s">
        <v>37</v>
      </c>
    </row>
    <row r="7" spans="1:7" x14ac:dyDescent="0.25">
      <c r="C7" s="156" t="s">
        <v>38</v>
      </c>
      <c r="D7" s="156" t="s">
        <v>39</v>
      </c>
      <c r="E7" s="156"/>
      <c r="F7" s="156"/>
    </row>
    <row r="8" spans="1:7" x14ac:dyDescent="0.25">
      <c r="A8" s="157"/>
      <c r="B8" s="157" t="s">
        <v>40</v>
      </c>
      <c r="C8" s="158" t="s">
        <v>41</v>
      </c>
      <c r="D8" s="158" t="s">
        <v>42</v>
      </c>
      <c r="E8" s="240" t="s">
        <v>43</v>
      </c>
      <c r="F8" s="240" t="s">
        <v>44</v>
      </c>
      <c r="G8" s="157"/>
    </row>
    <row r="10" spans="1:7" x14ac:dyDescent="0.25">
      <c r="B10" s="159" t="s">
        <v>45</v>
      </c>
      <c r="C10" s="160">
        <v>867</v>
      </c>
      <c r="D10" s="161">
        <v>102.3</v>
      </c>
      <c r="E10" s="162"/>
    </row>
    <row r="11" spans="1:7" x14ac:dyDescent="0.25">
      <c r="B11" s="159" t="s">
        <v>46</v>
      </c>
      <c r="C11" s="160">
        <v>1220</v>
      </c>
      <c r="D11" s="163">
        <v>124.5</v>
      </c>
      <c r="E11" s="164"/>
    </row>
    <row r="12" spans="1:7" x14ac:dyDescent="0.25">
      <c r="B12" s="165" t="s">
        <v>47</v>
      </c>
      <c r="C12" s="166">
        <v>1329</v>
      </c>
      <c r="D12" s="163">
        <v>168.6</v>
      </c>
      <c r="E12" s="164"/>
    </row>
    <row r="13" spans="1:7" x14ac:dyDescent="0.25">
      <c r="B13" s="165" t="s">
        <v>48</v>
      </c>
      <c r="C13" s="167">
        <v>1135</v>
      </c>
      <c r="D13" s="163">
        <v>169.3</v>
      </c>
      <c r="E13" s="164"/>
    </row>
    <row r="14" spans="1:7" x14ac:dyDescent="0.25">
      <c r="B14" s="159" t="s">
        <v>49</v>
      </c>
      <c r="C14" s="166">
        <v>987</v>
      </c>
      <c r="D14" s="163">
        <v>167.1</v>
      </c>
      <c r="E14" s="164"/>
    </row>
    <row r="15" spans="1:7" x14ac:dyDescent="0.25">
      <c r="B15" s="159" t="s">
        <v>50</v>
      </c>
      <c r="C15" s="166">
        <v>1403</v>
      </c>
      <c r="D15" s="163">
        <v>180.4</v>
      </c>
      <c r="E15" s="164"/>
    </row>
    <row r="16" spans="1:7" x14ac:dyDescent="0.25">
      <c r="B16" s="159" t="s">
        <v>51</v>
      </c>
      <c r="C16" s="166">
        <v>1396</v>
      </c>
      <c r="D16" s="163">
        <v>163.69999999999999</v>
      </c>
      <c r="E16" s="164"/>
    </row>
    <row r="17" spans="2:6" x14ac:dyDescent="0.25">
      <c r="B17" s="159" t="s">
        <v>52</v>
      </c>
      <c r="C17" s="166">
        <v>1169</v>
      </c>
      <c r="D17" s="163">
        <v>166.1</v>
      </c>
      <c r="E17" s="164"/>
    </row>
    <row r="18" spans="2:6" x14ac:dyDescent="0.25">
      <c r="B18" s="159" t="s">
        <v>53</v>
      </c>
      <c r="C18" s="166">
        <v>1017</v>
      </c>
      <c r="D18" s="168">
        <v>149.4</v>
      </c>
      <c r="E18" s="164"/>
    </row>
    <row r="19" spans="2:6" x14ac:dyDescent="0.25">
      <c r="B19" s="159" t="s">
        <v>54</v>
      </c>
      <c r="C19" s="167">
        <v>1414</v>
      </c>
      <c r="D19" s="163">
        <v>172.5</v>
      </c>
      <c r="E19" s="164"/>
    </row>
    <row r="20" spans="2:6" x14ac:dyDescent="0.25">
      <c r="B20" s="165" t="s">
        <v>55</v>
      </c>
      <c r="C20" s="167">
        <v>1475</v>
      </c>
      <c r="D20" s="163">
        <v>199.4</v>
      </c>
      <c r="E20" s="164"/>
    </row>
    <row r="21" spans="2:6" x14ac:dyDescent="0.25">
      <c r="B21" s="159" t="s">
        <v>56</v>
      </c>
      <c r="C21" s="166">
        <v>1281</v>
      </c>
      <c r="D21" s="163">
        <v>235.6</v>
      </c>
      <c r="E21" s="164"/>
    </row>
    <row r="22" spans="2:6" x14ac:dyDescent="0.25">
      <c r="B22" s="159" t="s">
        <v>57</v>
      </c>
      <c r="C22" s="166">
        <v>1146</v>
      </c>
      <c r="D22" s="169">
        <v>278.46037999999999</v>
      </c>
      <c r="E22" s="164"/>
    </row>
    <row r="23" spans="2:6" ht="12.75" customHeight="1" x14ac:dyDescent="0.25">
      <c r="B23" s="159" t="s">
        <v>58</v>
      </c>
      <c r="C23" s="166">
        <v>1642</v>
      </c>
      <c r="D23" s="169">
        <v>310.78726</v>
      </c>
      <c r="E23" s="164"/>
    </row>
    <row r="24" spans="2:6" x14ac:dyDescent="0.25">
      <c r="B24" s="159" t="s">
        <v>59</v>
      </c>
      <c r="C24" s="166">
        <v>1636</v>
      </c>
      <c r="D24" s="169">
        <v>314.83665999999999</v>
      </c>
      <c r="E24" s="164"/>
    </row>
    <row r="25" spans="2:6" x14ac:dyDescent="0.25">
      <c r="B25" s="159" t="s">
        <v>60</v>
      </c>
      <c r="C25" s="167">
        <v>1431</v>
      </c>
      <c r="D25" s="169">
        <v>383.32031999999998</v>
      </c>
      <c r="E25" s="164"/>
    </row>
    <row r="26" spans="2:6" x14ac:dyDescent="0.25">
      <c r="B26" s="159" t="s">
        <v>61</v>
      </c>
      <c r="C26" s="167">
        <v>1226</v>
      </c>
      <c r="D26" s="170">
        <v>351.09890999999999</v>
      </c>
      <c r="E26" s="235">
        <v>55</v>
      </c>
      <c r="F26" s="239">
        <f>(D26/0.87)-D26</f>
        <v>52.463055517241401</v>
      </c>
    </row>
    <row r="27" spans="2:6" x14ac:dyDescent="0.25">
      <c r="B27" s="159" t="s">
        <v>62</v>
      </c>
      <c r="C27" s="166">
        <v>1752</v>
      </c>
      <c r="D27" s="170">
        <v>310.22208000000006</v>
      </c>
      <c r="E27" s="238">
        <v>33.700000000000003</v>
      </c>
      <c r="F27" s="239">
        <f t="shared" ref="F27:F37" si="0">(D27/0.87)-D27</f>
        <v>46.355023448275858</v>
      </c>
    </row>
    <row r="28" spans="2:6" x14ac:dyDescent="0.25">
      <c r="B28" s="159" t="s">
        <v>63</v>
      </c>
      <c r="C28" s="166">
        <v>1727</v>
      </c>
      <c r="D28" s="171">
        <v>266.04295999999999</v>
      </c>
      <c r="E28" s="236">
        <v>21.6</v>
      </c>
      <c r="F28" s="239">
        <f t="shared" si="0"/>
        <v>39.753545747126452</v>
      </c>
    </row>
    <row r="29" spans="2:6" x14ac:dyDescent="0.25">
      <c r="B29" s="159" t="s">
        <v>64</v>
      </c>
      <c r="C29" s="172">
        <v>1416</v>
      </c>
      <c r="D29" s="173">
        <v>218.5685</v>
      </c>
      <c r="E29" s="237">
        <v>25</v>
      </c>
      <c r="F29" s="239">
        <f t="shared" si="0"/>
        <v>32.659660919540244</v>
      </c>
    </row>
    <row r="30" spans="2:6" x14ac:dyDescent="0.25">
      <c r="B30" s="159" t="s">
        <v>65</v>
      </c>
      <c r="C30" s="172">
        <v>1500</v>
      </c>
      <c r="D30" s="169">
        <v>187.44545454545454</v>
      </c>
      <c r="E30" s="237">
        <v>20</v>
      </c>
      <c r="F30" s="239">
        <f t="shared" si="0"/>
        <v>28.009090909090901</v>
      </c>
    </row>
    <row r="31" spans="2:6" x14ac:dyDescent="0.25">
      <c r="B31" s="159" t="s">
        <v>66</v>
      </c>
      <c r="C31" s="172">
        <v>1475</v>
      </c>
      <c r="D31" s="169">
        <v>208.99772727272727</v>
      </c>
      <c r="E31" s="237">
        <v>20</v>
      </c>
      <c r="F31" s="239">
        <f t="shared" si="0"/>
        <v>31.229545454545445</v>
      </c>
    </row>
    <row r="32" spans="2:6" x14ac:dyDescent="0.25">
      <c r="B32" s="159" t="s">
        <v>67</v>
      </c>
      <c r="C32" s="172">
        <v>1475</v>
      </c>
      <c r="D32" s="169">
        <v>232.46795454545452</v>
      </c>
      <c r="E32" s="237">
        <v>20</v>
      </c>
      <c r="F32" s="239">
        <f t="shared" si="0"/>
        <v>34.736590909090921</v>
      </c>
    </row>
    <row r="33" spans="1:55" x14ac:dyDescent="0.25">
      <c r="B33" s="159" t="s">
        <v>68</v>
      </c>
      <c r="C33" s="172">
        <v>1450</v>
      </c>
      <c r="D33" s="169">
        <v>222.00818181818181</v>
      </c>
      <c r="E33" s="237">
        <v>20</v>
      </c>
      <c r="F33" s="239">
        <f t="shared" si="0"/>
        <v>33.173636363636376</v>
      </c>
    </row>
    <row r="34" spans="1:55" x14ac:dyDescent="0.25">
      <c r="B34" s="159" t="s">
        <v>69</v>
      </c>
      <c r="C34" s="172">
        <v>1251.9272693433261</v>
      </c>
      <c r="D34" s="169">
        <v>200.59431818181818</v>
      </c>
      <c r="E34" s="237">
        <v>20</v>
      </c>
      <c r="F34" s="239">
        <f t="shared" si="0"/>
        <v>29.973863636363632</v>
      </c>
    </row>
    <row r="35" spans="1:55" x14ac:dyDescent="0.25">
      <c r="B35" s="159" t="s">
        <v>70</v>
      </c>
      <c r="C35" s="172">
        <v>1734.0913987983308</v>
      </c>
      <c r="D35" s="169">
        <v>235.77988636363636</v>
      </c>
      <c r="E35" s="237">
        <v>20</v>
      </c>
      <c r="F35" s="239">
        <f t="shared" si="0"/>
        <v>35.231477272727261</v>
      </c>
    </row>
    <row r="36" spans="1:55" x14ac:dyDescent="0.25">
      <c r="B36" s="159" t="s">
        <v>71</v>
      </c>
      <c r="C36" s="172">
        <v>1736.5377947662603</v>
      </c>
      <c r="D36" s="169">
        <v>258.54818181818177</v>
      </c>
      <c r="E36" s="237">
        <v>20</v>
      </c>
      <c r="F36" s="239">
        <f t="shared" si="0"/>
        <v>38.633636363636356</v>
      </c>
    </row>
    <row r="37" spans="1:55" x14ac:dyDescent="0.25">
      <c r="B37" s="159" t="s">
        <v>72</v>
      </c>
      <c r="C37" s="172">
        <v>1504.5317491587641</v>
      </c>
      <c r="D37" s="169">
        <v>237.65829545454545</v>
      </c>
      <c r="E37" s="237">
        <v>20</v>
      </c>
      <c r="F37" s="239">
        <f t="shared" si="0"/>
        <v>35.512159090909108</v>
      </c>
    </row>
    <row r="39" spans="1:55" ht="18.75" customHeight="1" x14ac:dyDescent="0.25">
      <c r="A39" s="174"/>
      <c r="B39" s="175" t="s">
        <v>16</v>
      </c>
      <c r="C39" s="174"/>
      <c r="D39" s="174"/>
      <c r="E39" s="174"/>
      <c r="F39" s="174"/>
      <c r="G39" s="174"/>
    </row>
    <row r="40" spans="1:55" ht="17.25" customHeight="1" x14ac:dyDescent="0.25">
      <c r="B40" s="176">
        <v>1994</v>
      </c>
      <c r="C40" s="160">
        <v>4587</v>
      </c>
      <c r="D40" s="161">
        <v>625.6</v>
      </c>
      <c r="E40" s="162"/>
      <c r="F40" s="177"/>
    </row>
    <row r="41" spans="1:55" x14ac:dyDescent="0.25">
      <c r="B41" s="176">
        <v>1995</v>
      </c>
      <c r="C41" s="166">
        <f>4*SUM(C10:C13)/4</f>
        <v>4551</v>
      </c>
      <c r="D41" s="163">
        <f>SUM(D10:D13)</f>
        <v>564.70000000000005</v>
      </c>
      <c r="E41" s="164"/>
      <c r="F41" s="178"/>
    </row>
    <row r="42" spans="1:55" x14ac:dyDescent="0.25">
      <c r="B42" s="176">
        <v>1996</v>
      </c>
      <c r="C42" s="166">
        <f>4*SUM(C14:C17)/4</f>
        <v>4955</v>
      </c>
      <c r="D42" s="163">
        <f>SUM(D14:D17)</f>
        <v>677.3</v>
      </c>
      <c r="E42" s="164"/>
      <c r="F42" s="178"/>
    </row>
    <row r="43" spans="1:55" x14ac:dyDescent="0.25">
      <c r="B43" s="176">
        <v>1997</v>
      </c>
      <c r="C43" s="166">
        <v>5187</v>
      </c>
      <c r="D43" s="163">
        <f>SUM(D18:D21)</f>
        <v>756.9</v>
      </c>
      <c r="E43" s="164"/>
      <c r="F43" s="178"/>
    </row>
    <row r="44" spans="1:55" x14ac:dyDescent="0.25">
      <c r="A44" s="179"/>
      <c r="B44" s="180">
        <v>1998</v>
      </c>
      <c r="C44" s="181">
        <f>4*SUM(C22:C25)/4</f>
        <v>5855</v>
      </c>
      <c r="D44" s="182">
        <f>SUM(D22:D25)</f>
        <v>1287.40462</v>
      </c>
      <c r="E44" s="241"/>
      <c r="F44" s="183"/>
      <c r="G44" s="179"/>
      <c r="H44" s="179"/>
      <c r="I44" s="179"/>
      <c r="J44" s="179"/>
      <c r="K44" s="179"/>
      <c r="L44" s="179"/>
      <c r="M44" s="179"/>
      <c r="N44" s="179"/>
      <c r="O44" s="179"/>
      <c r="P44" s="179"/>
      <c r="Q44" s="179"/>
      <c r="R44" s="179"/>
      <c r="S44" s="179"/>
      <c r="T44" s="179"/>
      <c r="U44" s="179"/>
      <c r="V44" s="179"/>
      <c r="W44" s="179"/>
      <c r="X44" s="179"/>
      <c r="Y44" s="179"/>
      <c r="Z44" s="179"/>
      <c r="AA44" s="179"/>
      <c r="AB44" s="179"/>
      <c r="AC44" s="179"/>
      <c r="AD44" s="179"/>
      <c r="AE44" s="179"/>
      <c r="AF44" s="179"/>
      <c r="AG44" s="179"/>
      <c r="AH44" s="179"/>
      <c r="AI44" s="179"/>
      <c r="AJ44" s="179"/>
      <c r="AK44" s="179"/>
      <c r="AL44" s="179"/>
      <c r="AM44" s="179"/>
      <c r="AN44" s="179"/>
      <c r="AO44" s="179"/>
      <c r="AP44" s="179"/>
      <c r="AQ44" s="179"/>
      <c r="AR44" s="179"/>
      <c r="AS44" s="179"/>
      <c r="AT44" s="179"/>
      <c r="AU44" s="179"/>
      <c r="AV44" s="179"/>
      <c r="AW44" s="179"/>
      <c r="AX44" s="179"/>
      <c r="AY44" s="179"/>
      <c r="AZ44" s="179"/>
      <c r="BA44" s="179"/>
      <c r="BB44" s="179"/>
      <c r="BC44" s="179"/>
    </row>
    <row r="45" spans="1:55" x14ac:dyDescent="0.25">
      <c r="A45" s="179"/>
      <c r="B45" s="180">
        <v>1999</v>
      </c>
      <c r="C45" s="184">
        <f>4*SUM(C26:C29)/4</f>
        <v>6121</v>
      </c>
      <c r="D45" s="182">
        <f>SUM(D26:D29)</f>
        <v>1145.93245</v>
      </c>
      <c r="E45" s="242">
        <f>AVERAGE(E26:E29)</f>
        <v>33.825000000000003</v>
      </c>
      <c r="F45" s="244">
        <f>SUM(F26:F29)</f>
        <v>171.23128563218395</v>
      </c>
      <c r="G45" s="179"/>
    </row>
    <row r="46" spans="1:55" x14ac:dyDescent="0.25">
      <c r="A46" s="179"/>
      <c r="B46" s="180">
        <v>2000</v>
      </c>
      <c r="C46" s="184">
        <f>4*SUM(C30:C33)/4</f>
        <v>5900</v>
      </c>
      <c r="D46" s="182">
        <f>SUM(D30:D33)</f>
        <v>850.9193181818182</v>
      </c>
      <c r="E46" s="242">
        <f>AVERAGE(E30:E33)</f>
        <v>20</v>
      </c>
      <c r="F46" s="244">
        <f>SUM(F30:F33)</f>
        <v>127.14886363636364</v>
      </c>
      <c r="G46" s="179"/>
    </row>
    <row r="47" spans="1:55" x14ac:dyDescent="0.25">
      <c r="A47" s="157"/>
      <c r="B47" s="185">
        <v>2001</v>
      </c>
      <c r="C47" s="186">
        <f>4*SUM(C34:C37)/4</f>
        <v>6227.0882120666811</v>
      </c>
      <c r="D47" s="187">
        <f>SUM(D34:D37)</f>
        <v>932.5806818181818</v>
      </c>
      <c r="E47" s="243">
        <f>AVERAGE(E34:E37)</f>
        <v>20</v>
      </c>
      <c r="F47" s="245">
        <f>SUM(F34:F37)</f>
        <v>139.35113636363636</v>
      </c>
      <c r="G47" s="157"/>
    </row>
    <row r="49" spans="1:1" ht="13" x14ac:dyDescent="0.3">
      <c r="A49" s="188" t="s">
        <v>73</v>
      </c>
    </row>
    <row r="50" spans="1:1" ht="18" customHeight="1" x14ac:dyDescent="0.25">
      <c r="A50" s="159" t="s">
        <v>74</v>
      </c>
    </row>
    <row r="51" spans="1:1" x14ac:dyDescent="0.25">
      <c r="A51" s="159" t="s">
        <v>75</v>
      </c>
    </row>
    <row r="52" spans="1:1" x14ac:dyDescent="0.25">
      <c r="A52" s="153" t="s">
        <v>76</v>
      </c>
    </row>
  </sheetData>
  <pageMargins left="0.75" right="0.75" top="1" bottom="1" header="0.5" footer="0.5"/>
  <pageSetup scale="75" orientation="portrait" horizontalDpi="4294967292" verticalDpi="300" r:id="rId1"/>
  <headerFooter alignWithMargins="0">
    <oddFooter>&amp;R&amp;8 1/10/2000
3-Year Forecast Outlook
&amp;F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83"/>
  <sheetViews>
    <sheetView workbookViewId="0">
      <pane xSplit="1" ySplit="1" topLeftCell="B48" activePane="bottomRight" state="frozen"/>
      <selection pane="topRight" activeCell="B1" sqref="B1"/>
      <selection pane="bottomLeft" activeCell="A2" sqref="A2"/>
      <selection pane="bottomRight" activeCell="B64" sqref="B64"/>
    </sheetView>
  </sheetViews>
  <sheetFormatPr defaultColWidth="9.1796875" defaultRowHeight="12.5" x14ac:dyDescent="0.25"/>
  <cols>
    <col min="1" max="1" width="9.1796875" style="191"/>
    <col min="2" max="2" width="12.54296875" style="191" customWidth="1"/>
    <col min="3" max="9" width="9.1796875" style="191"/>
    <col min="10" max="10" width="11.7265625" style="191" customWidth="1"/>
    <col min="11" max="11" width="9.1796875" style="191"/>
    <col min="12" max="12" width="11.54296875" style="191" customWidth="1"/>
    <col min="13" max="16384" width="9.1796875" style="191"/>
  </cols>
  <sheetData>
    <row r="1" spans="1:13" ht="13" thickBot="1" x14ac:dyDescent="0.3">
      <c r="A1" s="189" t="s">
        <v>77</v>
      </c>
      <c r="B1" s="190" t="s">
        <v>78</v>
      </c>
      <c r="C1" s="189" t="s">
        <v>79</v>
      </c>
      <c r="D1" s="189" t="s">
        <v>80</v>
      </c>
      <c r="E1" s="189" t="s">
        <v>81</v>
      </c>
      <c r="F1" s="189" t="s">
        <v>82</v>
      </c>
      <c r="G1" s="189" t="s">
        <v>83</v>
      </c>
      <c r="H1" s="189" t="s">
        <v>84</v>
      </c>
      <c r="I1" s="189" t="s">
        <v>85</v>
      </c>
      <c r="J1" s="189" t="s">
        <v>86</v>
      </c>
      <c r="K1" s="189" t="s">
        <v>87</v>
      </c>
      <c r="L1" s="189" t="s">
        <v>88</v>
      </c>
    </row>
    <row r="2" spans="1:13" x14ac:dyDescent="0.25">
      <c r="A2" s="191">
        <v>19851</v>
      </c>
      <c r="B2" s="191">
        <v>45857</v>
      </c>
      <c r="C2" s="193">
        <v>48.33</v>
      </c>
      <c r="D2" s="193">
        <v>10</v>
      </c>
      <c r="E2" s="194">
        <v>13.057</v>
      </c>
      <c r="F2" s="194">
        <v>11.583</v>
      </c>
      <c r="G2" s="194">
        <v>9.39</v>
      </c>
      <c r="H2" s="193">
        <v>815</v>
      </c>
      <c r="I2" s="193">
        <v>5602.4</v>
      </c>
      <c r="J2" s="193">
        <v>85423</v>
      </c>
      <c r="K2" s="195">
        <v>87.31</v>
      </c>
      <c r="L2" s="191">
        <v>88.08</v>
      </c>
    </row>
    <row r="3" spans="1:13" x14ac:dyDescent="0.25">
      <c r="A3" s="191">
        <v>19852</v>
      </c>
      <c r="B3" s="191">
        <v>59650</v>
      </c>
      <c r="C3" s="193">
        <v>52.67</v>
      </c>
      <c r="D3" s="193">
        <v>15</v>
      </c>
      <c r="E3" s="194">
        <v>12.776999999999999</v>
      </c>
      <c r="F3" s="194">
        <v>10.813000000000001</v>
      </c>
      <c r="G3" s="194">
        <v>8.4670000000000005</v>
      </c>
      <c r="H3" s="193">
        <v>1067</v>
      </c>
      <c r="I3" s="193">
        <v>5646.6</v>
      </c>
      <c r="J3" s="193">
        <v>86443.3</v>
      </c>
      <c r="K3" s="195">
        <v>88.69</v>
      </c>
      <c r="L3" s="191">
        <v>88.25</v>
      </c>
      <c r="M3" s="192"/>
    </row>
    <row r="4" spans="1:13" x14ac:dyDescent="0.25">
      <c r="A4" s="191">
        <v>19853</v>
      </c>
      <c r="B4" s="191">
        <v>70128</v>
      </c>
      <c r="C4" s="193">
        <v>51.33</v>
      </c>
      <c r="D4" s="193">
        <v>15</v>
      </c>
      <c r="E4" s="194">
        <v>12.137</v>
      </c>
      <c r="F4" s="194">
        <v>10.337</v>
      </c>
      <c r="G4" s="194">
        <v>7.9930000000000003</v>
      </c>
      <c r="H4" s="193">
        <v>1107</v>
      </c>
      <c r="I4" s="193">
        <v>5731.4</v>
      </c>
      <c r="J4" s="193">
        <v>86805</v>
      </c>
      <c r="K4" s="195">
        <v>90.21</v>
      </c>
      <c r="L4" s="191">
        <v>88.43</v>
      </c>
      <c r="M4" s="192"/>
    </row>
    <row r="5" spans="1:13" x14ac:dyDescent="0.25">
      <c r="A5" s="191">
        <v>19854</v>
      </c>
      <c r="B5" s="191">
        <v>70135</v>
      </c>
      <c r="C5" s="193">
        <v>49</v>
      </c>
      <c r="D5" s="193">
        <v>20</v>
      </c>
      <c r="E5" s="194">
        <v>11.727</v>
      </c>
      <c r="F5" s="194">
        <v>9.76</v>
      </c>
      <c r="G5" s="194">
        <v>7.8529999999999998</v>
      </c>
      <c r="H5" s="193">
        <v>916</v>
      </c>
      <c r="I5" s="193">
        <v>5778.8</v>
      </c>
      <c r="J5" s="193">
        <v>88273.7</v>
      </c>
      <c r="K5" s="195">
        <v>91.23</v>
      </c>
      <c r="L5" s="191">
        <v>88.61</v>
      </c>
      <c r="M5" s="192"/>
    </row>
    <row r="6" spans="1:13" x14ac:dyDescent="0.25">
      <c r="A6" s="191">
        <v>19861</v>
      </c>
      <c r="B6" s="191">
        <v>61969</v>
      </c>
      <c r="C6" s="193">
        <v>39</v>
      </c>
      <c r="D6" s="193">
        <v>30</v>
      </c>
      <c r="E6" s="194">
        <v>10.56</v>
      </c>
      <c r="F6" s="194">
        <v>8.5570000000000004</v>
      </c>
      <c r="G6" s="194">
        <v>7.4569999999999999</v>
      </c>
      <c r="H6" s="193">
        <v>911</v>
      </c>
      <c r="I6" s="193">
        <v>5831.1</v>
      </c>
      <c r="J6" s="193">
        <v>87788.3</v>
      </c>
      <c r="K6" s="195">
        <v>93</v>
      </c>
      <c r="L6" s="191">
        <v>88.78</v>
      </c>
      <c r="M6" s="192"/>
    </row>
    <row r="7" spans="1:13" x14ac:dyDescent="0.25">
      <c r="A7" s="191">
        <v>19862</v>
      </c>
      <c r="B7" s="191">
        <v>93807</v>
      </c>
      <c r="C7" s="193">
        <v>25.67</v>
      </c>
      <c r="D7" s="193">
        <v>30</v>
      </c>
      <c r="E7" s="194">
        <v>10.26</v>
      </c>
      <c r="F7" s="194">
        <v>7.6029999999999998</v>
      </c>
      <c r="G7" s="194">
        <v>6.6070000000000002</v>
      </c>
      <c r="H7" s="193">
        <v>1229</v>
      </c>
      <c r="I7" s="193">
        <v>5856</v>
      </c>
      <c r="J7" s="193">
        <v>89020</v>
      </c>
      <c r="K7" s="195">
        <v>94.92</v>
      </c>
      <c r="L7" s="191">
        <v>89.02</v>
      </c>
      <c r="M7" s="192"/>
    </row>
    <row r="8" spans="1:13" x14ac:dyDescent="0.25">
      <c r="A8" s="191">
        <v>19863</v>
      </c>
      <c r="B8" s="191">
        <v>120903</v>
      </c>
      <c r="C8" s="193">
        <v>27.33</v>
      </c>
      <c r="D8" s="193">
        <v>40</v>
      </c>
      <c r="E8" s="194">
        <v>10.24</v>
      </c>
      <c r="F8" s="194">
        <v>7.3070000000000004</v>
      </c>
      <c r="G8" s="194">
        <v>5.99</v>
      </c>
      <c r="H8" s="193">
        <v>1163</v>
      </c>
      <c r="I8" s="193">
        <v>5911.3</v>
      </c>
      <c r="J8" s="193">
        <v>89673</v>
      </c>
      <c r="K8" s="195">
        <v>96.36</v>
      </c>
      <c r="L8" s="191">
        <v>89.28</v>
      </c>
      <c r="M8" s="192"/>
    </row>
    <row r="9" spans="1:13" x14ac:dyDescent="0.25">
      <c r="A9" s="191">
        <v>19864</v>
      </c>
      <c r="B9" s="191">
        <v>123093</v>
      </c>
      <c r="C9" s="193">
        <v>31.67</v>
      </c>
      <c r="D9" s="193">
        <v>50</v>
      </c>
      <c r="E9" s="194">
        <v>9.6669999999999998</v>
      </c>
      <c r="F9" s="194">
        <v>7.2629999999999999</v>
      </c>
      <c r="G9" s="194">
        <v>5.7969999999999997</v>
      </c>
      <c r="H9" s="193">
        <v>1011</v>
      </c>
      <c r="I9" s="193">
        <v>5944.3</v>
      </c>
      <c r="J9" s="193">
        <v>90857.7</v>
      </c>
      <c r="K9" s="195">
        <v>97.97</v>
      </c>
      <c r="L9" s="191">
        <v>89.77</v>
      </c>
      <c r="M9" s="192"/>
    </row>
    <row r="10" spans="1:13" x14ac:dyDescent="0.25">
      <c r="A10" s="191">
        <v>19871</v>
      </c>
      <c r="B10" s="191">
        <v>89850</v>
      </c>
      <c r="C10" s="193">
        <v>27</v>
      </c>
      <c r="D10" s="193">
        <v>56</v>
      </c>
      <c r="E10" s="194">
        <v>9.1069999999999993</v>
      </c>
      <c r="F10" s="194">
        <v>7.1929999999999996</v>
      </c>
      <c r="G10" s="194">
        <v>5.923</v>
      </c>
      <c r="H10" s="193">
        <v>967</v>
      </c>
      <c r="I10" s="193">
        <v>5990.7</v>
      </c>
      <c r="J10" s="193">
        <v>90457</v>
      </c>
      <c r="K10" s="195">
        <v>100</v>
      </c>
      <c r="L10" s="191">
        <v>89.95</v>
      </c>
      <c r="M10" s="192"/>
    </row>
    <row r="11" spans="1:13" x14ac:dyDescent="0.25">
      <c r="A11" s="191">
        <v>19872</v>
      </c>
      <c r="B11" s="191">
        <v>122339</v>
      </c>
      <c r="C11" s="193">
        <v>28.67</v>
      </c>
      <c r="D11" s="193">
        <v>39</v>
      </c>
      <c r="E11" s="194">
        <v>10.323</v>
      </c>
      <c r="F11" s="194">
        <v>8.343</v>
      </c>
      <c r="G11" s="194">
        <v>6.7670000000000003</v>
      </c>
      <c r="H11" s="193">
        <v>1229</v>
      </c>
      <c r="I11" s="193">
        <v>6056.1</v>
      </c>
      <c r="J11" s="193">
        <v>92107.7</v>
      </c>
      <c r="K11" s="195">
        <v>101.73</v>
      </c>
      <c r="L11" s="191">
        <v>90.35</v>
      </c>
      <c r="M11" s="192"/>
    </row>
    <row r="12" spans="1:13" x14ac:dyDescent="0.25">
      <c r="A12" s="191">
        <v>19873</v>
      </c>
      <c r="B12" s="191">
        <v>100377</v>
      </c>
      <c r="C12" s="193">
        <v>51</v>
      </c>
      <c r="D12" s="193">
        <v>21.67</v>
      </c>
      <c r="E12" s="194">
        <v>10.5</v>
      </c>
      <c r="F12" s="194">
        <v>8.8770000000000007</v>
      </c>
      <c r="G12" s="194">
        <v>7.1269999999999998</v>
      </c>
      <c r="H12" s="193">
        <v>1109</v>
      </c>
      <c r="I12" s="193">
        <v>6108.3</v>
      </c>
      <c r="J12" s="193">
        <v>92527</v>
      </c>
      <c r="K12" s="195">
        <v>103.14</v>
      </c>
      <c r="L12" s="191">
        <v>90.79</v>
      </c>
      <c r="M12" s="192"/>
    </row>
    <row r="13" spans="1:13" x14ac:dyDescent="0.25">
      <c r="A13" s="191">
        <v>19874</v>
      </c>
      <c r="B13" s="191">
        <v>86666</v>
      </c>
      <c r="C13" s="193">
        <v>64.33</v>
      </c>
      <c r="D13" s="193">
        <v>18.5</v>
      </c>
      <c r="E13" s="194">
        <v>10.85</v>
      </c>
      <c r="F13" s="194">
        <v>9.1229999999999993</v>
      </c>
      <c r="G13" s="194">
        <v>7.24</v>
      </c>
      <c r="H13" s="193">
        <v>896</v>
      </c>
      <c r="I13" s="193">
        <v>6215.4</v>
      </c>
      <c r="J13" s="193">
        <v>94015.3</v>
      </c>
      <c r="K13" s="195">
        <v>104.03</v>
      </c>
      <c r="L13" s="191">
        <v>91.37</v>
      </c>
      <c r="M13" s="192"/>
    </row>
    <row r="14" spans="1:13" x14ac:dyDescent="0.25">
      <c r="A14" s="191">
        <v>19881</v>
      </c>
      <c r="B14" s="191">
        <v>76318</v>
      </c>
      <c r="C14" s="193">
        <v>61</v>
      </c>
      <c r="D14" s="193">
        <v>24.67</v>
      </c>
      <c r="E14" s="194">
        <v>10.067</v>
      </c>
      <c r="F14" s="194">
        <v>8.4169999999999998</v>
      </c>
      <c r="G14" s="194">
        <v>6.78</v>
      </c>
      <c r="H14" s="193">
        <v>880</v>
      </c>
      <c r="I14" s="193">
        <v>6257</v>
      </c>
      <c r="J14" s="193">
        <v>93383</v>
      </c>
      <c r="K14" s="195">
        <v>105.9</v>
      </c>
      <c r="L14" s="191">
        <v>91.53</v>
      </c>
      <c r="M14" s="192"/>
    </row>
    <row r="15" spans="1:13" x14ac:dyDescent="0.25">
      <c r="A15" s="191">
        <v>19882</v>
      </c>
      <c r="B15" s="191">
        <v>107209</v>
      </c>
      <c r="C15" s="193">
        <v>52</v>
      </c>
      <c r="D15" s="193">
        <v>23</v>
      </c>
      <c r="E15" s="194">
        <v>10.372999999999999</v>
      </c>
      <c r="F15" s="194">
        <v>8.91</v>
      </c>
      <c r="G15" s="194">
        <v>7.3</v>
      </c>
      <c r="H15" s="193">
        <v>1242</v>
      </c>
      <c r="I15" s="193">
        <v>6331</v>
      </c>
      <c r="J15" s="193">
        <v>94658.7</v>
      </c>
      <c r="K15" s="195">
        <v>108.25</v>
      </c>
      <c r="L15" s="191">
        <v>92.02</v>
      </c>
      <c r="M15" s="192"/>
    </row>
    <row r="16" spans="1:13" x14ac:dyDescent="0.25">
      <c r="A16" s="191">
        <v>19883</v>
      </c>
      <c r="B16" s="191">
        <v>111938</v>
      </c>
      <c r="C16" s="193">
        <v>61</v>
      </c>
      <c r="D16" s="193">
        <v>17.329999999999998</v>
      </c>
      <c r="E16" s="194">
        <v>10.503</v>
      </c>
      <c r="F16" s="194">
        <v>9.1</v>
      </c>
      <c r="G16" s="194">
        <v>8.0030000000000001</v>
      </c>
      <c r="H16" s="193">
        <v>1188</v>
      </c>
      <c r="I16" s="193">
        <v>6363.1</v>
      </c>
      <c r="J16" s="193">
        <v>95711.7</v>
      </c>
      <c r="K16" s="195">
        <v>109.56</v>
      </c>
      <c r="L16" s="191">
        <v>92.36</v>
      </c>
      <c r="M16" s="192"/>
    </row>
    <row r="17" spans="1:13" x14ac:dyDescent="0.25">
      <c r="A17" s="191">
        <v>19884</v>
      </c>
      <c r="B17" s="191">
        <v>101496</v>
      </c>
      <c r="C17" s="193">
        <v>59.33</v>
      </c>
      <c r="D17" s="193">
        <v>20.329999999999998</v>
      </c>
      <c r="E17" s="194">
        <v>10.393000000000001</v>
      </c>
      <c r="F17" s="194">
        <v>8.9570000000000007</v>
      </c>
      <c r="G17" s="194">
        <v>8.5269999999999992</v>
      </c>
      <c r="H17" s="196">
        <v>985</v>
      </c>
      <c r="I17" s="193">
        <v>6445</v>
      </c>
      <c r="J17" s="193">
        <v>96628.7</v>
      </c>
      <c r="K17" s="195">
        <v>110.65</v>
      </c>
      <c r="L17" s="191">
        <v>92.26</v>
      </c>
      <c r="M17" s="192"/>
    </row>
    <row r="18" spans="1:13" x14ac:dyDescent="0.25">
      <c r="A18" s="191">
        <v>19891</v>
      </c>
      <c r="B18" s="191">
        <v>88400</v>
      </c>
      <c r="C18" s="193">
        <v>55.67</v>
      </c>
      <c r="D18" s="193">
        <v>19.329999999999998</v>
      </c>
      <c r="E18" s="194">
        <v>10.803000000000001</v>
      </c>
      <c r="F18" s="194">
        <v>9.2070000000000007</v>
      </c>
      <c r="G18" s="194">
        <v>9.2899999999999991</v>
      </c>
      <c r="H18" s="197">
        <v>851</v>
      </c>
      <c r="I18" s="193">
        <v>6522.4</v>
      </c>
      <c r="J18" s="193">
        <v>96398.7</v>
      </c>
      <c r="K18" s="195">
        <v>112.19</v>
      </c>
      <c r="L18" s="191">
        <v>93.31</v>
      </c>
      <c r="M18" s="192"/>
    </row>
    <row r="19" spans="1:13" x14ac:dyDescent="0.25">
      <c r="A19" s="191">
        <v>19892</v>
      </c>
      <c r="B19" s="191">
        <v>95430</v>
      </c>
      <c r="C19" s="193">
        <v>51.67</v>
      </c>
      <c r="D19" s="193">
        <v>20</v>
      </c>
      <c r="E19" s="194">
        <v>10.673</v>
      </c>
      <c r="F19" s="194">
        <v>8.7729999999999997</v>
      </c>
      <c r="G19" s="194">
        <v>8.9269999999999996</v>
      </c>
      <c r="H19" s="197">
        <v>1067</v>
      </c>
      <c r="I19" s="193">
        <v>6556.9</v>
      </c>
      <c r="J19" s="193">
        <v>97465.3</v>
      </c>
      <c r="K19" s="195">
        <v>114</v>
      </c>
      <c r="L19" s="191">
        <v>93.21</v>
      </c>
      <c r="M19" s="192"/>
    </row>
    <row r="20" spans="1:13" x14ac:dyDescent="0.25">
      <c r="A20" s="191">
        <v>19893</v>
      </c>
      <c r="B20" s="191">
        <v>102693</v>
      </c>
      <c r="C20" s="193">
        <v>26.67</v>
      </c>
      <c r="D20" s="193">
        <v>26.33</v>
      </c>
      <c r="E20" s="194">
        <v>10</v>
      </c>
      <c r="F20" s="194">
        <v>8.1069999999999993</v>
      </c>
      <c r="G20" s="194">
        <v>8.0969999999999995</v>
      </c>
      <c r="H20" s="197">
        <v>1115</v>
      </c>
      <c r="I20" s="193">
        <v>6586.8</v>
      </c>
      <c r="J20" s="193">
        <v>97653</v>
      </c>
      <c r="K20" s="195">
        <v>116.74</v>
      </c>
      <c r="L20" s="191">
        <v>94.03</v>
      </c>
      <c r="M20" s="192"/>
    </row>
    <row r="21" spans="1:13" x14ac:dyDescent="0.25">
      <c r="A21" s="191">
        <v>19894</v>
      </c>
      <c r="B21" s="191">
        <v>107595</v>
      </c>
      <c r="C21" s="193">
        <v>23.33</v>
      </c>
      <c r="D21" s="193">
        <v>32</v>
      </c>
      <c r="E21" s="194">
        <v>9.82</v>
      </c>
      <c r="F21" s="194">
        <v>7.907</v>
      </c>
      <c r="G21" s="194">
        <v>7.827</v>
      </c>
      <c r="H21" s="197">
        <v>941</v>
      </c>
      <c r="I21" s="193">
        <v>6608.7</v>
      </c>
      <c r="J21" s="193">
        <v>98970</v>
      </c>
      <c r="K21" s="195">
        <v>117.97</v>
      </c>
      <c r="L21" s="191">
        <v>93.49</v>
      </c>
      <c r="M21" s="192"/>
    </row>
    <row r="22" spans="1:13" x14ac:dyDescent="0.25">
      <c r="A22" s="191">
        <v>19901</v>
      </c>
      <c r="B22" s="191">
        <v>95845</v>
      </c>
      <c r="C22" s="193">
        <v>23.67</v>
      </c>
      <c r="D22" s="193">
        <v>29.67</v>
      </c>
      <c r="E22" s="194">
        <v>10.122999999999999</v>
      </c>
      <c r="F22" s="194">
        <v>8.423</v>
      </c>
      <c r="G22" s="194">
        <v>8.1270000000000007</v>
      </c>
      <c r="H22" s="197">
        <v>842</v>
      </c>
      <c r="I22" s="193">
        <v>6689.2</v>
      </c>
      <c r="J22" s="193">
        <v>98003.3</v>
      </c>
      <c r="K22" s="195">
        <v>118.58</v>
      </c>
      <c r="L22" s="191">
        <v>93.93</v>
      </c>
      <c r="M22" s="192"/>
    </row>
    <row r="23" spans="1:13" x14ac:dyDescent="0.25">
      <c r="A23" s="191">
        <v>19902</v>
      </c>
      <c r="B23" s="191">
        <v>99129</v>
      </c>
      <c r="C23" s="193">
        <v>29.67</v>
      </c>
      <c r="D23" s="193">
        <v>22.67</v>
      </c>
      <c r="E23" s="194">
        <v>10.337</v>
      </c>
      <c r="F23" s="194">
        <v>8.6769999999999996</v>
      </c>
      <c r="G23" s="194">
        <v>8.2729999999999997</v>
      </c>
      <c r="H23" s="197">
        <v>1063</v>
      </c>
      <c r="I23" s="193">
        <v>6705.4</v>
      </c>
      <c r="J23" s="193">
        <v>99014</v>
      </c>
      <c r="K23" s="195">
        <v>118.93</v>
      </c>
      <c r="L23" s="191">
        <v>94.47</v>
      </c>
      <c r="M23" s="192"/>
    </row>
    <row r="24" spans="1:13" x14ac:dyDescent="0.25">
      <c r="A24" s="191">
        <v>19903</v>
      </c>
      <c r="B24" s="191">
        <v>99215</v>
      </c>
      <c r="C24" s="193">
        <v>28.67</v>
      </c>
      <c r="D24" s="193">
        <v>24</v>
      </c>
      <c r="E24" s="194">
        <v>10.106999999999999</v>
      </c>
      <c r="F24" s="194">
        <v>8.7029999999999994</v>
      </c>
      <c r="G24" s="194">
        <v>7.827</v>
      </c>
      <c r="H24" s="197">
        <v>1036</v>
      </c>
      <c r="I24" s="193">
        <v>6695.4</v>
      </c>
      <c r="J24" s="193">
        <v>98857</v>
      </c>
      <c r="K24" s="195">
        <v>119.44</v>
      </c>
      <c r="L24" s="191">
        <v>94.59</v>
      </c>
      <c r="M24" s="192"/>
    </row>
    <row r="25" spans="1:13" x14ac:dyDescent="0.25">
      <c r="A25" s="191">
        <v>19904</v>
      </c>
      <c r="B25" s="191">
        <v>82511</v>
      </c>
      <c r="C25" s="193">
        <v>30.33</v>
      </c>
      <c r="D25" s="193">
        <v>28.67</v>
      </c>
      <c r="E25" s="194">
        <v>9.9499999999999993</v>
      </c>
      <c r="F25" s="194">
        <v>8.3970000000000002</v>
      </c>
      <c r="G25" s="194">
        <v>7.3029999999999999</v>
      </c>
      <c r="H25" s="197">
        <v>814</v>
      </c>
      <c r="I25" s="193">
        <v>6643.9</v>
      </c>
      <c r="J25" s="193">
        <v>99371</v>
      </c>
      <c r="K25" s="195">
        <v>119.14</v>
      </c>
      <c r="L25" s="191">
        <v>94.4</v>
      </c>
      <c r="M25" s="192"/>
    </row>
    <row r="26" spans="1:13" x14ac:dyDescent="0.25">
      <c r="A26" s="191">
        <v>19911</v>
      </c>
      <c r="B26" s="191">
        <v>90540</v>
      </c>
      <c r="C26" s="193">
        <v>21.67</v>
      </c>
      <c r="D26" s="193">
        <v>43.33</v>
      </c>
      <c r="E26" s="194">
        <v>9.5030000000000001</v>
      </c>
      <c r="F26" s="194">
        <v>8.0169999999999995</v>
      </c>
      <c r="G26" s="194">
        <v>6.4370000000000003</v>
      </c>
      <c r="H26" s="197">
        <v>722</v>
      </c>
      <c r="I26" s="193">
        <v>6616.2</v>
      </c>
      <c r="J26" s="193">
        <v>97760.3</v>
      </c>
      <c r="K26" s="195">
        <v>120.17</v>
      </c>
      <c r="L26" s="191">
        <v>94.99</v>
      </c>
      <c r="M26" s="192"/>
    </row>
    <row r="27" spans="1:13" x14ac:dyDescent="0.25">
      <c r="A27" s="191">
        <v>19912</v>
      </c>
      <c r="B27" s="191">
        <v>120546</v>
      </c>
      <c r="C27" s="193">
        <v>21</v>
      </c>
      <c r="D27" s="193">
        <v>38.33</v>
      </c>
      <c r="E27" s="194">
        <v>9.5299999999999994</v>
      </c>
      <c r="F27" s="194">
        <v>8.1300000000000008</v>
      </c>
      <c r="G27" s="194">
        <v>6.2430000000000003</v>
      </c>
      <c r="H27" s="197">
        <v>1090</v>
      </c>
      <c r="I27" s="193">
        <v>6658.4</v>
      </c>
      <c r="J27" s="193">
        <v>99028.7</v>
      </c>
      <c r="K27" s="195">
        <v>121.07</v>
      </c>
      <c r="L27" s="191">
        <v>95.37</v>
      </c>
      <c r="M27" s="192"/>
    </row>
    <row r="28" spans="1:13" x14ac:dyDescent="0.25">
      <c r="A28" s="191">
        <v>19913</v>
      </c>
      <c r="B28" s="191">
        <v>134508</v>
      </c>
      <c r="C28" s="193">
        <v>24.33</v>
      </c>
      <c r="D28" s="193">
        <v>38.33</v>
      </c>
      <c r="E28" s="194">
        <v>9.2769999999999992</v>
      </c>
      <c r="F28" s="194">
        <v>7.94</v>
      </c>
      <c r="G28" s="194">
        <v>5.8869999999999996</v>
      </c>
      <c r="H28" s="197">
        <v>1021</v>
      </c>
      <c r="I28" s="193">
        <v>6680.2</v>
      </c>
      <c r="J28" s="193">
        <v>98996.7</v>
      </c>
      <c r="K28" s="195">
        <v>121.23</v>
      </c>
      <c r="L28" s="191">
        <v>95.57</v>
      </c>
      <c r="M28" s="192"/>
    </row>
    <row r="29" spans="1:13" x14ac:dyDescent="0.25">
      <c r="A29" s="191">
        <v>19914</v>
      </c>
      <c r="B29" s="191">
        <v>154281</v>
      </c>
      <c r="C29" s="193">
        <v>25</v>
      </c>
      <c r="D29" s="193">
        <v>59</v>
      </c>
      <c r="E29" s="194">
        <v>8.69</v>
      </c>
      <c r="F29" s="194">
        <v>7.3470000000000004</v>
      </c>
      <c r="G29" s="194">
        <v>4.867</v>
      </c>
      <c r="H29" s="197">
        <v>860</v>
      </c>
      <c r="I29" s="193">
        <v>6721.7</v>
      </c>
      <c r="J29" s="193">
        <v>99562.3</v>
      </c>
      <c r="K29" s="195">
        <v>122.97</v>
      </c>
      <c r="L29" s="191">
        <v>95.41</v>
      </c>
      <c r="M29" s="192"/>
    </row>
    <row r="30" spans="1:13" x14ac:dyDescent="0.25">
      <c r="A30" s="191">
        <v>19921</v>
      </c>
      <c r="B30" s="191">
        <v>209208</v>
      </c>
      <c r="C30" s="193">
        <v>17.670000000000002</v>
      </c>
      <c r="D30" s="193">
        <v>60</v>
      </c>
      <c r="E30" s="194">
        <v>8.7100000000000009</v>
      </c>
      <c r="F30" s="194">
        <v>7.3029999999999999</v>
      </c>
      <c r="G30" s="194">
        <v>4.3570000000000002</v>
      </c>
      <c r="H30" s="197">
        <v>840</v>
      </c>
      <c r="I30" s="193">
        <v>6792.9</v>
      </c>
      <c r="J30" s="193">
        <v>98700</v>
      </c>
      <c r="K30" s="195">
        <v>123.91</v>
      </c>
      <c r="L30" s="191">
        <v>96.29</v>
      </c>
      <c r="M30" s="192"/>
    </row>
    <row r="31" spans="1:13" x14ac:dyDescent="0.25">
      <c r="A31" s="191">
        <v>19922</v>
      </c>
      <c r="B31" s="191">
        <v>196829</v>
      </c>
      <c r="C31" s="193">
        <v>21</v>
      </c>
      <c r="D31" s="193">
        <v>40.33</v>
      </c>
      <c r="E31" s="194">
        <v>8.6769999999999996</v>
      </c>
      <c r="F31" s="194">
        <v>7.3769999999999998</v>
      </c>
      <c r="G31" s="194">
        <v>4.22</v>
      </c>
      <c r="H31" s="197">
        <v>1126</v>
      </c>
      <c r="I31" s="193">
        <v>6859.3</v>
      </c>
      <c r="J31" s="193">
        <v>100149</v>
      </c>
      <c r="K31" s="195">
        <v>123.96</v>
      </c>
      <c r="L31" s="191">
        <v>96.59</v>
      </c>
      <c r="M31" s="192"/>
    </row>
    <row r="32" spans="1:13" x14ac:dyDescent="0.25">
      <c r="A32" s="191">
        <v>19923</v>
      </c>
      <c r="B32" s="191">
        <v>198423</v>
      </c>
      <c r="C32" s="193">
        <v>20</v>
      </c>
      <c r="D32" s="193">
        <v>57.33</v>
      </c>
      <c r="E32" s="194">
        <v>8.01</v>
      </c>
      <c r="F32" s="194">
        <v>6.617</v>
      </c>
      <c r="G32" s="194">
        <v>3.4169999999999998</v>
      </c>
      <c r="H32" s="197">
        <v>1097</v>
      </c>
      <c r="I32" s="193">
        <v>6912.1</v>
      </c>
      <c r="J32" s="193">
        <v>100116.3</v>
      </c>
      <c r="K32" s="195">
        <v>125.16</v>
      </c>
      <c r="L32" s="191">
        <v>96.47</v>
      </c>
      <c r="M32" s="192"/>
    </row>
    <row r="33" spans="1:14" x14ac:dyDescent="0.25">
      <c r="A33" s="191">
        <v>19924</v>
      </c>
      <c r="B33" s="191">
        <v>214403</v>
      </c>
      <c r="C33" s="193">
        <v>22.67</v>
      </c>
      <c r="D33" s="193">
        <v>48.33</v>
      </c>
      <c r="E33" s="194">
        <v>8.2029999999999994</v>
      </c>
      <c r="F33" s="194">
        <v>6.7430000000000003</v>
      </c>
      <c r="G33" s="194">
        <v>3.5630000000000002</v>
      </c>
      <c r="H33" s="197">
        <v>1026</v>
      </c>
      <c r="I33" s="193">
        <v>7000</v>
      </c>
      <c r="J33" s="193">
        <v>100840.3</v>
      </c>
      <c r="K33" s="195">
        <v>125.85</v>
      </c>
      <c r="L33" s="191">
        <v>96.67</v>
      </c>
      <c r="M33" s="192"/>
    </row>
    <row r="34" spans="1:14" x14ac:dyDescent="0.25">
      <c r="A34" s="191">
        <v>19931</v>
      </c>
      <c r="B34" s="191">
        <v>164514</v>
      </c>
      <c r="C34" s="193">
        <v>22</v>
      </c>
      <c r="D34" s="193">
        <v>48.67</v>
      </c>
      <c r="E34" s="194">
        <v>7.7229999999999999</v>
      </c>
      <c r="F34" s="194">
        <v>6.28</v>
      </c>
      <c r="G34" s="194">
        <v>3.407</v>
      </c>
      <c r="H34" s="197">
        <v>843</v>
      </c>
      <c r="I34" s="193">
        <v>6986.9</v>
      </c>
      <c r="J34" s="193">
        <v>100055</v>
      </c>
      <c r="K34" s="195">
        <v>125.88</v>
      </c>
      <c r="L34" s="191">
        <v>97.08</v>
      </c>
      <c r="M34" s="192"/>
    </row>
    <row r="35" spans="1:14" x14ac:dyDescent="0.25">
      <c r="A35" s="191">
        <v>19932</v>
      </c>
      <c r="B35" s="191">
        <v>221606</v>
      </c>
      <c r="C35" s="193">
        <v>22</v>
      </c>
      <c r="D35" s="193">
        <v>54</v>
      </c>
      <c r="E35" s="194">
        <v>7.45</v>
      </c>
      <c r="F35" s="194">
        <v>5.99</v>
      </c>
      <c r="G35" s="194">
        <v>3.38</v>
      </c>
      <c r="H35" s="197">
        <v>1198</v>
      </c>
      <c r="I35" s="193">
        <v>7024</v>
      </c>
      <c r="J35" s="193">
        <v>101506.3</v>
      </c>
      <c r="K35" s="195">
        <v>126.99</v>
      </c>
      <c r="L35" s="191">
        <v>97.44</v>
      </c>
      <c r="M35" s="192"/>
    </row>
    <row r="36" spans="1:14" x14ac:dyDescent="0.25">
      <c r="A36" s="191">
        <v>19933</v>
      </c>
      <c r="B36" s="191">
        <v>253466</v>
      </c>
      <c r="C36" s="193">
        <v>17</v>
      </c>
      <c r="D36" s="193">
        <v>64</v>
      </c>
      <c r="E36" s="194">
        <v>7.077</v>
      </c>
      <c r="F36" s="194">
        <v>5.617</v>
      </c>
      <c r="G36" s="194">
        <v>3.423</v>
      </c>
      <c r="H36" s="197">
        <v>1258</v>
      </c>
      <c r="I36" s="193">
        <v>7050.8</v>
      </c>
      <c r="J36" s="193">
        <v>101782</v>
      </c>
      <c r="K36" s="195">
        <v>127.88</v>
      </c>
      <c r="L36" s="191">
        <v>98.34</v>
      </c>
      <c r="M36" s="192"/>
    </row>
    <row r="37" spans="1:14" x14ac:dyDescent="0.25">
      <c r="A37" s="191">
        <v>19934</v>
      </c>
      <c r="B37" s="191">
        <v>255795</v>
      </c>
      <c r="C37" s="193">
        <v>20.329999999999998</v>
      </c>
      <c r="D37" s="193">
        <v>64</v>
      </c>
      <c r="E37" s="194">
        <v>7.0529999999999999</v>
      </c>
      <c r="F37" s="194">
        <v>5.6070000000000002</v>
      </c>
      <c r="G37" s="194">
        <v>3.5270000000000001</v>
      </c>
      <c r="H37" s="197">
        <v>1154</v>
      </c>
      <c r="I37" s="193">
        <v>7155</v>
      </c>
      <c r="J37" s="193">
        <v>103114.7</v>
      </c>
      <c r="K37" s="195">
        <v>129.02000000000001</v>
      </c>
      <c r="L37" s="191">
        <v>98.42</v>
      </c>
      <c r="M37" s="192"/>
    </row>
    <row r="38" spans="1:14" x14ac:dyDescent="0.25">
      <c r="A38" s="191">
        <v>19941</v>
      </c>
      <c r="B38" s="191">
        <v>217443</v>
      </c>
      <c r="C38" s="193">
        <v>22.67</v>
      </c>
      <c r="D38" s="193">
        <v>51.67</v>
      </c>
      <c r="E38" s="194">
        <v>7.3</v>
      </c>
      <c r="F38" s="194">
        <v>6.0670000000000002</v>
      </c>
      <c r="G38" s="194">
        <v>3.91</v>
      </c>
      <c r="H38" s="197">
        <v>962</v>
      </c>
      <c r="I38" s="193">
        <v>7218.5</v>
      </c>
      <c r="J38" s="193">
        <v>102621</v>
      </c>
      <c r="K38" s="195">
        <v>129.96</v>
      </c>
      <c r="L38" s="191">
        <v>97.95</v>
      </c>
      <c r="M38" s="192"/>
    </row>
    <row r="39" spans="1:14" x14ac:dyDescent="0.25">
      <c r="A39" s="191">
        <v>19942</v>
      </c>
      <c r="B39" s="191">
        <v>171533</v>
      </c>
      <c r="C39" s="193">
        <v>36.67</v>
      </c>
      <c r="D39" s="193">
        <v>27</v>
      </c>
      <c r="E39" s="194">
        <v>8.4499999999999993</v>
      </c>
      <c r="F39" s="194">
        <v>7.0830000000000002</v>
      </c>
      <c r="G39" s="194">
        <v>5.133</v>
      </c>
      <c r="H39" s="197">
        <v>1330</v>
      </c>
      <c r="I39" s="193">
        <v>7319.8</v>
      </c>
      <c r="J39" s="193">
        <v>103794.7</v>
      </c>
      <c r="K39" s="195">
        <v>130.88999999999999</v>
      </c>
      <c r="L39" s="191">
        <v>98.45</v>
      </c>
      <c r="M39" s="192"/>
    </row>
    <row r="40" spans="1:14" x14ac:dyDescent="0.25">
      <c r="A40" s="191">
        <v>19943</v>
      </c>
      <c r="B40" s="191">
        <v>122713</v>
      </c>
      <c r="C40" s="193">
        <v>43.33</v>
      </c>
      <c r="D40" s="193">
        <v>16.670000000000002</v>
      </c>
      <c r="E40" s="194">
        <v>8.6069999999999993</v>
      </c>
      <c r="F40" s="194">
        <v>7.3330000000000002</v>
      </c>
      <c r="G40" s="194">
        <v>5.6</v>
      </c>
      <c r="H40" s="197">
        <v>1246</v>
      </c>
      <c r="I40" s="193">
        <v>7360.5</v>
      </c>
      <c r="J40" s="193">
        <v>104205.7</v>
      </c>
      <c r="K40" s="195">
        <v>131.53</v>
      </c>
      <c r="L40" s="191">
        <v>99.32</v>
      </c>
      <c r="M40" s="192"/>
    </row>
    <row r="41" spans="1:14" x14ac:dyDescent="0.25">
      <c r="A41" s="198">
        <v>19944</v>
      </c>
      <c r="B41" s="191">
        <v>113956</v>
      </c>
      <c r="C41" s="199">
        <v>53</v>
      </c>
      <c r="D41" s="199">
        <v>12.33</v>
      </c>
      <c r="E41" s="200">
        <v>9.1</v>
      </c>
      <c r="F41" s="200">
        <v>7.8369999999999997</v>
      </c>
      <c r="G41" s="200">
        <v>6.5970000000000004</v>
      </c>
      <c r="H41" s="197">
        <v>1049</v>
      </c>
      <c r="I41" s="199">
        <v>7452.3</v>
      </c>
      <c r="J41" s="199">
        <v>105957.7</v>
      </c>
      <c r="K41" s="195">
        <v>131.47</v>
      </c>
      <c r="L41" s="201">
        <v>99.64</v>
      </c>
      <c r="M41" s="192"/>
    </row>
    <row r="42" spans="1:14" x14ac:dyDescent="0.25">
      <c r="A42" s="202">
        <v>19951</v>
      </c>
      <c r="B42" s="198">
        <v>102337</v>
      </c>
      <c r="C42" s="203">
        <v>52</v>
      </c>
      <c r="D42" s="203">
        <v>11</v>
      </c>
      <c r="E42" s="204">
        <v>8.7899999999999991</v>
      </c>
      <c r="F42" s="204">
        <v>7.4820000000000002</v>
      </c>
      <c r="G42" s="204">
        <v>6.74</v>
      </c>
      <c r="H42" s="197">
        <v>867</v>
      </c>
      <c r="I42" s="203">
        <v>7480.4</v>
      </c>
      <c r="J42" s="203">
        <v>105122.7</v>
      </c>
      <c r="K42" s="195">
        <v>132.24</v>
      </c>
      <c r="L42" s="191">
        <v>99.78</v>
      </c>
      <c r="M42" s="192"/>
    </row>
    <row r="43" spans="1:14" x14ac:dyDescent="0.25">
      <c r="A43" s="202">
        <v>19952</v>
      </c>
      <c r="B43" s="205">
        <v>124534</v>
      </c>
      <c r="C43" s="206">
        <v>34.700000000000003</v>
      </c>
      <c r="D43" s="206">
        <v>17.7</v>
      </c>
      <c r="E43" s="204">
        <v>7.92</v>
      </c>
      <c r="F43" s="204">
        <v>6.62</v>
      </c>
      <c r="G43" s="204">
        <v>5.97</v>
      </c>
      <c r="H43" s="197">
        <v>1220</v>
      </c>
      <c r="I43" s="206">
        <v>7496</v>
      </c>
      <c r="J43" s="203">
        <v>105743.3</v>
      </c>
      <c r="K43" s="195">
        <v>134.38</v>
      </c>
      <c r="L43" s="191">
        <v>100.04</v>
      </c>
      <c r="M43" s="192"/>
    </row>
    <row r="44" spans="1:14" x14ac:dyDescent="0.25">
      <c r="A44" s="202">
        <v>19953</v>
      </c>
      <c r="B44" s="205">
        <v>168624</v>
      </c>
      <c r="C44" s="203">
        <v>23</v>
      </c>
      <c r="D44" s="203">
        <v>24</v>
      </c>
      <c r="E44" s="204">
        <v>7.7</v>
      </c>
      <c r="F44" s="204">
        <v>6.3230000000000004</v>
      </c>
      <c r="G44" s="204">
        <v>5.6529999999999996</v>
      </c>
      <c r="H44" s="197">
        <v>1329</v>
      </c>
      <c r="I44" s="203">
        <v>7555</v>
      </c>
      <c r="J44" s="203">
        <v>106018.7</v>
      </c>
      <c r="K44" s="195">
        <v>136.46</v>
      </c>
      <c r="L44" s="198">
        <v>99.9</v>
      </c>
      <c r="M44" s="192"/>
    </row>
    <row r="45" spans="1:14" x14ac:dyDescent="0.25">
      <c r="A45" s="202">
        <v>19954</v>
      </c>
      <c r="B45" s="208">
        <v>169255</v>
      </c>
      <c r="C45" s="203">
        <v>22.3</v>
      </c>
      <c r="D45" s="203">
        <v>35.299999999999997</v>
      </c>
      <c r="E45" s="204">
        <v>7.35</v>
      </c>
      <c r="F45" s="204">
        <v>5.8929999999999998</v>
      </c>
      <c r="G45" s="204">
        <v>5.4429999999999996</v>
      </c>
      <c r="H45" s="197">
        <v>1135</v>
      </c>
      <c r="I45" s="203">
        <v>7616.8</v>
      </c>
      <c r="J45" s="203">
        <v>107264</v>
      </c>
      <c r="K45" s="195">
        <v>137.66999999999999</v>
      </c>
      <c r="L45" s="206">
        <v>100.36199999999999</v>
      </c>
      <c r="M45" s="201"/>
      <c r="N45" s="201"/>
    </row>
    <row r="46" spans="1:14" x14ac:dyDescent="0.25">
      <c r="A46" s="202">
        <v>19961</v>
      </c>
      <c r="B46" s="208">
        <v>167128</v>
      </c>
      <c r="C46" s="203">
        <v>16</v>
      </c>
      <c r="D46" s="203">
        <v>43</v>
      </c>
      <c r="E46" s="207">
        <v>7.2430000000000003</v>
      </c>
      <c r="F46" s="207">
        <v>5.91</v>
      </c>
      <c r="G46" s="207">
        <v>5.1230000000000002</v>
      </c>
      <c r="H46" s="197">
        <v>987</v>
      </c>
      <c r="I46" s="203">
        <v>7671.4</v>
      </c>
      <c r="J46" s="203">
        <v>106471.3</v>
      </c>
      <c r="K46" s="195">
        <v>139.46</v>
      </c>
      <c r="L46" s="203">
        <v>100.47199999999999</v>
      </c>
      <c r="M46" s="192"/>
    </row>
    <row r="47" spans="1:14" x14ac:dyDescent="0.25">
      <c r="A47" s="202">
        <v>19962</v>
      </c>
      <c r="B47" s="208">
        <v>180355</v>
      </c>
      <c r="C47" s="203">
        <v>27.7</v>
      </c>
      <c r="D47" s="203">
        <v>23</v>
      </c>
      <c r="E47" s="204">
        <v>8.1069999999999993</v>
      </c>
      <c r="F47" s="204">
        <v>6.72</v>
      </c>
      <c r="G47" s="204">
        <v>5.6630000000000003</v>
      </c>
      <c r="H47" s="197">
        <v>1403</v>
      </c>
      <c r="I47" s="203">
        <v>7800.5</v>
      </c>
      <c r="J47" s="203">
        <v>107693</v>
      </c>
      <c r="K47" s="195">
        <v>140</v>
      </c>
      <c r="L47" s="209">
        <v>101.1</v>
      </c>
      <c r="M47" s="192"/>
    </row>
    <row r="48" spans="1:14" x14ac:dyDescent="0.25">
      <c r="A48" s="202">
        <v>19963</v>
      </c>
      <c r="B48" s="208">
        <v>163688</v>
      </c>
      <c r="C48" s="203">
        <v>33.299999999999997</v>
      </c>
      <c r="D48" s="203">
        <v>22</v>
      </c>
      <c r="E48" s="204">
        <v>8.16</v>
      </c>
      <c r="F48" s="204">
        <v>6.78</v>
      </c>
      <c r="G48" s="204">
        <v>5.7830000000000004</v>
      </c>
      <c r="H48" s="197">
        <v>1396</v>
      </c>
      <c r="I48" s="203">
        <v>7843.3</v>
      </c>
      <c r="J48" s="203">
        <v>108442.3</v>
      </c>
      <c r="K48" s="195">
        <v>140.81</v>
      </c>
      <c r="L48" s="203">
        <v>101.1</v>
      </c>
      <c r="M48" s="192"/>
    </row>
    <row r="49" spans="1:14" x14ac:dyDescent="0.25">
      <c r="A49" s="202">
        <v>19964</v>
      </c>
      <c r="B49" s="208">
        <v>166124</v>
      </c>
      <c r="C49" s="203">
        <v>29.3</v>
      </c>
      <c r="D49" s="203">
        <v>30.7</v>
      </c>
      <c r="E49" s="204">
        <v>7.7130000000000001</v>
      </c>
      <c r="F49" s="204">
        <v>6.718</v>
      </c>
      <c r="G49" s="204">
        <v>5.48</v>
      </c>
      <c r="H49" s="197">
        <v>1169</v>
      </c>
      <c r="I49" s="203">
        <v>7937.5</v>
      </c>
      <c r="J49" s="203">
        <v>109673</v>
      </c>
      <c r="K49" s="195">
        <v>141.99</v>
      </c>
      <c r="L49" s="203">
        <v>100.92</v>
      </c>
      <c r="M49" s="201"/>
      <c r="N49" s="201"/>
    </row>
    <row r="50" spans="1:14" x14ac:dyDescent="0.25">
      <c r="A50" s="202">
        <v>19971</v>
      </c>
      <c r="B50" s="208">
        <v>149442</v>
      </c>
      <c r="C50" s="203">
        <v>25.3</v>
      </c>
      <c r="D50" s="203">
        <v>27.7</v>
      </c>
      <c r="E50" s="204">
        <v>7.79</v>
      </c>
      <c r="F50" s="204">
        <v>6.5650000000000004</v>
      </c>
      <c r="G50" s="204">
        <v>5.6470000000000002</v>
      </c>
      <c r="H50" s="197">
        <v>1017</v>
      </c>
      <c r="I50" s="203">
        <v>8033.4</v>
      </c>
      <c r="J50" s="203">
        <v>109108.3</v>
      </c>
      <c r="K50" s="195">
        <v>143.52000000000001</v>
      </c>
      <c r="L50" s="203">
        <v>101.7</v>
      </c>
    </row>
    <row r="51" spans="1:14" x14ac:dyDescent="0.25">
      <c r="A51" s="202">
        <v>19972</v>
      </c>
      <c r="B51" s="208">
        <v>172476</v>
      </c>
      <c r="C51" s="203">
        <v>25.3</v>
      </c>
      <c r="D51" s="203">
        <v>23.7</v>
      </c>
      <c r="E51" s="204">
        <v>7.923</v>
      </c>
      <c r="F51" s="204">
        <v>6.7</v>
      </c>
      <c r="G51" s="204">
        <v>5.85</v>
      </c>
      <c r="H51" s="197">
        <v>1414</v>
      </c>
      <c r="I51" s="203">
        <v>8134.8</v>
      </c>
      <c r="J51" s="203">
        <v>110350.7</v>
      </c>
      <c r="K51" s="195">
        <v>144.87</v>
      </c>
      <c r="L51" s="203">
        <v>102</v>
      </c>
    </row>
    <row r="52" spans="1:14" x14ac:dyDescent="0.25">
      <c r="A52" s="202">
        <v>19973</v>
      </c>
      <c r="B52" s="208">
        <v>199354</v>
      </c>
      <c r="C52" s="203">
        <v>20.3</v>
      </c>
      <c r="D52" s="203">
        <v>30.3</v>
      </c>
      <c r="E52" s="204">
        <v>7.47</v>
      </c>
      <c r="F52" s="204">
        <v>6.2430000000000003</v>
      </c>
      <c r="G52" s="204">
        <v>5.54</v>
      </c>
      <c r="H52" s="197">
        <v>1475</v>
      </c>
      <c r="I52" s="203">
        <v>8214.7999999999993</v>
      </c>
      <c r="J52" s="203">
        <v>110734.7</v>
      </c>
      <c r="K52" s="195">
        <v>147.02000000000001</v>
      </c>
      <c r="L52" s="203">
        <v>102.4</v>
      </c>
    </row>
    <row r="53" spans="1:14" ht="13" thickBot="1" x14ac:dyDescent="0.3">
      <c r="A53" s="211">
        <v>19974</v>
      </c>
      <c r="B53" s="212">
        <v>235610</v>
      </c>
      <c r="C53" s="203">
        <v>17.3</v>
      </c>
      <c r="D53" s="209">
        <v>43</v>
      </c>
      <c r="E53" s="204">
        <v>7.2</v>
      </c>
      <c r="F53" s="204">
        <v>5.907</v>
      </c>
      <c r="G53" s="204">
        <v>5.4829999999999997</v>
      </c>
      <c r="H53" s="197">
        <v>1281</v>
      </c>
      <c r="I53" s="203">
        <v>8277.2999999999993</v>
      </c>
      <c r="J53" s="203">
        <v>111877.3</v>
      </c>
      <c r="K53" s="195">
        <v>149.19999999999999</v>
      </c>
      <c r="L53" s="203">
        <v>102.6</v>
      </c>
      <c r="M53" s="201"/>
      <c r="N53" s="201"/>
    </row>
    <row r="54" spans="1:14" ht="13" x14ac:dyDescent="0.3">
      <c r="A54" s="213">
        <v>19981</v>
      </c>
      <c r="B54" s="214">
        <v>278460.38</v>
      </c>
      <c r="C54" s="203">
        <v>13</v>
      </c>
      <c r="D54" s="203">
        <v>57</v>
      </c>
      <c r="E54" s="204">
        <v>7.0529999999999999</v>
      </c>
      <c r="F54" s="210">
        <v>5.5869999999999997</v>
      </c>
      <c r="G54" s="210">
        <v>5.3129999999999997</v>
      </c>
      <c r="H54" s="197">
        <v>1146</v>
      </c>
      <c r="I54" s="203">
        <v>8412.7000000000007</v>
      </c>
      <c r="J54" s="203">
        <v>110862.3</v>
      </c>
      <c r="K54" s="195">
        <v>151.5</v>
      </c>
      <c r="L54" s="203">
        <v>103.1</v>
      </c>
      <c r="M54" s="194"/>
      <c r="N54" s="201"/>
    </row>
    <row r="55" spans="1:14" ht="13" x14ac:dyDescent="0.3">
      <c r="A55" s="213">
        <v>19982</v>
      </c>
      <c r="B55" s="214">
        <v>310787.26</v>
      </c>
      <c r="C55" s="203">
        <v>14</v>
      </c>
      <c r="D55" s="203">
        <v>42.7</v>
      </c>
      <c r="E55" s="204">
        <v>7.093</v>
      </c>
      <c r="F55" s="204">
        <v>5.5970000000000004</v>
      </c>
      <c r="G55" s="204">
        <v>5.41</v>
      </c>
      <c r="H55" s="197">
        <v>1642</v>
      </c>
      <c r="I55" s="203">
        <v>8457.2000000000007</v>
      </c>
      <c r="J55" s="203">
        <v>111726</v>
      </c>
      <c r="K55" s="215">
        <v>153.26</v>
      </c>
      <c r="L55" s="203">
        <v>103.5</v>
      </c>
      <c r="M55" s="194"/>
      <c r="N55" s="201"/>
    </row>
    <row r="56" spans="1:14" ht="13" x14ac:dyDescent="0.3">
      <c r="A56" s="213">
        <v>19983</v>
      </c>
      <c r="B56" s="214">
        <v>314836.65999999997</v>
      </c>
      <c r="C56" s="203">
        <v>12.3</v>
      </c>
      <c r="D56" s="203">
        <v>48.7</v>
      </c>
      <c r="E56" s="204">
        <v>6.8656666666666668</v>
      </c>
      <c r="F56" s="204">
        <v>5.2033333333333331</v>
      </c>
      <c r="G56" s="204">
        <v>5.0933333333333337</v>
      </c>
      <c r="H56" s="197">
        <v>1636</v>
      </c>
      <c r="I56" s="203">
        <v>8536</v>
      </c>
      <c r="J56" s="203">
        <v>111759.7</v>
      </c>
      <c r="K56" s="203">
        <v>155.53</v>
      </c>
      <c r="L56" s="203">
        <v>103.5</v>
      </c>
      <c r="N56" s="201"/>
    </row>
    <row r="57" spans="1:14" ht="13" x14ac:dyDescent="0.3">
      <c r="A57" s="213">
        <v>19984</v>
      </c>
      <c r="B57" s="214">
        <v>383320.32000000001</v>
      </c>
      <c r="C57" s="203">
        <v>9.67</v>
      </c>
      <c r="D57" s="203">
        <v>59.3</v>
      </c>
      <c r="E57" s="204">
        <v>6.7729999999999997</v>
      </c>
      <c r="F57" s="204">
        <v>4.67</v>
      </c>
      <c r="G57" s="204">
        <v>4.3899999999999997</v>
      </c>
      <c r="H57" s="197">
        <v>1431</v>
      </c>
      <c r="I57" s="203">
        <v>8659.2000000000007</v>
      </c>
      <c r="J57" s="203">
        <v>113074</v>
      </c>
      <c r="K57" s="203">
        <v>157.41</v>
      </c>
      <c r="L57" s="203">
        <v>104</v>
      </c>
      <c r="N57" s="201"/>
    </row>
    <row r="58" spans="1:14" s="216" customFormat="1" ht="13" x14ac:dyDescent="0.3">
      <c r="A58" s="216">
        <v>19991</v>
      </c>
      <c r="B58" s="217">
        <v>348979.01</v>
      </c>
      <c r="C58" s="218">
        <v>12</v>
      </c>
      <c r="D58" s="218">
        <v>55</v>
      </c>
      <c r="E58" s="204">
        <v>6.88</v>
      </c>
      <c r="F58" s="204">
        <v>4.9829999999999997</v>
      </c>
      <c r="G58" s="204">
        <v>4.6630000000000003</v>
      </c>
      <c r="H58" s="219">
        <v>1226</v>
      </c>
      <c r="I58" s="203">
        <v>8737.9</v>
      </c>
      <c r="J58" s="203">
        <v>112633.7</v>
      </c>
      <c r="K58" s="203">
        <v>159.43</v>
      </c>
      <c r="L58" s="203">
        <v>104.5</v>
      </c>
      <c r="N58" s="201"/>
    </row>
    <row r="59" spans="1:14" s="216" customFormat="1" ht="13" x14ac:dyDescent="0.3">
      <c r="A59" s="216">
        <v>19992</v>
      </c>
      <c r="B59" s="216">
        <v>0</v>
      </c>
      <c r="C59" s="218">
        <v>17.3</v>
      </c>
      <c r="D59" s="218">
        <v>33.700000000000003</v>
      </c>
      <c r="E59" s="204">
        <v>7.2069999999999999</v>
      </c>
      <c r="F59" s="204">
        <v>5.54</v>
      </c>
      <c r="G59" s="204">
        <v>4.88</v>
      </c>
      <c r="H59" s="220">
        <v>1752</v>
      </c>
      <c r="I59" s="203">
        <v>8778.6</v>
      </c>
      <c r="J59" s="203">
        <v>113293.7</v>
      </c>
      <c r="K59" s="203">
        <v>162.08000000000001</v>
      </c>
      <c r="L59" s="203">
        <v>104.8</v>
      </c>
    </row>
    <row r="60" spans="1:14" s="216" customFormat="1" ht="13.5" thickBot="1" x14ac:dyDescent="0.35">
      <c r="A60" s="216">
        <v>19993</v>
      </c>
      <c r="B60" s="216">
        <v>0</v>
      </c>
      <c r="C60" s="218">
        <v>28</v>
      </c>
      <c r="D60" s="221">
        <v>21.6</v>
      </c>
      <c r="E60" s="204">
        <v>7.7969999999999997</v>
      </c>
      <c r="F60" s="204">
        <v>5.8769999999999998</v>
      </c>
      <c r="G60" s="204">
        <v>5.15</v>
      </c>
      <c r="H60" s="220">
        <v>1727</v>
      </c>
      <c r="I60" s="222">
        <v>8900.6</v>
      </c>
      <c r="J60" s="203">
        <v>113204</v>
      </c>
      <c r="K60" s="222">
        <v>164.93</v>
      </c>
      <c r="L60" s="222">
        <v>105.1</v>
      </c>
    </row>
    <row r="61" spans="1:14" s="216" customFormat="1" ht="13.5" thickBot="1" x14ac:dyDescent="0.35">
      <c r="A61" s="216">
        <v>19994</v>
      </c>
      <c r="B61" s="216">
        <v>0</v>
      </c>
      <c r="C61" s="223">
        <v>29.5</v>
      </c>
      <c r="D61" s="224">
        <v>25</v>
      </c>
      <c r="E61" s="225">
        <v>7.84</v>
      </c>
      <c r="F61" s="225">
        <v>6.14</v>
      </c>
      <c r="G61" s="225">
        <v>5.6066666666666665</v>
      </c>
      <c r="H61" s="226">
        <v>1416</v>
      </c>
      <c r="I61" s="227">
        <f>I60*('[1]Forecast Assumptions'!G21)^0.25</f>
        <v>8962.260489606655</v>
      </c>
      <c r="J61" s="222">
        <v>114568</v>
      </c>
      <c r="K61" s="227">
        <f>K60*('[1]Forecast Assumptions'!I21)^0.25</f>
        <v>166.95405962438147</v>
      </c>
      <c r="L61" s="228">
        <f>L60*('[1]Forecast Assumptions'!J21)^0.25</f>
        <v>105.36177039593514</v>
      </c>
    </row>
    <row r="62" spans="1:14" ht="13" x14ac:dyDescent="0.3">
      <c r="A62" s="216">
        <v>20001</v>
      </c>
      <c r="B62" s="216">
        <v>0</v>
      </c>
      <c r="C62" s="224">
        <v>30</v>
      </c>
      <c r="D62" s="224">
        <v>20</v>
      </c>
      <c r="E62" s="229">
        <v>8.2799999999999994</v>
      </c>
      <c r="F62" s="229">
        <v>6.65</v>
      </c>
      <c r="G62" s="229">
        <v>6.2233333333333336</v>
      </c>
      <c r="H62" s="231">
        <v>1267.3753153260434</v>
      </c>
      <c r="I62" s="227">
        <f>I61*('[1]Forecast Assumptions'!G22)^0.25</f>
        <v>9017.7570141928154</v>
      </c>
      <c r="J62" s="228">
        <f>J61*('[1]Forecast Assumptions'!H22)^0.25</f>
        <v>114853.35214768314</v>
      </c>
      <c r="K62" s="227">
        <f>K61*('[1]Forecast Assumptions'!I22)^0.25</f>
        <v>169.00295898297171</v>
      </c>
      <c r="L62" s="228">
        <f>L61*('[1]Forecast Assumptions'!J22)^0.25</f>
        <v>105.62419277798054</v>
      </c>
    </row>
    <row r="63" spans="1:14" ht="13" x14ac:dyDescent="0.3">
      <c r="A63" s="216">
        <v>20002</v>
      </c>
      <c r="B63" s="216">
        <v>0</v>
      </c>
      <c r="C63" s="224">
        <v>35</v>
      </c>
      <c r="D63" s="224">
        <v>20</v>
      </c>
      <c r="E63" s="229">
        <v>8.3733333333333331</v>
      </c>
      <c r="F63" s="229">
        <v>6.7433333333333332</v>
      </c>
      <c r="G63" s="229">
        <v>6.4033333333333333</v>
      </c>
      <c r="H63" s="231">
        <v>1699.4710930685017</v>
      </c>
      <c r="I63" s="227">
        <f>I62*('[1]Forecast Assumptions'!G23)^0.25</f>
        <v>9073.5971869294299</v>
      </c>
      <c r="J63" s="228">
        <f>J62*('[1]Forecast Assumptions'!H23)^0.25</f>
        <v>115139.41501605781</v>
      </c>
      <c r="K63" s="227">
        <f>K62*('[1]Forecast Assumptions'!I23)^0.25</f>
        <v>171.07700291481206</v>
      </c>
      <c r="L63" s="228">
        <f>L62*('[1]Forecast Assumptions'!J23)^0.25</f>
        <v>105.88726877002452</v>
      </c>
    </row>
    <row r="64" spans="1:14" ht="13" x14ac:dyDescent="0.3">
      <c r="A64" s="216">
        <v>20003</v>
      </c>
      <c r="B64" s="216">
        <v>0</v>
      </c>
      <c r="C64" s="224">
        <v>35</v>
      </c>
      <c r="D64" s="224">
        <v>20</v>
      </c>
      <c r="E64" s="229">
        <v>8.34</v>
      </c>
      <c r="F64" s="229">
        <v>6.71</v>
      </c>
      <c r="G64" s="229">
        <v>6.35</v>
      </c>
      <c r="H64" s="231">
        <v>1697.9232244937218</v>
      </c>
      <c r="I64" s="227">
        <f>I63*('[1]Forecast Assumptions'!G24)^0.25</f>
        <v>9129.7831357704963</v>
      </c>
      <c r="J64" s="228">
        <f>J63*('[1]Forecast Assumptions'!H24)^0.25</f>
        <v>115426.19037530135</v>
      </c>
      <c r="K64" s="227">
        <f>K63*('[1]Forecast Assumptions'!I24)^0.25</f>
        <v>173.17650000000009</v>
      </c>
      <c r="L64" s="228">
        <f>L63*('[1]Forecast Assumptions'!J24)^0.25</f>
        <v>106.15099999999998</v>
      </c>
    </row>
    <row r="65" spans="1:12" ht="13" x14ac:dyDescent="0.3">
      <c r="A65" s="216">
        <v>20004</v>
      </c>
      <c r="B65" s="216">
        <v>0</v>
      </c>
      <c r="C65" s="224">
        <v>35</v>
      </c>
      <c r="D65" s="224">
        <v>20</v>
      </c>
      <c r="E65" s="229">
        <v>8.2966666666666669</v>
      </c>
      <c r="F65" s="229">
        <v>6.666666666666667</v>
      </c>
      <c r="G65" s="229">
        <v>6.28</v>
      </c>
      <c r="H65" s="231">
        <v>1432.7944956114161</v>
      </c>
      <c r="I65" s="227">
        <f>I64*('[1]Forecast Assumptions'!G25)^0.25</f>
        <v>9186.3170018468263</v>
      </c>
      <c r="J65" s="228">
        <f>J64*('[1]Forecast Assumptions'!H25)^0.25</f>
        <v>115713.68000000001</v>
      </c>
      <c r="K65" s="227">
        <f>K64*('[1]Forecast Assumptions'!I25)^0.25</f>
        <v>175.30176260560063</v>
      </c>
      <c r="L65" s="228">
        <f>L64*('[1]Forecast Assumptions'!J25)^0.25</f>
        <v>106.41538809989449</v>
      </c>
    </row>
    <row r="66" spans="1:12" ht="13" x14ac:dyDescent="0.3">
      <c r="A66" s="213">
        <v>20011</v>
      </c>
      <c r="B66" s="216">
        <v>0</v>
      </c>
      <c r="C66" s="224">
        <v>33</v>
      </c>
      <c r="D66" s="224">
        <v>20</v>
      </c>
      <c r="E66" s="229">
        <v>8.26</v>
      </c>
      <c r="F66" s="230">
        <v>6.63</v>
      </c>
      <c r="G66" s="230">
        <v>6.2266666666666666</v>
      </c>
      <c r="H66" s="232">
        <v>1244.6101348778202</v>
      </c>
      <c r="I66" s="227">
        <f>I65*('[1]Forecast Assumptions'!G26)^0.25</f>
        <v>9243.2009395476398</v>
      </c>
      <c r="J66" s="228">
        <f>J65*('[1]Forecast Assumptions'!H26)^0.25</f>
        <v>116001.88566915998</v>
      </c>
      <c r="K66" s="227">
        <f>K65*('[1]Forecast Assumptions'!I26)^0.25</f>
        <v>177.45310693212036</v>
      </c>
      <c r="L66" s="228">
        <f>L65*('[1]Forecast Assumptions'!J26)^0.25</f>
        <v>106.68043470576035</v>
      </c>
    </row>
    <row r="67" spans="1:12" ht="13" x14ac:dyDescent="0.3">
      <c r="A67" s="213">
        <v>20012</v>
      </c>
      <c r="B67" s="216">
        <v>0</v>
      </c>
      <c r="C67" s="224">
        <v>30</v>
      </c>
      <c r="D67" s="224">
        <v>20</v>
      </c>
      <c r="E67" s="229">
        <v>8.23</v>
      </c>
      <c r="F67" s="230">
        <v>6.6</v>
      </c>
      <c r="G67" s="230">
        <v>6.1766666666666667</v>
      </c>
      <c r="H67" s="232">
        <v>1698.5394855829848</v>
      </c>
      <c r="I67" s="227">
        <f>I66*('[1]Forecast Assumptions'!G27)^0.25</f>
        <v>9300.4371166026704</v>
      </c>
      <c r="J67" s="228">
        <f>J66*('[1]Forecast Assumptions'!H27)^0.25</f>
        <v>116290.8091662184</v>
      </c>
      <c r="K67" s="227">
        <f>K66*('[1]Forecast Assumptions'!I27)^0.25</f>
        <v>179.63085306055274</v>
      </c>
      <c r="L67" s="228">
        <f>L66*('[1]Forecast Assumptions'!J27)^0.25</f>
        <v>106.94614145772476</v>
      </c>
    </row>
    <row r="68" spans="1:12" ht="13" x14ac:dyDescent="0.3">
      <c r="A68" s="213">
        <v>20013</v>
      </c>
      <c r="B68" s="216">
        <v>0</v>
      </c>
      <c r="C68" s="224">
        <v>30</v>
      </c>
      <c r="D68" s="224">
        <v>20</v>
      </c>
      <c r="E68" s="229">
        <v>8.1966666666666654</v>
      </c>
      <c r="F68" s="230">
        <v>6.5666666666666664</v>
      </c>
      <c r="G68" s="230">
        <v>6.123333333333334</v>
      </c>
      <c r="H68" s="232">
        <v>1691.8765185309589</v>
      </c>
      <c r="I68" s="227">
        <f>I67*('[1]Forecast Assumptions'!G28)^0.25</f>
        <v>9358.0277141647621</v>
      </c>
      <c r="J68" s="228">
        <f>J67*('[1]Forecast Assumptions'!H28)^0.25</f>
        <v>116580.45227905437</v>
      </c>
      <c r="K68" s="227">
        <f>K67*('[1]Forecast Assumptions'!I28)^0.25</f>
        <v>181.83532500000015</v>
      </c>
      <c r="L68" s="228">
        <f>L67*('[1]Forecast Assumptions'!J28)^0.25</f>
        <v>107.21250999999998</v>
      </c>
    </row>
    <row r="69" spans="1:12" ht="13" x14ac:dyDescent="0.3">
      <c r="A69" s="213">
        <v>20014</v>
      </c>
      <c r="B69" s="216">
        <v>0</v>
      </c>
      <c r="C69" s="224">
        <v>30</v>
      </c>
      <c r="D69" s="224">
        <v>20</v>
      </c>
      <c r="E69" s="229">
        <v>8.17</v>
      </c>
      <c r="F69" s="230">
        <v>6.54</v>
      </c>
      <c r="G69" s="230">
        <v>6.086666666666666</v>
      </c>
      <c r="H69" s="232">
        <v>1460.8148748631295</v>
      </c>
      <c r="I69" s="227">
        <f>I68*('[1]Forecast Assumptions'!G29)^0.25</f>
        <v>9415.9749268929991</v>
      </c>
      <c r="J69" s="228">
        <f>J68*('[1]Forecast Assumptions'!H29)^0.25</f>
        <v>116870.81680000002</v>
      </c>
      <c r="K69" s="227">
        <f>K68*('[1]Forecast Assumptions'!I29)^0.25</f>
        <v>184.06685073588071</v>
      </c>
      <c r="L69" s="228">
        <f>L68*('[1]Forecast Assumptions'!J29)^0.25</f>
        <v>107.47954198089343</v>
      </c>
    </row>
    <row r="70" spans="1:12" x14ac:dyDescent="0.25">
      <c r="C70" s="233"/>
      <c r="D70" s="233"/>
      <c r="E70" s="194"/>
      <c r="G70" s="194"/>
    </row>
    <row r="71" spans="1:12" x14ac:dyDescent="0.25">
      <c r="C71" s="234"/>
      <c r="D71" s="234"/>
      <c r="E71" s="234"/>
      <c r="G71" s="234"/>
      <c r="H71" s="197"/>
    </row>
    <row r="72" spans="1:12" ht="13" x14ac:dyDescent="0.3">
      <c r="C72" s="234"/>
      <c r="D72" s="234"/>
      <c r="E72" s="231"/>
      <c r="F72" s="194"/>
      <c r="G72" s="231"/>
    </row>
    <row r="73" spans="1:12" ht="13" x14ac:dyDescent="0.3">
      <c r="E73" s="231"/>
      <c r="F73" s="194"/>
      <c r="G73" s="231"/>
    </row>
    <row r="74" spans="1:12" ht="13" x14ac:dyDescent="0.3">
      <c r="E74" s="231"/>
      <c r="F74" s="194"/>
      <c r="G74" s="231"/>
    </row>
    <row r="75" spans="1:12" ht="13" x14ac:dyDescent="0.3">
      <c r="E75" s="231"/>
      <c r="F75" s="194"/>
      <c r="G75" s="231"/>
    </row>
    <row r="76" spans="1:12" ht="13" x14ac:dyDescent="0.3">
      <c r="E76" s="231"/>
      <c r="F76" s="194"/>
      <c r="G76" s="231"/>
    </row>
    <row r="77" spans="1:12" ht="13" x14ac:dyDescent="0.3">
      <c r="E77" s="231"/>
      <c r="F77" s="194"/>
      <c r="G77" s="231"/>
    </row>
    <row r="78" spans="1:12" ht="13" x14ac:dyDescent="0.3">
      <c r="E78" s="231"/>
      <c r="F78" s="194"/>
      <c r="G78" s="231"/>
    </row>
    <row r="79" spans="1:12" ht="13" x14ac:dyDescent="0.3">
      <c r="E79" s="231"/>
      <c r="F79" s="194"/>
      <c r="G79" s="231"/>
    </row>
    <row r="80" spans="1:12" ht="13" x14ac:dyDescent="0.3">
      <c r="E80" s="231"/>
      <c r="F80" s="194"/>
      <c r="G80" s="231"/>
    </row>
    <row r="81" spans="5:7" ht="13" x14ac:dyDescent="0.3">
      <c r="E81" s="231"/>
      <c r="F81" s="194"/>
      <c r="G81" s="231"/>
    </row>
    <row r="82" spans="5:7" ht="13" x14ac:dyDescent="0.3">
      <c r="E82" s="231"/>
      <c r="F82" s="231"/>
      <c r="G82" s="231"/>
    </row>
    <row r="83" spans="5:7" ht="13" x14ac:dyDescent="0.3">
      <c r="E83" s="231"/>
    </row>
  </sheetData>
  <printOptions horizontalCentered="1"/>
  <pageMargins left="0.55000000000000004" right="0.75" top="1" bottom="1" header="0.5" footer="0.5"/>
  <pageSetup scale="69" orientation="portrait" horizontalDpi="4294967292" verticalDpi="300" r:id="rId1"/>
  <headerFooter alignWithMargins="0">
    <oddHeader>&amp;C&amp;A</oddHeader>
    <oddFooter>&amp;CPrepared:  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Outlook</vt:lpstr>
      <vt:lpstr>View</vt:lpstr>
      <vt:lpstr>Market Origination Database</vt:lpstr>
      <vt:lpstr>'Market Origination Database'!Print_Area</vt:lpstr>
      <vt:lpstr>Outlook!Print_Area</vt:lpstr>
      <vt:lpstr>View!Print_Area</vt:lpstr>
      <vt:lpstr>Print_Area_MI</vt:lpstr>
      <vt:lpstr>'Market Origination Database'!Print_Titles</vt:lpstr>
    </vt:vector>
  </TitlesOfParts>
  <Company>Federal Home Loan Mortgage 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Freddie Mac</dc:creator>
  <cp:lastModifiedBy>Carina Negreanu</cp:lastModifiedBy>
  <cp:lastPrinted>2000-01-14T17:03:38Z</cp:lastPrinted>
  <dcterms:created xsi:type="dcterms:W3CDTF">2000-01-14T16:57:03Z</dcterms:created>
  <dcterms:modified xsi:type="dcterms:W3CDTF">2020-01-27T11:10:29Z</dcterms:modified>
</cp:coreProperties>
</file>