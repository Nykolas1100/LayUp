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D4986D8-8257-48A7-9BC0-2A55CBD2F1B6}" xr6:coauthVersionLast="45" xr6:coauthVersionMax="45" xr10:uidLastSave="{00000000-0000-0000-0000-000000000000}"/>
  <bookViews>
    <workbookView xWindow="3420" yWindow="3420" windowWidth="28800" windowHeight="15460"/>
  </bookViews>
  <sheets>
    <sheet name="Sheet1" sheetId="1" r:id="rId1"/>
  </sheets>
  <externalReferences>
    <externalReference r:id="rId2"/>
    <externalReference r:id="rId3"/>
    <externalReference r:id="rId4"/>
  </externalReferences>
  <calcPr calcId="0" calcMode="manual"/>
</workbook>
</file>

<file path=xl/calcChain.xml><?xml version="1.0" encoding="utf-8"?>
<calcChain xmlns="http://schemas.openxmlformats.org/spreadsheetml/2006/main">
  <c r="B9" i="1" l="1"/>
  <c r="C9" i="1"/>
  <c r="D9" i="1"/>
  <c r="E9" i="1"/>
  <c r="F9" i="1"/>
  <c r="B18" i="1"/>
  <c r="C18" i="1"/>
  <c r="D18" i="1"/>
  <c r="E18" i="1"/>
  <c r="F18" i="1"/>
  <c r="F24" i="1"/>
  <c r="B32" i="1"/>
  <c r="C32" i="1"/>
  <c r="D32" i="1"/>
  <c r="F32" i="1"/>
  <c r="G32" i="1"/>
  <c r="G33" i="1"/>
  <c r="B34" i="1"/>
  <c r="C34" i="1"/>
  <c r="D34" i="1"/>
  <c r="F34" i="1"/>
  <c r="G34" i="1"/>
  <c r="E38" i="1"/>
  <c r="D40" i="1"/>
  <c r="D41" i="1"/>
  <c r="D42" i="1"/>
  <c r="E42" i="1"/>
  <c r="E43" i="1"/>
  <c r="E46" i="1"/>
  <c r="E47" i="1"/>
  <c r="E48" i="1"/>
  <c r="E49" i="1"/>
  <c r="E52" i="1"/>
  <c r="E53" i="1"/>
  <c r="E54" i="1"/>
  <c r="E55" i="1"/>
  <c r="E56" i="1"/>
  <c r="B60" i="1"/>
  <c r="C60" i="1"/>
  <c r="D60" i="1"/>
  <c r="E60" i="1"/>
  <c r="F60" i="1"/>
  <c r="G60" i="1"/>
  <c r="B61" i="1"/>
  <c r="C61" i="1"/>
  <c r="D61" i="1"/>
  <c r="F61" i="1"/>
  <c r="B62" i="1"/>
  <c r="C62" i="1"/>
  <c r="D62" i="1"/>
  <c r="E62" i="1"/>
  <c r="F62" i="1"/>
  <c r="G62" i="1"/>
  <c r="B63" i="1"/>
  <c r="C63" i="1"/>
  <c r="D63" i="1"/>
  <c r="E63" i="1"/>
  <c r="F63" i="1"/>
  <c r="G63" i="1"/>
  <c r="B64" i="1"/>
  <c r="C64" i="1"/>
  <c r="D64" i="1"/>
  <c r="E64" i="1"/>
  <c r="F64" i="1"/>
  <c r="G64" i="1"/>
  <c r="B65" i="1"/>
  <c r="C65" i="1"/>
  <c r="D65" i="1"/>
  <c r="E65" i="1"/>
  <c r="F65" i="1"/>
  <c r="G65" i="1"/>
  <c r="B66" i="1"/>
  <c r="C66" i="1"/>
  <c r="D66" i="1"/>
  <c r="E66" i="1"/>
  <c r="F66" i="1"/>
  <c r="G66" i="1"/>
  <c r="B67" i="1"/>
  <c r="C67" i="1"/>
  <c r="D67" i="1"/>
  <c r="E67" i="1"/>
  <c r="F67" i="1"/>
  <c r="G67" i="1"/>
  <c r="B68" i="1"/>
  <c r="C68" i="1"/>
  <c r="D68" i="1"/>
  <c r="F68" i="1"/>
  <c r="G68" i="1"/>
  <c r="B71" i="1"/>
  <c r="C71" i="1"/>
  <c r="D71" i="1"/>
  <c r="E71" i="1"/>
  <c r="F71" i="1"/>
  <c r="G71" i="1"/>
  <c r="B72" i="1"/>
  <c r="C72" i="1"/>
  <c r="D72" i="1"/>
  <c r="F72" i="1"/>
  <c r="G72" i="1"/>
  <c r="B73" i="1"/>
  <c r="C73" i="1"/>
  <c r="D73" i="1"/>
  <c r="E73" i="1"/>
  <c r="F73" i="1"/>
  <c r="G73" i="1"/>
  <c r="B74" i="1"/>
  <c r="C74" i="1"/>
  <c r="D74" i="1"/>
  <c r="E74" i="1"/>
  <c r="F74" i="1"/>
  <c r="G74" i="1"/>
  <c r="E77" i="1"/>
  <c r="E78" i="1"/>
  <c r="E79" i="1"/>
  <c r="E80" i="1"/>
  <c r="E82" i="1"/>
  <c r="E83" i="1"/>
  <c r="E84" i="1"/>
  <c r="E85" i="1"/>
  <c r="G94" i="1"/>
  <c r="H94" i="1"/>
  <c r="F95" i="1"/>
  <c r="G95" i="1"/>
  <c r="H95" i="1"/>
  <c r="F96" i="1"/>
  <c r="G96" i="1"/>
  <c r="H96" i="1"/>
  <c r="E99" i="1"/>
  <c r="G99" i="1"/>
  <c r="H99" i="1"/>
  <c r="G100" i="1"/>
  <c r="E101" i="1"/>
  <c r="G101" i="1"/>
  <c r="H101" i="1"/>
  <c r="E102" i="1"/>
  <c r="G102" i="1"/>
  <c r="H102" i="1"/>
  <c r="E103" i="1"/>
  <c r="E104" i="1"/>
  <c r="G104" i="1"/>
  <c r="H104" i="1"/>
  <c r="E105" i="1"/>
  <c r="G105" i="1"/>
  <c r="H105" i="1"/>
  <c r="E106" i="1"/>
  <c r="G106" i="1"/>
  <c r="H106" i="1"/>
  <c r="E109" i="1"/>
  <c r="F109" i="1"/>
  <c r="G109" i="1"/>
  <c r="H109" i="1"/>
  <c r="E110" i="1"/>
  <c r="F110" i="1"/>
  <c r="G110" i="1"/>
  <c r="H110" i="1"/>
  <c r="E111" i="1"/>
  <c r="F111" i="1"/>
  <c r="G111" i="1"/>
  <c r="H111" i="1"/>
  <c r="E112" i="1"/>
  <c r="F112" i="1"/>
  <c r="G112" i="1"/>
  <c r="H112" i="1"/>
  <c r="E113" i="1"/>
  <c r="G115" i="1"/>
  <c r="H115" i="1"/>
  <c r="G116" i="1"/>
  <c r="H116" i="1"/>
  <c r="G117" i="1"/>
  <c r="H117" i="1"/>
  <c r="G120" i="1"/>
  <c r="H120" i="1"/>
  <c r="G121" i="1"/>
  <c r="H121" i="1"/>
</calcChain>
</file>

<file path=xl/comments1.xml><?xml version="1.0" encoding="utf-8"?>
<comments xmlns="http://schemas.openxmlformats.org/spreadsheetml/2006/main">
  <authors>
    <author/>
  </authors>
  <commentList>
    <comment ref="E4" authorId="0" shapeId="0">
      <text>
        <r>
          <rPr>
            <sz val="9"/>
            <color indexed="81"/>
            <rFont val="Tahoma"/>
            <family val="2"/>
          </rPr>
          <t>A set of parameters will be provided for each department in the game's dataset; parameters from the active departments will be the only ones used.</t>
        </r>
      </text>
    </comment>
    <comment ref="F4" authorId="0" shapeId="0">
      <text>
        <r>
          <rPr>
            <sz val="9"/>
            <color indexed="81"/>
            <rFont val="Tahoma"/>
            <family val="2"/>
          </rPr>
          <t>This reflects the space used by central administrative and support services: ie, functions not associated with departments.</t>
        </r>
      </text>
    </comment>
    <comment ref="A5" authorId="0" shapeId="0">
      <text>
        <r>
          <rPr>
            <sz val="9"/>
            <color indexed="81"/>
            <rFont val="Tahoma"/>
            <family val="2"/>
          </rPr>
          <t>These get escallated from year to year according using the same factor as in the residence hall section at cell G88.</t>
        </r>
      </text>
    </comment>
    <comment ref="A17" authorId="0" shapeId="0">
      <text>
        <r>
          <rPr>
            <sz val="9"/>
            <color indexed="81"/>
            <rFont val="Tahoma"/>
            <family val="2"/>
          </rPr>
          <t>Use the initialization values for enrollments, faculty numbers and research volume (as in the faculty sims) to get normal sf and normal O&amp;M. To get actual sf, displace the normal sf figures by a random normal deviate: tentatively with mean 0 and standard deviation equal to 5% of the normal sf value. The mean value may depend on the scenario: e.g., a negative value would reflect a scenario for an institution with a facilities problem, a positive one an institution with overcapacity.</t>
        </r>
      </text>
    </comment>
    <comment ref="E31" authorId="0" shapeId="0">
      <text>
        <r>
          <rPr>
            <sz val="9"/>
            <color indexed="81"/>
            <rFont val="Tahoma"/>
            <family val="2"/>
          </rPr>
          <t>Plugged number to represent the remainder of the active departments.</t>
        </r>
      </text>
    </comment>
    <comment ref="F31" authorId="0" shapeId="0">
      <text>
        <r>
          <rPr>
            <sz val="9"/>
            <color indexed="81"/>
            <rFont val="Tahoma"/>
            <family val="2"/>
          </rPr>
          <t>This reflects the space used by central administrative and support services: ie, functions not associated with departments.</t>
        </r>
      </text>
    </comment>
    <comment ref="A32" authorId="0" shapeId="0">
      <text>
        <r>
          <rPr>
            <sz val="9"/>
            <color indexed="81"/>
            <rFont val="Tahoma"/>
            <family val="2"/>
          </rPr>
          <t>Based on the prior year's enrollments and research, but the current year's faculty numbers. Ie, this routine should run after the resource allocation routine, which determines faculty numbers for the year.</t>
        </r>
      </text>
    </comment>
    <comment ref="A33" authorId="0" shapeId="0">
      <text>
        <r>
          <rPr>
            <sz val="9"/>
            <color indexed="81"/>
            <rFont val="Tahoma"/>
            <family val="2"/>
          </rPr>
          <t>Equals sf at the beginning of the prior year plus NEW CONSTRCUTION COMPLETED during the prior year. This is the amount of space actually available for use during the year.</t>
        </r>
      </text>
    </comment>
    <comment ref="A34" authorId="0" shapeId="0">
      <text>
        <r>
          <rPr>
            <sz val="9"/>
            <color indexed="81"/>
            <rFont val="Tahoma"/>
            <family val="2"/>
          </rPr>
          <t xml:space="preserve">Should be recalculated whenever new sf get completed.
</t>
        </r>
      </text>
    </comment>
    <comment ref="E36" authorId="0" shapeId="0">
      <text>
        <r>
          <rPr>
            <sz val="9"/>
            <color indexed="81"/>
            <rFont val="Tahoma"/>
            <family val="2"/>
          </rPr>
          <t xml:space="preserve">Deferred maintenance gets worse by this amount unless attended to.
</t>
        </r>
      </text>
    </comment>
    <comment ref="E38" authorId="0" shapeId="0">
      <text>
        <r>
          <rPr>
            <sz val="9"/>
            <color indexed="81"/>
            <rFont val="Tahoma"/>
            <family val="2"/>
          </rPr>
          <t>Initialize this a random normal deviate with mean and standard deviation both equal to 100% of total normal O&amp;M (however, the deviations should be truncated at zero since negative values aren't allowed.</t>
        </r>
      </text>
    </comment>
    <comment ref="D39" authorId="0" shapeId="0">
      <text>
        <r>
          <rPr>
            <sz val="9"/>
            <color indexed="81"/>
            <rFont val="Tahoma"/>
            <family val="2"/>
          </rPr>
          <t>The deferred maintenacne backlog should get recalculated on a mmonthly basis because both actual and normal O&amp;M may change from month to month. (The new O&amp;M values take effect the month after the player makes the change.) The year-end value is the sum of the monthly changes.</t>
        </r>
      </text>
    </comment>
    <comment ref="A46" authorId="0" shapeId="0">
      <text>
        <r>
          <rPr>
            <sz val="9"/>
            <color indexed="81"/>
            <rFont val="Tahoma"/>
            <family val="2"/>
          </rPr>
          <t>Calculated once at the beginning of the year, right after the RA module, based on the beginning balance sheet and the current year's budgeted operating expense.</t>
        </r>
      </text>
    </comment>
    <comment ref="A47" authorId="0" shapeId="0">
      <text>
        <r>
          <rPr>
            <sz val="9"/>
            <color indexed="81"/>
            <rFont val="Tahoma"/>
            <family val="2"/>
          </rPr>
          <t>Player can change this any time: like changes in the transfer to capital reserve, such changes can initiate a new round of construction.</t>
        </r>
      </text>
    </comment>
    <comment ref="E47" authorId="0" shapeId="0">
      <text>
        <r>
          <rPr>
            <sz val="9"/>
            <color indexed="81"/>
            <rFont val="Tahoma"/>
            <family val="2"/>
          </rPr>
          <t xml:space="preserve">The 0.1 x debt capacity is used for testing only.
</t>
        </r>
      </text>
    </comment>
    <comment ref="A54" authorId="0" shapeId="0">
      <text>
        <r>
          <rPr>
            <sz val="9"/>
            <color indexed="81"/>
            <rFont val="Tahoma"/>
            <family val="2"/>
          </rPr>
          <t>This is the transfer to plant as determined by the RA procudure that has just been run. Player can CHANGE this amount during the year as indicated on the facilities interface screen. Player should be able to CHANGE the MINIMUM BALANCE in mid-year as well. REDUCTIONS in the capital transfer are ok as long as the balance doesn't fall below zero (it's ok to go below the minimum balance). INCREASES that produce an exess over the minimum balance should initiate a new round of facilities construction.</t>
        </r>
      </text>
    </comment>
    <comment ref="E54" authorId="0" shapeId="0">
      <text>
        <r>
          <rPr>
            <sz val="9"/>
            <color indexed="81"/>
            <rFont val="Tahoma"/>
            <family val="2"/>
          </rPr>
          <t>There may be error in cellF259 of the RA spreadsheet; should equal E259. I found a problem i my version but I may have iintroduced it accidently after I sent the last version to you.</t>
        </r>
      </text>
    </comment>
    <comment ref="A68" authorId="0" shapeId="0">
      <text>
        <r>
          <rPr>
            <sz val="9"/>
            <color indexed="81"/>
            <rFont val="Tahoma"/>
            <family val="2"/>
          </rPr>
          <t>New square footage is completed "n" months after the decisions to construct, where "n" is the parameter "number of months to construct."</t>
        </r>
      </text>
    </comment>
    <comment ref="A69" authorId="0" shapeId="0">
      <text>
        <r>
          <rPr>
            <sz val="9"/>
            <color indexed="81"/>
            <rFont val="Tahoma"/>
            <family val="2"/>
          </rPr>
          <t>Please consider whether to show all these figures on the facilities interface screen. The figures will be update during the year as new construction is authorized or completed.</t>
        </r>
      </text>
    </comment>
    <comment ref="E70" authorId="0" shapeId="0">
      <text>
        <r>
          <rPr>
            <sz val="9"/>
            <color indexed="81"/>
            <rFont val="Tahoma"/>
            <family val="2"/>
          </rPr>
          <t>Plugged number to represent the remainder of the active departments.</t>
        </r>
      </text>
    </comment>
    <comment ref="F70" authorId="0" shapeId="0">
      <text>
        <r>
          <rPr>
            <sz val="9"/>
            <color indexed="81"/>
            <rFont val="Tahoma"/>
            <family val="2"/>
          </rPr>
          <t>This reflects the space used by central administrative and support services: ie, functions not associated with departments.</t>
        </r>
      </text>
    </comment>
    <comment ref="G72" authorId="0" shapeId="0">
      <text>
        <r>
          <rPr>
            <sz val="9"/>
            <color indexed="81"/>
            <rFont val="Tahoma"/>
            <family val="2"/>
          </rPr>
          <t xml:space="preserve">This institution-wide figure (specified in the interface) is a weighted geometric average.
</t>
        </r>
      </text>
    </comment>
    <comment ref="A79" authorId="0" shapeId="0">
      <text>
        <r>
          <rPr>
            <sz val="9"/>
            <color indexed="81"/>
            <rFont val="Tahoma"/>
            <family val="2"/>
          </rPr>
          <t>Plant investment is added to the balance sheet at the END of construction.</t>
        </r>
      </text>
    </comment>
    <comment ref="A84" authorId="0" shapeId="0">
      <text>
        <r>
          <rPr>
            <sz val="9"/>
            <color indexed="81"/>
            <rFont val="Tahoma"/>
            <family val="2"/>
          </rPr>
          <t>Debt is added to the balance sheet as it in incurred (i.e., at the beginning of construction).</t>
        </r>
      </text>
    </comment>
    <comment ref="G95" authorId="0" shapeId="0">
      <text>
        <r>
          <rPr>
            <sz val="9"/>
            <color indexed="81"/>
            <rFont val="Tahoma"/>
            <family val="2"/>
          </rPr>
          <t>Assumes 75% of costs move at the staff salary rate and 25% at the inflation rate.
This and the following cell should be displaced by a random normal deviate with mean zero and standard deviation equal to 2.5% of the base value.</t>
        </r>
      </text>
    </comment>
    <comment ref="H95" authorId="0" shapeId="0">
      <text>
        <r>
          <rPr>
            <sz val="9"/>
            <color indexed="81"/>
            <rFont val="Tahoma"/>
            <family val="2"/>
          </rPr>
          <t>Assumes 75% of costs move at the staff salary rate and 25% at the inflation rate.
This and the following cell should be displaced by a random normal deviate with mean zero and standard deviation equal to 2.5% of the base value.</t>
        </r>
      </text>
    </comment>
    <comment ref="G96" authorId="0" shapeId="0">
      <text>
        <r>
          <rPr>
            <sz val="9"/>
            <color indexed="81"/>
            <rFont val="Tahoma"/>
            <family val="2"/>
          </rPr>
          <t>Assumes 50% of costs move at the staff salary rate and 50% at the inflation rate.</t>
        </r>
      </text>
    </comment>
    <comment ref="H96" authorId="0" shapeId="0">
      <text>
        <r>
          <rPr>
            <sz val="9"/>
            <color indexed="81"/>
            <rFont val="Tahoma"/>
            <family val="2"/>
          </rPr>
          <t>Assumes 50% of costs move at the staff salary rate and 50% at the inflation rate.</t>
        </r>
      </text>
    </comment>
    <comment ref="G101" authorId="0" shapeId="0">
      <text>
        <r>
          <rPr>
            <sz val="9"/>
            <color indexed="81"/>
            <rFont val="Tahoma"/>
            <family val="2"/>
          </rPr>
          <t>The "+.005" represents a random normal deviate with mean zero and standard deviation tentatively equal to .025*Sqrt(p*(1-p)), where p is the value in E95. The result should be truncated at zero (no negative percents are allowed). The mean value may depend on the scenario. 
The deviation is applied to year 1 to get a potential demand imbalance at the start of the game.</t>
        </r>
      </text>
    </comment>
    <comment ref="E102" authorId="0" shapeId="0">
      <text>
        <r>
          <rPr>
            <sz val="9"/>
            <color indexed="81"/>
            <rFont val="Tahoma"/>
            <family val="2"/>
          </rPr>
          <t>For initialization, displace by the absolute value of normal deviate with mean zero and standard deviation equal to 4% of the base value (the product term in the cell) to allow for the possibility of excess capacity. The standard deviation might be changed in certain scenarios.</t>
        </r>
      </text>
    </comment>
    <comment ref="G102" authorId="0" shapeId="0">
      <text>
        <r>
          <rPr>
            <sz val="9"/>
            <color indexed="81"/>
            <rFont val="Tahoma"/>
            <family val="2"/>
          </rPr>
          <t>Equals the initialization value: no new places are constructed between initialization and year 1.</t>
        </r>
      </text>
    </comment>
    <comment ref="H102" authorId="0" shapeId="0">
      <text>
        <r>
          <rPr>
            <sz val="9"/>
            <color indexed="81"/>
            <rFont val="Tahoma"/>
            <family val="2"/>
          </rPr>
          <t>Student spaces take 12 months to build. All spaces come on line at the beginning of the year.</t>
        </r>
      </text>
    </comment>
    <comment ref="E113" authorId="0" shapeId="0">
      <text>
        <r>
          <rPr>
            <sz val="9"/>
            <color indexed="81"/>
            <rFont val="Tahoma"/>
            <family val="2"/>
          </rPr>
          <t>This forces the residence hall bottom line to zero at initialization, given the initial room and board rate and debt service. In later years, the room and board rate will be adjusted to maintain azero bottom line.</t>
        </r>
      </text>
    </comment>
  </commentList>
</comments>
</file>

<file path=xl/sharedStrings.xml><?xml version="1.0" encoding="utf-8"?>
<sst xmlns="http://schemas.openxmlformats.org/spreadsheetml/2006/main" count="161" uniqueCount="124">
  <si>
    <t>1. Academic Facilities Model</t>
  </si>
  <si>
    <t>Parameters (have requested most blue-coded data from the Univ. of Penna)</t>
  </si>
  <si>
    <t>Parameters for replacement and normal operations and maintenance cost</t>
  </si>
  <si>
    <t>("sf" = square foot)</t>
  </si>
  <si>
    <t>Dept 1</t>
  </si>
  <si>
    <t>Dept 2</t>
  </si>
  <si>
    <t>Dept 3</t>
  </si>
  <si>
    <t>etc...</t>
  </si>
  <si>
    <t>Central</t>
  </si>
  <si>
    <t>Replacement cost per sf</t>
  </si>
  <si>
    <t>dollars</t>
  </si>
  <si>
    <t>Normal O&amp;M cost per sf</t>
  </si>
  <si>
    <t>percent of capital cost</t>
  </si>
  <si>
    <t>Number of months to construct</t>
  </si>
  <si>
    <t>Parameters for calculating normal square footage</t>
  </si>
  <si>
    <t>sf per course enrollment in seminars</t>
  </si>
  <si>
    <t>per course enrollment</t>
  </si>
  <si>
    <t>sf per course enrollment in general courses</t>
  </si>
  <si>
    <t>sf per course enrollment in lecture courses</t>
  </si>
  <si>
    <t>sf per faculty member</t>
  </si>
  <si>
    <t>sf per research dollar</t>
  </si>
  <si>
    <t xml:space="preserve"> per thousand dollars</t>
  </si>
  <si>
    <t>sf per dollar of central exp.</t>
  </si>
  <si>
    <t>fixed amount of sf per department/central</t>
  </si>
  <si>
    <t>Assumed values for beginnning squarefootage (see note at A22 for initialization)</t>
  </si>
  <si>
    <t>course enrollments in seminars</t>
  </si>
  <si>
    <t>course enrollments in general courses</t>
  </si>
  <si>
    <t>course enrollments in lecture courses</t>
  </si>
  <si>
    <t>faculty members</t>
  </si>
  <si>
    <t>sponsored research</t>
  </si>
  <si>
    <t>administrative expenditure</t>
  </si>
  <si>
    <t>thousands of dollars</t>
  </si>
  <si>
    <t>Debt capacity parameters</t>
  </si>
  <si>
    <t>Maximum debt balance as a percent of funds balances</t>
  </si>
  <si>
    <t>Max interest payments as a percent of operating expenditures</t>
  </si>
  <si>
    <t>Construction policy parameters</t>
  </si>
  <si>
    <t>Percent gap required before new construction is considered</t>
  </si>
  <si>
    <t>Beginning Space Inventory</t>
  </si>
  <si>
    <t>Total</t>
  </si>
  <si>
    <t>Normal square footage</t>
  </si>
  <si>
    <t>Actual square footage</t>
  </si>
  <si>
    <t>Normal O&amp;M</t>
  </si>
  <si>
    <t>Change in the Deferred Maintenance Backlog (institution-wide, in thousands of dollars)</t>
  </si>
  <si>
    <t>Escalation factor for deferred maintenance (per year)</t>
  </si>
  <si>
    <t>Beginning deferred maintenance backlog</t>
  </si>
  <si>
    <t>Monthly</t>
  </si>
  <si>
    <t>Annual</t>
  </si>
  <si>
    <t>Actual O&amp;M budgeted for this year</t>
  </si>
  <si>
    <t>Change in deferred maintenance backlog</t>
  </si>
  <si>
    <t>Ending deferred maintenance backlog</t>
  </si>
  <si>
    <t>Capital Availability</t>
  </si>
  <si>
    <t>Debt capacity &amp; player's debt limit</t>
  </si>
  <si>
    <t>Total debt capacity</t>
  </si>
  <si>
    <t>Player's debt limit (on interface screen; initialize to .5*debt capacity)</t>
  </si>
  <si>
    <t>Outstanding general plant debt</t>
  </si>
  <si>
    <t>Maximum new debt</t>
  </si>
  <si>
    <t>Percent of projects funded with debt (on facilities interface screen)</t>
  </si>
  <si>
    <t>Capital reserve availability</t>
  </si>
  <si>
    <t>Capital reserve beginning balance</t>
  </si>
  <si>
    <t>Interest received on the beginning balance</t>
  </si>
  <si>
    <t>Transfer from budget in this year</t>
  </si>
  <si>
    <t>Less minimum capital reserve balance (PLEASE ADD TO THE INTERFACE)</t>
  </si>
  <si>
    <t>initialize to 0.6*(initial capital reserve)</t>
  </si>
  <si>
    <t>Available capital reserve funds</t>
  </si>
  <si>
    <t>New Facilities Construction</t>
  </si>
  <si>
    <t>sf gap</t>
  </si>
  <si>
    <t>percent gap</t>
  </si>
  <si>
    <t>Investment needed to close the gap</t>
  </si>
  <si>
    <t>Additional debt under percentage policy</t>
  </si>
  <si>
    <t>Actual new debt given the debt limit</t>
  </si>
  <si>
    <t>Required draw on capital reserve</t>
  </si>
  <si>
    <t>Actual draw on capital reserve</t>
  </si>
  <si>
    <t>Actual investment</t>
  </si>
  <si>
    <t>New square footage constructed</t>
  </si>
  <si>
    <t>Ending Space Inventory</t>
  </si>
  <si>
    <t>Ratio of sf relative to benchmark sf</t>
  </si>
  <si>
    <t>Square footage under construction</t>
  </si>
  <si>
    <t>Dollar value of current construction</t>
  </si>
  <si>
    <t>Year-end Replacement Cost and Debt</t>
  </si>
  <si>
    <t>Beginning replacement cost of facilities</t>
  </si>
  <si>
    <t>Less depreciation</t>
  </si>
  <si>
    <t>Plus new spending</t>
  </si>
  <si>
    <t>Ending plant value</t>
  </si>
  <si>
    <t>Beginning debt</t>
  </si>
  <si>
    <t>Less debt retirement</t>
  </si>
  <si>
    <t>Plus new debt</t>
  </si>
  <si>
    <t>Ending general plant debt</t>
  </si>
  <si>
    <t>2. Residence Halls and Food Service Operations Model</t>
  </si>
  <si>
    <t>Determines residence hall operations: player inputs and reports should be included in the student life interface.</t>
  </si>
  <si>
    <t>Player input (PLEASE INCLUDE IN THE INTERFACE)</t>
  </si>
  <si>
    <t>Initialization</t>
  </si>
  <si>
    <t>Do you wish to build residence halls to accomodate excess demand? (1=Y)</t>
  </si>
  <si>
    <t>Parameters</t>
  </si>
  <si>
    <t>Year 1</t>
  </si>
  <si>
    <t>Year 2</t>
  </si>
  <si>
    <t>Percent excess demand required before capacity is increased</t>
  </si>
  <si>
    <t>Replacement cost per student space</t>
  </si>
  <si>
    <t>Dollars</t>
  </si>
  <si>
    <t>Raw initial O&amp;M cost per student space</t>
  </si>
  <si>
    <t>Raw initial variable cost per occupied space</t>
  </si>
  <si>
    <t xml:space="preserve">Capacity, demand, and revenue </t>
  </si>
  <si>
    <t>Room and board rate</t>
  </si>
  <si>
    <t>Assumed number of traditional undergraduate (SL-1) student sims</t>
  </si>
  <si>
    <t>Percent of trad. UGs demanding places</t>
  </si>
  <si>
    <t>Beginning student places</t>
  </si>
  <si>
    <t>Replacement cost of beginning spaces ($000)</t>
  </si>
  <si>
    <t>Total demand</t>
  </si>
  <si>
    <t>Number of filled places</t>
  </si>
  <si>
    <t>Total revenue ($000)</t>
  </si>
  <si>
    <t xml:space="preserve">Cost </t>
  </si>
  <si>
    <t>Adjusted</t>
  </si>
  <si>
    <t>Service on beginning debt ($000)</t>
  </si>
  <si>
    <t>Fixed O&amp;M cost ($000)</t>
  </si>
  <si>
    <t>Total variable cost ($000)</t>
  </si>
  <si>
    <t>Total cost</t>
  </si>
  <si>
    <t>Multiplier to scale operating cost to to initial total revenue</t>
  </si>
  <si>
    <t>Residence hall construction</t>
  </si>
  <si>
    <t>Unmet demand (affects the construction decision &amp; student morale)</t>
  </si>
  <si>
    <t>New construction (spaces)</t>
  </si>
  <si>
    <t>New construction ($000); all is new debt</t>
  </si>
  <si>
    <t>Residence Hall Balance Sheet Items</t>
  </si>
  <si>
    <t>Beginning of</t>
  </si>
  <si>
    <t>Residence Halls (asset value; $000)</t>
  </si>
  <si>
    <t>Debt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</si>
</sst>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2" formatCode="&quot;$&quot;#,##0"/>
    <numFmt numFmtId="173" formatCode="0.0000"/>
    <numFmt numFmtId="176" formatCode="0.0%"/>
  </numFmts>
  <fonts count="10">
    <font>
      <sz val="10"/>
      <name val="Geneva"/>
    </font>
    <font>
      <i/>
      <sz val="10"/>
      <name val="Geneva"/>
    </font>
    <font>
      <b/>
      <i/>
      <sz val="10"/>
      <name val="Geneva"/>
    </font>
    <font>
      <sz val="10"/>
      <name val="Geneva"/>
    </font>
    <font>
      <b/>
      <sz val="12"/>
      <name val="Geneva"/>
    </font>
    <font>
      <u/>
      <sz val="10"/>
      <name val="Geneva"/>
    </font>
    <font>
      <sz val="9"/>
      <name val="Geneva"/>
    </font>
    <font>
      <b/>
      <u/>
      <sz val="14"/>
      <name val="Geneva"/>
    </font>
    <font>
      <b/>
      <sz val="14"/>
      <name val="Geneva"/>
    </font>
    <font>
      <sz val="9"/>
      <color indexed="81"/>
      <name val="Tahoma"/>
      <family val="2"/>
    </font>
  </fonts>
  <fills count="6">
    <fill>
      <patternFill patternType="none"/>
    </fill>
    <fill>
      <patternFill patternType="gray125"/>
    </fill>
    <fill>
      <patternFill patternType="solid">
        <fgColor indexed="27"/>
        <bgColor indexed="64"/>
      </patternFill>
    </fill>
    <fill>
      <patternFill patternType="solid">
        <fgColor indexed="22"/>
        <bgColor indexed="64"/>
      </patternFill>
    </fill>
    <fill>
      <patternFill patternType="solid">
        <fgColor indexed="42"/>
        <bgColor indexed="64"/>
      </patternFill>
    </fill>
    <fill>
      <patternFill patternType="solid">
        <fgColor indexed="26"/>
        <bgColor indexed="64"/>
      </patternFill>
    </fill>
  </fills>
  <borders count="13">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88">
    <xf numFmtId="0" fontId="0" fillId="0" borderId="0" xfId="0"/>
    <xf numFmtId="0" fontId="4" fillId="0" borderId="0" xfId="0" applyFont="1"/>
    <xf numFmtId="0" fontId="5" fillId="0" borderId="0" xfId="0" applyFont="1" applyAlignment="1">
      <alignment horizontal="right"/>
    </xf>
    <xf numFmtId="0" fontId="1" fillId="0" borderId="0" xfId="0" applyFont="1"/>
    <xf numFmtId="0" fontId="5" fillId="0" borderId="0" xfId="0" applyFont="1"/>
    <xf numFmtId="0" fontId="3" fillId="0" borderId="0" xfId="0" applyFont="1"/>
    <xf numFmtId="3" fontId="0" fillId="0" borderId="0" xfId="0" applyNumberFormat="1"/>
    <xf numFmtId="2" fontId="6" fillId="0" borderId="0" xfId="0" applyNumberFormat="1" applyFont="1" applyFill="1" applyBorder="1"/>
    <xf numFmtId="173" fontId="0" fillId="0" borderId="0" xfId="0" applyNumberFormat="1" applyFill="1" applyBorder="1"/>
    <xf numFmtId="1" fontId="0" fillId="0" borderId="0" xfId="0" applyNumberFormat="1" applyFill="1" applyBorder="1"/>
    <xf numFmtId="0" fontId="7" fillId="0" borderId="0" xfId="0" applyFont="1"/>
    <xf numFmtId="0" fontId="0" fillId="0" borderId="1" xfId="0" applyFill="1" applyBorder="1"/>
    <xf numFmtId="0" fontId="0" fillId="0" borderId="0" xfId="0" applyAlignment="1">
      <alignment horizontal="right"/>
    </xf>
    <xf numFmtId="0" fontId="5" fillId="0" borderId="2" xfId="0" applyFont="1" applyBorder="1" applyAlignment="1">
      <alignment horizontal="right"/>
    </xf>
    <xf numFmtId="0" fontId="5" fillId="0" borderId="3" xfId="0" applyFont="1" applyBorder="1" applyAlignment="1">
      <alignment horizontal="right"/>
    </xf>
    <xf numFmtId="0" fontId="5" fillId="0" borderId="4" xfId="0" applyFont="1" applyBorder="1" applyAlignment="1">
      <alignment horizontal="right"/>
    </xf>
    <xf numFmtId="1" fontId="0" fillId="2" borderId="1" xfId="0" applyNumberFormat="1" applyFill="1" applyBorder="1"/>
    <xf numFmtId="1" fontId="0" fillId="2" borderId="0" xfId="0" applyNumberFormat="1" applyFill="1" applyBorder="1"/>
    <xf numFmtId="1" fontId="0" fillId="2" borderId="5" xfId="0" applyNumberFormat="1" applyFill="1" applyBorder="1"/>
    <xf numFmtId="172" fontId="0" fillId="0" borderId="0" xfId="0" applyNumberFormat="1"/>
    <xf numFmtId="172" fontId="5" fillId="0" borderId="0" xfId="0" applyNumberFormat="1" applyFont="1"/>
    <xf numFmtId="0" fontId="2" fillId="0" borderId="0" xfId="0" applyFont="1"/>
    <xf numFmtId="172" fontId="0" fillId="2" borderId="6" xfId="0" applyNumberFormat="1" applyFill="1" applyBorder="1"/>
    <xf numFmtId="1" fontId="0" fillId="2" borderId="7" xfId="0" applyNumberFormat="1" applyFill="1" applyBorder="1"/>
    <xf numFmtId="1" fontId="0" fillId="2" borderId="8" xfId="0" applyNumberFormat="1" applyFill="1" applyBorder="1"/>
    <xf numFmtId="1" fontId="0" fillId="2" borderId="9" xfId="0" applyNumberFormat="1" applyFill="1" applyBorder="1"/>
    <xf numFmtId="1" fontId="0" fillId="3" borderId="1" xfId="0" applyNumberFormat="1" applyFill="1" applyBorder="1"/>
    <xf numFmtId="1" fontId="0" fillId="3" borderId="0" xfId="0" applyNumberFormat="1" applyFill="1" applyBorder="1"/>
    <xf numFmtId="1" fontId="0" fillId="3" borderId="5" xfId="0" applyNumberFormat="1" applyFill="1" applyBorder="1"/>
    <xf numFmtId="1" fontId="0" fillId="3" borderId="7" xfId="0" applyNumberFormat="1" applyFill="1" applyBorder="1"/>
    <xf numFmtId="1" fontId="0" fillId="3" borderId="8" xfId="0" applyNumberFormat="1" applyFill="1" applyBorder="1"/>
    <xf numFmtId="1" fontId="0" fillId="3" borderId="9" xfId="0" applyNumberFormat="1" applyFill="1" applyBorder="1"/>
    <xf numFmtId="1" fontId="0" fillId="0" borderId="1" xfId="0" applyNumberFormat="1" applyFill="1" applyBorder="1"/>
    <xf numFmtId="1" fontId="0" fillId="0" borderId="5" xfId="0" applyNumberFormat="1" applyFill="1" applyBorder="1"/>
    <xf numFmtId="1" fontId="0" fillId="0" borderId="7" xfId="0" applyNumberFormat="1" applyFill="1" applyBorder="1"/>
    <xf numFmtId="1" fontId="0" fillId="0" borderId="8" xfId="0" applyNumberFormat="1" applyFill="1" applyBorder="1"/>
    <xf numFmtId="1" fontId="0" fillId="0" borderId="9" xfId="0" applyNumberFormat="1" applyFill="1" applyBorder="1"/>
    <xf numFmtId="176" fontId="0" fillId="2" borderId="0" xfId="0" applyNumberFormat="1" applyFill="1"/>
    <xf numFmtId="176" fontId="0" fillId="2" borderId="10" xfId="0" applyNumberFormat="1" applyFill="1" applyBorder="1"/>
    <xf numFmtId="176" fontId="0" fillId="2" borderId="11" xfId="0" applyNumberFormat="1" applyFill="1" applyBorder="1"/>
    <xf numFmtId="172" fontId="0" fillId="4" borderId="6" xfId="0" applyNumberFormat="1" applyFill="1" applyBorder="1"/>
    <xf numFmtId="0" fontId="0" fillId="0" borderId="0" xfId="0" applyFill="1" applyBorder="1"/>
    <xf numFmtId="1" fontId="0" fillId="0" borderId="0" xfId="0" applyNumberFormat="1"/>
    <xf numFmtId="0" fontId="0" fillId="0" borderId="0" xfId="0" applyFill="1"/>
    <xf numFmtId="172" fontId="0" fillId="0" borderId="0" xfId="0" applyNumberFormat="1" applyFill="1"/>
    <xf numFmtId="0" fontId="5" fillId="0" borderId="2" xfId="0" applyFont="1" applyFill="1" applyBorder="1" applyAlignment="1">
      <alignment horizontal="right"/>
    </xf>
    <xf numFmtId="0" fontId="5" fillId="0" borderId="3" xfId="0" applyFont="1" applyFill="1" applyBorder="1" applyAlignment="1">
      <alignment horizontal="right"/>
    </xf>
    <xf numFmtId="0" fontId="5" fillId="0" borderId="4" xfId="0" applyFont="1" applyFill="1" applyBorder="1" applyAlignment="1">
      <alignment horizontal="right"/>
    </xf>
    <xf numFmtId="9" fontId="0" fillId="4" borderId="6" xfId="0" applyNumberFormat="1" applyFill="1" applyBorder="1"/>
    <xf numFmtId="1" fontId="0" fillId="3" borderId="0" xfId="0" applyNumberFormat="1" applyFill="1"/>
    <xf numFmtId="1" fontId="5" fillId="0" borderId="0" xfId="0" applyNumberFormat="1" applyFont="1"/>
    <xf numFmtId="172" fontId="5" fillId="4" borderId="6" xfId="0" applyNumberFormat="1" applyFont="1" applyFill="1" applyBorder="1"/>
    <xf numFmtId="2" fontId="0" fillId="0" borderId="7" xfId="0" applyNumberFormat="1" applyFill="1" applyBorder="1"/>
    <xf numFmtId="2" fontId="0" fillId="0" borderId="8" xfId="0" applyNumberFormat="1" applyFill="1" applyBorder="1"/>
    <xf numFmtId="2" fontId="0" fillId="0" borderId="9" xfId="0" applyNumberFormat="1" applyFill="1" applyBorder="1"/>
    <xf numFmtId="0" fontId="5" fillId="0" borderId="10" xfId="0" applyFont="1" applyBorder="1" applyAlignment="1">
      <alignment horizontal="right"/>
    </xf>
    <xf numFmtId="1" fontId="0" fillId="0" borderId="12" xfId="0" applyNumberFormat="1" applyBorder="1"/>
    <xf numFmtId="1" fontId="0" fillId="0" borderId="11" xfId="0" applyNumberFormat="1" applyBorder="1"/>
    <xf numFmtId="2" fontId="0" fillId="0" borderId="11" xfId="0" applyNumberFormat="1" applyFill="1" applyBorder="1"/>
    <xf numFmtId="1" fontId="5" fillId="0" borderId="0" xfId="0" applyNumberFormat="1" applyFont="1" applyAlignment="1">
      <alignment horizontal="right"/>
    </xf>
    <xf numFmtId="1" fontId="3" fillId="0" borderId="0" xfId="0" applyNumberFormat="1" applyFont="1"/>
    <xf numFmtId="1" fontId="0" fillId="0" borderId="2" xfId="0" applyNumberFormat="1" applyFill="1" applyBorder="1"/>
    <xf numFmtId="1" fontId="0" fillId="0" borderId="3" xfId="0" applyNumberFormat="1" applyFill="1" applyBorder="1"/>
    <xf numFmtId="1" fontId="0" fillId="0" borderId="4" xfId="0" applyNumberFormat="1" applyFill="1" applyBorder="1"/>
    <xf numFmtId="0" fontId="3" fillId="3" borderId="6" xfId="0" applyFont="1" applyFill="1" applyBorder="1" applyAlignment="1">
      <alignment horizontal="right"/>
    </xf>
    <xf numFmtId="176" fontId="0" fillId="0" borderId="0" xfId="0" applyNumberFormat="1"/>
    <xf numFmtId="3" fontId="0" fillId="0" borderId="0" xfId="0" applyNumberFormat="1" applyFill="1" applyBorder="1"/>
    <xf numFmtId="3" fontId="3" fillId="0" borderId="0" xfId="0" applyNumberFormat="1" applyFont="1"/>
    <xf numFmtId="172" fontId="0" fillId="0" borderId="0" xfId="0" applyNumberFormat="1" applyFill="1" applyBorder="1"/>
    <xf numFmtId="172" fontId="0" fillId="2" borderId="12" xfId="0" applyNumberFormat="1" applyFill="1" applyBorder="1"/>
    <xf numFmtId="176" fontId="3" fillId="2" borderId="11" xfId="0" applyNumberFormat="1" applyFont="1" applyFill="1" applyBorder="1"/>
    <xf numFmtId="176" fontId="0" fillId="2" borderId="0" xfId="0" applyNumberFormat="1" applyFill="1" applyBorder="1"/>
    <xf numFmtId="176" fontId="0" fillId="2" borderId="1" xfId="0" applyNumberFormat="1" applyFill="1" applyBorder="1"/>
    <xf numFmtId="176" fontId="0" fillId="2" borderId="5" xfId="0" applyNumberFormat="1" applyFill="1" applyBorder="1"/>
    <xf numFmtId="176" fontId="0" fillId="2" borderId="6" xfId="0" applyNumberFormat="1" applyFill="1" applyBorder="1"/>
    <xf numFmtId="176" fontId="0" fillId="0" borderId="1" xfId="0" applyNumberFormat="1" applyFill="1" applyBorder="1"/>
    <xf numFmtId="176" fontId="0" fillId="0" borderId="0" xfId="0" applyNumberFormat="1" applyFill="1" applyBorder="1"/>
    <xf numFmtId="176" fontId="0" fillId="0" borderId="5" xfId="0" applyNumberFormat="1" applyFill="1" applyBorder="1"/>
    <xf numFmtId="176" fontId="0" fillId="0" borderId="12" xfId="0" applyNumberFormat="1" applyBorder="1"/>
    <xf numFmtId="172" fontId="3" fillId="0" borderId="0" xfId="0" applyNumberFormat="1" applyFont="1"/>
    <xf numFmtId="176" fontId="3" fillId="2" borderId="12" xfId="0" applyNumberFormat="1" applyFont="1" applyFill="1" applyBorder="1"/>
    <xf numFmtId="2" fontId="0" fillId="0" borderId="0" xfId="0" applyNumberFormat="1"/>
    <xf numFmtId="9" fontId="3" fillId="2" borderId="10" xfId="0" applyNumberFormat="1" applyFont="1" applyFill="1" applyBorder="1"/>
    <xf numFmtId="1" fontId="3" fillId="4" borderId="6" xfId="0" applyNumberFormat="1" applyFont="1" applyFill="1" applyBorder="1" applyAlignment="1">
      <alignment horizontal="center"/>
    </xf>
    <xf numFmtId="0" fontId="5" fillId="0" borderId="0" xfId="0" applyFont="1" applyAlignment="1">
      <alignment horizontal="centerContinuous"/>
    </xf>
    <xf numFmtId="0" fontId="3" fillId="0" borderId="0" xfId="0" applyFont="1" applyFill="1" applyBorder="1" applyAlignment="1">
      <alignment horizontal="right"/>
    </xf>
    <xf numFmtId="0" fontId="8" fillId="0" borderId="0" xfId="0" applyFont="1"/>
    <xf numFmtId="0" fontId="0" fillId="5" borderId="0" xfId="0" applyFill="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226;%20%20Current_Projects/CyberCampus/%20Prototypes.WFM/HE.ResAllocModel.pro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E.ResAlloc.e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Current/CyberCampus/Initial_conditions/HE.Initializatio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1"/>
      <sheetName val="Sheet1"/>
    </sheetNames>
    <sheetDataSet>
      <sheetData sheetId="0" refreshError="1"/>
      <sheetData sheetId="1" refreshError="1">
        <row r="49">
          <cell r="G49">
            <v>19200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1"/>
      <sheetName val="Sheet1"/>
    </sheetNames>
    <sheetDataSet>
      <sheetData sheetId="0" refreshError="1"/>
      <sheetData sheetId="1">
        <row r="8">
          <cell r="G8">
            <v>19200</v>
          </cell>
        </row>
        <row r="12">
          <cell r="G12">
            <v>1078046</v>
          </cell>
        </row>
        <row r="30">
          <cell r="F30">
            <v>119480</v>
          </cell>
        </row>
        <row r="31">
          <cell r="F31">
            <v>25713</v>
          </cell>
        </row>
        <row r="39">
          <cell r="F39">
            <v>227667</v>
          </cell>
        </row>
        <row r="51">
          <cell r="G51">
            <v>10000</v>
          </cell>
        </row>
        <row r="52">
          <cell r="D52">
            <v>647000</v>
          </cell>
        </row>
        <row r="53">
          <cell r="D53">
            <v>53392</v>
          </cell>
        </row>
        <row r="72">
          <cell r="C72">
            <v>0.03</v>
          </cell>
        </row>
        <row r="73">
          <cell r="C73">
            <v>0.03</v>
          </cell>
        </row>
        <row r="74">
          <cell r="C74">
            <v>0.06</v>
          </cell>
        </row>
        <row r="75">
          <cell r="C75">
            <v>0.04</v>
          </cell>
        </row>
        <row r="78">
          <cell r="C78">
            <v>0.03</v>
          </cell>
        </row>
        <row r="80">
          <cell r="G80">
            <v>50</v>
          </cell>
        </row>
        <row r="116">
          <cell r="C116">
            <v>-3.5266039444569901E-4</v>
          </cell>
          <cell r="D116">
            <v>0</v>
          </cell>
        </row>
        <row r="224">
          <cell r="G224">
            <v>14228.632042094883</v>
          </cell>
        </row>
        <row r="257">
          <cell r="F257">
            <v>235690.65185215365</v>
          </cell>
        </row>
        <row r="259">
          <cell r="F259">
            <v>13389.20437961792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s"/>
      <sheetName val="Player_Input"/>
      <sheetName val="Indices"/>
      <sheetName val="Initial_Conds"/>
    </sheetNames>
    <sheetDataSet>
      <sheetData sheetId="0"/>
      <sheetData sheetId="1"/>
      <sheetData sheetId="2"/>
      <sheetData sheetId="3">
        <row r="1238">
          <cell r="BF1238">
            <v>5945.4</v>
          </cell>
          <cell r="BG1238">
            <v>7.3399999999999993E-2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H124"/>
  <sheetViews>
    <sheetView tabSelected="1" topLeftCell="A105" workbookViewId="0">
      <selection activeCell="E29" sqref="E29"/>
    </sheetView>
  </sheetViews>
  <sheetFormatPr defaultRowHeight="12.5"/>
  <cols>
    <col min="1" max="1" width="32" customWidth="1"/>
    <col min="2" max="6" width="8.54296875" customWidth="1"/>
    <col min="7" max="7" width="9.7265625" customWidth="1"/>
    <col min="8" max="8" width="9" customWidth="1"/>
    <col min="9" max="12" width="6.54296875" customWidth="1"/>
    <col min="13" max="15" width="6.7265625" customWidth="1"/>
    <col min="16" max="256" width="10.90625" customWidth="1"/>
  </cols>
  <sheetData>
    <row r="1" spans="1:8" ht="34" customHeight="1">
      <c r="A1" s="10" t="s">
        <v>0</v>
      </c>
      <c r="B1" s="7"/>
      <c r="C1" s="8"/>
      <c r="D1" s="9"/>
      <c r="E1" s="8"/>
      <c r="F1" s="9"/>
      <c r="G1" s="8"/>
      <c r="H1" s="9"/>
    </row>
    <row r="2" spans="1:8" ht="29" customHeight="1">
      <c r="A2" s="1" t="s">
        <v>1</v>
      </c>
    </row>
    <row r="3" spans="1:8" ht="21" customHeight="1">
      <c r="A3" s="21" t="s">
        <v>2</v>
      </c>
      <c r="B3" s="19"/>
      <c r="C3" s="19"/>
      <c r="D3" s="19"/>
      <c r="E3" s="19"/>
      <c r="F3" s="19"/>
    </row>
    <row r="4" spans="1:8" ht="13">
      <c r="A4" s="3" t="s">
        <v>3</v>
      </c>
      <c r="B4" s="13" t="s">
        <v>4</v>
      </c>
      <c r="C4" s="14" t="s">
        <v>5</v>
      </c>
      <c r="D4" s="2" t="s">
        <v>6</v>
      </c>
      <c r="E4" s="14" t="s">
        <v>7</v>
      </c>
      <c r="F4" s="15" t="s">
        <v>8</v>
      </c>
    </row>
    <row r="5" spans="1:8">
      <c r="A5" t="s">
        <v>9</v>
      </c>
      <c r="B5" s="16">
        <v>200</v>
      </c>
      <c r="C5" s="17">
        <v>200</v>
      </c>
      <c r="D5" s="17">
        <v>300</v>
      </c>
      <c r="E5" s="17"/>
      <c r="F5" s="18">
        <v>180</v>
      </c>
      <c r="G5" t="s">
        <v>10</v>
      </c>
    </row>
    <row r="6" spans="1:8">
      <c r="A6" t="s">
        <v>11</v>
      </c>
      <c r="B6" s="72">
        <v>0.04</v>
      </c>
      <c r="C6" s="71">
        <v>0.04</v>
      </c>
      <c r="D6" s="71">
        <v>4.4999999999999998E-2</v>
      </c>
      <c r="E6" s="71"/>
      <c r="F6" s="73">
        <v>3.5000000000000003E-2</v>
      </c>
      <c r="G6" t="s">
        <v>12</v>
      </c>
    </row>
    <row r="7" spans="1:8">
      <c r="A7" t="s">
        <v>13</v>
      </c>
      <c r="B7" s="24">
        <v>12</v>
      </c>
      <c r="C7" s="24">
        <v>16</v>
      </c>
      <c r="D7" s="24">
        <v>24</v>
      </c>
      <c r="E7" s="24"/>
      <c r="F7" s="24">
        <v>13</v>
      </c>
    </row>
    <row r="8" spans="1:8" ht="21" customHeight="1">
      <c r="A8" s="21" t="s">
        <v>14</v>
      </c>
      <c r="B8" s="19"/>
      <c r="C8" s="19"/>
      <c r="D8" s="19"/>
      <c r="E8" s="19"/>
      <c r="F8" s="19"/>
    </row>
    <row r="9" spans="1:8" ht="19" customHeight="1">
      <c r="A9" s="3"/>
      <c r="B9" s="13" t="str">
        <f>B4</f>
        <v>Dept 1</v>
      </c>
      <c r="C9" s="14" t="str">
        <f>C4</f>
        <v>Dept 2</v>
      </c>
      <c r="D9" s="14" t="str">
        <f>D4</f>
        <v>Dept 3</v>
      </c>
      <c r="E9" s="14" t="str">
        <f>E4</f>
        <v>etc...</v>
      </c>
      <c r="F9" s="15" t="str">
        <f>F4</f>
        <v>Central</v>
      </c>
    </row>
    <row r="10" spans="1:8">
      <c r="A10" s="87" t="s">
        <v>15</v>
      </c>
      <c r="B10" s="16">
        <v>6</v>
      </c>
      <c r="C10" s="17">
        <v>7</v>
      </c>
      <c r="D10" s="17">
        <v>11</v>
      </c>
      <c r="E10" s="17"/>
      <c r="F10" s="18"/>
      <c r="G10" t="s">
        <v>16</v>
      </c>
    </row>
    <row r="11" spans="1:8">
      <c r="A11" s="87" t="s">
        <v>17</v>
      </c>
      <c r="B11" s="16">
        <v>5</v>
      </c>
      <c r="C11" s="17">
        <v>6</v>
      </c>
      <c r="D11" s="17">
        <v>10</v>
      </c>
      <c r="E11" s="17"/>
      <c r="F11" s="18"/>
    </row>
    <row r="12" spans="1:8">
      <c r="A12" s="87" t="s">
        <v>18</v>
      </c>
      <c r="B12" s="16">
        <v>4</v>
      </c>
      <c r="C12" s="17">
        <v>5</v>
      </c>
      <c r="D12" s="17">
        <v>8</v>
      </c>
      <c r="E12" s="17"/>
      <c r="F12" s="18"/>
    </row>
    <row r="13" spans="1:8">
      <c r="A13" t="s">
        <v>19</v>
      </c>
      <c r="B13" s="16">
        <v>2000</v>
      </c>
      <c r="C13" s="17">
        <v>1500</v>
      </c>
      <c r="D13" s="17">
        <v>5000</v>
      </c>
      <c r="E13" s="17"/>
      <c r="F13" s="18"/>
    </row>
    <row r="14" spans="1:8">
      <c r="A14" t="s">
        <v>20</v>
      </c>
      <c r="B14" s="16">
        <v>100</v>
      </c>
      <c r="C14" s="17">
        <v>110</v>
      </c>
      <c r="D14" s="17">
        <v>200</v>
      </c>
      <c r="E14" s="17"/>
      <c r="F14" s="18"/>
      <c r="G14" t="s">
        <v>21</v>
      </c>
    </row>
    <row r="15" spans="1:8">
      <c r="A15" t="s">
        <v>22</v>
      </c>
      <c r="B15" s="16"/>
      <c r="C15" s="17"/>
      <c r="D15" s="17"/>
      <c r="E15" s="17"/>
      <c r="F15" s="18">
        <v>5</v>
      </c>
    </row>
    <row r="16" spans="1:8">
      <c r="A16" t="s">
        <v>23</v>
      </c>
      <c r="B16" s="23">
        <v>5000</v>
      </c>
      <c r="C16" s="24">
        <v>7500</v>
      </c>
      <c r="D16" s="24">
        <v>15000</v>
      </c>
      <c r="E16" s="24"/>
      <c r="F16" s="25">
        <v>50000</v>
      </c>
    </row>
    <row r="17" spans="1:7" ht="21" customHeight="1">
      <c r="A17" s="21" t="s">
        <v>24</v>
      </c>
      <c r="B17" s="19"/>
      <c r="C17" s="19"/>
      <c r="D17" s="19"/>
      <c r="E17" s="19"/>
      <c r="F17" s="19"/>
    </row>
    <row r="18" spans="1:7" ht="19" customHeight="1">
      <c r="A18" s="3"/>
      <c r="B18" s="13" t="str">
        <f>B9</f>
        <v>Dept 1</v>
      </c>
      <c r="C18" s="14" t="str">
        <f>C9</f>
        <v>Dept 2</v>
      </c>
      <c r="D18" s="14" t="str">
        <f>D9</f>
        <v>Dept 3</v>
      </c>
      <c r="E18" s="14" t="str">
        <f>E9</f>
        <v>etc...</v>
      </c>
      <c r="F18" s="15" t="str">
        <f>F9</f>
        <v>Central</v>
      </c>
    </row>
    <row r="19" spans="1:7">
      <c r="A19" s="87" t="s">
        <v>25</v>
      </c>
      <c r="B19" s="26">
        <v>1080</v>
      </c>
      <c r="C19" s="27">
        <v>1800</v>
      </c>
      <c r="D19" s="27">
        <v>2700</v>
      </c>
      <c r="E19" s="27"/>
      <c r="F19" s="28">
        <v>0</v>
      </c>
    </row>
    <row r="20" spans="1:7">
      <c r="A20" s="87" t="s">
        <v>26</v>
      </c>
      <c r="B20" s="26">
        <v>1440</v>
      </c>
      <c r="C20" s="27">
        <v>2400</v>
      </c>
      <c r="D20" s="27">
        <v>3600</v>
      </c>
      <c r="E20" s="27"/>
      <c r="F20" s="28">
        <v>0</v>
      </c>
    </row>
    <row r="21" spans="1:7">
      <c r="A21" s="87" t="s">
        <v>27</v>
      </c>
      <c r="B21" s="26">
        <v>1080</v>
      </c>
      <c r="C21" s="27">
        <v>1800</v>
      </c>
      <c r="D21" s="27">
        <v>2700</v>
      </c>
      <c r="E21" s="27"/>
      <c r="F21" s="28"/>
    </row>
    <row r="22" spans="1:7">
      <c r="A22" t="s">
        <v>28</v>
      </c>
      <c r="B22" s="26">
        <v>30</v>
      </c>
      <c r="C22" s="27">
        <v>50</v>
      </c>
      <c r="D22" s="27">
        <v>75</v>
      </c>
      <c r="E22" s="27"/>
      <c r="F22" s="28">
        <v>0</v>
      </c>
    </row>
    <row r="23" spans="1:7">
      <c r="A23" t="s">
        <v>29</v>
      </c>
      <c r="B23" s="26">
        <v>2000</v>
      </c>
      <c r="C23" s="27">
        <v>800</v>
      </c>
      <c r="D23" s="27">
        <v>650</v>
      </c>
      <c r="E23" s="27"/>
      <c r="F23" s="28">
        <v>0</v>
      </c>
    </row>
    <row r="24" spans="1:7">
      <c r="A24" t="s">
        <v>30</v>
      </c>
      <c r="B24" s="29"/>
      <c r="C24" s="30"/>
      <c r="D24" s="30"/>
      <c r="E24" s="30"/>
      <c r="F24" s="31">
        <f>[2]Sheet1!$F$39-[2]Sheet1!$F$30-[2]Sheet1!$F$31</f>
        <v>82474</v>
      </c>
      <c r="G24" t="s">
        <v>31</v>
      </c>
    </row>
    <row r="25" spans="1:7" ht="19" customHeight="1">
      <c r="A25" s="21" t="s">
        <v>32</v>
      </c>
    </row>
    <row r="26" spans="1:7" ht="16" customHeight="1">
      <c r="A26" t="s">
        <v>33</v>
      </c>
      <c r="E26" s="38">
        <v>0.5</v>
      </c>
      <c r="F26" s="19"/>
    </row>
    <row r="27" spans="1:7" ht="16" customHeight="1">
      <c r="A27" t="s">
        <v>34</v>
      </c>
      <c r="E27" s="39">
        <v>0.08</v>
      </c>
      <c r="F27" s="19"/>
    </row>
    <row r="28" spans="1:7" ht="19" customHeight="1">
      <c r="A28" s="21" t="s">
        <v>35</v>
      </c>
      <c r="E28" s="12"/>
    </row>
    <row r="29" spans="1:7" ht="16" customHeight="1">
      <c r="A29" t="s">
        <v>36</v>
      </c>
      <c r="E29" s="74">
        <v>0.01</v>
      </c>
      <c r="F29" s="19"/>
    </row>
    <row r="30" spans="1:7" ht="29" customHeight="1">
      <c r="A30" s="1" t="s">
        <v>37</v>
      </c>
    </row>
    <row r="31" spans="1:7" ht="13">
      <c r="A31" s="3"/>
      <c r="B31" s="13" t="s">
        <v>4</v>
      </c>
      <c r="C31" s="14" t="s">
        <v>5</v>
      </c>
      <c r="D31" s="14" t="s">
        <v>6</v>
      </c>
      <c r="E31" s="14" t="s">
        <v>7</v>
      </c>
      <c r="F31" s="15" t="s">
        <v>8</v>
      </c>
      <c r="G31" s="55" t="s">
        <v>38</v>
      </c>
    </row>
    <row r="32" spans="1:7" ht="18" customHeight="1">
      <c r="A32" t="s">
        <v>39</v>
      </c>
      <c r="B32" s="32">
        <f>B16+B10*B19+B11*B20+B12*B21+B13*B22+B14*B23</f>
        <v>283000</v>
      </c>
      <c r="C32" s="9">
        <f t="shared" ref="C32:D32" si="0">C16+C10*C19+C11*C20+C12*C21+C13*C22+C14*C23</f>
        <v>206500</v>
      </c>
      <c r="D32" s="9">
        <f t="shared" si="0"/>
        <v>607300</v>
      </c>
      <c r="E32" s="9"/>
      <c r="F32" s="33">
        <f>F16+F15*F24</f>
        <v>462370</v>
      </c>
      <c r="G32" s="56">
        <f>SUM(B32:F32)</f>
        <v>1559170</v>
      </c>
    </row>
    <row r="33" spans="1:8" ht="18" customHeight="1">
      <c r="A33" t="s">
        <v>40</v>
      </c>
      <c r="B33" s="26">
        <v>280000</v>
      </c>
      <c r="C33" s="27">
        <v>200000</v>
      </c>
      <c r="D33" s="27">
        <v>600000</v>
      </c>
      <c r="E33" s="27"/>
      <c r="F33" s="28">
        <v>450001</v>
      </c>
      <c r="G33" s="56">
        <f>SUM(B33:F33)</f>
        <v>1530001</v>
      </c>
    </row>
    <row r="34" spans="1:8">
      <c r="A34" t="s">
        <v>41</v>
      </c>
      <c r="B34" s="34">
        <f>B6*B33</f>
        <v>11200</v>
      </c>
      <c r="C34" s="35">
        <f t="shared" ref="C34:F34" si="1">C6*C33</f>
        <v>8000</v>
      </c>
      <c r="D34" s="35">
        <f t="shared" si="1"/>
        <v>27000</v>
      </c>
      <c r="E34" s="35"/>
      <c r="F34" s="36">
        <f t="shared" si="1"/>
        <v>15750.035000000002</v>
      </c>
      <c r="G34" s="57">
        <f>SUM(B34:F34)</f>
        <v>61950.035000000003</v>
      </c>
      <c r="H34" t="s">
        <v>31</v>
      </c>
    </row>
    <row r="35" spans="1:8" ht="29" customHeight="1">
      <c r="A35" s="1" t="s">
        <v>42</v>
      </c>
    </row>
    <row r="36" spans="1:8" ht="17" customHeight="1">
      <c r="A36" s="5" t="s">
        <v>43</v>
      </c>
      <c r="E36" s="37">
        <v>2.5000000000000001E-2</v>
      </c>
    </row>
    <row r="37" spans="1:8" ht="9" customHeight="1">
      <c r="A37" s="5"/>
    </row>
    <row r="38" spans="1:8" ht="17" customHeight="1">
      <c r="A38" t="s">
        <v>44</v>
      </c>
      <c r="E38" s="49">
        <f>G34</f>
        <v>61950.035000000003</v>
      </c>
    </row>
    <row r="39" spans="1:8" ht="17" customHeight="1">
      <c r="D39" s="2" t="s">
        <v>45</v>
      </c>
      <c r="E39" s="59" t="s">
        <v>46</v>
      </c>
    </row>
    <row r="40" spans="1:8" ht="22" customHeight="1">
      <c r="A40" t="s">
        <v>41</v>
      </c>
      <c r="D40" s="42">
        <f>G34/12</f>
        <v>5162.5029166666673</v>
      </c>
      <c r="E40" s="42"/>
      <c r="G40" s="42"/>
    </row>
    <row r="41" spans="1:8" ht="15" customHeight="1">
      <c r="A41" t="s">
        <v>47</v>
      </c>
      <c r="D41" s="42">
        <f>[2]Sheet1!$G$224/12</f>
        <v>1185.7193368412402</v>
      </c>
      <c r="E41" s="42"/>
    </row>
    <row r="42" spans="1:8" ht="19" customHeight="1">
      <c r="A42" t="s">
        <v>48</v>
      </c>
      <c r="D42" s="60">
        <f>D38*D36/12+D40-D41</f>
        <v>3976.7835798254273</v>
      </c>
      <c r="E42" s="50">
        <f>12*D42</f>
        <v>47721.402957905128</v>
      </c>
    </row>
    <row r="43" spans="1:8" ht="18" customHeight="1">
      <c r="A43" t="s">
        <v>49</v>
      </c>
      <c r="D43" s="42"/>
      <c r="E43" s="42">
        <f>MAX(0,E38+E42)</f>
        <v>109671.43795790513</v>
      </c>
    </row>
    <row r="44" spans="1:8" ht="27" customHeight="1">
      <c r="A44" s="1" t="s">
        <v>50</v>
      </c>
      <c r="E44" s="12"/>
    </row>
    <row r="45" spans="1:8" ht="19" customHeight="1">
      <c r="A45" s="21" t="s">
        <v>51</v>
      </c>
      <c r="E45" s="12"/>
    </row>
    <row r="46" spans="1:8" ht="20" customHeight="1">
      <c r="A46" t="s">
        <v>52</v>
      </c>
      <c r="E46" s="19">
        <f>MIN(E26*[2]Sheet1!$G$12,[2]Sheet1!$F$257*E27/[2]Sheet1!$C$74)</f>
        <v>314254.2024695382</v>
      </c>
      <c r="F46" s="19"/>
    </row>
    <row r="47" spans="1:8" ht="16" customHeight="1">
      <c r="A47" t="s">
        <v>53</v>
      </c>
      <c r="E47" s="40">
        <f>0.1*E46</f>
        <v>31425.420246953821</v>
      </c>
    </row>
    <row r="48" spans="1:8" ht="17" customHeight="1">
      <c r="A48" t="s">
        <v>54</v>
      </c>
      <c r="E48" s="20">
        <f>[2]Sheet1!$G$8</f>
        <v>19200</v>
      </c>
    </row>
    <row r="49" spans="1:8" ht="22" customHeight="1">
      <c r="A49" t="s">
        <v>55</v>
      </c>
      <c r="E49" s="19">
        <f>MIN(E46,E47)-E48+E48*[2]Sheet1!$C$75</f>
        <v>12993.420246953821</v>
      </c>
      <c r="F49" s="19"/>
    </row>
    <row r="50" spans="1:8" ht="14" customHeight="1">
      <c r="A50" s="11" t="s">
        <v>56</v>
      </c>
      <c r="B50" s="41"/>
      <c r="C50" s="41"/>
      <c r="D50" s="41"/>
      <c r="E50" s="48">
        <v>0.33300000000000002</v>
      </c>
    </row>
    <row r="51" spans="1:8" ht="27" customHeight="1">
      <c r="A51" s="21" t="s">
        <v>57</v>
      </c>
      <c r="E51" s="12"/>
    </row>
    <row r="52" spans="1:8" ht="16" customHeight="1">
      <c r="A52" t="s">
        <v>58</v>
      </c>
      <c r="E52" s="19">
        <f>[2]Sheet1!$D$53</f>
        <v>53392</v>
      </c>
      <c r="F52" s="19"/>
    </row>
    <row r="53" spans="1:8" ht="16" customHeight="1">
      <c r="A53" t="s">
        <v>59</v>
      </c>
      <c r="E53" s="19">
        <f>E52*([2]Sheet1!$C$72+[2]Sheet1!$C$73)</f>
        <v>3203.52</v>
      </c>
      <c r="F53" s="19"/>
    </row>
    <row r="54" spans="1:8">
      <c r="A54" t="s">
        <v>60</v>
      </c>
      <c r="E54" s="19">
        <f>[2]Sheet1!$F$259</f>
        <v>13389.20437961792</v>
      </c>
      <c r="F54" s="19"/>
    </row>
    <row r="55" spans="1:8">
      <c r="A55" t="s">
        <v>61</v>
      </c>
      <c r="B55" s="43"/>
      <c r="C55" s="43"/>
      <c r="D55" s="43"/>
      <c r="E55" s="51">
        <f>0.9*E52</f>
        <v>48052.800000000003</v>
      </c>
      <c r="F55" s="43" t="s">
        <v>62</v>
      </c>
    </row>
    <row r="56" spans="1:8">
      <c r="A56" t="s">
        <v>63</v>
      </c>
      <c r="B56" s="43"/>
      <c r="C56" s="43"/>
      <c r="D56" s="43"/>
      <c r="E56" s="44">
        <f>E52+E53+E54-E55</f>
        <v>21931.924379617922</v>
      </c>
      <c r="F56" s="44"/>
    </row>
    <row r="57" spans="1:8" ht="7" customHeight="1">
      <c r="B57" s="43"/>
      <c r="C57" s="43"/>
      <c r="D57" s="43"/>
      <c r="E57" s="44"/>
      <c r="F57" s="43"/>
    </row>
    <row r="58" spans="1:8" ht="29" customHeight="1">
      <c r="A58" s="1" t="s">
        <v>64</v>
      </c>
      <c r="B58" s="43"/>
      <c r="C58" s="43"/>
      <c r="D58" s="43"/>
      <c r="E58" s="43"/>
      <c r="F58" s="43"/>
    </row>
    <row r="59" spans="1:8" ht="13">
      <c r="A59" s="3"/>
      <c r="B59" s="45" t="s">
        <v>4</v>
      </c>
      <c r="C59" s="46" t="s">
        <v>5</v>
      </c>
      <c r="D59" s="46" t="s">
        <v>6</v>
      </c>
      <c r="E59" s="46" t="s">
        <v>7</v>
      </c>
      <c r="F59" s="47" t="s">
        <v>8</v>
      </c>
      <c r="G59" s="55" t="s">
        <v>38</v>
      </c>
    </row>
    <row r="60" spans="1:8" ht="18" customHeight="1">
      <c r="A60" t="s">
        <v>65</v>
      </c>
      <c r="B60" s="32">
        <f>MAX(0,B32-B33)</f>
        <v>3000</v>
      </c>
      <c r="C60" s="9">
        <f t="shared" ref="C60:F60" si="2">MAX(0,C32-C33)</f>
        <v>6500</v>
      </c>
      <c r="D60" s="9">
        <f t="shared" si="2"/>
        <v>7300</v>
      </c>
      <c r="E60" s="9">
        <f t="shared" si="2"/>
        <v>0</v>
      </c>
      <c r="F60" s="33">
        <f t="shared" si="2"/>
        <v>12369</v>
      </c>
      <c r="G60" s="56">
        <f>SUM(B60:F60)</f>
        <v>29169</v>
      </c>
    </row>
    <row r="61" spans="1:8" ht="14" customHeight="1">
      <c r="A61" t="s">
        <v>66</v>
      </c>
      <c r="B61" s="75">
        <f>B60/B32</f>
        <v>1.0600706713780919E-2</v>
      </c>
      <c r="C61" s="76">
        <f t="shared" ref="C61:F61" si="3">C60/C32</f>
        <v>3.1476997578692496E-2</v>
      </c>
      <c r="D61" s="76">
        <f t="shared" si="3"/>
        <v>1.202041824468961E-2</v>
      </c>
      <c r="E61" s="76"/>
      <c r="F61" s="77">
        <f t="shared" si="3"/>
        <v>2.6751303068970739E-2</v>
      </c>
      <c r="G61" s="78"/>
    </row>
    <row r="62" spans="1:8" ht="18" customHeight="1">
      <c r="A62" t="s">
        <v>67</v>
      </c>
      <c r="B62" s="32">
        <f>IF(B61&gt;$E29,B60*B5/1000,0)</f>
        <v>600</v>
      </c>
      <c r="C62" s="9">
        <f t="shared" ref="C62:F62" si="4">IF(C61&gt;$E29,C60*C5/1000,0)</f>
        <v>1300</v>
      </c>
      <c r="D62" s="9">
        <f t="shared" si="4"/>
        <v>2190</v>
      </c>
      <c r="E62" s="9">
        <f t="shared" si="4"/>
        <v>0</v>
      </c>
      <c r="F62" s="33">
        <f t="shared" si="4"/>
        <v>2226.42</v>
      </c>
      <c r="G62" s="56">
        <f t="shared" ref="G62:G67" si="5">SUM(B62:F62)</f>
        <v>6316.42</v>
      </c>
      <c r="H62" t="s">
        <v>31</v>
      </c>
    </row>
    <row r="63" spans="1:8" ht="16" customHeight="1">
      <c r="A63" t="s">
        <v>68</v>
      </c>
      <c r="B63" s="32">
        <f>$E50*B62</f>
        <v>199.8</v>
      </c>
      <c r="C63" s="9">
        <f t="shared" ref="C63:F63" si="6">$E50*C62</f>
        <v>432.90000000000003</v>
      </c>
      <c r="D63" s="9">
        <f t="shared" si="6"/>
        <v>729.2700000000001</v>
      </c>
      <c r="E63" s="9">
        <f t="shared" si="6"/>
        <v>0</v>
      </c>
      <c r="F63" s="33">
        <f t="shared" si="6"/>
        <v>741.39786000000004</v>
      </c>
      <c r="G63" s="56">
        <f t="shared" si="5"/>
        <v>2103.3678600000003</v>
      </c>
      <c r="H63" t="s">
        <v>31</v>
      </c>
    </row>
    <row r="64" spans="1:8">
      <c r="A64" t="s">
        <v>69</v>
      </c>
      <c r="B64" s="32">
        <f>B63*$E49/$G63</f>
        <v>1234.2517039988304</v>
      </c>
      <c r="C64" s="9">
        <f t="shared" ref="C64:F64" si="7">C63*$E49/$G63</f>
        <v>2674.2120253307994</v>
      </c>
      <c r="D64" s="9">
        <f t="shared" si="7"/>
        <v>4505.0187195957305</v>
      </c>
      <c r="E64" s="9">
        <f t="shared" si="7"/>
        <v>0</v>
      </c>
      <c r="F64" s="33">
        <f t="shared" si="7"/>
        <v>4579.9377980284598</v>
      </c>
      <c r="G64" s="56">
        <f t="shared" si="5"/>
        <v>12993.420246953821</v>
      </c>
      <c r="H64" t="s">
        <v>31</v>
      </c>
    </row>
    <row r="65" spans="1:8" ht="18" customHeight="1">
      <c r="A65" t="s">
        <v>70</v>
      </c>
      <c r="B65" s="32">
        <f>B62-B64</f>
        <v>-634.25170399883041</v>
      </c>
      <c r="C65" s="9">
        <f t="shared" ref="C65:F65" si="8">C62-C64</f>
        <v>-1374.2120253307994</v>
      </c>
      <c r="D65" s="9">
        <f t="shared" si="8"/>
        <v>-2315.0187195957305</v>
      </c>
      <c r="E65" s="9">
        <f t="shared" si="8"/>
        <v>0</v>
      </c>
      <c r="F65" s="33">
        <f t="shared" si="8"/>
        <v>-2353.5177980284598</v>
      </c>
      <c r="G65" s="56">
        <f t="shared" si="5"/>
        <v>-6677.0002469538204</v>
      </c>
      <c r="H65" t="s">
        <v>31</v>
      </c>
    </row>
    <row r="66" spans="1:8">
      <c r="A66" t="s">
        <v>71</v>
      </c>
      <c r="B66" s="32">
        <f>B65*$E56/$G65</f>
        <v>2083.3248308014277</v>
      </c>
      <c r="C66" s="9">
        <f t="shared" ref="C66:F66" si="9">C65*$E56/$G65</f>
        <v>4513.8704667364273</v>
      </c>
      <c r="D66" s="9">
        <f t="shared" si="9"/>
        <v>7604.1356324252092</v>
      </c>
      <c r="E66" s="9">
        <f t="shared" si="9"/>
        <v>0</v>
      </c>
      <c r="F66" s="33">
        <f t="shared" si="9"/>
        <v>7730.5934496548562</v>
      </c>
      <c r="G66" s="56">
        <f t="shared" si="5"/>
        <v>21931.924379617922</v>
      </c>
      <c r="H66" t="s">
        <v>31</v>
      </c>
    </row>
    <row r="67" spans="1:8" ht="17" customHeight="1">
      <c r="A67" t="s">
        <v>72</v>
      </c>
      <c r="B67" s="32">
        <f>B64+B66</f>
        <v>3317.5765348002578</v>
      </c>
      <c r="C67" s="9">
        <f t="shared" ref="C67:F67" si="10">C64+C66</f>
        <v>7188.0824920672267</v>
      </c>
      <c r="D67" s="9">
        <f t="shared" si="10"/>
        <v>12109.15435202094</v>
      </c>
      <c r="E67" s="9">
        <f t="shared" si="10"/>
        <v>0</v>
      </c>
      <c r="F67" s="33">
        <f t="shared" si="10"/>
        <v>12310.531247683317</v>
      </c>
      <c r="G67" s="56">
        <f t="shared" si="5"/>
        <v>34925.344626571736</v>
      </c>
      <c r="H67" t="s">
        <v>31</v>
      </c>
    </row>
    <row r="68" spans="1:8" ht="17" customHeight="1">
      <c r="A68" t="s">
        <v>73</v>
      </c>
      <c r="B68" s="34">
        <f>1000*B67/B5</f>
        <v>16587.882674001288</v>
      </c>
      <c r="C68" s="35">
        <f t="shared" ref="C68:F68" si="11">1000*C67/C5</f>
        <v>35940.412460336134</v>
      </c>
      <c r="D68" s="35">
        <f t="shared" si="11"/>
        <v>40363.8478400698</v>
      </c>
      <c r="E68" s="35"/>
      <c r="F68" s="36">
        <f t="shared" si="11"/>
        <v>68391.84026490731</v>
      </c>
      <c r="G68" s="57">
        <f>SUM(B68:F68)</f>
        <v>161283.98323931452</v>
      </c>
    </row>
    <row r="69" spans="1:8" ht="29" customHeight="1">
      <c r="A69" s="1" t="s">
        <v>74</v>
      </c>
      <c r="B69" s="43"/>
      <c r="C69" s="43"/>
      <c r="D69" s="43"/>
      <c r="E69" s="43"/>
      <c r="F69" s="43"/>
    </row>
    <row r="70" spans="1:8" ht="13">
      <c r="A70" s="3"/>
      <c r="B70" s="45" t="s">
        <v>4</v>
      </c>
      <c r="C70" s="46" t="s">
        <v>5</v>
      </c>
      <c r="D70" s="46" t="s">
        <v>6</v>
      </c>
      <c r="E70" s="46" t="s">
        <v>7</v>
      </c>
      <c r="F70" s="47" t="s">
        <v>8</v>
      </c>
      <c r="G70" s="55" t="s">
        <v>38</v>
      </c>
    </row>
    <row r="71" spans="1:8" ht="18" customHeight="1">
      <c r="A71" t="s">
        <v>40</v>
      </c>
      <c r="B71" s="32">
        <f>B68+B33</f>
        <v>296587.88267400127</v>
      </c>
      <c r="C71" s="9">
        <f t="shared" ref="C71:F71" si="12">C68+C33</f>
        <v>235940.41246033614</v>
      </c>
      <c r="D71" s="9">
        <f t="shared" si="12"/>
        <v>640363.84784006979</v>
      </c>
      <c r="E71" s="9">
        <f t="shared" si="12"/>
        <v>0</v>
      </c>
      <c r="F71" s="33">
        <f t="shared" si="12"/>
        <v>518392.84026490734</v>
      </c>
      <c r="G71" s="56">
        <f>SUM(B71:F71)</f>
        <v>1691284.9832393145</v>
      </c>
    </row>
    <row r="72" spans="1:8" ht="16" customHeight="1">
      <c r="A72" t="s">
        <v>75</v>
      </c>
      <c r="B72" s="52">
        <f>B71/B32</f>
        <v>1.0480137196961177</v>
      </c>
      <c r="C72" s="53">
        <f t="shared" ref="C72:F72" si="13">C71/C32</f>
        <v>1.1425685833430321</v>
      </c>
      <c r="D72" s="53">
        <f t="shared" si="13"/>
        <v>1.0544440109337556</v>
      </c>
      <c r="E72" s="53"/>
      <c r="F72" s="54">
        <f t="shared" si="13"/>
        <v>1.1211645224926083</v>
      </c>
      <c r="G72" s="58">
        <f>(B72^(B71/G71))*(C72^(C71/G71))*(D72^(D71/G71))*(F72^(F71/G71))</f>
        <v>1.0853948391562485</v>
      </c>
    </row>
    <row r="73" spans="1:8" ht="16" customHeight="1">
      <c r="A73" t="s">
        <v>76</v>
      </c>
      <c r="B73" s="61">
        <f t="shared" ref="B73:G73" si="14">B68</f>
        <v>16587.882674001288</v>
      </c>
      <c r="C73" s="62">
        <f t="shared" si="14"/>
        <v>35940.412460336134</v>
      </c>
      <c r="D73" s="62">
        <f t="shared" si="14"/>
        <v>40363.8478400698</v>
      </c>
      <c r="E73" s="62">
        <f t="shared" si="14"/>
        <v>0</v>
      </c>
      <c r="F73" s="62">
        <f t="shared" si="14"/>
        <v>68391.84026490731</v>
      </c>
      <c r="G73" s="63">
        <f t="shared" si="14"/>
        <v>161283.98323931452</v>
      </c>
    </row>
    <row r="74" spans="1:8" ht="16" customHeight="1">
      <c r="A74" t="s">
        <v>77</v>
      </c>
      <c r="B74" s="34">
        <f t="shared" ref="B74:G74" si="15">B67</f>
        <v>3317.5765348002578</v>
      </c>
      <c r="C74" s="35">
        <f t="shared" si="15"/>
        <v>7188.0824920672267</v>
      </c>
      <c r="D74" s="35">
        <f t="shared" si="15"/>
        <v>12109.15435202094</v>
      </c>
      <c r="E74" s="35">
        <f t="shared" si="15"/>
        <v>0</v>
      </c>
      <c r="F74" s="35">
        <f t="shared" si="15"/>
        <v>12310.531247683317</v>
      </c>
      <c r="G74" s="36">
        <f t="shared" si="15"/>
        <v>34925.344626571736</v>
      </c>
    </row>
    <row r="75" spans="1:8" ht="16" customHeight="1">
      <c r="B75" s="9"/>
      <c r="C75" s="9"/>
      <c r="D75" s="9"/>
      <c r="E75" s="9"/>
      <c r="F75" s="9"/>
    </row>
    <row r="76" spans="1:8" ht="26" customHeight="1">
      <c r="A76" s="1" t="s">
        <v>78</v>
      </c>
    </row>
    <row r="77" spans="1:8" ht="13" customHeight="1">
      <c r="A77" s="5" t="s">
        <v>79</v>
      </c>
      <c r="E77" s="19">
        <f>[2]Sheet1!$D$52</f>
        <v>647000</v>
      </c>
    </row>
    <row r="78" spans="1:8" ht="13" customHeight="1">
      <c r="A78" s="5" t="s">
        <v>80</v>
      </c>
      <c r="E78" s="19">
        <f>-E77/[2]Sheet1!$G$80</f>
        <v>-12940</v>
      </c>
    </row>
    <row r="79" spans="1:8" ht="13" customHeight="1">
      <c r="A79" s="5" t="s">
        <v>81</v>
      </c>
      <c r="E79" s="20">
        <f>G67</f>
        <v>34925.344626571736</v>
      </c>
    </row>
    <row r="80" spans="1:8" ht="13" customHeight="1">
      <c r="A80" s="5" t="s">
        <v>82</v>
      </c>
      <c r="E80" s="19">
        <f>E77+E78+E79</f>
        <v>668985.34462657175</v>
      </c>
    </row>
    <row r="81" spans="1:8" ht="13" customHeight="1">
      <c r="A81" s="5"/>
      <c r="E81" s="19"/>
    </row>
    <row r="82" spans="1:8">
      <c r="A82" t="s">
        <v>83</v>
      </c>
      <c r="E82" s="19">
        <f>[1]Sheet1!$G$49</f>
        <v>19200</v>
      </c>
    </row>
    <row r="83" spans="1:8">
      <c r="A83" t="s">
        <v>84</v>
      </c>
      <c r="E83" s="19">
        <f>-E82*[2]Sheet1!$C$75</f>
        <v>-768</v>
      </c>
    </row>
    <row r="84" spans="1:8">
      <c r="A84" t="s">
        <v>85</v>
      </c>
      <c r="E84" s="20">
        <f>G64</f>
        <v>12993.420246953821</v>
      </c>
    </row>
    <row r="85" spans="1:8">
      <c r="A85" t="s">
        <v>86</v>
      </c>
      <c r="E85" s="19">
        <f>E82+E83+E84</f>
        <v>31425.420246953821</v>
      </c>
    </row>
    <row r="86" spans="1:8" ht="41" customHeight="1">
      <c r="A86" s="86" t="s">
        <v>87</v>
      </c>
    </row>
    <row r="87" spans="1:8" ht="16" customHeight="1">
      <c r="A87" s="3" t="s">
        <v>88</v>
      </c>
    </row>
    <row r="88" spans="1:8" ht="18" customHeight="1">
      <c r="A88" s="21" t="s">
        <v>89</v>
      </c>
      <c r="D88" s="4"/>
      <c r="E88" s="2" t="s">
        <v>90</v>
      </c>
      <c r="G88" s="2"/>
    </row>
    <row r="89" spans="1:8" s="5" customFormat="1" ht="8" customHeight="1">
      <c r="A89"/>
    </row>
    <row r="90" spans="1:8" s="5" customFormat="1" ht="14" customHeight="1">
      <c r="A90" s="5" t="s">
        <v>91</v>
      </c>
      <c r="E90" s="83">
        <v>1</v>
      </c>
      <c r="F90"/>
      <c r="H90"/>
    </row>
    <row r="91" spans="1:8" ht="18" customHeight="1">
      <c r="A91" s="21" t="s">
        <v>92</v>
      </c>
      <c r="D91" s="4"/>
      <c r="E91" s="2" t="s">
        <v>90</v>
      </c>
      <c r="G91" s="2" t="s">
        <v>93</v>
      </c>
      <c r="H91" s="2" t="s">
        <v>94</v>
      </c>
    </row>
    <row r="92" spans="1:8" s="5" customFormat="1" ht="8" customHeight="1">
      <c r="A92"/>
    </row>
    <row r="93" spans="1:8" s="5" customFormat="1" ht="14" customHeight="1">
      <c r="A93" s="5" t="s">
        <v>95</v>
      </c>
      <c r="E93" s="82">
        <v>0.1</v>
      </c>
      <c r="F93"/>
      <c r="H93"/>
    </row>
    <row r="94" spans="1:8" s="5" customFormat="1" ht="14" customHeight="1">
      <c r="A94" s="5" t="s">
        <v>96</v>
      </c>
      <c r="E94" s="69">
        <v>15000</v>
      </c>
      <c r="F94" s="2" t="s">
        <v>97</v>
      </c>
      <c r="G94" s="79">
        <f>E94</f>
        <v>15000</v>
      </c>
      <c r="H94" s="79">
        <f>(1+[2]Sheet1!$C$72+[2]Sheet1!$C$78)*G94</f>
        <v>15900</v>
      </c>
    </row>
    <row r="95" spans="1:8" s="5" customFormat="1" ht="14" customHeight="1">
      <c r="A95" s="5" t="s">
        <v>98</v>
      </c>
      <c r="E95" s="80">
        <v>0.04</v>
      </c>
      <c r="F95">
        <f>E95*E94</f>
        <v>600</v>
      </c>
      <c r="G95" s="60">
        <f>F95</f>
        <v>600</v>
      </c>
      <c r="H95" s="60">
        <f>G95*(1+[2]Sheet1!$C$72+0.75*([2]Sheet1!$D$116+[2]Sheet1!$C$116))</f>
        <v>617.84130282249953</v>
      </c>
    </row>
    <row r="96" spans="1:8" s="5" customFormat="1" ht="14" customHeight="1">
      <c r="A96" s="5" t="s">
        <v>99</v>
      </c>
      <c r="E96" s="70">
        <v>0.17499999999999999</v>
      </c>
      <c r="F96">
        <f>E96*E94</f>
        <v>2625</v>
      </c>
      <c r="G96" s="60">
        <f>F96</f>
        <v>2625</v>
      </c>
      <c r="H96" s="60">
        <f>G96*(1+[2]Sheet1!$C$72+0.5*([2]Sheet1!$D$116+[2]Sheet1!$C$116))</f>
        <v>2703.2871332322902</v>
      </c>
    </row>
    <row r="97" spans="1:8" ht="21" customHeight="1">
      <c r="A97" s="21" t="s">
        <v>100</v>
      </c>
      <c r="D97" s="4"/>
      <c r="E97" s="2" t="s">
        <v>90</v>
      </c>
      <c r="G97" s="2" t="s">
        <v>93</v>
      </c>
      <c r="H97" s="2" t="s">
        <v>94</v>
      </c>
    </row>
    <row r="98" spans="1:8" ht="8" customHeight="1">
      <c r="A98" s="4"/>
      <c r="D98" s="4"/>
      <c r="E98" s="2"/>
      <c r="G98" s="2"/>
    </row>
    <row r="99" spans="1:8" ht="16" customHeight="1">
      <c r="A99" t="s">
        <v>101</v>
      </c>
      <c r="E99" s="22">
        <f>[3]Initial_Conds!$BF$1238</f>
        <v>5945.4</v>
      </c>
      <c r="G99" s="19">
        <f t="shared" ref="G99:H99" si="16">1000*G112/G105</f>
        <v>5795.6940874036</v>
      </c>
      <c r="H99" s="19">
        <f t="shared" si="16"/>
        <v>5752.6920580709311</v>
      </c>
    </row>
    <row r="100" spans="1:8" ht="17" customHeight="1">
      <c r="A100" s="5" t="s">
        <v>102</v>
      </c>
      <c r="E100" s="64">
        <v>5000</v>
      </c>
      <c r="G100" s="85">
        <f>E100</f>
        <v>5000</v>
      </c>
      <c r="H100" s="64">
        <v>5100</v>
      </c>
    </row>
    <row r="101" spans="1:8" ht="14" customHeight="1">
      <c r="A101" t="s">
        <v>103</v>
      </c>
      <c r="E101" s="65">
        <f>[3]Initial_Conds!$BG$1238</f>
        <v>7.3399999999999993E-2</v>
      </c>
      <c r="G101" s="65">
        <f>E101+0.015</f>
        <v>8.8399999999999992E-2</v>
      </c>
      <c r="H101" s="65">
        <f>G101-0.004</f>
        <v>8.4399999999999989E-2</v>
      </c>
    </row>
    <row r="102" spans="1:8" ht="20" customHeight="1">
      <c r="A102" t="s">
        <v>104</v>
      </c>
      <c r="E102" s="66">
        <f>E100*E101+22</f>
        <v>388.99999999999994</v>
      </c>
      <c r="G102" s="6">
        <f>E102</f>
        <v>388.99999999999994</v>
      </c>
      <c r="H102" s="6">
        <f>G102+G116</f>
        <v>441.99999999999994</v>
      </c>
    </row>
    <row r="103" spans="1:8" ht="14" customHeight="1">
      <c r="A103" t="s">
        <v>105</v>
      </c>
      <c r="E103" s="68">
        <f>E94*E102/1000</f>
        <v>5834.9999999999991</v>
      </c>
      <c r="G103" s="6"/>
    </row>
    <row r="104" spans="1:8" ht="18" customHeight="1">
      <c r="A104" t="s">
        <v>106</v>
      </c>
      <c r="E104" s="6">
        <f>E100*E101</f>
        <v>366.99999999999994</v>
      </c>
      <c r="G104" s="6">
        <f t="shared" ref="G104:H104" si="17">G101*G100</f>
        <v>441.99999999999994</v>
      </c>
      <c r="H104" s="42">
        <f t="shared" si="17"/>
        <v>430.43999999999994</v>
      </c>
    </row>
    <row r="105" spans="1:8" ht="14" customHeight="1">
      <c r="A105" t="s">
        <v>107</v>
      </c>
      <c r="E105" s="67">
        <f>MIN(E102,E104)</f>
        <v>366.99999999999994</v>
      </c>
      <c r="G105" s="67">
        <f t="shared" ref="G105:H105" si="18">MIN(G102,G104)</f>
        <v>388.99999999999994</v>
      </c>
      <c r="H105" s="67">
        <f t="shared" si="18"/>
        <v>430.43999999999994</v>
      </c>
    </row>
    <row r="106" spans="1:8" ht="22" customHeight="1">
      <c r="A106" t="s">
        <v>108</v>
      </c>
      <c r="E106" s="19">
        <f>E99*E105/1000</f>
        <v>2181.9617999999991</v>
      </c>
      <c r="G106" s="19">
        <f t="shared" ref="G106:H106" si="19">G99*G105/1000</f>
        <v>2254.5250000000001</v>
      </c>
      <c r="H106" s="19">
        <f t="shared" si="19"/>
        <v>2476.1887694760512</v>
      </c>
    </row>
    <row r="107" spans="1:8" ht="19" customHeight="1">
      <c r="A107" s="21" t="s">
        <v>109</v>
      </c>
      <c r="E107" s="2" t="s">
        <v>90</v>
      </c>
      <c r="F107" s="2" t="s">
        <v>110</v>
      </c>
      <c r="G107" s="2" t="s">
        <v>93</v>
      </c>
      <c r="H107" s="2" t="s">
        <v>94</v>
      </c>
    </row>
    <row r="108" spans="1:8" ht="8" customHeight="1">
      <c r="A108" s="4"/>
      <c r="D108" s="4"/>
      <c r="E108" s="2"/>
      <c r="G108" s="2"/>
    </row>
    <row r="109" spans="1:8">
      <c r="A109" t="s">
        <v>111</v>
      </c>
      <c r="E109" s="79">
        <f>([2]Sheet1!$C$74+[2]Sheet1!$C$75)*G121</f>
        <v>1000</v>
      </c>
      <c r="F109" s="19">
        <f>E109</f>
        <v>1000</v>
      </c>
      <c r="G109" s="79">
        <f>([2]Sheet1!$C$74+[2]Sheet1!$C$75)*G121</f>
        <v>1000</v>
      </c>
      <c r="H109" s="79">
        <f>([2]Sheet1!$C$74+[2]Sheet1!$C$75)*H121</f>
        <v>1039.5</v>
      </c>
    </row>
    <row r="110" spans="1:8" ht="17" customHeight="1">
      <c r="A110" t="s">
        <v>112</v>
      </c>
      <c r="D110" s="19"/>
      <c r="E110" s="68">
        <f>F95*E102/1000</f>
        <v>233.39999999999998</v>
      </c>
      <c r="F110" s="19">
        <f t="shared" ref="F110:F111" si="20">E$113*E110</f>
        <v>230.51106859685382</v>
      </c>
      <c r="G110" s="19">
        <f t="shared" ref="G110:H110" si="21">G102*G95/1000</f>
        <v>233.39999999999998</v>
      </c>
      <c r="H110" s="19">
        <f t="shared" si="21"/>
        <v>273.08585584754474</v>
      </c>
    </row>
    <row r="111" spans="1:8" ht="16" customHeight="1">
      <c r="A111" t="s">
        <v>113</v>
      </c>
      <c r="E111" s="20">
        <f>F96*E105/1000</f>
        <v>963.37499999999989</v>
      </c>
      <c r="F111" s="20">
        <f t="shared" si="20"/>
        <v>951.45073140314503</v>
      </c>
      <c r="G111" s="20">
        <f t="shared" ref="G111:H111" si="22">G105*G96/1000</f>
        <v>1021.1249999999999</v>
      </c>
      <c r="H111" s="20">
        <f t="shared" si="22"/>
        <v>1163.6029136285069</v>
      </c>
    </row>
    <row r="112" spans="1:8" ht="16" customHeight="1">
      <c r="A112" t="s">
        <v>114</v>
      </c>
      <c r="E112" s="19">
        <f t="shared" ref="E112:H112" si="23">E109+E110+E111</f>
        <v>2196.7750000000001</v>
      </c>
      <c r="F112" s="19">
        <f t="shared" si="23"/>
        <v>2181.9617999999991</v>
      </c>
      <c r="G112" s="19">
        <f t="shared" si="23"/>
        <v>2254.5250000000001</v>
      </c>
      <c r="H112" s="19">
        <f t="shared" si="23"/>
        <v>2476.1887694760517</v>
      </c>
    </row>
    <row r="113" spans="1:8" ht="16" customHeight="1">
      <c r="A113" t="s">
        <v>115</v>
      </c>
      <c r="E113" s="81">
        <f>(E106-E109)/(E112-E109)</f>
        <v>0.98762240187169603</v>
      </c>
      <c r="G113" s="19"/>
    </row>
    <row r="114" spans="1:8" ht="20" customHeight="1">
      <c r="A114" s="21" t="s">
        <v>116</v>
      </c>
      <c r="E114" s="2"/>
      <c r="G114" s="2" t="s">
        <v>93</v>
      </c>
      <c r="H114" s="2" t="s">
        <v>94</v>
      </c>
    </row>
    <row r="115" spans="1:8" ht="14" customHeight="1">
      <c r="A115" t="s">
        <v>117</v>
      </c>
      <c r="E115" s="67"/>
      <c r="G115" s="67">
        <f t="shared" ref="G115:H115" si="24">G104-G105</f>
        <v>53</v>
      </c>
      <c r="H115" s="67">
        <f t="shared" si="24"/>
        <v>0</v>
      </c>
    </row>
    <row r="116" spans="1:8" ht="15" customHeight="1">
      <c r="A116" t="s">
        <v>118</v>
      </c>
      <c r="E116" s="19"/>
      <c r="G116" s="42">
        <f t="shared" ref="G116:H116" si="25">IF(AND(E90&gt;0,G115/G104&gt;E93),G115,0)</f>
        <v>53</v>
      </c>
      <c r="H116" s="42">
        <f t="shared" si="25"/>
        <v>0</v>
      </c>
    </row>
    <row r="117" spans="1:8" ht="15" customHeight="1">
      <c r="A117" t="s">
        <v>119</v>
      </c>
      <c r="E117" s="19"/>
      <c r="G117" s="19">
        <f t="shared" ref="G117:H117" si="26">G116*G94/1000</f>
        <v>795</v>
      </c>
      <c r="H117" s="19">
        <f t="shared" si="26"/>
        <v>0</v>
      </c>
    </row>
    <row r="118" spans="1:8" ht="22" customHeight="1">
      <c r="A118" s="21" t="s">
        <v>120</v>
      </c>
      <c r="G118" s="84" t="s">
        <v>121</v>
      </c>
      <c r="H118" s="84"/>
    </row>
    <row r="119" spans="1:8">
      <c r="E119" s="19"/>
      <c r="G119" s="2" t="s">
        <v>93</v>
      </c>
      <c r="H119" s="2" t="s">
        <v>94</v>
      </c>
    </row>
    <row r="120" spans="1:8">
      <c r="A120" t="s">
        <v>122</v>
      </c>
      <c r="E120" s="20"/>
      <c r="G120" s="19">
        <f>G102*G94/1000</f>
        <v>5834.9999999999991</v>
      </c>
      <c r="H120" s="19">
        <f>G120+G117</f>
        <v>6629.9999999999991</v>
      </c>
    </row>
    <row r="121" spans="1:8">
      <c r="A121" t="s">
        <v>123</v>
      </c>
      <c r="E121" s="19"/>
      <c r="G121" s="19">
        <f>[2]Sheet1!$G$51</f>
        <v>10000</v>
      </c>
      <c r="H121" s="19">
        <f>G121*(1-[2]Sheet1!$C$75)+G117</f>
        <v>10395</v>
      </c>
    </row>
    <row r="122" spans="1:8">
      <c r="E122" s="19"/>
    </row>
    <row r="123" spans="1:8">
      <c r="E123" s="20"/>
    </row>
    <row r="124" spans="1:8">
      <c r="E124" s="19"/>
    </row>
  </sheetData>
  <printOptions gridLines="1" gridLinesSet="0"/>
  <pageMargins left="0.75" right="0.75" top="1" bottom="1" header="0.5" footer="0.5"/>
  <pageSetup paperSize="0" scale="99" fitToHeight="5" orientation="landscape" horizontalDpi="4294967292" verticalDpi="4294967292"/>
  <headerFooter alignWithMargins="0">
    <oddHeader>&amp;LWFM&amp;C&amp;F&amp;R&amp;D</oddHeader>
    <oddFooter>Page &amp;P of &amp;N</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Massy</dc:creator>
  <cp:keywords/>
  <dc:description/>
  <cp:lastModifiedBy>Carina Negreanu</cp:lastModifiedBy>
  <dcterms:created xsi:type="dcterms:W3CDTF">2020-01-27T10:30:36Z</dcterms:created>
  <dcterms:modified xsi:type="dcterms:W3CDTF">2020-01-27T10:30:36Z</dcterms:modified>
</cp:coreProperties>
</file>