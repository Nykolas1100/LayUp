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A029D7-3105-45DC-9B31-29BD91282E7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10" i="1" s="1"/>
  <c r="C202" i="1"/>
  <c r="D202" i="1"/>
  <c r="B205" i="1"/>
  <c r="B206" i="1"/>
  <c r="B207" i="1"/>
  <c r="B209" i="1"/>
  <c r="B211" i="1"/>
  <c r="B212" i="1"/>
</calcChain>
</file>

<file path=xl/sharedStrings.xml><?xml version="1.0" encoding="utf-8"?>
<sst xmlns="http://schemas.openxmlformats.org/spreadsheetml/2006/main" count="1024" uniqueCount="233">
  <si>
    <t>Quidditch Cup</t>
  </si>
  <si>
    <t>Base Set</t>
  </si>
  <si>
    <t>Bludger</t>
  </si>
  <si>
    <t xml:space="preserve">Catch the Snitch </t>
  </si>
  <si>
    <t xml:space="preserve">Charms Exam </t>
  </si>
  <si>
    <t xml:space="preserve">Fluffy </t>
  </si>
  <si>
    <t xml:space="preserve">Fred &amp; George Weasley </t>
  </si>
  <si>
    <t xml:space="preserve">Gaze into the Mirror </t>
  </si>
  <si>
    <t>Dean Thomas</t>
  </si>
  <si>
    <t>Draco Malfoy</t>
  </si>
  <si>
    <t>Dragon's Escape</t>
  </si>
  <si>
    <t>Elixir of Life</t>
  </si>
  <si>
    <t>Gringotts Cart Ride</t>
  </si>
  <si>
    <t>Golden Cauldron</t>
  </si>
  <si>
    <t>Golden Snitch</t>
  </si>
  <si>
    <t>Hagrid Needs Help</t>
  </si>
  <si>
    <t>Halloween Feast</t>
  </si>
  <si>
    <t>Harry the Seeker</t>
  </si>
  <si>
    <t>Madam Rolanda Hooch</t>
  </si>
  <si>
    <t>Marcus Flint</t>
  </si>
  <si>
    <t>Neville Longbottom</t>
  </si>
  <si>
    <t>Nimbus Two Thousand</t>
  </si>
  <si>
    <t>No Time to Play</t>
  </si>
  <si>
    <t>Oliver Wood</t>
  </si>
  <si>
    <t>Out of Control</t>
  </si>
  <si>
    <t>Potions Class Disaster</t>
  </si>
  <si>
    <t>Put-Outer</t>
  </si>
  <si>
    <t>Ravenclaw Match</t>
  </si>
  <si>
    <t>Scabbers</t>
  </si>
  <si>
    <t>Seamus Finnigan</t>
  </si>
  <si>
    <t>Slytherin Match</t>
  </si>
  <si>
    <t>Start-of-Term Feast</t>
  </si>
  <si>
    <t>Support Banner</t>
  </si>
  <si>
    <t>The Sorting Hat</t>
  </si>
  <si>
    <t>Trevor</t>
  </si>
  <si>
    <t>Chocolate Frogs</t>
  </si>
  <si>
    <t>Comet Two Sixty</t>
  </si>
  <si>
    <t>Defence!</t>
  </si>
  <si>
    <t>Devil’s Snare</t>
  </si>
  <si>
    <t>Diffindo</t>
  </si>
  <si>
    <t>Doxy</t>
  </si>
  <si>
    <t>Hufflepuff Match</t>
  </si>
  <si>
    <t>In the Stands</t>
  </si>
  <si>
    <t>Into the Forbidden Forest</t>
  </si>
  <si>
    <t>Jawbind Potion</t>
  </si>
  <si>
    <t>Missing Parchment</t>
  </si>
  <si>
    <t>Penalty Shot</t>
  </si>
  <si>
    <t>Pep Talk</t>
  </si>
  <si>
    <t>Petificus Totalus</t>
  </si>
  <si>
    <t>Power Play</t>
  </si>
  <si>
    <t>Snape’s Bias</t>
  </si>
  <si>
    <t>Race for the Snitch</t>
  </si>
  <si>
    <t>Sticking Up for Neville</t>
  </si>
  <si>
    <t>Strategy Session</t>
  </si>
  <si>
    <t>Weakness Potion</t>
  </si>
  <si>
    <t>Bloodroot Poison</t>
  </si>
  <si>
    <t>Bravado</t>
  </si>
  <si>
    <t>Bruiswort Balm</t>
  </si>
  <si>
    <t>Cleansweep Seven</t>
  </si>
  <si>
    <t xml:space="preserve">Cobbing </t>
  </si>
  <si>
    <t>Cobra Lily</t>
  </si>
  <si>
    <t>Cunning Fox</t>
  </si>
  <si>
    <t>Desk into Pig</t>
  </si>
  <si>
    <t>Drowsiness Draught</t>
  </si>
  <si>
    <t>Fouled!</t>
  </si>
  <si>
    <t>Gone!</t>
  </si>
  <si>
    <t>Mice to Snuffleboxes</t>
  </si>
  <si>
    <t>Mopsus Potion</t>
  </si>
  <si>
    <t>Ouch!</t>
  </si>
  <si>
    <t>Practice Match</t>
  </si>
  <si>
    <t>Pulling Up</t>
  </si>
  <si>
    <t>Research</t>
  </si>
  <si>
    <t>Rope Bind</t>
  </si>
  <si>
    <t>Searching for the Snitch</t>
  </si>
  <si>
    <t>Smash!</t>
  </si>
  <si>
    <t>Stream of Flames</t>
  </si>
  <si>
    <t>Streeler</t>
  </si>
  <si>
    <t>Swarm!</t>
  </si>
  <si>
    <t>Time Out</t>
  </si>
  <si>
    <t>Care of Magical Creatures</t>
  </si>
  <si>
    <t>Charms</t>
  </si>
  <si>
    <t>Potions</t>
  </si>
  <si>
    <t>Transfiguration</t>
  </si>
  <si>
    <t>Quidditch</t>
  </si>
  <si>
    <t>Hannah Abbott</t>
  </si>
  <si>
    <t>Harry Potter</t>
  </si>
  <si>
    <t>Hermione Granger</t>
  </si>
  <si>
    <t>Human Chess Game</t>
  </si>
  <si>
    <t>Invisibility Cloak</t>
  </si>
  <si>
    <t>Obliviate</t>
  </si>
  <si>
    <t>Nearly Headless Nick</t>
  </si>
  <si>
    <t>Professor Filius Flitwick</t>
  </si>
  <si>
    <t>Professor Severus Snape</t>
  </si>
  <si>
    <t>Ron Weasley</t>
  </si>
  <si>
    <t>Rubeus Hagrid</t>
  </si>
  <si>
    <t>Unicorn</t>
  </si>
  <si>
    <t>Troll in the Bathroom</t>
  </si>
  <si>
    <t>Delivery Owl</t>
  </si>
  <si>
    <t>Draught of the Living Death</t>
  </si>
  <si>
    <t>Harry Hunting</t>
  </si>
  <si>
    <t>History of Magic</t>
  </si>
  <si>
    <t>Incendio</t>
  </si>
  <si>
    <t>Malevolent Mixture</t>
  </si>
  <si>
    <t>Meet the Centaurs</t>
  </si>
  <si>
    <t>Mountain Troll</t>
  </si>
  <si>
    <t>Mrs. Norris</t>
  </si>
  <si>
    <t>Norbert</t>
  </si>
  <si>
    <t>Phoenix Feather Wand</t>
  </si>
  <si>
    <t>Platform 9 3/4</t>
  </si>
  <si>
    <t>Potion Ingredients</t>
  </si>
  <si>
    <t>Raven to Writing Desk</t>
  </si>
  <si>
    <t>Shrinking Potion</t>
  </si>
  <si>
    <t>Titillando</t>
  </si>
  <si>
    <t>Transfiguration Exam</t>
  </si>
  <si>
    <t>Transfiguration Test</t>
  </si>
  <si>
    <t>Privet Drive</t>
  </si>
  <si>
    <t>Alchemy</t>
  </si>
  <si>
    <t>Apothecary</t>
  </si>
  <si>
    <t>Apparate</t>
  </si>
  <si>
    <t>Baby Dragon</t>
  </si>
  <si>
    <t>Bluebell Flames</t>
  </si>
  <si>
    <t>Burning Bitterroot Balm</t>
  </si>
  <si>
    <t>Cage</t>
  </si>
  <si>
    <t>Confundus</t>
  </si>
  <si>
    <t>Diagon Alley</t>
  </si>
  <si>
    <t>Dogbreath Potion</t>
  </si>
  <si>
    <t>Draco's Trick</t>
  </si>
  <si>
    <t>Dragon Heart Wand</t>
  </si>
  <si>
    <t>Fumos</t>
  </si>
  <si>
    <t>Guard Dog</t>
  </si>
  <si>
    <t>Hiding from Snape</t>
  </si>
  <si>
    <t>Kelpie</t>
  </si>
  <si>
    <t>Logic Puzzle</t>
  </si>
  <si>
    <t>Mysterious Egg</t>
  </si>
  <si>
    <t>Nurture</t>
  </si>
  <si>
    <t>Ollivanders</t>
  </si>
  <si>
    <t>Peeves Causes Trouble</t>
  </si>
  <si>
    <t>Pet Toad</t>
  </si>
  <si>
    <t>Pomfrey's Pick-Me-Up</t>
  </si>
  <si>
    <t>Potions Exam</t>
  </si>
  <si>
    <t>Reptile House</t>
  </si>
  <si>
    <t>Silver Cauldron</t>
  </si>
  <si>
    <t>Stupefy</t>
  </si>
  <si>
    <t>Take Root</t>
  </si>
  <si>
    <t>Transmogrify</t>
  </si>
  <si>
    <t>Unusual Pet</t>
  </si>
  <si>
    <t>Vanishing Glass</t>
  </si>
  <si>
    <t>Vanish</t>
  </si>
  <si>
    <t>Winged Keys</t>
  </si>
  <si>
    <t>Accio</t>
  </si>
  <si>
    <t>Avifors</t>
  </si>
  <si>
    <t>Baubillious</t>
  </si>
  <si>
    <t>Boa Constrictor</t>
  </si>
  <si>
    <t>Boil Cure</t>
  </si>
  <si>
    <t>Borrowed Wand</t>
  </si>
  <si>
    <t>Cauldron Sieve</t>
  </si>
  <si>
    <t>Curious Raven</t>
  </si>
  <si>
    <t>Dungbomb</t>
  </si>
  <si>
    <t>Epoximise</t>
  </si>
  <si>
    <t>Erumpent Potion</t>
  </si>
  <si>
    <t>Fluffy Falls Asleep</t>
  </si>
  <si>
    <t>Forest Troll</t>
  </si>
  <si>
    <t>Forgetfulness Potion</t>
  </si>
  <si>
    <t>Foul Brew</t>
  </si>
  <si>
    <t>Giant Tarantula</t>
  </si>
  <si>
    <t>Hagrid and the Stranger</t>
  </si>
  <si>
    <t>Homework</t>
  </si>
  <si>
    <t>Hospital Wing</t>
  </si>
  <si>
    <t>Illegibilus</t>
  </si>
  <si>
    <t>Incarcifors</t>
  </si>
  <si>
    <t>Lost Notes</t>
  </si>
  <si>
    <t>Magical Mishap</t>
  </si>
  <si>
    <t>Noxious Poison</t>
  </si>
  <si>
    <t>Out of the Woods</t>
  </si>
  <si>
    <t>Pet Rat</t>
  </si>
  <si>
    <t>Pewter Cauldron</t>
  </si>
  <si>
    <t>Potions Mistake</t>
  </si>
  <si>
    <t>Remembrall</t>
  </si>
  <si>
    <t>Restricted Section</t>
  </si>
  <si>
    <t>Scottish Stag</t>
  </si>
  <si>
    <t>Snape's Question</t>
  </si>
  <si>
    <t>Squiggle Quill</t>
  </si>
  <si>
    <t xml:space="preserve">Steelclaw </t>
  </si>
  <si>
    <t>Surly Hound</t>
  </si>
  <si>
    <t>Toe Biter</t>
  </si>
  <si>
    <t>Vermillious</t>
  </si>
  <si>
    <t>Vicious Wolf</t>
  </si>
  <si>
    <t>Wingardium Leviosa!</t>
  </si>
  <si>
    <t>Wizard Crackers</t>
  </si>
  <si>
    <t>Common</t>
  </si>
  <si>
    <t>Uncommon</t>
  </si>
  <si>
    <t>Rare</t>
  </si>
  <si>
    <t>Hospital Bed</t>
  </si>
  <si>
    <t>Foil Premium</t>
  </si>
  <si>
    <t>Holo-Portrait Premium</t>
  </si>
  <si>
    <t>Item</t>
  </si>
  <si>
    <t>Spell</t>
  </si>
  <si>
    <t>Creature</t>
  </si>
  <si>
    <t>Adventure</t>
  </si>
  <si>
    <t>Professor Mivera McGonagall</t>
  </si>
  <si>
    <t>Match</t>
  </si>
  <si>
    <t>Lesson</t>
  </si>
  <si>
    <t>Number</t>
  </si>
  <si>
    <t>Expansion</t>
  </si>
  <si>
    <t>Name</t>
  </si>
  <si>
    <t>Type</t>
  </si>
  <si>
    <t>-</t>
  </si>
  <si>
    <t>Snuffling Potion</t>
  </si>
  <si>
    <t>Harry Potter Trading Card Game</t>
  </si>
  <si>
    <t>People</t>
  </si>
  <si>
    <t>Have</t>
  </si>
  <si>
    <t>Amt.</t>
  </si>
  <si>
    <t>#</t>
  </si>
  <si>
    <t>Type "Yes" if you have this card. Leave it blank if you do not.</t>
  </si>
  <si>
    <t>Tells you which set of Harry Potter trading cards this card is from</t>
  </si>
  <si>
    <t>This is the name of the card</t>
  </si>
  <si>
    <t>This is the type of card the card is</t>
  </si>
  <si>
    <t>Tells which category of lessons the card is</t>
  </si>
  <si>
    <t>Rarity</t>
  </si>
  <si>
    <t xml:space="preserve">Tells how rare the card is </t>
  </si>
  <si>
    <t>Numbers all Harry Potter trading cards as one collection</t>
  </si>
  <si>
    <t>Key</t>
  </si>
  <si>
    <t>Type how many of this card your have in you collection</t>
  </si>
  <si>
    <t>This is the number printed on the card</t>
  </si>
  <si>
    <t>Total Cards Needed (Base Set)</t>
  </si>
  <si>
    <t>Total Cards Needed (Quidditch Cup)</t>
  </si>
  <si>
    <t>Quidditch Cup Rules Card</t>
  </si>
  <si>
    <t>Total Cards (Base Set)</t>
  </si>
  <si>
    <t>Total Cards (Quidditch Cup)</t>
  </si>
  <si>
    <t xml:space="preserve">Total Cards </t>
  </si>
  <si>
    <t xml:space="preserve">Total Cards Needed </t>
  </si>
  <si>
    <t>Cards (totals including doubles)</t>
  </si>
  <si>
    <t>Individual Cards (totals excluding doubles)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</si>
</sst>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6" xfId="0" applyFill="1" applyBorder="1"/>
    <xf numFmtId="0" fontId="7" fillId="3" borderId="6" xfId="0" applyFont="1" applyFill="1" applyBorder="1"/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0" fillId="3" borderId="9" xfId="0" applyFill="1" applyBorder="1"/>
    <xf numFmtId="0" fontId="7" fillId="3" borderId="9" xfId="0" applyFont="1" applyFill="1" applyBorder="1"/>
    <xf numFmtId="0" fontId="0" fillId="3" borderId="10" xfId="0" applyFill="1" applyBorder="1"/>
    <xf numFmtId="0" fontId="0" fillId="3" borderId="11" xfId="0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left"/>
    </xf>
    <xf numFmtId="0" fontId="0" fillId="3" borderId="12" xfId="0" applyFill="1" applyBorder="1"/>
    <xf numFmtId="0" fontId="7" fillId="3" borderId="12" xfId="0" applyFont="1" applyFill="1" applyBorder="1"/>
    <xf numFmtId="0" fontId="0" fillId="3" borderId="13" xfId="0" applyFill="1" applyBorder="1"/>
    <xf numFmtId="0" fontId="3" fillId="2" borderId="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2" borderId="38" xfId="0" applyFill="1" applyBorder="1" applyAlignment="1">
      <alignment horizontal="left"/>
    </xf>
    <xf numFmtId="0" fontId="0" fillId="2" borderId="39" xfId="0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6" fillId="5" borderId="35" xfId="0" applyFont="1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0" fillId="2" borderId="37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0" fontId="0" fillId="2" borderId="45" xfId="0" applyFill="1" applyBorder="1" applyAlignment="1">
      <alignment horizontal="left"/>
    </xf>
    <xf numFmtId="0" fontId="0" fillId="2" borderId="4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29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4" fillId="3" borderId="34" xfId="0" applyFont="1" applyFill="1" applyBorder="1" applyAlignment="1">
      <alignment horizontal="left" wrapText="1"/>
    </xf>
    <xf numFmtId="0" fontId="4" fillId="3" borderId="9" xfId="0" applyFont="1" applyFill="1" applyBorder="1" applyAlignment="1">
      <alignment horizontal="left" wrapText="1"/>
    </xf>
    <xf numFmtId="0" fontId="4" fillId="3" borderId="10" xfId="0" applyFont="1" applyFill="1" applyBorder="1" applyAlignment="1">
      <alignment horizontal="left" wrapText="1"/>
    </xf>
    <xf numFmtId="0" fontId="4" fillId="3" borderId="37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6" fillId="2" borderId="28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left" wrapText="1"/>
    </xf>
    <xf numFmtId="0" fontId="4" fillId="3" borderId="29" xfId="0" applyFont="1" applyFill="1" applyBorder="1" applyAlignment="1">
      <alignment horizontal="left" wrapText="1"/>
    </xf>
    <xf numFmtId="0" fontId="4" fillId="3" borderId="30" xfId="0" applyFont="1" applyFill="1" applyBorder="1" applyAlignment="1">
      <alignment horizontal="left" wrapText="1"/>
    </xf>
    <xf numFmtId="0" fontId="4" fillId="3" borderId="31" xfId="0" applyFont="1" applyFill="1" applyBorder="1" applyAlignment="1">
      <alignment horizontal="left" wrapText="1"/>
    </xf>
    <xf numFmtId="0" fontId="4" fillId="3" borderId="32" xfId="0" applyFont="1" applyFill="1" applyBorder="1" applyAlignment="1">
      <alignment horizontal="left" wrapText="1"/>
    </xf>
    <xf numFmtId="0" fontId="4" fillId="3" borderId="33" xfId="0" applyFont="1" applyFill="1" applyBorder="1" applyAlignment="1">
      <alignment horizontal="left" wrapText="1"/>
    </xf>
  </cellXfs>
  <cellStyles count="1">
    <cellStyle name="Normal" xfId="0" builtinId="0"/>
  </cellStyles>
  <dxfs count="2">
    <dxf>
      <font>
        <b val="0"/>
        <i val="0"/>
        <condense val="0"/>
        <extend val="0"/>
        <color indexed="1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230"/>
  <sheetViews>
    <sheetView tabSelected="1" workbookViewId="0">
      <pane ySplit="4" topLeftCell="A198" activePane="bottomLeft" state="frozenSplit"/>
      <selection pane="bottomLeft" activeCell="G212" sqref="G212"/>
    </sheetView>
  </sheetViews>
  <sheetFormatPr defaultRowHeight="12.75" customHeight="1" x14ac:dyDescent="0.25"/>
  <cols>
    <col min="1" max="1" width="1.81640625" customWidth="1"/>
    <col min="2" max="2" width="4.81640625" style="1" customWidth="1"/>
    <col min="3" max="3" width="5" customWidth="1"/>
    <col min="4" max="4" width="4.453125" style="5" customWidth="1"/>
    <col min="5" max="5" width="9.1796875" style="1" customWidth="1"/>
    <col min="6" max="6" width="18.26953125" customWidth="1"/>
    <col min="7" max="7" width="27.453125" customWidth="1"/>
    <col min="8" max="8" width="10.453125" customWidth="1"/>
    <col min="9" max="9" width="13.7265625" style="7" customWidth="1"/>
    <col min="10" max="10" width="20.453125" customWidth="1"/>
    <col min="11" max="11" width="9.26953125" style="2" customWidth="1"/>
  </cols>
  <sheetData>
    <row r="1" spans="2:11" ht="12.75" customHeight="1" thickBot="1" x14ac:dyDescent="0.3"/>
    <row r="2" spans="2:11" ht="12.75" customHeight="1" thickTop="1" thickBot="1" x14ac:dyDescent="0.3">
      <c r="B2" s="50" t="s">
        <v>208</v>
      </c>
      <c r="C2" s="53"/>
      <c r="D2" s="53"/>
      <c r="E2" s="53"/>
      <c r="F2" s="53"/>
      <c r="G2" s="53"/>
      <c r="H2" s="53"/>
      <c r="I2" s="53"/>
      <c r="J2" s="54"/>
    </row>
    <row r="3" spans="2:11" s="4" customFormat="1" ht="12.75" customHeight="1" thickTop="1" x14ac:dyDescent="0.3">
      <c r="B3" s="38" t="s">
        <v>212</v>
      </c>
      <c r="C3" s="36" t="s">
        <v>210</v>
      </c>
      <c r="D3" s="9" t="s">
        <v>211</v>
      </c>
      <c r="E3" s="8" t="s">
        <v>202</v>
      </c>
      <c r="F3" s="9" t="s">
        <v>203</v>
      </c>
      <c r="G3" s="9" t="s">
        <v>204</v>
      </c>
      <c r="H3" s="33" t="s">
        <v>205</v>
      </c>
      <c r="I3" s="9" t="s">
        <v>201</v>
      </c>
      <c r="J3" s="9" t="s">
        <v>218</v>
      </c>
      <c r="K3" s="6"/>
    </row>
    <row r="4" spans="2:11" s="4" customFormat="1" ht="12.75" customHeight="1" thickBot="1" x14ac:dyDescent="0.35">
      <c r="B4" s="31"/>
      <c r="C4" s="37"/>
      <c r="D4" s="32"/>
      <c r="E4" s="33"/>
      <c r="F4" s="34"/>
      <c r="G4" s="34"/>
      <c r="H4" s="34"/>
      <c r="I4" s="34"/>
      <c r="J4" s="35"/>
      <c r="K4" s="6"/>
    </row>
    <row r="5" spans="2:11" ht="12.75" customHeight="1" thickTop="1" x14ac:dyDescent="0.25">
      <c r="B5" s="10">
        <v>1</v>
      </c>
      <c r="C5" s="13"/>
      <c r="D5" s="14"/>
      <c r="E5" s="15">
        <v>1</v>
      </c>
      <c r="F5" s="16" t="s">
        <v>1</v>
      </c>
      <c r="G5" s="17" t="s">
        <v>8</v>
      </c>
      <c r="H5" s="16" t="s">
        <v>209</v>
      </c>
      <c r="I5" s="16" t="s">
        <v>206</v>
      </c>
      <c r="J5" s="18" t="s">
        <v>194</v>
      </c>
    </row>
    <row r="6" spans="2:11" ht="12.75" customHeight="1" x14ac:dyDescent="0.25">
      <c r="B6" s="11">
        <f>(B5+1)</f>
        <v>2</v>
      </c>
      <c r="C6" s="19"/>
      <c r="D6" s="20"/>
      <c r="E6" s="21">
        <v>2</v>
      </c>
      <c r="F6" s="22" t="s">
        <v>1</v>
      </c>
      <c r="G6" s="23" t="s">
        <v>9</v>
      </c>
      <c r="H6" s="22" t="s">
        <v>209</v>
      </c>
      <c r="I6" s="22" t="s">
        <v>206</v>
      </c>
      <c r="J6" s="24" t="s">
        <v>194</v>
      </c>
    </row>
    <row r="7" spans="2:11" ht="12.75" customHeight="1" x14ac:dyDescent="0.25">
      <c r="B7" s="11">
        <f t="shared" ref="B7:B70" si="0">(B6+1)</f>
        <v>3</v>
      </c>
      <c r="C7" s="19"/>
      <c r="D7" s="20"/>
      <c r="E7" s="21">
        <v>3</v>
      </c>
      <c r="F7" s="22" t="s">
        <v>1</v>
      </c>
      <c r="G7" s="23" t="s">
        <v>9</v>
      </c>
      <c r="H7" s="22" t="s">
        <v>209</v>
      </c>
      <c r="I7" s="22" t="s">
        <v>206</v>
      </c>
      <c r="J7" s="24" t="s">
        <v>193</v>
      </c>
    </row>
    <row r="8" spans="2:11" ht="12.75" customHeight="1" x14ac:dyDescent="0.25">
      <c r="B8" s="11">
        <f t="shared" si="0"/>
        <v>4</v>
      </c>
      <c r="C8" s="19"/>
      <c r="D8" s="20"/>
      <c r="E8" s="21">
        <v>4</v>
      </c>
      <c r="F8" s="22" t="s">
        <v>1</v>
      </c>
      <c r="G8" s="23" t="s">
        <v>10</v>
      </c>
      <c r="H8" s="22" t="s">
        <v>198</v>
      </c>
      <c r="I8" s="22" t="s">
        <v>206</v>
      </c>
      <c r="J8" s="24" t="s">
        <v>193</v>
      </c>
    </row>
    <row r="9" spans="2:11" ht="12.75" customHeight="1" x14ac:dyDescent="0.25">
      <c r="B9" s="11">
        <f t="shared" si="0"/>
        <v>5</v>
      </c>
      <c r="C9" s="19"/>
      <c r="D9" s="20"/>
      <c r="E9" s="21">
        <v>5</v>
      </c>
      <c r="F9" s="22" t="s">
        <v>1</v>
      </c>
      <c r="G9" s="23" t="s">
        <v>11</v>
      </c>
      <c r="H9" s="22" t="s">
        <v>196</v>
      </c>
      <c r="I9" s="22" t="s">
        <v>81</v>
      </c>
      <c r="J9" s="24" t="s">
        <v>193</v>
      </c>
    </row>
    <row r="10" spans="2:11" ht="12.75" customHeight="1" x14ac:dyDescent="0.25">
      <c r="B10" s="11">
        <f t="shared" si="0"/>
        <v>6</v>
      </c>
      <c r="C10" s="19"/>
      <c r="D10" s="20"/>
      <c r="E10" s="21">
        <v>6</v>
      </c>
      <c r="F10" s="22" t="s">
        <v>1</v>
      </c>
      <c r="G10" s="23" t="s">
        <v>12</v>
      </c>
      <c r="H10" s="22" t="s">
        <v>198</v>
      </c>
      <c r="I10" s="22" t="s">
        <v>206</v>
      </c>
      <c r="J10" s="24" t="s">
        <v>193</v>
      </c>
    </row>
    <row r="11" spans="2:11" ht="12.75" customHeight="1" x14ac:dyDescent="0.25">
      <c r="B11" s="11">
        <f t="shared" si="0"/>
        <v>7</v>
      </c>
      <c r="C11" s="19"/>
      <c r="D11" s="20"/>
      <c r="E11" s="21">
        <v>7</v>
      </c>
      <c r="F11" s="22" t="s">
        <v>1</v>
      </c>
      <c r="G11" s="23" t="s">
        <v>84</v>
      </c>
      <c r="H11" s="22" t="s">
        <v>209</v>
      </c>
      <c r="I11" s="22" t="s">
        <v>206</v>
      </c>
      <c r="J11" s="24" t="s">
        <v>194</v>
      </c>
    </row>
    <row r="12" spans="2:11" ht="12.75" customHeight="1" x14ac:dyDescent="0.25">
      <c r="B12" s="11">
        <f t="shared" si="0"/>
        <v>8</v>
      </c>
      <c r="C12" s="19"/>
      <c r="D12" s="20"/>
      <c r="E12" s="21">
        <v>8</v>
      </c>
      <c r="F12" s="22" t="s">
        <v>1</v>
      </c>
      <c r="G12" s="23" t="s">
        <v>85</v>
      </c>
      <c r="H12" s="22" t="s">
        <v>209</v>
      </c>
      <c r="I12" s="22" t="s">
        <v>206</v>
      </c>
      <c r="J12" s="24" t="s">
        <v>194</v>
      </c>
    </row>
    <row r="13" spans="2:11" ht="12.75" customHeight="1" x14ac:dyDescent="0.25">
      <c r="B13" s="11">
        <f t="shared" si="0"/>
        <v>9</v>
      </c>
      <c r="C13" s="19"/>
      <c r="D13" s="20"/>
      <c r="E13" s="21">
        <v>9</v>
      </c>
      <c r="F13" s="22" t="s">
        <v>1</v>
      </c>
      <c r="G13" s="23" t="s">
        <v>86</v>
      </c>
      <c r="H13" s="22" t="s">
        <v>209</v>
      </c>
      <c r="I13" s="22" t="s">
        <v>206</v>
      </c>
      <c r="J13" s="24" t="s">
        <v>194</v>
      </c>
    </row>
    <row r="14" spans="2:11" ht="12.75" customHeight="1" x14ac:dyDescent="0.25">
      <c r="B14" s="11">
        <f t="shared" si="0"/>
        <v>10</v>
      </c>
      <c r="C14" s="19"/>
      <c r="D14" s="20"/>
      <c r="E14" s="21">
        <v>10</v>
      </c>
      <c r="F14" s="22" t="s">
        <v>1</v>
      </c>
      <c r="G14" s="23" t="s">
        <v>86</v>
      </c>
      <c r="H14" s="22" t="s">
        <v>209</v>
      </c>
      <c r="I14" s="22" t="s">
        <v>206</v>
      </c>
      <c r="J14" s="24" t="s">
        <v>193</v>
      </c>
    </row>
    <row r="15" spans="2:11" ht="12.75" customHeight="1" x14ac:dyDescent="0.25">
      <c r="B15" s="11">
        <f t="shared" si="0"/>
        <v>11</v>
      </c>
      <c r="C15" s="19"/>
      <c r="D15" s="20"/>
      <c r="E15" s="21">
        <v>11</v>
      </c>
      <c r="F15" s="22" t="s">
        <v>1</v>
      </c>
      <c r="G15" s="23" t="s">
        <v>87</v>
      </c>
      <c r="H15" s="22" t="s">
        <v>198</v>
      </c>
      <c r="I15" s="22" t="s">
        <v>206</v>
      </c>
      <c r="J15" s="24" t="s">
        <v>193</v>
      </c>
    </row>
    <row r="16" spans="2:11" ht="12.75" customHeight="1" x14ac:dyDescent="0.25">
      <c r="B16" s="11">
        <f t="shared" si="0"/>
        <v>12</v>
      </c>
      <c r="C16" s="19"/>
      <c r="D16" s="20"/>
      <c r="E16" s="21">
        <v>12</v>
      </c>
      <c r="F16" s="22" t="s">
        <v>1</v>
      </c>
      <c r="G16" s="23" t="s">
        <v>88</v>
      </c>
      <c r="H16" s="22" t="s">
        <v>195</v>
      </c>
      <c r="I16" s="22" t="s">
        <v>82</v>
      </c>
      <c r="J16" s="24" t="s">
        <v>193</v>
      </c>
    </row>
    <row r="17" spans="2:10" ht="12.75" customHeight="1" x14ac:dyDescent="0.25">
      <c r="B17" s="11">
        <f t="shared" si="0"/>
        <v>13</v>
      </c>
      <c r="C17" s="19"/>
      <c r="D17" s="20"/>
      <c r="E17" s="21">
        <v>13</v>
      </c>
      <c r="F17" s="22" t="s">
        <v>1</v>
      </c>
      <c r="G17" s="23" t="s">
        <v>90</v>
      </c>
      <c r="H17" s="22" t="s">
        <v>209</v>
      </c>
      <c r="I17" s="22" t="s">
        <v>206</v>
      </c>
      <c r="J17" s="24" t="s">
        <v>194</v>
      </c>
    </row>
    <row r="18" spans="2:10" ht="12.75" customHeight="1" x14ac:dyDescent="0.25">
      <c r="B18" s="11">
        <f t="shared" si="0"/>
        <v>14</v>
      </c>
      <c r="C18" s="19"/>
      <c r="D18" s="20"/>
      <c r="E18" s="21">
        <v>14</v>
      </c>
      <c r="F18" s="22" t="s">
        <v>1</v>
      </c>
      <c r="G18" s="23" t="s">
        <v>89</v>
      </c>
      <c r="H18" s="22" t="s">
        <v>196</v>
      </c>
      <c r="I18" s="22" t="s">
        <v>80</v>
      </c>
      <c r="J18" s="24" t="s">
        <v>193</v>
      </c>
    </row>
    <row r="19" spans="2:10" ht="12.75" customHeight="1" x14ac:dyDescent="0.25">
      <c r="B19" s="11">
        <f t="shared" si="0"/>
        <v>15</v>
      </c>
      <c r="C19" s="19"/>
      <c r="D19" s="20"/>
      <c r="E19" s="21">
        <v>15</v>
      </c>
      <c r="F19" s="22" t="s">
        <v>1</v>
      </c>
      <c r="G19" s="23" t="s">
        <v>91</v>
      </c>
      <c r="H19" s="22" t="s">
        <v>209</v>
      </c>
      <c r="I19" s="22" t="s">
        <v>206</v>
      </c>
      <c r="J19" s="24" t="s">
        <v>194</v>
      </c>
    </row>
    <row r="20" spans="2:10" ht="12.75" customHeight="1" x14ac:dyDescent="0.25">
      <c r="B20" s="11">
        <f t="shared" si="0"/>
        <v>16</v>
      </c>
      <c r="C20" s="19"/>
      <c r="D20" s="20"/>
      <c r="E20" s="21">
        <v>16</v>
      </c>
      <c r="F20" s="22" t="s">
        <v>1</v>
      </c>
      <c r="G20" s="23" t="s">
        <v>92</v>
      </c>
      <c r="H20" s="22" t="s">
        <v>209</v>
      </c>
      <c r="I20" s="22" t="s">
        <v>206</v>
      </c>
      <c r="J20" s="24" t="s">
        <v>194</v>
      </c>
    </row>
    <row r="21" spans="2:10" ht="12.75" customHeight="1" x14ac:dyDescent="0.25">
      <c r="B21" s="11">
        <f t="shared" si="0"/>
        <v>17</v>
      </c>
      <c r="C21" s="19"/>
      <c r="D21" s="20"/>
      <c r="E21" s="21">
        <v>17</v>
      </c>
      <c r="F21" s="22" t="s">
        <v>1</v>
      </c>
      <c r="G21" s="23" t="s">
        <v>93</v>
      </c>
      <c r="H21" s="22" t="s">
        <v>209</v>
      </c>
      <c r="I21" s="22" t="s">
        <v>206</v>
      </c>
      <c r="J21" s="24" t="s">
        <v>194</v>
      </c>
    </row>
    <row r="22" spans="2:10" ht="12.75" customHeight="1" x14ac:dyDescent="0.25">
      <c r="B22" s="11">
        <f t="shared" si="0"/>
        <v>18</v>
      </c>
      <c r="C22" s="19"/>
      <c r="D22" s="20"/>
      <c r="E22" s="21">
        <v>18</v>
      </c>
      <c r="F22" s="22" t="s">
        <v>1</v>
      </c>
      <c r="G22" s="23" t="s">
        <v>94</v>
      </c>
      <c r="H22" s="22" t="s">
        <v>209</v>
      </c>
      <c r="I22" s="22" t="s">
        <v>206</v>
      </c>
      <c r="J22" s="24" t="s">
        <v>194</v>
      </c>
    </row>
    <row r="23" spans="2:10" ht="12.75" customHeight="1" x14ac:dyDescent="0.25">
      <c r="B23" s="11">
        <f t="shared" si="0"/>
        <v>19</v>
      </c>
      <c r="C23" s="19"/>
      <c r="D23" s="20"/>
      <c r="E23" s="21">
        <v>19</v>
      </c>
      <c r="F23" s="22" t="s">
        <v>1</v>
      </c>
      <c r="G23" s="23" t="s">
        <v>96</v>
      </c>
      <c r="H23" s="22" t="s">
        <v>198</v>
      </c>
      <c r="I23" s="22" t="s">
        <v>206</v>
      </c>
      <c r="J23" s="24" t="s">
        <v>193</v>
      </c>
    </row>
    <row r="24" spans="2:10" ht="12.75" customHeight="1" x14ac:dyDescent="0.25">
      <c r="B24" s="11">
        <f t="shared" si="0"/>
        <v>20</v>
      </c>
      <c r="C24" s="19"/>
      <c r="D24" s="20"/>
      <c r="E24" s="21">
        <v>20</v>
      </c>
      <c r="F24" s="22" t="s">
        <v>1</v>
      </c>
      <c r="G24" s="23" t="s">
        <v>95</v>
      </c>
      <c r="H24" s="22" t="s">
        <v>197</v>
      </c>
      <c r="I24" s="22" t="s">
        <v>197</v>
      </c>
      <c r="J24" s="24" t="s">
        <v>193</v>
      </c>
    </row>
    <row r="25" spans="2:10" ht="12.75" customHeight="1" x14ac:dyDescent="0.25">
      <c r="B25" s="11">
        <f t="shared" si="0"/>
        <v>21</v>
      </c>
      <c r="C25" s="19"/>
      <c r="D25" s="20"/>
      <c r="E25" s="21">
        <v>21</v>
      </c>
      <c r="F25" s="22" t="s">
        <v>1</v>
      </c>
      <c r="G25" s="23" t="s">
        <v>97</v>
      </c>
      <c r="H25" s="22" t="s">
        <v>197</v>
      </c>
      <c r="I25" s="22" t="s">
        <v>197</v>
      </c>
      <c r="J25" s="24" t="s">
        <v>191</v>
      </c>
    </row>
    <row r="26" spans="2:10" ht="12.75" customHeight="1" x14ac:dyDescent="0.25">
      <c r="B26" s="11">
        <f t="shared" si="0"/>
        <v>22</v>
      </c>
      <c r="C26" s="19"/>
      <c r="D26" s="20"/>
      <c r="E26" s="21">
        <v>22</v>
      </c>
      <c r="F26" s="22" t="s">
        <v>1</v>
      </c>
      <c r="G26" s="23" t="s">
        <v>98</v>
      </c>
      <c r="H26" s="22" t="s">
        <v>196</v>
      </c>
      <c r="I26" s="22" t="s">
        <v>81</v>
      </c>
      <c r="J26" s="24" t="s">
        <v>191</v>
      </c>
    </row>
    <row r="27" spans="2:10" ht="12.75" customHeight="1" x14ac:dyDescent="0.25">
      <c r="B27" s="11">
        <f t="shared" si="0"/>
        <v>23</v>
      </c>
      <c r="C27" s="19"/>
      <c r="D27" s="20"/>
      <c r="E27" s="21">
        <v>23</v>
      </c>
      <c r="F27" s="22" t="s">
        <v>1</v>
      </c>
      <c r="G27" s="23" t="s">
        <v>99</v>
      </c>
      <c r="H27" s="22" t="s">
        <v>198</v>
      </c>
      <c r="I27" s="22" t="s">
        <v>206</v>
      </c>
      <c r="J27" s="24" t="s">
        <v>191</v>
      </c>
    </row>
    <row r="28" spans="2:10" ht="12.75" customHeight="1" x14ac:dyDescent="0.25">
      <c r="B28" s="11">
        <f t="shared" si="0"/>
        <v>24</v>
      </c>
      <c r="C28" s="19"/>
      <c r="D28" s="20"/>
      <c r="E28" s="21">
        <v>24</v>
      </c>
      <c r="F28" s="22" t="s">
        <v>1</v>
      </c>
      <c r="G28" s="23" t="s">
        <v>100</v>
      </c>
      <c r="H28" s="22" t="s">
        <v>196</v>
      </c>
      <c r="I28" s="22" t="s">
        <v>80</v>
      </c>
      <c r="J28" s="24" t="s">
        <v>191</v>
      </c>
    </row>
    <row r="29" spans="2:10" ht="12.75" customHeight="1" x14ac:dyDescent="0.25">
      <c r="B29" s="11">
        <f t="shared" si="0"/>
        <v>25</v>
      </c>
      <c r="C29" s="19"/>
      <c r="D29" s="20"/>
      <c r="E29" s="21">
        <v>25</v>
      </c>
      <c r="F29" s="22" t="s">
        <v>1</v>
      </c>
      <c r="G29" s="23" t="s">
        <v>101</v>
      </c>
      <c r="H29" s="22" t="s">
        <v>196</v>
      </c>
      <c r="I29" s="22" t="s">
        <v>80</v>
      </c>
      <c r="J29" s="24" t="s">
        <v>191</v>
      </c>
    </row>
    <row r="30" spans="2:10" ht="12.75" customHeight="1" x14ac:dyDescent="0.25">
      <c r="B30" s="11">
        <f t="shared" si="0"/>
        <v>26</v>
      </c>
      <c r="C30" s="19"/>
      <c r="D30" s="20"/>
      <c r="E30" s="21">
        <v>26</v>
      </c>
      <c r="F30" s="22" t="s">
        <v>1</v>
      </c>
      <c r="G30" s="23" t="s">
        <v>102</v>
      </c>
      <c r="H30" s="22" t="s">
        <v>196</v>
      </c>
      <c r="I30" s="22" t="s">
        <v>81</v>
      </c>
      <c r="J30" s="24" t="s">
        <v>191</v>
      </c>
    </row>
    <row r="31" spans="2:10" ht="12.75" customHeight="1" x14ac:dyDescent="0.25">
      <c r="B31" s="11">
        <f t="shared" si="0"/>
        <v>27</v>
      </c>
      <c r="C31" s="19"/>
      <c r="D31" s="20"/>
      <c r="E31" s="21">
        <v>27</v>
      </c>
      <c r="F31" s="22" t="s">
        <v>1</v>
      </c>
      <c r="G31" s="23" t="s">
        <v>103</v>
      </c>
      <c r="H31" s="22" t="s">
        <v>198</v>
      </c>
      <c r="I31" s="22" t="s">
        <v>206</v>
      </c>
      <c r="J31" s="24" t="s">
        <v>191</v>
      </c>
    </row>
    <row r="32" spans="2:10" ht="12.75" customHeight="1" x14ac:dyDescent="0.25">
      <c r="B32" s="11">
        <f t="shared" si="0"/>
        <v>28</v>
      </c>
      <c r="C32" s="19"/>
      <c r="D32" s="20"/>
      <c r="E32" s="21">
        <v>28</v>
      </c>
      <c r="F32" s="22" t="s">
        <v>1</v>
      </c>
      <c r="G32" s="23" t="s">
        <v>104</v>
      </c>
      <c r="H32" s="22" t="s">
        <v>197</v>
      </c>
      <c r="I32" s="22" t="s">
        <v>197</v>
      </c>
      <c r="J32" s="24" t="s">
        <v>191</v>
      </c>
    </row>
    <row r="33" spans="2:10" ht="12.75" customHeight="1" x14ac:dyDescent="0.25">
      <c r="B33" s="11">
        <f t="shared" si="0"/>
        <v>29</v>
      </c>
      <c r="C33" s="19"/>
      <c r="D33" s="20"/>
      <c r="E33" s="21">
        <v>29</v>
      </c>
      <c r="F33" s="22" t="s">
        <v>1</v>
      </c>
      <c r="G33" s="23" t="s">
        <v>105</v>
      </c>
      <c r="H33" s="22" t="s">
        <v>197</v>
      </c>
      <c r="I33" s="22" t="s">
        <v>197</v>
      </c>
      <c r="J33" s="24" t="s">
        <v>191</v>
      </c>
    </row>
    <row r="34" spans="2:10" ht="12.75" customHeight="1" x14ac:dyDescent="0.25">
      <c r="B34" s="11">
        <f t="shared" si="0"/>
        <v>30</v>
      </c>
      <c r="C34" s="19"/>
      <c r="D34" s="20"/>
      <c r="E34" s="21">
        <v>30</v>
      </c>
      <c r="F34" s="22" t="s">
        <v>1</v>
      </c>
      <c r="G34" s="23" t="s">
        <v>106</v>
      </c>
      <c r="H34" s="22" t="s">
        <v>197</v>
      </c>
      <c r="I34" s="22" t="s">
        <v>197</v>
      </c>
      <c r="J34" s="24" t="s">
        <v>191</v>
      </c>
    </row>
    <row r="35" spans="2:10" ht="12.75" customHeight="1" x14ac:dyDescent="0.25">
      <c r="B35" s="11">
        <f t="shared" si="0"/>
        <v>31</v>
      </c>
      <c r="C35" s="19"/>
      <c r="D35" s="20"/>
      <c r="E35" s="21">
        <v>31</v>
      </c>
      <c r="F35" s="22" t="s">
        <v>1</v>
      </c>
      <c r="G35" s="23" t="s">
        <v>107</v>
      </c>
      <c r="H35" s="22" t="s">
        <v>195</v>
      </c>
      <c r="I35" s="22" t="s">
        <v>80</v>
      </c>
      <c r="J35" s="24" t="s">
        <v>191</v>
      </c>
    </row>
    <row r="36" spans="2:10" ht="12.75" customHeight="1" x14ac:dyDescent="0.25">
      <c r="B36" s="11">
        <f t="shared" si="0"/>
        <v>32</v>
      </c>
      <c r="C36" s="19"/>
      <c r="D36" s="20"/>
      <c r="E36" s="21">
        <v>32</v>
      </c>
      <c r="F36" s="22" t="s">
        <v>1</v>
      </c>
      <c r="G36" s="23" t="s">
        <v>108</v>
      </c>
      <c r="H36" s="22" t="s">
        <v>196</v>
      </c>
      <c r="I36" s="22" t="s">
        <v>82</v>
      </c>
      <c r="J36" s="24" t="s">
        <v>191</v>
      </c>
    </row>
    <row r="37" spans="2:10" ht="12.75" customHeight="1" x14ac:dyDescent="0.25">
      <c r="B37" s="11">
        <f t="shared" si="0"/>
        <v>33</v>
      </c>
      <c r="C37" s="19"/>
      <c r="D37" s="20"/>
      <c r="E37" s="21">
        <v>33</v>
      </c>
      <c r="F37" s="22" t="s">
        <v>1</v>
      </c>
      <c r="G37" s="23" t="s">
        <v>109</v>
      </c>
      <c r="H37" s="22" t="s">
        <v>195</v>
      </c>
      <c r="I37" s="22" t="s">
        <v>81</v>
      </c>
      <c r="J37" s="24" t="s">
        <v>191</v>
      </c>
    </row>
    <row r="38" spans="2:10" ht="12.75" customHeight="1" x14ac:dyDescent="0.25">
      <c r="B38" s="11">
        <f t="shared" si="0"/>
        <v>34</v>
      </c>
      <c r="C38" s="19"/>
      <c r="D38" s="20"/>
      <c r="E38" s="21">
        <v>34</v>
      </c>
      <c r="F38" s="22" t="s">
        <v>1</v>
      </c>
      <c r="G38" s="23" t="s">
        <v>110</v>
      </c>
      <c r="H38" s="22" t="s">
        <v>196</v>
      </c>
      <c r="I38" s="22" t="s">
        <v>82</v>
      </c>
      <c r="J38" s="24" t="s">
        <v>191</v>
      </c>
    </row>
    <row r="39" spans="2:10" ht="12.75" customHeight="1" x14ac:dyDescent="0.25">
      <c r="B39" s="11">
        <f t="shared" si="0"/>
        <v>35</v>
      </c>
      <c r="C39" s="19"/>
      <c r="D39" s="20"/>
      <c r="E39" s="21">
        <v>35</v>
      </c>
      <c r="F39" s="22" t="s">
        <v>1</v>
      </c>
      <c r="G39" s="23" t="s">
        <v>111</v>
      </c>
      <c r="H39" s="22" t="s">
        <v>196</v>
      </c>
      <c r="I39" s="22" t="s">
        <v>81</v>
      </c>
      <c r="J39" s="24" t="s">
        <v>191</v>
      </c>
    </row>
    <row r="40" spans="2:10" ht="12.75" customHeight="1" x14ac:dyDescent="0.25">
      <c r="B40" s="11">
        <f t="shared" si="0"/>
        <v>36</v>
      </c>
      <c r="C40" s="19"/>
      <c r="D40" s="20"/>
      <c r="E40" s="21">
        <v>36</v>
      </c>
      <c r="F40" s="22" t="s">
        <v>1</v>
      </c>
      <c r="G40" s="23" t="s">
        <v>112</v>
      </c>
      <c r="H40" s="22" t="s">
        <v>196</v>
      </c>
      <c r="I40" s="22" t="s">
        <v>80</v>
      </c>
      <c r="J40" s="24" t="s">
        <v>191</v>
      </c>
    </row>
    <row r="41" spans="2:10" ht="12.75" customHeight="1" x14ac:dyDescent="0.25">
      <c r="B41" s="11">
        <f t="shared" si="0"/>
        <v>37</v>
      </c>
      <c r="C41" s="19"/>
      <c r="D41" s="20"/>
      <c r="E41" s="21">
        <v>37</v>
      </c>
      <c r="F41" s="22" t="s">
        <v>1</v>
      </c>
      <c r="G41" s="23" t="s">
        <v>113</v>
      </c>
      <c r="H41" s="22" t="s">
        <v>196</v>
      </c>
      <c r="I41" s="22" t="s">
        <v>82</v>
      </c>
      <c r="J41" s="24" t="s">
        <v>191</v>
      </c>
    </row>
    <row r="42" spans="2:10" ht="12.75" customHeight="1" x14ac:dyDescent="0.25">
      <c r="B42" s="11">
        <f t="shared" si="0"/>
        <v>38</v>
      </c>
      <c r="C42" s="19"/>
      <c r="D42" s="20"/>
      <c r="E42" s="21">
        <v>38</v>
      </c>
      <c r="F42" s="22" t="s">
        <v>1</v>
      </c>
      <c r="G42" s="23" t="s">
        <v>114</v>
      </c>
      <c r="H42" s="22" t="s">
        <v>196</v>
      </c>
      <c r="I42" s="22" t="s">
        <v>82</v>
      </c>
      <c r="J42" s="24" t="s">
        <v>191</v>
      </c>
    </row>
    <row r="43" spans="2:10" ht="12.75" customHeight="1" x14ac:dyDescent="0.25">
      <c r="B43" s="11">
        <f t="shared" si="0"/>
        <v>39</v>
      </c>
      <c r="C43" s="19"/>
      <c r="D43" s="20"/>
      <c r="E43" s="21">
        <v>39</v>
      </c>
      <c r="F43" s="22" t="s">
        <v>1</v>
      </c>
      <c r="G43" s="23" t="s">
        <v>115</v>
      </c>
      <c r="H43" s="22" t="s">
        <v>198</v>
      </c>
      <c r="I43" s="22" t="s">
        <v>206</v>
      </c>
      <c r="J43" s="24" t="s">
        <v>190</v>
      </c>
    </row>
    <row r="44" spans="2:10" ht="12.75" customHeight="1" x14ac:dyDescent="0.25">
      <c r="B44" s="11">
        <f t="shared" si="0"/>
        <v>40</v>
      </c>
      <c r="C44" s="19"/>
      <c r="D44" s="20"/>
      <c r="E44" s="21">
        <v>40</v>
      </c>
      <c r="F44" s="22" t="s">
        <v>1</v>
      </c>
      <c r="G44" s="23" t="s">
        <v>116</v>
      </c>
      <c r="H44" s="22" t="s">
        <v>196</v>
      </c>
      <c r="I44" s="22" t="s">
        <v>82</v>
      </c>
      <c r="J44" s="24" t="s">
        <v>190</v>
      </c>
    </row>
    <row r="45" spans="2:10" ht="12.75" customHeight="1" x14ac:dyDescent="0.25">
      <c r="B45" s="11">
        <f t="shared" si="0"/>
        <v>41</v>
      </c>
      <c r="C45" s="19"/>
      <c r="D45" s="20"/>
      <c r="E45" s="21">
        <v>41</v>
      </c>
      <c r="F45" s="22" t="s">
        <v>1</v>
      </c>
      <c r="G45" s="23" t="s">
        <v>117</v>
      </c>
      <c r="H45" s="22" t="s">
        <v>196</v>
      </c>
      <c r="I45" s="22" t="s">
        <v>81</v>
      </c>
      <c r="J45" s="24" t="s">
        <v>190</v>
      </c>
    </row>
    <row r="46" spans="2:10" ht="12.75" customHeight="1" x14ac:dyDescent="0.25">
      <c r="B46" s="11">
        <f t="shared" si="0"/>
        <v>42</v>
      </c>
      <c r="C46" s="19"/>
      <c r="D46" s="20"/>
      <c r="E46" s="21">
        <v>42</v>
      </c>
      <c r="F46" s="22" t="s">
        <v>1</v>
      </c>
      <c r="G46" s="23" t="s">
        <v>118</v>
      </c>
      <c r="H46" s="22" t="s">
        <v>196</v>
      </c>
      <c r="I46" s="22" t="s">
        <v>82</v>
      </c>
      <c r="J46" s="24" t="s">
        <v>190</v>
      </c>
    </row>
    <row r="47" spans="2:10" ht="12.75" customHeight="1" x14ac:dyDescent="0.25">
      <c r="B47" s="11">
        <f t="shared" si="0"/>
        <v>43</v>
      </c>
      <c r="C47" s="19"/>
      <c r="D47" s="20"/>
      <c r="E47" s="21">
        <v>43</v>
      </c>
      <c r="F47" s="22" t="s">
        <v>1</v>
      </c>
      <c r="G47" s="23" t="s">
        <v>119</v>
      </c>
      <c r="H47" s="22" t="s">
        <v>197</v>
      </c>
      <c r="I47" s="22" t="s">
        <v>197</v>
      </c>
      <c r="J47" s="24" t="s">
        <v>190</v>
      </c>
    </row>
    <row r="48" spans="2:10" ht="12.75" customHeight="1" x14ac:dyDescent="0.25">
      <c r="B48" s="11">
        <f t="shared" si="0"/>
        <v>44</v>
      </c>
      <c r="C48" s="19"/>
      <c r="D48" s="20"/>
      <c r="E48" s="21">
        <v>44</v>
      </c>
      <c r="F48" s="22" t="s">
        <v>1</v>
      </c>
      <c r="G48" s="23" t="s">
        <v>120</v>
      </c>
      <c r="H48" s="22" t="s">
        <v>196</v>
      </c>
      <c r="I48" s="22" t="s">
        <v>80</v>
      </c>
      <c r="J48" s="24" t="s">
        <v>190</v>
      </c>
    </row>
    <row r="49" spans="2:10" ht="12.75" customHeight="1" x14ac:dyDescent="0.25">
      <c r="B49" s="11">
        <f t="shared" si="0"/>
        <v>45</v>
      </c>
      <c r="C49" s="19"/>
      <c r="D49" s="20"/>
      <c r="E49" s="21">
        <v>45</v>
      </c>
      <c r="F49" s="22" t="s">
        <v>1</v>
      </c>
      <c r="G49" s="23" t="s">
        <v>121</v>
      </c>
      <c r="H49" s="22" t="s">
        <v>196</v>
      </c>
      <c r="I49" s="22" t="s">
        <v>81</v>
      </c>
      <c r="J49" s="24" t="s">
        <v>190</v>
      </c>
    </row>
    <row r="50" spans="2:10" ht="12.75" customHeight="1" x14ac:dyDescent="0.25">
      <c r="B50" s="11">
        <f t="shared" si="0"/>
        <v>46</v>
      </c>
      <c r="C50" s="19"/>
      <c r="D50" s="20"/>
      <c r="E50" s="21">
        <v>46</v>
      </c>
      <c r="F50" s="22" t="s">
        <v>1</v>
      </c>
      <c r="G50" s="23" t="s">
        <v>122</v>
      </c>
      <c r="H50" s="22" t="s">
        <v>195</v>
      </c>
      <c r="I50" s="22" t="s">
        <v>197</v>
      </c>
      <c r="J50" s="24" t="s">
        <v>190</v>
      </c>
    </row>
    <row r="51" spans="2:10" ht="12.75" customHeight="1" x14ac:dyDescent="0.25">
      <c r="B51" s="11">
        <f t="shared" si="0"/>
        <v>47</v>
      </c>
      <c r="C51" s="19"/>
      <c r="D51" s="20"/>
      <c r="E51" s="21">
        <v>47</v>
      </c>
      <c r="F51" s="22" t="s">
        <v>1</v>
      </c>
      <c r="G51" s="23" t="s">
        <v>123</v>
      </c>
      <c r="H51" s="22" t="s">
        <v>196</v>
      </c>
      <c r="I51" s="22" t="s">
        <v>80</v>
      </c>
      <c r="J51" s="24" t="s">
        <v>190</v>
      </c>
    </row>
    <row r="52" spans="2:10" ht="12.75" customHeight="1" x14ac:dyDescent="0.25">
      <c r="B52" s="11">
        <f t="shared" si="0"/>
        <v>48</v>
      </c>
      <c r="C52" s="19"/>
      <c r="D52" s="20"/>
      <c r="E52" s="21">
        <v>48</v>
      </c>
      <c r="F52" s="22" t="s">
        <v>1</v>
      </c>
      <c r="G52" s="23" t="s">
        <v>124</v>
      </c>
      <c r="H52" s="22" t="s">
        <v>198</v>
      </c>
      <c r="I52" s="22" t="s">
        <v>206</v>
      </c>
      <c r="J52" s="24" t="s">
        <v>190</v>
      </c>
    </row>
    <row r="53" spans="2:10" ht="12.75" customHeight="1" x14ac:dyDescent="0.25">
      <c r="B53" s="11">
        <f t="shared" si="0"/>
        <v>49</v>
      </c>
      <c r="C53" s="19"/>
      <c r="D53" s="20"/>
      <c r="E53" s="21">
        <v>49</v>
      </c>
      <c r="F53" s="22" t="s">
        <v>1</v>
      </c>
      <c r="G53" s="23" t="s">
        <v>125</v>
      </c>
      <c r="H53" s="22" t="s">
        <v>196</v>
      </c>
      <c r="I53" s="22" t="s">
        <v>81</v>
      </c>
      <c r="J53" s="24" t="s">
        <v>190</v>
      </c>
    </row>
    <row r="54" spans="2:10" ht="12.75" customHeight="1" x14ac:dyDescent="0.25">
      <c r="B54" s="11">
        <f t="shared" si="0"/>
        <v>50</v>
      </c>
      <c r="C54" s="19"/>
      <c r="D54" s="20"/>
      <c r="E54" s="21">
        <v>50</v>
      </c>
      <c r="F54" s="22" t="s">
        <v>1</v>
      </c>
      <c r="G54" s="23" t="s">
        <v>126</v>
      </c>
      <c r="H54" s="22" t="s">
        <v>196</v>
      </c>
      <c r="I54" s="22" t="s">
        <v>82</v>
      </c>
      <c r="J54" s="24" t="s">
        <v>190</v>
      </c>
    </row>
    <row r="55" spans="2:10" ht="12.75" customHeight="1" x14ac:dyDescent="0.25">
      <c r="B55" s="11">
        <f t="shared" si="0"/>
        <v>51</v>
      </c>
      <c r="C55" s="19"/>
      <c r="D55" s="20"/>
      <c r="E55" s="21">
        <v>51</v>
      </c>
      <c r="F55" s="22" t="s">
        <v>1</v>
      </c>
      <c r="G55" s="23" t="s">
        <v>127</v>
      </c>
      <c r="H55" s="22" t="s">
        <v>195</v>
      </c>
      <c r="I55" s="22" t="s">
        <v>80</v>
      </c>
      <c r="J55" s="24" t="s">
        <v>190</v>
      </c>
    </row>
    <row r="56" spans="2:10" ht="12.75" customHeight="1" x14ac:dyDescent="0.25">
      <c r="B56" s="11">
        <f t="shared" si="0"/>
        <v>52</v>
      </c>
      <c r="C56" s="19"/>
      <c r="D56" s="20"/>
      <c r="E56" s="21">
        <v>52</v>
      </c>
      <c r="F56" s="22" t="s">
        <v>1</v>
      </c>
      <c r="G56" s="23" t="s">
        <v>128</v>
      </c>
      <c r="H56" s="22" t="s">
        <v>196</v>
      </c>
      <c r="I56" s="22" t="s">
        <v>80</v>
      </c>
      <c r="J56" s="24" t="s">
        <v>190</v>
      </c>
    </row>
    <row r="57" spans="2:10" ht="12.75" customHeight="1" x14ac:dyDescent="0.25">
      <c r="B57" s="11">
        <f t="shared" si="0"/>
        <v>53</v>
      </c>
      <c r="C57" s="19"/>
      <c r="D57" s="20"/>
      <c r="E57" s="21">
        <v>53</v>
      </c>
      <c r="F57" s="22" t="s">
        <v>1</v>
      </c>
      <c r="G57" s="23" t="s">
        <v>129</v>
      </c>
      <c r="H57" s="22" t="s">
        <v>197</v>
      </c>
      <c r="I57" s="22" t="s">
        <v>197</v>
      </c>
      <c r="J57" s="24" t="s">
        <v>190</v>
      </c>
    </row>
    <row r="58" spans="2:10" ht="12.75" customHeight="1" x14ac:dyDescent="0.25">
      <c r="B58" s="11">
        <f t="shared" si="0"/>
        <v>54</v>
      </c>
      <c r="C58" s="19"/>
      <c r="D58" s="20"/>
      <c r="E58" s="21">
        <v>54</v>
      </c>
      <c r="F58" s="22" t="s">
        <v>1</v>
      </c>
      <c r="G58" s="23" t="s">
        <v>130</v>
      </c>
      <c r="H58" s="22" t="s">
        <v>198</v>
      </c>
      <c r="I58" s="22" t="s">
        <v>206</v>
      </c>
      <c r="J58" s="24" t="s">
        <v>190</v>
      </c>
    </row>
    <row r="59" spans="2:10" ht="12.75" customHeight="1" x14ac:dyDescent="0.25">
      <c r="B59" s="11">
        <f t="shared" si="0"/>
        <v>55</v>
      </c>
      <c r="C59" s="19"/>
      <c r="D59" s="20"/>
      <c r="E59" s="21">
        <v>55</v>
      </c>
      <c r="F59" s="22" t="s">
        <v>1</v>
      </c>
      <c r="G59" s="23" t="s">
        <v>131</v>
      </c>
      <c r="H59" s="22" t="s">
        <v>197</v>
      </c>
      <c r="I59" s="22" t="s">
        <v>197</v>
      </c>
      <c r="J59" s="24" t="s">
        <v>190</v>
      </c>
    </row>
    <row r="60" spans="2:10" ht="12.75" customHeight="1" x14ac:dyDescent="0.25">
      <c r="B60" s="11">
        <f t="shared" si="0"/>
        <v>56</v>
      </c>
      <c r="C60" s="19"/>
      <c r="D60" s="20"/>
      <c r="E60" s="21">
        <v>56</v>
      </c>
      <c r="F60" s="22" t="s">
        <v>1</v>
      </c>
      <c r="G60" s="23" t="s">
        <v>132</v>
      </c>
      <c r="H60" s="22" t="s">
        <v>196</v>
      </c>
      <c r="I60" s="22" t="s">
        <v>80</v>
      </c>
      <c r="J60" s="24" t="s">
        <v>190</v>
      </c>
    </row>
    <row r="61" spans="2:10" ht="12.75" customHeight="1" x14ac:dyDescent="0.25">
      <c r="B61" s="11">
        <f t="shared" si="0"/>
        <v>57</v>
      </c>
      <c r="C61" s="19"/>
      <c r="D61" s="20"/>
      <c r="E61" s="21">
        <v>57</v>
      </c>
      <c r="F61" s="22" t="s">
        <v>1</v>
      </c>
      <c r="G61" s="23" t="s">
        <v>133</v>
      </c>
      <c r="H61" s="22" t="s">
        <v>196</v>
      </c>
      <c r="I61" s="22" t="s">
        <v>197</v>
      </c>
      <c r="J61" s="24" t="s">
        <v>190</v>
      </c>
    </row>
    <row r="62" spans="2:10" ht="12.75" customHeight="1" x14ac:dyDescent="0.25">
      <c r="B62" s="11">
        <f t="shared" si="0"/>
        <v>58</v>
      </c>
      <c r="C62" s="19"/>
      <c r="D62" s="20"/>
      <c r="E62" s="21">
        <v>58</v>
      </c>
      <c r="F62" s="22" t="s">
        <v>1</v>
      </c>
      <c r="G62" s="23" t="s">
        <v>134</v>
      </c>
      <c r="H62" s="22" t="s">
        <v>196</v>
      </c>
      <c r="I62" s="22" t="s">
        <v>197</v>
      </c>
      <c r="J62" s="24" t="s">
        <v>190</v>
      </c>
    </row>
    <row r="63" spans="2:10" ht="12.75" customHeight="1" x14ac:dyDescent="0.25">
      <c r="B63" s="11">
        <f t="shared" si="0"/>
        <v>59</v>
      </c>
      <c r="C63" s="19"/>
      <c r="D63" s="20"/>
      <c r="E63" s="21">
        <v>59</v>
      </c>
      <c r="F63" s="22" t="s">
        <v>1</v>
      </c>
      <c r="G63" s="23" t="s">
        <v>135</v>
      </c>
      <c r="H63" s="22" t="s">
        <v>196</v>
      </c>
      <c r="I63" s="22" t="s">
        <v>80</v>
      </c>
      <c r="J63" s="24" t="s">
        <v>190</v>
      </c>
    </row>
    <row r="64" spans="2:10" ht="12.75" customHeight="1" x14ac:dyDescent="0.25">
      <c r="B64" s="11">
        <f t="shared" si="0"/>
        <v>60</v>
      </c>
      <c r="C64" s="19"/>
      <c r="D64" s="20"/>
      <c r="E64" s="21">
        <v>60</v>
      </c>
      <c r="F64" s="22" t="s">
        <v>1</v>
      </c>
      <c r="G64" s="23" t="s">
        <v>136</v>
      </c>
      <c r="H64" s="22" t="s">
        <v>198</v>
      </c>
      <c r="I64" s="22" t="s">
        <v>206</v>
      </c>
      <c r="J64" s="24" t="s">
        <v>190</v>
      </c>
    </row>
    <row r="65" spans="2:10" ht="12.75" customHeight="1" x14ac:dyDescent="0.25">
      <c r="B65" s="11">
        <f t="shared" si="0"/>
        <v>61</v>
      </c>
      <c r="C65" s="19"/>
      <c r="D65" s="20"/>
      <c r="E65" s="21">
        <v>61</v>
      </c>
      <c r="F65" s="22" t="s">
        <v>1</v>
      </c>
      <c r="G65" s="23" t="s">
        <v>137</v>
      </c>
      <c r="H65" s="22" t="s">
        <v>197</v>
      </c>
      <c r="I65" s="22" t="s">
        <v>197</v>
      </c>
      <c r="J65" s="24" t="s">
        <v>190</v>
      </c>
    </row>
    <row r="66" spans="2:10" ht="12.75" customHeight="1" x14ac:dyDescent="0.25">
      <c r="B66" s="11">
        <f t="shared" si="0"/>
        <v>62</v>
      </c>
      <c r="C66" s="19"/>
      <c r="D66" s="20"/>
      <c r="E66" s="21">
        <v>62</v>
      </c>
      <c r="F66" s="22" t="s">
        <v>1</v>
      </c>
      <c r="G66" s="23" t="s">
        <v>138</v>
      </c>
      <c r="H66" s="22" t="s">
        <v>196</v>
      </c>
      <c r="I66" s="22" t="s">
        <v>81</v>
      </c>
      <c r="J66" s="24" t="s">
        <v>190</v>
      </c>
    </row>
    <row r="67" spans="2:10" ht="12.75" customHeight="1" x14ac:dyDescent="0.25">
      <c r="B67" s="11">
        <f t="shared" si="0"/>
        <v>63</v>
      </c>
      <c r="C67" s="19"/>
      <c r="D67" s="20"/>
      <c r="E67" s="21">
        <v>63</v>
      </c>
      <c r="F67" s="22" t="s">
        <v>1</v>
      </c>
      <c r="G67" s="23" t="s">
        <v>139</v>
      </c>
      <c r="H67" s="22" t="s">
        <v>196</v>
      </c>
      <c r="I67" s="22" t="s">
        <v>81</v>
      </c>
      <c r="J67" s="24" t="s">
        <v>190</v>
      </c>
    </row>
    <row r="68" spans="2:10" ht="12.75" customHeight="1" x14ac:dyDescent="0.25">
      <c r="B68" s="11">
        <f t="shared" si="0"/>
        <v>64</v>
      </c>
      <c r="C68" s="19"/>
      <c r="D68" s="20"/>
      <c r="E68" s="21">
        <v>64</v>
      </c>
      <c r="F68" s="22" t="s">
        <v>1</v>
      </c>
      <c r="G68" s="23" t="s">
        <v>140</v>
      </c>
      <c r="H68" s="22" t="s">
        <v>198</v>
      </c>
      <c r="I68" s="22" t="s">
        <v>206</v>
      </c>
      <c r="J68" s="24" t="s">
        <v>190</v>
      </c>
    </row>
    <row r="69" spans="2:10" ht="12.75" customHeight="1" x14ac:dyDescent="0.25">
      <c r="B69" s="11">
        <f t="shared" si="0"/>
        <v>65</v>
      </c>
      <c r="C69" s="19"/>
      <c r="D69" s="20"/>
      <c r="E69" s="21">
        <v>65</v>
      </c>
      <c r="F69" s="22" t="s">
        <v>1</v>
      </c>
      <c r="G69" s="23" t="s">
        <v>141</v>
      </c>
      <c r="H69" s="22" t="s">
        <v>195</v>
      </c>
      <c r="I69" s="22" t="s">
        <v>81</v>
      </c>
      <c r="J69" s="24" t="s">
        <v>190</v>
      </c>
    </row>
    <row r="70" spans="2:10" ht="12.75" customHeight="1" x14ac:dyDescent="0.25">
      <c r="B70" s="11">
        <f t="shared" si="0"/>
        <v>66</v>
      </c>
      <c r="C70" s="19"/>
      <c r="D70" s="20"/>
      <c r="E70" s="21">
        <v>66</v>
      </c>
      <c r="F70" s="22" t="s">
        <v>1</v>
      </c>
      <c r="G70" s="23" t="s">
        <v>207</v>
      </c>
      <c r="H70" s="22" t="s">
        <v>196</v>
      </c>
      <c r="I70" s="22" t="s">
        <v>81</v>
      </c>
      <c r="J70" s="24" t="s">
        <v>190</v>
      </c>
    </row>
    <row r="71" spans="2:10" ht="12.75" customHeight="1" x14ac:dyDescent="0.25">
      <c r="B71" s="11">
        <f t="shared" ref="B71:B120" si="1">(B70+1)</f>
        <v>67</v>
      </c>
      <c r="C71" s="19"/>
      <c r="D71" s="20"/>
      <c r="E71" s="21">
        <v>67</v>
      </c>
      <c r="F71" s="22" t="s">
        <v>1</v>
      </c>
      <c r="G71" s="23" t="s">
        <v>142</v>
      </c>
      <c r="H71" s="22" t="s">
        <v>196</v>
      </c>
      <c r="I71" s="22" t="s">
        <v>80</v>
      </c>
      <c r="J71" s="24" t="s">
        <v>190</v>
      </c>
    </row>
    <row r="72" spans="2:10" ht="12.75" customHeight="1" x14ac:dyDescent="0.25">
      <c r="B72" s="11">
        <f t="shared" si="1"/>
        <v>68</v>
      </c>
      <c r="C72" s="19"/>
      <c r="D72" s="20"/>
      <c r="E72" s="21">
        <v>68</v>
      </c>
      <c r="F72" s="22" t="s">
        <v>1</v>
      </c>
      <c r="G72" s="23" t="s">
        <v>143</v>
      </c>
      <c r="H72" s="22" t="s">
        <v>196</v>
      </c>
      <c r="I72" s="22" t="s">
        <v>82</v>
      </c>
      <c r="J72" s="24" t="s">
        <v>190</v>
      </c>
    </row>
    <row r="73" spans="2:10" ht="12.75" customHeight="1" x14ac:dyDescent="0.25">
      <c r="B73" s="11">
        <f t="shared" si="1"/>
        <v>69</v>
      </c>
      <c r="C73" s="19"/>
      <c r="D73" s="20"/>
      <c r="E73" s="21">
        <v>69</v>
      </c>
      <c r="F73" s="22" t="s">
        <v>1</v>
      </c>
      <c r="G73" s="23" t="s">
        <v>144</v>
      </c>
      <c r="H73" s="22" t="s">
        <v>196</v>
      </c>
      <c r="I73" s="22" t="s">
        <v>82</v>
      </c>
      <c r="J73" s="24" t="s">
        <v>190</v>
      </c>
    </row>
    <row r="74" spans="2:10" ht="12.75" customHeight="1" x14ac:dyDescent="0.25">
      <c r="B74" s="11">
        <f t="shared" si="1"/>
        <v>70</v>
      </c>
      <c r="C74" s="19"/>
      <c r="D74" s="20"/>
      <c r="E74" s="21">
        <v>70</v>
      </c>
      <c r="F74" s="22" t="s">
        <v>1</v>
      </c>
      <c r="G74" s="23" t="s">
        <v>145</v>
      </c>
      <c r="H74" s="22" t="s">
        <v>198</v>
      </c>
      <c r="I74" s="22" t="s">
        <v>206</v>
      </c>
      <c r="J74" s="24" t="s">
        <v>190</v>
      </c>
    </row>
    <row r="75" spans="2:10" ht="12.75" customHeight="1" x14ac:dyDescent="0.25">
      <c r="B75" s="11">
        <f t="shared" si="1"/>
        <v>71</v>
      </c>
      <c r="C75" s="19"/>
      <c r="D75" s="20"/>
      <c r="E75" s="21">
        <v>71</v>
      </c>
      <c r="F75" s="22" t="s">
        <v>1</v>
      </c>
      <c r="G75" s="23" t="s">
        <v>146</v>
      </c>
      <c r="H75" s="22" t="s">
        <v>196</v>
      </c>
      <c r="I75" s="22" t="s">
        <v>82</v>
      </c>
      <c r="J75" s="24" t="s">
        <v>190</v>
      </c>
    </row>
    <row r="76" spans="2:10" ht="12.75" customHeight="1" x14ac:dyDescent="0.25">
      <c r="B76" s="11">
        <f t="shared" si="1"/>
        <v>72</v>
      </c>
      <c r="C76" s="19"/>
      <c r="D76" s="20"/>
      <c r="E76" s="21">
        <v>72</v>
      </c>
      <c r="F76" s="22" t="s">
        <v>1</v>
      </c>
      <c r="G76" s="23" t="s">
        <v>148</v>
      </c>
      <c r="H76" s="22" t="s">
        <v>195</v>
      </c>
      <c r="I76" s="22" t="s">
        <v>82</v>
      </c>
      <c r="J76" s="24" t="s">
        <v>190</v>
      </c>
    </row>
    <row r="77" spans="2:10" ht="12.75" customHeight="1" x14ac:dyDescent="0.25">
      <c r="B77" s="11">
        <f t="shared" si="1"/>
        <v>73</v>
      </c>
      <c r="C77" s="19"/>
      <c r="D77" s="20"/>
      <c r="E77" s="21">
        <v>73</v>
      </c>
      <c r="F77" s="22" t="s">
        <v>1</v>
      </c>
      <c r="G77" s="23" t="s">
        <v>149</v>
      </c>
      <c r="H77" s="22" t="s">
        <v>196</v>
      </c>
      <c r="I77" s="22" t="s">
        <v>80</v>
      </c>
      <c r="J77" s="24" t="s">
        <v>189</v>
      </c>
    </row>
    <row r="78" spans="2:10" ht="12.75" customHeight="1" x14ac:dyDescent="0.25">
      <c r="B78" s="11">
        <f t="shared" si="1"/>
        <v>74</v>
      </c>
      <c r="C78" s="19"/>
      <c r="D78" s="20"/>
      <c r="E78" s="21">
        <v>74</v>
      </c>
      <c r="F78" s="22" t="s">
        <v>1</v>
      </c>
      <c r="G78" s="23" t="s">
        <v>150</v>
      </c>
      <c r="H78" s="22" t="s">
        <v>196</v>
      </c>
      <c r="I78" s="22" t="s">
        <v>82</v>
      </c>
      <c r="J78" s="24" t="s">
        <v>189</v>
      </c>
    </row>
    <row r="79" spans="2:10" ht="12.75" customHeight="1" x14ac:dyDescent="0.25">
      <c r="B79" s="11">
        <f t="shared" si="1"/>
        <v>75</v>
      </c>
      <c r="C79" s="19"/>
      <c r="D79" s="20"/>
      <c r="E79" s="21">
        <v>75</v>
      </c>
      <c r="F79" s="22" t="s">
        <v>1</v>
      </c>
      <c r="G79" s="23" t="s">
        <v>151</v>
      </c>
      <c r="H79" s="22" t="s">
        <v>196</v>
      </c>
      <c r="I79" s="22" t="s">
        <v>80</v>
      </c>
      <c r="J79" s="24" t="s">
        <v>189</v>
      </c>
    </row>
    <row r="80" spans="2:10" ht="12.75" customHeight="1" x14ac:dyDescent="0.25">
      <c r="B80" s="11">
        <f t="shared" si="1"/>
        <v>76</v>
      </c>
      <c r="C80" s="19"/>
      <c r="D80" s="20"/>
      <c r="E80" s="21">
        <v>76</v>
      </c>
      <c r="F80" s="22" t="s">
        <v>1</v>
      </c>
      <c r="G80" s="23" t="s">
        <v>152</v>
      </c>
      <c r="H80" s="22" t="s">
        <v>197</v>
      </c>
      <c r="I80" s="22" t="s">
        <v>197</v>
      </c>
      <c r="J80" s="24" t="s">
        <v>189</v>
      </c>
    </row>
    <row r="81" spans="2:10" ht="12.75" customHeight="1" x14ac:dyDescent="0.25">
      <c r="B81" s="11">
        <f t="shared" si="1"/>
        <v>77</v>
      </c>
      <c r="C81" s="19"/>
      <c r="D81" s="20"/>
      <c r="E81" s="21">
        <v>77</v>
      </c>
      <c r="F81" s="22" t="s">
        <v>1</v>
      </c>
      <c r="G81" s="23" t="s">
        <v>153</v>
      </c>
      <c r="H81" s="22" t="s">
        <v>196</v>
      </c>
      <c r="I81" s="22" t="s">
        <v>81</v>
      </c>
      <c r="J81" s="24" t="s">
        <v>189</v>
      </c>
    </row>
    <row r="82" spans="2:10" ht="12.75" customHeight="1" x14ac:dyDescent="0.25">
      <c r="B82" s="11">
        <f t="shared" si="1"/>
        <v>78</v>
      </c>
      <c r="C82" s="19"/>
      <c r="D82" s="20"/>
      <c r="E82" s="21">
        <v>78</v>
      </c>
      <c r="F82" s="22" t="s">
        <v>1</v>
      </c>
      <c r="G82" s="23" t="s">
        <v>154</v>
      </c>
      <c r="H82" s="22" t="s">
        <v>195</v>
      </c>
      <c r="I82" s="22" t="s">
        <v>80</v>
      </c>
      <c r="J82" s="24" t="s">
        <v>189</v>
      </c>
    </row>
    <row r="83" spans="2:10" ht="12.75" customHeight="1" x14ac:dyDescent="0.25">
      <c r="B83" s="11">
        <f t="shared" si="1"/>
        <v>79</v>
      </c>
      <c r="C83" s="19"/>
      <c r="D83" s="20"/>
      <c r="E83" s="21">
        <v>79</v>
      </c>
      <c r="F83" s="22" t="s">
        <v>1</v>
      </c>
      <c r="G83" s="23" t="s">
        <v>155</v>
      </c>
      <c r="H83" s="22" t="s">
        <v>196</v>
      </c>
      <c r="I83" s="22" t="s">
        <v>82</v>
      </c>
      <c r="J83" s="24" t="s">
        <v>189</v>
      </c>
    </row>
    <row r="84" spans="2:10" ht="12.75" customHeight="1" x14ac:dyDescent="0.25">
      <c r="B84" s="11">
        <f t="shared" si="1"/>
        <v>80</v>
      </c>
      <c r="C84" s="19"/>
      <c r="D84" s="20"/>
      <c r="E84" s="21">
        <v>80</v>
      </c>
      <c r="F84" s="22" t="s">
        <v>1</v>
      </c>
      <c r="G84" s="23" t="s">
        <v>156</v>
      </c>
      <c r="H84" s="22" t="s">
        <v>197</v>
      </c>
      <c r="I84" s="22" t="s">
        <v>197</v>
      </c>
      <c r="J84" s="24" t="s">
        <v>189</v>
      </c>
    </row>
    <row r="85" spans="2:10" ht="12.75" customHeight="1" x14ac:dyDescent="0.25">
      <c r="B85" s="11">
        <f t="shared" si="1"/>
        <v>81</v>
      </c>
      <c r="C85" s="19"/>
      <c r="D85" s="20"/>
      <c r="E85" s="21">
        <v>81</v>
      </c>
      <c r="F85" s="22" t="s">
        <v>1</v>
      </c>
      <c r="G85" s="23" t="s">
        <v>157</v>
      </c>
      <c r="H85" s="22" t="s">
        <v>196</v>
      </c>
      <c r="I85" s="22" t="s">
        <v>81</v>
      </c>
      <c r="J85" s="24" t="s">
        <v>189</v>
      </c>
    </row>
    <row r="86" spans="2:10" ht="12.75" customHeight="1" x14ac:dyDescent="0.25">
      <c r="B86" s="11">
        <f t="shared" si="1"/>
        <v>82</v>
      </c>
      <c r="C86" s="19"/>
      <c r="D86" s="20"/>
      <c r="E86" s="21">
        <v>82</v>
      </c>
      <c r="F86" s="22" t="s">
        <v>1</v>
      </c>
      <c r="G86" s="23" t="s">
        <v>158</v>
      </c>
      <c r="H86" s="22" t="s">
        <v>196</v>
      </c>
      <c r="I86" s="22" t="s">
        <v>82</v>
      </c>
      <c r="J86" s="24" t="s">
        <v>189</v>
      </c>
    </row>
    <row r="87" spans="2:10" ht="12.75" customHeight="1" x14ac:dyDescent="0.25">
      <c r="B87" s="11">
        <f t="shared" si="1"/>
        <v>83</v>
      </c>
      <c r="C87" s="19"/>
      <c r="D87" s="20"/>
      <c r="E87" s="21">
        <v>83</v>
      </c>
      <c r="F87" s="22" t="s">
        <v>1</v>
      </c>
      <c r="G87" s="23" t="s">
        <v>159</v>
      </c>
      <c r="H87" s="22" t="s">
        <v>196</v>
      </c>
      <c r="I87" s="22" t="s">
        <v>81</v>
      </c>
      <c r="J87" s="24" t="s">
        <v>189</v>
      </c>
    </row>
    <row r="88" spans="2:10" ht="12.75" customHeight="1" x14ac:dyDescent="0.25">
      <c r="B88" s="11">
        <f t="shared" si="1"/>
        <v>84</v>
      </c>
      <c r="C88" s="19"/>
      <c r="D88" s="20"/>
      <c r="E88" s="21">
        <v>84</v>
      </c>
      <c r="F88" s="22" t="s">
        <v>1</v>
      </c>
      <c r="G88" s="23" t="s">
        <v>160</v>
      </c>
      <c r="H88" s="22" t="s">
        <v>196</v>
      </c>
      <c r="I88" s="22" t="s">
        <v>197</v>
      </c>
      <c r="J88" s="24" t="s">
        <v>189</v>
      </c>
    </row>
    <row r="89" spans="2:10" ht="12.75" customHeight="1" x14ac:dyDescent="0.25">
      <c r="B89" s="11">
        <f t="shared" si="1"/>
        <v>85</v>
      </c>
      <c r="C89" s="19"/>
      <c r="D89" s="20"/>
      <c r="E89" s="21">
        <v>85</v>
      </c>
      <c r="F89" s="22" t="s">
        <v>1</v>
      </c>
      <c r="G89" s="23" t="s">
        <v>161</v>
      </c>
      <c r="H89" s="22" t="s">
        <v>197</v>
      </c>
      <c r="I89" s="22" t="s">
        <v>197</v>
      </c>
      <c r="J89" s="24" t="s">
        <v>189</v>
      </c>
    </row>
    <row r="90" spans="2:10" ht="12.75" customHeight="1" x14ac:dyDescent="0.25">
      <c r="B90" s="11">
        <f t="shared" si="1"/>
        <v>86</v>
      </c>
      <c r="C90" s="19"/>
      <c r="D90" s="20"/>
      <c r="E90" s="21">
        <v>86</v>
      </c>
      <c r="F90" s="22" t="s">
        <v>1</v>
      </c>
      <c r="G90" s="23" t="s">
        <v>162</v>
      </c>
      <c r="H90" s="22" t="s">
        <v>196</v>
      </c>
      <c r="I90" s="22" t="s">
        <v>81</v>
      </c>
      <c r="J90" s="24" t="s">
        <v>189</v>
      </c>
    </row>
    <row r="91" spans="2:10" ht="12.75" customHeight="1" x14ac:dyDescent="0.25">
      <c r="B91" s="11">
        <f t="shared" si="1"/>
        <v>87</v>
      </c>
      <c r="C91" s="19"/>
      <c r="D91" s="20"/>
      <c r="E91" s="21">
        <v>87</v>
      </c>
      <c r="F91" s="22" t="s">
        <v>1</v>
      </c>
      <c r="G91" s="23" t="s">
        <v>163</v>
      </c>
      <c r="H91" s="22" t="s">
        <v>196</v>
      </c>
      <c r="I91" s="22" t="s">
        <v>81</v>
      </c>
      <c r="J91" s="24" t="s">
        <v>189</v>
      </c>
    </row>
    <row r="92" spans="2:10" ht="12.75" customHeight="1" x14ac:dyDescent="0.25">
      <c r="B92" s="11">
        <f t="shared" si="1"/>
        <v>88</v>
      </c>
      <c r="C92" s="19"/>
      <c r="D92" s="20"/>
      <c r="E92" s="21">
        <v>88</v>
      </c>
      <c r="F92" s="22" t="s">
        <v>1</v>
      </c>
      <c r="G92" s="23" t="s">
        <v>164</v>
      </c>
      <c r="H92" s="22" t="s">
        <v>197</v>
      </c>
      <c r="I92" s="22" t="s">
        <v>197</v>
      </c>
      <c r="J92" s="24" t="s">
        <v>189</v>
      </c>
    </row>
    <row r="93" spans="2:10" ht="12.75" customHeight="1" x14ac:dyDescent="0.25">
      <c r="B93" s="11">
        <f t="shared" si="1"/>
        <v>89</v>
      </c>
      <c r="C93" s="19"/>
      <c r="D93" s="20"/>
      <c r="E93" s="21">
        <v>89</v>
      </c>
      <c r="F93" s="22" t="s">
        <v>1</v>
      </c>
      <c r="G93" s="23" t="s">
        <v>165</v>
      </c>
      <c r="H93" s="22" t="s">
        <v>196</v>
      </c>
      <c r="I93" s="22" t="s">
        <v>197</v>
      </c>
      <c r="J93" s="24" t="s">
        <v>189</v>
      </c>
    </row>
    <row r="94" spans="2:10" ht="12.75" customHeight="1" x14ac:dyDescent="0.25">
      <c r="B94" s="11">
        <f t="shared" si="1"/>
        <v>90</v>
      </c>
      <c r="C94" s="19"/>
      <c r="D94" s="20"/>
      <c r="E94" s="21">
        <v>90</v>
      </c>
      <c r="F94" s="22" t="s">
        <v>1</v>
      </c>
      <c r="G94" s="23" t="s">
        <v>166</v>
      </c>
      <c r="H94" s="22" t="s">
        <v>196</v>
      </c>
      <c r="I94" s="22" t="s">
        <v>82</v>
      </c>
      <c r="J94" s="24" t="s">
        <v>189</v>
      </c>
    </row>
    <row r="95" spans="2:10" ht="12.75" customHeight="1" x14ac:dyDescent="0.25">
      <c r="B95" s="11">
        <f t="shared" si="1"/>
        <v>91</v>
      </c>
      <c r="C95" s="19"/>
      <c r="D95" s="20"/>
      <c r="E95" s="21">
        <v>91</v>
      </c>
      <c r="F95" s="22" t="s">
        <v>1</v>
      </c>
      <c r="G95" s="23" t="s">
        <v>167</v>
      </c>
      <c r="H95" s="22" t="s">
        <v>196</v>
      </c>
      <c r="I95" s="22" t="s">
        <v>81</v>
      </c>
      <c r="J95" s="24" t="s">
        <v>189</v>
      </c>
    </row>
    <row r="96" spans="2:10" ht="12.75" customHeight="1" x14ac:dyDescent="0.25">
      <c r="B96" s="11">
        <f t="shared" si="1"/>
        <v>92</v>
      </c>
      <c r="C96" s="19"/>
      <c r="D96" s="20"/>
      <c r="E96" s="21">
        <v>92</v>
      </c>
      <c r="F96" s="22" t="s">
        <v>1</v>
      </c>
      <c r="G96" s="23" t="s">
        <v>168</v>
      </c>
      <c r="H96" s="22" t="s">
        <v>196</v>
      </c>
      <c r="I96" s="22" t="s">
        <v>80</v>
      </c>
      <c r="J96" s="24" t="s">
        <v>189</v>
      </c>
    </row>
    <row r="97" spans="2:10" ht="12.75" customHeight="1" x14ac:dyDescent="0.25">
      <c r="B97" s="11">
        <f t="shared" si="1"/>
        <v>93</v>
      </c>
      <c r="C97" s="19"/>
      <c r="D97" s="20"/>
      <c r="E97" s="21">
        <v>93</v>
      </c>
      <c r="F97" s="22" t="s">
        <v>1</v>
      </c>
      <c r="G97" s="23" t="s">
        <v>169</v>
      </c>
      <c r="H97" s="22" t="s">
        <v>196</v>
      </c>
      <c r="I97" s="22" t="s">
        <v>82</v>
      </c>
      <c r="J97" s="24" t="s">
        <v>189</v>
      </c>
    </row>
    <row r="98" spans="2:10" ht="12.75" customHeight="1" x14ac:dyDescent="0.25">
      <c r="B98" s="11">
        <f t="shared" si="1"/>
        <v>94</v>
      </c>
      <c r="C98" s="19"/>
      <c r="D98" s="20"/>
      <c r="E98" s="21">
        <v>94</v>
      </c>
      <c r="F98" s="22" t="s">
        <v>1</v>
      </c>
      <c r="G98" s="23" t="s">
        <v>170</v>
      </c>
      <c r="H98" s="22" t="s">
        <v>196</v>
      </c>
      <c r="I98" s="22" t="s">
        <v>82</v>
      </c>
      <c r="J98" s="24" t="s">
        <v>189</v>
      </c>
    </row>
    <row r="99" spans="2:10" ht="12.75" customHeight="1" x14ac:dyDescent="0.25">
      <c r="B99" s="11">
        <f t="shared" si="1"/>
        <v>95</v>
      </c>
      <c r="C99" s="19"/>
      <c r="D99" s="20"/>
      <c r="E99" s="21">
        <v>95</v>
      </c>
      <c r="F99" s="22" t="s">
        <v>1</v>
      </c>
      <c r="G99" s="23" t="s">
        <v>171</v>
      </c>
      <c r="H99" s="22" t="s">
        <v>196</v>
      </c>
      <c r="I99" s="22" t="s">
        <v>80</v>
      </c>
      <c r="J99" s="24" t="s">
        <v>189</v>
      </c>
    </row>
    <row r="100" spans="2:10" ht="12.75" customHeight="1" x14ac:dyDescent="0.25">
      <c r="B100" s="11">
        <f t="shared" si="1"/>
        <v>96</v>
      </c>
      <c r="C100" s="19"/>
      <c r="D100" s="20"/>
      <c r="E100" s="21">
        <v>96</v>
      </c>
      <c r="F100" s="22" t="s">
        <v>1</v>
      </c>
      <c r="G100" s="23" t="s">
        <v>172</v>
      </c>
      <c r="H100" s="22" t="s">
        <v>196</v>
      </c>
      <c r="I100" s="22" t="s">
        <v>81</v>
      </c>
      <c r="J100" s="24" t="s">
        <v>189</v>
      </c>
    </row>
    <row r="101" spans="2:10" ht="12.75" customHeight="1" x14ac:dyDescent="0.25">
      <c r="B101" s="11">
        <f t="shared" si="1"/>
        <v>97</v>
      </c>
      <c r="C101" s="19"/>
      <c r="D101" s="20"/>
      <c r="E101" s="21">
        <v>97</v>
      </c>
      <c r="F101" s="22" t="s">
        <v>1</v>
      </c>
      <c r="G101" s="23" t="s">
        <v>173</v>
      </c>
      <c r="H101" s="22" t="s">
        <v>196</v>
      </c>
      <c r="I101" s="22" t="s">
        <v>80</v>
      </c>
      <c r="J101" s="24" t="s">
        <v>189</v>
      </c>
    </row>
    <row r="102" spans="2:10" ht="12.75" customHeight="1" x14ac:dyDescent="0.25">
      <c r="B102" s="11">
        <f t="shared" si="1"/>
        <v>98</v>
      </c>
      <c r="C102" s="19"/>
      <c r="D102" s="20"/>
      <c r="E102" s="21">
        <v>98</v>
      </c>
      <c r="F102" s="22" t="s">
        <v>1</v>
      </c>
      <c r="G102" s="23" t="s">
        <v>174</v>
      </c>
      <c r="H102" s="22" t="s">
        <v>197</v>
      </c>
      <c r="I102" s="22" t="s">
        <v>197</v>
      </c>
      <c r="J102" s="24" t="s">
        <v>189</v>
      </c>
    </row>
    <row r="103" spans="2:10" ht="12.75" customHeight="1" x14ac:dyDescent="0.25">
      <c r="B103" s="11">
        <f t="shared" si="1"/>
        <v>99</v>
      </c>
      <c r="C103" s="19"/>
      <c r="D103" s="20"/>
      <c r="E103" s="21">
        <v>99</v>
      </c>
      <c r="F103" s="22" t="s">
        <v>1</v>
      </c>
      <c r="G103" s="23" t="s">
        <v>175</v>
      </c>
      <c r="H103" s="22" t="s">
        <v>195</v>
      </c>
      <c r="I103" s="22" t="s">
        <v>81</v>
      </c>
      <c r="J103" s="24" t="s">
        <v>189</v>
      </c>
    </row>
    <row r="104" spans="2:10" ht="12.75" customHeight="1" x14ac:dyDescent="0.25">
      <c r="B104" s="11">
        <f t="shared" si="1"/>
        <v>100</v>
      </c>
      <c r="C104" s="19"/>
      <c r="D104" s="20"/>
      <c r="E104" s="21">
        <v>100</v>
      </c>
      <c r="F104" s="22" t="s">
        <v>1</v>
      </c>
      <c r="G104" s="23" t="s">
        <v>176</v>
      </c>
      <c r="H104" s="22" t="s">
        <v>196</v>
      </c>
      <c r="I104" s="22" t="s">
        <v>81</v>
      </c>
      <c r="J104" s="24" t="s">
        <v>189</v>
      </c>
    </row>
    <row r="105" spans="2:10" ht="12.75" customHeight="1" x14ac:dyDescent="0.25">
      <c r="B105" s="11">
        <f t="shared" si="1"/>
        <v>101</v>
      </c>
      <c r="C105" s="19"/>
      <c r="D105" s="20"/>
      <c r="E105" s="21">
        <v>101</v>
      </c>
      <c r="F105" s="22" t="s">
        <v>1</v>
      </c>
      <c r="G105" s="23" t="s">
        <v>177</v>
      </c>
      <c r="H105" s="22" t="s">
        <v>195</v>
      </c>
      <c r="I105" s="22" t="s">
        <v>82</v>
      </c>
      <c r="J105" s="24" t="s">
        <v>189</v>
      </c>
    </row>
    <row r="106" spans="2:10" ht="12.75" customHeight="1" x14ac:dyDescent="0.25">
      <c r="B106" s="11">
        <f t="shared" si="1"/>
        <v>102</v>
      </c>
      <c r="C106" s="19"/>
      <c r="D106" s="20"/>
      <c r="E106" s="21">
        <v>102</v>
      </c>
      <c r="F106" s="22" t="s">
        <v>1</v>
      </c>
      <c r="G106" s="23" t="s">
        <v>178</v>
      </c>
      <c r="H106" s="22" t="s">
        <v>196</v>
      </c>
      <c r="I106" s="22" t="s">
        <v>82</v>
      </c>
      <c r="J106" s="24" t="s">
        <v>189</v>
      </c>
    </row>
    <row r="107" spans="2:10" ht="12.75" customHeight="1" x14ac:dyDescent="0.25">
      <c r="B107" s="11">
        <f t="shared" si="1"/>
        <v>103</v>
      </c>
      <c r="C107" s="19"/>
      <c r="D107" s="20"/>
      <c r="E107" s="21">
        <v>103</v>
      </c>
      <c r="F107" s="22" t="s">
        <v>1</v>
      </c>
      <c r="G107" s="23" t="s">
        <v>179</v>
      </c>
      <c r="H107" s="22" t="s">
        <v>197</v>
      </c>
      <c r="I107" s="22" t="s">
        <v>197</v>
      </c>
      <c r="J107" s="24" t="s">
        <v>189</v>
      </c>
    </row>
    <row r="108" spans="2:10" ht="12.75" customHeight="1" x14ac:dyDescent="0.25">
      <c r="B108" s="11">
        <f t="shared" si="1"/>
        <v>104</v>
      </c>
      <c r="C108" s="19"/>
      <c r="D108" s="20"/>
      <c r="E108" s="21">
        <v>104</v>
      </c>
      <c r="F108" s="22" t="s">
        <v>1</v>
      </c>
      <c r="G108" s="23" t="s">
        <v>180</v>
      </c>
      <c r="H108" s="22" t="s">
        <v>196</v>
      </c>
      <c r="I108" s="22" t="s">
        <v>81</v>
      </c>
      <c r="J108" s="24" t="s">
        <v>189</v>
      </c>
    </row>
    <row r="109" spans="2:10" ht="12.75" customHeight="1" x14ac:dyDescent="0.25">
      <c r="B109" s="11">
        <f t="shared" si="1"/>
        <v>105</v>
      </c>
      <c r="C109" s="19"/>
      <c r="D109" s="20"/>
      <c r="E109" s="21">
        <v>105</v>
      </c>
      <c r="F109" s="22" t="s">
        <v>1</v>
      </c>
      <c r="G109" s="23" t="s">
        <v>181</v>
      </c>
      <c r="H109" s="22" t="s">
        <v>196</v>
      </c>
      <c r="I109" s="22" t="s">
        <v>82</v>
      </c>
      <c r="J109" s="24" t="s">
        <v>189</v>
      </c>
    </row>
    <row r="110" spans="2:10" ht="12.75" customHeight="1" x14ac:dyDescent="0.25">
      <c r="B110" s="11">
        <f t="shared" si="1"/>
        <v>106</v>
      </c>
      <c r="C110" s="19"/>
      <c r="D110" s="20"/>
      <c r="E110" s="21">
        <v>106</v>
      </c>
      <c r="F110" s="22" t="s">
        <v>1</v>
      </c>
      <c r="G110" s="23" t="s">
        <v>182</v>
      </c>
      <c r="H110" s="22" t="s">
        <v>196</v>
      </c>
      <c r="I110" s="22" t="s">
        <v>82</v>
      </c>
      <c r="J110" s="24" t="s">
        <v>189</v>
      </c>
    </row>
    <row r="111" spans="2:10" ht="12.75" customHeight="1" x14ac:dyDescent="0.25">
      <c r="B111" s="11">
        <f t="shared" si="1"/>
        <v>107</v>
      </c>
      <c r="C111" s="19"/>
      <c r="D111" s="20"/>
      <c r="E111" s="21">
        <v>107</v>
      </c>
      <c r="F111" s="22" t="s">
        <v>1</v>
      </c>
      <c r="G111" s="23" t="s">
        <v>183</v>
      </c>
      <c r="H111" s="22" t="s">
        <v>197</v>
      </c>
      <c r="I111" s="22" t="s">
        <v>197</v>
      </c>
      <c r="J111" s="24" t="s">
        <v>189</v>
      </c>
    </row>
    <row r="112" spans="2:10" ht="12.75" customHeight="1" x14ac:dyDescent="0.25">
      <c r="B112" s="11">
        <f t="shared" si="1"/>
        <v>108</v>
      </c>
      <c r="C112" s="19"/>
      <c r="D112" s="20"/>
      <c r="E112" s="21">
        <v>108</v>
      </c>
      <c r="F112" s="22" t="s">
        <v>1</v>
      </c>
      <c r="G112" s="23" t="s">
        <v>184</v>
      </c>
      <c r="H112" s="22" t="s">
        <v>196</v>
      </c>
      <c r="I112" s="22" t="s">
        <v>80</v>
      </c>
      <c r="J112" s="24" t="s">
        <v>189</v>
      </c>
    </row>
    <row r="113" spans="2:11" ht="12.75" customHeight="1" x14ac:dyDescent="0.25">
      <c r="B113" s="11">
        <f t="shared" si="1"/>
        <v>109</v>
      </c>
      <c r="C113" s="19"/>
      <c r="D113" s="20"/>
      <c r="E113" s="21">
        <v>109</v>
      </c>
      <c r="F113" s="22" t="s">
        <v>1</v>
      </c>
      <c r="G113" s="23" t="s">
        <v>185</v>
      </c>
      <c r="H113" s="22" t="s">
        <v>196</v>
      </c>
      <c r="I113" s="22" t="s">
        <v>80</v>
      </c>
      <c r="J113" s="24" t="s">
        <v>189</v>
      </c>
    </row>
    <row r="114" spans="2:11" ht="12.75" customHeight="1" x14ac:dyDescent="0.25">
      <c r="B114" s="11">
        <f t="shared" si="1"/>
        <v>110</v>
      </c>
      <c r="C114" s="19"/>
      <c r="D114" s="20"/>
      <c r="E114" s="21">
        <v>110</v>
      </c>
      <c r="F114" s="22" t="s">
        <v>1</v>
      </c>
      <c r="G114" s="23" t="s">
        <v>186</v>
      </c>
      <c r="H114" s="22" t="s">
        <v>197</v>
      </c>
      <c r="I114" s="22" t="s">
        <v>197</v>
      </c>
      <c r="J114" s="24" t="s">
        <v>189</v>
      </c>
    </row>
    <row r="115" spans="2:11" ht="12.75" customHeight="1" x14ac:dyDescent="0.25">
      <c r="B115" s="11">
        <f t="shared" si="1"/>
        <v>111</v>
      </c>
      <c r="C115" s="19"/>
      <c r="D115" s="20"/>
      <c r="E115" s="21">
        <v>111</v>
      </c>
      <c r="F115" s="22" t="s">
        <v>1</v>
      </c>
      <c r="G115" s="23" t="s">
        <v>187</v>
      </c>
      <c r="H115" s="22" t="s">
        <v>196</v>
      </c>
      <c r="I115" s="22" t="s">
        <v>80</v>
      </c>
      <c r="J115" s="24" t="s">
        <v>189</v>
      </c>
    </row>
    <row r="116" spans="2:11" ht="12.75" customHeight="1" x14ac:dyDescent="0.25">
      <c r="B116" s="11">
        <f t="shared" si="1"/>
        <v>112</v>
      </c>
      <c r="C116" s="19"/>
      <c r="D116" s="20"/>
      <c r="E116" s="21">
        <v>112</v>
      </c>
      <c r="F116" s="22" t="s">
        <v>1</v>
      </c>
      <c r="G116" s="23" t="s">
        <v>188</v>
      </c>
      <c r="H116" s="22" t="s">
        <v>196</v>
      </c>
      <c r="I116" s="22" t="s">
        <v>80</v>
      </c>
      <c r="J116" s="24" t="s">
        <v>189</v>
      </c>
    </row>
    <row r="117" spans="2:11" ht="12.75" customHeight="1" x14ac:dyDescent="0.25">
      <c r="B117" s="11">
        <f t="shared" si="1"/>
        <v>113</v>
      </c>
      <c r="C117" s="19"/>
      <c r="D117" s="20"/>
      <c r="E117" s="21">
        <v>113</v>
      </c>
      <c r="F117" s="22" t="s">
        <v>1</v>
      </c>
      <c r="G117" s="23" t="s">
        <v>79</v>
      </c>
      <c r="H117" s="22" t="s">
        <v>201</v>
      </c>
      <c r="I117" s="22" t="s">
        <v>206</v>
      </c>
      <c r="J117" s="24" t="s">
        <v>189</v>
      </c>
    </row>
    <row r="118" spans="2:11" ht="12.75" customHeight="1" x14ac:dyDescent="0.25">
      <c r="B118" s="11">
        <f t="shared" si="1"/>
        <v>114</v>
      </c>
      <c r="C118" s="19"/>
      <c r="D118" s="20"/>
      <c r="E118" s="21">
        <v>114</v>
      </c>
      <c r="F118" s="22" t="s">
        <v>1</v>
      </c>
      <c r="G118" s="23" t="s">
        <v>80</v>
      </c>
      <c r="H118" s="22" t="s">
        <v>201</v>
      </c>
      <c r="I118" s="22" t="s">
        <v>206</v>
      </c>
      <c r="J118" s="24" t="s">
        <v>189</v>
      </c>
    </row>
    <row r="119" spans="2:11" ht="12.75" customHeight="1" x14ac:dyDescent="0.25">
      <c r="B119" s="11">
        <f t="shared" si="1"/>
        <v>115</v>
      </c>
      <c r="C119" s="19"/>
      <c r="D119" s="20"/>
      <c r="E119" s="21">
        <v>115</v>
      </c>
      <c r="F119" s="22" t="s">
        <v>1</v>
      </c>
      <c r="G119" s="23" t="s">
        <v>81</v>
      </c>
      <c r="H119" s="22" t="s">
        <v>201</v>
      </c>
      <c r="I119" s="22" t="s">
        <v>206</v>
      </c>
      <c r="J119" s="24" t="s">
        <v>189</v>
      </c>
    </row>
    <row r="120" spans="2:11" ht="12.75" customHeight="1" x14ac:dyDescent="0.25">
      <c r="B120" s="11">
        <f t="shared" si="1"/>
        <v>116</v>
      </c>
      <c r="C120" s="19"/>
      <c r="D120" s="20"/>
      <c r="E120" s="21">
        <v>116</v>
      </c>
      <c r="F120" s="22" t="s">
        <v>1</v>
      </c>
      <c r="G120" s="23" t="s">
        <v>82</v>
      </c>
      <c r="H120" s="22" t="s">
        <v>201</v>
      </c>
      <c r="I120" s="22" t="s">
        <v>206</v>
      </c>
      <c r="J120" s="24" t="s">
        <v>189</v>
      </c>
    </row>
    <row r="121" spans="2:11" ht="12.75" customHeight="1" x14ac:dyDescent="0.25">
      <c r="B121" s="11">
        <f t="shared" ref="B121:B134" si="2">(B120+1)</f>
        <v>117</v>
      </c>
      <c r="C121" s="19"/>
      <c r="D121" s="20"/>
      <c r="E121" s="21" t="s">
        <v>206</v>
      </c>
      <c r="F121" s="22" t="s">
        <v>0</v>
      </c>
      <c r="G121" s="23" t="s">
        <v>226</v>
      </c>
      <c r="H121" s="22" t="s">
        <v>206</v>
      </c>
      <c r="I121" s="22" t="s">
        <v>206</v>
      </c>
      <c r="J121" s="24" t="s">
        <v>206</v>
      </c>
    </row>
    <row r="122" spans="2:11" ht="12.75" customHeight="1" x14ac:dyDescent="0.25">
      <c r="B122" s="11">
        <f t="shared" si="2"/>
        <v>118</v>
      </c>
      <c r="C122" s="19"/>
      <c r="D122" s="20"/>
      <c r="E122" s="21">
        <v>1</v>
      </c>
      <c r="F122" s="22" t="s">
        <v>0</v>
      </c>
      <c r="G122" s="23" t="s">
        <v>2</v>
      </c>
      <c r="H122" s="22" t="s">
        <v>195</v>
      </c>
      <c r="I122" s="22" t="s">
        <v>83</v>
      </c>
      <c r="J122" s="24" t="s">
        <v>191</v>
      </c>
    </row>
    <row r="123" spans="2:11" ht="12.75" customHeight="1" x14ac:dyDescent="0.25">
      <c r="B123" s="11">
        <f t="shared" si="2"/>
        <v>119</v>
      </c>
      <c r="C123" s="19"/>
      <c r="D123" s="20"/>
      <c r="E123" s="21">
        <v>2</v>
      </c>
      <c r="F123" s="22" t="s">
        <v>0</v>
      </c>
      <c r="G123" s="23" t="s">
        <v>3</v>
      </c>
      <c r="H123" s="22" t="s">
        <v>196</v>
      </c>
      <c r="I123" s="22" t="s">
        <v>83</v>
      </c>
      <c r="J123" s="24" t="s">
        <v>191</v>
      </c>
    </row>
    <row r="124" spans="2:11" ht="12.75" customHeight="1" x14ac:dyDescent="0.25">
      <c r="B124" s="11">
        <f t="shared" si="2"/>
        <v>120</v>
      </c>
      <c r="C124" s="19"/>
      <c r="D124" s="20"/>
      <c r="E124" s="21">
        <v>3</v>
      </c>
      <c r="F124" s="22" t="s">
        <v>0</v>
      </c>
      <c r="G124" s="23" t="s">
        <v>4</v>
      </c>
      <c r="H124" s="22" t="s">
        <v>196</v>
      </c>
      <c r="I124" s="22" t="s">
        <v>80</v>
      </c>
      <c r="J124" s="24" t="s">
        <v>191</v>
      </c>
    </row>
    <row r="125" spans="2:11" ht="12.75" customHeight="1" x14ac:dyDescent="0.25">
      <c r="B125" s="11">
        <f t="shared" si="2"/>
        <v>121</v>
      </c>
      <c r="C125" s="19"/>
      <c r="D125" s="20"/>
      <c r="E125" s="21">
        <v>4</v>
      </c>
      <c r="F125" s="22" t="s">
        <v>0</v>
      </c>
      <c r="G125" s="23" t="s">
        <v>5</v>
      </c>
      <c r="H125" s="22" t="s">
        <v>197</v>
      </c>
      <c r="I125" s="22" t="s">
        <v>197</v>
      </c>
      <c r="J125" s="24" t="s">
        <v>191</v>
      </c>
    </row>
    <row r="126" spans="2:11" ht="12.75" customHeight="1" x14ac:dyDescent="0.25">
      <c r="B126" s="11">
        <f t="shared" si="2"/>
        <v>122</v>
      </c>
      <c r="C126" s="19"/>
      <c r="D126" s="20"/>
      <c r="E126" s="21">
        <v>5</v>
      </c>
      <c r="F126" s="22" t="s">
        <v>0</v>
      </c>
      <c r="G126" s="23" t="s">
        <v>6</v>
      </c>
      <c r="H126" s="22" t="s">
        <v>209</v>
      </c>
      <c r="I126" s="22" t="s">
        <v>206</v>
      </c>
      <c r="J126" s="24" t="s">
        <v>191</v>
      </c>
      <c r="K126" s="3"/>
    </row>
    <row r="127" spans="2:11" ht="12.75" customHeight="1" x14ac:dyDescent="0.25">
      <c r="B127" s="11">
        <f t="shared" si="2"/>
        <v>123</v>
      </c>
      <c r="C127" s="19"/>
      <c r="D127" s="20"/>
      <c r="E127" s="21">
        <v>6</v>
      </c>
      <c r="F127" s="22" t="s">
        <v>0</v>
      </c>
      <c r="G127" s="23" t="s">
        <v>7</v>
      </c>
      <c r="H127" s="22" t="s">
        <v>198</v>
      </c>
      <c r="I127" s="22" t="s">
        <v>206</v>
      </c>
      <c r="J127" s="24" t="s">
        <v>191</v>
      </c>
      <c r="K127"/>
    </row>
    <row r="128" spans="2:11" ht="12.75" customHeight="1" x14ac:dyDescent="0.25">
      <c r="B128" s="11">
        <f t="shared" si="2"/>
        <v>124</v>
      </c>
      <c r="C128" s="19"/>
      <c r="D128" s="20"/>
      <c r="E128" s="21">
        <v>7</v>
      </c>
      <c r="F128" s="22" t="s">
        <v>0</v>
      </c>
      <c r="G128" s="23" t="s">
        <v>13</v>
      </c>
      <c r="H128" s="22" t="s">
        <v>195</v>
      </c>
      <c r="I128" s="22" t="s">
        <v>81</v>
      </c>
      <c r="J128" s="24" t="s">
        <v>191</v>
      </c>
    </row>
    <row r="129" spans="2:10" ht="12.75" customHeight="1" x14ac:dyDescent="0.25">
      <c r="B129" s="11">
        <f t="shared" si="2"/>
        <v>125</v>
      </c>
      <c r="C129" s="19"/>
      <c r="D129" s="20"/>
      <c r="E129" s="21">
        <v>8</v>
      </c>
      <c r="F129" s="22" t="s">
        <v>0</v>
      </c>
      <c r="G129" s="23" t="s">
        <v>14</v>
      </c>
      <c r="H129" s="22" t="s">
        <v>195</v>
      </c>
      <c r="I129" s="22" t="s">
        <v>83</v>
      </c>
      <c r="J129" s="24" t="s">
        <v>191</v>
      </c>
    </row>
    <row r="130" spans="2:10" ht="12.75" customHeight="1" x14ac:dyDescent="0.25">
      <c r="B130" s="11">
        <f t="shared" si="2"/>
        <v>126</v>
      </c>
      <c r="C130" s="19"/>
      <c r="D130" s="20"/>
      <c r="E130" s="21">
        <v>9</v>
      </c>
      <c r="F130" s="22" t="s">
        <v>0</v>
      </c>
      <c r="G130" s="23" t="s">
        <v>15</v>
      </c>
      <c r="H130" s="22" t="s">
        <v>198</v>
      </c>
      <c r="I130" s="22" t="s">
        <v>206</v>
      </c>
      <c r="J130" s="24" t="s">
        <v>191</v>
      </c>
    </row>
    <row r="131" spans="2:10" ht="12.75" customHeight="1" x14ac:dyDescent="0.25">
      <c r="B131" s="11">
        <f t="shared" si="2"/>
        <v>127</v>
      </c>
      <c r="C131" s="19"/>
      <c r="D131" s="20"/>
      <c r="E131" s="21">
        <v>10</v>
      </c>
      <c r="F131" s="22" t="s">
        <v>0</v>
      </c>
      <c r="G131" s="23" t="s">
        <v>16</v>
      </c>
      <c r="H131" s="22" t="s">
        <v>196</v>
      </c>
      <c r="I131" s="22" t="s">
        <v>80</v>
      </c>
      <c r="J131" s="24" t="s">
        <v>191</v>
      </c>
    </row>
    <row r="132" spans="2:10" ht="12.75" customHeight="1" x14ac:dyDescent="0.25">
      <c r="B132" s="11">
        <f t="shared" si="2"/>
        <v>128</v>
      </c>
      <c r="C132" s="19"/>
      <c r="D132" s="20"/>
      <c r="E132" s="21">
        <v>11</v>
      </c>
      <c r="F132" s="22" t="s">
        <v>0</v>
      </c>
      <c r="G132" s="23" t="s">
        <v>17</v>
      </c>
      <c r="H132" s="22" t="s">
        <v>209</v>
      </c>
      <c r="I132" s="22" t="s">
        <v>206</v>
      </c>
      <c r="J132" s="24" t="s">
        <v>191</v>
      </c>
    </row>
    <row r="133" spans="2:10" ht="12.75" customHeight="1" x14ac:dyDescent="0.25">
      <c r="B133" s="11">
        <f t="shared" si="2"/>
        <v>129</v>
      </c>
      <c r="C133" s="19"/>
      <c r="D133" s="20"/>
      <c r="E133" s="21">
        <v>12</v>
      </c>
      <c r="F133" s="22" t="s">
        <v>0</v>
      </c>
      <c r="G133" s="23" t="s">
        <v>192</v>
      </c>
      <c r="H133" s="22" t="s">
        <v>195</v>
      </c>
      <c r="I133" s="22" t="s">
        <v>81</v>
      </c>
      <c r="J133" s="24" t="s">
        <v>191</v>
      </c>
    </row>
    <row r="134" spans="2:10" ht="12.75" customHeight="1" x14ac:dyDescent="0.25">
      <c r="B134" s="11">
        <f t="shared" si="2"/>
        <v>130</v>
      </c>
      <c r="C134" s="19"/>
      <c r="D134" s="20"/>
      <c r="E134" s="21">
        <v>13</v>
      </c>
      <c r="F134" s="22" t="s">
        <v>0</v>
      </c>
      <c r="G134" s="23" t="s">
        <v>18</v>
      </c>
      <c r="H134" s="22" t="s">
        <v>209</v>
      </c>
      <c r="I134" s="22" t="s">
        <v>206</v>
      </c>
      <c r="J134" s="24" t="s">
        <v>191</v>
      </c>
    </row>
    <row r="135" spans="2:10" ht="12.75" customHeight="1" x14ac:dyDescent="0.25">
      <c r="B135" s="11">
        <f t="shared" ref="B135:B198" si="3">(B134+1)</f>
        <v>131</v>
      </c>
      <c r="C135" s="19"/>
      <c r="D135" s="20"/>
      <c r="E135" s="21">
        <v>14</v>
      </c>
      <c r="F135" s="22" t="s">
        <v>0</v>
      </c>
      <c r="G135" s="23" t="s">
        <v>19</v>
      </c>
      <c r="H135" s="22" t="s">
        <v>209</v>
      </c>
      <c r="I135" s="22" t="s">
        <v>206</v>
      </c>
      <c r="J135" s="24" t="s">
        <v>191</v>
      </c>
    </row>
    <row r="136" spans="2:10" ht="12.75" customHeight="1" x14ac:dyDescent="0.25">
      <c r="B136" s="11">
        <f t="shared" si="3"/>
        <v>132</v>
      </c>
      <c r="C136" s="19"/>
      <c r="D136" s="20"/>
      <c r="E136" s="21">
        <v>15</v>
      </c>
      <c r="F136" s="22" t="s">
        <v>0</v>
      </c>
      <c r="G136" s="23" t="s">
        <v>20</v>
      </c>
      <c r="H136" s="22" t="s">
        <v>209</v>
      </c>
      <c r="I136" s="22" t="s">
        <v>206</v>
      </c>
      <c r="J136" s="24" t="s">
        <v>191</v>
      </c>
    </row>
    <row r="137" spans="2:10" ht="12.75" customHeight="1" x14ac:dyDescent="0.25">
      <c r="B137" s="11">
        <f t="shared" si="3"/>
        <v>133</v>
      </c>
      <c r="C137" s="19"/>
      <c r="D137" s="20"/>
      <c r="E137" s="21">
        <v>16</v>
      </c>
      <c r="F137" s="22" t="s">
        <v>0</v>
      </c>
      <c r="G137" s="23" t="s">
        <v>21</v>
      </c>
      <c r="H137" s="22" t="s">
        <v>195</v>
      </c>
      <c r="I137" s="22" t="s">
        <v>83</v>
      </c>
      <c r="J137" s="24" t="s">
        <v>191</v>
      </c>
    </row>
    <row r="138" spans="2:10" ht="12.75" customHeight="1" x14ac:dyDescent="0.25">
      <c r="B138" s="11">
        <f t="shared" si="3"/>
        <v>134</v>
      </c>
      <c r="C138" s="19"/>
      <c r="D138" s="20"/>
      <c r="E138" s="21">
        <v>17</v>
      </c>
      <c r="F138" s="22" t="s">
        <v>0</v>
      </c>
      <c r="G138" s="23" t="s">
        <v>22</v>
      </c>
      <c r="H138" s="22" t="s">
        <v>196</v>
      </c>
      <c r="I138" s="22" t="s">
        <v>82</v>
      </c>
      <c r="J138" s="24" t="s">
        <v>191</v>
      </c>
    </row>
    <row r="139" spans="2:10" ht="12.75" customHeight="1" x14ac:dyDescent="0.25">
      <c r="B139" s="11">
        <f t="shared" si="3"/>
        <v>135</v>
      </c>
      <c r="C139" s="19"/>
      <c r="D139" s="20"/>
      <c r="E139" s="21">
        <v>18</v>
      </c>
      <c r="F139" s="22" t="s">
        <v>0</v>
      </c>
      <c r="G139" s="23" t="s">
        <v>23</v>
      </c>
      <c r="H139" s="22" t="s">
        <v>209</v>
      </c>
      <c r="I139" s="22" t="s">
        <v>206</v>
      </c>
      <c r="J139" s="24" t="s">
        <v>191</v>
      </c>
    </row>
    <row r="140" spans="2:10" ht="12.75" customHeight="1" x14ac:dyDescent="0.25">
      <c r="B140" s="11">
        <f t="shared" si="3"/>
        <v>136</v>
      </c>
      <c r="C140" s="19"/>
      <c r="D140" s="20"/>
      <c r="E140" s="21">
        <v>19</v>
      </c>
      <c r="F140" s="22" t="s">
        <v>0</v>
      </c>
      <c r="G140" s="23" t="s">
        <v>24</v>
      </c>
      <c r="H140" s="22" t="s">
        <v>196</v>
      </c>
      <c r="I140" s="22" t="s">
        <v>83</v>
      </c>
      <c r="J140" s="24" t="s">
        <v>191</v>
      </c>
    </row>
    <row r="141" spans="2:10" ht="12.75" customHeight="1" x14ac:dyDescent="0.25">
      <c r="B141" s="11">
        <f t="shared" si="3"/>
        <v>137</v>
      </c>
      <c r="C141" s="19"/>
      <c r="D141" s="20"/>
      <c r="E141" s="21">
        <v>20</v>
      </c>
      <c r="F141" s="22" t="s">
        <v>0</v>
      </c>
      <c r="G141" s="23" t="s">
        <v>25</v>
      </c>
      <c r="H141" s="22" t="s">
        <v>196</v>
      </c>
      <c r="I141" s="22" t="s">
        <v>81</v>
      </c>
      <c r="J141" s="24" t="s">
        <v>191</v>
      </c>
    </row>
    <row r="142" spans="2:10" ht="12.75" customHeight="1" x14ac:dyDescent="0.25">
      <c r="B142" s="11">
        <f t="shared" si="3"/>
        <v>138</v>
      </c>
      <c r="C142" s="19"/>
      <c r="D142" s="20"/>
      <c r="E142" s="21">
        <v>21</v>
      </c>
      <c r="F142" s="22" t="s">
        <v>0</v>
      </c>
      <c r="G142" s="23" t="s">
        <v>199</v>
      </c>
      <c r="H142" s="22" t="s">
        <v>209</v>
      </c>
      <c r="I142" s="22" t="s">
        <v>206</v>
      </c>
      <c r="J142" s="24" t="s">
        <v>191</v>
      </c>
    </row>
    <row r="143" spans="2:10" ht="12.75" customHeight="1" x14ac:dyDescent="0.25">
      <c r="B143" s="11">
        <f t="shared" si="3"/>
        <v>139</v>
      </c>
      <c r="C143" s="19"/>
      <c r="D143" s="20"/>
      <c r="E143" s="21">
        <v>22</v>
      </c>
      <c r="F143" s="22" t="s">
        <v>0</v>
      </c>
      <c r="G143" s="23" t="s">
        <v>26</v>
      </c>
      <c r="H143" s="22" t="s">
        <v>195</v>
      </c>
      <c r="I143" s="22" t="s">
        <v>82</v>
      </c>
      <c r="J143" s="24" t="s">
        <v>191</v>
      </c>
    </row>
    <row r="144" spans="2:10" ht="12.75" customHeight="1" x14ac:dyDescent="0.25">
      <c r="B144" s="11">
        <f t="shared" si="3"/>
        <v>140</v>
      </c>
      <c r="C144" s="19"/>
      <c r="D144" s="20"/>
      <c r="E144" s="21">
        <v>23</v>
      </c>
      <c r="F144" s="22" t="s">
        <v>0</v>
      </c>
      <c r="G144" s="23" t="s">
        <v>27</v>
      </c>
      <c r="H144" s="22" t="s">
        <v>200</v>
      </c>
      <c r="I144" s="22" t="s">
        <v>83</v>
      </c>
      <c r="J144" s="24" t="s">
        <v>191</v>
      </c>
    </row>
    <row r="145" spans="2:10" ht="12.75" customHeight="1" x14ac:dyDescent="0.25">
      <c r="B145" s="11">
        <f t="shared" si="3"/>
        <v>141</v>
      </c>
      <c r="C145" s="19"/>
      <c r="D145" s="20"/>
      <c r="E145" s="21">
        <v>24</v>
      </c>
      <c r="F145" s="22" t="s">
        <v>0</v>
      </c>
      <c r="G145" s="23" t="s">
        <v>28</v>
      </c>
      <c r="H145" s="22" t="s">
        <v>197</v>
      </c>
      <c r="I145" s="22" t="s">
        <v>197</v>
      </c>
      <c r="J145" s="24" t="s">
        <v>191</v>
      </c>
    </row>
    <row r="146" spans="2:10" ht="12.75" customHeight="1" x14ac:dyDescent="0.25">
      <c r="B146" s="11">
        <f t="shared" si="3"/>
        <v>142</v>
      </c>
      <c r="C146" s="19"/>
      <c r="D146" s="20"/>
      <c r="E146" s="21">
        <v>25</v>
      </c>
      <c r="F146" s="22" t="s">
        <v>0</v>
      </c>
      <c r="G146" s="23" t="s">
        <v>29</v>
      </c>
      <c r="H146" s="22" t="s">
        <v>209</v>
      </c>
      <c r="I146" s="22" t="s">
        <v>206</v>
      </c>
      <c r="J146" s="24" t="s">
        <v>191</v>
      </c>
    </row>
    <row r="147" spans="2:10" ht="12.75" customHeight="1" x14ac:dyDescent="0.25">
      <c r="B147" s="11">
        <f t="shared" si="3"/>
        <v>143</v>
      </c>
      <c r="C147" s="19"/>
      <c r="D147" s="20"/>
      <c r="E147" s="21">
        <v>26</v>
      </c>
      <c r="F147" s="22" t="s">
        <v>0</v>
      </c>
      <c r="G147" s="23" t="s">
        <v>30</v>
      </c>
      <c r="H147" s="22" t="s">
        <v>200</v>
      </c>
      <c r="I147" s="22" t="s">
        <v>83</v>
      </c>
      <c r="J147" s="24" t="s">
        <v>191</v>
      </c>
    </row>
    <row r="148" spans="2:10" ht="12.75" customHeight="1" x14ac:dyDescent="0.25">
      <c r="B148" s="11">
        <f t="shared" si="3"/>
        <v>144</v>
      </c>
      <c r="C148" s="19"/>
      <c r="D148" s="20"/>
      <c r="E148" s="21">
        <v>27</v>
      </c>
      <c r="F148" s="22" t="s">
        <v>0</v>
      </c>
      <c r="G148" s="23" t="s">
        <v>31</v>
      </c>
      <c r="H148" s="22" t="s">
        <v>196</v>
      </c>
      <c r="I148" s="22" t="s">
        <v>80</v>
      </c>
      <c r="J148" s="24" t="s">
        <v>191</v>
      </c>
    </row>
    <row r="149" spans="2:10" ht="12.75" customHeight="1" x14ac:dyDescent="0.25">
      <c r="B149" s="11">
        <f t="shared" si="3"/>
        <v>145</v>
      </c>
      <c r="C149" s="19"/>
      <c r="D149" s="20"/>
      <c r="E149" s="21">
        <v>28</v>
      </c>
      <c r="F149" s="22" t="s">
        <v>0</v>
      </c>
      <c r="G149" s="23" t="s">
        <v>32</v>
      </c>
      <c r="H149" s="22" t="s">
        <v>195</v>
      </c>
      <c r="I149" s="22" t="s">
        <v>83</v>
      </c>
      <c r="J149" s="24" t="s">
        <v>191</v>
      </c>
    </row>
    <row r="150" spans="2:10" ht="12.75" customHeight="1" x14ac:dyDescent="0.25">
      <c r="B150" s="11">
        <f t="shared" si="3"/>
        <v>146</v>
      </c>
      <c r="C150" s="19"/>
      <c r="D150" s="20"/>
      <c r="E150" s="21">
        <v>29</v>
      </c>
      <c r="F150" s="22" t="s">
        <v>0</v>
      </c>
      <c r="G150" s="23" t="s">
        <v>33</v>
      </c>
      <c r="H150" s="22" t="s">
        <v>195</v>
      </c>
      <c r="I150" s="22" t="s">
        <v>82</v>
      </c>
      <c r="J150" s="24" t="s">
        <v>191</v>
      </c>
    </row>
    <row r="151" spans="2:10" ht="12.75" customHeight="1" x14ac:dyDescent="0.25">
      <c r="B151" s="11">
        <f t="shared" si="3"/>
        <v>147</v>
      </c>
      <c r="C151" s="19"/>
      <c r="D151" s="20"/>
      <c r="E151" s="21">
        <v>30</v>
      </c>
      <c r="F151" s="22" t="s">
        <v>0</v>
      </c>
      <c r="G151" s="23" t="s">
        <v>34</v>
      </c>
      <c r="H151" s="22" t="s">
        <v>197</v>
      </c>
      <c r="I151" s="22" t="s">
        <v>197</v>
      </c>
      <c r="J151" s="24" t="s">
        <v>191</v>
      </c>
    </row>
    <row r="152" spans="2:10" ht="12.75" customHeight="1" x14ac:dyDescent="0.25">
      <c r="B152" s="11">
        <f t="shared" si="3"/>
        <v>148</v>
      </c>
      <c r="C152" s="19"/>
      <c r="D152" s="20"/>
      <c r="E152" s="21">
        <v>31</v>
      </c>
      <c r="F152" s="22" t="s">
        <v>0</v>
      </c>
      <c r="G152" s="23" t="s">
        <v>35</v>
      </c>
      <c r="H152" s="22" t="s">
        <v>196</v>
      </c>
      <c r="I152" s="22" t="s">
        <v>80</v>
      </c>
      <c r="J152" s="24" t="s">
        <v>190</v>
      </c>
    </row>
    <row r="153" spans="2:10" ht="12.75" customHeight="1" x14ac:dyDescent="0.25">
      <c r="B153" s="11">
        <f t="shared" si="3"/>
        <v>149</v>
      </c>
      <c r="C153" s="19"/>
      <c r="D153" s="20"/>
      <c r="E153" s="21">
        <v>32</v>
      </c>
      <c r="F153" s="22" t="s">
        <v>0</v>
      </c>
      <c r="G153" s="23" t="s">
        <v>36</v>
      </c>
      <c r="H153" s="22" t="s">
        <v>195</v>
      </c>
      <c r="I153" s="22" t="s">
        <v>83</v>
      </c>
      <c r="J153" s="24" t="s">
        <v>190</v>
      </c>
    </row>
    <row r="154" spans="2:10" ht="12.75" customHeight="1" x14ac:dyDescent="0.25">
      <c r="B154" s="11">
        <f t="shared" si="3"/>
        <v>150</v>
      </c>
      <c r="C154" s="19"/>
      <c r="D154" s="20"/>
      <c r="E154" s="21">
        <v>33</v>
      </c>
      <c r="F154" s="22" t="s">
        <v>0</v>
      </c>
      <c r="G154" s="23" t="s">
        <v>37</v>
      </c>
      <c r="H154" s="22" t="s">
        <v>196</v>
      </c>
      <c r="I154" s="22" t="s">
        <v>83</v>
      </c>
      <c r="J154" s="24" t="s">
        <v>190</v>
      </c>
    </row>
    <row r="155" spans="2:10" ht="12.75" customHeight="1" x14ac:dyDescent="0.25">
      <c r="B155" s="11">
        <f t="shared" si="3"/>
        <v>151</v>
      </c>
      <c r="C155" s="19"/>
      <c r="D155" s="20"/>
      <c r="E155" s="21">
        <v>34</v>
      </c>
      <c r="F155" s="22" t="s">
        <v>0</v>
      </c>
      <c r="G155" s="23" t="s">
        <v>38</v>
      </c>
      <c r="H155" s="22" t="s">
        <v>197</v>
      </c>
      <c r="I155" s="22" t="s">
        <v>197</v>
      </c>
      <c r="J155" s="24" t="s">
        <v>190</v>
      </c>
    </row>
    <row r="156" spans="2:10" ht="12.75" customHeight="1" x14ac:dyDescent="0.25">
      <c r="B156" s="11">
        <f t="shared" si="3"/>
        <v>152</v>
      </c>
      <c r="C156" s="19"/>
      <c r="D156" s="20"/>
      <c r="E156" s="21">
        <v>35</v>
      </c>
      <c r="F156" s="22" t="s">
        <v>0</v>
      </c>
      <c r="G156" s="23" t="s">
        <v>39</v>
      </c>
      <c r="H156" s="22" t="s">
        <v>196</v>
      </c>
      <c r="I156" s="22" t="s">
        <v>82</v>
      </c>
      <c r="J156" s="24" t="s">
        <v>190</v>
      </c>
    </row>
    <row r="157" spans="2:10" ht="12.75" customHeight="1" x14ac:dyDescent="0.25">
      <c r="B157" s="11">
        <f t="shared" si="3"/>
        <v>153</v>
      </c>
      <c r="C157" s="19"/>
      <c r="D157" s="20"/>
      <c r="E157" s="21">
        <v>36</v>
      </c>
      <c r="F157" s="22" t="s">
        <v>0</v>
      </c>
      <c r="G157" s="23" t="s">
        <v>40</v>
      </c>
      <c r="H157" s="22" t="s">
        <v>197</v>
      </c>
      <c r="I157" s="22" t="s">
        <v>197</v>
      </c>
      <c r="J157" s="24" t="s">
        <v>190</v>
      </c>
    </row>
    <row r="158" spans="2:10" ht="12.75" customHeight="1" x14ac:dyDescent="0.25">
      <c r="B158" s="11">
        <f t="shared" si="3"/>
        <v>154</v>
      </c>
      <c r="C158" s="19"/>
      <c r="D158" s="20"/>
      <c r="E158" s="21">
        <v>37</v>
      </c>
      <c r="F158" s="22" t="s">
        <v>0</v>
      </c>
      <c r="G158" s="23" t="s">
        <v>41</v>
      </c>
      <c r="H158" s="22" t="s">
        <v>200</v>
      </c>
      <c r="I158" s="22" t="s">
        <v>83</v>
      </c>
      <c r="J158" s="24" t="s">
        <v>190</v>
      </c>
    </row>
    <row r="159" spans="2:10" ht="12.75" customHeight="1" x14ac:dyDescent="0.25">
      <c r="B159" s="11">
        <f t="shared" si="3"/>
        <v>155</v>
      </c>
      <c r="C159" s="19"/>
      <c r="D159" s="20"/>
      <c r="E159" s="21">
        <v>38</v>
      </c>
      <c r="F159" s="22" t="s">
        <v>0</v>
      </c>
      <c r="G159" s="23" t="s">
        <v>42</v>
      </c>
      <c r="H159" s="22" t="s">
        <v>198</v>
      </c>
      <c r="I159" s="22" t="s">
        <v>206</v>
      </c>
      <c r="J159" s="24" t="s">
        <v>190</v>
      </c>
    </row>
    <row r="160" spans="2:10" ht="12.75" customHeight="1" x14ac:dyDescent="0.25">
      <c r="B160" s="11">
        <f t="shared" si="3"/>
        <v>156</v>
      </c>
      <c r="C160" s="19"/>
      <c r="D160" s="20"/>
      <c r="E160" s="21">
        <v>39</v>
      </c>
      <c r="F160" s="22" t="s">
        <v>0</v>
      </c>
      <c r="G160" s="23" t="s">
        <v>43</v>
      </c>
      <c r="H160" s="22" t="s">
        <v>198</v>
      </c>
      <c r="I160" s="22" t="s">
        <v>206</v>
      </c>
      <c r="J160" s="24" t="s">
        <v>190</v>
      </c>
    </row>
    <row r="161" spans="2:10" ht="12.75" customHeight="1" x14ac:dyDescent="0.25">
      <c r="B161" s="11">
        <f t="shared" si="3"/>
        <v>157</v>
      </c>
      <c r="C161" s="19"/>
      <c r="D161" s="20"/>
      <c r="E161" s="21">
        <v>40</v>
      </c>
      <c r="F161" s="22" t="s">
        <v>0</v>
      </c>
      <c r="G161" s="23" t="s">
        <v>44</v>
      </c>
      <c r="H161" s="22" t="s">
        <v>196</v>
      </c>
      <c r="I161" s="22" t="s">
        <v>81</v>
      </c>
      <c r="J161" s="24" t="s">
        <v>190</v>
      </c>
    </row>
    <row r="162" spans="2:10" ht="12.75" customHeight="1" x14ac:dyDescent="0.25">
      <c r="B162" s="11">
        <f t="shared" si="3"/>
        <v>158</v>
      </c>
      <c r="C162" s="19"/>
      <c r="D162" s="20"/>
      <c r="E162" s="21">
        <v>41</v>
      </c>
      <c r="F162" s="22" t="s">
        <v>0</v>
      </c>
      <c r="G162" s="23" t="s">
        <v>45</v>
      </c>
      <c r="H162" s="22" t="s">
        <v>196</v>
      </c>
      <c r="I162" s="22" t="s">
        <v>80</v>
      </c>
      <c r="J162" s="24" t="s">
        <v>190</v>
      </c>
    </row>
    <row r="163" spans="2:10" ht="12.75" customHeight="1" x14ac:dyDescent="0.25">
      <c r="B163" s="11">
        <f t="shared" si="3"/>
        <v>159</v>
      </c>
      <c r="C163" s="19"/>
      <c r="D163" s="20"/>
      <c r="E163" s="21">
        <v>42</v>
      </c>
      <c r="F163" s="22" t="s">
        <v>0</v>
      </c>
      <c r="G163" s="23" t="s">
        <v>46</v>
      </c>
      <c r="H163" s="22" t="s">
        <v>196</v>
      </c>
      <c r="I163" s="22" t="s">
        <v>83</v>
      </c>
      <c r="J163" s="24" t="s">
        <v>190</v>
      </c>
    </row>
    <row r="164" spans="2:10" ht="12.75" customHeight="1" x14ac:dyDescent="0.25">
      <c r="B164" s="11">
        <f t="shared" si="3"/>
        <v>160</v>
      </c>
      <c r="C164" s="19"/>
      <c r="D164" s="20"/>
      <c r="E164" s="21">
        <v>43</v>
      </c>
      <c r="F164" s="22" t="s">
        <v>0</v>
      </c>
      <c r="G164" s="23" t="s">
        <v>47</v>
      </c>
      <c r="H164" s="22" t="s">
        <v>198</v>
      </c>
      <c r="I164" s="22" t="s">
        <v>206</v>
      </c>
      <c r="J164" s="24" t="s">
        <v>190</v>
      </c>
    </row>
    <row r="165" spans="2:10" ht="12.75" customHeight="1" x14ac:dyDescent="0.25">
      <c r="B165" s="11">
        <f t="shared" si="3"/>
        <v>161</v>
      </c>
      <c r="C165" s="19"/>
      <c r="D165" s="20"/>
      <c r="E165" s="21">
        <v>44</v>
      </c>
      <c r="F165" s="22" t="s">
        <v>0</v>
      </c>
      <c r="G165" s="23" t="s">
        <v>48</v>
      </c>
      <c r="H165" s="22" t="s">
        <v>196</v>
      </c>
      <c r="I165" s="22" t="s">
        <v>82</v>
      </c>
      <c r="J165" s="24" t="s">
        <v>190</v>
      </c>
    </row>
    <row r="166" spans="2:10" ht="12.75" customHeight="1" x14ac:dyDescent="0.25">
      <c r="B166" s="11">
        <f t="shared" si="3"/>
        <v>162</v>
      </c>
      <c r="C166" s="19"/>
      <c r="D166" s="20"/>
      <c r="E166" s="21">
        <v>45</v>
      </c>
      <c r="F166" s="22" t="s">
        <v>0</v>
      </c>
      <c r="G166" s="23" t="s">
        <v>49</v>
      </c>
      <c r="H166" s="22" t="s">
        <v>196</v>
      </c>
      <c r="I166" s="22" t="s">
        <v>83</v>
      </c>
      <c r="J166" s="24" t="s">
        <v>190</v>
      </c>
    </row>
    <row r="167" spans="2:10" ht="12.75" customHeight="1" x14ac:dyDescent="0.25">
      <c r="B167" s="11">
        <f t="shared" si="3"/>
        <v>163</v>
      </c>
      <c r="C167" s="19"/>
      <c r="D167" s="20"/>
      <c r="E167" s="21">
        <v>46</v>
      </c>
      <c r="F167" s="22" t="s">
        <v>0</v>
      </c>
      <c r="G167" s="23" t="s">
        <v>51</v>
      </c>
      <c r="H167" s="22" t="s">
        <v>198</v>
      </c>
      <c r="I167" s="22" t="s">
        <v>206</v>
      </c>
      <c r="J167" s="24" t="s">
        <v>190</v>
      </c>
    </row>
    <row r="168" spans="2:10" ht="12.75" customHeight="1" x14ac:dyDescent="0.25">
      <c r="B168" s="11">
        <f t="shared" si="3"/>
        <v>164</v>
      </c>
      <c r="C168" s="19"/>
      <c r="D168" s="20"/>
      <c r="E168" s="21">
        <v>47</v>
      </c>
      <c r="F168" s="22" t="s">
        <v>0</v>
      </c>
      <c r="G168" s="23" t="s">
        <v>50</v>
      </c>
      <c r="H168" s="22" t="s">
        <v>198</v>
      </c>
      <c r="I168" s="22" t="s">
        <v>206</v>
      </c>
      <c r="J168" s="24" t="s">
        <v>190</v>
      </c>
    </row>
    <row r="169" spans="2:10" ht="12.75" customHeight="1" x14ac:dyDescent="0.25">
      <c r="B169" s="11">
        <f t="shared" si="3"/>
        <v>165</v>
      </c>
      <c r="C169" s="19"/>
      <c r="D169" s="20"/>
      <c r="E169" s="21">
        <v>48</v>
      </c>
      <c r="F169" s="22" t="s">
        <v>0</v>
      </c>
      <c r="G169" s="23" t="s">
        <v>52</v>
      </c>
      <c r="H169" s="22" t="s">
        <v>198</v>
      </c>
      <c r="I169" s="22" t="s">
        <v>206</v>
      </c>
      <c r="J169" s="24" t="s">
        <v>190</v>
      </c>
    </row>
    <row r="170" spans="2:10" ht="12.75" customHeight="1" x14ac:dyDescent="0.25">
      <c r="B170" s="11">
        <f t="shared" si="3"/>
        <v>166</v>
      </c>
      <c r="C170" s="19"/>
      <c r="D170" s="20"/>
      <c r="E170" s="21">
        <v>49</v>
      </c>
      <c r="F170" s="22" t="s">
        <v>0</v>
      </c>
      <c r="G170" s="23" t="s">
        <v>53</v>
      </c>
      <c r="H170" s="22" t="s">
        <v>196</v>
      </c>
      <c r="I170" s="22" t="s">
        <v>83</v>
      </c>
      <c r="J170" s="24" t="s">
        <v>190</v>
      </c>
    </row>
    <row r="171" spans="2:10" ht="12.75" customHeight="1" x14ac:dyDescent="0.25">
      <c r="B171" s="11">
        <f t="shared" si="3"/>
        <v>167</v>
      </c>
      <c r="C171" s="19"/>
      <c r="D171" s="20"/>
      <c r="E171" s="21">
        <v>50</v>
      </c>
      <c r="F171" s="22" t="s">
        <v>0</v>
      </c>
      <c r="G171" s="23" t="s">
        <v>54</v>
      </c>
      <c r="H171" s="22" t="s">
        <v>196</v>
      </c>
      <c r="I171" s="22" t="s">
        <v>81</v>
      </c>
      <c r="J171" s="24" t="s">
        <v>190</v>
      </c>
    </row>
    <row r="172" spans="2:10" ht="12.75" customHeight="1" x14ac:dyDescent="0.25">
      <c r="B172" s="11">
        <f t="shared" si="3"/>
        <v>168</v>
      </c>
      <c r="C172" s="19"/>
      <c r="D172" s="20"/>
      <c r="E172" s="21">
        <v>51</v>
      </c>
      <c r="F172" s="22" t="s">
        <v>0</v>
      </c>
      <c r="G172" s="23" t="s">
        <v>55</v>
      </c>
      <c r="H172" s="22" t="s">
        <v>196</v>
      </c>
      <c r="I172" s="22" t="s">
        <v>81</v>
      </c>
      <c r="J172" s="24" t="s">
        <v>189</v>
      </c>
    </row>
    <row r="173" spans="2:10" ht="12.75" customHeight="1" x14ac:dyDescent="0.25">
      <c r="B173" s="11">
        <f t="shared" si="3"/>
        <v>169</v>
      </c>
      <c r="C173" s="19"/>
      <c r="D173" s="20"/>
      <c r="E173" s="21">
        <v>52</v>
      </c>
      <c r="F173" s="22" t="s">
        <v>0</v>
      </c>
      <c r="G173" s="23" t="s">
        <v>56</v>
      </c>
      <c r="H173" s="22" t="s">
        <v>196</v>
      </c>
      <c r="I173" s="22" t="s">
        <v>80</v>
      </c>
      <c r="J173" s="24" t="s">
        <v>189</v>
      </c>
    </row>
    <row r="174" spans="2:10" ht="12.75" customHeight="1" x14ac:dyDescent="0.25">
      <c r="B174" s="11">
        <f t="shared" si="3"/>
        <v>170</v>
      </c>
      <c r="C174" s="19"/>
      <c r="D174" s="20"/>
      <c r="E174" s="21">
        <v>53</v>
      </c>
      <c r="F174" s="22" t="s">
        <v>0</v>
      </c>
      <c r="G174" s="23" t="s">
        <v>57</v>
      </c>
      <c r="H174" s="22" t="s">
        <v>196</v>
      </c>
      <c r="I174" s="22" t="s">
        <v>81</v>
      </c>
      <c r="J174" s="24" t="s">
        <v>189</v>
      </c>
    </row>
    <row r="175" spans="2:10" ht="12.75" customHeight="1" x14ac:dyDescent="0.25">
      <c r="B175" s="11">
        <f t="shared" si="3"/>
        <v>171</v>
      </c>
      <c r="C175" s="19"/>
      <c r="D175" s="20"/>
      <c r="E175" s="21">
        <v>54</v>
      </c>
      <c r="F175" s="22" t="s">
        <v>0</v>
      </c>
      <c r="G175" s="23" t="s">
        <v>58</v>
      </c>
      <c r="H175" s="22" t="s">
        <v>195</v>
      </c>
      <c r="I175" s="22" t="s">
        <v>83</v>
      </c>
      <c r="J175" s="24" t="s">
        <v>189</v>
      </c>
    </row>
    <row r="176" spans="2:10" ht="12.75" customHeight="1" x14ac:dyDescent="0.25">
      <c r="B176" s="11">
        <f t="shared" si="3"/>
        <v>172</v>
      </c>
      <c r="C176" s="19"/>
      <c r="D176" s="20"/>
      <c r="E176" s="21">
        <v>55</v>
      </c>
      <c r="F176" s="22" t="s">
        <v>0</v>
      </c>
      <c r="G176" s="23" t="s">
        <v>59</v>
      </c>
      <c r="H176" s="22" t="s">
        <v>196</v>
      </c>
      <c r="I176" s="22" t="s">
        <v>83</v>
      </c>
      <c r="J176" s="24" t="s">
        <v>189</v>
      </c>
    </row>
    <row r="177" spans="2:10" ht="12.75" customHeight="1" x14ac:dyDescent="0.25">
      <c r="B177" s="11">
        <f t="shared" si="3"/>
        <v>173</v>
      </c>
      <c r="C177" s="19"/>
      <c r="D177" s="20"/>
      <c r="E177" s="21">
        <v>56</v>
      </c>
      <c r="F177" s="22" t="s">
        <v>0</v>
      </c>
      <c r="G177" s="23" t="s">
        <v>60</v>
      </c>
      <c r="H177" s="22" t="s">
        <v>197</v>
      </c>
      <c r="I177" s="22" t="s">
        <v>197</v>
      </c>
      <c r="J177" s="24" t="s">
        <v>189</v>
      </c>
    </row>
    <row r="178" spans="2:10" ht="12.75" customHeight="1" x14ac:dyDescent="0.25">
      <c r="B178" s="11">
        <f t="shared" si="3"/>
        <v>174</v>
      </c>
      <c r="C178" s="19"/>
      <c r="D178" s="20"/>
      <c r="E178" s="21">
        <v>57</v>
      </c>
      <c r="F178" s="22" t="s">
        <v>0</v>
      </c>
      <c r="G178" s="23" t="s">
        <v>61</v>
      </c>
      <c r="H178" s="22" t="s">
        <v>197</v>
      </c>
      <c r="I178" s="22" t="s">
        <v>197</v>
      </c>
      <c r="J178" s="24" t="s">
        <v>189</v>
      </c>
    </row>
    <row r="179" spans="2:10" ht="12.75" customHeight="1" x14ac:dyDescent="0.25">
      <c r="B179" s="11">
        <f t="shared" si="3"/>
        <v>175</v>
      </c>
      <c r="C179" s="19"/>
      <c r="D179" s="20"/>
      <c r="E179" s="21">
        <v>58</v>
      </c>
      <c r="F179" s="22" t="s">
        <v>0</v>
      </c>
      <c r="G179" s="23" t="s">
        <v>62</v>
      </c>
      <c r="H179" s="22" t="s">
        <v>196</v>
      </c>
      <c r="I179" s="22" t="s">
        <v>82</v>
      </c>
      <c r="J179" s="24" t="s">
        <v>189</v>
      </c>
    </row>
    <row r="180" spans="2:10" ht="12.75" customHeight="1" x14ac:dyDescent="0.25">
      <c r="B180" s="11">
        <f t="shared" si="3"/>
        <v>176</v>
      </c>
      <c r="C180" s="19"/>
      <c r="D180" s="20"/>
      <c r="E180" s="21">
        <v>59</v>
      </c>
      <c r="F180" s="22" t="s">
        <v>0</v>
      </c>
      <c r="G180" s="23" t="s">
        <v>63</v>
      </c>
      <c r="H180" s="22" t="s">
        <v>196</v>
      </c>
      <c r="I180" s="22" t="s">
        <v>81</v>
      </c>
      <c r="J180" s="24" t="s">
        <v>189</v>
      </c>
    </row>
    <row r="181" spans="2:10" ht="12.75" customHeight="1" x14ac:dyDescent="0.25">
      <c r="B181" s="11">
        <f t="shared" si="3"/>
        <v>177</v>
      </c>
      <c r="C181" s="19"/>
      <c r="D181" s="20"/>
      <c r="E181" s="21">
        <v>60</v>
      </c>
      <c r="F181" s="22" t="s">
        <v>0</v>
      </c>
      <c r="G181" s="23" t="s">
        <v>64</v>
      </c>
      <c r="H181" s="22" t="s">
        <v>196</v>
      </c>
      <c r="I181" s="22" t="s">
        <v>83</v>
      </c>
      <c r="J181" s="24" t="s">
        <v>189</v>
      </c>
    </row>
    <row r="182" spans="2:10" ht="12.75" customHeight="1" x14ac:dyDescent="0.25">
      <c r="B182" s="11">
        <f t="shared" si="3"/>
        <v>178</v>
      </c>
      <c r="C182" s="19"/>
      <c r="D182" s="20"/>
      <c r="E182" s="21">
        <v>61</v>
      </c>
      <c r="F182" s="22" t="s">
        <v>0</v>
      </c>
      <c r="G182" s="23" t="s">
        <v>65</v>
      </c>
      <c r="H182" s="22" t="s">
        <v>196</v>
      </c>
      <c r="I182" s="22" t="s">
        <v>80</v>
      </c>
      <c r="J182" s="24" t="s">
        <v>189</v>
      </c>
    </row>
    <row r="183" spans="2:10" ht="12.75" customHeight="1" x14ac:dyDescent="0.25">
      <c r="B183" s="11">
        <f t="shared" si="3"/>
        <v>179</v>
      </c>
      <c r="C183" s="19"/>
      <c r="D183" s="20"/>
      <c r="E183" s="21">
        <v>62</v>
      </c>
      <c r="F183" s="22" t="s">
        <v>0</v>
      </c>
      <c r="G183" s="23" t="s">
        <v>66</v>
      </c>
      <c r="H183" s="22" t="s">
        <v>196</v>
      </c>
      <c r="I183" s="22" t="s">
        <v>82</v>
      </c>
      <c r="J183" s="24" t="s">
        <v>189</v>
      </c>
    </row>
    <row r="184" spans="2:10" ht="12.75" customHeight="1" x14ac:dyDescent="0.25">
      <c r="B184" s="11">
        <f t="shared" si="3"/>
        <v>180</v>
      </c>
      <c r="C184" s="19"/>
      <c r="D184" s="20"/>
      <c r="E184" s="21">
        <v>63</v>
      </c>
      <c r="F184" s="22" t="s">
        <v>0</v>
      </c>
      <c r="G184" s="23" t="s">
        <v>67</v>
      </c>
      <c r="H184" s="22" t="s">
        <v>196</v>
      </c>
      <c r="I184" s="22" t="s">
        <v>81</v>
      </c>
      <c r="J184" s="24" t="s">
        <v>189</v>
      </c>
    </row>
    <row r="185" spans="2:10" ht="12.75" customHeight="1" x14ac:dyDescent="0.25">
      <c r="B185" s="11">
        <f t="shared" si="3"/>
        <v>181</v>
      </c>
      <c r="C185" s="19"/>
      <c r="D185" s="20"/>
      <c r="E185" s="21">
        <v>64</v>
      </c>
      <c r="F185" s="22" t="s">
        <v>0</v>
      </c>
      <c r="G185" s="23" t="s">
        <v>68</v>
      </c>
      <c r="H185" s="22" t="s">
        <v>196</v>
      </c>
      <c r="I185" s="22" t="s">
        <v>83</v>
      </c>
      <c r="J185" s="24" t="s">
        <v>189</v>
      </c>
    </row>
    <row r="186" spans="2:10" ht="12.75" customHeight="1" x14ac:dyDescent="0.25">
      <c r="B186" s="11">
        <f t="shared" si="3"/>
        <v>182</v>
      </c>
      <c r="C186" s="19"/>
      <c r="D186" s="20"/>
      <c r="E186" s="21">
        <v>65</v>
      </c>
      <c r="F186" s="22" t="s">
        <v>0</v>
      </c>
      <c r="G186" s="23" t="s">
        <v>69</v>
      </c>
      <c r="H186" s="22" t="s">
        <v>200</v>
      </c>
      <c r="I186" s="22" t="s">
        <v>83</v>
      </c>
      <c r="J186" s="24" t="s">
        <v>189</v>
      </c>
    </row>
    <row r="187" spans="2:10" ht="12.75" customHeight="1" x14ac:dyDescent="0.25">
      <c r="B187" s="11">
        <f t="shared" si="3"/>
        <v>183</v>
      </c>
      <c r="C187" s="19"/>
      <c r="D187" s="20"/>
      <c r="E187" s="21">
        <v>66</v>
      </c>
      <c r="F187" s="22" t="s">
        <v>0</v>
      </c>
      <c r="G187" s="23" t="s">
        <v>70</v>
      </c>
      <c r="H187" s="22" t="s">
        <v>196</v>
      </c>
      <c r="I187" s="22" t="s">
        <v>83</v>
      </c>
      <c r="J187" s="24" t="s">
        <v>189</v>
      </c>
    </row>
    <row r="188" spans="2:10" ht="12.75" customHeight="1" x14ac:dyDescent="0.25">
      <c r="B188" s="11">
        <f t="shared" si="3"/>
        <v>184</v>
      </c>
      <c r="C188" s="19"/>
      <c r="D188" s="20"/>
      <c r="E188" s="21">
        <v>67</v>
      </c>
      <c r="F188" s="22" t="s">
        <v>0</v>
      </c>
      <c r="G188" s="23" t="s">
        <v>71</v>
      </c>
      <c r="H188" s="22" t="s">
        <v>196</v>
      </c>
      <c r="I188" s="22" t="s">
        <v>82</v>
      </c>
      <c r="J188" s="24" t="s">
        <v>189</v>
      </c>
    </row>
    <row r="189" spans="2:10" ht="12.75" customHeight="1" x14ac:dyDescent="0.25">
      <c r="B189" s="11">
        <f t="shared" si="3"/>
        <v>185</v>
      </c>
      <c r="C189" s="19"/>
      <c r="D189" s="20"/>
      <c r="E189" s="21">
        <v>68</v>
      </c>
      <c r="F189" s="22" t="s">
        <v>0</v>
      </c>
      <c r="G189" s="23" t="s">
        <v>72</v>
      </c>
      <c r="H189" s="22" t="s">
        <v>196</v>
      </c>
      <c r="I189" s="22" t="s">
        <v>80</v>
      </c>
      <c r="J189" s="24" t="s">
        <v>189</v>
      </c>
    </row>
    <row r="190" spans="2:10" ht="12.75" customHeight="1" x14ac:dyDescent="0.25">
      <c r="B190" s="11">
        <f t="shared" si="3"/>
        <v>186</v>
      </c>
      <c r="C190" s="19"/>
      <c r="D190" s="20"/>
      <c r="E190" s="21">
        <v>69</v>
      </c>
      <c r="F190" s="22" t="s">
        <v>0</v>
      </c>
      <c r="G190" s="23" t="s">
        <v>73</v>
      </c>
      <c r="H190" s="22" t="s">
        <v>196</v>
      </c>
      <c r="I190" s="22" t="s">
        <v>83</v>
      </c>
      <c r="J190" s="24" t="s">
        <v>189</v>
      </c>
    </row>
    <row r="191" spans="2:10" ht="12.75" customHeight="1" x14ac:dyDescent="0.25">
      <c r="B191" s="11">
        <f t="shared" si="3"/>
        <v>187</v>
      </c>
      <c r="C191" s="19"/>
      <c r="D191" s="20"/>
      <c r="E191" s="21">
        <v>70</v>
      </c>
      <c r="F191" s="22" t="s">
        <v>0</v>
      </c>
      <c r="G191" s="23" t="s">
        <v>74</v>
      </c>
      <c r="H191" s="22" t="s">
        <v>196</v>
      </c>
      <c r="I191" s="22" t="s">
        <v>83</v>
      </c>
      <c r="J191" s="24" t="s">
        <v>189</v>
      </c>
    </row>
    <row r="192" spans="2:10" ht="12.75" customHeight="1" x14ac:dyDescent="0.25">
      <c r="B192" s="11">
        <f t="shared" si="3"/>
        <v>188</v>
      </c>
      <c r="C192" s="19"/>
      <c r="D192" s="20"/>
      <c r="E192" s="21">
        <v>71</v>
      </c>
      <c r="F192" s="22" t="s">
        <v>0</v>
      </c>
      <c r="G192" s="23" t="s">
        <v>75</v>
      </c>
      <c r="H192" s="22" t="s">
        <v>196</v>
      </c>
      <c r="I192" s="22" t="s">
        <v>80</v>
      </c>
      <c r="J192" s="24" t="s">
        <v>189</v>
      </c>
    </row>
    <row r="193" spans="2:10" ht="12.75" customHeight="1" x14ac:dyDescent="0.25">
      <c r="B193" s="11">
        <f t="shared" si="3"/>
        <v>189</v>
      </c>
      <c r="C193" s="19"/>
      <c r="D193" s="20"/>
      <c r="E193" s="21">
        <v>72</v>
      </c>
      <c r="F193" s="22" t="s">
        <v>0</v>
      </c>
      <c r="G193" s="23" t="s">
        <v>76</v>
      </c>
      <c r="H193" s="22" t="s">
        <v>197</v>
      </c>
      <c r="I193" s="22" t="s">
        <v>197</v>
      </c>
      <c r="J193" s="24" t="s">
        <v>189</v>
      </c>
    </row>
    <row r="194" spans="2:10" ht="12.75" customHeight="1" x14ac:dyDescent="0.25">
      <c r="B194" s="11">
        <f t="shared" si="3"/>
        <v>190</v>
      </c>
      <c r="C194" s="19"/>
      <c r="D194" s="20"/>
      <c r="E194" s="21">
        <v>73</v>
      </c>
      <c r="F194" s="22" t="s">
        <v>0</v>
      </c>
      <c r="G194" s="23" t="s">
        <v>77</v>
      </c>
      <c r="H194" s="22" t="s">
        <v>196</v>
      </c>
      <c r="I194" s="22" t="s">
        <v>197</v>
      </c>
      <c r="J194" s="24" t="s">
        <v>189</v>
      </c>
    </row>
    <row r="195" spans="2:10" ht="12.75" customHeight="1" x14ac:dyDescent="0.25">
      <c r="B195" s="11">
        <f t="shared" si="3"/>
        <v>191</v>
      </c>
      <c r="C195" s="19"/>
      <c r="D195" s="20"/>
      <c r="E195" s="21">
        <v>74</v>
      </c>
      <c r="F195" s="22" t="s">
        <v>0</v>
      </c>
      <c r="G195" s="23" t="s">
        <v>78</v>
      </c>
      <c r="H195" s="22" t="s">
        <v>196</v>
      </c>
      <c r="I195" s="22" t="s">
        <v>83</v>
      </c>
      <c r="J195" s="24" t="s">
        <v>189</v>
      </c>
    </row>
    <row r="196" spans="2:10" ht="12.75" customHeight="1" x14ac:dyDescent="0.25">
      <c r="B196" s="11">
        <f t="shared" si="3"/>
        <v>192</v>
      </c>
      <c r="C196" s="19"/>
      <c r="D196" s="20"/>
      <c r="E196" s="21">
        <v>75</v>
      </c>
      <c r="F196" s="22" t="s">
        <v>0</v>
      </c>
      <c r="G196" s="23" t="s">
        <v>147</v>
      </c>
      <c r="H196" s="22" t="s">
        <v>196</v>
      </c>
      <c r="I196" s="22" t="s">
        <v>82</v>
      </c>
      <c r="J196" s="24" t="s">
        <v>189</v>
      </c>
    </row>
    <row r="197" spans="2:10" ht="12.75" customHeight="1" x14ac:dyDescent="0.25">
      <c r="B197" s="11">
        <f t="shared" si="3"/>
        <v>193</v>
      </c>
      <c r="C197" s="19"/>
      <c r="D197" s="20"/>
      <c r="E197" s="21">
        <v>76</v>
      </c>
      <c r="F197" s="22" t="s">
        <v>0</v>
      </c>
      <c r="G197" s="23" t="s">
        <v>79</v>
      </c>
      <c r="H197" s="22" t="s">
        <v>201</v>
      </c>
      <c r="I197" s="22" t="s">
        <v>206</v>
      </c>
      <c r="J197" s="24" t="s">
        <v>189</v>
      </c>
    </row>
    <row r="198" spans="2:10" ht="12.75" customHeight="1" x14ac:dyDescent="0.25">
      <c r="B198" s="11">
        <f t="shared" si="3"/>
        <v>194</v>
      </c>
      <c r="C198" s="19"/>
      <c r="D198" s="20"/>
      <c r="E198" s="21">
        <v>77</v>
      </c>
      <c r="F198" s="22" t="s">
        <v>0</v>
      </c>
      <c r="G198" s="23" t="s">
        <v>80</v>
      </c>
      <c r="H198" s="22" t="s">
        <v>201</v>
      </c>
      <c r="I198" s="22" t="s">
        <v>206</v>
      </c>
      <c r="J198" s="24" t="s">
        <v>189</v>
      </c>
    </row>
    <row r="199" spans="2:10" ht="12.75" customHeight="1" x14ac:dyDescent="0.25">
      <c r="B199" s="11">
        <f>(B198+1)</f>
        <v>195</v>
      </c>
      <c r="C199" s="19"/>
      <c r="D199" s="20"/>
      <c r="E199" s="21">
        <v>78</v>
      </c>
      <c r="F199" s="22" t="s">
        <v>0</v>
      </c>
      <c r="G199" s="23" t="s">
        <v>81</v>
      </c>
      <c r="H199" s="22" t="s">
        <v>201</v>
      </c>
      <c r="I199" s="22" t="s">
        <v>206</v>
      </c>
      <c r="J199" s="24" t="s">
        <v>189</v>
      </c>
    </row>
    <row r="200" spans="2:10" ht="12.75" customHeight="1" x14ac:dyDescent="0.25">
      <c r="B200" s="11">
        <f>(B199+1)</f>
        <v>196</v>
      </c>
      <c r="C200" s="19"/>
      <c r="D200" s="20"/>
      <c r="E200" s="21">
        <v>79</v>
      </c>
      <c r="F200" s="22" t="s">
        <v>0</v>
      </c>
      <c r="G200" s="23" t="s">
        <v>83</v>
      </c>
      <c r="H200" s="22" t="s">
        <v>201</v>
      </c>
      <c r="I200" s="22" t="s">
        <v>206</v>
      </c>
      <c r="J200" s="24" t="s">
        <v>189</v>
      </c>
    </row>
    <row r="201" spans="2:10" ht="12.75" customHeight="1" thickBot="1" x14ac:dyDescent="0.3">
      <c r="B201" s="12">
        <f>(B200+1)</f>
        <v>197</v>
      </c>
      <c r="C201" s="25"/>
      <c r="D201" s="26"/>
      <c r="E201" s="27">
        <v>80</v>
      </c>
      <c r="F201" s="28" t="s">
        <v>0</v>
      </c>
      <c r="G201" s="29" t="s">
        <v>82</v>
      </c>
      <c r="H201" s="28" t="s">
        <v>201</v>
      </c>
      <c r="I201" s="28" t="s">
        <v>206</v>
      </c>
      <c r="J201" s="30" t="s">
        <v>189</v>
      </c>
    </row>
    <row r="202" spans="2:10" ht="12.75" customHeight="1" thickTop="1" thickBot="1" x14ac:dyDescent="0.3">
      <c r="C202" s="39">
        <f>COUNTIF(C5:C201,"Yes")</f>
        <v>0</v>
      </c>
      <c r="D202" s="40">
        <f>SUM(D5:D201)</f>
        <v>0</v>
      </c>
    </row>
    <row r="203" spans="2:10" ht="12.75" customHeight="1" thickTop="1" thickBot="1" x14ac:dyDescent="0.3"/>
    <row r="204" spans="2:10" ht="12.75" customHeight="1" thickTop="1" thickBot="1" x14ac:dyDescent="0.3">
      <c r="B204" s="50" t="s">
        <v>231</v>
      </c>
      <c r="C204" s="51"/>
      <c r="D204" s="51"/>
      <c r="E204" s="51"/>
      <c r="F204" s="52"/>
    </row>
    <row r="205" spans="2:10" ht="12.75" customHeight="1" thickTop="1" x14ac:dyDescent="0.25">
      <c r="B205" s="41">
        <f>SUM(D5:D201)</f>
        <v>0</v>
      </c>
      <c r="C205" s="55" t="s">
        <v>229</v>
      </c>
      <c r="D205" s="56"/>
      <c r="E205" s="56"/>
      <c r="F205" s="57"/>
    </row>
    <row r="206" spans="2:10" ht="12.75" customHeight="1" x14ac:dyDescent="0.25">
      <c r="B206" s="45">
        <f>SUM(D5:D120)</f>
        <v>0</v>
      </c>
      <c r="C206" s="61" t="s">
        <v>227</v>
      </c>
      <c r="D206" s="62"/>
      <c r="E206" s="62"/>
      <c r="F206" s="63"/>
    </row>
    <row r="207" spans="2:10" ht="12.75" customHeight="1" thickBot="1" x14ac:dyDescent="0.3">
      <c r="B207" s="46">
        <f>SUM(D121:D201)</f>
        <v>0</v>
      </c>
      <c r="C207" s="64" t="s">
        <v>228</v>
      </c>
      <c r="D207" s="65"/>
      <c r="E207" s="65"/>
      <c r="F207" s="66"/>
    </row>
    <row r="208" spans="2:10" ht="12.75" customHeight="1" thickTop="1" thickBot="1" x14ac:dyDescent="0.3">
      <c r="B208" s="50" t="s">
        <v>232</v>
      </c>
      <c r="C208" s="53"/>
      <c r="D208" s="53"/>
      <c r="E208" s="53"/>
      <c r="F208" s="54"/>
    </row>
    <row r="209" spans="2:6" ht="12.75" customHeight="1" thickTop="1" x14ac:dyDescent="0.25">
      <c r="B209" s="45">
        <f>COUNTIF(C5:C201,"Yes")</f>
        <v>0</v>
      </c>
      <c r="C209" s="58" t="s">
        <v>229</v>
      </c>
      <c r="D209" s="59"/>
      <c r="E209" s="59"/>
      <c r="F209" s="60"/>
    </row>
    <row r="210" spans="2:6" ht="12.75" customHeight="1" x14ac:dyDescent="0.25">
      <c r="B210" s="42">
        <f>(B201-B209)</f>
        <v>197</v>
      </c>
      <c r="C210" s="47" t="s">
        <v>230</v>
      </c>
      <c r="D210" s="48"/>
      <c r="E210" s="48"/>
      <c r="F210" s="49"/>
    </row>
    <row r="211" spans="2:6" ht="12.75" customHeight="1" x14ac:dyDescent="0.25">
      <c r="B211" s="43">
        <f>COUNTIF(C5:C120,"")</f>
        <v>116</v>
      </c>
      <c r="C211" s="62" t="s">
        <v>224</v>
      </c>
      <c r="D211" s="62"/>
      <c r="E211" s="62"/>
      <c r="F211" s="63"/>
    </row>
    <row r="212" spans="2:6" ht="12.75" customHeight="1" thickBot="1" x14ac:dyDescent="0.3">
      <c r="B212" s="44">
        <f>COUNTIF(C121:C201,"")</f>
        <v>81</v>
      </c>
      <c r="C212" s="79" t="s">
        <v>225</v>
      </c>
      <c r="D212" s="79"/>
      <c r="E212" s="79"/>
      <c r="F212" s="80"/>
    </row>
    <row r="213" spans="2:6" ht="12.75" customHeight="1" thickTop="1" thickBot="1" x14ac:dyDescent="0.3"/>
    <row r="214" spans="2:6" ht="12.75" customHeight="1" thickTop="1" thickBot="1" x14ac:dyDescent="0.3">
      <c r="B214" s="50" t="s">
        <v>221</v>
      </c>
      <c r="C214" s="53"/>
      <c r="D214" s="53"/>
      <c r="E214" s="53"/>
      <c r="F214" s="54"/>
    </row>
    <row r="215" spans="2:6" ht="12.75" customHeight="1" thickTop="1" x14ac:dyDescent="0.25">
      <c r="B215" s="86" t="s">
        <v>212</v>
      </c>
      <c r="C215" s="87"/>
      <c r="D215" s="70" t="s">
        <v>220</v>
      </c>
      <c r="E215" s="71"/>
      <c r="F215" s="72"/>
    </row>
    <row r="216" spans="2:6" ht="12.75" customHeight="1" x14ac:dyDescent="0.25">
      <c r="B216" s="77"/>
      <c r="C216" s="78"/>
      <c r="D216" s="67"/>
      <c r="E216" s="68"/>
      <c r="F216" s="69"/>
    </row>
    <row r="217" spans="2:6" ht="12.75" customHeight="1" x14ac:dyDescent="0.25">
      <c r="B217" s="77" t="s">
        <v>210</v>
      </c>
      <c r="C217" s="78"/>
      <c r="D217" s="67" t="s">
        <v>213</v>
      </c>
      <c r="E217" s="68"/>
      <c r="F217" s="69"/>
    </row>
    <row r="218" spans="2:6" ht="12.75" customHeight="1" x14ac:dyDescent="0.25">
      <c r="B218" s="77"/>
      <c r="C218" s="78"/>
      <c r="D218" s="67"/>
      <c r="E218" s="68"/>
      <c r="F218" s="69"/>
    </row>
    <row r="219" spans="2:6" ht="12.75" customHeight="1" x14ac:dyDescent="0.25">
      <c r="B219" s="77" t="s">
        <v>211</v>
      </c>
      <c r="C219" s="78"/>
      <c r="D219" s="67" t="s">
        <v>222</v>
      </c>
      <c r="E219" s="68"/>
      <c r="F219" s="69"/>
    </row>
    <row r="220" spans="2:6" ht="12.75" customHeight="1" x14ac:dyDescent="0.25">
      <c r="B220" s="77"/>
      <c r="C220" s="78"/>
      <c r="D220" s="67"/>
      <c r="E220" s="68"/>
      <c r="F220" s="69"/>
    </row>
    <row r="221" spans="2:6" ht="12.75" customHeight="1" x14ac:dyDescent="0.25">
      <c r="B221" s="73" t="s">
        <v>202</v>
      </c>
      <c r="C221" s="74"/>
      <c r="D221" s="88" t="s">
        <v>223</v>
      </c>
      <c r="E221" s="89"/>
      <c r="F221" s="90"/>
    </row>
    <row r="222" spans="2:6" ht="12.75" customHeight="1" x14ac:dyDescent="0.25">
      <c r="B222" s="75"/>
      <c r="C222" s="76"/>
      <c r="D222" s="91"/>
      <c r="E222" s="92"/>
      <c r="F222" s="93"/>
    </row>
    <row r="223" spans="2:6" ht="12.75" customHeight="1" x14ac:dyDescent="0.25">
      <c r="B223" s="77" t="s">
        <v>203</v>
      </c>
      <c r="C223" s="78"/>
      <c r="D223" s="67" t="s">
        <v>214</v>
      </c>
      <c r="E223" s="68"/>
      <c r="F223" s="69"/>
    </row>
    <row r="224" spans="2:6" ht="12.75" customHeight="1" x14ac:dyDescent="0.25">
      <c r="B224" s="77"/>
      <c r="C224" s="78"/>
      <c r="D224" s="67"/>
      <c r="E224" s="68"/>
      <c r="F224" s="69"/>
    </row>
    <row r="225" spans="2:6" ht="12.75" customHeight="1" x14ac:dyDescent="0.25">
      <c r="B225" s="77" t="s">
        <v>204</v>
      </c>
      <c r="C225" s="78"/>
      <c r="D225" s="67" t="s">
        <v>215</v>
      </c>
      <c r="E225" s="68"/>
      <c r="F225" s="69"/>
    </row>
    <row r="226" spans="2:6" ht="12.75" customHeight="1" x14ac:dyDescent="0.25">
      <c r="B226" s="77" t="s">
        <v>205</v>
      </c>
      <c r="C226" s="78"/>
      <c r="D226" s="67" t="s">
        <v>216</v>
      </c>
      <c r="E226" s="68"/>
      <c r="F226" s="69"/>
    </row>
    <row r="227" spans="2:6" ht="12.75" customHeight="1" x14ac:dyDescent="0.25">
      <c r="B227" s="77" t="s">
        <v>201</v>
      </c>
      <c r="C227" s="78"/>
      <c r="D227" s="67" t="s">
        <v>217</v>
      </c>
      <c r="E227" s="68"/>
      <c r="F227" s="69"/>
    </row>
    <row r="228" spans="2:6" ht="12.75" customHeight="1" x14ac:dyDescent="0.25">
      <c r="B228" s="77"/>
      <c r="C228" s="78"/>
      <c r="D228" s="67"/>
      <c r="E228" s="68"/>
      <c r="F228" s="69"/>
    </row>
    <row r="229" spans="2:6" ht="12.75" customHeight="1" thickBot="1" x14ac:dyDescent="0.3">
      <c r="B229" s="81" t="s">
        <v>218</v>
      </c>
      <c r="C229" s="82"/>
      <c r="D229" s="83" t="s">
        <v>219</v>
      </c>
      <c r="E229" s="84"/>
      <c r="F229" s="85"/>
    </row>
    <row r="230" spans="2:6" ht="12.75" customHeight="1" thickTop="1" x14ac:dyDescent="0.25"/>
  </sheetData>
  <autoFilter ref="B4:J4"/>
  <mergeCells count="29">
    <mergeCell ref="B229:C229"/>
    <mergeCell ref="D229:F229"/>
    <mergeCell ref="B215:C216"/>
    <mergeCell ref="B217:C218"/>
    <mergeCell ref="B219:C220"/>
    <mergeCell ref="B223:C224"/>
    <mergeCell ref="B227:C228"/>
    <mergeCell ref="D221:F222"/>
    <mergeCell ref="D227:F228"/>
    <mergeCell ref="D223:F224"/>
    <mergeCell ref="B225:C225"/>
    <mergeCell ref="D225:F225"/>
    <mergeCell ref="C211:F211"/>
    <mergeCell ref="C212:F212"/>
    <mergeCell ref="D217:F218"/>
    <mergeCell ref="D219:F220"/>
    <mergeCell ref="B214:F214"/>
    <mergeCell ref="D215:F216"/>
    <mergeCell ref="B221:C222"/>
    <mergeCell ref="B226:C226"/>
    <mergeCell ref="D226:F226"/>
    <mergeCell ref="C210:F210"/>
    <mergeCell ref="B204:F204"/>
    <mergeCell ref="B2:J2"/>
    <mergeCell ref="C205:F205"/>
    <mergeCell ref="C209:F209"/>
    <mergeCell ref="C206:F206"/>
    <mergeCell ref="C207:F207"/>
    <mergeCell ref="B208:F208"/>
  </mergeCells>
  <phoneticPr fontId="0" type="noConversion"/>
  <conditionalFormatting sqref="G3:G4 G202:G65536">
    <cfRule type="expression" dxfId="1" priority="1" stopIfTrue="1">
      <formula>D3=0</formula>
    </cfRule>
  </conditionalFormatting>
  <conditionalFormatting sqref="G5:G201">
    <cfRule type="expression" dxfId="0" priority="2" stopIfTrue="1">
      <formula>C5=0</formula>
    </cfRule>
  </conditionalFormatting>
  <pageMargins left="0.75" right="0.75" top="1" bottom="1" header="0.5" footer="0.5"/>
  <pageSetup orientation="portrait" horizontalDpi="36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Konieczny</dc:creator>
  <cp:lastModifiedBy>Carina Negreanu</cp:lastModifiedBy>
  <dcterms:created xsi:type="dcterms:W3CDTF">2001-11-22T00:04:04Z</dcterms:created>
  <dcterms:modified xsi:type="dcterms:W3CDTF">2020-01-27T11:41:15Z</dcterms:modified>
</cp:coreProperties>
</file>