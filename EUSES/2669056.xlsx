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55CB94-7198-4CBD-BB4C-2521139E4C67}" xr6:coauthVersionLast="45" xr6:coauthVersionMax="45" xr10:uidLastSave="{00000000-0000-0000-0000-000000000000}"/>
  <bookViews>
    <workbookView xWindow="3420" yWindow="3420" windowWidth="28800" windowHeight="15460"/>
  </bookViews>
  <sheets>
    <sheet name="population" sheetId="3" r:id="rId1"/>
    <sheet name="land" sheetId="4" r:id="rId2"/>
    <sheet name="GDP" sheetId="2" r:id="rId3"/>
    <sheet name="CPI" sheetId="6" r:id="rId4"/>
    <sheet name="gov-exp" sheetId="7" r:id="rId5"/>
    <sheet name="tax revenues" sheetId="19" r:id="rId6"/>
    <sheet name="debt" sheetId="5" r:id="rId7"/>
    <sheet name="priv. sector" sheetId="10" r:id="rId8"/>
    <sheet name="FDI" sheetId="9" r:id="rId9"/>
    <sheet name="poverty" sheetId="8" r:id="rId10"/>
    <sheet name="GFI" sheetId="13" r:id="rId11"/>
    <sheet name="Dom. credits" sheetId="12" r:id="rId12"/>
    <sheet name="claims" sheetId="14" r:id="rId13"/>
    <sheet name="deposite rate" sheetId="16" r:id="rId14"/>
    <sheet name="lending rate" sheetId="15" r:id="rId15"/>
    <sheet name="interest rate spread" sheetId="17" r:id="rId16"/>
    <sheet name="data links for charts" sheetId="11" r:id="rId17"/>
  </sheets>
  <definedNames>
    <definedName name="TABLE" localSheetId="1">land!$E$2:$F$15</definedName>
    <definedName name="TABLE" localSheetId="0">population!#REF!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16" l="1"/>
  <c r="I4" i="15"/>
</calcChain>
</file>

<file path=xl/comments1.xml><?xml version="1.0" encoding="utf-8"?>
<comments xmlns="http://schemas.openxmlformats.org/spreadsheetml/2006/main">
  <authors>
    <author>Carla Bertuzzi</author>
  </authors>
  <commentList>
    <comment ref="A18" authorId="0" shapeId="0">
      <text>
        <r>
          <rPr>
            <sz val="8"/>
            <color indexed="81"/>
            <rFont val="Tahoma"/>
            <family val="2"/>
          </rPr>
          <t>Transition Report, 2000 (23/03/2001)</t>
        </r>
      </text>
    </comment>
  </commentList>
</comments>
</file>

<file path=xl/sharedStrings.xml><?xml version="1.0" encoding="utf-8"?>
<sst xmlns="http://schemas.openxmlformats.org/spreadsheetml/2006/main" count="511" uniqueCount="109">
  <si>
    <t>Total Population, 1 000 inhabitants</t>
  </si>
  <si>
    <t>Armenia</t>
  </si>
  <si>
    <t>Azerbaijan</t>
  </si>
  <si>
    <t>Belarus</t>
  </si>
  <si>
    <t>Georgia</t>
  </si>
  <si>
    <t>Kazakhstan</t>
  </si>
  <si>
    <t>Kyrgyzstan</t>
  </si>
  <si>
    <t>Tajikistan</t>
  </si>
  <si>
    <t>Turkmenistan</t>
  </si>
  <si>
    <t>Ukraine</t>
  </si>
  <si>
    <t>Uzbekistan</t>
  </si>
  <si>
    <t xml:space="preserve"> </t>
  </si>
  <si>
    <t>Source: FAO.</t>
  </si>
  <si>
    <t>Moldova</t>
  </si>
  <si>
    <t>Russian Fed.</t>
  </si>
  <si>
    <t>Total land area (1 000 km2)</t>
  </si>
  <si>
    <t>1. Data are preliminary estimates.</t>
  </si>
  <si>
    <t>Constant prices, annual percent change</t>
  </si>
  <si>
    <t>Gross domestic product</t>
  </si>
  <si>
    <t>Notes:</t>
  </si>
  <si>
    <t>a) Based on current prices and exchange rates.</t>
  </si>
  <si>
    <r>
      <t>Total,   billion USD</t>
    </r>
    <r>
      <rPr>
        <vertAlign val="superscript"/>
        <sz val="10"/>
        <rFont val="Arial Narrow"/>
        <family val="2"/>
      </rPr>
      <t xml:space="preserve"> a </t>
    </r>
  </si>
  <si>
    <t>..</t>
  </si>
  <si>
    <t>Russia</t>
  </si>
  <si>
    <r>
      <t xml:space="preserve">Consumer price index </t>
    </r>
    <r>
      <rPr>
        <b/>
        <i/>
        <vertAlign val="superscript"/>
        <sz val="10"/>
        <rFont val="Arial Narrow"/>
        <family val="2"/>
      </rPr>
      <t>a</t>
    </r>
  </si>
  <si>
    <t>a) Annual per cent change average for the year.</t>
  </si>
  <si>
    <t>External debt (% of GDP)</t>
  </si>
  <si>
    <t>General government expenditure</t>
  </si>
  <si>
    <t>(as a percentage of GDP)</t>
  </si>
  <si>
    <t>ARM) Consolidated account of the government and the local authorities.</t>
  </si>
  <si>
    <t>BEL) Data refer to state budgets, social funds, and extrabudgetary funds. Excludes interbudgetary transfers.</t>
  </si>
  <si>
    <t>GEO) Data refer to state, municipalities, and extrabudgetary funds.</t>
  </si>
  <si>
    <t>KAZ) Since 1998, data include extrabudgetary funds. Following the old time series expenditure increased by 1.4% in 1998.</t>
  </si>
  <si>
    <t xml:space="preserve">KYR) Data refer to state, municipalities and extrabudgetary funds.   Also include net lending and expenditure under foreign financed PIP. </t>
  </si>
  <si>
    <t>MOL) Data refer to state, municipalities, and extrabudgetary funds.</t>
  </si>
  <si>
    <t>RUS) General consolidated government expenditure. Data refer to federal, regional, local budgets and extra-budgetary funds, exclude transfers.</t>
  </si>
  <si>
    <t>TAJ) Excludes transfers from the State budget to the Pension and Employment Funds.</t>
  </si>
  <si>
    <t>UKR) Includes state, municipalities and, from 1994, extrabudgetary funds. Data are on a cash basis until 1995, on accrual basis thereafter.</t>
  </si>
  <si>
    <t>UZB) Consolidated central government expenditure.  Includes extrabudgetary funds but excludes local government.</t>
  </si>
  <si>
    <t>TUR) Data refer to state, municipalities, and some extrabudgetary funds. Significant off-budget expenditure occur through extra-budgetary funds and direct lending.</t>
  </si>
  <si>
    <t>Private sector share of GDP</t>
  </si>
  <si>
    <t xml:space="preserve">Foreign direct investment, net </t>
  </si>
  <si>
    <t>(million US$)</t>
  </si>
  <si>
    <t>UKR) Break in time series in 1994.</t>
  </si>
  <si>
    <t>AZR) Including portfolio investment and oil bonus payments to the government.</t>
  </si>
  <si>
    <t xml:space="preserve">Moldova </t>
  </si>
  <si>
    <t>Source: World Bank.</t>
  </si>
  <si>
    <t>Poverty, late 90s</t>
  </si>
  <si>
    <r>
      <t xml:space="preserve">population below $2/day </t>
    </r>
    <r>
      <rPr>
        <vertAlign val="superscript"/>
        <sz val="10"/>
        <rFont val="Arial Narrow"/>
        <family val="2"/>
      </rPr>
      <t>a</t>
    </r>
    <r>
      <rPr>
        <sz val="10"/>
        <rFont val="Arial Narrow"/>
        <family val="2"/>
      </rPr>
      <t xml:space="preserve">  </t>
    </r>
  </si>
  <si>
    <r>
      <t xml:space="preserve">poverty gap at $2/day </t>
    </r>
    <r>
      <rPr>
        <vertAlign val="superscript"/>
        <sz val="10"/>
        <rFont val="Arial Narrow"/>
        <family val="2"/>
      </rPr>
      <t>b</t>
    </r>
    <r>
      <rPr>
        <sz val="10"/>
        <rFont val="Arial Narrow"/>
        <family val="2"/>
      </rPr>
      <t xml:space="preserve">  </t>
    </r>
  </si>
  <si>
    <t>%</t>
  </si>
  <si>
    <t>&lt;2</t>
  </si>
  <si>
    <t>&lt;0.5</t>
  </si>
  <si>
    <t>a) Population living on less that $2 a day at 1993 international prices (adjusted for PPPs).</t>
  </si>
  <si>
    <t>b) Mean shortfall from the poverty line as a % of the poverty line.</t>
  </si>
  <si>
    <r>
      <t>Gross domestic fixed investment</t>
    </r>
    <r>
      <rPr>
        <b/>
        <sz val="10"/>
        <rFont val="Arial Narrow"/>
        <family val="2"/>
      </rPr>
      <t xml:space="preserve"> (million, constant 1995 USD)</t>
    </r>
  </si>
  <si>
    <t xml:space="preserve">Domestic credit provided by banking sector (% of GDP) </t>
  </si>
  <si>
    <t>Claims on private sector (million local current units)</t>
  </si>
  <si>
    <t>ARM) Weighted average rate for maturities of 15 days to less than one year.</t>
  </si>
  <si>
    <t xml:space="preserve">AZE) 1993-1995: minimum rate for household time deposit; 3 month deposit rate of "bank client" deals afterwards. </t>
  </si>
  <si>
    <t>BEL) 1 year.</t>
  </si>
  <si>
    <t>KAZ) Deposit rate for time deposit of individuals. Break in time series in 1997.</t>
  </si>
  <si>
    <t>KYR) Weighted average on  time deposits of 1 to 3 month maturities.</t>
  </si>
  <si>
    <t>MOL) Weighted average rate offered by commercial banks on all newly accepted deposit in national currency.</t>
  </si>
  <si>
    <t>TAJ) Up to 3-months maturity.</t>
  </si>
  <si>
    <t>TUR) 1 year.</t>
  </si>
  <si>
    <t>UKR) Weighted average rate offered by commercial banks over all maturities.</t>
  </si>
  <si>
    <t>UZB) 1 year.</t>
  </si>
  <si>
    <t>Source: EBRD, IMF.</t>
  </si>
  <si>
    <t>a) Refers to rates offered to resident customers dor demand, time, or savings deposits. 2000 data are preliminary estimates.</t>
  </si>
  <si>
    <t>RUS) Prevailing rate for 1 month time deposit. Since 1997, weighted average rate on time deposits with remaining maturity up to 1 year.</t>
  </si>
  <si>
    <t>AZE) Minimum lending rate for private enterprises.</t>
  </si>
  <si>
    <t>KAZ) Lending rate for short-term credits. Break in time series in 1997.</t>
  </si>
  <si>
    <t>MOL) Weighted average rate charged by commercial banks on new loans in national currency.</t>
  </si>
  <si>
    <t>UZB) Lending rate (one year)</t>
  </si>
  <si>
    <t xml:space="preserve">a) Bank rate that usually meets the short- and medium-term financial needs of the private sector. It is normally differenciated according to </t>
  </si>
  <si>
    <t xml:space="preserve">the creditworthiness of borrowers and objectives of financing. 2000 data are preliminary estimates. </t>
  </si>
  <si>
    <r>
      <t xml:space="preserve">Deposit Rate </t>
    </r>
    <r>
      <rPr>
        <b/>
        <i/>
        <vertAlign val="superscript"/>
        <sz val="9"/>
        <rFont val="Arial Narrow"/>
        <family val="2"/>
      </rPr>
      <t>a</t>
    </r>
    <r>
      <rPr>
        <b/>
        <i/>
        <sz val="9"/>
        <rFont val="Arial Narrow"/>
        <family val="2"/>
      </rPr>
      <t xml:space="preserve">, </t>
    </r>
    <r>
      <rPr>
        <sz val="9"/>
        <rFont val="Arial Narrow"/>
        <family val="2"/>
      </rPr>
      <t>per cent per annum</t>
    </r>
  </si>
  <si>
    <r>
      <t xml:space="preserve">Lending Rate </t>
    </r>
    <r>
      <rPr>
        <b/>
        <i/>
        <vertAlign val="superscript"/>
        <sz val="9"/>
        <rFont val="Arial Narrow"/>
        <family val="2"/>
      </rPr>
      <t>a</t>
    </r>
    <r>
      <rPr>
        <b/>
        <i/>
        <sz val="9"/>
        <rFont val="Arial Narrow"/>
        <family val="2"/>
      </rPr>
      <t xml:space="preserve">, </t>
    </r>
    <r>
      <rPr>
        <sz val="9"/>
        <rFont val="Arial Narrow"/>
        <family val="2"/>
      </rPr>
      <t>per cent per annum</t>
    </r>
  </si>
  <si>
    <r>
      <t xml:space="preserve">Interest rate spread (lending rate minus deposit rate) </t>
    </r>
    <r>
      <rPr>
        <b/>
        <vertAlign val="superscript"/>
        <sz val="10"/>
        <rFont val="Arial Narrow"/>
        <family val="2"/>
      </rPr>
      <t>a</t>
    </r>
    <r>
      <rPr>
        <b/>
        <sz val="10"/>
        <rFont val="Arial Narrow"/>
        <family val="2"/>
      </rPr>
      <t xml:space="preserve"> </t>
    </r>
  </si>
  <si>
    <t>-</t>
  </si>
  <si>
    <t>a) Interest rate charged by banks on loans to prime customers minus the interest rate paid by commercial or similar banks for</t>
  </si>
  <si>
    <t xml:space="preserve"> demand, time, or savings deposits. 2000 data are preliminary estimates.</t>
  </si>
  <si>
    <r>
      <t>% share of urban population</t>
    </r>
    <r>
      <rPr>
        <vertAlign val="superscript"/>
        <sz val="10"/>
        <rFont val="Arial Narrow"/>
        <family val="2"/>
      </rPr>
      <t>1</t>
    </r>
    <r>
      <rPr>
        <sz val="10"/>
        <rFont val="Arial Narrow"/>
        <family val="2"/>
      </rPr>
      <t xml:space="preserve"> </t>
    </r>
  </si>
  <si>
    <t>n.a.</t>
  </si>
  <si>
    <r>
      <t>2.9</t>
    </r>
    <r>
      <rPr>
        <vertAlign val="superscript"/>
        <sz val="10"/>
        <rFont val="Arial"/>
        <family val="2"/>
      </rPr>
      <t>b</t>
    </r>
  </si>
  <si>
    <t>b) 1998 data.</t>
  </si>
  <si>
    <r>
      <t xml:space="preserve">Source: IMF, </t>
    </r>
    <r>
      <rPr>
        <i/>
        <sz val="10"/>
        <rFont val="Arial Narrow"/>
        <family val="2"/>
      </rPr>
      <t>World Economic Outlook, 2002.</t>
    </r>
  </si>
  <si>
    <t xml:space="preserve">a) Current international $ based on purchasing power parities </t>
  </si>
  <si>
    <t>b) based on US$, calculated using the WB Atlas method.</t>
  </si>
  <si>
    <r>
      <t>Gross National Income</t>
    </r>
    <r>
      <rPr>
        <vertAlign val="superscript"/>
        <sz val="10"/>
        <rFont val="Arial Narrow"/>
        <family val="2"/>
      </rPr>
      <t xml:space="preserve"> a</t>
    </r>
    <r>
      <rPr>
        <sz val="10"/>
        <rFont val="Arial Narrow"/>
        <family val="2"/>
      </rPr>
      <t>, 2000</t>
    </r>
  </si>
  <si>
    <r>
      <t>Gross National Income</t>
    </r>
    <r>
      <rPr>
        <vertAlign val="superscript"/>
        <sz val="10"/>
        <rFont val="Arial Narrow"/>
        <family val="2"/>
      </rPr>
      <t xml:space="preserve"> b</t>
    </r>
    <r>
      <rPr>
        <sz val="10"/>
        <rFont val="Arial Narrow"/>
        <family val="2"/>
      </rPr>
      <t>, 2000</t>
    </r>
  </si>
  <si>
    <r>
      <t xml:space="preserve">Source: </t>
    </r>
    <r>
      <rPr>
        <i/>
        <sz val="10"/>
        <rFont val="Arial Narrow"/>
        <family val="2"/>
      </rPr>
      <t>EBRD, Transition Report Update, May 2002.</t>
    </r>
  </si>
  <si>
    <t>Net inflows recorder in the balance of payments. 2001 and 2002 data are estimates and projections.</t>
  </si>
  <si>
    <t>AZR) Consolidated account of all levels of government except for municipalities and SOEs, includes extrabudgetary funds.</t>
  </si>
  <si>
    <r>
      <t xml:space="preserve">Source: EBRD, </t>
    </r>
    <r>
      <rPr>
        <i/>
        <sz val="10"/>
        <rFont val="Arial Narrow"/>
        <family val="2"/>
      </rPr>
      <t>Transition Report Update, May 2002.</t>
    </r>
  </si>
  <si>
    <t>2001 data are estimates.</t>
  </si>
  <si>
    <r>
      <t xml:space="preserve">Source: EBRD, </t>
    </r>
    <r>
      <rPr>
        <i/>
        <sz val="10"/>
        <rFont val="Arial Narrow"/>
        <family val="2"/>
      </rPr>
      <t>Transition Report Update, May 2002</t>
    </r>
    <r>
      <rPr>
        <sz val="10"/>
        <rFont val="Arial Narrow"/>
        <family val="2"/>
      </rPr>
      <t>.</t>
    </r>
  </si>
  <si>
    <r>
      <t xml:space="preserve">Source: World Bank, </t>
    </r>
    <r>
      <rPr>
        <i/>
        <sz val="10"/>
        <rFont val="Arial Narrow"/>
        <family val="2"/>
      </rPr>
      <t>World Development Indicators 2002.</t>
    </r>
  </si>
  <si>
    <r>
      <t xml:space="preserve">Source: World Bank, </t>
    </r>
    <r>
      <rPr>
        <i/>
        <sz val="10"/>
        <rFont val="Arial Narrow"/>
        <family val="2"/>
      </rPr>
      <t>World Development Indicators, 2002</t>
    </r>
    <r>
      <rPr>
        <sz val="10"/>
        <rFont val="Arial Narrow"/>
        <family val="2"/>
      </rPr>
      <t>.</t>
    </r>
  </si>
  <si>
    <t>Data include gross credit from the financial system to individuals, enterprises, nonfinancial public entities not included under net domestic credit,</t>
  </si>
  <si>
    <t xml:space="preserve"> and financial institutions not included elsewhere.</t>
  </si>
  <si>
    <t xml:space="preserve">Domestic credit provided by the banking sector includes all credit to various sectors on a gross basis, with the exception of credit to the central </t>
  </si>
  <si>
    <t xml:space="preserve">government, which is net. The banking sector includes monetary authorities and deposit money banks, as well as other banking institutions. </t>
  </si>
  <si>
    <t>Share of general government tax revenues in GDP (%)</t>
  </si>
  <si>
    <t>Kyrgyz Rep.</t>
  </si>
  <si>
    <t xml:space="preserve">General government includes central government, extrabudgetary funds and local government. </t>
  </si>
  <si>
    <t>Source: EBRD estimates.</t>
  </si>
  <si>
    <r>
      <t xml:space="preserve">Source: EBRD, </t>
    </r>
    <r>
      <rPr>
        <i/>
        <sz val="10"/>
        <rFont val="Arial Narrow"/>
        <family val="2"/>
      </rPr>
      <t>Transition Report, 2001</t>
    </r>
    <r>
      <rPr>
        <sz val="10"/>
        <rFont val="Arial Narrow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</si>
</sst>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0" formatCode="_(&quot;€&quot;* #,##0.00_);_(&quot;€&quot;* \(#,##0.00\);_(&quot;€&quot;* &quot;-&quot;??_);_(@_)"/>
    <numFmt numFmtId="172" formatCode="#\ ###\ ##0"/>
    <numFmt numFmtId="173" formatCode="0.0"/>
    <numFmt numFmtId="174" formatCode="#\ ###\ ###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#\ ##0"/>
    <numFmt numFmtId="182" formatCode="#\ ##0.0"/>
    <numFmt numFmtId="183" formatCode="#.0\ ###\ ###"/>
    <numFmt numFmtId="185" formatCode="###\ ##0"/>
  </numFmts>
  <fonts count="20" x14ac:knownFonts="1">
    <font>
      <sz val="10"/>
      <name val="Arial"/>
    </font>
    <font>
      <sz val="10"/>
      <name val="Arial"/>
    </font>
    <font>
      <b/>
      <sz val="10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i/>
      <sz val="10"/>
      <name val="Arial Narrow"/>
      <family val="2"/>
    </font>
    <font>
      <b/>
      <sz val="9"/>
      <name val="Arial Narrow"/>
      <family val="2"/>
    </font>
    <font>
      <b/>
      <i/>
      <sz val="10"/>
      <name val="Arial Narrow"/>
      <family val="2"/>
    </font>
    <font>
      <b/>
      <i/>
      <vertAlign val="superscript"/>
      <sz val="10"/>
      <name val="Arial Narrow"/>
      <family val="2"/>
    </font>
    <font>
      <sz val="9"/>
      <name val="Arial"/>
      <family val="2"/>
    </font>
    <font>
      <b/>
      <i/>
      <sz val="9"/>
      <name val="Arial Narrow"/>
      <family val="2"/>
    </font>
    <font>
      <b/>
      <i/>
      <vertAlign val="superscript"/>
      <sz val="9"/>
      <name val="Arial Narrow"/>
      <family val="2"/>
    </font>
    <font>
      <sz val="9"/>
      <name val="Arial"/>
    </font>
    <font>
      <b/>
      <vertAlign val="superscript"/>
      <sz val="10"/>
      <name val="Arial Narrow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3" fillId="0" borderId="1" xfId="0" applyFont="1" applyBorder="1"/>
    <xf numFmtId="172" fontId="3" fillId="0" borderId="0" xfId="0" applyNumberFormat="1" applyFont="1"/>
    <xf numFmtId="0" fontId="3" fillId="0" borderId="2" xfId="0" applyFont="1" applyBorder="1"/>
    <xf numFmtId="172" fontId="3" fillId="0" borderId="2" xfId="0" applyNumberFormat="1" applyFont="1" applyBorder="1"/>
    <xf numFmtId="0" fontId="0" fillId="0" borderId="2" xfId="0" applyBorder="1"/>
    <xf numFmtId="0" fontId="3" fillId="0" borderId="0" xfId="0" applyFont="1" applyAlignment="1">
      <alignment wrapText="1"/>
    </xf>
    <xf numFmtId="0" fontId="3" fillId="0" borderId="0" xfId="0" applyFont="1" applyBorder="1"/>
    <xf numFmtId="173" fontId="3" fillId="0" borderId="0" xfId="0" applyNumberFormat="1" applyFont="1"/>
    <xf numFmtId="173" fontId="3" fillId="0" borderId="0" xfId="0" applyNumberFormat="1" applyFont="1" applyBorder="1"/>
    <xf numFmtId="173" fontId="3" fillId="0" borderId="2" xfId="0" applyNumberFormat="1" applyFont="1" applyBorder="1"/>
    <xf numFmtId="0" fontId="3" fillId="0" borderId="0" xfId="0" applyFont="1" applyAlignment="1">
      <alignment horizontal="left" wrapText="1"/>
    </xf>
    <xf numFmtId="0" fontId="6" fillId="0" borderId="0" xfId="0" applyFont="1"/>
    <xf numFmtId="0" fontId="5" fillId="0" borderId="0" xfId="0" applyFont="1"/>
    <xf numFmtId="0" fontId="3" fillId="0" borderId="3" xfId="0" applyFont="1" applyBorder="1"/>
    <xf numFmtId="0" fontId="3" fillId="0" borderId="4" xfId="0" applyFont="1" applyBorder="1"/>
    <xf numFmtId="0" fontId="2" fillId="0" borderId="0" xfId="0" applyFont="1"/>
    <xf numFmtId="0" fontId="2" fillId="0" borderId="1" xfId="0" applyFont="1" applyBorder="1"/>
    <xf numFmtId="182" fontId="3" fillId="0" borderId="0" xfId="0" applyNumberFormat="1" applyFont="1" applyAlignment="1">
      <alignment horizontal="right"/>
    </xf>
    <xf numFmtId="173" fontId="3" fillId="0" borderId="0" xfId="0" applyNumberFormat="1" applyFont="1" applyBorder="1" applyAlignment="1">
      <alignment horizontal="right"/>
    </xf>
    <xf numFmtId="173" fontId="3" fillId="0" borderId="0" xfId="0" applyNumberFormat="1" applyFont="1" applyAlignment="1">
      <alignment horizontal="right"/>
    </xf>
    <xf numFmtId="173" fontId="3" fillId="0" borderId="2" xfId="0" applyNumberFormat="1" applyFont="1" applyBorder="1" applyAlignment="1">
      <alignment horizontal="right"/>
    </xf>
    <xf numFmtId="183" fontId="3" fillId="0" borderId="0" xfId="0" applyNumberFormat="1" applyFont="1" applyAlignment="1">
      <alignment horizontal="right"/>
    </xf>
    <xf numFmtId="183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0" xfId="0" applyFont="1" applyBorder="1"/>
    <xf numFmtId="1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4" fontId="3" fillId="0" borderId="2" xfId="0" applyNumberFormat="1" applyFont="1" applyBorder="1" applyAlignment="1">
      <alignment horizontal="right"/>
    </xf>
    <xf numFmtId="174" fontId="3" fillId="0" borderId="0" xfId="0" applyNumberFormat="1" applyFont="1"/>
    <xf numFmtId="174" fontId="3" fillId="0" borderId="2" xfId="0" applyNumberFormat="1" applyFont="1" applyBorder="1"/>
    <xf numFmtId="1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wrapText="1"/>
    </xf>
    <xf numFmtId="170" fontId="3" fillId="0" borderId="3" xfId="0" applyNumberFormat="1" applyFont="1" applyBorder="1" applyAlignment="1">
      <alignment horizontal="right" wrapText="1"/>
    </xf>
    <xf numFmtId="173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5" fillId="0" borderId="2" xfId="0" applyFont="1" applyBorder="1"/>
    <xf numFmtId="173" fontId="11" fillId="0" borderId="2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172" fontId="3" fillId="0" borderId="2" xfId="0" applyNumberFormat="1" applyFont="1" applyBorder="1" applyAlignment="1">
      <alignment horizontal="right"/>
    </xf>
    <xf numFmtId="0" fontId="5" fillId="0" borderId="0" xfId="0" applyFont="1" applyBorder="1"/>
    <xf numFmtId="173" fontId="5" fillId="0" borderId="0" xfId="0" applyNumberFormat="1" applyFont="1" applyBorder="1" applyAlignment="1">
      <alignment horizontal="right"/>
    </xf>
    <xf numFmtId="173" fontId="5" fillId="0" borderId="0" xfId="0" applyNumberFormat="1" applyFont="1"/>
    <xf numFmtId="173" fontId="5" fillId="0" borderId="0" xfId="0" applyNumberFormat="1" applyFont="1" applyAlignment="1">
      <alignment horizontal="right"/>
    </xf>
    <xf numFmtId="173" fontId="5" fillId="0" borderId="2" xfId="0" applyNumberFormat="1" applyFont="1" applyBorder="1" applyAlignment="1">
      <alignment horizontal="right"/>
    </xf>
    <xf numFmtId="173" fontId="5" fillId="0" borderId="2" xfId="0" applyNumberFormat="1" applyFont="1" applyBorder="1"/>
    <xf numFmtId="0" fontId="8" fillId="0" borderId="0" xfId="0" applyFont="1"/>
    <xf numFmtId="0" fontId="8" fillId="0" borderId="1" xfId="0" applyFont="1" applyBorder="1"/>
    <xf numFmtId="0" fontId="14" fillId="0" borderId="0" xfId="0" applyFont="1"/>
    <xf numFmtId="172" fontId="11" fillId="0" borderId="0" xfId="0" applyNumberFormat="1" applyFont="1"/>
    <xf numFmtId="172" fontId="11" fillId="0" borderId="2" xfId="0" applyNumberFormat="1" applyFont="1" applyBorder="1"/>
    <xf numFmtId="3" fontId="0" fillId="0" borderId="0" xfId="0" applyNumberFormat="1" applyBorder="1" applyAlignment="1">
      <alignment horizontal="right" wrapText="1"/>
    </xf>
    <xf numFmtId="181" fontId="11" fillId="0" borderId="0" xfId="0" applyNumberFormat="1" applyFont="1" applyBorder="1" applyAlignment="1">
      <alignment horizontal="right" wrapText="1"/>
    </xf>
    <xf numFmtId="181" fontId="11" fillId="0" borderId="2" xfId="0" applyNumberFormat="1" applyFont="1" applyBorder="1" applyAlignment="1">
      <alignment horizontal="right" wrapText="1"/>
    </xf>
    <xf numFmtId="3" fontId="0" fillId="0" borderId="2" xfId="0" applyNumberFormat="1" applyBorder="1" applyAlignment="1">
      <alignment horizontal="right" wrapText="1"/>
    </xf>
    <xf numFmtId="0" fontId="1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2" fontId="0" fillId="0" borderId="2" xfId="0" applyNumberFormat="1" applyBorder="1"/>
    <xf numFmtId="2" fontId="0" fillId="0" borderId="0" xfId="0" applyNumberFormat="1" applyAlignment="1">
      <alignment horizontal="right"/>
    </xf>
    <xf numFmtId="3" fontId="11" fillId="0" borderId="0" xfId="0" applyNumberFormat="1" applyFont="1"/>
    <xf numFmtId="182" fontId="3" fillId="0" borderId="0" xfId="0" applyNumberFormat="1" applyFont="1"/>
    <xf numFmtId="182" fontId="3" fillId="0" borderId="2" xfId="0" applyNumberFormat="1" applyFont="1" applyBorder="1"/>
    <xf numFmtId="181" fontId="3" fillId="0" borderId="0" xfId="0" applyNumberFormat="1" applyFont="1"/>
    <xf numFmtId="181" fontId="3" fillId="0" borderId="0" xfId="0" applyNumberFormat="1" applyFont="1" applyAlignment="1">
      <alignment horizontal="right"/>
    </xf>
    <xf numFmtId="185" fontId="3" fillId="0" borderId="0" xfId="0" applyNumberFormat="1" applyFont="1" applyAlignment="1">
      <alignment horizontal="right"/>
    </xf>
    <xf numFmtId="185" fontId="3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GB"/>
              <a:t>GNI per capita, 2000, USD *</a:t>
            </a:r>
          </a:p>
        </c:rich>
      </c:tx>
      <c:layout>
        <c:manualLayout>
          <c:xMode val="edge"/>
          <c:yMode val="edge"/>
          <c:x val="0.40467634068692782"/>
          <c:y val="1.2820909726845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65626519777023"/>
          <c:y val="7.3720230929358962E-2"/>
          <c:w val="0.76819915520230364"/>
          <c:h val="0.782075493337547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links for charts'!$A$4:$A$15</c:f>
              <c:strCache>
                <c:ptCount val="12"/>
                <c:pt idx="0">
                  <c:v>Armenia</c:v>
                </c:pt>
                <c:pt idx="1">
                  <c:v>Azerbaijan</c:v>
                </c:pt>
                <c:pt idx="2">
                  <c:v>Belarus</c:v>
                </c:pt>
                <c:pt idx="3">
                  <c:v>Georgia</c:v>
                </c:pt>
                <c:pt idx="4">
                  <c:v>Kazakhstan</c:v>
                </c:pt>
                <c:pt idx="5">
                  <c:v>Kyrgyzstan</c:v>
                </c:pt>
                <c:pt idx="6">
                  <c:v>Moldova </c:v>
                </c:pt>
                <c:pt idx="7">
                  <c:v>Russian Fed.</c:v>
                </c:pt>
                <c:pt idx="8">
                  <c:v>Tajikistan</c:v>
                </c:pt>
                <c:pt idx="9">
                  <c:v>Turkmenistan</c:v>
                </c:pt>
                <c:pt idx="10">
                  <c:v>Ukraine</c:v>
                </c:pt>
                <c:pt idx="11">
                  <c:v>Uzbekistan</c:v>
                </c:pt>
              </c:strCache>
            </c:strRef>
          </c:cat>
          <c:val>
            <c:numRef>
              <c:f>'data links for charts'!$D$4:$D$15</c:f>
              <c:numCache>
                <c:formatCode>General</c:formatCode>
                <c:ptCount val="12"/>
                <c:pt idx="0">
                  <c:v>520</c:v>
                </c:pt>
                <c:pt idx="1">
                  <c:v>600</c:v>
                </c:pt>
                <c:pt idx="2" formatCode="#,##0">
                  <c:v>2870</c:v>
                </c:pt>
                <c:pt idx="3">
                  <c:v>630</c:v>
                </c:pt>
                <c:pt idx="4" formatCode="#,##0">
                  <c:v>1260</c:v>
                </c:pt>
                <c:pt idx="5">
                  <c:v>270</c:v>
                </c:pt>
                <c:pt idx="6">
                  <c:v>400</c:v>
                </c:pt>
                <c:pt idx="7" formatCode="#,##0">
                  <c:v>1660</c:v>
                </c:pt>
                <c:pt idx="8">
                  <c:v>180</c:v>
                </c:pt>
                <c:pt idx="9">
                  <c:v>750</c:v>
                </c:pt>
                <c:pt idx="10">
                  <c:v>700</c:v>
                </c:pt>
                <c:pt idx="1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0-4183-942F-6B538E21F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32415"/>
        <c:axId val="1"/>
      </c:barChart>
      <c:catAx>
        <c:axId val="700432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* World Bank data, based on USD (WB Atlas method)</a:t>
                </a:r>
              </a:p>
            </c:rich>
          </c:tx>
          <c:layout>
            <c:manualLayout>
              <c:xMode val="edge"/>
              <c:yMode val="edge"/>
              <c:x val="0.11385808907462715"/>
              <c:y val="0.931118568912120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00432415"/>
        <c:crosses val="max"/>
        <c:crossBetween val="between"/>
        <c:majorUnit val="500"/>
        <c:minorUnit val="10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21</xdr:row>
      <xdr:rowOff>31750</xdr:rowOff>
    </xdr:from>
    <xdr:to>
      <xdr:col>10</xdr:col>
      <xdr:colOff>387350</xdr:colOff>
      <xdr:row>45</xdr:row>
      <xdr:rowOff>31750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134C1C0-2270-4166-978E-48AAB84FA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H23" sqref="H23"/>
    </sheetView>
  </sheetViews>
  <sheetFormatPr defaultRowHeight="12.5" x14ac:dyDescent="0.25"/>
  <cols>
    <col min="1" max="1" width="10.1796875" customWidth="1"/>
    <col min="2" max="10" width="7.81640625" bestFit="1" customWidth="1"/>
    <col min="11" max="11" width="7.26953125" customWidth="1"/>
    <col min="12" max="12" width="1.81640625" customWidth="1"/>
    <col min="13" max="13" width="8.26953125" customWidth="1"/>
  </cols>
  <sheetData>
    <row r="1" spans="1:13" ht="13" thickBot="1" x14ac:dyDescent="0.3">
      <c r="J1" s="6"/>
      <c r="K1" s="6"/>
      <c r="L1" s="6"/>
      <c r="M1" s="6"/>
    </row>
    <row r="2" spans="1:13" ht="43.5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M2" s="12" t="s">
        <v>83</v>
      </c>
    </row>
    <row r="3" spans="1:13" ht="13" x14ac:dyDescent="0.3">
      <c r="A3" s="1"/>
      <c r="B3" s="2">
        <v>1992</v>
      </c>
      <c r="C3" s="2">
        <v>1993</v>
      </c>
      <c r="D3" s="2">
        <v>1994</v>
      </c>
      <c r="E3" s="2">
        <v>1995</v>
      </c>
      <c r="F3" s="2">
        <v>1996</v>
      </c>
      <c r="G3" s="2">
        <v>1997</v>
      </c>
      <c r="H3" s="2">
        <v>1998</v>
      </c>
      <c r="I3" s="2">
        <v>1999</v>
      </c>
      <c r="J3" s="2">
        <v>2000</v>
      </c>
      <c r="K3" s="2">
        <v>2001</v>
      </c>
      <c r="L3" s="2"/>
      <c r="M3" s="2">
        <v>2001</v>
      </c>
    </row>
    <row r="4" spans="1:13" ht="13" x14ac:dyDescent="0.3">
      <c r="A4" s="1" t="s">
        <v>1</v>
      </c>
      <c r="B4" s="53">
        <v>3641</v>
      </c>
      <c r="C4" s="53">
        <v>3688</v>
      </c>
      <c r="D4" s="53">
        <v>3729</v>
      </c>
      <c r="E4" s="53">
        <v>3760</v>
      </c>
      <c r="F4" s="53">
        <v>3779</v>
      </c>
      <c r="G4" s="53">
        <v>3787</v>
      </c>
      <c r="H4" s="53">
        <v>3789</v>
      </c>
      <c r="I4" s="53">
        <v>3788</v>
      </c>
      <c r="J4" s="53">
        <v>3787</v>
      </c>
      <c r="K4" s="56">
        <v>3788</v>
      </c>
      <c r="L4" s="55"/>
      <c r="M4" s="9">
        <v>67.185850052798315</v>
      </c>
    </row>
    <row r="5" spans="1:13" ht="13" x14ac:dyDescent="0.3">
      <c r="A5" s="1" t="s">
        <v>2</v>
      </c>
      <c r="B5" s="53">
        <v>7387</v>
      </c>
      <c r="C5" s="53">
        <v>7492</v>
      </c>
      <c r="D5" s="53">
        <v>7592</v>
      </c>
      <c r="E5" s="53">
        <v>7685</v>
      </c>
      <c r="F5" s="53">
        <v>7770</v>
      </c>
      <c r="G5" s="53">
        <v>7847</v>
      </c>
      <c r="H5" s="53">
        <v>7917</v>
      </c>
      <c r="I5" s="53">
        <v>7982</v>
      </c>
      <c r="J5" s="53">
        <v>8041</v>
      </c>
      <c r="K5" s="56">
        <v>8096</v>
      </c>
      <c r="L5" s="55"/>
      <c r="M5" s="9">
        <v>51.778656126482211</v>
      </c>
    </row>
    <row r="6" spans="1:13" ht="13" x14ac:dyDescent="0.3">
      <c r="A6" s="1" t="s">
        <v>3</v>
      </c>
      <c r="B6" s="53">
        <v>10314</v>
      </c>
      <c r="C6" s="53">
        <v>10328</v>
      </c>
      <c r="D6" s="53">
        <v>10333</v>
      </c>
      <c r="E6" s="53">
        <v>10329</v>
      </c>
      <c r="F6" s="53">
        <v>10314</v>
      </c>
      <c r="G6" s="53">
        <v>10291</v>
      </c>
      <c r="H6" s="53">
        <v>10260</v>
      </c>
      <c r="I6" s="53">
        <v>10225</v>
      </c>
      <c r="J6" s="53">
        <v>10187</v>
      </c>
      <c r="K6" s="56">
        <v>10147</v>
      </c>
      <c r="L6" s="55"/>
      <c r="M6" s="9">
        <v>69.478663644426916</v>
      </c>
    </row>
    <row r="7" spans="1:13" ht="13" x14ac:dyDescent="0.3">
      <c r="A7" s="1" t="s">
        <v>4</v>
      </c>
      <c r="B7" s="53">
        <v>5438</v>
      </c>
      <c r="C7" s="53">
        <v>5410</v>
      </c>
      <c r="D7" s="53">
        <v>5379</v>
      </c>
      <c r="E7" s="53">
        <v>5352</v>
      </c>
      <c r="F7" s="53">
        <v>5331</v>
      </c>
      <c r="G7" s="53">
        <v>5313</v>
      </c>
      <c r="H7" s="53">
        <v>5298</v>
      </c>
      <c r="I7" s="53">
        <v>5282</v>
      </c>
      <c r="J7" s="53">
        <v>5262</v>
      </c>
      <c r="K7" s="56">
        <v>5239</v>
      </c>
      <c r="L7" s="55"/>
      <c r="M7" s="9">
        <v>56.442069097155944</v>
      </c>
    </row>
    <row r="8" spans="1:13" ht="13" x14ac:dyDescent="0.3">
      <c r="A8" s="1" t="s">
        <v>5</v>
      </c>
      <c r="B8" s="53">
        <v>16796</v>
      </c>
      <c r="C8" s="53">
        <v>16753</v>
      </c>
      <c r="D8" s="53">
        <v>16687</v>
      </c>
      <c r="E8" s="53">
        <v>16611</v>
      </c>
      <c r="F8" s="53">
        <v>16529</v>
      </c>
      <c r="G8" s="53">
        <v>16440</v>
      </c>
      <c r="H8" s="53">
        <v>16349</v>
      </c>
      <c r="I8" s="53">
        <v>16258</v>
      </c>
      <c r="J8" s="53">
        <v>16172</v>
      </c>
      <c r="K8" s="56">
        <v>16095</v>
      </c>
      <c r="L8" s="55"/>
      <c r="M8" s="9">
        <v>55.657036346691527</v>
      </c>
    </row>
    <row r="9" spans="1:13" ht="13" x14ac:dyDescent="0.3">
      <c r="A9" s="1" t="s">
        <v>6</v>
      </c>
      <c r="B9" s="53">
        <v>4467</v>
      </c>
      <c r="C9" s="53">
        <v>4491</v>
      </c>
      <c r="D9" s="53">
        <v>4521</v>
      </c>
      <c r="E9" s="53">
        <v>4562</v>
      </c>
      <c r="F9" s="53">
        <v>4620</v>
      </c>
      <c r="G9" s="53">
        <v>4691</v>
      </c>
      <c r="H9" s="53">
        <v>4770</v>
      </c>
      <c r="I9" s="53">
        <v>4848</v>
      </c>
      <c r="J9" s="53">
        <v>4921</v>
      </c>
      <c r="K9" s="56">
        <v>4986</v>
      </c>
      <c r="L9" s="55"/>
      <c r="M9" s="10">
        <v>34.215804251905332</v>
      </c>
    </row>
    <row r="10" spans="1:13" ht="13" x14ac:dyDescent="0.3">
      <c r="A10" s="1" t="s">
        <v>45</v>
      </c>
      <c r="B10" s="53">
        <v>4368</v>
      </c>
      <c r="C10" s="53">
        <v>4360</v>
      </c>
      <c r="D10" s="53">
        <v>4349</v>
      </c>
      <c r="E10" s="53">
        <v>4339</v>
      </c>
      <c r="F10" s="53">
        <v>4330</v>
      </c>
      <c r="G10" s="53">
        <v>4321</v>
      </c>
      <c r="H10" s="53">
        <v>4314</v>
      </c>
      <c r="I10" s="53">
        <v>4305</v>
      </c>
      <c r="J10" s="53">
        <v>4295</v>
      </c>
      <c r="K10" s="56">
        <v>4285</v>
      </c>
      <c r="L10" s="55"/>
      <c r="M10" s="9">
        <v>41.143523920653443</v>
      </c>
    </row>
    <row r="11" spans="1:13" ht="13" x14ac:dyDescent="0.3">
      <c r="A11" s="1" t="s">
        <v>14</v>
      </c>
      <c r="B11" s="53">
        <v>148791</v>
      </c>
      <c r="C11" s="53">
        <v>148690</v>
      </c>
      <c r="D11" s="53">
        <v>148453</v>
      </c>
      <c r="E11" s="53">
        <v>148141</v>
      </c>
      <c r="F11" s="53">
        <v>147774</v>
      </c>
      <c r="G11" s="53">
        <v>147338</v>
      </c>
      <c r="H11" s="53">
        <v>146823</v>
      </c>
      <c r="I11" s="53">
        <v>146211</v>
      </c>
      <c r="J11" s="53">
        <v>145491</v>
      </c>
      <c r="K11" s="56">
        <v>144664</v>
      </c>
      <c r="L11" s="55"/>
      <c r="M11" s="9">
        <v>72.875076038267977</v>
      </c>
    </row>
    <row r="12" spans="1:13" ht="13" x14ac:dyDescent="0.3">
      <c r="A12" s="1" t="s">
        <v>7</v>
      </c>
      <c r="B12" s="53">
        <v>5509</v>
      </c>
      <c r="C12" s="53">
        <v>5590</v>
      </c>
      <c r="D12" s="53">
        <v>5666</v>
      </c>
      <c r="E12" s="53">
        <v>5741</v>
      </c>
      <c r="F12" s="53">
        <v>5817</v>
      </c>
      <c r="G12" s="53">
        <v>5892</v>
      </c>
      <c r="H12" s="53">
        <v>5964</v>
      </c>
      <c r="I12" s="53">
        <v>6030</v>
      </c>
      <c r="J12" s="53">
        <v>6087</v>
      </c>
      <c r="K12" s="56">
        <v>6135</v>
      </c>
      <c r="L12" s="55"/>
      <c r="M12" s="9">
        <v>27.693561532192341</v>
      </c>
    </row>
    <row r="13" spans="1:13" ht="13" x14ac:dyDescent="0.3">
      <c r="A13" s="1" t="s">
        <v>8</v>
      </c>
      <c r="B13" s="53">
        <v>3878</v>
      </c>
      <c r="C13" s="53">
        <v>3988</v>
      </c>
      <c r="D13" s="53">
        <v>4099</v>
      </c>
      <c r="E13" s="53">
        <v>4210</v>
      </c>
      <c r="F13" s="53">
        <v>4319</v>
      </c>
      <c r="G13" s="53">
        <v>4427</v>
      </c>
      <c r="H13" s="53">
        <v>4533</v>
      </c>
      <c r="I13" s="53">
        <v>4636</v>
      </c>
      <c r="J13" s="53">
        <v>4737</v>
      </c>
      <c r="K13" s="56">
        <v>4835</v>
      </c>
      <c r="L13" s="55"/>
      <c r="M13" s="9">
        <v>44.943123061013445</v>
      </c>
    </row>
    <row r="14" spans="1:13" ht="13" x14ac:dyDescent="0.3">
      <c r="A14" s="1" t="s">
        <v>9</v>
      </c>
      <c r="B14" s="53">
        <v>51949</v>
      </c>
      <c r="C14" s="53">
        <v>51882</v>
      </c>
      <c r="D14" s="53">
        <v>51743</v>
      </c>
      <c r="E14" s="53">
        <v>51531</v>
      </c>
      <c r="F14" s="53">
        <v>51242</v>
      </c>
      <c r="G14" s="53">
        <v>50881</v>
      </c>
      <c r="H14" s="53">
        <v>50466</v>
      </c>
      <c r="I14" s="53">
        <v>50022</v>
      </c>
      <c r="J14" s="53">
        <v>49568</v>
      </c>
      <c r="K14" s="56">
        <v>49112</v>
      </c>
      <c r="L14" s="55"/>
      <c r="M14" s="9">
        <v>67.916191562143666</v>
      </c>
    </row>
    <row r="15" spans="1:13" ht="13.5" thickBot="1" x14ac:dyDescent="0.35">
      <c r="A15" s="4" t="s">
        <v>10</v>
      </c>
      <c r="B15" s="54">
        <v>21438</v>
      </c>
      <c r="C15" s="54">
        <v>21893</v>
      </c>
      <c r="D15" s="54">
        <v>22341</v>
      </c>
      <c r="E15" s="54">
        <v>22785</v>
      </c>
      <c r="F15" s="54">
        <v>23223</v>
      </c>
      <c r="G15" s="54">
        <v>23655</v>
      </c>
      <c r="H15" s="54">
        <v>24078</v>
      </c>
      <c r="I15" s="54">
        <v>24487</v>
      </c>
      <c r="J15" s="54">
        <v>24881</v>
      </c>
      <c r="K15" s="57">
        <v>25257</v>
      </c>
      <c r="L15" s="58"/>
      <c r="M15" s="11">
        <v>36.552242942550578</v>
      </c>
    </row>
    <row r="16" spans="1:13" ht="13" x14ac:dyDescent="0.3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3" x14ac:dyDescent="0.3">
      <c r="A17" s="1" t="s">
        <v>16</v>
      </c>
      <c r="B17" s="1"/>
      <c r="C17" s="1"/>
      <c r="D17" s="8"/>
      <c r="E17" s="1"/>
      <c r="F17" s="1"/>
      <c r="G17" s="1"/>
      <c r="H17" s="1"/>
      <c r="I17" s="1"/>
      <c r="J17" s="1"/>
    </row>
    <row r="18" spans="1:10" ht="13" x14ac:dyDescent="0.3">
      <c r="A18" s="1" t="s">
        <v>12</v>
      </c>
      <c r="B18" s="1"/>
      <c r="C18" s="1"/>
      <c r="D18" s="1"/>
      <c r="E18" s="1"/>
      <c r="F18" s="1"/>
      <c r="G18" s="1"/>
      <c r="H18" s="1"/>
      <c r="I18" s="1"/>
      <c r="J18" s="1"/>
    </row>
  </sheetData>
  <mergeCells count="1">
    <mergeCell ref="A2:K2"/>
  </mergeCells>
  <pageMargins left="0.35433070866141736" right="0.35433070866141736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4" sqref="D4"/>
    </sheetView>
  </sheetViews>
  <sheetFormatPr defaultRowHeight="12.5" x14ac:dyDescent="0.25"/>
  <cols>
    <col min="1" max="1" width="19.1796875" customWidth="1"/>
  </cols>
  <sheetData>
    <row r="1" spans="1:2" ht="13" thickBot="1" x14ac:dyDescent="0.3">
      <c r="A1" s="6"/>
      <c r="B1" s="6"/>
    </row>
    <row r="2" spans="1:2" ht="18" customHeight="1" x14ac:dyDescent="0.25">
      <c r="A2" s="75" t="s">
        <v>15</v>
      </c>
      <c r="B2" s="75"/>
    </row>
    <row r="3" spans="1:2" ht="13" x14ac:dyDescent="0.3">
      <c r="A3" s="8" t="s">
        <v>11</v>
      </c>
      <c r="B3" s="15">
        <v>2000</v>
      </c>
    </row>
    <row r="4" spans="1:2" ht="13" x14ac:dyDescent="0.3">
      <c r="A4" s="1" t="s">
        <v>1</v>
      </c>
      <c r="B4" s="8">
        <v>28</v>
      </c>
    </row>
    <row r="5" spans="1:2" ht="13" x14ac:dyDescent="0.3">
      <c r="A5" s="1" t="s">
        <v>2</v>
      </c>
      <c r="B5" s="3">
        <v>86.6</v>
      </c>
    </row>
    <row r="6" spans="1:2" ht="13" x14ac:dyDescent="0.3">
      <c r="A6" s="1" t="s">
        <v>3</v>
      </c>
      <c r="B6" s="3">
        <v>207.48</v>
      </c>
    </row>
    <row r="7" spans="1:2" ht="13" x14ac:dyDescent="0.3">
      <c r="A7" s="1" t="s">
        <v>4</v>
      </c>
      <c r="B7" s="3">
        <v>69.489999999999995</v>
      </c>
    </row>
    <row r="8" spans="1:2" ht="13" x14ac:dyDescent="0.3">
      <c r="A8" s="1" t="s">
        <v>5</v>
      </c>
      <c r="B8" s="3">
        <v>2699.7</v>
      </c>
    </row>
    <row r="9" spans="1:2" ht="13" x14ac:dyDescent="0.3">
      <c r="A9" s="1" t="s">
        <v>6</v>
      </c>
      <c r="B9" s="3">
        <v>191.8</v>
      </c>
    </row>
    <row r="10" spans="1:2" ht="13" x14ac:dyDescent="0.3">
      <c r="A10" s="1" t="s">
        <v>13</v>
      </c>
      <c r="B10" s="3">
        <v>32.97</v>
      </c>
    </row>
    <row r="11" spans="1:2" ht="13" x14ac:dyDescent="0.3">
      <c r="A11" s="1" t="s">
        <v>14</v>
      </c>
      <c r="B11" s="3">
        <v>16888.5</v>
      </c>
    </row>
    <row r="12" spans="1:2" ht="13" x14ac:dyDescent="0.3">
      <c r="A12" s="1" t="s">
        <v>7</v>
      </c>
      <c r="B12" s="3">
        <v>140.6</v>
      </c>
    </row>
    <row r="13" spans="1:2" ht="13" x14ac:dyDescent="0.3">
      <c r="A13" s="1" t="s">
        <v>8</v>
      </c>
      <c r="B13" s="3">
        <v>469.93</v>
      </c>
    </row>
    <row r="14" spans="1:2" ht="13" x14ac:dyDescent="0.3">
      <c r="A14" s="1" t="s">
        <v>9</v>
      </c>
      <c r="B14" s="3">
        <v>579.35</v>
      </c>
    </row>
    <row r="15" spans="1:2" ht="13.5" thickBot="1" x14ac:dyDescent="0.35">
      <c r="A15" s="4" t="s">
        <v>10</v>
      </c>
      <c r="B15" s="5">
        <v>414.24</v>
      </c>
    </row>
    <row r="16" spans="1:2" x14ac:dyDescent="0.25">
      <c r="A16" s="13"/>
      <c r="B16" s="13"/>
    </row>
    <row r="17" spans="1:2" x14ac:dyDescent="0.25">
      <c r="A17" s="14" t="s">
        <v>12</v>
      </c>
      <c r="B17" s="13"/>
    </row>
  </sheetData>
  <mergeCells count="1">
    <mergeCell ref="A2:B2"/>
  </mergeCells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opLeftCell="A11" zoomScale="75" workbookViewId="0">
      <selection activeCell="O43" sqref="O43"/>
    </sheetView>
  </sheetViews>
  <sheetFormatPr defaultColWidth="9.1796875" defaultRowHeight="13" x14ac:dyDescent="0.3"/>
  <cols>
    <col min="1" max="1" width="12.453125" style="1" customWidth="1"/>
    <col min="2" max="12" width="5.7265625" style="1" customWidth="1"/>
    <col min="13" max="13" width="5" style="1" customWidth="1"/>
    <col min="14" max="14" width="5.1796875" style="1" customWidth="1"/>
    <col min="15" max="15" width="3.26953125" style="1" customWidth="1"/>
    <col min="16" max="16" width="7.81640625" style="1" customWidth="1"/>
    <col min="17" max="16384" width="9.1796875" style="1"/>
  </cols>
  <sheetData>
    <row r="1" spans="1:16" ht="13.5" thickBot="1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4"/>
      <c r="O1" s="4"/>
      <c r="P1" s="4"/>
    </row>
    <row r="2" spans="1:16" x14ac:dyDescent="0.3">
      <c r="A2" s="76" t="s">
        <v>18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39.75" customHeight="1" x14ac:dyDescent="0.3">
      <c r="B3" s="77" t="s">
        <v>17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P3" s="7" t="s">
        <v>21</v>
      </c>
    </row>
    <row r="4" spans="1:16" x14ac:dyDescent="0.3">
      <c r="A4" s="1" t="s">
        <v>11</v>
      </c>
      <c r="B4" s="2">
        <v>1991</v>
      </c>
      <c r="C4" s="2">
        <v>1992</v>
      </c>
      <c r="D4" s="2">
        <v>1993</v>
      </c>
      <c r="E4" s="2">
        <v>1994</v>
      </c>
      <c r="F4" s="2">
        <v>1995</v>
      </c>
      <c r="G4" s="2">
        <v>1996</v>
      </c>
      <c r="H4" s="2">
        <v>1997</v>
      </c>
      <c r="I4" s="2">
        <v>1998</v>
      </c>
      <c r="J4" s="2">
        <v>1999</v>
      </c>
      <c r="K4" s="2">
        <v>2000</v>
      </c>
      <c r="L4" s="2">
        <v>2001</v>
      </c>
      <c r="M4" s="2">
        <v>2002</v>
      </c>
      <c r="N4" s="2">
        <v>2003</v>
      </c>
      <c r="P4" s="2">
        <v>2003</v>
      </c>
    </row>
    <row r="5" spans="1:16" x14ac:dyDescent="0.3">
      <c r="A5" s="1" t="s">
        <v>1</v>
      </c>
      <c r="B5">
        <v>-12.4</v>
      </c>
      <c r="C5">
        <v>-52.6</v>
      </c>
      <c r="D5">
        <v>-14.1</v>
      </c>
      <c r="E5">
        <v>5.4</v>
      </c>
      <c r="F5">
        <v>6.9</v>
      </c>
      <c r="G5">
        <v>5.9</v>
      </c>
      <c r="H5">
        <v>3.3</v>
      </c>
      <c r="I5">
        <v>7.3</v>
      </c>
      <c r="J5">
        <v>3.3</v>
      </c>
      <c r="K5">
        <v>6</v>
      </c>
      <c r="L5">
        <v>9.6</v>
      </c>
      <c r="M5">
        <v>7.5</v>
      </c>
      <c r="N5">
        <v>6</v>
      </c>
      <c r="P5" s="61">
        <v>2.4500000000000002</v>
      </c>
    </row>
    <row r="6" spans="1:16" x14ac:dyDescent="0.3">
      <c r="A6" s="1" t="s">
        <v>2</v>
      </c>
      <c r="B6">
        <v>-0.7</v>
      </c>
      <c r="C6">
        <v>-22.7</v>
      </c>
      <c r="D6">
        <v>-23.1</v>
      </c>
      <c r="E6">
        <v>-19.7</v>
      </c>
      <c r="F6">
        <v>-11.8</v>
      </c>
      <c r="G6">
        <v>1.3</v>
      </c>
      <c r="H6">
        <v>5.8</v>
      </c>
      <c r="I6">
        <v>10</v>
      </c>
      <c r="J6">
        <v>7.4</v>
      </c>
      <c r="K6">
        <v>11.1</v>
      </c>
      <c r="L6">
        <v>9</v>
      </c>
      <c r="M6">
        <v>7.9</v>
      </c>
      <c r="N6">
        <v>7.3</v>
      </c>
      <c r="P6" s="61">
        <v>6.6769999999999996</v>
      </c>
    </row>
    <row r="7" spans="1:16" x14ac:dyDescent="0.3">
      <c r="A7" s="1" t="s">
        <v>3</v>
      </c>
      <c r="B7">
        <v>-1.2</v>
      </c>
      <c r="C7">
        <v>-9.6999999999999993</v>
      </c>
      <c r="D7">
        <v>-7</v>
      </c>
      <c r="E7">
        <v>-9</v>
      </c>
      <c r="F7">
        <v>-10.4</v>
      </c>
      <c r="G7">
        <v>2.8</v>
      </c>
      <c r="H7">
        <v>11.4</v>
      </c>
      <c r="I7">
        <v>8.3000000000000007</v>
      </c>
      <c r="J7">
        <v>3.4</v>
      </c>
      <c r="K7">
        <v>5.8</v>
      </c>
      <c r="L7">
        <v>4.0999999999999996</v>
      </c>
      <c r="M7">
        <v>3.5</v>
      </c>
      <c r="N7">
        <v>3.8</v>
      </c>
      <c r="P7" s="61">
        <v>14.058999999999999</v>
      </c>
    </row>
    <row r="8" spans="1:16" x14ac:dyDescent="0.3">
      <c r="A8" s="1" t="s">
        <v>4</v>
      </c>
      <c r="B8">
        <v>-21.1</v>
      </c>
      <c r="C8">
        <v>-44.9</v>
      </c>
      <c r="D8">
        <v>-29.3</v>
      </c>
      <c r="E8">
        <v>-10.4</v>
      </c>
      <c r="F8">
        <v>2.6</v>
      </c>
      <c r="G8">
        <v>10.5</v>
      </c>
      <c r="H8">
        <v>10.6</v>
      </c>
      <c r="I8">
        <v>2.9</v>
      </c>
      <c r="J8">
        <v>3</v>
      </c>
      <c r="K8">
        <v>1.9</v>
      </c>
      <c r="L8">
        <v>4.5</v>
      </c>
      <c r="M8">
        <v>3.5</v>
      </c>
      <c r="N8">
        <v>4</v>
      </c>
      <c r="P8" s="61">
        <v>3.605</v>
      </c>
    </row>
    <row r="9" spans="1:16" x14ac:dyDescent="0.3">
      <c r="A9" s="1" t="s">
        <v>5</v>
      </c>
      <c r="B9">
        <v>-11</v>
      </c>
      <c r="C9">
        <v>-5.3</v>
      </c>
      <c r="D9">
        <v>-9.1999999999999993</v>
      </c>
      <c r="E9">
        <v>-12.6</v>
      </c>
      <c r="F9">
        <v>-8.3000000000000007</v>
      </c>
      <c r="G9">
        <v>0.5</v>
      </c>
      <c r="H9">
        <v>1.6</v>
      </c>
      <c r="I9">
        <v>-1.9</v>
      </c>
      <c r="J9">
        <v>2.7</v>
      </c>
      <c r="K9">
        <v>9.8000000000000007</v>
      </c>
      <c r="L9">
        <v>13.2</v>
      </c>
      <c r="M9">
        <v>8</v>
      </c>
      <c r="N9">
        <v>7</v>
      </c>
      <c r="P9" s="61">
        <v>27.271999999999998</v>
      </c>
    </row>
    <row r="10" spans="1:16" x14ac:dyDescent="0.3">
      <c r="A10" s="1" t="s">
        <v>6</v>
      </c>
      <c r="B10">
        <v>-7.8</v>
      </c>
      <c r="C10">
        <v>-13.9</v>
      </c>
      <c r="D10">
        <v>-15.5</v>
      </c>
      <c r="E10">
        <v>-19.8</v>
      </c>
      <c r="F10">
        <v>-5.4</v>
      </c>
      <c r="G10">
        <v>7</v>
      </c>
      <c r="H10">
        <v>9.9</v>
      </c>
      <c r="I10">
        <v>2.1</v>
      </c>
      <c r="J10">
        <v>3.7</v>
      </c>
      <c r="K10">
        <v>5.4</v>
      </c>
      <c r="L10">
        <v>5.3</v>
      </c>
      <c r="M10">
        <v>4.4000000000000004</v>
      </c>
      <c r="N10">
        <v>3.8</v>
      </c>
      <c r="P10" s="61">
        <v>1.8280000000000001</v>
      </c>
    </row>
    <row r="11" spans="1:16" x14ac:dyDescent="0.3">
      <c r="A11" s="1" t="s">
        <v>13</v>
      </c>
      <c r="B11">
        <v>-17.5</v>
      </c>
      <c r="C11">
        <v>-34.6</v>
      </c>
      <c r="D11">
        <v>-1.2</v>
      </c>
      <c r="E11">
        <v>-30.9</v>
      </c>
      <c r="F11">
        <v>-1.4</v>
      </c>
      <c r="G11">
        <v>-5.9</v>
      </c>
      <c r="H11">
        <v>1.6</v>
      </c>
      <c r="I11">
        <v>-6.5</v>
      </c>
      <c r="J11">
        <v>-3.4</v>
      </c>
      <c r="K11">
        <v>2.1</v>
      </c>
      <c r="L11">
        <v>6.1</v>
      </c>
      <c r="M11">
        <v>4.8</v>
      </c>
      <c r="N11">
        <v>5</v>
      </c>
      <c r="P11" s="61">
        <v>1.839</v>
      </c>
    </row>
    <row r="12" spans="1:16" x14ac:dyDescent="0.3">
      <c r="A12" s="1" t="s">
        <v>14</v>
      </c>
      <c r="B12">
        <v>-5.5</v>
      </c>
      <c r="C12">
        <v>-18.600000000000001</v>
      </c>
      <c r="D12">
        <v>-13</v>
      </c>
      <c r="E12">
        <v>-13.5</v>
      </c>
      <c r="F12">
        <v>-4.2</v>
      </c>
      <c r="G12">
        <v>-3.4</v>
      </c>
      <c r="H12">
        <v>0.9</v>
      </c>
      <c r="I12">
        <v>-4.9000000000000004</v>
      </c>
      <c r="J12">
        <v>5.4</v>
      </c>
      <c r="K12">
        <v>9</v>
      </c>
      <c r="L12">
        <v>5</v>
      </c>
      <c r="M12">
        <v>4.4000000000000004</v>
      </c>
      <c r="N12">
        <v>4.9000000000000004</v>
      </c>
      <c r="P12" s="61">
        <v>387.01900000000001</v>
      </c>
    </row>
    <row r="13" spans="1:16" x14ac:dyDescent="0.3">
      <c r="A13" s="1" t="s">
        <v>7</v>
      </c>
      <c r="B13">
        <v>-7.1</v>
      </c>
      <c r="C13">
        <v>-28.9</v>
      </c>
      <c r="D13">
        <v>-11.1</v>
      </c>
      <c r="E13">
        <v>-21.4</v>
      </c>
      <c r="F13">
        <v>-12.5</v>
      </c>
      <c r="G13">
        <v>-4.4000000000000004</v>
      </c>
      <c r="H13">
        <v>1.7</v>
      </c>
      <c r="I13">
        <v>5.3</v>
      </c>
      <c r="J13">
        <v>3.7</v>
      </c>
      <c r="K13">
        <v>8.3000000000000007</v>
      </c>
      <c r="L13">
        <v>10.199999999999999</v>
      </c>
      <c r="M13">
        <v>7</v>
      </c>
      <c r="N13">
        <v>6</v>
      </c>
      <c r="P13" s="61">
        <v>1.3879999999999999</v>
      </c>
    </row>
    <row r="14" spans="1:16" ht="15" x14ac:dyDescent="0.3">
      <c r="A14" s="1" t="s">
        <v>8</v>
      </c>
      <c r="B14" s="9">
        <v>-4.7</v>
      </c>
      <c r="C14" s="9">
        <v>-5.3</v>
      </c>
      <c r="D14">
        <v>-10</v>
      </c>
      <c r="E14">
        <v>-17.3</v>
      </c>
      <c r="F14">
        <v>-7.2</v>
      </c>
      <c r="G14">
        <v>-6.7</v>
      </c>
      <c r="H14">
        <v>-11.3</v>
      </c>
      <c r="I14">
        <v>7</v>
      </c>
      <c r="J14">
        <v>16.5</v>
      </c>
      <c r="K14">
        <v>18</v>
      </c>
      <c r="L14">
        <v>20.5</v>
      </c>
      <c r="M14" s="60" t="s">
        <v>22</v>
      </c>
      <c r="N14" s="60" t="s">
        <v>22</v>
      </c>
      <c r="P14" s="63" t="s">
        <v>85</v>
      </c>
    </row>
    <row r="15" spans="1:16" x14ac:dyDescent="0.3">
      <c r="A15" s="1" t="s">
        <v>9</v>
      </c>
      <c r="B15">
        <v>-10.6</v>
      </c>
      <c r="C15">
        <v>-9.6999999999999993</v>
      </c>
      <c r="D15">
        <v>-14.2</v>
      </c>
      <c r="E15">
        <v>-22.9</v>
      </c>
      <c r="F15">
        <v>-12.2</v>
      </c>
      <c r="G15">
        <v>-10</v>
      </c>
      <c r="H15">
        <v>-3</v>
      </c>
      <c r="I15">
        <v>-1.9</v>
      </c>
      <c r="J15">
        <v>-0.2</v>
      </c>
      <c r="K15">
        <v>5.9</v>
      </c>
      <c r="L15">
        <v>9.1</v>
      </c>
      <c r="M15">
        <v>4.8</v>
      </c>
      <c r="N15">
        <v>5</v>
      </c>
      <c r="P15" s="61">
        <v>45.706000000000003</v>
      </c>
    </row>
    <row r="16" spans="1:16" ht="13.5" thickBot="1" x14ac:dyDescent="0.35">
      <c r="A16" s="4" t="s">
        <v>10</v>
      </c>
      <c r="B16" s="6">
        <v>-0.5</v>
      </c>
      <c r="C16" s="6">
        <v>-11.1</v>
      </c>
      <c r="D16" s="6">
        <v>-2.2999999999999998</v>
      </c>
      <c r="E16" s="6">
        <v>-4.2</v>
      </c>
      <c r="F16" s="6">
        <v>-0.9</v>
      </c>
      <c r="G16" s="6">
        <v>1.6</v>
      </c>
      <c r="H16" s="6">
        <v>2.5</v>
      </c>
      <c r="I16" s="6">
        <v>4.3</v>
      </c>
      <c r="J16" s="6">
        <v>4.3</v>
      </c>
      <c r="K16" s="6">
        <v>3.8</v>
      </c>
      <c r="L16" s="6">
        <v>4.5</v>
      </c>
      <c r="M16" s="6">
        <v>2.7</v>
      </c>
      <c r="N16" s="6">
        <v>3</v>
      </c>
      <c r="O16" s="4"/>
      <c r="P16" s="62">
        <v>8.6489999999999991</v>
      </c>
    </row>
    <row r="18" spans="1:18" x14ac:dyDescent="0.3">
      <c r="A18" s="1" t="s">
        <v>20</v>
      </c>
    </row>
    <row r="19" spans="1:18" x14ac:dyDescent="0.3">
      <c r="A19" s="1" t="s">
        <v>86</v>
      </c>
    </row>
    <row r="20" spans="1:18" x14ac:dyDescent="0.3">
      <c r="A20" s="1" t="s">
        <v>87</v>
      </c>
    </row>
    <row r="24" spans="1:18" x14ac:dyDescent="0.3">
      <c r="P24"/>
      <c r="Q24"/>
      <c r="R24"/>
    </row>
    <row r="25" spans="1:18" x14ac:dyDescent="0.3">
      <c r="P25"/>
      <c r="Q25"/>
      <c r="R25"/>
    </row>
    <row r="26" spans="1:18" x14ac:dyDescent="0.3">
      <c r="P26"/>
      <c r="Q26"/>
      <c r="R26"/>
    </row>
    <row r="27" spans="1:18" x14ac:dyDescent="0.3">
      <c r="P27"/>
      <c r="Q27"/>
      <c r="R27"/>
    </row>
    <row r="28" spans="1:18" x14ac:dyDescent="0.3">
      <c r="P28"/>
      <c r="Q28"/>
      <c r="R28"/>
    </row>
    <row r="44" spans="1:13" x14ac:dyDescent="0.3">
      <c r="A44" s="1" t="s">
        <v>11</v>
      </c>
      <c r="M44" s="1" t="s">
        <v>11</v>
      </c>
    </row>
  </sheetData>
  <mergeCells count="2">
    <mergeCell ref="A2:P2"/>
    <mergeCell ref="B3:N3"/>
  </mergeCells>
  <pageMargins left="0.55118110236220474" right="0.35433070866141736" top="0.98425196850393704" bottom="0.98425196850393704" header="0.51181102362204722" footer="0.51181102362204722"/>
  <pageSetup paperSize="9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3" workbookViewId="0">
      <selection activeCell="O8" sqref="O8"/>
    </sheetView>
  </sheetViews>
  <sheetFormatPr defaultRowHeight="12.5" x14ac:dyDescent="0.25"/>
  <cols>
    <col min="1" max="1" width="10.453125" customWidth="1"/>
    <col min="2" max="13" width="6.7265625" customWidth="1"/>
    <col min="14" max="14" width="6.26953125" customWidth="1"/>
  </cols>
  <sheetData>
    <row r="1" spans="1:14" ht="13" thickBot="1" x14ac:dyDescent="0.3">
      <c r="N1" s="6"/>
    </row>
    <row r="2" spans="1:14" ht="15" x14ac:dyDescent="0.3">
      <c r="A2" s="78" t="s">
        <v>24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4" ht="13" x14ac:dyDescent="0.3">
      <c r="A3" s="17"/>
      <c r="B3" s="18">
        <v>1991</v>
      </c>
      <c r="C3" s="18">
        <v>1992</v>
      </c>
      <c r="D3" s="18">
        <v>1993</v>
      </c>
      <c r="E3" s="18">
        <v>1994</v>
      </c>
      <c r="F3" s="18">
        <v>1995</v>
      </c>
      <c r="G3" s="18">
        <v>1996</v>
      </c>
      <c r="H3" s="18">
        <v>1997</v>
      </c>
      <c r="I3" s="18">
        <v>1998</v>
      </c>
      <c r="J3" s="18">
        <v>1999</v>
      </c>
      <c r="K3" s="18">
        <v>2000</v>
      </c>
      <c r="L3" s="18">
        <v>2001</v>
      </c>
      <c r="M3" s="18">
        <v>2002</v>
      </c>
      <c r="N3" s="18">
        <v>2003</v>
      </c>
    </row>
    <row r="4" spans="1:14" ht="13" x14ac:dyDescent="0.3">
      <c r="A4" s="1" t="s">
        <v>1</v>
      </c>
      <c r="B4" s="65">
        <v>100.3</v>
      </c>
      <c r="C4" s="65">
        <v>824.5</v>
      </c>
      <c r="D4" s="65">
        <v>3731.8</v>
      </c>
      <c r="E4" s="65">
        <v>5273.4</v>
      </c>
      <c r="F4" s="65">
        <v>176.7</v>
      </c>
      <c r="G4" s="65">
        <v>18.7</v>
      </c>
      <c r="H4" s="65">
        <v>14</v>
      </c>
      <c r="I4" s="65">
        <v>8.6999999999999993</v>
      </c>
      <c r="J4" s="65">
        <v>0.7</v>
      </c>
      <c r="K4" s="65">
        <v>-0.8</v>
      </c>
      <c r="L4" s="65">
        <v>3.2</v>
      </c>
      <c r="M4" s="65">
        <v>2.8</v>
      </c>
      <c r="N4" s="65">
        <v>2.8</v>
      </c>
    </row>
    <row r="5" spans="1:14" ht="13" x14ac:dyDescent="0.3">
      <c r="A5" s="1" t="s">
        <v>2</v>
      </c>
      <c r="B5" s="65">
        <v>105.6</v>
      </c>
      <c r="C5" s="65">
        <v>912.6</v>
      </c>
      <c r="D5" s="65">
        <v>1129.7</v>
      </c>
      <c r="E5" s="65">
        <v>1664</v>
      </c>
      <c r="F5" s="65">
        <v>411.8</v>
      </c>
      <c r="G5" s="65">
        <v>19.8</v>
      </c>
      <c r="H5" s="65">
        <v>3.7</v>
      </c>
      <c r="I5" s="65">
        <v>-0.8</v>
      </c>
      <c r="J5" s="65">
        <v>-8.5</v>
      </c>
      <c r="K5" s="65">
        <v>1.8</v>
      </c>
      <c r="L5" s="65">
        <v>1.5</v>
      </c>
      <c r="M5" s="65">
        <v>2.4</v>
      </c>
      <c r="N5" s="65">
        <v>3.3</v>
      </c>
    </row>
    <row r="6" spans="1:14" ht="13" x14ac:dyDescent="0.3">
      <c r="A6" s="1" t="s">
        <v>3</v>
      </c>
      <c r="B6" s="65">
        <v>83.5</v>
      </c>
      <c r="C6" s="65">
        <v>969</v>
      </c>
      <c r="D6" s="65">
        <v>1190.2</v>
      </c>
      <c r="E6" s="65">
        <v>2434.1</v>
      </c>
      <c r="F6" s="65">
        <v>709.3</v>
      </c>
      <c r="G6" s="65">
        <v>52.7</v>
      </c>
      <c r="H6" s="65">
        <v>63.9</v>
      </c>
      <c r="I6" s="65">
        <v>73.2</v>
      </c>
      <c r="J6" s="65">
        <v>293.8</v>
      </c>
      <c r="K6" s="65">
        <v>168.9</v>
      </c>
      <c r="L6" s="65">
        <v>61.3</v>
      </c>
      <c r="M6" s="65">
        <v>43.1</v>
      </c>
      <c r="N6" s="65">
        <v>22.5</v>
      </c>
    </row>
    <row r="7" spans="1:14" ht="13" x14ac:dyDescent="0.3">
      <c r="A7" s="1" t="s">
        <v>4</v>
      </c>
      <c r="B7" s="65">
        <v>78.5</v>
      </c>
      <c r="C7" s="65">
        <v>887.4</v>
      </c>
      <c r="D7" s="65">
        <v>3125.4</v>
      </c>
      <c r="E7" s="65">
        <v>15606.5</v>
      </c>
      <c r="F7" s="65">
        <v>162.69999999999999</v>
      </c>
      <c r="G7" s="65">
        <v>39.299999999999997</v>
      </c>
      <c r="H7" s="65">
        <v>7</v>
      </c>
      <c r="I7" s="65">
        <v>3.6</v>
      </c>
      <c r="J7" s="65">
        <v>19.100000000000001</v>
      </c>
      <c r="K7" s="65">
        <v>4</v>
      </c>
      <c r="L7" s="65">
        <v>4.7</v>
      </c>
      <c r="M7" s="65">
        <v>5.9</v>
      </c>
      <c r="N7" s="65">
        <v>5</v>
      </c>
    </row>
    <row r="8" spans="1:14" ht="13" x14ac:dyDescent="0.3">
      <c r="A8" s="1" t="s">
        <v>5</v>
      </c>
      <c r="B8" s="65">
        <v>91</v>
      </c>
      <c r="C8" s="65">
        <v>1515.7</v>
      </c>
      <c r="D8" s="65">
        <v>1662.3</v>
      </c>
      <c r="E8" s="65">
        <v>1879.9</v>
      </c>
      <c r="F8" s="65">
        <v>176.3</v>
      </c>
      <c r="G8" s="65">
        <v>39.1</v>
      </c>
      <c r="H8" s="65">
        <v>17.399999999999999</v>
      </c>
      <c r="I8" s="65">
        <v>7.3</v>
      </c>
      <c r="J8" s="65">
        <v>8.4</v>
      </c>
      <c r="K8" s="65">
        <v>13.3</v>
      </c>
      <c r="L8" s="65">
        <v>8.3000000000000007</v>
      </c>
      <c r="M8" s="65">
        <v>5.8</v>
      </c>
      <c r="N8" s="65">
        <v>6.2</v>
      </c>
    </row>
    <row r="9" spans="1:14" ht="13" x14ac:dyDescent="0.3">
      <c r="A9" s="1" t="s">
        <v>6</v>
      </c>
      <c r="B9" s="65">
        <v>85</v>
      </c>
      <c r="C9" s="65">
        <v>853.8</v>
      </c>
      <c r="D9" s="65">
        <v>772.4</v>
      </c>
      <c r="E9" s="65">
        <v>190.1</v>
      </c>
      <c r="F9" s="65">
        <v>43.5</v>
      </c>
      <c r="G9" s="65">
        <v>32</v>
      </c>
      <c r="H9" s="65">
        <v>23.5</v>
      </c>
      <c r="I9" s="65">
        <v>10.5</v>
      </c>
      <c r="J9" s="65">
        <v>35.9</v>
      </c>
      <c r="K9" s="65">
        <v>18.7</v>
      </c>
      <c r="L9" s="65">
        <v>7</v>
      </c>
      <c r="M9" s="65">
        <v>4.0999999999999996</v>
      </c>
      <c r="N9" s="65">
        <v>4.5</v>
      </c>
    </row>
    <row r="10" spans="1:14" ht="13" x14ac:dyDescent="0.3">
      <c r="A10" s="1" t="s">
        <v>13</v>
      </c>
      <c r="B10" s="65">
        <v>162</v>
      </c>
      <c r="C10" s="65">
        <v>1276</v>
      </c>
      <c r="D10" s="65">
        <v>788.5</v>
      </c>
      <c r="E10" s="65">
        <v>329.6</v>
      </c>
      <c r="F10" s="65">
        <v>30.2</v>
      </c>
      <c r="G10" s="65">
        <v>23.5</v>
      </c>
      <c r="H10" s="65">
        <v>11.8</v>
      </c>
      <c r="I10" s="65">
        <v>7.7</v>
      </c>
      <c r="J10" s="65">
        <v>39.299999999999997</v>
      </c>
      <c r="K10" s="65">
        <v>31.3</v>
      </c>
      <c r="L10" s="65">
        <v>9.8000000000000007</v>
      </c>
      <c r="M10" s="65">
        <v>6.6</v>
      </c>
      <c r="N10" s="65">
        <v>8.4</v>
      </c>
    </row>
    <row r="11" spans="1:14" ht="13" x14ac:dyDescent="0.3">
      <c r="A11" s="1" t="s">
        <v>23</v>
      </c>
      <c r="B11" s="65">
        <v>91.4</v>
      </c>
      <c r="C11" s="65">
        <v>1734.7</v>
      </c>
      <c r="D11" s="65">
        <v>878.8</v>
      </c>
      <c r="E11" s="65">
        <v>307.5</v>
      </c>
      <c r="F11" s="65">
        <v>198</v>
      </c>
      <c r="G11" s="65">
        <v>47.9</v>
      </c>
      <c r="H11" s="65">
        <v>14.7</v>
      </c>
      <c r="I11" s="65">
        <v>27.8</v>
      </c>
      <c r="J11" s="65">
        <v>85.7</v>
      </c>
      <c r="K11" s="65">
        <v>20.8</v>
      </c>
      <c r="L11" s="65">
        <v>20.7</v>
      </c>
      <c r="M11" s="65">
        <v>15.8</v>
      </c>
      <c r="N11" s="65">
        <v>11</v>
      </c>
    </row>
    <row r="12" spans="1:14" ht="13" x14ac:dyDescent="0.3">
      <c r="A12" s="1" t="s">
        <v>7</v>
      </c>
      <c r="B12" s="65">
        <v>111.6</v>
      </c>
      <c r="C12" s="65">
        <v>1156.7</v>
      </c>
      <c r="D12" s="65">
        <v>2194.9</v>
      </c>
      <c r="E12" s="65">
        <v>350.4</v>
      </c>
      <c r="F12" s="65">
        <v>610</v>
      </c>
      <c r="G12" s="65">
        <v>418.2</v>
      </c>
      <c r="H12" s="65">
        <v>88</v>
      </c>
      <c r="I12" s="65">
        <v>43.2</v>
      </c>
      <c r="J12" s="65">
        <v>27.5</v>
      </c>
      <c r="K12" s="65">
        <v>32.9</v>
      </c>
      <c r="L12" s="65">
        <v>38.6</v>
      </c>
      <c r="M12" s="65">
        <v>10.7</v>
      </c>
      <c r="N12" s="65">
        <v>7.6</v>
      </c>
    </row>
    <row r="13" spans="1:14" ht="13" x14ac:dyDescent="0.3">
      <c r="A13" s="1" t="s">
        <v>8</v>
      </c>
      <c r="B13" s="19" t="s">
        <v>84</v>
      </c>
      <c r="C13" s="65">
        <v>492.9</v>
      </c>
      <c r="D13" s="65">
        <v>3102.4</v>
      </c>
      <c r="E13" s="65">
        <v>1748.3</v>
      </c>
      <c r="F13" s="65">
        <v>1005.2</v>
      </c>
      <c r="G13" s="65">
        <v>992.4</v>
      </c>
      <c r="H13" s="65">
        <v>83.7</v>
      </c>
      <c r="I13" s="65">
        <v>16.8</v>
      </c>
      <c r="J13" s="65">
        <v>23.5</v>
      </c>
      <c r="K13" s="65">
        <v>8</v>
      </c>
      <c r="L13" s="65">
        <v>11.3</v>
      </c>
      <c r="M13" s="19" t="s">
        <v>84</v>
      </c>
      <c r="N13" s="19" t="s">
        <v>84</v>
      </c>
    </row>
    <row r="14" spans="1:14" ht="13" x14ac:dyDescent="0.3">
      <c r="A14" s="1" t="s">
        <v>9</v>
      </c>
      <c r="B14" s="65">
        <v>91.2</v>
      </c>
      <c r="C14" s="65">
        <v>1210</v>
      </c>
      <c r="D14" s="65">
        <v>4734.8</v>
      </c>
      <c r="E14" s="65">
        <v>891.2</v>
      </c>
      <c r="F14" s="65">
        <v>376.4</v>
      </c>
      <c r="G14" s="65">
        <v>80.2</v>
      </c>
      <c r="H14" s="65">
        <v>15.9</v>
      </c>
      <c r="I14" s="65">
        <v>14.5</v>
      </c>
      <c r="J14" s="65">
        <v>22.7</v>
      </c>
      <c r="K14" s="65">
        <v>28.2</v>
      </c>
      <c r="L14" s="65">
        <v>12</v>
      </c>
      <c r="M14" s="65">
        <v>5.0999999999999996</v>
      </c>
      <c r="N14" s="65">
        <v>9.1</v>
      </c>
    </row>
    <row r="15" spans="1:14" ht="13.5" thickBot="1" x14ac:dyDescent="0.35">
      <c r="A15" s="4" t="s">
        <v>10</v>
      </c>
      <c r="B15" s="66">
        <v>109.7</v>
      </c>
      <c r="C15" s="66">
        <v>645.20000000000005</v>
      </c>
      <c r="D15" s="66">
        <v>534.20000000000005</v>
      </c>
      <c r="E15" s="66">
        <v>1568.3</v>
      </c>
      <c r="F15" s="66">
        <v>304.60000000000002</v>
      </c>
      <c r="G15" s="66">
        <v>54</v>
      </c>
      <c r="H15" s="66">
        <v>70.900000000000006</v>
      </c>
      <c r="I15" s="66">
        <v>29</v>
      </c>
      <c r="J15" s="66">
        <v>29.1</v>
      </c>
      <c r="K15" s="66">
        <v>25</v>
      </c>
      <c r="L15" s="66">
        <v>27.2</v>
      </c>
      <c r="M15" s="66">
        <v>23.2</v>
      </c>
      <c r="N15" s="66">
        <v>13.5</v>
      </c>
    </row>
    <row r="16" spans="1:14" ht="13" x14ac:dyDescent="0.3">
      <c r="A16" s="8"/>
      <c r="B16" s="20"/>
      <c r="C16" s="10"/>
      <c r="D16" s="10"/>
      <c r="E16" s="10"/>
      <c r="F16" s="10"/>
      <c r="G16" s="10"/>
      <c r="H16" s="10"/>
      <c r="I16" s="10"/>
      <c r="J16" s="1"/>
      <c r="K16" s="1"/>
      <c r="L16" s="1"/>
      <c r="M16" s="1"/>
    </row>
    <row r="17" spans="1:13" ht="13" x14ac:dyDescent="0.3">
      <c r="A17" s="1" t="s">
        <v>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3" x14ac:dyDescent="0.3">
      <c r="A18" s="1" t="s">
        <v>87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mergeCells count="1">
    <mergeCell ref="A2:M2"/>
  </mergeCells>
  <pageMargins left="0.35433070866141736" right="0.35433070866141736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/>
  </sheetViews>
  <sheetFormatPr defaultRowHeight="12.5" x14ac:dyDescent="0.25"/>
  <cols>
    <col min="1" max="1" width="10.26953125" customWidth="1"/>
    <col min="2" max="11" width="7.7265625" customWidth="1"/>
    <col min="12" max="12" width="7.453125" customWidth="1"/>
    <col min="13" max="13" width="2.453125" customWidth="1"/>
  </cols>
  <sheetData>
    <row r="1" spans="1:12" ht="13" thickBo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3" x14ac:dyDescent="0.3">
      <c r="A2" s="76" t="s">
        <v>27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13" x14ac:dyDescent="0.3">
      <c r="A3" s="79" t="s">
        <v>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2" ht="13" x14ac:dyDescent="0.3">
      <c r="A4" s="17" t="s">
        <v>11</v>
      </c>
      <c r="B4" s="18">
        <v>1991</v>
      </c>
      <c r="C4" s="18">
        <v>1992</v>
      </c>
      <c r="D4" s="18">
        <v>1993</v>
      </c>
      <c r="E4" s="18">
        <v>1994</v>
      </c>
      <c r="F4" s="18">
        <v>1995</v>
      </c>
      <c r="G4" s="18">
        <v>1996</v>
      </c>
      <c r="H4" s="18">
        <v>1997</v>
      </c>
      <c r="I4" s="18">
        <v>1998</v>
      </c>
      <c r="J4" s="18">
        <v>1999</v>
      </c>
      <c r="K4" s="18">
        <v>2000</v>
      </c>
      <c r="L4" s="18">
        <v>2001</v>
      </c>
    </row>
    <row r="5" spans="1:12" ht="13" x14ac:dyDescent="0.3">
      <c r="A5" s="1" t="s">
        <v>1</v>
      </c>
      <c r="B5" s="23">
        <v>28</v>
      </c>
      <c r="C5" s="23">
        <v>46.7</v>
      </c>
      <c r="D5" s="23">
        <v>82.9</v>
      </c>
      <c r="E5" s="23">
        <v>44.1</v>
      </c>
      <c r="F5" s="23">
        <v>28.9</v>
      </c>
      <c r="G5" s="23">
        <v>26.2</v>
      </c>
      <c r="H5" s="23">
        <v>25.5</v>
      </c>
      <c r="I5" s="23">
        <v>25.6</v>
      </c>
      <c r="J5" s="23">
        <v>30.1</v>
      </c>
      <c r="K5" s="21">
        <v>25.9</v>
      </c>
      <c r="L5" s="25">
        <v>21.3</v>
      </c>
    </row>
    <row r="6" spans="1:12" ht="13" x14ac:dyDescent="0.3">
      <c r="A6" s="1" t="s">
        <v>2</v>
      </c>
      <c r="B6" s="23" t="s">
        <v>22</v>
      </c>
      <c r="C6" s="23" t="s">
        <v>22</v>
      </c>
      <c r="D6" s="23">
        <v>55.9</v>
      </c>
      <c r="E6" s="23">
        <v>45.9</v>
      </c>
      <c r="F6" s="23">
        <v>22.5</v>
      </c>
      <c r="G6" s="23">
        <v>20.3</v>
      </c>
      <c r="H6" s="23">
        <v>20.8</v>
      </c>
      <c r="I6" s="23">
        <v>23.7</v>
      </c>
      <c r="J6" s="23">
        <v>23.6</v>
      </c>
      <c r="K6" s="21">
        <v>20.9</v>
      </c>
      <c r="L6" s="25">
        <v>20.100000000000001</v>
      </c>
    </row>
    <row r="7" spans="1:12" ht="13" x14ac:dyDescent="0.3">
      <c r="A7" s="1" t="s">
        <v>3</v>
      </c>
      <c r="B7" s="23" t="s">
        <v>22</v>
      </c>
      <c r="C7" s="23">
        <v>46.1</v>
      </c>
      <c r="D7" s="23">
        <v>57.8</v>
      </c>
      <c r="E7" s="23">
        <v>47.3</v>
      </c>
      <c r="F7" s="23">
        <v>43</v>
      </c>
      <c r="G7" s="23">
        <v>42.7</v>
      </c>
      <c r="H7" s="23">
        <v>44.8</v>
      </c>
      <c r="I7" s="23">
        <v>43.8</v>
      </c>
      <c r="J7" s="23">
        <v>45.8</v>
      </c>
      <c r="K7" s="21">
        <v>44.3</v>
      </c>
      <c r="L7" s="25">
        <v>44.4</v>
      </c>
    </row>
    <row r="8" spans="1:12" ht="13" x14ac:dyDescent="0.3">
      <c r="A8" s="1" t="s">
        <v>4</v>
      </c>
      <c r="B8" s="23">
        <v>33</v>
      </c>
      <c r="C8" s="23">
        <v>35.700000000000003</v>
      </c>
      <c r="D8" s="23">
        <v>35.9</v>
      </c>
      <c r="E8" s="23">
        <v>23.5</v>
      </c>
      <c r="F8" s="23">
        <v>12.3</v>
      </c>
      <c r="G8" s="23">
        <v>21.1</v>
      </c>
      <c r="H8" s="23">
        <v>21</v>
      </c>
      <c r="I8" s="23">
        <v>19.100000000000001</v>
      </c>
      <c r="J8" s="23">
        <v>22.1</v>
      </c>
      <c r="K8" s="21">
        <v>19.399999999999999</v>
      </c>
      <c r="L8" s="25" t="s">
        <v>22</v>
      </c>
    </row>
    <row r="9" spans="1:12" ht="13" x14ac:dyDescent="0.3">
      <c r="A9" s="1" t="s">
        <v>5</v>
      </c>
      <c r="B9" s="23">
        <v>32.9</v>
      </c>
      <c r="C9" s="23">
        <v>31.8</v>
      </c>
      <c r="D9" s="23">
        <v>25.2</v>
      </c>
      <c r="E9" s="23">
        <v>18.399999999999999</v>
      </c>
      <c r="F9" s="23">
        <v>20.8</v>
      </c>
      <c r="G9" s="23">
        <v>18.600000000000001</v>
      </c>
      <c r="H9" s="23">
        <v>20.399999999999999</v>
      </c>
      <c r="I9" s="23">
        <v>26.1</v>
      </c>
      <c r="J9" s="23">
        <v>23.1</v>
      </c>
      <c r="K9" s="21">
        <v>22.9</v>
      </c>
      <c r="L9" s="25">
        <v>22.4</v>
      </c>
    </row>
    <row r="10" spans="1:12" ht="13" x14ac:dyDescent="0.3">
      <c r="A10" s="1" t="s">
        <v>6</v>
      </c>
      <c r="B10" s="23" t="s">
        <v>22</v>
      </c>
      <c r="C10" s="23" t="s">
        <v>22</v>
      </c>
      <c r="D10" s="23">
        <v>39</v>
      </c>
      <c r="E10" s="23">
        <v>29.4</v>
      </c>
      <c r="F10" s="23">
        <v>29.3</v>
      </c>
      <c r="G10" s="23">
        <v>32.700000000000003</v>
      </c>
      <c r="H10" s="23">
        <v>32.700000000000003</v>
      </c>
      <c r="I10" s="23">
        <v>35.6</v>
      </c>
      <c r="J10" s="23">
        <v>36.799999999999997</v>
      </c>
      <c r="K10" s="21">
        <v>32.9</v>
      </c>
      <c r="L10" s="25">
        <v>32.299999999999997</v>
      </c>
    </row>
    <row r="11" spans="1:12" ht="13" x14ac:dyDescent="0.3">
      <c r="A11" s="1" t="s">
        <v>13</v>
      </c>
      <c r="B11" s="23">
        <v>24.7</v>
      </c>
      <c r="C11" s="23">
        <v>56.6</v>
      </c>
      <c r="D11" s="23">
        <v>28</v>
      </c>
      <c r="E11" s="23">
        <v>49.5</v>
      </c>
      <c r="F11" s="23">
        <v>39.6</v>
      </c>
      <c r="G11" s="23">
        <v>38.700000000000003</v>
      </c>
      <c r="H11" s="23">
        <v>43.2</v>
      </c>
      <c r="I11" s="23">
        <v>38.700000000000003</v>
      </c>
      <c r="J11" s="23">
        <v>32.799999999999997</v>
      </c>
      <c r="K11" s="21">
        <v>30.6</v>
      </c>
      <c r="L11" s="25">
        <v>29.9</v>
      </c>
    </row>
    <row r="12" spans="1:12" ht="13" x14ac:dyDescent="0.3">
      <c r="A12" s="1" t="s">
        <v>23</v>
      </c>
      <c r="B12" s="23" t="s">
        <v>22</v>
      </c>
      <c r="C12" s="23">
        <v>37.200000000000003</v>
      </c>
      <c r="D12" s="23">
        <v>43.6</v>
      </c>
      <c r="E12" s="23">
        <v>45.1</v>
      </c>
      <c r="F12" s="23">
        <v>40.200000000000003</v>
      </c>
      <c r="G12" s="23">
        <v>42.4</v>
      </c>
      <c r="H12" s="23">
        <v>45.1</v>
      </c>
      <c r="I12" s="23">
        <v>40.700000000000003</v>
      </c>
      <c r="J12" s="23">
        <v>38.4</v>
      </c>
      <c r="K12" s="21">
        <v>35.799999999999997</v>
      </c>
      <c r="L12" s="25">
        <v>35.799999999999997</v>
      </c>
    </row>
    <row r="13" spans="1:12" ht="13" x14ac:dyDescent="0.3">
      <c r="A13" s="1" t="s">
        <v>7</v>
      </c>
      <c r="B13" s="23">
        <v>49.6</v>
      </c>
      <c r="C13" s="23">
        <v>57.8</v>
      </c>
      <c r="D13" s="23">
        <v>54.2</v>
      </c>
      <c r="E13" s="23">
        <v>52.2</v>
      </c>
      <c r="F13" s="23">
        <v>20.8</v>
      </c>
      <c r="G13" s="23">
        <v>19</v>
      </c>
      <c r="H13" s="23">
        <v>17</v>
      </c>
      <c r="I13" s="23">
        <v>15.8</v>
      </c>
      <c r="J13" s="23">
        <v>16.600000000000001</v>
      </c>
      <c r="K13" s="21">
        <v>14.2</v>
      </c>
      <c r="L13" s="25">
        <v>15.3</v>
      </c>
    </row>
    <row r="14" spans="1:12" ht="13" x14ac:dyDescent="0.3">
      <c r="A14" s="1" t="s">
        <v>8</v>
      </c>
      <c r="B14" s="23">
        <v>38.200000000000003</v>
      </c>
      <c r="C14" s="23">
        <v>42.2</v>
      </c>
      <c r="D14" s="23">
        <v>19.399999999999999</v>
      </c>
      <c r="E14" s="23">
        <v>19.2</v>
      </c>
      <c r="F14" s="23">
        <v>23.1</v>
      </c>
      <c r="G14" s="23">
        <v>16.3</v>
      </c>
      <c r="H14" s="23">
        <v>25.3</v>
      </c>
      <c r="I14" s="23">
        <v>24.5</v>
      </c>
      <c r="J14" s="23">
        <v>19.399999999999999</v>
      </c>
      <c r="K14" s="21">
        <v>25.3</v>
      </c>
      <c r="L14" s="25">
        <v>24.4</v>
      </c>
    </row>
    <row r="15" spans="1:12" ht="13" x14ac:dyDescent="0.3">
      <c r="A15" s="1" t="s">
        <v>9</v>
      </c>
      <c r="B15" s="23" t="s">
        <v>22</v>
      </c>
      <c r="C15" s="23">
        <v>58.4</v>
      </c>
      <c r="D15" s="23">
        <v>54.5</v>
      </c>
      <c r="E15" s="23">
        <v>50.6</v>
      </c>
      <c r="F15" s="23">
        <v>37.799999999999997</v>
      </c>
      <c r="G15" s="23">
        <v>39.9</v>
      </c>
      <c r="H15" s="23">
        <v>44.2</v>
      </c>
      <c r="I15" s="23">
        <v>38.700000000000003</v>
      </c>
      <c r="J15" s="23">
        <v>36.1</v>
      </c>
      <c r="K15" s="21">
        <v>36.4</v>
      </c>
      <c r="L15" s="25">
        <v>35.9</v>
      </c>
    </row>
    <row r="16" spans="1:12" ht="13.5" thickBot="1" x14ac:dyDescent="0.35">
      <c r="A16" s="4" t="s">
        <v>10</v>
      </c>
      <c r="B16" s="24">
        <v>52.7</v>
      </c>
      <c r="C16" s="24">
        <v>43.4</v>
      </c>
      <c r="D16" s="24">
        <v>46.4</v>
      </c>
      <c r="E16" s="24">
        <v>35.299999999999997</v>
      </c>
      <c r="F16" s="24">
        <v>38.700000000000003</v>
      </c>
      <c r="G16" s="24">
        <v>41.6</v>
      </c>
      <c r="H16" s="24">
        <v>32.5</v>
      </c>
      <c r="I16" s="24">
        <v>33.1</v>
      </c>
      <c r="J16" s="24">
        <v>32.200000000000003</v>
      </c>
      <c r="K16" s="22">
        <v>30.4</v>
      </c>
      <c r="L16" s="26">
        <v>33</v>
      </c>
    </row>
    <row r="17" spans="1:11" ht="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" x14ac:dyDescent="0.3">
      <c r="A18" s="14" t="s">
        <v>19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3" x14ac:dyDescent="0.3">
      <c r="A19" s="14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3" x14ac:dyDescent="0.3">
      <c r="A20" s="14" t="s">
        <v>94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3" x14ac:dyDescent="0.3">
      <c r="A21" s="14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3" x14ac:dyDescent="0.3">
      <c r="A22" s="14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" x14ac:dyDescent="0.3">
      <c r="A23" s="14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" x14ac:dyDescent="0.3">
      <c r="A24" s="14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" x14ac:dyDescent="0.3">
      <c r="A25" s="14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" x14ac:dyDescent="0.3">
      <c r="A26" s="14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" x14ac:dyDescent="0.3">
      <c r="A27" s="14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" x14ac:dyDescent="0.3">
      <c r="A28" s="14" t="s">
        <v>39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" x14ac:dyDescent="0.3">
      <c r="A29" s="14" t="s">
        <v>37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" x14ac:dyDescent="0.3">
      <c r="A30" s="14" t="s">
        <v>38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2" spans="1:11" ht="13" x14ac:dyDescent="0.3">
      <c r="A32" s="1" t="s">
        <v>95</v>
      </c>
    </row>
  </sheetData>
  <mergeCells count="2">
    <mergeCell ref="A2:L2"/>
    <mergeCell ref="A3:L3"/>
  </mergeCells>
  <pageMargins left="0.35433070866141736" right="0.35433070866141736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8"/>
  <sheetViews>
    <sheetView workbookViewId="0">
      <selection activeCell="G7" sqref="G7"/>
    </sheetView>
  </sheetViews>
  <sheetFormatPr defaultRowHeight="12.5" x14ac:dyDescent="0.25"/>
  <cols>
    <col min="1" max="1" width="15.81640625" customWidth="1"/>
    <col min="2" max="2" width="11.26953125" customWidth="1"/>
    <col min="3" max="3" width="11.54296875" customWidth="1"/>
    <col min="4" max="4" width="11.26953125" customWidth="1"/>
  </cols>
  <sheetData>
    <row r="1" spans="1:4" ht="13" thickBot="1" x14ac:dyDescent="0.3">
      <c r="A1" s="6"/>
      <c r="B1" s="6"/>
      <c r="C1" s="6"/>
      <c r="D1" s="6"/>
    </row>
    <row r="2" spans="1:4" ht="28.5" customHeight="1" x14ac:dyDescent="0.3">
      <c r="A2" s="80" t="s">
        <v>104</v>
      </c>
      <c r="B2" s="80"/>
      <c r="C2" s="80"/>
      <c r="D2" s="80"/>
    </row>
    <row r="3" spans="1:4" ht="13" x14ac:dyDescent="0.3">
      <c r="A3" s="71"/>
      <c r="B3" s="36">
        <v>1998</v>
      </c>
      <c r="C3" s="15">
        <v>1999</v>
      </c>
      <c r="D3" s="36">
        <v>2000</v>
      </c>
    </row>
    <row r="4" spans="1:4" ht="13" x14ac:dyDescent="0.3">
      <c r="A4" s="1" t="s">
        <v>1</v>
      </c>
      <c r="B4" s="9">
        <v>17.899999999999999</v>
      </c>
      <c r="C4" s="9">
        <v>22.6</v>
      </c>
      <c r="D4" s="9">
        <v>17.7</v>
      </c>
    </row>
    <row r="5" spans="1:4" ht="13" x14ac:dyDescent="0.3">
      <c r="A5" s="1" t="s">
        <v>2</v>
      </c>
      <c r="B5" s="9">
        <v>15.3</v>
      </c>
      <c r="C5" s="9">
        <v>15.3</v>
      </c>
      <c r="D5" s="9">
        <v>14.5</v>
      </c>
    </row>
    <row r="6" spans="1:4" ht="13" x14ac:dyDescent="0.3">
      <c r="A6" s="1" t="s">
        <v>3</v>
      </c>
      <c r="B6" s="9">
        <v>27.2</v>
      </c>
      <c r="C6" s="9">
        <v>22.7</v>
      </c>
      <c r="D6" s="9">
        <v>43.9</v>
      </c>
    </row>
    <row r="7" spans="1:4" ht="13" x14ac:dyDescent="0.3">
      <c r="A7" s="1" t="s">
        <v>4</v>
      </c>
      <c r="B7" s="9">
        <v>9</v>
      </c>
      <c r="C7" s="9">
        <v>14</v>
      </c>
      <c r="D7" s="9">
        <v>14</v>
      </c>
    </row>
    <row r="8" spans="1:4" ht="13" x14ac:dyDescent="0.3">
      <c r="A8" s="1" t="s">
        <v>5</v>
      </c>
      <c r="B8" s="9">
        <v>16.100000000000001</v>
      </c>
      <c r="C8" s="9">
        <v>16.100000000000001</v>
      </c>
      <c r="D8" s="9">
        <v>16.100000000000001</v>
      </c>
    </row>
    <row r="9" spans="1:4" ht="13" x14ac:dyDescent="0.3">
      <c r="A9" s="1" t="s">
        <v>105</v>
      </c>
      <c r="B9" s="9">
        <v>17.600000000000001</v>
      </c>
      <c r="C9" s="9">
        <v>18.600000000000001</v>
      </c>
      <c r="D9" s="9">
        <v>17.600000000000001</v>
      </c>
    </row>
    <row r="10" spans="1:4" ht="13" x14ac:dyDescent="0.3">
      <c r="A10" s="1" t="s">
        <v>13</v>
      </c>
      <c r="B10" s="9">
        <v>29</v>
      </c>
      <c r="C10" s="9">
        <v>19.7</v>
      </c>
      <c r="D10" s="9">
        <v>19.7</v>
      </c>
    </row>
    <row r="11" spans="1:4" ht="13" x14ac:dyDescent="0.3">
      <c r="A11" s="1" t="s">
        <v>14</v>
      </c>
      <c r="B11" s="9">
        <v>31.7</v>
      </c>
      <c r="C11" s="9">
        <v>22.4</v>
      </c>
      <c r="D11" s="9">
        <v>22.4</v>
      </c>
    </row>
    <row r="12" spans="1:4" ht="13" x14ac:dyDescent="0.3">
      <c r="A12" s="1" t="s">
        <v>7</v>
      </c>
      <c r="B12" s="9">
        <v>13.3</v>
      </c>
      <c r="C12" s="9">
        <v>13.3</v>
      </c>
      <c r="D12" s="9">
        <v>12.9</v>
      </c>
    </row>
    <row r="13" spans="1:4" ht="13" x14ac:dyDescent="0.3">
      <c r="A13" s="1" t="s">
        <v>8</v>
      </c>
      <c r="B13" s="9">
        <v>26.3</v>
      </c>
      <c r="C13" s="9">
        <v>22.5</v>
      </c>
      <c r="D13" s="9">
        <v>25.8</v>
      </c>
    </row>
    <row r="14" spans="1:4" ht="13" x14ac:dyDescent="0.3">
      <c r="A14" s="1" t="s">
        <v>9</v>
      </c>
      <c r="B14" s="9">
        <v>20.7</v>
      </c>
      <c r="C14" s="9">
        <v>24.4</v>
      </c>
      <c r="D14" s="9">
        <v>29.2</v>
      </c>
    </row>
    <row r="15" spans="1:4" ht="13.5" thickBot="1" x14ac:dyDescent="0.35">
      <c r="A15" s="4" t="s">
        <v>10</v>
      </c>
      <c r="B15" s="11">
        <v>28.1</v>
      </c>
      <c r="C15" s="11">
        <v>30</v>
      </c>
      <c r="D15" s="11">
        <v>30</v>
      </c>
    </row>
    <row r="16" spans="1:4" x14ac:dyDescent="0.25">
      <c r="D16" t="s">
        <v>11</v>
      </c>
    </row>
    <row r="17" spans="1:1" x14ac:dyDescent="0.25">
      <c r="A17" s="72" t="s">
        <v>106</v>
      </c>
    </row>
    <row r="18" spans="1:1" x14ac:dyDescent="0.25">
      <c r="A18" t="s">
        <v>107</v>
      </c>
    </row>
  </sheetData>
  <mergeCells count="1">
    <mergeCell ref="A2:D2"/>
  </mergeCells>
  <pageMargins left="0.75" right="0.75" top="1" bottom="1" header="0.5" footer="0.5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G20" sqref="G20"/>
    </sheetView>
  </sheetViews>
  <sheetFormatPr defaultColWidth="9.1796875" defaultRowHeight="13" x14ac:dyDescent="0.3"/>
  <cols>
    <col min="1" max="1" width="12" style="1" customWidth="1"/>
    <col min="2" max="10" width="8.26953125" style="1" customWidth="1"/>
    <col min="11" max="16384" width="9.1796875" style="1"/>
  </cols>
  <sheetData>
    <row r="1" spans="1:10" ht="13.5" thickBot="1" x14ac:dyDescent="0.35">
      <c r="J1" s="4"/>
    </row>
    <row r="2" spans="1:10" x14ac:dyDescent="0.3">
      <c r="A2" s="76" t="s">
        <v>26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x14ac:dyDescent="0.3">
      <c r="B3" s="2">
        <v>1993</v>
      </c>
      <c r="C3" s="2">
        <v>1994</v>
      </c>
      <c r="D3" s="2">
        <v>1995</v>
      </c>
      <c r="E3" s="2">
        <v>1996</v>
      </c>
      <c r="F3" s="2">
        <v>1997</v>
      </c>
      <c r="G3" s="2">
        <v>1998</v>
      </c>
      <c r="H3" s="2">
        <v>1999</v>
      </c>
      <c r="I3" s="2">
        <v>2000</v>
      </c>
      <c r="J3" s="2">
        <v>2001</v>
      </c>
    </row>
    <row r="4" spans="1:10" x14ac:dyDescent="0.3">
      <c r="A4" s="1" t="s">
        <v>1</v>
      </c>
      <c r="B4" s="21">
        <v>25.8</v>
      </c>
      <c r="C4" s="21">
        <v>30.9</v>
      </c>
      <c r="D4" s="21">
        <v>30.1</v>
      </c>
      <c r="E4" s="21">
        <v>33.4</v>
      </c>
      <c r="F4" s="21">
        <v>41.4</v>
      </c>
      <c r="G4" s="21">
        <v>41.6</v>
      </c>
      <c r="H4" s="21">
        <v>46.3</v>
      </c>
      <c r="I4" s="21">
        <v>45.1</v>
      </c>
      <c r="J4" s="1">
        <v>43.4</v>
      </c>
    </row>
    <row r="5" spans="1:10" x14ac:dyDescent="0.3">
      <c r="A5" s="1" t="s">
        <v>2</v>
      </c>
      <c r="B5" s="21">
        <v>4</v>
      </c>
      <c r="C5" s="21">
        <v>18.3</v>
      </c>
      <c r="D5" s="21">
        <v>17.600000000000001</v>
      </c>
      <c r="E5" s="21">
        <v>16.399999999999999</v>
      </c>
      <c r="F5" s="21">
        <v>15.2</v>
      </c>
      <c r="G5" s="21">
        <v>16.100000000000001</v>
      </c>
      <c r="H5" s="21">
        <v>22.6</v>
      </c>
      <c r="I5" s="21">
        <v>23.9</v>
      </c>
      <c r="J5" s="1">
        <v>24.9</v>
      </c>
    </row>
    <row r="6" spans="1:10" x14ac:dyDescent="0.3">
      <c r="A6" s="1" t="s">
        <v>3</v>
      </c>
      <c r="B6" s="21">
        <v>27.7</v>
      </c>
      <c r="C6" s="21">
        <v>25.7</v>
      </c>
      <c r="D6" s="21">
        <v>14.7</v>
      </c>
      <c r="E6" s="21">
        <v>6.9</v>
      </c>
      <c r="F6" s="21">
        <v>7</v>
      </c>
      <c r="G6" s="21">
        <v>6.7</v>
      </c>
      <c r="H6" s="21">
        <v>7.6</v>
      </c>
      <c r="I6" s="21">
        <v>7.1</v>
      </c>
      <c r="J6" s="1">
        <v>8.5</v>
      </c>
    </row>
    <row r="7" spans="1:10" x14ac:dyDescent="0.3">
      <c r="A7" s="1" t="s">
        <v>4</v>
      </c>
      <c r="B7" s="21">
        <v>67.8</v>
      </c>
      <c r="C7" s="21">
        <v>80.400000000000006</v>
      </c>
      <c r="D7" s="21">
        <v>63.7</v>
      </c>
      <c r="E7" s="21">
        <v>44.9</v>
      </c>
      <c r="F7" s="21">
        <v>42.8</v>
      </c>
      <c r="G7" s="21">
        <v>39.799999999999997</v>
      </c>
      <c r="H7" s="21">
        <v>60.3</v>
      </c>
      <c r="I7" s="21">
        <v>54.5</v>
      </c>
      <c r="J7" s="1">
        <v>56.5</v>
      </c>
    </row>
    <row r="8" spans="1:10" x14ac:dyDescent="0.3">
      <c r="A8" s="1" t="s">
        <v>5</v>
      </c>
      <c r="B8" s="21">
        <v>52.4</v>
      </c>
      <c r="C8" s="21">
        <v>38.4</v>
      </c>
      <c r="D8" s="21">
        <v>28.7</v>
      </c>
      <c r="E8" s="21">
        <v>34</v>
      </c>
      <c r="F8" s="21">
        <v>40.799999999999997</v>
      </c>
      <c r="G8" s="21">
        <v>44.6</v>
      </c>
      <c r="H8" s="21">
        <v>71.7</v>
      </c>
      <c r="I8" s="21">
        <v>68.900000000000006</v>
      </c>
      <c r="J8" s="1">
        <v>63.1</v>
      </c>
    </row>
    <row r="9" spans="1:10" x14ac:dyDescent="0.3">
      <c r="A9" s="1" t="s">
        <v>6</v>
      </c>
      <c r="B9" s="21">
        <v>33</v>
      </c>
      <c r="C9" s="21">
        <v>33.799999999999997</v>
      </c>
      <c r="D9" s="21">
        <v>45.2</v>
      </c>
      <c r="E9" s="21">
        <v>57.9</v>
      </c>
      <c r="F9" s="21">
        <v>76.8</v>
      </c>
      <c r="G9" s="21">
        <v>89.5</v>
      </c>
      <c r="H9" s="21">
        <v>132.5</v>
      </c>
      <c r="I9" s="21">
        <v>128.4</v>
      </c>
      <c r="J9" s="1">
        <v>114.4</v>
      </c>
    </row>
    <row r="10" spans="1:10" x14ac:dyDescent="0.3">
      <c r="A10" s="1" t="s">
        <v>13</v>
      </c>
      <c r="B10" s="21">
        <v>20.399999999999999</v>
      </c>
      <c r="C10" s="21">
        <v>53.1</v>
      </c>
      <c r="D10" s="21">
        <v>39.700000000000003</v>
      </c>
      <c r="E10" s="21">
        <v>42.5</v>
      </c>
      <c r="F10" s="21">
        <v>60.9</v>
      </c>
      <c r="G10" s="21">
        <v>75.900000000000006</v>
      </c>
      <c r="H10" s="21">
        <v>105.7</v>
      </c>
      <c r="I10" s="21">
        <v>100.8</v>
      </c>
      <c r="J10" s="1">
        <v>98.7</v>
      </c>
    </row>
    <row r="11" spans="1:10" x14ac:dyDescent="0.3">
      <c r="A11" s="1" t="s">
        <v>14</v>
      </c>
      <c r="B11" s="21">
        <v>66.900000000000006</v>
      </c>
      <c r="C11" s="21">
        <v>49.6</v>
      </c>
      <c r="D11" s="21">
        <v>43.8</v>
      </c>
      <c r="E11" s="21">
        <v>39.700000000000003</v>
      </c>
      <c r="F11" s="21">
        <v>38.4</v>
      </c>
      <c r="G11" s="21">
        <v>69.099999999999994</v>
      </c>
      <c r="H11" s="21">
        <v>95.8</v>
      </c>
      <c r="I11" s="21">
        <v>66.2</v>
      </c>
      <c r="J11" s="1">
        <v>53.6</v>
      </c>
    </row>
    <row r="12" spans="1:10" x14ac:dyDescent="0.3">
      <c r="A12" s="1" t="s">
        <v>7</v>
      </c>
      <c r="B12" s="21">
        <v>111.7</v>
      </c>
      <c r="C12" s="21">
        <v>83</v>
      </c>
      <c r="D12" s="21">
        <v>140</v>
      </c>
      <c r="E12" s="21">
        <v>90</v>
      </c>
      <c r="F12" s="21">
        <v>98.9</v>
      </c>
      <c r="G12" s="21">
        <v>91.9</v>
      </c>
      <c r="H12" s="21">
        <v>113.2</v>
      </c>
      <c r="I12" s="21">
        <v>124</v>
      </c>
      <c r="J12" s="1">
        <v>95.9</v>
      </c>
    </row>
    <row r="13" spans="1:10" x14ac:dyDescent="0.3">
      <c r="A13" s="1" t="s">
        <v>8</v>
      </c>
      <c r="B13" s="21">
        <v>3.6</v>
      </c>
      <c r="C13" s="21">
        <v>20</v>
      </c>
      <c r="D13" s="21">
        <v>20.2</v>
      </c>
      <c r="E13" s="21">
        <v>30.6</v>
      </c>
      <c r="F13" s="21">
        <v>56.5</v>
      </c>
      <c r="G13" s="21">
        <v>68.7</v>
      </c>
      <c r="H13" s="21">
        <v>87</v>
      </c>
      <c r="I13" s="21">
        <v>75.400000000000006</v>
      </c>
      <c r="J13" s="1">
        <v>66.5</v>
      </c>
    </row>
    <row r="14" spans="1:10" x14ac:dyDescent="0.3">
      <c r="A14" s="1" t="s">
        <v>9</v>
      </c>
      <c r="B14" s="21" t="s">
        <v>22</v>
      </c>
      <c r="C14" s="21">
        <v>21.9</v>
      </c>
      <c r="D14" s="21">
        <v>21.6</v>
      </c>
      <c r="E14" s="21">
        <v>20.3</v>
      </c>
      <c r="F14" s="21">
        <v>19.8</v>
      </c>
      <c r="G14" s="21">
        <v>29.2</v>
      </c>
      <c r="H14" s="21">
        <v>42.9</v>
      </c>
      <c r="I14" s="21">
        <v>38</v>
      </c>
      <c r="J14" s="1">
        <v>30.2</v>
      </c>
    </row>
    <row r="15" spans="1:10" ht="13.5" thickBot="1" x14ac:dyDescent="0.35">
      <c r="A15" s="4" t="s">
        <v>10</v>
      </c>
      <c r="B15" s="22">
        <v>20.399999999999999</v>
      </c>
      <c r="C15" s="22">
        <v>19.5</v>
      </c>
      <c r="D15" s="22">
        <v>19.3</v>
      </c>
      <c r="E15" s="22">
        <v>19</v>
      </c>
      <c r="F15" s="22">
        <v>24.1</v>
      </c>
      <c r="G15" s="22">
        <v>32.4</v>
      </c>
      <c r="H15" s="22">
        <v>52.1</v>
      </c>
      <c r="I15" s="22">
        <v>66</v>
      </c>
      <c r="J15" s="4">
        <v>72.8</v>
      </c>
    </row>
    <row r="16" spans="1:10" x14ac:dyDescent="0.3">
      <c r="A16" s="1" t="s">
        <v>11</v>
      </c>
    </row>
    <row r="17" spans="1:1" x14ac:dyDescent="0.3">
      <c r="A17" s="1" t="s">
        <v>96</v>
      </c>
    </row>
    <row r="18" spans="1:1" x14ac:dyDescent="0.3">
      <c r="A18" s="1" t="s">
        <v>97</v>
      </c>
    </row>
  </sheetData>
  <mergeCells count="1">
    <mergeCell ref="A2:J2"/>
  </mergeCells>
  <pageMargins left="0.75" right="0.75" top="1" bottom="1" header="0.5" footer="0.5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A18" sqref="A18"/>
    </sheetView>
  </sheetViews>
  <sheetFormatPr defaultRowHeight="12.5" x14ac:dyDescent="0.25"/>
  <cols>
    <col min="1" max="1" width="11.453125" customWidth="1"/>
    <col min="2" max="10" width="7.7265625" customWidth="1"/>
  </cols>
  <sheetData>
    <row r="1" spans="1:12" ht="13" thickBo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3" x14ac:dyDescent="0.3">
      <c r="A2" s="76" t="s">
        <v>40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13" x14ac:dyDescent="0.3">
      <c r="A3" s="1"/>
      <c r="B3" s="2">
        <v>1991</v>
      </c>
      <c r="C3" s="2">
        <v>1992</v>
      </c>
      <c r="D3" s="2">
        <v>1993</v>
      </c>
      <c r="E3" s="2">
        <v>1994</v>
      </c>
      <c r="F3" s="2">
        <v>1995</v>
      </c>
      <c r="G3" s="2">
        <v>1996</v>
      </c>
      <c r="H3" s="2">
        <v>1997</v>
      </c>
      <c r="I3" s="2">
        <v>1998</v>
      </c>
      <c r="J3" s="2">
        <v>1999</v>
      </c>
      <c r="K3" s="2">
        <v>2000</v>
      </c>
      <c r="L3" s="2">
        <v>2001</v>
      </c>
    </row>
    <row r="4" spans="1:12" ht="13" x14ac:dyDescent="0.3">
      <c r="A4" s="1" t="s">
        <v>1</v>
      </c>
      <c r="B4" s="25">
        <v>30</v>
      </c>
      <c r="C4" s="25">
        <v>35</v>
      </c>
      <c r="D4" s="25">
        <v>40</v>
      </c>
      <c r="E4" s="25">
        <v>40</v>
      </c>
      <c r="F4" s="25">
        <v>45</v>
      </c>
      <c r="G4" s="25">
        <v>50</v>
      </c>
      <c r="H4" s="25">
        <v>55</v>
      </c>
      <c r="I4" s="25">
        <v>60</v>
      </c>
      <c r="J4" s="25">
        <v>60</v>
      </c>
      <c r="K4" s="1">
        <v>60</v>
      </c>
    </row>
    <row r="5" spans="1:12" ht="13" x14ac:dyDescent="0.3">
      <c r="A5" s="1" t="s">
        <v>2</v>
      </c>
      <c r="B5" s="25">
        <v>10</v>
      </c>
      <c r="C5" s="25">
        <v>10</v>
      </c>
      <c r="D5" s="25">
        <v>10</v>
      </c>
      <c r="E5" s="25">
        <v>20</v>
      </c>
      <c r="F5" s="25">
        <v>25</v>
      </c>
      <c r="G5" s="25">
        <v>25</v>
      </c>
      <c r="H5" s="25">
        <v>40</v>
      </c>
      <c r="I5" s="25">
        <v>45</v>
      </c>
      <c r="J5" s="25">
        <v>45</v>
      </c>
      <c r="K5" s="1">
        <v>45</v>
      </c>
    </row>
    <row r="6" spans="1:12" ht="13" x14ac:dyDescent="0.3">
      <c r="A6" s="1" t="s">
        <v>3</v>
      </c>
      <c r="B6" s="25">
        <v>5</v>
      </c>
      <c r="C6" s="25">
        <v>10</v>
      </c>
      <c r="D6" s="25">
        <v>10</v>
      </c>
      <c r="E6" s="25">
        <v>15</v>
      </c>
      <c r="F6" s="25">
        <v>15</v>
      </c>
      <c r="G6" s="25">
        <v>15</v>
      </c>
      <c r="H6" s="25">
        <v>20</v>
      </c>
      <c r="I6" s="25">
        <v>20</v>
      </c>
      <c r="J6" s="25">
        <v>20</v>
      </c>
      <c r="K6" s="1">
        <v>20</v>
      </c>
    </row>
    <row r="7" spans="1:12" ht="13" x14ac:dyDescent="0.3">
      <c r="A7" s="1" t="s">
        <v>4</v>
      </c>
      <c r="B7" s="25">
        <v>15</v>
      </c>
      <c r="C7" s="25">
        <v>15</v>
      </c>
      <c r="D7" s="25">
        <v>20</v>
      </c>
      <c r="E7" s="25">
        <v>20</v>
      </c>
      <c r="F7" s="25">
        <v>30</v>
      </c>
      <c r="G7" s="25">
        <v>50</v>
      </c>
      <c r="H7" s="25">
        <v>55</v>
      </c>
      <c r="I7" s="25">
        <v>60</v>
      </c>
      <c r="J7" s="25">
        <v>60</v>
      </c>
      <c r="K7" s="1">
        <v>60</v>
      </c>
    </row>
    <row r="8" spans="1:12" ht="13" x14ac:dyDescent="0.3">
      <c r="A8" s="1" t="s">
        <v>5</v>
      </c>
      <c r="B8" s="25">
        <v>5</v>
      </c>
      <c r="C8" s="25">
        <v>10</v>
      </c>
      <c r="D8" s="25">
        <v>10</v>
      </c>
      <c r="E8" s="25">
        <v>20</v>
      </c>
      <c r="F8" s="25">
        <v>25</v>
      </c>
      <c r="G8" s="25">
        <v>40</v>
      </c>
      <c r="H8" s="25">
        <v>55</v>
      </c>
      <c r="I8" s="25">
        <v>55</v>
      </c>
      <c r="J8" s="25">
        <v>60</v>
      </c>
      <c r="K8" s="25">
        <v>60</v>
      </c>
    </row>
    <row r="9" spans="1:12" ht="13" x14ac:dyDescent="0.3">
      <c r="A9" s="1" t="s">
        <v>6</v>
      </c>
      <c r="B9" s="25">
        <v>15</v>
      </c>
      <c r="C9" s="25">
        <v>20</v>
      </c>
      <c r="D9" s="25">
        <v>25</v>
      </c>
      <c r="E9" s="25">
        <v>30</v>
      </c>
      <c r="F9" s="25">
        <v>40</v>
      </c>
      <c r="G9" s="25">
        <v>50</v>
      </c>
      <c r="H9" s="25">
        <v>60</v>
      </c>
      <c r="I9" s="25">
        <v>60</v>
      </c>
      <c r="J9" s="25">
        <v>60</v>
      </c>
      <c r="K9" s="25">
        <v>60</v>
      </c>
    </row>
    <row r="10" spans="1:12" ht="13" x14ac:dyDescent="0.3">
      <c r="A10" s="1" t="s">
        <v>13</v>
      </c>
      <c r="B10" s="25">
        <v>10</v>
      </c>
      <c r="C10" s="25">
        <v>10</v>
      </c>
      <c r="D10" s="25">
        <v>15</v>
      </c>
      <c r="E10" s="25">
        <v>20</v>
      </c>
      <c r="F10" s="25">
        <v>30</v>
      </c>
      <c r="G10" s="25">
        <v>40</v>
      </c>
      <c r="H10" s="25">
        <v>45</v>
      </c>
      <c r="I10" s="25">
        <v>50</v>
      </c>
      <c r="J10" s="25">
        <v>45</v>
      </c>
      <c r="K10" s="1">
        <v>50</v>
      </c>
    </row>
    <row r="11" spans="1:12" ht="13" x14ac:dyDescent="0.3">
      <c r="A11" s="1" t="s">
        <v>14</v>
      </c>
      <c r="B11" s="25">
        <v>5</v>
      </c>
      <c r="C11" s="25">
        <v>25</v>
      </c>
      <c r="D11" s="25">
        <v>40</v>
      </c>
      <c r="E11" s="25">
        <v>50</v>
      </c>
      <c r="F11" s="25">
        <v>55</v>
      </c>
      <c r="G11" s="25">
        <v>60</v>
      </c>
      <c r="H11" s="25">
        <v>70</v>
      </c>
      <c r="I11" s="25">
        <v>70</v>
      </c>
      <c r="J11" s="25">
        <v>70</v>
      </c>
      <c r="K11" s="1">
        <v>70</v>
      </c>
    </row>
    <row r="12" spans="1:12" ht="13" x14ac:dyDescent="0.3">
      <c r="A12" s="1" t="s">
        <v>7</v>
      </c>
      <c r="B12" s="25">
        <v>10</v>
      </c>
      <c r="C12" s="25">
        <v>10</v>
      </c>
      <c r="D12" s="25">
        <v>10</v>
      </c>
      <c r="E12" s="25">
        <v>15</v>
      </c>
      <c r="F12" s="25">
        <v>15</v>
      </c>
      <c r="G12" s="25">
        <v>20</v>
      </c>
      <c r="H12" s="25">
        <v>20</v>
      </c>
      <c r="I12" s="25">
        <v>30</v>
      </c>
      <c r="J12" s="25">
        <v>40</v>
      </c>
      <c r="K12" s="1">
        <v>40</v>
      </c>
    </row>
    <row r="13" spans="1:12" ht="13" x14ac:dyDescent="0.3">
      <c r="A13" s="1" t="s">
        <v>8</v>
      </c>
      <c r="B13" s="25">
        <v>10</v>
      </c>
      <c r="C13" s="25">
        <v>10</v>
      </c>
      <c r="D13" s="25">
        <v>10</v>
      </c>
      <c r="E13" s="25">
        <v>15</v>
      </c>
      <c r="F13" s="25">
        <v>15</v>
      </c>
      <c r="G13" s="25">
        <v>20</v>
      </c>
      <c r="H13" s="25">
        <v>25</v>
      </c>
      <c r="I13" s="25">
        <v>25</v>
      </c>
      <c r="J13" s="25">
        <v>25</v>
      </c>
      <c r="K13" s="1">
        <v>25</v>
      </c>
    </row>
    <row r="14" spans="1:12" ht="13" x14ac:dyDescent="0.3">
      <c r="A14" s="1" t="s">
        <v>9</v>
      </c>
      <c r="B14" s="25">
        <v>10</v>
      </c>
      <c r="C14" s="25">
        <v>10</v>
      </c>
      <c r="D14" s="25">
        <v>15</v>
      </c>
      <c r="E14" s="25">
        <v>40</v>
      </c>
      <c r="F14" s="25">
        <v>45</v>
      </c>
      <c r="G14" s="25">
        <v>50</v>
      </c>
      <c r="H14" s="25">
        <v>55</v>
      </c>
      <c r="I14" s="25">
        <v>55</v>
      </c>
      <c r="J14" s="25">
        <v>55</v>
      </c>
      <c r="K14" s="1">
        <v>60</v>
      </c>
    </row>
    <row r="15" spans="1:12" ht="13.5" thickBot="1" x14ac:dyDescent="0.35">
      <c r="A15" s="4" t="s">
        <v>10</v>
      </c>
      <c r="B15" s="26">
        <v>10</v>
      </c>
      <c r="C15" s="26">
        <v>10</v>
      </c>
      <c r="D15" s="26">
        <v>15</v>
      </c>
      <c r="E15" s="26">
        <v>20</v>
      </c>
      <c r="F15" s="26">
        <v>30</v>
      </c>
      <c r="G15" s="26">
        <v>40</v>
      </c>
      <c r="H15" s="26">
        <v>45</v>
      </c>
      <c r="I15" s="26">
        <v>45</v>
      </c>
      <c r="J15" s="26">
        <v>45</v>
      </c>
      <c r="K15" s="4">
        <v>45</v>
      </c>
      <c r="L15" s="6"/>
    </row>
    <row r="17" spans="1:1" ht="13" x14ac:dyDescent="0.3">
      <c r="A17" s="1" t="s">
        <v>108</v>
      </c>
    </row>
  </sheetData>
  <mergeCells count="1">
    <mergeCell ref="A2:L2"/>
  </mergeCells>
  <pageMargins left="0.75" right="0.75" top="1" bottom="1" header="0.5" footer="0.5"/>
  <pageSetup paperSize="9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N8" sqref="N8"/>
    </sheetView>
  </sheetViews>
  <sheetFormatPr defaultColWidth="9.1796875" defaultRowHeight="13" x14ac:dyDescent="0.3"/>
  <cols>
    <col min="1" max="1" width="11.26953125" style="1" customWidth="1"/>
    <col min="2" max="11" width="7.7265625" style="1" customWidth="1"/>
    <col min="12" max="16384" width="9.1796875" style="1"/>
  </cols>
  <sheetData>
    <row r="1" spans="1:11" ht="13.5" thickBo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76" t="s">
        <v>41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x14ac:dyDescent="0.3">
      <c r="A3" s="79" t="s">
        <v>42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 x14ac:dyDescent="0.3">
      <c r="A4" s="27" t="s">
        <v>11</v>
      </c>
      <c r="B4" s="18">
        <v>1993</v>
      </c>
      <c r="C4" s="18">
        <v>1994</v>
      </c>
      <c r="D4" s="18">
        <v>1995</v>
      </c>
      <c r="E4" s="18">
        <v>1996</v>
      </c>
      <c r="F4" s="18">
        <v>1997</v>
      </c>
      <c r="G4" s="18">
        <v>1998</v>
      </c>
      <c r="H4" s="18">
        <v>1999</v>
      </c>
      <c r="I4" s="18">
        <v>2000</v>
      </c>
      <c r="J4" s="18">
        <v>2001</v>
      </c>
      <c r="K4" s="18">
        <v>2002</v>
      </c>
    </row>
    <row r="5" spans="1:11" x14ac:dyDescent="0.3">
      <c r="A5" s="1" t="s">
        <v>1</v>
      </c>
      <c r="B5" s="28">
        <v>1</v>
      </c>
      <c r="C5" s="29">
        <v>8</v>
      </c>
      <c r="D5" s="29">
        <v>25</v>
      </c>
      <c r="E5" s="29">
        <v>18</v>
      </c>
      <c r="F5" s="29">
        <v>52</v>
      </c>
      <c r="G5" s="29">
        <v>221</v>
      </c>
      <c r="H5" s="29">
        <v>122</v>
      </c>
      <c r="I5" s="3">
        <v>104</v>
      </c>
      <c r="J5" s="32">
        <v>92</v>
      </c>
      <c r="K5" s="1">
        <v>80</v>
      </c>
    </row>
    <row r="6" spans="1:11" x14ac:dyDescent="0.3">
      <c r="A6" s="1" t="s">
        <v>2</v>
      </c>
      <c r="B6" s="28">
        <v>0</v>
      </c>
      <c r="C6" s="29">
        <v>22</v>
      </c>
      <c r="D6" s="29">
        <v>330</v>
      </c>
      <c r="E6" s="29">
        <v>627</v>
      </c>
      <c r="F6" s="29">
        <v>1115</v>
      </c>
      <c r="G6" s="29">
        <v>1023</v>
      </c>
      <c r="H6" s="29">
        <v>510</v>
      </c>
      <c r="I6" s="3">
        <v>119</v>
      </c>
      <c r="J6" s="32">
        <v>351</v>
      </c>
      <c r="K6" s="1">
        <v>1307</v>
      </c>
    </row>
    <row r="7" spans="1:11" x14ac:dyDescent="0.3">
      <c r="A7" s="1" t="s">
        <v>3</v>
      </c>
      <c r="B7" s="29">
        <v>18</v>
      </c>
      <c r="C7" s="29">
        <v>11</v>
      </c>
      <c r="D7" s="29">
        <v>15</v>
      </c>
      <c r="E7" s="29">
        <v>105</v>
      </c>
      <c r="F7" s="29">
        <v>350</v>
      </c>
      <c r="G7" s="29">
        <v>201</v>
      </c>
      <c r="H7" s="29">
        <v>443</v>
      </c>
      <c r="I7" s="3">
        <v>90</v>
      </c>
      <c r="J7" s="32">
        <v>84</v>
      </c>
      <c r="K7" s="1">
        <v>146</v>
      </c>
    </row>
    <row r="8" spans="1:11" x14ac:dyDescent="0.3">
      <c r="A8" s="1" t="s">
        <v>4</v>
      </c>
      <c r="B8" s="30">
        <v>0</v>
      </c>
      <c r="C8" s="29">
        <v>8</v>
      </c>
      <c r="D8" s="29">
        <v>6</v>
      </c>
      <c r="E8" s="29">
        <v>54</v>
      </c>
      <c r="F8" s="29">
        <v>236</v>
      </c>
      <c r="G8" s="29">
        <v>221</v>
      </c>
      <c r="H8" s="29">
        <v>60</v>
      </c>
      <c r="I8" s="3">
        <v>152</v>
      </c>
      <c r="J8" s="32">
        <v>100</v>
      </c>
      <c r="K8" s="1">
        <v>50</v>
      </c>
    </row>
    <row r="9" spans="1:11" x14ac:dyDescent="0.3">
      <c r="A9" s="1" t="s">
        <v>5</v>
      </c>
      <c r="B9" s="29">
        <v>473</v>
      </c>
      <c r="C9" s="29">
        <v>635</v>
      </c>
      <c r="D9" s="29">
        <v>964</v>
      </c>
      <c r="E9" s="29">
        <v>1137</v>
      </c>
      <c r="F9" s="29">
        <v>1320</v>
      </c>
      <c r="G9" s="29">
        <v>1143</v>
      </c>
      <c r="H9" s="29">
        <v>1584</v>
      </c>
      <c r="I9" s="3">
        <v>1245</v>
      </c>
      <c r="J9" s="32">
        <v>2760</v>
      </c>
      <c r="K9" s="1">
        <v>2500</v>
      </c>
    </row>
    <row r="10" spans="1:11" x14ac:dyDescent="0.3">
      <c r="A10" s="1" t="s">
        <v>6</v>
      </c>
      <c r="B10" s="29" t="s">
        <v>22</v>
      </c>
      <c r="C10" s="29">
        <v>38</v>
      </c>
      <c r="D10" s="29">
        <v>96</v>
      </c>
      <c r="E10" s="29">
        <v>47</v>
      </c>
      <c r="F10" s="29">
        <v>83</v>
      </c>
      <c r="G10" s="29">
        <v>109</v>
      </c>
      <c r="H10" s="29">
        <v>38.4</v>
      </c>
      <c r="I10" s="3">
        <v>28.5</v>
      </c>
      <c r="J10" s="32">
        <v>35</v>
      </c>
      <c r="K10" s="1">
        <v>72</v>
      </c>
    </row>
    <row r="11" spans="1:11" x14ac:dyDescent="0.3">
      <c r="A11" s="1" t="s">
        <v>13</v>
      </c>
      <c r="B11" s="29">
        <v>14</v>
      </c>
      <c r="C11" s="29">
        <v>18</v>
      </c>
      <c r="D11" s="29">
        <v>73</v>
      </c>
      <c r="E11" s="29">
        <v>23</v>
      </c>
      <c r="F11" s="29">
        <v>71</v>
      </c>
      <c r="G11" s="29">
        <v>88</v>
      </c>
      <c r="H11" s="29">
        <v>34</v>
      </c>
      <c r="I11" s="3">
        <v>100</v>
      </c>
      <c r="J11" s="32">
        <v>60</v>
      </c>
      <c r="K11" s="1">
        <v>100</v>
      </c>
    </row>
    <row r="12" spans="1:11" x14ac:dyDescent="0.3">
      <c r="A12" s="1" t="s">
        <v>14</v>
      </c>
      <c r="B12" s="29" t="s">
        <v>22</v>
      </c>
      <c r="C12" s="29">
        <v>409</v>
      </c>
      <c r="D12" s="29">
        <v>1460</v>
      </c>
      <c r="E12" s="29">
        <v>1657</v>
      </c>
      <c r="F12" s="29">
        <v>1679</v>
      </c>
      <c r="G12" s="29">
        <v>1496</v>
      </c>
      <c r="H12" s="29">
        <v>1348</v>
      </c>
      <c r="I12" s="3">
        <v>-347</v>
      </c>
      <c r="J12" s="32">
        <v>2000</v>
      </c>
      <c r="K12" s="1">
        <v>4000</v>
      </c>
    </row>
    <row r="13" spans="1:11" x14ac:dyDescent="0.3">
      <c r="A13" s="1" t="s">
        <v>7</v>
      </c>
      <c r="B13" s="29">
        <v>9</v>
      </c>
      <c r="C13" s="29">
        <v>12</v>
      </c>
      <c r="D13" s="29">
        <v>10</v>
      </c>
      <c r="E13" s="29">
        <v>18</v>
      </c>
      <c r="F13" s="29">
        <v>18</v>
      </c>
      <c r="G13" s="29">
        <v>25</v>
      </c>
      <c r="H13" s="29">
        <v>21</v>
      </c>
      <c r="I13" s="3">
        <v>22</v>
      </c>
      <c r="J13" s="32">
        <v>9</v>
      </c>
      <c r="K13" s="1">
        <v>26</v>
      </c>
    </row>
    <row r="14" spans="1:11" x14ac:dyDescent="0.3">
      <c r="A14" s="1" t="s">
        <v>8</v>
      </c>
      <c r="B14" s="29">
        <v>79</v>
      </c>
      <c r="C14" s="29">
        <v>103</v>
      </c>
      <c r="D14" s="29">
        <v>233</v>
      </c>
      <c r="E14" s="29">
        <v>108</v>
      </c>
      <c r="F14" s="29">
        <v>108</v>
      </c>
      <c r="G14" s="29">
        <v>62</v>
      </c>
      <c r="H14" s="29">
        <v>89</v>
      </c>
      <c r="I14" s="3">
        <v>131</v>
      </c>
      <c r="J14" s="32">
        <v>130</v>
      </c>
      <c r="K14" s="1">
        <v>150</v>
      </c>
    </row>
    <row r="15" spans="1:11" x14ac:dyDescent="0.3">
      <c r="A15" s="1" t="s">
        <v>9</v>
      </c>
      <c r="B15" s="29">
        <v>200</v>
      </c>
      <c r="C15" s="29">
        <v>151</v>
      </c>
      <c r="D15" s="29">
        <v>257</v>
      </c>
      <c r="E15" s="29">
        <v>516</v>
      </c>
      <c r="F15" s="29">
        <v>581</v>
      </c>
      <c r="G15" s="29">
        <v>747</v>
      </c>
      <c r="H15" s="29">
        <v>489</v>
      </c>
      <c r="I15" s="3">
        <v>594</v>
      </c>
      <c r="J15" s="32">
        <v>760</v>
      </c>
      <c r="K15" s="1">
        <v>700</v>
      </c>
    </row>
    <row r="16" spans="1:11" ht="13.5" thickBot="1" x14ac:dyDescent="0.35">
      <c r="A16" s="4" t="s">
        <v>10</v>
      </c>
      <c r="B16" s="31">
        <v>48</v>
      </c>
      <c r="C16" s="31">
        <v>73</v>
      </c>
      <c r="D16" s="31">
        <v>-24</v>
      </c>
      <c r="E16" s="31">
        <v>90</v>
      </c>
      <c r="F16" s="31">
        <v>167</v>
      </c>
      <c r="G16" s="31">
        <v>140</v>
      </c>
      <c r="H16" s="31">
        <v>121</v>
      </c>
      <c r="I16" s="5">
        <v>73</v>
      </c>
      <c r="J16" s="33">
        <v>71</v>
      </c>
      <c r="K16" s="4">
        <v>75</v>
      </c>
    </row>
    <row r="18" spans="1:1" x14ac:dyDescent="0.3">
      <c r="A18" s="1" t="s">
        <v>19</v>
      </c>
    </row>
    <row r="19" spans="1:1" x14ac:dyDescent="0.3">
      <c r="A19" s="1" t="s">
        <v>93</v>
      </c>
    </row>
    <row r="20" spans="1:1" x14ac:dyDescent="0.3">
      <c r="A20" s="1" t="s">
        <v>44</v>
      </c>
    </row>
    <row r="21" spans="1:1" x14ac:dyDescent="0.3">
      <c r="A21" s="1" t="s">
        <v>43</v>
      </c>
    </row>
    <row r="23" spans="1:1" x14ac:dyDescent="0.3">
      <c r="A23" s="1" t="s">
        <v>92</v>
      </c>
    </row>
  </sheetData>
  <mergeCells count="2">
    <mergeCell ref="A3:K3"/>
    <mergeCell ref="A2:K2"/>
  </mergeCells>
  <pageMargins left="0.55118110236220474" right="0.55118110236220474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2"/>
  <sheetViews>
    <sheetView workbookViewId="0">
      <selection activeCell="F16" sqref="F16"/>
    </sheetView>
  </sheetViews>
  <sheetFormatPr defaultRowHeight="12.5" x14ac:dyDescent="0.25"/>
  <cols>
    <col min="1" max="1" width="20.54296875" customWidth="1"/>
    <col min="2" max="2" width="15.7265625" customWidth="1"/>
    <col min="3" max="3" width="16.81640625" customWidth="1"/>
  </cols>
  <sheetData>
    <row r="2" spans="1:3" ht="13.5" thickBot="1" x14ac:dyDescent="0.35">
      <c r="A2" s="4"/>
      <c r="B2" s="4"/>
      <c r="C2" s="4"/>
    </row>
    <row r="3" spans="1:3" ht="13" x14ac:dyDescent="0.3">
      <c r="A3" s="76" t="s">
        <v>47</v>
      </c>
      <c r="B3" s="76"/>
      <c r="C3" s="76"/>
    </row>
    <row r="4" spans="1:3" ht="28" x14ac:dyDescent="0.25">
      <c r="A4" s="35"/>
      <c r="B4" s="42" t="s">
        <v>48</v>
      </c>
      <c r="C4" s="42" t="s">
        <v>49</v>
      </c>
    </row>
    <row r="5" spans="1:3" ht="13" x14ac:dyDescent="0.3">
      <c r="A5" s="1"/>
      <c r="B5" s="37" t="s">
        <v>50</v>
      </c>
      <c r="C5" s="36" t="s">
        <v>50</v>
      </c>
    </row>
    <row r="6" spans="1:3" ht="13" x14ac:dyDescent="0.3">
      <c r="A6" s="14" t="s">
        <v>1</v>
      </c>
      <c r="B6" s="38">
        <v>34</v>
      </c>
      <c r="C6" s="21">
        <v>11.3</v>
      </c>
    </row>
    <row r="7" spans="1:3" ht="13" x14ac:dyDescent="0.3">
      <c r="A7" s="14" t="s">
        <v>2</v>
      </c>
      <c r="B7" s="38">
        <v>9.6</v>
      </c>
      <c r="C7" s="21">
        <v>2.2999999999999998</v>
      </c>
    </row>
    <row r="8" spans="1:3" ht="13" x14ac:dyDescent="0.3">
      <c r="A8" s="14" t="s">
        <v>3</v>
      </c>
      <c r="B8" s="39" t="s">
        <v>51</v>
      </c>
      <c r="C8" s="21" t="s">
        <v>52</v>
      </c>
    </row>
    <row r="9" spans="1:3" ht="13" x14ac:dyDescent="0.3">
      <c r="A9" s="14" t="s">
        <v>4</v>
      </c>
      <c r="B9" s="39" t="s">
        <v>51</v>
      </c>
      <c r="C9" s="21" t="s">
        <v>52</v>
      </c>
    </row>
    <row r="10" spans="1:3" ht="13" x14ac:dyDescent="0.3">
      <c r="A10" s="14" t="s">
        <v>5</v>
      </c>
      <c r="B10" s="38">
        <v>15.3</v>
      </c>
      <c r="C10" s="21">
        <v>3.9</v>
      </c>
    </row>
    <row r="11" spans="1:3" ht="13" x14ac:dyDescent="0.3">
      <c r="A11" s="14" t="s">
        <v>6</v>
      </c>
      <c r="B11" s="38" t="s">
        <v>22</v>
      </c>
      <c r="C11" s="21" t="s">
        <v>22</v>
      </c>
    </row>
    <row r="12" spans="1:3" ht="13" x14ac:dyDescent="0.3">
      <c r="A12" s="14" t="s">
        <v>13</v>
      </c>
      <c r="B12" s="38">
        <v>38.4</v>
      </c>
      <c r="C12" s="21">
        <v>14</v>
      </c>
    </row>
    <row r="13" spans="1:3" ht="13" x14ac:dyDescent="0.3">
      <c r="A13" s="14" t="s">
        <v>14</v>
      </c>
      <c r="B13" s="38">
        <v>25.1</v>
      </c>
      <c r="C13" s="21">
        <v>8.6999999999999993</v>
      </c>
    </row>
    <row r="14" spans="1:3" ht="13" x14ac:dyDescent="0.3">
      <c r="A14" s="14" t="s">
        <v>7</v>
      </c>
      <c r="B14" s="38" t="s">
        <v>22</v>
      </c>
      <c r="C14" s="21" t="s">
        <v>22</v>
      </c>
    </row>
    <row r="15" spans="1:3" ht="13" x14ac:dyDescent="0.3">
      <c r="A15" s="14" t="s">
        <v>8</v>
      </c>
      <c r="B15" s="38">
        <v>44</v>
      </c>
      <c r="C15" s="1">
        <v>15.4</v>
      </c>
    </row>
    <row r="16" spans="1:3" ht="13" x14ac:dyDescent="0.3">
      <c r="A16" s="14" t="s">
        <v>9</v>
      </c>
      <c r="B16" s="38">
        <v>31</v>
      </c>
      <c r="C16" s="1">
        <v>8</v>
      </c>
    </row>
    <row r="17" spans="1:3" ht="13.5" thickBot="1" x14ac:dyDescent="0.35">
      <c r="A17" s="40" t="s">
        <v>10</v>
      </c>
      <c r="B17" s="41">
        <v>26.5</v>
      </c>
      <c r="C17" s="22">
        <v>7.3</v>
      </c>
    </row>
    <row r="18" spans="1:3" ht="13" x14ac:dyDescent="0.3">
      <c r="A18" s="1"/>
      <c r="B18" s="1"/>
      <c r="C18" s="1"/>
    </row>
    <row r="19" spans="1:3" ht="13" x14ac:dyDescent="0.3">
      <c r="A19" s="1" t="s">
        <v>19</v>
      </c>
      <c r="B19" s="1"/>
      <c r="C19" s="1"/>
    </row>
    <row r="20" spans="1:3" ht="13" x14ac:dyDescent="0.3">
      <c r="A20" s="1" t="s">
        <v>53</v>
      </c>
      <c r="B20" s="1"/>
      <c r="C20" s="1"/>
    </row>
    <row r="21" spans="1:3" ht="13" x14ac:dyDescent="0.3">
      <c r="A21" s="1" t="s">
        <v>54</v>
      </c>
      <c r="B21" s="1"/>
      <c r="C21" s="1"/>
    </row>
    <row r="22" spans="1:3" ht="13" x14ac:dyDescent="0.3">
      <c r="A22" s="1" t="s">
        <v>98</v>
      </c>
      <c r="B22" s="1"/>
      <c r="C22" s="1"/>
    </row>
  </sheetData>
  <mergeCells count="1">
    <mergeCell ref="A3:C3"/>
  </mergeCells>
  <pageMargins left="0.75" right="0.75" top="1" bottom="1" header="0.5" footer="0.5"/>
  <pageSetup paperSize="9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L20" sqref="L20"/>
    </sheetView>
  </sheetViews>
  <sheetFormatPr defaultRowHeight="12.5" x14ac:dyDescent="0.25"/>
  <cols>
    <col min="1" max="1" width="10.26953125" customWidth="1"/>
    <col min="2" max="11" width="7.7265625" customWidth="1"/>
  </cols>
  <sheetData>
    <row r="1" spans="1:11" ht="13" thickBot="1" x14ac:dyDescent="0.3">
      <c r="J1" s="6"/>
      <c r="K1" s="6"/>
    </row>
    <row r="2" spans="1:11" ht="13" x14ac:dyDescent="0.3">
      <c r="A2" s="76" t="s">
        <v>55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3" x14ac:dyDescent="0.3">
      <c r="B3" s="15">
        <v>1991</v>
      </c>
      <c r="C3" s="15">
        <v>1992</v>
      </c>
      <c r="D3" s="15">
        <v>1993</v>
      </c>
      <c r="E3" s="15">
        <v>1994</v>
      </c>
      <c r="F3" s="15">
        <v>1995</v>
      </c>
      <c r="G3" s="15">
        <v>1996</v>
      </c>
      <c r="H3" s="15">
        <v>1997</v>
      </c>
      <c r="I3" s="15">
        <v>1998</v>
      </c>
      <c r="J3" s="15">
        <v>1999</v>
      </c>
      <c r="K3" s="15">
        <v>2000</v>
      </c>
    </row>
    <row r="4" spans="1:11" ht="13" x14ac:dyDescent="0.3">
      <c r="A4" s="1" t="s">
        <v>1</v>
      </c>
      <c r="B4" s="30">
        <v>3297</v>
      </c>
      <c r="C4" s="30">
        <v>422</v>
      </c>
      <c r="D4" s="30">
        <v>389</v>
      </c>
      <c r="E4" s="30">
        <v>564</v>
      </c>
      <c r="F4" s="30">
        <v>466</v>
      </c>
      <c r="G4" s="30">
        <v>514</v>
      </c>
      <c r="H4" s="30">
        <v>525</v>
      </c>
      <c r="I4" s="30">
        <v>572</v>
      </c>
      <c r="J4" s="67">
        <v>576</v>
      </c>
      <c r="K4" s="67">
        <v>644</v>
      </c>
    </row>
    <row r="5" spans="1:11" ht="13" x14ac:dyDescent="0.3">
      <c r="A5" s="1" t="s">
        <v>2</v>
      </c>
      <c r="B5" s="30" t="s">
        <v>22</v>
      </c>
      <c r="C5" s="30" t="s">
        <v>22</v>
      </c>
      <c r="D5" s="30" t="s">
        <v>22</v>
      </c>
      <c r="E5" s="30" t="s">
        <v>22</v>
      </c>
      <c r="F5" s="30">
        <v>431</v>
      </c>
      <c r="G5" s="30">
        <v>703</v>
      </c>
      <c r="H5" s="30">
        <v>1064</v>
      </c>
      <c r="I5" s="30">
        <v>979</v>
      </c>
      <c r="J5" s="67">
        <v>828</v>
      </c>
      <c r="K5" s="67">
        <v>854</v>
      </c>
    </row>
    <row r="6" spans="1:11" ht="13" x14ac:dyDescent="0.3">
      <c r="A6" s="1" t="s">
        <v>3</v>
      </c>
      <c r="B6" s="30">
        <v>10992</v>
      </c>
      <c r="C6" s="30">
        <v>8947</v>
      </c>
      <c r="D6" s="30">
        <v>8267</v>
      </c>
      <c r="E6" s="30">
        <v>7135</v>
      </c>
      <c r="F6" s="30">
        <v>5023</v>
      </c>
      <c r="G6" s="30">
        <v>4867</v>
      </c>
      <c r="H6" s="30">
        <v>5923</v>
      </c>
      <c r="I6" s="30">
        <v>6522</v>
      </c>
      <c r="J6" s="67">
        <v>6261</v>
      </c>
      <c r="K6" s="67">
        <v>5910</v>
      </c>
    </row>
    <row r="7" spans="1:11" ht="13" x14ac:dyDescent="0.3">
      <c r="A7" s="1" t="s">
        <v>4</v>
      </c>
      <c r="B7" s="30" t="s">
        <v>22</v>
      </c>
      <c r="C7" s="30" t="s">
        <v>22</v>
      </c>
      <c r="D7" s="30" t="s">
        <v>22</v>
      </c>
      <c r="E7" s="30">
        <v>20</v>
      </c>
      <c r="F7" s="30">
        <v>77</v>
      </c>
      <c r="G7" s="30">
        <v>174</v>
      </c>
      <c r="H7" s="30">
        <v>409</v>
      </c>
      <c r="I7" s="30">
        <v>627</v>
      </c>
      <c r="J7" s="67">
        <v>381</v>
      </c>
      <c r="K7" s="67">
        <v>395</v>
      </c>
    </row>
    <row r="8" spans="1:11" ht="13" x14ac:dyDescent="0.3">
      <c r="A8" s="1" t="s">
        <v>5</v>
      </c>
      <c r="B8" s="30">
        <v>14001</v>
      </c>
      <c r="C8" s="30">
        <v>11672</v>
      </c>
      <c r="D8" s="30">
        <v>8341</v>
      </c>
      <c r="E8" s="30">
        <v>7391</v>
      </c>
      <c r="F8" s="30">
        <v>4594</v>
      </c>
      <c r="G8" s="30">
        <v>3497</v>
      </c>
      <c r="H8" s="30">
        <v>3612</v>
      </c>
      <c r="I8" s="30">
        <v>3035</v>
      </c>
      <c r="J8" s="67">
        <v>3064</v>
      </c>
      <c r="K8" s="67">
        <v>3786</v>
      </c>
    </row>
    <row r="9" spans="1:11" ht="13" x14ac:dyDescent="0.3">
      <c r="A9" s="1" t="s">
        <v>6</v>
      </c>
      <c r="B9" s="30">
        <v>1184</v>
      </c>
      <c r="C9" s="30">
        <v>780</v>
      </c>
      <c r="D9" s="30">
        <v>606</v>
      </c>
      <c r="E9" s="30">
        <v>434</v>
      </c>
      <c r="F9" s="30">
        <v>687</v>
      </c>
      <c r="G9" s="30">
        <v>598</v>
      </c>
      <c r="H9" s="30">
        <v>423</v>
      </c>
      <c r="I9" s="30">
        <v>418</v>
      </c>
      <c r="J9" s="67">
        <v>534</v>
      </c>
      <c r="K9" s="67">
        <v>627</v>
      </c>
    </row>
    <row r="10" spans="1:11" ht="13" x14ac:dyDescent="0.3">
      <c r="A10" s="1" t="s">
        <v>13</v>
      </c>
      <c r="B10" s="30">
        <v>1101</v>
      </c>
      <c r="C10" s="30">
        <v>745</v>
      </c>
      <c r="D10" s="30">
        <v>704</v>
      </c>
      <c r="E10" s="30">
        <v>605</v>
      </c>
      <c r="F10" s="30">
        <v>493</v>
      </c>
      <c r="G10" s="30">
        <v>575</v>
      </c>
      <c r="H10" s="30">
        <v>588</v>
      </c>
      <c r="I10" s="30">
        <v>610</v>
      </c>
      <c r="J10" s="67">
        <v>492</v>
      </c>
      <c r="K10" s="67">
        <v>496</v>
      </c>
    </row>
    <row r="11" spans="1:11" ht="13" x14ac:dyDescent="0.3">
      <c r="A11" s="1" t="s">
        <v>14</v>
      </c>
      <c r="B11" s="30">
        <v>241961</v>
      </c>
      <c r="C11" s="30">
        <v>141547</v>
      </c>
      <c r="D11" s="30">
        <v>105028</v>
      </c>
      <c r="E11" s="30">
        <v>77721</v>
      </c>
      <c r="F11" s="30">
        <v>71892</v>
      </c>
      <c r="G11" s="30">
        <v>58017</v>
      </c>
      <c r="H11" s="30">
        <v>54710</v>
      </c>
      <c r="I11" s="30">
        <v>48582</v>
      </c>
      <c r="J11" s="67">
        <v>49748</v>
      </c>
      <c r="K11" s="67">
        <v>58553</v>
      </c>
    </row>
    <row r="12" spans="1:11" ht="13" x14ac:dyDescent="0.3">
      <c r="A12" s="1" t="s">
        <v>7</v>
      </c>
      <c r="B12" s="30" t="s">
        <v>22</v>
      </c>
      <c r="C12" s="30" t="s">
        <v>22</v>
      </c>
      <c r="D12" s="30" t="s">
        <v>22</v>
      </c>
      <c r="E12" s="30" t="s">
        <v>22</v>
      </c>
      <c r="F12" s="30" t="s">
        <v>22</v>
      </c>
      <c r="G12" s="30" t="s">
        <v>22</v>
      </c>
      <c r="H12" s="30" t="s">
        <v>22</v>
      </c>
      <c r="I12" s="30" t="s">
        <v>22</v>
      </c>
      <c r="J12" s="68" t="s">
        <v>22</v>
      </c>
      <c r="K12" s="68" t="s">
        <v>22</v>
      </c>
    </row>
    <row r="13" spans="1:11" ht="13" x14ac:dyDescent="0.3">
      <c r="A13" s="1" t="s">
        <v>8</v>
      </c>
      <c r="B13" s="30" t="s">
        <v>22</v>
      </c>
      <c r="C13" s="30" t="s">
        <v>22</v>
      </c>
      <c r="D13" s="30" t="s">
        <v>22</v>
      </c>
      <c r="E13" s="30" t="s">
        <v>22</v>
      </c>
      <c r="F13" s="30" t="s">
        <v>22</v>
      </c>
      <c r="G13" s="30" t="s">
        <v>22</v>
      </c>
      <c r="H13" s="30" t="s">
        <v>22</v>
      </c>
      <c r="I13" s="30" t="s">
        <v>22</v>
      </c>
      <c r="J13" s="68" t="s">
        <v>22</v>
      </c>
      <c r="K13" s="68" t="s">
        <v>22</v>
      </c>
    </row>
    <row r="14" spans="1:11" ht="13" x14ac:dyDescent="0.3">
      <c r="A14" s="1" t="s">
        <v>9</v>
      </c>
      <c r="B14" s="30">
        <v>44881</v>
      </c>
      <c r="C14" s="30">
        <v>39033</v>
      </c>
      <c r="D14" s="30">
        <v>25517</v>
      </c>
      <c r="E14" s="30">
        <v>12692</v>
      </c>
      <c r="F14" s="30">
        <v>11428</v>
      </c>
      <c r="G14" s="30">
        <v>9138</v>
      </c>
      <c r="H14" s="30">
        <v>9470</v>
      </c>
      <c r="I14" s="30">
        <v>9879</v>
      </c>
      <c r="J14" s="67">
        <v>9950</v>
      </c>
      <c r="K14" s="67">
        <v>11209</v>
      </c>
    </row>
    <row r="15" spans="1:11" ht="13.5" thickBot="1" x14ac:dyDescent="0.35">
      <c r="A15" s="4" t="s">
        <v>10</v>
      </c>
      <c r="B15" s="43" t="s">
        <v>22</v>
      </c>
      <c r="C15" s="43" t="s">
        <v>22</v>
      </c>
      <c r="D15" s="43" t="s">
        <v>22</v>
      </c>
      <c r="E15" s="43" t="s">
        <v>22</v>
      </c>
      <c r="F15" s="43" t="s">
        <v>22</v>
      </c>
      <c r="G15" s="43" t="s">
        <v>22</v>
      </c>
      <c r="H15" s="43" t="s">
        <v>22</v>
      </c>
      <c r="I15" s="43" t="s">
        <v>22</v>
      </c>
      <c r="J15" s="43" t="s">
        <v>22</v>
      </c>
      <c r="K15" s="43" t="s">
        <v>22</v>
      </c>
    </row>
    <row r="17" spans="1:9" ht="13" x14ac:dyDescent="0.3">
      <c r="A17" s="1" t="s">
        <v>99</v>
      </c>
      <c r="B17" s="30"/>
      <c r="C17" s="30"/>
      <c r="D17" s="30"/>
      <c r="E17" s="30"/>
      <c r="F17" s="30"/>
      <c r="G17" s="30"/>
      <c r="H17" s="30"/>
      <c r="I17" s="30"/>
    </row>
  </sheetData>
  <mergeCells count="1">
    <mergeCell ref="A2:K2"/>
  </mergeCell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L8" sqref="L8"/>
    </sheetView>
  </sheetViews>
  <sheetFormatPr defaultRowHeight="12.5" x14ac:dyDescent="0.25"/>
  <cols>
    <col min="1" max="1" width="9.7265625" customWidth="1"/>
    <col min="2" max="11" width="7.7265625" customWidth="1"/>
  </cols>
  <sheetData>
    <row r="1" spans="1:11" ht="13.5" thickBot="1" x14ac:dyDescent="0.35">
      <c r="A1" s="4"/>
      <c r="B1" s="4"/>
      <c r="C1" s="4"/>
      <c r="D1" s="4"/>
      <c r="E1" s="4"/>
      <c r="F1" s="4"/>
      <c r="G1" s="4"/>
      <c r="H1" s="4"/>
      <c r="I1" s="4"/>
      <c r="J1" s="6"/>
      <c r="K1" s="6"/>
    </row>
    <row r="2" spans="1:11" ht="13" x14ac:dyDescent="0.3">
      <c r="A2" s="76" t="s">
        <v>56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3" x14ac:dyDescent="0.3">
      <c r="A3" s="1"/>
      <c r="B3" s="15">
        <v>1991</v>
      </c>
      <c r="C3" s="15">
        <v>1992</v>
      </c>
      <c r="D3" s="15">
        <v>1993</v>
      </c>
      <c r="E3" s="15">
        <v>1994</v>
      </c>
      <c r="F3" s="15">
        <v>1995</v>
      </c>
      <c r="G3" s="15">
        <v>1996</v>
      </c>
      <c r="H3" s="15">
        <v>1997</v>
      </c>
      <c r="I3" s="15">
        <v>1998</v>
      </c>
      <c r="J3" s="15">
        <v>1999</v>
      </c>
      <c r="K3" s="15">
        <v>2000</v>
      </c>
    </row>
    <row r="4" spans="1:11" ht="13" x14ac:dyDescent="0.3">
      <c r="A4" s="1" t="s">
        <v>1</v>
      </c>
      <c r="B4" s="21" t="s">
        <v>22</v>
      </c>
      <c r="C4" s="21">
        <v>59</v>
      </c>
      <c r="D4" s="21">
        <v>41</v>
      </c>
      <c r="E4" s="21">
        <v>15</v>
      </c>
      <c r="F4" s="21">
        <v>9</v>
      </c>
      <c r="G4" s="21">
        <v>9</v>
      </c>
      <c r="H4" s="21">
        <v>8</v>
      </c>
      <c r="I4" s="21">
        <v>11</v>
      </c>
      <c r="J4" s="25">
        <v>11</v>
      </c>
      <c r="K4" s="25">
        <v>12</v>
      </c>
    </row>
    <row r="5" spans="1:11" ht="13" x14ac:dyDescent="0.3">
      <c r="A5" s="1" t="s">
        <v>2</v>
      </c>
      <c r="B5" s="21" t="s">
        <v>22</v>
      </c>
      <c r="C5" s="21">
        <v>57</v>
      </c>
      <c r="D5" s="21">
        <v>52</v>
      </c>
      <c r="E5" s="21">
        <v>44</v>
      </c>
      <c r="F5" s="21">
        <v>13</v>
      </c>
      <c r="G5" s="21">
        <v>13</v>
      </c>
      <c r="H5" s="21">
        <v>13</v>
      </c>
      <c r="I5" s="21">
        <v>13</v>
      </c>
      <c r="J5" s="25">
        <v>11</v>
      </c>
      <c r="K5" s="25">
        <v>10</v>
      </c>
    </row>
    <row r="6" spans="1:11" ht="13" x14ac:dyDescent="0.3">
      <c r="A6" s="1" t="s">
        <v>3</v>
      </c>
      <c r="B6" s="21" t="s">
        <v>22</v>
      </c>
      <c r="C6" s="21" t="s">
        <v>22</v>
      </c>
      <c r="D6" s="21" t="s">
        <v>22</v>
      </c>
      <c r="E6" s="21">
        <v>40</v>
      </c>
      <c r="F6" s="21">
        <v>15</v>
      </c>
      <c r="G6" s="21">
        <v>15</v>
      </c>
      <c r="H6" s="21">
        <v>17</v>
      </c>
      <c r="I6" s="21">
        <v>35</v>
      </c>
      <c r="J6" s="25">
        <v>20</v>
      </c>
      <c r="K6" s="25">
        <v>19</v>
      </c>
    </row>
    <row r="7" spans="1:11" ht="13" x14ac:dyDescent="0.3">
      <c r="A7" s="1" t="s">
        <v>4</v>
      </c>
      <c r="B7" s="21" t="s">
        <v>22</v>
      </c>
      <c r="C7" s="21" t="s">
        <v>22</v>
      </c>
      <c r="D7" s="21" t="s">
        <v>22</v>
      </c>
      <c r="E7" s="21" t="s">
        <v>22</v>
      </c>
      <c r="F7" s="21">
        <v>8</v>
      </c>
      <c r="G7" s="21">
        <v>8</v>
      </c>
      <c r="H7" s="21">
        <v>13</v>
      </c>
      <c r="I7" s="21">
        <v>16</v>
      </c>
      <c r="J7" s="25">
        <v>20</v>
      </c>
      <c r="K7" s="25">
        <v>22</v>
      </c>
    </row>
    <row r="8" spans="1:11" ht="13" x14ac:dyDescent="0.3">
      <c r="A8" s="1" t="s">
        <v>5</v>
      </c>
      <c r="B8" s="21" t="s">
        <v>22</v>
      </c>
      <c r="C8" s="21" t="s">
        <v>22</v>
      </c>
      <c r="D8" s="21">
        <v>50</v>
      </c>
      <c r="E8" s="21">
        <v>29</v>
      </c>
      <c r="F8" s="21">
        <v>10</v>
      </c>
      <c r="G8" s="21">
        <v>8</v>
      </c>
      <c r="H8" s="21">
        <v>7</v>
      </c>
      <c r="I8" s="21">
        <v>9</v>
      </c>
      <c r="J8" s="25">
        <v>11</v>
      </c>
      <c r="K8" s="25">
        <v>14</v>
      </c>
    </row>
    <row r="9" spans="1:11" ht="13" x14ac:dyDescent="0.3">
      <c r="A9" s="1" t="s">
        <v>6</v>
      </c>
      <c r="B9" s="21" t="s">
        <v>22</v>
      </c>
      <c r="C9" s="21" t="s">
        <v>22</v>
      </c>
      <c r="D9" s="21" t="s">
        <v>22</v>
      </c>
      <c r="E9" s="21" t="s">
        <v>22</v>
      </c>
      <c r="F9" s="21">
        <v>26</v>
      </c>
      <c r="G9" s="21">
        <v>25</v>
      </c>
      <c r="H9" s="21">
        <v>18</v>
      </c>
      <c r="I9" s="21">
        <v>20</v>
      </c>
      <c r="J9" s="25">
        <v>15</v>
      </c>
      <c r="K9" s="25">
        <v>13</v>
      </c>
    </row>
    <row r="10" spans="1:11" ht="13" x14ac:dyDescent="0.3">
      <c r="A10" s="1" t="s">
        <v>13</v>
      </c>
      <c r="B10" s="21">
        <v>63</v>
      </c>
      <c r="C10" s="21">
        <v>56</v>
      </c>
      <c r="D10" s="21">
        <v>25</v>
      </c>
      <c r="E10" s="21">
        <v>20</v>
      </c>
      <c r="F10" s="21">
        <v>24</v>
      </c>
      <c r="G10" s="21">
        <v>23</v>
      </c>
      <c r="H10" s="21">
        <v>26</v>
      </c>
      <c r="I10" s="21">
        <v>33</v>
      </c>
      <c r="J10" s="25">
        <v>29</v>
      </c>
      <c r="K10" s="25">
        <v>25</v>
      </c>
    </row>
    <row r="11" spans="1:11" ht="13" x14ac:dyDescent="0.3">
      <c r="A11" s="1" t="s">
        <v>14</v>
      </c>
      <c r="B11" s="21" t="s">
        <v>22</v>
      </c>
      <c r="C11" s="21" t="s">
        <v>22</v>
      </c>
      <c r="D11" s="21">
        <v>26</v>
      </c>
      <c r="E11" s="21">
        <v>32</v>
      </c>
      <c r="F11" s="21">
        <v>24</v>
      </c>
      <c r="G11" s="21">
        <v>25</v>
      </c>
      <c r="H11" s="21">
        <v>27</v>
      </c>
      <c r="I11" s="21">
        <v>40</v>
      </c>
      <c r="J11" s="25">
        <v>31</v>
      </c>
      <c r="K11" s="25">
        <v>24</v>
      </c>
    </row>
    <row r="12" spans="1:11" ht="13" x14ac:dyDescent="0.3">
      <c r="A12" s="1" t="s">
        <v>7</v>
      </c>
      <c r="B12" s="21" t="s">
        <v>22</v>
      </c>
      <c r="C12" s="21" t="s">
        <v>22</v>
      </c>
      <c r="D12" s="21" t="s">
        <v>22</v>
      </c>
      <c r="E12" s="21" t="s">
        <v>22</v>
      </c>
      <c r="F12" s="21" t="s">
        <v>22</v>
      </c>
      <c r="G12" s="21" t="s">
        <v>22</v>
      </c>
      <c r="H12" s="21" t="s">
        <v>22</v>
      </c>
      <c r="I12" s="21" t="s">
        <v>22</v>
      </c>
      <c r="J12" s="25" t="s">
        <v>22</v>
      </c>
      <c r="K12" s="25" t="s">
        <v>22</v>
      </c>
    </row>
    <row r="13" spans="1:11" ht="13" x14ac:dyDescent="0.3">
      <c r="A13" s="1" t="s">
        <v>8</v>
      </c>
      <c r="B13" s="21" t="s">
        <v>22</v>
      </c>
      <c r="C13" s="21" t="s">
        <v>22</v>
      </c>
      <c r="D13" s="21">
        <v>27</v>
      </c>
      <c r="E13" s="21">
        <v>-17</v>
      </c>
      <c r="F13" s="21">
        <v>1</v>
      </c>
      <c r="G13" s="21">
        <v>-19</v>
      </c>
      <c r="H13" s="21">
        <v>8</v>
      </c>
      <c r="I13" s="21">
        <v>25</v>
      </c>
      <c r="J13" s="25">
        <v>31</v>
      </c>
      <c r="K13" s="25" t="s">
        <v>22</v>
      </c>
    </row>
    <row r="14" spans="1:11" ht="13" x14ac:dyDescent="0.3">
      <c r="A14" s="1" t="s">
        <v>9</v>
      </c>
      <c r="B14" s="21" t="s">
        <v>22</v>
      </c>
      <c r="C14" s="21">
        <v>83</v>
      </c>
      <c r="D14" s="21">
        <v>31</v>
      </c>
      <c r="E14" s="21">
        <v>24</v>
      </c>
      <c r="F14" s="21">
        <v>16</v>
      </c>
      <c r="G14" s="21">
        <v>15</v>
      </c>
      <c r="H14" s="21">
        <v>17</v>
      </c>
      <c r="I14" s="21">
        <v>25</v>
      </c>
      <c r="J14" s="25">
        <v>25</v>
      </c>
      <c r="K14" s="25">
        <v>23</v>
      </c>
    </row>
    <row r="15" spans="1:11" ht="13.5" thickBot="1" x14ac:dyDescent="0.35">
      <c r="A15" s="4" t="s">
        <v>10</v>
      </c>
      <c r="B15" s="22" t="s">
        <v>22</v>
      </c>
      <c r="C15" s="22" t="s">
        <v>22</v>
      </c>
      <c r="D15" s="22" t="s">
        <v>22</v>
      </c>
      <c r="E15" s="22" t="s">
        <v>22</v>
      </c>
      <c r="F15" s="22" t="s">
        <v>22</v>
      </c>
      <c r="G15" s="22" t="s">
        <v>22</v>
      </c>
      <c r="H15" s="22" t="s">
        <v>22</v>
      </c>
      <c r="I15" s="22" t="s">
        <v>22</v>
      </c>
      <c r="J15" s="26" t="s">
        <v>22</v>
      </c>
      <c r="K15" s="26" t="s">
        <v>22</v>
      </c>
    </row>
    <row r="16" spans="1:11" ht="13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3" x14ac:dyDescent="0.3">
      <c r="A17" s="14" t="s">
        <v>102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4" t="s">
        <v>103</v>
      </c>
    </row>
    <row r="20" spans="1:9" ht="13" x14ac:dyDescent="0.3">
      <c r="A20" s="1" t="s">
        <v>98</v>
      </c>
    </row>
  </sheetData>
  <mergeCells count="1">
    <mergeCell ref="A2:K2"/>
  </mergeCells>
  <pageMargins left="0.75" right="0.75" top="1" bottom="1" header="0.5" footer="0.5"/>
  <pageSetup paperSize="9"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21" sqref="C21"/>
    </sheetView>
  </sheetViews>
  <sheetFormatPr defaultRowHeight="12.5" x14ac:dyDescent="0.25"/>
  <cols>
    <col min="1" max="1" width="10" customWidth="1"/>
    <col min="2" max="2" width="7.54296875" customWidth="1"/>
    <col min="3" max="3" width="7" customWidth="1"/>
    <col min="4" max="11" width="8.26953125" customWidth="1"/>
  </cols>
  <sheetData>
    <row r="1" spans="1:11" ht="13" thickBo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3" x14ac:dyDescent="0.3">
      <c r="A2" s="76" t="s">
        <v>57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3" x14ac:dyDescent="0.3">
      <c r="B3" s="15">
        <v>1991</v>
      </c>
      <c r="C3" s="15">
        <v>1992</v>
      </c>
      <c r="D3" s="15">
        <v>1993</v>
      </c>
      <c r="E3" s="15">
        <v>1994</v>
      </c>
      <c r="F3" s="15">
        <v>1995</v>
      </c>
      <c r="G3" s="15">
        <v>1996</v>
      </c>
      <c r="H3" s="15">
        <v>1997</v>
      </c>
      <c r="I3" s="15">
        <v>1998</v>
      </c>
      <c r="J3" s="15">
        <v>1999</v>
      </c>
      <c r="K3" s="15">
        <v>2000</v>
      </c>
    </row>
    <row r="4" spans="1:11" ht="13" x14ac:dyDescent="0.3">
      <c r="A4" s="1" t="s">
        <v>2</v>
      </c>
      <c r="B4" s="69" t="s">
        <v>22</v>
      </c>
      <c r="C4" s="69">
        <v>125</v>
      </c>
      <c r="D4" s="69">
        <v>353</v>
      </c>
      <c r="E4" s="69">
        <v>20718</v>
      </c>
      <c r="F4" s="69">
        <v>37946</v>
      </c>
      <c r="G4" s="69">
        <v>37181</v>
      </c>
      <c r="H4" s="69">
        <v>48486</v>
      </c>
      <c r="I4" s="69">
        <v>82159</v>
      </c>
      <c r="J4" s="69">
        <v>90570</v>
      </c>
      <c r="K4" s="69">
        <v>109723</v>
      </c>
    </row>
    <row r="5" spans="1:11" ht="13" x14ac:dyDescent="0.3">
      <c r="A5" s="1" t="s">
        <v>3</v>
      </c>
      <c r="B5" s="69" t="s">
        <v>22</v>
      </c>
      <c r="C5" s="69">
        <v>2605</v>
      </c>
      <c r="D5" s="69">
        <v>15078</v>
      </c>
      <c r="E5" s="69">
        <v>62460</v>
      </c>
      <c r="F5" s="69">
        <v>126519</v>
      </c>
      <c r="G5" s="69">
        <v>159319</v>
      </c>
      <c r="H5" s="69">
        <v>386809</v>
      </c>
      <c r="I5" s="69">
        <v>530059</v>
      </c>
      <c r="J5" s="69">
        <v>559688</v>
      </c>
      <c r="K5" s="69">
        <v>1391759</v>
      </c>
    </row>
    <row r="6" spans="1:11" ht="13" x14ac:dyDescent="0.3">
      <c r="A6" s="1" t="s">
        <v>4</v>
      </c>
      <c r="B6" s="69" t="s">
        <v>22</v>
      </c>
      <c r="C6" s="69" t="s">
        <v>22</v>
      </c>
      <c r="D6" s="69" t="s">
        <v>22</v>
      </c>
      <c r="E6" s="69">
        <v>3134</v>
      </c>
      <c r="F6" s="69">
        <v>7398</v>
      </c>
      <c r="G6" s="69">
        <v>12335</v>
      </c>
      <c r="H6" s="69">
        <v>30363</v>
      </c>
      <c r="I6" s="69">
        <v>113342</v>
      </c>
      <c r="J6" s="69">
        <v>281741</v>
      </c>
      <c r="K6" s="69">
        <v>810029</v>
      </c>
    </row>
    <row r="7" spans="1:11" ht="13" x14ac:dyDescent="0.3">
      <c r="A7" s="1" t="s">
        <v>5</v>
      </c>
      <c r="B7" s="69" t="s">
        <v>22</v>
      </c>
      <c r="C7" s="69" t="s">
        <v>22</v>
      </c>
      <c r="D7" s="69" t="s">
        <v>22</v>
      </c>
      <c r="E7" s="69" t="s">
        <v>22</v>
      </c>
      <c r="F7" s="69">
        <v>149</v>
      </c>
      <c r="G7" s="69">
        <v>128</v>
      </c>
      <c r="H7" s="69">
        <v>212</v>
      </c>
      <c r="I7" s="69">
        <v>307</v>
      </c>
      <c r="J7" s="69">
        <v>421</v>
      </c>
      <c r="K7" s="69">
        <v>525</v>
      </c>
    </row>
    <row r="8" spans="1:11" ht="13" x14ac:dyDescent="0.3">
      <c r="A8" s="1" t="s">
        <v>6</v>
      </c>
      <c r="B8" s="69" t="s">
        <v>22</v>
      </c>
      <c r="C8" s="69" t="s">
        <v>22</v>
      </c>
      <c r="D8" s="69">
        <v>14507</v>
      </c>
      <c r="E8" s="69">
        <v>112507</v>
      </c>
      <c r="F8" s="69">
        <v>72320</v>
      </c>
      <c r="G8" s="69">
        <v>89354</v>
      </c>
      <c r="H8" s="69">
        <v>86487</v>
      </c>
      <c r="I8" s="69">
        <v>114376</v>
      </c>
      <c r="J8" s="69">
        <v>179720</v>
      </c>
      <c r="K8" s="69">
        <v>339995</v>
      </c>
    </row>
    <row r="9" spans="1:11" ht="13" x14ac:dyDescent="0.3">
      <c r="A9" s="1" t="s">
        <v>13</v>
      </c>
      <c r="B9" s="69" t="s">
        <v>22</v>
      </c>
      <c r="C9" s="69" t="s">
        <v>22</v>
      </c>
      <c r="D9" s="69" t="s">
        <v>22</v>
      </c>
      <c r="E9" s="69" t="s">
        <v>22</v>
      </c>
      <c r="F9" s="69">
        <v>2024</v>
      </c>
      <c r="G9" s="69">
        <v>2026</v>
      </c>
      <c r="H9" s="69">
        <v>1066</v>
      </c>
      <c r="I9" s="69">
        <v>1828</v>
      </c>
      <c r="J9" s="69">
        <v>2487</v>
      </c>
      <c r="K9" s="69">
        <v>2720</v>
      </c>
    </row>
    <row r="10" spans="1:11" ht="13" x14ac:dyDescent="0.3">
      <c r="A10" s="1" t="s">
        <v>14</v>
      </c>
      <c r="B10" s="69">
        <v>2</v>
      </c>
      <c r="C10" s="69">
        <v>11</v>
      </c>
      <c r="D10" s="69">
        <v>91</v>
      </c>
      <c r="E10" s="69">
        <v>175</v>
      </c>
      <c r="F10" s="69">
        <v>435</v>
      </c>
      <c r="G10" s="69">
        <v>604</v>
      </c>
      <c r="H10" s="69">
        <v>621</v>
      </c>
      <c r="I10" s="69">
        <v>1271</v>
      </c>
      <c r="J10" s="69">
        <v>1459</v>
      </c>
      <c r="K10" s="69">
        <v>2033</v>
      </c>
    </row>
    <row r="11" spans="1:11" ht="13" x14ac:dyDescent="0.3">
      <c r="A11" s="1" t="s">
        <v>7</v>
      </c>
      <c r="B11" s="69" t="s">
        <v>22</v>
      </c>
      <c r="C11" s="69" t="s">
        <v>22</v>
      </c>
      <c r="D11" s="69">
        <v>20229</v>
      </c>
      <c r="E11" s="69">
        <v>74089</v>
      </c>
      <c r="F11" s="69">
        <v>134023</v>
      </c>
      <c r="G11" s="69">
        <v>158150</v>
      </c>
      <c r="H11" s="69">
        <v>236720</v>
      </c>
      <c r="I11" s="69">
        <v>346375</v>
      </c>
      <c r="J11" s="69">
        <v>521961</v>
      </c>
      <c r="K11" s="69">
        <v>867397</v>
      </c>
    </row>
    <row r="12" spans="1:11" ht="13" x14ac:dyDescent="0.3">
      <c r="A12" s="1" t="s">
        <v>8</v>
      </c>
      <c r="B12" s="69" t="s">
        <v>22</v>
      </c>
      <c r="C12" s="69" t="s">
        <v>22</v>
      </c>
      <c r="D12" s="69" t="s">
        <v>22</v>
      </c>
      <c r="E12" s="69" t="s">
        <v>22</v>
      </c>
      <c r="F12" s="69" t="s">
        <v>22</v>
      </c>
      <c r="G12" s="69" t="s">
        <v>22</v>
      </c>
      <c r="H12" s="69" t="s">
        <v>22</v>
      </c>
      <c r="I12" s="69" t="s">
        <v>22</v>
      </c>
      <c r="J12" s="69" t="s">
        <v>22</v>
      </c>
      <c r="K12" s="69" t="s">
        <v>22</v>
      </c>
    </row>
    <row r="13" spans="1:11" ht="13" x14ac:dyDescent="0.3">
      <c r="A13" s="1" t="s">
        <v>9</v>
      </c>
      <c r="B13" s="69" t="s">
        <v>22</v>
      </c>
      <c r="C13" s="69" t="s">
        <v>22</v>
      </c>
      <c r="D13" s="69">
        <v>903</v>
      </c>
      <c r="E13" s="69">
        <v>3627</v>
      </c>
      <c r="F13" s="69">
        <v>20566</v>
      </c>
      <c r="G13" s="69">
        <v>43204</v>
      </c>
      <c r="H13" s="69">
        <v>157309</v>
      </c>
      <c r="I13" s="69">
        <v>243317</v>
      </c>
      <c r="J13" s="69">
        <v>249913</v>
      </c>
      <c r="K13" s="69" t="s">
        <v>22</v>
      </c>
    </row>
    <row r="14" spans="1:11" ht="13.5" thickBot="1" x14ac:dyDescent="0.35">
      <c r="A14" s="4" t="s">
        <v>10</v>
      </c>
      <c r="B14" s="70" t="s">
        <v>22</v>
      </c>
      <c r="C14" s="70">
        <v>1</v>
      </c>
      <c r="D14" s="70">
        <v>21</v>
      </c>
      <c r="E14" s="70">
        <v>557</v>
      </c>
      <c r="F14" s="70">
        <v>804</v>
      </c>
      <c r="G14" s="70">
        <v>1129</v>
      </c>
      <c r="H14" s="70">
        <v>2294</v>
      </c>
      <c r="I14" s="70">
        <v>8027</v>
      </c>
      <c r="J14" s="70">
        <v>11200</v>
      </c>
      <c r="K14" s="70">
        <v>18277</v>
      </c>
    </row>
    <row r="16" spans="1:11" x14ac:dyDescent="0.25">
      <c r="A16" s="14" t="s">
        <v>100</v>
      </c>
    </row>
    <row r="17" spans="1:1" x14ac:dyDescent="0.25">
      <c r="A17" s="14" t="s">
        <v>101</v>
      </c>
    </row>
    <row r="19" spans="1:1" ht="13" x14ac:dyDescent="0.3">
      <c r="A19" s="1" t="s">
        <v>98</v>
      </c>
    </row>
  </sheetData>
  <mergeCells count="1">
    <mergeCell ref="A2:K2"/>
  </mergeCells>
  <pageMargins left="0.55118110236220474" right="0.55118110236220474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O18" sqref="O18"/>
    </sheetView>
  </sheetViews>
  <sheetFormatPr defaultRowHeight="12.5" x14ac:dyDescent="0.25"/>
  <cols>
    <col min="1" max="1" width="9.7265625" customWidth="1"/>
    <col min="2" max="9" width="8.7265625" customWidth="1"/>
    <col min="10" max="10" width="8.1796875" customWidth="1"/>
  </cols>
  <sheetData>
    <row r="1" spans="1:10" ht="13" thickBot="1" x14ac:dyDescent="0.3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13.5" x14ac:dyDescent="0.25">
      <c r="A2" s="81" t="s">
        <v>77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x14ac:dyDescent="0.25">
      <c r="A3" s="50" t="s">
        <v>11</v>
      </c>
      <c r="B3" s="51">
        <v>1993</v>
      </c>
      <c r="C3" s="51">
        <v>1994</v>
      </c>
      <c r="D3" s="51">
        <v>1995</v>
      </c>
      <c r="E3" s="51">
        <v>1996</v>
      </c>
      <c r="F3" s="51">
        <v>1997</v>
      </c>
      <c r="G3" s="51">
        <v>1998</v>
      </c>
      <c r="H3" s="51">
        <v>1999</v>
      </c>
      <c r="I3" s="51">
        <v>2000</v>
      </c>
      <c r="J3" s="51">
        <v>2001</v>
      </c>
    </row>
    <row r="4" spans="1:10" x14ac:dyDescent="0.25">
      <c r="A4" s="44" t="s">
        <v>1</v>
      </c>
      <c r="B4" s="45" t="s">
        <v>22</v>
      </c>
      <c r="C4" s="45" t="s">
        <v>22</v>
      </c>
      <c r="D4" s="45">
        <v>63.2</v>
      </c>
      <c r="E4" s="45">
        <v>32.200000000000003</v>
      </c>
      <c r="F4" s="45">
        <v>26.08</v>
      </c>
      <c r="G4" s="45">
        <v>24.94</v>
      </c>
      <c r="H4" s="46">
        <v>27.35</v>
      </c>
      <c r="I4" s="47">
        <f>(22.35+16.87+16.3+16.79)/4</f>
        <v>18.077500000000001</v>
      </c>
      <c r="J4" s="46">
        <v>14.9</v>
      </c>
    </row>
    <row r="5" spans="1:10" x14ac:dyDescent="0.25">
      <c r="A5" s="44" t="s">
        <v>2</v>
      </c>
      <c r="B5" s="45">
        <v>34</v>
      </c>
      <c r="C5" s="45">
        <v>406</v>
      </c>
      <c r="D5" s="45">
        <v>90</v>
      </c>
      <c r="E5" s="45">
        <v>13</v>
      </c>
      <c r="F5" s="45">
        <v>11.5</v>
      </c>
      <c r="G5" s="45">
        <v>10.9</v>
      </c>
      <c r="H5" s="46">
        <v>9.9</v>
      </c>
      <c r="I5" s="47">
        <v>12.2</v>
      </c>
      <c r="J5" s="46">
        <v>12</v>
      </c>
    </row>
    <row r="6" spans="1:10" x14ac:dyDescent="0.25">
      <c r="A6" s="44" t="s">
        <v>3</v>
      </c>
      <c r="B6" s="45">
        <v>65</v>
      </c>
      <c r="C6" s="45">
        <v>90</v>
      </c>
      <c r="D6" s="45">
        <v>101</v>
      </c>
      <c r="E6" s="45">
        <v>32.299999999999997</v>
      </c>
      <c r="F6" s="45">
        <v>15.6</v>
      </c>
      <c r="G6" s="45">
        <v>14.3</v>
      </c>
      <c r="H6" s="46">
        <v>23.8</v>
      </c>
      <c r="I6" s="47">
        <v>37.6</v>
      </c>
      <c r="J6" s="46">
        <v>35</v>
      </c>
    </row>
    <row r="7" spans="1:10" x14ac:dyDescent="0.25">
      <c r="A7" s="44" t="s">
        <v>4</v>
      </c>
      <c r="B7" s="45" t="s">
        <v>22</v>
      </c>
      <c r="C7" s="45" t="s">
        <v>22</v>
      </c>
      <c r="D7" s="45" t="s">
        <v>22</v>
      </c>
      <c r="E7" s="45">
        <v>31.05</v>
      </c>
      <c r="F7" s="45">
        <v>13.73</v>
      </c>
      <c r="G7" s="45">
        <v>17</v>
      </c>
      <c r="H7" s="46">
        <v>14.58</v>
      </c>
      <c r="I7" s="47">
        <v>10.17</v>
      </c>
      <c r="J7" s="46">
        <v>7.75</v>
      </c>
    </row>
    <row r="8" spans="1:10" x14ac:dyDescent="0.25">
      <c r="A8" s="44" t="s">
        <v>5</v>
      </c>
      <c r="B8" s="45" t="s">
        <v>22</v>
      </c>
      <c r="C8" s="45" t="s">
        <v>22</v>
      </c>
      <c r="D8" s="45">
        <v>44.4</v>
      </c>
      <c r="E8" s="45">
        <v>29.3</v>
      </c>
      <c r="F8" s="45">
        <v>12</v>
      </c>
      <c r="G8" s="45">
        <v>14.5</v>
      </c>
      <c r="H8" s="46">
        <v>13.5</v>
      </c>
      <c r="I8" s="47">
        <v>15.6</v>
      </c>
      <c r="J8" s="46">
        <v>11</v>
      </c>
    </row>
    <row r="9" spans="1:10" x14ac:dyDescent="0.25">
      <c r="A9" s="44" t="s">
        <v>6</v>
      </c>
      <c r="B9" s="45" t="s">
        <v>22</v>
      </c>
      <c r="C9" s="45" t="s">
        <v>22</v>
      </c>
      <c r="D9" s="45" t="s">
        <v>22</v>
      </c>
      <c r="E9" s="45">
        <v>36.700000000000003</v>
      </c>
      <c r="F9" s="45">
        <v>39.6</v>
      </c>
      <c r="G9" s="45">
        <v>35.799999999999997</v>
      </c>
      <c r="H9" s="46">
        <v>35.6</v>
      </c>
      <c r="I9" s="47">
        <v>17.399999999999999</v>
      </c>
      <c r="J9" s="47" t="s">
        <v>22</v>
      </c>
    </row>
    <row r="10" spans="1:10" x14ac:dyDescent="0.25">
      <c r="A10" s="44" t="s">
        <v>13</v>
      </c>
      <c r="B10" s="45" t="s">
        <v>22</v>
      </c>
      <c r="C10" s="45" t="s">
        <v>22</v>
      </c>
      <c r="D10" s="45">
        <v>32.5</v>
      </c>
      <c r="E10" s="45">
        <v>25.4</v>
      </c>
      <c r="F10" s="45">
        <v>23.5</v>
      </c>
      <c r="G10" s="45">
        <v>21.7</v>
      </c>
      <c r="H10" s="46">
        <v>27.5</v>
      </c>
      <c r="I10" s="47">
        <v>23.8</v>
      </c>
      <c r="J10" s="47" t="s">
        <v>22</v>
      </c>
    </row>
    <row r="11" spans="1:10" x14ac:dyDescent="0.25">
      <c r="A11" s="44" t="s">
        <v>14</v>
      </c>
      <c r="B11" s="45" t="s">
        <v>22</v>
      </c>
      <c r="C11" s="45" t="s">
        <v>22</v>
      </c>
      <c r="D11" s="45">
        <v>102</v>
      </c>
      <c r="E11" s="45">
        <v>55.1</v>
      </c>
      <c r="F11" s="45">
        <v>16.8</v>
      </c>
      <c r="G11" s="45">
        <v>17.100000000000001</v>
      </c>
      <c r="H11" s="46">
        <v>9.4</v>
      </c>
      <c r="I11" s="47">
        <v>5</v>
      </c>
      <c r="J11" s="46">
        <v>5.2</v>
      </c>
    </row>
    <row r="12" spans="1:10" x14ac:dyDescent="0.25">
      <c r="A12" s="44" t="s">
        <v>7</v>
      </c>
      <c r="B12" s="45">
        <v>30</v>
      </c>
      <c r="C12" s="45">
        <v>30</v>
      </c>
      <c r="D12" s="45">
        <v>100</v>
      </c>
      <c r="E12" s="45">
        <v>85</v>
      </c>
      <c r="F12" s="45">
        <v>89</v>
      </c>
      <c r="G12" s="45">
        <v>15.7</v>
      </c>
      <c r="H12" s="46">
        <v>11.4</v>
      </c>
      <c r="I12" s="47">
        <v>41.3</v>
      </c>
      <c r="J12" s="46">
        <v>33.4</v>
      </c>
    </row>
    <row r="13" spans="1:10" x14ac:dyDescent="0.25">
      <c r="A13" s="44" t="s">
        <v>8</v>
      </c>
      <c r="B13" s="45">
        <v>50</v>
      </c>
      <c r="C13" s="45">
        <v>206</v>
      </c>
      <c r="D13" s="45">
        <v>80</v>
      </c>
      <c r="E13" s="45">
        <v>130</v>
      </c>
      <c r="F13" s="45">
        <v>41.1</v>
      </c>
      <c r="G13" s="45">
        <v>24.2</v>
      </c>
      <c r="H13" s="46">
        <v>27.1</v>
      </c>
      <c r="I13" s="47" t="s">
        <v>22</v>
      </c>
      <c r="J13" s="47" t="s">
        <v>22</v>
      </c>
    </row>
    <row r="14" spans="1:10" x14ac:dyDescent="0.25">
      <c r="A14" s="44" t="s">
        <v>9</v>
      </c>
      <c r="B14" s="45">
        <v>149</v>
      </c>
      <c r="C14" s="45">
        <v>209</v>
      </c>
      <c r="D14" s="45">
        <v>70.290000000000006</v>
      </c>
      <c r="E14" s="45">
        <v>33.630000000000003</v>
      </c>
      <c r="F14" s="45">
        <v>18.21</v>
      </c>
      <c r="G14" s="45">
        <v>22.25</v>
      </c>
      <c r="H14" s="46">
        <v>20.7</v>
      </c>
      <c r="I14" s="47">
        <v>14</v>
      </c>
      <c r="J14" s="46">
        <v>10.8</v>
      </c>
    </row>
    <row r="15" spans="1:10" ht="13" thickBot="1" x14ac:dyDescent="0.3">
      <c r="A15" s="40" t="s">
        <v>10</v>
      </c>
      <c r="B15" s="48">
        <v>30</v>
      </c>
      <c r="C15" s="48">
        <v>60</v>
      </c>
      <c r="D15" s="48">
        <v>90</v>
      </c>
      <c r="E15" s="48">
        <v>28</v>
      </c>
      <c r="F15" s="48">
        <v>15</v>
      </c>
      <c r="G15" s="48">
        <v>12</v>
      </c>
      <c r="H15" s="49">
        <v>12</v>
      </c>
      <c r="I15" s="48" t="s">
        <v>22</v>
      </c>
      <c r="J15" s="48" t="s">
        <v>22</v>
      </c>
    </row>
    <row r="16" spans="1:10" ht="13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3" x14ac:dyDescent="0.3">
      <c r="A17" s="14" t="s">
        <v>69</v>
      </c>
      <c r="B17" s="1"/>
      <c r="C17" s="1"/>
      <c r="D17" s="1"/>
      <c r="E17" s="1"/>
      <c r="F17" s="1"/>
      <c r="G17" s="1"/>
      <c r="H17" s="1"/>
      <c r="I17" s="1"/>
    </row>
    <row r="18" spans="1:9" ht="13" x14ac:dyDescent="0.3">
      <c r="A18" s="14" t="s">
        <v>58</v>
      </c>
      <c r="B18" s="1"/>
      <c r="C18" s="1"/>
      <c r="D18" s="1"/>
      <c r="E18" s="1"/>
      <c r="F18" s="1"/>
      <c r="G18" s="1"/>
      <c r="H18" s="1"/>
      <c r="I18" s="1"/>
    </row>
    <row r="19" spans="1:9" ht="13" x14ac:dyDescent="0.3">
      <c r="A19" s="14" t="s">
        <v>59</v>
      </c>
      <c r="B19" s="1"/>
      <c r="C19" s="1"/>
      <c r="D19" s="1"/>
      <c r="E19" s="1"/>
      <c r="F19" s="1"/>
      <c r="G19" s="1"/>
      <c r="H19" s="1"/>
      <c r="I19" s="1"/>
    </row>
    <row r="20" spans="1:9" ht="13" x14ac:dyDescent="0.3">
      <c r="A20" s="14" t="s">
        <v>60</v>
      </c>
      <c r="B20" s="1"/>
      <c r="C20" s="1"/>
      <c r="D20" s="1"/>
      <c r="E20" s="1"/>
      <c r="F20" s="1"/>
      <c r="G20" s="1"/>
      <c r="H20" s="1"/>
      <c r="I20" s="1"/>
    </row>
    <row r="21" spans="1:9" ht="13" x14ac:dyDescent="0.3">
      <c r="A21" s="14" t="s">
        <v>61</v>
      </c>
      <c r="B21" s="1"/>
      <c r="C21" s="1"/>
      <c r="D21" s="1"/>
      <c r="E21" s="1"/>
      <c r="F21" s="1"/>
      <c r="G21" s="1"/>
      <c r="H21" s="1"/>
      <c r="I21" s="1"/>
    </row>
    <row r="22" spans="1:9" ht="13" x14ac:dyDescent="0.3">
      <c r="A22" s="14" t="s">
        <v>62</v>
      </c>
      <c r="B22" s="1"/>
      <c r="C22" s="1"/>
      <c r="D22" s="1"/>
      <c r="E22" s="1"/>
      <c r="F22" s="1"/>
      <c r="G22" s="1"/>
      <c r="H22" s="1"/>
      <c r="I22" s="1"/>
    </row>
    <row r="23" spans="1:9" ht="13" x14ac:dyDescent="0.3">
      <c r="A23" s="14" t="s">
        <v>63</v>
      </c>
      <c r="B23" s="1"/>
      <c r="C23" s="1"/>
      <c r="D23" s="1"/>
      <c r="E23" s="1"/>
      <c r="F23" s="1"/>
      <c r="G23" s="1"/>
      <c r="H23" s="1"/>
      <c r="I23" s="1"/>
    </row>
    <row r="24" spans="1:9" ht="13" x14ac:dyDescent="0.3">
      <c r="A24" s="14" t="s">
        <v>70</v>
      </c>
      <c r="B24" s="1"/>
      <c r="C24" s="1"/>
      <c r="D24" s="1"/>
      <c r="E24" s="1"/>
      <c r="F24" s="1"/>
      <c r="G24" s="1"/>
      <c r="H24" s="1"/>
      <c r="I24" s="1"/>
    </row>
    <row r="25" spans="1:9" ht="13" x14ac:dyDescent="0.3">
      <c r="A25" s="14" t="s">
        <v>64</v>
      </c>
      <c r="B25" s="1"/>
      <c r="C25" s="1"/>
      <c r="D25" s="1"/>
      <c r="E25" s="1"/>
      <c r="F25" s="1"/>
      <c r="G25" s="1"/>
      <c r="H25" s="1"/>
      <c r="I25" s="1"/>
    </row>
    <row r="26" spans="1:9" ht="13" x14ac:dyDescent="0.3">
      <c r="A26" s="14" t="s">
        <v>65</v>
      </c>
      <c r="B26" s="1"/>
      <c r="C26" s="1"/>
      <c r="D26" s="1"/>
      <c r="E26" s="1"/>
      <c r="F26" s="1"/>
      <c r="G26" s="1"/>
      <c r="H26" s="1"/>
      <c r="I26" s="1"/>
    </row>
    <row r="27" spans="1:9" ht="13" x14ac:dyDescent="0.3">
      <c r="A27" s="14" t="s">
        <v>66</v>
      </c>
      <c r="B27" s="1"/>
      <c r="C27" s="1"/>
      <c r="D27" s="1"/>
      <c r="E27" s="1"/>
      <c r="F27" s="1"/>
      <c r="G27" s="1"/>
      <c r="H27" s="1"/>
      <c r="I27" s="1"/>
    </row>
    <row r="28" spans="1:9" ht="13" x14ac:dyDescent="0.3">
      <c r="A28" s="14" t="s">
        <v>67</v>
      </c>
      <c r="B28" s="1"/>
      <c r="C28" s="1"/>
      <c r="D28" s="1"/>
      <c r="E28" s="1"/>
      <c r="F28" s="1"/>
      <c r="G28" s="1"/>
      <c r="H28" s="1"/>
      <c r="I28" s="1"/>
    </row>
    <row r="29" spans="1:9" ht="13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13" x14ac:dyDescent="0.3">
      <c r="A30" s="1" t="s">
        <v>68</v>
      </c>
      <c r="B30" s="1"/>
      <c r="C30" s="1"/>
      <c r="D30" s="1"/>
      <c r="E30" s="1"/>
      <c r="F30" s="1"/>
      <c r="G30" s="1"/>
      <c r="H30" s="1"/>
      <c r="I30" s="1"/>
    </row>
  </sheetData>
  <mergeCells count="1">
    <mergeCell ref="A2:J2"/>
  </mergeCells>
  <pageMargins left="0.75" right="0.75" top="1" bottom="1" header="0.5" footer="0.5"/>
  <pageSetup paperSize="9" orientation="portrait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L23" sqref="L23"/>
    </sheetView>
  </sheetViews>
  <sheetFormatPr defaultColWidth="9.1796875" defaultRowHeight="11.5" x14ac:dyDescent="0.25"/>
  <cols>
    <col min="1" max="1" width="9.26953125" style="14" customWidth="1"/>
    <col min="2" max="10" width="8.26953125" style="14" customWidth="1"/>
    <col min="11" max="16384" width="9.1796875" style="14"/>
  </cols>
  <sheetData>
    <row r="1" spans="1:10" ht="12" thickBot="1" x14ac:dyDescent="0.3">
      <c r="A1" s="40"/>
      <c r="B1" s="40"/>
      <c r="C1" s="40"/>
      <c r="D1" s="40"/>
      <c r="E1" s="40"/>
      <c r="F1" s="40"/>
      <c r="G1" s="40"/>
      <c r="H1" s="40"/>
      <c r="I1" s="40"/>
      <c r="J1" s="40"/>
    </row>
    <row r="2" spans="1:10" ht="13.5" x14ac:dyDescent="0.25">
      <c r="A2" s="81" t="s">
        <v>78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x14ac:dyDescent="0.25">
      <c r="A3" s="50" t="s">
        <v>11</v>
      </c>
      <c r="B3" s="51">
        <v>1993</v>
      </c>
      <c r="C3" s="51">
        <v>1994</v>
      </c>
      <c r="D3" s="51">
        <v>1995</v>
      </c>
      <c r="E3" s="51">
        <v>1996</v>
      </c>
      <c r="F3" s="51">
        <v>1997</v>
      </c>
      <c r="G3" s="51">
        <v>1998</v>
      </c>
      <c r="H3" s="51">
        <v>1999</v>
      </c>
      <c r="I3" s="51">
        <v>2000</v>
      </c>
      <c r="J3" s="51">
        <v>2001</v>
      </c>
    </row>
    <row r="4" spans="1:10" x14ac:dyDescent="0.25">
      <c r="A4" s="14" t="s">
        <v>1</v>
      </c>
      <c r="B4" s="47" t="s">
        <v>22</v>
      </c>
      <c r="C4" s="47" t="s">
        <v>22</v>
      </c>
      <c r="D4" s="47">
        <v>111.9</v>
      </c>
      <c r="E4" s="47">
        <v>66.400000000000006</v>
      </c>
      <c r="F4" s="47">
        <v>54.23</v>
      </c>
      <c r="G4" s="47">
        <v>48.49</v>
      </c>
      <c r="H4" s="47">
        <v>38.85</v>
      </c>
      <c r="I4" s="47">
        <f>(36.16+33+29.44+27.66)/4</f>
        <v>31.564999999999998</v>
      </c>
      <c r="J4" s="14">
        <v>26.7</v>
      </c>
    </row>
    <row r="5" spans="1:10" x14ac:dyDescent="0.25">
      <c r="A5" s="14" t="s">
        <v>2</v>
      </c>
      <c r="B5" s="47">
        <v>257</v>
      </c>
      <c r="C5" s="47">
        <v>406</v>
      </c>
      <c r="D5" s="47">
        <v>107</v>
      </c>
      <c r="E5" s="47">
        <v>33</v>
      </c>
      <c r="F5" s="47">
        <v>21.5</v>
      </c>
      <c r="G5" s="47">
        <v>27.7</v>
      </c>
      <c r="H5" s="47">
        <v>27.5</v>
      </c>
      <c r="I5" s="47">
        <v>27.2</v>
      </c>
      <c r="J5" s="14">
        <v>28.1</v>
      </c>
    </row>
    <row r="6" spans="1:10" x14ac:dyDescent="0.25">
      <c r="A6" s="14" t="s">
        <v>3</v>
      </c>
      <c r="B6" s="47">
        <v>72</v>
      </c>
      <c r="C6" s="47">
        <v>149</v>
      </c>
      <c r="D6" s="47">
        <v>175</v>
      </c>
      <c r="E6" s="47">
        <v>62.3</v>
      </c>
      <c r="F6" s="47">
        <v>31.8</v>
      </c>
      <c r="G6" s="47">
        <v>27</v>
      </c>
      <c r="H6" s="47">
        <v>51</v>
      </c>
      <c r="I6" s="47">
        <v>68</v>
      </c>
      <c r="J6" s="14">
        <v>48</v>
      </c>
    </row>
    <row r="7" spans="1:10" x14ac:dyDescent="0.25">
      <c r="A7" s="14" t="s">
        <v>4</v>
      </c>
      <c r="B7" s="47" t="s">
        <v>22</v>
      </c>
      <c r="C7" s="47" t="s">
        <v>22</v>
      </c>
      <c r="D7" s="47" t="s">
        <v>22</v>
      </c>
      <c r="E7" s="47">
        <v>58.24</v>
      </c>
      <c r="F7" s="47">
        <v>50.64</v>
      </c>
      <c r="G7" s="47">
        <v>46</v>
      </c>
      <c r="H7" s="47">
        <v>33.4</v>
      </c>
      <c r="I7" s="47">
        <v>32.75</v>
      </c>
      <c r="J7" s="14">
        <v>27.25</v>
      </c>
    </row>
    <row r="8" spans="1:10" x14ac:dyDescent="0.25">
      <c r="A8" s="14" t="s">
        <v>5</v>
      </c>
      <c r="B8" s="47" t="s">
        <v>22</v>
      </c>
      <c r="C8" s="47" t="s">
        <v>22</v>
      </c>
      <c r="D8" s="47">
        <v>58.3</v>
      </c>
      <c r="E8" s="47">
        <v>45</v>
      </c>
      <c r="F8" s="47">
        <v>22.8</v>
      </c>
      <c r="G8" s="47">
        <v>18.399999999999999</v>
      </c>
      <c r="H8" s="47">
        <v>21.4</v>
      </c>
      <c r="I8" s="47">
        <v>19.899999999999999</v>
      </c>
      <c r="J8" s="14">
        <v>15.4</v>
      </c>
    </row>
    <row r="9" spans="1:10" x14ac:dyDescent="0.25">
      <c r="A9" s="14" t="s">
        <v>6</v>
      </c>
      <c r="B9" s="47" t="s">
        <v>22</v>
      </c>
      <c r="C9" s="47" t="s">
        <v>22</v>
      </c>
      <c r="D9" s="47" t="s">
        <v>22</v>
      </c>
      <c r="E9" s="47">
        <v>65</v>
      </c>
      <c r="F9" s="47">
        <v>49.4</v>
      </c>
      <c r="G9" s="47">
        <v>73.400000000000006</v>
      </c>
      <c r="H9" s="47">
        <v>60.9</v>
      </c>
      <c r="I9" s="47">
        <v>52.7</v>
      </c>
      <c r="J9" s="73" t="s">
        <v>22</v>
      </c>
    </row>
    <row r="10" spans="1:10" x14ac:dyDescent="0.25">
      <c r="A10" s="14" t="s">
        <v>13</v>
      </c>
      <c r="B10" s="47" t="s">
        <v>22</v>
      </c>
      <c r="C10" s="47" t="s">
        <v>22</v>
      </c>
      <c r="D10" s="47">
        <v>41.9</v>
      </c>
      <c r="E10" s="47">
        <v>36.700000000000003</v>
      </c>
      <c r="F10" s="47">
        <v>33.299999999999997</v>
      </c>
      <c r="G10" s="47">
        <v>30.8</v>
      </c>
      <c r="H10" s="47">
        <v>35.5</v>
      </c>
      <c r="I10" s="47">
        <v>31.6</v>
      </c>
      <c r="J10" s="73" t="s">
        <v>22</v>
      </c>
    </row>
    <row r="11" spans="1:10" x14ac:dyDescent="0.25">
      <c r="A11" s="14" t="s">
        <v>14</v>
      </c>
      <c r="B11" s="47" t="s">
        <v>22</v>
      </c>
      <c r="C11" s="47" t="s">
        <v>22</v>
      </c>
      <c r="D11" s="47">
        <v>320.3</v>
      </c>
      <c r="E11" s="47">
        <v>146.80000000000001</v>
      </c>
      <c r="F11" s="47">
        <v>32</v>
      </c>
      <c r="G11" s="47">
        <v>41.8</v>
      </c>
      <c r="H11" s="47">
        <v>38.299999999999997</v>
      </c>
      <c r="I11" s="47">
        <v>18</v>
      </c>
      <c r="J11" s="73">
        <v>16.5</v>
      </c>
    </row>
    <row r="12" spans="1:10" x14ac:dyDescent="0.25">
      <c r="A12" s="14" t="s">
        <v>7</v>
      </c>
      <c r="B12" s="47">
        <v>30</v>
      </c>
      <c r="C12" s="47">
        <v>30</v>
      </c>
      <c r="D12" s="47">
        <v>500</v>
      </c>
      <c r="E12" s="47">
        <v>124</v>
      </c>
      <c r="F12" s="47">
        <v>74</v>
      </c>
      <c r="G12" s="47">
        <v>49.7</v>
      </c>
      <c r="H12" s="47">
        <v>23.2</v>
      </c>
      <c r="I12" s="47">
        <v>18.600000000000001</v>
      </c>
      <c r="J12" s="73">
        <v>17.3</v>
      </c>
    </row>
    <row r="13" spans="1:10" x14ac:dyDescent="0.25">
      <c r="A13" s="14" t="s">
        <v>8</v>
      </c>
      <c r="B13" s="47">
        <v>108</v>
      </c>
      <c r="C13" s="47">
        <v>300</v>
      </c>
      <c r="D13" s="47">
        <v>70</v>
      </c>
      <c r="E13" s="47">
        <v>200</v>
      </c>
      <c r="F13" s="47">
        <v>52.6</v>
      </c>
      <c r="G13" s="47">
        <v>58.6</v>
      </c>
      <c r="H13" s="47">
        <v>41.8</v>
      </c>
      <c r="I13" s="47">
        <v>11.3</v>
      </c>
      <c r="J13" s="73" t="s">
        <v>22</v>
      </c>
    </row>
    <row r="14" spans="1:10" x14ac:dyDescent="0.25">
      <c r="A14" s="14" t="s">
        <v>9</v>
      </c>
      <c r="B14" s="47">
        <v>184</v>
      </c>
      <c r="C14" s="47">
        <v>250</v>
      </c>
      <c r="D14" s="47">
        <v>123</v>
      </c>
      <c r="E14" s="47">
        <v>79.88</v>
      </c>
      <c r="F14" s="47">
        <v>49.12</v>
      </c>
      <c r="G14" s="47">
        <v>54.5</v>
      </c>
      <c r="H14" s="47">
        <v>55</v>
      </c>
      <c r="I14" s="47">
        <v>42</v>
      </c>
      <c r="J14" s="73">
        <v>29.6</v>
      </c>
    </row>
    <row r="15" spans="1:10" ht="12" thickBot="1" x14ac:dyDescent="0.3">
      <c r="A15" s="40" t="s">
        <v>10</v>
      </c>
      <c r="B15" s="48" t="s">
        <v>22</v>
      </c>
      <c r="C15" s="48">
        <v>100</v>
      </c>
      <c r="D15" s="48">
        <v>105</v>
      </c>
      <c r="E15" s="48">
        <v>50</v>
      </c>
      <c r="F15" s="48">
        <v>28</v>
      </c>
      <c r="G15" s="48">
        <v>33</v>
      </c>
      <c r="H15" s="48">
        <v>30</v>
      </c>
      <c r="I15" s="48" t="s">
        <v>22</v>
      </c>
      <c r="J15" s="48" t="s">
        <v>22</v>
      </c>
    </row>
    <row r="17" spans="1:1" x14ac:dyDescent="0.25">
      <c r="A17" s="14" t="s">
        <v>75</v>
      </c>
    </row>
    <row r="18" spans="1:1" x14ac:dyDescent="0.25">
      <c r="A18" s="14" t="s">
        <v>76</v>
      </c>
    </row>
    <row r="19" spans="1:1" x14ac:dyDescent="0.25">
      <c r="A19" s="14" t="s">
        <v>58</v>
      </c>
    </row>
    <row r="20" spans="1:1" x14ac:dyDescent="0.25">
      <c r="A20" s="14" t="s">
        <v>71</v>
      </c>
    </row>
    <row r="21" spans="1:1" x14ac:dyDescent="0.25">
      <c r="A21" s="14" t="s">
        <v>60</v>
      </c>
    </row>
    <row r="22" spans="1:1" x14ac:dyDescent="0.25">
      <c r="A22" s="14" t="s">
        <v>72</v>
      </c>
    </row>
    <row r="23" spans="1:1" x14ac:dyDescent="0.25">
      <c r="A23" s="14" t="s">
        <v>73</v>
      </c>
    </row>
    <row r="24" spans="1:1" x14ac:dyDescent="0.25">
      <c r="A24" s="14" t="s">
        <v>64</v>
      </c>
    </row>
    <row r="25" spans="1:1" x14ac:dyDescent="0.25">
      <c r="A25" s="14" t="s">
        <v>65</v>
      </c>
    </row>
    <row r="26" spans="1:1" x14ac:dyDescent="0.25">
      <c r="A26" s="14" t="s">
        <v>74</v>
      </c>
    </row>
    <row r="28" spans="1:1" x14ac:dyDescent="0.25">
      <c r="A28" s="14" t="s">
        <v>68</v>
      </c>
    </row>
  </sheetData>
  <mergeCells count="1">
    <mergeCell ref="A2:J2"/>
  </mergeCells>
  <pageMargins left="0.75" right="0.75" top="1" bottom="1" header="0.5" footer="0.5"/>
  <pageSetup paperSize="9" orientation="portrait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B22" sqref="B22"/>
    </sheetView>
  </sheetViews>
  <sheetFormatPr defaultRowHeight="12.5" x14ac:dyDescent="0.25"/>
  <cols>
    <col min="1" max="1" width="10.1796875" customWidth="1"/>
    <col min="2" max="9" width="8.7265625" customWidth="1"/>
  </cols>
  <sheetData>
    <row r="1" spans="1:9" ht="13" thickBot="1" x14ac:dyDescent="0.3">
      <c r="A1" s="14"/>
      <c r="B1" s="14"/>
      <c r="C1" s="14"/>
      <c r="D1" s="14"/>
      <c r="E1" s="14"/>
      <c r="F1" s="14"/>
      <c r="G1" s="14"/>
      <c r="H1" s="14"/>
      <c r="I1" s="14"/>
    </row>
    <row r="2" spans="1:9" ht="15" x14ac:dyDescent="0.3">
      <c r="A2" s="76" t="s">
        <v>79</v>
      </c>
      <c r="B2" s="76"/>
      <c r="C2" s="76"/>
      <c r="D2" s="76"/>
      <c r="E2" s="76"/>
      <c r="F2" s="76"/>
      <c r="G2" s="76"/>
      <c r="H2" s="76"/>
      <c r="I2" s="76"/>
    </row>
    <row r="3" spans="1:9" ht="13" x14ac:dyDescent="0.3">
      <c r="B3" s="15">
        <v>1993</v>
      </c>
      <c r="C3" s="15">
        <v>1994</v>
      </c>
      <c r="D3" s="15">
        <v>1995</v>
      </c>
      <c r="E3" s="15">
        <v>1996</v>
      </c>
      <c r="F3" s="15">
        <v>1997</v>
      </c>
      <c r="G3" s="15">
        <v>1998</v>
      </c>
      <c r="H3" s="15">
        <v>1999</v>
      </c>
      <c r="I3" s="15">
        <v>2000</v>
      </c>
    </row>
    <row r="4" spans="1:9" x14ac:dyDescent="0.25">
      <c r="A4" s="14" t="s">
        <v>1</v>
      </c>
      <c r="B4" s="45" t="s">
        <v>22</v>
      </c>
      <c r="C4" s="45" t="s">
        <v>22</v>
      </c>
      <c r="D4" s="45">
        <v>48.7</v>
      </c>
      <c r="E4" s="45">
        <v>34.200000000000003</v>
      </c>
      <c r="F4" s="45">
        <v>28.15</v>
      </c>
      <c r="G4" s="45">
        <v>23.55</v>
      </c>
      <c r="H4" s="45">
        <v>11.5</v>
      </c>
      <c r="I4" s="45">
        <v>13.487500000000001</v>
      </c>
    </row>
    <row r="5" spans="1:9" x14ac:dyDescent="0.25">
      <c r="A5" s="14" t="s">
        <v>2</v>
      </c>
      <c r="B5" s="47">
        <v>223</v>
      </c>
      <c r="C5" s="47" t="s">
        <v>80</v>
      </c>
      <c r="D5" s="47">
        <v>17</v>
      </c>
      <c r="E5" s="47">
        <v>20</v>
      </c>
      <c r="F5" s="47">
        <v>10</v>
      </c>
      <c r="G5" s="47">
        <v>16.8</v>
      </c>
      <c r="H5" s="47">
        <v>17.600000000000001</v>
      </c>
      <c r="I5" s="47" t="s">
        <v>22</v>
      </c>
    </row>
    <row r="6" spans="1:9" x14ac:dyDescent="0.25">
      <c r="A6" s="14" t="s">
        <v>3</v>
      </c>
      <c r="B6" s="47">
        <v>7</v>
      </c>
      <c r="C6" s="47">
        <v>59</v>
      </c>
      <c r="D6" s="47">
        <v>74</v>
      </c>
      <c r="E6" s="47">
        <v>30</v>
      </c>
      <c r="F6" s="47">
        <v>16.2</v>
      </c>
      <c r="G6" s="47">
        <v>12.7</v>
      </c>
      <c r="H6" s="47">
        <v>27.2</v>
      </c>
      <c r="I6" s="47">
        <v>32.633333333333319</v>
      </c>
    </row>
    <row r="7" spans="1:9" x14ac:dyDescent="0.25">
      <c r="A7" s="14" t="s">
        <v>4</v>
      </c>
      <c r="B7" s="47" t="s">
        <v>22</v>
      </c>
      <c r="C7" s="47" t="s">
        <v>22</v>
      </c>
      <c r="D7" s="47" t="s">
        <v>22</v>
      </c>
      <c r="E7" s="47">
        <v>27.19</v>
      </c>
      <c r="F7" s="47">
        <v>36.909999999999997</v>
      </c>
      <c r="G7" s="47">
        <v>29</v>
      </c>
      <c r="H7" s="47">
        <v>18.82</v>
      </c>
      <c r="I7" s="47">
        <v>20</v>
      </c>
    </row>
    <row r="8" spans="1:9" x14ac:dyDescent="0.25">
      <c r="A8" s="14" t="s">
        <v>5</v>
      </c>
      <c r="B8" s="47" t="s">
        <v>22</v>
      </c>
      <c r="C8" s="47" t="s">
        <v>22</v>
      </c>
      <c r="D8" s="47">
        <v>13.9</v>
      </c>
      <c r="E8" s="47">
        <v>15</v>
      </c>
      <c r="F8" s="47">
        <v>10.199999999999999</v>
      </c>
      <c r="G8" s="47">
        <v>3.9</v>
      </c>
      <c r="H8" s="47">
        <v>7.9</v>
      </c>
      <c r="I8" s="47" t="s">
        <v>22</v>
      </c>
    </row>
    <row r="9" spans="1:9" x14ac:dyDescent="0.25">
      <c r="A9" s="14" t="s">
        <v>6</v>
      </c>
      <c r="B9" s="47" t="s">
        <v>22</v>
      </c>
      <c r="C9" s="47" t="s">
        <v>22</v>
      </c>
      <c r="D9" s="47" t="s">
        <v>22</v>
      </c>
      <c r="E9" s="47">
        <v>28.3</v>
      </c>
      <c r="F9" s="47">
        <v>9.8000000000000007</v>
      </c>
      <c r="G9" s="47">
        <v>37.6</v>
      </c>
      <c r="H9" s="47">
        <v>25.3</v>
      </c>
      <c r="I9" s="47">
        <v>35.299999999999997</v>
      </c>
    </row>
    <row r="10" spans="1:9" x14ac:dyDescent="0.25">
      <c r="A10" s="14" t="s">
        <v>13</v>
      </c>
      <c r="B10" s="47" t="s">
        <v>22</v>
      </c>
      <c r="C10" s="47" t="s">
        <v>22</v>
      </c>
      <c r="D10" s="47">
        <v>9.4</v>
      </c>
      <c r="E10" s="47">
        <v>11.3</v>
      </c>
      <c r="F10" s="47">
        <v>9.8000000000000007</v>
      </c>
      <c r="G10" s="47">
        <v>9.1</v>
      </c>
      <c r="H10" s="47">
        <v>8</v>
      </c>
      <c r="I10" s="47">
        <v>7.8</v>
      </c>
    </row>
    <row r="11" spans="1:9" x14ac:dyDescent="0.25">
      <c r="A11" s="14" t="s">
        <v>14</v>
      </c>
      <c r="B11" s="47" t="s">
        <v>22</v>
      </c>
      <c r="C11" s="47" t="s">
        <v>22</v>
      </c>
      <c r="D11" s="47">
        <v>218.3</v>
      </c>
      <c r="E11" s="47">
        <v>91.7</v>
      </c>
      <c r="F11" s="47">
        <v>15.2</v>
      </c>
      <c r="G11" s="47">
        <v>24.7</v>
      </c>
      <c r="H11" s="47">
        <v>26</v>
      </c>
      <c r="I11" s="47">
        <v>16</v>
      </c>
    </row>
    <row r="12" spans="1:9" x14ac:dyDescent="0.25">
      <c r="A12" s="14" t="s">
        <v>7</v>
      </c>
      <c r="B12" s="47" t="s">
        <v>80</v>
      </c>
      <c r="C12" s="47" t="s">
        <v>80</v>
      </c>
      <c r="D12" s="47">
        <v>400</v>
      </c>
      <c r="E12" s="47">
        <v>39</v>
      </c>
      <c r="F12" s="47">
        <v>-15</v>
      </c>
      <c r="G12" s="47">
        <v>34</v>
      </c>
      <c r="H12" s="47">
        <v>26.2</v>
      </c>
      <c r="I12" s="47" t="s">
        <v>22</v>
      </c>
    </row>
    <row r="13" spans="1:9" x14ac:dyDescent="0.25">
      <c r="A13" s="14" t="s">
        <v>8</v>
      </c>
      <c r="B13" s="47">
        <v>58</v>
      </c>
      <c r="C13" s="47">
        <v>94</v>
      </c>
      <c r="D13" s="47">
        <v>-10</v>
      </c>
      <c r="E13" s="47">
        <v>70</v>
      </c>
      <c r="F13" s="47">
        <v>11.5</v>
      </c>
      <c r="G13" s="47">
        <v>34.4</v>
      </c>
      <c r="H13" s="47">
        <v>14.7</v>
      </c>
      <c r="I13" s="47" t="s">
        <v>22</v>
      </c>
    </row>
    <row r="14" spans="1:9" x14ac:dyDescent="0.25">
      <c r="A14" s="14" t="s">
        <v>9</v>
      </c>
      <c r="B14" s="47">
        <v>35</v>
      </c>
      <c r="C14" s="47">
        <v>41</v>
      </c>
      <c r="D14" s="47">
        <v>52.71</v>
      </c>
      <c r="E14" s="47">
        <v>46.25</v>
      </c>
      <c r="F14" s="47">
        <v>30.91</v>
      </c>
      <c r="G14" s="47">
        <v>32.25</v>
      </c>
      <c r="H14" s="47">
        <v>34.299999999999997</v>
      </c>
      <c r="I14" s="47">
        <v>24.96</v>
      </c>
    </row>
    <row r="15" spans="1:9" ht="13" thickBot="1" x14ac:dyDescent="0.3">
      <c r="A15" s="40" t="s">
        <v>10</v>
      </c>
      <c r="B15" s="48" t="s">
        <v>22</v>
      </c>
      <c r="C15" s="48">
        <v>40</v>
      </c>
      <c r="D15" s="48">
        <v>15</v>
      </c>
      <c r="E15" s="48">
        <v>22</v>
      </c>
      <c r="F15" s="48">
        <v>13</v>
      </c>
      <c r="G15" s="48">
        <v>21</v>
      </c>
      <c r="H15" s="48">
        <v>18</v>
      </c>
      <c r="I15" s="48" t="s">
        <v>22</v>
      </c>
    </row>
    <row r="16" spans="1:9" x14ac:dyDescent="0.25">
      <c r="A16" s="14" t="s">
        <v>81</v>
      </c>
      <c r="B16" s="52"/>
      <c r="C16" s="52"/>
      <c r="D16" s="52"/>
      <c r="E16" s="52"/>
      <c r="F16" s="52"/>
      <c r="G16" s="52"/>
      <c r="H16" s="52"/>
      <c r="I16" s="52"/>
    </row>
    <row r="17" spans="1:9" x14ac:dyDescent="0.25">
      <c r="A17" s="14" t="s">
        <v>82</v>
      </c>
      <c r="B17" s="52"/>
      <c r="C17" s="52"/>
      <c r="D17" s="52"/>
      <c r="E17" s="52"/>
      <c r="F17" s="52"/>
      <c r="G17" s="52"/>
      <c r="H17" s="52"/>
      <c r="I17" s="52"/>
    </row>
    <row r="18" spans="1:9" x14ac:dyDescent="0.25">
      <c r="A18" s="14" t="s">
        <v>68</v>
      </c>
      <c r="B18" s="52"/>
      <c r="C18" s="52"/>
      <c r="D18" s="52"/>
      <c r="E18" s="52"/>
      <c r="F18" s="52"/>
      <c r="G18" s="52"/>
      <c r="H18" s="52"/>
      <c r="I18" s="52"/>
    </row>
    <row r="19" spans="1:9" x14ac:dyDescent="0.25">
      <c r="A19" s="14"/>
      <c r="B19" s="52"/>
      <c r="C19" s="52"/>
      <c r="D19" s="52"/>
      <c r="E19" s="52"/>
      <c r="F19" s="52"/>
      <c r="G19" s="52"/>
      <c r="H19" s="52"/>
      <c r="I19" s="52"/>
    </row>
  </sheetData>
  <mergeCells count="1">
    <mergeCell ref="A2:I2"/>
  </mergeCells>
  <pageMargins left="0.75" right="0.75" top="1" bottom="1" header="0.5" footer="0.5"/>
  <pageSetup paperSize="9" orientation="portrait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opLeftCell="A2" workbookViewId="0">
      <selection activeCell="I32" sqref="I32"/>
    </sheetView>
  </sheetViews>
  <sheetFormatPr defaultRowHeight="12.5" x14ac:dyDescent="0.25"/>
  <sheetData>
    <row r="2" spans="1:4" ht="15" x14ac:dyDescent="0.3">
      <c r="A2" s="1" t="s">
        <v>90</v>
      </c>
      <c r="B2" s="1"/>
      <c r="D2" s="1" t="s">
        <v>91</v>
      </c>
    </row>
    <row r="3" spans="1:4" ht="13" x14ac:dyDescent="0.3">
      <c r="A3" s="1"/>
      <c r="B3" s="34">
        <v>2000</v>
      </c>
      <c r="D3" s="59">
        <v>2000</v>
      </c>
    </row>
    <row r="4" spans="1:4" ht="13" x14ac:dyDescent="0.3">
      <c r="A4" s="32" t="s">
        <v>1</v>
      </c>
      <c r="B4" s="32">
        <v>2580</v>
      </c>
      <c r="D4" s="59">
        <v>520</v>
      </c>
    </row>
    <row r="5" spans="1:4" ht="13" x14ac:dyDescent="0.3">
      <c r="A5" s="32" t="s">
        <v>2</v>
      </c>
      <c r="B5" s="32">
        <v>2740</v>
      </c>
      <c r="D5" s="59">
        <v>600</v>
      </c>
    </row>
    <row r="6" spans="1:4" ht="13" x14ac:dyDescent="0.3">
      <c r="A6" s="32" t="s">
        <v>3</v>
      </c>
      <c r="B6" s="32">
        <v>7550</v>
      </c>
      <c r="D6" s="64">
        <v>2870</v>
      </c>
    </row>
    <row r="7" spans="1:4" ht="13" x14ac:dyDescent="0.3">
      <c r="A7" s="32" t="s">
        <v>4</v>
      </c>
      <c r="B7" s="32">
        <v>2680</v>
      </c>
      <c r="D7" s="59">
        <v>630</v>
      </c>
    </row>
    <row r="8" spans="1:4" ht="13" x14ac:dyDescent="0.3">
      <c r="A8" s="32" t="s">
        <v>5</v>
      </c>
      <c r="B8" s="32">
        <v>5490</v>
      </c>
      <c r="D8" s="64">
        <v>1260</v>
      </c>
    </row>
    <row r="9" spans="1:4" ht="13" x14ac:dyDescent="0.3">
      <c r="A9" s="32" t="s">
        <v>6</v>
      </c>
      <c r="B9" s="32">
        <v>2540</v>
      </c>
      <c r="D9" s="59">
        <v>270</v>
      </c>
    </row>
    <row r="10" spans="1:4" ht="13" x14ac:dyDescent="0.3">
      <c r="A10" s="32" t="s">
        <v>45</v>
      </c>
      <c r="B10" s="32">
        <v>2230</v>
      </c>
      <c r="D10" s="59">
        <v>400</v>
      </c>
    </row>
    <row r="11" spans="1:4" ht="13" x14ac:dyDescent="0.3">
      <c r="A11" s="32" t="s">
        <v>14</v>
      </c>
      <c r="B11" s="32">
        <v>8010</v>
      </c>
      <c r="D11" s="64">
        <v>1660</v>
      </c>
    </row>
    <row r="12" spans="1:4" ht="13" x14ac:dyDescent="0.3">
      <c r="A12" s="32" t="s">
        <v>7</v>
      </c>
      <c r="B12" s="29">
        <v>1090</v>
      </c>
      <c r="D12" s="59">
        <v>180</v>
      </c>
    </row>
    <row r="13" spans="1:4" ht="13" x14ac:dyDescent="0.3">
      <c r="A13" s="32" t="s">
        <v>8</v>
      </c>
      <c r="B13" s="29">
        <v>3800</v>
      </c>
      <c r="D13" s="59">
        <v>750</v>
      </c>
    </row>
    <row r="14" spans="1:4" ht="13" x14ac:dyDescent="0.3">
      <c r="A14" s="32" t="s">
        <v>9</v>
      </c>
      <c r="B14" s="32">
        <v>3700</v>
      </c>
      <c r="D14" s="59">
        <v>700</v>
      </c>
    </row>
    <row r="15" spans="1:4" ht="13.5" thickBot="1" x14ac:dyDescent="0.35">
      <c r="A15" s="33" t="s">
        <v>10</v>
      </c>
      <c r="B15" s="33">
        <v>2360</v>
      </c>
      <c r="D15" s="59">
        <v>360</v>
      </c>
    </row>
    <row r="16" spans="1:4" ht="13" x14ac:dyDescent="0.3">
      <c r="A16" s="1"/>
      <c r="B16" s="1"/>
    </row>
    <row r="17" spans="1:2" ht="13" x14ac:dyDescent="0.3">
      <c r="A17" s="1" t="s">
        <v>88</v>
      </c>
      <c r="B17" s="1"/>
    </row>
    <row r="18" spans="1:2" ht="13" x14ac:dyDescent="0.3">
      <c r="A18" s="1" t="s">
        <v>89</v>
      </c>
      <c r="B18" s="1"/>
    </row>
    <row r="19" spans="1:2" ht="13" x14ac:dyDescent="0.3">
      <c r="A19" s="1" t="s">
        <v>46</v>
      </c>
      <c r="B19" s="1"/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population</vt:lpstr>
      <vt:lpstr>land</vt:lpstr>
      <vt:lpstr>GDP</vt:lpstr>
      <vt:lpstr>CPI</vt:lpstr>
      <vt:lpstr>gov-exp</vt:lpstr>
      <vt:lpstr>tax revenues</vt:lpstr>
      <vt:lpstr>debt</vt:lpstr>
      <vt:lpstr>priv. sector</vt:lpstr>
      <vt:lpstr>FDI</vt:lpstr>
      <vt:lpstr>poverty</vt:lpstr>
      <vt:lpstr>GFI</vt:lpstr>
      <vt:lpstr>Dom. credits</vt:lpstr>
      <vt:lpstr>claims</vt:lpstr>
      <vt:lpstr>deposite rate</vt:lpstr>
      <vt:lpstr>lending rate</vt:lpstr>
      <vt:lpstr>interest rate spread</vt:lpstr>
      <vt:lpstr>data links for charts</vt:lpstr>
      <vt:lpstr>land!TABLE</vt:lpstr>
    </vt:vector>
  </TitlesOfParts>
  <Company>OCDE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Carla Bertuzzi</dc:creator>
  <cp:lastModifiedBy>Carina Negreanu</cp:lastModifiedBy>
  <cp:lastPrinted>2002-10-29T14:35:14Z</cp:lastPrinted>
  <dcterms:created xsi:type="dcterms:W3CDTF">2001-07-18T14:03:34Z</dcterms:created>
  <dcterms:modified xsi:type="dcterms:W3CDTF">2020-01-27T11:12:08Z</dcterms:modified>
</cp:coreProperties>
</file>