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A277EC-2890-463D-9AB3-E82653FD29BC}" xr6:coauthVersionLast="45" xr6:coauthVersionMax="45" xr10:uidLastSave="{00000000-0000-0000-0000-000000000000}"/>
  <bookViews>
    <workbookView xWindow="3420" yWindow="3420" windowWidth="28800" windowHeight="15460" tabRatio="895" activeTab="6"/>
  </bookViews>
  <sheets>
    <sheet name="Class 1" sheetId="1" r:id="rId1"/>
    <sheet name="Student Progress 1" sheetId="14" r:id="rId2"/>
    <sheet name="Class 2" sheetId="40" r:id="rId3"/>
    <sheet name="Student Progress 2" sheetId="41" r:id="rId4"/>
    <sheet name="Class 3" sheetId="42" r:id="rId5"/>
    <sheet name="Student Progress 3" sheetId="43" r:id="rId6"/>
    <sheet name="Compare Grades" sheetId="44" r:id="rId7"/>
    <sheet name="Final Grade" sheetId="7" r:id="rId8"/>
    <sheet name="Grade Charts" sheetId="13" r:id="rId9"/>
    <sheet name="Compare Students" sheetId="16" r:id="rId10"/>
    <sheet name="Karly" sheetId="30" r:id="rId11"/>
    <sheet name="Micheal" sheetId="31" r:id="rId12"/>
    <sheet name="Dameon" sheetId="32" r:id="rId13"/>
    <sheet name="Rachel" sheetId="33" r:id="rId14"/>
    <sheet name="Renee" sheetId="34" r:id="rId15"/>
    <sheet name="Brooke" sheetId="35" r:id="rId16"/>
    <sheet name="Nicholas" sheetId="36" r:id="rId17"/>
    <sheet name="Seth" sheetId="37" r:id="rId18"/>
    <sheet name="Anastacia" sheetId="38" r:id="rId19"/>
    <sheet name="Cassandra" sheetId="39" r:id="rId20"/>
    <sheet name="Chart Data" sheetId="29" r:id="rId21"/>
  </sheets>
  <definedNames>
    <definedName name="_xlnm.Print_Area" localSheetId="0">'Class 1'!$A$3:$I$26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" i="1" l="1"/>
  <c r="T6" i="1"/>
  <c r="U6" i="1"/>
  <c r="V6" i="1"/>
  <c r="W6" i="1"/>
  <c r="X6" i="1"/>
  <c r="Y6" i="1"/>
  <c r="K7" i="1"/>
  <c r="L7" i="1"/>
  <c r="M7" i="1"/>
  <c r="N7" i="1"/>
  <c r="O7" i="1"/>
  <c r="P7" i="1"/>
  <c r="Q7" i="1"/>
  <c r="S7" i="1"/>
  <c r="T7" i="1"/>
  <c r="U7" i="1"/>
  <c r="V7" i="1"/>
  <c r="W7" i="1"/>
  <c r="X7" i="1"/>
  <c r="Y7" i="1"/>
  <c r="K8" i="1"/>
  <c r="L8" i="1"/>
  <c r="M8" i="1"/>
  <c r="N8" i="1"/>
  <c r="O8" i="1"/>
  <c r="P8" i="1"/>
  <c r="Q8" i="1"/>
  <c r="S8" i="1"/>
  <c r="T8" i="1"/>
  <c r="U8" i="1"/>
  <c r="V8" i="1"/>
  <c r="W8" i="1"/>
  <c r="X8" i="1"/>
  <c r="Y8" i="1"/>
  <c r="K9" i="1"/>
  <c r="L9" i="1"/>
  <c r="M9" i="1"/>
  <c r="N9" i="1"/>
  <c r="O9" i="1"/>
  <c r="P9" i="1"/>
  <c r="Q9" i="1"/>
  <c r="S9" i="1"/>
  <c r="T9" i="1"/>
  <c r="U9" i="1"/>
  <c r="V9" i="1"/>
  <c r="W9" i="1"/>
  <c r="X9" i="1"/>
  <c r="Y9" i="1"/>
  <c r="K10" i="1"/>
  <c r="L10" i="1"/>
  <c r="M10" i="1"/>
  <c r="N10" i="1"/>
  <c r="O10" i="1"/>
  <c r="P10" i="1"/>
  <c r="Q10" i="1"/>
  <c r="S10" i="1"/>
  <c r="T10" i="1"/>
  <c r="U10" i="1"/>
  <c r="V10" i="1"/>
  <c r="W10" i="1"/>
  <c r="X10" i="1"/>
  <c r="Y10" i="1"/>
  <c r="K11" i="1"/>
  <c r="L11" i="1"/>
  <c r="M11" i="1"/>
  <c r="N11" i="1"/>
  <c r="O11" i="1"/>
  <c r="P11" i="1"/>
  <c r="Q11" i="1"/>
  <c r="S11" i="1"/>
  <c r="T11" i="1"/>
  <c r="U11" i="1"/>
  <c r="V11" i="1"/>
  <c r="W11" i="1"/>
  <c r="X11" i="1"/>
  <c r="Y11" i="1"/>
  <c r="K12" i="1"/>
  <c r="L12" i="1"/>
  <c r="M12" i="1"/>
  <c r="N12" i="1"/>
  <c r="O12" i="1"/>
  <c r="P12" i="1"/>
  <c r="Q12" i="1"/>
  <c r="S12" i="1"/>
  <c r="T12" i="1"/>
  <c r="U12" i="1"/>
  <c r="V12" i="1"/>
  <c r="W12" i="1"/>
  <c r="X12" i="1"/>
  <c r="Y12" i="1"/>
  <c r="K13" i="1"/>
  <c r="L13" i="1"/>
  <c r="M13" i="1"/>
  <c r="N13" i="1"/>
  <c r="O13" i="1"/>
  <c r="P13" i="1"/>
  <c r="Q13" i="1"/>
  <c r="S13" i="1"/>
  <c r="T13" i="1"/>
  <c r="U13" i="1"/>
  <c r="V13" i="1"/>
  <c r="W13" i="1"/>
  <c r="X13" i="1"/>
  <c r="Y13" i="1"/>
  <c r="K14" i="1"/>
  <c r="L14" i="1"/>
  <c r="M14" i="1"/>
  <c r="N14" i="1"/>
  <c r="O14" i="1"/>
  <c r="P14" i="1"/>
  <c r="Q14" i="1"/>
  <c r="S14" i="1"/>
  <c r="T14" i="1"/>
  <c r="U14" i="1"/>
  <c r="V14" i="1"/>
  <c r="W14" i="1"/>
  <c r="X14" i="1"/>
  <c r="Y14" i="1"/>
  <c r="K15" i="1"/>
  <c r="L15" i="1"/>
  <c r="M15" i="1"/>
  <c r="N15" i="1"/>
  <c r="O15" i="1"/>
  <c r="P15" i="1"/>
  <c r="Q15" i="1"/>
  <c r="S15" i="1"/>
  <c r="T15" i="1"/>
  <c r="U15" i="1"/>
  <c r="V15" i="1"/>
  <c r="W15" i="1"/>
  <c r="X15" i="1"/>
  <c r="Y15" i="1"/>
  <c r="N16" i="1"/>
  <c r="Q16" i="1"/>
  <c r="V16" i="1"/>
  <c r="W16" i="1"/>
  <c r="X16" i="1"/>
  <c r="Y16" i="1"/>
  <c r="K17" i="1"/>
  <c r="L17" i="1"/>
  <c r="M17" i="1"/>
  <c r="N17" i="1"/>
  <c r="O17" i="1"/>
  <c r="P17" i="1"/>
  <c r="Q17" i="1"/>
  <c r="S17" i="1"/>
  <c r="T17" i="1"/>
  <c r="U17" i="1"/>
  <c r="V17" i="1"/>
  <c r="W17" i="1"/>
  <c r="X17" i="1"/>
  <c r="Y17" i="1"/>
  <c r="K18" i="1"/>
  <c r="L18" i="1"/>
  <c r="M18" i="1"/>
  <c r="N18" i="1"/>
  <c r="O18" i="1"/>
  <c r="P18" i="1"/>
  <c r="Q18" i="1"/>
  <c r="S18" i="1"/>
  <c r="T18" i="1"/>
  <c r="U18" i="1"/>
  <c r="V18" i="1"/>
  <c r="W18" i="1"/>
  <c r="X18" i="1"/>
  <c r="Y18" i="1"/>
  <c r="K19" i="1"/>
  <c r="L19" i="1"/>
  <c r="M19" i="1"/>
  <c r="N19" i="1"/>
  <c r="O19" i="1"/>
  <c r="P19" i="1"/>
  <c r="Q19" i="1"/>
  <c r="S19" i="1"/>
  <c r="T19" i="1"/>
  <c r="U19" i="1"/>
  <c r="V19" i="1"/>
  <c r="W19" i="1"/>
  <c r="X19" i="1"/>
  <c r="Y19" i="1"/>
  <c r="W20" i="1"/>
  <c r="Y20" i="1"/>
  <c r="K21" i="1"/>
  <c r="L21" i="1"/>
  <c r="M21" i="1"/>
  <c r="N21" i="1"/>
  <c r="O21" i="1"/>
  <c r="P21" i="1"/>
  <c r="Q21" i="1"/>
  <c r="S21" i="1"/>
  <c r="T21" i="1"/>
  <c r="U21" i="1"/>
  <c r="V21" i="1"/>
  <c r="W21" i="1"/>
  <c r="X21" i="1"/>
  <c r="Y21" i="1"/>
  <c r="K22" i="1"/>
  <c r="L22" i="1"/>
  <c r="M22" i="1"/>
  <c r="N22" i="1"/>
  <c r="O22" i="1"/>
  <c r="P22" i="1"/>
  <c r="Q22" i="1"/>
  <c r="S22" i="1"/>
  <c r="T22" i="1"/>
  <c r="U22" i="1"/>
  <c r="V22" i="1"/>
  <c r="W22" i="1"/>
  <c r="X22" i="1"/>
  <c r="Y22" i="1"/>
  <c r="K23" i="1"/>
  <c r="L23" i="1"/>
  <c r="M23" i="1"/>
  <c r="N23" i="1"/>
  <c r="O23" i="1"/>
  <c r="P23" i="1"/>
  <c r="Q23" i="1"/>
  <c r="S23" i="1"/>
  <c r="T23" i="1"/>
  <c r="U23" i="1"/>
  <c r="V23" i="1"/>
  <c r="W23" i="1"/>
  <c r="X23" i="1"/>
  <c r="Y23" i="1"/>
  <c r="K24" i="1"/>
  <c r="L24" i="1"/>
  <c r="M24" i="1"/>
  <c r="N24" i="1"/>
  <c r="O24" i="1"/>
  <c r="P24" i="1"/>
  <c r="Q24" i="1"/>
  <c r="S24" i="1"/>
  <c r="T24" i="1"/>
  <c r="U24" i="1"/>
  <c r="V24" i="1"/>
  <c r="W24" i="1"/>
  <c r="X24" i="1"/>
  <c r="Y24" i="1"/>
  <c r="K25" i="1"/>
  <c r="L25" i="1"/>
  <c r="M25" i="1"/>
  <c r="N25" i="1"/>
  <c r="O25" i="1"/>
  <c r="P25" i="1"/>
  <c r="Q25" i="1"/>
  <c r="S25" i="1"/>
  <c r="T25" i="1"/>
  <c r="U25" i="1"/>
  <c r="V25" i="1"/>
  <c r="W25" i="1"/>
  <c r="X25" i="1"/>
  <c r="Y25" i="1"/>
  <c r="K26" i="1"/>
  <c r="L26" i="1"/>
  <c r="M26" i="1"/>
  <c r="N26" i="1"/>
  <c r="O26" i="1"/>
  <c r="P26" i="1"/>
  <c r="Q26" i="1"/>
  <c r="S26" i="1"/>
  <c r="T26" i="1"/>
  <c r="U26" i="1"/>
  <c r="V26" i="1"/>
  <c r="W26" i="1"/>
  <c r="X26" i="1"/>
  <c r="Y26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3" i="40"/>
  <c r="C4" i="40"/>
  <c r="D4" i="40"/>
  <c r="E4" i="40"/>
  <c r="F4" i="40"/>
  <c r="G4" i="40"/>
  <c r="H4" i="40"/>
  <c r="I4" i="40"/>
  <c r="A5" i="40"/>
  <c r="B5" i="40"/>
  <c r="C5" i="40"/>
  <c r="D5" i="40"/>
  <c r="E5" i="40"/>
  <c r="F5" i="40"/>
  <c r="G5" i="40"/>
  <c r="H5" i="40"/>
  <c r="I5" i="40"/>
  <c r="A6" i="40"/>
  <c r="B6" i="40"/>
  <c r="C6" i="40"/>
  <c r="D6" i="40"/>
  <c r="E6" i="40"/>
  <c r="F6" i="40"/>
  <c r="G6" i="40"/>
  <c r="H6" i="40"/>
  <c r="I6" i="40"/>
  <c r="A7" i="40"/>
  <c r="B7" i="40"/>
  <c r="C7" i="40"/>
  <c r="D7" i="40"/>
  <c r="E7" i="40"/>
  <c r="F7" i="40"/>
  <c r="G7" i="40"/>
  <c r="H7" i="40"/>
  <c r="I7" i="40"/>
  <c r="A8" i="40"/>
  <c r="B8" i="40"/>
  <c r="C8" i="40"/>
  <c r="D8" i="40"/>
  <c r="E8" i="40"/>
  <c r="F8" i="40"/>
  <c r="G8" i="40"/>
  <c r="H8" i="40"/>
  <c r="I8" i="40"/>
  <c r="A9" i="40"/>
  <c r="B9" i="40"/>
  <c r="C9" i="40"/>
  <c r="D9" i="40"/>
  <c r="E9" i="40"/>
  <c r="F9" i="40"/>
  <c r="G9" i="40"/>
  <c r="H9" i="40"/>
  <c r="I9" i="40"/>
  <c r="A10" i="40"/>
  <c r="B10" i="40"/>
  <c r="C10" i="40"/>
  <c r="D10" i="40"/>
  <c r="E10" i="40"/>
  <c r="F10" i="40"/>
  <c r="G10" i="40"/>
  <c r="H10" i="40"/>
  <c r="I10" i="40"/>
  <c r="A11" i="40"/>
  <c r="B11" i="40"/>
  <c r="C11" i="40"/>
  <c r="D11" i="40"/>
  <c r="E11" i="40"/>
  <c r="F11" i="40"/>
  <c r="G11" i="40"/>
  <c r="H11" i="40"/>
  <c r="I11" i="40"/>
  <c r="A12" i="40"/>
  <c r="B12" i="40"/>
  <c r="C12" i="40"/>
  <c r="D12" i="40"/>
  <c r="E12" i="40"/>
  <c r="F12" i="40"/>
  <c r="G12" i="40"/>
  <c r="H12" i="40"/>
  <c r="I12" i="40"/>
  <c r="A13" i="40"/>
  <c r="B13" i="40"/>
  <c r="C13" i="40"/>
  <c r="D13" i="40"/>
  <c r="A14" i="40"/>
  <c r="B14" i="40"/>
  <c r="C14" i="40"/>
  <c r="D14" i="40"/>
  <c r="E14" i="40"/>
  <c r="F14" i="40"/>
  <c r="G14" i="40"/>
  <c r="H14" i="40"/>
  <c r="I14" i="40"/>
  <c r="A15" i="40"/>
  <c r="B15" i="40"/>
  <c r="C15" i="40"/>
  <c r="D15" i="40"/>
  <c r="E15" i="40"/>
  <c r="F15" i="40"/>
  <c r="G15" i="40"/>
  <c r="H15" i="40"/>
  <c r="I15" i="40"/>
  <c r="A16" i="40"/>
  <c r="B16" i="40"/>
  <c r="C16" i="40"/>
  <c r="D16" i="40"/>
  <c r="E16" i="40"/>
  <c r="F16" i="40"/>
  <c r="G16" i="40"/>
  <c r="H16" i="40"/>
  <c r="I16" i="40"/>
  <c r="A17" i="40"/>
  <c r="B17" i="40"/>
  <c r="C17" i="40"/>
  <c r="D17" i="40"/>
  <c r="A18" i="40"/>
  <c r="B18" i="40"/>
  <c r="C18" i="40"/>
  <c r="D18" i="40"/>
  <c r="E18" i="40"/>
  <c r="F18" i="40"/>
  <c r="G18" i="40"/>
  <c r="H18" i="40"/>
  <c r="I18" i="40"/>
  <c r="A19" i="40"/>
  <c r="B19" i="40"/>
  <c r="C19" i="40"/>
  <c r="D19" i="40"/>
  <c r="E19" i="40"/>
  <c r="F19" i="40"/>
  <c r="G19" i="40"/>
  <c r="H19" i="40"/>
  <c r="I19" i="40"/>
  <c r="A20" i="40"/>
  <c r="B20" i="40"/>
  <c r="C20" i="40"/>
  <c r="D20" i="40"/>
  <c r="E20" i="40"/>
  <c r="F20" i="40"/>
  <c r="G20" i="40"/>
  <c r="H20" i="40"/>
  <c r="I20" i="40"/>
  <c r="A21" i="40"/>
  <c r="B21" i="40"/>
  <c r="C21" i="40"/>
  <c r="D21" i="40"/>
  <c r="E21" i="40"/>
  <c r="F21" i="40"/>
  <c r="G21" i="40"/>
  <c r="H21" i="40"/>
  <c r="I21" i="40"/>
  <c r="A22" i="40"/>
  <c r="B22" i="40"/>
  <c r="C22" i="40"/>
  <c r="D22" i="40"/>
  <c r="E22" i="40"/>
  <c r="F22" i="40"/>
  <c r="G22" i="40"/>
  <c r="H22" i="40"/>
  <c r="I22" i="40"/>
  <c r="A23" i="40"/>
  <c r="B23" i="40"/>
  <c r="C23" i="40"/>
  <c r="D23" i="40"/>
  <c r="E23" i="40"/>
  <c r="F23" i="40"/>
  <c r="G23" i="40"/>
  <c r="H23" i="40"/>
  <c r="I23" i="40"/>
  <c r="A24" i="40"/>
  <c r="B24" i="40"/>
  <c r="C24" i="40"/>
  <c r="D24" i="40"/>
  <c r="E24" i="40"/>
  <c r="F24" i="40"/>
  <c r="G24" i="40"/>
  <c r="H24" i="40"/>
  <c r="I24" i="40"/>
  <c r="A25" i="40"/>
  <c r="B25" i="40"/>
  <c r="C25" i="40"/>
  <c r="D25" i="40"/>
  <c r="E25" i="40"/>
  <c r="F25" i="40"/>
  <c r="G25" i="40"/>
  <c r="H25" i="40"/>
  <c r="I25" i="40"/>
  <c r="A26" i="40"/>
  <c r="B26" i="40"/>
  <c r="C26" i="40"/>
  <c r="D26" i="40"/>
  <c r="E26" i="40"/>
  <c r="F26" i="40"/>
  <c r="G26" i="40"/>
  <c r="H26" i="40"/>
  <c r="I26" i="40"/>
  <c r="C4" i="42"/>
  <c r="D4" i="42"/>
  <c r="E4" i="42"/>
  <c r="F4" i="42"/>
  <c r="G4" i="42"/>
  <c r="H4" i="42"/>
  <c r="I4" i="42"/>
  <c r="A5" i="42"/>
  <c r="B5" i="42"/>
  <c r="C5" i="42"/>
  <c r="D5" i="42"/>
  <c r="E5" i="42"/>
  <c r="F5" i="42"/>
  <c r="G5" i="42"/>
  <c r="H5" i="42"/>
  <c r="I5" i="42"/>
  <c r="A6" i="42"/>
  <c r="B6" i="42"/>
  <c r="C6" i="42"/>
  <c r="D6" i="42"/>
  <c r="E6" i="42"/>
  <c r="F6" i="42"/>
  <c r="G6" i="42"/>
  <c r="H6" i="42"/>
  <c r="I6" i="42"/>
  <c r="A7" i="42"/>
  <c r="B7" i="42"/>
  <c r="C7" i="42"/>
  <c r="D7" i="42"/>
  <c r="E7" i="42"/>
  <c r="F7" i="42"/>
  <c r="G7" i="42"/>
  <c r="H7" i="42"/>
  <c r="I7" i="42"/>
  <c r="A8" i="42"/>
  <c r="B8" i="42"/>
  <c r="C8" i="42"/>
  <c r="D8" i="42"/>
  <c r="E8" i="42"/>
  <c r="F8" i="42"/>
  <c r="G8" i="42"/>
  <c r="H8" i="42"/>
  <c r="I8" i="42"/>
  <c r="A9" i="42"/>
  <c r="B9" i="42"/>
  <c r="C9" i="42"/>
  <c r="D9" i="42"/>
  <c r="E9" i="42"/>
  <c r="F9" i="42"/>
  <c r="G9" i="42"/>
  <c r="H9" i="42"/>
  <c r="I9" i="42"/>
  <c r="A10" i="42"/>
  <c r="B10" i="42"/>
  <c r="C10" i="42"/>
  <c r="D10" i="42"/>
  <c r="E10" i="42"/>
  <c r="F10" i="42"/>
  <c r="G10" i="42"/>
  <c r="H10" i="42"/>
  <c r="I10" i="42"/>
  <c r="A11" i="42"/>
  <c r="B11" i="42"/>
  <c r="C11" i="42"/>
  <c r="D11" i="42"/>
  <c r="E11" i="42"/>
  <c r="F11" i="42"/>
  <c r="G11" i="42"/>
  <c r="H11" i="42"/>
  <c r="I11" i="42"/>
  <c r="A12" i="42"/>
  <c r="B12" i="42"/>
  <c r="C12" i="42"/>
  <c r="D12" i="42"/>
  <c r="E12" i="42"/>
  <c r="F12" i="42"/>
  <c r="G12" i="42"/>
  <c r="H12" i="42"/>
  <c r="I12" i="42"/>
  <c r="A13" i="42"/>
  <c r="B13" i="42"/>
  <c r="C13" i="42"/>
  <c r="D13" i="42"/>
  <c r="E13" i="42"/>
  <c r="F13" i="42"/>
  <c r="G13" i="42"/>
  <c r="H13" i="42"/>
  <c r="I13" i="42"/>
  <c r="A14" i="42"/>
  <c r="B14" i="42"/>
  <c r="C14" i="42"/>
  <c r="D14" i="42"/>
  <c r="E14" i="42"/>
  <c r="F14" i="42"/>
  <c r="G14" i="42"/>
  <c r="H14" i="42"/>
  <c r="I14" i="42"/>
  <c r="A15" i="42"/>
  <c r="B15" i="42"/>
  <c r="C15" i="42"/>
  <c r="D15" i="42"/>
  <c r="E15" i="42"/>
  <c r="F15" i="42"/>
  <c r="G15" i="42"/>
  <c r="H15" i="42"/>
  <c r="I15" i="42"/>
  <c r="A16" i="42"/>
  <c r="B16" i="42"/>
  <c r="C16" i="42"/>
  <c r="D16" i="42"/>
  <c r="E16" i="42"/>
  <c r="F16" i="42"/>
  <c r="G16" i="42"/>
  <c r="H16" i="42"/>
  <c r="I16" i="42"/>
  <c r="A17" i="42"/>
  <c r="B17" i="42"/>
  <c r="C17" i="42"/>
  <c r="D17" i="42"/>
  <c r="E17" i="42"/>
  <c r="F17" i="42"/>
  <c r="G17" i="42"/>
  <c r="H17" i="42"/>
  <c r="I17" i="42"/>
  <c r="A18" i="42"/>
  <c r="B18" i="42"/>
  <c r="C18" i="42"/>
  <c r="D18" i="42"/>
  <c r="E18" i="42"/>
  <c r="F18" i="42"/>
  <c r="G18" i="42"/>
  <c r="H18" i="42"/>
  <c r="I18" i="42"/>
  <c r="A19" i="42"/>
  <c r="B19" i="42"/>
  <c r="C19" i="42"/>
  <c r="D19" i="42"/>
  <c r="E19" i="42"/>
  <c r="F19" i="42"/>
  <c r="G19" i="42"/>
  <c r="H19" i="42"/>
  <c r="I19" i="42"/>
  <c r="A20" i="42"/>
  <c r="B20" i="42"/>
  <c r="C20" i="42"/>
  <c r="D20" i="42"/>
  <c r="E20" i="42"/>
  <c r="F20" i="42"/>
  <c r="G20" i="42"/>
  <c r="H20" i="42"/>
  <c r="I20" i="42"/>
  <c r="A21" i="42"/>
  <c r="B21" i="42"/>
  <c r="C21" i="42"/>
  <c r="D21" i="42"/>
  <c r="E21" i="42"/>
  <c r="F21" i="42"/>
  <c r="G21" i="42"/>
  <c r="H21" i="42"/>
  <c r="I21" i="42"/>
  <c r="A22" i="42"/>
  <c r="B22" i="42"/>
  <c r="C22" i="42"/>
  <c r="D22" i="42"/>
  <c r="E22" i="42"/>
  <c r="F22" i="42"/>
  <c r="G22" i="42"/>
  <c r="H22" i="42"/>
  <c r="I22" i="42"/>
  <c r="A23" i="42"/>
  <c r="B23" i="42"/>
  <c r="C23" i="42"/>
  <c r="D23" i="42"/>
  <c r="E23" i="42"/>
  <c r="F23" i="42"/>
  <c r="G23" i="42"/>
  <c r="H23" i="42"/>
  <c r="I23" i="42"/>
  <c r="A24" i="42"/>
  <c r="B24" i="42"/>
  <c r="C24" i="42"/>
  <c r="D24" i="42"/>
  <c r="E24" i="42"/>
  <c r="F24" i="42"/>
  <c r="G24" i="42"/>
  <c r="H24" i="42"/>
  <c r="I24" i="42"/>
  <c r="A25" i="42"/>
  <c r="B25" i="42"/>
  <c r="C25" i="42"/>
  <c r="D25" i="42"/>
  <c r="E25" i="42"/>
  <c r="F25" i="42"/>
  <c r="G25" i="42"/>
  <c r="H25" i="42"/>
  <c r="I25" i="42"/>
  <c r="A26" i="42"/>
  <c r="B26" i="42"/>
  <c r="C26" i="42"/>
  <c r="D26" i="42"/>
  <c r="E26" i="42"/>
  <c r="F26" i="42"/>
  <c r="G26" i="42"/>
  <c r="H26" i="42"/>
  <c r="I26" i="42"/>
</calcChain>
</file>

<file path=xl/comments1.xml><?xml version="1.0" encoding="utf-8"?>
<comments xmlns="http://schemas.openxmlformats.org/spreadsheetml/2006/main">
  <authors>
    <author>Tom Rosanne Forbes</author>
    <author>Simpson College</author>
  </authors>
  <commentList>
    <comment ref="B8" authorId="0" shapeId="0">
      <text>
        <r>
          <rPr>
            <b/>
            <sz val="9"/>
            <color indexed="81"/>
            <rFont val="Geneva"/>
          </rPr>
          <t>very diligent; worked very hard to catch up</t>
        </r>
        <r>
          <rPr>
            <sz val="9"/>
            <color indexed="81"/>
            <rFont val="Geneva"/>
          </rPr>
          <t xml:space="preserve">
</t>
        </r>
      </text>
    </comment>
    <comment ref="D8" authorId="1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Was not here for first two weeks of school, due to hospitalization.</t>
        </r>
      </text>
    </comment>
    <comment ref="E8" authorId="0" shapeId="0">
      <text>
        <r>
          <rPr>
            <b/>
            <sz val="9"/>
            <color indexed="81"/>
            <rFont val="Geneva"/>
          </rPr>
          <t>had relapse of illness in hospital for two weeks.</t>
        </r>
        <r>
          <rPr>
            <sz val="9"/>
            <color indexed="81"/>
            <rFont val="Geneva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Geneva"/>
          </rPr>
          <t>sat next to Renee and Cassandra, when moved, he improved</t>
        </r>
        <r>
          <rPr>
            <sz val="9"/>
            <color indexed="81"/>
            <rFont val="Geneva"/>
          </rPr>
          <t xml:space="preserve">
</t>
        </r>
      </text>
    </comment>
    <comment ref="B16" authorId="0" shapeId="0">
      <text>
        <r>
          <rPr>
            <sz val="9"/>
            <color indexed="81"/>
            <rFont val="Geneva"/>
          </rPr>
          <t>See IEP</t>
        </r>
      </text>
    </comment>
    <comment ref="B21" authorId="0" shapeId="0">
      <text>
        <r>
          <rPr>
            <sz val="9"/>
            <color indexed="81"/>
            <rFont val="Geneva"/>
          </rPr>
          <t>took parents divorce really hard, tried a tutor and recommended a talk with counselor</t>
        </r>
      </text>
    </comment>
    <comment ref="G21" authorId="1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parents divorce</t>
        </r>
      </text>
    </comment>
    <comment ref="H21" authorId="1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taking divorce hard, recommend tutor and a talk with school counselor</t>
        </r>
      </text>
    </comment>
    <comment ref="E22" authorId="0" shapeId="0">
      <text>
        <r>
          <rPr>
            <b/>
            <sz val="9"/>
            <color indexed="81"/>
            <rFont val="Geneva"/>
          </rPr>
          <t>was in a car accident and in the hospital for a month</t>
        </r>
        <r>
          <rPr>
            <sz val="9"/>
            <color indexed="81"/>
            <rFont val="Geneva"/>
          </rPr>
          <t xml:space="preserve">
</t>
        </r>
      </text>
    </comment>
    <comment ref="F22" authorId="1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worked very hard to catch up, very proud of him</t>
        </r>
      </text>
    </comment>
    <comment ref="B26" authorId="0" shapeId="0">
      <text>
        <r>
          <rPr>
            <b/>
            <sz val="9"/>
            <color indexed="81"/>
            <rFont val="Geneva"/>
          </rPr>
          <t>sat next to Renee and Dameon, when moved, she improved</t>
        </r>
        <r>
          <rPr>
            <sz val="9"/>
            <color indexed="81"/>
            <rFont val="Genev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Simpson College</author>
  </authors>
  <commentList>
    <comment ref="A6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very diligent; worked very hard to catch up</t>
        </r>
      </text>
    </comment>
    <comment ref="C6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Was not here for first two weeks of school, due to hospitalization.</t>
        </r>
      </text>
    </comment>
    <comment ref="D6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had relapse of illness in hospital for two weeks.</t>
        </r>
      </text>
    </comment>
    <comment ref="A9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sat next to Renee and Cassandra, when moved, he improved</t>
        </r>
      </text>
    </comment>
    <comment ref="A15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sat next to Cassandra and Dameon, when moved, she improved</t>
        </r>
      </text>
    </comment>
    <comment ref="A21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took parents divorce really hard, tried a tutor and recommended a talk with counselor</t>
        </r>
      </text>
    </comment>
    <comment ref="F21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parents divorce</t>
        </r>
      </text>
    </comment>
    <comment ref="G21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taking divorce hard, recommend tutor and a talk with school counselor</t>
        </r>
      </text>
    </comment>
    <comment ref="D24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was in a car accident and in the hospital for a month</t>
        </r>
      </text>
    </comment>
    <comment ref="E24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worked very hard to catch up, very proud of him</t>
        </r>
      </text>
    </comment>
    <comment ref="A30" authorId="0" shapeId="0">
      <text>
        <r>
          <rPr>
            <b/>
            <sz val="8"/>
            <color indexed="81"/>
            <rFont val="Tahoma"/>
          </rPr>
          <t>Jessica Meade:</t>
        </r>
        <r>
          <rPr>
            <sz val="8"/>
            <color indexed="81"/>
            <rFont val="Tahoma"/>
          </rPr>
          <t xml:space="preserve">
sat next to Renee and Dameon, when moved, she improved</t>
        </r>
      </text>
    </comment>
  </commentList>
</comments>
</file>

<file path=xl/sharedStrings.xml><?xml version="1.0" encoding="utf-8"?>
<sst xmlns="http://schemas.openxmlformats.org/spreadsheetml/2006/main" count="243" uniqueCount="93">
  <si>
    <t>Students</t>
  </si>
  <si>
    <t>Aarons</t>
  </si>
  <si>
    <t xml:space="preserve">Karly </t>
  </si>
  <si>
    <t>Donegal</t>
  </si>
  <si>
    <t xml:space="preserve">Micheal </t>
  </si>
  <si>
    <t>Jessica</t>
  </si>
  <si>
    <t>Farmer</t>
  </si>
  <si>
    <t>Rachel</t>
  </si>
  <si>
    <t>Green</t>
  </si>
  <si>
    <t>Brooke</t>
  </si>
  <si>
    <t>Lamb</t>
  </si>
  <si>
    <t>Cory</t>
  </si>
  <si>
    <t>Matthews</t>
  </si>
  <si>
    <t>William</t>
  </si>
  <si>
    <t>Parker</t>
  </si>
  <si>
    <t>Nicholas</t>
  </si>
  <si>
    <t>Russo</t>
  </si>
  <si>
    <t>Xavier</t>
  </si>
  <si>
    <t>Walker</t>
  </si>
  <si>
    <t>Janey</t>
  </si>
  <si>
    <t>Williams</t>
  </si>
  <si>
    <t>Last Name</t>
  </si>
  <si>
    <t>First Name</t>
  </si>
  <si>
    <t>Final</t>
  </si>
  <si>
    <t>Mid-Term</t>
  </si>
  <si>
    <t>Grade</t>
  </si>
  <si>
    <t>Scale</t>
  </si>
  <si>
    <t>A</t>
  </si>
  <si>
    <t>A-</t>
  </si>
  <si>
    <t>B+</t>
  </si>
  <si>
    <t>B</t>
  </si>
  <si>
    <t>B-</t>
  </si>
  <si>
    <t>C</t>
  </si>
  <si>
    <t>D</t>
  </si>
  <si>
    <t>F</t>
  </si>
  <si>
    <t>C+</t>
  </si>
  <si>
    <t>Renee</t>
  </si>
  <si>
    <t>Klass</t>
  </si>
  <si>
    <t>Benjamin</t>
  </si>
  <si>
    <t>Darwin</t>
  </si>
  <si>
    <t>Dameon</t>
  </si>
  <si>
    <t>Holiday</t>
  </si>
  <si>
    <t>Tiffany</t>
  </si>
  <si>
    <t>Jones</t>
  </si>
  <si>
    <t>Staci Lee</t>
  </si>
  <si>
    <t>Kaci Lynn</t>
  </si>
  <si>
    <t>Konston</t>
  </si>
  <si>
    <t>Heidi</t>
  </si>
  <si>
    <t>Marcus</t>
  </si>
  <si>
    <t>Kevin</t>
  </si>
  <si>
    <t>Zanders</t>
  </si>
  <si>
    <t>Sanders</t>
  </si>
  <si>
    <t>Seth</t>
  </si>
  <si>
    <t>Cassandra</t>
  </si>
  <si>
    <t>Anastacia</t>
  </si>
  <si>
    <t>Shafer</t>
  </si>
  <si>
    <t xml:space="preserve">Quiz 1 </t>
  </si>
  <si>
    <t>Quiz 2</t>
  </si>
  <si>
    <t>Book Report 1</t>
  </si>
  <si>
    <t>Book Report 2</t>
  </si>
  <si>
    <t xml:space="preserve">Homework </t>
  </si>
  <si>
    <t>Karly</t>
  </si>
  <si>
    <t>Micheal</t>
  </si>
  <si>
    <t>A+</t>
  </si>
  <si>
    <t>C-</t>
  </si>
  <si>
    <t>D-</t>
  </si>
  <si>
    <t>D+</t>
  </si>
  <si>
    <t>90-93</t>
  </si>
  <si>
    <t>94-96</t>
  </si>
  <si>
    <t>97-100</t>
  </si>
  <si>
    <t>80-83</t>
  </si>
  <si>
    <t>84-86</t>
  </si>
  <si>
    <t>87-89</t>
  </si>
  <si>
    <t>70-73</t>
  </si>
  <si>
    <t>74-76</t>
  </si>
  <si>
    <t>77-79</t>
  </si>
  <si>
    <t>60-63</t>
  </si>
  <si>
    <t>64-66</t>
  </si>
  <si>
    <t>0-59</t>
  </si>
  <si>
    <t>67-69</t>
  </si>
  <si>
    <t>Pre-Test</t>
  </si>
  <si>
    <t>Writen Report</t>
  </si>
  <si>
    <t>Oral Report</t>
  </si>
  <si>
    <t>Social Science</t>
  </si>
  <si>
    <t>Spelling</t>
  </si>
  <si>
    <t>Week 1</t>
  </si>
  <si>
    <t>Week 2</t>
  </si>
  <si>
    <t>Week 3</t>
  </si>
  <si>
    <t>Week 4</t>
  </si>
  <si>
    <t>Week 5</t>
  </si>
  <si>
    <t>Week 6</t>
  </si>
  <si>
    <t>Week 7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</si>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</sst>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name val="Baskerville Old Face"/>
      <family val="1"/>
    </font>
    <font>
      <sz val="10"/>
      <name val="Baskerville Old Face"/>
      <family val="1"/>
    </font>
    <font>
      <b/>
      <sz val="10"/>
      <name val="Batang"/>
      <family val="1"/>
    </font>
    <font>
      <sz val="10"/>
      <name val="Georgia"/>
      <family val="1"/>
    </font>
    <font>
      <sz val="12"/>
      <name val="Georgia"/>
      <family val="1"/>
    </font>
    <font>
      <sz val="8"/>
      <color indexed="81"/>
      <name val="Tahoma"/>
    </font>
    <font>
      <b/>
      <sz val="8"/>
      <color indexed="81"/>
      <name val="Tahoma"/>
    </font>
    <font>
      <sz val="9.5"/>
      <name val="Arial"/>
    </font>
    <font>
      <sz val="9.5"/>
      <name val="Arial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1.5"/>
      <name val="Georgia"/>
    </font>
    <font>
      <sz val="12"/>
      <name val="Georgia"/>
    </font>
    <font>
      <sz val="12"/>
      <name val="Georgia"/>
    </font>
    <font>
      <sz val="12"/>
      <name val="Arial"/>
    </font>
    <font>
      <sz val="9.5"/>
      <name val="Arial"/>
    </font>
    <font>
      <sz val="9.5"/>
      <name val="Arial"/>
    </font>
    <font>
      <b/>
      <sz val="12"/>
      <name val="Arial"/>
    </font>
    <font>
      <sz val="9"/>
      <color indexed="81"/>
      <name val="Geneva"/>
    </font>
    <font>
      <b/>
      <sz val="9"/>
      <color indexed="81"/>
      <name val="Geneva"/>
    </font>
    <font>
      <sz val="9.5"/>
      <name val="Arial"/>
    </font>
    <font>
      <sz val="9.5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4" fillId="0" borderId="0" xfId="0" applyFont="1"/>
    <xf numFmtId="0" fontId="6" fillId="2" borderId="1" xfId="0" applyFont="1" applyFill="1" applyBorder="1"/>
    <xf numFmtId="0" fontId="3" fillId="3" borderId="1" xfId="0" applyFont="1" applyFill="1" applyBorder="1"/>
    <xf numFmtId="0" fontId="5" fillId="4" borderId="1" xfId="0" applyFont="1" applyFill="1" applyBorder="1"/>
    <xf numFmtId="0" fontId="3" fillId="3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15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9" fontId="7" fillId="6" borderId="1" xfId="0" applyNumberFormat="1" applyFont="1" applyFill="1" applyBorder="1"/>
    <xf numFmtId="0" fontId="3" fillId="4" borderId="1" xfId="0" applyFont="1" applyFill="1" applyBorder="1"/>
    <xf numFmtId="0" fontId="6" fillId="7" borderId="1" xfId="0" applyFont="1" applyFill="1" applyBorder="1"/>
    <xf numFmtId="0" fontId="0" fillId="2" borderId="1" xfId="0" applyFill="1" applyBorder="1"/>
    <xf numFmtId="0" fontId="0" fillId="0" borderId="0" xfId="0" applyFill="1" applyBorder="1"/>
    <xf numFmtId="0" fontId="0" fillId="0" borderId="2" xfId="0" applyFill="1" applyBorder="1"/>
    <xf numFmtId="0" fontId="0" fillId="0" borderId="3" xfId="0" applyFill="1" applyBorder="1"/>
    <xf numFmtId="0" fontId="3" fillId="3" borderId="4" xfId="0" applyFont="1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9" fontId="36" fillId="0" borderId="0" xfId="0" applyNumberFormat="1" applyFont="1"/>
    <xf numFmtId="0" fontId="39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9" fillId="0" borderId="1" xfId="0" applyFont="1" applyFill="1" applyBorder="1"/>
    <xf numFmtId="9" fontId="39" fillId="0" borderId="1" xfId="0" applyNumberFormat="1" applyFont="1" applyFill="1" applyBorder="1" applyAlignment="1">
      <alignment horizontal="center"/>
    </xf>
    <xf numFmtId="0" fontId="39" fillId="0" borderId="0" xfId="0" applyFont="1"/>
    <xf numFmtId="0" fontId="39" fillId="0" borderId="1" xfId="0" applyFont="1" applyBorder="1"/>
    <xf numFmtId="9" fontId="39" fillId="0" borderId="1" xfId="0" applyNumberFormat="1" applyFont="1" applyBorder="1" applyAlignment="1">
      <alignment horizontal="center"/>
    </xf>
    <xf numFmtId="1" fontId="36" fillId="0" borderId="1" xfId="0" applyNumberFormat="1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8.xml"/><Relationship Id="rId18" Type="http://schemas.openxmlformats.org/officeDocument/2006/relationships/chartsheet" Target="chartsheets/sheet13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6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7.xml"/><Relationship Id="rId17" Type="http://schemas.openxmlformats.org/officeDocument/2006/relationships/chartsheet" Target="chartsheets/sheet12.xml"/><Relationship Id="rId25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1.xml"/><Relationship Id="rId20" Type="http://schemas.openxmlformats.org/officeDocument/2006/relationships/chartsheet" Target="chartsheets/sheet15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5" Type="http://schemas.openxmlformats.org/officeDocument/2006/relationships/chartsheet" Target="chartsheets/sheet10.xml"/><Relationship Id="rId23" Type="http://schemas.openxmlformats.org/officeDocument/2006/relationships/styles" Target="styles.xml"/><Relationship Id="rId10" Type="http://schemas.openxmlformats.org/officeDocument/2006/relationships/chartsheet" Target="chartsheets/sheet5.xml"/><Relationship Id="rId19" Type="http://schemas.openxmlformats.org/officeDocument/2006/relationships/chartsheet" Target="chartsheets/sheet14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chartsheet" Target="chartsheets/sheet9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Student Progress 1</a:t>
            </a:r>
          </a:p>
        </c:rich>
      </c:tx>
      <c:layout>
        <c:manualLayout>
          <c:xMode val="edge"/>
          <c:yMode val="edge"/>
          <c:x val="0.4241379310344827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137931034482755E-2"/>
          <c:y val="0.1165158371040724"/>
          <c:w val="0.94689655172413789"/>
          <c:h val="0.71380090497737558"/>
        </c:manualLayout>
      </c:layout>
      <c:lineChart>
        <c:grouping val="standard"/>
        <c:varyColors val="0"/>
        <c:ser>
          <c:idx val="0"/>
          <c:order val="0"/>
          <c:tx>
            <c:strRef>
              <c:f>'Class 1'!$B$6</c:f>
              <c:strCache>
                <c:ptCount val="1"/>
                <c:pt idx="0">
                  <c:v>Karly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1'!$C$6:$I$6</c:f>
              <c:numCache>
                <c:formatCode>General</c:formatCode>
                <c:ptCount val="7"/>
                <c:pt idx="0">
                  <c:v>90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5-4EC0-A473-30EF198B61F1}"/>
            </c:ext>
          </c:extLst>
        </c:ser>
        <c:ser>
          <c:idx val="1"/>
          <c:order val="1"/>
          <c:tx>
            <c:strRef>
              <c:f>'Class 1'!$B$7</c:f>
              <c:strCache>
                <c:ptCount val="1"/>
                <c:pt idx="0">
                  <c:v>Darwin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1'!$C$7:$I$7</c:f>
              <c:numCache>
                <c:formatCode>General</c:formatCode>
                <c:ptCount val="7"/>
                <c:pt idx="0">
                  <c:v>91</c:v>
                </c:pt>
                <c:pt idx="1">
                  <c:v>67</c:v>
                </c:pt>
                <c:pt idx="2">
                  <c:v>72</c:v>
                </c:pt>
                <c:pt idx="3">
                  <c:v>75</c:v>
                </c:pt>
                <c:pt idx="4">
                  <c:v>78</c:v>
                </c:pt>
                <c:pt idx="5">
                  <c:v>82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B5-4EC0-A473-30EF198B61F1}"/>
            </c:ext>
          </c:extLst>
        </c:ser>
        <c:ser>
          <c:idx val="2"/>
          <c:order val="2"/>
          <c:tx>
            <c:strRef>
              <c:f>'Class 1'!$B$8</c:f>
              <c:strCache>
                <c:ptCount val="1"/>
                <c:pt idx="0">
                  <c:v>Micheal 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1'!$C$8:$I$8</c:f>
              <c:numCache>
                <c:formatCode>General</c:formatCode>
                <c:ptCount val="7"/>
                <c:pt idx="0">
                  <c:v>87</c:v>
                </c:pt>
                <c:pt idx="1">
                  <c:v>58</c:v>
                </c:pt>
                <c:pt idx="2">
                  <c:v>65</c:v>
                </c:pt>
                <c:pt idx="3">
                  <c:v>72</c:v>
                </c:pt>
                <c:pt idx="4">
                  <c:v>78</c:v>
                </c:pt>
                <c:pt idx="5">
                  <c:v>82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B5-4EC0-A473-30EF198B61F1}"/>
            </c:ext>
          </c:extLst>
        </c:ser>
        <c:ser>
          <c:idx val="3"/>
          <c:order val="3"/>
          <c:tx>
            <c:strRef>
              <c:f>'Class 1'!$B$9</c:f>
              <c:strCache>
                <c:ptCount val="1"/>
                <c:pt idx="0">
                  <c:v>Dameon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1'!$C$9:$I$9</c:f>
              <c:numCache>
                <c:formatCode>General</c:formatCode>
                <c:ptCount val="7"/>
                <c:pt idx="0">
                  <c:v>78</c:v>
                </c:pt>
                <c:pt idx="1">
                  <c:v>65</c:v>
                </c:pt>
                <c:pt idx="2">
                  <c:v>68</c:v>
                </c:pt>
                <c:pt idx="3">
                  <c:v>75</c:v>
                </c:pt>
                <c:pt idx="4">
                  <c:v>81</c:v>
                </c:pt>
                <c:pt idx="5">
                  <c:v>86</c:v>
                </c:pt>
                <c:pt idx="6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5-4EC0-A473-30EF198B61F1}"/>
            </c:ext>
          </c:extLst>
        </c:ser>
        <c:ser>
          <c:idx val="4"/>
          <c:order val="4"/>
          <c:tx>
            <c:strRef>
              <c:f>'Class 1'!$B$10</c:f>
              <c:strCache>
                <c:ptCount val="1"/>
                <c:pt idx="0">
                  <c:v>Jessica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1'!$C$10:$I$10</c:f>
              <c:numCache>
                <c:formatCode>General</c:formatCode>
                <c:ptCount val="7"/>
                <c:pt idx="0">
                  <c:v>85</c:v>
                </c:pt>
                <c:pt idx="1">
                  <c:v>87</c:v>
                </c:pt>
                <c:pt idx="2">
                  <c:v>89</c:v>
                </c:pt>
                <c:pt idx="3">
                  <c:v>91</c:v>
                </c:pt>
                <c:pt idx="4">
                  <c:v>90</c:v>
                </c:pt>
                <c:pt idx="5">
                  <c:v>95</c:v>
                </c:pt>
                <c:pt idx="6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B5-4EC0-A473-30EF198B61F1}"/>
            </c:ext>
          </c:extLst>
        </c:ser>
        <c:ser>
          <c:idx val="5"/>
          <c:order val="5"/>
          <c:tx>
            <c:strRef>
              <c:f>'Class 1'!$B$11</c:f>
              <c:strCache>
                <c:ptCount val="1"/>
                <c:pt idx="0">
                  <c:v>Rachel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1'!$C$11:$I$11</c:f>
              <c:numCache>
                <c:formatCode>General</c:formatCode>
                <c:ptCount val="7"/>
                <c:pt idx="0">
                  <c:v>89</c:v>
                </c:pt>
                <c:pt idx="1">
                  <c:v>95</c:v>
                </c:pt>
                <c:pt idx="2">
                  <c:v>78</c:v>
                </c:pt>
                <c:pt idx="3">
                  <c:v>89</c:v>
                </c:pt>
                <c:pt idx="4">
                  <c:v>94</c:v>
                </c:pt>
                <c:pt idx="5">
                  <c:v>88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B5-4EC0-A473-30EF198B61F1}"/>
            </c:ext>
          </c:extLst>
        </c:ser>
        <c:ser>
          <c:idx val="6"/>
          <c:order val="6"/>
          <c:tx>
            <c:strRef>
              <c:f>'Class 1'!$B$12</c:f>
              <c:strCache>
                <c:ptCount val="1"/>
                <c:pt idx="0">
                  <c:v>Tiffany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1'!$C$12:$I$12</c:f>
              <c:numCache>
                <c:formatCode>General</c:formatCode>
                <c:ptCount val="7"/>
                <c:pt idx="0">
                  <c:v>75</c:v>
                </c:pt>
                <c:pt idx="1">
                  <c:v>83</c:v>
                </c:pt>
                <c:pt idx="2">
                  <c:v>89</c:v>
                </c:pt>
                <c:pt idx="3">
                  <c:v>85</c:v>
                </c:pt>
                <c:pt idx="4">
                  <c:v>83</c:v>
                </c:pt>
                <c:pt idx="5">
                  <c:v>87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B5-4EC0-A473-30EF198B61F1}"/>
            </c:ext>
          </c:extLst>
        </c:ser>
        <c:ser>
          <c:idx val="7"/>
          <c:order val="7"/>
          <c:tx>
            <c:strRef>
              <c:f>'Class 1'!$B$13</c:f>
              <c:strCache>
                <c:ptCount val="1"/>
                <c:pt idx="0">
                  <c:v>Kaci Lynn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1'!$C$13:$I$13</c:f>
              <c:numCache>
                <c:formatCode>General</c:formatCode>
                <c:ptCount val="7"/>
                <c:pt idx="0">
                  <c:v>81</c:v>
                </c:pt>
                <c:pt idx="1">
                  <c:v>96</c:v>
                </c:pt>
                <c:pt idx="2">
                  <c:v>97</c:v>
                </c:pt>
                <c:pt idx="3">
                  <c:v>99</c:v>
                </c:pt>
                <c:pt idx="4">
                  <c:v>96</c:v>
                </c:pt>
                <c:pt idx="5">
                  <c:v>99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B5-4EC0-A473-30EF198B61F1}"/>
            </c:ext>
          </c:extLst>
        </c:ser>
        <c:ser>
          <c:idx val="8"/>
          <c:order val="8"/>
          <c:tx>
            <c:strRef>
              <c:f>'Class 1'!$B$14</c:f>
              <c:strCache>
                <c:ptCount val="1"/>
                <c:pt idx="0">
                  <c:v>Staci Lee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1'!$C$14:$I$14</c:f>
              <c:numCache>
                <c:formatCode>General</c:formatCode>
                <c:ptCount val="7"/>
                <c:pt idx="0">
                  <c:v>85</c:v>
                </c:pt>
                <c:pt idx="1">
                  <c:v>95</c:v>
                </c:pt>
                <c:pt idx="2">
                  <c:v>96</c:v>
                </c:pt>
                <c:pt idx="3">
                  <c:v>98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B5-4EC0-A473-30EF198B61F1}"/>
            </c:ext>
          </c:extLst>
        </c:ser>
        <c:ser>
          <c:idx val="9"/>
          <c:order val="9"/>
          <c:tx>
            <c:strRef>
              <c:f>'Class 1'!$B$15</c:f>
              <c:strCache>
                <c:ptCount val="1"/>
                <c:pt idx="0">
                  <c:v>Heidi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1'!$C$15:$I$15</c:f>
              <c:numCache>
                <c:formatCode>General</c:formatCode>
                <c:ptCount val="7"/>
                <c:pt idx="0">
                  <c:v>89</c:v>
                </c:pt>
                <c:pt idx="1">
                  <c:v>72</c:v>
                </c:pt>
                <c:pt idx="2">
                  <c:v>74</c:v>
                </c:pt>
                <c:pt idx="3">
                  <c:v>75</c:v>
                </c:pt>
                <c:pt idx="4">
                  <c:v>74</c:v>
                </c:pt>
                <c:pt idx="5">
                  <c:v>76</c:v>
                </c:pt>
                <c:pt idx="6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DB5-4EC0-A473-30EF198B61F1}"/>
            </c:ext>
          </c:extLst>
        </c:ser>
        <c:ser>
          <c:idx val="10"/>
          <c:order val="10"/>
          <c:tx>
            <c:strRef>
              <c:f>'Class 1'!$B$16</c:f>
              <c:strCache>
                <c:ptCount val="1"/>
                <c:pt idx="0">
                  <c:v>Renee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1'!$C$16:$I$16</c:f>
              <c:numCache>
                <c:formatCode>General</c:formatCode>
                <c:ptCount val="7"/>
                <c:pt idx="0">
                  <c:v>58</c:v>
                </c:pt>
                <c:pt idx="1">
                  <c:v>55</c:v>
                </c:pt>
                <c:pt idx="2">
                  <c:v>54</c:v>
                </c:pt>
                <c:pt idx="3">
                  <c:v>57</c:v>
                </c:pt>
                <c:pt idx="4">
                  <c:v>58</c:v>
                </c:pt>
                <c:pt idx="5">
                  <c:v>60</c:v>
                </c:pt>
                <c:pt idx="6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B5-4EC0-A473-30EF198B61F1}"/>
            </c:ext>
          </c:extLst>
        </c:ser>
        <c:ser>
          <c:idx val="11"/>
          <c:order val="11"/>
          <c:tx>
            <c:strRef>
              <c:f>'Class 1'!$B$17</c:f>
              <c:strCache>
                <c:ptCount val="1"/>
                <c:pt idx="0">
                  <c:v>Brooke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1'!$C$17:$I$17</c:f>
              <c:numCache>
                <c:formatCode>General</c:formatCode>
                <c:ptCount val="7"/>
                <c:pt idx="0">
                  <c:v>64</c:v>
                </c:pt>
                <c:pt idx="1">
                  <c:v>97</c:v>
                </c:pt>
                <c:pt idx="2">
                  <c:v>89</c:v>
                </c:pt>
                <c:pt idx="3">
                  <c:v>95</c:v>
                </c:pt>
                <c:pt idx="4">
                  <c:v>88</c:v>
                </c:pt>
                <c:pt idx="5">
                  <c:v>87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DB5-4EC0-A473-30EF198B61F1}"/>
            </c:ext>
          </c:extLst>
        </c:ser>
        <c:ser>
          <c:idx val="12"/>
          <c:order val="12"/>
          <c:tx>
            <c:strRef>
              <c:f>'Class 1'!$B$18</c:f>
              <c:strCache>
                <c:ptCount val="1"/>
                <c:pt idx="0">
                  <c:v>Kevin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1'!$C$18:$I$18</c:f>
              <c:numCache>
                <c:formatCode>General</c:formatCode>
                <c:ptCount val="7"/>
                <c:pt idx="0">
                  <c:v>63</c:v>
                </c:pt>
                <c:pt idx="1">
                  <c:v>83</c:v>
                </c:pt>
                <c:pt idx="2">
                  <c:v>85</c:v>
                </c:pt>
                <c:pt idx="3">
                  <c:v>89</c:v>
                </c:pt>
                <c:pt idx="4">
                  <c:v>88</c:v>
                </c:pt>
                <c:pt idx="5">
                  <c:v>87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B5-4EC0-A473-30EF198B61F1}"/>
            </c:ext>
          </c:extLst>
        </c:ser>
        <c:ser>
          <c:idx val="13"/>
          <c:order val="13"/>
          <c:tx>
            <c:strRef>
              <c:f>'Class 1'!$B$19</c:f>
              <c:strCache>
                <c:ptCount val="1"/>
                <c:pt idx="0">
                  <c:v>Cory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1'!$C$19:$I$19</c:f>
              <c:numCache>
                <c:formatCode>General</c:formatCode>
                <c:ptCount val="7"/>
                <c:pt idx="0">
                  <c:v>88</c:v>
                </c:pt>
                <c:pt idx="1">
                  <c:v>88</c:v>
                </c:pt>
                <c:pt idx="2">
                  <c:v>87</c:v>
                </c:pt>
                <c:pt idx="3">
                  <c:v>95</c:v>
                </c:pt>
                <c:pt idx="4">
                  <c:v>84</c:v>
                </c:pt>
                <c:pt idx="5">
                  <c:v>85</c:v>
                </c:pt>
                <c:pt idx="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DB5-4EC0-A473-30EF198B61F1}"/>
            </c:ext>
          </c:extLst>
        </c:ser>
        <c:ser>
          <c:idx val="14"/>
          <c:order val="14"/>
          <c:tx>
            <c:strRef>
              <c:f>'Class 1'!$B$20</c:f>
              <c:strCache>
                <c:ptCount val="1"/>
                <c:pt idx="0">
                  <c:v>William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1'!$C$20:$I$20</c:f>
              <c:numCache>
                <c:formatCode>General</c:formatCode>
                <c:ptCount val="7"/>
                <c:pt idx="0">
                  <c:v>75</c:v>
                </c:pt>
                <c:pt idx="1">
                  <c:v>88</c:v>
                </c:pt>
                <c:pt idx="2">
                  <c:v>91</c:v>
                </c:pt>
                <c:pt idx="3">
                  <c:v>82</c:v>
                </c:pt>
                <c:pt idx="4">
                  <c:v>73</c:v>
                </c:pt>
                <c:pt idx="5">
                  <c:v>74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B5-4EC0-A473-30EF198B61F1}"/>
            </c:ext>
          </c:extLst>
        </c:ser>
        <c:ser>
          <c:idx val="15"/>
          <c:order val="15"/>
          <c:tx>
            <c:strRef>
              <c:f>'Class 1'!$B$21</c:f>
              <c:strCache>
                <c:ptCount val="1"/>
                <c:pt idx="0">
                  <c:v>Nicholas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1'!$C$21:$I$21</c:f>
              <c:numCache>
                <c:formatCode>General</c:formatCode>
                <c:ptCount val="7"/>
                <c:pt idx="0">
                  <c:v>80</c:v>
                </c:pt>
                <c:pt idx="1">
                  <c:v>82</c:v>
                </c:pt>
                <c:pt idx="2">
                  <c:v>86</c:v>
                </c:pt>
                <c:pt idx="3">
                  <c:v>92</c:v>
                </c:pt>
                <c:pt idx="4">
                  <c:v>80</c:v>
                </c:pt>
                <c:pt idx="5">
                  <c:v>75</c:v>
                </c:pt>
                <c:pt idx="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DB5-4EC0-A473-30EF198B61F1}"/>
            </c:ext>
          </c:extLst>
        </c:ser>
        <c:ser>
          <c:idx val="16"/>
          <c:order val="16"/>
          <c:tx>
            <c:strRef>
              <c:f>'Class 1'!$B$22</c:f>
              <c:strCache>
                <c:ptCount val="1"/>
                <c:pt idx="0">
                  <c:v>Seth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1'!$C$22:$I$22</c:f>
              <c:numCache>
                <c:formatCode>General</c:formatCode>
                <c:ptCount val="7"/>
                <c:pt idx="0">
                  <c:v>89</c:v>
                </c:pt>
                <c:pt idx="1">
                  <c:v>82</c:v>
                </c:pt>
                <c:pt idx="2">
                  <c:v>65</c:v>
                </c:pt>
                <c:pt idx="3">
                  <c:v>95</c:v>
                </c:pt>
                <c:pt idx="4">
                  <c:v>92</c:v>
                </c:pt>
                <c:pt idx="5">
                  <c:v>95</c:v>
                </c:pt>
                <c:pt idx="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B5-4EC0-A473-30EF198B61F1}"/>
            </c:ext>
          </c:extLst>
        </c:ser>
        <c:ser>
          <c:idx val="17"/>
          <c:order val="17"/>
          <c:tx>
            <c:strRef>
              <c:f>'Class 1'!$B$23</c:f>
              <c:strCache>
                <c:ptCount val="1"/>
                <c:pt idx="0">
                  <c:v>Anastacia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1'!$C$23:$I$23</c:f>
              <c:numCache>
                <c:formatCode>General</c:formatCode>
                <c:ptCount val="7"/>
                <c:pt idx="0">
                  <c:v>86</c:v>
                </c:pt>
                <c:pt idx="1">
                  <c:v>87</c:v>
                </c:pt>
                <c:pt idx="2">
                  <c:v>78</c:v>
                </c:pt>
                <c:pt idx="3">
                  <c:v>75</c:v>
                </c:pt>
                <c:pt idx="4">
                  <c:v>80</c:v>
                </c:pt>
                <c:pt idx="5">
                  <c:v>79</c:v>
                </c:pt>
                <c:pt idx="6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DB5-4EC0-A473-30EF198B61F1}"/>
            </c:ext>
          </c:extLst>
        </c:ser>
        <c:ser>
          <c:idx val="18"/>
          <c:order val="18"/>
          <c:tx>
            <c:strRef>
              <c:f>'Class 1'!$B$24</c:f>
              <c:strCache>
                <c:ptCount val="1"/>
                <c:pt idx="0">
                  <c:v>Xavier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1'!$C$24:$I$24</c:f>
              <c:numCache>
                <c:formatCode>General</c:formatCode>
                <c:ptCount val="7"/>
                <c:pt idx="0">
                  <c:v>89</c:v>
                </c:pt>
                <c:pt idx="1">
                  <c:v>93</c:v>
                </c:pt>
                <c:pt idx="2">
                  <c:v>92</c:v>
                </c:pt>
                <c:pt idx="3">
                  <c:v>92</c:v>
                </c:pt>
                <c:pt idx="4">
                  <c:v>94</c:v>
                </c:pt>
                <c:pt idx="5">
                  <c:v>92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B5-4EC0-A473-30EF198B61F1}"/>
            </c:ext>
          </c:extLst>
        </c:ser>
        <c:ser>
          <c:idx val="19"/>
          <c:order val="19"/>
          <c:tx>
            <c:strRef>
              <c:f>'Class 1'!$B$25</c:f>
              <c:strCache>
                <c:ptCount val="1"/>
                <c:pt idx="0">
                  <c:v>Janey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1'!$C$25:$I$25</c:f>
              <c:numCache>
                <c:formatCode>General</c:formatCode>
                <c:ptCount val="7"/>
                <c:pt idx="0">
                  <c:v>82</c:v>
                </c:pt>
                <c:pt idx="1">
                  <c:v>82</c:v>
                </c:pt>
                <c:pt idx="2">
                  <c:v>86</c:v>
                </c:pt>
                <c:pt idx="3">
                  <c:v>85</c:v>
                </c:pt>
                <c:pt idx="4">
                  <c:v>87</c:v>
                </c:pt>
                <c:pt idx="5">
                  <c:v>88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DB5-4EC0-A473-30EF198B61F1}"/>
            </c:ext>
          </c:extLst>
        </c:ser>
        <c:ser>
          <c:idx val="20"/>
          <c:order val="20"/>
          <c:tx>
            <c:strRef>
              <c:f>'Class 1'!$B$26</c:f>
              <c:strCache>
                <c:ptCount val="1"/>
                <c:pt idx="0">
                  <c:v>Cassandra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1'!$C$26:$I$26</c:f>
              <c:numCache>
                <c:formatCode>General</c:formatCode>
                <c:ptCount val="7"/>
                <c:pt idx="0">
                  <c:v>75</c:v>
                </c:pt>
                <c:pt idx="1">
                  <c:v>63</c:v>
                </c:pt>
                <c:pt idx="2">
                  <c:v>62</c:v>
                </c:pt>
                <c:pt idx="3">
                  <c:v>70</c:v>
                </c:pt>
                <c:pt idx="4">
                  <c:v>73</c:v>
                </c:pt>
                <c:pt idx="5">
                  <c:v>76</c:v>
                </c:pt>
                <c:pt idx="6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B5-4EC0-A473-30EF198B6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038127"/>
        <c:axId val="1"/>
      </c:lineChart>
      <c:catAx>
        <c:axId val="761038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038127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379310344827587"/>
          <c:y val="0.89819004524886881"/>
          <c:w val="0.80689655172413788"/>
          <c:h val="9.841628959276017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Student Progress 2</a:t>
            </a:r>
          </a:p>
        </c:rich>
      </c:tx>
      <c:layout>
        <c:manualLayout>
          <c:xMode val="edge"/>
          <c:yMode val="edge"/>
          <c:x val="0.4241379310344827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137931034482755E-2"/>
          <c:y val="0.1165158371040724"/>
          <c:w val="0.94689655172413789"/>
          <c:h val="0.71380090497737558"/>
        </c:manualLayout>
      </c:layout>
      <c:lineChart>
        <c:grouping val="standard"/>
        <c:varyColors val="0"/>
        <c:ser>
          <c:idx val="0"/>
          <c:order val="0"/>
          <c:tx>
            <c:strRef>
              <c:f>'Class 2'!$B$6</c:f>
              <c:strCache>
                <c:ptCount val="1"/>
                <c:pt idx="0">
                  <c:v>Karly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2'!$C$6:$I$6</c:f>
              <c:numCache>
                <c:formatCode>0</c:formatCode>
                <c:ptCount val="7"/>
                <c:pt idx="0">
                  <c:v>90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100</c:v>
                </c:pt>
                <c:pt idx="5">
                  <c:v>97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5-4721-8D3D-77EA0BF740CC}"/>
            </c:ext>
          </c:extLst>
        </c:ser>
        <c:ser>
          <c:idx val="1"/>
          <c:order val="1"/>
          <c:tx>
            <c:strRef>
              <c:f>'Class 2'!$B$7</c:f>
              <c:strCache>
                <c:ptCount val="1"/>
                <c:pt idx="0">
                  <c:v>Darwin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2'!$C$7:$I$7</c:f>
              <c:numCache>
                <c:formatCode>0</c:formatCode>
                <c:ptCount val="7"/>
                <c:pt idx="0">
                  <c:v>76</c:v>
                </c:pt>
                <c:pt idx="1">
                  <c:v>47</c:v>
                </c:pt>
                <c:pt idx="2">
                  <c:v>42</c:v>
                </c:pt>
                <c:pt idx="3">
                  <c:v>35</c:v>
                </c:pt>
                <c:pt idx="4">
                  <c:v>28</c:v>
                </c:pt>
                <c:pt idx="5">
                  <c:v>32</c:v>
                </c:pt>
                <c:pt idx="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5-4721-8D3D-77EA0BF740CC}"/>
            </c:ext>
          </c:extLst>
        </c:ser>
        <c:ser>
          <c:idx val="2"/>
          <c:order val="2"/>
          <c:tx>
            <c:strRef>
              <c:f>'Class 2'!$B$8</c:f>
              <c:strCache>
                <c:ptCount val="1"/>
                <c:pt idx="0">
                  <c:v>Micheal 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2'!$C$8:$I$8</c:f>
              <c:numCache>
                <c:formatCode>0</c:formatCode>
                <c:ptCount val="7"/>
                <c:pt idx="0">
                  <c:v>72</c:v>
                </c:pt>
                <c:pt idx="1">
                  <c:v>38</c:v>
                </c:pt>
                <c:pt idx="2">
                  <c:v>35</c:v>
                </c:pt>
                <c:pt idx="3">
                  <c:v>32</c:v>
                </c:pt>
                <c:pt idx="4">
                  <c:v>28</c:v>
                </c:pt>
                <c:pt idx="5">
                  <c:v>32</c:v>
                </c:pt>
                <c:pt idx="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5-4721-8D3D-77EA0BF740CC}"/>
            </c:ext>
          </c:extLst>
        </c:ser>
        <c:ser>
          <c:idx val="3"/>
          <c:order val="3"/>
          <c:tx>
            <c:strRef>
              <c:f>'Class 2'!$B$9</c:f>
              <c:strCache>
                <c:ptCount val="1"/>
                <c:pt idx="0">
                  <c:v>Dameon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2'!$C$9:$I$9</c:f>
              <c:numCache>
                <c:formatCode>0</c:formatCode>
                <c:ptCount val="7"/>
                <c:pt idx="0">
                  <c:v>63</c:v>
                </c:pt>
                <c:pt idx="1">
                  <c:v>45</c:v>
                </c:pt>
                <c:pt idx="2">
                  <c:v>38</c:v>
                </c:pt>
                <c:pt idx="3">
                  <c:v>35</c:v>
                </c:pt>
                <c:pt idx="4">
                  <c:v>31</c:v>
                </c:pt>
                <c:pt idx="5">
                  <c:v>36</c:v>
                </c:pt>
                <c:pt idx="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25-4721-8D3D-77EA0BF740CC}"/>
            </c:ext>
          </c:extLst>
        </c:ser>
        <c:ser>
          <c:idx val="4"/>
          <c:order val="4"/>
          <c:tx>
            <c:strRef>
              <c:f>'Class 2'!$B$10</c:f>
              <c:strCache>
                <c:ptCount val="1"/>
                <c:pt idx="0">
                  <c:v>Jessica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2'!$C$10:$I$10</c:f>
              <c:numCache>
                <c:formatCode>0</c:formatCode>
                <c:ptCount val="7"/>
                <c:pt idx="0">
                  <c:v>70</c:v>
                </c:pt>
                <c:pt idx="1">
                  <c:v>67</c:v>
                </c:pt>
                <c:pt idx="2">
                  <c:v>59</c:v>
                </c:pt>
                <c:pt idx="3">
                  <c:v>51</c:v>
                </c:pt>
                <c:pt idx="4">
                  <c:v>40</c:v>
                </c:pt>
                <c:pt idx="5">
                  <c:v>45</c:v>
                </c:pt>
                <c:pt idx="6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25-4721-8D3D-77EA0BF740CC}"/>
            </c:ext>
          </c:extLst>
        </c:ser>
        <c:ser>
          <c:idx val="5"/>
          <c:order val="5"/>
          <c:tx>
            <c:strRef>
              <c:f>'Class 2'!$B$11</c:f>
              <c:strCache>
                <c:ptCount val="1"/>
                <c:pt idx="0">
                  <c:v>Rachel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2'!$C$11:$I$11</c:f>
              <c:numCache>
                <c:formatCode>0</c:formatCode>
                <c:ptCount val="7"/>
                <c:pt idx="0">
                  <c:v>74</c:v>
                </c:pt>
                <c:pt idx="1">
                  <c:v>75</c:v>
                </c:pt>
                <c:pt idx="2">
                  <c:v>48</c:v>
                </c:pt>
                <c:pt idx="3">
                  <c:v>49</c:v>
                </c:pt>
                <c:pt idx="4">
                  <c:v>44</c:v>
                </c:pt>
                <c:pt idx="5">
                  <c:v>38</c:v>
                </c:pt>
                <c:pt idx="6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25-4721-8D3D-77EA0BF740CC}"/>
            </c:ext>
          </c:extLst>
        </c:ser>
        <c:ser>
          <c:idx val="6"/>
          <c:order val="6"/>
          <c:tx>
            <c:strRef>
              <c:f>'Class 2'!$B$12</c:f>
              <c:strCache>
                <c:ptCount val="1"/>
                <c:pt idx="0">
                  <c:v>Tiffany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2'!$C$12:$I$12</c:f>
              <c:numCache>
                <c:formatCode>0</c:formatCode>
                <c:ptCount val="7"/>
                <c:pt idx="0">
                  <c:v>60</c:v>
                </c:pt>
                <c:pt idx="1">
                  <c:v>63</c:v>
                </c:pt>
                <c:pt idx="2">
                  <c:v>59</c:v>
                </c:pt>
                <c:pt idx="3">
                  <c:v>45</c:v>
                </c:pt>
                <c:pt idx="4">
                  <c:v>33</c:v>
                </c:pt>
                <c:pt idx="5">
                  <c:v>37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25-4721-8D3D-77EA0BF740CC}"/>
            </c:ext>
          </c:extLst>
        </c:ser>
        <c:ser>
          <c:idx val="7"/>
          <c:order val="7"/>
          <c:tx>
            <c:strRef>
              <c:f>'Class 2'!$B$13</c:f>
              <c:strCache>
                <c:ptCount val="1"/>
                <c:pt idx="0">
                  <c:v>Kaci Lynn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2'!$C$13:$I$13</c:f>
              <c:numCache>
                <c:formatCode>0</c:formatCode>
                <c:ptCount val="7"/>
                <c:pt idx="0">
                  <c:v>66</c:v>
                </c:pt>
                <c:pt idx="1">
                  <c:v>76</c:v>
                </c:pt>
                <c:pt idx="2">
                  <c:v>78</c:v>
                </c:pt>
                <c:pt idx="3">
                  <c:v>79</c:v>
                </c:pt>
                <c:pt idx="4">
                  <c:v>81</c:v>
                </c:pt>
                <c:pt idx="5">
                  <c:v>82</c:v>
                </c:pt>
                <c:pt idx="6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25-4721-8D3D-77EA0BF740CC}"/>
            </c:ext>
          </c:extLst>
        </c:ser>
        <c:ser>
          <c:idx val="8"/>
          <c:order val="8"/>
          <c:tx>
            <c:strRef>
              <c:f>'Class 2'!$B$14</c:f>
              <c:strCache>
                <c:ptCount val="1"/>
                <c:pt idx="0">
                  <c:v>Staci Lee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2'!$C$14:$I$14</c:f>
              <c:numCache>
                <c:formatCode>0</c:formatCode>
                <c:ptCount val="7"/>
                <c:pt idx="0">
                  <c:v>75</c:v>
                </c:pt>
                <c:pt idx="1">
                  <c:v>85</c:v>
                </c:pt>
                <c:pt idx="2">
                  <c:v>86</c:v>
                </c:pt>
                <c:pt idx="3">
                  <c:v>88</c:v>
                </c:pt>
                <c:pt idx="4">
                  <c:v>87</c:v>
                </c:pt>
                <c:pt idx="5">
                  <c:v>88</c:v>
                </c:pt>
                <c:pt idx="6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25-4721-8D3D-77EA0BF740CC}"/>
            </c:ext>
          </c:extLst>
        </c:ser>
        <c:ser>
          <c:idx val="9"/>
          <c:order val="9"/>
          <c:tx>
            <c:strRef>
              <c:f>'Class 2'!$B$15</c:f>
              <c:strCache>
                <c:ptCount val="1"/>
                <c:pt idx="0">
                  <c:v>Heidi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2'!$C$15:$I$15</c:f>
              <c:numCache>
                <c:formatCode>0</c:formatCode>
                <c:ptCount val="7"/>
                <c:pt idx="0">
                  <c:v>74</c:v>
                </c:pt>
                <c:pt idx="1">
                  <c:v>52</c:v>
                </c:pt>
                <c:pt idx="2">
                  <c:v>44</c:v>
                </c:pt>
                <c:pt idx="3">
                  <c:v>35</c:v>
                </c:pt>
                <c:pt idx="4">
                  <c:v>24</c:v>
                </c:pt>
                <c:pt idx="5">
                  <c:v>26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25-4721-8D3D-77EA0BF740CC}"/>
            </c:ext>
          </c:extLst>
        </c:ser>
        <c:ser>
          <c:idx val="10"/>
          <c:order val="10"/>
          <c:tx>
            <c:strRef>
              <c:f>'Class 2'!$B$16</c:f>
              <c:strCache>
                <c:ptCount val="1"/>
                <c:pt idx="0">
                  <c:v>Renee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2'!$C$16:$I$16</c:f>
              <c:numCache>
                <c:formatCode>0</c:formatCode>
                <c:ptCount val="7"/>
                <c:pt idx="0">
                  <c:v>43</c:v>
                </c:pt>
                <c:pt idx="1">
                  <c:v>35</c:v>
                </c:pt>
                <c:pt idx="2">
                  <c:v>24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25-4721-8D3D-77EA0BF740CC}"/>
            </c:ext>
          </c:extLst>
        </c:ser>
        <c:ser>
          <c:idx val="11"/>
          <c:order val="11"/>
          <c:tx>
            <c:strRef>
              <c:f>'Class 2'!$B$17</c:f>
              <c:strCache>
                <c:ptCount val="1"/>
                <c:pt idx="0">
                  <c:v>Brooke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2'!$C$17:$I$17</c:f>
              <c:numCache>
                <c:formatCode>0</c:formatCode>
                <c:ptCount val="7"/>
                <c:pt idx="0">
                  <c:v>49</c:v>
                </c:pt>
                <c:pt idx="1">
                  <c:v>77</c:v>
                </c:pt>
                <c:pt idx="2">
                  <c:v>77</c:v>
                </c:pt>
                <c:pt idx="3">
                  <c:v>80</c:v>
                </c:pt>
                <c:pt idx="4">
                  <c:v>75</c:v>
                </c:pt>
                <c:pt idx="5">
                  <c:v>72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B25-4721-8D3D-77EA0BF740CC}"/>
            </c:ext>
          </c:extLst>
        </c:ser>
        <c:ser>
          <c:idx val="12"/>
          <c:order val="12"/>
          <c:tx>
            <c:strRef>
              <c:f>'Class 2'!$B$18</c:f>
              <c:strCache>
                <c:ptCount val="1"/>
                <c:pt idx="0">
                  <c:v>Kevin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2'!$C$18:$I$18</c:f>
              <c:numCache>
                <c:formatCode>0</c:formatCode>
                <c:ptCount val="7"/>
                <c:pt idx="0">
                  <c:v>48</c:v>
                </c:pt>
                <c:pt idx="1">
                  <c:v>63</c:v>
                </c:pt>
                <c:pt idx="2">
                  <c:v>55</c:v>
                </c:pt>
                <c:pt idx="3">
                  <c:v>49</c:v>
                </c:pt>
                <c:pt idx="4">
                  <c:v>38</c:v>
                </c:pt>
                <c:pt idx="5">
                  <c:v>37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25-4721-8D3D-77EA0BF740CC}"/>
            </c:ext>
          </c:extLst>
        </c:ser>
        <c:ser>
          <c:idx val="13"/>
          <c:order val="13"/>
          <c:tx>
            <c:strRef>
              <c:f>'Class 2'!$B$19</c:f>
              <c:strCache>
                <c:ptCount val="1"/>
                <c:pt idx="0">
                  <c:v>Cory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2'!$C$19:$I$19</c:f>
              <c:numCache>
                <c:formatCode>0</c:formatCode>
                <c:ptCount val="7"/>
                <c:pt idx="0">
                  <c:v>73</c:v>
                </c:pt>
                <c:pt idx="1">
                  <c:v>68</c:v>
                </c:pt>
                <c:pt idx="2">
                  <c:v>57</c:v>
                </c:pt>
                <c:pt idx="3">
                  <c:v>55</c:v>
                </c:pt>
                <c:pt idx="4">
                  <c:v>34</c:v>
                </c:pt>
                <c:pt idx="5">
                  <c:v>35</c:v>
                </c:pt>
                <c:pt idx="6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B25-4721-8D3D-77EA0BF740CC}"/>
            </c:ext>
          </c:extLst>
        </c:ser>
        <c:ser>
          <c:idx val="14"/>
          <c:order val="14"/>
          <c:tx>
            <c:strRef>
              <c:f>'Class 2'!$B$20</c:f>
              <c:strCache>
                <c:ptCount val="1"/>
                <c:pt idx="0">
                  <c:v>William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2'!$C$20:$I$20</c:f>
              <c:numCache>
                <c:formatCode>0</c:formatCode>
                <c:ptCount val="7"/>
                <c:pt idx="0">
                  <c:v>60</c:v>
                </c:pt>
                <c:pt idx="1">
                  <c:v>68</c:v>
                </c:pt>
                <c:pt idx="2">
                  <c:v>61</c:v>
                </c:pt>
                <c:pt idx="3">
                  <c:v>42</c:v>
                </c:pt>
                <c:pt idx="4">
                  <c:v>23</c:v>
                </c:pt>
                <c:pt idx="5">
                  <c:v>24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B25-4721-8D3D-77EA0BF740CC}"/>
            </c:ext>
          </c:extLst>
        </c:ser>
        <c:ser>
          <c:idx val="15"/>
          <c:order val="15"/>
          <c:tx>
            <c:strRef>
              <c:f>'Class 2'!$B$21</c:f>
              <c:strCache>
                <c:ptCount val="1"/>
                <c:pt idx="0">
                  <c:v>Nicholas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2'!$C$21:$I$21</c:f>
              <c:numCache>
                <c:formatCode>0</c:formatCode>
                <c:ptCount val="7"/>
                <c:pt idx="0">
                  <c:v>80</c:v>
                </c:pt>
                <c:pt idx="1">
                  <c:v>82</c:v>
                </c:pt>
                <c:pt idx="2">
                  <c:v>86</c:v>
                </c:pt>
                <c:pt idx="3">
                  <c:v>92</c:v>
                </c:pt>
                <c:pt idx="4">
                  <c:v>80</c:v>
                </c:pt>
                <c:pt idx="5">
                  <c:v>75</c:v>
                </c:pt>
                <c:pt idx="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B25-4721-8D3D-77EA0BF740CC}"/>
            </c:ext>
          </c:extLst>
        </c:ser>
        <c:ser>
          <c:idx val="16"/>
          <c:order val="16"/>
          <c:tx>
            <c:strRef>
              <c:f>'Class 2'!$B$22</c:f>
              <c:strCache>
                <c:ptCount val="1"/>
                <c:pt idx="0">
                  <c:v>Seth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2'!$C$22:$I$22</c:f>
              <c:numCache>
                <c:formatCode>0</c:formatCode>
                <c:ptCount val="7"/>
                <c:pt idx="0">
                  <c:v>74</c:v>
                </c:pt>
                <c:pt idx="1">
                  <c:v>62</c:v>
                </c:pt>
                <c:pt idx="2">
                  <c:v>35</c:v>
                </c:pt>
                <c:pt idx="3">
                  <c:v>55</c:v>
                </c:pt>
                <c:pt idx="4">
                  <c:v>42</c:v>
                </c:pt>
                <c:pt idx="5">
                  <c:v>45</c:v>
                </c:pt>
                <c:pt idx="6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B25-4721-8D3D-77EA0BF740CC}"/>
            </c:ext>
          </c:extLst>
        </c:ser>
        <c:ser>
          <c:idx val="17"/>
          <c:order val="17"/>
          <c:tx>
            <c:strRef>
              <c:f>'Class 2'!$B$23</c:f>
              <c:strCache>
                <c:ptCount val="1"/>
                <c:pt idx="0">
                  <c:v>Anastacia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2'!$C$23:$I$23</c:f>
              <c:numCache>
                <c:formatCode>0</c:formatCode>
                <c:ptCount val="7"/>
                <c:pt idx="0">
                  <c:v>71</c:v>
                </c:pt>
                <c:pt idx="1">
                  <c:v>67</c:v>
                </c:pt>
                <c:pt idx="2">
                  <c:v>48</c:v>
                </c:pt>
                <c:pt idx="3">
                  <c:v>35</c:v>
                </c:pt>
                <c:pt idx="4">
                  <c:v>30</c:v>
                </c:pt>
                <c:pt idx="5">
                  <c:v>29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B25-4721-8D3D-77EA0BF740CC}"/>
            </c:ext>
          </c:extLst>
        </c:ser>
        <c:ser>
          <c:idx val="18"/>
          <c:order val="18"/>
          <c:tx>
            <c:strRef>
              <c:f>'Class 2'!$B$24</c:f>
              <c:strCache>
                <c:ptCount val="1"/>
                <c:pt idx="0">
                  <c:v>Xavier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2'!$C$24:$I$24</c:f>
              <c:numCache>
                <c:formatCode>0</c:formatCode>
                <c:ptCount val="7"/>
                <c:pt idx="0">
                  <c:v>74</c:v>
                </c:pt>
                <c:pt idx="1">
                  <c:v>73</c:v>
                </c:pt>
                <c:pt idx="2">
                  <c:v>62</c:v>
                </c:pt>
                <c:pt idx="3">
                  <c:v>52</c:v>
                </c:pt>
                <c:pt idx="4">
                  <c:v>44</c:v>
                </c:pt>
                <c:pt idx="5">
                  <c:v>42</c:v>
                </c:pt>
                <c:pt idx="6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B25-4721-8D3D-77EA0BF740CC}"/>
            </c:ext>
          </c:extLst>
        </c:ser>
        <c:ser>
          <c:idx val="19"/>
          <c:order val="19"/>
          <c:tx>
            <c:strRef>
              <c:f>'Class 2'!$B$25</c:f>
              <c:strCache>
                <c:ptCount val="1"/>
                <c:pt idx="0">
                  <c:v>Janey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2'!$C$25:$I$25</c:f>
              <c:numCache>
                <c:formatCode>0</c:formatCode>
                <c:ptCount val="7"/>
                <c:pt idx="0">
                  <c:v>67</c:v>
                </c:pt>
                <c:pt idx="1">
                  <c:v>62</c:v>
                </c:pt>
                <c:pt idx="2">
                  <c:v>56</c:v>
                </c:pt>
                <c:pt idx="3">
                  <c:v>45</c:v>
                </c:pt>
                <c:pt idx="4">
                  <c:v>37</c:v>
                </c:pt>
                <c:pt idx="5">
                  <c:v>38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B25-4721-8D3D-77EA0BF740CC}"/>
            </c:ext>
          </c:extLst>
        </c:ser>
        <c:ser>
          <c:idx val="20"/>
          <c:order val="20"/>
          <c:tx>
            <c:strRef>
              <c:f>'Class 2'!$B$26</c:f>
              <c:strCache>
                <c:ptCount val="1"/>
                <c:pt idx="0">
                  <c:v>Cassandra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strRef>
              <c:f>'Class 2'!$C$5:$I$5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2'!$C$26:$I$26</c:f>
              <c:numCache>
                <c:formatCode>0</c:formatCode>
                <c:ptCount val="7"/>
                <c:pt idx="0">
                  <c:v>60</c:v>
                </c:pt>
                <c:pt idx="1">
                  <c:v>43</c:v>
                </c:pt>
                <c:pt idx="2">
                  <c:v>32</c:v>
                </c:pt>
                <c:pt idx="3">
                  <c:v>30</c:v>
                </c:pt>
                <c:pt idx="4">
                  <c:v>23</c:v>
                </c:pt>
                <c:pt idx="5">
                  <c:v>26</c:v>
                </c:pt>
                <c:pt idx="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B25-4721-8D3D-77EA0BF74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038527"/>
        <c:axId val="1"/>
      </c:lineChart>
      <c:catAx>
        <c:axId val="761038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038527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379310344827587"/>
          <c:y val="0.89819004524886881"/>
          <c:w val="0.80689655172413788"/>
          <c:h val="9.841628959276017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Student Progress 3</a:t>
            </a:r>
          </a:p>
        </c:rich>
      </c:tx>
      <c:layout>
        <c:manualLayout>
          <c:xMode val="edge"/>
          <c:yMode val="edge"/>
          <c:x val="0.4241379310344827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137931034482755E-2"/>
          <c:y val="0.1165158371040724"/>
          <c:w val="0.94689655172413789"/>
          <c:h val="0.71380090497737558"/>
        </c:manualLayout>
      </c:layout>
      <c:lineChart>
        <c:grouping val="standard"/>
        <c:varyColors val="0"/>
        <c:ser>
          <c:idx val="0"/>
          <c:order val="0"/>
          <c:tx>
            <c:strRef>
              <c:f>'Class 3'!$B$6</c:f>
              <c:strCache>
                <c:ptCount val="1"/>
                <c:pt idx="0">
                  <c:v>Karly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3'!$C$6:$I$6</c:f>
              <c:numCache>
                <c:formatCode>General</c:formatCode>
                <c:ptCount val="7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95</c:v>
                </c:pt>
                <c:pt idx="5">
                  <c:v>95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5-4167-98A3-A70111902B32}"/>
            </c:ext>
          </c:extLst>
        </c:ser>
        <c:ser>
          <c:idx val="1"/>
          <c:order val="1"/>
          <c:tx>
            <c:strRef>
              <c:f>'Class 3'!$B$7</c:f>
              <c:strCache>
                <c:ptCount val="1"/>
                <c:pt idx="0">
                  <c:v>Darwin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3'!$C$7:$I$7</c:f>
              <c:numCache>
                <c:formatCode>General</c:formatCode>
                <c:ptCount val="7"/>
                <c:pt idx="0">
                  <c:v>81</c:v>
                </c:pt>
                <c:pt idx="1">
                  <c:v>67</c:v>
                </c:pt>
                <c:pt idx="2">
                  <c:v>82</c:v>
                </c:pt>
                <c:pt idx="3">
                  <c:v>85</c:v>
                </c:pt>
                <c:pt idx="4">
                  <c:v>63</c:v>
                </c:pt>
                <c:pt idx="5">
                  <c:v>67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15-4167-98A3-A70111902B32}"/>
            </c:ext>
          </c:extLst>
        </c:ser>
        <c:ser>
          <c:idx val="2"/>
          <c:order val="2"/>
          <c:tx>
            <c:strRef>
              <c:f>'Class 3'!$B$8</c:f>
              <c:strCache>
                <c:ptCount val="1"/>
                <c:pt idx="0">
                  <c:v>Micheal 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3'!$C$8:$I$8</c:f>
              <c:numCache>
                <c:formatCode>General</c:formatCode>
                <c:ptCount val="7"/>
                <c:pt idx="0">
                  <c:v>77</c:v>
                </c:pt>
                <c:pt idx="1">
                  <c:v>58</c:v>
                </c:pt>
                <c:pt idx="2">
                  <c:v>75</c:v>
                </c:pt>
                <c:pt idx="3">
                  <c:v>82</c:v>
                </c:pt>
                <c:pt idx="4">
                  <c:v>63</c:v>
                </c:pt>
                <c:pt idx="5">
                  <c:v>67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15-4167-98A3-A70111902B32}"/>
            </c:ext>
          </c:extLst>
        </c:ser>
        <c:ser>
          <c:idx val="3"/>
          <c:order val="3"/>
          <c:tx>
            <c:strRef>
              <c:f>'Class 3'!$B$9</c:f>
              <c:strCache>
                <c:ptCount val="1"/>
                <c:pt idx="0">
                  <c:v>Dameon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3'!$C$9:$I$9</c:f>
              <c:numCache>
                <c:formatCode>General</c:formatCode>
                <c:ptCount val="7"/>
                <c:pt idx="0">
                  <c:v>68</c:v>
                </c:pt>
                <c:pt idx="1">
                  <c:v>65</c:v>
                </c:pt>
                <c:pt idx="2">
                  <c:v>78</c:v>
                </c:pt>
                <c:pt idx="3">
                  <c:v>85</c:v>
                </c:pt>
                <c:pt idx="4">
                  <c:v>66</c:v>
                </c:pt>
                <c:pt idx="5">
                  <c:v>71</c:v>
                </c:pt>
                <c:pt idx="6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15-4167-98A3-A70111902B32}"/>
            </c:ext>
          </c:extLst>
        </c:ser>
        <c:ser>
          <c:idx val="4"/>
          <c:order val="4"/>
          <c:tx>
            <c:strRef>
              <c:f>'Class 3'!$B$10</c:f>
              <c:strCache>
                <c:ptCount val="1"/>
                <c:pt idx="0">
                  <c:v>Jessica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3'!$C$10:$I$10</c:f>
              <c:numCache>
                <c:formatCode>General</c:formatCode>
                <c:ptCount val="7"/>
                <c:pt idx="0">
                  <c:v>75</c:v>
                </c:pt>
                <c:pt idx="1">
                  <c:v>87</c:v>
                </c:pt>
                <c:pt idx="2">
                  <c:v>99</c:v>
                </c:pt>
                <c:pt idx="3">
                  <c:v>91</c:v>
                </c:pt>
                <c:pt idx="4">
                  <c:v>75</c:v>
                </c:pt>
                <c:pt idx="5">
                  <c:v>80</c:v>
                </c:pt>
                <c:pt idx="6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15-4167-98A3-A70111902B32}"/>
            </c:ext>
          </c:extLst>
        </c:ser>
        <c:ser>
          <c:idx val="5"/>
          <c:order val="5"/>
          <c:tx>
            <c:strRef>
              <c:f>'Class 3'!$B$11</c:f>
              <c:strCache>
                <c:ptCount val="1"/>
                <c:pt idx="0">
                  <c:v>Rachel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3'!$C$11:$I$11</c:f>
              <c:numCache>
                <c:formatCode>General</c:formatCode>
                <c:ptCount val="7"/>
                <c:pt idx="0">
                  <c:v>79</c:v>
                </c:pt>
                <c:pt idx="1">
                  <c:v>95</c:v>
                </c:pt>
                <c:pt idx="2">
                  <c:v>88</c:v>
                </c:pt>
                <c:pt idx="3">
                  <c:v>99</c:v>
                </c:pt>
                <c:pt idx="4">
                  <c:v>79</c:v>
                </c:pt>
                <c:pt idx="5">
                  <c:v>73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15-4167-98A3-A70111902B32}"/>
            </c:ext>
          </c:extLst>
        </c:ser>
        <c:ser>
          <c:idx val="6"/>
          <c:order val="6"/>
          <c:tx>
            <c:strRef>
              <c:f>'Class 3'!$B$12</c:f>
              <c:strCache>
                <c:ptCount val="1"/>
                <c:pt idx="0">
                  <c:v>Tiffany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3'!$C$12:$I$12</c:f>
              <c:numCache>
                <c:formatCode>General</c:formatCode>
                <c:ptCount val="7"/>
                <c:pt idx="0">
                  <c:v>65</c:v>
                </c:pt>
                <c:pt idx="1">
                  <c:v>83</c:v>
                </c:pt>
                <c:pt idx="2">
                  <c:v>99</c:v>
                </c:pt>
                <c:pt idx="3">
                  <c:v>95</c:v>
                </c:pt>
                <c:pt idx="4">
                  <c:v>68</c:v>
                </c:pt>
                <c:pt idx="5">
                  <c:v>72</c:v>
                </c:pt>
                <c:pt idx="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15-4167-98A3-A70111902B32}"/>
            </c:ext>
          </c:extLst>
        </c:ser>
        <c:ser>
          <c:idx val="7"/>
          <c:order val="7"/>
          <c:tx>
            <c:strRef>
              <c:f>'Class 3'!$B$13</c:f>
              <c:strCache>
                <c:ptCount val="1"/>
                <c:pt idx="0">
                  <c:v>Kaci Lynn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3'!$C$13:$I$13</c:f>
              <c:numCache>
                <c:formatCode>General</c:formatCode>
                <c:ptCount val="7"/>
                <c:pt idx="0">
                  <c:v>71</c:v>
                </c:pt>
                <c:pt idx="1">
                  <c:v>96</c:v>
                </c:pt>
                <c:pt idx="2">
                  <c:v>97</c:v>
                </c:pt>
                <c:pt idx="3">
                  <c:v>99</c:v>
                </c:pt>
                <c:pt idx="4">
                  <c:v>81</c:v>
                </c:pt>
                <c:pt idx="5">
                  <c:v>84</c:v>
                </c:pt>
                <c:pt idx="6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15-4167-98A3-A70111902B32}"/>
            </c:ext>
          </c:extLst>
        </c:ser>
        <c:ser>
          <c:idx val="8"/>
          <c:order val="8"/>
          <c:tx>
            <c:strRef>
              <c:f>'Class 3'!$B$14</c:f>
              <c:strCache>
                <c:ptCount val="1"/>
                <c:pt idx="0">
                  <c:v>Staci Lee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3'!$C$14:$I$14</c:f>
              <c:numCache>
                <c:formatCode>General</c:formatCode>
                <c:ptCount val="7"/>
                <c:pt idx="0">
                  <c:v>75</c:v>
                </c:pt>
                <c:pt idx="1">
                  <c:v>95</c:v>
                </c:pt>
                <c:pt idx="2">
                  <c:v>96</c:v>
                </c:pt>
                <c:pt idx="3">
                  <c:v>98</c:v>
                </c:pt>
                <c:pt idx="4">
                  <c:v>82</c:v>
                </c:pt>
                <c:pt idx="5">
                  <c:v>83</c:v>
                </c:pt>
                <c:pt idx="6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15-4167-98A3-A70111902B32}"/>
            </c:ext>
          </c:extLst>
        </c:ser>
        <c:ser>
          <c:idx val="9"/>
          <c:order val="9"/>
          <c:tx>
            <c:strRef>
              <c:f>'Class 3'!$B$15</c:f>
              <c:strCache>
                <c:ptCount val="1"/>
                <c:pt idx="0">
                  <c:v>Heidi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3'!$C$15:$I$15</c:f>
              <c:numCache>
                <c:formatCode>General</c:formatCode>
                <c:ptCount val="7"/>
                <c:pt idx="0">
                  <c:v>79</c:v>
                </c:pt>
                <c:pt idx="1">
                  <c:v>72</c:v>
                </c:pt>
                <c:pt idx="2">
                  <c:v>84</c:v>
                </c:pt>
                <c:pt idx="3">
                  <c:v>85</c:v>
                </c:pt>
                <c:pt idx="4">
                  <c:v>59</c:v>
                </c:pt>
                <c:pt idx="5">
                  <c:v>61</c:v>
                </c:pt>
                <c:pt idx="6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15-4167-98A3-A70111902B32}"/>
            </c:ext>
          </c:extLst>
        </c:ser>
        <c:ser>
          <c:idx val="10"/>
          <c:order val="10"/>
          <c:tx>
            <c:strRef>
              <c:f>'Class 3'!$B$16</c:f>
              <c:strCache>
                <c:ptCount val="1"/>
                <c:pt idx="0">
                  <c:v>Renee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3'!$C$16:$I$16</c:f>
              <c:numCache>
                <c:formatCode>General</c:formatCode>
                <c:ptCount val="7"/>
                <c:pt idx="0">
                  <c:v>48</c:v>
                </c:pt>
                <c:pt idx="1">
                  <c:v>55</c:v>
                </c:pt>
                <c:pt idx="2">
                  <c:v>64</c:v>
                </c:pt>
                <c:pt idx="3">
                  <c:v>67</c:v>
                </c:pt>
                <c:pt idx="4">
                  <c:v>43</c:v>
                </c:pt>
                <c:pt idx="5">
                  <c:v>45</c:v>
                </c:pt>
                <c:pt idx="6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15-4167-98A3-A70111902B32}"/>
            </c:ext>
          </c:extLst>
        </c:ser>
        <c:ser>
          <c:idx val="11"/>
          <c:order val="11"/>
          <c:tx>
            <c:strRef>
              <c:f>'Class 3'!$B$17</c:f>
              <c:strCache>
                <c:ptCount val="1"/>
                <c:pt idx="0">
                  <c:v>Brooke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3'!$C$17:$I$17</c:f>
              <c:numCache>
                <c:formatCode>General</c:formatCode>
                <c:ptCount val="7"/>
                <c:pt idx="0">
                  <c:v>54</c:v>
                </c:pt>
                <c:pt idx="1">
                  <c:v>97</c:v>
                </c:pt>
                <c:pt idx="2">
                  <c:v>99</c:v>
                </c:pt>
                <c:pt idx="3">
                  <c:v>95</c:v>
                </c:pt>
                <c:pt idx="4">
                  <c:v>73</c:v>
                </c:pt>
                <c:pt idx="5">
                  <c:v>72</c:v>
                </c:pt>
                <c:pt idx="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15-4167-98A3-A70111902B32}"/>
            </c:ext>
          </c:extLst>
        </c:ser>
        <c:ser>
          <c:idx val="12"/>
          <c:order val="12"/>
          <c:tx>
            <c:strRef>
              <c:f>'Class 3'!$B$18</c:f>
              <c:strCache>
                <c:ptCount val="1"/>
                <c:pt idx="0">
                  <c:v>Kevin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3'!$C$18:$I$18</c:f>
              <c:numCache>
                <c:formatCode>General</c:formatCode>
                <c:ptCount val="7"/>
                <c:pt idx="0">
                  <c:v>53</c:v>
                </c:pt>
                <c:pt idx="1">
                  <c:v>83</c:v>
                </c:pt>
                <c:pt idx="2">
                  <c:v>95</c:v>
                </c:pt>
                <c:pt idx="3">
                  <c:v>99</c:v>
                </c:pt>
                <c:pt idx="4">
                  <c:v>73</c:v>
                </c:pt>
                <c:pt idx="5">
                  <c:v>72</c:v>
                </c:pt>
                <c:pt idx="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15-4167-98A3-A70111902B32}"/>
            </c:ext>
          </c:extLst>
        </c:ser>
        <c:ser>
          <c:idx val="13"/>
          <c:order val="13"/>
          <c:tx>
            <c:strRef>
              <c:f>'Class 3'!$B$19</c:f>
              <c:strCache>
                <c:ptCount val="1"/>
                <c:pt idx="0">
                  <c:v>Cory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3'!$C$19:$I$19</c:f>
              <c:numCache>
                <c:formatCode>General</c:formatCode>
                <c:ptCount val="7"/>
                <c:pt idx="0">
                  <c:v>78</c:v>
                </c:pt>
                <c:pt idx="1">
                  <c:v>88</c:v>
                </c:pt>
                <c:pt idx="2">
                  <c:v>97</c:v>
                </c:pt>
                <c:pt idx="3">
                  <c:v>95</c:v>
                </c:pt>
                <c:pt idx="4">
                  <c:v>69</c:v>
                </c:pt>
                <c:pt idx="5">
                  <c:v>70</c:v>
                </c:pt>
                <c:pt idx="6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615-4167-98A3-A70111902B32}"/>
            </c:ext>
          </c:extLst>
        </c:ser>
        <c:ser>
          <c:idx val="14"/>
          <c:order val="14"/>
          <c:tx>
            <c:strRef>
              <c:f>'Class 3'!$B$20</c:f>
              <c:strCache>
                <c:ptCount val="1"/>
                <c:pt idx="0">
                  <c:v>William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3'!$C$20:$I$20</c:f>
              <c:numCache>
                <c:formatCode>General</c:formatCode>
                <c:ptCount val="7"/>
                <c:pt idx="0">
                  <c:v>65</c:v>
                </c:pt>
                <c:pt idx="1">
                  <c:v>88</c:v>
                </c:pt>
                <c:pt idx="2">
                  <c:v>101</c:v>
                </c:pt>
                <c:pt idx="3">
                  <c:v>92</c:v>
                </c:pt>
                <c:pt idx="4">
                  <c:v>58</c:v>
                </c:pt>
                <c:pt idx="5">
                  <c:v>59</c:v>
                </c:pt>
                <c:pt idx="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15-4167-98A3-A70111902B32}"/>
            </c:ext>
          </c:extLst>
        </c:ser>
        <c:ser>
          <c:idx val="15"/>
          <c:order val="15"/>
          <c:tx>
            <c:strRef>
              <c:f>'Class 3'!$B$21</c:f>
              <c:strCache>
                <c:ptCount val="1"/>
                <c:pt idx="0">
                  <c:v>Nicholas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3'!$C$21:$I$21</c:f>
              <c:numCache>
                <c:formatCode>General</c:formatCode>
                <c:ptCount val="7"/>
                <c:pt idx="0">
                  <c:v>80</c:v>
                </c:pt>
                <c:pt idx="1">
                  <c:v>82</c:v>
                </c:pt>
                <c:pt idx="2">
                  <c:v>86</c:v>
                </c:pt>
                <c:pt idx="3">
                  <c:v>92</c:v>
                </c:pt>
                <c:pt idx="4">
                  <c:v>80</c:v>
                </c:pt>
                <c:pt idx="5">
                  <c:v>75</c:v>
                </c:pt>
                <c:pt idx="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615-4167-98A3-A70111902B32}"/>
            </c:ext>
          </c:extLst>
        </c:ser>
        <c:ser>
          <c:idx val="16"/>
          <c:order val="16"/>
          <c:tx>
            <c:strRef>
              <c:f>'Class 3'!$B$22</c:f>
              <c:strCache>
                <c:ptCount val="1"/>
                <c:pt idx="0">
                  <c:v>Seth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3'!$C$22:$I$22</c:f>
              <c:numCache>
                <c:formatCode>General</c:formatCode>
                <c:ptCount val="7"/>
                <c:pt idx="0">
                  <c:v>79</c:v>
                </c:pt>
                <c:pt idx="1">
                  <c:v>82</c:v>
                </c:pt>
                <c:pt idx="2">
                  <c:v>75</c:v>
                </c:pt>
                <c:pt idx="3">
                  <c:v>95</c:v>
                </c:pt>
                <c:pt idx="4">
                  <c:v>77</c:v>
                </c:pt>
                <c:pt idx="5">
                  <c:v>80</c:v>
                </c:pt>
                <c:pt idx="6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615-4167-98A3-A70111902B32}"/>
            </c:ext>
          </c:extLst>
        </c:ser>
        <c:ser>
          <c:idx val="17"/>
          <c:order val="17"/>
          <c:tx>
            <c:strRef>
              <c:f>'Class 3'!$B$23</c:f>
              <c:strCache>
                <c:ptCount val="1"/>
                <c:pt idx="0">
                  <c:v>Anastacia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3'!$C$23:$I$23</c:f>
              <c:numCache>
                <c:formatCode>General</c:formatCode>
                <c:ptCount val="7"/>
                <c:pt idx="0">
                  <c:v>76</c:v>
                </c:pt>
                <c:pt idx="1">
                  <c:v>87</c:v>
                </c:pt>
                <c:pt idx="2">
                  <c:v>88</c:v>
                </c:pt>
                <c:pt idx="3">
                  <c:v>85</c:v>
                </c:pt>
                <c:pt idx="4">
                  <c:v>65</c:v>
                </c:pt>
                <c:pt idx="5">
                  <c:v>64</c:v>
                </c:pt>
                <c:pt idx="6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615-4167-98A3-A70111902B32}"/>
            </c:ext>
          </c:extLst>
        </c:ser>
        <c:ser>
          <c:idx val="18"/>
          <c:order val="18"/>
          <c:tx>
            <c:strRef>
              <c:f>'Class 3'!$B$24</c:f>
              <c:strCache>
                <c:ptCount val="1"/>
                <c:pt idx="0">
                  <c:v>Xavier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3'!$C$24:$I$24</c:f>
              <c:numCache>
                <c:formatCode>General</c:formatCode>
                <c:ptCount val="7"/>
                <c:pt idx="0">
                  <c:v>79</c:v>
                </c:pt>
                <c:pt idx="1">
                  <c:v>93</c:v>
                </c:pt>
                <c:pt idx="2">
                  <c:v>92</c:v>
                </c:pt>
                <c:pt idx="3">
                  <c:v>92</c:v>
                </c:pt>
                <c:pt idx="4">
                  <c:v>79</c:v>
                </c:pt>
                <c:pt idx="5">
                  <c:v>77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615-4167-98A3-A70111902B32}"/>
            </c:ext>
          </c:extLst>
        </c:ser>
        <c:ser>
          <c:idx val="19"/>
          <c:order val="19"/>
          <c:tx>
            <c:strRef>
              <c:f>'Class 3'!$B$25</c:f>
              <c:strCache>
                <c:ptCount val="1"/>
                <c:pt idx="0">
                  <c:v>Janey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3'!$C$25:$I$25</c:f>
              <c:numCache>
                <c:formatCode>General</c:formatCode>
                <c:ptCount val="7"/>
                <c:pt idx="0">
                  <c:v>72</c:v>
                </c:pt>
                <c:pt idx="1">
                  <c:v>82</c:v>
                </c:pt>
                <c:pt idx="2">
                  <c:v>96</c:v>
                </c:pt>
                <c:pt idx="3">
                  <c:v>95</c:v>
                </c:pt>
                <c:pt idx="4">
                  <c:v>72</c:v>
                </c:pt>
                <c:pt idx="5">
                  <c:v>73</c:v>
                </c:pt>
                <c:pt idx="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615-4167-98A3-A70111902B32}"/>
            </c:ext>
          </c:extLst>
        </c:ser>
        <c:ser>
          <c:idx val="20"/>
          <c:order val="20"/>
          <c:tx>
            <c:strRef>
              <c:f>'Class 3'!$B$26</c:f>
              <c:strCache>
                <c:ptCount val="1"/>
                <c:pt idx="0">
                  <c:v>Cassandra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strRef>
              <c:f>'Class 3'!$C$5:$I$5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3'!$C$26:$I$26</c:f>
              <c:numCache>
                <c:formatCode>General</c:formatCode>
                <c:ptCount val="7"/>
                <c:pt idx="0">
                  <c:v>65</c:v>
                </c:pt>
                <c:pt idx="1">
                  <c:v>63</c:v>
                </c:pt>
                <c:pt idx="2">
                  <c:v>72</c:v>
                </c:pt>
                <c:pt idx="3">
                  <c:v>80</c:v>
                </c:pt>
                <c:pt idx="4">
                  <c:v>58</c:v>
                </c:pt>
                <c:pt idx="5">
                  <c:v>61</c:v>
                </c:pt>
                <c:pt idx="6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615-4167-98A3-A70111902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040527"/>
        <c:axId val="1"/>
      </c:lineChart>
      <c:catAx>
        <c:axId val="761040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040527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379310344827587"/>
          <c:y val="0.89819004524886881"/>
          <c:w val="0.80689655172413788"/>
          <c:h val="9.841628959276017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665365474539807E-2"/>
          <c:y val="8.0678096727897566E-2"/>
          <c:w val="0.88610478821898153"/>
          <c:h val="0.69983558324432082"/>
        </c:manualLayout>
      </c:layout>
      <c:lineChart>
        <c:grouping val="standard"/>
        <c:varyColors val="0"/>
        <c:ser>
          <c:idx val="0"/>
          <c:order val="0"/>
          <c:tx>
            <c:strRef>
              <c:f>'Class 1'!$C$3</c:f>
              <c:strCache>
                <c:ptCount val="1"/>
                <c:pt idx="0">
                  <c:v>Social Science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'Class 1'!$B$6</c:f>
              <c:strCache>
                <c:ptCount val="1"/>
                <c:pt idx="0">
                  <c:v>Karly </c:v>
                </c:pt>
              </c:strCache>
            </c:strRef>
          </c:cat>
          <c:val>
            <c:numRef>
              <c:f>'Class 1'!$C$6:$I$6</c:f>
              <c:numCache>
                <c:formatCode>General</c:formatCode>
                <c:ptCount val="7"/>
                <c:pt idx="0">
                  <c:v>90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E-400E-B4DD-7182A3BB6F3E}"/>
            </c:ext>
          </c:extLst>
        </c:ser>
        <c:ser>
          <c:idx val="1"/>
          <c:order val="1"/>
          <c:tx>
            <c:strRef>
              <c:f>'Class 1'!$K$4</c:f>
              <c:strCache>
                <c:ptCount val="1"/>
                <c:pt idx="0">
                  <c:v>Spelling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'Class 1'!$B$6</c:f>
              <c:strCache>
                <c:ptCount val="1"/>
                <c:pt idx="0">
                  <c:v>Karly </c:v>
                </c:pt>
              </c:strCache>
            </c:strRef>
          </c:cat>
          <c:val>
            <c:numRef>
              <c:f>'Class 1'!$K$6:$Q$6</c:f>
              <c:numCache>
                <c:formatCode>General</c:formatCode>
                <c:ptCount val="7"/>
                <c:pt idx="0">
                  <c:v>95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E-400E-B4DD-7182A3BB6F3E}"/>
            </c:ext>
          </c:extLst>
        </c:ser>
        <c:ser>
          <c:idx val="2"/>
          <c:order val="2"/>
          <c:tx>
            <c:strRef>
              <c:f>'Class 1'!$S$4</c:f>
              <c:strCache>
                <c:ptCount val="1"/>
                <c:pt idx="0">
                  <c:v>Math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'Class 1'!$B$6</c:f>
              <c:strCache>
                <c:ptCount val="1"/>
                <c:pt idx="0">
                  <c:v>Karly </c:v>
                </c:pt>
              </c:strCache>
            </c:strRef>
          </c:cat>
          <c:val>
            <c:numRef>
              <c:f>'Class 1'!$S$6:$Y$6</c:f>
              <c:numCache>
                <c:formatCode>General</c:formatCode>
                <c:ptCount val="7"/>
                <c:pt idx="0">
                  <c:v>83</c:v>
                </c:pt>
                <c:pt idx="1">
                  <c:v>83</c:v>
                </c:pt>
                <c:pt idx="2">
                  <c:v>88</c:v>
                </c:pt>
                <c:pt idx="3">
                  <c:v>93</c:v>
                </c:pt>
                <c:pt idx="4">
                  <c:v>93</c:v>
                </c:pt>
                <c:pt idx="5">
                  <c:v>93</c:v>
                </c:pt>
                <c:pt idx="6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E-400E-B4DD-7182A3BB6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72351"/>
        <c:axId val="1"/>
      </c:lineChart>
      <c:catAx>
        <c:axId val="875472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7547235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616607099115467"/>
          <c:y val="0.8124096717018523"/>
          <c:w val="0.47891854029930669"/>
          <c:h val="6.75444530745188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288499261865106E-2"/>
          <c:y val="8.0376564350012808E-2"/>
          <c:w val="0.88658227502369591"/>
          <c:h val="0.70095841002918147"/>
        </c:manualLayout>
      </c:layout>
      <c:lineChart>
        <c:grouping val="standard"/>
        <c:varyColors val="0"/>
        <c:ser>
          <c:idx val="0"/>
          <c:order val="0"/>
          <c:tx>
            <c:strRef>
              <c:f>'Class 1'!$C$3</c:f>
              <c:strCache>
                <c:ptCount val="1"/>
                <c:pt idx="0">
                  <c:v>Social Science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'Class 1'!$B$21</c:f>
              <c:strCache>
                <c:ptCount val="1"/>
                <c:pt idx="0">
                  <c:v>Nicholas</c:v>
                </c:pt>
              </c:strCache>
            </c:strRef>
          </c:cat>
          <c:val>
            <c:numRef>
              <c:f>'Class 1'!$C$21:$I$21</c:f>
              <c:numCache>
                <c:formatCode>General</c:formatCode>
                <c:ptCount val="7"/>
                <c:pt idx="0">
                  <c:v>80</c:v>
                </c:pt>
                <c:pt idx="1">
                  <c:v>82</c:v>
                </c:pt>
                <c:pt idx="2">
                  <c:v>86</c:v>
                </c:pt>
                <c:pt idx="3">
                  <c:v>92</c:v>
                </c:pt>
                <c:pt idx="4">
                  <c:v>80</c:v>
                </c:pt>
                <c:pt idx="5">
                  <c:v>75</c:v>
                </c:pt>
                <c:pt idx="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9-4398-A25B-A8CF4C7331E9}"/>
            </c:ext>
          </c:extLst>
        </c:ser>
        <c:ser>
          <c:idx val="1"/>
          <c:order val="1"/>
          <c:tx>
            <c:strRef>
              <c:f>'Class 1'!$K$4</c:f>
              <c:strCache>
                <c:ptCount val="1"/>
                <c:pt idx="0">
                  <c:v>Spelling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'Class 1'!$B$21</c:f>
              <c:strCache>
                <c:ptCount val="1"/>
                <c:pt idx="0">
                  <c:v>Nicholas</c:v>
                </c:pt>
              </c:strCache>
            </c:strRef>
          </c:cat>
          <c:val>
            <c:numRef>
              <c:f>'Class 1'!$K$21:$Q$21</c:f>
              <c:numCache>
                <c:formatCode>General</c:formatCode>
                <c:ptCount val="7"/>
                <c:pt idx="0">
                  <c:v>77</c:v>
                </c:pt>
                <c:pt idx="1">
                  <c:v>79</c:v>
                </c:pt>
                <c:pt idx="2">
                  <c:v>83</c:v>
                </c:pt>
                <c:pt idx="3">
                  <c:v>89</c:v>
                </c:pt>
                <c:pt idx="4">
                  <c:v>77</c:v>
                </c:pt>
                <c:pt idx="5">
                  <c:v>72</c:v>
                </c:pt>
                <c:pt idx="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9-4398-A25B-A8CF4C7331E9}"/>
            </c:ext>
          </c:extLst>
        </c:ser>
        <c:ser>
          <c:idx val="2"/>
          <c:order val="2"/>
          <c:tx>
            <c:strRef>
              <c:f>'Class 1'!$S$4</c:f>
              <c:strCache>
                <c:ptCount val="1"/>
                <c:pt idx="0">
                  <c:v>Math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'Class 1'!$B$21</c:f>
              <c:strCache>
                <c:ptCount val="1"/>
                <c:pt idx="0">
                  <c:v>Nicholas</c:v>
                </c:pt>
              </c:strCache>
            </c:strRef>
          </c:cat>
          <c:val>
            <c:numRef>
              <c:f>'Class 1'!$S$21:$Y$21</c:f>
              <c:numCache>
                <c:formatCode>General</c:formatCode>
                <c:ptCount val="7"/>
                <c:pt idx="0">
                  <c:v>73</c:v>
                </c:pt>
                <c:pt idx="1">
                  <c:v>75</c:v>
                </c:pt>
                <c:pt idx="2">
                  <c:v>79</c:v>
                </c:pt>
                <c:pt idx="3">
                  <c:v>85</c:v>
                </c:pt>
                <c:pt idx="4">
                  <c:v>73</c:v>
                </c:pt>
                <c:pt idx="5">
                  <c:v>68</c:v>
                </c:pt>
                <c:pt idx="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69-4398-A25B-A8CF4C73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71151"/>
        <c:axId val="1"/>
      </c:lineChart>
      <c:catAx>
        <c:axId val="875471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7547115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11824337136406"/>
          <c:y val="0.81311175563385052"/>
          <c:w val="0.47690563135160896"/>
          <c:h val="6.729200736280142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4088316061561E-2"/>
          <c:y val="8.1786938227885381E-2"/>
          <c:w val="0.90044780365967891"/>
          <c:h val="0.69890656303829324"/>
        </c:manualLayout>
      </c:layout>
      <c:lineChart>
        <c:grouping val="standard"/>
        <c:varyColors val="0"/>
        <c:ser>
          <c:idx val="0"/>
          <c:order val="0"/>
          <c:tx>
            <c:strRef>
              <c:f>'Class 1'!$C$3</c:f>
              <c:strCache>
                <c:ptCount val="1"/>
                <c:pt idx="0">
                  <c:v>Social Science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'Class 1'!$B$16</c:f>
              <c:strCache>
                <c:ptCount val="1"/>
                <c:pt idx="0">
                  <c:v>Renee</c:v>
                </c:pt>
              </c:strCache>
            </c:strRef>
          </c:cat>
          <c:val>
            <c:numRef>
              <c:f>'Class 1'!$C$16:$I$16</c:f>
              <c:numCache>
                <c:formatCode>General</c:formatCode>
                <c:ptCount val="7"/>
                <c:pt idx="0">
                  <c:v>58</c:v>
                </c:pt>
                <c:pt idx="1">
                  <c:v>55</c:v>
                </c:pt>
                <c:pt idx="2">
                  <c:v>54</c:v>
                </c:pt>
                <c:pt idx="3">
                  <c:v>57</c:v>
                </c:pt>
                <c:pt idx="4">
                  <c:v>58</c:v>
                </c:pt>
                <c:pt idx="5">
                  <c:v>60</c:v>
                </c:pt>
                <c:pt idx="6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4-420C-9B55-696BBE3A28BC}"/>
            </c:ext>
          </c:extLst>
        </c:ser>
        <c:ser>
          <c:idx val="1"/>
          <c:order val="1"/>
          <c:tx>
            <c:strRef>
              <c:f>'Class 1'!$K$4</c:f>
              <c:strCache>
                <c:ptCount val="1"/>
                <c:pt idx="0">
                  <c:v>Spelling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'Class 1'!$B$16</c:f>
              <c:strCache>
                <c:ptCount val="1"/>
                <c:pt idx="0">
                  <c:v>Renee</c:v>
                </c:pt>
              </c:strCache>
            </c:strRef>
          </c:cat>
          <c:val>
            <c:numRef>
              <c:f>'Class 1'!$K$16:$Q$16</c:f>
              <c:numCache>
                <c:formatCode>General</c:formatCode>
                <c:ptCount val="7"/>
                <c:pt idx="0">
                  <c:v>40</c:v>
                </c:pt>
                <c:pt idx="1">
                  <c:v>42</c:v>
                </c:pt>
                <c:pt idx="2">
                  <c:v>45</c:v>
                </c:pt>
                <c:pt idx="3">
                  <c:v>54</c:v>
                </c:pt>
                <c:pt idx="4">
                  <c:v>44</c:v>
                </c:pt>
                <c:pt idx="5">
                  <c:v>43</c:v>
                </c:pt>
                <c:pt idx="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4-420C-9B55-696BBE3A28BC}"/>
            </c:ext>
          </c:extLst>
        </c:ser>
        <c:ser>
          <c:idx val="2"/>
          <c:order val="2"/>
          <c:tx>
            <c:strRef>
              <c:f>'Class 1'!$S$4</c:f>
              <c:strCache>
                <c:ptCount val="1"/>
                <c:pt idx="0">
                  <c:v>Math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'Class 1'!$B$16</c:f>
              <c:strCache>
                <c:ptCount val="1"/>
                <c:pt idx="0">
                  <c:v>Renee</c:v>
                </c:pt>
              </c:strCache>
            </c:strRef>
          </c:cat>
          <c:val>
            <c:numRef>
              <c:f>'Class 1'!$S$16:$Y$16</c:f>
              <c:numCache>
                <c:formatCode>General</c:formatCode>
                <c:ptCount val="7"/>
                <c:pt idx="0">
                  <c:v>60</c:v>
                </c:pt>
                <c:pt idx="1">
                  <c:v>45</c:v>
                </c:pt>
                <c:pt idx="2">
                  <c:v>65</c:v>
                </c:pt>
                <c:pt idx="3">
                  <c:v>50</c:v>
                </c:pt>
                <c:pt idx="4">
                  <c:v>51</c:v>
                </c:pt>
                <c:pt idx="5">
                  <c:v>53</c:v>
                </c:pt>
                <c:pt idx="6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D4-420C-9B55-696BBE3A2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72751"/>
        <c:axId val="1"/>
      </c:lineChart>
      <c:catAx>
        <c:axId val="875472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7547275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344396465709409"/>
          <c:y val="0.8122930001269526"/>
          <c:w val="0.47590605688183263"/>
          <c:h val="6.691658582281531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914992117688246E-2"/>
          <c:y val="7.9632181320010056E-2"/>
          <c:w val="0.88705780371528986"/>
          <c:h val="0.70187434233218171"/>
        </c:manualLayout>
      </c:layout>
      <c:lineChart>
        <c:grouping val="standard"/>
        <c:varyColors val="0"/>
        <c:ser>
          <c:idx val="0"/>
          <c:order val="0"/>
          <c:tx>
            <c:strRef>
              <c:f>'Class 1'!$C$3</c:f>
              <c:strCache>
                <c:ptCount val="1"/>
                <c:pt idx="0">
                  <c:v>Social Science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'Class 1'!$B$20</c:f>
              <c:strCache>
                <c:ptCount val="1"/>
                <c:pt idx="0">
                  <c:v>William</c:v>
                </c:pt>
              </c:strCache>
            </c:strRef>
          </c:cat>
          <c:val>
            <c:numRef>
              <c:f>'Class 1'!$C$20:$I$20</c:f>
              <c:numCache>
                <c:formatCode>General</c:formatCode>
                <c:ptCount val="7"/>
                <c:pt idx="0">
                  <c:v>75</c:v>
                </c:pt>
                <c:pt idx="1">
                  <c:v>88</c:v>
                </c:pt>
                <c:pt idx="2">
                  <c:v>91</c:v>
                </c:pt>
                <c:pt idx="3">
                  <c:v>82</c:v>
                </c:pt>
                <c:pt idx="4">
                  <c:v>73</c:v>
                </c:pt>
                <c:pt idx="5">
                  <c:v>74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F-4FEE-BBBF-52C98C808914}"/>
            </c:ext>
          </c:extLst>
        </c:ser>
        <c:ser>
          <c:idx val="1"/>
          <c:order val="1"/>
          <c:tx>
            <c:strRef>
              <c:f>'Class 1'!$K$4</c:f>
              <c:strCache>
                <c:ptCount val="1"/>
                <c:pt idx="0">
                  <c:v>Spelling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'Class 1'!$B$20</c:f>
              <c:strCache>
                <c:ptCount val="1"/>
                <c:pt idx="0">
                  <c:v>William</c:v>
                </c:pt>
              </c:strCache>
            </c:strRef>
          </c:cat>
          <c:val>
            <c:numRef>
              <c:f>'Class 1'!$K$20:$Q$20</c:f>
              <c:numCache>
                <c:formatCode>General</c:formatCode>
                <c:ptCount val="7"/>
                <c:pt idx="0">
                  <c:v>83</c:v>
                </c:pt>
                <c:pt idx="1">
                  <c:v>85</c:v>
                </c:pt>
                <c:pt idx="2">
                  <c:v>81</c:v>
                </c:pt>
                <c:pt idx="3">
                  <c:v>84</c:v>
                </c:pt>
                <c:pt idx="4">
                  <c:v>88</c:v>
                </c:pt>
                <c:pt idx="5">
                  <c:v>85</c:v>
                </c:pt>
                <c:pt idx="6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F-4FEE-BBBF-52C98C808914}"/>
            </c:ext>
          </c:extLst>
        </c:ser>
        <c:ser>
          <c:idx val="2"/>
          <c:order val="2"/>
          <c:tx>
            <c:strRef>
              <c:f>'Class 1'!$S$4</c:f>
              <c:strCache>
                <c:ptCount val="1"/>
                <c:pt idx="0">
                  <c:v>Math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'Class 1'!$B$20</c:f>
              <c:strCache>
                <c:ptCount val="1"/>
                <c:pt idx="0">
                  <c:v>William</c:v>
                </c:pt>
              </c:strCache>
            </c:strRef>
          </c:cat>
          <c:val>
            <c:numRef>
              <c:f>'Class 1'!$S$20:$Y$20</c:f>
              <c:numCache>
                <c:formatCode>General</c:formatCode>
                <c:ptCount val="7"/>
                <c:pt idx="0">
                  <c:v>78</c:v>
                </c:pt>
                <c:pt idx="1">
                  <c:v>79</c:v>
                </c:pt>
                <c:pt idx="2">
                  <c:v>69</c:v>
                </c:pt>
                <c:pt idx="3">
                  <c:v>72</c:v>
                </c:pt>
                <c:pt idx="4">
                  <c:v>66</c:v>
                </c:pt>
                <c:pt idx="5">
                  <c:v>80</c:v>
                </c:pt>
                <c:pt idx="6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CF-4FEE-BBBF-52C98C808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69951"/>
        <c:axId val="1"/>
      </c:lineChart>
      <c:catAx>
        <c:axId val="875469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7546995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142874773572882"/>
          <c:y val="0.81298901394149803"/>
          <c:w val="0.47491066378153485"/>
          <c:h val="6.666880296558981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r>
              <a:rPr lang="en-GB"/>
              <a:t>Final Grade</a:t>
            </a:r>
          </a:p>
        </c:rich>
      </c:tx>
      <c:layout>
        <c:manualLayout>
          <c:xMode val="edge"/>
          <c:yMode val="edge"/>
          <c:x val="0.45111111111111113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037037037037039E-2"/>
          <c:y val="0.12418300653594772"/>
          <c:w val="0.93333333333333335"/>
          <c:h val="0.72331154684095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'Class 1'!$B$40:$B$60</c:f>
              <c:strCache>
                <c:ptCount val="21"/>
                <c:pt idx="0">
                  <c:v>Karly</c:v>
                </c:pt>
                <c:pt idx="1">
                  <c:v>Darwin</c:v>
                </c:pt>
                <c:pt idx="2">
                  <c:v>Micheal</c:v>
                </c:pt>
                <c:pt idx="3">
                  <c:v>Dameon</c:v>
                </c:pt>
                <c:pt idx="4">
                  <c:v>Jessica</c:v>
                </c:pt>
                <c:pt idx="5">
                  <c:v>Rachel</c:v>
                </c:pt>
                <c:pt idx="6">
                  <c:v>Tiffany</c:v>
                </c:pt>
                <c:pt idx="7">
                  <c:v>Kaci Lynn</c:v>
                </c:pt>
                <c:pt idx="8">
                  <c:v>Staci Lee</c:v>
                </c:pt>
                <c:pt idx="9">
                  <c:v>Heidi</c:v>
                </c:pt>
                <c:pt idx="10">
                  <c:v>Renee</c:v>
                </c:pt>
                <c:pt idx="11">
                  <c:v>Brooke</c:v>
                </c:pt>
                <c:pt idx="12">
                  <c:v>Kevin</c:v>
                </c:pt>
                <c:pt idx="13">
                  <c:v>Cory</c:v>
                </c:pt>
                <c:pt idx="14">
                  <c:v>William</c:v>
                </c:pt>
                <c:pt idx="15">
                  <c:v>Nicholas</c:v>
                </c:pt>
                <c:pt idx="16">
                  <c:v>Seth</c:v>
                </c:pt>
                <c:pt idx="17">
                  <c:v>Anastacia</c:v>
                </c:pt>
                <c:pt idx="18">
                  <c:v>Xavier</c:v>
                </c:pt>
                <c:pt idx="19">
                  <c:v>Janey</c:v>
                </c:pt>
                <c:pt idx="20">
                  <c:v>Cassandra</c:v>
                </c:pt>
              </c:strCache>
            </c:strRef>
          </c:cat>
          <c:val>
            <c:numRef>
              <c:f>'Class 1'!$C$40:$C$60</c:f>
              <c:numCache>
                <c:formatCode>General</c:formatCode>
                <c:ptCount val="21"/>
                <c:pt idx="0">
                  <c:v>97.25</c:v>
                </c:pt>
                <c:pt idx="1">
                  <c:v>79.7</c:v>
                </c:pt>
                <c:pt idx="2">
                  <c:v>75.75</c:v>
                </c:pt>
                <c:pt idx="3">
                  <c:v>78.900000000000006</c:v>
                </c:pt>
                <c:pt idx="4">
                  <c:v>91.4</c:v>
                </c:pt>
                <c:pt idx="5">
                  <c:v>89.5</c:v>
                </c:pt>
                <c:pt idx="6">
                  <c:v>85.7</c:v>
                </c:pt>
                <c:pt idx="7">
                  <c:v>96.5</c:v>
                </c:pt>
                <c:pt idx="8">
                  <c:v>96.2</c:v>
                </c:pt>
                <c:pt idx="9">
                  <c:v>77.2</c:v>
                </c:pt>
                <c:pt idx="10">
                  <c:v>57.399999999999991</c:v>
                </c:pt>
                <c:pt idx="11">
                  <c:v>88.5</c:v>
                </c:pt>
                <c:pt idx="12">
                  <c:v>85.2</c:v>
                </c:pt>
                <c:pt idx="13">
                  <c:v>90</c:v>
                </c:pt>
                <c:pt idx="14">
                  <c:v>82.95</c:v>
                </c:pt>
                <c:pt idx="15">
                  <c:v>79.349999999999994</c:v>
                </c:pt>
                <c:pt idx="16">
                  <c:v>88.500000000000014</c:v>
                </c:pt>
                <c:pt idx="17">
                  <c:v>80.05</c:v>
                </c:pt>
                <c:pt idx="18">
                  <c:v>92.600000000000009</c:v>
                </c:pt>
                <c:pt idx="19">
                  <c:v>86.4</c:v>
                </c:pt>
                <c:pt idx="20">
                  <c:v>71.600000000000009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5-4F5F-A326-354FC1481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5470351"/>
        <c:axId val="1"/>
      </c:barChart>
      <c:catAx>
        <c:axId val="875470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547035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r>
              <a:rPr lang="en-GB"/>
              <a:t>Pre-Test</a:t>
            </a:r>
          </a:p>
        </c:rich>
      </c:tx>
      <c:layout>
        <c:manualLayout>
          <c:xMode val="edge"/>
          <c:yMode val="edge"/>
          <c:x val="0.43973881425911904"/>
          <c:y val="3.62915573877664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5144945360188E-2"/>
          <c:y val="0.21170075142863734"/>
          <c:w val="0.88521834410908817"/>
          <c:h val="0.508081803428729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'Class 1'!$B$6:$B$26</c:f>
              <c:strCache>
                <c:ptCount val="21"/>
                <c:pt idx="0">
                  <c:v>Karly </c:v>
                </c:pt>
                <c:pt idx="1">
                  <c:v>Darwin</c:v>
                </c:pt>
                <c:pt idx="2">
                  <c:v>Micheal </c:v>
                </c:pt>
                <c:pt idx="3">
                  <c:v>Dameon</c:v>
                </c:pt>
                <c:pt idx="4">
                  <c:v>Jessica</c:v>
                </c:pt>
                <c:pt idx="5">
                  <c:v>Rachel</c:v>
                </c:pt>
                <c:pt idx="6">
                  <c:v>Tiffany</c:v>
                </c:pt>
                <c:pt idx="7">
                  <c:v>Kaci Lynn</c:v>
                </c:pt>
                <c:pt idx="8">
                  <c:v>Staci Lee</c:v>
                </c:pt>
                <c:pt idx="9">
                  <c:v>Heidi</c:v>
                </c:pt>
                <c:pt idx="10">
                  <c:v>Renee</c:v>
                </c:pt>
                <c:pt idx="11">
                  <c:v>Brooke</c:v>
                </c:pt>
                <c:pt idx="12">
                  <c:v>Kevin</c:v>
                </c:pt>
                <c:pt idx="13">
                  <c:v>Cory</c:v>
                </c:pt>
                <c:pt idx="14">
                  <c:v>William</c:v>
                </c:pt>
                <c:pt idx="15">
                  <c:v>Nicholas</c:v>
                </c:pt>
                <c:pt idx="16">
                  <c:v>Seth</c:v>
                </c:pt>
                <c:pt idx="17">
                  <c:v>Anastacia</c:v>
                </c:pt>
                <c:pt idx="18">
                  <c:v>Xavier</c:v>
                </c:pt>
                <c:pt idx="19">
                  <c:v>Janey</c:v>
                </c:pt>
                <c:pt idx="20">
                  <c:v>Cassandra</c:v>
                </c:pt>
              </c:strCache>
            </c:strRef>
          </c:cat>
          <c:val>
            <c:numRef>
              <c:f>'Class 1'!$C$6:$C$26</c:f>
              <c:numCache>
                <c:formatCode>General</c:formatCode>
                <c:ptCount val="21"/>
                <c:pt idx="0">
                  <c:v>90</c:v>
                </c:pt>
                <c:pt idx="1">
                  <c:v>91</c:v>
                </c:pt>
                <c:pt idx="2">
                  <c:v>87</c:v>
                </c:pt>
                <c:pt idx="3">
                  <c:v>78</c:v>
                </c:pt>
                <c:pt idx="4">
                  <c:v>85</c:v>
                </c:pt>
                <c:pt idx="5">
                  <c:v>89</c:v>
                </c:pt>
                <c:pt idx="6">
                  <c:v>75</c:v>
                </c:pt>
                <c:pt idx="7">
                  <c:v>81</c:v>
                </c:pt>
                <c:pt idx="8">
                  <c:v>85</c:v>
                </c:pt>
                <c:pt idx="9">
                  <c:v>89</c:v>
                </c:pt>
                <c:pt idx="10">
                  <c:v>58</c:v>
                </c:pt>
                <c:pt idx="11">
                  <c:v>64</c:v>
                </c:pt>
                <c:pt idx="12">
                  <c:v>63</c:v>
                </c:pt>
                <c:pt idx="13">
                  <c:v>88</c:v>
                </c:pt>
                <c:pt idx="14">
                  <c:v>75</c:v>
                </c:pt>
                <c:pt idx="15">
                  <c:v>80</c:v>
                </c:pt>
                <c:pt idx="16">
                  <c:v>89</c:v>
                </c:pt>
                <c:pt idx="17">
                  <c:v>86</c:v>
                </c:pt>
                <c:pt idx="18">
                  <c:v>89</c:v>
                </c:pt>
                <c:pt idx="19">
                  <c:v>82</c:v>
                </c:pt>
                <c:pt idx="2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6-4884-9F1E-5B57845BD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203087"/>
        <c:axId val="1"/>
      </c:barChart>
      <c:catAx>
        <c:axId val="87420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420308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r>
              <a:rPr lang="en-GB"/>
              <a:t>Quiz 1</a:t>
            </a:r>
          </a:p>
        </c:rich>
      </c:tx>
      <c:layout>
        <c:manualLayout>
          <c:xMode val="edge"/>
          <c:yMode val="edge"/>
          <c:x val="0.45581281791349937"/>
          <c:y val="3.6145840878731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5144945360188E-2"/>
          <c:y val="0.21085073845926441"/>
          <c:w val="0.88521834410908817"/>
          <c:h val="0.510057976844315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'Class 1'!$B$6:$B$26</c:f>
              <c:strCache>
                <c:ptCount val="21"/>
                <c:pt idx="0">
                  <c:v>Karly </c:v>
                </c:pt>
                <c:pt idx="1">
                  <c:v>Darwin</c:v>
                </c:pt>
                <c:pt idx="2">
                  <c:v>Micheal </c:v>
                </c:pt>
                <c:pt idx="3">
                  <c:v>Dameon</c:v>
                </c:pt>
                <c:pt idx="4">
                  <c:v>Jessica</c:v>
                </c:pt>
                <c:pt idx="5">
                  <c:v>Rachel</c:v>
                </c:pt>
                <c:pt idx="6">
                  <c:v>Tiffany</c:v>
                </c:pt>
                <c:pt idx="7">
                  <c:v>Kaci Lynn</c:v>
                </c:pt>
                <c:pt idx="8">
                  <c:v>Staci Lee</c:v>
                </c:pt>
                <c:pt idx="9">
                  <c:v>Heidi</c:v>
                </c:pt>
                <c:pt idx="10">
                  <c:v>Renee</c:v>
                </c:pt>
                <c:pt idx="11">
                  <c:v>Brooke</c:v>
                </c:pt>
                <c:pt idx="12">
                  <c:v>Kevin</c:v>
                </c:pt>
                <c:pt idx="13">
                  <c:v>Cory</c:v>
                </c:pt>
                <c:pt idx="14">
                  <c:v>William</c:v>
                </c:pt>
                <c:pt idx="15">
                  <c:v>Nicholas</c:v>
                </c:pt>
                <c:pt idx="16">
                  <c:v>Seth</c:v>
                </c:pt>
                <c:pt idx="17">
                  <c:v>Anastacia</c:v>
                </c:pt>
                <c:pt idx="18">
                  <c:v>Xavier</c:v>
                </c:pt>
                <c:pt idx="19">
                  <c:v>Janey</c:v>
                </c:pt>
                <c:pt idx="20">
                  <c:v>Cassandra</c:v>
                </c:pt>
              </c:strCache>
            </c:strRef>
          </c:cat>
          <c:val>
            <c:numRef>
              <c:f>'Class 1'!$D$6:$D$26</c:f>
              <c:numCache>
                <c:formatCode>General</c:formatCode>
                <c:ptCount val="21"/>
                <c:pt idx="0">
                  <c:v>90</c:v>
                </c:pt>
                <c:pt idx="1">
                  <c:v>67</c:v>
                </c:pt>
                <c:pt idx="2">
                  <c:v>58</c:v>
                </c:pt>
                <c:pt idx="3">
                  <c:v>65</c:v>
                </c:pt>
                <c:pt idx="4">
                  <c:v>87</c:v>
                </c:pt>
                <c:pt idx="5">
                  <c:v>95</c:v>
                </c:pt>
                <c:pt idx="6">
                  <c:v>83</c:v>
                </c:pt>
                <c:pt idx="7">
                  <c:v>96</c:v>
                </c:pt>
                <c:pt idx="8">
                  <c:v>95</c:v>
                </c:pt>
                <c:pt idx="9">
                  <c:v>72</c:v>
                </c:pt>
                <c:pt idx="10">
                  <c:v>55</c:v>
                </c:pt>
                <c:pt idx="11">
                  <c:v>97</c:v>
                </c:pt>
                <c:pt idx="12">
                  <c:v>83</c:v>
                </c:pt>
                <c:pt idx="13">
                  <c:v>88</c:v>
                </c:pt>
                <c:pt idx="14">
                  <c:v>88</c:v>
                </c:pt>
                <c:pt idx="15">
                  <c:v>82</c:v>
                </c:pt>
                <c:pt idx="16">
                  <c:v>82</c:v>
                </c:pt>
                <c:pt idx="17">
                  <c:v>87</c:v>
                </c:pt>
                <c:pt idx="18">
                  <c:v>93</c:v>
                </c:pt>
                <c:pt idx="19">
                  <c:v>82</c:v>
                </c:pt>
                <c:pt idx="2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3-443A-8492-B16DFDC67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203887"/>
        <c:axId val="1"/>
      </c:barChart>
      <c:catAx>
        <c:axId val="87420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420388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r>
              <a:rPr lang="en-GB"/>
              <a:t>Written Report </a:t>
            </a:r>
          </a:p>
        </c:rich>
      </c:tx>
      <c:layout>
        <c:manualLayout>
          <c:xMode val="edge"/>
          <c:yMode val="edge"/>
          <c:x val="0.3949612326504881"/>
          <c:y val="3.60011316273674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5144945360188E-2"/>
          <c:y val="0.2100066011596434"/>
          <c:w val="0.88521834410908817"/>
          <c:h val="0.512016094255892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'Class 1'!$B$6:$B$26</c:f>
              <c:strCache>
                <c:ptCount val="21"/>
                <c:pt idx="0">
                  <c:v>Karly </c:v>
                </c:pt>
                <c:pt idx="1">
                  <c:v>Darwin</c:v>
                </c:pt>
                <c:pt idx="2">
                  <c:v>Micheal </c:v>
                </c:pt>
                <c:pt idx="3">
                  <c:v>Dameon</c:v>
                </c:pt>
                <c:pt idx="4">
                  <c:v>Jessica</c:v>
                </c:pt>
                <c:pt idx="5">
                  <c:v>Rachel</c:v>
                </c:pt>
                <c:pt idx="6">
                  <c:v>Tiffany</c:v>
                </c:pt>
                <c:pt idx="7">
                  <c:v>Kaci Lynn</c:v>
                </c:pt>
                <c:pt idx="8">
                  <c:v>Staci Lee</c:v>
                </c:pt>
                <c:pt idx="9">
                  <c:v>Heidi</c:v>
                </c:pt>
                <c:pt idx="10">
                  <c:v>Renee</c:v>
                </c:pt>
                <c:pt idx="11">
                  <c:v>Brooke</c:v>
                </c:pt>
                <c:pt idx="12">
                  <c:v>Kevin</c:v>
                </c:pt>
                <c:pt idx="13">
                  <c:v>Cory</c:v>
                </c:pt>
                <c:pt idx="14">
                  <c:v>William</c:v>
                </c:pt>
                <c:pt idx="15">
                  <c:v>Nicholas</c:v>
                </c:pt>
                <c:pt idx="16">
                  <c:v>Seth</c:v>
                </c:pt>
                <c:pt idx="17">
                  <c:v>Anastacia</c:v>
                </c:pt>
                <c:pt idx="18">
                  <c:v>Xavier</c:v>
                </c:pt>
                <c:pt idx="19">
                  <c:v>Janey</c:v>
                </c:pt>
                <c:pt idx="20">
                  <c:v>Cassandra</c:v>
                </c:pt>
              </c:strCache>
            </c:strRef>
          </c:cat>
          <c:val>
            <c:numRef>
              <c:f>'Class 1'!$E$6:$E$26</c:f>
              <c:numCache>
                <c:formatCode>General</c:formatCode>
                <c:ptCount val="21"/>
                <c:pt idx="0">
                  <c:v>95</c:v>
                </c:pt>
                <c:pt idx="1">
                  <c:v>72</c:v>
                </c:pt>
                <c:pt idx="2">
                  <c:v>65</c:v>
                </c:pt>
                <c:pt idx="3">
                  <c:v>68</c:v>
                </c:pt>
                <c:pt idx="4">
                  <c:v>89</c:v>
                </c:pt>
                <c:pt idx="5">
                  <c:v>78</c:v>
                </c:pt>
                <c:pt idx="6">
                  <c:v>89</c:v>
                </c:pt>
                <c:pt idx="7">
                  <c:v>97</c:v>
                </c:pt>
                <c:pt idx="8">
                  <c:v>96</c:v>
                </c:pt>
                <c:pt idx="9">
                  <c:v>74</c:v>
                </c:pt>
                <c:pt idx="10">
                  <c:v>54</c:v>
                </c:pt>
                <c:pt idx="11">
                  <c:v>89</c:v>
                </c:pt>
                <c:pt idx="12">
                  <c:v>85</c:v>
                </c:pt>
                <c:pt idx="13">
                  <c:v>87</c:v>
                </c:pt>
                <c:pt idx="14">
                  <c:v>91</c:v>
                </c:pt>
                <c:pt idx="15">
                  <c:v>86</c:v>
                </c:pt>
                <c:pt idx="16">
                  <c:v>65</c:v>
                </c:pt>
                <c:pt idx="17">
                  <c:v>78</c:v>
                </c:pt>
                <c:pt idx="18">
                  <c:v>92</c:v>
                </c:pt>
                <c:pt idx="19">
                  <c:v>86</c:v>
                </c:pt>
                <c:pt idx="2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F-4F4A-9767-DF8549727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202687"/>
        <c:axId val="1"/>
      </c:barChart>
      <c:catAx>
        <c:axId val="874202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420268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r>
              <a:rPr lang="en-GB"/>
              <a:t>Mid-Term</a:t>
            </a:r>
          </a:p>
        </c:rich>
      </c:tx>
      <c:layout>
        <c:manualLayout>
          <c:xMode val="edge"/>
          <c:yMode val="edge"/>
          <c:x val="0.42710923995924877"/>
          <c:y val="3.62915573877664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5144945360188E-2"/>
          <c:y val="0.21170075142863734"/>
          <c:w val="0.88521834410908817"/>
          <c:h val="0.508081803428729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'Class 1'!$B$6:$B$26</c:f>
              <c:strCache>
                <c:ptCount val="21"/>
                <c:pt idx="0">
                  <c:v>Karly </c:v>
                </c:pt>
                <c:pt idx="1">
                  <c:v>Darwin</c:v>
                </c:pt>
                <c:pt idx="2">
                  <c:v>Micheal </c:v>
                </c:pt>
                <c:pt idx="3">
                  <c:v>Dameon</c:v>
                </c:pt>
                <c:pt idx="4">
                  <c:v>Jessica</c:v>
                </c:pt>
                <c:pt idx="5">
                  <c:v>Rachel</c:v>
                </c:pt>
                <c:pt idx="6">
                  <c:v>Tiffany</c:v>
                </c:pt>
                <c:pt idx="7">
                  <c:v>Kaci Lynn</c:v>
                </c:pt>
                <c:pt idx="8">
                  <c:v>Staci Lee</c:v>
                </c:pt>
                <c:pt idx="9">
                  <c:v>Heidi</c:v>
                </c:pt>
                <c:pt idx="10">
                  <c:v>Renee</c:v>
                </c:pt>
                <c:pt idx="11">
                  <c:v>Brooke</c:v>
                </c:pt>
                <c:pt idx="12">
                  <c:v>Kevin</c:v>
                </c:pt>
                <c:pt idx="13">
                  <c:v>Cory</c:v>
                </c:pt>
                <c:pt idx="14">
                  <c:v>William</c:v>
                </c:pt>
                <c:pt idx="15">
                  <c:v>Nicholas</c:v>
                </c:pt>
                <c:pt idx="16">
                  <c:v>Seth</c:v>
                </c:pt>
                <c:pt idx="17">
                  <c:v>Anastacia</c:v>
                </c:pt>
                <c:pt idx="18">
                  <c:v>Xavier</c:v>
                </c:pt>
                <c:pt idx="19">
                  <c:v>Janey</c:v>
                </c:pt>
                <c:pt idx="20">
                  <c:v>Cassandra</c:v>
                </c:pt>
              </c:strCache>
            </c:strRef>
          </c:cat>
          <c:val>
            <c:numRef>
              <c:f>'Class 1'!$F$6:$F$26</c:f>
              <c:numCache>
                <c:formatCode>General</c:formatCode>
                <c:ptCount val="21"/>
                <c:pt idx="0">
                  <c:v>100</c:v>
                </c:pt>
                <c:pt idx="1">
                  <c:v>75</c:v>
                </c:pt>
                <c:pt idx="2">
                  <c:v>72</c:v>
                </c:pt>
                <c:pt idx="3">
                  <c:v>75</c:v>
                </c:pt>
                <c:pt idx="4">
                  <c:v>91</c:v>
                </c:pt>
                <c:pt idx="5">
                  <c:v>89</c:v>
                </c:pt>
                <c:pt idx="6">
                  <c:v>85</c:v>
                </c:pt>
                <c:pt idx="7">
                  <c:v>99</c:v>
                </c:pt>
                <c:pt idx="8">
                  <c:v>98</c:v>
                </c:pt>
                <c:pt idx="9">
                  <c:v>75</c:v>
                </c:pt>
                <c:pt idx="10">
                  <c:v>57</c:v>
                </c:pt>
                <c:pt idx="11">
                  <c:v>95</c:v>
                </c:pt>
                <c:pt idx="12">
                  <c:v>89</c:v>
                </c:pt>
                <c:pt idx="13">
                  <c:v>95</c:v>
                </c:pt>
                <c:pt idx="14">
                  <c:v>82</c:v>
                </c:pt>
                <c:pt idx="15">
                  <c:v>92</c:v>
                </c:pt>
                <c:pt idx="16">
                  <c:v>95</c:v>
                </c:pt>
                <c:pt idx="17">
                  <c:v>75</c:v>
                </c:pt>
                <c:pt idx="18">
                  <c:v>92</c:v>
                </c:pt>
                <c:pt idx="19">
                  <c:v>85</c:v>
                </c:pt>
                <c:pt idx="2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E-4881-B578-FE82CAB1A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203487"/>
        <c:axId val="1"/>
      </c:barChart>
      <c:catAx>
        <c:axId val="874203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420348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r>
              <a:rPr lang="en-GB"/>
              <a:t>Quiz 2</a:t>
            </a:r>
          </a:p>
        </c:rich>
      </c:tx>
      <c:layout>
        <c:manualLayout>
          <c:xMode val="edge"/>
          <c:yMode val="edge"/>
          <c:x val="0.45351653167715933"/>
          <c:y val="3.60011316273674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5144945360188E-2"/>
          <c:y val="0.2100066011596434"/>
          <c:w val="0.88521834410908817"/>
          <c:h val="0.512016094255892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'Class 1'!$B$6:$B$26</c:f>
              <c:strCache>
                <c:ptCount val="21"/>
                <c:pt idx="0">
                  <c:v>Karly </c:v>
                </c:pt>
                <c:pt idx="1">
                  <c:v>Darwin</c:v>
                </c:pt>
                <c:pt idx="2">
                  <c:v>Micheal </c:v>
                </c:pt>
                <c:pt idx="3">
                  <c:v>Dameon</c:v>
                </c:pt>
                <c:pt idx="4">
                  <c:v>Jessica</c:v>
                </c:pt>
                <c:pt idx="5">
                  <c:v>Rachel</c:v>
                </c:pt>
                <c:pt idx="6">
                  <c:v>Tiffany</c:v>
                </c:pt>
                <c:pt idx="7">
                  <c:v>Kaci Lynn</c:v>
                </c:pt>
                <c:pt idx="8">
                  <c:v>Staci Lee</c:v>
                </c:pt>
                <c:pt idx="9">
                  <c:v>Heidi</c:v>
                </c:pt>
                <c:pt idx="10">
                  <c:v>Renee</c:v>
                </c:pt>
                <c:pt idx="11">
                  <c:v>Brooke</c:v>
                </c:pt>
                <c:pt idx="12">
                  <c:v>Kevin</c:v>
                </c:pt>
                <c:pt idx="13">
                  <c:v>Cory</c:v>
                </c:pt>
                <c:pt idx="14">
                  <c:v>William</c:v>
                </c:pt>
                <c:pt idx="15">
                  <c:v>Nicholas</c:v>
                </c:pt>
                <c:pt idx="16">
                  <c:v>Seth</c:v>
                </c:pt>
                <c:pt idx="17">
                  <c:v>Anastacia</c:v>
                </c:pt>
                <c:pt idx="18">
                  <c:v>Xavier</c:v>
                </c:pt>
                <c:pt idx="19">
                  <c:v>Janey</c:v>
                </c:pt>
                <c:pt idx="20">
                  <c:v>Cassandra</c:v>
                </c:pt>
              </c:strCache>
            </c:strRef>
          </c:cat>
          <c:val>
            <c:numRef>
              <c:f>'Class 1'!$G$6:$G$26</c:f>
              <c:numCache>
                <c:formatCode>General</c:formatCode>
                <c:ptCount val="21"/>
                <c:pt idx="0">
                  <c:v>100</c:v>
                </c:pt>
                <c:pt idx="1">
                  <c:v>78</c:v>
                </c:pt>
                <c:pt idx="2">
                  <c:v>78</c:v>
                </c:pt>
                <c:pt idx="3">
                  <c:v>81</c:v>
                </c:pt>
                <c:pt idx="4">
                  <c:v>90</c:v>
                </c:pt>
                <c:pt idx="5">
                  <c:v>94</c:v>
                </c:pt>
                <c:pt idx="6">
                  <c:v>83</c:v>
                </c:pt>
                <c:pt idx="7">
                  <c:v>96</c:v>
                </c:pt>
                <c:pt idx="8">
                  <c:v>97</c:v>
                </c:pt>
                <c:pt idx="9">
                  <c:v>74</c:v>
                </c:pt>
                <c:pt idx="10">
                  <c:v>58</c:v>
                </c:pt>
                <c:pt idx="11">
                  <c:v>88</c:v>
                </c:pt>
                <c:pt idx="12">
                  <c:v>88</c:v>
                </c:pt>
                <c:pt idx="13">
                  <c:v>84</c:v>
                </c:pt>
                <c:pt idx="14">
                  <c:v>73</c:v>
                </c:pt>
                <c:pt idx="15">
                  <c:v>80</c:v>
                </c:pt>
                <c:pt idx="16">
                  <c:v>92</c:v>
                </c:pt>
                <c:pt idx="17">
                  <c:v>80</c:v>
                </c:pt>
                <c:pt idx="18">
                  <c:v>94</c:v>
                </c:pt>
                <c:pt idx="19">
                  <c:v>87</c:v>
                </c:pt>
                <c:pt idx="20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7-4FDC-ADEC-D779788DC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953663"/>
        <c:axId val="1"/>
      </c:barChart>
      <c:catAx>
        <c:axId val="876953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36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r>
              <a:rPr lang="en-GB"/>
              <a:t>Oral Report 2</a:t>
            </a:r>
          </a:p>
        </c:rich>
      </c:tx>
      <c:layout>
        <c:manualLayout>
          <c:xMode val="edge"/>
          <c:yMode val="edge"/>
          <c:x val="0.40644266383218836"/>
          <c:y val="3.6145840878731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85144945360188E-2"/>
          <c:y val="0.21085073845926441"/>
          <c:w val="0.88521834410908817"/>
          <c:h val="0.510057976844315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'Class 1'!$B$6:$B$26</c:f>
              <c:strCache>
                <c:ptCount val="21"/>
                <c:pt idx="0">
                  <c:v>Karly </c:v>
                </c:pt>
                <c:pt idx="1">
                  <c:v>Darwin</c:v>
                </c:pt>
                <c:pt idx="2">
                  <c:v>Micheal </c:v>
                </c:pt>
                <c:pt idx="3">
                  <c:v>Dameon</c:v>
                </c:pt>
                <c:pt idx="4">
                  <c:v>Jessica</c:v>
                </c:pt>
                <c:pt idx="5">
                  <c:v>Rachel</c:v>
                </c:pt>
                <c:pt idx="6">
                  <c:v>Tiffany</c:v>
                </c:pt>
                <c:pt idx="7">
                  <c:v>Kaci Lynn</c:v>
                </c:pt>
                <c:pt idx="8">
                  <c:v>Staci Lee</c:v>
                </c:pt>
                <c:pt idx="9">
                  <c:v>Heidi</c:v>
                </c:pt>
                <c:pt idx="10">
                  <c:v>Renee</c:v>
                </c:pt>
                <c:pt idx="11">
                  <c:v>Brooke</c:v>
                </c:pt>
                <c:pt idx="12">
                  <c:v>Kevin</c:v>
                </c:pt>
                <c:pt idx="13">
                  <c:v>Cory</c:v>
                </c:pt>
                <c:pt idx="14">
                  <c:v>William</c:v>
                </c:pt>
                <c:pt idx="15">
                  <c:v>Nicholas</c:v>
                </c:pt>
                <c:pt idx="16">
                  <c:v>Seth</c:v>
                </c:pt>
                <c:pt idx="17">
                  <c:v>Anastacia</c:v>
                </c:pt>
                <c:pt idx="18">
                  <c:v>Xavier</c:v>
                </c:pt>
                <c:pt idx="19">
                  <c:v>Janey</c:v>
                </c:pt>
                <c:pt idx="20">
                  <c:v>Cassandra</c:v>
                </c:pt>
              </c:strCache>
            </c:strRef>
          </c:cat>
          <c:val>
            <c:numRef>
              <c:f>'Class 1'!$H$6:$H$26</c:f>
              <c:numCache>
                <c:formatCode>General</c:formatCode>
                <c:ptCount val="21"/>
                <c:pt idx="0">
                  <c:v>100</c:v>
                </c:pt>
                <c:pt idx="1">
                  <c:v>82</c:v>
                </c:pt>
                <c:pt idx="2">
                  <c:v>82</c:v>
                </c:pt>
                <c:pt idx="3">
                  <c:v>86</c:v>
                </c:pt>
                <c:pt idx="4">
                  <c:v>95</c:v>
                </c:pt>
                <c:pt idx="5">
                  <c:v>88</c:v>
                </c:pt>
                <c:pt idx="6">
                  <c:v>87</c:v>
                </c:pt>
                <c:pt idx="7">
                  <c:v>99</c:v>
                </c:pt>
                <c:pt idx="8">
                  <c:v>98</c:v>
                </c:pt>
                <c:pt idx="9">
                  <c:v>76</c:v>
                </c:pt>
                <c:pt idx="10">
                  <c:v>60</c:v>
                </c:pt>
                <c:pt idx="11">
                  <c:v>87</c:v>
                </c:pt>
                <c:pt idx="12">
                  <c:v>87</c:v>
                </c:pt>
                <c:pt idx="13">
                  <c:v>85</c:v>
                </c:pt>
                <c:pt idx="14">
                  <c:v>74</c:v>
                </c:pt>
                <c:pt idx="15">
                  <c:v>75</c:v>
                </c:pt>
                <c:pt idx="16">
                  <c:v>95</c:v>
                </c:pt>
                <c:pt idx="17">
                  <c:v>79</c:v>
                </c:pt>
                <c:pt idx="18">
                  <c:v>92</c:v>
                </c:pt>
                <c:pt idx="19">
                  <c:v>88</c:v>
                </c:pt>
                <c:pt idx="20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0-4EC2-911D-D8ED5756C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954063"/>
        <c:axId val="1"/>
      </c:barChart>
      <c:catAx>
        <c:axId val="876954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40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r>
              <a:rPr lang="en-GB"/>
              <a:t>Final</a:t>
            </a:r>
          </a:p>
        </c:rich>
      </c:tx>
      <c:layout>
        <c:manualLayout>
          <c:xMode val="edge"/>
          <c:yMode val="edge"/>
          <c:x val="0.46270167662251949"/>
          <c:y val="3.60011316273674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555163217261841E-2"/>
          <c:y val="0.2100066011596434"/>
          <c:w val="0.88751463034542821"/>
          <c:h val="0.512016094255892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'Class 1'!$B$6:$B$26</c:f>
              <c:strCache>
                <c:ptCount val="21"/>
                <c:pt idx="0">
                  <c:v>Karly </c:v>
                </c:pt>
                <c:pt idx="1">
                  <c:v>Darwin</c:v>
                </c:pt>
                <c:pt idx="2">
                  <c:v>Micheal </c:v>
                </c:pt>
                <c:pt idx="3">
                  <c:v>Dameon</c:v>
                </c:pt>
                <c:pt idx="4">
                  <c:v>Jessica</c:v>
                </c:pt>
                <c:pt idx="5">
                  <c:v>Rachel</c:v>
                </c:pt>
                <c:pt idx="6">
                  <c:v>Tiffany</c:v>
                </c:pt>
                <c:pt idx="7">
                  <c:v>Kaci Lynn</c:v>
                </c:pt>
                <c:pt idx="8">
                  <c:v>Staci Lee</c:v>
                </c:pt>
                <c:pt idx="9">
                  <c:v>Heidi</c:v>
                </c:pt>
                <c:pt idx="10">
                  <c:v>Renee</c:v>
                </c:pt>
                <c:pt idx="11">
                  <c:v>Brooke</c:v>
                </c:pt>
                <c:pt idx="12">
                  <c:v>Kevin</c:v>
                </c:pt>
                <c:pt idx="13">
                  <c:v>Cory</c:v>
                </c:pt>
                <c:pt idx="14">
                  <c:v>William</c:v>
                </c:pt>
                <c:pt idx="15">
                  <c:v>Nicholas</c:v>
                </c:pt>
                <c:pt idx="16">
                  <c:v>Seth</c:v>
                </c:pt>
                <c:pt idx="17">
                  <c:v>Anastacia</c:v>
                </c:pt>
                <c:pt idx="18">
                  <c:v>Xavier</c:v>
                </c:pt>
                <c:pt idx="19">
                  <c:v>Janey</c:v>
                </c:pt>
                <c:pt idx="20">
                  <c:v>Cassandra</c:v>
                </c:pt>
              </c:strCache>
            </c:strRef>
          </c:cat>
          <c:val>
            <c:numRef>
              <c:f>'Class 1'!$I$6:$I$26</c:f>
              <c:numCache>
                <c:formatCode>General</c:formatCode>
                <c:ptCount val="21"/>
                <c:pt idx="0">
                  <c:v>100</c:v>
                </c:pt>
                <c:pt idx="1">
                  <c:v>90</c:v>
                </c:pt>
                <c:pt idx="2">
                  <c:v>85</c:v>
                </c:pt>
                <c:pt idx="3">
                  <c:v>92</c:v>
                </c:pt>
                <c:pt idx="4">
                  <c:v>97</c:v>
                </c:pt>
                <c:pt idx="5">
                  <c:v>95</c:v>
                </c:pt>
                <c:pt idx="6">
                  <c:v>91</c:v>
                </c:pt>
                <c:pt idx="7">
                  <c:v>100</c:v>
                </c:pt>
                <c:pt idx="8">
                  <c:v>99</c:v>
                </c:pt>
                <c:pt idx="9">
                  <c:v>81</c:v>
                </c:pt>
                <c:pt idx="10">
                  <c:v>59</c:v>
                </c:pt>
                <c:pt idx="11">
                  <c:v>91</c:v>
                </c:pt>
                <c:pt idx="12">
                  <c:v>91</c:v>
                </c:pt>
                <c:pt idx="13">
                  <c:v>96</c:v>
                </c:pt>
                <c:pt idx="14">
                  <c:v>91</c:v>
                </c:pt>
                <c:pt idx="15">
                  <c:v>63</c:v>
                </c:pt>
                <c:pt idx="16">
                  <c:v>96</c:v>
                </c:pt>
                <c:pt idx="17">
                  <c:v>81</c:v>
                </c:pt>
                <c:pt idx="18">
                  <c:v>95</c:v>
                </c:pt>
                <c:pt idx="19">
                  <c:v>91</c:v>
                </c:pt>
                <c:pt idx="2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C-4245-A1F5-3B2BA0D0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955663"/>
        <c:axId val="1"/>
      </c:barChart>
      <c:catAx>
        <c:axId val="876955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56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344827586206897E-2"/>
          <c:y val="3.8461538461538464E-2"/>
          <c:w val="0.82"/>
          <c:h val="0.88348416289592757"/>
        </c:manualLayout>
      </c:layout>
      <c:lineChart>
        <c:grouping val="standard"/>
        <c:varyColors val="0"/>
        <c:ser>
          <c:idx val="0"/>
          <c:order val="0"/>
          <c:tx>
            <c:strRef>
              <c:f>'Class 1'!$B$9</c:f>
              <c:strCache>
                <c:ptCount val="1"/>
                <c:pt idx="0">
                  <c:v>Dameon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1'!$C$9:$I$9</c:f>
              <c:numCache>
                <c:formatCode>General</c:formatCode>
                <c:ptCount val="7"/>
                <c:pt idx="0">
                  <c:v>78</c:v>
                </c:pt>
                <c:pt idx="1">
                  <c:v>65</c:v>
                </c:pt>
                <c:pt idx="2">
                  <c:v>68</c:v>
                </c:pt>
                <c:pt idx="3">
                  <c:v>75</c:v>
                </c:pt>
                <c:pt idx="4">
                  <c:v>81</c:v>
                </c:pt>
                <c:pt idx="5">
                  <c:v>86</c:v>
                </c:pt>
                <c:pt idx="6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6-4737-92E6-BFFDC2F914B7}"/>
            </c:ext>
          </c:extLst>
        </c:ser>
        <c:ser>
          <c:idx val="1"/>
          <c:order val="1"/>
          <c:tx>
            <c:strRef>
              <c:f>'Class 1'!$B$26</c:f>
              <c:strCache>
                <c:ptCount val="1"/>
                <c:pt idx="0">
                  <c:v>Cassandra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1'!$C$16:$I$16</c:f>
              <c:numCache>
                <c:formatCode>General</c:formatCode>
                <c:ptCount val="7"/>
                <c:pt idx="0">
                  <c:v>58</c:v>
                </c:pt>
                <c:pt idx="1">
                  <c:v>55</c:v>
                </c:pt>
                <c:pt idx="2">
                  <c:v>54</c:v>
                </c:pt>
                <c:pt idx="3">
                  <c:v>57</c:v>
                </c:pt>
                <c:pt idx="4">
                  <c:v>58</c:v>
                </c:pt>
                <c:pt idx="5">
                  <c:v>60</c:v>
                </c:pt>
                <c:pt idx="6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B6-4737-92E6-BFFDC2F914B7}"/>
            </c:ext>
          </c:extLst>
        </c:ser>
        <c:ser>
          <c:idx val="2"/>
          <c:order val="2"/>
          <c:tx>
            <c:strRef>
              <c:f>'Class 1'!$B$16</c:f>
              <c:strCache>
                <c:ptCount val="1"/>
                <c:pt idx="0">
                  <c:v>Renee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'Class 1'!$C$5:$I$5</c:f>
              <c:strCache>
                <c:ptCount val="7"/>
                <c:pt idx="0">
                  <c:v>Pre-Test</c:v>
                </c:pt>
                <c:pt idx="1">
                  <c:v>Quiz 1 </c:v>
                </c:pt>
                <c:pt idx="2">
                  <c:v>Writen Report</c:v>
                </c:pt>
                <c:pt idx="3">
                  <c:v>Mid-Term</c:v>
                </c:pt>
                <c:pt idx="4">
                  <c:v>Quiz 2</c:v>
                </c:pt>
                <c:pt idx="5">
                  <c:v>Oral Report</c:v>
                </c:pt>
                <c:pt idx="6">
                  <c:v>Final</c:v>
                </c:pt>
              </c:strCache>
            </c:strRef>
          </c:cat>
          <c:val>
            <c:numRef>
              <c:f>'Class 1'!$C$26:$I$26</c:f>
              <c:numCache>
                <c:formatCode>General</c:formatCode>
                <c:ptCount val="7"/>
                <c:pt idx="0">
                  <c:v>75</c:v>
                </c:pt>
                <c:pt idx="1">
                  <c:v>63</c:v>
                </c:pt>
                <c:pt idx="2">
                  <c:v>62</c:v>
                </c:pt>
                <c:pt idx="3">
                  <c:v>70</c:v>
                </c:pt>
                <c:pt idx="4">
                  <c:v>73</c:v>
                </c:pt>
                <c:pt idx="5">
                  <c:v>76</c:v>
                </c:pt>
                <c:pt idx="6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B6-4737-92E6-BFFDC2F91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69151"/>
        <c:axId val="1"/>
      </c:lineChart>
      <c:catAx>
        <c:axId val="875469151"/>
        <c:scaling>
          <c:orientation val="minMax"/>
        </c:scaling>
        <c:delete val="0"/>
        <c:axPos val="b"/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546915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137931034482764"/>
          <c:y val="0.42081447963800905"/>
          <c:w val="0.11586206896551725"/>
          <c:h val="0.119909502262443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86206896551724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37931034482759E-2"/>
          <c:y val="0.1255656108597285"/>
          <c:w val="0.87724137931034485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Data'!$A$3</c:f>
              <c:strCache>
                <c:ptCount val="1"/>
                <c:pt idx="0">
                  <c:v>Karly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Data'!$B$2:$H$2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Data'!$B$3:$H$3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9-4855-A732-D2C12BA63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956463"/>
        <c:axId val="1"/>
      </c:lineChart>
      <c:catAx>
        <c:axId val="876956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646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89655172413793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Data'!$A$6</c:f>
              <c:strCache>
                <c:ptCount val="1"/>
                <c:pt idx="0">
                  <c:v>Micheal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Data'!$B$5:$H$5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Data'!$B$6:$H$6</c:f>
              <c:numCache>
                <c:formatCode>General</c:formatCode>
                <c:ptCount val="7"/>
                <c:pt idx="0">
                  <c:v>99</c:v>
                </c:pt>
                <c:pt idx="1">
                  <c:v>58</c:v>
                </c:pt>
                <c:pt idx="2">
                  <c:v>65</c:v>
                </c:pt>
                <c:pt idx="3">
                  <c:v>72</c:v>
                </c:pt>
                <c:pt idx="4">
                  <c:v>78</c:v>
                </c:pt>
                <c:pt idx="5">
                  <c:v>82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A-422A-8F9C-C435B0CB1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954463"/>
        <c:axId val="1"/>
      </c:lineChart>
      <c:catAx>
        <c:axId val="876954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44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758620689655173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Data'!$A$9</c:f>
              <c:strCache>
                <c:ptCount val="1"/>
                <c:pt idx="0">
                  <c:v>Dameon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Data'!$B$8:$H$8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Data'!$B$9:$H$9</c:f>
              <c:numCache>
                <c:formatCode>General</c:formatCode>
                <c:ptCount val="7"/>
                <c:pt idx="0">
                  <c:v>65</c:v>
                </c:pt>
                <c:pt idx="1">
                  <c:v>65</c:v>
                </c:pt>
                <c:pt idx="2">
                  <c:v>68</c:v>
                </c:pt>
                <c:pt idx="3">
                  <c:v>75</c:v>
                </c:pt>
                <c:pt idx="4">
                  <c:v>81</c:v>
                </c:pt>
                <c:pt idx="5">
                  <c:v>86</c:v>
                </c:pt>
                <c:pt idx="6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5-4CD0-89F3-7894A9AF5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71551"/>
        <c:axId val="1"/>
      </c:lineChart>
      <c:catAx>
        <c:axId val="87547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547155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310344827586209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Data'!$A$12</c:f>
              <c:strCache>
                <c:ptCount val="1"/>
                <c:pt idx="0">
                  <c:v>Rachel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Data'!$B$11:$H$11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Data'!$B$12:$H$12</c:f>
              <c:numCache>
                <c:formatCode>General</c:formatCode>
                <c:ptCount val="7"/>
                <c:pt idx="0">
                  <c:v>95</c:v>
                </c:pt>
                <c:pt idx="1">
                  <c:v>95</c:v>
                </c:pt>
                <c:pt idx="2">
                  <c:v>78</c:v>
                </c:pt>
                <c:pt idx="3">
                  <c:v>89</c:v>
                </c:pt>
                <c:pt idx="4">
                  <c:v>94</c:v>
                </c:pt>
                <c:pt idx="5">
                  <c:v>88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8-4E33-AA61-1129934AA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956863"/>
        <c:axId val="1"/>
      </c:lineChart>
      <c:catAx>
        <c:axId val="876956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68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586206896551725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Data'!$A$15</c:f>
              <c:strCache>
                <c:ptCount val="1"/>
                <c:pt idx="0">
                  <c:v>Renee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Data'!$B$14:$H$14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Data'!$B$15:$H$15</c:f>
              <c:numCache>
                <c:formatCode>General</c:formatCode>
                <c:ptCount val="7"/>
                <c:pt idx="0">
                  <c:v>58</c:v>
                </c:pt>
                <c:pt idx="1">
                  <c:v>55</c:v>
                </c:pt>
                <c:pt idx="2">
                  <c:v>54</c:v>
                </c:pt>
                <c:pt idx="3">
                  <c:v>68</c:v>
                </c:pt>
                <c:pt idx="4">
                  <c:v>72</c:v>
                </c:pt>
                <c:pt idx="5">
                  <c:v>73</c:v>
                </c:pt>
                <c:pt idx="6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6-4724-A1C9-85D154F1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955263"/>
        <c:axId val="1"/>
      </c:lineChart>
      <c:catAx>
        <c:axId val="876955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52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310344827586209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Data'!$A$18</c:f>
              <c:strCache>
                <c:ptCount val="1"/>
                <c:pt idx="0">
                  <c:v>Brooke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Data'!$B$17:$H$17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Data'!$B$18:$H$18</c:f>
              <c:numCache>
                <c:formatCode>General</c:formatCode>
                <c:ptCount val="7"/>
                <c:pt idx="0">
                  <c:v>87</c:v>
                </c:pt>
                <c:pt idx="1">
                  <c:v>97</c:v>
                </c:pt>
                <c:pt idx="2">
                  <c:v>89</c:v>
                </c:pt>
                <c:pt idx="3">
                  <c:v>95</c:v>
                </c:pt>
                <c:pt idx="4">
                  <c:v>88</c:v>
                </c:pt>
                <c:pt idx="5">
                  <c:v>87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2-4D40-AA87-B6C724DE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173343"/>
        <c:axId val="1"/>
      </c:lineChart>
      <c:catAx>
        <c:axId val="78917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789173343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620689655172415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Data'!$A$21</c:f>
              <c:strCache>
                <c:ptCount val="1"/>
                <c:pt idx="0">
                  <c:v>Nicholas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Data'!$B$20:$H$20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Data'!$B$21:$H$21</c:f>
              <c:numCache>
                <c:formatCode>General</c:formatCode>
                <c:ptCount val="7"/>
                <c:pt idx="0">
                  <c:v>80</c:v>
                </c:pt>
                <c:pt idx="1">
                  <c:v>82</c:v>
                </c:pt>
                <c:pt idx="2">
                  <c:v>86</c:v>
                </c:pt>
                <c:pt idx="3">
                  <c:v>92</c:v>
                </c:pt>
                <c:pt idx="4">
                  <c:v>80</c:v>
                </c:pt>
                <c:pt idx="5">
                  <c:v>75</c:v>
                </c:pt>
                <c:pt idx="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A-42B8-95F5-7A1B89AD0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954863"/>
        <c:axId val="1"/>
      </c:lineChart>
      <c:catAx>
        <c:axId val="87695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48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37931034482756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Data'!$A$24</c:f>
              <c:strCache>
                <c:ptCount val="1"/>
                <c:pt idx="0">
                  <c:v>Seth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Data'!$B$23:$H$23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Data'!$B$24:$H$24</c:f>
              <c:numCache>
                <c:formatCode>General</c:formatCode>
                <c:ptCount val="7"/>
                <c:pt idx="0">
                  <c:v>89</c:v>
                </c:pt>
                <c:pt idx="1">
                  <c:v>82</c:v>
                </c:pt>
                <c:pt idx="2">
                  <c:v>65</c:v>
                </c:pt>
                <c:pt idx="3">
                  <c:v>95</c:v>
                </c:pt>
                <c:pt idx="4">
                  <c:v>92</c:v>
                </c:pt>
                <c:pt idx="5">
                  <c:v>95</c:v>
                </c:pt>
                <c:pt idx="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55-4CC1-B674-C348A20CC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957263"/>
        <c:axId val="1"/>
      </c:lineChart>
      <c:catAx>
        <c:axId val="876957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6957263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275862068965518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Data'!$A$27</c:f>
              <c:strCache>
                <c:ptCount val="1"/>
                <c:pt idx="0">
                  <c:v>Anastacia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Data'!$B$26:$H$26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Data'!$B$27:$H$27</c:f>
              <c:numCache>
                <c:formatCode>General</c:formatCode>
                <c:ptCount val="7"/>
                <c:pt idx="0">
                  <c:v>86</c:v>
                </c:pt>
                <c:pt idx="1">
                  <c:v>87</c:v>
                </c:pt>
                <c:pt idx="2">
                  <c:v>78</c:v>
                </c:pt>
                <c:pt idx="3">
                  <c:v>75</c:v>
                </c:pt>
                <c:pt idx="4">
                  <c:v>80</c:v>
                </c:pt>
                <c:pt idx="5">
                  <c:v>79</c:v>
                </c:pt>
                <c:pt idx="6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1-4528-8759-EB70A063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612191"/>
        <c:axId val="1"/>
      </c:lineChart>
      <c:catAx>
        <c:axId val="873612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3612191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068965517241378"/>
          <c:y val="2.03619909502262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255656108597285"/>
          <c:w val="0.94068965517241376"/>
          <c:h val="0.796380090497737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Data'!$A$30</c:f>
              <c:strCache>
                <c:ptCount val="1"/>
                <c:pt idx="0">
                  <c:v>Cassandra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'Chart Data'!$B$29:$H$29</c:f>
              <c:strCache>
                <c:ptCount val="7"/>
                <c:pt idx="0">
                  <c:v>Homework </c:v>
                </c:pt>
                <c:pt idx="1">
                  <c:v>Quiz 1 </c:v>
                </c:pt>
                <c:pt idx="2">
                  <c:v>Book Report 1</c:v>
                </c:pt>
                <c:pt idx="3">
                  <c:v>Mid-Term</c:v>
                </c:pt>
                <c:pt idx="4">
                  <c:v>Quiz 2</c:v>
                </c:pt>
                <c:pt idx="5">
                  <c:v>Book Report 2</c:v>
                </c:pt>
                <c:pt idx="6">
                  <c:v>Final</c:v>
                </c:pt>
              </c:strCache>
            </c:strRef>
          </c:cat>
          <c:val>
            <c:numRef>
              <c:f>'Chart Data'!$B$30:$H$30</c:f>
              <c:numCache>
                <c:formatCode>General</c:formatCode>
                <c:ptCount val="7"/>
                <c:pt idx="0">
                  <c:v>64</c:v>
                </c:pt>
                <c:pt idx="1">
                  <c:v>63</c:v>
                </c:pt>
                <c:pt idx="2">
                  <c:v>62</c:v>
                </c:pt>
                <c:pt idx="3">
                  <c:v>70</c:v>
                </c:pt>
                <c:pt idx="4">
                  <c:v>73</c:v>
                </c:pt>
                <c:pt idx="5">
                  <c:v>76</c:v>
                </c:pt>
                <c:pt idx="6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5-4098-9FC9-1F2DC4C2B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70751"/>
        <c:axId val="1"/>
      </c:lineChart>
      <c:catAx>
        <c:axId val="875470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Georgia"/>
                <a:ea typeface="Georgia"/>
                <a:cs typeface="Georgia"/>
              </a:defRPr>
            </a:pPr>
            <a:endParaRPr lang="en-US"/>
          </a:p>
        </c:txPr>
        <c:crossAx val="87547075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Georgia"/>
          <a:ea typeface="Georgia"/>
          <a:cs typeface="Georgia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7C919-E020-478A-835E-F610692BCA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5E098-9A21-4FFD-A232-EA32B210BA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7895D-DBC9-4155-BE19-3E5A2B8081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7</xdr:col>
      <xdr:colOff>723900</xdr:colOff>
      <xdr:row>21</xdr:row>
      <xdr:rowOff>50800</xdr:rowOff>
    </xdr:to>
    <xdr:graphicFrame macro="">
      <xdr:nvGraphicFramePr>
        <xdr:cNvPr id="13315" name="Chart 3">
          <a:extLst>
            <a:ext uri="{FF2B5EF4-FFF2-40B4-BE49-F238E27FC236}">
              <a16:creationId xmlns:a16="http://schemas.microsoft.com/office/drawing/2014/main" id="{511AB8B5-CE74-4236-94F3-AD83C3354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27</xdr:row>
      <xdr:rowOff>107950</xdr:rowOff>
    </xdr:from>
    <xdr:to>
      <xdr:col>7</xdr:col>
      <xdr:colOff>723900</xdr:colOff>
      <xdr:row>49</xdr:row>
      <xdr:rowOff>12700</xdr:rowOff>
    </xdr:to>
    <xdr:graphicFrame macro="">
      <xdr:nvGraphicFramePr>
        <xdr:cNvPr id="13317" name="Chart 5">
          <a:extLst>
            <a:ext uri="{FF2B5EF4-FFF2-40B4-BE49-F238E27FC236}">
              <a16:creationId xmlns:a16="http://schemas.microsoft.com/office/drawing/2014/main" id="{0679DC8F-2F26-454C-AD3D-FB4FFDE9C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7</xdr:col>
      <xdr:colOff>723900</xdr:colOff>
      <xdr:row>74</xdr:row>
      <xdr:rowOff>82550</xdr:rowOff>
    </xdr:to>
    <xdr:graphicFrame macro="">
      <xdr:nvGraphicFramePr>
        <xdr:cNvPr id="13319" name="Chart 7">
          <a:extLst>
            <a:ext uri="{FF2B5EF4-FFF2-40B4-BE49-F238E27FC236}">
              <a16:creationId xmlns:a16="http://schemas.microsoft.com/office/drawing/2014/main" id="{FEFBAAD3-CBF0-4C6E-8AE8-0414A9F0F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7</xdr:col>
      <xdr:colOff>736600</xdr:colOff>
      <xdr:row>99</xdr:row>
      <xdr:rowOff>95250</xdr:rowOff>
    </xdr:to>
    <xdr:graphicFrame macro="">
      <xdr:nvGraphicFramePr>
        <xdr:cNvPr id="13320" name="Chart 8">
          <a:extLst>
            <a:ext uri="{FF2B5EF4-FFF2-40B4-BE49-F238E27FC236}">
              <a16:creationId xmlns:a16="http://schemas.microsoft.com/office/drawing/2014/main" id="{6003B38C-770B-4A67-A310-3118BA671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5ADAA-2CB9-4740-A698-F43622E202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</xdr:row>
      <xdr:rowOff>12700</xdr:rowOff>
    </xdr:from>
    <xdr:to>
      <xdr:col>9</xdr:col>
      <xdr:colOff>0</xdr:colOff>
      <xdr:row>22</xdr:row>
      <xdr:rowOff>146050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91954336-5D87-4679-9D40-AE0A1044A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30</xdr:row>
      <xdr:rowOff>12700</xdr:rowOff>
    </xdr:from>
    <xdr:to>
      <xdr:col>9</xdr:col>
      <xdr:colOff>0</xdr:colOff>
      <xdr:row>50</xdr:row>
      <xdr:rowOff>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C95AEA52-1B16-4C40-8F8C-868B0D69C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56</xdr:row>
      <xdr:rowOff>0</xdr:rowOff>
    </xdr:from>
    <xdr:to>
      <xdr:col>9</xdr:col>
      <xdr:colOff>0</xdr:colOff>
      <xdr:row>76</xdr:row>
      <xdr:rowOff>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583AA57E-66BB-4914-B706-00A03BAB8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</xdr:colOff>
      <xdr:row>83</xdr:row>
      <xdr:rowOff>12700</xdr:rowOff>
    </xdr:from>
    <xdr:to>
      <xdr:col>9</xdr:col>
      <xdr:colOff>0</xdr:colOff>
      <xdr:row>102</xdr:row>
      <xdr:rowOff>146050</xdr:rowOff>
    </xdr:to>
    <xdr:graphicFrame macro="">
      <xdr:nvGraphicFramePr>
        <xdr:cNvPr id="3076" name="Chart 4">
          <a:extLst>
            <a:ext uri="{FF2B5EF4-FFF2-40B4-BE49-F238E27FC236}">
              <a16:creationId xmlns:a16="http://schemas.microsoft.com/office/drawing/2014/main" id="{D71C021D-34B1-47EA-8897-A3FE1022B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</xdr:colOff>
      <xdr:row>109</xdr:row>
      <xdr:rowOff>0</xdr:rowOff>
    </xdr:from>
    <xdr:to>
      <xdr:col>9</xdr:col>
      <xdr:colOff>0</xdr:colOff>
      <xdr:row>129</xdr:row>
      <xdr:rowOff>0</xdr:rowOff>
    </xdr:to>
    <xdr:graphicFrame macro="">
      <xdr:nvGraphicFramePr>
        <xdr:cNvPr id="3077" name="Chart 5">
          <a:extLst>
            <a:ext uri="{FF2B5EF4-FFF2-40B4-BE49-F238E27FC236}">
              <a16:creationId xmlns:a16="http://schemas.microsoft.com/office/drawing/2014/main" id="{295020C8-8B3A-4505-AD6C-936D059FB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12700</xdr:colOff>
      <xdr:row>136</xdr:row>
      <xdr:rowOff>0</xdr:rowOff>
    </xdr:from>
    <xdr:to>
      <xdr:col>9</xdr:col>
      <xdr:colOff>0</xdr:colOff>
      <xdr:row>155</xdr:row>
      <xdr:rowOff>146050</xdr:rowOff>
    </xdr:to>
    <xdr:graphicFrame macro="">
      <xdr:nvGraphicFramePr>
        <xdr:cNvPr id="3078" name="Chart 6">
          <a:extLst>
            <a:ext uri="{FF2B5EF4-FFF2-40B4-BE49-F238E27FC236}">
              <a16:creationId xmlns:a16="http://schemas.microsoft.com/office/drawing/2014/main" id="{B62BBBBB-CB00-4624-9B30-CE0460D0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</xdr:colOff>
      <xdr:row>162</xdr:row>
      <xdr:rowOff>0</xdr:rowOff>
    </xdr:from>
    <xdr:to>
      <xdr:col>9</xdr:col>
      <xdr:colOff>0</xdr:colOff>
      <xdr:row>182</xdr:row>
      <xdr:rowOff>0</xdr:rowOff>
    </xdr:to>
    <xdr:graphicFrame macro="">
      <xdr:nvGraphicFramePr>
        <xdr:cNvPr id="3079" name="Chart 7">
          <a:extLst>
            <a:ext uri="{FF2B5EF4-FFF2-40B4-BE49-F238E27FC236}">
              <a16:creationId xmlns:a16="http://schemas.microsoft.com/office/drawing/2014/main" id="{DDFE196F-C8D4-47E1-A671-CC1147239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BC6D9-7541-4558-9604-33EB4BB5CF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6C0F2-2ED7-44A7-85D8-EF8977AADF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5CCE8-41A1-4859-91DE-29F7EFCBA0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9066F-E059-48D5-8A25-258D592C05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B09A2-0F36-4419-BE7E-DCA4AA3498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D2611-2BD8-42F1-A880-CBC1208B0B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9B3B3-2C01-444F-9CB0-1E6B85BDC5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BA28AD-8AAE-41B7-8A84-2A140D4372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BFF07-3880-4FE7-9247-3E58230831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0AA15-EC2F-41B3-BAF0-748B7F7818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B070A-E891-4BC5-853E-48BC9CE0A5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Q20" sqref="Q20"/>
    </sheetView>
  </sheetViews>
  <sheetFormatPr defaultColWidth="8.81640625" defaultRowHeight="12.5"/>
  <cols>
    <col min="1" max="2" width="13.36328125" customWidth="1"/>
    <col min="3" max="3" width="13" bestFit="1" customWidth="1"/>
    <col min="4" max="4" width="8.6328125" bestFit="1" customWidth="1"/>
    <col min="5" max="5" width="15.81640625" bestFit="1" customWidth="1"/>
    <col min="6" max="6" width="11.36328125" bestFit="1" customWidth="1"/>
    <col min="7" max="7" width="8" bestFit="1" customWidth="1"/>
    <col min="8" max="8" width="15.81640625" bestFit="1" customWidth="1"/>
    <col min="9" max="9" width="6.36328125" bestFit="1" customWidth="1"/>
    <col min="10" max="10" width="12.453125" bestFit="1" customWidth="1"/>
    <col min="11" max="11" width="8.6328125" bestFit="1" customWidth="1"/>
    <col min="12" max="17" width="8.36328125" bestFit="1" customWidth="1"/>
    <col min="18" max="18" width="7.1796875" bestFit="1" customWidth="1"/>
  </cols>
  <sheetData>
    <row r="1" spans="1:25" ht="15.5">
      <c r="A1" s="12"/>
      <c r="B1" s="1"/>
      <c r="C1" s="1"/>
    </row>
    <row r="2" spans="1:25" ht="15.5">
      <c r="A2" s="11"/>
      <c r="B2" s="1"/>
      <c r="C2" s="1"/>
      <c r="D2" s="3"/>
      <c r="E2" s="3"/>
      <c r="F2" s="3"/>
      <c r="G2" s="3"/>
      <c r="H2" s="3"/>
      <c r="I2" s="3"/>
      <c r="J2" s="1"/>
    </row>
    <row r="3" spans="1:25" ht="15.5">
      <c r="B3" s="1"/>
      <c r="C3" s="28" t="s">
        <v>83</v>
      </c>
      <c r="D3" s="3"/>
      <c r="E3" s="3"/>
      <c r="F3" s="3"/>
      <c r="G3" s="3"/>
      <c r="H3" s="3"/>
      <c r="I3" s="3"/>
      <c r="J3" s="1"/>
      <c r="L3" s="3"/>
      <c r="M3" s="3"/>
      <c r="N3" s="3"/>
      <c r="O3" s="3"/>
      <c r="P3" s="3"/>
      <c r="Q3" s="3"/>
    </row>
    <row r="4" spans="1:25" ht="15.5">
      <c r="C4" s="27">
        <v>0.1</v>
      </c>
      <c r="D4" s="27">
        <v>0.1</v>
      </c>
      <c r="E4" s="27">
        <v>0.15</v>
      </c>
      <c r="F4" s="27">
        <v>0.2</v>
      </c>
      <c r="G4" s="27">
        <v>0.1</v>
      </c>
      <c r="H4" s="27">
        <v>0.15</v>
      </c>
      <c r="I4" s="27">
        <v>0.2</v>
      </c>
      <c r="K4" s="28" t="s">
        <v>84</v>
      </c>
      <c r="S4" s="28" t="s">
        <v>92</v>
      </c>
    </row>
    <row r="5" spans="1:25" s="4" customFormat="1" ht="15.5">
      <c r="A5" s="24" t="s">
        <v>21</v>
      </c>
      <c r="B5" s="24" t="s">
        <v>22</v>
      </c>
      <c r="C5" s="24" t="s">
        <v>80</v>
      </c>
      <c r="D5" s="24" t="s">
        <v>56</v>
      </c>
      <c r="E5" s="24" t="s">
        <v>81</v>
      </c>
      <c r="F5" s="24" t="s">
        <v>24</v>
      </c>
      <c r="G5" s="24" t="s">
        <v>57</v>
      </c>
      <c r="H5" s="24" t="s">
        <v>82</v>
      </c>
      <c r="I5" s="24" t="s">
        <v>23</v>
      </c>
      <c r="K5" s="27" t="s">
        <v>85</v>
      </c>
      <c r="L5" s="27" t="s">
        <v>86</v>
      </c>
      <c r="M5" s="27" t="s">
        <v>87</v>
      </c>
      <c r="N5" s="27" t="s">
        <v>88</v>
      </c>
      <c r="O5" s="27" t="s">
        <v>89</v>
      </c>
      <c r="P5" s="27" t="s">
        <v>90</v>
      </c>
      <c r="Q5" s="27" t="s">
        <v>91</v>
      </c>
      <c r="S5" s="27" t="s">
        <v>85</v>
      </c>
      <c r="T5" s="27" t="s">
        <v>86</v>
      </c>
      <c r="U5" s="27" t="s">
        <v>87</v>
      </c>
      <c r="V5" s="27" t="s">
        <v>88</v>
      </c>
      <c r="W5" s="27" t="s">
        <v>89</v>
      </c>
      <c r="X5" s="27" t="s">
        <v>90</v>
      </c>
      <c r="Y5" s="27" t="s">
        <v>91</v>
      </c>
    </row>
    <row r="6" spans="1:25" ht="15.5">
      <c r="A6" s="26" t="s">
        <v>1</v>
      </c>
      <c r="B6" s="26" t="s">
        <v>2</v>
      </c>
      <c r="C6" s="25">
        <v>90</v>
      </c>
      <c r="D6" s="25">
        <v>90</v>
      </c>
      <c r="E6" s="25">
        <v>95</v>
      </c>
      <c r="F6" s="25">
        <v>100</v>
      </c>
      <c r="G6" s="25">
        <v>100</v>
      </c>
      <c r="H6" s="25">
        <v>100</v>
      </c>
      <c r="I6" s="25">
        <v>100</v>
      </c>
      <c r="K6" s="34">
        <v>95</v>
      </c>
      <c r="L6" s="34">
        <v>98</v>
      </c>
      <c r="M6" s="34">
        <v>100</v>
      </c>
      <c r="N6" s="34">
        <v>100</v>
      </c>
      <c r="O6" s="34">
        <v>100</v>
      </c>
      <c r="P6" s="34">
        <v>98</v>
      </c>
      <c r="Q6" s="25">
        <v>99</v>
      </c>
      <c r="S6" s="34">
        <f>C6-7</f>
        <v>83</v>
      </c>
      <c r="T6" s="34">
        <f t="shared" ref="T6:Y6" si="0">D6-7</f>
        <v>83</v>
      </c>
      <c r="U6" s="34">
        <f t="shared" si="0"/>
        <v>88</v>
      </c>
      <c r="V6" s="34">
        <f t="shared" si="0"/>
        <v>93</v>
      </c>
      <c r="W6" s="34">
        <f t="shared" si="0"/>
        <v>93</v>
      </c>
      <c r="X6" s="34">
        <f t="shared" si="0"/>
        <v>93</v>
      </c>
      <c r="Y6" s="34">
        <f t="shared" si="0"/>
        <v>93</v>
      </c>
    </row>
    <row r="7" spans="1:25" ht="15.5">
      <c r="A7" s="26" t="s">
        <v>38</v>
      </c>
      <c r="B7" s="26" t="s">
        <v>39</v>
      </c>
      <c r="C7" s="25">
        <v>91</v>
      </c>
      <c r="D7" s="25">
        <v>67</v>
      </c>
      <c r="E7" s="25">
        <v>72</v>
      </c>
      <c r="F7" s="25">
        <v>75</v>
      </c>
      <c r="G7" s="25">
        <v>78</v>
      </c>
      <c r="H7" s="25">
        <v>82</v>
      </c>
      <c r="I7" s="25">
        <v>90</v>
      </c>
      <c r="K7" s="33">
        <f>C7-3</f>
        <v>88</v>
      </c>
      <c r="L7" s="33">
        <f t="shared" ref="L7:Q7" si="1">D7-3</f>
        <v>64</v>
      </c>
      <c r="M7" s="33">
        <f t="shared" si="1"/>
        <v>69</v>
      </c>
      <c r="N7" s="33">
        <f t="shared" si="1"/>
        <v>72</v>
      </c>
      <c r="O7" s="33">
        <f t="shared" si="1"/>
        <v>75</v>
      </c>
      <c r="P7" s="33">
        <f t="shared" si="1"/>
        <v>79</v>
      </c>
      <c r="Q7" s="33">
        <f t="shared" si="1"/>
        <v>87</v>
      </c>
      <c r="S7" s="34">
        <f t="shared" ref="S7:S26" si="2">C7-7</f>
        <v>84</v>
      </c>
      <c r="T7" s="34">
        <f t="shared" ref="T7:T26" si="3">D7-7</f>
        <v>60</v>
      </c>
      <c r="U7" s="34">
        <f t="shared" ref="U7:U26" si="4">E7-7</f>
        <v>65</v>
      </c>
      <c r="V7" s="34">
        <f t="shared" ref="V7:V26" si="5">F7-7</f>
        <v>68</v>
      </c>
      <c r="W7" s="34">
        <f t="shared" ref="W7:W26" si="6">G7-7</f>
        <v>71</v>
      </c>
      <c r="X7" s="34">
        <f t="shared" ref="X7:X26" si="7">H7-7</f>
        <v>75</v>
      </c>
      <c r="Y7" s="34">
        <f t="shared" ref="Y7:Y26" si="8">I7-7</f>
        <v>83</v>
      </c>
    </row>
    <row r="8" spans="1:25" ht="15.5">
      <c r="A8" s="26" t="s">
        <v>3</v>
      </c>
      <c r="B8" s="26" t="s">
        <v>4</v>
      </c>
      <c r="C8" s="25">
        <v>87</v>
      </c>
      <c r="D8" s="25">
        <v>58</v>
      </c>
      <c r="E8" s="25">
        <v>65</v>
      </c>
      <c r="F8" s="25">
        <v>72</v>
      </c>
      <c r="G8" s="25">
        <v>78</v>
      </c>
      <c r="H8" s="25">
        <v>82</v>
      </c>
      <c r="I8" s="25">
        <v>85</v>
      </c>
      <c r="K8" s="33">
        <f t="shared" ref="K8:K26" si="9">C8-3</f>
        <v>84</v>
      </c>
      <c r="L8" s="33">
        <f t="shared" ref="L8:L26" si="10">D8-3</f>
        <v>55</v>
      </c>
      <c r="M8" s="33">
        <f t="shared" ref="M8:M26" si="11">E8-3</f>
        <v>62</v>
      </c>
      <c r="N8" s="33">
        <f t="shared" ref="N8:N26" si="12">F8-3</f>
        <v>69</v>
      </c>
      <c r="O8" s="33">
        <f t="shared" ref="O8:O26" si="13">G8-3</f>
        <v>75</v>
      </c>
      <c r="P8" s="33">
        <f t="shared" ref="P8:P26" si="14">H8-3</f>
        <v>79</v>
      </c>
      <c r="Q8" s="33">
        <f t="shared" ref="Q8:Q26" si="15">I8-3</f>
        <v>82</v>
      </c>
      <c r="S8" s="34">
        <f t="shared" si="2"/>
        <v>80</v>
      </c>
      <c r="T8" s="34">
        <f t="shared" si="3"/>
        <v>51</v>
      </c>
      <c r="U8" s="34">
        <f t="shared" si="4"/>
        <v>58</v>
      </c>
      <c r="V8" s="34">
        <f t="shared" si="5"/>
        <v>65</v>
      </c>
      <c r="W8" s="34">
        <f t="shared" si="6"/>
        <v>71</v>
      </c>
      <c r="X8" s="34">
        <f t="shared" si="7"/>
        <v>75</v>
      </c>
      <c r="Y8" s="34">
        <f t="shared" si="8"/>
        <v>78</v>
      </c>
    </row>
    <row r="9" spans="1:25" ht="15.5">
      <c r="A9" s="26" t="s">
        <v>39</v>
      </c>
      <c r="B9" s="26" t="s">
        <v>40</v>
      </c>
      <c r="C9" s="25">
        <v>78</v>
      </c>
      <c r="D9" s="25">
        <v>65</v>
      </c>
      <c r="E9" s="25">
        <v>68</v>
      </c>
      <c r="F9" s="25">
        <v>75</v>
      </c>
      <c r="G9" s="25">
        <v>81</v>
      </c>
      <c r="H9" s="25">
        <v>86</v>
      </c>
      <c r="I9" s="25">
        <v>92</v>
      </c>
      <c r="K9" s="33">
        <f t="shared" si="9"/>
        <v>75</v>
      </c>
      <c r="L9" s="33">
        <f t="shared" si="10"/>
        <v>62</v>
      </c>
      <c r="M9" s="33">
        <f t="shared" si="11"/>
        <v>65</v>
      </c>
      <c r="N9" s="33">
        <f t="shared" si="12"/>
        <v>72</v>
      </c>
      <c r="O9" s="33">
        <f t="shared" si="13"/>
        <v>78</v>
      </c>
      <c r="P9" s="33">
        <f t="shared" si="14"/>
        <v>83</v>
      </c>
      <c r="Q9" s="33">
        <f t="shared" si="15"/>
        <v>89</v>
      </c>
      <c r="S9" s="34">
        <f t="shared" si="2"/>
        <v>71</v>
      </c>
      <c r="T9" s="34">
        <f t="shared" si="3"/>
        <v>58</v>
      </c>
      <c r="U9" s="34">
        <f t="shared" si="4"/>
        <v>61</v>
      </c>
      <c r="V9" s="34">
        <f t="shared" si="5"/>
        <v>68</v>
      </c>
      <c r="W9" s="34">
        <f t="shared" si="6"/>
        <v>74</v>
      </c>
      <c r="X9" s="34">
        <f t="shared" si="7"/>
        <v>79</v>
      </c>
      <c r="Y9" s="34">
        <f t="shared" si="8"/>
        <v>85</v>
      </c>
    </row>
    <row r="10" spans="1:25" ht="15.5">
      <c r="A10" s="26" t="s">
        <v>6</v>
      </c>
      <c r="B10" s="26" t="s">
        <v>5</v>
      </c>
      <c r="C10" s="25">
        <v>85</v>
      </c>
      <c r="D10" s="25">
        <v>87</v>
      </c>
      <c r="E10" s="25">
        <v>89</v>
      </c>
      <c r="F10" s="25">
        <v>91</v>
      </c>
      <c r="G10" s="25">
        <v>90</v>
      </c>
      <c r="H10" s="25">
        <v>95</v>
      </c>
      <c r="I10" s="25">
        <v>97</v>
      </c>
      <c r="K10" s="33">
        <f t="shared" si="9"/>
        <v>82</v>
      </c>
      <c r="L10" s="33">
        <f t="shared" si="10"/>
        <v>84</v>
      </c>
      <c r="M10" s="33">
        <f t="shared" si="11"/>
        <v>86</v>
      </c>
      <c r="N10" s="33">
        <f t="shared" si="12"/>
        <v>88</v>
      </c>
      <c r="O10" s="33">
        <f t="shared" si="13"/>
        <v>87</v>
      </c>
      <c r="P10" s="33">
        <f t="shared" si="14"/>
        <v>92</v>
      </c>
      <c r="Q10" s="33">
        <f t="shared" si="15"/>
        <v>94</v>
      </c>
      <c r="S10" s="34">
        <f t="shared" si="2"/>
        <v>78</v>
      </c>
      <c r="T10" s="34">
        <f t="shared" si="3"/>
        <v>80</v>
      </c>
      <c r="U10" s="34">
        <f t="shared" si="4"/>
        <v>82</v>
      </c>
      <c r="V10" s="34">
        <f t="shared" si="5"/>
        <v>84</v>
      </c>
      <c r="W10" s="34">
        <f t="shared" si="6"/>
        <v>83</v>
      </c>
      <c r="X10" s="34">
        <f t="shared" si="7"/>
        <v>88</v>
      </c>
      <c r="Y10" s="34">
        <f t="shared" si="8"/>
        <v>90</v>
      </c>
    </row>
    <row r="11" spans="1:25" ht="15.5">
      <c r="A11" s="26" t="s">
        <v>8</v>
      </c>
      <c r="B11" s="26" t="s">
        <v>7</v>
      </c>
      <c r="C11" s="25">
        <v>89</v>
      </c>
      <c r="D11" s="25">
        <v>95</v>
      </c>
      <c r="E11" s="25">
        <v>78</v>
      </c>
      <c r="F11" s="25">
        <v>89</v>
      </c>
      <c r="G11" s="25">
        <v>94</v>
      </c>
      <c r="H11" s="25">
        <v>88</v>
      </c>
      <c r="I11" s="25">
        <v>95</v>
      </c>
      <c r="K11" s="33">
        <f t="shared" si="9"/>
        <v>86</v>
      </c>
      <c r="L11" s="33">
        <f t="shared" si="10"/>
        <v>92</v>
      </c>
      <c r="M11" s="33">
        <f t="shared" si="11"/>
        <v>75</v>
      </c>
      <c r="N11" s="33">
        <f t="shared" si="12"/>
        <v>86</v>
      </c>
      <c r="O11" s="33">
        <f t="shared" si="13"/>
        <v>91</v>
      </c>
      <c r="P11" s="33">
        <f t="shared" si="14"/>
        <v>85</v>
      </c>
      <c r="Q11" s="33">
        <f t="shared" si="15"/>
        <v>92</v>
      </c>
      <c r="S11" s="34">
        <f t="shared" si="2"/>
        <v>82</v>
      </c>
      <c r="T11" s="34">
        <f t="shared" si="3"/>
        <v>88</v>
      </c>
      <c r="U11" s="34">
        <f t="shared" si="4"/>
        <v>71</v>
      </c>
      <c r="V11" s="34">
        <f t="shared" si="5"/>
        <v>82</v>
      </c>
      <c r="W11" s="34">
        <f t="shared" si="6"/>
        <v>87</v>
      </c>
      <c r="X11" s="34">
        <f t="shared" si="7"/>
        <v>81</v>
      </c>
      <c r="Y11" s="34">
        <f t="shared" si="8"/>
        <v>88</v>
      </c>
    </row>
    <row r="12" spans="1:25" ht="15.5">
      <c r="A12" s="26" t="s">
        <v>41</v>
      </c>
      <c r="B12" s="26" t="s">
        <v>42</v>
      </c>
      <c r="C12" s="25">
        <v>75</v>
      </c>
      <c r="D12" s="25">
        <v>83</v>
      </c>
      <c r="E12" s="25">
        <v>89</v>
      </c>
      <c r="F12" s="25">
        <v>85</v>
      </c>
      <c r="G12" s="25">
        <v>83</v>
      </c>
      <c r="H12" s="25">
        <v>87</v>
      </c>
      <c r="I12" s="25">
        <v>91</v>
      </c>
      <c r="K12" s="33">
        <f t="shared" si="9"/>
        <v>72</v>
      </c>
      <c r="L12" s="33">
        <f t="shared" si="10"/>
        <v>80</v>
      </c>
      <c r="M12" s="33">
        <f t="shared" si="11"/>
        <v>86</v>
      </c>
      <c r="N12" s="33">
        <f t="shared" si="12"/>
        <v>82</v>
      </c>
      <c r="O12" s="33">
        <f t="shared" si="13"/>
        <v>80</v>
      </c>
      <c r="P12" s="33">
        <f t="shared" si="14"/>
        <v>84</v>
      </c>
      <c r="Q12" s="33">
        <f t="shared" si="15"/>
        <v>88</v>
      </c>
      <c r="S12" s="34">
        <f t="shared" si="2"/>
        <v>68</v>
      </c>
      <c r="T12" s="34">
        <f t="shared" si="3"/>
        <v>76</v>
      </c>
      <c r="U12" s="34">
        <f t="shared" si="4"/>
        <v>82</v>
      </c>
      <c r="V12" s="34">
        <f t="shared" si="5"/>
        <v>78</v>
      </c>
      <c r="W12" s="34">
        <f t="shared" si="6"/>
        <v>76</v>
      </c>
      <c r="X12" s="34">
        <f t="shared" si="7"/>
        <v>80</v>
      </c>
      <c r="Y12" s="34">
        <f t="shared" si="8"/>
        <v>84</v>
      </c>
    </row>
    <row r="13" spans="1:25" ht="15.5">
      <c r="A13" s="26" t="s">
        <v>43</v>
      </c>
      <c r="B13" s="26" t="s">
        <v>45</v>
      </c>
      <c r="C13" s="25">
        <v>81</v>
      </c>
      <c r="D13" s="25">
        <v>96</v>
      </c>
      <c r="E13" s="25">
        <v>97</v>
      </c>
      <c r="F13" s="25">
        <v>99</v>
      </c>
      <c r="G13" s="25">
        <v>96</v>
      </c>
      <c r="H13" s="25">
        <v>99</v>
      </c>
      <c r="I13" s="25">
        <v>100</v>
      </c>
      <c r="K13" s="33">
        <f t="shared" si="9"/>
        <v>78</v>
      </c>
      <c r="L13" s="33">
        <f t="shared" si="10"/>
        <v>93</v>
      </c>
      <c r="M13" s="33">
        <f t="shared" si="11"/>
        <v>94</v>
      </c>
      <c r="N13" s="33">
        <f t="shared" si="12"/>
        <v>96</v>
      </c>
      <c r="O13" s="33">
        <f t="shared" si="13"/>
        <v>93</v>
      </c>
      <c r="P13" s="33">
        <f t="shared" si="14"/>
        <v>96</v>
      </c>
      <c r="Q13" s="33">
        <f t="shared" si="15"/>
        <v>97</v>
      </c>
      <c r="S13" s="34">
        <f t="shared" si="2"/>
        <v>74</v>
      </c>
      <c r="T13" s="34">
        <f t="shared" si="3"/>
        <v>89</v>
      </c>
      <c r="U13" s="34">
        <f t="shared" si="4"/>
        <v>90</v>
      </c>
      <c r="V13" s="34">
        <f t="shared" si="5"/>
        <v>92</v>
      </c>
      <c r="W13" s="34">
        <f t="shared" si="6"/>
        <v>89</v>
      </c>
      <c r="X13" s="34">
        <f t="shared" si="7"/>
        <v>92</v>
      </c>
      <c r="Y13" s="34">
        <f t="shared" si="8"/>
        <v>93</v>
      </c>
    </row>
    <row r="14" spans="1:25" ht="15.5">
      <c r="A14" s="26" t="s">
        <v>43</v>
      </c>
      <c r="B14" s="26" t="s">
        <v>44</v>
      </c>
      <c r="C14" s="25">
        <v>85</v>
      </c>
      <c r="D14" s="25">
        <v>95</v>
      </c>
      <c r="E14" s="25">
        <v>96</v>
      </c>
      <c r="F14" s="25">
        <v>98</v>
      </c>
      <c r="G14" s="25">
        <v>97</v>
      </c>
      <c r="H14" s="25">
        <v>98</v>
      </c>
      <c r="I14" s="25">
        <v>99</v>
      </c>
      <c r="K14" s="33">
        <f t="shared" si="9"/>
        <v>82</v>
      </c>
      <c r="L14" s="33">
        <f t="shared" si="10"/>
        <v>92</v>
      </c>
      <c r="M14" s="33">
        <f t="shared" si="11"/>
        <v>93</v>
      </c>
      <c r="N14" s="33">
        <f t="shared" si="12"/>
        <v>95</v>
      </c>
      <c r="O14" s="33">
        <f t="shared" si="13"/>
        <v>94</v>
      </c>
      <c r="P14" s="33">
        <f t="shared" si="14"/>
        <v>95</v>
      </c>
      <c r="Q14" s="33">
        <f t="shared" si="15"/>
        <v>96</v>
      </c>
      <c r="S14" s="34">
        <f t="shared" si="2"/>
        <v>78</v>
      </c>
      <c r="T14" s="34">
        <f t="shared" si="3"/>
        <v>88</v>
      </c>
      <c r="U14" s="34">
        <f t="shared" si="4"/>
        <v>89</v>
      </c>
      <c r="V14" s="34">
        <f t="shared" si="5"/>
        <v>91</v>
      </c>
      <c r="W14" s="34">
        <f t="shared" si="6"/>
        <v>90</v>
      </c>
      <c r="X14" s="34">
        <f t="shared" si="7"/>
        <v>91</v>
      </c>
      <c r="Y14" s="34">
        <f t="shared" si="8"/>
        <v>92</v>
      </c>
    </row>
    <row r="15" spans="1:25" ht="15.5">
      <c r="A15" s="26" t="s">
        <v>46</v>
      </c>
      <c r="B15" s="26" t="s">
        <v>47</v>
      </c>
      <c r="C15" s="25">
        <v>89</v>
      </c>
      <c r="D15" s="25">
        <v>72</v>
      </c>
      <c r="E15" s="25">
        <v>74</v>
      </c>
      <c r="F15" s="25">
        <v>75</v>
      </c>
      <c r="G15" s="25">
        <v>74</v>
      </c>
      <c r="H15" s="25">
        <v>76</v>
      </c>
      <c r="I15" s="25">
        <v>81</v>
      </c>
      <c r="K15" s="33">
        <f t="shared" si="9"/>
        <v>86</v>
      </c>
      <c r="L15" s="33">
        <f t="shared" si="10"/>
        <v>69</v>
      </c>
      <c r="M15" s="33">
        <f t="shared" si="11"/>
        <v>71</v>
      </c>
      <c r="N15" s="33">
        <f t="shared" si="12"/>
        <v>72</v>
      </c>
      <c r="O15" s="33">
        <f t="shared" si="13"/>
        <v>71</v>
      </c>
      <c r="P15" s="33">
        <f t="shared" si="14"/>
        <v>73</v>
      </c>
      <c r="Q15" s="33">
        <f t="shared" si="15"/>
        <v>78</v>
      </c>
      <c r="S15" s="34">
        <f t="shared" si="2"/>
        <v>82</v>
      </c>
      <c r="T15" s="34">
        <f t="shared" si="3"/>
        <v>65</v>
      </c>
      <c r="U15" s="34">
        <f t="shared" si="4"/>
        <v>67</v>
      </c>
      <c r="V15" s="34">
        <f t="shared" si="5"/>
        <v>68</v>
      </c>
      <c r="W15" s="34">
        <f t="shared" si="6"/>
        <v>67</v>
      </c>
      <c r="X15" s="34">
        <f t="shared" si="7"/>
        <v>69</v>
      </c>
      <c r="Y15" s="34">
        <f t="shared" si="8"/>
        <v>74</v>
      </c>
    </row>
    <row r="16" spans="1:25" ht="15.5">
      <c r="A16" s="26" t="s">
        <v>37</v>
      </c>
      <c r="B16" s="26" t="s">
        <v>36</v>
      </c>
      <c r="C16" s="25">
        <v>58</v>
      </c>
      <c r="D16" s="25">
        <v>55</v>
      </c>
      <c r="E16" s="25">
        <v>54</v>
      </c>
      <c r="F16" s="25">
        <v>57</v>
      </c>
      <c r="G16" s="25">
        <v>58</v>
      </c>
      <c r="H16" s="25">
        <v>60</v>
      </c>
      <c r="I16" s="25">
        <v>59</v>
      </c>
      <c r="K16" s="33">
        <v>40</v>
      </c>
      <c r="L16" s="33">
        <v>42</v>
      </c>
      <c r="M16" s="33">
        <v>45</v>
      </c>
      <c r="N16" s="33">
        <f t="shared" si="12"/>
        <v>54</v>
      </c>
      <c r="O16" s="33">
        <v>44</v>
      </c>
      <c r="P16" s="33">
        <v>43</v>
      </c>
      <c r="Q16" s="33">
        <f t="shared" si="15"/>
        <v>56</v>
      </c>
      <c r="S16" s="34">
        <v>60</v>
      </c>
      <c r="T16" s="34">
        <v>45</v>
      </c>
      <c r="U16" s="34">
        <v>65</v>
      </c>
      <c r="V16" s="34">
        <f t="shared" si="5"/>
        <v>50</v>
      </c>
      <c r="W16" s="34">
        <f t="shared" si="6"/>
        <v>51</v>
      </c>
      <c r="X16" s="34">
        <f t="shared" si="7"/>
        <v>53</v>
      </c>
      <c r="Y16" s="34">
        <f t="shared" si="8"/>
        <v>52</v>
      </c>
    </row>
    <row r="17" spans="1:25" ht="15.5">
      <c r="A17" s="26" t="s">
        <v>10</v>
      </c>
      <c r="B17" s="26" t="s">
        <v>9</v>
      </c>
      <c r="C17" s="25">
        <v>64</v>
      </c>
      <c r="D17" s="25">
        <v>97</v>
      </c>
      <c r="E17" s="25">
        <v>89</v>
      </c>
      <c r="F17" s="25">
        <v>95</v>
      </c>
      <c r="G17" s="25">
        <v>88</v>
      </c>
      <c r="H17" s="25">
        <v>87</v>
      </c>
      <c r="I17" s="25">
        <v>91</v>
      </c>
      <c r="K17" s="33">
        <f t="shared" si="9"/>
        <v>61</v>
      </c>
      <c r="L17" s="33">
        <f t="shared" si="10"/>
        <v>94</v>
      </c>
      <c r="M17" s="33">
        <f t="shared" si="11"/>
        <v>86</v>
      </c>
      <c r="N17" s="33">
        <f t="shared" si="12"/>
        <v>92</v>
      </c>
      <c r="O17" s="33">
        <f t="shared" si="13"/>
        <v>85</v>
      </c>
      <c r="P17" s="33">
        <f t="shared" si="14"/>
        <v>84</v>
      </c>
      <c r="Q17" s="33">
        <f t="shared" si="15"/>
        <v>88</v>
      </c>
      <c r="S17" s="34">
        <f t="shared" si="2"/>
        <v>57</v>
      </c>
      <c r="T17" s="34">
        <f t="shared" si="3"/>
        <v>90</v>
      </c>
      <c r="U17" s="34">
        <f t="shared" si="4"/>
        <v>82</v>
      </c>
      <c r="V17" s="34">
        <f t="shared" si="5"/>
        <v>88</v>
      </c>
      <c r="W17" s="34">
        <f t="shared" si="6"/>
        <v>81</v>
      </c>
      <c r="X17" s="34">
        <f t="shared" si="7"/>
        <v>80</v>
      </c>
      <c r="Y17" s="34">
        <f t="shared" si="8"/>
        <v>84</v>
      </c>
    </row>
    <row r="18" spans="1:25" ht="15.5">
      <c r="A18" s="26" t="s">
        <v>48</v>
      </c>
      <c r="B18" s="26" t="s">
        <v>49</v>
      </c>
      <c r="C18" s="25">
        <v>63</v>
      </c>
      <c r="D18" s="25">
        <v>83</v>
      </c>
      <c r="E18" s="25">
        <v>85</v>
      </c>
      <c r="F18" s="25">
        <v>89</v>
      </c>
      <c r="G18" s="25">
        <v>88</v>
      </c>
      <c r="H18" s="25">
        <v>87</v>
      </c>
      <c r="I18" s="25">
        <v>91</v>
      </c>
      <c r="K18" s="33">
        <f t="shared" si="9"/>
        <v>60</v>
      </c>
      <c r="L18" s="33">
        <f t="shared" si="10"/>
        <v>80</v>
      </c>
      <c r="M18" s="33">
        <f t="shared" si="11"/>
        <v>82</v>
      </c>
      <c r="N18" s="33">
        <f t="shared" si="12"/>
        <v>86</v>
      </c>
      <c r="O18" s="33">
        <f t="shared" si="13"/>
        <v>85</v>
      </c>
      <c r="P18" s="33">
        <f t="shared" si="14"/>
        <v>84</v>
      </c>
      <c r="Q18" s="33">
        <f t="shared" si="15"/>
        <v>88</v>
      </c>
      <c r="S18" s="34">
        <f t="shared" si="2"/>
        <v>56</v>
      </c>
      <c r="T18" s="34">
        <f t="shared" si="3"/>
        <v>76</v>
      </c>
      <c r="U18" s="34">
        <f t="shared" si="4"/>
        <v>78</v>
      </c>
      <c r="V18" s="34">
        <f t="shared" si="5"/>
        <v>82</v>
      </c>
      <c r="W18" s="34">
        <f t="shared" si="6"/>
        <v>81</v>
      </c>
      <c r="X18" s="34">
        <f t="shared" si="7"/>
        <v>80</v>
      </c>
      <c r="Y18" s="34">
        <f t="shared" si="8"/>
        <v>84</v>
      </c>
    </row>
    <row r="19" spans="1:25" ht="15.5">
      <c r="A19" s="26" t="s">
        <v>12</v>
      </c>
      <c r="B19" s="26" t="s">
        <v>11</v>
      </c>
      <c r="C19" s="25">
        <v>88</v>
      </c>
      <c r="D19" s="25">
        <v>88</v>
      </c>
      <c r="E19" s="25">
        <v>87</v>
      </c>
      <c r="F19" s="25">
        <v>95</v>
      </c>
      <c r="G19" s="25">
        <v>84</v>
      </c>
      <c r="H19" s="25">
        <v>85</v>
      </c>
      <c r="I19" s="25">
        <v>96</v>
      </c>
      <c r="K19" s="33">
        <f t="shared" si="9"/>
        <v>85</v>
      </c>
      <c r="L19" s="33">
        <f t="shared" si="10"/>
        <v>85</v>
      </c>
      <c r="M19" s="33">
        <f t="shared" si="11"/>
        <v>84</v>
      </c>
      <c r="N19" s="33">
        <f t="shared" si="12"/>
        <v>92</v>
      </c>
      <c r="O19" s="33">
        <f t="shared" si="13"/>
        <v>81</v>
      </c>
      <c r="P19" s="33">
        <f t="shared" si="14"/>
        <v>82</v>
      </c>
      <c r="Q19" s="33">
        <f t="shared" si="15"/>
        <v>93</v>
      </c>
      <c r="S19" s="34">
        <f t="shared" si="2"/>
        <v>81</v>
      </c>
      <c r="T19" s="34">
        <f t="shared" si="3"/>
        <v>81</v>
      </c>
      <c r="U19" s="34">
        <f t="shared" si="4"/>
        <v>80</v>
      </c>
      <c r="V19" s="34">
        <f t="shared" si="5"/>
        <v>88</v>
      </c>
      <c r="W19" s="34">
        <f t="shared" si="6"/>
        <v>77</v>
      </c>
      <c r="X19" s="34">
        <f t="shared" si="7"/>
        <v>78</v>
      </c>
      <c r="Y19" s="34">
        <f t="shared" si="8"/>
        <v>89</v>
      </c>
    </row>
    <row r="20" spans="1:25" ht="15.5">
      <c r="A20" s="26" t="s">
        <v>14</v>
      </c>
      <c r="B20" s="26" t="s">
        <v>13</v>
      </c>
      <c r="C20" s="25">
        <v>75</v>
      </c>
      <c r="D20" s="25">
        <v>88</v>
      </c>
      <c r="E20" s="25">
        <v>91</v>
      </c>
      <c r="F20" s="25">
        <v>82</v>
      </c>
      <c r="G20" s="25">
        <v>73</v>
      </c>
      <c r="H20" s="25">
        <v>74</v>
      </c>
      <c r="I20" s="25">
        <v>91</v>
      </c>
      <c r="K20" s="33">
        <v>83</v>
      </c>
      <c r="L20" s="33">
        <v>85</v>
      </c>
      <c r="M20" s="33">
        <v>81</v>
      </c>
      <c r="N20" s="33">
        <v>84</v>
      </c>
      <c r="O20" s="33">
        <v>88</v>
      </c>
      <c r="P20" s="33">
        <v>85</v>
      </c>
      <c r="Q20" s="33">
        <v>83</v>
      </c>
      <c r="S20" s="34">
        <v>78</v>
      </c>
      <c r="T20" s="34">
        <v>79</v>
      </c>
      <c r="U20" s="34">
        <v>69</v>
      </c>
      <c r="V20" s="34">
        <v>72</v>
      </c>
      <c r="W20" s="34">
        <f t="shared" si="6"/>
        <v>66</v>
      </c>
      <c r="X20" s="34">
        <v>80</v>
      </c>
      <c r="Y20" s="34">
        <f t="shared" si="8"/>
        <v>84</v>
      </c>
    </row>
    <row r="21" spans="1:25" ht="15.5">
      <c r="A21" s="26" t="s">
        <v>16</v>
      </c>
      <c r="B21" s="26" t="s">
        <v>15</v>
      </c>
      <c r="C21" s="25">
        <v>80</v>
      </c>
      <c r="D21" s="25">
        <v>82</v>
      </c>
      <c r="E21" s="25">
        <v>86</v>
      </c>
      <c r="F21" s="25">
        <v>92</v>
      </c>
      <c r="G21" s="25">
        <v>80</v>
      </c>
      <c r="H21" s="25">
        <v>75</v>
      </c>
      <c r="I21" s="25">
        <v>63</v>
      </c>
      <c r="K21" s="33">
        <f t="shared" si="9"/>
        <v>77</v>
      </c>
      <c r="L21" s="33">
        <f t="shared" si="10"/>
        <v>79</v>
      </c>
      <c r="M21" s="33">
        <f t="shared" si="11"/>
        <v>83</v>
      </c>
      <c r="N21" s="33">
        <f t="shared" si="12"/>
        <v>89</v>
      </c>
      <c r="O21" s="33">
        <f t="shared" si="13"/>
        <v>77</v>
      </c>
      <c r="P21" s="33">
        <f t="shared" si="14"/>
        <v>72</v>
      </c>
      <c r="Q21" s="33">
        <f t="shared" si="15"/>
        <v>60</v>
      </c>
      <c r="S21" s="34">
        <f t="shared" si="2"/>
        <v>73</v>
      </c>
      <c r="T21" s="34">
        <f t="shared" si="3"/>
        <v>75</v>
      </c>
      <c r="U21" s="34">
        <f t="shared" si="4"/>
        <v>79</v>
      </c>
      <c r="V21" s="34">
        <f t="shared" si="5"/>
        <v>85</v>
      </c>
      <c r="W21" s="34">
        <f t="shared" si="6"/>
        <v>73</v>
      </c>
      <c r="X21" s="34">
        <f t="shared" si="7"/>
        <v>68</v>
      </c>
      <c r="Y21" s="34">
        <f t="shared" si="8"/>
        <v>56</v>
      </c>
    </row>
    <row r="22" spans="1:25" ht="15.5">
      <c r="A22" s="26" t="s">
        <v>51</v>
      </c>
      <c r="B22" s="26" t="s">
        <v>52</v>
      </c>
      <c r="C22" s="25">
        <v>89</v>
      </c>
      <c r="D22" s="25">
        <v>82</v>
      </c>
      <c r="E22" s="25">
        <v>65</v>
      </c>
      <c r="F22" s="25">
        <v>95</v>
      </c>
      <c r="G22" s="25">
        <v>92</v>
      </c>
      <c r="H22" s="25">
        <v>95</v>
      </c>
      <c r="I22" s="25">
        <v>96</v>
      </c>
      <c r="K22" s="33">
        <f t="shared" si="9"/>
        <v>86</v>
      </c>
      <c r="L22" s="33">
        <f t="shared" si="10"/>
        <v>79</v>
      </c>
      <c r="M22" s="33">
        <f t="shared" si="11"/>
        <v>62</v>
      </c>
      <c r="N22" s="33">
        <f t="shared" si="12"/>
        <v>92</v>
      </c>
      <c r="O22" s="33">
        <f t="shared" si="13"/>
        <v>89</v>
      </c>
      <c r="P22" s="33">
        <f t="shared" si="14"/>
        <v>92</v>
      </c>
      <c r="Q22" s="33">
        <f t="shared" si="15"/>
        <v>93</v>
      </c>
      <c r="S22" s="34">
        <f t="shared" si="2"/>
        <v>82</v>
      </c>
      <c r="T22" s="34">
        <f t="shared" si="3"/>
        <v>75</v>
      </c>
      <c r="U22" s="34">
        <f t="shared" si="4"/>
        <v>58</v>
      </c>
      <c r="V22" s="34">
        <f t="shared" si="5"/>
        <v>88</v>
      </c>
      <c r="W22" s="34">
        <f t="shared" si="6"/>
        <v>85</v>
      </c>
      <c r="X22" s="34">
        <f t="shared" si="7"/>
        <v>88</v>
      </c>
      <c r="Y22" s="34">
        <f t="shared" si="8"/>
        <v>89</v>
      </c>
    </row>
    <row r="23" spans="1:25" ht="15.5">
      <c r="A23" s="26" t="s">
        <v>55</v>
      </c>
      <c r="B23" s="26" t="s">
        <v>54</v>
      </c>
      <c r="C23" s="25">
        <v>86</v>
      </c>
      <c r="D23" s="25">
        <v>87</v>
      </c>
      <c r="E23" s="25">
        <v>78</v>
      </c>
      <c r="F23" s="25">
        <v>75</v>
      </c>
      <c r="G23" s="25">
        <v>80</v>
      </c>
      <c r="H23" s="25">
        <v>79</v>
      </c>
      <c r="I23" s="25">
        <v>81</v>
      </c>
      <c r="K23" s="33">
        <f t="shared" si="9"/>
        <v>83</v>
      </c>
      <c r="L23" s="33">
        <f t="shared" si="10"/>
        <v>84</v>
      </c>
      <c r="M23" s="33">
        <f t="shared" si="11"/>
        <v>75</v>
      </c>
      <c r="N23" s="33">
        <f t="shared" si="12"/>
        <v>72</v>
      </c>
      <c r="O23" s="33">
        <f t="shared" si="13"/>
        <v>77</v>
      </c>
      <c r="P23" s="33">
        <f t="shared" si="14"/>
        <v>76</v>
      </c>
      <c r="Q23" s="33">
        <f t="shared" si="15"/>
        <v>78</v>
      </c>
      <c r="S23" s="34">
        <f t="shared" si="2"/>
        <v>79</v>
      </c>
      <c r="T23" s="34">
        <f t="shared" si="3"/>
        <v>80</v>
      </c>
      <c r="U23" s="34">
        <f t="shared" si="4"/>
        <v>71</v>
      </c>
      <c r="V23" s="34">
        <f t="shared" si="5"/>
        <v>68</v>
      </c>
      <c r="W23" s="34">
        <f t="shared" si="6"/>
        <v>73</v>
      </c>
      <c r="X23" s="34">
        <f t="shared" si="7"/>
        <v>72</v>
      </c>
      <c r="Y23" s="34">
        <f t="shared" si="8"/>
        <v>74</v>
      </c>
    </row>
    <row r="24" spans="1:25" ht="15.5">
      <c r="A24" s="26" t="s">
        <v>18</v>
      </c>
      <c r="B24" s="26" t="s">
        <v>17</v>
      </c>
      <c r="C24" s="25">
        <v>89</v>
      </c>
      <c r="D24" s="25">
        <v>93</v>
      </c>
      <c r="E24" s="25">
        <v>92</v>
      </c>
      <c r="F24" s="25">
        <v>92</v>
      </c>
      <c r="G24" s="25">
        <v>94</v>
      </c>
      <c r="H24" s="25">
        <v>92</v>
      </c>
      <c r="I24" s="25">
        <v>95</v>
      </c>
      <c r="K24" s="33">
        <f t="shared" si="9"/>
        <v>86</v>
      </c>
      <c r="L24" s="33">
        <f t="shared" si="10"/>
        <v>90</v>
      </c>
      <c r="M24" s="33">
        <f t="shared" si="11"/>
        <v>89</v>
      </c>
      <c r="N24" s="33">
        <f t="shared" si="12"/>
        <v>89</v>
      </c>
      <c r="O24" s="33">
        <f t="shared" si="13"/>
        <v>91</v>
      </c>
      <c r="P24" s="33">
        <f t="shared" si="14"/>
        <v>89</v>
      </c>
      <c r="Q24" s="33">
        <f t="shared" si="15"/>
        <v>92</v>
      </c>
      <c r="S24" s="34">
        <f t="shared" si="2"/>
        <v>82</v>
      </c>
      <c r="T24" s="34">
        <f t="shared" si="3"/>
        <v>86</v>
      </c>
      <c r="U24" s="34">
        <f t="shared" si="4"/>
        <v>85</v>
      </c>
      <c r="V24" s="34">
        <f t="shared" si="5"/>
        <v>85</v>
      </c>
      <c r="W24" s="34">
        <f t="shared" si="6"/>
        <v>87</v>
      </c>
      <c r="X24" s="34">
        <f t="shared" si="7"/>
        <v>85</v>
      </c>
      <c r="Y24" s="34">
        <f t="shared" si="8"/>
        <v>88</v>
      </c>
    </row>
    <row r="25" spans="1:25" ht="15.5">
      <c r="A25" s="26" t="s">
        <v>20</v>
      </c>
      <c r="B25" s="26" t="s">
        <v>19</v>
      </c>
      <c r="C25" s="25">
        <v>82</v>
      </c>
      <c r="D25" s="25">
        <v>82</v>
      </c>
      <c r="E25" s="25">
        <v>86</v>
      </c>
      <c r="F25" s="25">
        <v>85</v>
      </c>
      <c r="G25" s="25">
        <v>87</v>
      </c>
      <c r="H25" s="25">
        <v>88</v>
      </c>
      <c r="I25" s="25">
        <v>91</v>
      </c>
      <c r="K25" s="33">
        <f t="shared" si="9"/>
        <v>79</v>
      </c>
      <c r="L25" s="33">
        <f t="shared" si="10"/>
        <v>79</v>
      </c>
      <c r="M25" s="33">
        <f t="shared" si="11"/>
        <v>83</v>
      </c>
      <c r="N25" s="33">
        <f t="shared" si="12"/>
        <v>82</v>
      </c>
      <c r="O25" s="33">
        <f t="shared" si="13"/>
        <v>84</v>
      </c>
      <c r="P25" s="33">
        <f t="shared" si="14"/>
        <v>85</v>
      </c>
      <c r="Q25" s="33">
        <f t="shared" si="15"/>
        <v>88</v>
      </c>
      <c r="S25" s="34">
        <f t="shared" si="2"/>
        <v>75</v>
      </c>
      <c r="T25" s="34">
        <f t="shared" si="3"/>
        <v>75</v>
      </c>
      <c r="U25" s="34">
        <f t="shared" si="4"/>
        <v>79</v>
      </c>
      <c r="V25" s="34">
        <f t="shared" si="5"/>
        <v>78</v>
      </c>
      <c r="W25" s="34">
        <f t="shared" si="6"/>
        <v>80</v>
      </c>
      <c r="X25" s="34">
        <f t="shared" si="7"/>
        <v>81</v>
      </c>
      <c r="Y25" s="34">
        <f t="shared" si="8"/>
        <v>84</v>
      </c>
    </row>
    <row r="26" spans="1:25" ht="15.5">
      <c r="A26" s="26" t="s">
        <v>50</v>
      </c>
      <c r="B26" s="26" t="s">
        <v>53</v>
      </c>
      <c r="C26" s="25">
        <v>75</v>
      </c>
      <c r="D26" s="25">
        <v>63</v>
      </c>
      <c r="E26" s="25">
        <v>62</v>
      </c>
      <c r="F26" s="25">
        <v>70</v>
      </c>
      <c r="G26" s="25">
        <v>73</v>
      </c>
      <c r="H26" s="25">
        <v>76</v>
      </c>
      <c r="I26" s="25">
        <v>79</v>
      </c>
      <c r="K26" s="33">
        <f t="shared" si="9"/>
        <v>72</v>
      </c>
      <c r="L26" s="33">
        <f t="shared" si="10"/>
        <v>60</v>
      </c>
      <c r="M26" s="33">
        <f t="shared" si="11"/>
        <v>59</v>
      </c>
      <c r="N26" s="33">
        <f t="shared" si="12"/>
        <v>67</v>
      </c>
      <c r="O26" s="33">
        <f t="shared" si="13"/>
        <v>70</v>
      </c>
      <c r="P26" s="33">
        <f t="shared" si="14"/>
        <v>73</v>
      </c>
      <c r="Q26" s="33">
        <f t="shared" si="15"/>
        <v>76</v>
      </c>
      <c r="S26" s="34">
        <f t="shared" si="2"/>
        <v>68</v>
      </c>
      <c r="T26" s="34">
        <f t="shared" si="3"/>
        <v>56</v>
      </c>
      <c r="U26" s="34">
        <f t="shared" si="4"/>
        <v>55</v>
      </c>
      <c r="V26" s="34">
        <f t="shared" si="5"/>
        <v>63</v>
      </c>
      <c r="W26" s="34">
        <f t="shared" si="6"/>
        <v>66</v>
      </c>
      <c r="X26" s="34">
        <f t="shared" si="7"/>
        <v>69</v>
      </c>
      <c r="Y26" s="34">
        <f t="shared" si="8"/>
        <v>72</v>
      </c>
    </row>
    <row r="27" spans="1:25" ht="15.5">
      <c r="A27" s="2"/>
      <c r="B27" s="1"/>
      <c r="C27" s="1"/>
      <c r="D27" s="3"/>
      <c r="E27" s="3"/>
      <c r="F27" s="3"/>
      <c r="G27" s="3"/>
      <c r="H27" s="3"/>
      <c r="I27" s="3"/>
    </row>
    <row r="28" spans="1:25" ht="15.5">
      <c r="A28" s="2"/>
      <c r="B28" s="1"/>
      <c r="C28" s="1"/>
      <c r="D28" s="3"/>
      <c r="E28" s="3"/>
      <c r="F28" s="3"/>
      <c r="G28" s="3"/>
      <c r="H28" s="3"/>
      <c r="I28" s="3"/>
    </row>
    <row r="29" spans="1:25" ht="15.5">
      <c r="A29" s="2"/>
      <c r="B29" s="1"/>
      <c r="C29" s="1"/>
      <c r="D29" s="3"/>
      <c r="E29" s="3"/>
      <c r="F29" s="3"/>
      <c r="G29" s="3"/>
      <c r="H29" s="3"/>
      <c r="I29" s="3"/>
    </row>
    <row r="30" spans="1:25" ht="15.5">
      <c r="A30" s="2"/>
      <c r="B30" s="1"/>
      <c r="C30" s="1"/>
      <c r="D30" s="3"/>
      <c r="E30" s="3"/>
      <c r="F30" s="3"/>
      <c r="G30" s="3"/>
      <c r="H30" s="3"/>
      <c r="I30" s="3"/>
    </row>
    <row r="31" spans="1:25" ht="15.5">
      <c r="A31" s="2"/>
      <c r="B31" s="1"/>
      <c r="C31" s="1"/>
      <c r="D31" s="3"/>
      <c r="E31" s="3"/>
      <c r="F31" s="3"/>
      <c r="G31" s="3"/>
      <c r="H31" s="3"/>
      <c r="I31" s="3"/>
    </row>
    <row r="32" spans="1:25" ht="15.5">
      <c r="A32" s="2"/>
      <c r="B32" s="1"/>
      <c r="C32" s="1"/>
      <c r="D32" s="3"/>
      <c r="E32" s="3"/>
      <c r="F32" s="3"/>
      <c r="G32" s="3"/>
      <c r="H32" s="3"/>
      <c r="I32" s="3"/>
    </row>
    <row r="33" spans="1:9" ht="15.5">
      <c r="A33" s="2"/>
      <c r="B33" s="1"/>
      <c r="C33" s="1"/>
      <c r="D33" s="3"/>
      <c r="E33" s="3"/>
      <c r="F33" s="3"/>
      <c r="G33" s="3"/>
      <c r="H33" s="3"/>
      <c r="I33" s="3"/>
    </row>
    <row r="34" spans="1:9" ht="15.5">
      <c r="A34" s="2"/>
      <c r="B34" s="1"/>
      <c r="C34" s="1"/>
      <c r="D34" s="3"/>
      <c r="E34" s="3"/>
      <c r="F34" s="3"/>
      <c r="G34" s="3"/>
      <c r="H34" s="3"/>
      <c r="I34" s="3"/>
    </row>
    <row r="35" spans="1:9" ht="15.5">
      <c r="A35" s="2"/>
      <c r="B35" s="1"/>
      <c r="C35" s="1"/>
      <c r="D35" s="3"/>
      <c r="E35" s="3"/>
      <c r="F35" s="3"/>
      <c r="G35" s="3"/>
      <c r="H35" s="3"/>
      <c r="I35" s="3"/>
    </row>
    <row r="36" spans="1:9" ht="15.5">
      <c r="A36" s="2"/>
      <c r="B36" s="1"/>
      <c r="C36" s="1"/>
      <c r="D36" s="3"/>
      <c r="E36" s="3"/>
      <c r="F36" s="3"/>
      <c r="G36" s="3"/>
      <c r="H36" s="3"/>
      <c r="I36" s="3"/>
    </row>
    <row r="37" spans="1:9" ht="15.5">
      <c r="A37" s="2"/>
      <c r="B37" s="1"/>
      <c r="C37" s="1"/>
      <c r="D37" s="3"/>
      <c r="E37" s="3"/>
      <c r="F37" s="3"/>
      <c r="G37" s="3"/>
      <c r="H37" s="3"/>
      <c r="I37" s="3"/>
    </row>
    <row r="38" spans="1:9" ht="15.5">
      <c r="A38" s="8" t="s">
        <v>0</v>
      </c>
      <c r="C38" s="6" t="s">
        <v>25</v>
      </c>
      <c r="D38" s="4"/>
    </row>
    <row r="39" spans="1:9" ht="15.5">
      <c r="A39" s="9" t="s">
        <v>21</v>
      </c>
      <c r="B39" s="9" t="s">
        <v>22</v>
      </c>
      <c r="C39" s="13">
        <v>1</v>
      </c>
    </row>
    <row r="40" spans="1:9" ht="13">
      <c r="A40" s="7" t="s">
        <v>1</v>
      </c>
      <c r="B40" s="7" t="s">
        <v>61</v>
      </c>
      <c r="C40" s="5">
        <f>C6*0.1+D6*0.1+E6*0.15+F6*0.2+G6*0.1+H6*0.15+I6*0.2</f>
        <v>97.25</v>
      </c>
      <c r="D40" s="5" t="s">
        <v>63</v>
      </c>
    </row>
    <row r="41" spans="1:9" ht="15.5">
      <c r="A41" s="7" t="s">
        <v>38</v>
      </c>
      <c r="B41" s="7" t="s">
        <v>39</v>
      </c>
      <c r="C41" s="5">
        <f t="shared" ref="C41:C60" si="16">C7*0.1+D7*0.1+E7*0.15+F7*0.2+G7*0.1+H7*0.15+I7*0.2</f>
        <v>79.7</v>
      </c>
      <c r="D41" s="5" t="s">
        <v>31</v>
      </c>
      <c r="F41" s="14" t="s">
        <v>26</v>
      </c>
    </row>
    <row r="42" spans="1:9" ht="13">
      <c r="A42" s="7" t="s">
        <v>3</v>
      </c>
      <c r="B42" s="7" t="s">
        <v>62</v>
      </c>
      <c r="C42" s="5">
        <f t="shared" si="16"/>
        <v>75.75</v>
      </c>
      <c r="D42" s="5" t="s">
        <v>32</v>
      </c>
      <c r="F42" s="15" t="s">
        <v>69</v>
      </c>
      <c r="G42" s="15" t="s">
        <v>63</v>
      </c>
    </row>
    <row r="43" spans="1:9" ht="13">
      <c r="A43" s="7" t="s">
        <v>39</v>
      </c>
      <c r="B43" s="7" t="s">
        <v>40</v>
      </c>
      <c r="C43" s="5">
        <f t="shared" si="16"/>
        <v>78.900000000000006</v>
      </c>
      <c r="D43" s="5" t="s">
        <v>35</v>
      </c>
      <c r="F43" s="15" t="s">
        <v>68</v>
      </c>
      <c r="G43" s="15" t="s">
        <v>27</v>
      </c>
    </row>
    <row r="44" spans="1:9" ht="13">
      <c r="A44" s="7" t="s">
        <v>6</v>
      </c>
      <c r="B44" s="7" t="s">
        <v>5</v>
      </c>
      <c r="C44" s="5">
        <f t="shared" si="16"/>
        <v>91.4</v>
      </c>
      <c r="D44" s="5" t="s">
        <v>28</v>
      </c>
      <c r="F44" s="15" t="s">
        <v>67</v>
      </c>
      <c r="G44" s="15" t="s">
        <v>28</v>
      </c>
    </row>
    <row r="45" spans="1:9" ht="13">
      <c r="A45" s="7" t="s">
        <v>8</v>
      </c>
      <c r="B45" s="7" t="s">
        <v>7</v>
      </c>
      <c r="C45" s="5">
        <f t="shared" si="16"/>
        <v>89.5</v>
      </c>
      <c r="D45" s="5" t="s">
        <v>28</v>
      </c>
      <c r="F45" s="15" t="s">
        <v>72</v>
      </c>
      <c r="G45" s="15" t="s">
        <v>29</v>
      </c>
    </row>
    <row r="46" spans="1:9" ht="13">
      <c r="A46" s="7" t="s">
        <v>41</v>
      </c>
      <c r="B46" s="7" t="s">
        <v>42</v>
      </c>
      <c r="C46" s="5">
        <f t="shared" si="16"/>
        <v>85.7</v>
      </c>
      <c r="D46" s="5" t="s">
        <v>30</v>
      </c>
      <c r="F46" s="15" t="s">
        <v>71</v>
      </c>
      <c r="G46" s="15" t="s">
        <v>30</v>
      </c>
    </row>
    <row r="47" spans="1:9" ht="13">
      <c r="A47" s="7" t="s">
        <v>43</v>
      </c>
      <c r="B47" s="7" t="s">
        <v>45</v>
      </c>
      <c r="C47" s="5">
        <f t="shared" si="16"/>
        <v>96.5</v>
      </c>
      <c r="D47" s="5" t="s">
        <v>63</v>
      </c>
      <c r="F47" s="15" t="s">
        <v>70</v>
      </c>
      <c r="G47" s="15" t="s">
        <v>31</v>
      </c>
    </row>
    <row r="48" spans="1:9" ht="13">
      <c r="A48" s="7" t="s">
        <v>43</v>
      </c>
      <c r="B48" s="7" t="s">
        <v>44</v>
      </c>
      <c r="C48" s="5">
        <f t="shared" si="16"/>
        <v>96.2</v>
      </c>
      <c r="D48" s="5" t="s">
        <v>63</v>
      </c>
      <c r="F48" s="15" t="s">
        <v>75</v>
      </c>
      <c r="G48" s="15" t="s">
        <v>35</v>
      </c>
    </row>
    <row r="49" spans="1:7" ht="13">
      <c r="A49" s="7" t="s">
        <v>46</v>
      </c>
      <c r="B49" s="7" t="s">
        <v>47</v>
      </c>
      <c r="C49" s="5">
        <f t="shared" si="16"/>
        <v>77.2</v>
      </c>
      <c r="D49" s="5" t="s">
        <v>32</v>
      </c>
      <c r="F49" s="15" t="s">
        <v>74</v>
      </c>
      <c r="G49" s="15" t="s">
        <v>32</v>
      </c>
    </row>
    <row r="50" spans="1:7" ht="13">
      <c r="A50" s="7" t="s">
        <v>37</v>
      </c>
      <c r="B50" s="7" t="s">
        <v>36</v>
      </c>
      <c r="C50" s="5">
        <f t="shared" si="16"/>
        <v>57.399999999999991</v>
      </c>
      <c r="D50" s="16" t="s">
        <v>33</v>
      </c>
      <c r="F50" s="15" t="s">
        <v>73</v>
      </c>
      <c r="G50" s="15" t="s">
        <v>64</v>
      </c>
    </row>
    <row r="51" spans="1:7" ht="13">
      <c r="A51" s="7" t="s">
        <v>10</v>
      </c>
      <c r="B51" s="7" t="s">
        <v>9</v>
      </c>
      <c r="C51" s="5">
        <f t="shared" si="16"/>
        <v>88.5</v>
      </c>
      <c r="D51" s="16" t="s">
        <v>28</v>
      </c>
      <c r="F51" s="15" t="s">
        <v>79</v>
      </c>
      <c r="G51" s="15" t="s">
        <v>66</v>
      </c>
    </row>
    <row r="52" spans="1:7" ht="13">
      <c r="A52" s="7" t="s">
        <v>48</v>
      </c>
      <c r="B52" s="7" t="s">
        <v>49</v>
      </c>
      <c r="C52" s="5">
        <f t="shared" si="16"/>
        <v>85.2</v>
      </c>
      <c r="D52" s="16" t="s">
        <v>29</v>
      </c>
      <c r="F52" s="15" t="s">
        <v>77</v>
      </c>
      <c r="G52" s="15" t="s">
        <v>33</v>
      </c>
    </row>
    <row r="53" spans="1:7" ht="13">
      <c r="A53" s="7" t="s">
        <v>12</v>
      </c>
      <c r="B53" s="7" t="s">
        <v>11</v>
      </c>
      <c r="C53" s="5">
        <f t="shared" si="16"/>
        <v>90</v>
      </c>
      <c r="D53" s="16" t="s">
        <v>28</v>
      </c>
      <c r="F53" s="15" t="s">
        <v>76</v>
      </c>
      <c r="G53" s="15" t="s">
        <v>65</v>
      </c>
    </row>
    <row r="54" spans="1:7" ht="13">
      <c r="A54" s="7" t="s">
        <v>14</v>
      </c>
      <c r="B54" s="7" t="s">
        <v>13</v>
      </c>
      <c r="C54" s="5">
        <f t="shared" si="16"/>
        <v>82.95</v>
      </c>
      <c r="D54" s="16" t="s">
        <v>35</v>
      </c>
      <c r="F54" s="15" t="s">
        <v>78</v>
      </c>
      <c r="G54" s="15" t="s">
        <v>34</v>
      </c>
    </row>
    <row r="55" spans="1:7" ht="13">
      <c r="A55" s="7" t="s">
        <v>16</v>
      </c>
      <c r="B55" s="7" t="s">
        <v>15</v>
      </c>
      <c r="C55" s="5">
        <f t="shared" si="16"/>
        <v>79.349999999999994</v>
      </c>
      <c r="D55" s="16" t="s">
        <v>35</v>
      </c>
    </row>
    <row r="56" spans="1:7" ht="13">
      <c r="A56" s="7" t="s">
        <v>51</v>
      </c>
      <c r="B56" s="7" t="s">
        <v>52</v>
      </c>
      <c r="C56" s="5">
        <f t="shared" si="16"/>
        <v>88.500000000000014</v>
      </c>
      <c r="D56" s="16" t="s">
        <v>29</v>
      </c>
    </row>
    <row r="57" spans="1:7" ht="13">
      <c r="A57" s="7" t="s">
        <v>55</v>
      </c>
      <c r="B57" s="7" t="s">
        <v>54</v>
      </c>
      <c r="C57" s="5">
        <f t="shared" si="16"/>
        <v>80.05</v>
      </c>
      <c r="D57" s="16" t="s">
        <v>31</v>
      </c>
    </row>
    <row r="58" spans="1:7" ht="13">
      <c r="A58" s="7" t="s">
        <v>18</v>
      </c>
      <c r="B58" s="7" t="s">
        <v>17</v>
      </c>
      <c r="C58" s="5">
        <f t="shared" si="16"/>
        <v>92.600000000000009</v>
      </c>
      <c r="D58" s="16" t="s">
        <v>28</v>
      </c>
    </row>
    <row r="59" spans="1:7" ht="13">
      <c r="A59" s="7" t="s">
        <v>20</v>
      </c>
      <c r="B59" s="7" t="s">
        <v>19</v>
      </c>
      <c r="C59" s="5">
        <f t="shared" si="16"/>
        <v>86.4</v>
      </c>
      <c r="D59" s="16" t="s">
        <v>30</v>
      </c>
    </row>
    <row r="60" spans="1:7" ht="13">
      <c r="A60" s="7" t="s">
        <v>50</v>
      </c>
      <c r="B60" s="7" t="s">
        <v>53</v>
      </c>
      <c r="C60" s="5">
        <f t="shared" si="16"/>
        <v>71.600000000000009</v>
      </c>
      <c r="D60" s="16" t="s">
        <v>64</v>
      </c>
    </row>
  </sheetData>
  <phoneticPr fontId="0" type="noConversion"/>
  <pageMargins left="0.75" right="0.75" top="1" bottom="1" header="0.5" footer="0.5"/>
  <pageSetup orientation="landscape" cellComments="asDisplayed" horizontalDpi="300" verticalDpi="300"/>
  <headerFooter alignWithMargins="0">
    <oddHeader>&amp;L&amp;"Geneva,Regular"ED 5500 Technology in the Classroom&amp;C&amp;R&amp;"Geneva,Regular"May 2002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2"/>
  <sheetViews>
    <sheetView workbookViewId="0">
      <selection activeCell="C3" sqref="C3"/>
    </sheetView>
  </sheetViews>
  <sheetFormatPr defaultRowHeight="12.5"/>
  <cols>
    <col min="1" max="1" width="11.36328125" bestFit="1" customWidth="1"/>
    <col min="2" max="2" width="11.453125" bestFit="1" customWidth="1"/>
    <col min="3" max="3" width="11.6328125" bestFit="1" customWidth="1"/>
    <col min="4" max="4" width="7.36328125" bestFit="1" customWidth="1"/>
    <col min="5" max="5" width="14.1796875" bestFit="1" customWidth="1"/>
    <col min="6" max="6" width="9.81640625" bestFit="1" customWidth="1"/>
    <col min="7" max="7" width="6.81640625" bestFit="1" customWidth="1"/>
    <col min="8" max="8" width="14.1796875" bestFit="1" customWidth="1"/>
    <col min="9" max="9" width="5.6328125" bestFit="1" customWidth="1"/>
    <col min="10" max="256" width="10.90625" customWidth="1"/>
  </cols>
  <sheetData>
    <row r="3" spans="1:9" ht="15.5">
      <c r="C3" s="28" t="str">
        <f>'Class 1'!C3</f>
        <v>Social Science</v>
      </c>
    </row>
    <row r="4" spans="1:9" ht="15.5">
      <c r="C4" s="30">
        <f>'Class 1'!C4</f>
        <v>0.1</v>
      </c>
      <c r="D4" s="30">
        <f>'Class 1'!D4</f>
        <v>0.1</v>
      </c>
      <c r="E4" s="30">
        <f>'Class 1'!E4</f>
        <v>0.15</v>
      </c>
      <c r="F4" s="30">
        <f>'Class 1'!F4</f>
        <v>0.2</v>
      </c>
      <c r="G4" s="30">
        <f>'Class 1'!G4</f>
        <v>0.1</v>
      </c>
      <c r="H4" s="30">
        <f>'Class 1'!H4</f>
        <v>0.15</v>
      </c>
      <c r="I4" s="30">
        <f>'Class 1'!I4</f>
        <v>0.2</v>
      </c>
    </row>
    <row r="5" spans="1:9" ht="15.5">
      <c r="A5" s="29" t="str">
        <f>'Class 1'!A5</f>
        <v>Last Name</v>
      </c>
      <c r="B5" s="29" t="str">
        <f>'Class 1'!B5</f>
        <v>First Name</v>
      </c>
      <c r="C5" s="30" t="str">
        <f>'Class 1'!C5</f>
        <v>Pre-Test</v>
      </c>
      <c r="D5" s="30" t="str">
        <f>'Class 1'!D5</f>
        <v xml:space="preserve">Quiz 1 </v>
      </c>
      <c r="E5" s="30" t="str">
        <f>'Class 1'!E5</f>
        <v>Writen Report</v>
      </c>
      <c r="F5" s="30" t="str">
        <f>'Class 1'!F5</f>
        <v>Mid-Term</v>
      </c>
      <c r="G5" s="30" t="str">
        <f>'Class 1'!G5</f>
        <v>Quiz 2</v>
      </c>
      <c r="H5" s="30" t="str">
        <f>'Class 1'!H5</f>
        <v>Oral Report</v>
      </c>
      <c r="I5" s="30" t="str">
        <f>'Class 1'!I5</f>
        <v>Final</v>
      </c>
    </row>
    <row r="6" spans="1:9" ht="15.5">
      <c r="A6" s="29" t="str">
        <f>'Class 1'!A6</f>
        <v>Aarons</v>
      </c>
      <c r="B6" s="29" t="str">
        <f>'Class 1'!B6</f>
        <v xml:space="preserve">Karly </v>
      </c>
      <c r="C6" s="31">
        <f>'Class 1'!C6</f>
        <v>90</v>
      </c>
      <c r="D6" s="31">
        <f>'Class 1'!D6</f>
        <v>90</v>
      </c>
      <c r="E6" s="31">
        <f>'Class 1'!E6</f>
        <v>95</v>
      </c>
      <c r="F6" s="31">
        <f>'Class 1'!F6</f>
        <v>100</v>
      </c>
      <c r="G6" s="31">
        <f>'Class 1'!G6</f>
        <v>100</v>
      </c>
      <c r="H6" s="31">
        <f>'Class 1'!H6-3</f>
        <v>97</v>
      </c>
      <c r="I6" s="31">
        <f>'Class 1'!I6</f>
        <v>100</v>
      </c>
    </row>
    <row r="7" spans="1:9" ht="15.5">
      <c r="A7" s="29" t="str">
        <f>'Class 1'!A7</f>
        <v>Benjamin</v>
      </c>
      <c r="B7" s="29" t="str">
        <f>'Class 1'!B7</f>
        <v>Darwin</v>
      </c>
      <c r="C7" s="31">
        <f>'Class 1'!C7-15</f>
        <v>76</v>
      </c>
      <c r="D7" s="31">
        <f>'Class 1'!D7-20</f>
        <v>47</v>
      </c>
      <c r="E7" s="31">
        <f>'Class 1'!E7-30</f>
        <v>42</v>
      </c>
      <c r="F7" s="31">
        <f>'Class 1'!F7-40</f>
        <v>35</v>
      </c>
      <c r="G7" s="31">
        <f>'Class 1'!G7-50</f>
        <v>28</v>
      </c>
      <c r="H7" s="31">
        <f>'Class 1'!H7-50</f>
        <v>32</v>
      </c>
      <c r="I7" s="31">
        <f>'Class 1'!I7-50</f>
        <v>40</v>
      </c>
    </row>
    <row r="8" spans="1:9" ht="15.5">
      <c r="A8" s="29" t="str">
        <f>'Class 1'!A8</f>
        <v>Donegal</v>
      </c>
      <c r="B8" s="29" t="str">
        <f>'Class 1'!B8</f>
        <v xml:space="preserve">Micheal </v>
      </c>
      <c r="C8" s="31">
        <f>'Class 1'!C8-15</f>
        <v>72</v>
      </c>
      <c r="D8" s="31">
        <f>'Class 1'!D8-20</f>
        <v>38</v>
      </c>
      <c r="E8" s="31">
        <f>'Class 1'!E8-30</f>
        <v>35</v>
      </c>
      <c r="F8" s="31">
        <f>'Class 1'!F8-40</f>
        <v>32</v>
      </c>
      <c r="G8" s="31">
        <f>'Class 1'!G8-50</f>
        <v>28</v>
      </c>
      <c r="H8" s="31">
        <f>'Class 1'!H8-50</f>
        <v>32</v>
      </c>
      <c r="I8" s="31">
        <f>'Class 1'!I8-50</f>
        <v>35</v>
      </c>
    </row>
    <row r="9" spans="1:9" ht="15.5">
      <c r="A9" s="29" t="str">
        <f>'Class 1'!A9</f>
        <v>Darwin</v>
      </c>
      <c r="B9" s="29" t="str">
        <f>'Class 1'!B9</f>
        <v>Dameon</v>
      </c>
      <c r="C9" s="31">
        <f>'Class 1'!C9-15</f>
        <v>63</v>
      </c>
      <c r="D9" s="31">
        <f>'Class 1'!D9-20</f>
        <v>45</v>
      </c>
      <c r="E9" s="31">
        <f>'Class 1'!E9-30</f>
        <v>38</v>
      </c>
      <c r="F9" s="31">
        <f>'Class 1'!F9-40</f>
        <v>35</v>
      </c>
      <c r="G9" s="31">
        <f>'Class 1'!G9-50</f>
        <v>31</v>
      </c>
      <c r="H9" s="31">
        <f>'Class 1'!H9-50</f>
        <v>36</v>
      </c>
      <c r="I9" s="31">
        <f>'Class 1'!I9-50</f>
        <v>42</v>
      </c>
    </row>
    <row r="10" spans="1:9" ht="15.5">
      <c r="A10" s="29" t="str">
        <f>'Class 1'!A10</f>
        <v>Farmer</v>
      </c>
      <c r="B10" s="29" t="str">
        <f>'Class 1'!B10</f>
        <v>Jessica</v>
      </c>
      <c r="C10" s="31">
        <f>'Class 1'!C10-15</f>
        <v>70</v>
      </c>
      <c r="D10" s="31">
        <f>'Class 1'!D10-20</f>
        <v>67</v>
      </c>
      <c r="E10" s="31">
        <f>'Class 1'!E10-30</f>
        <v>59</v>
      </c>
      <c r="F10" s="31">
        <f>'Class 1'!F10-40</f>
        <v>51</v>
      </c>
      <c r="G10" s="31">
        <f>'Class 1'!G10-50</f>
        <v>40</v>
      </c>
      <c r="H10" s="31">
        <f>'Class 1'!H10-50</f>
        <v>45</v>
      </c>
      <c r="I10" s="31">
        <f>'Class 1'!I10-50</f>
        <v>47</v>
      </c>
    </row>
    <row r="11" spans="1:9" ht="15.5">
      <c r="A11" s="29" t="str">
        <f>'Class 1'!A11</f>
        <v>Green</v>
      </c>
      <c r="B11" s="29" t="str">
        <f>'Class 1'!B11</f>
        <v>Rachel</v>
      </c>
      <c r="C11" s="31">
        <f>'Class 1'!C11-15</f>
        <v>74</v>
      </c>
      <c r="D11" s="31">
        <f>'Class 1'!D11-20</f>
        <v>75</v>
      </c>
      <c r="E11" s="31">
        <f>'Class 1'!E11-30</f>
        <v>48</v>
      </c>
      <c r="F11" s="31">
        <f>'Class 1'!F11-40</f>
        <v>49</v>
      </c>
      <c r="G11" s="31">
        <f>'Class 1'!G11-50</f>
        <v>44</v>
      </c>
      <c r="H11" s="31">
        <f>'Class 1'!H11-50</f>
        <v>38</v>
      </c>
      <c r="I11" s="31">
        <f>'Class 1'!I11-50</f>
        <v>45</v>
      </c>
    </row>
    <row r="12" spans="1:9" ht="15.5">
      <c r="A12" s="29" t="str">
        <f>'Class 1'!A12</f>
        <v>Holiday</v>
      </c>
      <c r="B12" s="29" t="str">
        <f>'Class 1'!B12</f>
        <v>Tiffany</v>
      </c>
      <c r="C12" s="31">
        <f>'Class 1'!C12-15</f>
        <v>60</v>
      </c>
      <c r="D12" s="31">
        <f>'Class 1'!D12-20</f>
        <v>63</v>
      </c>
      <c r="E12" s="31">
        <f>'Class 1'!E12-30</f>
        <v>59</v>
      </c>
      <c r="F12" s="31">
        <f>'Class 1'!F12-40</f>
        <v>45</v>
      </c>
      <c r="G12" s="31">
        <f>'Class 1'!G12-50</f>
        <v>33</v>
      </c>
      <c r="H12" s="31">
        <f>'Class 1'!H12-50</f>
        <v>37</v>
      </c>
      <c r="I12" s="31">
        <f>'Class 1'!I12-50</f>
        <v>41</v>
      </c>
    </row>
    <row r="13" spans="1:9" ht="15.5">
      <c r="A13" s="29" t="str">
        <f>'Class 1'!A13</f>
        <v>Jones</v>
      </c>
      <c r="B13" s="29" t="str">
        <f>'Class 1'!B13</f>
        <v>Kaci Lynn</v>
      </c>
      <c r="C13" s="31">
        <f>'Class 1'!C13-15</f>
        <v>66</v>
      </c>
      <c r="D13" s="31">
        <f>'Class 1'!D13-20</f>
        <v>76</v>
      </c>
      <c r="E13" s="31">
        <v>78</v>
      </c>
      <c r="F13" s="31">
        <v>79</v>
      </c>
      <c r="G13" s="31">
        <v>81</v>
      </c>
      <c r="H13" s="31">
        <v>82</v>
      </c>
      <c r="I13" s="31">
        <v>83</v>
      </c>
    </row>
    <row r="14" spans="1:9" ht="15.5">
      <c r="A14" s="29" t="str">
        <f>'Class 1'!A14</f>
        <v>Jones</v>
      </c>
      <c r="B14" s="29" t="str">
        <f>'Class 1'!B14</f>
        <v>Staci Lee</v>
      </c>
      <c r="C14" s="31">
        <f>'Class 1'!C14-10</f>
        <v>75</v>
      </c>
      <c r="D14" s="31">
        <f>'Class 1'!D14-10</f>
        <v>85</v>
      </c>
      <c r="E14" s="31">
        <f>'Class 1'!E14-10</f>
        <v>86</v>
      </c>
      <c r="F14" s="31">
        <f>'Class 1'!F14-10</f>
        <v>88</v>
      </c>
      <c r="G14" s="31">
        <f>'Class 1'!G14-10</f>
        <v>87</v>
      </c>
      <c r="H14" s="31">
        <f>'Class 1'!H14-10</f>
        <v>88</v>
      </c>
      <c r="I14" s="31">
        <f>'Class 1'!I14-10</f>
        <v>89</v>
      </c>
    </row>
    <row r="15" spans="1:9" ht="15.5">
      <c r="A15" s="29" t="str">
        <f>'Class 1'!A15</f>
        <v>Konston</v>
      </c>
      <c r="B15" s="29" t="str">
        <f>'Class 1'!B15</f>
        <v>Heidi</v>
      </c>
      <c r="C15" s="31">
        <f>'Class 1'!C15-15</f>
        <v>74</v>
      </c>
      <c r="D15" s="31">
        <f>'Class 1'!D15-20</f>
        <v>52</v>
      </c>
      <c r="E15" s="31">
        <f>'Class 1'!E15-30</f>
        <v>44</v>
      </c>
      <c r="F15" s="31">
        <f>'Class 1'!F15-40</f>
        <v>35</v>
      </c>
      <c r="G15" s="31">
        <f>'Class 1'!G15-50</f>
        <v>24</v>
      </c>
      <c r="H15" s="31">
        <f>'Class 1'!H15-50</f>
        <v>26</v>
      </c>
      <c r="I15" s="31">
        <f>'Class 1'!I15-50</f>
        <v>31</v>
      </c>
    </row>
    <row r="16" spans="1:9" ht="15.5">
      <c r="A16" s="29" t="str">
        <f>'Class 1'!A16</f>
        <v>Klass</v>
      </c>
      <c r="B16" s="29" t="str">
        <f>'Class 1'!B16</f>
        <v>Renee</v>
      </c>
      <c r="C16" s="31">
        <f>'Class 1'!C16-15</f>
        <v>43</v>
      </c>
      <c r="D16" s="31">
        <f>'Class 1'!D16-20</f>
        <v>35</v>
      </c>
      <c r="E16" s="31">
        <f>'Class 1'!E16-30</f>
        <v>24</v>
      </c>
      <c r="F16" s="31">
        <f>'Class 1'!F16-40</f>
        <v>17</v>
      </c>
      <c r="G16" s="31">
        <f>'Class 1'!G16-40</f>
        <v>18</v>
      </c>
      <c r="H16" s="31">
        <f>'Class 1'!H16-40</f>
        <v>20</v>
      </c>
      <c r="I16" s="31">
        <f>'Class 1'!I16-40</f>
        <v>19</v>
      </c>
    </row>
    <row r="17" spans="1:9" ht="15.5">
      <c r="A17" s="29" t="str">
        <f>'Class 1'!A17</f>
        <v>Lamb</v>
      </c>
      <c r="B17" s="29" t="str">
        <f>'Class 1'!B17</f>
        <v>Brooke</v>
      </c>
      <c r="C17" s="31">
        <f>'Class 1'!C17-15</f>
        <v>49</v>
      </c>
      <c r="D17" s="31">
        <f>'Class 1'!D17-20</f>
        <v>77</v>
      </c>
      <c r="E17" s="31">
        <v>77</v>
      </c>
      <c r="F17" s="31">
        <v>80</v>
      </c>
      <c r="G17" s="31">
        <v>75</v>
      </c>
      <c r="H17" s="31">
        <v>72</v>
      </c>
      <c r="I17" s="31">
        <v>70</v>
      </c>
    </row>
    <row r="18" spans="1:9" ht="15.5">
      <c r="A18" s="29" t="str">
        <f>'Class 1'!A18</f>
        <v>Marcus</v>
      </c>
      <c r="B18" s="29" t="str">
        <f>'Class 1'!B18</f>
        <v>Kevin</v>
      </c>
      <c r="C18" s="31">
        <f>'Class 1'!C18-15</f>
        <v>48</v>
      </c>
      <c r="D18" s="31">
        <f>'Class 1'!D18-20</f>
        <v>63</v>
      </c>
      <c r="E18" s="31">
        <f>'Class 1'!E18-30</f>
        <v>55</v>
      </c>
      <c r="F18" s="31">
        <f>'Class 1'!F18-40</f>
        <v>49</v>
      </c>
      <c r="G18" s="31">
        <f>'Class 1'!G18-50</f>
        <v>38</v>
      </c>
      <c r="H18" s="31">
        <f>'Class 1'!H18-50</f>
        <v>37</v>
      </c>
      <c r="I18" s="31">
        <f>'Class 1'!I18-50</f>
        <v>41</v>
      </c>
    </row>
    <row r="19" spans="1:9" ht="15.5">
      <c r="A19" s="29" t="str">
        <f>'Class 1'!A19</f>
        <v>Matthews</v>
      </c>
      <c r="B19" s="29" t="str">
        <f>'Class 1'!B19</f>
        <v>Cory</v>
      </c>
      <c r="C19" s="31">
        <f>'Class 1'!C19-15</f>
        <v>73</v>
      </c>
      <c r="D19" s="31">
        <f>'Class 1'!D19-20</f>
        <v>68</v>
      </c>
      <c r="E19" s="31">
        <f>'Class 1'!E19-30</f>
        <v>57</v>
      </c>
      <c r="F19" s="31">
        <f>'Class 1'!F19-40</f>
        <v>55</v>
      </c>
      <c r="G19" s="31">
        <f>'Class 1'!G19-50</f>
        <v>34</v>
      </c>
      <c r="H19" s="31">
        <f>'Class 1'!H19-50</f>
        <v>35</v>
      </c>
      <c r="I19" s="31">
        <f>'Class 1'!I19-50</f>
        <v>46</v>
      </c>
    </row>
    <row r="20" spans="1:9" ht="15.5">
      <c r="A20" s="29" t="str">
        <f>'Class 1'!A20</f>
        <v>Parker</v>
      </c>
      <c r="B20" s="29" t="str">
        <f>'Class 1'!B20</f>
        <v>William</v>
      </c>
      <c r="C20" s="31">
        <f>'Class 1'!C20-15</f>
        <v>60</v>
      </c>
      <c r="D20" s="31">
        <f>'Class 1'!D20-20</f>
        <v>68</v>
      </c>
      <c r="E20" s="31">
        <f>'Class 1'!E20-30</f>
        <v>61</v>
      </c>
      <c r="F20" s="31">
        <f>'Class 1'!F20-40</f>
        <v>42</v>
      </c>
      <c r="G20" s="31">
        <f>'Class 1'!G20-50</f>
        <v>23</v>
      </c>
      <c r="H20" s="31">
        <f>'Class 1'!H20-50</f>
        <v>24</v>
      </c>
      <c r="I20" s="31">
        <f>'Class 1'!I20-50</f>
        <v>41</v>
      </c>
    </row>
    <row r="21" spans="1:9" ht="15.5">
      <c r="A21" s="29" t="str">
        <f>'Class 1'!A21</f>
        <v>Russo</v>
      </c>
      <c r="B21" s="29" t="str">
        <f>'Class 1'!B21</f>
        <v>Nicholas</v>
      </c>
      <c r="C21" s="31">
        <f>'Class 1'!C21</f>
        <v>80</v>
      </c>
      <c r="D21" s="31">
        <f>'Class 1'!D21</f>
        <v>82</v>
      </c>
      <c r="E21" s="31">
        <f>'Class 1'!E21</f>
        <v>86</v>
      </c>
      <c r="F21" s="31">
        <f>'Class 1'!F21</f>
        <v>92</v>
      </c>
      <c r="G21" s="31">
        <f>'Class 1'!G21</f>
        <v>80</v>
      </c>
      <c r="H21" s="31">
        <f>'Class 1'!H21</f>
        <v>75</v>
      </c>
      <c r="I21" s="31">
        <f>'Class 1'!I21</f>
        <v>63</v>
      </c>
    </row>
    <row r="22" spans="1:9" ht="15.5">
      <c r="A22" s="29" t="str">
        <f>'Class 1'!A22</f>
        <v>Sanders</v>
      </c>
      <c r="B22" s="29" t="str">
        <f>'Class 1'!B22</f>
        <v>Seth</v>
      </c>
      <c r="C22" s="31">
        <f>'Class 1'!C22-15</f>
        <v>74</v>
      </c>
      <c r="D22" s="31">
        <f>'Class 1'!D22-20</f>
        <v>62</v>
      </c>
      <c r="E22" s="31">
        <f>'Class 1'!E22-30</f>
        <v>35</v>
      </c>
      <c r="F22" s="31">
        <f>'Class 1'!F22-40</f>
        <v>55</v>
      </c>
      <c r="G22" s="31">
        <f>'Class 1'!G22-50</f>
        <v>42</v>
      </c>
      <c r="H22" s="31">
        <f>'Class 1'!H22-50</f>
        <v>45</v>
      </c>
      <c r="I22" s="31">
        <f>'Class 1'!I22-50</f>
        <v>46</v>
      </c>
    </row>
    <row r="23" spans="1:9" ht="15.5">
      <c r="A23" s="29" t="str">
        <f>'Class 1'!A23</f>
        <v>Shafer</v>
      </c>
      <c r="B23" s="29" t="str">
        <f>'Class 1'!B23</f>
        <v>Anastacia</v>
      </c>
      <c r="C23" s="31">
        <f>'Class 1'!C23-15</f>
        <v>71</v>
      </c>
      <c r="D23" s="31">
        <f>'Class 1'!D23-20</f>
        <v>67</v>
      </c>
      <c r="E23" s="31">
        <f>'Class 1'!E23-30</f>
        <v>48</v>
      </c>
      <c r="F23" s="31">
        <f>'Class 1'!F23-40</f>
        <v>35</v>
      </c>
      <c r="G23" s="31">
        <f>'Class 1'!G23-50</f>
        <v>30</v>
      </c>
      <c r="H23" s="31">
        <f>'Class 1'!H23-50</f>
        <v>29</v>
      </c>
      <c r="I23" s="31">
        <f>'Class 1'!I23-50</f>
        <v>31</v>
      </c>
    </row>
    <row r="24" spans="1:9" ht="15.5">
      <c r="A24" s="29" t="str">
        <f>'Class 1'!A24</f>
        <v>Walker</v>
      </c>
      <c r="B24" s="29" t="str">
        <f>'Class 1'!B24</f>
        <v>Xavier</v>
      </c>
      <c r="C24" s="31">
        <f>'Class 1'!C24-15</f>
        <v>74</v>
      </c>
      <c r="D24" s="31">
        <f>'Class 1'!D24-20</f>
        <v>73</v>
      </c>
      <c r="E24" s="31">
        <f>'Class 1'!E24-30</f>
        <v>62</v>
      </c>
      <c r="F24" s="31">
        <f>'Class 1'!F24-40</f>
        <v>52</v>
      </c>
      <c r="G24" s="31">
        <f>'Class 1'!G24-50</f>
        <v>44</v>
      </c>
      <c r="H24" s="31">
        <f>'Class 1'!H24-50</f>
        <v>42</v>
      </c>
      <c r="I24" s="31">
        <f>'Class 1'!I24-50</f>
        <v>45</v>
      </c>
    </row>
    <row r="25" spans="1:9" ht="15.5">
      <c r="A25" s="29" t="str">
        <f>'Class 1'!A25</f>
        <v>Williams</v>
      </c>
      <c r="B25" s="29" t="str">
        <f>'Class 1'!B25</f>
        <v>Janey</v>
      </c>
      <c r="C25" s="31">
        <f>'Class 1'!C25-15</f>
        <v>67</v>
      </c>
      <c r="D25" s="31">
        <f>'Class 1'!D25-20</f>
        <v>62</v>
      </c>
      <c r="E25" s="31">
        <f>'Class 1'!E25-30</f>
        <v>56</v>
      </c>
      <c r="F25" s="31">
        <f>'Class 1'!F25-40</f>
        <v>45</v>
      </c>
      <c r="G25" s="31">
        <f>'Class 1'!G25-50</f>
        <v>37</v>
      </c>
      <c r="H25" s="31">
        <f>'Class 1'!H25-50</f>
        <v>38</v>
      </c>
      <c r="I25" s="31">
        <f>'Class 1'!I25-50</f>
        <v>41</v>
      </c>
    </row>
    <row r="26" spans="1:9" ht="15.5">
      <c r="A26" s="29" t="str">
        <f>'Class 1'!A26</f>
        <v>Zanders</v>
      </c>
      <c r="B26" s="29" t="str">
        <f>'Class 1'!B26</f>
        <v>Cassandra</v>
      </c>
      <c r="C26" s="31">
        <f>'Class 1'!C26-15</f>
        <v>60</v>
      </c>
      <c r="D26" s="31">
        <f>'Class 1'!D26-20</f>
        <v>43</v>
      </c>
      <c r="E26" s="31">
        <f>'Class 1'!E26-30</f>
        <v>32</v>
      </c>
      <c r="F26" s="31">
        <f>'Class 1'!F26-40</f>
        <v>30</v>
      </c>
      <c r="G26" s="31">
        <f>'Class 1'!G26-50</f>
        <v>23</v>
      </c>
      <c r="H26" s="31">
        <f>'Class 1'!H26-50</f>
        <v>26</v>
      </c>
      <c r="I26" s="31">
        <f>'Class 1'!I26-50</f>
        <v>29</v>
      </c>
    </row>
    <row r="27" spans="1:9" ht="15.5">
      <c r="C27" s="23"/>
      <c r="D27" s="23"/>
      <c r="E27" s="23"/>
      <c r="F27" s="23"/>
      <c r="G27" s="23"/>
      <c r="H27" s="23"/>
      <c r="I27" s="23"/>
    </row>
    <row r="28" spans="1:9" ht="15.5">
      <c r="C28" s="23"/>
      <c r="D28" s="23"/>
      <c r="E28" s="23"/>
      <c r="F28" s="23"/>
      <c r="G28" s="23"/>
      <c r="H28" s="23"/>
      <c r="I28" s="23"/>
    </row>
    <row r="29" spans="1:9" ht="15.5">
      <c r="C29" s="23"/>
      <c r="D29" s="23"/>
      <c r="E29" s="23"/>
      <c r="F29" s="23"/>
      <c r="G29" s="23"/>
      <c r="H29" s="23"/>
      <c r="I29" s="23"/>
    </row>
    <row r="30" spans="1:9" ht="15.5">
      <c r="C30" s="23"/>
      <c r="D30" s="23"/>
      <c r="E30" s="23"/>
      <c r="F30" s="23"/>
      <c r="G30" s="23"/>
      <c r="H30" s="23"/>
      <c r="I30" s="23"/>
    </row>
    <row r="31" spans="1:9" ht="15.5">
      <c r="C31" s="23"/>
      <c r="D31" s="23"/>
      <c r="E31" s="23"/>
      <c r="F31" s="23"/>
      <c r="G31" s="23"/>
      <c r="H31" s="23"/>
      <c r="I31" s="23"/>
    </row>
    <row r="32" spans="1:9" ht="15.5">
      <c r="C32" s="23"/>
      <c r="D32" s="23"/>
      <c r="E32" s="23"/>
      <c r="F32" s="23"/>
      <c r="G32" s="23"/>
      <c r="H32" s="23"/>
      <c r="I32" s="23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6"/>
  <sheetViews>
    <sheetView workbookViewId="0">
      <selection activeCell="I6" sqref="I6"/>
    </sheetView>
  </sheetViews>
  <sheetFormatPr defaultRowHeight="12.5"/>
  <cols>
    <col min="1" max="1" width="11.36328125" bestFit="1" customWidth="1"/>
    <col min="2" max="2" width="11.453125" bestFit="1" customWidth="1"/>
    <col min="3" max="3" width="9.36328125" bestFit="1" customWidth="1"/>
    <col min="4" max="4" width="7.453125" bestFit="1" customWidth="1"/>
    <col min="5" max="5" width="14.453125" bestFit="1" customWidth="1"/>
    <col min="6" max="6" width="10.1796875" bestFit="1" customWidth="1"/>
    <col min="7" max="7" width="7" bestFit="1" customWidth="1"/>
    <col min="8" max="8" width="14.453125" bestFit="1" customWidth="1"/>
    <col min="9" max="9" width="5.453125" bestFit="1" customWidth="1"/>
    <col min="10" max="256" width="10.90625" customWidth="1"/>
  </cols>
  <sheetData>
    <row r="3" spans="1:11" ht="15.5">
      <c r="C3" s="28" t="s">
        <v>83</v>
      </c>
      <c r="K3" s="28"/>
    </row>
    <row r="4" spans="1:11" ht="15.5">
      <c r="C4" s="30">
        <f>'Class 1'!C4</f>
        <v>0.1</v>
      </c>
      <c r="D4" s="30">
        <f>'Class 1'!D4</f>
        <v>0.1</v>
      </c>
      <c r="E4" s="30">
        <f>'Class 1'!E4</f>
        <v>0.15</v>
      </c>
      <c r="F4" s="30">
        <f>'Class 1'!F4</f>
        <v>0.2</v>
      </c>
      <c r="G4" s="30">
        <f>'Class 1'!G4</f>
        <v>0.1</v>
      </c>
      <c r="H4" s="30">
        <f>'Class 1'!H4</f>
        <v>0.15</v>
      </c>
      <c r="I4" s="30">
        <f>'Class 1'!I4</f>
        <v>0.2</v>
      </c>
    </row>
    <row r="5" spans="1:11" ht="15.5">
      <c r="A5" s="32" t="str">
        <f>'Class 1'!A5</f>
        <v>Last Name</v>
      </c>
      <c r="B5" s="32" t="str">
        <f>'Class 1'!B5</f>
        <v>First Name</v>
      </c>
      <c r="C5" s="32" t="str">
        <f>'Class 1'!C5</f>
        <v>Pre-Test</v>
      </c>
      <c r="D5" s="32" t="str">
        <f>'Class 1'!D5</f>
        <v xml:space="preserve">Quiz 1 </v>
      </c>
      <c r="E5" s="32" t="str">
        <f>'Class 1'!E5</f>
        <v>Writen Report</v>
      </c>
      <c r="F5" s="32" t="str">
        <f>'Class 1'!F5</f>
        <v>Mid-Term</v>
      </c>
      <c r="G5" s="32" t="str">
        <f>'Class 1'!G5</f>
        <v>Quiz 2</v>
      </c>
      <c r="H5" s="32" t="str">
        <f>'Class 1'!H5</f>
        <v>Oral Report</v>
      </c>
      <c r="I5" s="32" t="str">
        <f>'Class 1'!I5</f>
        <v>Final</v>
      </c>
    </row>
    <row r="6" spans="1:11" ht="15.5">
      <c r="A6" s="32" t="str">
        <f>'Class 1'!A6</f>
        <v>Aarons</v>
      </c>
      <c r="B6" s="32" t="str">
        <f>'Class 1'!B6</f>
        <v xml:space="preserve">Karly </v>
      </c>
      <c r="C6" s="33">
        <f>'Class 1'!C6-10</f>
        <v>80</v>
      </c>
      <c r="D6" s="33">
        <f>'Class 1'!D6</f>
        <v>90</v>
      </c>
      <c r="E6" s="33">
        <f>'Class 1'!E6</f>
        <v>95</v>
      </c>
      <c r="F6" s="33">
        <f>'Class 1'!F6</f>
        <v>100</v>
      </c>
      <c r="G6" s="33">
        <f>'Class 1'!G6-5</f>
        <v>95</v>
      </c>
      <c r="H6" s="33">
        <f>'Class 1'!H6-5</f>
        <v>95</v>
      </c>
      <c r="I6" s="33">
        <f>'Class 1'!I6</f>
        <v>100</v>
      </c>
    </row>
    <row r="7" spans="1:11" ht="15.5">
      <c r="A7" s="32" t="str">
        <f>'Class 1'!A7</f>
        <v>Benjamin</v>
      </c>
      <c r="B7" s="32" t="str">
        <f>'Class 1'!B7</f>
        <v>Darwin</v>
      </c>
      <c r="C7" s="33">
        <f>'Class 1'!C7-10</f>
        <v>81</v>
      </c>
      <c r="D7" s="33">
        <f>'Class 1'!D7</f>
        <v>67</v>
      </c>
      <c r="E7" s="33">
        <f>'Class 1'!E7+10</f>
        <v>82</v>
      </c>
      <c r="F7" s="33">
        <f>'Class 1'!F7+10</f>
        <v>85</v>
      </c>
      <c r="G7" s="33">
        <f>'Class 1'!G7-15</f>
        <v>63</v>
      </c>
      <c r="H7" s="33">
        <f>'Class 1'!H7-15</f>
        <v>67</v>
      </c>
      <c r="I7" s="33">
        <f>'Class 1'!I7+5</f>
        <v>95</v>
      </c>
    </row>
    <row r="8" spans="1:11" ht="15.5">
      <c r="A8" s="32" t="str">
        <f>'Class 1'!A8</f>
        <v>Donegal</v>
      </c>
      <c r="B8" s="32" t="str">
        <f>'Class 1'!B8</f>
        <v xml:space="preserve">Micheal </v>
      </c>
      <c r="C8" s="33">
        <f>'Class 1'!C8-10</f>
        <v>77</v>
      </c>
      <c r="D8" s="33">
        <f>'Class 1'!D8</f>
        <v>58</v>
      </c>
      <c r="E8" s="33">
        <f>'Class 1'!E8+10</f>
        <v>75</v>
      </c>
      <c r="F8" s="33">
        <f>'Class 1'!F8+10</f>
        <v>82</v>
      </c>
      <c r="G8" s="33">
        <f>'Class 1'!G8-15</f>
        <v>63</v>
      </c>
      <c r="H8" s="33">
        <f>'Class 1'!H8-15</f>
        <v>67</v>
      </c>
      <c r="I8" s="33">
        <f>'Class 1'!I8+5</f>
        <v>90</v>
      </c>
    </row>
    <row r="9" spans="1:11" ht="15.5">
      <c r="A9" s="32" t="str">
        <f>'Class 1'!A9</f>
        <v>Darwin</v>
      </c>
      <c r="B9" s="32" t="str">
        <f>'Class 1'!B9</f>
        <v>Dameon</v>
      </c>
      <c r="C9" s="33">
        <f>'Class 1'!C9-10</f>
        <v>68</v>
      </c>
      <c r="D9" s="33">
        <f>'Class 1'!D9</f>
        <v>65</v>
      </c>
      <c r="E9" s="33">
        <f>'Class 1'!E9+10</f>
        <v>78</v>
      </c>
      <c r="F9" s="33">
        <f>'Class 1'!F9+10</f>
        <v>85</v>
      </c>
      <c r="G9" s="33">
        <f>'Class 1'!G9-15</f>
        <v>66</v>
      </c>
      <c r="H9" s="33">
        <f>'Class 1'!H9-15</f>
        <v>71</v>
      </c>
      <c r="I9" s="33">
        <f>'Class 1'!I9+5</f>
        <v>97</v>
      </c>
    </row>
    <row r="10" spans="1:11" ht="15.5">
      <c r="A10" s="32" t="str">
        <f>'Class 1'!A10</f>
        <v>Farmer</v>
      </c>
      <c r="B10" s="32" t="str">
        <f>'Class 1'!B10</f>
        <v>Jessica</v>
      </c>
      <c r="C10" s="33">
        <f>'Class 1'!C10-10</f>
        <v>75</v>
      </c>
      <c r="D10" s="33">
        <f>'Class 1'!D10</f>
        <v>87</v>
      </c>
      <c r="E10" s="33">
        <f>'Class 1'!E10+10</f>
        <v>99</v>
      </c>
      <c r="F10" s="33">
        <f>'Class 1'!F10</f>
        <v>91</v>
      </c>
      <c r="G10" s="33">
        <f>'Class 1'!G10-15</f>
        <v>75</v>
      </c>
      <c r="H10" s="33">
        <f>'Class 1'!H10-15</f>
        <v>80</v>
      </c>
      <c r="I10" s="33">
        <f>'Class 1'!I10</f>
        <v>97</v>
      </c>
    </row>
    <row r="11" spans="1:11" ht="15.5">
      <c r="A11" s="32" t="str">
        <f>'Class 1'!A11</f>
        <v>Green</v>
      </c>
      <c r="B11" s="32" t="str">
        <f>'Class 1'!B11</f>
        <v>Rachel</v>
      </c>
      <c r="C11" s="33">
        <f>'Class 1'!C11-10</f>
        <v>79</v>
      </c>
      <c r="D11" s="33">
        <f>'Class 1'!D11</f>
        <v>95</v>
      </c>
      <c r="E11" s="33">
        <f>'Class 1'!E11+10</f>
        <v>88</v>
      </c>
      <c r="F11" s="33">
        <f>'Class 1'!F11+10</f>
        <v>99</v>
      </c>
      <c r="G11" s="33">
        <f>'Class 1'!G11-15</f>
        <v>79</v>
      </c>
      <c r="H11" s="33">
        <f>'Class 1'!H11-15</f>
        <v>73</v>
      </c>
      <c r="I11" s="33">
        <f>'Class 1'!I11</f>
        <v>95</v>
      </c>
    </row>
    <row r="12" spans="1:11" ht="15.5">
      <c r="A12" s="32" t="str">
        <f>'Class 1'!A12</f>
        <v>Holiday</v>
      </c>
      <c r="B12" s="32" t="str">
        <f>'Class 1'!B12</f>
        <v>Tiffany</v>
      </c>
      <c r="C12" s="33">
        <f>'Class 1'!C12-10</f>
        <v>65</v>
      </c>
      <c r="D12" s="33">
        <f>'Class 1'!D12</f>
        <v>83</v>
      </c>
      <c r="E12" s="33">
        <f>'Class 1'!E12+10</f>
        <v>99</v>
      </c>
      <c r="F12" s="33">
        <f>'Class 1'!F12+10</f>
        <v>95</v>
      </c>
      <c r="G12" s="33">
        <f>'Class 1'!G12-15</f>
        <v>68</v>
      </c>
      <c r="H12" s="33">
        <f>'Class 1'!H12-15</f>
        <v>72</v>
      </c>
      <c r="I12" s="33">
        <f>'Class 1'!I12+5</f>
        <v>96</v>
      </c>
    </row>
    <row r="13" spans="1:11" ht="15.5">
      <c r="A13" s="32" t="str">
        <f>'Class 1'!A13</f>
        <v>Jones</v>
      </c>
      <c r="B13" s="32" t="str">
        <f>'Class 1'!B13</f>
        <v>Kaci Lynn</v>
      </c>
      <c r="C13" s="33">
        <f>'Class 1'!C13-10</f>
        <v>71</v>
      </c>
      <c r="D13" s="33">
        <f>'Class 1'!D13</f>
        <v>96</v>
      </c>
      <c r="E13" s="33">
        <f>'Class 1'!E13</f>
        <v>97</v>
      </c>
      <c r="F13" s="33">
        <f>'Class 1'!F13</f>
        <v>99</v>
      </c>
      <c r="G13" s="33">
        <f>'Class 1'!G13-15</f>
        <v>81</v>
      </c>
      <c r="H13" s="33">
        <f>'Class 1'!H13-15</f>
        <v>84</v>
      </c>
      <c r="I13" s="33">
        <f>'Class 1'!I13+5</f>
        <v>105</v>
      </c>
    </row>
    <row r="14" spans="1:11" ht="15.5">
      <c r="A14" s="32" t="str">
        <f>'Class 1'!A14</f>
        <v>Jones</v>
      </c>
      <c r="B14" s="32" t="str">
        <f>'Class 1'!B14</f>
        <v>Staci Lee</v>
      </c>
      <c r="C14" s="33">
        <f>'Class 1'!C14-10</f>
        <v>75</v>
      </c>
      <c r="D14" s="33">
        <f>'Class 1'!D14</f>
        <v>95</v>
      </c>
      <c r="E14" s="33">
        <f>'Class 1'!E14</f>
        <v>96</v>
      </c>
      <c r="F14" s="33">
        <f>'Class 1'!F14</f>
        <v>98</v>
      </c>
      <c r="G14" s="33">
        <f>'Class 1'!G14-15</f>
        <v>82</v>
      </c>
      <c r="H14" s="33">
        <f>'Class 1'!H14-15</f>
        <v>83</v>
      </c>
      <c r="I14" s="33">
        <f>'Class 1'!I14+5</f>
        <v>104</v>
      </c>
    </row>
    <row r="15" spans="1:11" ht="15.5">
      <c r="A15" s="32" t="str">
        <f>'Class 1'!A15</f>
        <v>Konston</v>
      </c>
      <c r="B15" s="32" t="str">
        <f>'Class 1'!B15</f>
        <v>Heidi</v>
      </c>
      <c r="C15" s="33">
        <f>'Class 1'!C15-10</f>
        <v>79</v>
      </c>
      <c r="D15" s="33">
        <f>'Class 1'!D15</f>
        <v>72</v>
      </c>
      <c r="E15" s="33">
        <f>'Class 1'!E15+10</f>
        <v>84</v>
      </c>
      <c r="F15" s="33">
        <f>'Class 1'!F15+10</f>
        <v>85</v>
      </c>
      <c r="G15" s="33">
        <f>'Class 1'!G15-15</f>
        <v>59</v>
      </c>
      <c r="H15" s="33">
        <f>'Class 1'!H15-15</f>
        <v>61</v>
      </c>
      <c r="I15" s="33">
        <f>'Class 1'!I15+5</f>
        <v>86</v>
      </c>
    </row>
    <row r="16" spans="1:11" ht="15.5">
      <c r="A16" s="32" t="str">
        <f>'Class 1'!A16</f>
        <v>Klass</v>
      </c>
      <c r="B16" s="32" t="str">
        <f>'Class 1'!B16</f>
        <v>Renee</v>
      </c>
      <c r="C16" s="33">
        <f>'Class 1'!C16-10</f>
        <v>48</v>
      </c>
      <c r="D16" s="33">
        <f>'Class 1'!D16</f>
        <v>55</v>
      </c>
      <c r="E16" s="33">
        <f>'Class 1'!E16+10</f>
        <v>64</v>
      </c>
      <c r="F16" s="33">
        <f>'Class 1'!F16+10</f>
        <v>67</v>
      </c>
      <c r="G16" s="33">
        <f>'Class 1'!G16-15</f>
        <v>43</v>
      </c>
      <c r="H16" s="33">
        <f>'Class 1'!H16-15</f>
        <v>45</v>
      </c>
      <c r="I16" s="33">
        <f>'Class 1'!I16+5</f>
        <v>64</v>
      </c>
    </row>
    <row r="17" spans="1:9" ht="15.5">
      <c r="A17" s="32" t="str">
        <f>'Class 1'!A17</f>
        <v>Lamb</v>
      </c>
      <c r="B17" s="32" t="str">
        <f>'Class 1'!B17</f>
        <v>Brooke</v>
      </c>
      <c r="C17" s="33">
        <f>'Class 1'!C17-10</f>
        <v>54</v>
      </c>
      <c r="D17" s="33">
        <f>'Class 1'!D17</f>
        <v>97</v>
      </c>
      <c r="E17" s="33">
        <f>'Class 1'!E17+10</f>
        <v>99</v>
      </c>
      <c r="F17" s="33">
        <f>'Class 1'!F17</f>
        <v>95</v>
      </c>
      <c r="G17" s="33">
        <f>'Class 1'!G17-15</f>
        <v>73</v>
      </c>
      <c r="H17" s="33">
        <f>'Class 1'!H17-15</f>
        <v>72</v>
      </c>
      <c r="I17" s="33">
        <f>'Class 1'!I17+5</f>
        <v>96</v>
      </c>
    </row>
    <row r="18" spans="1:9" ht="15.5">
      <c r="A18" s="32" t="str">
        <f>'Class 1'!A18</f>
        <v>Marcus</v>
      </c>
      <c r="B18" s="32" t="str">
        <f>'Class 1'!B18</f>
        <v>Kevin</v>
      </c>
      <c r="C18" s="33">
        <f>'Class 1'!C18-10</f>
        <v>53</v>
      </c>
      <c r="D18" s="33">
        <f>'Class 1'!D18</f>
        <v>83</v>
      </c>
      <c r="E18" s="33">
        <f>'Class 1'!E18+10</f>
        <v>95</v>
      </c>
      <c r="F18" s="33">
        <f>'Class 1'!F18+10</f>
        <v>99</v>
      </c>
      <c r="G18" s="33">
        <f>'Class 1'!G18-15</f>
        <v>73</v>
      </c>
      <c r="H18" s="33">
        <f>'Class 1'!H18-15</f>
        <v>72</v>
      </c>
      <c r="I18" s="33">
        <f>'Class 1'!I18+5</f>
        <v>96</v>
      </c>
    </row>
    <row r="19" spans="1:9" ht="15.5">
      <c r="A19" s="32" t="str">
        <f>'Class 1'!A19</f>
        <v>Matthews</v>
      </c>
      <c r="B19" s="32" t="str">
        <f>'Class 1'!B19</f>
        <v>Cory</v>
      </c>
      <c r="C19" s="33">
        <f>'Class 1'!C19-10</f>
        <v>78</v>
      </c>
      <c r="D19" s="33">
        <f>'Class 1'!D19</f>
        <v>88</v>
      </c>
      <c r="E19" s="33">
        <f>'Class 1'!E19+10</f>
        <v>97</v>
      </c>
      <c r="F19" s="33">
        <f>'Class 1'!F19</f>
        <v>95</v>
      </c>
      <c r="G19" s="33">
        <f>'Class 1'!G19-15</f>
        <v>69</v>
      </c>
      <c r="H19" s="33">
        <f>'Class 1'!H19-15</f>
        <v>70</v>
      </c>
      <c r="I19" s="33">
        <f>'Class 1'!I19+5</f>
        <v>101</v>
      </c>
    </row>
    <row r="20" spans="1:9" ht="15.5">
      <c r="A20" s="32" t="str">
        <f>'Class 1'!A20</f>
        <v>Parker</v>
      </c>
      <c r="B20" s="32" t="str">
        <f>'Class 1'!B20</f>
        <v>William</v>
      </c>
      <c r="C20" s="33">
        <f>'Class 1'!C20-10</f>
        <v>65</v>
      </c>
      <c r="D20" s="33">
        <f>'Class 1'!D20</f>
        <v>88</v>
      </c>
      <c r="E20" s="33">
        <f>'Class 1'!E20+10</f>
        <v>101</v>
      </c>
      <c r="F20" s="33">
        <f>'Class 1'!F20+10</f>
        <v>92</v>
      </c>
      <c r="G20" s="33">
        <f>'Class 1'!G20-15</f>
        <v>58</v>
      </c>
      <c r="H20" s="33">
        <f>'Class 1'!H20-15</f>
        <v>59</v>
      </c>
      <c r="I20" s="33">
        <f>'Class 1'!I20+5</f>
        <v>96</v>
      </c>
    </row>
    <row r="21" spans="1:9" ht="15.5">
      <c r="A21" s="32" t="str">
        <f>'Class 1'!A21</f>
        <v>Russo</v>
      </c>
      <c r="B21" s="32" t="str">
        <f>'Class 1'!B21</f>
        <v>Nicholas</v>
      </c>
      <c r="C21" s="33">
        <f>'Class 1'!C21</f>
        <v>80</v>
      </c>
      <c r="D21" s="33">
        <f>'Class 1'!D21</f>
        <v>82</v>
      </c>
      <c r="E21" s="33">
        <f>'Class 1'!E21</f>
        <v>86</v>
      </c>
      <c r="F21" s="33">
        <f>'Class 1'!F21</f>
        <v>92</v>
      </c>
      <c r="G21" s="33">
        <f>'Class 1'!G21</f>
        <v>80</v>
      </c>
      <c r="H21" s="33">
        <f>'Class 1'!H21</f>
        <v>75</v>
      </c>
      <c r="I21" s="33">
        <f>'Class 1'!I21</f>
        <v>63</v>
      </c>
    </row>
    <row r="22" spans="1:9" ht="15.5">
      <c r="A22" s="32" t="str">
        <f>'Class 1'!A22</f>
        <v>Sanders</v>
      </c>
      <c r="B22" s="32" t="str">
        <f>'Class 1'!B22</f>
        <v>Seth</v>
      </c>
      <c r="C22" s="33">
        <f>'Class 1'!C22-10</f>
        <v>79</v>
      </c>
      <c r="D22" s="33">
        <f>'Class 1'!D22</f>
        <v>82</v>
      </c>
      <c r="E22" s="33">
        <f>'Class 1'!E22+10</f>
        <v>75</v>
      </c>
      <c r="F22" s="33">
        <f>'Class 1'!F22</f>
        <v>95</v>
      </c>
      <c r="G22" s="33">
        <f>'Class 1'!G22-15</f>
        <v>77</v>
      </c>
      <c r="H22" s="33">
        <f>'Class 1'!H22-15</f>
        <v>80</v>
      </c>
      <c r="I22" s="33">
        <f>'Class 1'!I22+5</f>
        <v>101</v>
      </c>
    </row>
    <row r="23" spans="1:9" ht="15.5">
      <c r="A23" s="32" t="str">
        <f>'Class 1'!A23</f>
        <v>Shafer</v>
      </c>
      <c r="B23" s="32" t="str">
        <f>'Class 1'!B23</f>
        <v>Anastacia</v>
      </c>
      <c r="C23" s="33">
        <f>'Class 1'!C23-10</f>
        <v>76</v>
      </c>
      <c r="D23" s="33">
        <f>'Class 1'!D23</f>
        <v>87</v>
      </c>
      <c r="E23" s="33">
        <f>'Class 1'!E23+10</f>
        <v>88</v>
      </c>
      <c r="F23" s="33">
        <f>'Class 1'!F23+10</f>
        <v>85</v>
      </c>
      <c r="G23" s="33">
        <f>'Class 1'!G23-15</f>
        <v>65</v>
      </c>
      <c r="H23" s="33">
        <f>'Class 1'!H23-15</f>
        <v>64</v>
      </c>
      <c r="I23" s="33">
        <f>'Class 1'!I23+5</f>
        <v>86</v>
      </c>
    </row>
    <row r="24" spans="1:9" ht="15.5">
      <c r="A24" s="32" t="str">
        <f>'Class 1'!A24</f>
        <v>Walker</v>
      </c>
      <c r="B24" s="32" t="str">
        <f>'Class 1'!B24</f>
        <v>Xavier</v>
      </c>
      <c r="C24" s="33">
        <f>'Class 1'!C24-10</f>
        <v>79</v>
      </c>
      <c r="D24" s="33">
        <f>'Class 1'!D24</f>
        <v>93</v>
      </c>
      <c r="E24" s="33">
        <f>'Class 1'!E24</f>
        <v>92</v>
      </c>
      <c r="F24" s="33">
        <f>'Class 1'!F24</f>
        <v>92</v>
      </c>
      <c r="G24" s="33">
        <f>'Class 1'!G24-15</f>
        <v>79</v>
      </c>
      <c r="H24" s="33">
        <f>'Class 1'!H24-15</f>
        <v>77</v>
      </c>
      <c r="I24" s="33">
        <f>'Class 1'!I24+5</f>
        <v>100</v>
      </c>
    </row>
    <row r="25" spans="1:9" ht="15.5">
      <c r="A25" s="32" t="str">
        <f>'Class 1'!A25</f>
        <v>Williams</v>
      </c>
      <c r="B25" s="32" t="str">
        <f>'Class 1'!B25</f>
        <v>Janey</v>
      </c>
      <c r="C25" s="33">
        <f>'Class 1'!C25-10</f>
        <v>72</v>
      </c>
      <c r="D25" s="33">
        <f>'Class 1'!D25</f>
        <v>82</v>
      </c>
      <c r="E25" s="33">
        <f>'Class 1'!E25+10</f>
        <v>96</v>
      </c>
      <c r="F25" s="33">
        <f>'Class 1'!F25+10</f>
        <v>95</v>
      </c>
      <c r="G25" s="33">
        <f>'Class 1'!G25-15</f>
        <v>72</v>
      </c>
      <c r="H25" s="33">
        <f>'Class 1'!H25-15</f>
        <v>73</v>
      </c>
      <c r="I25" s="33">
        <f>'Class 1'!I25+5</f>
        <v>96</v>
      </c>
    </row>
    <row r="26" spans="1:9" ht="15.5">
      <c r="A26" s="32" t="str">
        <f>'Class 1'!A26</f>
        <v>Zanders</v>
      </c>
      <c r="B26" s="32" t="str">
        <f>'Class 1'!B26</f>
        <v>Cassandra</v>
      </c>
      <c r="C26" s="33">
        <f>'Class 1'!C26-10</f>
        <v>65</v>
      </c>
      <c r="D26" s="33">
        <f>'Class 1'!D26</f>
        <v>63</v>
      </c>
      <c r="E26" s="33">
        <f>'Class 1'!E26+10</f>
        <v>72</v>
      </c>
      <c r="F26" s="33">
        <f>'Class 1'!F26+10</f>
        <v>80</v>
      </c>
      <c r="G26" s="33">
        <f>'Class 1'!G26-15</f>
        <v>58</v>
      </c>
      <c r="H26" s="33">
        <f>'Class 1'!H26-15</f>
        <v>61</v>
      </c>
      <c r="I26" s="33">
        <f>'Class 1'!I26+5</f>
        <v>84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79" sqref="A79"/>
    </sheetView>
  </sheetViews>
  <sheetFormatPr defaultRowHeight="12.5"/>
  <cols>
    <col min="1" max="256" width="10.90625" customWidth="1"/>
  </cols>
  <sheetData/>
  <pageMargins left="0.5" right="0.34" top="1" bottom="1" header="0.5" footer="0.5"/>
  <pageSetup paperSize="0" orientation="portrait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40" zoomScale="150" workbookViewId="0">
      <selection activeCell="H3" sqref="H3"/>
    </sheetView>
  </sheetViews>
  <sheetFormatPr defaultColWidth="8.81640625" defaultRowHeight="12.5"/>
  <sheetData/>
  <phoneticPr fontId="0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workbookViewId="0">
      <selection activeCell="A5" sqref="A5:IV5"/>
    </sheetView>
  </sheetViews>
  <sheetFormatPr defaultColWidth="8.81640625" defaultRowHeight="12.5"/>
  <cols>
    <col min="1" max="2" width="12.81640625" customWidth="1"/>
    <col min="3" max="3" width="10.90625" customWidth="1"/>
    <col min="4" max="4" width="15.36328125" customWidth="1"/>
    <col min="5" max="5" width="12.81640625" customWidth="1"/>
    <col min="6" max="6" width="10.90625" customWidth="1"/>
    <col min="7" max="7" width="15.36328125" customWidth="1"/>
    <col min="8" max="8" width="10.90625" customWidth="1"/>
    <col min="9" max="9" width="12.453125" bestFit="1" customWidth="1"/>
    <col min="10" max="10" width="14.453125" bestFit="1" customWidth="1"/>
    <col min="11" max="11" width="9.81640625" bestFit="1" customWidth="1"/>
    <col min="12" max="12" width="17.81640625" bestFit="1" customWidth="1"/>
    <col min="13" max="13" width="12.6328125" bestFit="1" customWidth="1"/>
    <col min="14" max="14" width="9.1796875" bestFit="1" customWidth="1"/>
    <col min="15" max="15" width="17.81640625" bestFit="1" customWidth="1"/>
    <col min="16" max="17" width="7.1796875" bestFit="1" customWidth="1"/>
  </cols>
  <sheetData>
    <row r="1" spans="1:9" ht="15.5">
      <c r="A1" s="1"/>
      <c r="B1" s="1"/>
    </row>
    <row r="2" spans="1:9" ht="15.5">
      <c r="A2" s="1"/>
      <c r="B2" s="10" t="s">
        <v>60</v>
      </c>
      <c r="C2" s="10" t="s">
        <v>56</v>
      </c>
      <c r="D2" s="10" t="s">
        <v>58</v>
      </c>
      <c r="E2" s="10" t="s">
        <v>24</v>
      </c>
      <c r="F2" s="10" t="s">
        <v>57</v>
      </c>
      <c r="G2" s="10" t="s">
        <v>59</v>
      </c>
      <c r="H2" s="10" t="s">
        <v>23</v>
      </c>
      <c r="I2" s="1"/>
    </row>
    <row r="3" spans="1:9" ht="15.5">
      <c r="A3" s="7" t="s">
        <v>2</v>
      </c>
      <c r="B3" s="5">
        <v>100</v>
      </c>
      <c r="C3" s="5">
        <v>100</v>
      </c>
      <c r="D3" s="5">
        <v>100</v>
      </c>
      <c r="E3" s="5">
        <v>100</v>
      </c>
      <c r="F3" s="5">
        <v>100</v>
      </c>
      <c r="G3" s="5">
        <v>100</v>
      </c>
      <c r="H3" s="5">
        <v>100</v>
      </c>
      <c r="I3" s="1"/>
    </row>
    <row r="5" spans="1:9" s="4" customFormat="1" ht="15.5">
      <c r="B5" s="10" t="s">
        <v>60</v>
      </c>
      <c r="C5" s="10" t="s">
        <v>56</v>
      </c>
      <c r="D5" s="10" t="s">
        <v>58</v>
      </c>
      <c r="E5" s="10" t="s">
        <v>24</v>
      </c>
      <c r="F5" s="10" t="s">
        <v>57</v>
      </c>
      <c r="G5" s="10" t="s">
        <v>59</v>
      </c>
      <c r="H5" s="10" t="s">
        <v>23</v>
      </c>
    </row>
    <row r="6" spans="1:9" ht="13">
      <c r="A6" s="7" t="s">
        <v>4</v>
      </c>
      <c r="B6" s="5">
        <v>99</v>
      </c>
      <c r="C6" s="5">
        <v>58</v>
      </c>
      <c r="D6" s="5">
        <v>65</v>
      </c>
      <c r="E6" s="5">
        <v>72</v>
      </c>
      <c r="F6" s="5">
        <v>78</v>
      </c>
      <c r="G6" s="5">
        <v>82</v>
      </c>
      <c r="H6" s="5">
        <v>85</v>
      </c>
    </row>
    <row r="8" spans="1:9" ht="15.5">
      <c r="B8" s="10" t="s">
        <v>60</v>
      </c>
      <c r="C8" s="10" t="s">
        <v>56</v>
      </c>
      <c r="D8" s="10" t="s">
        <v>58</v>
      </c>
      <c r="E8" s="10" t="s">
        <v>24</v>
      </c>
      <c r="F8" s="10" t="s">
        <v>57</v>
      </c>
      <c r="G8" s="10" t="s">
        <v>59</v>
      </c>
      <c r="H8" s="10" t="s">
        <v>23</v>
      </c>
    </row>
    <row r="9" spans="1:9" ht="13">
      <c r="A9" s="7" t="s">
        <v>40</v>
      </c>
      <c r="B9" s="5">
        <v>65</v>
      </c>
      <c r="C9" s="5">
        <v>65</v>
      </c>
      <c r="D9" s="5">
        <v>68</v>
      </c>
      <c r="E9" s="5">
        <v>75</v>
      </c>
      <c r="F9" s="5">
        <v>81</v>
      </c>
      <c r="G9" s="5">
        <v>86</v>
      </c>
      <c r="H9" s="5">
        <v>92</v>
      </c>
    </row>
    <row r="11" spans="1:9" ht="15.5">
      <c r="B11" s="10" t="s">
        <v>60</v>
      </c>
      <c r="C11" s="10" t="s">
        <v>56</v>
      </c>
      <c r="D11" s="10" t="s">
        <v>58</v>
      </c>
      <c r="E11" s="10" t="s">
        <v>24</v>
      </c>
      <c r="F11" s="10" t="s">
        <v>57</v>
      </c>
      <c r="G11" s="10" t="s">
        <v>59</v>
      </c>
      <c r="H11" s="10" t="s">
        <v>23</v>
      </c>
    </row>
    <row r="12" spans="1:9" ht="13">
      <c r="A12" s="7" t="s">
        <v>7</v>
      </c>
      <c r="B12" s="5">
        <v>95</v>
      </c>
      <c r="C12" s="5">
        <v>95</v>
      </c>
      <c r="D12" s="5">
        <v>78</v>
      </c>
      <c r="E12" s="5">
        <v>89</v>
      </c>
      <c r="F12" s="5">
        <v>94</v>
      </c>
      <c r="G12" s="5">
        <v>88</v>
      </c>
      <c r="H12" s="5">
        <v>95</v>
      </c>
    </row>
    <row r="14" spans="1:9" ht="15.5">
      <c r="B14" s="10" t="s">
        <v>60</v>
      </c>
      <c r="C14" s="10" t="s">
        <v>56</v>
      </c>
      <c r="D14" s="10" t="s">
        <v>58</v>
      </c>
      <c r="E14" s="10" t="s">
        <v>24</v>
      </c>
      <c r="F14" s="10" t="s">
        <v>57</v>
      </c>
      <c r="G14" s="10" t="s">
        <v>59</v>
      </c>
      <c r="H14" s="10" t="s">
        <v>23</v>
      </c>
    </row>
    <row r="15" spans="1:9" ht="13">
      <c r="A15" s="7" t="s">
        <v>36</v>
      </c>
      <c r="B15" s="5">
        <v>58</v>
      </c>
      <c r="C15" s="5">
        <v>55</v>
      </c>
      <c r="D15" s="5">
        <v>54</v>
      </c>
      <c r="E15" s="5">
        <v>68</v>
      </c>
      <c r="F15" s="5">
        <v>72</v>
      </c>
      <c r="G15" s="5">
        <v>73</v>
      </c>
      <c r="H15" s="5">
        <v>76</v>
      </c>
    </row>
    <row r="16" spans="1:9">
      <c r="A16" s="18"/>
      <c r="B16" s="19"/>
      <c r="C16" s="19"/>
      <c r="D16" s="19"/>
      <c r="E16" s="19"/>
      <c r="F16" s="19"/>
      <c r="G16" s="19"/>
      <c r="H16" s="19"/>
    </row>
    <row r="17" spans="1:8" ht="15.5">
      <c r="A17" s="22"/>
      <c r="B17" s="20" t="s">
        <v>60</v>
      </c>
      <c r="C17" s="10" t="s">
        <v>56</v>
      </c>
      <c r="D17" s="10" t="s">
        <v>58</v>
      </c>
      <c r="E17" s="10" t="s">
        <v>24</v>
      </c>
      <c r="F17" s="10" t="s">
        <v>57</v>
      </c>
      <c r="G17" s="10" t="s">
        <v>59</v>
      </c>
      <c r="H17" s="10" t="s">
        <v>23</v>
      </c>
    </row>
    <row r="18" spans="1:8" ht="13">
      <c r="A18" s="7" t="s">
        <v>9</v>
      </c>
      <c r="B18" s="5">
        <v>87</v>
      </c>
      <c r="C18" s="5">
        <v>97</v>
      </c>
      <c r="D18" s="5">
        <v>89</v>
      </c>
      <c r="E18" s="5">
        <v>95</v>
      </c>
      <c r="F18" s="5">
        <v>88</v>
      </c>
      <c r="G18" s="5">
        <v>87</v>
      </c>
      <c r="H18" s="5">
        <v>91</v>
      </c>
    </row>
    <row r="19" spans="1:8">
      <c r="A19" s="18"/>
      <c r="B19" s="19"/>
      <c r="C19" s="19"/>
      <c r="D19" s="19"/>
      <c r="E19" s="19"/>
      <c r="F19" s="19"/>
      <c r="G19" s="19"/>
      <c r="H19" s="19"/>
    </row>
    <row r="20" spans="1:8" ht="15.5">
      <c r="A20" s="22"/>
      <c r="B20" s="20" t="s">
        <v>60</v>
      </c>
      <c r="C20" s="10" t="s">
        <v>56</v>
      </c>
      <c r="D20" s="10" t="s">
        <v>58</v>
      </c>
      <c r="E20" s="10" t="s">
        <v>24</v>
      </c>
      <c r="F20" s="10" t="s">
        <v>57</v>
      </c>
      <c r="G20" s="10" t="s">
        <v>59</v>
      </c>
      <c r="H20" s="10" t="s">
        <v>23</v>
      </c>
    </row>
    <row r="21" spans="1:8" ht="13">
      <c r="A21" s="7" t="s">
        <v>15</v>
      </c>
      <c r="B21" s="5">
        <v>80</v>
      </c>
      <c r="C21" s="5">
        <v>82</v>
      </c>
      <c r="D21" s="5">
        <v>86</v>
      </c>
      <c r="E21" s="5">
        <v>92</v>
      </c>
      <c r="F21" s="5">
        <v>80</v>
      </c>
      <c r="G21" s="5">
        <v>75</v>
      </c>
      <c r="H21" s="5">
        <v>63</v>
      </c>
    </row>
    <row r="22" spans="1:8">
      <c r="A22" s="17"/>
      <c r="B22" s="17"/>
      <c r="C22" s="17"/>
      <c r="D22" s="17"/>
      <c r="E22" s="17"/>
      <c r="F22" s="17"/>
      <c r="G22" s="17"/>
      <c r="H22" s="17"/>
    </row>
    <row r="23" spans="1:8" ht="15.5">
      <c r="A23" s="21"/>
      <c r="B23" s="10" t="s">
        <v>60</v>
      </c>
      <c r="C23" s="10" t="s">
        <v>56</v>
      </c>
      <c r="D23" s="10" t="s">
        <v>58</v>
      </c>
      <c r="E23" s="10" t="s">
        <v>24</v>
      </c>
      <c r="F23" s="10" t="s">
        <v>57</v>
      </c>
      <c r="G23" s="10" t="s">
        <v>59</v>
      </c>
      <c r="H23" s="10" t="s">
        <v>23</v>
      </c>
    </row>
    <row r="24" spans="1:8" ht="13">
      <c r="A24" s="7" t="s">
        <v>52</v>
      </c>
      <c r="B24" s="5">
        <v>89</v>
      </c>
      <c r="C24" s="5">
        <v>82</v>
      </c>
      <c r="D24" s="5">
        <v>65</v>
      </c>
      <c r="E24" s="5">
        <v>95</v>
      </c>
      <c r="F24" s="5">
        <v>92</v>
      </c>
      <c r="G24" s="5">
        <v>95</v>
      </c>
      <c r="H24" s="5">
        <v>96</v>
      </c>
    </row>
    <row r="26" spans="1:8" ht="15.5">
      <c r="B26" s="10" t="s">
        <v>60</v>
      </c>
      <c r="C26" s="10" t="s">
        <v>56</v>
      </c>
      <c r="D26" s="10" t="s">
        <v>58</v>
      </c>
      <c r="E26" s="10" t="s">
        <v>24</v>
      </c>
      <c r="F26" s="10" t="s">
        <v>57</v>
      </c>
      <c r="G26" s="10" t="s">
        <v>59</v>
      </c>
      <c r="H26" s="10" t="s">
        <v>23</v>
      </c>
    </row>
    <row r="27" spans="1:8" ht="13">
      <c r="A27" s="7" t="s">
        <v>54</v>
      </c>
      <c r="B27" s="5">
        <v>86</v>
      </c>
      <c r="C27" s="5">
        <v>87</v>
      </c>
      <c r="D27" s="5">
        <v>78</v>
      </c>
      <c r="E27" s="5">
        <v>75</v>
      </c>
      <c r="F27" s="5">
        <v>80</v>
      </c>
      <c r="G27" s="5">
        <v>79</v>
      </c>
      <c r="H27" s="5">
        <v>81</v>
      </c>
    </row>
    <row r="29" spans="1:8" ht="15.5">
      <c r="A29" s="22"/>
      <c r="B29" s="20" t="s">
        <v>60</v>
      </c>
      <c r="C29" s="10" t="s">
        <v>56</v>
      </c>
      <c r="D29" s="10" t="s">
        <v>58</v>
      </c>
      <c r="E29" s="10" t="s">
        <v>24</v>
      </c>
      <c r="F29" s="10" t="s">
        <v>57</v>
      </c>
      <c r="G29" s="10" t="s">
        <v>59</v>
      </c>
      <c r="H29" s="10" t="s">
        <v>23</v>
      </c>
    </row>
    <row r="30" spans="1:8" ht="13">
      <c r="A30" s="7" t="s">
        <v>53</v>
      </c>
      <c r="B30" s="5">
        <v>64</v>
      </c>
      <c r="C30" s="5">
        <v>63</v>
      </c>
      <c r="D30" s="5">
        <v>62</v>
      </c>
      <c r="E30" s="5">
        <v>70</v>
      </c>
      <c r="F30" s="5">
        <v>73</v>
      </c>
      <c r="G30" s="5">
        <v>76</v>
      </c>
      <c r="H30" s="5">
        <v>79</v>
      </c>
    </row>
    <row r="31" spans="1:8" ht="13" customHeight="1"/>
  </sheetData>
  <phoneticPr fontId="0" type="noConversion"/>
  <pageMargins left="0.75" right="0.75" top="1" bottom="1" header="0.5" footer="0.5"/>
  <pageSetup orientation="landscape" horizontalDpi="300" verticalDpi="30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Class 1</vt:lpstr>
      <vt:lpstr>Class 2</vt:lpstr>
      <vt:lpstr>Class 3</vt:lpstr>
      <vt:lpstr>Compare Grades</vt:lpstr>
      <vt:lpstr>Grade Charts</vt:lpstr>
      <vt:lpstr>Chart Data</vt:lpstr>
      <vt:lpstr>Student Progress 1</vt:lpstr>
      <vt:lpstr>Student Progress 2</vt:lpstr>
      <vt:lpstr>Student Progress 3</vt:lpstr>
      <vt:lpstr>Final Grade</vt:lpstr>
      <vt:lpstr>Compare Students</vt:lpstr>
      <vt:lpstr>Karly</vt:lpstr>
      <vt:lpstr>Micheal</vt:lpstr>
      <vt:lpstr>Dameon</vt:lpstr>
      <vt:lpstr>Rachel</vt:lpstr>
      <vt:lpstr>Renee</vt:lpstr>
      <vt:lpstr>Brooke</vt:lpstr>
      <vt:lpstr>Nicholas</vt:lpstr>
      <vt:lpstr>Seth</vt:lpstr>
      <vt:lpstr>Anastacia</vt:lpstr>
      <vt:lpstr>Cassandra</vt:lpstr>
      <vt:lpstr>'Class 1'!Print_Area</vt:lpstr>
    </vt:vector>
  </TitlesOfParts>
  <Company>Simpson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Simpson College</dc:creator>
  <cp:lastModifiedBy>Carina Negreanu</cp:lastModifiedBy>
  <cp:lastPrinted>2002-05-03T19:07:16Z</cp:lastPrinted>
  <dcterms:created xsi:type="dcterms:W3CDTF">2002-04-29T16:50:35Z</dcterms:created>
  <dcterms:modified xsi:type="dcterms:W3CDTF">2020-01-27T11:15:41Z</dcterms:modified>
</cp:coreProperties>
</file>