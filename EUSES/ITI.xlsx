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6498F00-9A9C-421E-9ED6-91419FD391E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calcChain.xml><?xml version="1.0" encoding="utf-8"?>
<calcChain xmlns="http://schemas.openxmlformats.org/spreadsheetml/2006/main">
  <c r="C12" i="1" l="1"/>
  <c r="C14" i="1"/>
  <c r="C15" i="1"/>
  <c r="C16" i="1"/>
  <c r="C17" i="1"/>
  <c r="C18" i="1"/>
  <c r="C19" i="1"/>
  <c r="C20" i="1"/>
  <c r="C21" i="1"/>
  <c r="C22" i="1"/>
  <c r="C23" i="1"/>
  <c r="D23" i="1"/>
  <c r="E23" i="1"/>
  <c r="F23" i="1"/>
  <c r="G23" i="1"/>
  <c r="H23" i="1"/>
  <c r="I23" i="1"/>
  <c r="J23" i="1"/>
  <c r="K23" i="1"/>
  <c r="L23" i="1"/>
  <c r="M23" i="1"/>
  <c r="N23" i="1"/>
  <c r="C24" i="1"/>
  <c r="D24" i="1"/>
  <c r="E24" i="1"/>
  <c r="F24" i="1"/>
  <c r="G24" i="1"/>
  <c r="H24" i="1"/>
  <c r="I24" i="1"/>
  <c r="J24" i="1"/>
  <c r="K24" i="1"/>
  <c r="L24" i="1"/>
  <c r="M24" i="1"/>
  <c r="N24" i="1"/>
  <c r="A26" i="1"/>
  <c r="C26" i="1"/>
  <c r="A27" i="1"/>
  <c r="C27" i="1"/>
  <c r="A28" i="1"/>
  <c r="C28" i="1"/>
  <c r="A29" i="1"/>
  <c r="C29" i="1"/>
  <c r="A30" i="1"/>
  <c r="C30" i="1"/>
  <c r="C31" i="1"/>
  <c r="D31" i="1"/>
  <c r="E31" i="1"/>
  <c r="F31" i="1"/>
  <c r="G31" i="1"/>
  <c r="H31" i="1"/>
  <c r="I31" i="1"/>
  <c r="J31" i="1"/>
  <c r="K31" i="1"/>
  <c r="L31" i="1"/>
  <c r="M31" i="1"/>
  <c r="N31" i="1"/>
  <c r="C33" i="1"/>
  <c r="C34" i="1"/>
  <c r="C35" i="1"/>
  <c r="C36" i="1"/>
  <c r="C37" i="1"/>
  <c r="C38" i="1"/>
  <c r="C39" i="1"/>
  <c r="D39" i="1"/>
  <c r="E39" i="1"/>
  <c r="F39" i="1"/>
  <c r="G39" i="1"/>
  <c r="H39" i="1"/>
  <c r="I39" i="1"/>
  <c r="J39" i="1"/>
  <c r="K39" i="1"/>
  <c r="L39" i="1"/>
  <c r="M39" i="1"/>
  <c r="N39" i="1"/>
  <c r="C46" i="1"/>
  <c r="D46" i="1"/>
  <c r="E46" i="1"/>
  <c r="F46" i="1"/>
  <c r="G46" i="1"/>
  <c r="H46" i="1"/>
  <c r="I46" i="1"/>
  <c r="J46" i="1"/>
  <c r="K46" i="1"/>
  <c r="L46" i="1"/>
  <c r="M46" i="1"/>
  <c r="N46" i="1"/>
  <c r="C48" i="1"/>
  <c r="C49" i="1"/>
  <c r="C50" i="1"/>
  <c r="C51" i="1"/>
  <c r="C52" i="1"/>
  <c r="C53" i="1"/>
  <c r="C54" i="1"/>
  <c r="C56" i="1"/>
  <c r="C57" i="1"/>
  <c r="C58" i="1"/>
  <c r="C60" i="1"/>
  <c r="C61" i="1"/>
  <c r="C62" i="1"/>
  <c r="C63" i="1"/>
  <c r="C65" i="1"/>
  <c r="C66" i="1"/>
  <c r="C67" i="1"/>
  <c r="C69" i="1"/>
  <c r="C70" i="1"/>
  <c r="C71" i="1"/>
</calcChain>
</file>

<file path=xl/sharedStrings.xml><?xml version="1.0" encoding="utf-8"?>
<sst xmlns="http://schemas.openxmlformats.org/spreadsheetml/2006/main" count="77" uniqueCount="63">
  <si>
    <t>Instructional Technology Inventory</t>
  </si>
  <si>
    <t>School Year:</t>
  </si>
  <si>
    <t xml:space="preserve">Technology can have a positive impact on student achievement when </t>
  </si>
  <si>
    <t>Date Completed:</t>
  </si>
  <si>
    <t>there is ubiquitous access to hardware for all students and staff.</t>
  </si>
  <si>
    <t>The purpose of this inventory is to:</t>
  </si>
  <si>
    <t>* Determine equity access across grade levels by students and staff</t>
  </si>
  <si>
    <t>* Identify aging hardware</t>
  </si>
  <si>
    <t>* Determine tool capacity for "standard" hardware * (Models MS-DOS 486 or Mac 040 processor or above)</t>
  </si>
  <si>
    <t>District</t>
  </si>
  <si>
    <t>Buildings</t>
  </si>
  <si>
    <t>Total</t>
  </si>
  <si>
    <t>Number of Students</t>
  </si>
  <si>
    <t>Computers</t>
  </si>
  <si>
    <t>Apple IIe/GS</t>
  </si>
  <si>
    <t>Mac LC II or earlier</t>
  </si>
  <si>
    <t>MAC LC III or later</t>
  </si>
  <si>
    <t>Powerbook (Laptops)</t>
  </si>
  <si>
    <t>Terminals</t>
  </si>
  <si>
    <t>MS-DOS 386 or earlier</t>
  </si>
  <si>
    <t>MS-DOS 486 or later</t>
  </si>
  <si>
    <t>DOS/Windows Laptop</t>
  </si>
  <si>
    <t>Other</t>
  </si>
  <si>
    <t>TOTAL</t>
  </si>
  <si>
    <t>% Student/All Workstations</t>
  </si>
  <si>
    <t>% of Workstations in District</t>
  </si>
  <si>
    <t>Classrooms</t>
  </si>
  <si>
    <t>Computer Labs</t>
  </si>
  <si>
    <t>Media Center</t>
  </si>
  <si>
    <t>Administrative Offices</t>
  </si>
  <si>
    <t>Printers</t>
  </si>
  <si>
    <t>Dot Matrix Printers</t>
  </si>
  <si>
    <t>Inkjet Printers</t>
  </si>
  <si>
    <t>Laser Printers</t>
  </si>
  <si>
    <t>Poster Printers</t>
  </si>
  <si>
    <t>% of Students/Printers</t>
  </si>
  <si>
    <t>Peripherals</t>
  </si>
  <si>
    <t>CD ROM Drives</t>
  </si>
  <si>
    <t>Laser Disc Player</t>
  </si>
  <si>
    <t>Scanner</t>
  </si>
  <si>
    <t>Smart Keyboards (AlphaSmarts)</t>
  </si>
  <si>
    <t>Graphics, Tablets, Digital Cameras (PhotoMan, Quicktake)</t>
  </si>
  <si>
    <t>Video Camera</t>
  </si>
  <si>
    <t>Telecommunications</t>
  </si>
  <si>
    <t>Modem 9600 baud or less</t>
  </si>
  <si>
    <t>Modem &gt; 9600 baud</t>
  </si>
  <si>
    <t>NetModem</t>
  </si>
  <si>
    <t>Projection Devices</t>
  </si>
  <si>
    <t>LCD Panel (B &amp; W)</t>
  </si>
  <si>
    <t>LCD Panels (Color)</t>
  </si>
  <si>
    <t>TV-Projection Devices</t>
  </si>
  <si>
    <t>Large Projection Devices</t>
  </si>
  <si>
    <t>Television</t>
  </si>
  <si>
    <t>Stand Alone</t>
  </si>
  <si>
    <t>Cable Connection</t>
  </si>
  <si>
    <t>VCR</t>
  </si>
  <si>
    <t>Calcultors</t>
  </si>
  <si>
    <t>Graphing Calculators</t>
  </si>
  <si>
    <t>Satellite Dish</t>
  </si>
  <si>
    <t>Answer Yes or No</t>
  </si>
  <si>
    <t>Automated Circulation</t>
  </si>
  <si>
    <t>Automated Catalog System</t>
  </si>
  <si>
    <t>District Wide Circulation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</si>
</sst>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</font>
    <font>
      <sz val="12"/>
      <color indexed="9"/>
      <name val="Arial Rounded MT Bold"/>
      <family val="2"/>
    </font>
    <font>
      <sz val="14"/>
      <color indexed="9"/>
      <name val="Arial Rounded MT Bold"/>
      <family val="2"/>
    </font>
    <font>
      <b/>
      <sz val="1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3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Continuous"/>
    </xf>
    <xf numFmtId="0" fontId="0" fillId="2" borderId="0" xfId="0" applyFill="1"/>
    <xf numFmtId="0" fontId="0" fillId="0" borderId="0" xfId="0" applyAlignment="1">
      <alignment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0" fillId="0" borderId="1" xfId="0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4" fillId="0" borderId="0" xfId="0" applyFont="1"/>
    <xf numFmtId="0" fontId="0" fillId="0" borderId="0" xfId="0" applyBorder="1"/>
    <xf numFmtId="0" fontId="0" fillId="0" borderId="0" xfId="0" applyBorder="1" applyAlignment="1">
      <alignment horizontal="center"/>
    </xf>
    <xf numFmtId="10" fontId="0" fillId="0" borderId="0" xfId="0" applyNumberFormat="1"/>
    <xf numFmtId="10" fontId="5" fillId="0" borderId="1" xfId="0" applyNumberFormat="1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0" fillId="0" borderId="2" xfId="0" applyBorder="1"/>
    <xf numFmtId="0" fontId="0" fillId="0" borderId="0" xfId="0" applyFill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6"/>
  <sheetViews>
    <sheetView showZeros="0" tabSelected="1" topLeftCell="D32" workbookViewId="0">
      <selection activeCell="D46" sqref="D46"/>
    </sheetView>
  </sheetViews>
  <sheetFormatPr defaultRowHeight="12.5" x14ac:dyDescent="0.25"/>
  <cols>
    <col min="2" max="2" width="27.7265625" customWidth="1"/>
    <col min="4" max="11" width="7.26953125" customWidth="1"/>
    <col min="12" max="12" width="7" customWidth="1"/>
    <col min="13" max="14" width="7.26953125" customWidth="1"/>
  </cols>
  <sheetData>
    <row r="1" spans="1:58" ht="17.5" x14ac:dyDescent="0.35">
      <c r="A1" s="13"/>
      <c r="B1" s="14"/>
      <c r="C1" s="14"/>
      <c r="D1" s="15"/>
      <c r="E1" s="2" t="s">
        <v>0</v>
      </c>
      <c r="F1" s="14"/>
      <c r="G1" s="15"/>
      <c r="H1" s="14"/>
      <c r="I1" s="3"/>
      <c r="J1" s="3"/>
      <c r="K1" s="3"/>
      <c r="L1" s="1"/>
      <c r="M1" s="3"/>
      <c r="N1" s="3"/>
      <c r="O1" s="25"/>
    </row>
    <row r="2" spans="1:58" x14ac:dyDescent="0.25">
      <c r="J2" t="s">
        <v>1</v>
      </c>
      <c r="L2" s="24"/>
      <c r="M2" s="24"/>
    </row>
    <row r="3" spans="1:58" x14ac:dyDescent="0.25">
      <c r="A3" t="s">
        <v>2</v>
      </c>
      <c r="B3" s="4"/>
      <c r="J3" t="s">
        <v>3</v>
      </c>
      <c r="L3" s="24"/>
      <c r="M3" s="24"/>
    </row>
    <row r="4" spans="1:58" x14ac:dyDescent="0.25">
      <c r="A4" t="s">
        <v>4</v>
      </c>
    </row>
    <row r="6" spans="1:58" x14ac:dyDescent="0.25">
      <c r="A6" t="s">
        <v>5</v>
      </c>
      <c r="C6" t="s">
        <v>6</v>
      </c>
    </row>
    <row r="7" spans="1:58" x14ac:dyDescent="0.25">
      <c r="C7" t="s">
        <v>7</v>
      </c>
    </row>
    <row r="8" spans="1:58" x14ac:dyDescent="0.25">
      <c r="C8" t="s">
        <v>8</v>
      </c>
    </row>
    <row r="10" spans="1:58" ht="14" x14ac:dyDescent="0.3">
      <c r="C10" s="26" t="s">
        <v>9</v>
      </c>
      <c r="E10" s="5"/>
      <c r="G10" s="18" t="s">
        <v>10</v>
      </c>
      <c r="I10" s="6"/>
    </row>
    <row r="11" spans="1:58" ht="14" x14ac:dyDescent="0.3">
      <c r="A11" s="7"/>
      <c r="B11" s="7"/>
      <c r="C11" s="27" t="s">
        <v>11</v>
      </c>
      <c r="D11" s="28">
        <v>1</v>
      </c>
      <c r="E11" s="28">
        <v>2</v>
      </c>
      <c r="F11" s="29">
        <v>3</v>
      </c>
      <c r="G11" s="29">
        <v>4</v>
      </c>
      <c r="H11" s="29">
        <v>5</v>
      </c>
      <c r="I11" s="29">
        <v>6</v>
      </c>
      <c r="J11" s="29">
        <v>7</v>
      </c>
      <c r="K11" s="29">
        <v>8</v>
      </c>
      <c r="L11" s="29">
        <v>9</v>
      </c>
      <c r="M11" s="30">
        <v>10</v>
      </c>
      <c r="N11" s="31">
        <v>11</v>
      </c>
    </row>
    <row r="12" spans="1:58" s="11" customFormat="1" ht="13.5" thickBot="1" x14ac:dyDescent="0.35">
      <c r="A12" s="10" t="s">
        <v>12</v>
      </c>
      <c r="B12" s="10"/>
      <c r="C12" s="16">
        <f>SUM(D12:N12)</f>
        <v>0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</row>
    <row r="13" spans="1:58" ht="13" x14ac:dyDescent="0.3">
      <c r="A13" s="7" t="s">
        <v>13</v>
      </c>
      <c r="B13" s="7"/>
    </row>
    <row r="14" spans="1:58" x14ac:dyDescent="0.25">
      <c r="B14" t="s">
        <v>14</v>
      </c>
      <c r="C14" s="12">
        <f t="shared" ref="C14:C15" si="0">SUM(D14:N14)</f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58" x14ac:dyDescent="0.25">
      <c r="B15" t="s">
        <v>15</v>
      </c>
      <c r="C15" s="12">
        <f t="shared" si="0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58" x14ac:dyDescent="0.25">
      <c r="B16" t="s">
        <v>16</v>
      </c>
      <c r="C16" s="12">
        <f t="shared" ref="C16:C22" si="1">SUM(D16:N16)</f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5" x14ac:dyDescent="0.25">
      <c r="B17" t="s">
        <v>17</v>
      </c>
      <c r="C17" s="12">
        <f t="shared" si="1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5" x14ac:dyDescent="0.25">
      <c r="B18" t="s">
        <v>18</v>
      </c>
      <c r="C18" s="12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5" x14ac:dyDescent="0.25">
      <c r="B19" t="s">
        <v>19</v>
      </c>
      <c r="C19" s="12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5" x14ac:dyDescent="0.25">
      <c r="B20" t="s">
        <v>20</v>
      </c>
      <c r="C20" s="12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5" x14ac:dyDescent="0.25">
      <c r="B21" t="s">
        <v>21</v>
      </c>
      <c r="C21" s="12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5" x14ac:dyDescent="0.25">
      <c r="B22" t="s">
        <v>22</v>
      </c>
      <c r="C22" s="12">
        <f t="shared" si="1"/>
        <v>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5" ht="13" x14ac:dyDescent="0.3">
      <c r="B23" s="7" t="s">
        <v>23</v>
      </c>
      <c r="C23" s="12">
        <f t="shared" ref="C23:D23" si="2">SUM(C14:C22)</f>
        <v>0</v>
      </c>
      <c r="D23" s="12">
        <f t="shared" si="2"/>
        <v>0</v>
      </c>
      <c r="E23" s="12">
        <f t="shared" ref="E23:N23" si="3">SUM(E14:E22)</f>
        <v>0</v>
      </c>
      <c r="F23" s="12">
        <f t="shared" si="3"/>
        <v>0</v>
      </c>
      <c r="G23" s="12">
        <f t="shared" si="3"/>
        <v>0</v>
      </c>
      <c r="H23" s="12">
        <f t="shared" si="3"/>
        <v>0</v>
      </c>
      <c r="I23" s="12">
        <f t="shared" si="3"/>
        <v>0</v>
      </c>
      <c r="J23" s="12">
        <f t="shared" si="3"/>
        <v>0</v>
      </c>
      <c r="K23" s="12">
        <f t="shared" si="3"/>
        <v>0</v>
      </c>
      <c r="L23" s="12">
        <f t="shared" si="3"/>
        <v>0</v>
      </c>
      <c r="M23" s="12">
        <f t="shared" si="3"/>
        <v>0</v>
      </c>
      <c r="N23" s="12">
        <f t="shared" si="3"/>
        <v>0</v>
      </c>
    </row>
    <row r="24" spans="1:15" s="19" customFormat="1" ht="13.5" thickBot="1" x14ac:dyDescent="0.35">
      <c r="A24" s="10" t="s">
        <v>24</v>
      </c>
      <c r="B24" s="10"/>
      <c r="C24" s="17" t="e">
        <f t="shared" ref="C24:D24" si="4">SUM(C12/C23)/100</f>
        <v>#DIV/0!</v>
      </c>
      <c r="D24" s="17" t="e">
        <f t="shared" si="4"/>
        <v>#DIV/0!</v>
      </c>
      <c r="E24" s="22" t="e">
        <f t="shared" ref="E24:N24" si="5">SUM(E12/E23)/100</f>
        <v>#DIV/0!</v>
      </c>
      <c r="F24" s="22" t="e">
        <f t="shared" si="5"/>
        <v>#DIV/0!</v>
      </c>
      <c r="G24" s="22" t="e">
        <f t="shared" si="5"/>
        <v>#DIV/0!</v>
      </c>
      <c r="H24" s="22" t="e">
        <f t="shared" si="5"/>
        <v>#DIV/0!</v>
      </c>
      <c r="I24" s="22" t="e">
        <f t="shared" si="5"/>
        <v>#DIV/0!</v>
      </c>
      <c r="J24" s="22" t="e">
        <f t="shared" si="5"/>
        <v>#DIV/0!</v>
      </c>
      <c r="K24" s="22" t="e">
        <f t="shared" si="5"/>
        <v>#DIV/0!</v>
      </c>
      <c r="L24" s="22" t="e">
        <f t="shared" si="5"/>
        <v>#DIV/0!</v>
      </c>
      <c r="M24" s="22" t="e">
        <f t="shared" si="5"/>
        <v>#DIV/0!</v>
      </c>
      <c r="N24" s="22" t="e">
        <f t="shared" si="5"/>
        <v>#DIV/0!</v>
      </c>
    </row>
    <row r="25" spans="1:15" ht="13" x14ac:dyDescent="0.3">
      <c r="A25" s="7" t="s">
        <v>25</v>
      </c>
      <c r="B25" s="7"/>
      <c r="D25" s="7"/>
      <c r="E25" s="7"/>
      <c r="F25" s="7"/>
    </row>
    <row r="26" spans="1:15" x14ac:dyDescent="0.25">
      <c r="A26" s="21" t="e">
        <f>C26/$C$31</f>
        <v>#DIV/0!</v>
      </c>
      <c r="B26" t="s">
        <v>26</v>
      </c>
      <c r="C26" s="12">
        <f>SUM(D26:N26)</f>
        <v>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1:15" x14ac:dyDescent="0.25">
      <c r="A27" s="21" t="e">
        <f t="shared" ref="A27:A30" si="6">C27/$C$31</f>
        <v>#DIV/0!</v>
      </c>
      <c r="B27" t="s">
        <v>27</v>
      </c>
      <c r="C27" s="12">
        <f t="shared" ref="C27:C30" si="7">SUM(D27:N27)</f>
        <v>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x14ac:dyDescent="0.25">
      <c r="A28" s="21" t="e">
        <f t="shared" si="6"/>
        <v>#DIV/0!</v>
      </c>
      <c r="B28" t="s">
        <v>28</v>
      </c>
      <c r="C28" s="12">
        <f t="shared" si="7"/>
        <v>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x14ac:dyDescent="0.25">
      <c r="A29" s="21" t="e">
        <f t="shared" si="6"/>
        <v>#DIV/0!</v>
      </c>
      <c r="B29" t="s">
        <v>29</v>
      </c>
      <c r="C29" s="12">
        <f t="shared" si="7"/>
        <v>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15" s="19" customFormat="1" x14ac:dyDescent="0.25">
      <c r="A30" s="21" t="e">
        <f t="shared" si="6"/>
        <v>#DIV/0!</v>
      </c>
      <c r="B30" s="19" t="s">
        <v>22</v>
      </c>
      <c r="C30" s="12">
        <f t="shared" si="7"/>
        <v>0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1:15" s="19" customFormat="1" ht="13.5" thickBot="1" x14ac:dyDescent="0.35">
      <c r="A31" s="11"/>
      <c r="B31" s="10" t="s">
        <v>11</v>
      </c>
      <c r="C31" s="16">
        <f t="shared" ref="C31:E31" si="8">SUM(C26:C30)</f>
        <v>0</v>
      </c>
      <c r="D31" s="16">
        <f t="shared" si="8"/>
        <v>0</v>
      </c>
      <c r="E31" s="16">
        <f t="shared" si="8"/>
        <v>0</v>
      </c>
      <c r="F31" s="16">
        <f t="shared" ref="F31:N31" si="9">SUM(F26:F30)</f>
        <v>0</v>
      </c>
      <c r="G31" s="16">
        <f t="shared" si="9"/>
        <v>0</v>
      </c>
      <c r="H31" s="16">
        <f t="shared" si="9"/>
        <v>0</v>
      </c>
      <c r="I31" s="16">
        <f t="shared" si="9"/>
        <v>0</v>
      </c>
      <c r="J31" s="16">
        <f t="shared" si="9"/>
        <v>0</v>
      </c>
      <c r="K31" s="16">
        <f t="shared" si="9"/>
        <v>0</v>
      </c>
      <c r="L31" s="16">
        <f t="shared" si="9"/>
        <v>0</v>
      </c>
      <c r="M31" s="16">
        <f t="shared" si="9"/>
        <v>0</v>
      </c>
      <c r="N31" s="16">
        <f t="shared" si="9"/>
        <v>0</v>
      </c>
      <c r="O31" s="20"/>
    </row>
    <row r="32" spans="1:15" ht="13" x14ac:dyDescent="0.3">
      <c r="A32" s="7" t="s">
        <v>30</v>
      </c>
      <c r="B32" s="7"/>
    </row>
    <row r="33" spans="1:15" x14ac:dyDescent="0.25">
      <c r="B33" t="s">
        <v>31</v>
      </c>
      <c r="C33" s="12">
        <f t="shared" ref="C33:C37" si="10">SUM(D33:N33)</f>
        <v>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25">
      <c r="B34" t="s">
        <v>32</v>
      </c>
      <c r="C34" s="12">
        <f t="shared" si="10"/>
        <v>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25">
      <c r="B35" t="s">
        <v>33</v>
      </c>
      <c r="C35" s="12">
        <f t="shared" si="10"/>
        <v>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25">
      <c r="B36" t="s">
        <v>34</v>
      </c>
      <c r="C36" s="12">
        <f t="shared" si="10"/>
        <v>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25">
      <c r="B37" t="s">
        <v>22</v>
      </c>
      <c r="C37" s="12">
        <f t="shared" si="10"/>
        <v>0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ht="13" x14ac:dyDescent="0.3">
      <c r="B38" s="7" t="s">
        <v>23</v>
      </c>
      <c r="C38" s="12">
        <f>SUM(C33:C37)</f>
        <v>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ht="13" x14ac:dyDescent="0.3">
      <c r="A39" s="7" t="s">
        <v>35</v>
      </c>
      <c r="B39" s="7"/>
      <c r="C39" s="23" t="e">
        <f>SUM(C38/$C$12)</f>
        <v>#DIV/0!</v>
      </c>
      <c r="D39" s="23" t="e">
        <f t="shared" ref="D39:N39" si="11">SUM(D38/$C$12)</f>
        <v>#DIV/0!</v>
      </c>
      <c r="E39" s="23" t="e">
        <f t="shared" si="11"/>
        <v>#DIV/0!</v>
      </c>
      <c r="F39" s="23" t="e">
        <f t="shared" si="11"/>
        <v>#DIV/0!</v>
      </c>
      <c r="G39" s="23" t="e">
        <f t="shared" si="11"/>
        <v>#DIV/0!</v>
      </c>
      <c r="H39" s="23" t="e">
        <f t="shared" si="11"/>
        <v>#DIV/0!</v>
      </c>
      <c r="I39" s="23" t="e">
        <f t="shared" si="11"/>
        <v>#DIV/0!</v>
      </c>
      <c r="J39" s="23" t="e">
        <f t="shared" si="11"/>
        <v>#DIV/0!</v>
      </c>
      <c r="K39" s="23" t="e">
        <f t="shared" si="11"/>
        <v>#DIV/0!</v>
      </c>
      <c r="L39" s="23" t="e">
        <f t="shared" si="11"/>
        <v>#DIV/0!</v>
      </c>
      <c r="M39" s="23" t="e">
        <f t="shared" si="11"/>
        <v>#DIV/0!</v>
      </c>
      <c r="N39" s="23" t="e">
        <f t="shared" si="11"/>
        <v>#DIV/0!</v>
      </c>
      <c r="O39" s="20"/>
    </row>
    <row r="40" spans="1:15" ht="17.5" x14ac:dyDescent="0.35">
      <c r="A40" s="13"/>
      <c r="B40" s="14"/>
      <c r="C40" s="14"/>
      <c r="D40" s="15"/>
      <c r="E40" s="2" t="s">
        <v>0</v>
      </c>
      <c r="F40" s="14"/>
      <c r="G40" s="15"/>
      <c r="H40" s="14"/>
      <c r="I40" s="3"/>
      <c r="J40" s="3"/>
      <c r="K40" s="3"/>
      <c r="L40" s="1"/>
      <c r="M40" s="3"/>
      <c r="N40" s="3"/>
      <c r="O40" s="25"/>
    </row>
    <row r="41" spans="1:15" x14ac:dyDescent="0.25">
      <c r="J41" t="s">
        <v>1</v>
      </c>
      <c r="L41" s="24"/>
      <c r="M41" s="24"/>
    </row>
    <row r="42" spans="1:15" x14ac:dyDescent="0.25">
      <c r="J42" t="s">
        <v>3</v>
      </c>
      <c r="L42" s="24"/>
      <c r="M42" s="24"/>
    </row>
    <row r="44" spans="1:15" ht="14" x14ac:dyDescent="0.3">
      <c r="C44" s="26" t="s">
        <v>9</v>
      </c>
      <c r="G44" s="6" t="s">
        <v>10</v>
      </c>
    </row>
    <row r="45" spans="1:15" ht="14" x14ac:dyDescent="0.3">
      <c r="A45" s="7"/>
      <c r="C45" s="27" t="s">
        <v>11</v>
      </c>
      <c r="D45" s="29">
        <v>1</v>
      </c>
      <c r="E45" s="29">
        <v>2</v>
      </c>
      <c r="F45" s="29">
        <v>3</v>
      </c>
      <c r="G45" s="29">
        <v>4</v>
      </c>
      <c r="H45" s="29">
        <v>5</v>
      </c>
      <c r="I45" s="29">
        <v>6</v>
      </c>
      <c r="J45" s="29">
        <v>7</v>
      </c>
      <c r="K45" s="29">
        <v>8</v>
      </c>
      <c r="L45" s="29">
        <v>9</v>
      </c>
      <c r="M45" s="30">
        <v>10</v>
      </c>
      <c r="N45" s="30">
        <v>11</v>
      </c>
    </row>
    <row r="46" spans="1:15" s="19" customFormat="1" ht="13.5" thickBot="1" x14ac:dyDescent="0.35">
      <c r="A46" s="10" t="s">
        <v>12</v>
      </c>
      <c r="B46" s="10"/>
      <c r="C46" s="11">
        <f t="shared" ref="C46:N46" si="12">C12</f>
        <v>0</v>
      </c>
      <c r="D46" s="11">
        <f t="shared" si="12"/>
        <v>0</v>
      </c>
      <c r="E46" s="11">
        <f t="shared" si="12"/>
        <v>0</v>
      </c>
      <c r="F46" s="11">
        <f t="shared" si="12"/>
        <v>0</v>
      </c>
      <c r="G46" s="11">
        <f t="shared" si="12"/>
        <v>0</v>
      </c>
      <c r="H46" s="11">
        <f t="shared" si="12"/>
        <v>0</v>
      </c>
      <c r="I46" s="11">
        <f t="shared" si="12"/>
        <v>0</v>
      </c>
      <c r="J46" s="11">
        <f t="shared" si="12"/>
        <v>0</v>
      </c>
      <c r="K46" s="11">
        <f t="shared" si="12"/>
        <v>0</v>
      </c>
      <c r="L46" s="11">
        <f t="shared" si="12"/>
        <v>0</v>
      </c>
      <c r="M46" s="11">
        <f t="shared" si="12"/>
        <v>0</v>
      </c>
      <c r="N46" s="11">
        <f t="shared" si="12"/>
        <v>0</v>
      </c>
    </row>
    <row r="47" spans="1:15" ht="13" x14ac:dyDescent="0.3">
      <c r="A47" s="7" t="s">
        <v>36</v>
      </c>
    </row>
    <row r="48" spans="1:15" x14ac:dyDescent="0.25">
      <c r="B48" t="s">
        <v>37</v>
      </c>
      <c r="C48" s="12">
        <f>SUM(D48:N48)</f>
        <v>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5" x14ac:dyDescent="0.25">
      <c r="B49" t="s">
        <v>38</v>
      </c>
      <c r="C49" s="12">
        <f t="shared" ref="C49:C54" si="13">SUM(D49:N49)</f>
        <v>0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1:15" x14ac:dyDescent="0.25">
      <c r="B50" t="s">
        <v>39</v>
      </c>
      <c r="C50" s="12">
        <f t="shared" si="13"/>
        <v>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5" x14ac:dyDescent="0.25">
      <c r="B51" t="s">
        <v>40</v>
      </c>
      <c r="C51" s="12">
        <f t="shared" si="13"/>
        <v>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5" ht="25" x14ac:dyDescent="0.25">
      <c r="B52" s="8" t="s">
        <v>41</v>
      </c>
      <c r="C52" s="12">
        <f t="shared" si="13"/>
        <v>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5" x14ac:dyDescent="0.25">
      <c r="B53" t="s">
        <v>42</v>
      </c>
      <c r="C53" s="12">
        <f t="shared" si="13"/>
        <v>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5" s="19" customFormat="1" ht="13" thickBot="1" x14ac:dyDescent="0.3">
      <c r="A54" s="11"/>
      <c r="B54" s="11" t="s">
        <v>22</v>
      </c>
      <c r="C54" s="16">
        <f t="shared" si="13"/>
        <v>0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5" ht="13" x14ac:dyDescent="0.3">
      <c r="A55" s="7" t="s">
        <v>43</v>
      </c>
      <c r="B55" s="7"/>
    </row>
    <row r="56" spans="1:15" x14ac:dyDescent="0.25">
      <c r="B56" t="s">
        <v>44</v>
      </c>
      <c r="C56" s="12">
        <f>SUM(D56:N56)</f>
        <v>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5" x14ac:dyDescent="0.25">
      <c r="B57" t="s">
        <v>45</v>
      </c>
      <c r="C57" s="12">
        <f t="shared" ref="C57:C58" si="14">SUM(D57:N57)</f>
        <v>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1:15" s="19" customFormat="1" ht="13" thickBot="1" x14ac:dyDescent="0.3">
      <c r="A58" s="11"/>
      <c r="B58" s="11" t="s">
        <v>46</v>
      </c>
      <c r="C58" s="16">
        <f t="shared" si="14"/>
        <v>0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5" ht="13" x14ac:dyDescent="0.3">
      <c r="A59" s="7" t="s">
        <v>47</v>
      </c>
    </row>
    <row r="60" spans="1:15" x14ac:dyDescent="0.25">
      <c r="B60" t="s">
        <v>48</v>
      </c>
      <c r="C60" s="12">
        <f>SUM(D60:N60)</f>
        <v>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25">
      <c r="B61" t="s">
        <v>49</v>
      </c>
      <c r="C61" s="12">
        <f t="shared" ref="C61:C63" si="15">SUM(D61:N61)</f>
        <v>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1:15" x14ac:dyDescent="0.25">
      <c r="B62" t="s">
        <v>50</v>
      </c>
      <c r="C62" s="12">
        <f t="shared" si="15"/>
        <v>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spans="1:15" s="19" customFormat="1" ht="13" thickBot="1" x14ac:dyDescent="0.3">
      <c r="A63" s="11"/>
      <c r="B63" s="11" t="s">
        <v>51</v>
      </c>
      <c r="C63" s="16">
        <f t="shared" si="15"/>
        <v>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20"/>
    </row>
    <row r="64" spans="1:15" ht="13" x14ac:dyDescent="0.3">
      <c r="A64" s="7" t="s">
        <v>52</v>
      </c>
    </row>
    <row r="65" spans="1:15" x14ac:dyDescent="0.25">
      <c r="B65" t="s">
        <v>53</v>
      </c>
      <c r="C65" s="12">
        <f>SUM(D65:N65)</f>
        <v>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1:15" x14ac:dyDescent="0.25">
      <c r="B66" t="s">
        <v>54</v>
      </c>
      <c r="C66" s="12">
        <f t="shared" ref="C66:C67" si="16">SUM(D66:N66)</f>
        <v>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s="19" customFormat="1" ht="13" thickBot="1" x14ac:dyDescent="0.3">
      <c r="A67" s="11"/>
      <c r="B67" s="11" t="s">
        <v>55</v>
      </c>
      <c r="C67" s="16">
        <f t="shared" si="16"/>
        <v>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20"/>
    </row>
    <row r="68" spans="1:15" ht="13" x14ac:dyDescent="0.3">
      <c r="A68" s="7" t="s">
        <v>22</v>
      </c>
    </row>
    <row r="69" spans="1:15" x14ac:dyDescent="0.25">
      <c r="B69" t="s">
        <v>56</v>
      </c>
      <c r="C69" s="12">
        <f t="shared" ref="C69:C71" si="17">SUM(D69:N69)</f>
        <v>0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25">
      <c r="B70" t="s">
        <v>57</v>
      </c>
      <c r="C70" s="12">
        <f t="shared" si="17"/>
        <v>0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s="19" customFormat="1" ht="13" thickBot="1" x14ac:dyDescent="0.3">
      <c r="A71" s="11"/>
      <c r="B71" s="11" t="s">
        <v>58</v>
      </c>
      <c r="C71" s="16">
        <f t="shared" si="17"/>
        <v>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20"/>
    </row>
    <row r="72" spans="1:15" ht="13" x14ac:dyDescent="0.3">
      <c r="A72" s="7" t="s">
        <v>28</v>
      </c>
    </row>
    <row r="73" spans="1:15" ht="13" x14ac:dyDescent="0.3">
      <c r="A73" s="7"/>
      <c r="B73" s="9" t="s">
        <v>59</v>
      </c>
    </row>
    <row r="74" spans="1:15" x14ac:dyDescent="0.25">
      <c r="B74" t="s">
        <v>60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25">
      <c r="B75" t="s">
        <v>61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25">
      <c r="B76" t="s">
        <v>62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</sheetData>
  <dataConsolidate/>
  <printOptions gridLines="1" gridLinesSet="0"/>
  <pageMargins left="0.5" right="0.5" top="0.5" bottom="0.5" header="0.5" footer="0.5"/>
  <pageSetup orientation="landscape" horizontalDpi="4294967292" r:id="rId1"/>
  <headerFooter alignWithMargins="0">
    <oddFooter>&amp;Liti.xls&amp;CPage &amp;P</oddFooter>
  </headerFooter>
  <rowBreaks count="1" manualBreakCount="1">
    <brk id="39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Instructional Technology Inventory</dc:title>
  <dc:subject/>
  <dc:creator>Mary Johnson</dc:creator>
  <cp:keywords/>
  <dc:description/>
  <cp:lastModifiedBy>Carina Negreanu</cp:lastModifiedBy>
  <cp:lastPrinted>1997-10-28T19:19:01Z</cp:lastPrinted>
  <dcterms:created xsi:type="dcterms:W3CDTF">2020-01-27T10:31:41Z</dcterms:created>
  <dcterms:modified xsi:type="dcterms:W3CDTF">2020-01-27T10:31:42Z</dcterms:modified>
</cp:coreProperties>
</file>