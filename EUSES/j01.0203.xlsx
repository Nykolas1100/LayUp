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ate1904="1"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331BC2CB-76C9-4D87-BFA0-C070C6AF573A}" xr6:coauthVersionLast="45" xr6:coauthVersionMax="45" xr10:uidLastSave="{00000000-0000-0000-0000-000000000000}"/>
  <bookViews>
    <workbookView xWindow="3420" yWindow="3420" windowWidth="28800" windowHeight="15460"/>
  </bookViews>
  <sheets>
    <sheet name="j01" sheetId="1" r:id="rId1"/>
  </sheets>
  <definedNames>
    <definedName name="_xlnm.Print_Area" localSheetId="0">'j01'!$A$1:$D$94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41" i="1" l="1"/>
  <c r="B8" i="1" s="1"/>
  <c r="B87" i="1" s="1"/>
  <c r="C41" i="1"/>
  <c r="C8" i="1" s="1"/>
  <c r="C87" i="1" s="1"/>
  <c r="B64" i="1"/>
  <c r="C64" i="1"/>
  <c r="B72" i="1"/>
  <c r="C72" i="1"/>
  <c r="B79" i="1"/>
  <c r="C79" i="1"/>
  <c r="B83" i="1"/>
  <c r="C83" i="1"/>
</calcChain>
</file>

<file path=xl/sharedStrings.xml><?xml version="1.0" encoding="utf-8"?>
<sst xmlns="http://schemas.openxmlformats.org/spreadsheetml/2006/main" count="109" uniqueCount="94">
  <si>
    <t>TABLE J-1</t>
  </si>
  <si>
    <t>SIMON FRASER UNIVERSITY SPACE INVENTORY</t>
  </si>
  <si>
    <t>NASM - Net Assignable</t>
  </si>
  <si>
    <t>GASM - Gross Area</t>
  </si>
  <si>
    <t>Date of Occupancy</t>
  </si>
  <si>
    <t>Building</t>
  </si>
  <si>
    <t>(in square metres)</t>
  </si>
  <si>
    <t>(original plus additions)</t>
  </si>
  <si>
    <t>1965/67</t>
  </si>
  <si>
    <t>1965/76</t>
  </si>
  <si>
    <t>1970/78</t>
  </si>
  <si>
    <t>1965/70/72</t>
  </si>
  <si>
    <t>1972/90</t>
  </si>
  <si>
    <t>1971/82/90</t>
  </si>
  <si>
    <t>1973/96</t>
  </si>
  <si>
    <t>1978/83</t>
  </si>
  <si>
    <t>1965/80</t>
  </si>
  <si>
    <t>1980/91</t>
  </si>
  <si>
    <t>COU 1-16 Subtotal</t>
  </si>
  <si>
    <t>1977/95</t>
  </si>
  <si>
    <t>1965/94</t>
  </si>
  <si>
    <t>COU 17-21 Subtotal</t>
  </si>
  <si>
    <t>SIMON FRASER UNIVERSITY SPACE INVENTORY (cont.)</t>
  </si>
  <si>
    <t>1989/92/94</t>
  </si>
  <si>
    <t>Complete Inventory</t>
  </si>
  <si>
    <t>Notes:</t>
  </si>
  <si>
    <t>a) Totals may not add due to rounding.</t>
  </si>
  <si>
    <t>Source:  Facilities Management</t>
  </si>
  <si>
    <t>1971/2002</t>
  </si>
  <si>
    <t>b) Information as of March, 2003.</t>
  </si>
  <si>
    <t>BURNABY CAMPUS</t>
  </si>
  <si>
    <t xml:space="preserve">  Academic Quadrangle</t>
  </si>
  <si>
    <t xml:space="preserve">  Alcan Aquatic Research</t>
  </si>
  <si>
    <t xml:space="preserve">  Applied Science Bldg</t>
  </si>
  <si>
    <t xml:space="preserve">  Archaeology Trailer</t>
  </si>
  <si>
    <t xml:space="preserve">  Bee Research Bldg</t>
  </si>
  <si>
    <t xml:space="preserve">  Chancellor Gym Centre</t>
  </si>
  <si>
    <t xml:space="preserve">  Convocation Mall</t>
  </si>
  <si>
    <t xml:space="preserve">  Diamond Univ Centre</t>
  </si>
  <si>
    <t xml:space="preserve">  East Academic Annex</t>
  </si>
  <si>
    <t xml:space="preserve">  East Campus Trailers</t>
  </si>
  <si>
    <t xml:space="preserve">  East Concourse Cafeteria</t>
  </si>
  <si>
    <t xml:space="preserve">  East Theatre Annex</t>
  </si>
  <si>
    <t xml:space="preserve">  Education Building</t>
  </si>
  <si>
    <t xml:space="preserve">  Facilities Management</t>
  </si>
  <si>
    <t xml:space="preserve">  Greenhouses</t>
  </si>
  <si>
    <t xml:space="preserve">  Halpern Centre</t>
  </si>
  <si>
    <t xml:space="preserve">  Maggie Benston SS Centre</t>
  </si>
  <si>
    <t xml:space="preserve">  Multi-Tenant Facility</t>
  </si>
  <si>
    <t xml:space="preserve">  Robert C. Brown Hall</t>
  </si>
  <si>
    <t xml:space="preserve">  Science Research Annex</t>
  </si>
  <si>
    <t xml:space="preserve">  Shrum Science Bldg B</t>
  </si>
  <si>
    <t xml:space="preserve">  Shrum Science Bldg C</t>
  </si>
  <si>
    <t xml:space="preserve">  Shrum Science Bldg K</t>
  </si>
  <si>
    <t xml:space="preserve">  Shrum Science Bldg P</t>
  </si>
  <si>
    <t xml:space="preserve">  South Science Bldg</t>
  </si>
  <si>
    <t xml:space="preserve">  Strand Hall</t>
  </si>
  <si>
    <t xml:space="preserve">  Transportation Centre</t>
  </si>
  <si>
    <t xml:space="preserve">  University Theatre</t>
  </si>
  <si>
    <t xml:space="preserve">  University Theatre Studios</t>
  </si>
  <si>
    <t xml:space="preserve">  Visitors Parkade</t>
  </si>
  <si>
    <t xml:space="preserve">  WAC Bennett Library</t>
  </si>
  <si>
    <t xml:space="preserve">  West Mall Centre</t>
  </si>
  <si>
    <t xml:space="preserve">  </t>
  </si>
  <si>
    <t xml:space="preserve">  Animal Care Facility</t>
  </si>
  <si>
    <t xml:space="preserve">  Childcare Centre</t>
  </si>
  <si>
    <t xml:space="preserve">  Presidents Residence</t>
  </si>
  <si>
    <t xml:space="preserve">  Pump House</t>
  </si>
  <si>
    <t xml:space="preserve">  R-Hamilton Hall</t>
  </si>
  <si>
    <t xml:space="preserve">  R-Louis Riel House</t>
  </si>
  <si>
    <t xml:space="preserve">  R-Madge Hogarth House</t>
  </si>
  <si>
    <t xml:space="preserve">  R-McTaggart-Cowan Hall</t>
  </si>
  <si>
    <t xml:space="preserve">  R-Shell House</t>
  </si>
  <si>
    <t xml:space="preserve">  R-Townhouse Chilcotin</t>
  </si>
  <si>
    <t xml:space="preserve">  R-Townhouse Cowichan</t>
  </si>
  <si>
    <t xml:space="preserve">  R-Townhouse Kelowna</t>
  </si>
  <si>
    <t xml:space="preserve">  R-Townhouse Kimberley</t>
  </si>
  <si>
    <t xml:space="preserve">  R-Townhouse Kitimat</t>
  </si>
  <si>
    <t xml:space="preserve">  R-Townhouse Penticton</t>
  </si>
  <si>
    <t xml:space="preserve">  R-Townhouse Qualicum</t>
  </si>
  <si>
    <t xml:space="preserve">  R-Townhouse Quesnel</t>
  </si>
  <si>
    <t xml:space="preserve">  R-Townhouse Squamish</t>
  </si>
  <si>
    <t xml:space="preserve">  Service Station</t>
  </si>
  <si>
    <t xml:space="preserve">  Transit Loop Building</t>
  </si>
  <si>
    <t xml:space="preserve">  Water Tower</t>
  </si>
  <si>
    <t xml:space="preserve">  300 - 12 Water Street</t>
  </si>
  <si>
    <t xml:space="preserve">  611 Alexander</t>
  </si>
  <si>
    <t xml:space="preserve">  Centre for Dialogue</t>
  </si>
  <si>
    <t xml:space="preserve">  Harbour Centre</t>
  </si>
  <si>
    <t xml:space="preserve">  Surrey Campus</t>
  </si>
  <si>
    <t xml:space="preserve">  Kamloops Trailers</t>
  </si>
  <si>
    <t>DOWNTOWN CAMPUS</t>
  </si>
  <si>
    <t>SURREY CAMPUS</t>
  </si>
  <si>
    <t>OTHER LOCATIONS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</si>
</sst>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>
    <font>
      <sz val="10"/>
      <name val="Geneva"/>
    </font>
    <font>
      <sz val="9"/>
      <name val="Helvetica"/>
      <family val="2"/>
    </font>
    <font>
      <b/>
      <u/>
      <sz val="9"/>
      <name val="Helvetica"/>
      <family val="2"/>
    </font>
    <font>
      <b/>
      <sz val="9"/>
      <name val="Helvetica"/>
      <family val="2"/>
    </font>
    <font>
      <b/>
      <sz val="8"/>
      <name val="Helvetica"/>
      <family val="2"/>
    </font>
    <font>
      <b/>
      <u/>
      <sz val="8"/>
      <name val="Helvetica"/>
      <family val="2"/>
    </font>
    <font>
      <sz val="8"/>
      <name val="Helvetica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22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/>
    <xf numFmtId="3" fontId="2" fillId="0" borderId="0" xfId="0" applyNumberFormat="1" applyFont="1" applyAlignment="1">
      <alignment horizontal="centerContinuous"/>
    </xf>
    <xf numFmtId="0" fontId="2" fillId="0" borderId="0" xfId="0" applyFont="1" applyAlignment="1">
      <alignment horizontal="centerContinuous"/>
    </xf>
    <xf numFmtId="3" fontId="5" fillId="0" borderId="0" xfId="0" applyNumberFormat="1" applyFont="1" applyAlignment="1">
      <alignment horizontal="centerContinuous"/>
    </xf>
    <xf numFmtId="0" fontId="5" fillId="0" borderId="0" xfId="0" applyFont="1" applyAlignment="1">
      <alignment horizontal="centerContinuous"/>
    </xf>
    <xf numFmtId="0" fontId="6" fillId="0" borderId="0" xfId="0" applyFont="1"/>
    <xf numFmtId="0" fontId="5" fillId="0" borderId="0" xfId="0" applyFont="1" applyAlignment="1"/>
    <xf numFmtId="3" fontId="5" fillId="0" borderId="0" xfId="0" applyNumberFormat="1" applyFont="1" applyAlignment="1"/>
    <xf numFmtId="0" fontId="5" fillId="0" borderId="0" xfId="0" applyFont="1" applyAlignment="1">
      <alignment horizontal="right"/>
    </xf>
    <xf numFmtId="3" fontId="6" fillId="0" borderId="0" xfId="0" applyNumberFormat="1" applyFont="1" applyAlignment="1">
      <alignment horizontal="right"/>
    </xf>
    <xf numFmtId="0" fontId="6" fillId="0" borderId="0" xfId="0" applyFont="1" applyAlignment="1">
      <alignment horizontal="right"/>
    </xf>
    <xf numFmtId="0" fontId="6" fillId="0" borderId="1" xfId="0" applyFont="1" applyBorder="1"/>
    <xf numFmtId="3" fontId="6" fillId="0" borderId="1" xfId="0" applyNumberFormat="1" applyFont="1" applyBorder="1" applyAlignment="1">
      <alignment horizontal="right"/>
    </xf>
    <xf numFmtId="0" fontId="6" fillId="0" borderId="1" xfId="0" applyFont="1" applyBorder="1" applyAlignment="1">
      <alignment horizontal="right"/>
    </xf>
    <xf numFmtId="3" fontId="6" fillId="0" borderId="0" xfId="0" applyNumberFormat="1" applyFont="1"/>
    <xf numFmtId="0" fontId="6" fillId="0" borderId="0" xfId="0" applyFont="1" applyBorder="1"/>
    <xf numFmtId="3" fontId="6" fillId="0" borderId="0" xfId="0" applyNumberFormat="1" applyFont="1" applyBorder="1"/>
    <xf numFmtId="0" fontId="6" fillId="0" borderId="0" xfId="0" applyFont="1" applyBorder="1" applyAlignment="1">
      <alignment horizontal="right"/>
    </xf>
    <xf numFmtId="0" fontId="4" fillId="0" borderId="0" xfId="0" applyFont="1" applyBorder="1"/>
    <xf numFmtId="3" fontId="4" fillId="0" borderId="0" xfId="0" applyNumberFormat="1" applyFont="1" applyBorder="1"/>
    <xf numFmtId="0" fontId="6" fillId="0" borderId="0" xfId="0" applyFont="1" applyAlignment="1">
      <alignment horizontal="centerContinuous"/>
    </xf>
    <xf numFmtId="0" fontId="3" fillId="0" borderId="0" xfId="0" applyFont="1" applyAlignment="1">
      <alignment horizontal="centerContinuous"/>
    </xf>
    <xf numFmtId="0" fontId="1" fillId="0" borderId="0" xfId="0" applyFont="1" applyAlignment="1">
      <alignment horizontal="centerContinuous"/>
    </xf>
    <xf numFmtId="0" fontId="4" fillId="2" borderId="2" xfId="0" applyFont="1" applyFill="1" applyBorder="1"/>
    <xf numFmtId="3" fontId="4" fillId="2" borderId="2" xfId="0" applyNumberFormat="1" applyFont="1" applyFill="1" applyBorder="1"/>
    <xf numFmtId="0" fontId="6" fillId="2" borderId="2" xfId="0" applyFont="1" applyFill="1" applyBorder="1" applyAlignment="1">
      <alignment horizontal="right"/>
    </xf>
    <xf numFmtId="0" fontId="6" fillId="3" borderId="3" xfId="0" applyFont="1" applyFill="1" applyBorder="1"/>
    <xf numFmtId="3" fontId="6" fillId="3" borderId="3" xfId="0" applyNumberFormat="1" applyFont="1" applyFill="1" applyBorder="1"/>
    <xf numFmtId="0" fontId="6" fillId="3" borderId="3" xfId="0" applyFont="1" applyFill="1" applyBorder="1" applyAlignment="1">
      <alignment horizontal="right"/>
    </xf>
    <xf numFmtId="0" fontId="4" fillId="2" borderId="2" xfId="0" applyFont="1" applyFill="1" applyBorder="1" applyAlignment="1">
      <alignment horizontal="right"/>
    </xf>
    <xf numFmtId="0" fontId="6" fillId="0" borderId="4" xfId="0" applyFont="1" applyBorder="1"/>
    <xf numFmtId="3" fontId="6" fillId="0" borderId="4" xfId="0" applyNumberFormat="1" applyFont="1" applyBorder="1"/>
    <xf numFmtId="0" fontId="6" fillId="0" borderId="4" xfId="0" applyFont="1" applyBorder="1" applyAlignment="1">
      <alignment horizontal="right"/>
    </xf>
    <xf numFmtId="3" fontId="6" fillId="0" borderId="4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4"/>
  <sheetViews>
    <sheetView showZeros="0" tabSelected="1" workbookViewId="0">
      <selection activeCell="B61" sqref="B61"/>
    </sheetView>
  </sheetViews>
  <sheetFormatPr defaultColWidth="10.7265625" defaultRowHeight="11.25" customHeight="1"/>
  <cols>
    <col min="1" max="1" width="21.26953125" style="6" customWidth="1"/>
    <col min="2" max="2" width="18.81640625" style="15" customWidth="1"/>
    <col min="3" max="3" width="18.1796875" style="15" customWidth="1"/>
    <col min="4" max="4" width="19.1796875" style="11" customWidth="1"/>
    <col min="5" max="16384" width="10.7265625" style="6"/>
  </cols>
  <sheetData>
    <row r="1" spans="1:4" s="1" customFormat="1" ht="12" customHeight="1">
      <c r="A1" s="22" t="s">
        <v>0</v>
      </c>
      <c r="B1" s="2"/>
      <c r="C1" s="2"/>
      <c r="D1" s="3"/>
    </row>
    <row r="2" spans="1:4" s="1" customFormat="1" ht="12" customHeight="1">
      <c r="A2" s="22" t="s">
        <v>1</v>
      </c>
      <c r="B2" s="2"/>
      <c r="C2" s="2"/>
      <c r="D2" s="3"/>
    </row>
    <row r="3" spans="1:4" ht="11.25" customHeight="1">
      <c r="A3" s="7"/>
      <c r="B3" s="8"/>
      <c r="C3" s="8"/>
      <c r="D3" s="9"/>
    </row>
    <row r="4" spans="1:4" ht="11.25" customHeight="1">
      <c r="A4" s="7"/>
      <c r="B4" s="8"/>
      <c r="C4" s="8"/>
      <c r="D4" s="9"/>
    </row>
    <row r="5" spans="1:4" ht="11.25" customHeight="1">
      <c r="B5" s="10" t="s">
        <v>2</v>
      </c>
      <c r="C5" s="10" t="s">
        <v>3</v>
      </c>
      <c r="D5" s="11" t="s">
        <v>4</v>
      </c>
    </row>
    <row r="6" spans="1:4" ht="11.25" customHeight="1">
      <c r="A6" s="12" t="s">
        <v>5</v>
      </c>
      <c r="B6" s="13" t="s">
        <v>6</v>
      </c>
      <c r="C6" s="13" t="s">
        <v>6</v>
      </c>
      <c r="D6" s="14" t="s">
        <v>7</v>
      </c>
    </row>
    <row r="8" spans="1:4" ht="11.25" customHeight="1">
      <c r="A8" s="24" t="s">
        <v>30</v>
      </c>
      <c r="B8" s="25">
        <f>SUM(B41,B64)</f>
        <v>170896.82000000004</v>
      </c>
      <c r="C8" s="25">
        <f>SUM(C41,C64)</f>
        <v>263974.01</v>
      </c>
      <c r="D8" s="26"/>
    </row>
    <row r="9" spans="1:4" ht="11.25" customHeight="1">
      <c r="A9" s="6" t="s">
        <v>31</v>
      </c>
      <c r="B9" s="15">
        <v>12200.89</v>
      </c>
      <c r="C9" s="15">
        <v>27420.240000000002</v>
      </c>
      <c r="D9" s="11" t="s">
        <v>8</v>
      </c>
    </row>
    <row r="10" spans="1:4" ht="11.25" customHeight="1">
      <c r="A10" s="6" t="s">
        <v>32</v>
      </c>
      <c r="B10" s="15">
        <v>182.87</v>
      </c>
      <c r="C10" s="15">
        <v>294.43</v>
      </c>
      <c r="D10" s="11">
        <v>1994</v>
      </c>
    </row>
    <row r="11" spans="1:4" ht="11.25" customHeight="1">
      <c r="A11" s="6" t="s">
        <v>33</v>
      </c>
      <c r="B11" s="15">
        <v>6128.14</v>
      </c>
      <c r="C11" s="15">
        <v>10136.08</v>
      </c>
      <c r="D11" s="11">
        <v>1989</v>
      </c>
    </row>
    <row r="12" spans="1:4" ht="11.25" customHeight="1">
      <c r="A12" s="31" t="s">
        <v>34</v>
      </c>
      <c r="B12" s="32">
        <v>41.68</v>
      </c>
      <c r="C12" s="32">
        <v>48.31</v>
      </c>
      <c r="D12" s="33">
        <v>1978</v>
      </c>
    </row>
    <row r="13" spans="1:4" ht="11.25" customHeight="1">
      <c r="A13" s="6" t="s">
        <v>35</v>
      </c>
      <c r="B13" s="15">
        <v>85.72</v>
      </c>
      <c r="C13" s="15">
        <v>133.78</v>
      </c>
      <c r="D13" s="11">
        <v>1982</v>
      </c>
    </row>
    <row r="14" spans="1:4" ht="11.25" customHeight="1">
      <c r="A14" s="6" t="s">
        <v>36</v>
      </c>
      <c r="B14" s="15">
        <v>7399.79</v>
      </c>
      <c r="C14" s="15">
        <v>11524.42</v>
      </c>
      <c r="D14" s="11" t="s">
        <v>9</v>
      </c>
    </row>
    <row r="15" spans="1:4" ht="11.25" customHeight="1">
      <c r="A15" s="6" t="s">
        <v>37</v>
      </c>
      <c r="B15" s="10">
        <v>0</v>
      </c>
      <c r="C15" s="15">
        <v>487.89</v>
      </c>
      <c r="D15" s="11">
        <v>1965</v>
      </c>
    </row>
    <row r="16" spans="1:4" ht="11.25" customHeight="1">
      <c r="A16" s="31" t="s">
        <v>38</v>
      </c>
      <c r="B16" s="34">
        <v>986.95</v>
      </c>
      <c r="C16" s="32">
        <v>1088.94</v>
      </c>
      <c r="D16" s="33">
        <v>1982</v>
      </c>
    </row>
    <row r="17" spans="1:4" ht="11.25" customHeight="1">
      <c r="A17" s="6" t="s">
        <v>39</v>
      </c>
      <c r="B17" s="15">
        <v>1495.19</v>
      </c>
      <c r="C17" s="15">
        <v>2408.38</v>
      </c>
      <c r="D17" s="11">
        <v>1991</v>
      </c>
    </row>
    <row r="18" spans="1:4" ht="11.25" customHeight="1">
      <c r="A18" s="6" t="s">
        <v>40</v>
      </c>
      <c r="B18" s="15">
        <v>2002.86</v>
      </c>
      <c r="C18" s="15">
        <v>2458.71</v>
      </c>
      <c r="D18" s="11" t="s">
        <v>11</v>
      </c>
    </row>
    <row r="19" spans="1:4" ht="11.25" customHeight="1">
      <c r="A19" s="6" t="s">
        <v>41</v>
      </c>
      <c r="B19" s="15">
        <v>1249.97</v>
      </c>
      <c r="C19" s="15">
        <v>1396.14</v>
      </c>
      <c r="D19" s="11">
        <v>1970</v>
      </c>
    </row>
    <row r="20" spans="1:4" ht="11.25" customHeight="1">
      <c r="A20" s="31" t="s">
        <v>42</v>
      </c>
      <c r="B20" s="32">
        <v>721.28</v>
      </c>
      <c r="C20" s="32">
        <v>1508.17</v>
      </c>
      <c r="D20" s="33">
        <v>1991</v>
      </c>
    </row>
    <row r="21" spans="1:4" ht="11.25" customHeight="1">
      <c r="A21" s="6" t="s">
        <v>43</v>
      </c>
      <c r="B21" s="15">
        <v>7862.44</v>
      </c>
      <c r="C21" s="15">
        <v>11780.09</v>
      </c>
      <c r="D21" s="11" t="s">
        <v>15</v>
      </c>
    </row>
    <row r="22" spans="1:4" ht="11.25" customHeight="1">
      <c r="A22" s="6" t="s">
        <v>44</v>
      </c>
      <c r="B22" s="15">
        <v>3230.69</v>
      </c>
      <c r="C22" s="15">
        <v>4063.31</v>
      </c>
      <c r="D22" s="11" t="s">
        <v>12</v>
      </c>
    </row>
    <row r="23" spans="1:4" ht="11.25" customHeight="1">
      <c r="A23" s="6" t="s">
        <v>45</v>
      </c>
      <c r="B23" s="15">
        <v>488.39</v>
      </c>
      <c r="C23" s="15">
        <v>511.84</v>
      </c>
      <c r="D23" s="11" t="s">
        <v>13</v>
      </c>
    </row>
    <row r="24" spans="1:4" ht="11.25" customHeight="1">
      <c r="A24" s="31" t="s">
        <v>46</v>
      </c>
      <c r="B24" s="32">
        <v>376.66</v>
      </c>
      <c r="C24" s="32">
        <v>601.15</v>
      </c>
      <c r="D24" s="33">
        <v>1989</v>
      </c>
    </row>
    <row r="25" spans="1:4" ht="11.25" customHeight="1">
      <c r="A25" s="6" t="s">
        <v>47</v>
      </c>
      <c r="B25" s="15">
        <v>11842.65</v>
      </c>
      <c r="C25" s="15">
        <v>18154.740000000002</v>
      </c>
      <c r="D25" s="11" t="s">
        <v>14</v>
      </c>
    </row>
    <row r="26" spans="1:4" ht="11.25" customHeight="1">
      <c r="A26" s="6" t="s">
        <v>48</v>
      </c>
      <c r="B26" s="15">
        <v>1996.97</v>
      </c>
      <c r="C26" s="15">
        <v>2378.7199999999998</v>
      </c>
    </row>
    <row r="27" spans="1:4" ht="11.25" customHeight="1">
      <c r="A27" s="6" t="s">
        <v>49</v>
      </c>
      <c r="B27" s="15">
        <v>7043.69</v>
      </c>
      <c r="C27" s="15">
        <v>12970.31</v>
      </c>
      <c r="D27" s="11" t="s">
        <v>10</v>
      </c>
    </row>
    <row r="28" spans="1:4" ht="11.25" customHeight="1">
      <c r="A28" s="31" t="s">
        <v>50</v>
      </c>
      <c r="B28" s="32">
        <v>137.52000000000001</v>
      </c>
      <c r="C28" s="32">
        <v>191.31</v>
      </c>
      <c r="D28" s="33">
        <v>1994</v>
      </c>
    </row>
    <row r="29" spans="1:4" ht="11.25" customHeight="1">
      <c r="A29" s="6" t="s">
        <v>51</v>
      </c>
      <c r="B29" s="15">
        <v>6251.17</v>
      </c>
      <c r="C29" s="15">
        <v>10523.33</v>
      </c>
      <c r="D29" s="11" t="s">
        <v>16</v>
      </c>
    </row>
    <row r="30" spans="1:4" ht="11.25" customHeight="1">
      <c r="A30" s="6" t="s">
        <v>52</v>
      </c>
      <c r="B30" s="15">
        <v>5568.94</v>
      </c>
      <c r="C30" s="15">
        <v>9207.2999999999993</v>
      </c>
      <c r="D30" s="11">
        <v>1965</v>
      </c>
    </row>
    <row r="31" spans="1:4" ht="11.25" customHeight="1">
      <c r="A31" s="6" t="s">
        <v>53</v>
      </c>
      <c r="B31" s="15">
        <v>6233.86</v>
      </c>
      <c r="C31" s="15">
        <v>11402.36</v>
      </c>
      <c r="D31" s="11" t="s">
        <v>17</v>
      </c>
    </row>
    <row r="32" spans="1:4" ht="11.25" customHeight="1">
      <c r="A32" s="31" t="s">
        <v>54</v>
      </c>
      <c r="B32" s="32">
        <v>4543.6099999999997</v>
      </c>
      <c r="C32" s="32">
        <v>8409.43</v>
      </c>
      <c r="D32" s="33">
        <v>1970</v>
      </c>
    </row>
    <row r="33" spans="1:6" ht="11.25" customHeight="1">
      <c r="A33" s="6" t="s">
        <v>55</v>
      </c>
      <c r="B33" s="15">
        <v>6445.04</v>
      </c>
      <c r="C33" s="15">
        <v>12363.99</v>
      </c>
      <c r="D33" s="11">
        <v>1992</v>
      </c>
    </row>
    <row r="34" spans="1:6" ht="11.25" customHeight="1">
      <c r="A34" s="6" t="s">
        <v>56</v>
      </c>
      <c r="B34" s="15">
        <v>4748.09</v>
      </c>
      <c r="C34" s="15">
        <v>7557.29</v>
      </c>
      <c r="D34" s="11" t="s">
        <v>28</v>
      </c>
    </row>
    <row r="35" spans="1:6" ht="11.25" customHeight="1">
      <c r="A35" s="6" t="s">
        <v>57</v>
      </c>
      <c r="B35" s="15">
        <v>1541.72</v>
      </c>
      <c r="C35" s="15">
        <v>2564.64</v>
      </c>
      <c r="D35" s="11">
        <v>1965</v>
      </c>
    </row>
    <row r="36" spans="1:6" ht="11.25" customHeight="1">
      <c r="A36" s="31" t="s">
        <v>58</v>
      </c>
      <c r="B36" s="32">
        <v>1477.44</v>
      </c>
      <c r="C36" s="32">
        <v>2529.5300000000002</v>
      </c>
      <c r="D36" s="33">
        <v>1965</v>
      </c>
    </row>
    <row r="37" spans="1:6" ht="11.25" customHeight="1">
      <c r="A37" s="6" t="s">
        <v>59</v>
      </c>
      <c r="B37" s="15">
        <v>319.13</v>
      </c>
      <c r="C37" s="15">
        <v>428.6</v>
      </c>
      <c r="D37" s="11">
        <v>1965</v>
      </c>
    </row>
    <row r="38" spans="1:6" ht="11.25" customHeight="1">
      <c r="A38" s="6" t="s">
        <v>60</v>
      </c>
      <c r="B38" s="15">
        <v>13.2</v>
      </c>
      <c r="C38" s="15">
        <v>87.17</v>
      </c>
      <c r="D38" s="11">
        <v>1992</v>
      </c>
    </row>
    <row r="39" spans="1:6" ht="11.25" customHeight="1">
      <c r="A39" s="6" t="s">
        <v>61</v>
      </c>
      <c r="B39" s="15">
        <v>15205.24</v>
      </c>
      <c r="C39" s="15">
        <v>22872.52</v>
      </c>
      <c r="D39" s="11" t="s">
        <v>9</v>
      </c>
    </row>
    <row r="40" spans="1:6" ht="11.25" customHeight="1">
      <c r="A40" s="6" t="s">
        <v>62</v>
      </c>
      <c r="B40" s="15">
        <v>12929.15</v>
      </c>
      <c r="C40" s="15">
        <v>20809.88</v>
      </c>
      <c r="D40" s="11">
        <v>1994</v>
      </c>
    </row>
    <row r="41" spans="1:6" ht="11.25" customHeight="1">
      <c r="A41" s="27" t="s">
        <v>18</v>
      </c>
      <c r="B41" s="28">
        <f>SUM(B9:B40)</f>
        <v>130750.94000000002</v>
      </c>
      <c r="C41" s="28">
        <f>SUM(C9:C40)</f>
        <v>218313</v>
      </c>
      <c r="D41" s="29"/>
    </row>
    <row r="42" spans="1:6" ht="11.25" customHeight="1">
      <c r="A42" s="16"/>
      <c r="B42" s="17"/>
      <c r="C42" s="17"/>
      <c r="D42" s="18"/>
      <c r="F42" s="6" t="s">
        <v>63</v>
      </c>
    </row>
    <row r="43" spans="1:6" ht="11.25" customHeight="1">
      <c r="A43" s="6" t="s">
        <v>64</v>
      </c>
      <c r="B43" s="10">
        <v>644.19000000000005</v>
      </c>
      <c r="C43" s="15">
        <v>1156.02</v>
      </c>
      <c r="D43" s="11">
        <v>1977</v>
      </c>
    </row>
    <row r="44" spans="1:6" ht="11.25" customHeight="1">
      <c r="A44" s="6" t="s">
        <v>65</v>
      </c>
      <c r="B44" s="10">
        <v>1934.53</v>
      </c>
      <c r="C44" s="15">
        <v>2168.0100000000002</v>
      </c>
      <c r="D44" s="11" t="s">
        <v>19</v>
      </c>
    </row>
    <row r="45" spans="1:6" ht="11.25" customHeight="1">
      <c r="A45" s="6" t="s">
        <v>66</v>
      </c>
      <c r="B45" s="10">
        <v>372.46</v>
      </c>
      <c r="C45" s="15">
        <v>423.32</v>
      </c>
      <c r="D45" s="11">
        <v>1965</v>
      </c>
    </row>
    <row r="46" spans="1:6" ht="11.25" customHeight="1">
      <c r="A46" s="31" t="s">
        <v>67</v>
      </c>
      <c r="B46" s="34">
        <v>0</v>
      </c>
      <c r="C46" s="32">
        <v>103.66</v>
      </c>
      <c r="D46" s="33" t="s">
        <v>20</v>
      </c>
    </row>
    <row r="47" spans="1:6" ht="11.25" customHeight="1">
      <c r="A47" s="6" t="s">
        <v>68</v>
      </c>
      <c r="B47" s="10">
        <v>3615.82</v>
      </c>
      <c r="C47" s="15">
        <v>3972.09</v>
      </c>
      <c r="D47" s="11">
        <v>1993</v>
      </c>
    </row>
    <row r="48" spans="1:6" ht="11.25" customHeight="1">
      <c r="A48" s="6" t="s">
        <v>69</v>
      </c>
      <c r="B48" s="10">
        <v>13265.1</v>
      </c>
      <c r="C48" s="15">
        <v>14959.87</v>
      </c>
      <c r="D48" s="11">
        <v>1969</v>
      </c>
    </row>
    <row r="49" spans="1:4" ht="11.25" customHeight="1">
      <c r="A49" s="6" t="s">
        <v>70</v>
      </c>
      <c r="B49" s="10">
        <v>1519.57</v>
      </c>
      <c r="C49" s="15">
        <v>1822.93</v>
      </c>
      <c r="D49" s="11">
        <v>1966</v>
      </c>
    </row>
    <row r="50" spans="1:4" ht="11.25" customHeight="1">
      <c r="A50" s="31" t="s">
        <v>71</v>
      </c>
      <c r="B50" s="34">
        <v>4799.34</v>
      </c>
      <c r="C50" s="32">
        <v>5643.74</v>
      </c>
      <c r="D50" s="33">
        <v>1985</v>
      </c>
    </row>
    <row r="51" spans="1:4" ht="11.25" customHeight="1">
      <c r="A51" s="6" t="s">
        <v>72</v>
      </c>
      <c r="B51" s="10">
        <v>3646.71</v>
      </c>
      <c r="C51" s="15">
        <v>4103.22</v>
      </c>
      <c r="D51" s="11">
        <v>1967</v>
      </c>
    </row>
    <row r="52" spans="1:4" ht="11.25" customHeight="1">
      <c r="A52" s="6" t="s">
        <v>73</v>
      </c>
      <c r="B52" s="10">
        <v>1110.01</v>
      </c>
      <c r="C52" s="15">
        <v>1217.24</v>
      </c>
      <c r="D52" s="11">
        <v>1993</v>
      </c>
    </row>
    <row r="53" spans="1:4" ht="11.25" customHeight="1">
      <c r="A53" s="6" t="s">
        <v>74</v>
      </c>
      <c r="B53" s="10">
        <v>1115.83</v>
      </c>
      <c r="C53" s="15">
        <v>1214.51</v>
      </c>
      <c r="D53" s="11">
        <v>1994</v>
      </c>
    </row>
    <row r="54" spans="1:4" ht="11.25" customHeight="1">
      <c r="A54" s="31" t="s">
        <v>75</v>
      </c>
      <c r="B54" s="34">
        <v>1115.83</v>
      </c>
      <c r="C54" s="32">
        <v>1202.5</v>
      </c>
      <c r="D54" s="33">
        <v>1995</v>
      </c>
    </row>
    <row r="55" spans="1:4" ht="11.25" customHeight="1">
      <c r="A55" s="6" t="s">
        <v>76</v>
      </c>
      <c r="B55" s="10">
        <v>1115.83</v>
      </c>
      <c r="C55" s="15">
        <v>1214.51</v>
      </c>
      <c r="D55" s="11">
        <v>1996</v>
      </c>
    </row>
    <row r="56" spans="1:4" ht="11.25" customHeight="1">
      <c r="A56" s="6" t="s">
        <v>77</v>
      </c>
      <c r="B56" s="10">
        <v>1115.83</v>
      </c>
      <c r="C56" s="15">
        <v>1214.71</v>
      </c>
      <c r="D56" s="11">
        <v>1997</v>
      </c>
    </row>
    <row r="57" spans="1:4" ht="11.25" customHeight="1">
      <c r="A57" s="6" t="s">
        <v>78</v>
      </c>
      <c r="B57" s="10">
        <v>1152.44</v>
      </c>
      <c r="C57" s="15">
        <v>1192.3399999999999</v>
      </c>
      <c r="D57" s="11">
        <v>1998</v>
      </c>
    </row>
    <row r="58" spans="1:4" ht="11.25" customHeight="1">
      <c r="A58" s="31" t="s">
        <v>79</v>
      </c>
      <c r="B58" s="34">
        <v>1115.83</v>
      </c>
      <c r="C58" s="32">
        <v>1214.44</v>
      </c>
      <c r="D58" s="33">
        <v>1999</v>
      </c>
    </row>
    <row r="59" spans="1:4" ht="11.25" customHeight="1">
      <c r="A59" s="6" t="s">
        <v>80</v>
      </c>
      <c r="B59" s="10">
        <v>1115.83</v>
      </c>
      <c r="C59" s="15">
        <v>1214.51</v>
      </c>
      <c r="D59" s="11">
        <v>2000</v>
      </c>
    </row>
    <row r="60" spans="1:4" ht="11.25" customHeight="1">
      <c r="A60" s="6" t="s">
        <v>81</v>
      </c>
      <c r="B60" s="10">
        <v>1115.83</v>
      </c>
      <c r="C60" s="15">
        <v>1214.5</v>
      </c>
      <c r="D60" s="11">
        <v>2001</v>
      </c>
    </row>
    <row r="61" spans="1:4" ht="11.25" customHeight="1">
      <c r="A61" s="6" t="s">
        <v>82</v>
      </c>
      <c r="B61" s="10">
        <v>255.91</v>
      </c>
      <c r="C61" s="15">
        <v>279.23</v>
      </c>
      <c r="D61" s="11">
        <v>1967</v>
      </c>
    </row>
    <row r="62" spans="1:4" ht="11.25" customHeight="1">
      <c r="A62" s="6" t="s">
        <v>83</v>
      </c>
      <c r="B62" s="10">
        <v>18.989999999999998</v>
      </c>
      <c r="C62" s="15">
        <v>23.37</v>
      </c>
      <c r="D62" s="11">
        <v>1994</v>
      </c>
    </row>
    <row r="63" spans="1:4" ht="11.25" customHeight="1">
      <c r="A63" s="6" t="s">
        <v>84</v>
      </c>
      <c r="B63" s="10">
        <v>0</v>
      </c>
      <c r="C63" s="15">
        <v>106.29</v>
      </c>
      <c r="D63" s="11">
        <v>1965</v>
      </c>
    </row>
    <row r="64" spans="1:4" ht="11.25" customHeight="1">
      <c r="A64" s="27" t="s">
        <v>21</v>
      </c>
      <c r="B64" s="28">
        <f>SUM(B43:B63)</f>
        <v>40145.880000000012</v>
      </c>
      <c r="C64" s="28">
        <f>SUM(C43:C63)</f>
        <v>45661.010000000009</v>
      </c>
      <c r="D64" s="28"/>
    </row>
    <row r="65" spans="1:6" s="1" customFormat="1" ht="12" customHeight="1">
      <c r="A65" s="23" t="s">
        <v>0</v>
      </c>
      <c r="B65" s="2"/>
      <c r="C65" s="2"/>
      <c r="D65" s="3"/>
      <c r="F65" s="6"/>
    </row>
    <row r="66" spans="1:6" s="1" customFormat="1" ht="12" customHeight="1">
      <c r="A66" s="23" t="s">
        <v>22</v>
      </c>
      <c r="B66" s="2"/>
      <c r="C66" s="2"/>
      <c r="D66" s="3"/>
      <c r="F66" s="6"/>
    </row>
    <row r="67" spans="1:6" ht="11.25" customHeight="1">
      <c r="A67" s="21"/>
      <c r="B67" s="4"/>
      <c r="C67" s="4"/>
      <c r="D67" s="5"/>
    </row>
    <row r="68" spans="1:6" ht="11.25" customHeight="1">
      <c r="A68" s="7"/>
      <c r="B68" s="8"/>
      <c r="C68" s="8"/>
      <c r="D68" s="9"/>
    </row>
    <row r="69" spans="1:6" ht="11.25" customHeight="1">
      <c r="B69" s="10" t="s">
        <v>2</v>
      </c>
      <c r="C69" s="10" t="s">
        <v>3</v>
      </c>
      <c r="D69" s="11" t="s">
        <v>4</v>
      </c>
    </row>
    <row r="70" spans="1:6" ht="11.25" customHeight="1">
      <c r="A70" s="12" t="s">
        <v>5</v>
      </c>
      <c r="B70" s="13" t="s">
        <v>6</v>
      </c>
      <c r="C70" s="13" t="s">
        <v>6</v>
      </c>
      <c r="D70" s="14" t="s">
        <v>7</v>
      </c>
    </row>
    <row r="71" spans="1:6" ht="11.25" customHeight="1">
      <c r="A71" s="19"/>
      <c r="B71" s="20"/>
      <c r="C71" s="20"/>
      <c r="D71" s="18"/>
    </row>
    <row r="72" spans="1:6" ht="11.25" customHeight="1">
      <c r="A72" s="24" t="s">
        <v>91</v>
      </c>
      <c r="B72" s="25">
        <f>SUM(B73:B76)</f>
        <v>14264.38</v>
      </c>
      <c r="C72" s="25">
        <f>SUM(C73:C76)</f>
        <v>19822.100000000002</v>
      </c>
      <c r="D72" s="26"/>
    </row>
    <row r="73" spans="1:6" ht="11.25" customHeight="1">
      <c r="A73" s="6" t="s">
        <v>85</v>
      </c>
      <c r="B73" s="15">
        <v>102</v>
      </c>
      <c r="C73" s="15">
        <v>102</v>
      </c>
    </row>
    <row r="74" spans="1:6" ht="11.25" customHeight="1">
      <c r="A74" s="6" t="s">
        <v>86</v>
      </c>
      <c r="B74" s="15">
        <v>1330.99</v>
      </c>
      <c r="C74" s="15">
        <v>1413.72</v>
      </c>
      <c r="D74" s="11">
        <v>1994</v>
      </c>
    </row>
    <row r="75" spans="1:6" ht="11.25" customHeight="1">
      <c r="A75" s="6" t="s">
        <v>87</v>
      </c>
      <c r="B75" s="15">
        <v>3241.42</v>
      </c>
      <c r="C75" s="15">
        <v>3995.09</v>
      </c>
    </row>
    <row r="76" spans="1:6" ht="11.25" customHeight="1">
      <c r="A76" s="6" t="s">
        <v>88</v>
      </c>
      <c r="B76" s="10">
        <v>9589.9699999999993</v>
      </c>
      <c r="C76" s="10">
        <v>14311.29</v>
      </c>
      <c r="D76" s="11" t="s">
        <v>23</v>
      </c>
    </row>
    <row r="78" spans="1:6" ht="11.25" customHeight="1">
      <c r="F78" s="6" t="s">
        <v>63</v>
      </c>
    </row>
    <row r="79" spans="1:6" ht="11.25" customHeight="1">
      <c r="A79" s="24" t="s">
        <v>92</v>
      </c>
      <c r="B79" s="25">
        <f>SUM(B80)</f>
        <v>5089.6499999999996</v>
      </c>
      <c r="C79" s="25">
        <f>SUM(C80)</f>
        <v>6812.16</v>
      </c>
      <c r="D79" s="26"/>
    </row>
    <row r="80" spans="1:6" ht="11.25" customHeight="1">
      <c r="A80" s="6" t="s">
        <v>89</v>
      </c>
      <c r="B80" s="15">
        <v>5089.6499999999996</v>
      </c>
      <c r="C80" s="15">
        <v>6812.16</v>
      </c>
    </row>
    <row r="82" spans="1:6" ht="11.25" customHeight="1">
      <c r="F82" s="6" t="s">
        <v>63</v>
      </c>
    </row>
    <row r="83" spans="1:6" ht="11.25" customHeight="1">
      <c r="A83" s="24" t="s">
        <v>93</v>
      </c>
      <c r="B83" s="25">
        <f>SUM(B84)</f>
        <v>334.9</v>
      </c>
      <c r="C83" s="25">
        <f>SUM(C84)</f>
        <v>359.72</v>
      </c>
      <c r="D83" s="26"/>
    </row>
    <row r="84" spans="1:6" ht="11.25" customHeight="1">
      <c r="A84" s="6" t="s">
        <v>90</v>
      </c>
      <c r="B84" s="15">
        <v>334.9</v>
      </c>
      <c r="C84" s="15">
        <v>359.72</v>
      </c>
      <c r="D84" s="11">
        <v>1994</v>
      </c>
    </row>
    <row r="85" spans="1:6" ht="11.25" customHeight="1">
      <c r="F85" s="6" t="s">
        <v>63</v>
      </c>
    </row>
    <row r="86" spans="1:6" ht="11.25" customHeight="1">
      <c r="F86" s="6" t="s">
        <v>63</v>
      </c>
    </row>
    <row r="87" spans="1:6" ht="11.25" customHeight="1">
      <c r="A87" s="24" t="s">
        <v>24</v>
      </c>
      <c r="B87" s="25">
        <f>SUM(B8,B72,B79,B83)</f>
        <v>190585.75000000003</v>
      </c>
      <c r="C87" s="25">
        <f>SUM(C8,C72,C79,C83)</f>
        <v>290967.98999999993</v>
      </c>
      <c r="D87" s="30"/>
    </row>
    <row r="89" spans="1:6" ht="11.25" customHeight="1">
      <c r="F89" s="6" t="s">
        <v>63</v>
      </c>
    </row>
    <row r="90" spans="1:6" ht="11.25" customHeight="1">
      <c r="A90" s="6" t="s">
        <v>25</v>
      </c>
    </row>
    <row r="91" spans="1:6" ht="11.25" customHeight="1">
      <c r="A91" s="6" t="s">
        <v>26</v>
      </c>
    </row>
    <row r="92" spans="1:6" ht="11.25" customHeight="1">
      <c r="A92" s="6" t="s">
        <v>29</v>
      </c>
    </row>
    <row r="94" spans="1:6" ht="11.25" customHeight="1">
      <c r="A94" s="6" t="s">
        <v>27</v>
      </c>
    </row>
  </sheetData>
  <phoneticPr fontId="0" type="noConversion"/>
  <printOptions horizontalCentered="1"/>
  <pageMargins left="0.75" right="0.75" top="0.75" bottom="0.5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j01</vt:lpstr>
      <vt:lpstr>'j01'!Print_Area</vt:lpstr>
    </vt:vector>
  </TitlesOfParts>
  <Company>SFU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lchan</dc:creator>
  <cp:lastModifiedBy>Carina Negreanu</cp:lastModifiedBy>
  <cp:lastPrinted>2003-06-26T16:52:43Z</cp:lastPrinted>
  <dcterms:created xsi:type="dcterms:W3CDTF">2003-06-04T19:29:18Z</dcterms:created>
  <dcterms:modified xsi:type="dcterms:W3CDTF">2020-01-27T10:31:43Z</dcterms:modified>
</cp:coreProperties>
</file>