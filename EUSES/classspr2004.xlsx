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C2E238-3D17-499B-87F2-1C5CC575A4D1}" xr6:coauthVersionLast="45" xr6:coauthVersionMax="45" xr10:uidLastSave="{00000000-0000-0000-0000-000000000000}"/>
  <bookViews>
    <workbookView xWindow="3420" yWindow="3420" windowWidth="28800" windowHeight="15460"/>
  </bookViews>
  <sheets>
    <sheet name="classspring2004l" sheetId="1" r:id="rId1"/>
  </sheets>
  <definedNames>
    <definedName name="TABLE">classspring2004l!#REF!</definedName>
    <definedName name="TABLE_2">classspring2004l!$A$4:$L$56</definedName>
    <definedName name="TABLE_3">classspring2004l!$A$4:$J$56</definedName>
    <definedName name="TABLE_4">classspring2004l!$A$3:$N$56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3" i="1" s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</calcChain>
</file>

<file path=xl/comments1.xml><?xml version="1.0" encoding="utf-8"?>
<comments xmlns="http://schemas.openxmlformats.org/spreadsheetml/2006/main">
  <authors>
    <author>SAM</author>
    <author>R.U.C.S.</author>
  </authors>
  <commentList>
    <comment ref="C2" authorId="0" shapeId="0">
      <text>
        <r>
          <rPr>
            <b/>
            <sz val="10"/>
            <color indexed="81"/>
            <rFont val="Tahoma"/>
          </rPr>
          <t>SAM:</t>
        </r>
        <r>
          <rPr>
            <sz val="10"/>
            <color indexed="81"/>
            <rFont val="Tahoma"/>
          </rPr>
          <t xml:space="preserve">
Results after Growth/Trend:
Buy  Hold (mid)  Sell
first number value is from cell  I80
second number value is from cell  G63 (five year projected value)
</t>
        </r>
      </text>
    </comment>
    <comment ref="I2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Use your company's WEB site.
Or the class demo handout.</t>
        </r>
      </text>
    </comment>
    <comment ref="K2" authorId="1" shapeId="0">
      <text>
        <r>
          <rPr>
            <b/>
            <sz val="8"/>
            <color indexed="81"/>
            <rFont val="Tahoma"/>
          </rPr>
          <t xml:space="preserve">R.U.C.S.:
</t>
        </r>
        <r>
          <rPr>
            <sz val="8"/>
            <color indexed="81"/>
            <rFont val="Tahoma"/>
          </rPr>
          <t xml:space="preserve">Access Database Problem
Do "Lots for Sale" in Access
You should get lots 2, 3, 11.
Use the "Report" feature to show your results.
</t>
        </r>
      </text>
    </comment>
    <comment ref="L2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Mortgage Table - Excel
</t>
        </r>
      </text>
    </comment>
    <comment ref="M2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Go through all 3 Access  tuturials
 and print the result.
</t>
        </r>
      </text>
    </comment>
    <comment ref="N2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Name Switch (Excel)
</t>
        </r>
      </text>
    </comment>
    <comment ref="R2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Do both Excel and SPSS</t>
        </r>
      </text>
    </comment>
    <comment ref="O3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Only part 1</t>
        </r>
      </text>
    </comment>
    <comment ref="P3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Excel and WEB search data about your company.</t>
        </r>
      </text>
    </comment>
    <comment ref="Q3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use screens from your company WEB search and Excel table
</t>
        </r>
      </text>
    </comment>
    <comment ref="J7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equation editor to reproduce the equations was not found in your homework</t>
        </r>
      </text>
    </comment>
    <comment ref="R17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only excel turned in
</t>
        </r>
      </text>
    </comment>
    <comment ref="G29" authorId="1" shapeId="0">
      <text>
        <r>
          <rPr>
            <b/>
            <sz val="8"/>
            <color indexed="81"/>
            <rFont val="Tahoma"/>
          </rPr>
          <t>R.U.C.S.:</t>
        </r>
        <r>
          <rPr>
            <sz val="8"/>
            <color indexed="81"/>
            <rFont val="Tahoma"/>
          </rPr>
          <t xml:space="preserve">
only 2,3, and 11
should work
</t>
        </r>
      </text>
    </comment>
  </commentList>
</comments>
</file>

<file path=xl/sharedStrings.xml><?xml version="1.0" encoding="utf-8"?>
<sst xmlns="http://schemas.openxmlformats.org/spreadsheetml/2006/main" count="265" uniqueCount="138">
  <si>
    <t>STUDENT NAME</t>
  </si>
  <si>
    <t>Company</t>
  </si>
  <si>
    <t>Adver</t>
  </si>
  <si>
    <t>M&amp;M</t>
  </si>
  <si>
    <t>Lots</t>
  </si>
  <si>
    <t>Int</t>
  </si>
  <si>
    <t>Pub</t>
  </si>
  <si>
    <t>Desks</t>
  </si>
  <si>
    <t>Stat</t>
  </si>
  <si>
    <t>SPSS</t>
  </si>
  <si>
    <t>Excel</t>
  </si>
  <si>
    <t>Word</t>
  </si>
  <si>
    <t>Ex</t>
  </si>
  <si>
    <t>Proj</t>
  </si>
  <si>
    <t>Acs</t>
  </si>
  <si>
    <t>Mortgage</t>
  </si>
  <si>
    <t>Sort</t>
  </si>
  <si>
    <t>PP</t>
  </si>
  <si>
    <t>analysis</t>
  </si>
  <si>
    <t>U/D I80</t>
  </si>
  <si>
    <t>hi eps G63</t>
  </si>
  <si>
    <t>Tax</t>
  </si>
  <si>
    <t>Tutorials</t>
  </si>
  <si>
    <t>Black Hills</t>
  </si>
  <si>
    <t>Cadbury Schw</t>
  </si>
  <si>
    <t>Cedarfair</t>
  </si>
  <si>
    <t>Centurytel</t>
  </si>
  <si>
    <t>Cleco Corp</t>
  </si>
  <si>
    <t>Energen</t>
  </si>
  <si>
    <t>Federal Realty</t>
  </si>
  <si>
    <t>Johnson &amp; Johnson</t>
  </si>
  <si>
    <t>National Fuel Gas</t>
  </si>
  <si>
    <t>Piedmont</t>
  </si>
  <si>
    <t>Popular</t>
  </si>
  <si>
    <t>Sara Lee</t>
  </si>
  <si>
    <t>TECO</t>
  </si>
  <si>
    <t>Washington Mutual</t>
  </si>
  <si>
    <t>Washington REIT</t>
  </si>
  <si>
    <t>WPS Resources</t>
  </si>
  <si>
    <t>gas &amp; elect</t>
  </si>
  <si>
    <t>soda</t>
  </si>
  <si>
    <t>telephone</t>
  </si>
  <si>
    <t>electric</t>
  </si>
  <si>
    <t>REIT</t>
  </si>
  <si>
    <t>drugs</t>
  </si>
  <si>
    <t>elect &amp; gas</t>
  </si>
  <si>
    <t>natural gas</t>
  </si>
  <si>
    <t>bank</t>
  </si>
  <si>
    <t>consumer products</t>
  </si>
  <si>
    <t>Company Name</t>
  </si>
  <si>
    <t>B H S</t>
  </si>
  <si>
    <t>5yr EPS</t>
  </si>
  <si>
    <t>UpDown</t>
  </si>
  <si>
    <t>buy</t>
  </si>
  <si>
    <t>hold</t>
  </si>
  <si>
    <t>sell</t>
  </si>
  <si>
    <t>sale gro</t>
  </si>
  <si>
    <t>EPS gro</t>
  </si>
  <si>
    <t>DIV gro</t>
  </si>
  <si>
    <t>mid</t>
  </si>
  <si>
    <t>Industry</t>
  </si>
  <si>
    <t>amusement parks</t>
  </si>
  <si>
    <t>MDU Resources</t>
  </si>
  <si>
    <t>South Jersey Ind.</t>
  </si>
  <si>
    <t>AMATO, MATTHEW C</t>
  </si>
  <si>
    <t>ANDERSEN, SHAWN J</t>
  </si>
  <si>
    <t xml:space="preserve">BARDIS, GEORGIOS </t>
  </si>
  <si>
    <t>BILODEAU, DAVID J</t>
  </si>
  <si>
    <t>CHONG, RODNEY J</t>
  </si>
  <si>
    <t>DELGOZZO, BRIAN S</t>
  </si>
  <si>
    <t xml:space="preserve">DELIMARIS, ANGELICA </t>
  </si>
  <si>
    <t>DEMASI, JAMES L</t>
  </si>
  <si>
    <t>GOFF, JOHN M</t>
  </si>
  <si>
    <t>HORVATH, KRISTEN L</t>
  </si>
  <si>
    <t>IACOVELLI, CHRISTOPHE D</t>
  </si>
  <si>
    <t>JERECKI, JESSICA M</t>
  </si>
  <si>
    <t>KUSHWARA, JAMES P</t>
  </si>
  <si>
    <t>MARTIN, RAYMOND A</t>
  </si>
  <si>
    <t>MCNALLY, MATTHEW P</t>
  </si>
  <si>
    <t>MEJIA, JONATHAN C</t>
  </si>
  <si>
    <t>OLOKO, MOHAMMED C</t>
  </si>
  <si>
    <t>PARVEZ, TARIQ S</t>
  </si>
  <si>
    <t xml:space="preserve">PEREZ, GILBERTO </t>
  </si>
  <si>
    <t>PILIGNO, CHRISTOPHE J</t>
  </si>
  <si>
    <t>QUIGLEY, KATIE M</t>
  </si>
  <si>
    <t>RINEHART, SCOTT D</t>
  </si>
  <si>
    <t>SAMULIS, PETER R</t>
  </si>
  <si>
    <t>SCIRROTTO, NICHOLAS S</t>
  </si>
  <si>
    <t xml:space="preserve">SERRA, GLADYS </t>
  </si>
  <si>
    <t>SMITH, GENSAN K</t>
  </si>
  <si>
    <t>SUSLAVA, KSENIYA N</t>
  </si>
  <si>
    <t>THOMAS, MARK J</t>
  </si>
  <si>
    <t>TORRICE, MICHAEL P</t>
  </si>
  <si>
    <t>TUZI, HELENA G</t>
  </si>
  <si>
    <t>VERNON, EVAN P</t>
  </si>
  <si>
    <t>WARING, JOHN A</t>
  </si>
  <si>
    <t>WHITE, ERIKA R</t>
  </si>
  <si>
    <t>WILSON, BRIAN A</t>
  </si>
  <si>
    <t>CLARKE, MARLON</t>
  </si>
  <si>
    <t>PHILLIPS, MICHELLE</t>
  </si>
  <si>
    <t>RUCKER, TYRONE</t>
  </si>
  <si>
    <t>GRAHAM, EVAN</t>
  </si>
  <si>
    <t>Number of projects</t>
  </si>
  <si>
    <t>A.C. Moore</t>
  </si>
  <si>
    <t>crafts</t>
  </si>
  <si>
    <t>AZTAR Corp</t>
  </si>
  <si>
    <t>entertainment</t>
  </si>
  <si>
    <t>CITIGroup</t>
  </si>
  <si>
    <t>financials</t>
  </si>
  <si>
    <t>CVB Financial</t>
  </si>
  <si>
    <t>Doral Financial</t>
  </si>
  <si>
    <t>Equifax Inc.</t>
  </si>
  <si>
    <t>information</t>
  </si>
  <si>
    <t>Fair Isaac Co.</t>
  </si>
  <si>
    <t>First Financial Corp</t>
  </si>
  <si>
    <t>Fleet Boston Financial</t>
  </si>
  <si>
    <t>Florida Public Util</t>
  </si>
  <si>
    <t>Hudson United</t>
  </si>
  <si>
    <t>Irwin Financial Corp</t>
  </si>
  <si>
    <t>J. Henry &amp; Assoc.</t>
  </si>
  <si>
    <t>J.P.Morgan Chase</t>
  </si>
  <si>
    <t>New Jersey Resources</t>
  </si>
  <si>
    <t xml:space="preserve">NICOR </t>
  </si>
  <si>
    <t>Quaker Chemical</t>
  </si>
  <si>
    <t>chemicals</t>
  </si>
  <si>
    <t>Questar Corp</t>
  </si>
  <si>
    <t>Raven Industries</t>
  </si>
  <si>
    <t>SEI Investments</t>
  </si>
  <si>
    <t>SLM Corp</t>
  </si>
  <si>
    <t>T. Rowe Price</t>
  </si>
  <si>
    <t>UGI Corp</t>
  </si>
  <si>
    <t>Weyco Group</t>
  </si>
  <si>
    <t>shoes</t>
  </si>
  <si>
    <t>textiles</t>
  </si>
  <si>
    <t>Kimco Realty</t>
  </si>
  <si>
    <t>Teppco Partners</t>
  </si>
  <si>
    <t xml:space="preserve">gas   </t>
  </si>
  <si>
    <t>P.S. Enterprise Gp.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</si>
</sst>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"/>
  </numFmts>
  <fonts count="14" x14ac:knownFonts="1">
    <font>
      <sz val="10"/>
      <name val="Arial"/>
    </font>
    <font>
      <sz val="8"/>
      <name val="Times New Roman"/>
    </font>
    <font>
      <sz val="10"/>
      <color indexed="8"/>
      <name val="Arial"/>
    </font>
    <font>
      <b/>
      <sz val="14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</font>
    <font>
      <sz val="9"/>
      <name val="Times New Roman"/>
    </font>
    <font>
      <sz val="9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color indexed="81"/>
      <name val="Tahoma"/>
    </font>
    <font>
      <b/>
      <sz val="10"/>
      <color indexed="81"/>
      <name val="Tahoma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/>
    <xf numFmtId="0" fontId="0" fillId="0" borderId="0" xfId="0" applyAlignment="1"/>
    <xf numFmtId="0" fontId="8" fillId="0" borderId="0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2" fontId="0" fillId="0" borderId="0" xfId="0" applyNumberFormat="1"/>
    <xf numFmtId="175" fontId="0" fillId="0" borderId="0" xfId="0" applyNumberFormat="1"/>
    <xf numFmtId="0" fontId="13" fillId="0" borderId="0" xfId="0" applyFont="1" applyBorder="1" applyAlignment="1">
      <alignment horizontal="right"/>
    </xf>
    <xf numFmtId="1" fontId="8" fillId="0" borderId="0" xfId="0" applyNumberFormat="1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26"/>
        </patternFill>
      </fill>
      <border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26"/>
        </patternFill>
      </fill>
      <border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43" sqref="L43:S43"/>
    </sheetView>
  </sheetViews>
  <sheetFormatPr defaultColWidth="8.7265625" defaultRowHeight="12.5" x14ac:dyDescent="0.25"/>
  <cols>
    <col min="1" max="1" width="26.26953125" customWidth="1"/>
    <col min="2" max="2" width="12.26953125" customWidth="1"/>
    <col min="3" max="3" width="9.54296875" customWidth="1"/>
    <col min="4" max="4" width="6.26953125" customWidth="1"/>
    <col min="5" max="5" width="6.54296875" customWidth="1"/>
    <col min="6" max="6" width="5.26953125" customWidth="1"/>
    <col min="7" max="7" width="4.1796875" customWidth="1"/>
    <col min="8" max="8" width="4.54296875" customWidth="1"/>
    <col min="9" max="9" width="4.26953125" customWidth="1"/>
    <col min="10" max="10" width="7.7265625" customWidth="1"/>
    <col min="11" max="11" width="7.453125" customWidth="1"/>
    <col min="12" max="12" width="6" customWidth="1"/>
    <col min="13" max="13" width="4.81640625" customWidth="1"/>
    <col min="14" max="17" width="4.1796875" customWidth="1"/>
    <col min="18" max="18" width="6.7265625" customWidth="1"/>
    <col min="19" max="19" width="4.1796875" customWidth="1"/>
  </cols>
  <sheetData>
    <row r="1" spans="1:19" x14ac:dyDescent="0.25">
      <c r="E1" s="13">
        <v>1</v>
      </c>
      <c r="F1" s="13">
        <v>2</v>
      </c>
      <c r="G1" s="13">
        <v>3</v>
      </c>
      <c r="H1" s="13">
        <v>4</v>
      </c>
      <c r="I1" s="13">
        <v>5</v>
      </c>
      <c r="J1" s="13">
        <v>6</v>
      </c>
      <c r="K1" s="13">
        <v>7</v>
      </c>
      <c r="L1" s="13">
        <v>8</v>
      </c>
      <c r="M1" s="13">
        <v>9</v>
      </c>
      <c r="N1" s="13">
        <v>10</v>
      </c>
      <c r="O1" s="13">
        <v>11</v>
      </c>
      <c r="P1" s="13">
        <v>12</v>
      </c>
      <c r="Q1" s="13">
        <v>13</v>
      </c>
      <c r="R1" s="13">
        <v>14</v>
      </c>
      <c r="S1" s="13">
        <v>15</v>
      </c>
    </row>
    <row r="2" spans="1:19" x14ac:dyDescent="0.25">
      <c r="C2" t="s">
        <v>18</v>
      </c>
      <c r="E2" t="s">
        <v>2</v>
      </c>
      <c r="F2" t="s">
        <v>3</v>
      </c>
      <c r="G2" t="s">
        <v>4</v>
      </c>
      <c r="H2" s="13" t="s">
        <v>5</v>
      </c>
      <c r="I2" t="s">
        <v>6</v>
      </c>
      <c r="J2" t="s">
        <v>7</v>
      </c>
      <c r="K2" t="s">
        <v>4</v>
      </c>
      <c r="L2" t="s">
        <v>15</v>
      </c>
      <c r="M2" t="s">
        <v>22</v>
      </c>
      <c r="N2" t="s">
        <v>16</v>
      </c>
      <c r="O2" t="s">
        <v>4</v>
      </c>
      <c r="P2" t="s">
        <v>1</v>
      </c>
      <c r="R2" s="13" t="s">
        <v>8</v>
      </c>
      <c r="S2" t="s">
        <v>21</v>
      </c>
    </row>
    <row r="3" spans="1:19" ht="18" customHeight="1" x14ac:dyDescent="0.4">
      <c r="A3" s="1"/>
      <c r="B3" s="5" t="s">
        <v>1</v>
      </c>
      <c r="C3" s="6" t="s">
        <v>19</v>
      </c>
      <c r="D3" s="5" t="s">
        <v>13</v>
      </c>
      <c r="E3" s="2" t="s">
        <v>11</v>
      </c>
      <c r="F3" s="6" t="s">
        <v>11</v>
      </c>
      <c r="G3" s="2" t="s">
        <v>12</v>
      </c>
      <c r="H3" s="2" t="s">
        <v>12</v>
      </c>
      <c r="I3" s="2" t="s">
        <v>6</v>
      </c>
      <c r="J3" s="2" t="s">
        <v>10</v>
      </c>
      <c r="K3" s="2" t="s">
        <v>14</v>
      </c>
      <c r="L3" s="2" t="s">
        <v>12</v>
      </c>
      <c r="M3" s="2" t="s">
        <v>14</v>
      </c>
      <c r="N3" s="12" t="s">
        <v>12</v>
      </c>
      <c r="O3" s="12" t="s">
        <v>17</v>
      </c>
      <c r="P3" s="12" t="s">
        <v>12</v>
      </c>
      <c r="Q3" s="12" t="s">
        <v>17</v>
      </c>
      <c r="R3" s="14" t="s">
        <v>9</v>
      </c>
      <c r="S3" s="12" t="s">
        <v>12</v>
      </c>
    </row>
    <row r="4" spans="1:19" ht="13.5" customHeight="1" x14ac:dyDescent="0.25">
      <c r="A4" s="4" t="s">
        <v>0</v>
      </c>
      <c r="B4" s="10"/>
      <c r="C4" s="17" t="s">
        <v>20</v>
      </c>
      <c r="D4" s="10">
        <f>SUM(E4:AB4)</f>
        <v>30</v>
      </c>
      <c r="E4" s="10">
        <v>2</v>
      </c>
      <c r="F4" s="10">
        <v>2</v>
      </c>
      <c r="G4" s="8">
        <v>2</v>
      </c>
      <c r="H4" s="8">
        <v>2</v>
      </c>
      <c r="I4" s="8">
        <v>2</v>
      </c>
      <c r="J4" s="8">
        <v>2</v>
      </c>
      <c r="K4" s="8">
        <v>2</v>
      </c>
      <c r="L4" s="8">
        <v>2</v>
      </c>
      <c r="M4" s="8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</row>
    <row r="5" spans="1:19" ht="13.5" customHeight="1" x14ac:dyDescent="0.25">
      <c r="A5" s="18" t="s">
        <v>64</v>
      </c>
      <c r="B5" t="s">
        <v>103</v>
      </c>
      <c r="C5" s="17"/>
      <c r="D5" s="10">
        <f t="shared" ref="D5:D42" si="0">SUM(E5:AB5)</f>
        <v>14</v>
      </c>
      <c r="E5" s="10">
        <v>2</v>
      </c>
      <c r="F5" s="10">
        <v>2</v>
      </c>
      <c r="G5" s="8">
        <v>2</v>
      </c>
      <c r="H5" s="8">
        <v>2</v>
      </c>
      <c r="I5" s="8">
        <v>2</v>
      </c>
      <c r="J5" s="8">
        <v>2</v>
      </c>
      <c r="K5" s="8"/>
      <c r="L5" s="8">
        <v>2</v>
      </c>
      <c r="M5" s="8"/>
      <c r="N5" s="9"/>
      <c r="O5" s="9"/>
      <c r="P5" s="9"/>
      <c r="Q5" s="9"/>
      <c r="R5" s="9"/>
      <c r="S5" s="9"/>
    </row>
    <row r="6" spans="1:19" ht="13.5" customHeight="1" x14ac:dyDescent="0.25">
      <c r="A6" s="18" t="s">
        <v>65</v>
      </c>
      <c r="B6" t="s">
        <v>130</v>
      </c>
      <c r="C6" s="17"/>
      <c r="D6" s="10">
        <f t="shared" si="0"/>
        <v>12</v>
      </c>
      <c r="E6" s="10">
        <v>2</v>
      </c>
      <c r="F6" s="10">
        <v>2</v>
      </c>
      <c r="G6" s="8">
        <v>2</v>
      </c>
      <c r="H6" s="8">
        <v>2</v>
      </c>
      <c r="I6" s="8">
        <v>2</v>
      </c>
      <c r="J6" s="8"/>
      <c r="K6" s="8"/>
      <c r="L6" s="8">
        <v>2</v>
      </c>
      <c r="M6" s="8"/>
      <c r="N6" s="9"/>
      <c r="O6" s="9"/>
      <c r="P6" s="9"/>
      <c r="Q6" s="9"/>
      <c r="R6" s="9"/>
      <c r="S6" s="9"/>
    </row>
    <row r="7" spans="1:19" ht="13.5" customHeight="1" x14ac:dyDescent="0.25">
      <c r="A7" s="18" t="s">
        <v>66</v>
      </c>
      <c r="B7" t="s">
        <v>23</v>
      </c>
      <c r="C7" s="17"/>
      <c r="D7" s="10">
        <f t="shared" si="0"/>
        <v>13</v>
      </c>
      <c r="E7" s="10">
        <v>2</v>
      </c>
      <c r="F7" s="10">
        <v>2</v>
      </c>
      <c r="G7" s="8">
        <v>2</v>
      </c>
      <c r="H7" s="8">
        <v>2</v>
      </c>
      <c r="I7" s="8">
        <v>2</v>
      </c>
      <c r="J7" s="8">
        <v>1</v>
      </c>
      <c r="K7" s="8"/>
      <c r="L7" s="8">
        <v>2</v>
      </c>
      <c r="M7" s="8"/>
      <c r="N7" s="9"/>
      <c r="O7" s="9"/>
      <c r="P7" s="9"/>
      <c r="Q7" s="9"/>
      <c r="R7" s="9"/>
      <c r="S7" s="9"/>
    </row>
    <row r="8" spans="1:19" ht="13.5" customHeight="1" x14ac:dyDescent="0.25">
      <c r="A8" s="18" t="s">
        <v>67</v>
      </c>
      <c r="B8" t="s">
        <v>137</v>
      </c>
      <c r="C8" s="17"/>
      <c r="D8" s="10">
        <f t="shared" si="0"/>
        <v>12</v>
      </c>
      <c r="E8" s="10">
        <v>2</v>
      </c>
      <c r="F8" s="10"/>
      <c r="G8" s="8">
        <v>2</v>
      </c>
      <c r="H8" s="8">
        <v>2</v>
      </c>
      <c r="I8" s="8">
        <v>2</v>
      </c>
      <c r="J8" s="8">
        <v>2</v>
      </c>
      <c r="K8" s="8"/>
      <c r="L8" s="8">
        <v>2</v>
      </c>
      <c r="M8" s="8"/>
      <c r="N8" s="9"/>
      <c r="O8" s="9"/>
      <c r="P8" s="9"/>
      <c r="Q8" s="9"/>
      <c r="R8" s="9"/>
      <c r="S8" s="9"/>
    </row>
    <row r="9" spans="1:19" ht="13.5" customHeight="1" x14ac:dyDescent="0.25">
      <c r="A9" s="18" t="s">
        <v>68</v>
      </c>
      <c r="B9" t="s">
        <v>25</v>
      </c>
      <c r="C9" s="17"/>
      <c r="D9" s="10">
        <f t="shared" si="0"/>
        <v>14</v>
      </c>
      <c r="E9" s="10">
        <v>2</v>
      </c>
      <c r="F9" s="10">
        <v>2</v>
      </c>
      <c r="G9" s="8">
        <v>2</v>
      </c>
      <c r="H9" s="8">
        <v>2</v>
      </c>
      <c r="I9" s="8">
        <v>2</v>
      </c>
      <c r="J9" s="8">
        <v>2</v>
      </c>
      <c r="K9" s="8"/>
      <c r="L9" s="8">
        <v>2</v>
      </c>
      <c r="M9" s="8"/>
      <c r="N9" s="9"/>
      <c r="O9" s="9"/>
      <c r="P9" s="9"/>
      <c r="Q9" s="9"/>
      <c r="R9" s="9"/>
      <c r="S9" s="9"/>
    </row>
    <row r="10" spans="1:19" ht="13.5" customHeight="1" x14ac:dyDescent="0.25">
      <c r="A10" s="18" t="s">
        <v>98</v>
      </c>
      <c r="B10" t="s">
        <v>26</v>
      </c>
      <c r="C10" s="17"/>
      <c r="D10" s="10">
        <f t="shared" si="0"/>
        <v>14</v>
      </c>
      <c r="E10" s="10">
        <v>2</v>
      </c>
      <c r="F10" s="10">
        <v>2</v>
      </c>
      <c r="G10" s="8">
        <v>2</v>
      </c>
      <c r="H10" s="8">
        <v>2</v>
      </c>
      <c r="I10" s="8">
        <v>2</v>
      </c>
      <c r="J10" s="8">
        <v>2</v>
      </c>
      <c r="K10" s="8"/>
      <c r="L10" s="8">
        <v>2</v>
      </c>
      <c r="M10" s="8"/>
      <c r="N10" s="9"/>
      <c r="O10" s="9"/>
      <c r="P10" s="9"/>
      <c r="Q10" s="9"/>
      <c r="R10" s="9"/>
      <c r="S10" s="9"/>
    </row>
    <row r="11" spans="1:19" ht="13.5" customHeight="1" x14ac:dyDescent="0.25">
      <c r="A11" s="18" t="s">
        <v>69</v>
      </c>
      <c r="B11" t="s">
        <v>107</v>
      </c>
      <c r="C11" s="17"/>
      <c r="D11" s="10">
        <f t="shared" si="0"/>
        <v>0</v>
      </c>
      <c r="E11" s="10"/>
      <c r="F11" s="10"/>
      <c r="G11" s="8"/>
      <c r="H11" s="8"/>
      <c r="I11" s="8"/>
      <c r="J11" s="8"/>
      <c r="K11" s="8"/>
      <c r="L11" s="8"/>
      <c r="M11" s="8"/>
      <c r="N11" s="9"/>
      <c r="O11" s="9"/>
      <c r="P11" s="9"/>
      <c r="Q11" s="9"/>
      <c r="R11" s="9"/>
      <c r="S11" s="9"/>
    </row>
    <row r="12" spans="1:19" ht="13.5" customHeight="1" x14ac:dyDescent="0.25">
      <c r="A12" s="18" t="s">
        <v>70</v>
      </c>
      <c r="B12" t="s">
        <v>27</v>
      </c>
      <c r="C12" s="17"/>
      <c r="D12" s="10">
        <f t="shared" si="0"/>
        <v>0</v>
      </c>
      <c r="E12" s="10"/>
      <c r="F12" s="10"/>
      <c r="G12" s="8"/>
      <c r="H12" s="8"/>
      <c r="I12" s="8"/>
      <c r="J12" s="8"/>
      <c r="K12" s="8"/>
      <c r="L12" s="8"/>
      <c r="M12" s="8"/>
      <c r="N12" s="9"/>
      <c r="O12" s="9"/>
      <c r="P12" s="9"/>
      <c r="Q12" s="9"/>
      <c r="R12" s="9"/>
      <c r="S12" s="9"/>
    </row>
    <row r="13" spans="1:19" ht="13.5" customHeight="1" x14ac:dyDescent="0.25">
      <c r="A13" s="18" t="s">
        <v>71</v>
      </c>
      <c r="B13" t="s">
        <v>109</v>
      </c>
      <c r="C13" s="17"/>
      <c r="D13" s="10">
        <f t="shared" si="0"/>
        <v>14</v>
      </c>
      <c r="E13" s="10">
        <v>2</v>
      </c>
      <c r="F13" s="10">
        <v>2</v>
      </c>
      <c r="G13" s="8">
        <v>2</v>
      </c>
      <c r="H13" s="8">
        <v>2</v>
      </c>
      <c r="I13" s="8">
        <v>2</v>
      </c>
      <c r="J13" s="8">
        <v>2</v>
      </c>
      <c r="K13" s="8"/>
      <c r="L13" s="8">
        <v>2</v>
      </c>
      <c r="M13" s="8"/>
      <c r="N13" s="9"/>
      <c r="O13" s="9"/>
      <c r="P13" s="9"/>
      <c r="Q13" s="9"/>
      <c r="R13" s="9"/>
      <c r="S13" s="9"/>
    </row>
    <row r="14" spans="1:19" ht="13.5" customHeight="1" x14ac:dyDescent="0.25">
      <c r="A14" s="18" t="s">
        <v>72</v>
      </c>
      <c r="B14" t="s">
        <v>110</v>
      </c>
      <c r="C14" s="17"/>
      <c r="D14" s="10">
        <f t="shared" si="0"/>
        <v>14</v>
      </c>
      <c r="E14" s="10">
        <v>2</v>
      </c>
      <c r="F14" s="10">
        <v>2</v>
      </c>
      <c r="G14" s="8">
        <v>2</v>
      </c>
      <c r="H14" s="8">
        <v>2</v>
      </c>
      <c r="I14" s="8">
        <v>2</v>
      </c>
      <c r="J14" s="8">
        <v>2</v>
      </c>
      <c r="K14" s="8"/>
      <c r="L14" s="8">
        <v>2</v>
      </c>
      <c r="M14" s="8"/>
      <c r="N14" s="9"/>
      <c r="O14" s="9"/>
      <c r="P14" s="9"/>
      <c r="Q14" s="9"/>
      <c r="R14" s="9"/>
      <c r="S14" s="9"/>
    </row>
    <row r="15" spans="1:19" ht="13.5" customHeight="1" x14ac:dyDescent="0.25">
      <c r="A15" s="18" t="s">
        <v>101</v>
      </c>
      <c r="B15" t="s">
        <v>28</v>
      </c>
      <c r="C15" s="17"/>
      <c r="D15" s="10">
        <f t="shared" si="0"/>
        <v>10</v>
      </c>
      <c r="E15" s="10">
        <v>2</v>
      </c>
      <c r="F15" s="10">
        <v>2</v>
      </c>
      <c r="G15" s="8">
        <v>2</v>
      </c>
      <c r="H15" s="8">
        <v>2</v>
      </c>
      <c r="I15" s="8">
        <v>2</v>
      </c>
      <c r="J15" s="8"/>
      <c r="K15" s="8"/>
      <c r="L15" s="8"/>
      <c r="M15" s="8"/>
      <c r="N15" s="9"/>
      <c r="O15" s="9"/>
      <c r="P15" s="9"/>
      <c r="Q15" s="9"/>
      <c r="R15" s="9"/>
      <c r="S15" s="9"/>
    </row>
    <row r="16" spans="1:19" ht="13.5" customHeight="1" x14ac:dyDescent="0.25">
      <c r="A16" s="18" t="s">
        <v>73</v>
      </c>
      <c r="B16" t="s">
        <v>131</v>
      </c>
      <c r="C16" s="17"/>
      <c r="D16" s="10">
        <f t="shared" si="0"/>
        <v>0</v>
      </c>
      <c r="E16" s="10"/>
      <c r="F16" s="10"/>
      <c r="G16" s="8"/>
      <c r="H16" s="8"/>
      <c r="I16" s="8"/>
      <c r="J16" s="8"/>
      <c r="K16" s="8"/>
      <c r="L16" s="8"/>
      <c r="M16" s="8"/>
      <c r="N16" s="9"/>
      <c r="O16" s="9"/>
      <c r="P16" s="9"/>
      <c r="Q16" s="9"/>
      <c r="R16" s="9"/>
      <c r="S16" s="9"/>
    </row>
    <row r="17" spans="1:19" ht="13.5" customHeight="1" x14ac:dyDescent="0.25">
      <c r="A17" s="18" t="s">
        <v>74</v>
      </c>
      <c r="B17" t="s">
        <v>113</v>
      </c>
      <c r="C17" s="17"/>
      <c r="D17" s="10">
        <f t="shared" si="0"/>
        <v>19</v>
      </c>
      <c r="E17" s="10">
        <v>2</v>
      </c>
      <c r="F17" s="10">
        <v>2</v>
      </c>
      <c r="G17" s="8">
        <v>2</v>
      </c>
      <c r="H17" s="8">
        <v>2</v>
      </c>
      <c r="I17" s="8">
        <v>2</v>
      </c>
      <c r="J17" s="8">
        <v>2</v>
      </c>
      <c r="K17" s="8">
        <v>2</v>
      </c>
      <c r="L17" s="8">
        <v>2</v>
      </c>
      <c r="M17" s="8"/>
      <c r="N17" s="9">
        <v>2</v>
      </c>
      <c r="O17" s="9"/>
      <c r="P17" s="9"/>
      <c r="Q17" s="9"/>
      <c r="R17" s="9">
        <v>1</v>
      </c>
      <c r="S17" s="9"/>
    </row>
    <row r="18" spans="1:19" ht="13.5" customHeight="1" x14ac:dyDescent="0.25">
      <c r="A18" s="18" t="s">
        <v>75</v>
      </c>
      <c r="B18" t="s">
        <v>29</v>
      </c>
      <c r="C18" s="17"/>
      <c r="D18" s="10">
        <f t="shared" si="0"/>
        <v>8</v>
      </c>
      <c r="E18" s="10">
        <v>2</v>
      </c>
      <c r="F18" s="10">
        <v>2</v>
      </c>
      <c r="G18" s="8"/>
      <c r="H18" s="8">
        <v>2</v>
      </c>
      <c r="I18" s="8"/>
      <c r="J18" s="8"/>
      <c r="K18" s="8"/>
      <c r="L18" s="8">
        <v>2</v>
      </c>
      <c r="M18" s="8"/>
      <c r="N18" s="9"/>
      <c r="O18" s="9"/>
      <c r="P18" s="9"/>
      <c r="Q18" s="9"/>
      <c r="R18" s="9"/>
      <c r="S18" s="9"/>
    </row>
    <row r="19" spans="1:19" ht="13.5" customHeight="1" x14ac:dyDescent="0.25">
      <c r="A19" s="18" t="s">
        <v>76</v>
      </c>
      <c r="B19" t="s">
        <v>114</v>
      </c>
      <c r="C19" s="17"/>
      <c r="D19" s="10">
        <f t="shared" si="0"/>
        <v>14</v>
      </c>
      <c r="E19" s="10">
        <v>2</v>
      </c>
      <c r="F19" s="10">
        <v>2</v>
      </c>
      <c r="G19" s="8">
        <v>2</v>
      </c>
      <c r="H19" s="8">
        <v>2</v>
      </c>
      <c r="I19" s="8">
        <v>2</v>
      </c>
      <c r="J19" s="8">
        <v>2</v>
      </c>
      <c r="K19" s="8"/>
      <c r="L19" s="8">
        <v>2</v>
      </c>
      <c r="M19" s="8"/>
      <c r="N19" s="9"/>
      <c r="O19" s="9"/>
      <c r="P19" s="9"/>
      <c r="Q19" s="9"/>
      <c r="R19" s="9"/>
      <c r="S19" s="9"/>
    </row>
    <row r="20" spans="1:19" ht="13.5" customHeight="1" x14ac:dyDescent="0.25">
      <c r="A20" s="18" t="s">
        <v>77</v>
      </c>
      <c r="B20" t="s">
        <v>115</v>
      </c>
      <c r="C20" s="17"/>
      <c r="D20" s="10">
        <f t="shared" si="0"/>
        <v>0</v>
      </c>
      <c r="E20" s="10"/>
      <c r="F20" s="10"/>
      <c r="G20" s="8"/>
      <c r="H20" s="8"/>
      <c r="I20" s="8"/>
      <c r="J20" s="8"/>
      <c r="K20" s="8"/>
      <c r="L20" s="8"/>
      <c r="M20" s="8"/>
      <c r="N20" s="9"/>
      <c r="O20" s="9"/>
      <c r="P20" s="9"/>
      <c r="Q20" s="9"/>
      <c r="R20" s="9"/>
      <c r="S20" s="9"/>
    </row>
    <row r="21" spans="1:19" ht="13.5" customHeight="1" x14ac:dyDescent="0.25">
      <c r="A21" s="18" t="s">
        <v>78</v>
      </c>
      <c r="B21" t="s">
        <v>116</v>
      </c>
      <c r="C21" s="17"/>
      <c r="D21" s="10">
        <f t="shared" si="0"/>
        <v>14</v>
      </c>
      <c r="E21" s="10">
        <v>2</v>
      </c>
      <c r="F21" s="10">
        <v>2</v>
      </c>
      <c r="G21" s="8">
        <v>2</v>
      </c>
      <c r="H21" s="8">
        <v>2</v>
      </c>
      <c r="I21" s="8">
        <v>2</v>
      </c>
      <c r="J21" s="8">
        <v>2</v>
      </c>
      <c r="K21" s="8"/>
      <c r="L21" s="8">
        <v>2</v>
      </c>
      <c r="M21" s="8"/>
      <c r="N21" s="9"/>
      <c r="O21" s="9"/>
      <c r="P21" s="9"/>
      <c r="Q21" s="9"/>
      <c r="R21" s="9"/>
      <c r="S21" s="9"/>
    </row>
    <row r="22" spans="1:19" ht="13.5" customHeight="1" x14ac:dyDescent="0.25">
      <c r="A22" s="18" t="s">
        <v>79</v>
      </c>
      <c r="B22" t="s">
        <v>117</v>
      </c>
      <c r="C22" s="17"/>
      <c r="D22" s="10">
        <f t="shared" si="0"/>
        <v>8</v>
      </c>
      <c r="E22" s="10"/>
      <c r="F22" s="10"/>
      <c r="G22" s="8"/>
      <c r="H22" s="8">
        <v>2</v>
      </c>
      <c r="I22" s="8">
        <v>2</v>
      </c>
      <c r="J22" s="8">
        <v>2</v>
      </c>
      <c r="K22" s="8"/>
      <c r="L22" s="8">
        <v>2</v>
      </c>
      <c r="M22" s="8"/>
      <c r="N22" s="9"/>
      <c r="O22" s="9"/>
      <c r="P22" s="9"/>
      <c r="Q22" s="9"/>
      <c r="R22" s="9"/>
      <c r="S22" s="9"/>
    </row>
    <row r="23" spans="1:19" ht="13.5" customHeight="1" x14ac:dyDescent="0.25">
      <c r="A23" s="18" t="s">
        <v>80</v>
      </c>
      <c r="B23" t="s">
        <v>118</v>
      </c>
      <c r="C23" s="17"/>
      <c r="D23" s="10">
        <f t="shared" si="0"/>
        <v>14</v>
      </c>
      <c r="E23" s="10">
        <v>2</v>
      </c>
      <c r="F23" s="10">
        <v>2</v>
      </c>
      <c r="G23" s="8">
        <v>2</v>
      </c>
      <c r="H23" s="8">
        <v>2</v>
      </c>
      <c r="I23" s="8">
        <v>2</v>
      </c>
      <c r="J23" s="8">
        <v>2</v>
      </c>
      <c r="K23" s="8"/>
      <c r="L23" s="8">
        <v>2</v>
      </c>
      <c r="M23" s="8"/>
      <c r="N23" s="9"/>
      <c r="O23" s="9"/>
      <c r="P23" s="9"/>
      <c r="Q23" s="9"/>
      <c r="R23" s="9"/>
      <c r="S23" s="9"/>
    </row>
    <row r="24" spans="1:19" ht="13.5" customHeight="1" x14ac:dyDescent="0.25">
      <c r="A24" s="18" t="s">
        <v>81</v>
      </c>
      <c r="B24" t="s">
        <v>119</v>
      </c>
      <c r="C24" s="17"/>
      <c r="D24" s="10">
        <f t="shared" si="0"/>
        <v>12</v>
      </c>
      <c r="E24" s="10">
        <v>2</v>
      </c>
      <c r="F24" s="10">
        <v>2</v>
      </c>
      <c r="G24" s="8">
        <v>2</v>
      </c>
      <c r="H24" s="8">
        <v>2</v>
      </c>
      <c r="I24" s="8">
        <v>2</v>
      </c>
      <c r="J24" s="8"/>
      <c r="K24" s="8"/>
      <c r="L24" s="8">
        <v>2</v>
      </c>
      <c r="M24" s="8"/>
      <c r="N24" s="9"/>
      <c r="O24" s="9"/>
      <c r="P24" s="9"/>
      <c r="Q24" s="9"/>
      <c r="R24" s="9"/>
      <c r="S24" s="9"/>
    </row>
    <row r="25" spans="1:19" ht="13.5" customHeight="1" x14ac:dyDescent="0.25">
      <c r="A25" s="18" t="s">
        <v>82</v>
      </c>
      <c r="B25" t="s">
        <v>120</v>
      </c>
      <c r="C25" s="17"/>
      <c r="D25" s="10">
        <f t="shared" si="0"/>
        <v>8</v>
      </c>
      <c r="E25" s="10">
        <v>2</v>
      </c>
      <c r="F25" s="10">
        <v>2</v>
      </c>
      <c r="G25" s="8">
        <v>2</v>
      </c>
      <c r="H25" s="8"/>
      <c r="I25" s="8">
        <v>2</v>
      </c>
      <c r="J25" s="8"/>
      <c r="K25" s="8"/>
      <c r="L25" s="8"/>
      <c r="M25" s="8"/>
      <c r="N25" s="9"/>
      <c r="O25" s="9"/>
      <c r="P25" s="9"/>
      <c r="Q25" s="9"/>
      <c r="R25" s="9"/>
      <c r="S25" s="9"/>
    </row>
    <row r="26" spans="1:19" ht="13.5" customHeight="1" x14ac:dyDescent="0.25">
      <c r="A26" s="18" t="s">
        <v>99</v>
      </c>
      <c r="B26" t="s">
        <v>30</v>
      </c>
      <c r="C26" s="17"/>
      <c r="D26" s="10">
        <f t="shared" si="0"/>
        <v>12</v>
      </c>
      <c r="E26" s="10">
        <v>2</v>
      </c>
      <c r="F26" s="10">
        <v>2</v>
      </c>
      <c r="G26" s="8"/>
      <c r="H26" s="8">
        <v>2</v>
      </c>
      <c r="I26" s="8">
        <v>2</v>
      </c>
      <c r="J26" s="8">
        <v>2</v>
      </c>
      <c r="K26" s="8"/>
      <c r="L26" s="8">
        <v>2</v>
      </c>
      <c r="M26" s="8"/>
      <c r="N26" s="9"/>
      <c r="O26" s="9"/>
      <c r="P26" s="9"/>
      <c r="Q26" s="9"/>
      <c r="R26" s="9"/>
      <c r="S26" s="9"/>
    </row>
    <row r="27" spans="1:19" ht="13.5" customHeight="1" x14ac:dyDescent="0.25">
      <c r="A27" s="18" t="s">
        <v>83</v>
      </c>
      <c r="B27" t="s">
        <v>134</v>
      </c>
      <c r="C27" s="17"/>
      <c r="D27" s="10">
        <f t="shared" si="0"/>
        <v>14</v>
      </c>
      <c r="E27" s="10">
        <v>2</v>
      </c>
      <c r="F27" s="10">
        <v>2</v>
      </c>
      <c r="G27" s="8">
        <v>2</v>
      </c>
      <c r="H27" s="8">
        <v>2</v>
      </c>
      <c r="I27" s="8">
        <v>2</v>
      </c>
      <c r="J27" s="8">
        <v>2</v>
      </c>
      <c r="K27" s="8"/>
      <c r="L27" s="8">
        <v>2</v>
      </c>
      <c r="M27" s="8"/>
      <c r="N27" s="9"/>
      <c r="O27" s="9"/>
      <c r="P27" s="9"/>
      <c r="Q27" s="9"/>
      <c r="R27" s="9"/>
      <c r="S27" s="9"/>
    </row>
    <row r="28" spans="1:19" ht="13.5" customHeight="1" x14ac:dyDescent="0.25">
      <c r="A28" s="18" t="s">
        <v>84</v>
      </c>
      <c r="B28" t="s">
        <v>62</v>
      </c>
      <c r="C28" s="17"/>
      <c r="D28" s="10">
        <f t="shared" si="0"/>
        <v>10</v>
      </c>
      <c r="E28" s="10">
        <v>2</v>
      </c>
      <c r="F28" s="10">
        <v>2</v>
      </c>
      <c r="G28" s="8">
        <v>2</v>
      </c>
      <c r="H28" s="8"/>
      <c r="I28" s="8">
        <v>2</v>
      </c>
      <c r="J28" s="8"/>
      <c r="K28" s="8"/>
      <c r="L28" s="8">
        <v>2</v>
      </c>
      <c r="M28" s="8"/>
      <c r="N28" s="9"/>
      <c r="O28" s="9"/>
      <c r="P28" s="9"/>
      <c r="Q28" s="9"/>
      <c r="R28" s="9"/>
      <c r="S28" s="9"/>
    </row>
    <row r="29" spans="1:19" ht="13.5" customHeight="1" x14ac:dyDescent="0.25">
      <c r="A29" s="18" t="s">
        <v>85</v>
      </c>
      <c r="B29" t="s">
        <v>31</v>
      </c>
      <c r="C29" s="17"/>
      <c r="D29" s="10">
        <f t="shared" si="0"/>
        <v>11</v>
      </c>
      <c r="E29" s="10">
        <v>2</v>
      </c>
      <c r="F29" s="10">
        <v>2</v>
      </c>
      <c r="G29" s="8">
        <v>1</v>
      </c>
      <c r="H29" s="8">
        <v>2</v>
      </c>
      <c r="I29" s="8">
        <v>2</v>
      </c>
      <c r="J29" s="8"/>
      <c r="K29" s="8"/>
      <c r="L29" s="8">
        <v>2</v>
      </c>
      <c r="M29" s="8"/>
      <c r="N29" s="9"/>
      <c r="O29" s="9"/>
      <c r="P29" s="9"/>
      <c r="Q29" s="9"/>
      <c r="R29" s="9"/>
      <c r="S29" s="9"/>
    </row>
    <row r="30" spans="1:19" ht="13.5" customHeight="1" x14ac:dyDescent="0.25">
      <c r="A30" s="18" t="s">
        <v>100</v>
      </c>
      <c r="B30" t="s">
        <v>121</v>
      </c>
      <c r="C30" s="17"/>
      <c r="D30" s="10">
        <f t="shared" si="0"/>
        <v>0</v>
      </c>
      <c r="E30" s="10"/>
      <c r="F30" s="10"/>
      <c r="G30" s="8"/>
      <c r="H30" s="8"/>
      <c r="I30" s="8"/>
      <c r="J30" s="8"/>
      <c r="K30" s="8"/>
      <c r="L30" s="8"/>
      <c r="M30" s="8"/>
      <c r="N30" s="9"/>
      <c r="O30" s="9"/>
      <c r="P30" s="9"/>
      <c r="Q30" s="9"/>
      <c r="R30" s="9"/>
      <c r="S30" s="9"/>
    </row>
    <row r="31" spans="1:19" ht="13.5" customHeight="1" x14ac:dyDescent="0.25">
      <c r="A31" s="18" t="s">
        <v>86</v>
      </c>
      <c r="B31" t="s">
        <v>122</v>
      </c>
      <c r="C31" s="17"/>
      <c r="D31" s="10">
        <f t="shared" si="0"/>
        <v>12</v>
      </c>
      <c r="E31" s="10">
        <v>2</v>
      </c>
      <c r="F31" s="10">
        <v>2</v>
      </c>
      <c r="G31" s="8">
        <v>2</v>
      </c>
      <c r="H31" s="8">
        <v>2</v>
      </c>
      <c r="I31" s="8">
        <v>2</v>
      </c>
      <c r="J31" s="8">
        <v>2</v>
      </c>
      <c r="K31" s="8"/>
      <c r="L31" s="8"/>
      <c r="M31" s="8"/>
      <c r="N31" s="9"/>
      <c r="O31" s="9"/>
      <c r="P31" s="9"/>
      <c r="Q31" s="9"/>
      <c r="R31" s="9"/>
      <c r="S31" s="9"/>
    </row>
    <row r="32" spans="1:19" ht="13.5" customHeight="1" x14ac:dyDescent="0.25">
      <c r="A32" s="18" t="s">
        <v>87</v>
      </c>
      <c r="B32" t="s">
        <v>111</v>
      </c>
      <c r="C32" s="17"/>
      <c r="D32" s="10">
        <f t="shared" si="0"/>
        <v>10</v>
      </c>
      <c r="E32" s="10">
        <v>2</v>
      </c>
      <c r="F32" s="10">
        <v>2</v>
      </c>
      <c r="G32" s="8">
        <v>2</v>
      </c>
      <c r="H32" s="8">
        <v>2</v>
      </c>
      <c r="I32" s="8"/>
      <c r="J32" s="8"/>
      <c r="K32" s="8"/>
      <c r="L32" s="8">
        <v>2</v>
      </c>
      <c r="M32" s="8"/>
      <c r="N32" s="9"/>
      <c r="O32" s="9"/>
      <c r="P32" s="9"/>
      <c r="Q32" s="9"/>
      <c r="R32" s="9"/>
      <c r="S32" s="9"/>
    </row>
    <row r="33" spans="1:19" ht="13.5" customHeight="1" x14ac:dyDescent="0.25">
      <c r="A33" s="18" t="s">
        <v>88</v>
      </c>
      <c r="B33" t="s">
        <v>105</v>
      </c>
      <c r="C33" s="17"/>
      <c r="D33" s="10">
        <f t="shared" si="0"/>
        <v>12</v>
      </c>
      <c r="E33" s="10">
        <v>2</v>
      </c>
      <c r="F33" s="10">
        <v>2</v>
      </c>
      <c r="G33" s="8">
        <v>2</v>
      </c>
      <c r="H33" s="8">
        <v>2</v>
      </c>
      <c r="I33" s="8">
        <v>2</v>
      </c>
      <c r="J33" s="8">
        <v>2</v>
      </c>
      <c r="K33" s="8"/>
      <c r="L33" s="8"/>
      <c r="M33" s="8"/>
      <c r="N33" s="9"/>
      <c r="O33" s="9"/>
      <c r="P33" s="9"/>
      <c r="Q33" s="9"/>
      <c r="R33" s="9"/>
      <c r="S33" s="9"/>
    </row>
    <row r="34" spans="1:19" ht="13.5" customHeight="1" x14ac:dyDescent="0.25">
      <c r="A34" s="18" t="s">
        <v>89</v>
      </c>
      <c r="B34" t="s">
        <v>33</v>
      </c>
      <c r="C34" s="17"/>
      <c r="D34" s="10">
        <f t="shared" si="0"/>
        <v>12</v>
      </c>
      <c r="E34" s="10">
        <v>2</v>
      </c>
      <c r="F34" s="10">
        <v>2</v>
      </c>
      <c r="G34" s="8">
        <v>2</v>
      </c>
      <c r="H34" s="8">
        <v>2</v>
      </c>
      <c r="I34" s="8"/>
      <c r="J34" s="8">
        <v>2</v>
      </c>
      <c r="K34" s="8"/>
      <c r="L34" s="8">
        <v>2</v>
      </c>
      <c r="M34" s="8"/>
      <c r="N34" s="9"/>
      <c r="O34" s="9"/>
      <c r="P34" s="9"/>
      <c r="Q34" s="9"/>
      <c r="R34" s="9"/>
      <c r="S34" s="9"/>
    </row>
    <row r="35" spans="1:19" ht="13.5" customHeight="1" x14ac:dyDescent="0.25">
      <c r="A35" s="18" t="s">
        <v>90</v>
      </c>
      <c r="B35" t="s">
        <v>123</v>
      </c>
      <c r="C35" s="17"/>
      <c r="D35" s="10">
        <f t="shared" si="0"/>
        <v>12</v>
      </c>
      <c r="E35" s="10">
        <v>2</v>
      </c>
      <c r="F35" s="10">
        <v>2</v>
      </c>
      <c r="G35" s="8">
        <v>2</v>
      </c>
      <c r="H35" s="8"/>
      <c r="I35" s="8">
        <v>2</v>
      </c>
      <c r="J35" s="8">
        <v>2</v>
      </c>
      <c r="K35" s="8"/>
      <c r="L35" s="8">
        <v>2</v>
      </c>
      <c r="M35" s="8"/>
      <c r="N35" s="9"/>
      <c r="O35" s="9"/>
      <c r="P35" s="9"/>
      <c r="Q35" s="9"/>
      <c r="R35" s="9"/>
      <c r="S35" s="9"/>
    </row>
    <row r="36" spans="1:19" ht="13.5" customHeight="1" x14ac:dyDescent="0.25">
      <c r="A36" s="18" t="s">
        <v>91</v>
      </c>
      <c r="B36" t="s">
        <v>125</v>
      </c>
      <c r="C36" s="17"/>
      <c r="D36" s="10">
        <f t="shared" si="0"/>
        <v>12</v>
      </c>
      <c r="E36" s="10">
        <v>2</v>
      </c>
      <c r="F36" s="10">
        <v>2</v>
      </c>
      <c r="G36" s="8">
        <v>2</v>
      </c>
      <c r="H36" s="8"/>
      <c r="I36" s="8">
        <v>2</v>
      </c>
      <c r="J36" s="8">
        <v>2</v>
      </c>
      <c r="K36" s="8"/>
      <c r="L36" s="8">
        <v>2</v>
      </c>
      <c r="M36" s="8"/>
      <c r="N36" s="9"/>
      <c r="O36" s="9"/>
      <c r="P36" s="9"/>
      <c r="Q36" s="9"/>
      <c r="R36" s="9"/>
      <c r="S36" s="9"/>
    </row>
    <row r="37" spans="1:19" ht="13.5" customHeight="1" x14ac:dyDescent="0.25">
      <c r="A37" s="18" t="s">
        <v>92</v>
      </c>
      <c r="B37" t="s">
        <v>126</v>
      </c>
      <c r="C37" s="17"/>
      <c r="D37" s="10">
        <f t="shared" si="0"/>
        <v>10</v>
      </c>
      <c r="E37" s="10">
        <v>2</v>
      </c>
      <c r="F37" s="10">
        <v>2</v>
      </c>
      <c r="G37" s="8">
        <v>2</v>
      </c>
      <c r="H37" s="8">
        <v>2</v>
      </c>
      <c r="I37" s="8"/>
      <c r="J37" s="8">
        <v>2</v>
      </c>
      <c r="K37" s="8"/>
      <c r="L37" s="8"/>
      <c r="M37" s="8"/>
      <c r="N37" s="9"/>
      <c r="O37" s="9"/>
      <c r="P37" s="9"/>
      <c r="Q37" s="9"/>
      <c r="R37" s="9"/>
      <c r="S37" s="9"/>
    </row>
    <row r="38" spans="1:19" ht="13.5" customHeight="1" x14ac:dyDescent="0.25">
      <c r="A38" s="18" t="s">
        <v>93</v>
      </c>
      <c r="B38" t="s">
        <v>34</v>
      </c>
      <c r="C38" s="17"/>
      <c r="D38" s="10">
        <f t="shared" si="0"/>
        <v>12</v>
      </c>
      <c r="E38" s="10">
        <v>2</v>
      </c>
      <c r="F38" s="10">
        <v>2</v>
      </c>
      <c r="G38" s="8">
        <v>2</v>
      </c>
      <c r="H38" s="8">
        <v>2</v>
      </c>
      <c r="I38" s="8"/>
      <c r="J38" s="8">
        <v>2</v>
      </c>
      <c r="K38" s="8"/>
      <c r="L38" s="8">
        <v>2</v>
      </c>
      <c r="M38" s="8"/>
      <c r="N38" s="9"/>
      <c r="O38" s="9"/>
      <c r="P38" s="9"/>
      <c r="Q38" s="9"/>
      <c r="R38" s="9"/>
      <c r="S38" s="9"/>
    </row>
    <row r="39" spans="1:19" ht="13.5" customHeight="1" x14ac:dyDescent="0.25">
      <c r="A39" s="18" t="s">
        <v>94</v>
      </c>
      <c r="B39" t="s">
        <v>127</v>
      </c>
      <c r="C39" s="17"/>
      <c r="D39" s="10">
        <f t="shared" si="0"/>
        <v>0</v>
      </c>
      <c r="E39" s="10"/>
      <c r="F39" s="10"/>
      <c r="G39" s="8"/>
      <c r="H39" s="8"/>
      <c r="I39" s="8"/>
      <c r="J39" s="8"/>
      <c r="K39" s="8"/>
      <c r="L39" s="8"/>
      <c r="M39" s="8"/>
      <c r="N39" s="9"/>
      <c r="O39" s="9"/>
      <c r="P39" s="9"/>
      <c r="Q39" s="9"/>
      <c r="R39" s="9"/>
      <c r="S39" s="9"/>
    </row>
    <row r="40" spans="1:19" ht="13.5" customHeight="1" x14ac:dyDescent="0.25">
      <c r="A40" s="18" t="s">
        <v>95</v>
      </c>
      <c r="B40" t="s">
        <v>128</v>
      </c>
      <c r="C40" s="17"/>
      <c r="D40" s="10">
        <f t="shared" si="0"/>
        <v>14</v>
      </c>
      <c r="E40" s="10">
        <v>2</v>
      </c>
      <c r="F40" s="10">
        <v>2</v>
      </c>
      <c r="G40" s="8">
        <v>2</v>
      </c>
      <c r="H40" s="8">
        <v>2</v>
      </c>
      <c r="I40" s="8">
        <v>2</v>
      </c>
      <c r="J40" s="8">
        <v>2</v>
      </c>
      <c r="K40" s="8"/>
      <c r="L40" s="8">
        <v>2</v>
      </c>
      <c r="M40" s="8"/>
      <c r="N40" s="9"/>
      <c r="O40" s="9"/>
      <c r="P40" s="9"/>
      <c r="Q40" s="9"/>
      <c r="R40" s="9"/>
      <c r="S40" s="9"/>
    </row>
    <row r="41" spans="1:19" ht="13.5" customHeight="1" x14ac:dyDescent="0.25">
      <c r="A41" s="18" t="s">
        <v>96</v>
      </c>
      <c r="B41" t="s">
        <v>63</v>
      </c>
      <c r="C41" s="17"/>
      <c r="D41" s="10">
        <f t="shared" si="0"/>
        <v>2</v>
      </c>
      <c r="E41" s="10"/>
      <c r="F41" s="10"/>
      <c r="G41" s="8"/>
      <c r="H41" s="8"/>
      <c r="I41" s="8"/>
      <c r="J41" s="8"/>
      <c r="K41" s="8"/>
      <c r="L41" s="8">
        <v>2</v>
      </c>
      <c r="M41" s="8"/>
      <c r="N41" s="9"/>
      <c r="O41" s="9"/>
      <c r="P41" s="9"/>
      <c r="Q41" s="9"/>
      <c r="R41" s="9"/>
      <c r="S41" s="9"/>
    </row>
    <row r="42" spans="1:19" ht="13.5" customHeight="1" x14ac:dyDescent="0.25">
      <c r="A42" s="18" t="s">
        <v>97</v>
      </c>
      <c r="B42" t="s">
        <v>129</v>
      </c>
      <c r="C42" s="17"/>
      <c r="D42" s="10">
        <f t="shared" si="0"/>
        <v>13</v>
      </c>
      <c r="E42" s="10">
        <v>2</v>
      </c>
      <c r="F42" s="10">
        <v>2</v>
      </c>
      <c r="G42" s="8">
        <v>1</v>
      </c>
      <c r="H42" s="8">
        <v>2</v>
      </c>
      <c r="I42" s="8">
        <v>2</v>
      </c>
      <c r="J42" s="8">
        <v>2</v>
      </c>
      <c r="K42" s="8"/>
      <c r="L42" s="8">
        <v>2</v>
      </c>
      <c r="M42" s="8"/>
      <c r="N42" s="9"/>
      <c r="O42" s="9"/>
      <c r="P42" s="9"/>
      <c r="Q42" s="9"/>
      <c r="R42" s="9"/>
      <c r="S42" s="9"/>
    </row>
    <row r="43" spans="1:19" ht="13.5" customHeight="1" x14ac:dyDescent="0.25">
      <c r="A43" s="23" t="s">
        <v>102</v>
      </c>
      <c r="C43" s="17"/>
      <c r="D43" s="10">
        <f t="shared" ref="D43:I43" si="1">SUM(D5:D42)/2</f>
        <v>191</v>
      </c>
      <c r="E43" s="10">
        <f t="shared" si="1"/>
        <v>30</v>
      </c>
      <c r="F43" s="10">
        <f t="shared" si="1"/>
        <v>29</v>
      </c>
      <c r="G43" s="10">
        <f t="shared" si="1"/>
        <v>27</v>
      </c>
      <c r="H43" s="10">
        <f t="shared" si="1"/>
        <v>27</v>
      </c>
      <c r="I43" s="10">
        <f t="shared" si="1"/>
        <v>26</v>
      </c>
      <c r="J43" s="24">
        <f t="shared" ref="J43:S43" si="2">SUM(J5:J42)/2</f>
        <v>22.5</v>
      </c>
      <c r="K43" s="10">
        <f t="shared" si="2"/>
        <v>1</v>
      </c>
      <c r="L43" s="24">
        <f t="shared" si="2"/>
        <v>27</v>
      </c>
      <c r="M43" s="24">
        <f t="shared" si="2"/>
        <v>0</v>
      </c>
      <c r="N43" s="24">
        <f t="shared" si="2"/>
        <v>1</v>
      </c>
      <c r="O43" s="24">
        <f t="shared" si="2"/>
        <v>0</v>
      </c>
      <c r="P43" s="24">
        <f t="shared" si="2"/>
        <v>0</v>
      </c>
      <c r="Q43" s="24">
        <f t="shared" si="2"/>
        <v>0</v>
      </c>
      <c r="R43" s="24">
        <f t="shared" si="2"/>
        <v>0.5</v>
      </c>
      <c r="S43" s="24">
        <f t="shared" si="2"/>
        <v>0</v>
      </c>
    </row>
    <row r="44" spans="1:19" ht="13.5" customHeight="1" x14ac:dyDescent="0.25">
      <c r="A44" s="4"/>
      <c r="B44" t="s">
        <v>35</v>
      </c>
      <c r="C44" s="17"/>
      <c r="D44" s="10"/>
      <c r="E44" s="10"/>
      <c r="F44" s="10"/>
      <c r="G44" s="8"/>
      <c r="H44" s="8"/>
      <c r="I44" s="8"/>
      <c r="J44" s="8"/>
      <c r="K44" s="8"/>
      <c r="L44" s="8"/>
      <c r="M44" s="8"/>
      <c r="N44" s="9"/>
      <c r="O44" s="9"/>
      <c r="P44" s="9"/>
      <c r="Q44" s="9"/>
      <c r="R44" s="9"/>
      <c r="S44" s="9"/>
    </row>
    <row r="45" spans="1:19" ht="13.5" customHeight="1" x14ac:dyDescent="0.25">
      <c r="A45" s="4"/>
      <c r="B45" t="s">
        <v>135</v>
      </c>
      <c r="C45" s="17"/>
      <c r="D45" s="10"/>
      <c r="E45" s="10"/>
      <c r="F45" s="10"/>
      <c r="G45" s="8"/>
      <c r="H45" s="8"/>
      <c r="I45" s="8"/>
      <c r="J45" s="8"/>
      <c r="K45" s="8"/>
      <c r="L45" s="8"/>
      <c r="M45" s="8"/>
      <c r="N45" s="9"/>
      <c r="O45" s="9"/>
      <c r="P45" s="9"/>
      <c r="Q45" s="9"/>
      <c r="R45" s="9"/>
      <c r="S45" s="9"/>
    </row>
    <row r="46" spans="1:19" ht="13.5" customHeight="1" x14ac:dyDescent="0.25">
      <c r="A46" s="4"/>
      <c r="B46" t="s">
        <v>36</v>
      </c>
      <c r="C46" s="17"/>
      <c r="D46" s="10"/>
      <c r="E46" s="10"/>
      <c r="F46" s="10"/>
      <c r="G46" s="8"/>
      <c r="H46" s="8"/>
      <c r="I46" s="8"/>
      <c r="J46" s="8"/>
      <c r="K46" s="8"/>
      <c r="L46" s="8"/>
      <c r="M46" s="8"/>
      <c r="N46" s="9"/>
      <c r="O46" s="9"/>
      <c r="P46" s="9"/>
      <c r="Q46" s="9"/>
      <c r="R46" s="9"/>
      <c r="S46" s="9"/>
    </row>
    <row r="47" spans="1:19" ht="13.5" customHeight="1" x14ac:dyDescent="0.25">
      <c r="A47" s="4"/>
      <c r="B47" t="s">
        <v>37</v>
      </c>
      <c r="C47" s="17"/>
      <c r="D47" s="10"/>
      <c r="E47" s="10"/>
      <c r="F47" s="10"/>
      <c r="G47" s="8"/>
      <c r="H47" s="8"/>
      <c r="I47" s="8"/>
      <c r="J47" s="8"/>
      <c r="K47" s="8"/>
      <c r="L47" s="8"/>
      <c r="M47" s="8"/>
      <c r="N47" s="9"/>
      <c r="O47" s="9"/>
      <c r="P47" s="9"/>
      <c r="Q47" s="9"/>
      <c r="R47" s="9"/>
      <c r="S47" s="9"/>
    </row>
    <row r="48" spans="1:19" ht="13.5" customHeight="1" x14ac:dyDescent="0.25">
      <c r="A48" s="4"/>
      <c r="B48" t="s">
        <v>38</v>
      </c>
      <c r="C48" s="17"/>
      <c r="D48" s="10"/>
      <c r="E48" s="10"/>
      <c r="F48" s="10"/>
      <c r="G48" s="8"/>
      <c r="H48" s="8"/>
      <c r="I48" s="8"/>
      <c r="J48" s="8"/>
      <c r="K48" s="8"/>
      <c r="L48" s="8"/>
      <c r="M48" s="8"/>
      <c r="N48" s="9"/>
      <c r="O48" s="9"/>
      <c r="P48" s="9"/>
      <c r="Q48" s="9"/>
      <c r="R48" s="9"/>
      <c r="S48" s="9"/>
    </row>
    <row r="49" spans="1:19" ht="13.5" customHeight="1" x14ac:dyDescent="0.25">
      <c r="A49" s="4"/>
      <c r="B49" t="s">
        <v>32</v>
      </c>
      <c r="C49" s="17"/>
      <c r="D49" s="10"/>
      <c r="E49" s="10"/>
      <c r="F49" s="10"/>
      <c r="G49" s="8"/>
      <c r="H49" s="8"/>
      <c r="I49" s="8"/>
      <c r="J49" s="8"/>
      <c r="K49" s="8"/>
      <c r="L49" s="8"/>
      <c r="M49" s="8"/>
      <c r="N49" s="9"/>
      <c r="O49" s="9"/>
      <c r="P49" s="9"/>
      <c r="Q49" s="9"/>
      <c r="R49" s="9"/>
      <c r="S49" s="9"/>
    </row>
    <row r="50" spans="1:19" ht="13.5" customHeight="1" x14ac:dyDescent="0.25">
      <c r="A50" s="4"/>
      <c r="B50" s="10"/>
      <c r="C50" s="17"/>
      <c r="D50" s="10"/>
      <c r="E50" s="10"/>
      <c r="F50" s="10"/>
      <c r="G50" s="8"/>
      <c r="H50" s="8"/>
      <c r="I50" s="8"/>
      <c r="J50" s="8"/>
      <c r="K50" s="8"/>
      <c r="L50" s="8"/>
      <c r="M50" s="8"/>
      <c r="N50" s="9"/>
      <c r="O50" s="9"/>
      <c r="P50" s="9"/>
      <c r="Q50" s="9"/>
      <c r="R50" s="9"/>
      <c r="S50" s="9"/>
    </row>
    <row r="51" spans="1:19" ht="13.5" customHeight="1" x14ac:dyDescent="0.25">
      <c r="A51" s="4"/>
      <c r="B51" s="10"/>
      <c r="C51" s="17"/>
      <c r="D51" s="10"/>
      <c r="E51" s="10"/>
      <c r="F51" s="10"/>
      <c r="G51" s="8"/>
      <c r="H51" s="8"/>
      <c r="I51" s="8"/>
      <c r="J51" s="8"/>
      <c r="K51" s="8"/>
      <c r="L51" s="8"/>
      <c r="M51" s="8"/>
      <c r="N51" s="9"/>
      <c r="O51" s="9"/>
      <c r="P51" s="9"/>
      <c r="Q51" s="9"/>
      <c r="R51" s="9"/>
      <c r="S51" s="9"/>
    </row>
    <row r="52" spans="1:19" ht="13.5" customHeight="1" x14ac:dyDescent="0.25">
      <c r="A52" s="4"/>
      <c r="B52" s="10"/>
      <c r="C52" s="17"/>
      <c r="D52" s="10"/>
      <c r="E52" s="10"/>
      <c r="F52" s="10"/>
      <c r="G52" s="8"/>
      <c r="H52" s="8"/>
      <c r="I52" s="8"/>
      <c r="J52" s="8"/>
      <c r="K52" s="8"/>
      <c r="L52" s="8"/>
      <c r="M52" s="8"/>
      <c r="N52" s="9"/>
      <c r="O52" s="9"/>
      <c r="P52" s="9"/>
      <c r="Q52" s="9"/>
      <c r="R52" s="9"/>
      <c r="S52" s="9"/>
    </row>
    <row r="53" spans="1:19" ht="13.5" customHeight="1" x14ac:dyDescent="0.25">
      <c r="A53" s="4"/>
      <c r="B53" s="10"/>
      <c r="C53" s="17"/>
      <c r="D53" s="10"/>
      <c r="E53" s="10"/>
      <c r="F53" s="10"/>
      <c r="G53" s="8"/>
      <c r="H53" s="8"/>
      <c r="I53" s="8"/>
      <c r="J53" s="8"/>
      <c r="K53" s="8"/>
      <c r="L53" s="8"/>
      <c r="M53" s="8"/>
      <c r="N53" s="9"/>
      <c r="O53" s="9"/>
      <c r="P53" s="9"/>
      <c r="Q53" s="9"/>
      <c r="R53" s="9"/>
      <c r="S53" s="9"/>
    </row>
    <row r="54" spans="1:19" ht="13.5" customHeight="1" x14ac:dyDescent="0.25">
      <c r="A54" s="4"/>
      <c r="B54" s="10"/>
      <c r="C54" s="17"/>
      <c r="D54" s="10"/>
      <c r="E54" s="10"/>
      <c r="F54" s="10"/>
      <c r="G54" s="8"/>
      <c r="H54" s="8"/>
      <c r="I54" s="8"/>
      <c r="J54" s="8"/>
      <c r="K54" s="8"/>
      <c r="L54" s="8"/>
      <c r="M54" s="8"/>
      <c r="N54" s="9"/>
      <c r="O54" s="9"/>
      <c r="P54" s="9"/>
      <c r="Q54" s="9"/>
      <c r="R54" s="9"/>
      <c r="S54" s="9"/>
    </row>
    <row r="55" spans="1:19" ht="13.5" customHeight="1" x14ac:dyDescent="0.25">
      <c r="A55" s="4"/>
      <c r="B55" s="10"/>
      <c r="C55" s="17"/>
      <c r="D55" s="10"/>
      <c r="E55" s="10"/>
      <c r="F55" s="10"/>
      <c r="G55" s="8"/>
      <c r="H55" s="8"/>
      <c r="I55" s="8"/>
      <c r="J55" s="8"/>
      <c r="K55" s="8"/>
      <c r="L55" s="8"/>
      <c r="M55" s="8"/>
      <c r="N55" s="9"/>
      <c r="O55" s="9"/>
      <c r="P55" s="9"/>
      <c r="Q55" s="9"/>
      <c r="R55" s="9"/>
      <c r="S55" s="9"/>
    </row>
    <row r="56" spans="1:19" ht="13.5" customHeight="1" x14ac:dyDescent="0.25">
      <c r="A56" s="4"/>
      <c r="B56" s="10"/>
      <c r="C56" s="17"/>
      <c r="D56" s="10"/>
      <c r="E56" s="10"/>
      <c r="F56" s="10"/>
      <c r="G56" s="8"/>
      <c r="H56" s="8"/>
      <c r="I56" s="8"/>
      <c r="J56" s="8"/>
      <c r="K56" s="8"/>
      <c r="L56" s="8"/>
      <c r="M56" s="8"/>
      <c r="N56" s="9"/>
      <c r="O56" s="9"/>
      <c r="P56" s="9"/>
      <c r="Q56" s="9"/>
      <c r="R56" s="9"/>
      <c r="S56" s="9"/>
    </row>
    <row r="57" spans="1:19" x14ac:dyDescent="0.25">
      <c r="A57" s="3"/>
      <c r="B57" s="15"/>
      <c r="C57" s="15"/>
      <c r="D57" s="11"/>
      <c r="E57" s="1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25">
      <c r="B58" s="16"/>
      <c r="C58" s="16"/>
    </row>
    <row r="59" spans="1:19" x14ac:dyDescent="0.25">
      <c r="A59" s="20" t="s">
        <v>60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  <c r="G59" t="s">
        <v>54</v>
      </c>
      <c r="H59" t="s">
        <v>54</v>
      </c>
      <c r="I59" t="s">
        <v>55</v>
      </c>
      <c r="J59" t="s">
        <v>56</v>
      </c>
      <c r="K59" t="s">
        <v>57</v>
      </c>
      <c r="L59" t="s">
        <v>58</v>
      </c>
    </row>
    <row r="60" spans="1:19" x14ac:dyDescent="0.25">
      <c r="A60" s="20" t="s">
        <v>104</v>
      </c>
      <c r="B60" t="s">
        <v>103</v>
      </c>
      <c r="C60" t="s">
        <v>59</v>
      </c>
      <c r="D60" s="21">
        <v>1.63</v>
      </c>
      <c r="E60" s="21">
        <v>0.74</v>
      </c>
      <c r="F60">
        <v>4</v>
      </c>
      <c r="G60">
        <v>15</v>
      </c>
      <c r="H60">
        <v>27</v>
      </c>
      <c r="I60">
        <v>38</v>
      </c>
      <c r="J60" s="22">
        <v>39.299999999999997</v>
      </c>
      <c r="K60" s="22">
        <v>28.3</v>
      </c>
      <c r="L60" s="22">
        <v>0</v>
      </c>
    </row>
    <row r="61" spans="1:19" x14ac:dyDescent="0.25">
      <c r="A61" s="20" t="s">
        <v>106</v>
      </c>
      <c r="B61" t="s">
        <v>105</v>
      </c>
      <c r="C61" t="s">
        <v>53</v>
      </c>
      <c r="D61" s="21">
        <v>15.57</v>
      </c>
      <c r="E61" s="21">
        <v>24.31</v>
      </c>
      <c r="F61">
        <v>11</v>
      </c>
      <c r="G61">
        <v>96</v>
      </c>
      <c r="H61">
        <v>180</v>
      </c>
      <c r="I61">
        <v>265</v>
      </c>
      <c r="J61" s="22">
        <v>0.9</v>
      </c>
      <c r="K61" s="22">
        <v>64</v>
      </c>
      <c r="L61" s="22">
        <v>0</v>
      </c>
    </row>
    <row r="62" spans="1:19" x14ac:dyDescent="0.25">
      <c r="A62" s="19" t="s">
        <v>39</v>
      </c>
      <c r="B62" t="s">
        <v>23</v>
      </c>
      <c r="C62" t="s">
        <v>53</v>
      </c>
      <c r="D62" s="21">
        <v>4.66</v>
      </c>
      <c r="E62" s="21">
        <v>3.8</v>
      </c>
      <c r="F62">
        <v>20</v>
      </c>
      <c r="G62">
        <v>39</v>
      </c>
      <c r="H62">
        <v>59</v>
      </c>
      <c r="I62">
        <v>78</v>
      </c>
      <c r="J62" s="22">
        <v>12.4</v>
      </c>
      <c r="K62" s="22">
        <v>8</v>
      </c>
      <c r="L62" s="22">
        <v>3.9</v>
      </c>
    </row>
    <row r="63" spans="1:19" x14ac:dyDescent="0.25">
      <c r="A63" s="19" t="s">
        <v>40</v>
      </c>
      <c r="B63" t="s">
        <v>24</v>
      </c>
      <c r="C63" t="s">
        <v>53</v>
      </c>
      <c r="D63" s="21">
        <v>2.8</v>
      </c>
      <c r="E63" s="21">
        <v>16.739999999999998</v>
      </c>
      <c r="F63">
        <v>23</v>
      </c>
      <c r="G63">
        <v>38</v>
      </c>
      <c r="H63">
        <v>52</v>
      </c>
      <c r="I63">
        <v>67</v>
      </c>
      <c r="J63" s="22">
        <v>5</v>
      </c>
      <c r="K63" s="22">
        <v>12.5</v>
      </c>
      <c r="L63" s="22">
        <v>3.5</v>
      </c>
    </row>
    <row r="64" spans="1:19" x14ac:dyDescent="0.25">
      <c r="A64" s="19" t="s">
        <v>61</v>
      </c>
      <c r="B64" t="s">
        <v>25</v>
      </c>
      <c r="C64" t="s">
        <v>55</v>
      </c>
      <c r="D64" s="21">
        <v>1.5980000000000001</v>
      </c>
      <c r="E64" s="21">
        <v>0.06</v>
      </c>
      <c r="F64">
        <v>17</v>
      </c>
      <c r="G64">
        <v>20</v>
      </c>
      <c r="H64">
        <v>23</v>
      </c>
      <c r="I64">
        <v>27</v>
      </c>
      <c r="J64" s="22">
        <v>8.1999999999999993</v>
      </c>
      <c r="K64" s="22">
        <v>-0.1</v>
      </c>
      <c r="L64" s="22">
        <v>5.8</v>
      </c>
    </row>
    <row r="65" spans="1:12" x14ac:dyDescent="0.25">
      <c r="A65" s="20" t="s">
        <v>41</v>
      </c>
      <c r="B65" t="s">
        <v>26</v>
      </c>
      <c r="C65" t="s">
        <v>53</v>
      </c>
      <c r="D65" s="21">
        <v>4.28</v>
      </c>
      <c r="E65" s="21">
        <v>5.28</v>
      </c>
      <c r="F65">
        <v>21</v>
      </c>
      <c r="G65">
        <v>48</v>
      </c>
      <c r="H65">
        <v>75</v>
      </c>
      <c r="I65">
        <v>102</v>
      </c>
      <c r="J65" s="22">
        <v>13.1</v>
      </c>
      <c r="K65" s="22">
        <v>12.7</v>
      </c>
      <c r="L65" s="22">
        <v>5.4</v>
      </c>
    </row>
    <row r="66" spans="1:12" x14ac:dyDescent="0.25">
      <c r="A66" s="20" t="s">
        <v>108</v>
      </c>
      <c r="B66" t="s">
        <v>107</v>
      </c>
      <c r="C66" t="s">
        <v>53</v>
      </c>
      <c r="D66" s="21">
        <v>7.52</v>
      </c>
      <c r="E66" s="21">
        <v>6.15</v>
      </c>
      <c r="F66">
        <v>30</v>
      </c>
      <c r="G66">
        <v>68</v>
      </c>
      <c r="H66">
        <v>106</v>
      </c>
      <c r="I66">
        <v>144</v>
      </c>
      <c r="J66" s="22">
        <v>9</v>
      </c>
      <c r="K66" s="22">
        <v>17</v>
      </c>
      <c r="L66" s="22">
        <v>58.5</v>
      </c>
    </row>
    <row r="67" spans="1:12" x14ac:dyDescent="0.25">
      <c r="A67" s="20" t="s">
        <v>42</v>
      </c>
      <c r="B67" t="s">
        <v>27</v>
      </c>
      <c r="C67" t="s">
        <v>53</v>
      </c>
      <c r="D67" s="21">
        <v>1.9</v>
      </c>
      <c r="E67" s="21">
        <v>4.4800000000000004</v>
      </c>
      <c r="F67">
        <v>13</v>
      </c>
      <c r="G67">
        <v>19</v>
      </c>
      <c r="H67">
        <v>25</v>
      </c>
      <c r="I67">
        <v>32</v>
      </c>
      <c r="J67" s="22">
        <v>9.6999999999999993</v>
      </c>
      <c r="K67" s="22">
        <v>5</v>
      </c>
      <c r="L67" s="22">
        <v>2.4</v>
      </c>
    </row>
    <row r="68" spans="1:12" x14ac:dyDescent="0.25">
      <c r="A68" s="20" t="s">
        <v>108</v>
      </c>
      <c r="B68" t="s">
        <v>109</v>
      </c>
      <c r="C68" t="s">
        <v>53</v>
      </c>
      <c r="D68" s="21">
        <v>2.86</v>
      </c>
      <c r="E68" s="21">
        <v>3.06</v>
      </c>
      <c r="F68">
        <v>9</v>
      </c>
      <c r="G68">
        <v>24</v>
      </c>
      <c r="H68">
        <v>39</v>
      </c>
      <c r="I68">
        <v>54</v>
      </c>
      <c r="J68" s="22">
        <v>14</v>
      </c>
      <c r="K68" s="22">
        <v>20.2</v>
      </c>
      <c r="L68" s="22">
        <v>34</v>
      </c>
    </row>
    <row r="69" spans="1:12" x14ac:dyDescent="0.25">
      <c r="A69" s="20" t="s">
        <v>108</v>
      </c>
      <c r="B69" t="s">
        <v>110</v>
      </c>
      <c r="C69" t="s">
        <v>59</v>
      </c>
      <c r="D69" s="21">
        <v>8.7100000000000009</v>
      </c>
      <c r="E69" s="21">
        <v>1.83</v>
      </c>
      <c r="F69">
        <v>9</v>
      </c>
      <c r="G69">
        <v>49</v>
      </c>
      <c r="H69">
        <v>89</v>
      </c>
      <c r="I69">
        <v>129</v>
      </c>
      <c r="J69" s="22">
        <v>37.9</v>
      </c>
      <c r="K69" s="22">
        <v>34</v>
      </c>
      <c r="L69" s="22">
        <v>25.3</v>
      </c>
    </row>
    <row r="70" spans="1:12" x14ac:dyDescent="0.25">
      <c r="A70" s="20" t="s">
        <v>46</v>
      </c>
      <c r="B70" t="s">
        <v>28</v>
      </c>
      <c r="C70" t="s">
        <v>59</v>
      </c>
      <c r="D70" s="21">
        <v>4.93</v>
      </c>
      <c r="E70" s="21">
        <v>1.76</v>
      </c>
      <c r="F70">
        <v>19</v>
      </c>
      <c r="G70">
        <v>39</v>
      </c>
      <c r="H70">
        <v>60</v>
      </c>
      <c r="I70">
        <v>80</v>
      </c>
      <c r="J70" s="22">
        <v>9.6999999999999993</v>
      </c>
      <c r="K70" s="22">
        <v>16.3</v>
      </c>
      <c r="L70" s="22">
        <v>3</v>
      </c>
    </row>
    <row r="71" spans="1:12" x14ac:dyDescent="0.25">
      <c r="A71" s="20" t="s">
        <v>112</v>
      </c>
      <c r="B71" t="s">
        <v>111</v>
      </c>
      <c r="C71" t="s">
        <v>53</v>
      </c>
      <c r="D71" s="21">
        <v>2.0099999999999998</v>
      </c>
      <c r="E71" s="21">
        <v>2.85</v>
      </c>
      <c r="F71">
        <v>15</v>
      </c>
      <c r="G71">
        <v>27</v>
      </c>
      <c r="H71">
        <v>38</v>
      </c>
      <c r="I71">
        <v>50</v>
      </c>
      <c r="J71" s="22">
        <v>-4.7</v>
      </c>
      <c r="K71" s="22">
        <v>1.9</v>
      </c>
      <c r="L71" s="22">
        <v>-25.6</v>
      </c>
    </row>
    <row r="72" spans="1:12" x14ac:dyDescent="0.25">
      <c r="A72" s="20" t="s">
        <v>112</v>
      </c>
      <c r="B72" t="s">
        <v>113</v>
      </c>
      <c r="C72" t="s">
        <v>53</v>
      </c>
      <c r="D72" s="21">
        <v>4.87</v>
      </c>
      <c r="E72" s="21">
        <v>3.05</v>
      </c>
      <c r="F72">
        <v>22</v>
      </c>
      <c r="G72">
        <v>63</v>
      </c>
      <c r="H72">
        <v>103</v>
      </c>
      <c r="I72">
        <v>143</v>
      </c>
      <c r="J72" s="22">
        <v>18.100000000000001</v>
      </c>
      <c r="K72" s="22">
        <v>21.8</v>
      </c>
      <c r="L72" s="22">
        <v>11.8</v>
      </c>
    </row>
    <row r="73" spans="1:12" x14ac:dyDescent="0.25">
      <c r="A73" s="20" t="s">
        <v>43</v>
      </c>
      <c r="B73" t="s">
        <v>29</v>
      </c>
      <c r="C73" t="s">
        <v>55</v>
      </c>
      <c r="D73" s="21">
        <v>1.83</v>
      </c>
      <c r="E73" s="21">
        <v>0.24</v>
      </c>
      <c r="F73">
        <v>19</v>
      </c>
      <c r="G73">
        <v>27</v>
      </c>
      <c r="H73">
        <v>35</v>
      </c>
      <c r="I73">
        <v>43</v>
      </c>
      <c r="J73" s="22">
        <v>9</v>
      </c>
      <c r="K73" s="22">
        <v>3.6</v>
      </c>
      <c r="L73" s="22">
        <v>2.7</v>
      </c>
    </row>
    <row r="74" spans="1:12" x14ac:dyDescent="0.25">
      <c r="A74" s="20" t="s">
        <v>108</v>
      </c>
      <c r="B74" t="s">
        <v>114</v>
      </c>
      <c r="C74" t="s">
        <v>59</v>
      </c>
      <c r="D74" s="21">
        <v>3.33</v>
      </c>
      <c r="E74" s="21">
        <v>1.83</v>
      </c>
      <c r="F74">
        <v>18</v>
      </c>
      <c r="G74">
        <v>29</v>
      </c>
      <c r="H74">
        <v>41</v>
      </c>
      <c r="I74">
        <v>52</v>
      </c>
      <c r="J74" s="22">
        <v>8.3000000000000007</v>
      </c>
      <c r="K74" s="22">
        <v>9.8000000000000007</v>
      </c>
      <c r="L74" s="22">
        <v>14.7</v>
      </c>
    </row>
    <row r="75" spans="1:12" x14ac:dyDescent="0.25">
      <c r="A75" s="20" t="s">
        <v>108</v>
      </c>
      <c r="B75" t="s">
        <v>115</v>
      </c>
      <c r="C75" t="s">
        <v>55</v>
      </c>
      <c r="D75" s="21">
        <v>2.15</v>
      </c>
      <c r="E75" s="21">
        <v>0.18</v>
      </c>
      <c r="F75">
        <v>18</v>
      </c>
      <c r="G75">
        <v>26</v>
      </c>
      <c r="H75">
        <v>35</v>
      </c>
      <c r="I75">
        <v>44</v>
      </c>
      <c r="J75" s="22">
        <v>12.4</v>
      </c>
      <c r="K75" s="22">
        <v>-5</v>
      </c>
      <c r="L75" s="22">
        <v>7.8</v>
      </c>
    </row>
    <row r="76" spans="1:12" x14ac:dyDescent="0.25">
      <c r="A76" s="20" t="s">
        <v>39</v>
      </c>
      <c r="B76" t="s">
        <v>116</v>
      </c>
      <c r="C76" t="s">
        <v>55</v>
      </c>
      <c r="D76" s="21">
        <v>0.95</v>
      </c>
      <c r="E76" s="21">
        <v>0.21</v>
      </c>
      <c r="F76">
        <v>9</v>
      </c>
      <c r="G76">
        <v>12</v>
      </c>
      <c r="H76">
        <v>15</v>
      </c>
      <c r="I76">
        <v>17</v>
      </c>
      <c r="J76" s="22">
        <v>2.9</v>
      </c>
      <c r="K76" s="22">
        <v>2</v>
      </c>
      <c r="L76" s="22">
        <v>4.5</v>
      </c>
    </row>
    <row r="77" spans="1:12" x14ac:dyDescent="0.25">
      <c r="A77" s="20" t="s">
        <v>108</v>
      </c>
      <c r="B77" t="s">
        <v>117</v>
      </c>
      <c r="C77" t="s">
        <v>53</v>
      </c>
      <c r="D77" s="21">
        <v>2.8</v>
      </c>
      <c r="E77" s="21">
        <v>2.13</v>
      </c>
      <c r="F77">
        <v>27</v>
      </c>
      <c r="G77">
        <v>37</v>
      </c>
      <c r="H77">
        <v>46</v>
      </c>
      <c r="I77">
        <v>56</v>
      </c>
      <c r="J77" s="22">
        <v>14.1</v>
      </c>
      <c r="K77" s="22">
        <v>16.899999999999999</v>
      </c>
      <c r="L77" s="22">
        <v>9.9</v>
      </c>
    </row>
    <row r="78" spans="1:12" x14ac:dyDescent="0.25">
      <c r="A78" s="20" t="s">
        <v>108</v>
      </c>
      <c r="B78" t="s">
        <v>118</v>
      </c>
      <c r="C78" t="s">
        <v>53</v>
      </c>
      <c r="D78" s="21">
        <v>3.86</v>
      </c>
      <c r="E78" s="21">
        <v>2.61</v>
      </c>
      <c r="F78">
        <v>16</v>
      </c>
      <c r="G78">
        <v>32</v>
      </c>
      <c r="H78">
        <v>49</v>
      </c>
      <c r="I78">
        <v>65</v>
      </c>
      <c r="J78" s="22">
        <v>20.6</v>
      </c>
      <c r="K78" s="22">
        <v>13.6</v>
      </c>
      <c r="L78" s="22">
        <v>15.3</v>
      </c>
    </row>
    <row r="79" spans="1:12" x14ac:dyDescent="0.25">
      <c r="A79" s="20" t="s">
        <v>108</v>
      </c>
      <c r="B79" t="s">
        <v>119</v>
      </c>
      <c r="C79" t="s">
        <v>53</v>
      </c>
      <c r="D79" s="21">
        <v>2.4300000000000002</v>
      </c>
      <c r="E79" s="21">
        <v>12.37</v>
      </c>
      <c r="F79">
        <v>12</v>
      </c>
      <c r="G79">
        <v>48</v>
      </c>
      <c r="H79">
        <v>84</v>
      </c>
      <c r="I79">
        <v>121</v>
      </c>
      <c r="J79" s="22">
        <v>31.7</v>
      </c>
      <c r="K79" s="22">
        <v>19</v>
      </c>
      <c r="L79" s="22">
        <v>20.5</v>
      </c>
    </row>
    <row r="80" spans="1:12" x14ac:dyDescent="0.25">
      <c r="A80" s="20" t="s">
        <v>108</v>
      </c>
      <c r="B80" t="s">
        <v>120</v>
      </c>
      <c r="C80" t="s">
        <v>59</v>
      </c>
      <c r="D80" s="21">
        <v>1.56</v>
      </c>
      <c r="E80" s="21">
        <v>0.88</v>
      </c>
      <c r="F80">
        <v>13</v>
      </c>
      <c r="G80">
        <v>27</v>
      </c>
      <c r="H80">
        <v>40</v>
      </c>
      <c r="I80">
        <v>54</v>
      </c>
      <c r="J80" s="22">
        <v>12</v>
      </c>
      <c r="K80" s="22">
        <v>-7.1</v>
      </c>
      <c r="L80" s="22">
        <v>8.6999999999999993</v>
      </c>
    </row>
    <row r="81" spans="1:12" x14ac:dyDescent="0.25">
      <c r="A81" s="20" t="s">
        <v>44</v>
      </c>
      <c r="B81" t="s">
        <v>30</v>
      </c>
      <c r="C81" t="s">
        <v>53</v>
      </c>
      <c r="D81" s="21">
        <v>4.8099999999999996</v>
      </c>
      <c r="E81" s="21">
        <v>8.3800000000000008</v>
      </c>
      <c r="F81">
        <v>39</v>
      </c>
      <c r="G81">
        <v>75</v>
      </c>
      <c r="H81">
        <v>110</v>
      </c>
      <c r="I81">
        <v>145</v>
      </c>
      <c r="J81" s="22">
        <v>10.9</v>
      </c>
      <c r="K81" s="22">
        <v>13.9</v>
      </c>
      <c r="L81" s="22">
        <v>13.5</v>
      </c>
    </row>
    <row r="82" spans="1:12" x14ac:dyDescent="0.25">
      <c r="A82" s="20" t="s">
        <v>43</v>
      </c>
      <c r="B82" t="s">
        <v>134</v>
      </c>
      <c r="C82" t="s">
        <v>53</v>
      </c>
      <c r="D82" s="21">
        <v>4.79</v>
      </c>
      <c r="E82" s="21">
        <v>2.67</v>
      </c>
      <c r="F82">
        <v>27</v>
      </c>
      <c r="G82">
        <v>44</v>
      </c>
      <c r="H82">
        <v>62</v>
      </c>
      <c r="I82">
        <v>80</v>
      </c>
      <c r="J82" s="22">
        <v>15.1</v>
      </c>
      <c r="K82" s="22">
        <v>11.7</v>
      </c>
      <c r="L82" s="22">
        <v>11.5</v>
      </c>
    </row>
    <row r="83" spans="1:12" x14ac:dyDescent="0.25">
      <c r="A83" s="20" t="s">
        <v>45</v>
      </c>
      <c r="B83" t="s">
        <v>62</v>
      </c>
      <c r="C83" t="s">
        <v>53</v>
      </c>
      <c r="D83" s="21">
        <v>2.76</v>
      </c>
      <c r="E83" s="21">
        <v>2.6</v>
      </c>
      <c r="F83">
        <v>13</v>
      </c>
      <c r="G83">
        <v>25</v>
      </c>
      <c r="H83">
        <v>37</v>
      </c>
      <c r="I83">
        <v>48</v>
      </c>
      <c r="J83" s="22">
        <v>23.5</v>
      </c>
      <c r="K83" s="22">
        <v>9.6</v>
      </c>
      <c r="L83" s="22">
        <v>4.8</v>
      </c>
    </row>
    <row r="84" spans="1:12" x14ac:dyDescent="0.25">
      <c r="A84" s="20" t="s">
        <v>46</v>
      </c>
      <c r="B84" t="s">
        <v>31</v>
      </c>
      <c r="C84" t="s">
        <v>53</v>
      </c>
      <c r="D84" s="21">
        <v>2.65</v>
      </c>
      <c r="E84" s="21">
        <v>3.66</v>
      </c>
      <c r="F84">
        <v>17</v>
      </c>
      <c r="G84">
        <v>26</v>
      </c>
      <c r="H84">
        <v>35</v>
      </c>
      <c r="I84">
        <v>44</v>
      </c>
      <c r="J84" s="22">
        <v>6.8</v>
      </c>
      <c r="K84" s="22">
        <v>3.3</v>
      </c>
      <c r="L84" s="22">
        <v>3.6</v>
      </c>
    </row>
    <row r="85" spans="1:12" x14ac:dyDescent="0.25">
      <c r="A85" s="20" t="s">
        <v>39</v>
      </c>
      <c r="B85" t="s">
        <v>121</v>
      </c>
      <c r="C85" t="s">
        <v>59</v>
      </c>
      <c r="D85" s="21">
        <v>3.19</v>
      </c>
      <c r="E85" s="21">
        <v>1.17</v>
      </c>
      <c r="F85">
        <v>25</v>
      </c>
      <c r="G85">
        <v>34</v>
      </c>
      <c r="H85">
        <v>43</v>
      </c>
      <c r="I85">
        <v>53</v>
      </c>
      <c r="J85" s="22">
        <v>25.5</v>
      </c>
      <c r="K85" s="22">
        <v>8.1</v>
      </c>
      <c r="L85" s="22">
        <v>2.4</v>
      </c>
    </row>
    <row r="86" spans="1:12" x14ac:dyDescent="0.25">
      <c r="A86" s="20" t="s">
        <v>39</v>
      </c>
      <c r="B86" t="s">
        <v>122</v>
      </c>
      <c r="C86" t="s">
        <v>59</v>
      </c>
      <c r="D86" s="21">
        <v>3.17</v>
      </c>
      <c r="E86" s="21">
        <v>1.51</v>
      </c>
      <c r="F86">
        <v>21</v>
      </c>
      <c r="G86">
        <v>31</v>
      </c>
      <c r="H86">
        <v>42</v>
      </c>
      <c r="I86">
        <v>52</v>
      </c>
      <c r="J86" s="22">
        <v>5</v>
      </c>
      <c r="K86" s="22">
        <v>0.5</v>
      </c>
      <c r="L86" s="22">
        <v>5.0999999999999996</v>
      </c>
    </row>
    <row r="87" spans="1:12" x14ac:dyDescent="0.25">
      <c r="A87" s="20" t="s">
        <v>39</v>
      </c>
      <c r="B87" t="s">
        <v>137</v>
      </c>
      <c r="C87" t="s">
        <v>53</v>
      </c>
      <c r="D87" s="21">
        <v>4.8899999999999997</v>
      </c>
      <c r="E87" s="21">
        <v>2.4900000000000002</v>
      </c>
      <c r="F87">
        <v>31</v>
      </c>
      <c r="G87">
        <v>42</v>
      </c>
      <c r="H87">
        <v>53</v>
      </c>
      <c r="I87">
        <v>65</v>
      </c>
      <c r="J87" s="22">
        <v>10.199999999999999</v>
      </c>
      <c r="K87" s="22">
        <v>7.5</v>
      </c>
      <c r="L87" s="22">
        <v>0</v>
      </c>
    </row>
    <row r="88" spans="1:12" x14ac:dyDescent="0.25">
      <c r="A88" s="20" t="s">
        <v>46</v>
      </c>
      <c r="B88" t="s">
        <v>32</v>
      </c>
      <c r="C88" t="s">
        <v>59</v>
      </c>
      <c r="D88" s="21">
        <v>3.18</v>
      </c>
      <c r="E88" s="21">
        <v>1.06</v>
      </c>
      <c r="F88">
        <v>25</v>
      </c>
      <c r="G88">
        <v>36</v>
      </c>
      <c r="H88">
        <v>47</v>
      </c>
      <c r="I88">
        <v>58</v>
      </c>
      <c r="J88" s="22">
        <v>5.4</v>
      </c>
      <c r="K88" s="22">
        <v>1.2</v>
      </c>
      <c r="L88" s="22">
        <v>5.5</v>
      </c>
    </row>
    <row r="89" spans="1:12" x14ac:dyDescent="0.25">
      <c r="A89" s="20" t="s">
        <v>47</v>
      </c>
      <c r="B89" t="s">
        <v>33</v>
      </c>
      <c r="C89" t="s">
        <v>53</v>
      </c>
      <c r="D89" s="21">
        <v>5.96</v>
      </c>
      <c r="E89" s="21">
        <v>2.19</v>
      </c>
      <c r="F89">
        <v>23</v>
      </c>
      <c r="G89">
        <v>47</v>
      </c>
      <c r="H89">
        <v>71</v>
      </c>
      <c r="I89">
        <v>95</v>
      </c>
      <c r="J89" s="22">
        <v>10.4</v>
      </c>
      <c r="K89" s="22">
        <v>14</v>
      </c>
      <c r="L89" s="22">
        <v>15</v>
      </c>
    </row>
    <row r="90" spans="1:12" x14ac:dyDescent="0.25">
      <c r="A90" s="20" t="s">
        <v>124</v>
      </c>
      <c r="B90" t="s">
        <v>123</v>
      </c>
      <c r="C90" t="s">
        <v>59</v>
      </c>
      <c r="D90" s="21">
        <v>2.63</v>
      </c>
      <c r="E90" s="21">
        <v>0.86</v>
      </c>
      <c r="F90">
        <v>15</v>
      </c>
      <c r="G90">
        <v>22</v>
      </c>
      <c r="H90">
        <v>30</v>
      </c>
      <c r="I90">
        <v>37</v>
      </c>
      <c r="J90" s="22">
        <v>4.0999999999999996</v>
      </c>
      <c r="K90" s="22">
        <v>0.8</v>
      </c>
      <c r="L90" s="22">
        <v>3.1</v>
      </c>
    </row>
    <row r="91" spans="1:12" x14ac:dyDescent="0.25">
      <c r="A91" s="20" t="s">
        <v>39</v>
      </c>
      <c r="B91" t="s">
        <v>125</v>
      </c>
      <c r="C91" t="s">
        <v>59</v>
      </c>
      <c r="D91" s="21">
        <v>3.08</v>
      </c>
      <c r="E91" s="21">
        <v>1.1499999999999999</v>
      </c>
      <c r="F91">
        <v>18</v>
      </c>
      <c r="G91">
        <v>30</v>
      </c>
      <c r="H91">
        <v>41</v>
      </c>
      <c r="I91">
        <v>53</v>
      </c>
      <c r="J91" s="22">
        <v>7.2</v>
      </c>
      <c r="K91" s="22">
        <v>10</v>
      </c>
      <c r="L91" s="22">
        <v>3.5</v>
      </c>
    </row>
    <row r="92" spans="1:12" x14ac:dyDescent="0.25">
      <c r="A92" s="20" t="s">
        <v>133</v>
      </c>
      <c r="B92" t="s">
        <v>126</v>
      </c>
      <c r="C92" t="s">
        <v>55</v>
      </c>
      <c r="D92" s="21">
        <v>1.39</v>
      </c>
      <c r="E92" s="21">
        <v>0.24</v>
      </c>
      <c r="F92">
        <v>4</v>
      </c>
      <c r="G92">
        <v>10</v>
      </c>
      <c r="H92">
        <v>16</v>
      </c>
      <c r="I92">
        <v>22</v>
      </c>
      <c r="J92" s="22">
        <v>-3.7</v>
      </c>
      <c r="K92" s="22">
        <v>14.3</v>
      </c>
      <c r="L92" s="22">
        <v>8.4</v>
      </c>
    </row>
    <row r="93" spans="1:12" x14ac:dyDescent="0.25">
      <c r="A93" s="20" t="s">
        <v>48</v>
      </c>
      <c r="B93" t="s">
        <v>34</v>
      </c>
      <c r="C93" t="s">
        <v>53</v>
      </c>
      <c r="D93" s="21">
        <v>2.2599999999999998</v>
      </c>
      <c r="E93" s="21">
        <v>9.98</v>
      </c>
      <c r="F93">
        <v>17</v>
      </c>
      <c r="G93">
        <v>26</v>
      </c>
      <c r="H93">
        <v>36</v>
      </c>
      <c r="I93">
        <v>43</v>
      </c>
      <c r="J93" s="22">
        <v>-2</v>
      </c>
      <c r="K93" s="22">
        <v>6</v>
      </c>
      <c r="L93" s="22">
        <v>7.2</v>
      </c>
    </row>
    <row r="94" spans="1:12" x14ac:dyDescent="0.25">
      <c r="A94" s="20" t="s">
        <v>108</v>
      </c>
      <c r="B94" t="s">
        <v>127</v>
      </c>
      <c r="C94" t="s">
        <v>53</v>
      </c>
      <c r="D94" s="21">
        <v>6.3</v>
      </c>
      <c r="E94" s="21">
        <v>35.590000000000003</v>
      </c>
      <c r="F94">
        <v>21</v>
      </c>
      <c r="G94">
        <v>108</v>
      </c>
      <c r="H94">
        <v>195</v>
      </c>
      <c r="I94">
        <v>282</v>
      </c>
      <c r="J94" s="22">
        <v>13.6</v>
      </c>
      <c r="K94" s="22">
        <v>33.1</v>
      </c>
      <c r="L94" s="22">
        <v>19.100000000000001</v>
      </c>
    </row>
    <row r="95" spans="1:12" x14ac:dyDescent="0.25">
      <c r="A95" s="20" t="s">
        <v>108</v>
      </c>
      <c r="B95" t="s">
        <v>128</v>
      </c>
      <c r="C95" t="s">
        <v>53</v>
      </c>
      <c r="D95" s="21">
        <v>3.38</v>
      </c>
      <c r="E95" s="21">
        <v>2.23</v>
      </c>
      <c r="F95">
        <v>19</v>
      </c>
      <c r="G95">
        <v>39</v>
      </c>
      <c r="H95">
        <v>59</v>
      </c>
      <c r="I95">
        <v>79</v>
      </c>
      <c r="J95" s="22">
        <v>-0.3</v>
      </c>
      <c r="K95" s="22">
        <v>15.2</v>
      </c>
      <c r="L95" s="22">
        <v>21.7</v>
      </c>
    </row>
    <row r="96" spans="1:12" x14ac:dyDescent="0.25">
      <c r="A96" s="20" t="s">
        <v>46</v>
      </c>
      <c r="B96" t="s">
        <v>63</v>
      </c>
      <c r="C96" t="s">
        <v>59</v>
      </c>
      <c r="D96" s="21">
        <v>3.78</v>
      </c>
      <c r="E96" s="21">
        <v>1.44</v>
      </c>
      <c r="F96">
        <v>26</v>
      </c>
      <c r="G96">
        <v>36</v>
      </c>
      <c r="H96">
        <v>46</v>
      </c>
      <c r="I96">
        <v>56</v>
      </c>
      <c r="J96" s="22">
        <v>8.6</v>
      </c>
      <c r="K96" s="22">
        <v>11.2</v>
      </c>
      <c r="L96" s="22">
        <v>1.2</v>
      </c>
    </row>
    <row r="97" spans="1:12" x14ac:dyDescent="0.25">
      <c r="A97" s="20" t="s">
        <v>108</v>
      </c>
      <c r="B97" t="s">
        <v>129</v>
      </c>
      <c r="C97" t="s">
        <v>53</v>
      </c>
      <c r="D97" s="21">
        <v>4.42</v>
      </c>
      <c r="E97" s="21">
        <v>3.81</v>
      </c>
      <c r="F97">
        <v>22</v>
      </c>
      <c r="G97">
        <v>53</v>
      </c>
      <c r="H97">
        <v>84</v>
      </c>
      <c r="I97">
        <v>115</v>
      </c>
      <c r="J97" s="22">
        <v>3.1</v>
      </c>
      <c r="K97" s="22">
        <v>5.7</v>
      </c>
      <c r="L97" s="22">
        <v>15.9</v>
      </c>
    </row>
    <row r="98" spans="1:12" x14ac:dyDescent="0.25">
      <c r="A98" s="20" t="s">
        <v>42</v>
      </c>
      <c r="B98" t="s">
        <v>35</v>
      </c>
      <c r="C98" t="s">
        <v>53</v>
      </c>
      <c r="D98" s="21">
        <v>1.41</v>
      </c>
      <c r="E98" s="21">
        <v>2.0699999999999998</v>
      </c>
      <c r="F98">
        <v>7</v>
      </c>
      <c r="G98">
        <v>13</v>
      </c>
      <c r="H98">
        <v>19</v>
      </c>
      <c r="I98">
        <v>25</v>
      </c>
      <c r="J98" s="22">
        <v>8.6</v>
      </c>
      <c r="K98" s="22">
        <v>-2.9</v>
      </c>
      <c r="L98" s="22">
        <v>-0.5</v>
      </c>
    </row>
    <row r="99" spans="1:12" x14ac:dyDescent="0.25">
      <c r="A99" s="20" t="s">
        <v>136</v>
      </c>
      <c r="B99" t="s">
        <v>135</v>
      </c>
      <c r="C99" t="s">
        <v>55</v>
      </c>
      <c r="D99" s="21">
        <v>1.87</v>
      </c>
      <c r="E99" s="21">
        <v>-0.25</v>
      </c>
      <c r="F99">
        <v>20</v>
      </c>
      <c r="G99">
        <v>25</v>
      </c>
      <c r="H99">
        <v>30</v>
      </c>
      <c r="I99">
        <v>35</v>
      </c>
      <c r="J99" s="22">
        <v>63</v>
      </c>
      <c r="K99" s="22">
        <v>-1</v>
      </c>
      <c r="L99" s="22">
        <v>8</v>
      </c>
    </row>
    <row r="100" spans="1:12" x14ac:dyDescent="0.25">
      <c r="A100" s="20" t="s">
        <v>39</v>
      </c>
      <c r="B100" t="s">
        <v>130</v>
      </c>
      <c r="C100" t="s">
        <v>59</v>
      </c>
      <c r="D100" s="21">
        <v>3.96</v>
      </c>
      <c r="E100" s="21">
        <v>1.76</v>
      </c>
      <c r="F100">
        <v>15</v>
      </c>
      <c r="G100">
        <v>31</v>
      </c>
      <c r="H100">
        <v>48</v>
      </c>
      <c r="I100">
        <v>64</v>
      </c>
      <c r="J100" s="22">
        <v>11.2</v>
      </c>
      <c r="K100" s="22">
        <v>18.100000000000001</v>
      </c>
      <c r="L100" s="22">
        <v>2.9</v>
      </c>
    </row>
    <row r="101" spans="1:12" x14ac:dyDescent="0.25">
      <c r="A101" s="20" t="s">
        <v>47</v>
      </c>
      <c r="B101" t="s">
        <v>36</v>
      </c>
      <c r="C101" t="s">
        <v>53</v>
      </c>
      <c r="D101" s="21">
        <v>13.15</v>
      </c>
      <c r="E101" s="21">
        <v>7.41</v>
      </c>
      <c r="F101">
        <v>25</v>
      </c>
      <c r="G101">
        <v>71</v>
      </c>
      <c r="H101">
        <v>117</v>
      </c>
      <c r="I101">
        <v>162</v>
      </c>
      <c r="J101" s="22">
        <v>13.4</v>
      </c>
      <c r="K101" s="22">
        <v>20.5</v>
      </c>
      <c r="L101" s="22">
        <v>19.3</v>
      </c>
    </row>
    <row r="102" spans="1:12" x14ac:dyDescent="0.25">
      <c r="A102" s="20" t="s">
        <v>43</v>
      </c>
      <c r="B102" t="s">
        <v>37</v>
      </c>
      <c r="C102" t="s">
        <v>59</v>
      </c>
      <c r="D102" s="21">
        <v>1.68</v>
      </c>
      <c r="E102" s="21">
        <v>0.56999999999999995</v>
      </c>
      <c r="F102">
        <v>19</v>
      </c>
      <c r="G102">
        <v>25</v>
      </c>
      <c r="H102">
        <v>31</v>
      </c>
      <c r="I102">
        <v>37</v>
      </c>
      <c r="J102" s="22">
        <v>11.2</v>
      </c>
      <c r="K102" s="22">
        <v>5.8</v>
      </c>
      <c r="L102" s="22">
        <v>5.6</v>
      </c>
    </row>
    <row r="103" spans="1:12" x14ac:dyDescent="0.25">
      <c r="A103" s="20" t="s">
        <v>132</v>
      </c>
      <c r="B103" t="s">
        <v>131</v>
      </c>
      <c r="C103" t="s">
        <v>55</v>
      </c>
      <c r="D103" s="21">
        <v>4.09</v>
      </c>
      <c r="E103" s="21">
        <v>0.49</v>
      </c>
      <c r="F103">
        <v>14</v>
      </c>
      <c r="G103">
        <v>25</v>
      </c>
      <c r="H103">
        <v>36</v>
      </c>
      <c r="I103">
        <v>47</v>
      </c>
      <c r="J103" s="22">
        <v>4.0999999999999996</v>
      </c>
      <c r="K103" s="22">
        <v>10.6</v>
      </c>
      <c r="L103" s="22">
        <v>10.199999999999999</v>
      </c>
    </row>
    <row r="104" spans="1:12" x14ac:dyDescent="0.25">
      <c r="A104" s="20" t="s">
        <v>39</v>
      </c>
      <c r="B104" t="s">
        <v>38</v>
      </c>
      <c r="C104" t="s">
        <v>59</v>
      </c>
      <c r="D104" s="21">
        <v>3.14</v>
      </c>
      <c r="E104" s="21">
        <v>0.77</v>
      </c>
      <c r="F104">
        <v>31</v>
      </c>
      <c r="G104">
        <v>37</v>
      </c>
      <c r="H104">
        <v>43</v>
      </c>
      <c r="I104">
        <v>48</v>
      </c>
      <c r="J104" s="22">
        <v>29.8</v>
      </c>
      <c r="K104" s="22">
        <v>7.1</v>
      </c>
      <c r="L104" s="22">
        <v>2</v>
      </c>
    </row>
  </sheetData>
  <phoneticPr fontId="0" type="noConversion"/>
  <conditionalFormatting sqref="D57">
    <cfRule type="cellIs" dxfId="3" priority="1" stopIfTrue="1" operator="greaterThan">
      <formula>25</formula>
    </cfRule>
    <cfRule type="cellIs" dxfId="2" priority="2" stopIfTrue="1" operator="greaterThan">
      <formula>28</formula>
    </cfRule>
  </conditionalFormatting>
  <conditionalFormatting sqref="D4:D56 E43:S43">
    <cfRule type="cellIs" dxfId="1" priority="3" stopIfTrue="1" operator="between">
      <formula>25</formula>
      <formula>28</formula>
    </cfRule>
    <cfRule type="cellIs" dxfId="0" priority="4" stopIfTrue="1" operator="greaterThan">
      <formula>28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classspring2004l</vt:lpstr>
      <vt:lpstr>TABLE_2</vt:lpstr>
      <vt:lpstr>TABLE_3</vt:lpstr>
      <vt:lpstr>TABLE_4</vt:lpstr>
    </vt:vector>
  </TitlesOfParts>
  <Company>Camden 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R.U.C.S.</dc:creator>
  <cp:lastModifiedBy>Carina Negreanu</cp:lastModifiedBy>
  <dcterms:created xsi:type="dcterms:W3CDTF">2003-09-02T13:36:44Z</dcterms:created>
  <dcterms:modified xsi:type="dcterms:W3CDTF">2020-01-27T11:20:01Z</dcterms:modified>
</cp:coreProperties>
</file>