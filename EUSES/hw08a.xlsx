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B10677-ADEE-4FC5-A9DC-CE9E9A0E8B0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1" l="1"/>
  <c r="C17" i="1"/>
  <c r="E17" i="1"/>
  <c r="F17" i="1"/>
  <c r="H17" i="1"/>
  <c r="B18" i="1"/>
  <c r="C18" i="1"/>
  <c r="D18" i="1"/>
  <c r="E18" i="1"/>
  <c r="F18" i="1"/>
  <c r="G18" i="1"/>
  <c r="H18" i="1"/>
  <c r="B19" i="1"/>
  <c r="C19" i="1"/>
  <c r="C20" i="1" s="1"/>
  <c r="D19" i="1"/>
  <c r="E19" i="1"/>
  <c r="F19" i="1"/>
  <c r="G19" i="1"/>
  <c r="H19" i="1"/>
  <c r="B20" i="1"/>
  <c r="D20" i="1"/>
  <c r="F20" i="1"/>
  <c r="G20" i="1"/>
  <c r="H20" i="1"/>
  <c r="B21" i="1"/>
  <c r="D21" i="1"/>
  <c r="F21" i="1"/>
  <c r="G21" i="1"/>
  <c r="H21" i="1"/>
  <c r="B22" i="1"/>
  <c r="D22" i="1"/>
  <c r="F22" i="1"/>
  <c r="G22" i="1"/>
  <c r="H22" i="1"/>
  <c r="B23" i="1"/>
  <c r="D23" i="1"/>
  <c r="F23" i="1"/>
  <c r="G23" i="1"/>
  <c r="H23" i="1"/>
  <c r="B24" i="1"/>
  <c r="D24" i="1"/>
  <c r="F24" i="1"/>
  <c r="G24" i="1"/>
  <c r="H24" i="1"/>
  <c r="B25" i="1"/>
  <c r="D25" i="1"/>
  <c r="F25" i="1"/>
  <c r="H25" i="1" s="1"/>
  <c r="G25" i="1"/>
  <c r="B26" i="1"/>
  <c r="D26" i="1"/>
  <c r="F26" i="1"/>
  <c r="G26" i="1"/>
  <c r="H26" i="1"/>
  <c r="B27" i="1"/>
  <c r="D27" i="1"/>
  <c r="F27" i="1"/>
  <c r="G27" i="1"/>
  <c r="H27" i="1"/>
  <c r="E20" i="1" l="1"/>
  <c r="C21" i="1"/>
  <c r="C22" i="1" l="1"/>
  <c r="E21" i="1"/>
  <c r="C23" i="1" l="1"/>
  <c r="E22" i="1"/>
  <c r="E23" i="1" l="1"/>
  <c r="C24" i="1"/>
  <c r="E24" i="1" l="1"/>
  <c r="C25" i="1"/>
  <c r="E25" i="1" l="1"/>
  <c r="C26" i="1"/>
  <c r="E26" i="1" l="1"/>
  <c r="C27" i="1"/>
  <c r="E27" i="1" s="1"/>
</calcChain>
</file>

<file path=xl/sharedStrings.xml><?xml version="1.0" encoding="utf-8"?>
<sst xmlns="http://schemas.openxmlformats.org/spreadsheetml/2006/main" count="27" uniqueCount="19">
  <si>
    <t>ENGR 498A HW#8</t>
  </si>
  <si>
    <t>Problem No. 14.4 in text</t>
  </si>
  <si>
    <t>Number of light bulbs = 200</t>
  </si>
  <si>
    <t>Cost of 60-watt incandescent bulb = $0.88</t>
  </si>
  <si>
    <t>Cost of 13-watt fluorescent bulb = $12</t>
  </si>
  <si>
    <t>time</t>
  </si>
  <si>
    <t>bulb cost</t>
  </si>
  <si>
    <t>incand</t>
  </si>
  <si>
    <t>elect cost</t>
  </si>
  <si>
    <t>total cost</t>
  </si>
  <si>
    <t>fluor</t>
  </si>
  <si>
    <t>hours</t>
  </si>
  <si>
    <t>years</t>
  </si>
  <si>
    <t>Nominal lifetime of 60-watt incandescent bulb = 1000 hrs (Sylvania light bulb box)</t>
  </si>
  <si>
    <t>Nominal lifetime of 13-watt fluorescent bulb = 10000 hrs (Lights of America light bulb box)</t>
  </si>
  <si>
    <t>CUMULATIVE COSTS:</t>
  </si>
  <si>
    <t>Nominal cost of electricity in Puget Sound area = $0.06 per kw-hr</t>
  </si>
  <si>
    <t xml:space="preserve"> </t>
  </si>
  <si>
    <r>
      <t xml:space="preserve">Annual use of bulb = 7 x 5 x 52 = 1820 hours (alternately, you may have assumed that the 7hrs/day is averaged over the year so that each day </t>
    </r>
    <r>
      <rPr>
        <i/>
        <sz val="10"/>
        <rFont val="Arial"/>
        <family val="2"/>
      </rPr>
      <t>on average</t>
    </r>
    <r>
      <rPr>
        <sz val="10"/>
        <rFont val="Arial"/>
        <family val="2"/>
      </rPr>
      <t xml:space="preserve"> saw 7 hrs of lamp usage     ==&gt; 7 X 7 X 52 = 2548 hrs)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</si>
</sst>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"/>
  </numFmts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173" fontId="2" fillId="0" borderId="0" xfId="0" applyNumberFormat="1" applyFont="1"/>
    <xf numFmtId="173" fontId="3" fillId="0" borderId="0" xfId="0" applyNumberFormat="1" applyFont="1"/>
    <xf numFmtId="173" fontId="0" fillId="0" borderId="0" xfId="0" applyNumberFormat="1"/>
    <xf numFmtId="1" fontId="3" fillId="0" borderId="0" xfId="0" applyNumberFormat="1" applyFont="1"/>
    <xf numFmtId="0" fontId="4" fillId="0" borderId="0" xfId="0" applyFont="1" applyFill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Comparing Costs of 200 Light Bulbs Operated 1820 Hours per Year</a:t>
            </a:r>
          </a:p>
        </c:rich>
      </c:tx>
      <c:layout>
        <c:manualLayout>
          <c:xMode val="edge"/>
          <c:yMode val="edge"/>
          <c:x val="0.17317852693603208"/>
          <c:y val="1.6340419284746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15479214106828"/>
          <c:y val="0.27125096012679384"/>
          <c:w val="0.79481936640005479"/>
          <c:h val="0.57354871689460629"/>
        </c:manualLayout>
      </c:layout>
      <c:scatterChart>
        <c:scatterStyle val="lineMarker"/>
        <c:varyColors val="0"/>
        <c:ser>
          <c:idx val="0"/>
          <c:order val="0"/>
          <c:tx>
            <c:v>Incandescent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Sheet1!$B$17:$B$27</c:f>
              <c:numCache>
                <c:formatCode>0.00</c:formatCode>
                <c:ptCount val="11"/>
                <c:pt idx="0">
                  <c:v>0</c:v>
                </c:pt>
                <c:pt idx="1">
                  <c:v>0.5494505494505495</c:v>
                </c:pt>
                <c:pt idx="2">
                  <c:v>1.098901098901099</c:v>
                </c:pt>
                <c:pt idx="3">
                  <c:v>1.6483516483516483</c:v>
                </c:pt>
                <c:pt idx="4">
                  <c:v>2.197802197802198</c:v>
                </c:pt>
                <c:pt idx="5">
                  <c:v>2.7472527472527473</c:v>
                </c:pt>
                <c:pt idx="6">
                  <c:v>3.2967032967032965</c:v>
                </c:pt>
                <c:pt idx="7">
                  <c:v>3.8461538461538463</c:v>
                </c:pt>
                <c:pt idx="8">
                  <c:v>4.395604395604396</c:v>
                </c:pt>
                <c:pt idx="9">
                  <c:v>4.9450549450549453</c:v>
                </c:pt>
                <c:pt idx="10">
                  <c:v>5.4945054945054945</c:v>
                </c:pt>
              </c:numCache>
            </c:numRef>
          </c:xVal>
          <c:yVal>
            <c:numRef>
              <c:f>Sheet1!$E$17:$E$27</c:f>
              <c:numCache>
                <c:formatCode>"$"#,##0</c:formatCode>
                <c:ptCount val="11"/>
                <c:pt idx="0">
                  <c:v>176</c:v>
                </c:pt>
                <c:pt idx="1">
                  <c:v>1072</c:v>
                </c:pt>
                <c:pt idx="2">
                  <c:v>1968</c:v>
                </c:pt>
                <c:pt idx="3">
                  <c:v>2864</c:v>
                </c:pt>
                <c:pt idx="4">
                  <c:v>3760</c:v>
                </c:pt>
                <c:pt idx="5">
                  <c:v>4656</c:v>
                </c:pt>
                <c:pt idx="6">
                  <c:v>5552</c:v>
                </c:pt>
                <c:pt idx="7">
                  <c:v>6448</c:v>
                </c:pt>
                <c:pt idx="8">
                  <c:v>7344</c:v>
                </c:pt>
                <c:pt idx="9">
                  <c:v>8240</c:v>
                </c:pt>
                <c:pt idx="10">
                  <c:v>9136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A-4735-86D1-7FC7F9BB27F2}"/>
            </c:ext>
          </c:extLst>
        </c:ser>
        <c:ser>
          <c:idx val="1"/>
          <c:order val="1"/>
          <c:tx>
            <c:v>Fluorescent</c:v>
          </c:tx>
          <c:spPr>
            <a:ln w="381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Sheet1!$B$17:$B$27</c:f>
              <c:numCache>
                <c:formatCode>0.00</c:formatCode>
                <c:ptCount val="11"/>
                <c:pt idx="0">
                  <c:v>0</c:v>
                </c:pt>
                <c:pt idx="1">
                  <c:v>0.5494505494505495</c:v>
                </c:pt>
                <c:pt idx="2">
                  <c:v>1.098901098901099</c:v>
                </c:pt>
                <c:pt idx="3">
                  <c:v>1.6483516483516483</c:v>
                </c:pt>
                <c:pt idx="4">
                  <c:v>2.197802197802198</c:v>
                </c:pt>
                <c:pt idx="5">
                  <c:v>2.7472527472527473</c:v>
                </c:pt>
                <c:pt idx="6">
                  <c:v>3.2967032967032965</c:v>
                </c:pt>
                <c:pt idx="7">
                  <c:v>3.8461538461538463</c:v>
                </c:pt>
                <c:pt idx="8">
                  <c:v>4.395604395604396</c:v>
                </c:pt>
                <c:pt idx="9">
                  <c:v>4.9450549450549453</c:v>
                </c:pt>
                <c:pt idx="10">
                  <c:v>5.4945054945054945</c:v>
                </c:pt>
              </c:numCache>
            </c:numRef>
          </c:xVal>
          <c:yVal>
            <c:numRef>
              <c:f>Sheet1!$H$17:$H$27</c:f>
              <c:numCache>
                <c:formatCode>"$"#,##0</c:formatCode>
                <c:ptCount val="11"/>
                <c:pt idx="0">
                  <c:v>2400</c:v>
                </c:pt>
                <c:pt idx="1">
                  <c:v>2556</c:v>
                </c:pt>
                <c:pt idx="2">
                  <c:v>2712</c:v>
                </c:pt>
                <c:pt idx="3">
                  <c:v>2868</c:v>
                </c:pt>
                <c:pt idx="4">
                  <c:v>3024</c:v>
                </c:pt>
                <c:pt idx="5">
                  <c:v>3180</c:v>
                </c:pt>
                <c:pt idx="6">
                  <c:v>3336</c:v>
                </c:pt>
                <c:pt idx="7">
                  <c:v>3492</c:v>
                </c:pt>
                <c:pt idx="8">
                  <c:v>3648</c:v>
                </c:pt>
                <c:pt idx="9">
                  <c:v>3804</c:v>
                </c:pt>
                <c:pt idx="10">
                  <c:v>3960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6A-4735-86D1-7FC7F9BB2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481055"/>
        <c:axId val="1"/>
      </c:scatterChart>
      <c:valAx>
        <c:axId val="9514810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(years)</a:t>
                </a:r>
              </a:p>
            </c:rich>
          </c:tx>
          <c:layout>
            <c:manualLayout>
              <c:xMode val="edge"/>
              <c:yMode val="edge"/>
              <c:x val="0.48750255848466834"/>
              <c:y val="0.918331563802759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Cumulative Cost (US $)</a:t>
                </a:r>
              </a:p>
            </c:rich>
          </c:tx>
          <c:layout>
            <c:manualLayout>
              <c:xMode val="edge"/>
              <c:yMode val="edge"/>
              <c:x val="8.0082555808569742E-3"/>
              <c:y val="0.32844242762340697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48105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7828688143477986"/>
          <c:y val="0.33661263726578028"/>
          <c:w val="0.21021670899749559"/>
          <c:h val="0.11928506077865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27</xdr:row>
      <xdr:rowOff>152400</xdr:rowOff>
    </xdr:from>
    <xdr:to>
      <xdr:col>10</xdr:col>
      <xdr:colOff>120650</xdr:colOff>
      <xdr:row>52</xdr:row>
      <xdr:rowOff>69850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34D0CFD4-1D2A-41CE-99AB-4D5069571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topLeftCell="A50" workbookViewId="0">
      <selection activeCell="A64" sqref="A64"/>
    </sheetView>
  </sheetViews>
  <sheetFormatPr defaultRowHeight="12.5" x14ac:dyDescent="0.25"/>
  <cols>
    <col min="3" max="3" width="10" customWidth="1"/>
    <col min="5" max="5" width="9.6328125" customWidth="1"/>
    <col min="6" max="6" width="10.453125" customWidth="1"/>
  </cols>
  <sheetData>
    <row r="1" spans="1:9" ht="13" x14ac:dyDescent="0.3">
      <c r="A1" s="1" t="s">
        <v>0</v>
      </c>
    </row>
    <row r="2" spans="1:9" ht="13" x14ac:dyDescent="0.3">
      <c r="A2" s="1" t="s">
        <v>1</v>
      </c>
    </row>
    <row r="4" spans="1:9" x14ac:dyDescent="0.25">
      <c r="A4" t="s">
        <v>2</v>
      </c>
      <c r="F4" t="s">
        <v>17</v>
      </c>
    </row>
    <row r="5" spans="1:9" x14ac:dyDescent="0.25">
      <c r="A5" t="s">
        <v>3</v>
      </c>
    </row>
    <row r="6" spans="1:9" x14ac:dyDescent="0.25">
      <c r="A6" t="s">
        <v>13</v>
      </c>
    </row>
    <row r="7" spans="1:9" x14ac:dyDescent="0.25">
      <c r="A7" t="s">
        <v>4</v>
      </c>
    </row>
    <row r="8" spans="1:9" x14ac:dyDescent="0.25">
      <c r="A8" t="s">
        <v>14</v>
      </c>
    </row>
    <row r="9" spans="1:9" x14ac:dyDescent="0.25">
      <c r="A9" t="s">
        <v>16</v>
      </c>
    </row>
    <row r="10" spans="1:9" x14ac:dyDescent="0.25">
      <c r="A10" s="10" t="s">
        <v>18</v>
      </c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4" spans="1:9" ht="13" x14ac:dyDescent="0.3">
      <c r="A14" s="1" t="s">
        <v>15</v>
      </c>
      <c r="C14" s="1"/>
    </row>
    <row r="15" spans="1:9" ht="13" x14ac:dyDescent="0.3">
      <c r="A15" t="s">
        <v>5</v>
      </c>
      <c r="B15" t="s">
        <v>5</v>
      </c>
      <c r="C15" t="s">
        <v>6</v>
      </c>
      <c r="D15" t="s">
        <v>8</v>
      </c>
      <c r="E15" s="3" t="s">
        <v>9</v>
      </c>
      <c r="F15" t="s">
        <v>6</v>
      </c>
      <c r="G15" t="s">
        <v>8</v>
      </c>
      <c r="H15" s="4" t="s">
        <v>9</v>
      </c>
    </row>
    <row r="16" spans="1:9" ht="13" x14ac:dyDescent="0.3">
      <c r="A16" t="s">
        <v>11</v>
      </c>
      <c r="B16" t="s">
        <v>12</v>
      </c>
      <c r="C16" t="s">
        <v>7</v>
      </c>
      <c r="D16" t="s">
        <v>7</v>
      </c>
      <c r="E16" s="3" t="s">
        <v>7</v>
      </c>
      <c r="F16" t="s">
        <v>10</v>
      </c>
      <c r="G16" t="s">
        <v>10</v>
      </c>
      <c r="H16" s="4" t="s">
        <v>10</v>
      </c>
    </row>
    <row r="17" spans="1:8" ht="13" x14ac:dyDescent="0.3">
      <c r="A17">
        <v>0</v>
      </c>
      <c r="B17" s="2">
        <f>A17/1820</f>
        <v>0</v>
      </c>
      <c r="C17" s="7">
        <f>200*0.88</f>
        <v>176</v>
      </c>
      <c r="D17" s="7">
        <v>0</v>
      </c>
      <c r="E17" s="5">
        <f>C17+D17</f>
        <v>176</v>
      </c>
      <c r="F17" s="7">
        <f>200*12</f>
        <v>2400</v>
      </c>
      <c r="G17" s="7">
        <v>0</v>
      </c>
      <c r="H17" s="6">
        <f>F17+G17</f>
        <v>2400</v>
      </c>
    </row>
    <row r="18" spans="1:8" ht="13" x14ac:dyDescent="0.3">
      <c r="A18">
        <v>1000</v>
      </c>
      <c r="B18" s="2">
        <f t="shared" ref="B18:B27" si="0">A18/1820</f>
        <v>0.5494505494505495</v>
      </c>
      <c r="C18" s="7">
        <f>C17+176</f>
        <v>352</v>
      </c>
      <c r="D18" s="7">
        <f>200*60*A18*0.06/1000</f>
        <v>720</v>
      </c>
      <c r="E18" s="5">
        <f t="shared" ref="E18:E27" si="1">C18+D18</f>
        <v>1072</v>
      </c>
      <c r="F18" s="7">
        <f t="shared" ref="F18:F27" si="2">200*12</f>
        <v>2400</v>
      </c>
      <c r="G18" s="7">
        <f>200*13*A18*0.06/1000</f>
        <v>156</v>
      </c>
      <c r="H18" s="6">
        <f t="shared" ref="H18:H27" si="3">F18+G18</f>
        <v>2556</v>
      </c>
    </row>
    <row r="19" spans="1:8" ht="13" x14ac:dyDescent="0.3">
      <c r="A19">
        <v>2000</v>
      </c>
      <c r="B19" s="2">
        <f t="shared" si="0"/>
        <v>1.098901098901099</v>
      </c>
      <c r="C19" s="7">
        <f t="shared" ref="C19:C27" si="4">C18+176</f>
        <v>528</v>
      </c>
      <c r="D19" s="7">
        <f t="shared" ref="D19:D27" si="5">200*60*A19*0.06/1000</f>
        <v>1440</v>
      </c>
      <c r="E19" s="5">
        <f t="shared" si="1"/>
        <v>1968</v>
      </c>
      <c r="F19" s="7">
        <f t="shared" si="2"/>
        <v>2400</v>
      </c>
      <c r="G19" s="7">
        <f t="shared" ref="G19:G27" si="6">200*13*A19*0.06/1000</f>
        <v>312</v>
      </c>
      <c r="H19" s="6">
        <f t="shared" si="3"/>
        <v>2712</v>
      </c>
    </row>
    <row r="20" spans="1:8" ht="13" x14ac:dyDescent="0.3">
      <c r="A20">
        <v>3000</v>
      </c>
      <c r="B20" s="2">
        <f t="shared" si="0"/>
        <v>1.6483516483516483</v>
      </c>
      <c r="C20" s="7">
        <f t="shared" si="4"/>
        <v>704</v>
      </c>
      <c r="D20" s="7">
        <f t="shared" si="5"/>
        <v>2160</v>
      </c>
      <c r="E20" s="5">
        <f t="shared" si="1"/>
        <v>2864</v>
      </c>
      <c r="F20" s="7">
        <f t="shared" si="2"/>
        <v>2400</v>
      </c>
      <c r="G20" s="7">
        <f t="shared" si="6"/>
        <v>468</v>
      </c>
      <c r="H20" s="6">
        <f t="shared" si="3"/>
        <v>2868</v>
      </c>
    </row>
    <row r="21" spans="1:8" ht="13" x14ac:dyDescent="0.3">
      <c r="A21">
        <v>4000</v>
      </c>
      <c r="B21" s="2">
        <f t="shared" si="0"/>
        <v>2.197802197802198</v>
      </c>
      <c r="C21" s="7">
        <f t="shared" si="4"/>
        <v>880</v>
      </c>
      <c r="D21" s="7">
        <f t="shared" si="5"/>
        <v>2880</v>
      </c>
      <c r="E21" s="5">
        <f t="shared" si="1"/>
        <v>3760</v>
      </c>
      <c r="F21" s="7">
        <f t="shared" si="2"/>
        <v>2400</v>
      </c>
      <c r="G21" s="7">
        <f t="shared" si="6"/>
        <v>624</v>
      </c>
      <c r="H21" s="6">
        <f t="shared" si="3"/>
        <v>3024</v>
      </c>
    </row>
    <row r="22" spans="1:8" ht="13" x14ac:dyDescent="0.3">
      <c r="A22">
        <v>5000</v>
      </c>
      <c r="B22" s="2">
        <f t="shared" si="0"/>
        <v>2.7472527472527473</v>
      </c>
      <c r="C22" s="7">
        <f t="shared" si="4"/>
        <v>1056</v>
      </c>
      <c r="D22" s="7">
        <f t="shared" si="5"/>
        <v>3600</v>
      </c>
      <c r="E22" s="5">
        <f t="shared" si="1"/>
        <v>4656</v>
      </c>
      <c r="F22" s="7">
        <f t="shared" si="2"/>
        <v>2400</v>
      </c>
      <c r="G22" s="7">
        <f t="shared" si="6"/>
        <v>780</v>
      </c>
      <c r="H22" s="6">
        <f t="shared" si="3"/>
        <v>3180</v>
      </c>
    </row>
    <row r="23" spans="1:8" ht="13" x14ac:dyDescent="0.3">
      <c r="A23">
        <v>6000</v>
      </c>
      <c r="B23" s="2">
        <f t="shared" si="0"/>
        <v>3.2967032967032965</v>
      </c>
      <c r="C23" s="7">
        <f t="shared" si="4"/>
        <v>1232</v>
      </c>
      <c r="D23" s="7">
        <f t="shared" si="5"/>
        <v>4320</v>
      </c>
      <c r="E23" s="5">
        <f t="shared" si="1"/>
        <v>5552</v>
      </c>
      <c r="F23" s="7">
        <f t="shared" si="2"/>
        <v>2400</v>
      </c>
      <c r="G23" s="7">
        <f t="shared" si="6"/>
        <v>936</v>
      </c>
      <c r="H23" s="6">
        <f t="shared" si="3"/>
        <v>3336</v>
      </c>
    </row>
    <row r="24" spans="1:8" ht="13" x14ac:dyDescent="0.3">
      <c r="A24">
        <v>7000</v>
      </c>
      <c r="B24" s="2">
        <f t="shared" si="0"/>
        <v>3.8461538461538463</v>
      </c>
      <c r="C24" s="7">
        <f t="shared" si="4"/>
        <v>1408</v>
      </c>
      <c r="D24" s="7">
        <f t="shared" si="5"/>
        <v>5040</v>
      </c>
      <c r="E24" s="5">
        <f t="shared" si="1"/>
        <v>6448</v>
      </c>
      <c r="F24" s="7">
        <f t="shared" si="2"/>
        <v>2400</v>
      </c>
      <c r="G24" s="7">
        <f t="shared" si="6"/>
        <v>1092</v>
      </c>
      <c r="H24" s="6">
        <f t="shared" si="3"/>
        <v>3492</v>
      </c>
    </row>
    <row r="25" spans="1:8" ht="13" x14ac:dyDescent="0.3">
      <c r="A25">
        <v>8000</v>
      </c>
      <c r="B25" s="2">
        <f t="shared" si="0"/>
        <v>4.395604395604396</v>
      </c>
      <c r="C25" s="7">
        <f t="shared" si="4"/>
        <v>1584</v>
      </c>
      <c r="D25" s="7">
        <f t="shared" si="5"/>
        <v>5760</v>
      </c>
      <c r="E25" s="5">
        <f t="shared" si="1"/>
        <v>7344</v>
      </c>
      <c r="F25" s="7">
        <f t="shared" si="2"/>
        <v>2400</v>
      </c>
      <c r="G25" s="7">
        <f t="shared" si="6"/>
        <v>1248</v>
      </c>
      <c r="H25" s="6">
        <f t="shared" si="3"/>
        <v>3648</v>
      </c>
    </row>
    <row r="26" spans="1:8" ht="13" x14ac:dyDescent="0.3">
      <c r="A26">
        <v>9000</v>
      </c>
      <c r="B26" s="2">
        <f t="shared" si="0"/>
        <v>4.9450549450549453</v>
      </c>
      <c r="C26" s="7">
        <f t="shared" si="4"/>
        <v>1760</v>
      </c>
      <c r="D26" s="7">
        <f t="shared" si="5"/>
        <v>6480</v>
      </c>
      <c r="E26" s="5">
        <f t="shared" si="1"/>
        <v>8240</v>
      </c>
      <c r="F26" s="7">
        <f t="shared" si="2"/>
        <v>2400</v>
      </c>
      <c r="G26" s="7">
        <f t="shared" si="6"/>
        <v>1404</v>
      </c>
      <c r="H26" s="6">
        <f t="shared" si="3"/>
        <v>3804</v>
      </c>
    </row>
    <row r="27" spans="1:8" ht="13" x14ac:dyDescent="0.3">
      <c r="A27">
        <v>10000</v>
      </c>
      <c r="B27" s="2">
        <f t="shared" si="0"/>
        <v>5.4945054945054945</v>
      </c>
      <c r="C27" s="7">
        <f t="shared" si="4"/>
        <v>1936</v>
      </c>
      <c r="D27" s="7">
        <f t="shared" si="5"/>
        <v>7200</v>
      </c>
      <c r="E27" s="5">
        <f t="shared" si="1"/>
        <v>9136</v>
      </c>
      <c r="F27" s="7">
        <f t="shared" si="2"/>
        <v>2400</v>
      </c>
      <c r="G27" s="7">
        <f t="shared" si="6"/>
        <v>1560</v>
      </c>
      <c r="H27" s="6">
        <f t="shared" si="3"/>
        <v>3960</v>
      </c>
    </row>
    <row r="55" spans="1:1" s="9" customFormat="1" x14ac:dyDescent="0.25"/>
    <row r="57" spans="1:1" ht="13" x14ac:dyDescent="0.3">
      <c r="A57" s="1"/>
    </row>
    <row r="58" spans="1:1" ht="13" x14ac:dyDescent="0.3">
      <c r="A58" s="1"/>
    </row>
    <row r="66" spans="4:8" ht="13" x14ac:dyDescent="0.3">
      <c r="D66" s="4"/>
      <c r="G66" s="3"/>
    </row>
    <row r="67" spans="4:8" ht="13" x14ac:dyDescent="0.3">
      <c r="D67" s="4"/>
      <c r="G67" s="3"/>
    </row>
    <row r="68" spans="4:8" ht="13" x14ac:dyDescent="0.3">
      <c r="D68" s="4"/>
      <c r="G68" s="3"/>
    </row>
    <row r="69" spans="4:8" ht="13" x14ac:dyDescent="0.3">
      <c r="D69" s="4"/>
      <c r="G69" s="3"/>
    </row>
    <row r="70" spans="4:8" ht="13" x14ac:dyDescent="0.3">
      <c r="D70" s="8"/>
      <c r="E70" s="7"/>
      <c r="F70" s="7"/>
      <c r="G70" s="5"/>
    </row>
    <row r="71" spans="4:8" ht="13" x14ac:dyDescent="0.3">
      <c r="D71" s="8"/>
      <c r="E71" s="7"/>
      <c r="F71" s="7"/>
      <c r="G71" s="5"/>
    </row>
    <row r="72" spans="4:8" ht="13" x14ac:dyDescent="0.3">
      <c r="D72" s="8"/>
      <c r="E72" s="7"/>
      <c r="F72" s="7"/>
      <c r="G72" s="5"/>
      <c r="H72" s="7"/>
    </row>
    <row r="73" spans="4:8" ht="13" x14ac:dyDescent="0.3">
      <c r="D73" s="8"/>
      <c r="E73" s="7"/>
      <c r="F73" s="7"/>
      <c r="G73" s="5"/>
      <c r="H73" s="7"/>
    </row>
  </sheetData>
  <mergeCells count="1">
    <mergeCell ref="A10:I12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C. Malte</dc:creator>
  <cp:lastModifiedBy>Carina Negreanu</cp:lastModifiedBy>
  <dcterms:created xsi:type="dcterms:W3CDTF">1999-05-30T17:04:43Z</dcterms:created>
  <dcterms:modified xsi:type="dcterms:W3CDTF">2020-01-27T11:43:20Z</dcterms:modified>
</cp:coreProperties>
</file>