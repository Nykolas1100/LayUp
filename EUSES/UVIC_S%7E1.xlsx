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16DEBC2-8D32-4A5A-8A50-37C1C3DC47C0}" xr6:coauthVersionLast="45" xr6:coauthVersionMax="45" xr10:uidLastSave="{00000000-0000-0000-0000-000000000000}"/>
  <bookViews>
    <workbookView xWindow="760" yWindow="760" windowWidth="28800" windowHeight="15460" firstSheet="10" activeTab="10"/>
  </bookViews>
  <sheets>
    <sheet name="Weighted Non-Functional Chart" sheetId="11" r:id="rId1"/>
    <sheet name="Non-Function %" sheetId="12" r:id="rId2"/>
    <sheet name="Chart5" sheetId="13" r:id="rId3"/>
    <sheet name="Chart6" sheetId="14" r:id="rId4"/>
    <sheet name="Chart7" sheetId="15" r:id="rId5"/>
    <sheet name="Chart8" sheetId="16" r:id="rId6"/>
    <sheet name="Non-Functional Summary" sheetId="7" r:id="rId7"/>
    <sheet name="Non-Functional Weightings" sheetId="9" r:id="rId8"/>
    <sheet name="Non-Functional Weighting Sum" sheetId="10" r:id="rId9"/>
    <sheet name="Weighting Summary" sheetId="8" r:id="rId10"/>
    <sheet name="Non-Functional Detail" sheetId="6" r:id="rId11"/>
  </sheets>
  <definedNames>
    <definedName name="_xlnm.Print_Area" localSheetId="10">'Non-Functional Detail'!$A$1:$N$36</definedName>
    <definedName name="_xlnm.Print_Area" localSheetId="6">'Non-Functional Summary'!$A$1:$E$73</definedName>
    <definedName name="_xlnm.Print_Titles" localSheetId="10">'Non-Functional Detail'!$1:$2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6" l="1"/>
  <c r="G4" i="6"/>
  <c r="H4" i="6"/>
  <c r="C4" i="7" s="1"/>
  <c r="J4" i="6"/>
  <c r="O4" i="6"/>
  <c r="M4" i="6" s="1"/>
  <c r="D5" i="6"/>
  <c r="O5" i="6"/>
  <c r="G5" i="6" s="1"/>
  <c r="B6" i="6"/>
  <c r="B35" i="6" s="1"/>
  <c r="D6" i="6"/>
  <c r="D9" i="6"/>
  <c r="B9" i="7" s="1"/>
  <c r="O9" i="6"/>
  <c r="G9" i="6" s="1"/>
  <c r="D10" i="6"/>
  <c r="B10" i="7" s="1"/>
  <c r="G10" i="6"/>
  <c r="H10" i="6" s="1"/>
  <c r="C10" i="7" s="1"/>
  <c r="J10" i="6"/>
  <c r="K10" i="6"/>
  <c r="E10" i="7" s="1"/>
  <c r="M10" i="6"/>
  <c r="D47" i="7" s="1"/>
  <c r="O10" i="6"/>
  <c r="B11" i="6"/>
  <c r="D14" i="6"/>
  <c r="G14" i="6"/>
  <c r="G15" i="6" s="1"/>
  <c r="H14" i="6"/>
  <c r="H15" i="6" s="1"/>
  <c r="J14" i="6"/>
  <c r="K14" i="6" s="1"/>
  <c r="M14" i="6"/>
  <c r="N14" i="6" s="1"/>
  <c r="O14" i="6"/>
  <c r="B15" i="6"/>
  <c r="D15" i="6"/>
  <c r="M15" i="6"/>
  <c r="M16" i="6"/>
  <c r="D18" i="6"/>
  <c r="D20" i="6" s="1"/>
  <c r="H18" i="6"/>
  <c r="K18" i="6"/>
  <c r="N18" i="6"/>
  <c r="D18" i="7" s="1"/>
  <c r="D19" i="6"/>
  <c r="G19" i="6"/>
  <c r="H19" i="6" s="1"/>
  <c r="C19" i="7" s="1"/>
  <c r="O19" i="6"/>
  <c r="J19" i="6" s="1"/>
  <c r="B20" i="6"/>
  <c r="D23" i="6"/>
  <c r="H23" i="6"/>
  <c r="K23" i="6"/>
  <c r="N23" i="6"/>
  <c r="D24" i="6"/>
  <c r="H24" i="6"/>
  <c r="K24" i="6"/>
  <c r="K32" i="6" s="1"/>
  <c r="K33" i="6" s="1"/>
  <c r="N24" i="6"/>
  <c r="N32" i="6" s="1"/>
  <c r="N33" i="6" s="1"/>
  <c r="D25" i="6"/>
  <c r="D32" i="6" s="1"/>
  <c r="H25" i="6"/>
  <c r="K25" i="6"/>
  <c r="N25" i="6"/>
  <c r="D26" i="6"/>
  <c r="B26" i="7" s="1"/>
  <c r="H26" i="6"/>
  <c r="C26" i="7" s="1"/>
  <c r="K26" i="6"/>
  <c r="N26" i="6"/>
  <c r="D26" i="7" s="1"/>
  <c r="D27" i="6"/>
  <c r="H27" i="6"/>
  <c r="C27" i="7" s="1"/>
  <c r="K27" i="6"/>
  <c r="E27" i="7" s="1"/>
  <c r="N27" i="6"/>
  <c r="D27" i="7" s="1"/>
  <c r="D28" i="6"/>
  <c r="H28" i="6"/>
  <c r="K28" i="6"/>
  <c r="N28" i="6"/>
  <c r="D29" i="6"/>
  <c r="H29" i="6"/>
  <c r="K29" i="6"/>
  <c r="N29" i="6"/>
  <c r="D29" i="7" s="1"/>
  <c r="D30" i="6"/>
  <c r="H30" i="6"/>
  <c r="K30" i="6"/>
  <c r="N30" i="6"/>
  <c r="D31" i="6"/>
  <c r="B31" i="7" s="1"/>
  <c r="H31" i="6"/>
  <c r="C31" i="7" s="1"/>
  <c r="K31" i="6"/>
  <c r="N31" i="6"/>
  <c r="D31" i="7" s="1"/>
  <c r="B32" i="6"/>
  <c r="G32" i="6"/>
  <c r="G33" i="6" s="1"/>
  <c r="H32" i="6"/>
  <c r="H33" i="6" s="1"/>
  <c r="J32" i="6"/>
  <c r="M32" i="6"/>
  <c r="J33" i="6"/>
  <c r="M33" i="6"/>
  <c r="I3" i="7"/>
  <c r="P3" i="7" s="1"/>
  <c r="B4" i="7"/>
  <c r="B6" i="7" s="1"/>
  <c r="I4" i="7"/>
  <c r="P4" i="7" s="1"/>
  <c r="B5" i="7"/>
  <c r="I5" i="7"/>
  <c r="P5" i="7" s="1"/>
  <c r="I6" i="7"/>
  <c r="P6" i="7"/>
  <c r="I7" i="7"/>
  <c r="P7" i="7"/>
  <c r="P8" i="7"/>
  <c r="B14" i="7"/>
  <c r="B15" i="7" s="1"/>
  <c r="C14" i="7"/>
  <c r="C15" i="7" s="1"/>
  <c r="B18" i="7"/>
  <c r="B20" i="7" s="1"/>
  <c r="E18" i="7"/>
  <c r="B19" i="7"/>
  <c r="B23" i="7"/>
  <c r="B32" i="7" s="1"/>
  <c r="C23" i="7"/>
  <c r="C32" i="7" s="1"/>
  <c r="D23" i="7"/>
  <c r="E23" i="7"/>
  <c r="E32" i="7" s="1"/>
  <c r="B24" i="7"/>
  <c r="C24" i="7"/>
  <c r="E24" i="7"/>
  <c r="B25" i="7"/>
  <c r="C25" i="7"/>
  <c r="D25" i="7"/>
  <c r="E25" i="7"/>
  <c r="E26" i="7"/>
  <c r="B27" i="7"/>
  <c r="B28" i="7"/>
  <c r="C28" i="7"/>
  <c r="D28" i="7"/>
  <c r="E28" i="7"/>
  <c r="B29" i="7"/>
  <c r="C29" i="7"/>
  <c r="E29" i="7"/>
  <c r="B30" i="7"/>
  <c r="C30" i="7"/>
  <c r="D30" i="7"/>
  <c r="E30" i="7"/>
  <c r="E31" i="7"/>
  <c r="I40" i="7"/>
  <c r="P40" i="7" s="1"/>
  <c r="B41" i="7"/>
  <c r="C41" i="7"/>
  <c r="I41" i="7"/>
  <c r="P41" i="7"/>
  <c r="B42" i="7"/>
  <c r="I42" i="7"/>
  <c r="P42" i="7"/>
  <c r="B43" i="7"/>
  <c r="J40" i="7" s="1"/>
  <c r="I43" i="7"/>
  <c r="P43" i="7" s="1"/>
  <c r="J43" i="7"/>
  <c r="I44" i="7"/>
  <c r="P44" i="7" s="1"/>
  <c r="P45" i="7"/>
  <c r="B46" i="7"/>
  <c r="B47" i="7"/>
  <c r="E47" i="7"/>
  <c r="B48" i="7"/>
  <c r="B49" i="7" s="1"/>
  <c r="Q41" i="7" s="1"/>
  <c r="B51" i="7"/>
  <c r="C51" i="7"/>
  <c r="D51" i="7"/>
  <c r="B52" i="7"/>
  <c r="B53" i="7" s="1"/>
  <c r="Q42" i="7" s="1"/>
  <c r="C52" i="7"/>
  <c r="C53" i="7" s="1"/>
  <c r="R42" i="7" s="1"/>
  <c r="D52" i="7"/>
  <c r="L42" i="7" s="1"/>
  <c r="B55" i="7"/>
  <c r="C55" i="7"/>
  <c r="D55" i="7"/>
  <c r="E55" i="7"/>
  <c r="B56" i="7"/>
  <c r="B57" i="7"/>
  <c r="B58" i="7" s="1"/>
  <c r="Q43" i="7" s="1"/>
  <c r="B60" i="7"/>
  <c r="C60" i="7"/>
  <c r="D60" i="7"/>
  <c r="E60" i="7"/>
  <c r="E69" i="7" s="1"/>
  <c r="B61" i="7"/>
  <c r="C61" i="7"/>
  <c r="D61" i="7"/>
  <c r="E61" i="7"/>
  <c r="B62" i="7"/>
  <c r="C62" i="7"/>
  <c r="D62" i="7"/>
  <c r="E62" i="7"/>
  <c r="B63" i="7"/>
  <c r="B69" i="7" s="1"/>
  <c r="C63" i="7"/>
  <c r="C69" i="7" s="1"/>
  <c r="D63" i="7"/>
  <c r="E63" i="7"/>
  <c r="B64" i="7"/>
  <c r="C64" i="7"/>
  <c r="D64" i="7"/>
  <c r="E64" i="7"/>
  <c r="B65" i="7"/>
  <c r="C65" i="7"/>
  <c r="D65" i="7"/>
  <c r="E65" i="7"/>
  <c r="B66" i="7"/>
  <c r="C66" i="7"/>
  <c r="D66" i="7"/>
  <c r="E66" i="7"/>
  <c r="B67" i="7"/>
  <c r="C67" i="7"/>
  <c r="D67" i="7"/>
  <c r="E67" i="7"/>
  <c r="B68" i="7"/>
  <c r="C68" i="7"/>
  <c r="D68" i="7"/>
  <c r="E68" i="7"/>
  <c r="D69" i="7"/>
  <c r="D70" i="7" s="1"/>
  <c r="S44" i="7" s="1"/>
  <c r="B20" i="8"/>
  <c r="B27" i="8"/>
  <c r="E33" i="7" l="1"/>
  <c r="T7" i="7" s="1"/>
  <c r="M7" i="7"/>
  <c r="K7" i="7"/>
  <c r="C33" i="7"/>
  <c r="R7" i="7" s="1"/>
  <c r="K19" i="6"/>
  <c r="E56" i="7"/>
  <c r="E57" i="7" s="1"/>
  <c r="J20" i="6"/>
  <c r="J21" i="6" s="1"/>
  <c r="G11" i="6"/>
  <c r="G12" i="6" s="1"/>
  <c r="C46" i="7"/>
  <c r="H9" i="6"/>
  <c r="B11" i="7"/>
  <c r="J45" i="7"/>
  <c r="C42" i="7"/>
  <c r="C43" i="7" s="1"/>
  <c r="H5" i="6"/>
  <c r="G6" i="6"/>
  <c r="B33" i="7"/>
  <c r="Q7" i="7" s="1"/>
  <c r="J7" i="7"/>
  <c r="C16" i="7"/>
  <c r="R5" i="7" s="1"/>
  <c r="K5" i="7"/>
  <c r="N4" i="6"/>
  <c r="D41" i="7"/>
  <c r="M44" i="7"/>
  <c r="E70" i="7"/>
  <c r="T44" i="7" s="1"/>
  <c r="B16" i="7"/>
  <c r="Q5" i="7" s="1"/>
  <c r="J5" i="7"/>
  <c r="D14" i="7"/>
  <c r="D15" i="7" s="1"/>
  <c r="N15" i="6"/>
  <c r="N16" i="6" s="1"/>
  <c r="D32" i="7"/>
  <c r="B21" i="7"/>
  <c r="Q6" i="7" s="1"/>
  <c r="J6" i="7"/>
  <c r="E14" i="7"/>
  <c r="E15" i="7" s="1"/>
  <c r="K15" i="6"/>
  <c r="H20" i="6"/>
  <c r="H21" i="6" s="1"/>
  <c r="C70" i="7"/>
  <c r="R44" i="7" s="1"/>
  <c r="K44" i="7"/>
  <c r="B70" i="7"/>
  <c r="Q44" i="7" s="1"/>
  <c r="J44" i="7"/>
  <c r="B7" i="7"/>
  <c r="Q3" i="7" s="1"/>
  <c r="J3" i="7"/>
  <c r="J41" i="7"/>
  <c r="M9" i="6"/>
  <c r="C56" i="7"/>
  <c r="C57" i="7" s="1"/>
  <c r="D24" i="7"/>
  <c r="C18" i="7"/>
  <c r="C20" i="7" s="1"/>
  <c r="J9" i="6"/>
  <c r="M5" i="6"/>
  <c r="G20" i="6"/>
  <c r="G21" i="6" s="1"/>
  <c r="J15" i="6"/>
  <c r="J5" i="6"/>
  <c r="J6" i="6" s="1"/>
  <c r="L44" i="7"/>
  <c r="B44" i="7"/>
  <c r="Q40" i="7" s="1"/>
  <c r="K42" i="7"/>
  <c r="B72" i="7"/>
  <c r="B73" i="7" s="1"/>
  <c r="Q45" i="7" s="1"/>
  <c r="D53" i="7"/>
  <c r="S42" i="7" s="1"/>
  <c r="M19" i="6"/>
  <c r="D11" i="6"/>
  <c r="D35" i="6" s="1"/>
  <c r="J42" i="7"/>
  <c r="E51" i="7"/>
  <c r="E52" i="7" s="1"/>
  <c r="E41" i="7"/>
  <c r="N10" i="6"/>
  <c r="D10" i="7" s="1"/>
  <c r="K4" i="6"/>
  <c r="C47" i="7"/>
  <c r="E58" i="7" l="1"/>
  <c r="T43" i="7" s="1"/>
  <c r="M43" i="7"/>
  <c r="J7" i="6"/>
  <c r="D33" i="7"/>
  <c r="S7" i="7" s="1"/>
  <c r="L7" i="7"/>
  <c r="J4" i="7"/>
  <c r="B12" i="7"/>
  <c r="Q4" i="7" s="1"/>
  <c r="C58" i="7"/>
  <c r="R43" i="7" s="1"/>
  <c r="K43" i="7"/>
  <c r="C48" i="7"/>
  <c r="C72" i="7" s="1"/>
  <c r="C73" i="7" s="1"/>
  <c r="R45" i="7" s="1"/>
  <c r="Q50" i="7" s="1"/>
  <c r="K6" i="6"/>
  <c r="E4" i="7"/>
  <c r="E6" i="7" s="1"/>
  <c r="N9" i="6"/>
  <c r="M11" i="6"/>
  <c r="M12" i="6" s="1"/>
  <c r="D46" i="7"/>
  <c r="D48" i="7" s="1"/>
  <c r="J8" i="7"/>
  <c r="D42" i="7"/>
  <c r="D43" i="7" s="1"/>
  <c r="N5" i="6"/>
  <c r="D5" i="7" s="1"/>
  <c r="K40" i="7"/>
  <c r="C44" i="7"/>
  <c r="R40" i="7" s="1"/>
  <c r="C21" i="7"/>
  <c r="R6" i="7" s="1"/>
  <c r="K6" i="7"/>
  <c r="C9" i="7"/>
  <c r="C11" i="7" s="1"/>
  <c r="H11" i="6"/>
  <c r="H12" i="6" s="1"/>
  <c r="E43" i="7"/>
  <c r="M42" i="7"/>
  <c r="E53" i="7"/>
  <c r="T42" i="7" s="1"/>
  <c r="B35" i="7"/>
  <c r="B36" i="7" s="1"/>
  <c r="Q8" i="7" s="1"/>
  <c r="E19" i="7"/>
  <c r="E20" i="7" s="1"/>
  <c r="K20" i="6"/>
  <c r="K21" i="6" s="1"/>
  <c r="D4" i="7"/>
  <c r="M5" i="7"/>
  <c r="E16" i="7"/>
  <c r="T5" i="7" s="1"/>
  <c r="C5" i="7"/>
  <c r="C6" i="7" s="1"/>
  <c r="H6" i="6"/>
  <c r="L5" i="7"/>
  <c r="D16" i="7"/>
  <c r="S5" i="7" s="1"/>
  <c r="M6" i="6"/>
  <c r="E42" i="7"/>
  <c r="K5" i="6"/>
  <c r="E5" i="7" s="1"/>
  <c r="N19" i="6"/>
  <c r="D56" i="7"/>
  <c r="D57" i="7" s="1"/>
  <c r="M20" i="6"/>
  <c r="M21" i="6" s="1"/>
  <c r="G7" i="6"/>
  <c r="G35" i="6"/>
  <c r="G36" i="6" s="1"/>
  <c r="J11" i="6"/>
  <c r="J12" i="6" s="1"/>
  <c r="K9" i="6"/>
  <c r="E46" i="7"/>
  <c r="E48" i="7" s="1"/>
  <c r="L40" i="7" l="1"/>
  <c r="D72" i="7"/>
  <c r="D73" i="7" s="1"/>
  <c r="S45" i="7" s="1"/>
  <c r="R50" i="7" s="1"/>
  <c r="D44" i="7"/>
  <c r="S40" i="7" s="1"/>
  <c r="C7" i="7"/>
  <c r="R3" i="7" s="1"/>
  <c r="K3" i="7"/>
  <c r="C35" i="7"/>
  <c r="C36" i="7" s="1"/>
  <c r="R8" i="7" s="1"/>
  <c r="Q51" i="7" s="1"/>
  <c r="E21" i="7"/>
  <c r="T6" i="7" s="1"/>
  <c r="M6" i="7"/>
  <c r="M40" i="7"/>
  <c r="E44" i="7"/>
  <c r="T40" i="7" s="1"/>
  <c r="E72" i="7"/>
  <c r="E73" i="7" s="1"/>
  <c r="T45" i="7" s="1"/>
  <c r="S50" i="7" s="1"/>
  <c r="E49" i="7"/>
  <c r="T41" i="7" s="1"/>
  <c r="M41" i="7"/>
  <c r="D49" i="7"/>
  <c r="S41" i="7" s="1"/>
  <c r="L41" i="7"/>
  <c r="D9" i="7"/>
  <c r="D11" i="7" s="1"/>
  <c r="N11" i="6"/>
  <c r="N12" i="6" s="1"/>
  <c r="K7" i="6"/>
  <c r="K35" i="6"/>
  <c r="E9" i="7"/>
  <c r="E11" i="7" s="1"/>
  <c r="K11" i="6"/>
  <c r="K12" i="6" s="1"/>
  <c r="L43" i="7"/>
  <c r="D58" i="7"/>
  <c r="S43" i="7" s="1"/>
  <c r="N20" i="6"/>
  <c r="N21" i="6" s="1"/>
  <c r="D19" i="7"/>
  <c r="D20" i="7" s="1"/>
  <c r="K4" i="7"/>
  <c r="C12" i="7"/>
  <c r="R4" i="7" s="1"/>
  <c r="N6" i="6"/>
  <c r="J35" i="6"/>
  <c r="J36" i="6" s="1"/>
  <c r="H7" i="6"/>
  <c r="H35" i="6"/>
  <c r="H36" i="6" s="1"/>
  <c r="D6" i="7"/>
  <c r="E7" i="7"/>
  <c r="T3" i="7" s="1"/>
  <c r="M3" i="7"/>
  <c r="K41" i="7"/>
  <c r="K45" i="7" s="1"/>
  <c r="C49" i="7"/>
  <c r="R41" i="7" s="1"/>
  <c r="M35" i="6"/>
  <c r="M36" i="6" s="1"/>
  <c r="M7" i="6"/>
  <c r="M4" i="7" l="1"/>
  <c r="E12" i="7"/>
  <c r="T4" i="7" s="1"/>
  <c r="D7" i="7"/>
  <c r="S3" i="7" s="1"/>
  <c r="L3" i="7"/>
  <c r="D35" i="7"/>
  <c r="D36" i="7" s="1"/>
  <c r="S8" i="7" s="1"/>
  <c r="R51" i="7" s="1"/>
  <c r="N35" i="6"/>
  <c r="N36" i="6" s="1"/>
  <c r="N7" i="6"/>
  <c r="L4" i="7"/>
  <c r="D12" i="7"/>
  <c r="S4" i="7" s="1"/>
  <c r="D21" i="7"/>
  <c r="S6" i="7" s="1"/>
  <c r="L6" i="7"/>
  <c r="K8" i="7"/>
  <c r="M8" i="7"/>
  <c r="E35" i="7"/>
  <c r="E36" i="7" s="1"/>
  <c r="T8" i="7" s="1"/>
  <c r="S51" i="7" s="1"/>
  <c r="L35" i="6"/>
  <c r="K36" i="6"/>
  <c r="M45" i="7"/>
  <c r="L45" i="7"/>
  <c r="L8" i="7" l="1"/>
</calcChain>
</file>

<file path=xl/sharedStrings.xml><?xml version="1.0" encoding="utf-8"?>
<sst xmlns="http://schemas.openxmlformats.org/spreadsheetml/2006/main" count="232" uniqueCount="75">
  <si>
    <t>Custom</t>
  </si>
  <si>
    <t>Peoplesoft</t>
  </si>
  <si>
    <t>Criteria</t>
  </si>
  <si>
    <t>Banner</t>
  </si>
  <si>
    <t>PeopleSoft</t>
  </si>
  <si>
    <t>Software Costs</t>
  </si>
  <si>
    <t>Total vendor software licenses</t>
  </si>
  <si>
    <t>Database license</t>
  </si>
  <si>
    <t>Implementation Cost</t>
  </si>
  <si>
    <t>Total Development Cost (1)</t>
  </si>
  <si>
    <t>Estimated Project Duration</t>
  </si>
  <si>
    <t>Annual Costs</t>
  </si>
  <si>
    <t>Estimated total annual support</t>
  </si>
  <si>
    <t>Vendor</t>
  </si>
  <si>
    <t>Reputation/Financial Stability</t>
  </si>
  <si>
    <t>high</t>
  </si>
  <si>
    <t>Number of Canadian Student application sites</t>
  </si>
  <si>
    <t>Product</t>
  </si>
  <si>
    <t>Product stability (2)</t>
  </si>
  <si>
    <t>unknown</t>
  </si>
  <si>
    <t>Product flexibility</t>
  </si>
  <si>
    <t>Product adaptability to Canadian requirements</t>
  </si>
  <si>
    <t>Product adaptability for customization</t>
  </si>
  <si>
    <t xml:space="preserve">Product adaptability for upgrades </t>
  </si>
  <si>
    <t>Product deployability</t>
  </si>
  <si>
    <t>Product technology base</t>
  </si>
  <si>
    <t>Oracle</t>
  </si>
  <si>
    <t>Oracle, MS SQL, DB2</t>
  </si>
  <si>
    <t>Interfaces to other same vendor modules</t>
  </si>
  <si>
    <t>Included</t>
  </si>
  <si>
    <t xml:space="preserve">Interfaces to other vendor systems </t>
  </si>
  <si>
    <t>High</t>
  </si>
  <si>
    <t>Medium</t>
  </si>
  <si>
    <t>Total Points</t>
  </si>
  <si>
    <t>Weighting</t>
  </si>
  <si>
    <t>Scoring Comments</t>
  </si>
  <si>
    <t>Rated Low, Medium or High. Low = 1 point, Medium = 2 points, High = 3 points</t>
  </si>
  <si>
    <t>Rated Unknown or Low, Medium or High. Low = 1 point, Medium = 2 points, High = 3 points</t>
  </si>
  <si>
    <t>Included =3, Custom/Available = 2, Custom = 1</t>
  </si>
  <si>
    <t>Weighted</t>
  </si>
  <si>
    <t>Calculation</t>
  </si>
  <si>
    <t>Software Costs Points</t>
  </si>
  <si>
    <t>Overall Total</t>
  </si>
  <si>
    <t>Weighted Score</t>
  </si>
  <si>
    <t>Data</t>
  </si>
  <si>
    <t>Un-weighted</t>
  </si>
  <si>
    <t>Un-weighted Score</t>
  </si>
  <si>
    <t>Implementation Costs Points</t>
  </si>
  <si>
    <t>Annual Costs Points</t>
  </si>
  <si>
    <t>Vendor Points</t>
  </si>
  <si>
    <t>Product Points</t>
  </si>
  <si>
    <t>% of Total Points</t>
  </si>
  <si>
    <t>Overall % of Total Points</t>
  </si>
  <si>
    <t>available/ custom</t>
  </si>
  <si>
    <t>To be determined - could be anything</t>
  </si>
  <si>
    <t>Non-Functional Requirements Analysis - Weighted Results</t>
  </si>
  <si>
    <t>SCT Banner</t>
  </si>
  <si>
    <t>Non-Functional Requirements Analysis - Un-weighted Results</t>
  </si>
  <si>
    <t>Lowest price receives 3 points. Other prices receive 3 x Lowest Price/Other Price</t>
  </si>
  <si>
    <t>Shortest duration receives 3 points. Other durations receive 3 x Shortest Duration/Other Duration</t>
  </si>
  <si>
    <t>Highest Number of Sites receives 3 points. Other number of sites receive 3 x Number of Sites/Highest Number of Sites</t>
  </si>
  <si>
    <t>Multiple, current DB = 3 points, Single current DB = 2 points, Proprietary or legacy DB = 1 point</t>
  </si>
  <si>
    <t xml:space="preserve">Implementation Costs </t>
  </si>
  <si>
    <t xml:space="preserve">Annual Costs </t>
  </si>
  <si>
    <t xml:space="preserve">Product </t>
  </si>
  <si>
    <t>Vendor Reputation</t>
  </si>
  <si>
    <t>Total</t>
  </si>
  <si>
    <t>Custom (ISIS)</t>
  </si>
  <si>
    <t xml:space="preserve">Software Costs </t>
  </si>
  <si>
    <t>Non-Functional Requirements Analysis - Weighted Score - Summary</t>
  </si>
  <si>
    <t>Non-Functional Requirements Analysis - Weighted % - Summary</t>
  </si>
  <si>
    <t>Non-Functional Requirements Analysis Summary - Un-weighted</t>
  </si>
  <si>
    <t>Non-Functional Requirements Analysis Summary - Un-weighted %</t>
  </si>
  <si>
    <t>Unweighted Total %</t>
  </si>
  <si>
    <t>Weighted Total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</si>
</sst>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&quot;$&quot;#,##0_);[Red]\(&quot;$&quot;#,##0\)"/>
    <numFmt numFmtId="171" formatCode="_(* #,##0.00_);_(* \(#,##0.00\);_(* &quot;-&quot;??_);_(@_)"/>
    <numFmt numFmtId="178" formatCode="#,##0.0_);[Red]\(#,##0.0\)"/>
    <numFmt numFmtId="184" formatCode="0.0"/>
  </numFmts>
  <fonts count="2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6"/>
      <color indexed="9"/>
      <name val="Arial"/>
      <family val="2"/>
    </font>
    <font>
      <sz val="6"/>
      <name val="Arial"/>
      <family val="2"/>
    </font>
    <font>
      <sz val="9.5"/>
      <name val="Arial"/>
      <family val="2"/>
    </font>
    <font>
      <sz val="8.5"/>
      <name val="Arial"/>
      <family val="2"/>
    </font>
    <font>
      <sz val="10"/>
      <name val="Arial"/>
      <family val="2"/>
    </font>
    <font>
      <sz val="11.2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.5"/>
      <name val="Arial"/>
      <family val="2"/>
    </font>
    <font>
      <sz val="9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6" fillId="0" borderId="0" xfId="0" applyFont="1" applyAlignment="1">
      <alignment vertical="top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2" xfId="0" applyFont="1" applyBorder="1" applyAlignment="1">
      <alignment vertical="top"/>
    </xf>
    <xf numFmtId="178" fontId="6" fillId="0" borderId="0" xfId="0" applyNumberFormat="1" applyFont="1" applyAlignment="1">
      <alignment vertical="top"/>
    </xf>
    <xf numFmtId="0" fontId="6" fillId="0" borderId="0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/>
    </xf>
    <xf numFmtId="0" fontId="6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/>
    </xf>
    <xf numFmtId="0" fontId="6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vertical="top" wrapText="1"/>
    </xf>
    <xf numFmtId="0" fontId="6" fillId="0" borderId="4" xfId="0" applyNumberFormat="1" applyFont="1" applyBorder="1" applyAlignment="1">
      <alignment horizontal="center" vertical="top"/>
    </xf>
    <xf numFmtId="171" fontId="6" fillId="0" borderId="4" xfId="0" applyNumberFormat="1" applyFont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/>
    </xf>
    <xf numFmtId="0" fontId="7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5" fillId="2" borderId="5" xfId="0" applyFont="1" applyFill="1" applyBorder="1" applyAlignment="1">
      <alignment horizontal="center" vertical="top"/>
    </xf>
    <xf numFmtId="165" fontId="6" fillId="0" borderId="5" xfId="0" applyNumberFormat="1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6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5" xfId="0" applyFont="1" applyBorder="1" applyAlignment="1">
      <alignment horizontal="center" vertical="top"/>
    </xf>
    <xf numFmtId="9" fontId="7" fillId="0" borderId="5" xfId="1" applyFont="1" applyBorder="1" applyAlignment="1">
      <alignment horizontal="center" vertical="top"/>
    </xf>
    <xf numFmtId="0" fontId="7" fillId="0" borderId="0" xfId="0" applyFont="1" applyAlignment="1">
      <alignment vertical="top"/>
    </xf>
    <xf numFmtId="9" fontId="7" fillId="0" borderId="0" xfId="1" applyNumberFormat="1" applyFont="1" applyBorder="1" applyAlignment="1">
      <alignment horizontal="center" vertical="top"/>
    </xf>
    <xf numFmtId="178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7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vertical="top" wrapText="1"/>
    </xf>
    <xf numFmtId="165" fontId="6" fillId="0" borderId="7" xfId="0" applyNumberFormat="1" applyFont="1" applyBorder="1" applyAlignment="1">
      <alignment horizontal="center" vertical="top"/>
    </xf>
    <xf numFmtId="0" fontId="6" fillId="0" borderId="8" xfId="0" applyNumberFormat="1" applyFont="1" applyBorder="1" applyAlignment="1">
      <alignment horizontal="center" vertical="top"/>
    </xf>
    <xf numFmtId="0" fontId="6" fillId="0" borderId="9" xfId="0" applyNumberFormat="1" applyFont="1" applyBorder="1" applyAlignment="1">
      <alignment horizontal="center" vertical="top"/>
    </xf>
    <xf numFmtId="0" fontId="7" fillId="0" borderId="10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10" xfId="0" applyFont="1" applyBorder="1" applyAlignment="1">
      <alignment horizontal="center" vertical="top"/>
    </xf>
    <xf numFmtId="9" fontId="7" fillId="0" borderId="10" xfId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2" fontId="6" fillId="0" borderId="8" xfId="0" applyNumberFormat="1" applyFont="1" applyBorder="1" applyAlignment="1">
      <alignment horizontal="center" vertical="top"/>
    </xf>
    <xf numFmtId="2" fontId="6" fillId="0" borderId="9" xfId="0" applyNumberFormat="1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171" fontId="7" fillId="0" borderId="1" xfId="0" applyNumberFormat="1" applyFont="1" applyBorder="1" applyAlignment="1">
      <alignment horizontal="center" vertical="top"/>
    </xf>
    <xf numFmtId="171" fontId="7" fillId="0" borderId="11" xfId="0" applyNumberFormat="1" applyFont="1" applyBorder="1" applyAlignment="1">
      <alignment horizontal="center" vertical="top"/>
    </xf>
    <xf numFmtId="2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/>
    </xf>
    <xf numFmtId="0" fontId="7" fillId="0" borderId="14" xfId="0" applyFont="1" applyFill="1" applyBorder="1" applyAlignment="1">
      <alignment vertical="top" wrapText="1"/>
    </xf>
    <xf numFmtId="0" fontId="7" fillId="0" borderId="15" xfId="0" applyFont="1" applyBorder="1" applyAlignment="1">
      <alignment vertical="top"/>
    </xf>
    <xf numFmtId="0" fontId="7" fillId="0" borderId="16" xfId="0" applyFont="1" applyBorder="1" applyAlignment="1">
      <alignment vertical="top"/>
    </xf>
    <xf numFmtId="9" fontId="7" fillId="0" borderId="14" xfId="1" applyFont="1" applyBorder="1" applyAlignment="1">
      <alignment horizontal="center" vertical="top"/>
    </xf>
    <xf numFmtId="0" fontId="3" fillId="0" borderId="17" xfId="0" applyFont="1" applyFill="1" applyBorder="1" applyAlignment="1">
      <alignment vertical="top" wrapText="1"/>
    </xf>
    <xf numFmtId="0" fontId="3" fillId="0" borderId="18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9" fontId="3" fillId="0" borderId="17" xfId="1" applyFont="1" applyBorder="1" applyAlignment="1">
      <alignment horizontal="center" vertical="top"/>
    </xf>
    <xf numFmtId="0" fontId="3" fillId="0" borderId="0" xfId="0" applyFont="1" applyAlignment="1">
      <alignment vertical="top"/>
    </xf>
    <xf numFmtId="9" fontId="3" fillId="0" borderId="0" xfId="1" applyNumberFormat="1" applyFont="1" applyBorder="1" applyAlignment="1">
      <alignment horizontal="center" vertical="top"/>
    </xf>
    <xf numFmtId="2" fontId="6" fillId="0" borderId="8" xfId="0" applyNumberFormat="1" applyFont="1" applyBorder="1" applyAlignment="1">
      <alignment vertical="top"/>
    </xf>
    <xf numFmtId="2" fontId="7" fillId="0" borderId="1" xfId="0" applyNumberFormat="1" applyFont="1" applyBorder="1" applyAlignment="1">
      <alignment horizontal="center" vertical="top" wrapText="1"/>
    </xf>
    <xf numFmtId="2" fontId="7" fillId="0" borderId="11" xfId="0" applyNumberFormat="1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/>
    </xf>
    <xf numFmtId="0" fontId="7" fillId="0" borderId="16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2" fontId="3" fillId="0" borderId="18" xfId="0" applyNumberFormat="1" applyFont="1" applyBorder="1" applyAlignment="1">
      <alignment horizontal="center" vertical="top"/>
    </xf>
    <xf numFmtId="2" fontId="3" fillId="0" borderId="19" xfId="0" applyNumberFormat="1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9" fontId="3" fillId="0" borderId="18" xfId="1" applyFont="1" applyBorder="1" applyAlignment="1">
      <alignment horizontal="center" vertical="top"/>
    </xf>
    <xf numFmtId="9" fontId="3" fillId="0" borderId="19" xfId="1" applyFont="1" applyBorder="1" applyAlignment="1">
      <alignment horizontal="center" vertical="top"/>
    </xf>
    <xf numFmtId="0" fontId="7" fillId="0" borderId="20" xfId="0" applyFont="1" applyFill="1" applyBorder="1" applyAlignment="1">
      <alignment vertical="top" wrapText="1"/>
    </xf>
    <xf numFmtId="0" fontId="7" fillId="0" borderId="21" xfId="0" applyFont="1" applyBorder="1" applyAlignment="1">
      <alignment vertical="top"/>
    </xf>
    <xf numFmtId="0" fontId="7" fillId="0" borderId="22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9" fontId="7" fillId="0" borderId="8" xfId="1" applyFont="1" applyBorder="1" applyAlignment="1">
      <alignment horizontal="center" vertical="top"/>
    </xf>
    <xf numFmtId="9" fontId="7" fillId="0" borderId="9" xfId="1" applyFont="1" applyBorder="1" applyAlignment="1">
      <alignment horizontal="center" vertical="top"/>
    </xf>
    <xf numFmtId="9" fontId="7" fillId="0" borderId="20" xfId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9" fontId="7" fillId="0" borderId="23" xfId="1" applyNumberFormat="1" applyFont="1" applyBorder="1" applyAlignment="1">
      <alignment horizontal="center" vertical="top"/>
    </xf>
    <xf numFmtId="0" fontId="5" fillId="2" borderId="10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0" fontId="5" fillId="2" borderId="11" xfId="0" applyFont="1" applyFill="1" applyBorder="1" applyAlignment="1">
      <alignment horizontal="center" vertical="top"/>
    </xf>
    <xf numFmtId="0" fontId="5" fillId="2" borderId="10" xfId="0" applyFont="1" applyFill="1" applyBorder="1" applyAlignment="1">
      <alignment horizontal="center" vertical="top"/>
    </xf>
    <xf numFmtId="0" fontId="7" fillId="0" borderId="21" xfId="0" applyFont="1" applyBorder="1" applyAlignment="1">
      <alignment vertical="top" wrapText="1"/>
    </xf>
    <xf numFmtId="0" fontId="7" fillId="0" borderId="22" xfId="0" applyFont="1" applyBorder="1" applyAlignment="1">
      <alignment vertical="top" wrapText="1"/>
    </xf>
    <xf numFmtId="178" fontId="7" fillId="0" borderId="23" xfId="0" applyNumberFormat="1" applyFont="1" applyBorder="1" applyAlignment="1">
      <alignment vertical="top"/>
    </xf>
    <xf numFmtId="165" fontId="7" fillId="0" borderId="20" xfId="0" applyNumberFormat="1" applyFont="1" applyBorder="1" applyAlignment="1">
      <alignment horizontal="center" vertical="top"/>
    </xf>
    <xf numFmtId="0" fontId="7" fillId="0" borderId="21" xfId="0" applyFont="1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 wrapText="1"/>
    </xf>
    <xf numFmtId="165" fontId="7" fillId="0" borderId="23" xfId="0" applyNumberFormat="1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7" xfId="0" applyFont="1" applyBorder="1" applyAlignment="1">
      <alignment horizontal="center" vertical="top"/>
    </xf>
    <xf numFmtId="9" fontId="7" fillId="0" borderId="7" xfId="1" applyFont="1" applyBorder="1" applyAlignment="1">
      <alignment horizontal="center" vertical="top"/>
    </xf>
    <xf numFmtId="0" fontId="5" fillId="2" borderId="10" xfId="0" applyFont="1" applyFill="1" applyBorder="1" applyAlignment="1">
      <alignment horizontal="left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2" fillId="0" borderId="0" xfId="0" applyFont="1"/>
    <xf numFmtId="0" fontId="4" fillId="0" borderId="0" xfId="0" applyFont="1"/>
    <xf numFmtId="0" fontId="0" fillId="0" borderId="0" xfId="0" applyBorder="1"/>
    <xf numFmtId="0" fontId="7" fillId="0" borderId="8" xfId="0" applyFont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7" fillId="0" borderId="8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6" fillId="0" borderId="24" xfId="0" applyFont="1" applyBorder="1" applyAlignment="1">
      <alignment vertical="top"/>
    </xf>
    <xf numFmtId="2" fontId="6" fillId="0" borderId="8" xfId="0" applyNumberFormat="1" applyFont="1" applyBorder="1" applyAlignment="1">
      <alignment vertical="top" wrapText="1"/>
    </xf>
    <xf numFmtId="9" fontId="7" fillId="0" borderId="8" xfId="1" applyFont="1" applyBorder="1" applyAlignment="1">
      <alignment vertical="top" wrapText="1"/>
    </xf>
    <xf numFmtId="0" fontId="3" fillId="0" borderId="0" xfId="0" applyFont="1"/>
    <xf numFmtId="9" fontId="7" fillId="0" borderId="8" xfId="1" applyFont="1" applyBorder="1" applyAlignment="1">
      <alignment vertical="top"/>
    </xf>
    <xf numFmtId="2" fontId="7" fillId="0" borderId="1" xfId="0" applyNumberFormat="1" applyFont="1" applyBorder="1" applyAlignment="1">
      <alignment vertical="top"/>
    </xf>
    <xf numFmtId="0" fontId="6" fillId="0" borderId="4" xfId="0" applyFont="1" applyBorder="1"/>
    <xf numFmtId="0" fontId="6" fillId="0" borderId="8" xfId="0" applyFont="1" applyBorder="1"/>
    <xf numFmtId="0" fontId="7" fillId="0" borderId="1" xfId="0" applyFont="1" applyBorder="1"/>
    <xf numFmtId="0" fontId="6" fillId="0" borderId="0" xfId="0" applyFont="1"/>
    <xf numFmtId="9" fontId="6" fillId="0" borderId="4" xfId="1" applyFont="1" applyBorder="1"/>
    <xf numFmtId="9" fontId="6" fillId="0" borderId="4" xfId="0" applyNumberFormat="1" applyFont="1" applyBorder="1"/>
    <xf numFmtId="0" fontId="6" fillId="0" borderId="25" xfId="0" applyFont="1" applyBorder="1"/>
    <xf numFmtId="9" fontId="7" fillId="0" borderId="1" xfId="1" applyFont="1" applyBorder="1"/>
    <xf numFmtId="9" fontId="6" fillId="0" borderId="25" xfId="0" applyNumberFormat="1" applyFont="1" applyBorder="1"/>
    <xf numFmtId="9" fontId="6" fillId="0" borderId="8" xfId="0" applyNumberFormat="1" applyFont="1" applyBorder="1"/>
    <xf numFmtId="9" fontId="6" fillId="0" borderId="8" xfId="1" applyFont="1" applyBorder="1"/>
    <xf numFmtId="184" fontId="6" fillId="0" borderId="4" xfId="0" applyNumberFormat="1" applyFont="1" applyBorder="1"/>
    <xf numFmtId="184" fontId="6" fillId="0" borderId="8" xfId="0" applyNumberFormat="1" applyFont="1" applyBorder="1"/>
    <xf numFmtId="184" fontId="7" fillId="0" borderId="1" xfId="0" applyNumberFormat="1" applyFont="1" applyBorder="1"/>
    <xf numFmtId="0" fontId="7" fillId="0" borderId="4" xfId="0" applyFont="1" applyFill="1" applyBorder="1" applyAlignment="1">
      <alignment vertical="top" wrapText="1"/>
    </xf>
    <xf numFmtId="0" fontId="6" fillId="0" borderId="4" xfId="0" applyFont="1" applyFill="1" applyBorder="1" applyAlignment="1">
      <alignment vertical="top" wrapText="1"/>
    </xf>
    <xf numFmtId="0" fontId="7" fillId="0" borderId="26" xfId="0" applyFont="1" applyBorder="1" applyAlignment="1">
      <alignment vertical="top" wrapText="1"/>
    </xf>
    <xf numFmtId="0" fontId="7" fillId="0" borderId="26" xfId="0" applyFont="1" applyBorder="1" applyAlignment="1">
      <alignment vertical="top"/>
    </xf>
    <xf numFmtId="2" fontId="7" fillId="0" borderId="4" xfId="0" applyNumberFormat="1" applyFont="1" applyBorder="1" applyAlignment="1">
      <alignment vertical="top"/>
    </xf>
    <xf numFmtId="9" fontId="7" fillId="0" borderId="4" xfId="1" applyFont="1" applyBorder="1" applyAlignment="1">
      <alignment vertical="top"/>
    </xf>
    <xf numFmtId="0" fontId="6" fillId="0" borderId="0" xfId="0" applyFont="1" applyBorder="1"/>
    <xf numFmtId="0" fontId="5" fillId="2" borderId="4" xfId="0" applyFont="1" applyFill="1" applyBorder="1" applyAlignment="1">
      <alignment horizontal="center" vertical="center" wrapText="1"/>
    </xf>
    <xf numFmtId="9" fontId="0" fillId="0" borderId="0" xfId="0" applyNumberFormat="1"/>
    <xf numFmtId="0" fontId="5" fillId="2" borderId="27" xfId="0" applyFont="1" applyFill="1" applyBorder="1" applyAlignment="1">
      <alignment horizontal="center" vertical="top" wrapText="1"/>
    </xf>
    <xf numFmtId="0" fontId="5" fillId="2" borderId="28" xfId="0" applyFont="1" applyFill="1" applyBorder="1" applyAlignment="1">
      <alignment horizontal="center" vertical="top" wrapText="1"/>
    </xf>
    <xf numFmtId="0" fontId="5" fillId="2" borderId="29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3.xml"/><Relationship Id="rId5" Type="http://schemas.openxmlformats.org/officeDocument/2006/relationships/chartsheet" Target="chart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2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Weighted Non-Functional Requirements Score</a:t>
            </a:r>
          </a:p>
        </c:rich>
      </c:tx>
      <c:layout>
        <c:manualLayout>
          <c:xMode val="edge"/>
          <c:yMode val="edge"/>
          <c:x val="0.3186206896551724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6206896551724136E-2"/>
          <c:y val="0.13574660633484162"/>
          <c:w val="0.82482758620689656"/>
          <c:h val="0.797511312217194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'Non-Functional Summary'!$J$2</c:f>
              <c:strCache>
                <c:ptCount val="1"/>
                <c:pt idx="0">
                  <c:v>Total Points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'Non-Functional Summary'!$I$3:$I$7</c:f>
              <c:strCache>
                <c:ptCount val="5"/>
                <c:pt idx="0">
                  <c:v>Software Costs </c:v>
                </c:pt>
                <c:pt idx="1">
                  <c:v>Implementation Costs </c:v>
                </c:pt>
                <c:pt idx="2">
                  <c:v>Annual Costs </c:v>
                </c:pt>
                <c:pt idx="3">
                  <c:v>Vendor Reputation</c:v>
                </c:pt>
                <c:pt idx="4">
                  <c:v>Product </c:v>
                </c:pt>
              </c:strCache>
            </c:strRef>
          </c:cat>
          <c:val>
            <c:numRef>
              <c:f>'Non-Functional Summary'!$J$3:$J$7</c:f>
              <c:numCache>
                <c:formatCode>General</c:formatCode>
                <c:ptCount val="5"/>
                <c:pt idx="0">
                  <c:v>60</c:v>
                </c:pt>
                <c:pt idx="1">
                  <c:v>90</c:v>
                </c:pt>
                <c:pt idx="2">
                  <c:v>30</c:v>
                </c:pt>
                <c:pt idx="3">
                  <c:v>30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5-4D5B-B05E-797EC37C77BC}"/>
            </c:ext>
          </c:extLst>
        </c:ser>
        <c:ser>
          <c:idx val="1"/>
          <c:order val="1"/>
          <c:tx>
            <c:strRef>
              <c:f>'Non-Functional Summary'!$K$2</c:f>
              <c:strCache>
                <c:ptCount val="1"/>
                <c:pt idx="0">
                  <c:v>Custom (ISIS)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'Non-Functional Summary'!$I$3:$I$7</c:f>
              <c:strCache>
                <c:ptCount val="5"/>
                <c:pt idx="0">
                  <c:v>Software Costs </c:v>
                </c:pt>
                <c:pt idx="1">
                  <c:v>Implementation Costs </c:v>
                </c:pt>
                <c:pt idx="2">
                  <c:v>Annual Costs </c:v>
                </c:pt>
                <c:pt idx="3">
                  <c:v>Vendor Reputation</c:v>
                </c:pt>
                <c:pt idx="4">
                  <c:v>Product </c:v>
                </c:pt>
              </c:strCache>
            </c:strRef>
          </c:cat>
          <c:val>
            <c:numRef>
              <c:f>'Non-Functional Summary'!$K$3:$K$7</c:f>
              <c:numCache>
                <c:formatCode>0.0</c:formatCode>
                <c:ptCount val="5"/>
                <c:pt idx="0">
                  <c:v>60</c:v>
                </c:pt>
                <c:pt idx="1">
                  <c:v>16.428571428571431</c:v>
                </c:pt>
                <c:pt idx="2">
                  <c:v>30</c:v>
                </c:pt>
                <c:pt idx="3">
                  <c:v>6.6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5-4D5B-B05E-797EC37C77BC}"/>
            </c:ext>
          </c:extLst>
        </c:ser>
        <c:ser>
          <c:idx val="2"/>
          <c:order val="2"/>
          <c:tx>
            <c:strRef>
              <c:f>'Non-Functional Summary'!$L$2</c:f>
              <c:strCache>
                <c:ptCount val="1"/>
                <c:pt idx="0">
                  <c:v>Peoplesoft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'Non-Functional Summary'!$I$3:$I$7</c:f>
              <c:strCache>
                <c:ptCount val="5"/>
                <c:pt idx="0">
                  <c:v>Software Costs </c:v>
                </c:pt>
                <c:pt idx="1">
                  <c:v>Implementation Costs </c:v>
                </c:pt>
                <c:pt idx="2">
                  <c:v>Annual Costs </c:v>
                </c:pt>
                <c:pt idx="3">
                  <c:v>Vendor Reputation</c:v>
                </c:pt>
                <c:pt idx="4">
                  <c:v>Product </c:v>
                </c:pt>
              </c:strCache>
            </c:strRef>
          </c:cat>
          <c:val>
            <c:numRef>
              <c:f>'Non-Functional Summary'!$L$3:$L$7</c:f>
              <c:numCache>
                <c:formatCode>0.0</c:formatCode>
                <c:ptCount val="5"/>
                <c:pt idx="0">
                  <c:v>33</c:v>
                </c:pt>
                <c:pt idx="1">
                  <c:v>90</c:v>
                </c:pt>
                <c:pt idx="2">
                  <c:v>12</c:v>
                </c:pt>
                <c:pt idx="3">
                  <c:v>14.4</c:v>
                </c:pt>
                <c:pt idx="4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5-4D5B-B05E-797EC37C77BC}"/>
            </c:ext>
          </c:extLst>
        </c:ser>
        <c:ser>
          <c:idx val="3"/>
          <c:order val="3"/>
          <c:tx>
            <c:strRef>
              <c:f>'Non-Functional Summary'!$M$2</c:f>
              <c:strCache>
                <c:ptCount val="1"/>
                <c:pt idx="0">
                  <c:v>SCT Banner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'Non-Functional Summary'!$I$3:$I$7</c:f>
              <c:strCache>
                <c:ptCount val="5"/>
                <c:pt idx="0">
                  <c:v>Software Costs </c:v>
                </c:pt>
                <c:pt idx="1">
                  <c:v>Implementation Costs </c:v>
                </c:pt>
                <c:pt idx="2">
                  <c:v>Annual Costs </c:v>
                </c:pt>
                <c:pt idx="3">
                  <c:v>Vendor Reputation</c:v>
                </c:pt>
                <c:pt idx="4">
                  <c:v>Product </c:v>
                </c:pt>
              </c:strCache>
            </c:strRef>
          </c:cat>
          <c:val>
            <c:numRef>
              <c:f>'Non-Functional Summary'!$M$3:$M$7</c:f>
              <c:numCache>
                <c:formatCode>0.0</c:formatCode>
                <c:ptCount val="5"/>
                <c:pt idx="0">
                  <c:v>33</c:v>
                </c:pt>
                <c:pt idx="1">
                  <c:v>75</c:v>
                </c:pt>
                <c:pt idx="2">
                  <c:v>10</c:v>
                </c:pt>
                <c:pt idx="3">
                  <c:v>30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5-4D5B-B05E-797EC37C7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303343"/>
        <c:axId val="1"/>
      </c:barChart>
      <c:catAx>
        <c:axId val="1008303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033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896551724137935"/>
          <c:y val="6.2217194570135748E-2"/>
          <c:w val="0.13379310344827586"/>
          <c:h val="0.143665158371040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Non-Functional Requirements - Weighted </a:t>
            </a:r>
          </a:p>
        </c:rich>
      </c:tx>
      <c:layout>
        <c:manualLayout>
          <c:xMode val="edge"/>
          <c:yMode val="edge"/>
          <c:x val="0.32148148148148148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62962962962963"/>
          <c:y val="0.11982570806100218"/>
          <c:w val="0.67925925925925923"/>
          <c:h val="0.813725490196078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'Non-Functional Summary'!$R$2</c:f>
              <c:strCache>
                <c:ptCount val="1"/>
                <c:pt idx="0">
                  <c:v>Custom (ISIS)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1"/>
              <c:layout>
                <c:manualLayout>
                  <c:xMode val="edge"/>
                  <c:yMode val="edge"/>
                  <c:x val="0.29555555555555557"/>
                  <c:y val="0.75381263616557737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79-4DFB-B710-A836E277305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32"/>
                  <c:y val="0.48039215686274511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79-4DFB-B710-A836E277305F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948148148148148"/>
                  <c:y val="0.34749455337690632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79-4DFB-B710-A836E277305F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55481481481481476"/>
                  <c:y val="0.2113289760348584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79-4DFB-B710-A836E277305F}"/>
                </c:ext>
              </c:extLst>
            </c:dLbl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Summary'!$P$3:$P$8</c:f>
              <c:strCache>
                <c:ptCount val="6"/>
                <c:pt idx="0">
                  <c:v>Software Costs </c:v>
                </c:pt>
                <c:pt idx="1">
                  <c:v>Implementation Costs </c:v>
                </c:pt>
                <c:pt idx="2">
                  <c:v>Annual Costs </c:v>
                </c:pt>
                <c:pt idx="3">
                  <c:v>Vendor Reputation</c:v>
                </c:pt>
                <c:pt idx="4">
                  <c:v>Product </c:v>
                </c:pt>
                <c:pt idx="5">
                  <c:v>Total</c:v>
                </c:pt>
              </c:strCache>
            </c:strRef>
          </c:cat>
          <c:val>
            <c:numRef>
              <c:f>'Non-Functional Summary'!$R$3:$R$8</c:f>
              <c:numCache>
                <c:formatCode>0%</c:formatCode>
                <c:ptCount val="6"/>
                <c:pt idx="0">
                  <c:v>1</c:v>
                </c:pt>
                <c:pt idx="1">
                  <c:v>0.18253968253968256</c:v>
                </c:pt>
                <c:pt idx="2">
                  <c:v>1</c:v>
                </c:pt>
                <c:pt idx="3">
                  <c:v>0.22</c:v>
                </c:pt>
                <c:pt idx="4">
                  <c:v>0.62222222222222223</c:v>
                </c:pt>
                <c:pt idx="5">
                  <c:v>0.56342857142857139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79-4DFB-B710-A836E277305F}"/>
            </c:ext>
          </c:extLst>
        </c:ser>
        <c:ser>
          <c:idx val="1"/>
          <c:order val="1"/>
          <c:tx>
            <c:strRef>
              <c:f>'Non-Functional Summary'!$S$2</c:f>
              <c:strCache>
                <c:ptCount val="1"/>
                <c:pt idx="0">
                  <c:v>Peoplesoft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54962962962962958"/>
                  <c:y val="0.84095860566448799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79-4DFB-B710-A836E277305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4222222222222224"/>
                  <c:y val="0.56644880174291934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A79-4DFB-B710-A836E277305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49777777777777776"/>
                  <c:y val="0.44880174291938996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A79-4DFB-B710-A836E277305F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72296296296296292"/>
                  <c:y val="0.31481481481481483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A79-4DFB-B710-A836E277305F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67703703703703699"/>
                  <c:y val="0.18082788671023964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79-4DFB-B710-A836E277305F}"/>
                </c:ext>
              </c:extLst>
            </c:dLbl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Summary'!$P$3:$P$8</c:f>
              <c:strCache>
                <c:ptCount val="6"/>
                <c:pt idx="0">
                  <c:v>Software Costs </c:v>
                </c:pt>
                <c:pt idx="1">
                  <c:v>Implementation Costs </c:v>
                </c:pt>
                <c:pt idx="2">
                  <c:v>Annual Costs </c:v>
                </c:pt>
                <c:pt idx="3">
                  <c:v>Vendor Reputation</c:v>
                </c:pt>
                <c:pt idx="4">
                  <c:v>Product </c:v>
                </c:pt>
                <c:pt idx="5">
                  <c:v>Total</c:v>
                </c:pt>
              </c:strCache>
            </c:strRef>
          </c:cat>
          <c:val>
            <c:numRef>
              <c:f>'Non-Functional Summary'!$S$3:$S$8</c:f>
              <c:numCache>
                <c:formatCode>0%</c:formatCode>
                <c:ptCount val="6"/>
                <c:pt idx="0">
                  <c:v>0.55000000000000004</c:v>
                </c:pt>
                <c:pt idx="1">
                  <c:v>1</c:v>
                </c:pt>
                <c:pt idx="2">
                  <c:v>0.4</c:v>
                </c:pt>
                <c:pt idx="3">
                  <c:v>0.48000000000000004</c:v>
                </c:pt>
                <c:pt idx="4">
                  <c:v>0.81111111111111112</c:v>
                </c:pt>
                <c:pt idx="5">
                  <c:v>0.7413333333333334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79-4DFB-B710-A836E277305F}"/>
            </c:ext>
          </c:extLst>
        </c:ser>
        <c:ser>
          <c:idx val="2"/>
          <c:order val="2"/>
          <c:tx>
            <c:strRef>
              <c:f>'Non-Functional Summary'!$T$2</c:f>
              <c:strCache>
                <c:ptCount val="1"/>
                <c:pt idx="0">
                  <c:v>SCT Banner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54370370370370369"/>
                  <c:y val="0.79411764705882348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A79-4DFB-B710-A836E277305F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73777777777777775"/>
                  <c:y val="0.66993464052287577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A79-4DFB-B710-A836E277305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39851851851851849"/>
                  <c:y val="0.53921568627450978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A79-4DFB-B710-A836E277305F}"/>
                </c:ext>
              </c:extLst>
            </c:dLbl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Summary'!$P$3:$P$8</c:f>
              <c:strCache>
                <c:ptCount val="6"/>
                <c:pt idx="0">
                  <c:v>Software Costs </c:v>
                </c:pt>
                <c:pt idx="1">
                  <c:v>Implementation Costs </c:v>
                </c:pt>
                <c:pt idx="2">
                  <c:v>Annual Costs </c:v>
                </c:pt>
                <c:pt idx="3">
                  <c:v>Vendor Reputation</c:v>
                </c:pt>
                <c:pt idx="4">
                  <c:v>Product </c:v>
                </c:pt>
                <c:pt idx="5">
                  <c:v>Total</c:v>
                </c:pt>
              </c:strCache>
            </c:strRef>
          </c:cat>
          <c:val>
            <c:numRef>
              <c:f>'Non-Functional Summary'!$T$3:$T$8</c:f>
              <c:numCache>
                <c:formatCode>0%</c:formatCode>
                <c:ptCount val="6"/>
                <c:pt idx="0">
                  <c:v>0.55000000000000004</c:v>
                </c:pt>
                <c:pt idx="1">
                  <c:v>0.83333333333333337</c:v>
                </c:pt>
                <c:pt idx="2">
                  <c:v>0.33333333333333331</c:v>
                </c:pt>
                <c:pt idx="3">
                  <c:v>1</c:v>
                </c:pt>
                <c:pt idx="4">
                  <c:v>0.93333333333333335</c:v>
                </c:pt>
                <c:pt idx="5">
                  <c:v>0.77333333333333332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A79-4DFB-B710-A836E27730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08300543"/>
        <c:axId val="1"/>
      </c:barChart>
      <c:catAx>
        <c:axId val="10083005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005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88888888888889"/>
          <c:y val="5.8823529411764705E-2"/>
          <c:w val="0.12740740740740741"/>
          <c:h val="0.1034858387799564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Non-Functional Requirements Analysis - Un-weighted</a:t>
            </a:r>
          </a:p>
        </c:rich>
      </c:tx>
      <c:layout>
        <c:manualLayout>
          <c:xMode val="edge"/>
          <c:yMode val="edge"/>
          <c:x val="0.2688888888888889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62962962962963"/>
          <c:y val="0.11982570806100218"/>
          <c:w val="0.67925925925925923"/>
          <c:h val="0.813725490196078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'Non-Functional Summary'!$R$39</c:f>
              <c:strCache>
                <c:ptCount val="1"/>
                <c:pt idx="0">
                  <c:v>Custom (ISIS)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1"/>
              <c:layout>
                <c:manualLayout>
                  <c:xMode val="edge"/>
                  <c:yMode val="edge"/>
                  <c:x val="0.30148148148148146"/>
                  <c:y val="0.74836601307189543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73-4519-97ED-3DB6A7085838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52148148148148143"/>
                  <c:y val="0.48039215686274511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73-4519-97ED-3DB6A7085838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9925925925925927"/>
                  <c:y val="0.34422657952069718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73-4519-97ED-3DB6A7085838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60074074074074069"/>
                  <c:y val="0.20806100217864923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73-4519-97ED-3DB6A7085838}"/>
                </c:ext>
              </c:extLst>
            </c:dLbl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Summary'!$P$40:$P$45</c:f>
              <c:strCache>
                <c:ptCount val="6"/>
                <c:pt idx="0">
                  <c:v>Software Costs </c:v>
                </c:pt>
                <c:pt idx="1">
                  <c:v>Implementation Costs </c:v>
                </c:pt>
                <c:pt idx="2">
                  <c:v>Annual Costs </c:v>
                </c:pt>
                <c:pt idx="3">
                  <c:v>Vendor Reputation</c:v>
                </c:pt>
                <c:pt idx="4">
                  <c:v>Product </c:v>
                </c:pt>
                <c:pt idx="5">
                  <c:v>Total</c:v>
                </c:pt>
              </c:strCache>
            </c:strRef>
          </c:cat>
          <c:val>
            <c:numRef>
              <c:f>'Non-Functional Summary'!$R$40:$R$45</c:f>
              <c:numCache>
                <c:formatCode>0%</c:formatCode>
                <c:ptCount val="6"/>
                <c:pt idx="0">
                  <c:v>1</c:v>
                </c:pt>
                <c:pt idx="1">
                  <c:v>0.19047619047619047</c:v>
                </c:pt>
                <c:pt idx="2">
                  <c:v>1</c:v>
                </c:pt>
                <c:pt idx="3">
                  <c:v>0.51250000000000007</c:v>
                </c:pt>
                <c:pt idx="4">
                  <c:v>0.62962962962962965</c:v>
                </c:pt>
                <c:pt idx="5">
                  <c:v>0.62953869047619049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73-4519-97ED-3DB6A7085838}"/>
            </c:ext>
          </c:extLst>
        </c:ser>
        <c:ser>
          <c:idx val="1"/>
          <c:order val="1"/>
          <c:tx>
            <c:strRef>
              <c:f>'Non-Functional Summary'!$S$39</c:f>
              <c:strCache>
                <c:ptCount val="1"/>
                <c:pt idx="0">
                  <c:v>Peoplesoft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64888888888888885"/>
                  <c:y val="0.84313725490196079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73-4519-97ED-3DB6A7085838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4370370370370371"/>
                  <c:y val="0.56862745098039214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73-4519-97ED-3DB6A7085838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62740740740740741"/>
                  <c:y val="0.44880174291938996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73-4519-97ED-3DB6A7085838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72518518518518515"/>
                  <c:y val="0.31481481481481483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73-4519-97ED-3DB6A7085838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70296296296296301"/>
                  <c:y val="0.1775599128540305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73-4519-97ED-3DB6A7085838}"/>
                </c:ext>
              </c:extLst>
            </c:dLbl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Summary'!$P$40:$P$45</c:f>
              <c:strCache>
                <c:ptCount val="6"/>
                <c:pt idx="0">
                  <c:v>Software Costs </c:v>
                </c:pt>
                <c:pt idx="1">
                  <c:v>Implementation Costs </c:v>
                </c:pt>
                <c:pt idx="2">
                  <c:v>Annual Costs </c:v>
                </c:pt>
                <c:pt idx="3">
                  <c:v>Vendor Reputation</c:v>
                </c:pt>
                <c:pt idx="4">
                  <c:v>Product </c:v>
                </c:pt>
                <c:pt idx="5">
                  <c:v>Total</c:v>
                </c:pt>
              </c:strCache>
            </c:strRef>
          </c:cat>
          <c:val>
            <c:numRef>
              <c:f>'Non-Functional Summary'!$S$40:$S$45</c:f>
              <c:numCache>
                <c:formatCode>0%</c:formatCode>
                <c:ptCount val="6"/>
                <c:pt idx="0">
                  <c:v>0.70000000000000007</c:v>
                </c:pt>
                <c:pt idx="1">
                  <c:v>1</c:v>
                </c:pt>
                <c:pt idx="2">
                  <c:v>0.39999999999999997</c:v>
                </c:pt>
                <c:pt idx="3">
                  <c:v>0.67499999999999993</c:v>
                </c:pt>
                <c:pt idx="4">
                  <c:v>0.81481481481481477</c:v>
                </c:pt>
                <c:pt idx="5">
                  <c:v>0.78020833333333339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73-4519-97ED-3DB6A7085838}"/>
            </c:ext>
          </c:extLst>
        </c:ser>
        <c:ser>
          <c:idx val="2"/>
          <c:order val="2"/>
          <c:tx>
            <c:strRef>
              <c:f>'Non-Functional Summary'!$T$39</c:f>
              <c:strCache>
                <c:ptCount val="1"/>
                <c:pt idx="0">
                  <c:v>SCT Banner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64740740740740743"/>
                  <c:y val="0.80718954248366015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73-4519-97ED-3DB6A7085838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68296296296296299"/>
                  <c:y val="0.67211328976034856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73-4519-97ED-3DB6A7085838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39851851851851849"/>
                  <c:y val="0.53921568627450978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73-4519-97ED-3DB6A7085838}"/>
                </c:ext>
              </c:extLst>
            </c:dLbl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Summary'!$P$40:$P$45</c:f>
              <c:strCache>
                <c:ptCount val="6"/>
                <c:pt idx="0">
                  <c:v>Software Costs </c:v>
                </c:pt>
                <c:pt idx="1">
                  <c:v>Implementation Costs </c:v>
                </c:pt>
                <c:pt idx="2">
                  <c:v>Annual Costs </c:v>
                </c:pt>
                <c:pt idx="3">
                  <c:v>Vendor Reputation</c:v>
                </c:pt>
                <c:pt idx="4">
                  <c:v>Product </c:v>
                </c:pt>
                <c:pt idx="5">
                  <c:v>Total</c:v>
                </c:pt>
              </c:strCache>
            </c:strRef>
          </c:cat>
          <c:val>
            <c:numRef>
              <c:f>'Non-Functional Summary'!$T$40:$T$45</c:f>
              <c:numCache>
                <c:formatCode>0%</c:formatCode>
                <c:ptCount val="6"/>
                <c:pt idx="0">
                  <c:v>0.70000000000000007</c:v>
                </c:pt>
                <c:pt idx="1">
                  <c:v>0.75</c:v>
                </c:pt>
                <c:pt idx="2">
                  <c:v>0.33333333333333331</c:v>
                </c:pt>
                <c:pt idx="3">
                  <c:v>1</c:v>
                </c:pt>
                <c:pt idx="4">
                  <c:v>0.92592592592592593</c:v>
                </c:pt>
                <c:pt idx="5">
                  <c:v>0.84791666666666676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373-4519-97ED-3DB6A70858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08310943"/>
        <c:axId val="1"/>
      </c:barChart>
      <c:catAx>
        <c:axId val="10083109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109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14814814814815"/>
          <c:y val="9.1503267973856203E-2"/>
          <c:w val="0.12740740740740741"/>
          <c:h val="0.1034858387799564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Non-Functional Requirement Analysis Summary - Weighted</a:t>
            </a:r>
          </a:p>
        </c:rich>
      </c:tx>
      <c:layout>
        <c:manualLayout>
          <c:xMode val="edge"/>
          <c:yMode val="edge"/>
          <c:x val="0.24444444444444444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55555555555555"/>
          <c:y val="0.10130718954248366"/>
          <c:w val="0.68592592592592594"/>
          <c:h val="0.8355119825708060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'Non-Functional Summary'!$I$3</c:f>
              <c:strCache>
                <c:ptCount val="1"/>
                <c:pt idx="0">
                  <c:v>Software Costs 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Summary'!$J$2:$M$2</c:f>
              <c:strCache>
                <c:ptCount val="4"/>
                <c:pt idx="0">
                  <c:v>Total Points</c:v>
                </c:pt>
                <c:pt idx="1">
                  <c:v>Custom (ISIS)</c:v>
                </c:pt>
                <c:pt idx="2">
                  <c:v>Peoplesoft</c:v>
                </c:pt>
                <c:pt idx="3">
                  <c:v>SCT Banner</c:v>
                </c:pt>
              </c:strCache>
            </c:strRef>
          </c:cat>
          <c:val>
            <c:numRef>
              <c:f>'Non-Functional Summary'!$J$3:$M$3</c:f>
              <c:numCache>
                <c:formatCode>0.0</c:formatCode>
                <c:ptCount val="4"/>
                <c:pt idx="0" formatCode="General">
                  <c:v>60</c:v>
                </c:pt>
                <c:pt idx="1">
                  <c:v>60</c:v>
                </c:pt>
                <c:pt idx="2">
                  <c:v>33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9-46F3-8420-0ECBBB37A2BA}"/>
            </c:ext>
          </c:extLst>
        </c:ser>
        <c:ser>
          <c:idx val="1"/>
          <c:order val="1"/>
          <c:tx>
            <c:strRef>
              <c:f>'Non-Functional Summary'!$I$4</c:f>
              <c:strCache>
                <c:ptCount val="1"/>
                <c:pt idx="0">
                  <c:v>Implementation Costs 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Summary'!$J$2:$M$2</c:f>
              <c:strCache>
                <c:ptCount val="4"/>
                <c:pt idx="0">
                  <c:v>Total Points</c:v>
                </c:pt>
                <c:pt idx="1">
                  <c:v>Custom (ISIS)</c:v>
                </c:pt>
                <c:pt idx="2">
                  <c:v>Peoplesoft</c:v>
                </c:pt>
                <c:pt idx="3">
                  <c:v>SCT Banner</c:v>
                </c:pt>
              </c:strCache>
            </c:strRef>
          </c:cat>
          <c:val>
            <c:numRef>
              <c:f>'Non-Functional Summary'!$J$4:$M$4</c:f>
              <c:numCache>
                <c:formatCode>0.0</c:formatCode>
                <c:ptCount val="4"/>
                <c:pt idx="0" formatCode="General">
                  <c:v>90</c:v>
                </c:pt>
                <c:pt idx="1">
                  <c:v>16.428571428571431</c:v>
                </c:pt>
                <c:pt idx="2">
                  <c:v>90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09-46F3-8420-0ECBBB37A2BA}"/>
            </c:ext>
          </c:extLst>
        </c:ser>
        <c:ser>
          <c:idx val="2"/>
          <c:order val="2"/>
          <c:tx>
            <c:strRef>
              <c:f>'Non-Functional Summary'!$I$5</c:f>
              <c:strCache>
                <c:ptCount val="1"/>
                <c:pt idx="0">
                  <c:v>Annual Costs 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Summary'!$J$2:$M$2</c:f>
              <c:strCache>
                <c:ptCount val="4"/>
                <c:pt idx="0">
                  <c:v>Total Points</c:v>
                </c:pt>
                <c:pt idx="1">
                  <c:v>Custom (ISIS)</c:v>
                </c:pt>
                <c:pt idx="2">
                  <c:v>Peoplesoft</c:v>
                </c:pt>
                <c:pt idx="3">
                  <c:v>SCT Banner</c:v>
                </c:pt>
              </c:strCache>
            </c:strRef>
          </c:cat>
          <c:val>
            <c:numRef>
              <c:f>'Non-Functional Summary'!$J$5:$M$5</c:f>
              <c:numCache>
                <c:formatCode>0.0</c:formatCode>
                <c:ptCount val="4"/>
                <c:pt idx="0" formatCode="General">
                  <c:v>30</c:v>
                </c:pt>
                <c:pt idx="1">
                  <c:v>30</c:v>
                </c:pt>
                <c:pt idx="2">
                  <c:v>12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09-46F3-8420-0ECBBB37A2BA}"/>
            </c:ext>
          </c:extLst>
        </c:ser>
        <c:ser>
          <c:idx val="3"/>
          <c:order val="3"/>
          <c:tx>
            <c:strRef>
              <c:f>'Non-Functional Summary'!$I$6</c:f>
              <c:strCache>
                <c:ptCount val="1"/>
                <c:pt idx="0">
                  <c:v>Vendor Reputation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Summary'!$J$2:$M$2</c:f>
              <c:strCache>
                <c:ptCount val="4"/>
                <c:pt idx="0">
                  <c:v>Total Points</c:v>
                </c:pt>
                <c:pt idx="1">
                  <c:v>Custom (ISIS)</c:v>
                </c:pt>
                <c:pt idx="2">
                  <c:v>Peoplesoft</c:v>
                </c:pt>
                <c:pt idx="3">
                  <c:v>SCT Banner</c:v>
                </c:pt>
              </c:strCache>
            </c:strRef>
          </c:cat>
          <c:val>
            <c:numRef>
              <c:f>'Non-Functional Summary'!$J$6:$M$6</c:f>
              <c:numCache>
                <c:formatCode>0.0</c:formatCode>
                <c:ptCount val="4"/>
                <c:pt idx="0" formatCode="General">
                  <c:v>30</c:v>
                </c:pt>
                <c:pt idx="1">
                  <c:v>6.6</c:v>
                </c:pt>
                <c:pt idx="2">
                  <c:v>14.4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09-46F3-8420-0ECBBB37A2BA}"/>
            </c:ext>
          </c:extLst>
        </c:ser>
        <c:ser>
          <c:idx val="4"/>
          <c:order val="4"/>
          <c:tx>
            <c:strRef>
              <c:f>'Non-Functional Summary'!$I$7</c:f>
              <c:strCache>
                <c:ptCount val="1"/>
                <c:pt idx="0">
                  <c:v>Product </c:v>
                </c:pt>
              </c:strCache>
            </c:strRef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Summary'!$J$2:$M$2</c:f>
              <c:strCache>
                <c:ptCount val="4"/>
                <c:pt idx="0">
                  <c:v>Total Points</c:v>
                </c:pt>
                <c:pt idx="1">
                  <c:v>Custom (ISIS)</c:v>
                </c:pt>
                <c:pt idx="2">
                  <c:v>Peoplesoft</c:v>
                </c:pt>
                <c:pt idx="3">
                  <c:v>SCT Banner</c:v>
                </c:pt>
              </c:strCache>
            </c:strRef>
          </c:cat>
          <c:val>
            <c:numRef>
              <c:f>'Non-Functional Summary'!$J$7:$M$7</c:f>
              <c:numCache>
                <c:formatCode>0.0</c:formatCode>
                <c:ptCount val="4"/>
                <c:pt idx="0" formatCode="General">
                  <c:v>90</c:v>
                </c:pt>
                <c:pt idx="1">
                  <c:v>56</c:v>
                </c:pt>
                <c:pt idx="2">
                  <c:v>73</c:v>
                </c:pt>
                <c:pt idx="3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09-46F3-8420-0ECBBB37A2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08315343"/>
        <c:axId val="1"/>
      </c:barChart>
      <c:catAx>
        <c:axId val="10083153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153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740740740740737"/>
          <c:y val="0.44008714596949888"/>
          <c:w val="0.16962962962962963"/>
          <c:h val="0.1590413943355119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Non-Functional Requirements Analysis Summary - Un-weighted</a:t>
            </a:r>
          </a:p>
        </c:rich>
      </c:tx>
      <c:layout>
        <c:manualLayout>
          <c:xMode val="edge"/>
          <c:yMode val="edge"/>
          <c:x val="0.22666666666666666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03703703703704"/>
          <c:y val="0.11982570806100218"/>
          <c:w val="0.85629629629629633"/>
          <c:h val="0.8137254901960784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'Non-Functional Summary'!$I$40</c:f>
              <c:strCache>
                <c:ptCount val="1"/>
                <c:pt idx="0">
                  <c:v>Software Costs 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Summary'!$J$39:$M$39</c:f>
              <c:strCache>
                <c:ptCount val="4"/>
                <c:pt idx="0">
                  <c:v>Total Points</c:v>
                </c:pt>
                <c:pt idx="1">
                  <c:v>Custom (ISIS)</c:v>
                </c:pt>
                <c:pt idx="2">
                  <c:v>Peoplesoft</c:v>
                </c:pt>
                <c:pt idx="3">
                  <c:v>SCT Banner</c:v>
                </c:pt>
              </c:strCache>
            </c:strRef>
          </c:cat>
          <c:val>
            <c:numRef>
              <c:f>'Non-Functional Summary'!$J$40:$M$40</c:f>
              <c:numCache>
                <c:formatCode>0.0</c:formatCode>
                <c:ptCount val="4"/>
                <c:pt idx="0" formatCode="General">
                  <c:v>6</c:v>
                </c:pt>
                <c:pt idx="1">
                  <c:v>6</c:v>
                </c:pt>
                <c:pt idx="2">
                  <c:v>4.2</c:v>
                </c:pt>
                <c:pt idx="3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E-4F8F-93F0-40671E55767D}"/>
            </c:ext>
          </c:extLst>
        </c:ser>
        <c:ser>
          <c:idx val="1"/>
          <c:order val="1"/>
          <c:tx>
            <c:strRef>
              <c:f>'Non-Functional Summary'!$I$41</c:f>
              <c:strCache>
                <c:ptCount val="1"/>
                <c:pt idx="0">
                  <c:v>Implementation Costs 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Summary'!$J$39:$M$39</c:f>
              <c:strCache>
                <c:ptCount val="4"/>
                <c:pt idx="0">
                  <c:v>Total Points</c:v>
                </c:pt>
                <c:pt idx="1">
                  <c:v>Custom (ISIS)</c:v>
                </c:pt>
                <c:pt idx="2">
                  <c:v>Peoplesoft</c:v>
                </c:pt>
                <c:pt idx="3">
                  <c:v>SCT Banner</c:v>
                </c:pt>
              </c:strCache>
            </c:strRef>
          </c:cat>
          <c:val>
            <c:numRef>
              <c:f>'Non-Functional Summary'!$J$41:$M$41</c:f>
              <c:numCache>
                <c:formatCode>0.0</c:formatCode>
                <c:ptCount val="4"/>
                <c:pt idx="0" formatCode="General">
                  <c:v>6</c:v>
                </c:pt>
                <c:pt idx="1">
                  <c:v>1.1428571428571428</c:v>
                </c:pt>
                <c:pt idx="2">
                  <c:v>6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9E-4F8F-93F0-40671E55767D}"/>
            </c:ext>
          </c:extLst>
        </c:ser>
        <c:ser>
          <c:idx val="2"/>
          <c:order val="2"/>
          <c:tx>
            <c:strRef>
              <c:f>'Non-Functional Summary'!$I$42</c:f>
              <c:strCache>
                <c:ptCount val="1"/>
                <c:pt idx="0">
                  <c:v>Annual Costs 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Summary'!$J$39:$M$39</c:f>
              <c:strCache>
                <c:ptCount val="4"/>
                <c:pt idx="0">
                  <c:v>Total Points</c:v>
                </c:pt>
                <c:pt idx="1">
                  <c:v>Custom (ISIS)</c:v>
                </c:pt>
                <c:pt idx="2">
                  <c:v>Peoplesoft</c:v>
                </c:pt>
                <c:pt idx="3">
                  <c:v>SCT Banner</c:v>
                </c:pt>
              </c:strCache>
            </c:strRef>
          </c:cat>
          <c:val>
            <c:numRef>
              <c:f>'Non-Functional Summary'!$J$42:$M$42</c:f>
              <c:numCache>
                <c:formatCode>0.0</c:formatCode>
                <c:ptCount val="4"/>
                <c:pt idx="0" formatCode="General">
                  <c:v>3</c:v>
                </c:pt>
                <c:pt idx="1">
                  <c:v>3</c:v>
                </c:pt>
                <c:pt idx="2">
                  <c:v>1.2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9E-4F8F-93F0-40671E55767D}"/>
            </c:ext>
          </c:extLst>
        </c:ser>
        <c:ser>
          <c:idx val="3"/>
          <c:order val="3"/>
          <c:tx>
            <c:strRef>
              <c:f>'Non-Functional Summary'!$I$43</c:f>
              <c:strCache>
                <c:ptCount val="1"/>
                <c:pt idx="0">
                  <c:v>Vendor Reputation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Summary'!$J$39:$M$39</c:f>
              <c:strCache>
                <c:ptCount val="4"/>
                <c:pt idx="0">
                  <c:v>Total Points</c:v>
                </c:pt>
                <c:pt idx="1">
                  <c:v>Custom (ISIS)</c:v>
                </c:pt>
                <c:pt idx="2">
                  <c:v>Peoplesoft</c:v>
                </c:pt>
                <c:pt idx="3">
                  <c:v>SCT Banner</c:v>
                </c:pt>
              </c:strCache>
            </c:strRef>
          </c:cat>
          <c:val>
            <c:numRef>
              <c:f>'Non-Functional Summary'!$J$43:$M$43</c:f>
              <c:numCache>
                <c:formatCode>0.0</c:formatCode>
                <c:ptCount val="4"/>
                <c:pt idx="0" formatCode="General">
                  <c:v>6</c:v>
                </c:pt>
                <c:pt idx="1">
                  <c:v>3.0750000000000002</c:v>
                </c:pt>
                <c:pt idx="2">
                  <c:v>4.05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9E-4F8F-93F0-40671E55767D}"/>
            </c:ext>
          </c:extLst>
        </c:ser>
        <c:ser>
          <c:idx val="4"/>
          <c:order val="4"/>
          <c:tx>
            <c:strRef>
              <c:f>'Non-Functional Summary'!$I$44</c:f>
              <c:strCache>
                <c:ptCount val="1"/>
                <c:pt idx="0">
                  <c:v>Product </c:v>
                </c:pt>
              </c:strCache>
            </c:strRef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Summary'!$J$39:$M$39</c:f>
              <c:strCache>
                <c:ptCount val="4"/>
                <c:pt idx="0">
                  <c:v>Total Points</c:v>
                </c:pt>
                <c:pt idx="1">
                  <c:v>Custom (ISIS)</c:v>
                </c:pt>
                <c:pt idx="2">
                  <c:v>Peoplesoft</c:v>
                </c:pt>
                <c:pt idx="3">
                  <c:v>SCT Banner</c:v>
                </c:pt>
              </c:strCache>
            </c:strRef>
          </c:cat>
          <c:val>
            <c:numRef>
              <c:f>'Non-Functional Summary'!$J$44:$M$44</c:f>
              <c:numCache>
                <c:formatCode>0.0</c:formatCode>
                <c:ptCount val="4"/>
                <c:pt idx="0" formatCode="General">
                  <c:v>27</c:v>
                </c:pt>
                <c:pt idx="1">
                  <c:v>17</c:v>
                </c:pt>
                <c:pt idx="2">
                  <c:v>22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9E-4F8F-93F0-40671E5576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08306943"/>
        <c:axId val="1"/>
      </c:barChart>
      <c:catAx>
        <c:axId val="10083069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5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069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481481481481477"/>
          <c:y val="0.37908496732026142"/>
          <c:w val="0.16962962962962963"/>
          <c:h val="0.1590413943355119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Non-Functional Requirements Analysis - Summary</a:t>
            </a:r>
          </a:p>
        </c:rich>
      </c:tx>
      <c:layout>
        <c:manualLayout>
          <c:xMode val="edge"/>
          <c:yMode val="edge"/>
          <c:x val="0.3041379310344827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344827586206897E-2"/>
          <c:y val="0.13574660633484162"/>
          <c:w val="0.78275862068965518"/>
          <c:h val="0.797511312217194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'Non-Functional Summary'!$P$50</c:f>
              <c:strCache>
                <c:ptCount val="1"/>
                <c:pt idx="0">
                  <c:v>Unweighted Total %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Summary'!$Q$49:$S$49</c:f>
              <c:strCache>
                <c:ptCount val="3"/>
                <c:pt idx="0">
                  <c:v>Custom (ISIS)</c:v>
                </c:pt>
                <c:pt idx="1">
                  <c:v>Peoplesoft</c:v>
                </c:pt>
                <c:pt idx="2">
                  <c:v>SCT Banner</c:v>
                </c:pt>
              </c:strCache>
            </c:strRef>
          </c:cat>
          <c:val>
            <c:numRef>
              <c:f>'Non-Functional Summary'!$Q$50:$S$50</c:f>
              <c:numCache>
                <c:formatCode>0%</c:formatCode>
                <c:ptCount val="3"/>
                <c:pt idx="0">
                  <c:v>0.62953869047619049</c:v>
                </c:pt>
                <c:pt idx="1">
                  <c:v>0.78020833333333339</c:v>
                </c:pt>
                <c:pt idx="2">
                  <c:v>0.84791666666666676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F-421C-A8DB-3FD16EB6659B}"/>
            </c:ext>
          </c:extLst>
        </c:ser>
        <c:ser>
          <c:idx val="1"/>
          <c:order val="1"/>
          <c:tx>
            <c:strRef>
              <c:f>'Non-Functional Summary'!$P$51</c:f>
              <c:strCache>
                <c:ptCount val="1"/>
                <c:pt idx="0">
                  <c:v>Weighted Total %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'Non-Functional Summary'!$Q$49:$S$49</c:f>
              <c:strCache>
                <c:ptCount val="3"/>
                <c:pt idx="0">
                  <c:v>Custom (ISIS)</c:v>
                </c:pt>
                <c:pt idx="1">
                  <c:v>Peoplesoft</c:v>
                </c:pt>
                <c:pt idx="2">
                  <c:v>SCT Banner</c:v>
                </c:pt>
              </c:strCache>
            </c:strRef>
          </c:cat>
          <c:val>
            <c:numRef>
              <c:f>'Non-Functional Summary'!$Q$51:$S$51</c:f>
              <c:numCache>
                <c:formatCode>0%</c:formatCode>
                <c:ptCount val="3"/>
                <c:pt idx="0">
                  <c:v>0.56342857142857139</c:v>
                </c:pt>
                <c:pt idx="1">
                  <c:v>0.7413333333333334</c:v>
                </c:pt>
                <c:pt idx="2">
                  <c:v>0.77333333333333332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F-421C-A8DB-3FD16EB665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08308143"/>
        <c:axId val="1"/>
      </c:barChart>
      <c:catAx>
        <c:axId val="1008308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081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82758620689654"/>
          <c:y val="9.7285067873303169E-2"/>
          <c:w val="0.16137931034482758"/>
          <c:h val="7.352941176470588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Non-Functional Requirements Detailed Weightings</a:t>
            </a:r>
          </a:p>
        </c:rich>
      </c:tx>
      <c:layout>
        <c:manualLayout>
          <c:xMode val="edge"/>
          <c:yMode val="edge"/>
          <c:x val="0.55517241379310345"/>
          <c:y val="2.375565610859728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586206896551724"/>
          <c:y val="0.22963800904977374"/>
          <c:w val="0.40758620689655173"/>
          <c:h val="0.6685520361990949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5FC-454C-8007-ED78EF6F117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FC-454C-8007-ED78EF6F117C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5FC-454C-8007-ED78EF6F117C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FC-454C-8007-ED78EF6F117C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5FC-454C-8007-ED78EF6F117C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5FC-454C-8007-ED78EF6F117C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75FC-454C-8007-ED78EF6F117C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5FC-454C-8007-ED78EF6F117C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75FC-454C-8007-ED78EF6F117C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5FC-454C-8007-ED78EF6F117C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75FC-454C-8007-ED78EF6F117C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5FC-454C-8007-ED78EF6F117C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75FC-454C-8007-ED78EF6F117C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5FC-454C-8007-ED78EF6F117C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75FC-454C-8007-ED78EF6F117C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5FC-454C-8007-ED78EF6F117C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'Weighting Summary'!$A$4:$A$19</c:f>
              <c:strCache>
                <c:ptCount val="16"/>
                <c:pt idx="0">
                  <c:v>Total vendor software licenses</c:v>
                </c:pt>
                <c:pt idx="1">
                  <c:v>Database license</c:v>
                </c:pt>
                <c:pt idx="2">
                  <c:v>Total Development Cost (1)</c:v>
                </c:pt>
                <c:pt idx="3">
                  <c:v>Estimated Project Duration</c:v>
                </c:pt>
                <c:pt idx="4">
                  <c:v>Estimated total annual support</c:v>
                </c:pt>
                <c:pt idx="5">
                  <c:v>Reputation/Financial Stability</c:v>
                </c:pt>
                <c:pt idx="6">
                  <c:v>Number of Canadian Student application sites</c:v>
                </c:pt>
                <c:pt idx="7">
                  <c:v>Product stability (2)</c:v>
                </c:pt>
                <c:pt idx="8">
                  <c:v>Product flexibility</c:v>
                </c:pt>
                <c:pt idx="9">
                  <c:v>Product adaptability to Canadian requirements</c:v>
                </c:pt>
                <c:pt idx="10">
                  <c:v>Product adaptability for customization</c:v>
                </c:pt>
                <c:pt idx="11">
                  <c:v>Product adaptability for upgrades </c:v>
                </c:pt>
                <c:pt idx="12">
                  <c:v>Product deployability</c:v>
                </c:pt>
                <c:pt idx="13">
                  <c:v>Product technology base</c:v>
                </c:pt>
                <c:pt idx="14">
                  <c:v>Interfaces to other same vendor modules</c:v>
                </c:pt>
                <c:pt idx="15">
                  <c:v>Interfaces to other vendor systems </c:v>
                </c:pt>
              </c:strCache>
            </c:strRef>
          </c:cat>
          <c:val>
            <c:numRef>
              <c:f>'Weighting Summary'!$B$4:$B$19</c:f>
              <c:numCache>
                <c:formatCode>General</c:formatCode>
                <c:ptCount val="16"/>
                <c:pt idx="0">
                  <c:v>15</c:v>
                </c:pt>
                <c:pt idx="1">
                  <c:v>5</c:v>
                </c:pt>
                <c:pt idx="2">
                  <c:v>20</c:v>
                </c:pt>
                <c:pt idx="3">
                  <c:v>10</c:v>
                </c:pt>
                <c:pt idx="4">
                  <c:v>10</c:v>
                </c:pt>
                <c:pt idx="5">
                  <c:v>2</c:v>
                </c:pt>
                <c:pt idx="6">
                  <c:v>8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5FC-454C-8007-ED78EF6F117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Non-Functional Requirements Weighting Summary</a:t>
            </a:r>
          </a:p>
        </c:rich>
      </c:tx>
      <c:layout>
        <c:manualLayout>
          <c:xMode val="edge"/>
          <c:yMode val="edge"/>
          <c:x val="0.28074074074074074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37037037037037"/>
          <c:y val="0.1437908496732026"/>
          <c:w val="0.50814814814814813"/>
          <c:h val="0.74727668845315909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9BD-4583-8287-B87C41EBFA5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9BD-4583-8287-B87C41EBFA5C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9BD-4583-8287-B87C41EBFA5C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9BD-4583-8287-B87C41EBFA5C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9BD-4583-8287-B87C41EBFA5C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'Weighting Summary'!$A$22:$A$26</c:f>
              <c:strCache>
                <c:ptCount val="5"/>
                <c:pt idx="0">
                  <c:v>Software Costs</c:v>
                </c:pt>
                <c:pt idx="1">
                  <c:v>Implementation Costs </c:v>
                </c:pt>
                <c:pt idx="2">
                  <c:v>Annual Costs </c:v>
                </c:pt>
                <c:pt idx="3">
                  <c:v>Vendor Reputation</c:v>
                </c:pt>
                <c:pt idx="4">
                  <c:v>Product </c:v>
                </c:pt>
              </c:strCache>
            </c:strRef>
          </c:cat>
          <c:val>
            <c:numRef>
              <c:f>'Weighting Summary'!$B$22:$B$26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10</c:v>
                </c:pt>
                <c:pt idx="3">
                  <c:v>10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BD-4583-8287-B87C41EBFA5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2F04A0-1792-4EE4-8D33-9B47907A27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7F1B6-A8A8-4EF0-9A4D-1EDB333F0C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60A07-7352-4DE4-9620-44D5287FF29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1703C1-FA97-429A-8FC8-24A53B985B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23944-BB22-438C-91CE-04547D5F9F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1C659C-8A82-4724-888C-2457D5CF88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BA6312-217F-45EB-98D6-418BC9E73D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510416-B7F0-462A-8AC3-CB9B3C32E3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4"/>
  <sheetViews>
    <sheetView topLeftCell="A13" workbookViewId="0">
      <selection activeCell="C32" sqref="C32"/>
    </sheetView>
  </sheetViews>
  <sheetFormatPr defaultRowHeight="12.5" x14ac:dyDescent="0.25"/>
  <cols>
    <col min="1" max="1" width="40" customWidth="1"/>
    <col min="2" max="2" width="10.81640625" bestFit="1" customWidth="1"/>
    <col min="3" max="3" width="7.453125" bestFit="1" customWidth="1"/>
    <col min="4" max="4" width="9.7265625" bestFit="1" customWidth="1"/>
    <col min="9" max="9" width="27.7265625" customWidth="1"/>
    <col min="12" max="12" width="10.81640625" customWidth="1"/>
    <col min="16" max="16" width="26.81640625" customWidth="1"/>
    <col min="18" max="18" width="9.81640625" customWidth="1"/>
    <col min="19" max="19" width="10" customWidth="1"/>
  </cols>
  <sheetData>
    <row r="1" spans="1:20" ht="15.5" x14ac:dyDescent="0.35">
      <c r="A1" s="121" t="s">
        <v>55</v>
      </c>
      <c r="B1" s="138"/>
      <c r="C1" s="138"/>
      <c r="D1" s="138"/>
      <c r="E1" s="138"/>
      <c r="I1" s="122" t="s">
        <v>69</v>
      </c>
      <c r="P1" s="122" t="s">
        <v>70</v>
      </c>
    </row>
    <row r="2" spans="1:20" ht="21" x14ac:dyDescent="0.25">
      <c r="A2" s="12" t="s">
        <v>2</v>
      </c>
      <c r="B2" s="12" t="s">
        <v>33</v>
      </c>
      <c r="C2" s="12" t="s">
        <v>0</v>
      </c>
      <c r="D2" s="12" t="s">
        <v>1</v>
      </c>
      <c r="E2" s="12" t="s">
        <v>56</v>
      </c>
      <c r="I2" s="12" t="s">
        <v>2</v>
      </c>
      <c r="J2" s="12" t="s">
        <v>33</v>
      </c>
      <c r="K2" s="12" t="s">
        <v>67</v>
      </c>
      <c r="L2" s="12" t="s">
        <v>1</v>
      </c>
      <c r="M2" s="12" t="s">
        <v>56</v>
      </c>
      <c r="P2" s="12" t="s">
        <v>2</v>
      </c>
      <c r="Q2" s="12" t="s">
        <v>33</v>
      </c>
      <c r="R2" s="12" t="s">
        <v>67</v>
      </c>
      <c r="S2" s="12" t="s">
        <v>1</v>
      </c>
      <c r="T2" s="12" t="s">
        <v>56</v>
      </c>
    </row>
    <row r="3" spans="1:20" x14ac:dyDescent="0.25">
      <c r="A3" s="12" t="s">
        <v>5</v>
      </c>
      <c r="B3" s="12"/>
      <c r="C3" s="12"/>
      <c r="D3" s="12"/>
      <c r="E3" s="12"/>
      <c r="I3" s="135" t="str">
        <f>A6</f>
        <v xml:space="preserve">Software Costs </v>
      </c>
      <c r="J3" s="135">
        <f>B6</f>
        <v>60</v>
      </c>
      <c r="K3" s="146">
        <f>C6</f>
        <v>60</v>
      </c>
      <c r="L3" s="146">
        <f>D6</f>
        <v>33</v>
      </c>
      <c r="M3" s="146">
        <f>E6</f>
        <v>33</v>
      </c>
      <c r="P3" s="135" t="str">
        <f t="shared" ref="P3:P8" si="0">I3</f>
        <v xml:space="preserve">Software Costs </v>
      </c>
      <c r="Q3" s="139">
        <f>B7</f>
        <v>1</v>
      </c>
      <c r="R3" s="139">
        <f>C7</f>
        <v>1</v>
      </c>
      <c r="S3" s="139">
        <f>D7</f>
        <v>0.55000000000000004</v>
      </c>
      <c r="T3" s="139">
        <f>E7</f>
        <v>0.55000000000000004</v>
      </c>
    </row>
    <row r="4" spans="1:20" x14ac:dyDescent="0.25">
      <c r="A4" s="17" t="s">
        <v>6</v>
      </c>
      <c r="B4" s="15">
        <f>'Non-Functional Detail'!D4</f>
        <v>45</v>
      </c>
      <c r="C4" s="15">
        <f>'Non-Functional Detail'!H4</f>
        <v>45</v>
      </c>
      <c r="D4" s="15">
        <f>'Non-Functional Detail'!N4</f>
        <v>18</v>
      </c>
      <c r="E4" s="15">
        <f>'Non-Functional Detail'!K4</f>
        <v>18</v>
      </c>
      <c r="I4" s="135" t="str">
        <f>A11</f>
        <v xml:space="preserve">Implementation Costs </v>
      </c>
      <c r="J4" s="135">
        <f>B11</f>
        <v>90</v>
      </c>
      <c r="K4" s="146">
        <f>C11</f>
        <v>16.428571428571431</v>
      </c>
      <c r="L4" s="146">
        <f>D11</f>
        <v>90</v>
      </c>
      <c r="M4" s="146">
        <f>E11</f>
        <v>75</v>
      </c>
      <c r="P4" s="135" t="str">
        <f t="shared" si="0"/>
        <v xml:space="preserve">Implementation Costs </v>
      </c>
      <c r="Q4" s="140">
        <f>B12</f>
        <v>1</v>
      </c>
      <c r="R4" s="140">
        <f>C12</f>
        <v>0.18253968253968256</v>
      </c>
      <c r="S4" s="140">
        <f>D12</f>
        <v>1</v>
      </c>
      <c r="T4" s="140">
        <f>E12</f>
        <v>0.83333333333333337</v>
      </c>
    </row>
    <row r="5" spans="1:20" ht="13" thickBot="1" x14ac:dyDescent="0.3">
      <c r="A5" s="124" t="s">
        <v>7</v>
      </c>
      <c r="B5" s="38">
        <f>'Non-Functional Detail'!D5</f>
        <v>15</v>
      </c>
      <c r="C5" s="38">
        <f>'Non-Functional Detail'!H5</f>
        <v>15</v>
      </c>
      <c r="D5" s="38">
        <f>'Non-Functional Detail'!N5</f>
        <v>15</v>
      </c>
      <c r="E5" s="38">
        <f>'Non-Functional Detail'!K5</f>
        <v>15</v>
      </c>
      <c r="I5" s="135" t="str">
        <f>A15</f>
        <v xml:space="preserve">Annual Costs </v>
      </c>
      <c r="J5" s="135">
        <f>B15</f>
        <v>30</v>
      </c>
      <c r="K5" s="146">
        <f>C15</f>
        <v>30</v>
      </c>
      <c r="L5" s="146">
        <f>D15</f>
        <v>12</v>
      </c>
      <c r="M5" s="146">
        <f>E15</f>
        <v>10</v>
      </c>
      <c r="P5" s="135" t="str">
        <f t="shared" si="0"/>
        <v xml:space="preserve">Annual Costs </v>
      </c>
      <c r="Q5" s="140">
        <f>B16</f>
        <v>1</v>
      </c>
      <c r="R5" s="140">
        <f>C16</f>
        <v>1</v>
      </c>
      <c r="S5" s="140">
        <f>D16</f>
        <v>0.4</v>
      </c>
      <c r="T5" s="140">
        <f>E16</f>
        <v>0.33333333333333331</v>
      </c>
    </row>
    <row r="6" spans="1:20" s="121" customFormat="1" ht="13.5" thickTop="1" x14ac:dyDescent="0.3">
      <c r="A6" s="9" t="s">
        <v>68</v>
      </c>
      <c r="B6" s="3">
        <f>SUM(B4:B5)</f>
        <v>60</v>
      </c>
      <c r="C6" s="3">
        <f>SUM(C4:C5)</f>
        <v>60</v>
      </c>
      <c r="D6" s="3">
        <f>SUM(D4:D5)</f>
        <v>33</v>
      </c>
      <c r="E6" s="3">
        <f>SUM(E4:E5)</f>
        <v>33</v>
      </c>
      <c r="I6" s="135" t="str">
        <f>A20</f>
        <v>Vendor Reputation</v>
      </c>
      <c r="J6" s="135">
        <f>B20</f>
        <v>30</v>
      </c>
      <c r="K6" s="146">
        <f>C20</f>
        <v>6.6</v>
      </c>
      <c r="L6" s="146">
        <f>D20</f>
        <v>14.4</v>
      </c>
      <c r="M6" s="146">
        <f>E20</f>
        <v>30</v>
      </c>
      <c r="P6" s="141" t="str">
        <f t="shared" si="0"/>
        <v>Vendor Reputation</v>
      </c>
      <c r="Q6" s="143">
        <f>B21</f>
        <v>1</v>
      </c>
      <c r="R6" s="143">
        <f>C21</f>
        <v>0.22</v>
      </c>
      <c r="S6" s="143">
        <f>D21</f>
        <v>0.48000000000000004</v>
      </c>
      <c r="T6" s="140">
        <f>E21</f>
        <v>1</v>
      </c>
    </row>
    <row r="7" spans="1:20" s="121" customFormat="1" ht="13.5" thickBot="1" x14ac:dyDescent="0.35">
      <c r="A7" s="127" t="s">
        <v>51</v>
      </c>
      <c r="B7" s="133">
        <f>B6/B6</f>
        <v>1</v>
      </c>
      <c r="C7" s="133">
        <f>C6/$B6</f>
        <v>1</v>
      </c>
      <c r="D7" s="133">
        <f>D6/$B6</f>
        <v>0.55000000000000004</v>
      </c>
      <c r="E7" s="133">
        <f>E6/$B6</f>
        <v>0.55000000000000004</v>
      </c>
      <c r="I7" s="136" t="str">
        <f>A32</f>
        <v xml:space="preserve">Product </v>
      </c>
      <c r="J7" s="136">
        <f>B32</f>
        <v>90</v>
      </c>
      <c r="K7" s="147">
        <f>C32</f>
        <v>56</v>
      </c>
      <c r="L7" s="147">
        <f>D32</f>
        <v>73</v>
      </c>
      <c r="M7" s="147">
        <f>E32</f>
        <v>84</v>
      </c>
      <c r="P7" s="136" t="str">
        <f t="shared" si="0"/>
        <v xml:space="preserve">Product </v>
      </c>
      <c r="Q7" s="144">
        <f>B33</f>
        <v>1</v>
      </c>
      <c r="R7" s="144">
        <f>C33</f>
        <v>0.62222222222222223</v>
      </c>
      <c r="S7" s="144">
        <f>D33</f>
        <v>0.81111111111111112</v>
      </c>
      <c r="T7" s="144">
        <f>E33</f>
        <v>0.93333333333333335</v>
      </c>
    </row>
    <row r="8" spans="1:20" ht="13" thickTop="1" x14ac:dyDescent="0.25">
      <c r="A8" s="125" t="s">
        <v>8</v>
      </c>
      <c r="B8" s="126"/>
      <c r="C8" s="126"/>
      <c r="D8" s="126"/>
      <c r="E8" s="126"/>
      <c r="I8" s="137" t="s">
        <v>66</v>
      </c>
      <c r="J8" s="137">
        <f>SUM(J3:J7)</f>
        <v>300</v>
      </c>
      <c r="K8" s="148">
        <f>SUM(K3:K7)</f>
        <v>169.02857142857141</v>
      </c>
      <c r="L8" s="148">
        <f>SUM(L3:L7)</f>
        <v>222.4</v>
      </c>
      <c r="M8" s="148">
        <f>SUM(M3:M7)</f>
        <v>232</v>
      </c>
      <c r="P8" s="137" t="str">
        <f t="shared" si="0"/>
        <v>Total</v>
      </c>
      <c r="Q8" s="142">
        <f>B36</f>
        <v>1</v>
      </c>
      <c r="R8" s="142">
        <f>C36</f>
        <v>0.56342857142857139</v>
      </c>
      <c r="S8" s="142">
        <f>D36</f>
        <v>0.7413333333333334</v>
      </c>
      <c r="T8" s="142">
        <f>E36</f>
        <v>0.77333333333333332</v>
      </c>
    </row>
    <row r="9" spans="1:20" x14ac:dyDescent="0.25">
      <c r="A9" s="17" t="s">
        <v>9</v>
      </c>
      <c r="B9" s="15">
        <f>'Non-Functional Detail'!D9</f>
        <v>60</v>
      </c>
      <c r="C9" s="15">
        <f>'Non-Functional Detail'!H9</f>
        <v>10</v>
      </c>
      <c r="D9" s="15">
        <f>'Non-Functional Detail'!N9</f>
        <v>60</v>
      </c>
      <c r="E9" s="15">
        <f>'Non-Functional Detail'!K9</f>
        <v>60</v>
      </c>
      <c r="P9" s="138"/>
      <c r="Q9" s="138"/>
      <c r="R9" s="138"/>
      <c r="S9" s="138"/>
      <c r="T9" s="138"/>
    </row>
    <row r="10" spans="1:20" ht="13" thickBot="1" x14ac:dyDescent="0.3">
      <c r="A10" s="124" t="s">
        <v>10</v>
      </c>
      <c r="B10" s="38">
        <f>'Non-Functional Detail'!D10</f>
        <v>30</v>
      </c>
      <c r="C10" s="130">
        <f>'Non-Functional Detail'!H10</f>
        <v>6.4285714285714288</v>
      </c>
      <c r="D10" s="38">
        <f>'Non-Functional Detail'!N10</f>
        <v>30</v>
      </c>
      <c r="E10" s="38">
        <f>'Non-Functional Detail'!K10</f>
        <v>15</v>
      </c>
    </row>
    <row r="11" spans="1:20" s="121" customFormat="1" ht="13.5" thickTop="1" x14ac:dyDescent="0.3">
      <c r="A11" s="9" t="s">
        <v>62</v>
      </c>
      <c r="B11" s="3">
        <f>SUM(B9:B10)</f>
        <v>90</v>
      </c>
      <c r="C11" s="134">
        <f>SUM(C9:C10)</f>
        <v>16.428571428571431</v>
      </c>
      <c r="D11" s="3">
        <f>SUM(D9:D10)</f>
        <v>90</v>
      </c>
      <c r="E11" s="3">
        <f>SUM(E9:E10)</f>
        <v>75</v>
      </c>
    </row>
    <row r="12" spans="1:20" s="121" customFormat="1" ht="13.5" thickBot="1" x14ac:dyDescent="0.35">
      <c r="A12" s="127" t="s">
        <v>51</v>
      </c>
      <c r="B12" s="133">
        <f>B11/B11</f>
        <v>1</v>
      </c>
      <c r="C12" s="133">
        <f>C11/$B11</f>
        <v>0.18253968253968256</v>
      </c>
      <c r="D12" s="133">
        <f>D11/$B11</f>
        <v>1</v>
      </c>
      <c r="E12" s="133">
        <f>E11/$B11</f>
        <v>0.83333333333333337</v>
      </c>
    </row>
    <row r="13" spans="1:20" ht="13" thickTop="1" x14ac:dyDescent="0.25">
      <c r="A13" s="126" t="s">
        <v>11</v>
      </c>
      <c r="B13" s="126"/>
      <c r="C13" s="126"/>
      <c r="D13" s="126"/>
      <c r="E13" s="126"/>
    </row>
    <row r="14" spans="1:20" ht="13" thickBot="1" x14ac:dyDescent="0.3">
      <c r="A14" s="124" t="s">
        <v>12</v>
      </c>
      <c r="B14" s="38">
        <f>'Non-Functional Detail'!D14</f>
        <v>30</v>
      </c>
      <c r="C14" s="38">
        <f>'Non-Functional Detail'!H14</f>
        <v>30</v>
      </c>
      <c r="D14" s="38">
        <f>'Non-Functional Detail'!N14</f>
        <v>12</v>
      </c>
      <c r="E14" s="38">
        <f>'Non-Functional Detail'!K14</f>
        <v>10</v>
      </c>
    </row>
    <row r="15" spans="1:20" s="121" customFormat="1" ht="13.5" thickTop="1" x14ac:dyDescent="0.3">
      <c r="A15" s="9" t="s">
        <v>63</v>
      </c>
      <c r="B15" s="3">
        <f>SUM(B14)</f>
        <v>30</v>
      </c>
      <c r="C15" s="3">
        <f>SUM(C14)</f>
        <v>30</v>
      </c>
      <c r="D15" s="3">
        <f>SUM(D14)</f>
        <v>12</v>
      </c>
      <c r="E15" s="3">
        <f>SUM(E14)</f>
        <v>10</v>
      </c>
    </row>
    <row r="16" spans="1:20" s="121" customFormat="1" ht="13.5" thickBot="1" x14ac:dyDescent="0.35">
      <c r="A16" s="127" t="s">
        <v>51</v>
      </c>
      <c r="B16" s="133">
        <f>B15/B15</f>
        <v>1</v>
      </c>
      <c r="C16" s="133">
        <f>C15/$B15</f>
        <v>1</v>
      </c>
      <c r="D16" s="133">
        <f>D15/$B15</f>
        <v>0.4</v>
      </c>
      <c r="E16" s="133">
        <f>E15/$B15</f>
        <v>0.33333333333333331</v>
      </c>
    </row>
    <row r="17" spans="1:5" ht="13" thickTop="1" x14ac:dyDescent="0.25">
      <c r="A17" s="126" t="s">
        <v>13</v>
      </c>
      <c r="B17" s="126"/>
      <c r="C17" s="126"/>
      <c r="D17" s="126"/>
      <c r="E17" s="126"/>
    </row>
    <row r="18" spans="1:5" x14ac:dyDescent="0.25">
      <c r="A18" s="17" t="s">
        <v>14</v>
      </c>
      <c r="B18" s="15">
        <f>'Non-Functional Detail'!D18</f>
        <v>6</v>
      </c>
      <c r="C18" s="15">
        <f>'Non-Functional Detail'!H18</f>
        <v>6</v>
      </c>
      <c r="D18" s="15">
        <f>'Non-Functional Detail'!N18</f>
        <v>6</v>
      </c>
      <c r="E18" s="15">
        <f>'Non-Functional Detail'!K18</f>
        <v>6</v>
      </c>
    </row>
    <row r="19" spans="1:5" ht="13" thickBot="1" x14ac:dyDescent="0.3">
      <c r="A19" s="124" t="s">
        <v>16</v>
      </c>
      <c r="B19" s="38">
        <f>'Non-Functional Detail'!D19</f>
        <v>24</v>
      </c>
      <c r="C19" s="38">
        <f>'Non-Functional Detail'!H19</f>
        <v>0.6</v>
      </c>
      <c r="D19" s="38">
        <f>'Non-Functional Detail'!N19</f>
        <v>8.4</v>
      </c>
      <c r="E19" s="38">
        <f>'Non-Functional Detail'!K19</f>
        <v>24</v>
      </c>
    </row>
    <row r="20" spans="1:5" s="121" customFormat="1" ht="13.5" thickTop="1" x14ac:dyDescent="0.3">
      <c r="A20" s="9" t="s">
        <v>65</v>
      </c>
      <c r="B20" s="3">
        <f>SUM(B18:B19)</f>
        <v>30</v>
      </c>
      <c r="C20" s="3">
        <f>SUM(C18:C19)</f>
        <v>6.6</v>
      </c>
      <c r="D20" s="3">
        <f>SUM(D18:D19)</f>
        <v>14.4</v>
      </c>
      <c r="E20" s="3">
        <f>SUM(E18:E19)</f>
        <v>30</v>
      </c>
    </row>
    <row r="21" spans="1:5" s="121" customFormat="1" ht="13.5" thickBot="1" x14ac:dyDescent="0.35">
      <c r="A21" s="127" t="s">
        <v>51</v>
      </c>
      <c r="B21" s="133">
        <f>B20/B20</f>
        <v>1</v>
      </c>
      <c r="C21" s="133">
        <f>C20/$B20</f>
        <v>0.22</v>
      </c>
      <c r="D21" s="133">
        <f>D20/$B20</f>
        <v>0.48000000000000004</v>
      </c>
      <c r="E21" s="133">
        <f>E20/$B20</f>
        <v>1</v>
      </c>
    </row>
    <row r="22" spans="1:5" ht="13" thickTop="1" x14ac:dyDescent="0.25">
      <c r="A22" s="126" t="s">
        <v>17</v>
      </c>
      <c r="B22" s="126"/>
      <c r="C22" s="126"/>
      <c r="D22" s="126"/>
      <c r="E22" s="126"/>
    </row>
    <row r="23" spans="1:5" x14ac:dyDescent="0.25">
      <c r="A23" s="17" t="s">
        <v>18</v>
      </c>
      <c r="B23" s="15">
        <f>'Non-Functional Detail'!D23</f>
        <v>12</v>
      </c>
      <c r="C23" s="15">
        <f>'Non-Functional Detail'!H23</f>
        <v>4</v>
      </c>
      <c r="D23" s="15">
        <f>'Non-Functional Detail'!N23</f>
        <v>8</v>
      </c>
      <c r="E23" s="15">
        <f>'Non-Functional Detail'!K23</f>
        <v>12</v>
      </c>
    </row>
    <row r="24" spans="1:5" x14ac:dyDescent="0.25">
      <c r="A24" s="17" t="s">
        <v>20</v>
      </c>
      <c r="B24" s="15">
        <f>'Non-Functional Detail'!D24</f>
        <v>12</v>
      </c>
      <c r="C24" s="15">
        <f>'Non-Functional Detail'!H24</f>
        <v>4</v>
      </c>
      <c r="D24" s="15">
        <f>'Non-Functional Detail'!N24</f>
        <v>12</v>
      </c>
      <c r="E24" s="15">
        <f>'Non-Functional Detail'!K24</f>
        <v>12</v>
      </c>
    </row>
    <row r="25" spans="1:5" x14ac:dyDescent="0.25">
      <c r="A25" s="17" t="s">
        <v>21</v>
      </c>
      <c r="B25" s="15">
        <f>'Non-Functional Detail'!D25</f>
        <v>12</v>
      </c>
      <c r="C25" s="15">
        <f>'Non-Functional Detail'!H25</f>
        <v>12</v>
      </c>
      <c r="D25" s="15">
        <f>'Non-Functional Detail'!N25</f>
        <v>8</v>
      </c>
      <c r="E25" s="15">
        <f>'Non-Functional Detail'!K25</f>
        <v>12</v>
      </c>
    </row>
    <row r="26" spans="1:5" x14ac:dyDescent="0.25">
      <c r="A26" s="17" t="s">
        <v>22</v>
      </c>
      <c r="B26" s="15">
        <f>'Non-Functional Detail'!D26</f>
        <v>9</v>
      </c>
      <c r="C26" s="15">
        <f>'Non-Functional Detail'!H26</f>
        <v>9</v>
      </c>
      <c r="D26" s="15">
        <f>'Non-Functional Detail'!N26</f>
        <v>9</v>
      </c>
      <c r="E26" s="15">
        <f>'Non-Functional Detail'!K26</f>
        <v>9</v>
      </c>
    </row>
    <row r="27" spans="1:5" x14ac:dyDescent="0.25">
      <c r="A27" s="17" t="s">
        <v>23</v>
      </c>
      <c r="B27" s="15">
        <f>'Non-Functional Detail'!D27</f>
        <v>9</v>
      </c>
      <c r="C27" s="15">
        <f>'Non-Functional Detail'!H27</f>
        <v>9</v>
      </c>
      <c r="D27" s="15">
        <f>'Non-Functional Detail'!N27</f>
        <v>9</v>
      </c>
      <c r="E27" s="15">
        <f>'Non-Functional Detail'!K27</f>
        <v>9</v>
      </c>
    </row>
    <row r="28" spans="1:5" x14ac:dyDescent="0.25">
      <c r="A28" s="17" t="s">
        <v>24</v>
      </c>
      <c r="B28" s="15">
        <f>'Non-Functional Detail'!D28</f>
        <v>9</v>
      </c>
      <c r="C28" s="15">
        <f>'Non-Functional Detail'!H28</f>
        <v>3</v>
      </c>
      <c r="D28" s="15">
        <f>'Non-Functional Detail'!N28</f>
        <v>9</v>
      </c>
      <c r="E28" s="15">
        <f>'Non-Functional Detail'!K28</f>
        <v>9</v>
      </c>
    </row>
    <row r="29" spans="1:5" x14ac:dyDescent="0.25">
      <c r="A29" s="17" t="s">
        <v>25</v>
      </c>
      <c r="B29" s="15">
        <f>'Non-Functional Detail'!D29</f>
        <v>9</v>
      </c>
      <c r="C29" s="15">
        <f>'Non-Functional Detail'!H29</f>
        <v>9</v>
      </c>
      <c r="D29" s="15">
        <f>'Non-Functional Detail'!N29</f>
        <v>9</v>
      </c>
      <c r="E29" s="15">
        <f>'Non-Functional Detail'!K29</f>
        <v>6</v>
      </c>
    </row>
    <row r="30" spans="1:5" x14ac:dyDescent="0.25">
      <c r="A30" s="17" t="s">
        <v>28</v>
      </c>
      <c r="B30" s="15">
        <f>'Non-Functional Detail'!D30</f>
        <v>9</v>
      </c>
      <c r="C30" s="15">
        <f>'Non-Functional Detail'!H30</f>
        <v>3</v>
      </c>
      <c r="D30" s="15">
        <f>'Non-Functional Detail'!N30</f>
        <v>3</v>
      </c>
      <c r="E30" s="15">
        <f>'Non-Functional Detail'!K30</f>
        <v>9</v>
      </c>
    </row>
    <row r="31" spans="1:5" ht="13" thickBot="1" x14ac:dyDescent="0.3">
      <c r="A31" s="124" t="s">
        <v>30</v>
      </c>
      <c r="B31" s="38">
        <f>'Non-Functional Detail'!D31</f>
        <v>9</v>
      </c>
      <c r="C31" s="38">
        <f>'Non-Functional Detail'!H31</f>
        <v>3</v>
      </c>
      <c r="D31" s="38">
        <f>'Non-Functional Detail'!N31</f>
        <v>6</v>
      </c>
      <c r="E31" s="38">
        <f>'Non-Functional Detail'!K31</f>
        <v>6</v>
      </c>
    </row>
    <row r="32" spans="1:5" s="121" customFormat="1" ht="13.5" thickTop="1" x14ac:dyDescent="0.3">
      <c r="A32" s="128" t="s">
        <v>64</v>
      </c>
      <c r="B32" s="9">
        <f>SUM(B23:B31)</f>
        <v>90</v>
      </c>
      <c r="C32" s="9">
        <f>SUM(C23:C31)</f>
        <v>56</v>
      </c>
      <c r="D32" s="9">
        <f>SUM(D23:D31)</f>
        <v>73</v>
      </c>
      <c r="E32" s="9">
        <f>SUM(E23:E31)</f>
        <v>84</v>
      </c>
    </row>
    <row r="33" spans="1:20" s="121" customFormat="1" ht="13.5" thickBot="1" x14ac:dyDescent="0.35">
      <c r="A33" s="127" t="s">
        <v>51</v>
      </c>
      <c r="B33" s="133">
        <f>B32/B32</f>
        <v>1</v>
      </c>
      <c r="C33" s="131">
        <f>C32/$B32</f>
        <v>0.62222222222222223</v>
      </c>
      <c r="D33" s="131">
        <f>D32/$B32</f>
        <v>0.81111111111111112</v>
      </c>
      <c r="E33" s="131">
        <f>E32/$B32</f>
        <v>0.93333333333333335</v>
      </c>
    </row>
    <row r="34" spans="1:20" ht="5.25" customHeight="1" thickTop="1" x14ac:dyDescent="0.25">
      <c r="A34" s="8"/>
      <c r="B34" s="2"/>
      <c r="C34" s="2"/>
      <c r="D34" s="2"/>
      <c r="E34" s="129"/>
      <c r="F34" s="7"/>
      <c r="G34" s="7"/>
      <c r="H34" s="7"/>
      <c r="I34" s="7"/>
    </row>
    <row r="35" spans="1:20" s="132" customFormat="1" ht="11.5" x14ac:dyDescent="0.25">
      <c r="A35" s="149" t="s">
        <v>42</v>
      </c>
      <c r="B35" s="29">
        <f>SUM(B6,B11,B15,B20,B32)</f>
        <v>300</v>
      </c>
      <c r="C35" s="153">
        <f>SUM(C6,C11,C15,C20,C32)</f>
        <v>169.02857142857141</v>
      </c>
      <c r="D35" s="29">
        <f>SUM(D6,D11,D15,D20,D32)</f>
        <v>222.4</v>
      </c>
      <c r="E35" s="29">
        <f>SUM(E6,E11,E15,E20,E32)</f>
        <v>232</v>
      </c>
    </row>
    <row r="36" spans="1:20" s="132" customFormat="1" ht="12" thickBot="1" x14ac:dyDescent="0.3">
      <c r="A36" s="149" t="s">
        <v>52</v>
      </c>
      <c r="B36" s="133">
        <f>B35/B35</f>
        <v>1</v>
      </c>
      <c r="C36" s="154">
        <f>C35/$B35</f>
        <v>0.56342857142857139</v>
      </c>
      <c r="D36" s="154">
        <f>D35/$B35</f>
        <v>0.7413333333333334</v>
      </c>
      <c r="E36" s="154">
        <f>E35/$B35</f>
        <v>0.77333333333333332</v>
      </c>
    </row>
    <row r="37" spans="1:20" ht="13" thickTop="1" x14ac:dyDescent="0.25">
      <c r="A37" s="7"/>
      <c r="B37" s="7"/>
      <c r="C37" s="7"/>
      <c r="D37" s="7"/>
      <c r="E37" s="155"/>
      <c r="F37" s="123"/>
    </row>
    <row r="38" spans="1:20" ht="13" x14ac:dyDescent="0.3">
      <c r="A38" s="121" t="s">
        <v>57</v>
      </c>
      <c r="B38" s="155"/>
      <c r="C38" s="155"/>
      <c r="D38" s="155"/>
      <c r="E38" s="155"/>
      <c r="F38" s="123"/>
      <c r="I38" s="121" t="s">
        <v>71</v>
      </c>
      <c r="P38" s="121" t="s">
        <v>72</v>
      </c>
    </row>
    <row r="39" spans="1:20" ht="21" x14ac:dyDescent="0.25">
      <c r="A39" s="12" t="s">
        <v>2</v>
      </c>
      <c r="B39" s="12" t="s">
        <v>33</v>
      </c>
      <c r="C39" s="12" t="s">
        <v>0</v>
      </c>
      <c r="D39" s="12" t="s">
        <v>1</v>
      </c>
      <c r="E39" s="12" t="s">
        <v>56</v>
      </c>
      <c r="F39" s="123"/>
      <c r="I39" s="156" t="s">
        <v>2</v>
      </c>
      <c r="J39" s="12" t="s">
        <v>33</v>
      </c>
      <c r="K39" s="156" t="s">
        <v>67</v>
      </c>
      <c r="L39" s="156" t="s">
        <v>1</v>
      </c>
      <c r="M39" s="156" t="s">
        <v>56</v>
      </c>
      <c r="P39" s="12" t="s">
        <v>2</v>
      </c>
      <c r="Q39" s="12" t="s">
        <v>33</v>
      </c>
      <c r="R39" s="12" t="s">
        <v>67</v>
      </c>
      <c r="S39" s="12" t="s">
        <v>1</v>
      </c>
      <c r="T39" s="12" t="s">
        <v>56</v>
      </c>
    </row>
    <row r="40" spans="1:20" x14ac:dyDescent="0.25">
      <c r="A40" s="12" t="s">
        <v>5</v>
      </c>
      <c r="B40" s="12"/>
      <c r="C40" s="12"/>
      <c r="D40" s="12"/>
      <c r="E40" s="12"/>
      <c r="F40" s="123"/>
      <c r="I40" s="135" t="str">
        <f>A43</f>
        <v xml:space="preserve">Software Costs </v>
      </c>
      <c r="J40" s="135">
        <f>B43</f>
        <v>6</v>
      </c>
      <c r="K40" s="146">
        <f>C43</f>
        <v>6</v>
      </c>
      <c r="L40" s="146">
        <f>D43</f>
        <v>4.2</v>
      </c>
      <c r="M40" s="146">
        <f>E43</f>
        <v>4.2</v>
      </c>
      <c r="P40" s="135" t="str">
        <f t="shared" ref="P40:P45" si="1">I40</f>
        <v xml:space="preserve">Software Costs </v>
      </c>
      <c r="Q40" s="139">
        <f>B44</f>
        <v>1</v>
      </c>
      <c r="R40" s="139">
        <f>C44</f>
        <v>1</v>
      </c>
      <c r="S40" s="139">
        <f>D44</f>
        <v>0.70000000000000007</v>
      </c>
      <c r="T40" s="139">
        <f>E44</f>
        <v>0.70000000000000007</v>
      </c>
    </row>
    <row r="41" spans="1:20" x14ac:dyDescent="0.25">
      <c r="A41" s="17" t="s">
        <v>6</v>
      </c>
      <c r="B41" s="15">
        <f>'Non-Functional Detail'!B4</f>
        <v>3</v>
      </c>
      <c r="C41" s="15">
        <f>'Non-Functional Detail'!G4</f>
        <v>3</v>
      </c>
      <c r="D41" s="15">
        <f>'Non-Functional Detail'!M4</f>
        <v>1.2</v>
      </c>
      <c r="E41" s="15">
        <f>'Non-Functional Detail'!J4</f>
        <v>1.2</v>
      </c>
      <c r="F41" s="123"/>
      <c r="I41" s="135" t="str">
        <f>A48</f>
        <v xml:space="preserve">Implementation Costs </v>
      </c>
      <c r="J41" s="135">
        <f>B48</f>
        <v>6</v>
      </c>
      <c r="K41" s="146">
        <f>C48</f>
        <v>1.1428571428571428</v>
      </c>
      <c r="L41" s="146">
        <f>D48</f>
        <v>6</v>
      </c>
      <c r="M41" s="146">
        <f>E48</f>
        <v>4.5</v>
      </c>
      <c r="P41" s="135" t="str">
        <f t="shared" si="1"/>
        <v xml:space="preserve">Implementation Costs </v>
      </c>
      <c r="Q41" s="139">
        <f>B49</f>
        <v>1</v>
      </c>
      <c r="R41" s="139">
        <f>C49</f>
        <v>0.19047619047619047</v>
      </c>
      <c r="S41" s="139">
        <f>D49</f>
        <v>1</v>
      </c>
      <c r="T41" s="139">
        <f>E49</f>
        <v>0.75</v>
      </c>
    </row>
    <row r="42" spans="1:20" ht="13" thickBot="1" x14ac:dyDescent="0.3">
      <c r="A42" s="124" t="s">
        <v>7</v>
      </c>
      <c r="B42" s="39">
        <f>'Non-Functional Detail'!B5</f>
        <v>3</v>
      </c>
      <c r="C42" s="39">
        <f>'Non-Functional Detail'!G5</f>
        <v>3</v>
      </c>
      <c r="D42" s="39">
        <f>'Non-Functional Detail'!M5</f>
        <v>3</v>
      </c>
      <c r="E42" s="39">
        <f>'Non-Functional Detail'!J5</f>
        <v>3</v>
      </c>
      <c r="I42" s="135" t="str">
        <f>A52</f>
        <v xml:space="preserve">Annual Costs </v>
      </c>
      <c r="J42" s="135">
        <f>B52</f>
        <v>3</v>
      </c>
      <c r="K42" s="146">
        <f>C52</f>
        <v>3</v>
      </c>
      <c r="L42" s="146">
        <f>D52</f>
        <v>1.2</v>
      </c>
      <c r="M42" s="146">
        <f>E52</f>
        <v>1</v>
      </c>
      <c r="P42" s="135" t="str">
        <f t="shared" si="1"/>
        <v xml:space="preserve">Annual Costs </v>
      </c>
      <c r="Q42" s="139">
        <f>B53</f>
        <v>1</v>
      </c>
      <c r="R42" s="139">
        <f>C53</f>
        <v>1</v>
      </c>
      <c r="S42" s="139">
        <f>D53</f>
        <v>0.39999999999999997</v>
      </c>
      <c r="T42" s="139">
        <f>E53</f>
        <v>0.33333333333333331</v>
      </c>
    </row>
    <row r="43" spans="1:20" ht="13" thickTop="1" x14ac:dyDescent="0.25">
      <c r="A43" s="9" t="s">
        <v>68</v>
      </c>
      <c r="B43" s="3">
        <f>SUM(B41:B42)</f>
        <v>6</v>
      </c>
      <c r="C43" s="3">
        <f>SUM(C41:C42)</f>
        <v>6</v>
      </c>
      <c r="D43" s="3">
        <f>SUM(D41:D42)</f>
        <v>4.2</v>
      </c>
      <c r="E43" s="3">
        <f>SUM(E41:E42)</f>
        <v>4.2</v>
      </c>
      <c r="I43" s="135" t="str">
        <f>A57</f>
        <v>Vendor Reputation</v>
      </c>
      <c r="J43" s="135">
        <f>B57</f>
        <v>6</v>
      </c>
      <c r="K43" s="146">
        <f>C57</f>
        <v>3.0750000000000002</v>
      </c>
      <c r="L43" s="146">
        <f>D57</f>
        <v>4.05</v>
      </c>
      <c r="M43" s="146">
        <f>E57</f>
        <v>6</v>
      </c>
      <c r="P43" s="135" t="str">
        <f t="shared" si="1"/>
        <v>Vendor Reputation</v>
      </c>
      <c r="Q43" s="139">
        <f>B58</f>
        <v>1</v>
      </c>
      <c r="R43" s="139">
        <f>C58</f>
        <v>0.51250000000000007</v>
      </c>
      <c r="S43" s="139">
        <f>D58</f>
        <v>0.67499999999999993</v>
      </c>
      <c r="T43" s="139">
        <f>E58</f>
        <v>1</v>
      </c>
    </row>
    <row r="44" spans="1:20" ht="13" thickBot="1" x14ac:dyDescent="0.3">
      <c r="A44" s="127" t="s">
        <v>51</v>
      </c>
      <c r="B44" s="133">
        <f>B43/B43</f>
        <v>1</v>
      </c>
      <c r="C44" s="133">
        <f>C43/$B43</f>
        <v>1</v>
      </c>
      <c r="D44" s="133">
        <f>D43/$B43</f>
        <v>0.70000000000000007</v>
      </c>
      <c r="E44" s="133">
        <f>E43/$B43</f>
        <v>0.70000000000000007</v>
      </c>
      <c r="I44" s="136" t="str">
        <f>A69</f>
        <v xml:space="preserve">Product </v>
      </c>
      <c r="J44" s="136">
        <f>B69</f>
        <v>27</v>
      </c>
      <c r="K44" s="147">
        <f>C69</f>
        <v>17</v>
      </c>
      <c r="L44" s="147">
        <f>D69</f>
        <v>22</v>
      </c>
      <c r="M44" s="147">
        <f>E69</f>
        <v>25</v>
      </c>
      <c r="P44" s="136" t="str">
        <f t="shared" si="1"/>
        <v xml:space="preserve">Product </v>
      </c>
      <c r="Q44" s="145">
        <f>B70</f>
        <v>1</v>
      </c>
      <c r="R44" s="145">
        <f>C70</f>
        <v>0.62962962962962965</v>
      </c>
      <c r="S44" s="145">
        <f>D70</f>
        <v>0.81481481481481477</v>
      </c>
      <c r="T44" s="145">
        <f>E70</f>
        <v>0.92592592592592593</v>
      </c>
    </row>
    <row r="45" spans="1:20" ht="13" thickTop="1" x14ac:dyDescent="0.25">
      <c r="A45" s="125" t="s">
        <v>8</v>
      </c>
      <c r="B45" s="126"/>
      <c r="C45" s="126"/>
      <c r="D45" s="126"/>
      <c r="E45" s="126"/>
      <c r="I45" s="137" t="s">
        <v>66</v>
      </c>
      <c r="J45" s="137">
        <f>SUM(J40:J44)</f>
        <v>48</v>
      </c>
      <c r="K45" s="148">
        <f>SUM(K40:K44)</f>
        <v>30.217857142857142</v>
      </c>
      <c r="L45" s="148">
        <f>SUM(L40:L44)</f>
        <v>37.450000000000003</v>
      </c>
      <c r="M45" s="148">
        <f>SUM(M40:M44)</f>
        <v>40.700000000000003</v>
      </c>
      <c r="P45" s="137" t="str">
        <f t="shared" si="1"/>
        <v>Total</v>
      </c>
      <c r="Q45" s="142">
        <f>B73</f>
        <v>1</v>
      </c>
      <c r="R45" s="142">
        <f>C73</f>
        <v>0.62953869047619049</v>
      </c>
      <c r="S45" s="142">
        <f>D73</f>
        <v>0.78020833333333339</v>
      </c>
      <c r="T45" s="142">
        <f>E73</f>
        <v>0.84791666666666676</v>
      </c>
    </row>
    <row r="46" spans="1:20" x14ac:dyDescent="0.25">
      <c r="A46" s="17" t="s">
        <v>9</v>
      </c>
      <c r="B46" s="15">
        <f>'Non-Functional Detail'!B9</f>
        <v>3</v>
      </c>
      <c r="C46" s="15">
        <f>'Non-Functional Detail'!G9</f>
        <v>0.5</v>
      </c>
      <c r="D46" s="15">
        <f>'Non-Functional Detail'!M9</f>
        <v>3</v>
      </c>
      <c r="E46" s="15">
        <f>'Non-Functional Detail'!J9</f>
        <v>3</v>
      </c>
    </row>
    <row r="47" spans="1:20" ht="13" thickBot="1" x14ac:dyDescent="0.3">
      <c r="A47" s="124" t="s">
        <v>10</v>
      </c>
      <c r="B47" s="39">
        <f>'Non-Functional Detail'!B10</f>
        <v>3</v>
      </c>
      <c r="C47" s="68">
        <f>'Non-Functional Detail'!G10</f>
        <v>0.6428571428571429</v>
      </c>
      <c r="D47" s="39">
        <f>'Non-Functional Detail'!M10</f>
        <v>3</v>
      </c>
      <c r="E47" s="39">
        <f>'Non-Functional Detail'!J10</f>
        <v>1.5</v>
      </c>
    </row>
    <row r="48" spans="1:20" ht="13" thickTop="1" x14ac:dyDescent="0.25">
      <c r="A48" s="9" t="s">
        <v>62</v>
      </c>
      <c r="B48" s="3">
        <f>SUM(B46:B47)</f>
        <v>6</v>
      </c>
      <c r="C48" s="134">
        <f>SUM(C46:C47)</f>
        <v>1.1428571428571428</v>
      </c>
      <c r="D48" s="3">
        <f>SUM(D46:D47)</f>
        <v>6</v>
      </c>
      <c r="E48" s="3">
        <f>SUM(E46:E47)</f>
        <v>4.5</v>
      </c>
    </row>
    <row r="49" spans="1:19" ht="21.5" thickBot="1" x14ac:dyDescent="0.3">
      <c r="A49" s="127" t="s">
        <v>51</v>
      </c>
      <c r="B49" s="133">
        <f>B48/B48</f>
        <v>1</v>
      </c>
      <c r="C49" s="133">
        <f>C48/$B48</f>
        <v>0.19047619047619047</v>
      </c>
      <c r="D49" s="133">
        <f>D48/$B48</f>
        <v>1</v>
      </c>
      <c r="E49" s="133">
        <f>E48/$B48</f>
        <v>0.75</v>
      </c>
      <c r="Q49" s="12" t="s">
        <v>67</v>
      </c>
      <c r="R49" s="12" t="s">
        <v>1</v>
      </c>
      <c r="S49" s="12" t="s">
        <v>56</v>
      </c>
    </row>
    <row r="50" spans="1:19" ht="13" thickTop="1" x14ac:dyDescent="0.25">
      <c r="A50" s="126" t="s">
        <v>11</v>
      </c>
      <c r="B50" s="126"/>
      <c r="C50" s="126"/>
      <c r="D50" s="126"/>
      <c r="E50" s="126"/>
      <c r="P50" t="s">
        <v>73</v>
      </c>
      <c r="Q50" s="157">
        <f>R45</f>
        <v>0.62953869047619049</v>
      </c>
      <c r="R50" s="157">
        <f>S45</f>
        <v>0.78020833333333339</v>
      </c>
      <c r="S50" s="157">
        <f>T45</f>
        <v>0.84791666666666676</v>
      </c>
    </row>
    <row r="51" spans="1:19" ht="13" thickBot="1" x14ac:dyDescent="0.3">
      <c r="A51" s="124" t="s">
        <v>12</v>
      </c>
      <c r="B51" s="39">
        <f>'Non-Functional Detail'!B14</f>
        <v>3</v>
      </c>
      <c r="C51" s="39">
        <f>'Non-Functional Detail'!G14</f>
        <v>3</v>
      </c>
      <c r="D51" s="39">
        <f>'Non-Functional Detail'!M14</f>
        <v>1.2</v>
      </c>
      <c r="E51" s="39">
        <f>'Non-Functional Detail'!J14</f>
        <v>1</v>
      </c>
      <c r="P51" t="s">
        <v>74</v>
      </c>
      <c r="Q51" s="157">
        <f>R8</f>
        <v>0.56342857142857139</v>
      </c>
      <c r="R51" s="157">
        <f>S8</f>
        <v>0.7413333333333334</v>
      </c>
      <c r="S51" s="157">
        <f>T8</f>
        <v>0.77333333333333332</v>
      </c>
    </row>
    <row r="52" spans="1:19" ht="13" thickTop="1" x14ac:dyDescent="0.25">
      <c r="A52" s="9" t="s">
        <v>63</v>
      </c>
      <c r="B52" s="3">
        <f>SUM(B51)</f>
        <v>3</v>
      </c>
      <c r="C52" s="3">
        <f>SUM(C51)</f>
        <v>3</v>
      </c>
      <c r="D52" s="3">
        <f>SUM(D51)</f>
        <v>1.2</v>
      </c>
      <c r="E52" s="3">
        <f>SUM(E51)</f>
        <v>1</v>
      </c>
    </row>
    <row r="53" spans="1:19" ht="13" thickBot="1" x14ac:dyDescent="0.3">
      <c r="A53" s="127" t="s">
        <v>51</v>
      </c>
      <c r="B53" s="133">
        <f>B52/B52</f>
        <v>1</v>
      </c>
      <c r="C53" s="133">
        <f>C52/$B52</f>
        <v>1</v>
      </c>
      <c r="D53" s="133">
        <f>D52/$B52</f>
        <v>0.39999999999999997</v>
      </c>
      <c r="E53" s="133">
        <f>E52/$B52</f>
        <v>0.33333333333333331</v>
      </c>
    </row>
    <row r="54" spans="1:19" ht="13" thickTop="1" x14ac:dyDescent="0.25">
      <c r="A54" s="126" t="s">
        <v>13</v>
      </c>
      <c r="B54" s="126"/>
      <c r="C54" s="126"/>
      <c r="D54" s="126"/>
      <c r="E54" s="126"/>
    </row>
    <row r="55" spans="1:19" x14ac:dyDescent="0.25">
      <c r="A55" s="17" t="s">
        <v>14</v>
      </c>
      <c r="B55" s="15">
        <f>'Non-Functional Detail'!B18</f>
        <v>3</v>
      </c>
      <c r="C55" s="15">
        <f>'Non-Functional Detail'!G18</f>
        <v>3</v>
      </c>
      <c r="D55" s="15">
        <f>'Non-Functional Detail'!M18</f>
        <v>3</v>
      </c>
      <c r="E55" s="15">
        <f>'Non-Functional Detail'!J18</f>
        <v>3</v>
      </c>
    </row>
    <row r="56" spans="1:19" ht="13" thickBot="1" x14ac:dyDescent="0.3">
      <c r="A56" s="124" t="s">
        <v>16</v>
      </c>
      <c r="B56" s="39">
        <f>'Non-Functional Detail'!B19</f>
        <v>3</v>
      </c>
      <c r="C56" s="68">
        <f>'Non-Functional Detail'!G19</f>
        <v>7.4999999999999997E-2</v>
      </c>
      <c r="D56" s="39">
        <f>'Non-Functional Detail'!M19</f>
        <v>1.05</v>
      </c>
      <c r="E56" s="39">
        <f>'Non-Functional Detail'!J19</f>
        <v>3</v>
      </c>
    </row>
    <row r="57" spans="1:19" ht="13" thickTop="1" x14ac:dyDescent="0.25">
      <c r="A57" s="9" t="s">
        <v>65</v>
      </c>
      <c r="B57" s="3">
        <f>SUM(B55:B56)</f>
        <v>6</v>
      </c>
      <c r="C57" s="3">
        <f>SUM(C55:C56)</f>
        <v>3.0750000000000002</v>
      </c>
      <c r="D57" s="3">
        <f>SUM(D55:D56)</f>
        <v>4.05</v>
      </c>
      <c r="E57" s="3">
        <f>SUM(E55:E56)</f>
        <v>6</v>
      </c>
    </row>
    <row r="58" spans="1:19" ht="13" thickBot="1" x14ac:dyDescent="0.3">
      <c r="A58" s="127" t="s">
        <v>51</v>
      </c>
      <c r="B58" s="133">
        <f>B57/B57</f>
        <v>1</v>
      </c>
      <c r="C58" s="133">
        <f>C57/$B57</f>
        <v>0.51250000000000007</v>
      </c>
      <c r="D58" s="133">
        <f>D57/$B57</f>
        <v>0.67499999999999993</v>
      </c>
      <c r="E58" s="133">
        <f>E57/$B57</f>
        <v>1</v>
      </c>
    </row>
    <row r="59" spans="1:19" ht="13" thickTop="1" x14ac:dyDescent="0.25">
      <c r="A59" s="126" t="s">
        <v>17</v>
      </c>
      <c r="B59" s="126"/>
      <c r="C59" s="126"/>
      <c r="D59" s="126"/>
      <c r="E59" s="126"/>
    </row>
    <row r="60" spans="1:19" x14ac:dyDescent="0.25">
      <c r="A60" s="17" t="s">
        <v>18</v>
      </c>
      <c r="B60" s="15">
        <f>'Non-Functional Detail'!B23</f>
        <v>3</v>
      </c>
      <c r="C60" s="15">
        <f>'Non-Functional Detail'!G23</f>
        <v>1</v>
      </c>
      <c r="D60" s="15">
        <f>'Non-Functional Detail'!M23</f>
        <v>2</v>
      </c>
      <c r="E60" s="15">
        <f>'Non-Functional Detail'!J23</f>
        <v>3</v>
      </c>
    </row>
    <row r="61" spans="1:19" x14ac:dyDescent="0.25">
      <c r="A61" s="17" t="s">
        <v>20</v>
      </c>
      <c r="B61" s="15">
        <f>'Non-Functional Detail'!B24</f>
        <v>3</v>
      </c>
      <c r="C61" s="15">
        <f>'Non-Functional Detail'!G24</f>
        <v>1</v>
      </c>
      <c r="D61" s="15">
        <f>'Non-Functional Detail'!M24</f>
        <v>3</v>
      </c>
      <c r="E61" s="15">
        <f>'Non-Functional Detail'!J24</f>
        <v>3</v>
      </c>
    </row>
    <row r="62" spans="1:19" x14ac:dyDescent="0.25">
      <c r="A62" s="17" t="s">
        <v>21</v>
      </c>
      <c r="B62" s="15">
        <f>'Non-Functional Detail'!B25</f>
        <v>3</v>
      </c>
      <c r="C62" s="15">
        <f>'Non-Functional Detail'!G25</f>
        <v>3</v>
      </c>
      <c r="D62" s="15">
        <f>'Non-Functional Detail'!M25</f>
        <v>2</v>
      </c>
      <c r="E62" s="15">
        <f>'Non-Functional Detail'!J25</f>
        <v>3</v>
      </c>
    </row>
    <row r="63" spans="1:19" x14ac:dyDescent="0.25">
      <c r="A63" s="17" t="s">
        <v>22</v>
      </c>
      <c r="B63" s="15">
        <f>'Non-Functional Detail'!B26</f>
        <v>3</v>
      </c>
      <c r="C63" s="15">
        <f>'Non-Functional Detail'!G26</f>
        <v>3</v>
      </c>
      <c r="D63" s="15">
        <f>'Non-Functional Detail'!M26</f>
        <v>3</v>
      </c>
      <c r="E63" s="15">
        <f>'Non-Functional Detail'!J26</f>
        <v>3</v>
      </c>
    </row>
    <row r="64" spans="1:19" x14ac:dyDescent="0.25">
      <c r="A64" s="17" t="s">
        <v>23</v>
      </c>
      <c r="B64" s="15">
        <f>'Non-Functional Detail'!B27</f>
        <v>3</v>
      </c>
      <c r="C64" s="15">
        <f>'Non-Functional Detail'!G27</f>
        <v>3</v>
      </c>
      <c r="D64" s="15">
        <f>'Non-Functional Detail'!M27</f>
        <v>3</v>
      </c>
      <c r="E64" s="15">
        <f>'Non-Functional Detail'!J27</f>
        <v>3</v>
      </c>
    </row>
    <row r="65" spans="1:5" x14ac:dyDescent="0.25">
      <c r="A65" s="17" t="s">
        <v>24</v>
      </c>
      <c r="B65" s="15">
        <f>'Non-Functional Detail'!B28</f>
        <v>3</v>
      </c>
      <c r="C65" s="15">
        <f>'Non-Functional Detail'!G28</f>
        <v>1</v>
      </c>
      <c r="D65" s="15">
        <f>'Non-Functional Detail'!M28</f>
        <v>3</v>
      </c>
      <c r="E65" s="15">
        <f>'Non-Functional Detail'!J28</f>
        <v>3</v>
      </c>
    </row>
    <row r="66" spans="1:5" x14ac:dyDescent="0.25">
      <c r="A66" s="17" t="s">
        <v>25</v>
      </c>
      <c r="B66" s="15">
        <f>'Non-Functional Detail'!B29</f>
        <v>3</v>
      </c>
      <c r="C66" s="15">
        <f>'Non-Functional Detail'!G29</f>
        <v>3</v>
      </c>
      <c r="D66" s="15">
        <f>'Non-Functional Detail'!M29</f>
        <v>3</v>
      </c>
      <c r="E66" s="15">
        <f>'Non-Functional Detail'!J29</f>
        <v>2</v>
      </c>
    </row>
    <row r="67" spans="1:5" x14ac:dyDescent="0.25">
      <c r="A67" s="17" t="s">
        <v>28</v>
      </c>
      <c r="B67" s="15">
        <f>'Non-Functional Detail'!B30</f>
        <v>3</v>
      </c>
      <c r="C67" s="15">
        <f>'Non-Functional Detail'!G30</f>
        <v>1</v>
      </c>
      <c r="D67" s="15">
        <f>'Non-Functional Detail'!M30</f>
        <v>1</v>
      </c>
      <c r="E67" s="15">
        <f>'Non-Functional Detail'!J30</f>
        <v>3</v>
      </c>
    </row>
    <row r="68" spans="1:5" ht="13" thickBot="1" x14ac:dyDescent="0.3">
      <c r="A68" s="124" t="s">
        <v>30</v>
      </c>
      <c r="B68" s="39">
        <f>'Non-Functional Detail'!B31</f>
        <v>3</v>
      </c>
      <c r="C68" s="39">
        <f>'Non-Functional Detail'!G31</f>
        <v>1</v>
      </c>
      <c r="D68" s="39">
        <f>'Non-Functional Detail'!M31</f>
        <v>2</v>
      </c>
      <c r="E68" s="39">
        <f>'Non-Functional Detail'!J31</f>
        <v>2</v>
      </c>
    </row>
    <row r="69" spans="1:5" ht="13" thickTop="1" x14ac:dyDescent="0.25">
      <c r="A69" s="128" t="s">
        <v>64</v>
      </c>
      <c r="B69" s="9">
        <f>SUM(B60:B68)</f>
        <v>27</v>
      </c>
      <c r="C69" s="9">
        <f>SUM(C60:C68)</f>
        <v>17</v>
      </c>
      <c r="D69" s="9">
        <f>SUM(D60:D68)</f>
        <v>22</v>
      </c>
      <c r="E69" s="9">
        <f>SUM(E60:E68)</f>
        <v>25</v>
      </c>
    </row>
    <row r="70" spans="1:5" ht="13" thickBot="1" x14ac:dyDescent="0.3">
      <c r="A70" s="127" t="s">
        <v>51</v>
      </c>
      <c r="B70" s="133">
        <f>B69/B69</f>
        <v>1</v>
      </c>
      <c r="C70" s="131">
        <f>C69/$B69</f>
        <v>0.62962962962962965</v>
      </c>
      <c r="D70" s="131">
        <f>D69/$B69</f>
        <v>0.81481481481481477</v>
      </c>
      <c r="E70" s="131">
        <f>E69/$B69</f>
        <v>0.92592592592592593</v>
      </c>
    </row>
    <row r="71" spans="1:5" ht="13" thickTop="1" x14ac:dyDescent="0.25">
      <c r="A71" s="8"/>
      <c r="B71" s="2"/>
      <c r="C71" s="2"/>
      <c r="D71" s="2"/>
      <c r="E71" s="129"/>
    </row>
    <row r="72" spans="1:5" x14ac:dyDescent="0.25">
      <c r="A72" s="149" t="s">
        <v>42</v>
      </c>
      <c r="B72" s="29">
        <f>SUM(B43,B48,B52,B57,B69)</f>
        <v>48</v>
      </c>
      <c r="C72" s="153">
        <f>SUM(C43,C48,C52,C57,C69)</f>
        <v>30.217857142857142</v>
      </c>
      <c r="D72" s="29">
        <f>SUM(D43,D48,D52,D57,D69)</f>
        <v>37.450000000000003</v>
      </c>
      <c r="E72" s="29">
        <f>SUM(E43,E48,E52,E57,E69)</f>
        <v>40.700000000000003</v>
      </c>
    </row>
    <row r="73" spans="1:5" ht="13" thickBot="1" x14ac:dyDescent="0.3">
      <c r="A73" s="149" t="s">
        <v>52</v>
      </c>
      <c r="B73" s="133">
        <f>B72/B72</f>
        <v>1</v>
      </c>
      <c r="C73" s="154">
        <f>C72/$B72</f>
        <v>0.62953869047619049</v>
      </c>
      <c r="D73" s="154">
        <f>D72/$B72</f>
        <v>0.78020833333333339</v>
      </c>
      <c r="E73" s="154">
        <f>E72/$B72</f>
        <v>0.84791666666666676</v>
      </c>
    </row>
    <row r="74" spans="1:5" ht="13" thickTop="1" x14ac:dyDescent="0.25"/>
  </sheetData>
  <phoneticPr fontId="0" type="noConversion"/>
  <pageMargins left="0.75" right="0.75" top="1" bottom="1" header="0.5" footer="0.5"/>
  <pageSetup orientation="portrait" horizontalDpi="355" verticalDpi="464" r:id="rId1"/>
  <headerFooter alignWithMargins="0"/>
  <rowBreaks count="1" manualBreakCount="1">
    <brk id="3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opLeftCell="A13" workbookViewId="0">
      <selection activeCell="F19" sqref="F19"/>
    </sheetView>
  </sheetViews>
  <sheetFormatPr defaultRowHeight="12.5" x14ac:dyDescent="0.25"/>
  <cols>
    <col min="1" max="1" width="19.1796875" style="10" customWidth="1"/>
    <col min="2" max="2" width="10.453125" style="1" customWidth="1"/>
  </cols>
  <sheetData>
    <row r="1" spans="1:2" x14ac:dyDescent="0.25">
      <c r="A1"/>
      <c r="B1"/>
    </row>
    <row r="2" spans="1:2" x14ac:dyDescent="0.25">
      <c r="A2" s="118"/>
      <c r="B2" s="117" t="s">
        <v>34</v>
      </c>
    </row>
    <row r="3" spans="1:2" x14ac:dyDescent="0.25">
      <c r="A3" s="20" t="s">
        <v>5</v>
      </c>
      <c r="B3" s="13"/>
    </row>
    <row r="4" spans="1:2" ht="21" x14ac:dyDescent="0.25">
      <c r="A4" s="22" t="s">
        <v>6</v>
      </c>
      <c r="B4" s="15">
        <v>15</v>
      </c>
    </row>
    <row r="5" spans="1:2" ht="13" thickBot="1" x14ac:dyDescent="0.3">
      <c r="A5" s="37" t="s">
        <v>7</v>
      </c>
      <c r="B5" s="39">
        <v>5</v>
      </c>
    </row>
    <row r="6" spans="1:2" ht="21.5" thickTop="1" x14ac:dyDescent="0.25">
      <c r="A6" s="22" t="s">
        <v>9</v>
      </c>
      <c r="B6" s="15">
        <v>20</v>
      </c>
    </row>
    <row r="7" spans="1:2" ht="21.5" thickBot="1" x14ac:dyDescent="0.3">
      <c r="A7" s="37" t="s">
        <v>10</v>
      </c>
      <c r="B7" s="39">
        <v>10</v>
      </c>
    </row>
    <row r="8" spans="1:2" ht="22" thickTop="1" thickBot="1" x14ac:dyDescent="0.3">
      <c r="A8" s="37" t="s">
        <v>12</v>
      </c>
      <c r="B8" s="39">
        <v>10</v>
      </c>
    </row>
    <row r="9" spans="1:2" ht="21.5" thickTop="1" x14ac:dyDescent="0.25">
      <c r="A9" s="22" t="s">
        <v>14</v>
      </c>
      <c r="B9" s="15">
        <v>2</v>
      </c>
    </row>
    <row r="10" spans="1:2" ht="21.5" thickBot="1" x14ac:dyDescent="0.3">
      <c r="A10" s="37" t="s">
        <v>16</v>
      </c>
      <c r="B10" s="39">
        <v>8</v>
      </c>
    </row>
    <row r="11" spans="1:2" ht="13" thickTop="1" x14ac:dyDescent="0.25">
      <c r="A11" s="22" t="s">
        <v>18</v>
      </c>
      <c r="B11" s="15">
        <v>4</v>
      </c>
    </row>
    <row r="12" spans="1:2" x14ac:dyDescent="0.25">
      <c r="A12" s="22" t="s">
        <v>20</v>
      </c>
      <c r="B12" s="15">
        <v>4</v>
      </c>
    </row>
    <row r="13" spans="1:2" ht="21" x14ac:dyDescent="0.25">
      <c r="A13" s="22" t="s">
        <v>21</v>
      </c>
      <c r="B13" s="15">
        <v>4</v>
      </c>
    </row>
    <row r="14" spans="1:2" ht="21" x14ac:dyDescent="0.25">
      <c r="A14" s="22" t="s">
        <v>22</v>
      </c>
      <c r="B14" s="15">
        <v>3</v>
      </c>
    </row>
    <row r="15" spans="1:2" ht="21" x14ac:dyDescent="0.25">
      <c r="A15" s="22" t="s">
        <v>23</v>
      </c>
      <c r="B15" s="15">
        <v>3</v>
      </c>
    </row>
    <row r="16" spans="1:2" x14ac:dyDescent="0.25">
      <c r="A16" s="22" t="s">
        <v>24</v>
      </c>
      <c r="B16" s="15">
        <v>3</v>
      </c>
    </row>
    <row r="17" spans="1:2" x14ac:dyDescent="0.25">
      <c r="A17" s="22" t="s">
        <v>25</v>
      </c>
      <c r="B17" s="15">
        <v>3</v>
      </c>
    </row>
    <row r="18" spans="1:2" ht="21" x14ac:dyDescent="0.25">
      <c r="A18" s="22" t="s">
        <v>28</v>
      </c>
      <c r="B18" s="15">
        <v>3</v>
      </c>
    </row>
    <row r="19" spans="1:2" ht="21.5" thickBot="1" x14ac:dyDescent="0.3">
      <c r="A19" s="37" t="s">
        <v>30</v>
      </c>
      <c r="B19" s="39">
        <v>3</v>
      </c>
    </row>
    <row r="20" spans="1:2" ht="13" thickTop="1" x14ac:dyDescent="0.25">
      <c r="B20" s="1">
        <f>SUM(B4:B19)</f>
        <v>100</v>
      </c>
    </row>
    <row r="21" spans="1:2" x14ac:dyDescent="0.25">
      <c r="A21" s="20" t="s">
        <v>5</v>
      </c>
      <c r="B21" s="12" t="s">
        <v>34</v>
      </c>
    </row>
    <row r="22" spans="1:2" x14ac:dyDescent="0.25">
      <c r="A22" s="14" t="s">
        <v>5</v>
      </c>
      <c r="B22" s="15">
        <v>20</v>
      </c>
    </row>
    <row r="23" spans="1:2" x14ac:dyDescent="0.25">
      <c r="A23" s="14" t="s">
        <v>62</v>
      </c>
      <c r="B23" s="15">
        <v>30</v>
      </c>
    </row>
    <row r="24" spans="1:2" x14ac:dyDescent="0.25">
      <c r="A24" s="14" t="s">
        <v>63</v>
      </c>
      <c r="B24" s="15">
        <v>10</v>
      </c>
    </row>
    <row r="25" spans="1:2" x14ac:dyDescent="0.25">
      <c r="A25" s="14" t="s">
        <v>65</v>
      </c>
      <c r="B25" s="15">
        <v>10</v>
      </c>
    </row>
    <row r="26" spans="1:2" x14ac:dyDescent="0.25">
      <c r="A26" s="150" t="s">
        <v>64</v>
      </c>
      <c r="B26" s="15">
        <v>30</v>
      </c>
    </row>
    <row r="27" spans="1:2" ht="13" thickBot="1" x14ac:dyDescent="0.3">
      <c r="A27" s="151" t="s">
        <v>66</v>
      </c>
      <c r="B27" s="152">
        <f>SUM(B22:B26)</f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workbookViewId="0">
      <pane xSplit="1760" ySplit="970" topLeftCell="B19" activePane="bottomRight"/>
      <selection pane="topRight" activeCell="B1" sqref="B1"/>
      <selection pane="bottomLeft" activeCell="A18" sqref="A18"/>
      <selection pane="bottomRight" activeCell="J25" sqref="J25"/>
    </sheetView>
  </sheetViews>
  <sheetFormatPr defaultColWidth="9.1796875" defaultRowHeight="10" x14ac:dyDescent="0.25"/>
  <cols>
    <col min="1" max="1" width="13" style="10" customWidth="1"/>
    <col min="2" max="2" width="7.26953125" style="1" customWidth="1"/>
    <col min="3" max="4" width="8" style="1" customWidth="1"/>
    <col min="5" max="5" width="18.453125" style="1" customWidth="1"/>
    <col min="6" max="6" width="10.453125" style="81" customWidth="1"/>
    <col min="7" max="7" width="8.1796875" style="81" customWidth="1"/>
    <col min="8" max="8" width="7.81640625" style="81" customWidth="1"/>
    <col min="9" max="9" width="10.453125" style="81" customWidth="1"/>
    <col min="10" max="10" width="8.7265625" style="81" customWidth="1"/>
    <col min="11" max="11" width="8.1796875" style="81" customWidth="1"/>
    <col min="12" max="12" width="9.26953125" style="81" customWidth="1"/>
    <col min="13" max="13" width="8.26953125" style="81" customWidth="1"/>
    <col min="14" max="14" width="8" style="81" customWidth="1"/>
    <col min="15" max="15" width="14.453125" style="1" hidden="1" customWidth="1"/>
    <col min="16" max="16384" width="9.1796875" style="1"/>
  </cols>
  <sheetData>
    <row r="1" spans="1:16" s="10" customFormat="1" ht="10.5" x14ac:dyDescent="0.25">
      <c r="A1" s="158" t="s">
        <v>2</v>
      </c>
      <c r="B1" s="159"/>
      <c r="C1" s="159"/>
      <c r="D1" s="159"/>
      <c r="E1" s="160"/>
      <c r="F1" s="158" t="s">
        <v>0</v>
      </c>
      <c r="G1" s="159"/>
      <c r="H1" s="160"/>
      <c r="I1" s="158" t="s">
        <v>3</v>
      </c>
      <c r="J1" s="159"/>
      <c r="K1" s="160"/>
      <c r="L1" s="158" t="s">
        <v>4</v>
      </c>
      <c r="M1" s="159"/>
      <c r="N1" s="160"/>
      <c r="O1" s="11" t="s">
        <v>40</v>
      </c>
    </row>
    <row r="2" spans="1:16" s="120" customFormat="1" ht="16" x14ac:dyDescent="0.25">
      <c r="A2" s="118"/>
      <c r="B2" s="117" t="s">
        <v>45</v>
      </c>
      <c r="C2" s="117" t="s">
        <v>34</v>
      </c>
      <c r="D2" s="117" t="s">
        <v>39</v>
      </c>
      <c r="E2" s="119" t="s">
        <v>35</v>
      </c>
      <c r="F2" s="118" t="s">
        <v>44</v>
      </c>
      <c r="G2" s="117" t="s">
        <v>46</v>
      </c>
      <c r="H2" s="119" t="s">
        <v>43</v>
      </c>
      <c r="I2" s="118" t="s">
        <v>44</v>
      </c>
      <c r="J2" s="117" t="s">
        <v>46</v>
      </c>
      <c r="K2" s="119" t="s">
        <v>43</v>
      </c>
      <c r="L2" s="118" t="s">
        <v>44</v>
      </c>
      <c r="M2" s="117" t="s">
        <v>46</v>
      </c>
      <c r="N2" s="119" t="s">
        <v>43</v>
      </c>
    </row>
    <row r="3" spans="1:16" ht="10.5" x14ac:dyDescent="0.25">
      <c r="A3" s="20" t="s">
        <v>5</v>
      </c>
      <c r="B3" s="13"/>
      <c r="C3" s="13"/>
      <c r="D3" s="13"/>
      <c r="E3" s="21"/>
      <c r="F3" s="24"/>
      <c r="G3" s="13"/>
      <c r="H3" s="21"/>
      <c r="I3" s="24"/>
      <c r="J3" s="13"/>
      <c r="K3" s="21"/>
      <c r="L3" s="24"/>
      <c r="M3" s="13"/>
      <c r="N3" s="21"/>
    </row>
    <row r="4" spans="1:16" ht="40" x14ac:dyDescent="0.25">
      <c r="A4" s="22" t="s">
        <v>6</v>
      </c>
      <c r="B4" s="14">
        <v>3</v>
      </c>
      <c r="C4" s="15">
        <v>15</v>
      </c>
      <c r="D4" s="15">
        <f>B4*C4</f>
        <v>45</v>
      </c>
      <c r="E4" s="23" t="s">
        <v>58</v>
      </c>
      <c r="F4" s="25">
        <v>400000</v>
      </c>
      <c r="G4" s="18">
        <f>3*$O4/F4</f>
        <v>3</v>
      </c>
      <c r="H4" s="28">
        <f>G4*C4</f>
        <v>45</v>
      </c>
      <c r="I4" s="25">
        <v>1000000</v>
      </c>
      <c r="J4" s="18">
        <f>3*$O4/I4</f>
        <v>1.2</v>
      </c>
      <c r="K4" s="28">
        <f>J4*C4</f>
        <v>18</v>
      </c>
      <c r="L4" s="25">
        <v>1000000</v>
      </c>
      <c r="M4" s="18">
        <f>3*$O4/L4</f>
        <v>1.2</v>
      </c>
      <c r="N4" s="27">
        <f>M4*C4</f>
        <v>18</v>
      </c>
      <c r="O4" s="4">
        <f>MIN(F4,I4,L4)</f>
        <v>400000</v>
      </c>
    </row>
    <row r="5" spans="1:16" ht="40.5" thickBot="1" x14ac:dyDescent="0.3">
      <c r="A5" s="37" t="s">
        <v>7</v>
      </c>
      <c r="B5" s="38">
        <v>3</v>
      </c>
      <c r="C5" s="39">
        <v>5</v>
      </c>
      <c r="D5" s="39">
        <f>B5*C5</f>
        <v>15</v>
      </c>
      <c r="E5" s="40" t="s">
        <v>58</v>
      </c>
      <c r="F5" s="41">
        <v>350000</v>
      </c>
      <c r="G5" s="42">
        <f>3*$O5/F5</f>
        <v>3</v>
      </c>
      <c r="H5" s="43">
        <f>G5*C5</f>
        <v>15</v>
      </c>
      <c r="I5" s="41">
        <v>350000</v>
      </c>
      <c r="J5" s="42">
        <f>3*$O5/I5</f>
        <v>3</v>
      </c>
      <c r="K5" s="43">
        <f>J5*C5</f>
        <v>15</v>
      </c>
      <c r="L5" s="41">
        <v>350000</v>
      </c>
      <c r="M5" s="42">
        <f>3*$O5/L5</f>
        <v>3</v>
      </c>
      <c r="N5" s="82">
        <f>M5*C5</f>
        <v>15</v>
      </c>
      <c r="O5" s="4">
        <f>MIN(F5,I5,L5)</f>
        <v>350000</v>
      </c>
    </row>
    <row r="6" spans="1:16" s="33" customFormat="1" ht="21.5" thickTop="1" x14ac:dyDescent="0.25">
      <c r="A6" s="22" t="s">
        <v>41</v>
      </c>
      <c r="B6" s="29">
        <f>SUM(B4:B5)</f>
        <v>6</v>
      </c>
      <c r="C6" s="29"/>
      <c r="D6" s="29">
        <f>SUM(D4:D5)</f>
        <v>60</v>
      </c>
      <c r="E6" s="30"/>
      <c r="F6" s="31"/>
      <c r="G6" s="71">
        <f>SUM(G4:G5)</f>
        <v>6</v>
      </c>
      <c r="H6" s="72">
        <f>SUM(H4:H5)</f>
        <v>60</v>
      </c>
      <c r="I6" s="32"/>
      <c r="J6" s="71">
        <f>SUM(J4:J5)</f>
        <v>4.2</v>
      </c>
      <c r="K6" s="72">
        <f>SUM(K4:K5)</f>
        <v>33</v>
      </c>
      <c r="L6" s="32"/>
      <c r="M6" s="71">
        <f>SUM(M4:M5)</f>
        <v>4.2</v>
      </c>
      <c r="N6" s="72">
        <f>SUM(N4:N5)</f>
        <v>33</v>
      </c>
      <c r="P6" s="34"/>
    </row>
    <row r="7" spans="1:16" s="97" customFormat="1" ht="11" thickBot="1" x14ac:dyDescent="0.3">
      <c r="A7" s="90" t="s">
        <v>51</v>
      </c>
      <c r="B7" s="110"/>
      <c r="C7" s="110"/>
      <c r="D7" s="110"/>
      <c r="E7" s="111"/>
      <c r="F7" s="112"/>
      <c r="G7" s="94">
        <f>G6/B6</f>
        <v>1</v>
      </c>
      <c r="H7" s="95">
        <f>H6/D6</f>
        <v>1</v>
      </c>
      <c r="I7" s="113"/>
      <c r="J7" s="94">
        <f>J6/B6</f>
        <v>0.70000000000000007</v>
      </c>
      <c r="K7" s="95">
        <f>K6/D6</f>
        <v>0.55000000000000004</v>
      </c>
      <c r="L7" s="113"/>
      <c r="M7" s="94">
        <f>M6/B6</f>
        <v>0.70000000000000007</v>
      </c>
      <c r="N7" s="95">
        <f>N6/D6</f>
        <v>0.55000000000000004</v>
      </c>
      <c r="P7" s="98"/>
    </row>
    <row r="8" spans="1:16" ht="21.5" thickTop="1" x14ac:dyDescent="0.25">
      <c r="A8" s="114" t="s">
        <v>8</v>
      </c>
      <c r="B8" s="100"/>
      <c r="C8" s="100"/>
      <c r="D8" s="100"/>
      <c r="E8" s="101"/>
      <c r="F8" s="102"/>
      <c r="G8" s="100"/>
      <c r="H8" s="101"/>
      <c r="I8" s="102"/>
      <c r="J8" s="100"/>
      <c r="K8" s="101"/>
      <c r="L8" s="102"/>
      <c r="M8" s="100"/>
      <c r="N8" s="101"/>
    </row>
    <row r="9" spans="1:16" ht="40" x14ac:dyDescent="0.25">
      <c r="A9" s="22" t="s">
        <v>9</v>
      </c>
      <c r="B9" s="14">
        <v>3</v>
      </c>
      <c r="C9" s="15">
        <v>20</v>
      </c>
      <c r="D9" s="15">
        <f>B9*C9</f>
        <v>60</v>
      </c>
      <c r="E9" s="23" t="s">
        <v>58</v>
      </c>
      <c r="F9" s="25">
        <v>6000000</v>
      </c>
      <c r="G9" s="18">
        <f>3*$O9/F9</f>
        <v>0.5</v>
      </c>
      <c r="H9" s="28">
        <f>G9*C9</f>
        <v>10</v>
      </c>
      <c r="I9" s="25">
        <v>1000000</v>
      </c>
      <c r="J9" s="18">
        <f>3*$O9/I9</f>
        <v>3</v>
      </c>
      <c r="K9" s="28">
        <f>J9*C9</f>
        <v>60</v>
      </c>
      <c r="L9" s="25">
        <v>1000000</v>
      </c>
      <c r="M9" s="18">
        <f>3*$O9/L9</f>
        <v>3</v>
      </c>
      <c r="N9" s="27">
        <f>M9*C9</f>
        <v>60</v>
      </c>
      <c r="O9" s="4">
        <f>MIN(F9,I9,L9)</f>
        <v>1000000</v>
      </c>
    </row>
    <row r="10" spans="1:16" ht="40.5" thickBot="1" x14ac:dyDescent="0.3">
      <c r="A10" s="37" t="s">
        <v>10</v>
      </c>
      <c r="B10" s="38">
        <v>3</v>
      </c>
      <c r="C10" s="39">
        <v>10</v>
      </c>
      <c r="D10" s="39">
        <f>B10*C10</f>
        <v>30</v>
      </c>
      <c r="E10" s="40" t="s">
        <v>59</v>
      </c>
      <c r="F10" s="48">
        <v>7</v>
      </c>
      <c r="G10" s="49">
        <f>3*$O10/F10</f>
        <v>0.6428571428571429</v>
      </c>
      <c r="H10" s="50">
        <f>G10*C10</f>
        <v>6.4285714285714288</v>
      </c>
      <c r="I10" s="48">
        <v>3</v>
      </c>
      <c r="J10" s="42">
        <f>3*$O10/I10</f>
        <v>1.5</v>
      </c>
      <c r="K10" s="43">
        <f>J10*C10</f>
        <v>15</v>
      </c>
      <c r="L10" s="48">
        <v>1.5</v>
      </c>
      <c r="M10" s="42">
        <f>3*$O10/L10</f>
        <v>3</v>
      </c>
      <c r="N10" s="82">
        <f>M10*C10</f>
        <v>30</v>
      </c>
      <c r="O10" s="6">
        <f>MIN(F10,I10,L10)</f>
        <v>1.5</v>
      </c>
    </row>
    <row r="11" spans="1:16" s="33" customFormat="1" ht="21.5" thickTop="1" x14ac:dyDescent="0.25">
      <c r="A11" s="44" t="s">
        <v>47</v>
      </c>
      <c r="B11" s="9">
        <f>SUM(B9:B10)</f>
        <v>6</v>
      </c>
      <c r="C11" s="3"/>
      <c r="D11" s="9">
        <f>SUM(D9:D10)</f>
        <v>90</v>
      </c>
      <c r="E11" s="45"/>
      <c r="F11" s="46"/>
      <c r="G11" s="69">
        <f>SUM(G9:G10)</f>
        <v>1.1428571428571428</v>
      </c>
      <c r="H11" s="70">
        <f>SUM(H9:H10)</f>
        <v>16.428571428571431</v>
      </c>
      <c r="I11" s="47"/>
      <c r="J11" s="73">
        <f>SUM(J9:J10)</f>
        <v>4.5</v>
      </c>
      <c r="K11" s="74">
        <f>SUM(K9:K10)</f>
        <v>75</v>
      </c>
      <c r="L11" s="47"/>
      <c r="M11" s="73">
        <f>SUM(M9:M10)</f>
        <v>6</v>
      </c>
      <c r="N11" s="74">
        <f>SUM(N9:N10)</f>
        <v>90</v>
      </c>
      <c r="O11" s="35"/>
      <c r="P11" s="34"/>
    </row>
    <row r="12" spans="1:16" s="97" customFormat="1" ht="11" thickBot="1" x14ac:dyDescent="0.3">
      <c r="A12" s="90" t="s">
        <v>51</v>
      </c>
      <c r="B12" s="103"/>
      <c r="C12" s="91"/>
      <c r="D12" s="103"/>
      <c r="E12" s="104"/>
      <c r="F12" s="93"/>
      <c r="G12" s="94">
        <f>G11/B11</f>
        <v>0.19047619047619047</v>
      </c>
      <c r="H12" s="95">
        <f>H11/D11</f>
        <v>0.18253968253968256</v>
      </c>
      <c r="I12" s="96"/>
      <c r="J12" s="94">
        <f>J11/B11</f>
        <v>0.75</v>
      </c>
      <c r="K12" s="95">
        <f>K11/D11</f>
        <v>0.83333333333333337</v>
      </c>
      <c r="L12" s="96"/>
      <c r="M12" s="94">
        <f>M11/B11</f>
        <v>1</v>
      </c>
      <c r="N12" s="95">
        <f>N11/D11</f>
        <v>1</v>
      </c>
      <c r="O12" s="105"/>
      <c r="P12" s="98"/>
    </row>
    <row r="13" spans="1:16" ht="11" thickTop="1" x14ac:dyDescent="0.25">
      <c r="A13" s="99" t="s">
        <v>11</v>
      </c>
      <c r="B13" s="100"/>
      <c r="C13" s="100"/>
      <c r="D13" s="100"/>
      <c r="E13" s="101"/>
      <c r="F13" s="102"/>
      <c r="G13" s="100"/>
      <c r="H13" s="101"/>
      <c r="I13" s="102"/>
      <c r="J13" s="100"/>
      <c r="K13" s="101"/>
      <c r="L13" s="102"/>
      <c r="M13" s="100"/>
      <c r="N13" s="101"/>
    </row>
    <row r="14" spans="1:16" ht="40.5" thickBot="1" x14ac:dyDescent="0.3">
      <c r="A14" s="37" t="s">
        <v>12</v>
      </c>
      <c r="B14" s="38">
        <v>3</v>
      </c>
      <c r="C14" s="39">
        <v>10</v>
      </c>
      <c r="D14" s="39">
        <f>B14*C14</f>
        <v>30</v>
      </c>
      <c r="E14" s="40" t="s">
        <v>58</v>
      </c>
      <c r="F14" s="41">
        <v>100000</v>
      </c>
      <c r="G14" s="42">
        <f>3*$O14/F14</f>
        <v>3</v>
      </c>
      <c r="H14" s="43">
        <f>G14*C14</f>
        <v>30</v>
      </c>
      <c r="I14" s="41">
        <v>300000</v>
      </c>
      <c r="J14" s="42">
        <f>3*$O14/I14</f>
        <v>1</v>
      </c>
      <c r="K14" s="43">
        <f>J14*C14</f>
        <v>10</v>
      </c>
      <c r="L14" s="41">
        <v>250000</v>
      </c>
      <c r="M14" s="42">
        <f>3*$O14/L14</f>
        <v>1.2</v>
      </c>
      <c r="N14" s="82">
        <f>M14*C14</f>
        <v>12</v>
      </c>
      <c r="O14" s="4">
        <f>MIN(F14,I14,L14)</f>
        <v>100000</v>
      </c>
    </row>
    <row r="15" spans="1:16" s="33" customFormat="1" ht="21.5" thickTop="1" x14ac:dyDescent="0.25">
      <c r="A15" s="44" t="s">
        <v>48</v>
      </c>
      <c r="B15" s="9">
        <f>SUM(B14)</f>
        <v>3</v>
      </c>
      <c r="C15" s="3"/>
      <c r="D15" s="9">
        <f>SUM(D14)</f>
        <v>30</v>
      </c>
      <c r="E15" s="45"/>
      <c r="F15" s="51"/>
      <c r="G15" s="73">
        <f>SUM(G14)</f>
        <v>3</v>
      </c>
      <c r="H15" s="74">
        <f>SUM(H14)</f>
        <v>30</v>
      </c>
      <c r="I15" s="47"/>
      <c r="J15" s="73">
        <f>SUM(J14)</f>
        <v>1</v>
      </c>
      <c r="K15" s="74">
        <f>SUM(K14)</f>
        <v>10</v>
      </c>
      <c r="L15" s="47"/>
      <c r="M15" s="73">
        <f>SUM(M14)</f>
        <v>1.2</v>
      </c>
      <c r="N15" s="74">
        <f>SUM(N14)</f>
        <v>12</v>
      </c>
      <c r="O15" s="36"/>
      <c r="P15" s="34"/>
    </row>
    <row r="16" spans="1:16" s="97" customFormat="1" ht="11.25" customHeight="1" thickBot="1" x14ac:dyDescent="0.3">
      <c r="A16" s="90" t="s">
        <v>51</v>
      </c>
      <c r="B16" s="103"/>
      <c r="C16" s="91"/>
      <c r="D16" s="103"/>
      <c r="E16" s="104"/>
      <c r="F16" s="106"/>
      <c r="G16" s="107"/>
      <c r="H16" s="108"/>
      <c r="I16" s="96"/>
      <c r="J16" s="107"/>
      <c r="K16" s="108"/>
      <c r="L16" s="96"/>
      <c r="M16" s="94">
        <f>M15/B15</f>
        <v>0.39999999999999997</v>
      </c>
      <c r="N16" s="95">
        <f>N15/D15</f>
        <v>0.4</v>
      </c>
      <c r="O16" s="109"/>
      <c r="P16" s="98"/>
    </row>
    <row r="17" spans="1:16" ht="11" thickTop="1" x14ac:dyDescent="0.25">
      <c r="A17" s="99" t="s">
        <v>13</v>
      </c>
      <c r="B17" s="100"/>
      <c r="C17" s="100"/>
      <c r="D17" s="100"/>
      <c r="E17" s="101"/>
      <c r="F17" s="102"/>
      <c r="G17" s="100"/>
      <c r="H17" s="101"/>
      <c r="I17" s="102"/>
      <c r="J17" s="100"/>
      <c r="K17" s="101"/>
      <c r="L17" s="102"/>
      <c r="M17" s="100"/>
      <c r="N17" s="101"/>
    </row>
    <row r="18" spans="1:16" ht="40" x14ac:dyDescent="0.25">
      <c r="A18" s="22" t="s">
        <v>14</v>
      </c>
      <c r="B18" s="14">
        <v>3</v>
      </c>
      <c r="C18" s="15">
        <v>2</v>
      </c>
      <c r="D18" s="15">
        <f>B18*C18</f>
        <v>6</v>
      </c>
      <c r="E18" s="23" t="s">
        <v>36</v>
      </c>
      <c r="F18" s="26" t="s">
        <v>31</v>
      </c>
      <c r="G18" s="19">
        <v>3</v>
      </c>
      <c r="H18" s="28">
        <f>G18*C18</f>
        <v>6</v>
      </c>
      <c r="I18" s="26" t="s">
        <v>15</v>
      </c>
      <c r="J18" s="16">
        <v>3</v>
      </c>
      <c r="K18" s="28">
        <f>J18*C18</f>
        <v>6</v>
      </c>
      <c r="L18" s="26" t="s">
        <v>15</v>
      </c>
      <c r="M18" s="16">
        <v>3</v>
      </c>
      <c r="N18" s="27">
        <f>M18*C18</f>
        <v>6</v>
      </c>
    </row>
    <row r="19" spans="1:16" ht="50.5" thickBot="1" x14ac:dyDescent="0.3">
      <c r="A19" s="37" t="s">
        <v>16</v>
      </c>
      <c r="B19" s="38">
        <v>3</v>
      </c>
      <c r="C19" s="39">
        <v>8</v>
      </c>
      <c r="D19" s="39">
        <f>B19*C19</f>
        <v>24</v>
      </c>
      <c r="E19" s="40" t="s">
        <v>60</v>
      </c>
      <c r="F19" s="48">
        <v>1</v>
      </c>
      <c r="G19" s="49">
        <f>3*F19/$O19</f>
        <v>7.4999999999999997E-2</v>
      </c>
      <c r="H19" s="43">
        <f>G19*C19</f>
        <v>0.6</v>
      </c>
      <c r="I19" s="54">
        <v>40</v>
      </c>
      <c r="J19" s="42">
        <f>3*I19/$O19</f>
        <v>3</v>
      </c>
      <c r="K19" s="43">
        <f>J19*C19</f>
        <v>24</v>
      </c>
      <c r="L19" s="54">
        <v>14</v>
      </c>
      <c r="M19" s="42">
        <f>3*L19/$O19</f>
        <v>1.05</v>
      </c>
      <c r="N19" s="82">
        <f>M19*C19</f>
        <v>8.4</v>
      </c>
      <c r="O19" s="6">
        <f>MAX(F19,I19,L19)</f>
        <v>40</v>
      </c>
    </row>
    <row r="20" spans="1:16" s="33" customFormat="1" ht="11" thickTop="1" x14ac:dyDescent="0.25">
      <c r="A20" s="44" t="s">
        <v>49</v>
      </c>
      <c r="B20" s="9">
        <f>SUM(B18:B19)</f>
        <v>6</v>
      </c>
      <c r="C20" s="3"/>
      <c r="D20" s="9">
        <f>SUM(D18:D19)</f>
        <v>30</v>
      </c>
      <c r="E20" s="45"/>
      <c r="F20" s="46"/>
      <c r="G20" s="52">
        <f>SUM(G18:G19)</f>
        <v>3.0750000000000002</v>
      </c>
      <c r="H20" s="53">
        <f>SUM(H18:H19)</f>
        <v>6.6</v>
      </c>
      <c r="I20" s="47"/>
      <c r="J20" s="52">
        <f>SUM(J18:J19)</f>
        <v>6</v>
      </c>
      <c r="K20" s="53">
        <f>SUM(K18:K19)</f>
        <v>30</v>
      </c>
      <c r="L20" s="47"/>
      <c r="M20" s="52">
        <f>SUM(M18:M19)</f>
        <v>4.05</v>
      </c>
      <c r="N20" s="53">
        <f>SUM(N18:N19)</f>
        <v>14.4</v>
      </c>
      <c r="O20" s="35"/>
      <c r="P20" s="34"/>
    </row>
    <row r="21" spans="1:16" s="97" customFormat="1" ht="11" thickBot="1" x14ac:dyDescent="0.3">
      <c r="A21" s="90" t="s">
        <v>51</v>
      </c>
      <c r="B21" s="103"/>
      <c r="C21" s="91"/>
      <c r="D21" s="103"/>
      <c r="E21" s="104"/>
      <c r="F21" s="93"/>
      <c r="G21" s="94">
        <f>G20/B20</f>
        <v>0.51250000000000007</v>
      </c>
      <c r="H21" s="95">
        <f>H20/D20</f>
        <v>0.22</v>
      </c>
      <c r="I21" s="96"/>
      <c r="J21" s="94">
        <f>J20/B20</f>
        <v>1</v>
      </c>
      <c r="K21" s="95">
        <f>K20/D20</f>
        <v>1</v>
      </c>
      <c r="L21" s="96"/>
      <c r="M21" s="94">
        <f>M20/B20</f>
        <v>0.67499999999999993</v>
      </c>
      <c r="N21" s="95">
        <f>N20/D20</f>
        <v>0.48000000000000004</v>
      </c>
      <c r="O21" s="105"/>
      <c r="P21" s="98"/>
    </row>
    <row r="22" spans="1:16" ht="11" thickTop="1" x14ac:dyDescent="0.25">
      <c r="A22" s="99" t="s">
        <v>17</v>
      </c>
      <c r="B22" s="100"/>
      <c r="C22" s="100"/>
      <c r="D22" s="100"/>
      <c r="E22" s="101"/>
      <c r="F22" s="102"/>
      <c r="G22" s="100"/>
      <c r="H22" s="101"/>
      <c r="I22" s="102"/>
      <c r="J22" s="100"/>
      <c r="K22" s="101"/>
      <c r="L22" s="102"/>
      <c r="M22" s="100"/>
      <c r="N22" s="101"/>
    </row>
    <row r="23" spans="1:16" ht="40" x14ac:dyDescent="0.25">
      <c r="A23" s="22" t="s">
        <v>18</v>
      </c>
      <c r="B23" s="14">
        <v>3</v>
      </c>
      <c r="C23" s="15">
        <v>4</v>
      </c>
      <c r="D23" s="15">
        <f t="shared" ref="D23:D31" si="0">B23*C23</f>
        <v>12</v>
      </c>
      <c r="E23" s="23" t="s">
        <v>37</v>
      </c>
      <c r="F23" s="26" t="s">
        <v>19</v>
      </c>
      <c r="G23" s="18">
        <v>1</v>
      </c>
      <c r="H23" s="28">
        <f t="shared" ref="H23:H31" si="1">G23*C23</f>
        <v>4</v>
      </c>
      <c r="I23" s="26" t="s">
        <v>31</v>
      </c>
      <c r="J23" s="18">
        <v>3</v>
      </c>
      <c r="K23" s="28">
        <f t="shared" ref="K23:K31" si="2">J23*C23</f>
        <v>12</v>
      </c>
      <c r="L23" s="26" t="s">
        <v>32</v>
      </c>
      <c r="M23" s="16">
        <v>2</v>
      </c>
      <c r="N23" s="27">
        <f t="shared" ref="N23:N31" si="3">M23*C23</f>
        <v>8</v>
      </c>
    </row>
    <row r="24" spans="1:16" ht="40" x14ac:dyDescent="0.25">
      <c r="A24" s="22" t="s">
        <v>20</v>
      </c>
      <c r="B24" s="14">
        <v>3</v>
      </c>
      <c r="C24" s="15">
        <v>4</v>
      </c>
      <c r="D24" s="15">
        <f t="shared" si="0"/>
        <v>12</v>
      </c>
      <c r="E24" s="23" t="s">
        <v>36</v>
      </c>
      <c r="F24" s="26" t="s">
        <v>19</v>
      </c>
      <c r="G24" s="18">
        <v>1</v>
      </c>
      <c r="H24" s="28">
        <f t="shared" si="1"/>
        <v>4</v>
      </c>
      <c r="I24" s="26" t="s">
        <v>15</v>
      </c>
      <c r="J24" s="18">
        <v>3</v>
      </c>
      <c r="K24" s="28">
        <f t="shared" si="2"/>
        <v>12</v>
      </c>
      <c r="L24" s="26" t="s">
        <v>15</v>
      </c>
      <c r="M24" s="16">
        <v>3</v>
      </c>
      <c r="N24" s="27">
        <f t="shared" si="3"/>
        <v>12</v>
      </c>
    </row>
    <row r="25" spans="1:16" ht="42" x14ac:dyDescent="0.25">
      <c r="A25" s="22" t="s">
        <v>21</v>
      </c>
      <c r="B25" s="14">
        <v>3</v>
      </c>
      <c r="C25" s="15">
        <v>4</v>
      </c>
      <c r="D25" s="15">
        <f t="shared" si="0"/>
        <v>12</v>
      </c>
      <c r="E25" s="23" t="s">
        <v>36</v>
      </c>
      <c r="F25" s="26" t="s">
        <v>15</v>
      </c>
      <c r="G25" s="18">
        <v>3</v>
      </c>
      <c r="H25" s="28">
        <f t="shared" si="1"/>
        <v>12</v>
      </c>
      <c r="I25" s="26" t="s">
        <v>15</v>
      </c>
      <c r="J25" s="18">
        <v>3</v>
      </c>
      <c r="K25" s="28">
        <f t="shared" si="2"/>
        <v>12</v>
      </c>
      <c r="L25" s="26" t="s">
        <v>32</v>
      </c>
      <c r="M25" s="16">
        <v>2</v>
      </c>
      <c r="N25" s="27">
        <f t="shared" si="3"/>
        <v>8</v>
      </c>
    </row>
    <row r="26" spans="1:16" ht="40" x14ac:dyDescent="0.25">
      <c r="A26" s="22" t="s">
        <v>22</v>
      </c>
      <c r="B26" s="14">
        <v>3</v>
      </c>
      <c r="C26" s="15">
        <v>3</v>
      </c>
      <c r="D26" s="15">
        <f t="shared" si="0"/>
        <v>9</v>
      </c>
      <c r="E26" s="23" t="s">
        <v>36</v>
      </c>
      <c r="F26" s="26" t="s">
        <v>15</v>
      </c>
      <c r="G26" s="16">
        <v>3</v>
      </c>
      <c r="H26" s="28">
        <f t="shared" si="1"/>
        <v>9</v>
      </c>
      <c r="I26" s="26" t="s">
        <v>15</v>
      </c>
      <c r="J26" s="18">
        <v>3</v>
      </c>
      <c r="K26" s="28">
        <f t="shared" si="2"/>
        <v>9</v>
      </c>
      <c r="L26" s="26" t="s">
        <v>15</v>
      </c>
      <c r="M26" s="16">
        <v>3</v>
      </c>
      <c r="N26" s="27">
        <f t="shared" si="3"/>
        <v>9</v>
      </c>
    </row>
    <row r="27" spans="1:16" ht="40" x14ac:dyDescent="0.25">
      <c r="A27" s="22" t="s">
        <v>23</v>
      </c>
      <c r="B27" s="14">
        <v>3</v>
      </c>
      <c r="C27" s="15">
        <v>3</v>
      </c>
      <c r="D27" s="15">
        <f t="shared" si="0"/>
        <v>9</v>
      </c>
      <c r="E27" s="23" t="s">
        <v>36</v>
      </c>
      <c r="F27" s="26" t="s">
        <v>15</v>
      </c>
      <c r="G27" s="16">
        <v>3</v>
      </c>
      <c r="H27" s="28">
        <f t="shared" si="1"/>
        <v>9</v>
      </c>
      <c r="I27" s="26" t="s">
        <v>15</v>
      </c>
      <c r="J27" s="18">
        <v>3</v>
      </c>
      <c r="K27" s="28">
        <f t="shared" si="2"/>
        <v>9</v>
      </c>
      <c r="L27" s="26" t="s">
        <v>15</v>
      </c>
      <c r="M27" s="16">
        <v>3</v>
      </c>
      <c r="N27" s="27">
        <f t="shared" si="3"/>
        <v>9</v>
      </c>
    </row>
    <row r="28" spans="1:16" ht="40" x14ac:dyDescent="0.25">
      <c r="A28" s="22" t="s">
        <v>24</v>
      </c>
      <c r="B28" s="14">
        <v>3</v>
      </c>
      <c r="C28" s="15">
        <v>3</v>
      </c>
      <c r="D28" s="15">
        <f t="shared" si="0"/>
        <v>9</v>
      </c>
      <c r="E28" s="23" t="s">
        <v>36</v>
      </c>
      <c r="F28" s="26" t="s">
        <v>19</v>
      </c>
      <c r="G28" s="16">
        <v>1</v>
      </c>
      <c r="H28" s="28">
        <f t="shared" si="1"/>
        <v>3</v>
      </c>
      <c r="I28" s="26" t="s">
        <v>15</v>
      </c>
      <c r="J28" s="18">
        <v>3</v>
      </c>
      <c r="K28" s="28">
        <f t="shared" si="2"/>
        <v>9</v>
      </c>
      <c r="L28" s="26" t="s">
        <v>15</v>
      </c>
      <c r="M28" s="16">
        <v>3</v>
      </c>
      <c r="N28" s="27">
        <f t="shared" si="3"/>
        <v>9</v>
      </c>
    </row>
    <row r="29" spans="1:16" ht="40" x14ac:dyDescent="0.25">
      <c r="A29" s="22" t="s">
        <v>25</v>
      </c>
      <c r="B29" s="14">
        <v>3</v>
      </c>
      <c r="C29" s="15">
        <v>3</v>
      </c>
      <c r="D29" s="15">
        <f t="shared" si="0"/>
        <v>9</v>
      </c>
      <c r="E29" s="23" t="s">
        <v>61</v>
      </c>
      <c r="F29" s="115" t="s">
        <v>54</v>
      </c>
      <c r="G29" s="16">
        <v>3</v>
      </c>
      <c r="H29" s="28">
        <f t="shared" si="1"/>
        <v>9</v>
      </c>
      <c r="I29" s="115" t="s">
        <v>26</v>
      </c>
      <c r="J29" s="16">
        <v>2</v>
      </c>
      <c r="K29" s="28">
        <f t="shared" si="2"/>
        <v>6</v>
      </c>
      <c r="L29" s="115" t="s">
        <v>27</v>
      </c>
      <c r="M29" s="16">
        <v>3</v>
      </c>
      <c r="N29" s="27">
        <f t="shared" si="3"/>
        <v>9</v>
      </c>
    </row>
    <row r="30" spans="1:16" ht="31.5" x14ac:dyDescent="0.25">
      <c r="A30" s="22" t="s">
        <v>28</v>
      </c>
      <c r="B30" s="14">
        <v>3</v>
      </c>
      <c r="C30" s="15">
        <v>3</v>
      </c>
      <c r="D30" s="15">
        <f t="shared" si="0"/>
        <v>9</v>
      </c>
      <c r="E30" s="23" t="s">
        <v>38</v>
      </c>
      <c r="F30" s="26" t="s">
        <v>0</v>
      </c>
      <c r="G30" s="16">
        <v>1</v>
      </c>
      <c r="H30" s="28">
        <f t="shared" si="1"/>
        <v>3</v>
      </c>
      <c r="I30" s="115" t="s">
        <v>29</v>
      </c>
      <c r="J30" s="16">
        <v>3</v>
      </c>
      <c r="K30" s="28">
        <f t="shared" si="2"/>
        <v>9</v>
      </c>
      <c r="L30" s="115" t="s">
        <v>0</v>
      </c>
      <c r="M30" s="16">
        <v>1</v>
      </c>
      <c r="N30" s="27">
        <f t="shared" si="3"/>
        <v>3</v>
      </c>
    </row>
    <row r="31" spans="1:16" ht="32" thickBot="1" x14ac:dyDescent="0.3">
      <c r="A31" s="37" t="s">
        <v>30</v>
      </c>
      <c r="B31" s="38">
        <v>3</v>
      </c>
      <c r="C31" s="39">
        <v>3</v>
      </c>
      <c r="D31" s="39">
        <f t="shared" si="0"/>
        <v>9</v>
      </c>
      <c r="E31" s="40" t="s">
        <v>38</v>
      </c>
      <c r="F31" s="48" t="s">
        <v>0</v>
      </c>
      <c r="G31" s="55">
        <v>1</v>
      </c>
      <c r="H31" s="43">
        <f t="shared" si="1"/>
        <v>3</v>
      </c>
      <c r="I31" s="116" t="s">
        <v>53</v>
      </c>
      <c r="J31" s="55">
        <v>2</v>
      </c>
      <c r="K31" s="43">
        <f t="shared" si="2"/>
        <v>6</v>
      </c>
      <c r="L31" s="116" t="s">
        <v>53</v>
      </c>
      <c r="M31" s="55">
        <v>2</v>
      </c>
      <c r="N31" s="82">
        <f t="shared" si="3"/>
        <v>6</v>
      </c>
    </row>
    <row r="32" spans="1:16" s="33" customFormat="1" ht="11.5" thickTop="1" thickBot="1" x14ac:dyDescent="0.3">
      <c r="A32" s="58" t="s">
        <v>50</v>
      </c>
      <c r="B32" s="59">
        <f>SUM(B23:B31)</f>
        <v>27</v>
      </c>
      <c r="C32" s="59"/>
      <c r="D32" s="59">
        <f>SUM(D23:D31)</f>
        <v>90</v>
      </c>
      <c r="E32" s="60"/>
      <c r="F32" s="83"/>
      <c r="G32" s="75">
        <f>SUM(G23:G31)</f>
        <v>17</v>
      </c>
      <c r="H32" s="76">
        <f>SUM(H23:H31)</f>
        <v>56</v>
      </c>
      <c r="I32" s="61"/>
      <c r="J32" s="75">
        <f>SUM(J23:J31)</f>
        <v>25</v>
      </c>
      <c r="K32" s="76">
        <f>SUM(K23:K31)</f>
        <v>84</v>
      </c>
      <c r="L32" s="61"/>
      <c r="M32" s="75">
        <f>SUM(M23:M31)</f>
        <v>22</v>
      </c>
      <c r="N32" s="76">
        <f>SUM(N23:N31)</f>
        <v>73</v>
      </c>
      <c r="P32" s="34"/>
    </row>
    <row r="33" spans="1:16" s="97" customFormat="1" ht="11.5" thickTop="1" thickBot="1" x14ac:dyDescent="0.3">
      <c r="A33" s="90" t="s">
        <v>51</v>
      </c>
      <c r="B33" s="91"/>
      <c r="C33" s="91"/>
      <c r="D33" s="91"/>
      <c r="E33" s="92"/>
      <c r="F33" s="93"/>
      <c r="G33" s="94">
        <f>G32/B32</f>
        <v>0.62962962962962965</v>
      </c>
      <c r="H33" s="95">
        <f>H32/D32</f>
        <v>0.62222222222222223</v>
      </c>
      <c r="I33" s="96"/>
      <c r="J33" s="94">
        <f>J32/B32</f>
        <v>0.92592592592592593</v>
      </c>
      <c r="K33" s="95">
        <f>K32/D32</f>
        <v>0.93333333333333335</v>
      </c>
      <c r="L33" s="96"/>
      <c r="M33" s="94">
        <f>M32/B32</f>
        <v>0.81481481481481477</v>
      </c>
      <c r="N33" s="95">
        <f>N32/D32</f>
        <v>0.81111111111111112</v>
      </c>
      <c r="P33" s="98"/>
    </row>
    <row r="34" spans="1:16" ht="4.5" customHeight="1" thickTop="1" thickBot="1" x14ac:dyDescent="0.3">
      <c r="A34" s="56"/>
      <c r="B34" s="5"/>
      <c r="C34" s="5"/>
      <c r="D34" s="5"/>
      <c r="E34" s="57"/>
      <c r="F34" s="84"/>
      <c r="G34" s="77"/>
      <c r="H34" s="78"/>
      <c r="I34" s="84"/>
      <c r="J34" s="77"/>
      <c r="K34" s="78"/>
      <c r="L34" s="84"/>
      <c r="M34" s="77"/>
      <c r="N34" s="78"/>
    </row>
    <row r="35" spans="1:16" s="66" customFormat="1" ht="12" thickBot="1" x14ac:dyDescent="0.3">
      <c r="A35" s="62" t="s">
        <v>42</v>
      </c>
      <c r="B35" s="63">
        <f>SUM(B6,B11,B15,B20,B32)</f>
        <v>48</v>
      </c>
      <c r="C35" s="63"/>
      <c r="D35" s="63">
        <f>SUM(D6,D11,D15,D20,D32)</f>
        <v>300</v>
      </c>
      <c r="E35" s="64"/>
      <c r="F35" s="85"/>
      <c r="G35" s="79">
        <f>SUM(G6,G11,G15,G20,G32)</f>
        <v>30.217857142857142</v>
      </c>
      <c r="H35" s="80">
        <f>SUM(H6,H11,H15,H20,H32)</f>
        <v>169.02857142857141</v>
      </c>
      <c r="I35" s="65"/>
      <c r="J35" s="86">
        <f>SUM(J6,J11,J15,J20,J32)</f>
        <v>40.700000000000003</v>
      </c>
      <c r="K35" s="87">
        <f>SUM(K6,K11,K15,K20,K32)</f>
        <v>232</v>
      </c>
      <c r="L35" s="65">
        <f>K35/$D35</f>
        <v>0.77333333333333332</v>
      </c>
      <c r="M35" s="86">
        <f>SUM(M6,M11,M15,M20,M32)</f>
        <v>37.450000000000003</v>
      </c>
      <c r="N35" s="87">
        <f>SUM(N6,N11,N15,N20,N32)</f>
        <v>222.4</v>
      </c>
      <c r="P35" s="67"/>
    </row>
    <row r="36" spans="1:16" s="66" customFormat="1" ht="23.5" thickBot="1" x14ac:dyDescent="0.3">
      <c r="A36" s="62" t="s">
        <v>52</v>
      </c>
      <c r="B36" s="63"/>
      <c r="C36" s="63"/>
      <c r="D36" s="63"/>
      <c r="E36" s="64"/>
      <c r="F36" s="85"/>
      <c r="G36" s="88">
        <f>G35/B35</f>
        <v>0.62953869047619049</v>
      </c>
      <c r="H36" s="89">
        <f>H35/D35</f>
        <v>0.56342857142857139</v>
      </c>
      <c r="I36" s="65"/>
      <c r="J36" s="88">
        <f>J35/B35</f>
        <v>0.84791666666666676</v>
      </c>
      <c r="K36" s="89">
        <f>K35/D35</f>
        <v>0.77333333333333332</v>
      </c>
      <c r="L36" s="65"/>
      <c r="M36" s="88">
        <f>M35/B35</f>
        <v>0.78020833333333339</v>
      </c>
      <c r="N36" s="89">
        <f>N35/D35</f>
        <v>0.7413333333333334</v>
      </c>
      <c r="P36" s="67"/>
    </row>
    <row r="42" spans="1:16" ht="8.25" customHeight="1" x14ac:dyDescent="0.25"/>
  </sheetData>
  <mergeCells count="4">
    <mergeCell ref="A1:E1"/>
    <mergeCell ref="F1:H1"/>
    <mergeCell ref="I1:K1"/>
    <mergeCell ref="L1:N1"/>
  </mergeCells>
  <phoneticPr fontId="0" type="noConversion"/>
  <pageMargins left="0.24" right="0.19" top="0.47" bottom="0.35" header="0.5" footer="0.5"/>
  <pageSetup orientation="landscape" horizontalDpi="355" verticalDpi="46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Non-Functional Summary</vt:lpstr>
      <vt:lpstr>Weighting Summary</vt:lpstr>
      <vt:lpstr>Non-Functional Detail</vt:lpstr>
      <vt:lpstr>Weighted Non-Functional Chart</vt:lpstr>
      <vt:lpstr>Non-Function %</vt:lpstr>
      <vt:lpstr>Chart5</vt:lpstr>
      <vt:lpstr>Chart6</vt:lpstr>
      <vt:lpstr>Chart7</vt:lpstr>
      <vt:lpstr>Chart8</vt:lpstr>
      <vt:lpstr>Non-Functional Weightings</vt:lpstr>
      <vt:lpstr>Non-Functional Weighting Sum</vt:lpstr>
      <vt:lpstr>'Non-Functional Detail'!Print_Area</vt:lpstr>
      <vt:lpstr>'Non-Functional Summary'!Print_Area</vt:lpstr>
      <vt:lpstr>'Non-Functional Detail'!Print_Titles</vt:lpstr>
    </vt:vector>
  </TitlesOfParts>
  <Company>OA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evannan</dc:creator>
  <cp:lastModifiedBy>Carina Negreanu</cp:lastModifiedBy>
  <cp:lastPrinted>2003-07-08T19:50:19Z</cp:lastPrinted>
  <dcterms:created xsi:type="dcterms:W3CDTF">2003-06-26T21:38:38Z</dcterms:created>
  <dcterms:modified xsi:type="dcterms:W3CDTF">2020-01-27T12:48:54Z</dcterms:modified>
</cp:coreProperties>
</file>