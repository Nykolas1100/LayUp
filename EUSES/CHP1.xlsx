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EF33B7-90C9-4D3D-8668-62C6F1EBD7F8}" xr6:coauthVersionLast="45" xr6:coauthVersionMax="45" xr10:uidLastSave="{00000000-0000-0000-0000-000000000000}"/>
  <bookViews>
    <workbookView xWindow="3420" yWindow="3420" windowWidth="28800" windowHeight="15460" tabRatio="903" activeTab="1"/>
  </bookViews>
  <sheets>
    <sheet name="Introduction" sheetId="1" r:id="rId1"/>
    <sheet name="1. Selecting and Moving" sheetId="4" r:id="rId2"/>
    <sheet name="2. Formatting Cells I" sheetId="5" r:id="rId3"/>
    <sheet name="3. Editing, Searching etc." sheetId="6" r:id="rId4"/>
    <sheet name="4. Formatting Cells II" sheetId="7" r:id="rId5"/>
    <sheet name="5.Calculations" sheetId="8" r:id="rId6"/>
    <sheet name="Sheet 14" sheetId="11" r:id="rId7"/>
    <sheet name="Sheet15" sheetId="10" r:id="rId8"/>
    <sheet name="Sheet 16" sheetId="9" r:id="rId9"/>
    <sheet name="Empty4Practice" sheetId="12" r:id="rId10"/>
    <sheet name="6. Tagged Worksheets" sheetId="3" r:id="rId11"/>
  </sheets>
  <definedNames>
    <definedName name="Currcy">'5.Calculations'!$J$93</definedName>
    <definedName name="NrList">'5.Calculations'!$J$40:$J$45</definedName>
    <definedName name="PrtyClr">'5.Calculations'!$K$92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5" l="1"/>
  <c r="B18" i="5"/>
  <c r="B35" i="8"/>
  <c r="F44" i="8"/>
  <c r="B66" i="8"/>
  <c r="B72" i="8"/>
  <c r="B73" i="8"/>
  <c r="B78" i="8"/>
  <c r="B81" i="8" s="1"/>
  <c r="B79" i="8"/>
  <c r="B80" i="8"/>
  <c r="B82" i="8"/>
  <c r="B83" i="8"/>
  <c r="A89" i="8"/>
  <c r="A91" i="8"/>
  <c r="A93" i="8"/>
  <c r="A94" i="8"/>
  <c r="A96" i="8"/>
</calcChain>
</file>

<file path=xl/sharedStrings.xml><?xml version="1.0" encoding="utf-8"?>
<sst xmlns="http://schemas.openxmlformats.org/spreadsheetml/2006/main" count="266" uniqueCount="246">
  <si>
    <t>Note to Reader</t>
  </si>
  <si>
    <t>1. Selecting and Moving</t>
  </si>
  <si>
    <t>2. Formatting Cells I</t>
  </si>
  <si>
    <t>3. Editing, Searching etc.</t>
  </si>
  <si>
    <t>4. Formatting Cells II</t>
  </si>
  <si>
    <t>6. Tagged Worksheets</t>
  </si>
  <si>
    <t>Using Excel's Tagged Worsheets</t>
  </si>
  <si>
    <t xml:space="preserve">1. Rename the worksheet </t>
  </si>
  <si>
    <t xml:space="preserve">     Point to the tag name, click right mouse key. Select Rename. Change name to PracticeSheet.</t>
  </si>
  <si>
    <t xml:space="preserve">     Then rename it back again.</t>
  </si>
  <si>
    <t xml:space="preserve">     To copy do the same while holding down the ctrl key. The new sheet is automatically give the name ****(2)</t>
  </si>
  <si>
    <t>3. Delete the worksheets 14-16</t>
  </si>
  <si>
    <t xml:space="preserve">     Hold down the cntl button while left clicking the tabs to be removed. Click on right mouse button. Press Delete.</t>
  </si>
  <si>
    <t>4. Create a new Worksheet</t>
  </si>
  <si>
    <r>
      <t xml:space="preserve">     Move mouse to where you  want to insert the sheet. Select </t>
    </r>
    <r>
      <rPr>
        <u/>
        <sz val="8"/>
        <rFont val="Arial"/>
        <family val="2"/>
      </rPr>
      <t>I</t>
    </r>
    <r>
      <rPr>
        <sz val="8"/>
        <rFont val="Arial"/>
        <family val="2"/>
      </rPr>
      <t xml:space="preserve">nsert </t>
    </r>
    <r>
      <rPr>
        <u/>
        <sz val="8"/>
        <rFont val="Arial"/>
        <family val="2"/>
      </rPr>
      <t>W</t>
    </r>
    <r>
      <rPr>
        <sz val="8"/>
        <rFont val="Arial"/>
        <family val="2"/>
      </rPr>
      <t>orksheet. It receives default name Sheet*</t>
    </r>
  </si>
  <si>
    <t>Navigating the Worksheet</t>
  </si>
  <si>
    <t>Exercises for Selecting</t>
  </si>
  <si>
    <t>1. Select the whole of row 10</t>
  </si>
  <si>
    <t xml:space="preserve">     Go to row 10, press shift and spacebar</t>
  </si>
  <si>
    <t>2. Select the whole of column G</t>
  </si>
  <si>
    <t xml:space="preserve">     Go to Column G, press ctrl and spacebar</t>
  </si>
  <si>
    <t xml:space="preserve">     OR simply click on the row or column heading</t>
  </si>
  <si>
    <t>3. Select the whole worksheet</t>
  </si>
  <si>
    <t xml:space="preserve">     Click on the unlabelled block to the left of the A label</t>
  </si>
  <si>
    <t xml:space="preserve">     OR press ctrl and a simultaneously.</t>
  </si>
  <si>
    <t>4. Extend a selection</t>
  </si>
  <si>
    <t xml:space="preserve">     Select any cell, hold down the shift key and use the cursor arrows to extend</t>
  </si>
  <si>
    <t>5. Extend the current selection to edge of current data region</t>
  </si>
  <si>
    <t xml:space="preserve">     Place cursor in the bordered area to the right, press Ctrl+shift+cursor arrow key</t>
  </si>
  <si>
    <t xml:space="preserve">     Place cursor at different places in the bordered area to the right, press Ctrl+shift+end key</t>
  </si>
  <si>
    <t xml:space="preserve">     Move to the bordered area, hold down the ctrl key and select the next cell or range.</t>
  </si>
  <si>
    <r>
      <t xml:space="preserve">     For example select </t>
    </r>
    <r>
      <rPr>
        <b/>
        <sz val="8"/>
        <rFont val="Arial"/>
      </rPr>
      <t>only</t>
    </r>
    <r>
      <rPr>
        <sz val="8"/>
        <rFont val="Arial"/>
        <family val="2"/>
      </rPr>
      <t xml:space="preserve"> the cells Text, More Text and Bottom Region or RightEdge and BottomRegion</t>
    </r>
  </si>
  <si>
    <t>Exercises for Moving</t>
  </si>
  <si>
    <t>1. Move to the extremes of the current data region and worksheet</t>
  </si>
  <si>
    <t>TopRegion</t>
  </si>
  <si>
    <t xml:space="preserve">    a)  Use the bordered area to the right for practice.</t>
  </si>
  <si>
    <t>Text</t>
  </si>
  <si>
    <t xml:space="preserve">         Go to any occupied cell</t>
  </si>
  <si>
    <t xml:space="preserve">         Use different ctrl + cursor arrow combinations and observe what happens</t>
  </si>
  <si>
    <t>LeftEdge</t>
  </si>
  <si>
    <t>More Text</t>
  </si>
  <si>
    <t>RightEdge</t>
  </si>
  <si>
    <t xml:space="preserve">         on repeated pressing</t>
  </si>
  <si>
    <t xml:space="preserve">         Extend the practice to regions outside the practice region</t>
  </si>
  <si>
    <t xml:space="preserve">    b) Use the cntl and Home and cntl and End keys to find the top left and bottom right cells</t>
  </si>
  <si>
    <t>2. Move screen-fulls at a time</t>
  </si>
  <si>
    <t>BottomRegion</t>
  </si>
  <si>
    <t xml:space="preserve">     Use the Page up, Page down and Alt+Page up and Alt+Page down keys</t>
  </si>
  <si>
    <t>Formatting Spreadsheet Cells</t>
  </si>
  <si>
    <t>1. Consequences of spill-over</t>
  </si>
  <si>
    <t>This will cause spill-over, if contents of cell A5 is too long. Edit panel shows correct value</t>
  </si>
  <si>
    <t>abcdefghijklmnopqrstuv</t>
  </si>
  <si>
    <t>Spilt-over text. All these letters are in cell A6. Move cursor to B6 to confirm.</t>
  </si>
  <si>
    <t>2. Formatting Examples (via Format Cells + Option)</t>
  </si>
  <si>
    <t>Numeric data</t>
  </si>
  <si>
    <t>Entered as 12.34. Cell formatted with Format Code 0</t>
  </si>
  <si>
    <t>Entered as 12.34. Cell formatted with Format Code 0.00</t>
  </si>
  <si>
    <t>Entered as 12.34. Cell formatted with Format Code #,##0.00</t>
  </si>
  <si>
    <t>Entered as 12345.678; Cell formatted with Format Code #,##0.00</t>
  </si>
  <si>
    <t>Date data</t>
  </si>
  <si>
    <t>Entered as =NOW(). Cell formatted with Format Code m/d/yy</t>
  </si>
  <si>
    <t>Entered as =NOW(). Cell formatted with Format Code d-mmm-yy</t>
  </si>
  <si>
    <t>Scientific Data</t>
  </si>
  <si>
    <t>Entered as 12.34. Cell formatted with Format Code 0.00E+00</t>
  </si>
  <si>
    <t>Entered as 12.34. Cell formatted with Format Code ##0.00E+0</t>
  </si>
  <si>
    <t>Currency Data</t>
  </si>
  <si>
    <t>Entered as 12.34. Cell formatted with Format Code ($#,##0_);($#,##0)</t>
  </si>
  <si>
    <t>Entered as 12345.678 Cell formatted with Format Code $#,##0_);[Red]($#,##0)</t>
  </si>
  <si>
    <r>
      <t>Note</t>
    </r>
    <r>
      <rPr>
        <sz val="10"/>
        <color indexed="10"/>
        <rFont val="Arial"/>
        <family val="2"/>
      </rPr>
      <t xml:space="preserve">:  the five </t>
    </r>
    <r>
      <rPr>
        <b/>
        <sz val="10"/>
        <color indexed="10"/>
        <rFont val="Arial"/>
      </rPr>
      <t>number-style buttons</t>
    </r>
    <r>
      <rPr>
        <sz val="10"/>
        <color indexed="10"/>
        <rFont val="Arial"/>
        <family val="2"/>
      </rPr>
      <t xml:space="preserve"> ($, %,"," etc) on the formatting toolbar can also be used. </t>
    </r>
  </si>
  <si>
    <t>3. Using Autofill</t>
  </si>
  <si>
    <t>a) Complete the series below by using AutoFill.</t>
  </si>
  <si>
    <t xml:space="preserve">(hint: Select all available members of series. Place cursor on  small black square at the bottom right corner of the last member. </t>
  </si>
  <si>
    <t>Cursor will turn to crosswire. Drag this as required. To remove unwanted members reverse process.</t>
  </si>
  <si>
    <t>Mon</t>
  </si>
  <si>
    <t>Tues</t>
  </si>
  <si>
    <t>Jan</t>
  </si>
  <si>
    <t>Feb</t>
  </si>
  <si>
    <t>Mar</t>
  </si>
  <si>
    <r>
      <t xml:space="preserve">b) Construct a custom list of your own by entering it in </t>
    </r>
    <r>
      <rPr>
        <i/>
        <sz val="10"/>
        <color indexed="10"/>
        <rFont val="Arial"/>
      </rPr>
      <t>Tools Options Custom Lists NEW LIST</t>
    </r>
  </si>
  <si>
    <t>Editing, Searching, Cut and Paste etc.</t>
  </si>
  <si>
    <t>Note: use the undo and repeat keys (left and right pointing curly arrows) in these exercises to restore original state.</t>
  </si>
  <si>
    <t xml:space="preserve">         OR elect not to save changes to it on closing the worksheet</t>
  </si>
  <si>
    <t>1. Editing</t>
  </si>
  <si>
    <t xml:space="preserve">     Using the cells B7 and A9 practice deleting them a) as single cells and b) as complete rows or columns.</t>
  </si>
  <si>
    <t xml:space="preserve">     Use the undo and repeat buttons to retrieve them for later practice.</t>
  </si>
  <si>
    <t>DeleteMeAsCol</t>
  </si>
  <si>
    <t>DeleteMeAsRow</t>
  </si>
  <si>
    <t>2. Copying and Moving</t>
  </si>
  <si>
    <t xml:space="preserve">     With your mouse copy/move the cells A16 and A18 to D12. Afterwards delete the target cells using the different options offered.</t>
  </si>
  <si>
    <t xml:space="preserve">     Hint: it's all under the right mouse key! With Exercise 1 too!</t>
  </si>
  <si>
    <t>CopyMe2D13</t>
  </si>
  <si>
    <t>MoveMe2D15</t>
  </si>
  <si>
    <t>3. Finding and Replacing/Spell Checking</t>
  </si>
  <si>
    <t xml:space="preserve">    a) Find and Replace all occurrences of the words Lotus 123 and Quattro on this worksheet.</t>
  </si>
  <si>
    <t xml:space="preserve">    b) Hidden away on a far corner of this workbook is a piece of text containing several misspelled words. </t>
  </si>
  <si>
    <t>Quattro</t>
  </si>
  <si>
    <t xml:space="preserve">        Use the spelling checker  (Tools Spelling or F7) to find and correct them. </t>
  </si>
  <si>
    <t>3. Inserting Cells, Rows and Columns</t>
  </si>
  <si>
    <t xml:space="preserve">    a) Use the Insert menu option to insert cells, rows and columns in different places.</t>
  </si>
  <si>
    <t xml:space="preserve">       Observe the different options offered and their meanings.</t>
  </si>
  <si>
    <t xml:space="preserve"> Lotus 123</t>
  </si>
  <si>
    <t>Yewsing spredsheets kan be phun iff and wen yew no wot yor dooing</t>
  </si>
  <si>
    <t>Hear's sum mor bad speling</t>
  </si>
  <si>
    <t>Formatting Cells II</t>
  </si>
  <si>
    <t>1. Changing a Cell's Height and Width</t>
  </si>
  <si>
    <t xml:space="preserve">         Note: double clicking on the column header performs a kind of "adjust to fit contents" width alteration.</t>
  </si>
  <si>
    <t>Across a Single column</t>
  </si>
  <si>
    <t>Across two or more Columns</t>
  </si>
  <si>
    <t xml:space="preserve">Atmospheric Temperature </t>
  </si>
  <si>
    <t>Height above Ground</t>
  </si>
  <si>
    <t>Median Wind Velocity</t>
  </si>
  <si>
    <t>Median Temperature</t>
  </si>
  <si>
    <t>Media Pressure</t>
  </si>
  <si>
    <r>
      <t xml:space="preserve">     b) Restore row 2's height to its default value. </t>
    </r>
    <r>
      <rPr>
        <sz val="8"/>
        <color indexed="10"/>
        <rFont val="Arial"/>
        <family val="2"/>
      </rPr>
      <t>Consult Help for advice.</t>
    </r>
  </si>
  <si>
    <t xml:space="preserve">     c) Change the width for all columns in the worksheet, </t>
  </si>
  <si>
    <t xml:space="preserve">         Select entire worksheet then Format Column Standard Width and change the dialog box which appears to suit the required width.</t>
  </si>
  <si>
    <t>2. Aligning a cell's contents</t>
  </si>
  <si>
    <r>
      <t xml:space="preserve">         Use F</t>
    </r>
    <r>
      <rPr>
        <u/>
        <sz val="8"/>
        <rFont val="Arial"/>
        <family val="2"/>
      </rPr>
      <t>o</t>
    </r>
    <r>
      <rPr>
        <sz val="8"/>
        <rFont val="Arial"/>
        <family val="2"/>
      </rPr>
      <t>rmat C</t>
    </r>
    <r>
      <rPr>
        <u/>
        <sz val="8"/>
        <rFont val="Arial"/>
        <family val="2"/>
      </rPr>
      <t>e</t>
    </r>
    <r>
      <rPr>
        <sz val="8"/>
        <rFont val="Arial"/>
        <family val="2"/>
      </rPr>
      <t>lls Alignment to align the following cell contents. Adjust cell widths where necessary.</t>
    </r>
  </si>
  <si>
    <t xml:space="preserve">Horizontal </t>
  </si>
  <si>
    <t>Vertical</t>
  </si>
  <si>
    <t>Align left</t>
  </si>
  <si>
    <t>Excel 97</t>
  </si>
  <si>
    <t>Top</t>
  </si>
  <si>
    <t>Align right</t>
  </si>
  <si>
    <t>Center</t>
  </si>
  <si>
    <t>Align center</t>
  </si>
  <si>
    <t xml:space="preserve">Bottom </t>
  </si>
  <si>
    <t>Orientations</t>
  </si>
  <si>
    <t>vertical</t>
  </si>
  <si>
    <t>Excel 95</t>
  </si>
  <si>
    <t>Ditto to left</t>
  </si>
  <si>
    <t>Ditto to right</t>
  </si>
  <si>
    <t>Excel 99</t>
  </si>
  <si>
    <t>3. Text Effects and Fonts</t>
  </si>
  <si>
    <t xml:space="preserve">     Reproduce the text attributes of the text below using only the Formatting Toolbar. Use your own text.</t>
  </si>
  <si>
    <t>MS Sans Serif</t>
  </si>
  <si>
    <t>Impact</t>
  </si>
  <si>
    <t>Courier</t>
  </si>
  <si>
    <r>
      <t>4. Hiding Columns and Rows</t>
    </r>
    <r>
      <rPr>
        <b/>
        <sz val="10"/>
        <color indexed="10"/>
        <rFont val="Arial"/>
        <family val="2"/>
      </rPr>
      <t xml:space="preserve"> </t>
    </r>
    <r>
      <rPr>
        <b/>
        <sz val="8"/>
        <color indexed="10"/>
        <rFont val="Arial"/>
        <family val="2"/>
      </rPr>
      <t>(via Format Column/Row Hide/Unhide)</t>
    </r>
  </si>
  <si>
    <t xml:space="preserve">     Using only the mouse alternately hide and unhide a) the column C and then Cand D</t>
  </si>
  <si>
    <t xml:space="preserve">     then row 28 and rows 28 and 29.</t>
  </si>
  <si>
    <t>5. Using Autoformats</t>
  </si>
  <si>
    <t xml:space="preserve">     Use the Autoformats to format the dataset below. Retain the format of the Dataset Nr. 1 title</t>
  </si>
  <si>
    <t xml:space="preserve">     Use Edit Undo Autoformats to remove unwanted autoformats. Adjust the options on the Autoformat option sheet.</t>
  </si>
  <si>
    <t>Dataset Nr. 1</t>
  </si>
  <si>
    <t>Schleissheim</t>
  </si>
  <si>
    <t>Hof</t>
  </si>
  <si>
    <t>Schauinsland</t>
  </si>
  <si>
    <t>Jülich</t>
  </si>
  <si>
    <t>Oldenburg</t>
  </si>
  <si>
    <t>Wet</t>
  </si>
  <si>
    <t>Dry</t>
  </si>
  <si>
    <t>Performing Calculations</t>
  </si>
  <si>
    <t>1. Operators</t>
  </si>
  <si>
    <t xml:space="preserve">     The following operators have their usual mathematical significance.</t>
  </si>
  <si>
    <r>
      <t>+</t>
    </r>
    <r>
      <rPr>
        <sz val="10"/>
        <rFont val="Arial"/>
      </rPr>
      <t xml:space="preserve"> add </t>
    </r>
  </si>
  <si>
    <r>
      <t>-</t>
    </r>
    <r>
      <rPr>
        <sz val="10"/>
        <color indexed="10"/>
        <rFont val="Arial"/>
        <family val="2"/>
      </rPr>
      <t xml:space="preserve"> </t>
    </r>
    <r>
      <rPr>
        <sz val="10"/>
        <rFont val="Arial"/>
      </rPr>
      <t>subtract</t>
    </r>
  </si>
  <si>
    <r>
      <t>*</t>
    </r>
    <r>
      <rPr>
        <sz val="10"/>
        <rFont val="Arial"/>
      </rPr>
      <t xml:space="preserve"> multiply</t>
    </r>
  </si>
  <si>
    <r>
      <t>/</t>
    </r>
    <r>
      <rPr>
        <b/>
        <sz val="10"/>
        <rFont val="Arial"/>
      </rPr>
      <t xml:space="preserve"> </t>
    </r>
    <r>
      <rPr>
        <sz val="10"/>
        <rFont val="Arial"/>
      </rPr>
      <t>divide</t>
    </r>
  </si>
  <si>
    <r>
      <t xml:space="preserve">( </t>
    </r>
    <r>
      <rPr>
        <sz val="10"/>
        <rFont val="Arial"/>
      </rPr>
      <t>start nesting</t>
    </r>
  </si>
  <si>
    <r>
      <t>%</t>
    </r>
    <r>
      <rPr>
        <sz val="10"/>
        <rFont val="Arial"/>
      </rPr>
      <t xml:space="preserve"> convert to percent</t>
    </r>
  </si>
  <si>
    <r>
      <t xml:space="preserve">^ </t>
    </r>
    <r>
      <rPr>
        <sz val="10"/>
        <rFont val="Arial"/>
      </rPr>
      <t>exponentiation (to the power of)</t>
    </r>
  </si>
  <si>
    <r>
      <t xml:space="preserve">) </t>
    </r>
    <r>
      <rPr>
        <sz val="10"/>
        <rFont val="Arial"/>
      </rPr>
      <t>end nesting</t>
    </r>
  </si>
  <si>
    <r>
      <t>+</t>
    </r>
    <r>
      <rPr>
        <sz val="10"/>
        <rFont val="Arial"/>
      </rPr>
      <t xml:space="preserve"> positive</t>
    </r>
  </si>
  <si>
    <r>
      <t xml:space="preserve">- </t>
    </r>
    <r>
      <rPr>
        <sz val="10"/>
        <rFont val="Arial"/>
      </rPr>
      <t>negative</t>
    </r>
  </si>
  <si>
    <t>Answers</t>
  </si>
  <si>
    <t>2+3</t>
  </si>
  <si>
    <t>Something wrong ?</t>
  </si>
  <si>
    <t>2-3</t>
  </si>
  <si>
    <t xml:space="preserve">Remember to precede your expressions </t>
  </si>
  <si>
    <t>2*3</t>
  </si>
  <si>
    <t>with =</t>
  </si>
  <si>
    <t>(2*3)*3</t>
  </si>
  <si>
    <t>2^2</t>
  </si>
  <si>
    <t>2. Applying AutoSum</t>
  </si>
  <si>
    <t xml:space="preserve">     Use the Autosum feature to complete summing the following lists:</t>
  </si>
  <si>
    <t xml:space="preserve">     Hint: Move cursor to answers box, click on the Autosum icon. Enter.</t>
  </si>
  <si>
    <t>Particle</t>
  </si>
  <si>
    <t>Particles Gathered</t>
  </si>
  <si>
    <t>Diameter</t>
  </si>
  <si>
    <t>Site 1</t>
  </si>
  <si>
    <t>Site 2</t>
  </si>
  <si>
    <t>Site 3</t>
  </si>
  <si>
    <t>3. Entering Formulas</t>
  </si>
  <si>
    <t>NrList</t>
  </si>
  <si>
    <r>
      <t xml:space="preserve">     Enter the following as formulas using point and click (N.B. the reference cells </t>
    </r>
    <r>
      <rPr>
        <b/>
        <sz val="8"/>
        <color indexed="11"/>
        <rFont val="Arial"/>
      </rPr>
      <t xml:space="preserve">J40, ... J45 </t>
    </r>
    <r>
      <rPr>
        <sz val="8"/>
        <rFont val="Arial"/>
        <family val="2"/>
      </rPr>
      <t>contain only numeric data)</t>
    </r>
  </si>
  <si>
    <t>J40+J42</t>
  </si>
  <si>
    <t>J40-J42</t>
  </si>
  <si>
    <t>AVERAGE(J40:J42)</t>
  </si>
  <si>
    <t>J40*J42</t>
  </si>
  <si>
    <t>J40/J45</t>
  </si>
  <si>
    <t xml:space="preserve">     The following "formulas" if entered would be incorrect</t>
  </si>
  <si>
    <t xml:space="preserve">     Enter and correct them. Remember you can edit either in the cell itself (double click on it) or in the formula panel</t>
  </si>
  <si>
    <t>=SUM(J40:J42</t>
  </si>
  <si>
    <t>=J 40</t>
  </si>
  <si>
    <t>5x7</t>
  </si>
  <si>
    <t>40 J</t>
  </si>
  <si>
    <t>==J40</t>
  </si>
  <si>
    <t>=SUM(J:40:J42)</t>
  </si>
  <si>
    <t>=AVRIDGE(J40:J45)</t>
  </si>
  <si>
    <t>#=J45+J</t>
  </si>
  <si>
    <t xml:space="preserve">4. Excel's built-in Functions.           Use </t>
  </si>
  <si>
    <r>
      <t xml:space="preserve">     </t>
    </r>
    <r>
      <rPr>
        <b/>
        <sz val="10"/>
        <rFont val="Arial"/>
      </rPr>
      <t>to access these.</t>
    </r>
  </si>
  <si>
    <t xml:space="preserve">     Some examples using the block in column J as in 3 (J40..J46 has been named NrList; via Insert Name Create):</t>
  </si>
  <si>
    <t>Result</t>
  </si>
  <si>
    <t>=COUNT(NrList)</t>
  </si>
  <si>
    <t>Very easily entered by point and click and the Function Wizard</t>
  </si>
  <si>
    <t>1. Click on</t>
  </si>
  <si>
    <t>2. Select from All or Statistical COUNT</t>
  </si>
  <si>
    <t>3. In field Value1 click on the Name range list (left under active font)</t>
  </si>
  <si>
    <t xml:space="preserve">    Select NrList from list of names (if any). Selection is automatically entered as function argument.</t>
  </si>
  <si>
    <t>=MAX(J40:J45)</t>
  </si>
  <si>
    <t>Entered as above except that we dragged downwards from J40 to J45</t>
  </si>
  <si>
    <t>=MIN(J40:J45)</t>
  </si>
  <si>
    <t>Function =Min() works similarly.</t>
  </si>
  <si>
    <t>The newest versions of Excel contain a multitude of functions from</t>
  </si>
  <si>
    <t xml:space="preserve"> Finance, Date arithmetic, Mathematics and Trigonometry, Statistics, String-handling etc.</t>
  </si>
  <si>
    <t>=EVEN(J41)</t>
  </si>
  <si>
    <t>=EVEN rounds up to the next even number</t>
  </si>
  <si>
    <t>=ROW(J42)</t>
  </si>
  <si>
    <t>=ROW returns the row number of the referenced cell</t>
  </si>
  <si>
    <t>=LEN(J39)</t>
  </si>
  <si>
    <t>=LEN(J39) returns length of text in referenced cell</t>
  </si>
  <si>
    <t>=IF(B78&lt;B79,"It's true","It's false")</t>
  </si>
  <si>
    <t>=IF performs a logical test</t>
  </si>
  <si>
    <t>=NOW()</t>
  </si>
  <si>
    <t>=NOW() returns date and time</t>
  </si>
  <si>
    <t>=REPT("abc",3)</t>
  </si>
  <si>
    <t>=REPT("Txt",NrTimes) repeats Txt a given number of times NrTimes</t>
  </si>
  <si>
    <t>5. Conditional Formulas</t>
  </si>
  <si>
    <t>[Some reference cells to the right]</t>
  </si>
  <si>
    <t>SomeText</t>
  </si>
  <si>
    <t>=K86&gt;K87; 23.4 is not  greater than 34: proposition false</t>
  </si>
  <si>
    <t>=LEN(K88)&gt;LEN(K89): length of "SomeText" is greater than length of TRUE;</t>
  </si>
  <si>
    <t xml:space="preserve">  proposition true</t>
  </si>
  <si>
    <t>PrtyClr</t>
  </si>
  <si>
    <t>red</t>
  </si>
  <si>
    <t>=K86=K87; 23.4 not equal to 34; proposition false</t>
  </si>
  <si>
    <t>=LEN(K89)&lt;&gt;LEN(K90): length of "TRUE" is not equal to the length of FALSE;</t>
  </si>
  <si>
    <t>=IF(PrtyClr="red","Labour","Tory")</t>
  </si>
  <si>
    <t>There are 6 tagged worksheets in this workbook. Their titles:</t>
  </si>
  <si>
    <t>6. Extend the current selection to the last cell of the worksheert</t>
  </si>
  <si>
    <t>7. To select non-adjacent cells</t>
  </si>
  <si>
    <r>
      <t xml:space="preserve">2. Move/Copy the </t>
    </r>
    <r>
      <rPr>
        <b/>
        <u/>
        <sz val="10"/>
        <rFont val="Arial"/>
      </rPr>
      <t>Empty4Practice</t>
    </r>
    <r>
      <rPr>
        <u/>
        <sz val="10"/>
        <rFont val="Arial"/>
        <family val="2"/>
      </rPr>
      <t xml:space="preserve"> (E4P) tag to the last position.</t>
    </r>
  </si>
  <si>
    <t xml:space="preserve">     Point to E4P, hold down the right key and drag to desired position. Watch for the small black triangle marking the insertion position.</t>
  </si>
  <si>
    <t xml:space="preserve">5. Calculations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</si>
</sst>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_);\(&quot;$&quot;#,##0\)"/>
    <numFmt numFmtId="173" formatCode="&quot;$&quot;#,##0_);[Red]\(&quot;$&quot;#,##0\)"/>
  </numFmts>
  <fonts count="36" x14ac:knownFonts="1">
    <font>
      <sz val="10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2"/>
      <name val="Arial"/>
    </font>
    <font>
      <b/>
      <sz val="12"/>
      <name val="Arial"/>
      <family val="2"/>
    </font>
    <font>
      <b/>
      <sz val="8"/>
      <name val="Arial"/>
    </font>
    <font>
      <sz val="10"/>
      <color indexed="10"/>
      <name val="Arial"/>
      <family val="2"/>
    </font>
    <font>
      <b/>
      <sz val="10"/>
      <color indexed="10"/>
      <name val="Arial"/>
    </font>
    <font>
      <b/>
      <sz val="12"/>
      <color indexed="10"/>
      <name val="Arial"/>
    </font>
    <font>
      <i/>
      <sz val="10"/>
      <color indexed="10"/>
      <name val="Arial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u/>
      <sz val="8"/>
      <name val="Arial"/>
      <family val="2"/>
    </font>
    <font>
      <sz val="10"/>
      <color indexed="39"/>
      <name val="Arial"/>
      <family val="2"/>
    </font>
    <font>
      <sz val="8"/>
      <name val="MS Sans Serif"/>
      <family val="2"/>
    </font>
    <font>
      <sz val="12"/>
      <name val="MS Sans Serif"/>
      <family val="2"/>
    </font>
    <font>
      <sz val="12"/>
      <color indexed="56"/>
      <name val="MS Sans Serif"/>
      <family val="2"/>
    </font>
    <font>
      <i/>
      <sz val="8"/>
      <name val="MS Sans Serif"/>
    </font>
    <font>
      <u/>
      <sz val="8"/>
      <name val="MS Sans Serif"/>
      <family val="2"/>
    </font>
    <font>
      <b/>
      <i/>
      <u/>
      <sz val="8"/>
      <name val="MS Sans Serif"/>
      <family val="2"/>
    </font>
    <font>
      <sz val="8"/>
      <name val="Impact"/>
    </font>
    <font>
      <sz val="11"/>
      <color indexed="63"/>
      <name val="Courier New"/>
      <family val="3"/>
    </font>
    <font>
      <sz val="10"/>
      <color indexed="50"/>
      <name val="Arial"/>
      <family val="2"/>
    </font>
    <font>
      <b/>
      <sz val="12"/>
      <color indexed="50"/>
      <name val="Arial"/>
      <family val="2"/>
    </font>
    <font>
      <sz val="10"/>
      <color indexed="8"/>
      <name val="Arial"/>
    </font>
    <font>
      <b/>
      <i/>
      <sz val="10"/>
      <color indexed="9"/>
      <name val="Arial"/>
    </font>
    <font>
      <b/>
      <sz val="9"/>
      <color indexed="20"/>
      <name val="Arial"/>
    </font>
    <font>
      <b/>
      <sz val="10"/>
      <color indexed="10"/>
      <name val="Arial"/>
      <family val="2"/>
    </font>
    <font>
      <b/>
      <sz val="10"/>
      <color indexed="11"/>
      <name val="Arial"/>
    </font>
    <font>
      <b/>
      <sz val="8"/>
      <color indexed="11"/>
      <name val="Arial"/>
    </font>
    <font>
      <b/>
      <u/>
      <sz val="10"/>
      <color indexed="10"/>
      <name val="Arial"/>
      <family val="2"/>
    </font>
    <font>
      <b/>
      <sz val="8"/>
      <color indexed="10"/>
      <name val="Arial"/>
    </font>
    <font>
      <b/>
      <u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  <fill>
      <patternFill patternType="solid">
        <fgColor indexed="22"/>
        <bgColor indexed="2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 style="thin">
        <color indexed="23"/>
      </right>
      <top style="thin">
        <color indexed="9"/>
      </top>
      <bottom style="thin">
        <color indexed="23"/>
      </bottom>
      <diagonal/>
    </border>
    <border>
      <left/>
      <right/>
      <top style="medium">
        <color indexed="10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/>
      <top/>
      <bottom/>
      <diagonal/>
    </border>
    <border>
      <left/>
      <right style="medium">
        <color indexed="10"/>
      </right>
      <top/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Continuous"/>
    </xf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0" fontId="5" fillId="0" borderId="0" xfId="0" applyFont="1"/>
    <xf numFmtId="0" fontId="0" fillId="0" borderId="0" xfId="0" applyAlignment="1">
      <alignment horizontal="centerContinuous"/>
    </xf>
    <xf numFmtId="0" fontId="6" fillId="0" borderId="0" xfId="0" applyFont="1" applyAlignment="1">
      <alignment horizontal="centerContinuous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centerContinuous"/>
    </xf>
    <xf numFmtId="20" fontId="5" fillId="0" borderId="0" xfId="0" applyNumberFormat="1" applyFont="1"/>
    <xf numFmtId="2" fontId="0" fillId="0" borderId="0" xfId="0" applyNumberFormat="1"/>
    <xf numFmtId="4" fontId="0" fillId="0" borderId="0" xfId="0" applyNumberFormat="1"/>
    <xf numFmtId="1" fontId="0" fillId="0" borderId="0" xfId="0" applyNumberFormat="1"/>
    <xf numFmtId="11" fontId="0" fillId="0" borderId="0" xfId="0" applyNumberFormat="1"/>
    <xf numFmtId="48" fontId="0" fillId="0" borderId="0" xfId="0" applyNumberFormat="1"/>
    <xf numFmtId="14" fontId="0" fillId="0" borderId="0" xfId="0" applyNumberFormat="1"/>
    <xf numFmtId="15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9" fillId="0" borderId="0" xfId="0" applyFont="1"/>
    <xf numFmtId="0" fontId="11" fillId="0" borderId="0" xfId="0" applyFont="1"/>
    <xf numFmtId="0" fontId="13" fillId="0" borderId="0" xfId="0" applyFont="1" applyAlignment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/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7" fillId="0" borderId="9" xfId="0" applyFont="1" applyBorder="1"/>
    <xf numFmtId="0" fontId="22" fillId="2" borderId="10" xfId="0" applyFont="1" applyFill="1" applyBorder="1"/>
    <xf numFmtId="0" fontId="23" fillId="3" borderId="0" xfId="0" applyFont="1" applyFill="1"/>
    <xf numFmtId="0" fontId="24" fillId="4" borderId="11" xfId="0" applyFont="1" applyFill="1" applyBorder="1" applyAlignment="1">
      <alignment horizontal="center"/>
    </xf>
    <xf numFmtId="0" fontId="25" fillId="2" borderId="0" xfId="0" applyFont="1" applyFill="1"/>
    <xf numFmtId="0" fontId="26" fillId="2" borderId="0" xfId="0" applyFont="1" applyFill="1" applyAlignment="1">
      <alignment horizontal="centerContinuous"/>
    </xf>
    <xf numFmtId="0" fontId="2" fillId="0" borderId="0" xfId="0" applyFont="1"/>
    <xf numFmtId="0" fontId="27" fillId="5" borderId="0" xfId="0" applyFont="1" applyFill="1" applyBorder="1" applyAlignment="1"/>
    <xf numFmtId="0" fontId="27" fillId="5" borderId="7" xfId="0" applyFont="1" applyFill="1" applyBorder="1" applyAlignment="1"/>
    <xf numFmtId="0" fontId="28" fillId="6" borderId="2" xfId="0" applyFont="1" applyFill="1" applyBorder="1" applyAlignment="1">
      <alignment horizontal="right"/>
    </xf>
    <xf numFmtId="0" fontId="28" fillId="6" borderId="0" xfId="0" applyFont="1" applyFill="1" applyBorder="1" applyAlignment="1">
      <alignment horizontal="right"/>
    </xf>
    <xf numFmtId="0" fontId="28" fillId="6" borderId="12" xfId="0" applyFont="1" applyFill="1" applyBorder="1" applyAlignment="1">
      <alignment horizontal="right"/>
    </xf>
    <xf numFmtId="0" fontId="29" fillId="7" borderId="13" xfId="0" applyFont="1" applyFill="1" applyBorder="1" applyAlignment="1">
      <alignment horizontal="center"/>
    </xf>
    <xf numFmtId="0" fontId="29" fillId="7" borderId="14" xfId="0" applyFont="1" applyFill="1" applyBorder="1" applyAlignment="1">
      <alignment horizontal="center"/>
    </xf>
    <xf numFmtId="0" fontId="0" fillId="0" borderId="0" xfId="0" quotePrefix="1"/>
    <xf numFmtId="0" fontId="30" fillId="0" borderId="0" xfId="0" quotePrefix="1" applyFont="1"/>
    <xf numFmtId="0" fontId="30" fillId="0" borderId="0" xfId="0" applyFont="1"/>
    <xf numFmtId="0" fontId="9" fillId="0" borderId="0" xfId="0" quotePrefix="1" applyFont="1"/>
    <xf numFmtId="0" fontId="5" fillId="0" borderId="0" xfId="0" applyFont="1" applyAlignment="1">
      <alignment horizontal="center"/>
    </xf>
    <xf numFmtId="0" fontId="14" fillId="0" borderId="0" xfId="0" applyFont="1" applyAlignment="1">
      <alignment horizontal="centerContinuous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5" xfId="0" applyBorder="1"/>
    <xf numFmtId="0" fontId="8" fillId="0" borderId="16" xfId="0" applyFont="1" applyBorder="1" applyAlignment="1">
      <alignment horizontal="centerContinuous"/>
    </xf>
    <xf numFmtId="0" fontId="8" fillId="0" borderId="17" xfId="0" applyFont="1" applyBorder="1" applyAlignment="1">
      <alignment horizontal="centerContinuous"/>
    </xf>
    <xf numFmtId="0" fontId="8" fillId="0" borderId="18" xfId="0" applyFont="1" applyBorder="1" applyAlignment="1">
      <alignment horizontal="centerContinuous"/>
    </xf>
    <xf numFmtId="0" fontId="8" fillId="0" borderId="19" xfId="0" applyFont="1" applyBorder="1" applyAlignment="1">
      <alignment horizontal="centerContinuous"/>
    </xf>
    <xf numFmtId="0" fontId="8" fillId="0" borderId="0" xfId="0" applyFont="1" applyBorder="1" applyAlignment="1">
      <alignment horizontal="centerContinuous"/>
    </xf>
    <xf numFmtId="0" fontId="8" fillId="0" borderId="20" xfId="0" applyFont="1" applyBorder="1" applyAlignment="1">
      <alignment horizontal="centerContinuous"/>
    </xf>
    <xf numFmtId="0" fontId="8" fillId="0" borderId="21" xfId="0" applyFont="1" applyBorder="1" applyAlignment="1">
      <alignment horizontal="centerContinuous"/>
    </xf>
    <xf numFmtId="0" fontId="8" fillId="0" borderId="22" xfId="0" applyFont="1" applyBorder="1" applyAlignment="1">
      <alignment horizontal="centerContinuous"/>
    </xf>
    <xf numFmtId="0" fontId="8" fillId="0" borderId="23" xfId="0" applyFont="1" applyBorder="1" applyAlignment="1">
      <alignment horizontal="centerContinuous"/>
    </xf>
    <xf numFmtId="0" fontId="0" fillId="0" borderId="0" xfId="0" applyProtection="1">
      <protection hidden="1"/>
    </xf>
    <xf numFmtId="0" fontId="31" fillId="0" borderId="0" xfId="0" applyFont="1" applyProtection="1">
      <protection hidden="1"/>
    </xf>
    <xf numFmtId="0" fontId="31" fillId="0" borderId="0" xfId="0" applyFont="1"/>
    <xf numFmtId="0" fontId="33" fillId="0" borderId="0" xfId="0" applyFont="1" applyAlignment="1">
      <alignment horizontal="center"/>
    </xf>
    <xf numFmtId="0" fontId="8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8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4" xfId="0" applyBorder="1"/>
    <xf numFmtId="0" fontId="5" fillId="0" borderId="0" xfId="0" quotePrefix="1" applyFont="1"/>
    <xf numFmtId="22" fontId="0" fillId="0" borderId="0" xfId="0" applyNumberFormat="1"/>
    <xf numFmtId="22" fontId="0" fillId="0" borderId="0" xfId="0" quotePrefix="1" applyNumberFormat="1"/>
    <xf numFmtId="0" fontId="3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27</xdr:row>
      <xdr:rowOff>19050</xdr:rowOff>
    </xdr:from>
    <xdr:to>
      <xdr:col>10</xdr:col>
      <xdr:colOff>279400</xdr:colOff>
      <xdr:row>27</xdr:row>
      <xdr:rowOff>190500</xdr:rowOff>
    </xdr:to>
    <xdr:pic>
      <xdr:nvPicPr>
        <xdr:cNvPr id="1026" name="Bild 2">
          <a:extLst>
            <a:ext uri="{FF2B5EF4-FFF2-40B4-BE49-F238E27FC236}">
              <a16:creationId xmlns:a16="http://schemas.microsoft.com/office/drawing/2014/main" id="{DB6DD053-D9BD-4855-BC8C-0137FB378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4343400"/>
          <a:ext cx="87630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241300</xdr:colOff>
      <xdr:row>22</xdr:row>
      <xdr:rowOff>12700</xdr:rowOff>
    </xdr:from>
    <xdr:to>
      <xdr:col>2</xdr:col>
      <xdr:colOff>419100</xdr:colOff>
      <xdr:row>23</xdr:row>
      <xdr:rowOff>6350</xdr:rowOff>
    </xdr:to>
    <xdr:pic>
      <xdr:nvPicPr>
        <xdr:cNvPr id="2050" name="Bild 2">
          <a:extLst>
            <a:ext uri="{FF2B5EF4-FFF2-40B4-BE49-F238E27FC236}">
              <a16:creationId xmlns:a16="http://schemas.microsoft.com/office/drawing/2014/main" id="{E28BBF9D-192E-4B81-8204-2A27459EC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6750" y="3568700"/>
          <a:ext cx="177800" cy="158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158750</xdr:colOff>
      <xdr:row>61</xdr:row>
      <xdr:rowOff>6350</xdr:rowOff>
    </xdr:to>
    <xdr:pic>
      <xdr:nvPicPr>
        <xdr:cNvPr id="2051" name="Bild 3">
          <a:extLst>
            <a:ext uri="{FF2B5EF4-FFF2-40B4-BE49-F238E27FC236}">
              <a16:creationId xmlns:a16="http://schemas.microsoft.com/office/drawing/2014/main" id="{1D042D56-0F0E-4806-902A-9A51EE335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7350" y="9658350"/>
          <a:ext cx="1587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158750</xdr:colOff>
      <xdr:row>67</xdr:row>
      <xdr:rowOff>6350</xdr:rowOff>
    </xdr:to>
    <xdr:pic>
      <xdr:nvPicPr>
        <xdr:cNvPr id="2052" name="Bild 4">
          <a:extLst>
            <a:ext uri="{FF2B5EF4-FFF2-40B4-BE49-F238E27FC236}">
              <a16:creationId xmlns:a16="http://schemas.microsoft.com/office/drawing/2014/main" id="{E1C1226D-F5BC-4C8C-975C-A1AD728EC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10623550"/>
          <a:ext cx="158750" cy="165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K15"/>
  <sheetViews>
    <sheetView topLeftCell="B1" workbookViewId="0">
      <selection activeCell="C14" sqref="C14"/>
    </sheetView>
  </sheetViews>
  <sheetFormatPr defaultColWidth="8.81640625" defaultRowHeight="12.5" x14ac:dyDescent="0.25"/>
  <sheetData>
    <row r="5" spans="2:11" ht="15.5" x14ac:dyDescent="0.35">
      <c r="B5" s="49" t="s">
        <v>0</v>
      </c>
      <c r="C5" s="49"/>
      <c r="D5" s="49"/>
      <c r="E5" s="49"/>
      <c r="F5" s="49"/>
      <c r="G5" s="49"/>
      <c r="H5" s="49"/>
      <c r="I5" s="49"/>
      <c r="J5" s="49"/>
      <c r="K5" s="48"/>
    </row>
    <row r="8" spans="2:11" x14ac:dyDescent="0.25">
      <c r="B8" t="s">
        <v>240</v>
      </c>
    </row>
    <row r="10" spans="2:11" x14ac:dyDescent="0.25">
      <c r="C10" t="s">
        <v>1</v>
      </c>
    </row>
    <row r="11" spans="2:11" x14ac:dyDescent="0.25">
      <c r="C11" t="s">
        <v>2</v>
      </c>
    </row>
    <row r="12" spans="2:11" x14ac:dyDescent="0.25">
      <c r="C12" t="s">
        <v>3</v>
      </c>
    </row>
    <row r="13" spans="2:11" x14ac:dyDescent="0.25">
      <c r="C13" t="s">
        <v>4</v>
      </c>
    </row>
    <row r="14" spans="2:11" x14ac:dyDescent="0.25">
      <c r="C14" t="s">
        <v>245</v>
      </c>
    </row>
    <row r="15" spans="2:11" x14ac:dyDescent="0.25">
      <c r="C15" t="s">
        <v>5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/>
  </sheetViews>
  <sheetFormatPr defaultColWidth="8.81640625" defaultRowHeight="12.5" x14ac:dyDescent="0.25"/>
  <sheetData>
    <row r="1" spans="1:10" ht="15.5" x14ac:dyDescent="0.35">
      <c r="A1" s="7" t="s">
        <v>15</v>
      </c>
      <c r="B1" s="7"/>
      <c r="C1" s="7"/>
      <c r="D1" s="7"/>
      <c r="E1" s="7"/>
      <c r="F1" s="7"/>
      <c r="G1" s="7"/>
      <c r="H1" s="7"/>
      <c r="I1" s="6"/>
      <c r="J1" s="6"/>
    </row>
    <row r="4" spans="1:10" ht="13" x14ac:dyDescent="0.3">
      <c r="A4" s="1" t="s">
        <v>16</v>
      </c>
      <c r="B4" s="1"/>
      <c r="C4" s="1"/>
    </row>
    <row r="6" spans="1:10" s="3" customFormat="1" x14ac:dyDescent="0.25">
      <c r="A6" s="3" t="s">
        <v>17</v>
      </c>
    </row>
    <row r="7" spans="1:10" x14ac:dyDescent="0.25">
      <c r="A7" s="5" t="s">
        <v>18</v>
      </c>
      <c r="B7" s="5"/>
      <c r="C7" s="5"/>
      <c r="D7" s="5"/>
    </row>
    <row r="8" spans="1:10" x14ac:dyDescent="0.25">
      <c r="A8" s="3" t="s">
        <v>19</v>
      </c>
      <c r="B8" s="3"/>
      <c r="C8" s="3"/>
    </row>
    <row r="9" spans="1:10" x14ac:dyDescent="0.25">
      <c r="A9" s="5" t="s">
        <v>20</v>
      </c>
      <c r="B9" s="5"/>
      <c r="C9" s="5"/>
      <c r="D9" s="5"/>
    </row>
    <row r="10" spans="1:10" x14ac:dyDescent="0.25">
      <c r="A10" s="5" t="s">
        <v>21</v>
      </c>
      <c r="B10" s="5"/>
      <c r="C10" s="5"/>
      <c r="D10" s="5"/>
    </row>
    <row r="11" spans="1:10" x14ac:dyDescent="0.25">
      <c r="A11" s="4" t="s">
        <v>22</v>
      </c>
      <c r="B11" s="3"/>
      <c r="C11" s="3"/>
    </row>
    <row r="12" spans="1:10" x14ac:dyDescent="0.25">
      <c r="A12" s="5" t="s">
        <v>23</v>
      </c>
      <c r="B12" s="5"/>
      <c r="C12" s="5"/>
      <c r="D12" s="5"/>
      <c r="E12" s="5"/>
    </row>
    <row r="13" spans="1:10" x14ac:dyDescent="0.25">
      <c r="A13" s="5" t="s">
        <v>24</v>
      </c>
      <c r="B13" s="5"/>
      <c r="C13" s="5"/>
    </row>
    <row r="14" spans="1:10" x14ac:dyDescent="0.25">
      <c r="A14" s="4" t="s">
        <v>25</v>
      </c>
      <c r="B14" s="3"/>
      <c r="C14" s="3"/>
    </row>
    <row r="15" spans="1:10" x14ac:dyDescent="0.25">
      <c r="A15" s="5" t="s">
        <v>26</v>
      </c>
      <c r="B15" s="5"/>
      <c r="C15" s="5"/>
      <c r="D15" s="5"/>
      <c r="E15" s="5"/>
      <c r="F15" s="5"/>
      <c r="G15" s="5"/>
      <c r="H15" s="5"/>
    </row>
    <row r="16" spans="1:10" x14ac:dyDescent="0.25">
      <c r="A16" s="4" t="s">
        <v>27</v>
      </c>
      <c r="B16" s="3"/>
      <c r="C16" s="3"/>
    </row>
    <row r="17" spans="1:11" x14ac:dyDescent="0.25">
      <c r="A17" s="5" t="s">
        <v>28</v>
      </c>
      <c r="B17" s="5"/>
      <c r="C17" s="5"/>
      <c r="D17" s="5"/>
      <c r="E17" s="5"/>
      <c r="F17" s="5"/>
    </row>
    <row r="18" spans="1:11" x14ac:dyDescent="0.25">
      <c r="A18" s="4" t="s">
        <v>241</v>
      </c>
      <c r="B18" s="5"/>
      <c r="C18" s="5"/>
      <c r="D18" s="5"/>
      <c r="E18" s="5"/>
      <c r="F18" s="5"/>
    </row>
    <row r="19" spans="1:11" x14ac:dyDescent="0.25">
      <c r="A19" s="5" t="s">
        <v>29</v>
      </c>
      <c r="B19" s="5"/>
      <c r="C19" s="5"/>
      <c r="D19" s="5"/>
      <c r="E19" s="5"/>
      <c r="F19" s="5"/>
    </row>
    <row r="20" spans="1:11" s="2" customFormat="1" x14ac:dyDescent="0.25">
      <c r="A20" s="3" t="s">
        <v>242</v>
      </c>
      <c r="B20" s="3"/>
      <c r="C20" s="3"/>
    </row>
    <row r="21" spans="1:11" x14ac:dyDescent="0.25">
      <c r="A21" s="18" t="s">
        <v>30</v>
      </c>
      <c r="B21" s="5"/>
      <c r="C21" s="5"/>
      <c r="D21" s="5"/>
      <c r="E21" s="5"/>
      <c r="F21" s="5"/>
      <c r="G21" s="5"/>
      <c r="H21" s="5"/>
    </row>
    <row r="22" spans="1:11" x14ac:dyDescent="0.25">
      <c r="A22" s="5" t="s">
        <v>31</v>
      </c>
      <c r="B22" s="5"/>
      <c r="C22" s="5"/>
      <c r="D22" s="5"/>
      <c r="E22" s="5"/>
      <c r="F22" s="5"/>
    </row>
    <row r="25" spans="1:11" ht="13" x14ac:dyDescent="0.3">
      <c r="A25" s="1" t="s">
        <v>32</v>
      </c>
      <c r="B25" s="1"/>
      <c r="C25" s="1"/>
    </row>
    <row r="26" spans="1:11" ht="13" thickBot="1" x14ac:dyDescent="0.3"/>
    <row r="27" spans="1:11" x14ac:dyDescent="0.25">
      <c r="A27" s="3" t="s">
        <v>33</v>
      </c>
      <c r="B27" s="3"/>
      <c r="C27" s="3"/>
      <c r="H27" s="8"/>
      <c r="I27" s="9" t="s">
        <v>34</v>
      </c>
      <c r="J27" s="9"/>
      <c r="K27" s="10"/>
    </row>
    <row r="28" spans="1:11" x14ac:dyDescent="0.25">
      <c r="A28" s="5" t="s">
        <v>35</v>
      </c>
      <c r="H28" s="11" t="s">
        <v>36</v>
      </c>
      <c r="I28" s="12"/>
      <c r="J28" s="12"/>
      <c r="K28" s="13"/>
    </row>
    <row r="29" spans="1:11" x14ac:dyDescent="0.25">
      <c r="A29" s="5" t="s">
        <v>37</v>
      </c>
      <c r="H29" s="11"/>
      <c r="I29" s="12"/>
      <c r="J29" s="12"/>
      <c r="K29" s="13"/>
    </row>
    <row r="30" spans="1:11" x14ac:dyDescent="0.25">
      <c r="A30" s="5" t="s">
        <v>38</v>
      </c>
      <c r="H30" s="11" t="s">
        <v>39</v>
      </c>
      <c r="I30" s="12"/>
      <c r="J30" s="12" t="s">
        <v>40</v>
      </c>
      <c r="K30" s="13" t="s">
        <v>41</v>
      </c>
    </row>
    <row r="31" spans="1:11" x14ac:dyDescent="0.25">
      <c r="A31" s="5" t="s">
        <v>42</v>
      </c>
      <c r="H31" s="11"/>
      <c r="I31" s="12"/>
      <c r="J31" s="12"/>
      <c r="K31" s="13"/>
    </row>
    <row r="32" spans="1:11" x14ac:dyDescent="0.25">
      <c r="A32" s="5" t="s">
        <v>43</v>
      </c>
      <c r="B32" s="5"/>
      <c r="C32" s="5"/>
      <c r="D32" s="5"/>
      <c r="E32" s="5"/>
      <c r="F32" s="5"/>
      <c r="H32" s="11"/>
      <c r="I32" s="12"/>
      <c r="J32" s="12"/>
      <c r="K32" s="13"/>
    </row>
    <row r="33" spans="1:11" x14ac:dyDescent="0.25">
      <c r="A33" s="5" t="s">
        <v>44</v>
      </c>
      <c r="B33" s="5"/>
      <c r="C33" s="5"/>
      <c r="D33" s="5"/>
      <c r="E33" s="5"/>
      <c r="F33" s="5"/>
      <c r="H33" s="11"/>
      <c r="I33" s="12"/>
      <c r="J33" s="12"/>
      <c r="K33" s="13"/>
    </row>
    <row r="34" spans="1:11" x14ac:dyDescent="0.25">
      <c r="A34" s="5"/>
      <c r="B34" s="5"/>
      <c r="C34" s="5"/>
      <c r="D34" s="5"/>
      <c r="E34" s="5"/>
      <c r="F34" s="5"/>
      <c r="H34" s="11"/>
      <c r="I34" s="12"/>
      <c r="J34" s="12"/>
      <c r="K34" s="13"/>
    </row>
    <row r="35" spans="1:11" ht="13" thickBot="1" x14ac:dyDescent="0.3">
      <c r="A35" s="3" t="s">
        <v>45</v>
      </c>
      <c r="H35" s="14"/>
      <c r="I35" s="15" t="s">
        <v>46</v>
      </c>
      <c r="J35" s="15"/>
      <c r="K35" s="16"/>
    </row>
    <row r="36" spans="1:11" x14ac:dyDescent="0.25">
      <c r="A36" s="5" t="s">
        <v>47</v>
      </c>
      <c r="B36" s="5"/>
      <c r="C36" s="5"/>
      <c r="D36" s="5"/>
      <c r="E36" s="5"/>
      <c r="F36" s="5"/>
      <c r="G36" s="5"/>
    </row>
  </sheetData>
  <printOptions gridLines="1" gridLinesSet="0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/>
  </sheetViews>
  <sheetFormatPr defaultColWidth="8.81640625" defaultRowHeight="12.5" x14ac:dyDescent="0.25"/>
  <sheetData>
    <row r="1" spans="1:10" ht="15.5" x14ac:dyDescent="0.35">
      <c r="A1" s="17" t="s">
        <v>48</v>
      </c>
      <c r="B1" s="17"/>
      <c r="C1" s="17"/>
      <c r="D1" s="17"/>
      <c r="E1" s="17"/>
      <c r="F1" s="17"/>
      <c r="G1" s="17"/>
      <c r="H1" s="17"/>
      <c r="I1" s="17"/>
    </row>
    <row r="3" spans="1:10" x14ac:dyDescent="0.25">
      <c r="A3" s="3" t="s">
        <v>49</v>
      </c>
      <c r="B3" s="3"/>
      <c r="C3" s="3"/>
    </row>
    <row r="4" spans="1:10" x14ac:dyDescent="0.25">
      <c r="A4" s="5"/>
      <c r="B4" s="5"/>
      <c r="C4" s="5"/>
    </row>
    <row r="5" spans="1:10" x14ac:dyDescent="0.25">
      <c r="A5">
        <v>1.2345678923450001</v>
      </c>
      <c r="B5" s="5" t="s">
        <v>50</v>
      </c>
      <c r="C5" s="5"/>
      <c r="D5" s="5"/>
      <c r="E5" s="5"/>
      <c r="F5" s="5"/>
      <c r="G5" s="5"/>
      <c r="H5" s="5"/>
      <c r="I5" s="5"/>
    </row>
    <row r="6" spans="1:10" x14ac:dyDescent="0.25">
      <c r="A6" t="s">
        <v>51</v>
      </c>
      <c r="D6" s="5" t="s">
        <v>52</v>
      </c>
      <c r="E6" s="5"/>
      <c r="F6" s="5"/>
      <c r="G6" s="5"/>
      <c r="H6" s="5"/>
      <c r="I6" s="5"/>
      <c r="J6" s="5"/>
    </row>
    <row r="8" spans="1:10" x14ac:dyDescent="0.25">
      <c r="A8" s="3" t="s">
        <v>53</v>
      </c>
    </row>
    <row r="9" spans="1:10" x14ac:dyDescent="0.25">
      <c r="A9" s="3"/>
    </row>
    <row r="10" spans="1:10" x14ac:dyDescent="0.25">
      <c r="A10" t="s">
        <v>54</v>
      </c>
    </row>
    <row r="11" spans="1:10" x14ac:dyDescent="0.25">
      <c r="B11" s="21">
        <v>12.34</v>
      </c>
      <c r="C11" s="5" t="s">
        <v>55</v>
      </c>
      <c r="D11" s="5"/>
      <c r="E11" s="5"/>
      <c r="F11" s="5"/>
      <c r="G11" s="5"/>
      <c r="H11" s="5"/>
    </row>
    <row r="12" spans="1:10" x14ac:dyDescent="0.25">
      <c r="B12" s="19">
        <v>12.34</v>
      </c>
      <c r="C12" s="5" t="s">
        <v>56</v>
      </c>
      <c r="D12" s="5"/>
      <c r="E12" s="5"/>
      <c r="F12" s="5"/>
      <c r="G12" s="5"/>
      <c r="H12" s="5"/>
    </row>
    <row r="13" spans="1:10" x14ac:dyDescent="0.25">
      <c r="B13" s="20">
        <v>12.34</v>
      </c>
      <c r="C13" s="5" t="s">
        <v>57</v>
      </c>
      <c r="D13" s="5"/>
      <c r="E13" s="5"/>
      <c r="F13" s="5"/>
      <c r="G13" s="5"/>
      <c r="H13" s="5"/>
    </row>
    <row r="14" spans="1:10" x14ac:dyDescent="0.25">
      <c r="B14" s="20">
        <v>12345.678</v>
      </c>
      <c r="C14" s="5" t="s">
        <v>58</v>
      </c>
      <c r="D14" s="5"/>
      <c r="E14" s="5"/>
      <c r="F14" s="5"/>
      <c r="G14" s="5"/>
      <c r="H14" s="5"/>
    </row>
    <row r="15" spans="1:10" x14ac:dyDescent="0.25">
      <c r="B15" s="20"/>
    </row>
    <row r="16" spans="1:10" x14ac:dyDescent="0.25">
      <c r="A16" t="s">
        <v>59</v>
      </c>
    </row>
    <row r="17" spans="1:10" x14ac:dyDescent="0.25">
      <c r="B17" s="24">
        <f ca="1">NOW()</f>
        <v>43857.472094097226</v>
      </c>
      <c r="C17" s="5" t="s">
        <v>60</v>
      </c>
      <c r="D17" s="5"/>
      <c r="E17" s="5"/>
      <c r="F17" s="5"/>
      <c r="G17" s="5"/>
      <c r="H17" s="5"/>
    </row>
    <row r="18" spans="1:10" x14ac:dyDescent="0.25">
      <c r="B18" s="25">
        <f ca="1">NOW()</f>
        <v>43857.472094097226</v>
      </c>
      <c r="C18" s="5" t="s">
        <v>61</v>
      </c>
      <c r="D18" s="5"/>
      <c r="E18" s="5"/>
      <c r="F18" s="5"/>
      <c r="G18" s="5"/>
      <c r="H18" s="5"/>
    </row>
    <row r="19" spans="1:10" x14ac:dyDescent="0.25">
      <c r="B19" s="20"/>
    </row>
    <row r="20" spans="1:10" x14ac:dyDescent="0.25">
      <c r="A20" t="s">
        <v>62</v>
      </c>
      <c r="B20" s="20"/>
    </row>
    <row r="21" spans="1:10" x14ac:dyDescent="0.25">
      <c r="B21" s="22">
        <v>12.34</v>
      </c>
      <c r="C21" s="5" t="s">
        <v>63</v>
      </c>
      <c r="D21" s="5"/>
      <c r="E21" s="5"/>
      <c r="F21" s="5"/>
      <c r="G21" s="5"/>
      <c r="H21" s="5"/>
    </row>
    <row r="22" spans="1:10" x14ac:dyDescent="0.25">
      <c r="B22" s="23">
        <v>12.34</v>
      </c>
      <c r="C22" s="5" t="s">
        <v>64</v>
      </c>
      <c r="D22" s="5"/>
      <c r="E22" s="5"/>
      <c r="F22" s="5"/>
      <c r="G22" s="5"/>
      <c r="H22" s="5"/>
    </row>
    <row r="23" spans="1:10" x14ac:dyDescent="0.25">
      <c r="B23" s="23"/>
    </row>
    <row r="24" spans="1:10" x14ac:dyDescent="0.25">
      <c r="A24" t="s">
        <v>65</v>
      </c>
      <c r="B24" s="20"/>
    </row>
    <row r="25" spans="1:10" x14ac:dyDescent="0.25">
      <c r="B25" s="26">
        <v>12.34</v>
      </c>
      <c r="C25" s="5" t="s">
        <v>66</v>
      </c>
      <c r="D25" s="5"/>
      <c r="E25" s="5"/>
      <c r="F25" s="5"/>
      <c r="G25" s="5"/>
      <c r="H25" s="5"/>
      <c r="I25" s="5"/>
      <c r="J25" s="5"/>
    </row>
    <row r="26" spans="1:10" x14ac:dyDescent="0.25">
      <c r="B26" s="27">
        <v>12345.678</v>
      </c>
      <c r="C26" s="5" t="s">
        <v>67</v>
      </c>
      <c r="D26" s="5"/>
      <c r="E26" s="5"/>
      <c r="F26" s="5"/>
      <c r="G26" s="5"/>
      <c r="H26" s="5"/>
      <c r="I26" s="5"/>
      <c r="J26" s="5"/>
    </row>
    <row r="28" spans="1:10" ht="15.5" x14ac:dyDescent="0.35">
      <c r="A28" s="29" t="s">
        <v>68</v>
      </c>
      <c r="B28" s="28"/>
      <c r="C28" s="28"/>
      <c r="D28" s="28"/>
      <c r="E28" s="28"/>
      <c r="F28" s="28"/>
      <c r="G28" s="28"/>
      <c r="H28" s="28"/>
      <c r="I28" s="28"/>
    </row>
    <row r="30" spans="1:10" x14ac:dyDescent="0.25">
      <c r="A30" s="3" t="s">
        <v>69</v>
      </c>
    </row>
    <row r="32" spans="1:10" x14ac:dyDescent="0.25">
      <c r="A32" t="s">
        <v>70</v>
      </c>
    </row>
    <row r="33" spans="1:4" x14ac:dyDescent="0.25">
      <c r="A33" t="s">
        <v>71</v>
      </c>
    </row>
    <row r="34" spans="1:4" x14ac:dyDescent="0.25">
      <c r="A34" t="s">
        <v>72</v>
      </c>
    </row>
    <row r="36" spans="1:4" x14ac:dyDescent="0.25">
      <c r="B36" t="s">
        <v>73</v>
      </c>
      <c r="C36" t="s">
        <v>74</v>
      </c>
    </row>
    <row r="38" spans="1:4" x14ac:dyDescent="0.25">
      <c r="B38" t="s">
        <v>75</v>
      </c>
      <c r="C38" t="s">
        <v>76</v>
      </c>
      <c r="D38" t="s">
        <v>77</v>
      </c>
    </row>
    <row r="41" spans="1:4" ht="13" x14ac:dyDescent="0.3">
      <c r="A41" t="s">
        <v>78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5"/>
  <sheetViews>
    <sheetView workbookViewId="0">
      <selection activeCell="E26" sqref="E26"/>
    </sheetView>
  </sheetViews>
  <sheetFormatPr defaultColWidth="8.81640625" defaultRowHeight="12.5" x14ac:dyDescent="0.25"/>
  <cols>
    <col min="1" max="1" width="14" customWidth="1"/>
    <col min="2" max="4" width="13.26953125" customWidth="1"/>
  </cols>
  <sheetData>
    <row r="1" spans="1:11" ht="15.5" x14ac:dyDescent="0.35">
      <c r="A1" s="17" t="s">
        <v>79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.5" x14ac:dyDescent="0.35">
      <c r="A2" s="17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30" t="s">
        <v>80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30" t="s">
        <v>81</v>
      </c>
    </row>
    <row r="5" spans="1:11" ht="13" x14ac:dyDescent="0.3">
      <c r="A5" s="31" t="s">
        <v>82</v>
      </c>
    </row>
    <row r="6" spans="1:11" x14ac:dyDescent="0.25">
      <c r="A6" s="5" t="s">
        <v>83</v>
      </c>
      <c r="B6" s="5"/>
      <c r="C6" s="5"/>
      <c r="D6" s="5"/>
      <c r="E6" s="5"/>
      <c r="F6" s="5"/>
      <c r="G6" s="5"/>
      <c r="H6" s="5"/>
      <c r="I6" s="5"/>
      <c r="J6" s="5"/>
    </row>
    <row r="7" spans="1:11" x14ac:dyDescent="0.25">
      <c r="A7" s="5" t="s">
        <v>84</v>
      </c>
      <c r="B7" s="5"/>
      <c r="C7" s="5"/>
      <c r="D7" s="5"/>
      <c r="E7" s="5"/>
      <c r="F7" s="5"/>
      <c r="G7" s="5"/>
      <c r="H7" s="5"/>
      <c r="I7" s="5"/>
      <c r="J7" s="5"/>
    </row>
    <row r="9" spans="1:11" x14ac:dyDescent="0.25">
      <c r="B9" t="s">
        <v>85</v>
      </c>
    </row>
    <row r="11" spans="1:11" x14ac:dyDescent="0.25">
      <c r="A11" t="s">
        <v>86</v>
      </c>
    </row>
    <row r="13" spans="1:11" ht="13" x14ac:dyDescent="0.3">
      <c r="A13" s="31" t="s">
        <v>87</v>
      </c>
    </row>
    <row r="14" spans="1:11" x14ac:dyDescent="0.25">
      <c r="A14" s="5" t="s">
        <v>88</v>
      </c>
    </row>
    <row r="15" spans="1:11" x14ac:dyDescent="0.25">
      <c r="A15" s="5" t="s">
        <v>89</v>
      </c>
    </row>
    <row r="16" spans="1:11" x14ac:dyDescent="0.25">
      <c r="A16" t="s">
        <v>90</v>
      </c>
    </row>
    <row r="18" spans="1:19" x14ac:dyDescent="0.25">
      <c r="A18" t="s">
        <v>91</v>
      </c>
    </row>
    <row r="21" spans="1:19" ht="13" x14ac:dyDescent="0.3">
      <c r="A21" s="31" t="s">
        <v>92</v>
      </c>
    </row>
    <row r="22" spans="1:19" x14ac:dyDescent="0.25">
      <c r="A22" s="5" t="s">
        <v>93</v>
      </c>
    </row>
    <row r="23" spans="1:19" x14ac:dyDescent="0.25">
      <c r="A23" s="5" t="s">
        <v>94</v>
      </c>
      <c r="S23" t="s">
        <v>95</v>
      </c>
    </row>
    <row r="24" spans="1:19" x14ac:dyDescent="0.25">
      <c r="A24" s="5" t="s">
        <v>96</v>
      </c>
    </row>
    <row r="25" spans="1:19" x14ac:dyDescent="0.25">
      <c r="A25" s="5"/>
    </row>
    <row r="26" spans="1:19" x14ac:dyDescent="0.25">
      <c r="A26" s="5"/>
    </row>
    <row r="27" spans="1:19" ht="13" x14ac:dyDescent="0.3">
      <c r="A27" s="31" t="s">
        <v>97</v>
      </c>
    </row>
    <row r="28" spans="1:19" x14ac:dyDescent="0.25">
      <c r="A28" s="5" t="s">
        <v>98</v>
      </c>
    </row>
    <row r="29" spans="1:19" x14ac:dyDescent="0.25">
      <c r="A29" s="5" t="s">
        <v>99</v>
      </c>
    </row>
    <row r="30" spans="1:19" x14ac:dyDescent="0.25">
      <c r="A30" s="5"/>
    </row>
    <row r="36" spans="24:31" x14ac:dyDescent="0.25">
      <c r="AB36" t="s">
        <v>100</v>
      </c>
    </row>
    <row r="41" spans="24:31" x14ac:dyDescent="0.25">
      <c r="X41" t="s">
        <v>100</v>
      </c>
    </row>
    <row r="47" spans="24:31" x14ac:dyDescent="0.25">
      <c r="AE47" t="s">
        <v>100</v>
      </c>
    </row>
    <row r="54" spans="14:22" x14ac:dyDescent="0.25">
      <c r="V54" t="s">
        <v>100</v>
      </c>
    </row>
    <row r="60" spans="14:22" x14ac:dyDescent="0.25">
      <c r="N60" t="s">
        <v>95</v>
      </c>
    </row>
    <row r="83" spans="11:38" x14ac:dyDescent="0.25">
      <c r="K83" t="s">
        <v>95</v>
      </c>
    </row>
    <row r="90" spans="11:38" x14ac:dyDescent="0.25">
      <c r="AL90" t="s">
        <v>95</v>
      </c>
    </row>
    <row r="123" spans="31:31" x14ac:dyDescent="0.25">
      <c r="AE123" t="s">
        <v>101</v>
      </c>
    </row>
    <row r="135" spans="45:45" x14ac:dyDescent="0.25">
      <c r="AS135" t="s">
        <v>102</v>
      </c>
    </row>
  </sheetData>
  <printOptions gridLines="1" gridLinesSet="0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opLeftCell="A29" workbookViewId="0"/>
  </sheetViews>
  <sheetFormatPr defaultColWidth="8.81640625" defaultRowHeight="12.5" x14ac:dyDescent="0.25"/>
  <cols>
    <col min="1" max="1" width="10.7265625" customWidth="1"/>
    <col min="2" max="2" width="4.26953125" customWidth="1"/>
    <col min="3" max="3" width="11.7265625" customWidth="1"/>
    <col min="4" max="4" width="4.26953125" customWidth="1"/>
    <col min="5" max="5" width="12.81640625" customWidth="1"/>
    <col min="6" max="6" width="6.453125" customWidth="1"/>
    <col min="7" max="7" width="10.26953125" customWidth="1"/>
  </cols>
  <sheetData>
    <row r="1" spans="1:9" ht="15.5" x14ac:dyDescent="0.35">
      <c r="A1" s="7" t="s">
        <v>103</v>
      </c>
      <c r="B1" s="7"/>
      <c r="C1" s="7"/>
      <c r="D1" s="7"/>
      <c r="E1" s="7"/>
      <c r="F1" s="7"/>
      <c r="G1" s="7"/>
      <c r="H1" s="7"/>
      <c r="I1" s="7"/>
    </row>
    <row r="2" spans="1:9" ht="15.5" x14ac:dyDescent="0.35">
      <c r="A2" s="7"/>
      <c r="B2" s="7"/>
      <c r="C2" s="7"/>
      <c r="D2" s="7"/>
      <c r="E2" s="7"/>
      <c r="F2" s="7"/>
      <c r="G2" s="7"/>
      <c r="H2" s="7"/>
      <c r="I2" s="7"/>
    </row>
    <row r="3" spans="1:9" ht="13" x14ac:dyDescent="0.3">
      <c r="A3" s="31" t="s">
        <v>104</v>
      </c>
    </row>
    <row r="4" spans="1:9" x14ac:dyDescent="0.25">
      <c r="A4" s="5"/>
    </row>
    <row r="5" spans="1:9" x14ac:dyDescent="0.25">
      <c r="A5" s="5" t="s">
        <v>105</v>
      </c>
    </row>
    <row r="6" spans="1:9" x14ac:dyDescent="0.25">
      <c r="A6" s="5" t="s">
        <v>106</v>
      </c>
      <c r="F6" s="5" t="s">
        <v>107</v>
      </c>
    </row>
    <row r="7" spans="1:9" x14ac:dyDescent="0.25">
      <c r="B7" s="2" t="s">
        <v>108</v>
      </c>
      <c r="F7" t="s">
        <v>109</v>
      </c>
      <c r="G7" t="s">
        <v>110</v>
      </c>
      <c r="H7" t="s">
        <v>111</v>
      </c>
      <c r="I7" t="s">
        <v>112</v>
      </c>
    </row>
    <row r="8" spans="1:9" x14ac:dyDescent="0.25">
      <c r="B8" s="2"/>
    </row>
    <row r="9" spans="1:9" x14ac:dyDescent="0.25">
      <c r="A9" s="5" t="s">
        <v>113</v>
      </c>
      <c r="B9" s="2"/>
    </row>
    <row r="10" spans="1:9" x14ac:dyDescent="0.25">
      <c r="B10" s="2"/>
    </row>
    <row r="11" spans="1:9" x14ac:dyDescent="0.25">
      <c r="A11" s="5" t="s">
        <v>114</v>
      </c>
    </row>
    <row r="12" spans="1:9" x14ac:dyDescent="0.25">
      <c r="A12" s="5" t="s">
        <v>115</v>
      </c>
    </row>
    <row r="15" spans="1:9" ht="13" x14ac:dyDescent="0.3">
      <c r="A15" s="31" t="s">
        <v>116</v>
      </c>
    </row>
    <row r="16" spans="1:9" x14ac:dyDescent="0.25">
      <c r="A16" s="5" t="s">
        <v>117</v>
      </c>
    </row>
    <row r="17" spans="1:10" x14ac:dyDescent="0.25">
      <c r="A17" s="35" t="s">
        <v>118</v>
      </c>
      <c r="E17" s="35" t="s">
        <v>119</v>
      </c>
    </row>
    <row r="18" spans="1:10" x14ac:dyDescent="0.25">
      <c r="A18" s="5" t="s">
        <v>120</v>
      </c>
      <c r="B18" s="33" t="s">
        <v>121</v>
      </c>
      <c r="E18" s="5" t="s">
        <v>122</v>
      </c>
      <c r="F18" s="37" t="s">
        <v>121</v>
      </c>
    </row>
    <row r="19" spans="1:10" x14ac:dyDescent="0.25">
      <c r="A19" s="5" t="s">
        <v>123</v>
      </c>
      <c r="B19" s="34" t="s">
        <v>121</v>
      </c>
      <c r="E19" s="5" t="s">
        <v>124</v>
      </c>
      <c r="F19" s="32"/>
      <c r="G19" s="37" t="s">
        <v>121</v>
      </c>
    </row>
    <row r="20" spans="1:10" x14ac:dyDescent="0.25">
      <c r="A20" s="5" t="s">
        <v>125</v>
      </c>
      <c r="B20" s="32" t="s">
        <v>121</v>
      </c>
      <c r="E20" s="5" t="s">
        <v>126</v>
      </c>
      <c r="H20" s="36" t="s">
        <v>121</v>
      </c>
      <c r="I20" s="36"/>
      <c r="J20" s="36"/>
    </row>
    <row r="21" spans="1:10" x14ac:dyDescent="0.25">
      <c r="B21" s="32"/>
    </row>
    <row r="22" spans="1:10" x14ac:dyDescent="0.25">
      <c r="B22" s="32"/>
      <c r="E22" s="35" t="s">
        <v>127</v>
      </c>
    </row>
    <row r="23" spans="1:10" x14ac:dyDescent="0.25">
      <c r="B23" s="32"/>
      <c r="E23" s="38" t="s">
        <v>128</v>
      </c>
      <c r="F23" s="37" t="s">
        <v>129</v>
      </c>
    </row>
    <row r="24" spans="1:10" x14ac:dyDescent="0.25">
      <c r="B24" s="32"/>
      <c r="E24" s="38" t="s">
        <v>130</v>
      </c>
      <c r="F24" s="37"/>
      <c r="G24" s="37" t="s">
        <v>121</v>
      </c>
    </row>
    <row r="25" spans="1:10" x14ac:dyDescent="0.25">
      <c r="B25" s="32"/>
      <c r="E25" s="38" t="s">
        <v>131</v>
      </c>
      <c r="F25" s="37"/>
      <c r="G25" s="37"/>
      <c r="H25" s="37" t="s">
        <v>132</v>
      </c>
    </row>
    <row r="26" spans="1:10" x14ac:dyDescent="0.25">
      <c r="B26" s="32"/>
      <c r="E26" s="38"/>
    </row>
    <row r="27" spans="1:10" x14ac:dyDescent="0.25">
      <c r="B27" s="32"/>
      <c r="E27" s="38"/>
    </row>
    <row r="28" spans="1:10" ht="13" x14ac:dyDescent="0.3">
      <c r="A28" s="31" t="s">
        <v>133</v>
      </c>
    </row>
    <row r="29" spans="1:10" ht="13" thickBot="1" x14ac:dyDescent="0.3">
      <c r="A29" s="5" t="s">
        <v>134</v>
      </c>
    </row>
    <row r="30" spans="1:10" ht="13" thickBot="1" x14ac:dyDescent="0.3">
      <c r="A30" s="39" t="s">
        <v>135</v>
      </c>
      <c r="B30" s="39"/>
      <c r="C30" s="44" t="s">
        <v>135</v>
      </c>
    </row>
    <row r="31" spans="1:10" ht="15.5" x14ac:dyDescent="0.35">
      <c r="A31" s="40" t="s">
        <v>135</v>
      </c>
      <c r="C31" s="46" t="s">
        <v>136</v>
      </c>
      <c r="D31" s="31"/>
    </row>
    <row r="32" spans="1:10" ht="15.5" x14ac:dyDescent="0.35">
      <c r="A32" s="41" t="s">
        <v>135</v>
      </c>
      <c r="C32" s="39" t="s">
        <v>135</v>
      </c>
    </row>
    <row r="33" spans="1:7" ht="14.5" x14ac:dyDescent="0.35">
      <c r="A33" s="42" t="s">
        <v>135</v>
      </c>
      <c r="C33" s="47" t="s">
        <v>137</v>
      </c>
    </row>
    <row r="34" spans="1:7" ht="13" thickBot="1" x14ac:dyDescent="0.3">
      <c r="A34" s="43" t="s">
        <v>135</v>
      </c>
      <c r="C34" s="45" t="s">
        <v>135</v>
      </c>
    </row>
    <row r="35" spans="1:7" ht="13" thickTop="1" x14ac:dyDescent="0.25"/>
    <row r="37" spans="1:7" ht="13" x14ac:dyDescent="0.3">
      <c r="A37" s="31" t="s">
        <v>138</v>
      </c>
    </row>
    <row r="38" spans="1:7" x14ac:dyDescent="0.25">
      <c r="A38" s="5" t="s">
        <v>139</v>
      </c>
    </row>
    <row r="39" spans="1:7" x14ac:dyDescent="0.25">
      <c r="A39" s="5" t="s">
        <v>140</v>
      </c>
    </row>
    <row r="41" spans="1:7" ht="13" x14ac:dyDescent="0.3">
      <c r="A41" s="31" t="s">
        <v>141</v>
      </c>
    </row>
    <row r="42" spans="1:7" x14ac:dyDescent="0.25">
      <c r="A42" s="5" t="s">
        <v>142</v>
      </c>
    </row>
    <row r="43" spans="1:7" x14ac:dyDescent="0.25">
      <c r="A43" s="5" t="s">
        <v>143</v>
      </c>
      <c r="G43" s="5"/>
    </row>
    <row r="44" spans="1:7" ht="13" thickBot="1" x14ac:dyDescent="0.3">
      <c r="A44" s="50"/>
    </row>
    <row r="45" spans="1:7" ht="13" x14ac:dyDescent="0.3">
      <c r="A45" s="31"/>
      <c r="B45" s="56"/>
      <c r="C45" s="57" t="s">
        <v>144</v>
      </c>
      <c r="D45" s="53"/>
      <c r="E45" s="53"/>
      <c r="F45" s="53"/>
      <c r="G45" s="53"/>
    </row>
    <row r="46" spans="1:7" ht="13" x14ac:dyDescent="0.3">
      <c r="A46" s="31"/>
      <c r="B46" s="54"/>
      <c r="C46" s="54"/>
      <c r="D46" s="54"/>
      <c r="E46" s="54"/>
      <c r="F46" s="54"/>
      <c r="G46" s="54"/>
    </row>
    <row r="47" spans="1:7" ht="13" x14ac:dyDescent="0.3">
      <c r="A47" s="31"/>
      <c r="B47" s="55"/>
      <c r="C47" s="55" t="s">
        <v>145</v>
      </c>
      <c r="D47" s="55" t="s">
        <v>146</v>
      </c>
      <c r="E47" s="55" t="s">
        <v>147</v>
      </c>
      <c r="F47" s="55" t="s">
        <v>148</v>
      </c>
      <c r="G47" s="55" t="s">
        <v>149</v>
      </c>
    </row>
    <row r="48" spans="1:7" ht="13" x14ac:dyDescent="0.3">
      <c r="A48" s="31"/>
      <c r="B48" s="51" t="s">
        <v>150</v>
      </c>
      <c r="C48" s="51">
        <v>92</v>
      </c>
      <c r="D48" s="51">
        <v>89</v>
      </c>
      <c r="E48" s="51">
        <v>83</v>
      </c>
      <c r="F48" s="51">
        <v>89</v>
      </c>
      <c r="G48" s="51">
        <v>78</v>
      </c>
    </row>
    <row r="49" spans="1:7" ht="13.5" thickBot="1" x14ac:dyDescent="0.35">
      <c r="A49" s="31"/>
      <c r="B49" s="52" t="s">
        <v>151</v>
      </c>
      <c r="C49" s="52">
        <v>8</v>
      </c>
      <c r="D49" s="52">
        <v>11</v>
      </c>
      <c r="E49" s="52">
        <v>17</v>
      </c>
      <c r="F49" s="52">
        <v>11</v>
      </c>
      <c r="G49" s="52">
        <v>22</v>
      </c>
    </row>
    <row r="50" spans="1:7" ht="13" x14ac:dyDescent="0.3">
      <c r="A50" s="31"/>
    </row>
    <row r="51" spans="1:7" ht="13" x14ac:dyDescent="0.3">
      <c r="A51" s="31"/>
    </row>
    <row r="52" spans="1:7" ht="13" x14ac:dyDescent="0.3">
      <c r="A52" s="31"/>
    </row>
    <row r="53" spans="1:7" ht="13" x14ac:dyDescent="0.3">
      <c r="A53" s="31"/>
    </row>
  </sheetData>
  <printOptions gridLines="1" gridLinesSet="0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workbookViewId="0">
      <selection activeCell="K30" sqref="K30"/>
    </sheetView>
  </sheetViews>
  <sheetFormatPr defaultColWidth="8.81640625" defaultRowHeight="12.5" x14ac:dyDescent="0.25"/>
  <cols>
    <col min="1" max="1" width="8.81640625" customWidth="1"/>
    <col min="2" max="2" width="15.453125" customWidth="1"/>
    <col min="3" max="8" width="8.81640625" customWidth="1"/>
    <col min="9" max="9" width="9.81640625" customWidth="1"/>
  </cols>
  <sheetData>
    <row r="1" spans="1:9" ht="15.5" x14ac:dyDescent="0.35">
      <c r="A1" s="7" t="s">
        <v>152</v>
      </c>
      <c r="B1" s="6"/>
      <c r="C1" s="6"/>
      <c r="D1" s="6"/>
      <c r="E1" s="6"/>
      <c r="F1" s="6"/>
      <c r="G1" s="6"/>
      <c r="H1" s="6"/>
      <c r="I1" s="6"/>
    </row>
    <row r="3" spans="1:9" ht="13" x14ac:dyDescent="0.3">
      <c r="A3" s="31" t="s">
        <v>153</v>
      </c>
    </row>
    <row r="5" spans="1:9" x14ac:dyDescent="0.25">
      <c r="A5" s="5" t="s">
        <v>154</v>
      </c>
    </row>
    <row r="6" spans="1:9" x14ac:dyDescent="0.25">
      <c r="A6" s="5"/>
    </row>
    <row r="8" spans="1:9" ht="13" x14ac:dyDescent="0.3">
      <c r="B8" s="59" t="s">
        <v>155</v>
      </c>
      <c r="C8" s="59" t="s">
        <v>156</v>
      </c>
      <c r="D8" s="60" t="s">
        <v>157</v>
      </c>
      <c r="E8" s="60" t="s">
        <v>158</v>
      </c>
    </row>
    <row r="10" spans="1:9" x14ac:dyDescent="0.25">
      <c r="B10" s="28" t="s">
        <v>159</v>
      </c>
      <c r="D10" s="28" t="s">
        <v>160</v>
      </c>
      <c r="G10" s="28" t="s">
        <v>161</v>
      </c>
    </row>
    <row r="11" spans="1:9" x14ac:dyDescent="0.25">
      <c r="B11" s="28" t="s">
        <v>162</v>
      </c>
    </row>
    <row r="13" spans="1:9" x14ac:dyDescent="0.25">
      <c r="B13" s="61" t="s">
        <v>163</v>
      </c>
      <c r="D13" s="61" t="s">
        <v>164</v>
      </c>
    </row>
    <row r="14" spans="1:9" x14ac:dyDescent="0.25">
      <c r="B14" s="61"/>
      <c r="D14" s="61"/>
    </row>
    <row r="16" spans="1:9" ht="13" thickBot="1" x14ac:dyDescent="0.3">
      <c r="C16" s="62" t="s">
        <v>165</v>
      </c>
    </row>
    <row r="17" spans="1:8" x14ac:dyDescent="0.25">
      <c r="B17" s="58" t="s">
        <v>166</v>
      </c>
      <c r="E17" s="67" t="s">
        <v>167</v>
      </c>
      <c r="F17" s="68"/>
      <c r="G17" s="68"/>
      <c r="H17" s="69"/>
    </row>
    <row r="18" spans="1:8" x14ac:dyDescent="0.25">
      <c r="B18" s="58" t="s">
        <v>168</v>
      </c>
      <c r="E18" s="70" t="s">
        <v>169</v>
      </c>
      <c r="F18" s="71"/>
      <c r="G18" s="71"/>
      <c r="H18" s="72"/>
    </row>
    <row r="19" spans="1:8" ht="13" thickBot="1" x14ac:dyDescent="0.3">
      <c r="B19" s="58" t="s">
        <v>170</v>
      </c>
      <c r="E19" s="73" t="s">
        <v>171</v>
      </c>
      <c r="F19" s="74"/>
      <c r="G19" s="74"/>
      <c r="H19" s="75"/>
    </row>
    <row r="20" spans="1:8" x14ac:dyDescent="0.25">
      <c r="B20" s="58" t="s">
        <v>172</v>
      </c>
    </row>
    <row r="21" spans="1:8" x14ac:dyDescent="0.25">
      <c r="B21" s="58" t="s">
        <v>173</v>
      </c>
    </row>
    <row r="23" spans="1:8" ht="13" x14ac:dyDescent="0.3">
      <c r="A23" s="31" t="s">
        <v>174</v>
      </c>
    </row>
    <row r="25" spans="1:8" x14ac:dyDescent="0.25">
      <c r="A25" s="5" t="s">
        <v>175</v>
      </c>
    </row>
    <row r="26" spans="1:8" x14ac:dyDescent="0.25">
      <c r="A26" s="5" t="s">
        <v>176</v>
      </c>
    </row>
    <row r="28" spans="1:8" x14ac:dyDescent="0.25">
      <c r="A28" s="64" t="s">
        <v>177</v>
      </c>
      <c r="B28" s="63" t="s">
        <v>178</v>
      </c>
      <c r="C28" s="63"/>
      <c r="D28" s="63"/>
    </row>
    <row r="29" spans="1:8" ht="13" x14ac:dyDescent="0.3">
      <c r="A29" s="64" t="s">
        <v>179</v>
      </c>
      <c r="B29" s="65" t="s">
        <v>180</v>
      </c>
      <c r="C29" s="65" t="s">
        <v>181</v>
      </c>
      <c r="D29" s="65" t="s">
        <v>182</v>
      </c>
    </row>
    <row r="30" spans="1:8" x14ac:dyDescent="0.25">
      <c r="A30" s="34">
        <v>0.01</v>
      </c>
      <c r="B30">
        <v>2567</v>
      </c>
      <c r="C30">
        <v>3423</v>
      </c>
      <c r="D30">
        <v>4595</v>
      </c>
    </row>
    <row r="31" spans="1:8" x14ac:dyDescent="0.25">
      <c r="A31" s="34">
        <v>0.05</v>
      </c>
      <c r="B31">
        <v>7689</v>
      </c>
      <c r="C31">
        <v>5643</v>
      </c>
      <c r="D31">
        <v>9873</v>
      </c>
    </row>
    <row r="32" spans="1:8" x14ac:dyDescent="0.25">
      <c r="A32" s="34">
        <v>0.1</v>
      </c>
      <c r="B32">
        <v>9675</v>
      </c>
      <c r="C32">
        <v>7585</v>
      </c>
      <c r="D32">
        <v>4567</v>
      </c>
    </row>
    <row r="33" spans="1:10" x14ac:dyDescent="0.25">
      <c r="A33" s="34">
        <v>0.2</v>
      </c>
      <c r="B33">
        <v>11432</v>
      </c>
      <c r="C33">
        <v>9456</v>
      </c>
      <c r="D33">
        <v>4556</v>
      </c>
    </row>
    <row r="34" spans="1:10" ht="13" thickBot="1" x14ac:dyDescent="0.3">
      <c r="A34" s="34">
        <v>0.5</v>
      </c>
      <c r="B34">
        <v>13546</v>
      </c>
      <c r="C34">
        <v>11453</v>
      </c>
      <c r="D34">
        <v>96777</v>
      </c>
    </row>
    <row r="35" spans="1:10" ht="13" thickBot="1" x14ac:dyDescent="0.3">
      <c r="B35" s="66">
        <f>SUM(B30:B34)</f>
        <v>44909</v>
      </c>
      <c r="C35" s="66"/>
      <c r="D35" s="66"/>
    </row>
    <row r="38" spans="1:10" ht="13" x14ac:dyDescent="0.3">
      <c r="A38" s="31" t="s">
        <v>183</v>
      </c>
    </row>
    <row r="39" spans="1:10" x14ac:dyDescent="0.25">
      <c r="J39" s="34" t="s">
        <v>184</v>
      </c>
    </row>
    <row r="40" spans="1:10" ht="13" x14ac:dyDescent="0.3">
      <c r="A40" s="5" t="s">
        <v>185</v>
      </c>
      <c r="J40" s="77">
        <v>11</v>
      </c>
    </row>
    <row r="41" spans="1:10" ht="13" x14ac:dyDescent="0.3">
      <c r="J41" s="77">
        <v>23.7</v>
      </c>
    </row>
    <row r="42" spans="1:10" ht="13" x14ac:dyDescent="0.3">
      <c r="B42" t="s">
        <v>186</v>
      </c>
      <c r="I42" s="76"/>
      <c r="J42" s="78">
        <v>56</v>
      </c>
    </row>
    <row r="43" spans="1:10" ht="13" x14ac:dyDescent="0.3">
      <c r="B43" t="s">
        <v>187</v>
      </c>
      <c r="J43" s="77">
        <v>76</v>
      </c>
    </row>
    <row r="44" spans="1:10" ht="13" x14ac:dyDescent="0.3">
      <c r="B44" t="s">
        <v>188</v>
      </c>
      <c r="F44">
        <f>AVERAGE(J40:J41,J44:J45)</f>
        <v>42.150000000000006</v>
      </c>
      <c r="J44" s="77">
        <v>67.900000000000006</v>
      </c>
    </row>
    <row r="45" spans="1:10" ht="13" x14ac:dyDescent="0.3">
      <c r="B45" t="s">
        <v>189</v>
      </c>
      <c r="J45" s="78">
        <v>66</v>
      </c>
    </row>
    <row r="46" spans="1:10" x14ac:dyDescent="0.25">
      <c r="B46" t="s">
        <v>190</v>
      </c>
    </row>
    <row r="48" spans="1:10" x14ac:dyDescent="0.25">
      <c r="A48" s="5" t="s">
        <v>191</v>
      </c>
    </row>
    <row r="49" spans="1:5" x14ac:dyDescent="0.25">
      <c r="A49" s="5" t="s">
        <v>192</v>
      </c>
    </row>
    <row r="50" spans="1:5" x14ac:dyDescent="0.25">
      <c r="A50" s="5"/>
    </row>
    <row r="51" spans="1:5" x14ac:dyDescent="0.25">
      <c r="A51" s="58" t="s">
        <v>193</v>
      </c>
    </row>
    <row r="52" spans="1:5" x14ac:dyDescent="0.25">
      <c r="A52" s="58" t="s">
        <v>194</v>
      </c>
    </row>
    <row r="53" spans="1:5" x14ac:dyDescent="0.25">
      <c r="A53" s="58" t="s">
        <v>195</v>
      </c>
    </row>
    <row r="54" spans="1:5" x14ac:dyDescent="0.25">
      <c r="A54" s="58" t="s">
        <v>196</v>
      </c>
    </row>
    <row r="55" spans="1:5" x14ac:dyDescent="0.25">
      <c r="A55" s="58" t="s">
        <v>197</v>
      </c>
    </row>
    <row r="56" spans="1:5" x14ac:dyDescent="0.25">
      <c r="A56" s="58" t="s">
        <v>198</v>
      </c>
    </row>
    <row r="57" spans="1:5" x14ac:dyDescent="0.25">
      <c r="A57" s="58" t="s">
        <v>199</v>
      </c>
    </row>
    <row r="58" spans="1:5" x14ac:dyDescent="0.25">
      <c r="A58" t="s">
        <v>200</v>
      </c>
    </row>
    <row r="61" spans="1:5" ht="13" x14ac:dyDescent="0.3">
      <c r="A61" s="31" t="s">
        <v>201</v>
      </c>
      <c r="E61" t="s">
        <v>202</v>
      </c>
    </row>
    <row r="63" spans="1:5" x14ac:dyDescent="0.25">
      <c r="A63" s="5" t="s">
        <v>203</v>
      </c>
    </row>
    <row r="64" spans="1:5" x14ac:dyDescent="0.25">
      <c r="A64" s="5"/>
    </row>
    <row r="65" spans="2:11" ht="13" x14ac:dyDescent="0.3">
      <c r="B65" s="79" t="s">
        <v>204</v>
      </c>
    </row>
    <row r="66" spans="2:11" x14ac:dyDescent="0.25">
      <c r="B66">
        <f>COUNT(NrList)</f>
        <v>6</v>
      </c>
      <c r="C66" s="58" t="s">
        <v>205</v>
      </c>
      <c r="D66" s="58"/>
      <c r="E66" s="5" t="s">
        <v>206</v>
      </c>
    </row>
    <row r="67" spans="2:11" x14ac:dyDescent="0.25">
      <c r="E67" s="5" t="s">
        <v>207</v>
      </c>
    </row>
    <row r="68" spans="2:11" x14ac:dyDescent="0.25">
      <c r="E68" s="5" t="s">
        <v>208</v>
      </c>
    </row>
    <row r="69" spans="2:11" x14ac:dyDescent="0.25">
      <c r="E69" s="5" t="s">
        <v>209</v>
      </c>
    </row>
    <row r="70" spans="2:11" x14ac:dyDescent="0.25">
      <c r="E70" s="5" t="s">
        <v>210</v>
      </c>
    </row>
    <row r="72" spans="2:11" x14ac:dyDescent="0.25">
      <c r="B72">
        <f>MAX(J40:J45)</f>
        <v>76</v>
      </c>
      <c r="C72" s="58" t="s">
        <v>211</v>
      </c>
      <c r="E72" s="5" t="s">
        <v>212</v>
      </c>
    </row>
    <row r="73" spans="2:11" x14ac:dyDescent="0.25">
      <c r="B73">
        <f>MIN(J41:J46)</f>
        <v>23.7</v>
      </c>
      <c r="C73" s="58" t="s">
        <v>213</v>
      </c>
      <c r="E73" s="5" t="s">
        <v>214</v>
      </c>
    </row>
    <row r="74" spans="2:11" ht="13" thickBot="1" x14ac:dyDescent="0.3"/>
    <row r="75" spans="2:11" ht="13.5" thickBot="1" x14ac:dyDescent="0.35">
      <c r="E75" s="80" t="s">
        <v>215</v>
      </c>
      <c r="F75" s="81"/>
      <c r="G75" s="81"/>
      <c r="H75" s="81"/>
      <c r="I75" s="81"/>
      <c r="J75" s="82"/>
    </row>
    <row r="76" spans="2:11" ht="13.5" thickBot="1" x14ac:dyDescent="0.35">
      <c r="E76" s="83" t="s">
        <v>216</v>
      </c>
      <c r="F76" s="84"/>
      <c r="G76" s="84"/>
      <c r="H76" s="84"/>
      <c r="I76" s="84"/>
      <c r="J76" s="85"/>
      <c r="K76" s="86"/>
    </row>
    <row r="78" spans="2:11" x14ac:dyDescent="0.25">
      <c r="B78">
        <f>EVEN(J41)</f>
        <v>24</v>
      </c>
      <c r="C78" s="58" t="s">
        <v>217</v>
      </c>
      <c r="E78" s="5" t="s">
        <v>218</v>
      </c>
    </row>
    <row r="79" spans="2:11" x14ac:dyDescent="0.25">
      <c r="B79">
        <f>ROW(J42)</f>
        <v>42</v>
      </c>
      <c r="C79" s="58" t="s">
        <v>219</v>
      </c>
      <c r="E79" s="5" t="s">
        <v>220</v>
      </c>
    </row>
    <row r="80" spans="2:11" x14ac:dyDescent="0.25">
      <c r="B80">
        <f>LEN(J39)</f>
        <v>6</v>
      </c>
      <c r="C80" s="58" t="s">
        <v>221</v>
      </c>
      <c r="E80" s="5" t="s">
        <v>222</v>
      </c>
    </row>
    <row r="81" spans="1:11" x14ac:dyDescent="0.25">
      <c r="B81" t="str">
        <f>IF(B78&lt;B79,"It's true","It's false")</f>
        <v>It's true</v>
      </c>
      <c r="C81" s="58" t="s">
        <v>223</v>
      </c>
      <c r="G81" s="87" t="s">
        <v>224</v>
      </c>
    </row>
    <row r="82" spans="1:11" x14ac:dyDescent="0.25">
      <c r="B82" s="88">
        <f ca="1">NOW()</f>
        <v>43857.472094097226</v>
      </c>
      <c r="C82" s="89" t="s">
        <v>225</v>
      </c>
      <c r="E82" s="5" t="s">
        <v>226</v>
      </c>
    </row>
    <row r="83" spans="1:11" x14ac:dyDescent="0.25">
      <c r="B83" t="str">
        <f>REPT("abc",3)</f>
        <v>abcabcabc</v>
      </c>
      <c r="C83" s="58" t="s">
        <v>227</v>
      </c>
      <c r="E83" s="87" t="s">
        <v>228</v>
      </c>
    </row>
    <row r="86" spans="1:11" ht="13" x14ac:dyDescent="0.3">
      <c r="A86" s="31" t="s">
        <v>229</v>
      </c>
      <c r="E86" s="90" t="s">
        <v>230</v>
      </c>
      <c r="F86" s="28"/>
      <c r="G86" s="28"/>
      <c r="K86">
        <v>23.4</v>
      </c>
    </row>
    <row r="87" spans="1:11" x14ac:dyDescent="0.25">
      <c r="K87">
        <v>34</v>
      </c>
    </row>
    <row r="88" spans="1:11" x14ac:dyDescent="0.25">
      <c r="K88" t="s">
        <v>231</v>
      </c>
    </row>
    <row r="89" spans="1:11" x14ac:dyDescent="0.25">
      <c r="A89" t="b">
        <f>K86&gt;K87</f>
        <v>0</v>
      </c>
      <c r="B89" s="5" t="s">
        <v>232</v>
      </c>
      <c r="K89" t="b">
        <v>1</v>
      </c>
    </row>
    <row r="90" spans="1:11" x14ac:dyDescent="0.25">
      <c r="B90" s="5"/>
      <c r="K90" t="b">
        <v>0</v>
      </c>
    </row>
    <row r="91" spans="1:11" x14ac:dyDescent="0.25">
      <c r="A91" t="b">
        <f>LEN(K88)&gt;LEN(K89)</f>
        <v>1</v>
      </c>
      <c r="B91" s="87" t="s">
        <v>233</v>
      </c>
    </row>
    <row r="92" spans="1:11" x14ac:dyDescent="0.25">
      <c r="B92" s="5" t="s">
        <v>234</v>
      </c>
      <c r="J92" t="s">
        <v>235</v>
      </c>
      <c r="K92" t="s">
        <v>236</v>
      </c>
    </row>
    <row r="93" spans="1:11" x14ac:dyDescent="0.25">
      <c r="A93" t="b">
        <f>K86=K87</f>
        <v>0</v>
      </c>
      <c r="B93" s="5" t="s">
        <v>237</v>
      </c>
    </row>
    <row r="94" spans="1:11" x14ac:dyDescent="0.25">
      <c r="A94" t="b">
        <f>LEN(K89)&lt;&gt;LEN(K90)</f>
        <v>1</v>
      </c>
      <c r="B94" s="87" t="s">
        <v>238</v>
      </c>
    </row>
    <row r="95" spans="1:11" x14ac:dyDescent="0.25">
      <c r="B95" s="5" t="s">
        <v>234</v>
      </c>
    </row>
    <row r="96" spans="1:11" x14ac:dyDescent="0.25">
      <c r="A96" t="str">
        <f>IF(PrtyClr="red","Labour","tory")</f>
        <v>Labour</v>
      </c>
      <c r="B96" s="58" t="s">
        <v>239</v>
      </c>
    </row>
  </sheetData>
  <printOptions gridLines="1" gridLinesSet="0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ageMargins left="0.75" right="0.75" top="1" bottom="1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 x14ac:dyDescent="0.25"/>
  <sheetData/>
  <pageMargins left="0.75" right="0.75" top="1" bottom="1" header="0.4921259845" footer="0.492125984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5" sqref="A25"/>
    </sheetView>
  </sheetViews>
  <sheetFormatPr defaultColWidth="11.453125" defaultRowHeight="12.5" x14ac:dyDescent="0.25"/>
  <sheetData/>
  <pageMargins left="0.75" right="0.75" top="1" bottom="1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3" sqref="I23"/>
    </sheetView>
  </sheetViews>
  <sheetFormatPr defaultColWidth="11.453125" defaultRowHeight="12.5" x14ac:dyDescent="0.25"/>
  <sheetData/>
  <pageMargins left="0.75" right="0.75" top="1" bottom="1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7" sqref="J7"/>
    </sheetView>
  </sheetViews>
  <sheetFormatPr defaultColWidth="8.81640625" defaultRowHeight="12.5" x14ac:dyDescent="0.25"/>
  <sheetData>
    <row r="1" spans="1:10" ht="15.5" x14ac:dyDescent="0.35">
      <c r="A1" s="17" t="s">
        <v>6</v>
      </c>
      <c r="B1" s="6"/>
      <c r="C1" s="6"/>
      <c r="D1" s="6"/>
      <c r="E1" s="6"/>
      <c r="F1" s="6"/>
      <c r="G1" s="6"/>
      <c r="H1" s="6"/>
      <c r="I1" s="6"/>
      <c r="J1" s="6"/>
    </row>
    <row r="4" spans="1:10" ht="13" x14ac:dyDescent="0.3">
      <c r="B4" s="1"/>
      <c r="C4" s="1"/>
    </row>
    <row r="5" spans="1:10" x14ac:dyDescent="0.25">
      <c r="A5" s="3" t="s">
        <v>7</v>
      </c>
    </row>
    <row r="6" spans="1:10" x14ac:dyDescent="0.25">
      <c r="A6" s="5" t="s">
        <v>8</v>
      </c>
      <c r="B6" s="3"/>
      <c r="C6" s="3"/>
      <c r="D6" s="3"/>
      <c r="E6" s="3"/>
      <c r="F6" s="3"/>
      <c r="G6" s="3"/>
      <c r="H6" s="3"/>
    </row>
    <row r="7" spans="1:10" x14ac:dyDescent="0.25">
      <c r="A7" s="5" t="s">
        <v>9</v>
      </c>
      <c r="B7" s="3"/>
      <c r="C7" s="3"/>
      <c r="D7" s="3"/>
      <c r="E7" s="3"/>
      <c r="F7" s="3"/>
      <c r="G7" s="3"/>
      <c r="H7" s="3"/>
    </row>
    <row r="8" spans="1:10" ht="13" x14ac:dyDescent="0.3">
      <c r="A8" s="3" t="s">
        <v>243</v>
      </c>
      <c r="B8" s="3"/>
      <c r="C8" s="3"/>
      <c r="D8" s="3"/>
      <c r="E8" s="3"/>
      <c r="F8" s="3"/>
      <c r="G8" s="3"/>
      <c r="H8" s="3"/>
    </row>
    <row r="9" spans="1:10" x14ac:dyDescent="0.25">
      <c r="A9" s="5" t="s">
        <v>244</v>
      </c>
      <c r="B9" s="3"/>
      <c r="C9" s="3"/>
      <c r="D9" s="3"/>
      <c r="E9" s="3"/>
      <c r="F9" s="3"/>
      <c r="G9" s="3"/>
      <c r="H9" s="3"/>
    </row>
    <row r="10" spans="1:10" x14ac:dyDescent="0.25">
      <c r="A10" s="5" t="s">
        <v>10</v>
      </c>
      <c r="B10" s="5"/>
      <c r="C10" s="5"/>
      <c r="D10" s="5"/>
    </row>
    <row r="11" spans="1:10" x14ac:dyDescent="0.25">
      <c r="A11" s="4" t="s">
        <v>11</v>
      </c>
      <c r="B11" s="3"/>
      <c r="C11" s="3"/>
    </row>
    <row r="12" spans="1:10" x14ac:dyDescent="0.25">
      <c r="A12" s="5" t="s">
        <v>12</v>
      </c>
      <c r="B12" s="5"/>
      <c r="C12" s="5"/>
      <c r="D12" s="5"/>
    </row>
    <row r="13" spans="1:10" x14ac:dyDescent="0.25">
      <c r="A13" s="4" t="s">
        <v>13</v>
      </c>
      <c r="B13" s="5"/>
      <c r="C13" s="5"/>
      <c r="D13" s="5"/>
    </row>
    <row r="14" spans="1:10" x14ac:dyDescent="0.25">
      <c r="A14" s="5" t="s">
        <v>14</v>
      </c>
      <c r="B14" s="3"/>
      <c r="C14" s="3"/>
    </row>
    <row r="15" spans="1:10" x14ac:dyDescent="0.25">
      <c r="A15" s="4"/>
      <c r="B15" s="5"/>
      <c r="C15" s="5"/>
      <c r="D15" s="5"/>
      <c r="E15" s="5"/>
    </row>
    <row r="16" spans="1:10" x14ac:dyDescent="0.25">
      <c r="A16" s="5"/>
      <c r="B16" s="5"/>
      <c r="C16" s="5"/>
    </row>
    <row r="17" spans="1:8" x14ac:dyDescent="0.25">
      <c r="A17" s="4"/>
      <c r="B17" s="3"/>
      <c r="C17" s="3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3"/>
      <c r="B19" s="3"/>
      <c r="C19" s="3"/>
    </row>
    <row r="20" spans="1:8" x14ac:dyDescent="0.25">
      <c r="A20" s="18"/>
      <c r="B20" s="5"/>
      <c r="C20" s="5"/>
      <c r="D20" s="5"/>
      <c r="E20" s="5"/>
      <c r="F20" s="5"/>
    </row>
    <row r="21" spans="1:8" x14ac:dyDescent="0.25">
      <c r="A21" s="5"/>
      <c r="B21" s="5"/>
      <c r="C21" s="5"/>
      <c r="D21" s="5"/>
      <c r="E21" s="5"/>
      <c r="F21" s="5"/>
    </row>
    <row r="22" spans="1:8" x14ac:dyDescent="0.25">
      <c r="B22" s="5"/>
      <c r="C22" s="5"/>
      <c r="D22" s="5"/>
      <c r="E22" s="5"/>
      <c r="F22" s="5"/>
    </row>
    <row r="23" spans="1:8" x14ac:dyDescent="0.25">
      <c r="B23" s="3"/>
      <c r="C23" s="3"/>
      <c r="D23" s="2"/>
      <c r="E23" s="2"/>
      <c r="F23" s="2"/>
      <c r="G23" s="2"/>
      <c r="H23" s="2"/>
    </row>
    <row r="24" spans="1:8" x14ac:dyDescent="0.25">
      <c r="B24" s="5"/>
      <c r="C24" s="5"/>
      <c r="D24" s="5"/>
      <c r="E24" s="5"/>
      <c r="F24" s="5"/>
      <c r="G24" s="5"/>
      <c r="H24" s="5"/>
    </row>
    <row r="25" spans="1:8" x14ac:dyDescent="0.25">
      <c r="B25" s="5"/>
      <c r="C25" s="5"/>
      <c r="D25" s="5"/>
      <c r="E25" s="5"/>
      <c r="F25" s="5"/>
    </row>
  </sheetData>
  <printOptions gridLines="1" gridLinesSet="0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Introduction</vt:lpstr>
      <vt:lpstr>1. Selecting and Moving</vt:lpstr>
      <vt:lpstr>2. Formatting Cells I</vt:lpstr>
      <vt:lpstr>3. Editing, Searching etc.</vt:lpstr>
      <vt:lpstr>4. Formatting Cells II</vt:lpstr>
      <vt:lpstr>5.Calculations</vt:lpstr>
      <vt:lpstr>Sheet 14</vt:lpstr>
      <vt:lpstr>Sheet15</vt:lpstr>
      <vt:lpstr>Sheet 16</vt:lpstr>
      <vt:lpstr>Empty4Practice</vt:lpstr>
      <vt:lpstr>6. Tagged Worksheets</vt:lpstr>
      <vt:lpstr>Currcy</vt:lpstr>
      <vt:lpstr>NrList</vt:lpstr>
      <vt:lpstr>PrtyClr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Filby</dc:creator>
  <cp:lastModifiedBy>Carina Negreanu</cp:lastModifiedBy>
  <dcterms:created xsi:type="dcterms:W3CDTF">2020-01-27T11:19:48Z</dcterms:created>
  <dcterms:modified xsi:type="dcterms:W3CDTF">2020-01-27T11:19:49Z</dcterms:modified>
</cp:coreProperties>
</file>