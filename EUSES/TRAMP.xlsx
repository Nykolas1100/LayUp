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DB2FFBC-FD15-45D9-83D9-6C6873C0DFD2}" xr6:coauthVersionLast="45" xr6:coauthVersionMax="45" xr10:uidLastSave="{00000000-0000-0000-0000-000000000000}"/>
  <bookViews>
    <workbookView xWindow="1520" yWindow="1520" windowWidth="28800" windowHeight="15460" tabRatio="824"/>
  </bookViews>
  <sheets>
    <sheet name="Instructions and documentation" sheetId="14" r:id="rId1"/>
    <sheet name="Parameters" sheetId="1" r:id="rId2"/>
    <sheet name="Unknown Data Entry" sheetId="15" r:id="rId3"/>
    <sheet name="Unknown" sheetId="2" state="hidden" r:id="rId4"/>
    <sheet name="Output (short report)" sheetId="17" r:id="rId5"/>
    <sheet name="Complete report" sheetId="3" r:id="rId6"/>
    <sheet name="Scratch Pad" sheetId="16" state="hidden" r:id="rId7"/>
    <sheet name="Knowns" sheetId="5" r:id="rId8"/>
    <sheet name="ThresholdCalc" sheetId="18" state="hidden" r:id="rId9"/>
    <sheet name="Clean Unknown" sheetId="13" state="hidden" r:id="rId10"/>
    <sheet name="Error Calc (bp)" sheetId="6" state="hidden" r:id="rId11"/>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 i="13" l="1"/>
  <c r="B1" i="13"/>
  <c r="C1" i="13"/>
  <c r="D1" i="13"/>
  <c r="E1" i="13"/>
  <c r="F1" i="13"/>
  <c r="A2" i="13"/>
  <c r="B2" i="13"/>
  <c r="C2" i="13"/>
  <c r="D2" i="13"/>
  <c r="E2" i="13"/>
  <c r="F2" i="13"/>
  <c r="A3" i="13"/>
  <c r="B3" i="13"/>
  <c r="C3" i="13"/>
  <c r="D3" i="13"/>
  <c r="E3" i="13"/>
  <c r="F3" i="13"/>
  <c r="A4" i="13"/>
  <c r="B4" i="13"/>
  <c r="C4" i="13"/>
  <c r="D4" i="13"/>
  <c r="E4" i="13"/>
  <c r="F4" i="13"/>
  <c r="A5" i="13"/>
  <c r="B5" i="13"/>
  <c r="C5" i="13"/>
  <c r="D5" i="13"/>
  <c r="E5" i="13"/>
  <c r="F5" i="13"/>
  <c r="A6" i="13"/>
  <c r="B6" i="13"/>
  <c r="C6" i="13"/>
  <c r="D6" i="13"/>
  <c r="E6" i="13"/>
  <c r="F6" i="13"/>
  <c r="A7" i="13"/>
  <c r="B7" i="13"/>
  <c r="C7" i="13"/>
  <c r="D7" i="13"/>
  <c r="E7" i="13"/>
  <c r="F7" i="13"/>
  <c r="A8" i="13"/>
  <c r="B8" i="13"/>
  <c r="C8" i="13"/>
  <c r="D8" i="13"/>
  <c r="E8" i="13"/>
  <c r="F8" i="13"/>
  <c r="A9" i="13"/>
  <c r="B9" i="13"/>
  <c r="C9" i="13"/>
  <c r="D9" i="13"/>
  <c r="E9" i="13"/>
  <c r="F9" i="13"/>
  <c r="A10" i="13"/>
  <c r="B10" i="13"/>
  <c r="C10" i="13"/>
  <c r="D10" i="13"/>
  <c r="E10" i="13"/>
  <c r="F10" i="13"/>
  <c r="A11" i="13"/>
  <c r="B11" i="13"/>
  <c r="C11" i="13"/>
  <c r="D11" i="13"/>
  <c r="E11" i="13"/>
  <c r="F11" i="13"/>
  <c r="A12" i="13"/>
  <c r="B12" i="13"/>
  <c r="C12" i="13"/>
  <c r="D12" i="13"/>
  <c r="E12" i="13"/>
  <c r="F12" i="13"/>
  <c r="A13" i="13"/>
  <c r="B13" i="13"/>
  <c r="C13" i="13"/>
  <c r="D13" i="13"/>
  <c r="E13" i="13"/>
  <c r="F13" i="13"/>
  <c r="A14" i="13"/>
  <c r="B14" i="13"/>
  <c r="C14" i="13"/>
  <c r="D14" i="13"/>
  <c r="E14" i="13"/>
  <c r="F14" i="13"/>
  <c r="A15" i="13"/>
  <c r="B15" i="13"/>
  <c r="C15" i="13"/>
  <c r="D15" i="13"/>
  <c r="E15" i="13"/>
  <c r="F15" i="13"/>
  <c r="A16" i="13"/>
  <c r="B16" i="13"/>
  <c r="C16" i="13"/>
  <c r="D16" i="13"/>
  <c r="E16" i="13"/>
  <c r="F16" i="13"/>
  <c r="A17" i="13"/>
  <c r="B17" i="13"/>
  <c r="C17" i="13"/>
  <c r="D17" i="13"/>
  <c r="E17" i="13"/>
  <c r="F17" i="13"/>
  <c r="A18" i="13"/>
  <c r="B18" i="13"/>
  <c r="C18" i="13"/>
  <c r="D18" i="13"/>
  <c r="E18" i="13"/>
  <c r="F18" i="13"/>
  <c r="A19" i="13"/>
  <c r="B19" i="13"/>
  <c r="C19" i="13"/>
  <c r="D19" i="13"/>
  <c r="E19" i="13"/>
  <c r="F19" i="13"/>
  <c r="A20" i="13"/>
  <c r="B20" i="13"/>
  <c r="C20" i="13"/>
  <c r="D20" i="13"/>
  <c r="E20" i="13"/>
  <c r="F20" i="13"/>
  <c r="A21" i="13"/>
  <c r="B21" i="13"/>
  <c r="C21" i="13"/>
  <c r="D21" i="13"/>
  <c r="E21" i="13"/>
  <c r="F21" i="13"/>
  <c r="A22" i="13"/>
  <c r="B22" i="13"/>
  <c r="C22" i="13"/>
  <c r="D22" i="13"/>
  <c r="E22" i="13"/>
  <c r="F22" i="13"/>
  <c r="A23" i="13"/>
  <c r="B23" i="13"/>
  <c r="C23" i="13"/>
  <c r="D23" i="13"/>
  <c r="E23" i="13"/>
  <c r="F23" i="13"/>
  <c r="A24" i="13"/>
  <c r="B24" i="13"/>
  <c r="C24" i="13"/>
  <c r="D24" i="13"/>
  <c r="E24" i="13"/>
  <c r="F24" i="13"/>
  <c r="A25" i="13"/>
  <c r="B25" i="13"/>
  <c r="C25" i="13"/>
  <c r="D25" i="13"/>
  <c r="E25" i="13"/>
  <c r="F25" i="13"/>
  <c r="A26" i="13"/>
  <c r="B26" i="13"/>
  <c r="C26" i="13"/>
  <c r="D26" i="13"/>
  <c r="E26" i="13"/>
  <c r="F26" i="13"/>
  <c r="A27" i="13"/>
  <c r="B27" i="13"/>
  <c r="C27" i="13"/>
  <c r="D27" i="13"/>
  <c r="E27" i="13"/>
  <c r="F27" i="13"/>
  <c r="A28" i="13"/>
  <c r="B28" i="13"/>
  <c r="C28" i="13"/>
  <c r="D28" i="13"/>
  <c r="E28" i="13"/>
  <c r="F28" i="13"/>
  <c r="A29" i="13"/>
  <c r="B29" i="13"/>
  <c r="C29" i="13"/>
  <c r="D29" i="13"/>
  <c r="E29" i="13"/>
  <c r="F29" i="13"/>
  <c r="A30" i="13"/>
  <c r="B30" i="13"/>
  <c r="C30" i="13"/>
  <c r="D30" i="13"/>
  <c r="E30" i="13"/>
  <c r="F30" i="13"/>
  <c r="A31" i="13"/>
  <c r="B31" i="13"/>
  <c r="C31" i="13"/>
  <c r="D31" i="13"/>
  <c r="E31" i="13"/>
  <c r="F31" i="13"/>
  <c r="A32" i="13"/>
  <c r="B32" i="13"/>
  <c r="C32" i="13"/>
  <c r="D32" i="13"/>
  <c r="E32" i="13"/>
  <c r="F32" i="13"/>
  <c r="A33" i="13"/>
  <c r="B33" i="13"/>
  <c r="C33" i="13"/>
  <c r="D33" i="13"/>
  <c r="E33" i="13"/>
  <c r="F33" i="13"/>
  <c r="A34" i="13"/>
  <c r="B34" i="13"/>
  <c r="C34" i="13"/>
  <c r="D34" i="13"/>
  <c r="E34" i="13"/>
  <c r="F34" i="13"/>
  <c r="A35" i="13"/>
  <c r="B35" i="13"/>
  <c r="C35" i="13"/>
  <c r="D35" i="13"/>
  <c r="E35" i="13"/>
  <c r="F35" i="13"/>
  <c r="A36" i="13"/>
  <c r="B36" i="13"/>
  <c r="C36" i="13"/>
  <c r="D36" i="13"/>
  <c r="E36" i="13"/>
  <c r="F36" i="13"/>
  <c r="A37" i="13"/>
  <c r="B37" i="13"/>
  <c r="C37" i="13"/>
  <c r="D37" i="13"/>
  <c r="E37" i="13"/>
  <c r="F37" i="13"/>
  <c r="A38" i="13"/>
  <c r="B38" i="13"/>
  <c r="C38" i="13"/>
  <c r="D38" i="13"/>
  <c r="E38" i="13"/>
  <c r="F38" i="13"/>
  <c r="A39" i="13"/>
  <c r="B39" i="13"/>
  <c r="C39" i="13"/>
  <c r="D39" i="13"/>
  <c r="E39" i="13"/>
  <c r="F39" i="13"/>
  <c r="A40" i="13"/>
  <c r="B40" i="13"/>
  <c r="C40" i="13"/>
  <c r="D40" i="13"/>
  <c r="E40" i="13"/>
  <c r="F40" i="13"/>
  <c r="A41" i="13"/>
  <c r="B41" i="13"/>
  <c r="C41" i="13"/>
  <c r="D41" i="13"/>
  <c r="E41" i="13"/>
  <c r="F41" i="13"/>
  <c r="A42" i="13"/>
  <c r="B42" i="13"/>
  <c r="C42" i="13"/>
  <c r="D42" i="13"/>
  <c r="E42" i="13"/>
  <c r="F42" i="13"/>
  <c r="A43" i="13"/>
  <c r="B43" i="13"/>
  <c r="C43" i="13"/>
  <c r="D43" i="13"/>
  <c r="E43" i="13"/>
  <c r="F43" i="13"/>
  <c r="A44" i="13"/>
  <c r="B44" i="13"/>
  <c r="C44" i="13"/>
  <c r="D44" i="13"/>
  <c r="E44" i="13"/>
  <c r="F44" i="13"/>
  <c r="A45" i="13"/>
  <c r="B45" i="13"/>
  <c r="C45" i="13"/>
  <c r="D45" i="13"/>
  <c r="E45" i="13"/>
  <c r="F45" i="13"/>
  <c r="A46" i="13"/>
  <c r="B46" i="13"/>
  <c r="C46" i="13"/>
  <c r="D46" i="13"/>
  <c r="E46" i="13"/>
  <c r="F46" i="13"/>
  <c r="A47" i="13"/>
  <c r="B47" i="13"/>
  <c r="C47" i="13"/>
  <c r="D47" i="13"/>
  <c r="E47" i="13"/>
  <c r="F47" i="13"/>
  <c r="A48" i="13"/>
  <c r="B48" i="13"/>
  <c r="C48" i="13"/>
  <c r="D48" i="13"/>
  <c r="E48" i="13"/>
  <c r="F48" i="13"/>
  <c r="A49" i="13"/>
  <c r="B49" i="13"/>
  <c r="C49" i="13"/>
  <c r="D49" i="13"/>
  <c r="E49" i="13"/>
  <c r="F49" i="13"/>
  <c r="A50" i="13"/>
  <c r="B50" i="13"/>
  <c r="C50" i="13"/>
  <c r="D50" i="13"/>
  <c r="E50" i="13"/>
  <c r="F50" i="13"/>
  <c r="A51" i="13"/>
  <c r="B51" i="13"/>
  <c r="C51" i="13"/>
  <c r="D51" i="13"/>
  <c r="E51" i="13"/>
  <c r="F51" i="13"/>
  <c r="B2" i="3"/>
  <c r="E2" i="3"/>
  <c r="B3" i="3"/>
  <c r="B4" i="3"/>
  <c r="B5" i="3"/>
  <c r="A10" i="3"/>
  <c r="A11" i="3"/>
  <c r="I11" i="3"/>
  <c r="A12" i="3"/>
  <c r="A13" i="3"/>
  <c r="A14" i="3"/>
  <c r="A15" i="3"/>
  <c r="A16" i="3"/>
  <c r="A17" i="3"/>
  <c r="A18" i="3"/>
  <c r="A19" i="3"/>
  <c r="A20" i="3"/>
  <c r="A21" i="3"/>
  <c r="A22" i="3"/>
  <c r="I22" i="3"/>
  <c r="A23" i="3"/>
  <c r="A24" i="3"/>
  <c r="A25" i="3"/>
  <c r="A26" i="3"/>
  <c r="A27" i="3"/>
  <c r="A28" i="3"/>
  <c r="A29" i="3"/>
  <c r="I29" i="3"/>
  <c r="A30" i="3"/>
  <c r="A31" i="3"/>
  <c r="I31" i="3"/>
  <c r="A32" i="3"/>
  <c r="A33" i="3"/>
  <c r="A34" i="3"/>
  <c r="A35" i="3"/>
  <c r="A36" i="3"/>
  <c r="A37" i="3"/>
  <c r="A38" i="3"/>
  <c r="A39" i="3"/>
  <c r="A40" i="3"/>
  <c r="A41" i="3"/>
  <c r="A42" i="3"/>
  <c r="I42" i="3"/>
  <c r="A43" i="3"/>
  <c r="A44" i="3"/>
  <c r="A45" i="3"/>
  <c r="A46" i="3"/>
  <c r="A47" i="3"/>
  <c r="A48" i="3"/>
  <c r="A49" i="3"/>
  <c r="I49" i="3"/>
  <c r="A50" i="3"/>
  <c r="A51" i="3"/>
  <c r="I51" i="3"/>
  <c r="A52" i="3"/>
  <c r="A53" i="3"/>
  <c r="A54" i="3"/>
  <c r="A55" i="3"/>
  <c r="A56" i="3"/>
  <c r="A57" i="3"/>
  <c r="A58" i="3"/>
  <c r="A59" i="3"/>
  <c r="A60" i="3"/>
  <c r="A61" i="3"/>
  <c r="A62" i="3"/>
  <c r="A63" i="3"/>
  <c r="A64" i="3"/>
  <c r="A65" i="3"/>
  <c r="A66" i="3"/>
  <c r="A67" i="3"/>
  <c r="A68" i="3"/>
  <c r="A69" i="3"/>
  <c r="A70" i="3"/>
  <c r="A71" i="3"/>
  <c r="A72" i="3"/>
  <c r="A73" i="3"/>
  <c r="A74" i="3"/>
  <c r="A75" i="3"/>
  <c r="B75" i="3"/>
  <c r="C75" i="3"/>
  <c r="E75" i="3" s="1"/>
  <c r="F75" i="3"/>
  <c r="G75" i="3"/>
  <c r="I75" i="3"/>
  <c r="A76" i="3"/>
  <c r="B76" i="3" s="1"/>
  <c r="C76" i="3"/>
  <c r="E76" i="3" s="1"/>
  <c r="A77" i="3"/>
  <c r="C77" i="3" s="1"/>
  <c r="B77" i="3"/>
  <c r="A78" i="3"/>
  <c r="B78" i="3" s="1"/>
  <c r="A79" i="3"/>
  <c r="C79" i="3" s="1"/>
  <c r="B79" i="3"/>
  <c r="G79" i="3"/>
  <c r="A80" i="3"/>
  <c r="B80" i="3"/>
  <c r="C80" i="3"/>
  <c r="E80" i="3" s="1"/>
  <c r="F80" i="3"/>
  <c r="G80" i="3"/>
  <c r="I80" i="3"/>
  <c r="A81" i="3"/>
  <c r="B81" i="3" s="1"/>
  <c r="C81" i="3"/>
  <c r="E81" i="3"/>
  <c r="F81" i="3"/>
  <c r="G81" i="3"/>
  <c r="A82" i="3"/>
  <c r="C82" i="3" s="1"/>
  <c r="B82" i="3"/>
  <c r="A83" i="3"/>
  <c r="B83" i="3" s="1"/>
  <c r="A84" i="3"/>
  <c r="C84" i="3" s="1"/>
  <c r="G84" i="3"/>
  <c r="A85" i="3"/>
  <c r="B85" i="3"/>
  <c r="C85" i="3"/>
  <c r="E85" i="3" s="1"/>
  <c r="F85" i="3"/>
  <c r="G85" i="3"/>
  <c r="I85" i="3"/>
  <c r="A86" i="3"/>
  <c r="B86" i="3" s="1"/>
  <c r="C86" i="3"/>
  <c r="E86" i="3"/>
  <c r="F86" i="3"/>
  <c r="G86" i="3"/>
  <c r="A87" i="3"/>
  <c r="C87" i="3" s="1"/>
  <c r="B87" i="3"/>
  <c r="A88" i="3"/>
  <c r="B88" i="3" s="1"/>
  <c r="A89" i="3"/>
  <c r="A90" i="3"/>
  <c r="B90" i="3"/>
  <c r="C90" i="3"/>
  <c r="E90" i="3" s="1"/>
  <c r="F90" i="3"/>
  <c r="G90" i="3"/>
  <c r="I90" i="3"/>
  <c r="A91" i="3"/>
  <c r="B91" i="3" s="1"/>
  <c r="C91" i="3"/>
  <c r="E91" i="3" s="1"/>
  <c r="F91" i="3"/>
  <c r="G91" i="3"/>
  <c r="A92" i="3"/>
  <c r="C92" i="3" s="1"/>
  <c r="B92" i="3"/>
  <c r="A93" i="3"/>
  <c r="B93" i="3" s="1"/>
  <c r="A94" i="3"/>
  <c r="A95" i="3"/>
  <c r="B95" i="3"/>
  <c r="C95" i="3"/>
  <c r="E95" i="3" s="1"/>
  <c r="F95" i="3"/>
  <c r="G95" i="3"/>
  <c r="I95" i="3"/>
  <c r="A96" i="3"/>
  <c r="B96" i="3" s="1"/>
  <c r="C96" i="3"/>
  <c r="E96" i="3" s="1"/>
  <c r="F96" i="3"/>
  <c r="G96" i="3"/>
  <c r="A97" i="3"/>
  <c r="C97" i="3" s="1"/>
  <c r="B97" i="3"/>
  <c r="A98" i="3"/>
  <c r="B98" i="3" s="1"/>
  <c r="A99" i="3"/>
  <c r="A100" i="3"/>
  <c r="B100" i="3"/>
  <c r="C100" i="3"/>
  <c r="E100" i="3" s="1"/>
  <c r="F100" i="3"/>
  <c r="G100" i="3"/>
  <c r="I100" i="3"/>
  <c r="A101" i="3"/>
  <c r="B101" i="3" s="1"/>
  <c r="C101" i="3"/>
  <c r="E101" i="3" s="1"/>
  <c r="F101" i="3"/>
  <c r="G101" i="3"/>
  <c r="A102" i="3"/>
  <c r="C102" i="3" s="1"/>
  <c r="B102" i="3"/>
  <c r="A103" i="3"/>
  <c r="B103" i="3" s="1"/>
  <c r="A104" i="3"/>
  <c r="A105" i="3"/>
  <c r="B105" i="3"/>
  <c r="C105" i="3"/>
  <c r="E105" i="3" s="1"/>
  <c r="F105" i="3"/>
  <c r="G105" i="3"/>
  <c r="I105" i="3"/>
  <c r="A106" i="3"/>
  <c r="B106" i="3" s="1"/>
  <c r="A107" i="3"/>
  <c r="C107" i="3" s="1"/>
  <c r="A108" i="3"/>
  <c r="A109" i="3"/>
  <c r="C109" i="3" s="1"/>
  <c r="F109" i="3" s="1"/>
  <c r="G109" i="3"/>
  <c r="A110" i="3"/>
  <c r="B110" i="3"/>
  <c r="C110" i="3"/>
  <c r="E110" i="3" s="1"/>
  <c r="F110" i="3"/>
  <c r="G110" i="3"/>
  <c r="I110" i="3"/>
  <c r="A111" i="3"/>
  <c r="B111" i="3" s="1"/>
  <c r="C111" i="3"/>
  <c r="E111" i="3"/>
  <c r="F111" i="3"/>
  <c r="G111" i="3"/>
  <c r="A112" i="3"/>
  <c r="C112" i="3" s="1"/>
  <c r="A113" i="3"/>
  <c r="A114" i="3"/>
  <c r="C114" i="3" s="1"/>
  <c r="B114" i="3"/>
  <c r="F114" i="3"/>
  <c r="G114" i="3"/>
  <c r="A115" i="3"/>
  <c r="B115" i="3"/>
  <c r="C115" i="3"/>
  <c r="E115" i="3" s="1"/>
  <c r="F115" i="3"/>
  <c r="I115" i="3"/>
  <c r="A116" i="3"/>
  <c r="B116" i="3" s="1"/>
  <c r="C116" i="3"/>
  <c r="E116" i="3"/>
  <c r="F116" i="3"/>
  <c r="G116" i="3"/>
  <c r="A117" i="3"/>
  <c r="C117" i="3" s="1"/>
  <c r="A118" i="3"/>
  <c r="A119" i="3"/>
  <c r="C119" i="3" s="1"/>
  <c r="F119" i="3"/>
  <c r="G119" i="3"/>
  <c r="A120" i="3"/>
  <c r="B120" i="3"/>
  <c r="C120" i="3"/>
  <c r="E120" i="3" s="1"/>
  <c r="F120" i="3"/>
  <c r="I120" i="3"/>
  <c r="A121" i="3"/>
  <c r="B121" i="3" s="1"/>
  <c r="C121" i="3"/>
  <c r="E121" i="3"/>
  <c r="F121" i="3"/>
  <c r="G121" i="3"/>
  <c r="A122" i="3"/>
  <c r="C122" i="3" s="1"/>
  <c r="A123" i="3"/>
  <c r="A124" i="3"/>
  <c r="C124" i="3" s="1"/>
  <c r="F124" i="3"/>
  <c r="G124" i="3"/>
  <c r="A125" i="3"/>
  <c r="B125" i="3"/>
  <c r="C125" i="3"/>
  <c r="E125" i="3" s="1"/>
  <c r="F125" i="3"/>
  <c r="I125" i="3"/>
  <c r="A126" i="3"/>
  <c r="B126" i="3" s="1"/>
  <c r="C126" i="3"/>
  <c r="E126" i="3"/>
  <c r="F126" i="3"/>
  <c r="G126" i="3"/>
  <c r="A127" i="3"/>
  <c r="C127" i="3" s="1"/>
  <c r="G127" i="3" s="1"/>
  <c r="A128" i="3"/>
  <c r="A129" i="3"/>
  <c r="C129" i="3" s="1"/>
  <c r="G129" i="3" s="1"/>
  <c r="B129" i="3"/>
  <c r="F129" i="3"/>
  <c r="A130" i="3"/>
  <c r="B130" i="3"/>
  <c r="C130" i="3"/>
  <c r="E130" i="3" s="1"/>
  <c r="F130" i="3"/>
  <c r="I130" i="3"/>
  <c r="A131" i="3"/>
  <c r="B131" i="3" s="1"/>
  <c r="C131" i="3"/>
  <c r="H131" i="3" s="1"/>
  <c r="A132" i="3"/>
  <c r="C132" i="3" s="1"/>
  <c r="B132" i="3"/>
  <c r="G132" i="3"/>
  <c r="A133" i="3"/>
  <c r="A134" i="3"/>
  <c r="C134" i="3" s="1"/>
  <c r="E134" i="3" s="1"/>
  <c r="A135" i="3"/>
  <c r="B135" i="3"/>
  <c r="C135" i="3"/>
  <c r="E135" i="3" s="1"/>
  <c r="F135" i="3"/>
  <c r="A136" i="3"/>
  <c r="B136" i="3" s="1"/>
  <c r="C136" i="3"/>
  <c r="H136" i="3" s="1"/>
  <c r="I136" i="3"/>
  <c r="A137" i="3"/>
  <c r="A138" i="3"/>
  <c r="A139" i="3"/>
  <c r="C139" i="3" s="1"/>
  <c r="E139" i="3" s="1"/>
  <c r="F139" i="3"/>
  <c r="G139" i="3"/>
  <c r="A140" i="3"/>
  <c r="B140" i="3"/>
  <c r="C140" i="3"/>
  <c r="E140" i="3" s="1"/>
  <c r="F140" i="3"/>
  <c r="A141" i="3"/>
  <c r="B141" i="3" s="1"/>
  <c r="A142" i="3"/>
  <c r="C142" i="3" s="1"/>
  <c r="B142" i="3"/>
  <c r="G142" i="3"/>
  <c r="H142" i="3"/>
  <c r="A143" i="3"/>
  <c r="A144" i="3"/>
  <c r="C144" i="3" s="1"/>
  <c r="B144" i="3"/>
  <c r="E144" i="3"/>
  <c r="F144" i="3"/>
  <c r="G144" i="3"/>
  <c r="A145" i="3"/>
  <c r="B145" i="3"/>
  <c r="C145" i="3"/>
  <c r="F145" i="3"/>
  <c r="I145" i="3"/>
  <c r="A146" i="3"/>
  <c r="B146" i="3" s="1"/>
  <c r="A147" i="3"/>
  <c r="C147" i="3" s="1"/>
  <c r="G147" i="3" s="1"/>
  <c r="H147" i="3"/>
  <c r="A148" i="3"/>
  <c r="A149" i="3"/>
  <c r="C149" i="3" s="1"/>
  <c r="E149" i="3" s="1"/>
  <c r="F149" i="3"/>
  <c r="G149" i="3"/>
  <c r="A150" i="3"/>
  <c r="B150" i="3"/>
  <c r="C150" i="3"/>
  <c r="F150" i="3" s="1"/>
  <c r="I150" i="3"/>
  <c r="A151" i="3"/>
  <c r="B151" i="3" s="1"/>
  <c r="C151" i="3"/>
  <c r="H151" i="3" s="1"/>
  <c r="G151" i="3"/>
  <c r="I151" i="3"/>
  <c r="A152" i="3"/>
  <c r="C152" i="3" s="1"/>
  <c r="B152" i="3"/>
  <c r="G152" i="3"/>
  <c r="H152" i="3"/>
  <c r="A153" i="3"/>
  <c r="A154" i="3"/>
  <c r="C154" i="3" s="1"/>
  <c r="E154" i="3" s="1"/>
  <c r="G154" i="3"/>
  <c r="A155" i="3"/>
  <c r="B155" i="3"/>
  <c r="C155" i="3"/>
  <c r="F155" i="3"/>
  <c r="I155" i="3"/>
  <c r="A156" i="3"/>
  <c r="B156" i="3" s="1"/>
  <c r="A157" i="3"/>
  <c r="C157" i="3" s="1"/>
  <c r="B157" i="3"/>
  <c r="G157" i="3"/>
  <c r="H157" i="3"/>
  <c r="A158" i="3"/>
  <c r="A159" i="3"/>
  <c r="C159" i="3" s="1"/>
  <c r="B159" i="3"/>
  <c r="E159" i="3"/>
  <c r="F159" i="3"/>
  <c r="G159" i="3"/>
  <c r="A160" i="3"/>
  <c r="B160" i="3"/>
  <c r="C160" i="3"/>
  <c r="F160" i="3" s="1"/>
  <c r="A161" i="3"/>
  <c r="B161" i="3" s="1"/>
  <c r="A162" i="3"/>
  <c r="C162" i="3" s="1"/>
  <c r="B162" i="3"/>
  <c r="G162" i="3"/>
  <c r="H162" i="3"/>
  <c r="A163" i="3"/>
  <c r="A164" i="3"/>
  <c r="C164" i="3" s="1"/>
  <c r="E164" i="3"/>
  <c r="F164" i="3"/>
  <c r="G164" i="3"/>
  <c r="A165" i="3"/>
  <c r="B165" i="3"/>
  <c r="C165" i="3"/>
  <c r="F165" i="3"/>
  <c r="I165" i="3"/>
  <c r="A166" i="3"/>
  <c r="B166" i="3" s="1"/>
  <c r="A167" i="3"/>
  <c r="C167" i="3" s="1"/>
  <c r="G167" i="3" s="1"/>
  <c r="H167" i="3"/>
  <c r="A168" i="3"/>
  <c r="A169" i="3"/>
  <c r="C169" i="3" s="1"/>
  <c r="E169" i="3" s="1"/>
  <c r="F169" i="3"/>
  <c r="G169" i="3"/>
  <c r="A170" i="3"/>
  <c r="B170" i="3"/>
  <c r="C170" i="3"/>
  <c r="F170" i="3" s="1"/>
  <c r="I170" i="3"/>
  <c r="A171" i="3"/>
  <c r="B171" i="3" s="1"/>
  <c r="C171" i="3"/>
  <c r="H171" i="3" s="1"/>
  <c r="G171" i="3"/>
  <c r="I171" i="3"/>
  <c r="A172" i="3"/>
  <c r="C172" i="3" s="1"/>
  <c r="B172" i="3"/>
  <c r="G172" i="3"/>
  <c r="H172" i="3"/>
  <c r="A173" i="3"/>
  <c r="A174" i="3"/>
  <c r="C174" i="3" s="1"/>
  <c r="E174" i="3" s="1"/>
  <c r="G174" i="3"/>
  <c r="A175" i="3"/>
  <c r="B175" i="3"/>
  <c r="C175" i="3"/>
  <c r="F175" i="3"/>
  <c r="I175" i="3"/>
  <c r="A176" i="3"/>
  <c r="B176" i="3" s="1"/>
  <c r="A177" i="3"/>
  <c r="C177" i="3" s="1"/>
  <c r="B177" i="3"/>
  <c r="G177" i="3"/>
  <c r="H177" i="3"/>
  <c r="A178" i="3"/>
  <c r="A179" i="3"/>
  <c r="C179" i="3" s="1"/>
  <c r="B179" i="3"/>
  <c r="E179" i="3"/>
  <c r="F179" i="3"/>
  <c r="G179" i="3"/>
  <c r="A180" i="3"/>
  <c r="B180" i="3"/>
  <c r="C180" i="3"/>
  <c r="F180" i="3" s="1"/>
  <c r="A181" i="3"/>
  <c r="B181" i="3" s="1"/>
  <c r="C181" i="3"/>
  <c r="H181" i="3" s="1"/>
  <c r="E181" i="3"/>
  <c r="F181" i="3"/>
  <c r="A182" i="3"/>
  <c r="C182" i="3" s="1"/>
  <c r="H182" i="3" s="1"/>
  <c r="G182" i="3"/>
  <c r="A183" i="3"/>
  <c r="C183" i="3" s="1"/>
  <c r="G183" i="3" s="1"/>
  <c r="F183" i="3"/>
  <c r="H183" i="3"/>
  <c r="I183" i="3"/>
  <c r="A184" i="3"/>
  <c r="B184" i="3" s="1"/>
  <c r="A185" i="3"/>
  <c r="B185" i="3"/>
  <c r="C185" i="3"/>
  <c r="F185" i="3" s="1"/>
  <c r="A186" i="3"/>
  <c r="B186" i="3" s="1"/>
  <c r="A187" i="3"/>
  <c r="C187" i="3" s="1"/>
  <c r="B187" i="3"/>
  <c r="G187" i="3"/>
  <c r="H187" i="3"/>
  <c r="A188" i="3"/>
  <c r="C188" i="3" s="1"/>
  <c r="G188" i="3" s="1"/>
  <c r="F188" i="3"/>
  <c r="H188" i="3"/>
  <c r="A189" i="3"/>
  <c r="B189" i="3"/>
  <c r="C189" i="3"/>
  <c r="F189" i="3" s="1"/>
  <c r="E189" i="3"/>
  <c r="G189" i="3"/>
  <c r="A190" i="3"/>
  <c r="B190" i="3"/>
  <c r="C190" i="3"/>
  <c r="F190" i="3"/>
  <c r="G190" i="3"/>
  <c r="I190" i="3"/>
  <c r="A191" i="3"/>
  <c r="B191" i="3" s="1"/>
  <c r="C191" i="3"/>
  <c r="F191" i="3" s="1"/>
  <c r="E191" i="3"/>
  <c r="H191" i="3"/>
  <c r="I191" i="3"/>
  <c r="A192" i="3"/>
  <c r="C192" i="3" s="1"/>
  <c r="G192" i="3" s="1"/>
  <c r="A193" i="3"/>
  <c r="C193" i="3" s="1"/>
  <c r="G193" i="3" s="1"/>
  <c r="I193" i="3"/>
  <c r="A194" i="3"/>
  <c r="B194" i="3" s="1"/>
  <c r="C194" i="3"/>
  <c r="E194" i="3" s="1"/>
  <c r="A195" i="3"/>
  <c r="B195" i="3"/>
  <c r="C195" i="3"/>
  <c r="F195" i="3"/>
  <c r="A196" i="3"/>
  <c r="B196" i="3" s="1"/>
  <c r="C196" i="3"/>
  <c r="E196" i="3" s="1"/>
  <c r="I196" i="3"/>
  <c r="A197" i="3"/>
  <c r="C197" i="3" s="1"/>
  <c r="G197" i="3"/>
  <c r="H197" i="3"/>
  <c r="A198" i="3"/>
  <c r="C198" i="3" s="1"/>
  <c r="B198" i="3"/>
  <c r="F198" i="3"/>
  <c r="H198" i="3"/>
  <c r="A199" i="3"/>
  <c r="B199" i="3"/>
  <c r="C199" i="3"/>
  <c r="F199" i="3" s="1"/>
  <c r="E199" i="3"/>
  <c r="G199" i="3"/>
  <c r="A200" i="3"/>
  <c r="B200" i="3"/>
  <c r="C200" i="3"/>
  <c r="E200" i="3" s="1"/>
  <c r="F200" i="3"/>
  <c r="G200" i="3"/>
  <c r="H200" i="3"/>
  <c r="I200" i="3"/>
  <c r="A201" i="3"/>
  <c r="B201" i="3" s="1"/>
  <c r="C201" i="3"/>
  <c r="I201" i="3" s="1"/>
  <c r="G201" i="3"/>
  <c r="H201" i="3"/>
  <c r="A202" i="3"/>
  <c r="C202" i="3" s="1"/>
  <c r="B202" i="3"/>
  <c r="G202" i="3"/>
  <c r="H202" i="3"/>
  <c r="A203" i="3"/>
  <c r="B203" i="3"/>
  <c r="C203" i="3"/>
  <c r="G203" i="3" s="1"/>
  <c r="E203" i="3"/>
  <c r="F203" i="3"/>
  <c r="H203" i="3"/>
  <c r="I203" i="3"/>
  <c r="A204" i="3"/>
  <c r="B204" i="3" s="1"/>
  <c r="A205" i="3"/>
  <c r="B205" i="3"/>
  <c r="C205" i="3"/>
  <c r="E205" i="3" s="1"/>
  <c r="F205" i="3"/>
  <c r="G205" i="3"/>
  <c r="H205" i="3"/>
  <c r="A206" i="3"/>
  <c r="B206" i="3" s="1"/>
  <c r="A207" i="3"/>
  <c r="C207" i="3" s="1"/>
  <c r="G207" i="3" s="1"/>
  <c r="B207" i="3"/>
  <c r="E207" i="3"/>
  <c r="A208" i="3"/>
  <c r="C208" i="3" s="1"/>
  <c r="B208" i="3"/>
  <c r="A209" i="3"/>
  <c r="B209" i="3"/>
  <c r="C209" i="3"/>
  <c r="H209" i="3" s="1"/>
  <c r="E209" i="3"/>
  <c r="F209" i="3"/>
  <c r="G209" i="3"/>
  <c r="I209" i="3"/>
  <c r="B1" i="6"/>
  <c r="C1" i="6"/>
  <c r="D1" i="6"/>
  <c r="E1" i="6"/>
  <c r="F1" i="6"/>
  <c r="G1" i="6"/>
  <c r="A2" i="6"/>
  <c r="B2" i="6"/>
  <c r="B2" i="6" a="1"/>
  <c r="D2" i="6" a="1"/>
  <c r="D2" i="6" s="1"/>
  <c r="F2" i="6"/>
  <c r="F2" i="6" a="1"/>
  <c r="G2" i="6"/>
  <c r="G2" i="6" a="1"/>
  <c r="A3" i="6"/>
  <c r="B3" i="6" a="1"/>
  <c r="B3" i="6" s="1"/>
  <c r="D3" i="6" a="1"/>
  <c r="D3" i="6" s="1"/>
  <c r="G3" i="6"/>
  <c r="G3" i="6" a="1"/>
  <c r="A4" i="6"/>
  <c r="B4" i="6" a="1"/>
  <c r="B4" i="6" s="1"/>
  <c r="D4" i="6"/>
  <c r="D4" i="6" a="1"/>
  <c r="F4" i="6"/>
  <c r="F4" i="6" a="1"/>
  <c r="G4" i="6" a="1"/>
  <c r="G4" i="6" s="1"/>
  <c r="A5" i="6"/>
  <c r="B5" i="6" a="1"/>
  <c r="B5" i="6" s="1"/>
  <c r="D5" i="6" a="1"/>
  <c r="D5" i="6" s="1"/>
  <c r="F5" i="6" a="1"/>
  <c r="F5" i="6" s="1"/>
  <c r="G5" i="6" a="1"/>
  <c r="G5" i="6" s="1"/>
  <c r="A6" i="6"/>
  <c r="B6" i="6" a="1"/>
  <c r="B6" i="6" s="1"/>
  <c r="D6" i="6" a="1"/>
  <c r="D6" i="6" s="1"/>
  <c r="F6" i="6" a="1"/>
  <c r="F6" i="6" s="1"/>
  <c r="G6" i="6" a="1"/>
  <c r="G6" i="6" s="1"/>
  <c r="A7" i="6"/>
  <c r="B7" i="6" a="1"/>
  <c r="B7" i="6" s="1"/>
  <c r="D7" i="6" a="1"/>
  <c r="D7" i="6" s="1"/>
  <c r="F7" i="6" a="1"/>
  <c r="F7" i="6" s="1"/>
  <c r="G7" i="6"/>
  <c r="G7" i="6" a="1"/>
  <c r="A8" i="6"/>
  <c r="B8" i="6" a="1"/>
  <c r="B8" i="6" s="1"/>
  <c r="D8" i="6" a="1"/>
  <c r="D8" i="6" s="1"/>
  <c r="F8" i="6" a="1"/>
  <c r="F8" i="6" s="1"/>
  <c r="G8" i="6"/>
  <c r="G8" i="6" a="1"/>
  <c r="A9" i="6"/>
  <c r="B9" i="6" a="1"/>
  <c r="B9" i="6" s="1"/>
  <c r="D9" i="6"/>
  <c r="D9" i="6" a="1"/>
  <c r="F9" i="6" a="1"/>
  <c r="F9" i="6" s="1"/>
  <c r="G9" i="6" a="1"/>
  <c r="G9" i="6" s="1"/>
  <c r="A10" i="6"/>
  <c r="B10" i="6" a="1"/>
  <c r="B10" i="6" s="1"/>
  <c r="D10" i="6"/>
  <c r="D10" i="6" a="1"/>
  <c r="F10" i="6"/>
  <c r="F10" i="6" a="1"/>
  <c r="G10" i="6" a="1"/>
  <c r="G10" i="6" s="1"/>
  <c r="A11" i="6"/>
  <c r="B11" i="6" a="1"/>
  <c r="B11" i="6" s="1"/>
  <c r="D11" i="6" a="1"/>
  <c r="D11" i="6" s="1"/>
  <c r="F11" i="6" a="1"/>
  <c r="F11" i="6" s="1"/>
  <c r="G11" i="6"/>
  <c r="G11" i="6" a="1"/>
  <c r="A12" i="6"/>
  <c r="B12" i="6" a="1"/>
  <c r="B12" i="6" s="1"/>
  <c r="D12" i="6" a="1"/>
  <c r="D12" i="6" s="1"/>
  <c r="F12" i="6"/>
  <c r="F12" i="6" a="1"/>
  <c r="G12" i="6"/>
  <c r="G12" i="6" a="1"/>
  <c r="A13" i="6"/>
  <c r="B13" i="6"/>
  <c r="B13" i="6" a="1"/>
  <c r="D13" i="6"/>
  <c r="D13" i="6" a="1"/>
  <c r="F13" i="6" a="1"/>
  <c r="F13" i="6" s="1"/>
  <c r="G13" i="6" a="1"/>
  <c r="G13" i="6" s="1"/>
  <c r="A14" i="6"/>
  <c r="B14" i="6" a="1"/>
  <c r="B14" i="6" s="1"/>
  <c r="D14" i="6"/>
  <c r="D14" i="6" a="1"/>
  <c r="F14" i="6" a="1"/>
  <c r="F14" i="6" s="1"/>
  <c r="G14" i="6"/>
  <c r="G14" i="6" a="1"/>
  <c r="A15" i="6"/>
  <c r="B15" i="6" a="1"/>
  <c r="B15" i="6" s="1"/>
  <c r="D15" i="6" a="1"/>
  <c r="D15" i="6" s="1"/>
  <c r="F15" i="6" a="1"/>
  <c r="F15" i="6" s="1"/>
  <c r="G15" i="6" a="1"/>
  <c r="G15" i="6" s="1"/>
  <c r="A16" i="6"/>
  <c r="B16" i="6" a="1"/>
  <c r="B16" i="6" s="1"/>
  <c r="D16" i="6" a="1"/>
  <c r="D16" i="6" s="1"/>
  <c r="F16" i="6" a="1"/>
  <c r="F16" i="6" s="1"/>
  <c r="G16" i="6"/>
  <c r="G16" i="6" a="1"/>
  <c r="A17" i="6"/>
  <c r="B17" i="6"/>
  <c r="B17" i="6" a="1"/>
  <c r="D17" i="6" a="1"/>
  <c r="D17" i="6" s="1"/>
  <c r="F17" i="6"/>
  <c r="F17" i="6" a="1"/>
  <c r="G17" i="6" a="1"/>
  <c r="G17" i="6" s="1"/>
  <c r="A18" i="6"/>
  <c r="B18" i="6"/>
  <c r="B18" i="6" a="1"/>
  <c r="D18" i="6"/>
  <c r="D18" i="6" a="1"/>
  <c r="F18" i="6" a="1"/>
  <c r="F18" i="6" s="1"/>
  <c r="G18" i="6"/>
  <c r="G18" i="6" a="1"/>
  <c r="A19" i="6"/>
  <c r="B19" i="6" a="1"/>
  <c r="B19" i="6" s="1"/>
  <c r="D19" i="6" a="1"/>
  <c r="D19" i="6" s="1"/>
  <c r="F19" i="6" a="1"/>
  <c r="F19" i="6" s="1"/>
  <c r="G19" i="6" a="1"/>
  <c r="G19" i="6" s="1"/>
  <c r="A20" i="6"/>
  <c r="B20" i="6" a="1"/>
  <c r="B20" i="6" s="1"/>
  <c r="D20" i="6" a="1"/>
  <c r="D20" i="6" s="1"/>
  <c r="F20" i="6" a="1"/>
  <c r="F20" i="6" s="1"/>
  <c r="G20" i="6" a="1"/>
  <c r="G20" i="6" s="1"/>
  <c r="A21" i="6"/>
  <c r="B21" i="6"/>
  <c r="B21" i="6" a="1"/>
  <c r="D21" i="6" a="1"/>
  <c r="D21" i="6" s="1"/>
  <c r="F21" i="6"/>
  <c r="F21" i="6" a="1"/>
  <c r="G21" i="6" a="1"/>
  <c r="G21" i="6" s="1"/>
  <c r="A22" i="6"/>
  <c r="B22" i="6"/>
  <c r="B22" i="6" a="1"/>
  <c r="D22" i="6" a="1"/>
  <c r="D22" i="6" s="1"/>
  <c r="E22" i="6" a="1"/>
  <c r="E22" i="6" s="1"/>
  <c r="F22" i="6"/>
  <c r="F22" i="6" a="1"/>
  <c r="G22" i="6" a="1"/>
  <c r="G22" i="6" s="1"/>
  <c r="A23" i="6"/>
  <c r="B23" i="6" a="1"/>
  <c r="B23" i="6" s="1"/>
  <c r="D23" i="6" a="1"/>
  <c r="D23" i="6" s="1"/>
  <c r="E23" i="6" a="1"/>
  <c r="E23" i="6" s="1"/>
  <c r="F23" i="6" a="1"/>
  <c r="F23" i="6" s="1"/>
  <c r="G23" i="6"/>
  <c r="G23" i="6" a="1"/>
  <c r="A24" i="6"/>
  <c r="B24" i="6" a="1"/>
  <c r="B24" i="6" s="1"/>
  <c r="D24" i="6" a="1"/>
  <c r="D24" i="6" s="1"/>
  <c r="F24" i="6" a="1"/>
  <c r="F24" i="6" s="1"/>
  <c r="G24" i="6" a="1"/>
  <c r="G24" i="6" s="1"/>
  <c r="A25" i="6"/>
  <c r="B25" i="6" a="1"/>
  <c r="B25" i="6" s="1"/>
  <c r="D25" i="6"/>
  <c r="D25" i="6" a="1"/>
  <c r="F25" i="6"/>
  <c r="F25" i="6" a="1"/>
  <c r="G25" i="6" a="1"/>
  <c r="G25" i="6" s="1"/>
  <c r="A26" i="6"/>
  <c r="B26" i="6"/>
  <c r="B26" i="6" a="1"/>
  <c r="D26" i="6" a="1"/>
  <c r="D26" i="6" s="1"/>
  <c r="F26" i="6"/>
  <c r="F26" i="6" a="1"/>
  <c r="G26" i="6" a="1"/>
  <c r="G26" i="6" s="1"/>
  <c r="A27" i="6"/>
  <c r="B27" i="6" a="1"/>
  <c r="B27" i="6" s="1"/>
  <c r="D27" i="6" a="1"/>
  <c r="D27" i="6" s="1"/>
  <c r="F27" i="6" a="1"/>
  <c r="F27" i="6" s="1"/>
  <c r="G27" i="6"/>
  <c r="G27" i="6" a="1"/>
  <c r="A28" i="6"/>
  <c r="B28" i="6" a="1"/>
  <c r="B28" i="6" s="1"/>
  <c r="D28" i="6" a="1"/>
  <c r="D28" i="6" s="1"/>
  <c r="F28" i="6" a="1"/>
  <c r="F28" i="6" s="1"/>
  <c r="G28" i="6"/>
  <c r="G28" i="6" a="1"/>
  <c r="A29" i="6"/>
  <c r="B29" i="6" a="1"/>
  <c r="B29" i="6" s="1"/>
  <c r="D29" i="6"/>
  <c r="D29" i="6" a="1"/>
  <c r="F29" i="6" a="1"/>
  <c r="F29" i="6" s="1"/>
  <c r="G29" i="6" a="1"/>
  <c r="G29" i="6" s="1"/>
  <c r="A30" i="6"/>
  <c r="B30" i="6" a="1"/>
  <c r="B30" i="6" s="1"/>
  <c r="C30" i="6" a="1"/>
  <c r="C30" i="6" s="1"/>
  <c r="D30" i="6"/>
  <c r="D30" i="6" a="1"/>
  <c r="F30" i="6"/>
  <c r="F30" i="6" a="1"/>
  <c r="G30" i="6" a="1"/>
  <c r="G30" i="6" s="1"/>
  <c r="A31" i="6"/>
  <c r="B31" i="6" a="1"/>
  <c r="B31" i="6" s="1"/>
  <c r="D31" i="6" a="1"/>
  <c r="D31" i="6" s="1"/>
  <c r="F31" i="6" a="1"/>
  <c r="F31" i="6" s="1"/>
  <c r="G31" i="6"/>
  <c r="G31" i="6" a="1"/>
  <c r="A32" i="6"/>
  <c r="B32" i="6" a="1"/>
  <c r="B32" i="6" s="1"/>
  <c r="D32" i="6" a="1"/>
  <c r="D32" i="6" s="1"/>
  <c r="F32" i="6"/>
  <c r="F32" i="6" a="1"/>
  <c r="G32" i="6"/>
  <c r="G32" i="6" a="1"/>
  <c r="A33" i="6"/>
  <c r="B33" i="6"/>
  <c r="B33" i="6" a="1"/>
  <c r="D33" i="6"/>
  <c r="D33" i="6" a="1"/>
  <c r="F33" i="6" a="1"/>
  <c r="F33" i="6" s="1"/>
  <c r="G33" i="6" a="1"/>
  <c r="G33" i="6" s="1"/>
  <c r="A34" i="6"/>
  <c r="B34" i="6" a="1"/>
  <c r="B34" i="6" s="1"/>
  <c r="D34" i="6"/>
  <c r="D34" i="6" a="1"/>
  <c r="F34" i="6" a="1"/>
  <c r="F34" i="6" s="1"/>
  <c r="G34" i="6" a="1"/>
  <c r="G34" i="6" s="1"/>
  <c r="A35" i="6"/>
  <c r="B35" i="6" a="1"/>
  <c r="B35" i="6" s="1"/>
  <c r="D35" i="6" a="1"/>
  <c r="D35" i="6" s="1"/>
  <c r="F35" i="6"/>
  <c r="F35" i="6" a="1"/>
  <c r="G35" i="6" a="1"/>
  <c r="G35" i="6" s="1"/>
  <c r="A36" i="6"/>
  <c r="B36" i="6" a="1"/>
  <c r="B36" i="6" s="1"/>
  <c r="D36" i="6" a="1"/>
  <c r="D36" i="6" s="1"/>
  <c r="F36" i="6"/>
  <c r="F36" i="6" a="1"/>
  <c r="G36" i="6"/>
  <c r="G36" i="6" a="1"/>
  <c r="A37" i="6"/>
  <c r="B37" i="6"/>
  <c r="B37" i="6" a="1"/>
  <c r="D37" i="6" a="1"/>
  <c r="D37" i="6" s="1"/>
  <c r="F37" i="6"/>
  <c r="F37" i="6" a="1"/>
  <c r="G37" i="6" a="1"/>
  <c r="G37" i="6" s="1"/>
  <c r="A38" i="6"/>
  <c r="B38" i="6"/>
  <c r="B38" i="6" a="1"/>
  <c r="D38" i="6"/>
  <c r="D38" i="6" a="1"/>
  <c r="F38" i="6" a="1"/>
  <c r="F38" i="6" s="1"/>
  <c r="G38" i="6"/>
  <c r="G38" i="6" a="1"/>
  <c r="A39" i="6"/>
  <c r="B39" i="6" a="1"/>
  <c r="B39" i="6" s="1"/>
  <c r="D39" i="6" a="1"/>
  <c r="D39" i="6" s="1"/>
  <c r="F39" i="6" a="1"/>
  <c r="F39" i="6" s="1"/>
  <c r="G39" i="6" a="1"/>
  <c r="G39" i="6" s="1"/>
  <c r="A40" i="6"/>
  <c r="B40" i="6" a="1"/>
  <c r="B40" i="6" s="1"/>
  <c r="D40" i="6" a="1"/>
  <c r="D40" i="6" s="1"/>
  <c r="F40" i="6" a="1"/>
  <c r="F40" i="6" s="1"/>
  <c r="G40" i="6" a="1"/>
  <c r="G40" i="6" s="1"/>
  <c r="A41" i="6"/>
  <c r="B41" i="6"/>
  <c r="B41" i="6" a="1"/>
  <c r="D41" i="6" a="1"/>
  <c r="D41" i="6" s="1"/>
  <c r="F41" i="6"/>
  <c r="F41" i="6" a="1"/>
  <c r="G41" i="6"/>
  <c r="G41" i="6" a="1"/>
  <c r="A42" i="6"/>
  <c r="B42" i="6"/>
  <c r="B42" i="6" a="1"/>
  <c r="D42" i="6" a="1"/>
  <c r="D42" i="6" s="1"/>
  <c r="E42" i="6" a="1"/>
  <c r="E42" i="6" s="1"/>
  <c r="F42" i="6"/>
  <c r="F42" i="6" a="1"/>
  <c r="G42" i="6"/>
  <c r="G42" i="6" a="1"/>
  <c r="A43" i="6"/>
  <c r="B43" i="6" a="1"/>
  <c r="B43" i="6" s="1"/>
  <c r="D43" i="6"/>
  <c r="D43" i="6" a="1"/>
  <c r="F43" i="6" a="1"/>
  <c r="F43" i="6" s="1"/>
  <c r="G43" i="6"/>
  <c r="G43" i="6" a="1"/>
  <c r="A44" i="6"/>
  <c r="B44" i="6" a="1"/>
  <c r="B44" i="6" s="1"/>
  <c r="D44" i="6" a="1"/>
  <c r="D44" i="6" s="1"/>
  <c r="F44" i="6" a="1"/>
  <c r="F44" i="6" s="1"/>
  <c r="G44" i="6" a="1"/>
  <c r="G44" i="6" s="1"/>
  <c r="A45" i="6"/>
  <c r="B45" i="6" a="1"/>
  <c r="B45" i="6" s="1"/>
  <c r="D45" i="6"/>
  <c r="D45" i="6" a="1"/>
  <c r="F45" i="6"/>
  <c r="F45" i="6" a="1"/>
  <c r="G45" i="6" a="1"/>
  <c r="G45" i="6" s="1"/>
  <c r="A46" i="6"/>
  <c r="B46" i="6"/>
  <c r="B46" i="6" a="1"/>
  <c r="D46" i="6" a="1"/>
  <c r="D46" i="6" s="1"/>
  <c r="F46" i="6"/>
  <c r="F46" i="6" a="1"/>
  <c r="G46" i="6" a="1"/>
  <c r="G46" i="6" s="1"/>
  <c r="A47" i="6"/>
  <c r="B47" i="6" a="1"/>
  <c r="B47" i="6" s="1"/>
  <c r="D47" i="6" a="1"/>
  <c r="D47" i="6" s="1"/>
  <c r="F47" i="6" a="1"/>
  <c r="F47" i="6" s="1"/>
  <c r="G47" i="6"/>
  <c r="G47" i="6" a="1"/>
  <c r="A48" i="6"/>
  <c r="B48" i="6" a="1"/>
  <c r="B48" i="6" s="1"/>
  <c r="D48" i="6" a="1"/>
  <c r="D48" i="6" s="1"/>
  <c r="E48" i="6" a="1"/>
  <c r="E48" i="6" s="1"/>
  <c r="F48" i="6"/>
  <c r="F48" i="6" a="1"/>
  <c r="G48" i="6"/>
  <c r="G48" i="6" a="1"/>
  <c r="A49" i="6"/>
  <c r="B49" i="6" a="1"/>
  <c r="B49" i="6" s="1"/>
  <c r="D49" i="6"/>
  <c r="D49" i="6" a="1"/>
  <c r="E49" i="6"/>
  <c r="E49" i="6" a="1"/>
  <c r="F49" i="6" a="1"/>
  <c r="F49" i="6" s="1"/>
  <c r="G49" i="6"/>
  <c r="G49" i="6" a="1"/>
  <c r="A50" i="6"/>
  <c r="B50" i="6" a="1"/>
  <c r="B50" i="6" s="1"/>
  <c r="D50" i="6"/>
  <c r="D50" i="6" a="1"/>
  <c r="F50" i="6"/>
  <c r="F50" i="6" a="1"/>
  <c r="G50" i="6" a="1"/>
  <c r="G50" i="6" s="1"/>
  <c r="A51" i="6"/>
  <c r="B51" i="6"/>
  <c r="B51" i="6" a="1"/>
  <c r="D51" i="6" a="1"/>
  <c r="D51" i="6" s="1"/>
  <c r="F51" i="6" a="1"/>
  <c r="F51" i="6" s="1"/>
  <c r="G51" i="6"/>
  <c r="G51" i="6" a="1"/>
  <c r="A52" i="6"/>
  <c r="B52" i="6" a="1"/>
  <c r="B52" i="6" s="1"/>
  <c r="D52" i="6" a="1"/>
  <c r="D52" i="6" s="1"/>
  <c r="F52" i="6" a="1"/>
  <c r="F52" i="6" s="1"/>
  <c r="G52" i="6"/>
  <c r="G52" i="6" a="1"/>
  <c r="A53" i="6"/>
  <c r="B53" i="6"/>
  <c r="B53" i="6" a="1"/>
  <c r="D53" i="6"/>
  <c r="D53" i="6" a="1"/>
  <c r="F53" i="6" a="1"/>
  <c r="F53" i="6" s="1"/>
  <c r="G53" i="6" a="1"/>
  <c r="G53" i="6" s="1"/>
  <c r="A54" i="6"/>
  <c r="B54" i="6" a="1"/>
  <c r="B54" i="6" s="1"/>
  <c r="D54" i="6"/>
  <c r="D54" i="6" a="1"/>
  <c r="F54" i="6" a="1"/>
  <c r="F54" i="6" s="1"/>
  <c r="G54" i="6" a="1"/>
  <c r="G54" i="6" s="1"/>
  <c r="A55" i="6"/>
  <c r="B55" i="6" a="1"/>
  <c r="B55" i="6" s="1"/>
  <c r="D55" i="6" a="1"/>
  <c r="D55" i="6" s="1"/>
  <c r="F55" i="6"/>
  <c r="F55" i="6" a="1"/>
  <c r="G55" i="6" a="1"/>
  <c r="G55" i="6" s="1"/>
  <c r="A56" i="6"/>
  <c r="B56" i="6" a="1"/>
  <c r="B56" i="6" s="1"/>
  <c r="D56" i="6"/>
  <c r="D56" i="6" a="1"/>
  <c r="F56" i="6"/>
  <c r="F56" i="6" a="1"/>
  <c r="G56" i="6"/>
  <c r="G56" i="6" a="1"/>
  <c r="A57" i="6"/>
  <c r="B57" i="6"/>
  <c r="B57" i="6" a="1"/>
  <c r="D57" i="6" a="1"/>
  <c r="D57" i="6" s="1"/>
  <c r="F57" i="6"/>
  <c r="F57" i="6" a="1"/>
  <c r="G57" i="6" a="1"/>
  <c r="G57" i="6" s="1"/>
  <c r="A58" i="6"/>
  <c r="B58" i="6"/>
  <c r="B58" i="6" a="1"/>
  <c r="D58" i="6"/>
  <c r="D58" i="6" a="1"/>
  <c r="F58" i="6" a="1"/>
  <c r="F58" i="6" s="1"/>
  <c r="G58" i="6" a="1"/>
  <c r="G58" i="6" s="1"/>
  <c r="A59" i="6"/>
  <c r="B59" i="6"/>
  <c r="B59" i="6" a="1"/>
  <c r="D59" i="6" a="1"/>
  <c r="D59" i="6" s="1"/>
  <c r="F59" i="6" a="1"/>
  <c r="F59" i="6" s="1"/>
  <c r="G59" i="6" a="1"/>
  <c r="G59" i="6" s="1"/>
  <c r="A60" i="6"/>
  <c r="B60" i="6" a="1"/>
  <c r="B60" i="6" s="1"/>
  <c r="D60" i="6" a="1"/>
  <c r="D60" i="6" s="1"/>
  <c r="F60" i="6" a="1"/>
  <c r="F60" i="6" s="1"/>
  <c r="G60" i="6" a="1"/>
  <c r="G60" i="6" s="1"/>
  <c r="A61" i="6"/>
  <c r="B61" i="6"/>
  <c r="B61" i="6" a="1"/>
  <c r="D61" i="6" a="1"/>
  <c r="D61" i="6" s="1"/>
  <c r="F61" i="6"/>
  <c r="F61" i="6" a="1"/>
  <c r="G61" i="6"/>
  <c r="G61" i="6" a="1"/>
  <c r="A62" i="6"/>
  <c r="B62" i="6" a="1"/>
  <c r="B62" i="6" s="1"/>
  <c r="D62" i="6" a="1"/>
  <c r="D62" i="6" s="1"/>
  <c r="E62" i="6" a="1"/>
  <c r="E62" i="6" s="1"/>
  <c r="F62" i="6"/>
  <c r="F62" i="6" a="1"/>
  <c r="G62" i="6"/>
  <c r="G62" i="6" a="1"/>
  <c r="A63" i="6"/>
  <c r="B63" i="6" a="1"/>
  <c r="B63" i="6" s="1"/>
  <c r="D63" i="6"/>
  <c r="D63" i="6" a="1"/>
  <c r="F63" i="6"/>
  <c r="F63" i="6" a="1"/>
  <c r="G63" i="6"/>
  <c r="G63" i="6" a="1"/>
  <c r="A64" i="6"/>
  <c r="B64" i="6" a="1"/>
  <c r="B64" i="6" s="1"/>
  <c r="D64" i="6" a="1"/>
  <c r="D64" i="6" s="1"/>
  <c r="F64" i="6" a="1"/>
  <c r="F64" i="6" s="1"/>
  <c r="G64" i="6" a="1"/>
  <c r="G64" i="6" s="1"/>
  <c r="A65" i="6"/>
  <c r="B65" i="6" a="1"/>
  <c r="B65" i="6" s="1"/>
  <c r="D65" i="6"/>
  <c r="D65" i="6" a="1"/>
  <c r="F65" i="6"/>
  <c r="F65" i="6" a="1"/>
  <c r="G65" i="6" a="1"/>
  <c r="G65" i="6" s="1"/>
  <c r="A66" i="6"/>
  <c r="B66" i="6"/>
  <c r="B66" i="6" a="1"/>
  <c r="D66" i="6" a="1"/>
  <c r="D66" i="6" s="1"/>
  <c r="F66" i="6" a="1"/>
  <c r="F66" i="6" s="1"/>
  <c r="G66" i="6" a="1"/>
  <c r="G66" i="6" s="1"/>
  <c r="A67" i="6"/>
  <c r="B67" i="6" a="1"/>
  <c r="B67" i="6" s="1"/>
  <c r="C67" i="6"/>
  <c r="C67" i="6" a="1"/>
  <c r="D67" i="6" a="1"/>
  <c r="D67" i="6" s="1"/>
  <c r="E67" i="6" a="1"/>
  <c r="E67" i="6" s="1"/>
  <c r="F67" i="6" a="1"/>
  <c r="F67" i="6" s="1"/>
  <c r="G67" i="6"/>
  <c r="G67" i="6" a="1"/>
  <c r="A68" i="6"/>
  <c r="B68" i="6" a="1"/>
  <c r="B68" i="6" s="1"/>
  <c r="C68" i="6" a="1"/>
  <c r="C68" i="6" s="1"/>
  <c r="D68" i="6" a="1"/>
  <c r="D68" i="6" s="1"/>
  <c r="E68" i="6" a="1"/>
  <c r="E68" i="6" s="1"/>
  <c r="F68" i="6" a="1"/>
  <c r="F68" i="6" s="1"/>
  <c r="G68" i="6"/>
  <c r="G68" i="6" a="1"/>
  <c r="A69" i="6"/>
  <c r="B69" i="6" a="1"/>
  <c r="B69" i="6" s="1"/>
  <c r="C69" i="6" a="1"/>
  <c r="C69" i="6" s="1"/>
  <c r="D69" i="6"/>
  <c r="D69" i="6" a="1"/>
  <c r="E69" i="6"/>
  <c r="E69" i="6" a="1"/>
  <c r="F69" i="6" a="1"/>
  <c r="F69" i="6" s="1"/>
  <c r="G69" i="6" a="1"/>
  <c r="G69" i="6" s="1"/>
  <c r="A70" i="6"/>
  <c r="B70" i="6" a="1"/>
  <c r="B70" i="6" s="1"/>
  <c r="C70" i="6" a="1"/>
  <c r="C70" i="6" s="1"/>
  <c r="D70" i="6"/>
  <c r="D70" i="6" a="1"/>
  <c r="E70" i="6"/>
  <c r="E70" i="6" a="1"/>
  <c r="F70" i="6"/>
  <c r="F70" i="6" a="1"/>
  <c r="G70" i="6" a="1"/>
  <c r="G70" i="6" s="1"/>
  <c r="A71" i="6"/>
  <c r="B71" i="6" a="1"/>
  <c r="B71" i="6" s="1"/>
  <c r="C71" i="6"/>
  <c r="C71" i="6" a="1"/>
  <c r="D71" i="6" a="1"/>
  <c r="D71" i="6" s="1"/>
  <c r="E71" i="6"/>
  <c r="E71" i="6" a="1"/>
  <c r="F71" i="6" a="1"/>
  <c r="F71" i="6" s="1"/>
  <c r="G71" i="6"/>
  <c r="G71" i="6" a="1"/>
  <c r="A72" i="6"/>
  <c r="B72" i="6" a="1"/>
  <c r="B72" i="6" s="1"/>
  <c r="C72" i="6"/>
  <c r="C72" i="6" a="1"/>
  <c r="D72" i="6" a="1"/>
  <c r="D72" i="6" s="1"/>
  <c r="E72" i="6" a="1"/>
  <c r="E72" i="6" s="1"/>
  <c r="F72" i="6"/>
  <c r="F72" i="6" a="1"/>
  <c r="G72" i="6"/>
  <c r="G72" i="6" a="1"/>
  <c r="A73" i="6"/>
  <c r="B73" i="6"/>
  <c r="B73" i="6" a="1"/>
  <c r="C73" i="6" a="1"/>
  <c r="C73" i="6" s="1"/>
  <c r="D73" i="6"/>
  <c r="D73" i="6" a="1"/>
  <c r="E73" i="6" a="1"/>
  <c r="E73" i="6" s="1"/>
  <c r="F73" i="6" a="1"/>
  <c r="F73" i="6" s="1"/>
  <c r="G73" i="6" a="1"/>
  <c r="G73" i="6" s="1"/>
  <c r="A74" i="6"/>
  <c r="B74" i="6" a="1"/>
  <c r="B74" i="6" s="1"/>
  <c r="C74" i="6" a="1"/>
  <c r="C74" i="6" s="1"/>
  <c r="D74" i="6" a="1"/>
  <c r="D74" i="6" s="1"/>
  <c r="E74" i="6"/>
  <c r="E74" i="6" a="1"/>
  <c r="F74" i="6" a="1"/>
  <c r="F74" i="6" s="1"/>
  <c r="G74" i="6"/>
  <c r="G74" i="6" a="1"/>
  <c r="A75" i="6"/>
  <c r="B75" i="6" a="1"/>
  <c r="B75" i="6" s="1"/>
  <c r="C75" i="6" a="1"/>
  <c r="C75" i="6" s="1"/>
  <c r="D75" i="6" a="1"/>
  <c r="D75" i="6" s="1"/>
  <c r="E75" i="6"/>
  <c r="E75" i="6" a="1"/>
  <c r="F75" i="6"/>
  <c r="F75" i="6" a="1"/>
  <c r="G75" i="6"/>
  <c r="G75" i="6" a="1"/>
  <c r="A76" i="6"/>
  <c r="B76" i="6" a="1"/>
  <c r="B76" i="6" s="1"/>
  <c r="C76" i="6" a="1"/>
  <c r="C76" i="6" s="1"/>
  <c r="D76" i="6" a="1"/>
  <c r="D76" i="6" s="1"/>
  <c r="E76" i="6"/>
  <c r="E76" i="6" a="1"/>
  <c r="F76" i="6" a="1"/>
  <c r="F76" i="6" s="1"/>
  <c r="G76" i="6"/>
  <c r="G76" i="6" a="1"/>
  <c r="A77" i="6"/>
  <c r="B77" i="6"/>
  <c r="B77" i="6" a="1"/>
  <c r="C77" i="6" a="1"/>
  <c r="C77" i="6" s="1"/>
  <c r="D77" i="6"/>
  <c r="D77" i="6" a="1"/>
  <c r="E77" i="6"/>
  <c r="E77" i="6" a="1"/>
  <c r="F77" i="6"/>
  <c r="F77" i="6" a="1"/>
  <c r="G77" i="6" a="1"/>
  <c r="G77" i="6" s="1"/>
  <c r="A78" i="6"/>
  <c r="B78" i="6"/>
  <c r="B78" i="6" a="1"/>
  <c r="C78" i="6" a="1"/>
  <c r="C78" i="6" s="1"/>
  <c r="D78" i="6"/>
  <c r="D78" i="6" a="1"/>
  <c r="E78" i="6" a="1"/>
  <c r="E78" i="6" s="1"/>
  <c r="F78" i="6" a="1"/>
  <c r="F78" i="6" s="1"/>
  <c r="G78" i="6"/>
  <c r="G78" i="6" a="1"/>
  <c r="A79" i="6"/>
  <c r="B79" i="6" a="1"/>
  <c r="B79" i="6" s="1"/>
  <c r="C79" i="6"/>
  <c r="C79" i="6" a="1"/>
  <c r="D79" i="6" a="1"/>
  <c r="D79" i="6" s="1"/>
  <c r="E79" i="6"/>
  <c r="E79" i="6" a="1"/>
  <c r="F79" i="6" a="1"/>
  <c r="F79" i="6" s="1"/>
  <c r="G79" i="6" a="1"/>
  <c r="G79" i="6" s="1"/>
  <c r="A80" i="6"/>
  <c r="B80" i="6" a="1"/>
  <c r="B80" i="6" s="1"/>
  <c r="C80" i="6" a="1"/>
  <c r="C80" i="6" s="1"/>
  <c r="D80" i="6"/>
  <c r="D80" i="6" a="1"/>
  <c r="E80" i="6"/>
  <c r="E80" i="6" a="1"/>
  <c r="F80" i="6" a="1"/>
  <c r="F80" i="6" s="1"/>
  <c r="G80" i="6" a="1"/>
  <c r="G80" i="6" s="1"/>
  <c r="A81" i="6"/>
  <c r="B81" i="6"/>
  <c r="B81" i="6" a="1"/>
  <c r="C81" i="6" a="1"/>
  <c r="C81" i="6" s="1"/>
  <c r="D81" i="6" a="1"/>
  <c r="D81" i="6" s="1"/>
  <c r="E81" i="6" a="1"/>
  <c r="E81" i="6" s="1"/>
  <c r="F81" i="6"/>
  <c r="F81" i="6" a="1"/>
  <c r="G81" i="6" a="1"/>
  <c r="G81" i="6" s="1"/>
  <c r="A82" i="6"/>
  <c r="B82" i="6" a="1"/>
  <c r="B82" i="6" s="1"/>
  <c r="C82" i="6" a="1"/>
  <c r="C82" i="6" s="1"/>
  <c r="D82" i="6" a="1"/>
  <c r="D82" i="6" s="1"/>
  <c r="E82" i="6" a="1"/>
  <c r="E82" i="6" s="1"/>
  <c r="F82" i="6"/>
  <c r="F82" i="6" a="1"/>
  <c r="G82" i="6"/>
  <c r="G82" i="6" a="1"/>
  <c r="A83" i="6"/>
  <c r="B83" i="6" a="1"/>
  <c r="B83" i="6" s="1"/>
  <c r="C83" i="6"/>
  <c r="C83" i="6" a="1"/>
  <c r="D83" i="6" a="1"/>
  <c r="D83" i="6" s="1"/>
  <c r="E83" i="6" a="1"/>
  <c r="E83" i="6" s="1"/>
  <c r="F83" i="6" a="1"/>
  <c r="F83" i="6" s="1"/>
  <c r="G83" i="6"/>
  <c r="G83" i="6" a="1"/>
  <c r="A84" i="6"/>
  <c r="B84" i="6"/>
  <c r="B84" i="6" a="1"/>
  <c r="C84" i="6"/>
  <c r="C84" i="6" a="1"/>
  <c r="D84" i="6"/>
  <c r="D84" i="6" a="1"/>
  <c r="E84" i="6"/>
  <c r="E84" i="6" a="1"/>
  <c r="F84" i="6" a="1"/>
  <c r="F84" i="6" s="1"/>
  <c r="G84" i="6" a="1"/>
  <c r="G84" i="6" s="1"/>
  <c r="A85" i="6"/>
  <c r="B85" i="6" a="1"/>
  <c r="B85" i="6" s="1"/>
  <c r="C85" i="6" a="1"/>
  <c r="C85" i="6" s="1"/>
  <c r="D85" i="6"/>
  <c r="D85" i="6" a="1"/>
  <c r="E85" i="6"/>
  <c r="E85" i="6" a="1"/>
  <c r="F85" i="6" a="1"/>
  <c r="F85" i="6" s="1"/>
  <c r="G85" i="6" a="1"/>
  <c r="G85" i="6" s="1"/>
  <c r="A86" i="6"/>
  <c r="B86" i="6"/>
  <c r="B86" i="6" a="1"/>
  <c r="C86" i="6" a="1"/>
  <c r="C86" i="6" s="1"/>
  <c r="D86" i="6" a="1"/>
  <c r="D86" i="6" s="1"/>
  <c r="E86" i="6" a="1"/>
  <c r="E86" i="6" s="1"/>
  <c r="F86" i="6" a="1"/>
  <c r="F86" i="6" s="1"/>
  <c r="G86" i="6" a="1"/>
  <c r="G86" i="6" s="1"/>
  <c r="A87" i="6"/>
  <c r="B87" i="6" a="1"/>
  <c r="B87" i="6" s="1"/>
  <c r="C87" i="6" a="1"/>
  <c r="C87" i="6" s="1"/>
  <c r="D87" i="6" a="1"/>
  <c r="D87" i="6" s="1"/>
  <c r="E87" i="6" a="1"/>
  <c r="E87" i="6" s="1"/>
  <c r="F87" i="6" a="1"/>
  <c r="F87" i="6" s="1"/>
  <c r="G87" i="6"/>
  <c r="G87" i="6" a="1"/>
  <c r="A88" i="6"/>
  <c r="B88" i="6"/>
  <c r="B88" i="6" a="1"/>
  <c r="C88" i="6" a="1"/>
  <c r="C88" i="6" s="1"/>
  <c r="D88" i="6"/>
  <c r="D88" i="6" a="1"/>
  <c r="E88" i="6" a="1"/>
  <c r="E88" i="6" s="1"/>
  <c r="F88" i="6" a="1"/>
  <c r="F88" i="6" s="1"/>
  <c r="G88" i="6"/>
  <c r="G88" i="6" a="1"/>
  <c r="A89" i="6"/>
  <c r="B89" i="6" a="1"/>
  <c r="B89" i="6" s="1"/>
  <c r="C89" i="6" a="1"/>
  <c r="C89" i="6" s="1"/>
  <c r="D89" i="6"/>
  <c r="D89" i="6" a="1"/>
  <c r="E89" i="6" a="1"/>
  <c r="E89" i="6" s="1"/>
  <c r="F89" i="6" a="1"/>
  <c r="F89" i="6" s="1"/>
  <c r="G89" i="6"/>
  <c r="G89" i="6" a="1"/>
  <c r="A90" i="6"/>
  <c r="B90" i="6" a="1"/>
  <c r="B90" i="6" s="1"/>
  <c r="C90" i="6"/>
  <c r="C90" i="6" a="1"/>
  <c r="D90" i="6"/>
  <c r="D90" i="6" a="1"/>
  <c r="E90" i="6"/>
  <c r="E90" i="6" a="1"/>
  <c r="F90" i="6"/>
  <c r="F90" i="6" a="1"/>
  <c r="G90" i="6" a="1"/>
  <c r="G90" i="6" s="1"/>
  <c r="A91" i="6"/>
  <c r="B91" i="6" a="1"/>
  <c r="B91" i="6" s="1"/>
  <c r="C91" i="6" a="1"/>
  <c r="C91" i="6" s="1"/>
  <c r="D91" i="6" a="1"/>
  <c r="D91" i="6" s="1"/>
  <c r="E91" i="6"/>
  <c r="E91" i="6" a="1"/>
  <c r="F91" i="6" a="1"/>
  <c r="F91" i="6" s="1"/>
  <c r="G91" i="6"/>
  <c r="G91" i="6" a="1"/>
  <c r="A92" i="6"/>
  <c r="B92" i="6"/>
  <c r="B92" i="6" a="1"/>
  <c r="C92" i="6"/>
  <c r="C92" i="6" a="1"/>
  <c r="D92" i="6" a="1"/>
  <c r="D92" i="6" s="1"/>
  <c r="E92" i="6" a="1"/>
  <c r="E92" i="6" s="1"/>
  <c r="F92" i="6"/>
  <c r="F92" i="6" a="1"/>
  <c r="G92" i="6" a="1"/>
  <c r="G92" i="6" s="1"/>
  <c r="A93" i="6"/>
  <c r="B93" i="6"/>
  <c r="B93" i="6" a="1"/>
  <c r="C93" i="6"/>
  <c r="C93" i="6" a="1"/>
  <c r="D93" i="6" a="1"/>
  <c r="D93" i="6" s="1"/>
  <c r="E93" i="6" a="1"/>
  <c r="E93" i="6" s="1"/>
  <c r="F93" i="6" a="1"/>
  <c r="F93" i="6" s="1"/>
  <c r="G93" i="6" a="1"/>
  <c r="G93" i="6" s="1"/>
  <c r="A94" i="6"/>
  <c r="B94" i="6" a="1"/>
  <c r="B94" i="6" s="1"/>
  <c r="C94" i="6" a="1"/>
  <c r="C94" i="6" s="1"/>
  <c r="D94" i="6" a="1"/>
  <c r="D94" i="6" s="1"/>
  <c r="E94" i="6"/>
  <c r="E94" i="6" a="1"/>
  <c r="F94" i="6" a="1"/>
  <c r="F94" i="6" s="1"/>
  <c r="G94" i="6" a="1"/>
  <c r="G94" i="6" s="1"/>
  <c r="A95" i="6"/>
  <c r="B95" i="6" a="1"/>
  <c r="B95" i="6" s="1"/>
  <c r="C95" i="6" a="1"/>
  <c r="C95" i="6" s="1"/>
  <c r="D95" i="6" a="1"/>
  <c r="D95" i="6" s="1"/>
  <c r="E95" i="6"/>
  <c r="E95" i="6" a="1"/>
  <c r="F95" i="6"/>
  <c r="F95" i="6" a="1"/>
  <c r="G95" i="6"/>
  <c r="G95" i="6" a="1"/>
  <c r="A96" i="6"/>
  <c r="B96" i="6" a="1"/>
  <c r="B96" i="6" s="1"/>
  <c r="C96" i="6" a="1"/>
  <c r="C96" i="6" s="1"/>
  <c r="D96" i="6" a="1"/>
  <c r="D96" i="6" s="1"/>
  <c r="E96" i="6"/>
  <c r="E96" i="6" a="1"/>
  <c r="F96" i="6"/>
  <c r="F96" i="6" a="1"/>
  <c r="G96" i="6"/>
  <c r="G96" i="6" a="1"/>
  <c r="A97" i="6"/>
  <c r="B97" i="6"/>
  <c r="B97" i="6" a="1"/>
  <c r="C97" i="6" a="1"/>
  <c r="C97" i="6" s="1"/>
  <c r="D97" i="6" a="1"/>
  <c r="D97" i="6" s="1"/>
  <c r="E97" i="6" a="1"/>
  <c r="E97" i="6" s="1"/>
  <c r="F97" i="6"/>
  <c r="F97" i="6" a="1"/>
  <c r="G97" i="6" a="1"/>
  <c r="G97" i="6" s="1"/>
  <c r="A98" i="6"/>
  <c r="B98" i="6"/>
  <c r="B98" i="6" a="1"/>
  <c r="C98" i="6"/>
  <c r="C98" i="6" a="1"/>
  <c r="D98" i="6"/>
  <c r="D98" i="6" a="1"/>
  <c r="E98" i="6" a="1"/>
  <c r="E98" i="6" s="1"/>
  <c r="F98" i="6" a="1"/>
  <c r="F98" i="6" s="1"/>
  <c r="G98" i="6" a="1"/>
  <c r="G98" i="6" s="1"/>
  <c r="A99" i="6"/>
  <c r="B99" i="6" a="1"/>
  <c r="B99" i="6" s="1"/>
  <c r="C99" i="6"/>
  <c r="C99" i="6" a="1"/>
  <c r="D99" i="6" a="1"/>
  <c r="D99" i="6" s="1"/>
  <c r="E99" i="6" a="1"/>
  <c r="E99" i="6" s="1"/>
  <c r="F99" i="6" a="1"/>
  <c r="F99" i="6" s="1"/>
  <c r="G99" i="6" a="1"/>
  <c r="G99" i="6" s="1"/>
  <c r="A100" i="6"/>
  <c r="B100" i="6" a="1"/>
  <c r="B100" i="6" s="1"/>
  <c r="C100" i="6" a="1"/>
  <c r="C100" i="6" s="1"/>
  <c r="D100" i="6" a="1"/>
  <c r="D100" i="6" s="1"/>
  <c r="E100" i="6"/>
  <c r="E100" i="6" a="1"/>
  <c r="F100" i="6" a="1"/>
  <c r="F100" i="6" s="1"/>
  <c r="G100" i="6" a="1"/>
  <c r="G100" i="6" s="1"/>
  <c r="A101" i="6"/>
  <c r="B101" i="6"/>
  <c r="B101" i="6" a="1"/>
  <c r="C101" i="6" a="1"/>
  <c r="C101" i="6" s="1"/>
  <c r="D101" i="6" a="1"/>
  <c r="D101" i="6" s="1"/>
  <c r="E101" i="6" a="1"/>
  <c r="E101" i="6" s="1"/>
  <c r="F101" i="6"/>
  <c r="F101" i="6" a="1"/>
  <c r="G101" i="6"/>
  <c r="G101" i="6" a="1"/>
  <c r="A102" i="6"/>
  <c r="B102" i="6" a="1"/>
  <c r="B102" i="6" s="1"/>
  <c r="C102" i="6" a="1"/>
  <c r="C102" i="6" s="1"/>
  <c r="D102" i="6" a="1"/>
  <c r="D102" i="6" s="1"/>
  <c r="E102" i="6"/>
  <c r="E102" i="6" a="1"/>
  <c r="F102" i="6"/>
  <c r="F102" i="6" a="1"/>
  <c r="G102" i="6"/>
  <c r="G102" i="6" a="1"/>
  <c r="A103" i="6"/>
  <c r="B103" i="6" a="1"/>
  <c r="B103" i="6" s="1"/>
  <c r="C103" i="6"/>
  <c r="C103" i="6" a="1"/>
  <c r="D103" i="6" a="1"/>
  <c r="D103" i="6" s="1"/>
  <c r="E103" i="6"/>
  <c r="E103" i="6" a="1"/>
  <c r="F103" i="6" a="1"/>
  <c r="F103" i="6" s="1"/>
  <c r="G103" i="6"/>
  <c r="G103" i="6" a="1"/>
  <c r="A104" i="6"/>
  <c r="B104" i="6"/>
  <c r="B104" i="6" a="1"/>
  <c r="C104" i="6"/>
  <c r="C104" i="6" a="1"/>
  <c r="D104" i="6"/>
  <c r="D104" i="6" a="1"/>
  <c r="E104" i="6"/>
  <c r="E104" i="6" a="1"/>
  <c r="F104" i="6" a="1"/>
  <c r="F104" i="6" s="1"/>
  <c r="G104" i="6" a="1"/>
  <c r="G104" i="6" s="1"/>
  <c r="A105" i="6"/>
  <c r="B105" i="6" a="1"/>
  <c r="B105" i="6" s="1"/>
  <c r="C105" i="6"/>
  <c r="C105" i="6" a="1"/>
  <c r="D105" i="6"/>
  <c r="D105" i="6" a="1"/>
  <c r="E105" i="6"/>
  <c r="E105" i="6" a="1"/>
  <c r="F105" i="6"/>
  <c r="F105" i="6" a="1"/>
  <c r="G105" i="6" a="1"/>
  <c r="G105" i="6" s="1"/>
  <c r="A106" i="6"/>
  <c r="B106" i="6"/>
  <c r="B106" i="6" a="1"/>
  <c r="C106" i="6" a="1"/>
  <c r="C106" i="6" s="1"/>
  <c r="D106" i="6" a="1"/>
  <c r="D106" i="6" s="1"/>
  <c r="E106" i="6" a="1"/>
  <c r="E106" i="6" s="1"/>
  <c r="F106" i="6" a="1"/>
  <c r="F106" i="6" s="1"/>
  <c r="G106" i="6" a="1"/>
  <c r="G106" i="6" s="1"/>
  <c r="A107" i="6"/>
  <c r="B107" i="6"/>
  <c r="B107" i="6" a="1"/>
  <c r="C107" i="6" a="1"/>
  <c r="C107" i="6" s="1"/>
  <c r="D107" i="6" a="1"/>
  <c r="D107" i="6" s="1"/>
  <c r="E107" i="6" a="1"/>
  <c r="E107" i="6" s="1"/>
  <c r="F107" i="6" a="1"/>
  <c r="F107" i="6" s="1"/>
  <c r="G107" i="6"/>
  <c r="G107" i="6" a="1"/>
  <c r="A108" i="6"/>
  <c r="B108" i="6"/>
  <c r="B108" i="6" a="1"/>
  <c r="C108" i="6"/>
  <c r="C108" i="6" a="1"/>
  <c r="D108" i="6" a="1"/>
  <c r="D108" i="6" s="1"/>
  <c r="E108" i="6" a="1"/>
  <c r="E108" i="6" s="1"/>
  <c r="F108" i="6" a="1"/>
  <c r="F108" i="6" s="1"/>
  <c r="G108" i="6"/>
  <c r="G108" i="6" a="1"/>
  <c r="A109" i="6"/>
  <c r="B109" i="6" a="1"/>
  <c r="B109" i="6" s="1"/>
  <c r="C109" i="6" a="1"/>
  <c r="C109" i="6" s="1"/>
  <c r="D109" i="6"/>
  <c r="D109" i="6" a="1"/>
  <c r="E109" i="6"/>
  <c r="E109" i="6" a="1"/>
  <c r="F109" i="6" a="1"/>
  <c r="F109" i="6" s="1"/>
  <c r="G109" i="6" a="1"/>
  <c r="G109" i="6" s="1"/>
  <c r="A110" i="6"/>
  <c r="B110" i="6" a="1"/>
  <c r="B110" i="6" s="1"/>
  <c r="C110" i="6" a="1"/>
  <c r="C110" i="6" s="1"/>
  <c r="D110" i="6"/>
  <c r="D110" i="6" a="1"/>
  <c r="E110" i="6"/>
  <c r="E110" i="6" a="1"/>
  <c r="F110" i="6"/>
  <c r="F110" i="6" a="1"/>
  <c r="G110" i="6" a="1"/>
  <c r="G110" i="6" s="1"/>
  <c r="A111" i="6"/>
  <c r="B111" i="6" a="1"/>
  <c r="B111" i="6" s="1"/>
  <c r="C111" i="6"/>
  <c r="C111" i="6" a="1"/>
  <c r="D111" i="6" a="1"/>
  <c r="D111" i="6" s="1"/>
  <c r="E111" i="6"/>
  <c r="E111" i="6" a="1"/>
  <c r="F111" i="6"/>
  <c r="F111" i="6" a="1"/>
  <c r="G111" i="6" a="1"/>
  <c r="G111" i="6" s="1"/>
  <c r="A112" i="6"/>
  <c r="B112" i="6"/>
  <c r="B112" i="6" a="1"/>
  <c r="C112" i="6"/>
  <c r="C112" i="6" a="1"/>
  <c r="D112" i="6" a="1"/>
  <c r="D112" i="6" s="1"/>
  <c r="E112" i="6" a="1"/>
  <c r="E112" i="6" s="1"/>
  <c r="F112" i="6"/>
  <c r="F112" i="6" a="1"/>
  <c r="G112" i="6"/>
  <c r="G112" i="6" a="1"/>
  <c r="A113" i="6"/>
  <c r="B113" i="6"/>
  <c r="B113" i="6" a="1"/>
  <c r="C113" i="6" a="1"/>
  <c r="C113" i="6" s="1"/>
  <c r="D113" i="6"/>
  <c r="D113" i="6" a="1"/>
  <c r="E113" i="6" a="1"/>
  <c r="E113" i="6" s="1"/>
  <c r="F113" i="6" a="1"/>
  <c r="F113" i="6" s="1"/>
  <c r="G113" i="6" a="1"/>
  <c r="G113" i="6" s="1"/>
  <c r="A114" i="6"/>
  <c r="B114" i="6" a="1"/>
  <c r="B114" i="6" s="1"/>
  <c r="C114" i="6"/>
  <c r="C114" i="6" a="1"/>
  <c r="D114" i="6" a="1"/>
  <c r="D114" i="6" s="1"/>
  <c r="E114" i="6" a="1"/>
  <c r="E114" i="6" s="1"/>
  <c r="F114" i="6"/>
  <c r="F114" i="6" a="1"/>
  <c r="G114" i="6"/>
  <c r="G114" i="6" a="1"/>
  <c r="A115" i="6"/>
  <c r="B115" i="6" a="1"/>
  <c r="B115" i="6" s="1"/>
  <c r="C115" i="6" a="1"/>
  <c r="C115" i="6" s="1"/>
  <c r="D115" i="6" a="1"/>
  <c r="D115" i="6" s="1"/>
  <c r="E115" i="6"/>
  <c r="E115" i="6" a="1"/>
  <c r="F115" i="6" a="1"/>
  <c r="F115" i="6" s="1"/>
  <c r="G115" i="6" a="1"/>
  <c r="G115" i="6" s="1"/>
  <c r="A116" i="6"/>
  <c r="B116" i="6"/>
  <c r="B116" i="6" a="1"/>
  <c r="C116" i="6"/>
  <c r="C116" i="6" a="1"/>
  <c r="D116" i="6" a="1"/>
  <c r="D116" i="6" s="1"/>
  <c r="E116" i="6"/>
  <c r="E116" i="6" a="1"/>
  <c r="F116" i="6"/>
  <c r="F116" i="6" a="1"/>
  <c r="G116" i="6"/>
  <c r="G116" i="6" a="1"/>
  <c r="A117" i="6"/>
  <c r="B117" i="6"/>
  <c r="B117" i="6" a="1"/>
  <c r="C117" i="6" a="1"/>
  <c r="C117" i="6" s="1"/>
  <c r="D117" i="6" a="1"/>
  <c r="D117" i="6" s="1"/>
  <c r="E117" i="6"/>
  <c r="E117" i="6" a="1"/>
  <c r="F117" i="6" a="1"/>
  <c r="F117" i="6" s="1"/>
  <c r="G117" i="6" a="1"/>
  <c r="G117" i="6" s="1"/>
  <c r="A118" i="6"/>
  <c r="B118" i="6"/>
  <c r="B118" i="6" a="1"/>
  <c r="C118" i="6"/>
  <c r="C118" i="6" a="1"/>
  <c r="D118" i="6"/>
  <c r="D118" i="6" a="1"/>
  <c r="E118" i="6" a="1"/>
  <c r="E118" i="6" s="1"/>
  <c r="F118" i="6" a="1"/>
  <c r="F118" i="6" s="1"/>
  <c r="G118" i="6" a="1"/>
  <c r="G118" i="6" s="1"/>
  <c r="A119" i="6"/>
  <c r="B119" i="6" a="1"/>
  <c r="B119" i="6" s="1"/>
  <c r="C119" i="6"/>
  <c r="C119" i="6" a="1"/>
  <c r="D119" i="6" a="1"/>
  <c r="D119" i="6" s="1"/>
  <c r="E119" i="6" a="1"/>
  <c r="E119" i="6" s="1"/>
  <c r="F119" i="6" a="1"/>
  <c r="F119" i="6" s="1"/>
  <c r="G119" i="6" a="1"/>
  <c r="G119" i="6" s="1"/>
  <c r="A120" i="6"/>
  <c r="B120" i="6" a="1"/>
  <c r="B120" i="6" s="1"/>
  <c r="C120" i="6" a="1"/>
  <c r="C120" i="6" s="1"/>
  <c r="D120" i="6" a="1"/>
  <c r="D120" i="6" s="1"/>
  <c r="E120" i="6"/>
  <c r="E120" i="6" a="1"/>
  <c r="F120" i="6" a="1"/>
  <c r="F120" i="6" s="1"/>
  <c r="G120" i="6" a="1"/>
  <c r="G120" i="6" s="1"/>
  <c r="A121" i="6"/>
  <c r="B121" i="6"/>
  <c r="B121" i="6" a="1"/>
  <c r="C121" i="6" a="1"/>
  <c r="C121" i="6" s="1"/>
  <c r="D121" i="6" a="1"/>
  <c r="D121" i="6" s="1"/>
  <c r="E121" i="6" a="1"/>
  <c r="E121" i="6" s="1"/>
  <c r="F121" i="6"/>
  <c r="F121" i="6" a="1"/>
  <c r="G121" i="6"/>
  <c r="G121" i="6" a="1"/>
  <c r="A122" i="6"/>
  <c r="B122" i="6" a="1"/>
  <c r="B122" i="6" s="1"/>
  <c r="C122" i="6"/>
  <c r="C122" i="6" a="1"/>
  <c r="D122" i="6" a="1"/>
  <c r="D122" i="6" s="1"/>
  <c r="E122" i="6" a="1"/>
  <c r="E122" i="6" s="1"/>
  <c r="F122" i="6"/>
  <c r="F122" i="6" a="1"/>
  <c r="G122" i="6"/>
  <c r="G122" i="6" a="1"/>
  <c r="A123" i="6"/>
  <c r="B123" i="6" a="1"/>
  <c r="B123" i="6" s="1"/>
  <c r="C123" i="6"/>
  <c r="C123" i="6" a="1"/>
  <c r="D123" i="6"/>
  <c r="D123" i="6" a="1"/>
  <c r="E123" i="6"/>
  <c r="E123" i="6" a="1"/>
  <c r="F123" i="6" a="1"/>
  <c r="F123" i="6" s="1"/>
  <c r="G123" i="6"/>
  <c r="G123" i="6" a="1"/>
  <c r="A124" i="6"/>
  <c r="B124" i="6" a="1"/>
  <c r="B124" i="6" s="1"/>
  <c r="C124" i="6"/>
  <c r="C124" i="6" a="1"/>
  <c r="D124" i="6"/>
  <c r="D124" i="6" a="1"/>
  <c r="E124" i="6"/>
  <c r="E124" i="6" a="1"/>
  <c r="F124" i="6"/>
  <c r="F124" i="6" a="1"/>
  <c r="G124" i="6" a="1"/>
  <c r="G124" i="6" s="1"/>
  <c r="A125" i="6"/>
  <c r="B125" i="6"/>
  <c r="B125" i="6" a="1"/>
  <c r="C125" i="6" a="1"/>
  <c r="C125" i="6" s="1"/>
  <c r="D125" i="6" a="1"/>
  <c r="D125" i="6" s="1"/>
  <c r="E125" i="6"/>
  <c r="E125" i="6" a="1"/>
  <c r="F125" i="6" a="1"/>
  <c r="F125" i="6" s="1"/>
  <c r="G125" i="6" a="1"/>
  <c r="G125" i="6" s="1"/>
  <c r="A126" i="6"/>
  <c r="B126" i="6"/>
  <c r="B126" i="6" a="1"/>
  <c r="C126" i="6"/>
  <c r="C126" i="6" a="1"/>
  <c r="D126" i="6" a="1"/>
  <c r="D126" i="6" s="1"/>
  <c r="E126" i="6" a="1"/>
  <c r="E126" i="6" s="1"/>
  <c r="F126" i="6"/>
  <c r="F126" i="6" a="1"/>
  <c r="G126" i="6"/>
  <c r="G126" i="6" a="1"/>
  <c r="A127" i="6"/>
  <c r="B127" i="6" a="1"/>
  <c r="B127" i="6" s="1"/>
  <c r="C127" i="6"/>
  <c r="C127" i="6" a="1"/>
  <c r="D127" i="6" a="1"/>
  <c r="D127" i="6" s="1"/>
  <c r="E127" i="6" a="1"/>
  <c r="E127" i="6" s="1"/>
  <c r="F127" i="6" a="1"/>
  <c r="F127" i="6" s="1"/>
  <c r="G127" i="6"/>
  <c r="G127" i="6" a="1"/>
  <c r="A128" i="6"/>
  <c r="B128" i="6"/>
  <c r="B128" i="6" a="1"/>
  <c r="C128" i="6"/>
  <c r="C128" i="6" a="1"/>
  <c r="D128" i="6" a="1"/>
  <c r="D128" i="6" s="1"/>
  <c r="E128" i="6"/>
  <c r="E128" i="6" a="1"/>
  <c r="F128" i="6" a="1"/>
  <c r="F128" i="6" s="1"/>
  <c r="G128" i="6"/>
  <c r="G128" i="6" a="1"/>
  <c r="A129" i="6"/>
  <c r="B129" i="6" a="1"/>
  <c r="B129" i="6" s="1"/>
  <c r="C129" i="6" a="1"/>
  <c r="C129" i="6" s="1"/>
  <c r="D129" i="6"/>
  <c r="D129" i="6" a="1"/>
  <c r="E129" i="6" a="1"/>
  <c r="E129" i="6" s="1"/>
  <c r="F129" i="6"/>
  <c r="F129" i="6" a="1"/>
  <c r="G129" i="6" a="1"/>
  <c r="G129" i="6" s="1"/>
  <c r="A130" i="6"/>
  <c r="B130" i="6" a="1"/>
  <c r="B130" i="6" s="1"/>
  <c r="C130" i="6"/>
  <c r="C130" i="6" a="1"/>
  <c r="D130" i="6"/>
  <c r="D130" i="6" a="1"/>
  <c r="E130" i="6"/>
  <c r="E130" i="6" a="1"/>
  <c r="F130" i="6"/>
  <c r="F130" i="6" a="1"/>
  <c r="G130" i="6" a="1"/>
  <c r="G130" i="6" s="1"/>
  <c r="A131" i="6"/>
  <c r="B131" i="6" a="1"/>
  <c r="B131" i="6" s="1"/>
  <c r="C131" i="6"/>
  <c r="C131" i="6" a="1"/>
  <c r="D131" i="6" a="1"/>
  <c r="D131" i="6" s="1"/>
  <c r="E131" i="6" a="1"/>
  <c r="E131" i="6" s="1"/>
  <c r="F131" i="6"/>
  <c r="F131" i="6" a="1"/>
  <c r="G131" i="6"/>
  <c r="G131" i="6" a="1"/>
  <c r="A132" i="6"/>
  <c r="B132" i="6"/>
  <c r="B132" i="6" a="1"/>
  <c r="C132" i="6"/>
  <c r="C132" i="6" a="1"/>
  <c r="D132" i="6" a="1"/>
  <c r="D132" i="6" s="1"/>
  <c r="E132" i="6" a="1"/>
  <c r="E132" i="6" s="1"/>
  <c r="F132" i="6" a="1"/>
  <c r="F132" i="6" s="1"/>
  <c r="G132" i="6"/>
  <c r="G132" i="6" a="1"/>
  <c r="A133" i="6"/>
  <c r="B133" i="6"/>
  <c r="B133" i="6" a="1"/>
  <c r="C133" i="6" a="1"/>
  <c r="C133" i="6" s="1"/>
  <c r="D133" i="6"/>
  <c r="D133" i="6" a="1"/>
  <c r="E133" i="6" a="1"/>
  <c r="E133" i="6" s="1"/>
  <c r="F133" i="6" a="1"/>
  <c r="F133" i="6" s="1"/>
  <c r="G133" i="6" a="1"/>
  <c r="G133" i="6" s="1"/>
  <c r="A134" i="6"/>
  <c r="B134" i="6" a="1"/>
  <c r="B134" i="6" s="1"/>
  <c r="C134" i="6" a="1"/>
  <c r="C134" i="6" s="1"/>
  <c r="D134" i="6" a="1"/>
  <c r="D134" i="6" s="1"/>
  <c r="E134" i="6" a="1"/>
  <c r="E134" i="6" s="1"/>
  <c r="F134" i="6"/>
  <c r="F134" i="6" a="1"/>
  <c r="G134" i="6" a="1"/>
  <c r="G134" i="6" s="1"/>
  <c r="A135" i="6"/>
  <c r="B135" i="6" a="1"/>
  <c r="B135" i="6" s="1"/>
  <c r="C135" i="6" a="1"/>
  <c r="C135" i="6" s="1"/>
  <c r="D135" i="6" a="1"/>
  <c r="D135" i="6" s="1"/>
  <c r="E135" i="6"/>
  <c r="E135" i="6" a="1"/>
  <c r="F135" i="6" a="1"/>
  <c r="F135" i="6" s="1"/>
  <c r="G135" i="6"/>
  <c r="G135" i="6" a="1"/>
  <c r="A136" i="6"/>
  <c r="B136" i="6" a="1"/>
  <c r="B136" i="6" s="1"/>
  <c r="C136" i="6" a="1"/>
  <c r="C136" i="6" s="1"/>
  <c r="D136" i="6" a="1"/>
  <c r="D136" i="6" s="1"/>
  <c r="E136" i="6"/>
  <c r="E136" i="6" a="1"/>
  <c r="F136" i="6"/>
  <c r="F136" i="6" a="1"/>
  <c r="G136" i="6"/>
  <c r="G136" i="6" a="1"/>
  <c r="A137" i="6"/>
  <c r="B137" i="6"/>
  <c r="B137" i="6" a="1"/>
  <c r="C137" i="6" a="1"/>
  <c r="C137" i="6" s="1"/>
  <c r="D137" i="6" a="1"/>
  <c r="D137" i="6" s="1"/>
  <c r="E137" i="6" a="1"/>
  <c r="E137" i="6" s="1"/>
  <c r="F137" i="6" a="1"/>
  <c r="F137" i="6" s="1"/>
  <c r="G137" i="6" a="1"/>
  <c r="G137" i="6" s="1"/>
  <c r="A138" i="6"/>
  <c r="B138" i="6"/>
  <c r="B138" i="6" a="1"/>
  <c r="C138" i="6"/>
  <c r="C138" i="6" a="1"/>
  <c r="D138" i="6"/>
  <c r="D138" i="6" a="1"/>
  <c r="E138" i="6"/>
  <c r="E138" i="6" a="1"/>
  <c r="F138" i="6" a="1"/>
  <c r="F138" i="6" s="1"/>
  <c r="G138" i="6" a="1"/>
  <c r="G138" i="6" s="1"/>
  <c r="A139" i="6"/>
  <c r="B139" i="6"/>
  <c r="B139" i="6" a="1"/>
  <c r="C139" i="6" a="1"/>
  <c r="C139" i="6" s="1"/>
  <c r="D139" i="6" a="1"/>
  <c r="D139" i="6" s="1"/>
  <c r="E139" i="6" a="1"/>
  <c r="E139" i="6" s="1"/>
  <c r="F139" i="6" a="1"/>
  <c r="F139" i="6" s="1"/>
  <c r="G139" i="6" a="1"/>
  <c r="G139" i="6" s="1"/>
  <c r="A140" i="6"/>
  <c r="B140" i="6" a="1"/>
  <c r="B140" i="6" s="1"/>
  <c r="C140" i="6" a="1"/>
  <c r="C140" i="6" s="1"/>
  <c r="D140" i="6"/>
  <c r="D140" i="6" a="1"/>
  <c r="E140" i="6" a="1"/>
  <c r="E140" i="6" s="1"/>
  <c r="F140" i="6"/>
  <c r="F140" i="6" a="1"/>
  <c r="G140" i="6"/>
  <c r="G140" i="6" a="1"/>
  <c r="A141" i="6"/>
  <c r="B141" i="6" a="1"/>
  <c r="B141" i="6" s="1"/>
  <c r="C141" i="6" a="1"/>
  <c r="C141" i="6" s="1"/>
  <c r="D141" i="6" a="1"/>
  <c r="D141" i="6" s="1"/>
  <c r="E141" i="6" a="1"/>
  <c r="E141" i="6" s="1"/>
  <c r="F141" i="6"/>
  <c r="F141" i="6" a="1"/>
  <c r="G141" i="6" a="1"/>
  <c r="G141" i="6" s="1"/>
  <c r="A142" i="6"/>
  <c r="B142" i="6"/>
  <c r="B142" i="6" a="1"/>
  <c r="C142" i="6" a="1"/>
  <c r="C142" i="6" s="1"/>
  <c r="D142" i="6" a="1"/>
  <c r="D142" i="6" s="1"/>
  <c r="E142" i="6"/>
  <c r="E142" i="6" a="1"/>
  <c r="F142" i="6"/>
  <c r="F142" i="6" a="1"/>
  <c r="G142" i="6" a="1"/>
  <c r="G142" i="6" s="1"/>
  <c r="A143" i="6"/>
  <c r="B143" i="6" a="1"/>
  <c r="B143" i="6" s="1"/>
  <c r="C143" i="6"/>
  <c r="C143" i="6" a="1"/>
  <c r="D143" i="6"/>
  <c r="D143" i="6" a="1"/>
  <c r="E143" i="6" a="1"/>
  <c r="E143" i="6" s="1"/>
  <c r="F143" i="6"/>
  <c r="F143" i="6" a="1"/>
  <c r="G143" i="6" a="1"/>
  <c r="G143" i="6" s="1"/>
  <c r="A144" i="6"/>
  <c r="B144" i="6"/>
  <c r="B144" i="6" a="1"/>
  <c r="C144" i="6"/>
  <c r="C144" i="6" a="1"/>
  <c r="D144" i="6" a="1"/>
  <c r="D144" i="6" s="1"/>
  <c r="E144" i="6"/>
  <c r="E144" i="6" a="1"/>
  <c r="F144" i="6"/>
  <c r="F144" i="6" a="1"/>
  <c r="G144" i="6" a="1"/>
  <c r="G144" i="6" s="1"/>
  <c r="A145" i="6"/>
  <c r="B145" i="6" a="1"/>
  <c r="B145" i="6" s="1"/>
  <c r="C145" i="6"/>
  <c r="C145" i="6" a="1"/>
  <c r="D145" i="6"/>
  <c r="D145" i="6" a="1"/>
  <c r="E145" i="6" a="1"/>
  <c r="E145" i="6" s="1"/>
  <c r="F145" i="6" a="1"/>
  <c r="F145" i="6" s="1"/>
  <c r="G145" i="6" a="1"/>
  <c r="G145" i="6" s="1"/>
  <c r="A146" i="6"/>
  <c r="B146" i="6"/>
  <c r="B146" i="6" a="1"/>
  <c r="C146" i="6" a="1"/>
  <c r="C146" i="6" s="1"/>
  <c r="D146" i="6" a="1"/>
  <c r="D146" i="6" s="1"/>
  <c r="E146" i="6"/>
  <c r="E146" i="6" a="1"/>
  <c r="F146" i="6"/>
  <c r="F146" i="6" a="1"/>
  <c r="G146" i="6" a="1"/>
  <c r="G146" i="6" s="1"/>
  <c r="A147" i="6"/>
  <c r="B147" i="6"/>
  <c r="B147" i="6" a="1"/>
  <c r="C147" i="6" a="1"/>
  <c r="C147" i="6" s="1"/>
  <c r="D147" i="6" a="1"/>
  <c r="D147" i="6" s="1"/>
  <c r="E147" i="6"/>
  <c r="E147" i="6" a="1"/>
  <c r="F147" i="6" a="1"/>
  <c r="F147" i="6" s="1"/>
  <c r="G147" i="6"/>
  <c r="G147" i="6" a="1"/>
  <c r="A148" i="6"/>
  <c r="B148" i="6" a="1"/>
  <c r="B148" i="6" s="1"/>
  <c r="C148" i="6"/>
  <c r="C148" i="6" a="1"/>
  <c r="D148" i="6"/>
  <c r="D148" i="6" a="1"/>
  <c r="E148" i="6" a="1"/>
  <c r="E148" i="6" s="1"/>
  <c r="F148" i="6"/>
  <c r="F148" i="6" a="1"/>
  <c r="G148" i="6"/>
  <c r="G148" i="6" a="1"/>
  <c r="A149" i="6"/>
  <c r="B149" i="6" a="1"/>
  <c r="B149" i="6" s="1"/>
  <c r="C149" i="6" a="1"/>
  <c r="C149" i="6" s="1"/>
  <c r="D149" i="6" a="1"/>
  <c r="D149" i="6" s="1"/>
  <c r="E149" i="6" a="1"/>
  <c r="E149" i="6" s="1"/>
  <c r="F149" i="6" a="1"/>
  <c r="F149" i="6" s="1"/>
  <c r="G149" i="6"/>
  <c r="G149" i="6" a="1"/>
  <c r="A150" i="6"/>
  <c r="B150" i="6" a="1"/>
  <c r="B150" i="6" s="1"/>
  <c r="C150" i="6"/>
  <c r="C150" i="6" a="1"/>
  <c r="D150" i="6"/>
  <c r="D150" i="6" a="1"/>
  <c r="E150" i="6" a="1"/>
  <c r="E150" i="6" s="1"/>
  <c r="F150" i="6"/>
  <c r="F150" i="6" a="1"/>
  <c r="G150" i="6" a="1"/>
  <c r="G150" i="6" s="1"/>
  <c r="A151" i="6"/>
  <c r="B151" i="6" a="1"/>
  <c r="B151" i="6" s="1"/>
  <c r="C151" i="6" a="1"/>
  <c r="C151" i="6" s="1"/>
  <c r="D151" i="6"/>
  <c r="D151" i="6" a="1"/>
  <c r="E151" i="6"/>
  <c r="E151" i="6" a="1"/>
  <c r="F151" i="6" a="1"/>
  <c r="F151" i="6" s="1"/>
  <c r="G151" i="6"/>
  <c r="G151" i="6" a="1"/>
  <c r="A152" i="6"/>
  <c r="B152" i="6" a="1"/>
  <c r="B152" i="6" s="1"/>
  <c r="C152" i="6"/>
  <c r="C152" i="6" a="1"/>
  <c r="D152" i="6" a="1"/>
  <c r="D152" i="6" s="1"/>
  <c r="E152" i="6" a="1"/>
  <c r="E152" i="6" s="1"/>
  <c r="F152" i="6" a="1"/>
  <c r="F152" i="6" s="1"/>
  <c r="G152" i="6"/>
  <c r="G152" i="6" a="1"/>
  <c r="A153" i="6"/>
  <c r="B153" i="6" a="1"/>
  <c r="B153" i="6" s="1"/>
  <c r="C153" i="6" a="1"/>
  <c r="C153" i="6" s="1"/>
  <c r="D153" i="6" a="1"/>
  <c r="D153" i="6" s="1"/>
  <c r="E153" i="6" a="1"/>
  <c r="E153" i="6" s="1"/>
  <c r="F153" i="6" a="1"/>
  <c r="F153" i="6" s="1"/>
  <c r="G153" i="6" a="1"/>
  <c r="G153" i="6" s="1"/>
  <c r="A154" i="6"/>
  <c r="B154" i="6" a="1"/>
  <c r="B154" i="6" s="1"/>
  <c r="C154" i="6" a="1"/>
  <c r="C154" i="6" s="1"/>
  <c r="D154" i="6" a="1"/>
  <c r="D154" i="6" s="1"/>
  <c r="E154" i="6"/>
  <c r="E154" i="6" a="1"/>
  <c r="F154" i="6" a="1"/>
  <c r="F154" i="6" s="1"/>
  <c r="G154" i="6" a="1"/>
  <c r="G154" i="6" s="1"/>
  <c r="A155" i="6"/>
  <c r="B155" i="6" a="1"/>
  <c r="B155" i="6" s="1"/>
  <c r="C155" i="6"/>
  <c r="C155" i="6" a="1"/>
  <c r="D155" i="6" a="1"/>
  <c r="D155" i="6" s="1"/>
  <c r="E155" i="6"/>
  <c r="E155" i="6" a="1"/>
  <c r="F155" i="6"/>
  <c r="F155" i="6" a="1"/>
  <c r="G155" i="6" a="1"/>
  <c r="G155" i="6" s="1"/>
  <c r="A156" i="6"/>
  <c r="B156" i="6" a="1"/>
  <c r="B156" i="6" s="1"/>
  <c r="C156" i="6"/>
  <c r="C156" i="6" a="1"/>
  <c r="D156" i="6" a="1"/>
  <c r="D156" i="6" s="1"/>
  <c r="E156" i="6"/>
  <c r="E156" i="6" a="1"/>
  <c r="F156" i="6"/>
  <c r="F156" i="6" a="1"/>
  <c r="G156" i="6"/>
  <c r="G156" i="6" a="1"/>
  <c r="A157" i="6"/>
  <c r="B157" i="6"/>
  <c r="B157" i="6" a="1"/>
  <c r="C157" i="6"/>
  <c r="C157" i="6" a="1"/>
  <c r="D157" i="6" a="1"/>
  <c r="D157" i="6" s="1"/>
  <c r="E157" i="6" a="1"/>
  <c r="E157" i="6" s="1"/>
  <c r="F157" i="6" a="1"/>
  <c r="F157" i="6" s="1"/>
  <c r="G157" i="6"/>
  <c r="G157" i="6" a="1"/>
  <c r="A158" i="6"/>
  <c r="B158" i="6"/>
  <c r="B158" i="6" a="1"/>
  <c r="C158" i="6"/>
  <c r="C158" i="6" a="1"/>
  <c r="D158" i="6"/>
  <c r="D158" i="6" a="1"/>
  <c r="E158" i="6" a="1"/>
  <c r="E158" i="6" s="1"/>
  <c r="F158" i="6"/>
  <c r="F158" i="6" a="1"/>
  <c r="G158" i="6" a="1"/>
  <c r="G158" i="6" s="1"/>
  <c r="A159" i="6"/>
  <c r="B159" i="6" a="1"/>
  <c r="B159" i="6" s="1"/>
  <c r="C159" i="6" a="1"/>
  <c r="C159" i="6" s="1"/>
  <c r="D159" i="6"/>
  <c r="D159" i="6" a="1"/>
  <c r="E159" i="6"/>
  <c r="E159" i="6" a="1"/>
  <c r="F159" i="6" a="1"/>
  <c r="F159" i="6" s="1"/>
  <c r="G159" i="6"/>
  <c r="G159" i="6" a="1"/>
  <c r="A160" i="6"/>
  <c r="B160" i="6" a="1"/>
  <c r="B160" i="6" s="1"/>
  <c r="C160" i="6"/>
  <c r="C160" i="6" a="1"/>
  <c r="D160" i="6"/>
  <c r="D160" i="6" a="1"/>
  <c r="E160" i="6" a="1"/>
  <c r="E160" i="6" s="1"/>
  <c r="F160" i="6" a="1"/>
  <c r="F160" i="6" s="1"/>
  <c r="G160" i="6" a="1"/>
  <c r="G160" i="6" s="1"/>
  <c r="A161" i="6"/>
  <c r="B161" i="6" a="1"/>
  <c r="B161" i="6" s="1"/>
  <c r="C161" i="6" a="1"/>
  <c r="C161" i="6" s="1"/>
  <c r="D161" i="6" a="1"/>
  <c r="D161" i="6" s="1"/>
  <c r="E161" i="6" a="1"/>
  <c r="E161" i="6" s="1"/>
  <c r="F161" i="6"/>
  <c r="F161" i="6" a="1"/>
  <c r="G161" i="6" a="1"/>
  <c r="G161" i="6" s="1"/>
  <c r="A162" i="6"/>
  <c r="B162" i="6"/>
  <c r="B162" i="6" a="1"/>
  <c r="C162" i="6" a="1"/>
  <c r="C162" i="6" s="1"/>
  <c r="D162" i="6" a="1"/>
  <c r="D162" i="6" s="1"/>
  <c r="E162" i="6" a="1"/>
  <c r="E162" i="6" s="1"/>
  <c r="F162" i="6"/>
  <c r="F162" i="6" a="1"/>
  <c r="G162" i="6" a="1"/>
  <c r="G162" i="6" s="1"/>
  <c r="A163" i="6"/>
  <c r="B163" i="6"/>
  <c r="B163" i="6" a="1"/>
  <c r="C163" i="6"/>
  <c r="C163" i="6" a="1"/>
  <c r="D163" i="6" a="1"/>
  <c r="D163" i="6" s="1"/>
  <c r="E163" i="6"/>
  <c r="E163" i="6" a="1"/>
  <c r="F163" i="6" a="1"/>
  <c r="F163" i="6" s="1"/>
  <c r="G163" i="6" a="1"/>
  <c r="G163" i="6" s="1"/>
  <c r="A164" i="6"/>
  <c r="B164" i="6" a="1"/>
  <c r="B164" i="6" s="1"/>
  <c r="C164" i="6"/>
  <c r="C164" i="6" a="1"/>
  <c r="D164" i="6" a="1"/>
  <c r="D164" i="6" s="1"/>
  <c r="E164" i="6" a="1"/>
  <c r="E164" i="6" s="1"/>
  <c r="F164" i="6"/>
  <c r="F164" i="6" a="1"/>
  <c r="G164" i="6" a="1"/>
  <c r="G164" i="6" s="1"/>
  <c r="A165" i="6"/>
  <c r="B165" i="6" a="1"/>
  <c r="B165" i="6" s="1"/>
  <c r="C165" i="6" a="1"/>
  <c r="C165" i="6" s="1"/>
  <c r="D165" i="6" a="1"/>
  <c r="D165" i="6" s="1"/>
  <c r="E165" i="6" a="1"/>
  <c r="E165" i="6" s="1"/>
  <c r="F165" i="6"/>
  <c r="F165" i="6" a="1"/>
  <c r="G165" i="6" a="1"/>
  <c r="G165" i="6" s="1"/>
  <c r="A166" i="6"/>
  <c r="B166" i="6" a="1"/>
  <c r="B166" i="6" s="1"/>
  <c r="C166" i="6"/>
  <c r="C166" i="6" a="1"/>
  <c r="D166" i="6" a="1"/>
  <c r="D166" i="6" s="1"/>
  <c r="E166" i="6"/>
  <c r="E166" i="6" a="1"/>
  <c r="F166" i="6"/>
  <c r="F166" i="6" a="1"/>
  <c r="G166" i="6" a="1"/>
  <c r="G166" i="6" s="1"/>
  <c r="A167" i="6"/>
  <c r="B167" i="6" a="1"/>
  <c r="B167" i="6" s="1"/>
  <c r="C167" i="6"/>
  <c r="C167" i="6" a="1"/>
  <c r="D167" i="6" a="1"/>
  <c r="D167" i="6" s="1"/>
  <c r="E167" i="6" a="1"/>
  <c r="E167" i="6" s="1"/>
  <c r="F167" i="6"/>
  <c r="F167" i="6" a="1"/>
  <c r="G167" i="6"/>
  <c r="G167" i="6" a="1"/>
  <c r="A168" i="6"/>
  <c r="B168" i="6"/>
  <c r="B168" i="6" a="1"/>
  <c r="C168" i="6"/>
  <c r="C168" i="6" a="1"/>
  <c r="D168" i="6" a="1"/>
  <c r="D168" i="6" s="1"/>
  <c r="E168" i="6" a="1"/>
  <c r="E168" i="6" s="1"/>
  <c r="F168" i="6" a="1"/>
  <c r="F168" i="6" s="1"/>
  <c r="G168" i="6"/>
  <c r="G168" i="6" a="1"/>
  <c r="A169" i="6"/>
  <c r="B169" i="6" a="1"/>
  <c r="B169" i="6" s="1"/>
  <c r="C169" i="6"/>
  <c r="C169" i="6" a="1"/>
  <c r="D169" i="6"/>
  <c r="D169" i="6" a="1"/>
  <c r="E169" i="6" a="1"/>
  <c r="E169" i="6" s="1"/>
  <c r="F169" i="6" a="1"/>
  <c r="F169" i="6" s="1"/>
  <c r="G169" i="6" a="1"/>
  <c r="G169" i="6" s="1"/>
  <c r="A170" i="6"/>
  <c r="B170" i="6" a="1"/>
  <c r="B170" i="6" s="1"/>
  <c r="C170" i="6" a="1"/>
  <c r="C170" i="6" s="1"/>
  <c r="D170" i="6"/>
  <c r="D170" i="6" a="1"/>
  <c r="E170" i="6" a="1"/>
  <c r="E170" i="6" s="1"/>
  <c r="F170" i="6" a="1"/>
  <c r="F170" i="6" s="1"/>
  <c r="G170" i="6"/>
  <c r="G170" i="6" a="1"/>
  <c r="A171" i="6"/>
  <c r="B171" i="6" a="1"/>
  <c r="B171" i="6" s="1"/>
  <c r="C171" i="6" a="1"/>
  <c r="C171" i="6" s="1"/>
  <c r="D171" i="6" a="1"/>
  <c r="D171" i="6" s="1"/>
  <c r="E171" i="6" a="1"/>
  <c r="E171" i="6" s="1"/>
  <c r="F171" i="6" a="1"/>
  <c r="F171" i="6" s="1"/>
  <c r="G171" i="6"/>
  <c r="G171" i="6" a="1"/>
  <c r="A172" i="6"/>
  <c r="B172" i="6" a="1"/>
  <c r="B172" i="6" s="1"/>
  <c r="C172" i="6" a="1"/>
  <c r="C172" i="6" s="1"/>
  <c r="D172" i="6"/>
  <c r="D172" i="6" a="1"/>
  <c r="E172" i="6" a="1"/>
  <c r="E172" i="6" s="1"/>
  <c r="F172" i="6"/>
  <c r="F172" i="6" a="1"/>
  <c r="G172" i="6"/>
  <c r="G172" i="6" a="1"/>
  <c r="A173" i="6"/>
  <c r="B173" i="6" a="1"/>
  <c r="B173" i="6" s="1"/>
  <c r="C173" i="6" a="1"/>
  <c r="C173" i="6" s="1"/>
  <c r="D173" i="6"/>
  <c r="D173" i="6" a="1"/>
  <c r="E173" i="6" a="1"/>
  <c r="E173" i="6" s="1"/>
  <c r="F173" i="6" a="1"/>
  <c r="F173" i="6" s="1"/>
  <c r="G173" i="6"/>
  <c r="G173" i="6" a="1"/>
  <c r="A174" i="6"/>
  <c r="B174" i="6" a="1"/>
  <c r="B174" i="6" s="1"/>
  <c r="C174" i="6"/>
  <c r="C174" i="6" a="1"/>
  <c r="D174" i="6"/>
  <c r="D174" i="6" a="1"/>
  <c r="E174" i="6" a="1"/>
  <c r="E174" i="6" s="1"/>
  <c r="F174" i="6" a="1"/>
  <c r="F174" i="6" s="1"/>
  <c r="G174" i="6" a="1"/>
  <c r="G174" i="6" s="1"/>
  <c r="A175" i="6"/>
  <c r="B175" i="6" a="1"/>
  <c r="B175" i="6" s="1"/>
  <c r="C175" i="6" a="1"/>
  <c r="C175" i="6" s="1"/>
  <c r="D175" i="6"/>
  <c r="D175" i="6" a="1"/>
  <c r="E175" i="6"/>
  <c r="E175" i="6" a="1"/>
  <c r="F175" i="6" a="1"/>
  <c r="F175" i="6" s="1"/>
  <c r="G175" i="6" a="1"/>
  <c r="G175" i="6" s="1"/>
  <c r="A176" i="6"/>
  <c r="B176" i="6" a="1"/>
  <c r="B176" i="6" s="1"/>
  <c r="C176" i="6" a="1"/>
  <c r="C176" i="6" s="1"/>
  <c r="D176" i="6" a="1"/>
  <c r="D176" i="6" s="1"/>
  <c r="E176" i="6"/>
  <c r="E176" i="6" a="1"/>
  <c r="F176" i="6" a="1"/>
  <c r="F176" i="6" s="1"/>
  <c r="G176" i="6" a="1"/>
  <c r="G176" i="6" s="1"/>
  <c r="A177" i="6"/>
  <c r="B177" i="6"/>
  <c r="B177" i="6" a="1"/>
  <c r="C177" i="6" a="1"/>
  <c r="C177" i="6" s="1"/>
  <c r="D177" i="6" a="1"/>
  <c r="D177" i="6" s="1"/>
  <c r="E177" i="6" a="1"/>
  <c r="E177" i="6" s="1"/>
  <c r="F177" i="6" a="1"/>
  <c r="F177" i="6" s="1"/>
  <c r="G177" i="6" a="1"/>
  <c r="G177" i="6" s="1"/>
  <c r="A178" i="6"/>
  <c r="B178" i="6"/>
  <c r="B178" i="6" a="1"/>
  <c r="C178" i="6" a="1"/>
  <c r="C178" i="6" s="1"/>
  <c r="D178" i="6" a="1"/>
  <c r="D178" i="6" s="1"/>
  <c r="E178" i="6"/>
  <c r="E178" i="6" a="1"/>
  <c r="F178" i="6" a="1"/>
  <c r="F178" i="6" s="1"/>
  <c r="G178" i="6"/>
  <c r="G178" i="6" a="1"/>
  <c r="A179" i="6"/>
  <c r="B179" i="6" a="1"/>
  <c r="B179" i="6" s="1"/>
  <c r="C179" i="6" a="1"/>
  <c r="C179" i="6" s="1"/>
  <c r="D179" i="6" a="1"/>
  <c r="D179" i="6" s="1"/>
  <c r="E179" i="6"/>
  <c r="E179" i="6" a="1"/>
  <c r="F179" i="6" a="1"/>
  <c r="F179" i="6" s="1"/>
  <c r="G179" i="6" a="1"/>
  <c r="G179" i="6" s="1"/>
  <c r="A180" i="6"/>
  <c r="B180" i="6"/>
  <c r="B180" i="6" a="1"/>
  <c r="C180" i="6" a="1"/>
  <c r="C180" i="6" s="1"/>
  <c r="D180" i="6"/>
  <c r="D180" i="6" a="1"/>
  <c r="E180" i="6"/>
  <c r="E180" i="6" a="1"/>
  <c r="F180" i="6" a="1"/>
  <c r="F180" i="6" s="1"/>
  <c r="G180" i="6" a="1"/>
  <c r="G180" i="6" s="1"/>
  <c r="A181" i="6"/>
  <c r="B181" i="6"/>
  <c r="B181" i="6" a="1"/>
  <c r="C181" i="6" a="1"/>
  <c r="C181" i="6" s="1"/>
  <c r="D181" i="6" a="1"/>
  <c r="D181" i="6" s="1"/>
  <c r="E181" i="6"/>
  <c r="E181" i="6" a="1"/>
  <c r="F181" i="6"/>
  <c r="F181" i="6" a="1"/>
  <c r="G181" i="6" a="1"/>
  <c r="G181" i="6" s="1"/>
  <c r="A182" i="6"/>
  <c r="B182" i="6"/>
  <c r="B182" i="6" a="1"/>
  <c r="C182" i="6" a="1"/>
  <c r="C182" i="6" s="1"/>
  <c r="D182" i="6" a="1"/>
  <c r="D182" i="6" s="1"/>
  <c r="E182" i="6" a="1"/>
  <c r="E182" i="6" s="1"/>
  <c r="F182" i="6"/>
  <c r="F182" i="6" a="1"/>
  <c r="G182" i="6" a="1"/>
  <c r="G182" i="6" s="1"/>
  <c r="A183" i="6"/>
  <c r="B183" i="6"/>
  <c r="B183" i="6" a="1"/>
  <c r="C183" i="6"/>
  <c r="C183" i="6" a="1"/>
  <c r="D183" i="6" a="1"/>
  <c r="D183" i="6" s="1"/>
  <c r="E183" i="6" a="1"/>
  <c r="E183" i="6" s="1"/>
  <c r="F183" i="6" a="1"/>
  <c r="F183" i="6" s="1"/>
  <c r="G183" i="6" a="1"/>
  <c r="G183" i="6" s="1"/>
  <c r="A184" i="6"/>
  <c r="B184" i="6" a="1"/>
  <c r="B184" i="6" s="1"/>
  <c r="C184" i="6"/>
  <c r="C184" i="6" a="1"/>
  <c r="D184" i="6" a="1"/>
  <c r="D184" i="6" s="1"/>
  <c r="E184" i="6" a="1"/>
  <c r="E184" i="6" s="1"/>
  <c r="F184" i="6"/>
  <c r="F184" i="6" a="1"/>
  <c r="G184" i="6" a="1"/>
  <c r="G184" i="6" s="1"/>
  <c r="A185" i="6"/>
  <c r="B185" i="6" a="1"/>
  <c r="B185" i="6" s="1"/>
  <c r="C185" i="6" a="1"/>
  <c r="C185" i="6" s="1"/>
  <c r="D185" i="6" a="1"/>
  <c r="D185" i="6" s="1"/>
  <c r="E185" i="6" a="1"/>
  <c r="E185" i="6" s="1"/>
  <c r="F185" i="6"/>
  <c r="F185" i="6" a="1"/>
  <c r="G185" i="6" a="1"/>
  <c r="G185" i="6" s="1"/>
  <c r="A186" i="6"/>
  <c r="B186" i="6" a="1"/>
  <c r="B186" i="6" s="1"/>
  <c r="C186" i="6"/>
  <c r="C186" i="6" a="1"/>
  <c r="D186" i="6" a="1"/>
  <c r="D186" i="6" s="1"/>
  <c r="E186" i="6"/>
  <c r="E186" i="6" a="1"/>
  <c r="F186" i="6"/>
  <c r="F186" i="6" a="1"/>
  <c r="G186" i="6" a="1"/>
  <c r="G186" i="6" s="1"/>
  <c r="A187" i="6"/>
  <c r="B187" i="6" a="1"/>
  <c r="B187" i="6" s="1"/>
  <c r="C187" i="6"/>
  <c r="C187" i="6" a="1"/>
  <c r="D187" i="6" a="1"/>
  <c r="D187" i="6" s="1"/>
  <c r="E187" i="6" a="1"/>
  <c r="E187" i="6" s="1"/>
  <c r="F187" i="6"/>
  <c r="F187" i="6" a="1"/>
  <c r="G187" i="6"/>
  <c r="G187" i="6" a="1"/>
  <c r="A188" i="6"/>
  <c r="B188" i="6" a="1"/>
  <c r="B188" i="6" s="1"/>
  <c r="C188" i="6"/>
  <c r="C188" i="6" a="1"/>
  <c r="D188" i="6" a="1"/>
  <c r="D188" i="6" s="1"/>
  <c r="E188" i="6" a="1"/>
  <c r="E188" i="6" s="1"/>
  <c r="F188" i="6" a="1"/>
  <c r="F188" i="6" s="1"/>
  <c r="G188" i="6"/>
  <c r="G188" i="6" a="1"/>
  <c r="A189" i="6"/>
  <c r="B189" i="6" a="1"/>
  <c r="B189" i="6" s="1"/>
  <c r="C189" i="6"/>
  <c r="C189" i="6" a="1"/>
  <c r="D189" i="6"/>
  <c r="D189" i="6" a="1"/>
  <c r="E189" i="6" a="1"/>
  <c r="E189" i="6" s="1"/>
  <c r="F189" i="6" a="1"/>
  <c r="F189" i="6" s="1"/>
  <c r="G189" i="6" a="1"/>
  <c r="G189" i="6" s="1"/>
  <c r="A190" i="6"/>
  <c r="B190" i="6" a="1"/>
  <c r="B190" i="6" s="1"/>
  <c r="C190" i="6" a="1"/>
  <c r="C190" i="6" s="1"/>
  <c r="D190" i="6"/>
  <c r="D190" i="6" a="1"/>
  <c r="E190" i="6" a="1"/>
  <c r="E190" i="6" s="1"/>
  <c r="F190" i="6" a="1"/>
  <c r="F190" i="6" s="1"/>
  <c r="G190" i="6"/>
  <c r="G190" i="6" a="1"/>
  <c r="A191" i="6"/>
  <c r="B191" i="6" a="1"/>
  <c r="B191" i="6" s="1"/>
  <c r="C191" i="6" a="1"/>
  <c r="C191" i="6" s="1"/>
  <c r="D191" i="6" a="1"/>
  <c r="D191" i="6" s="1"/>
  <c r="E191" i="6" a="1"/>
  <c r="E191" i="6" s="1"/>
  <c r="F191" i="6" a="1"/>
  <c r="F191" i="6" s="1"/>
  <c r="G191" i="6"/>
  <c r="G191" i="6" a="1"/>
  <c r="A192" i="6"/>
  <c r="B192" i="6" a="1"/>
  <c r="B192" i="6" s="1"/>
  <c r="C192" i="6" a="1"/>
  <c r="C192" i="6" s="1"/>
  <c r="D192" i="6"/>
  <c r="D192" i="6" a="1"/>
  <c r="E192" i="6" a="1"/>
  <c r="E192" i="6" s="1"/>
  <c r="F192" i="6"/>
  <c r="F192" i="6" a="1"/>
  <c r="G192" i="6"/>
  <c r="G192" i="6" a="1"/>
  <c r="A193" i="6"/>
  <c r="B193" i="6" a="1"/>
  <c r="B193" i="6" s="1"/>
  <c r="C193" i="6" a="1"/>
  <c r="C193" i="6" s="1"/>
  <c r="D193" i="6"/>
  <c r="D193" i="6" a="1"/>
  <c r="E193" i="6" a="1"/>
  <c r="E193" i="6" s="1"/>
  <c r="F193" i="6" a="1"/>
  <c r="F193" i="6" s="1"/>
  <c r="G193" i="6"/>
  <c r="G193" i="6" a="1"/>
  <c r="A194" i="6"/>
  <c r="B194" i="6" a="1"/>
  <c r="B194" i="6" s="1"/>
  <c r="C194" i="6" a="1"/>
  <c r="C194" i="6" s="1"/>
  <c r="D194" i="6"/>
  <c r="D194" i="6" a="1"/>
  <c r="E194" i="6" a="1"/>
  <c r="E194" i="6" s="1"/>
  <c r="F194" i="6" a="1"/>
  <c r="F194" i="6" s="1"/>
  <c r="G194" i="6" a="1"/>
  <c r="G194" i="6" s="1"/>
  <c r="A195" i="6"/>
  <c r="B195" i="6" a="1"/>
  <c r="B195" i="6" s="1"/>
  <c r="C195" i="6" a="1"/>
  <c r="C195" i="6" s="1"/>
  <c r="D195" i="6"/>
  <c r="D195" i="6" a="1"/>
  <c r="E195" i="6"/>
  <c r="E195" i="6" a="1"/>
  <c r="F195" i="6" a="1"/>
  <c r="F195" i="6" s="1"/>
  <c r="G195" i="6" a="1"/>
  <c r="G195" i="6" s="1"/>
  <c r="A196" i="6"/>
  <c r="B196" i="6" a="1"/>
  <c r="B196" i="6" s="1"/>
  <c r="C196" i="6" a="1"/>
  <c r="C196" i="6" s="1"/>
  <c r="D196" i="6" a="1"/>
  <c r="D196" i="6" s="1"/>
  <c r="E196" i="6"/>
  <c r="E196" i="6" a="1"/>
  <c r="F196" i="6" a="1"/>
  <c r="F196" i="6" s="1"/>
  <c r="G196" i="6" a="1"/>
  <c r="G196" i="6" s="1"/>
  <c r="A197" i="6"/>
  <c r="B197" i="6"/>
  <c r="B197" i="6" a="1"/>
  <c r="C197" i="6" a="1"/>
  <c r="C197" i="6" s="1"/>
  <c r="D197" i="6" a="1"/>
  <c r="D197" i="6" s="1"/>
  <c r="E197" i="6" a="1"/>
  <c r="E197" i="6" s="1"/>
  <c r="F197" i="6" a="1"/>
  <c r="F197" i="6" s="1"/>
  <c r="G197" i="6" a="1"/>
  <c r="G197" i="6" s="1"/>
  <c r="A198" i="6"/>
  <c r="B198" i="6"/>
  <c r="B198" i="6" a="1"/>
  <c r="C198" i="6" a="1"/>
  <c r="C198" i="6" s="1"/>
  <c r="D198" i="6" a="1"/>
  <c r="D198" i="6" s="1"/>
  <c r="E198" i="6"/>
  <c r="E198" i="6" a="1"/>
  <c r="F198" i="6" a="1"/>
  <c r="F198" i="6" s="1"/>
  <c r="G198" i="6"/>
  <c r="G198" i="6" a="1"/>
  <c r="A199" i="6"/>
  <c r="B199" i="6" a="1"/>
  <c r="B199" i="6" s="1"/>
  <c r="C199" i="6" a="1"/>
  <c r="C199" i="6" s="1"/>
  <c r="D199" i="6" a="1"/>
  <c r="D199" i="6" s="1"/>
  <c r="E199" i="6"/>
  <c r="E199" i="6" a="1"/>
  <c r="F199" i="6" a="1"/>
  <c r="F199" i="6" s="1"/>
  <c r="G199" i="6" a="1"/>
  <c r="G199" i="6" s="1"/>
  <c r="A200" i="6"/>
  <c r="B200" i="6"/>
  <c r="B200" i="6" a="1"/>
  <c r="C200" i="6" a="1"/>
  <c r="C200" i="6" s="1"/>
  <c r="D200" i="6" a="1"/>
  <c r="D200" i="6" s="1"/>
  <c r="E200" i="6"/>
  <c r="E200" i="6" a="1"/>
  <c r="F200" i="6" a="1"/>
  <c r="F200" i="6" s="1"/>
  <c r="G200" i="6" a="1"/>
  <c r="G200" i="6" s="1"/>
  <c r="A201" i="6"/>
  <c r="B201" i="6"/>
  <c r="B201" i="6" a="1"/>
  <c r="C201" i="6" a="1"/>
  <c r="C201" i="6" s="1"/>
  <c r="D201" i="6" a="1"/>
  <c r="D201" i="6" s="1"/>
  <c r="E201" i="6"/>
  <c r="E201" i="6" a="1"/>
  <c r="F201" i="6"/>
  <c r="F201" i="6" a="1"/>
  <c r="G201" i="6" a="1"/>
  <c r="G201" i="6" s="1"/>
  <c r="B1" i="5"/>
  <c r="E9" i="3" s="1"/>
  <c r="C1" i="5"/>
  <c r="F9" i="3" s="1"/>
  <c r="D1" i="5"/>
  <c r="G9" i="3" s="1"/>
  <c r="E1" i="5"/>
  <c r="H9" i="3" s="1"/>
  <c r="F1" i="5"/>
  <c r="I9" i="3" s="1"/>
  <c r="G1" i="5"/>
  <c r="J9" i="3" s="1"/>
  <c r="B2" i="17"/>
  <c r="E2" i="17"/>
  <c r="B3" i="17"/>
  <c r="B4" i="17"/>
  <c r="B5" i="17"/>
  <c r="G9" i="17"/>
  <c r="B44" i="17"/>
  <c r="B45" i="17"/>
  <c r="A1" i="18"/>
  <c r="B1" i="18"/>
  <c r="C1" i="18"/>
  <c r="D1" i="18"/>
  <c r="E1" i="18"/>
  <c r="F1" i="18"/>
  <c r="A2" i="18"/>
  <c r="B2" i="18"/>
  <c r="C2" i="18"/>
  <c r="D2" i="18"/>
  <c r="C4" i="18"/>
  <c r="D4" i="18"/>
  <c r="E4" i="18"/>
  <c r="A5" i="18"/>
  <c r="B5" i="18"/>
  <c r="C5" i="18"/>
  <c r="D5" i="18"/>
  <c r="E5" i="18"/>
  <c r="F5" i="18"/>
  <c r="F6" i="18"/>
  <c r="E7" i="18"/>
  <c r="F7" i="18"/>
  <c r="A8" i="18"/>
  <c r="C8" i="18"/>
  <c r="D8" i="18"/>
  <c r="E8" i="18"/>
  <c r="F8" i="18"/>
  <c r="A9" i="18"/>
  <c r="B9" i="18"/>
  <c r="A10" i="18"/>
  <c r="B10" i="18"/>
  <c r="A11" i="18"/>
  <c r="B11" i="18"/>
  <c r="C11" i="18"/>
  <c r="E11" i="18"/>
  <c r="F11" i="18"/>
  <c r="A12" i="18"/>
  <c r="B12" i="18"/>
  <c r="C12" i="18"/>
  <c r="D12" i="18"/>
  <c r="C14" i="18"/>
  <c r="D14" i="18"/>
  <c r="E14" i="18"/>
  <c r="A15" i="18"/>
  <c r="B15" i="18"/>
  <c r="C15" i="18"/>
  <c r="D15" i="18"/>
  <c r="E15" i="18"/>
  <c r="F15" i="18"/>
  <c r="F16" i="18"/>
  <c r="E17" i="18"/>
  <c r="F17" i="18"/>
  <c r="A18" i="18"/>
  <c r="C18" i="18"/>
  <c r="D18" i="18"/>
  <c r="E18" i="18"/>
  <c r="F18" i="18"/>
  <c r="A19" i="18"/>
  <c r="B19" i="18"/>
  <c r="A20" i="18"/>
  <c r="B20" i="18"/>
  <c r="A21" i="18"/>
  <c r="B21" i="18"/>
  <c r="C21" i="18"/>
  <c r="E21" i="18"/>
  <c r="F21" i="18"/>
  <c r="A22" i="18"/>
  <c r="B22" i="18"/>
  <c r="C22" i="18"/>
  <c r="D22" i="18"/>
  <c r="C24" i="18"/>
  <c r="D24" i="18"/>
  <c r="E24" i="18"/>
  <c r="F24" i="18"/>
  <c r="A25" i="18"/>
  <c r="B25" i="18"/>
  <c r="C25" i="18"/>
  <c r="D25" i="18"/>
  <c r="E25" i="18"/>
  <c r="F25" i="18"/>
  <c r="F26" i="18"/>
  <c r="A27" i="18"/>
  <c r="E27" i="18"/>
  <c r="F27" i="18"/>
  <c r="A28" i="18"/>
  <c r="C28" i="18"/>
  <c r="D28" i="18"/>
  <c r="E28" i="18"/>
  <c r="F28" i="18"/>
  <c r="A29" i="18"/>
  <c r="B29" i="18"/>
  <c r="A30" i="18"/>
  <c r="B30" i="18"/>
  <c r="A31" i="18"/>
  <c r="B31" i="18"/>
  <c r="C31" i="18"/>
  <c r="E31" i="18"/>
  <c r="F31" i="18"/>
  <c r="A32" i="18"/>
  <c r="B32" i="18"/>
  <c r="C32" i="18"/>
  <c r="D32" i="18"/>
  <c r="C34" i="18"/>
  <c r="D34" i="18"/>
  <c r="E34" i="18"/>
  <c r="F34" i="18"/>
  <c r="A35" i="18"/>
  <c r="B35" i="18"/>
  <c r="C35" i="18"/>
  <c r="D35" i="18"/>
  <c r="E35" i="18"/>
  <c r="F35" i="18"/>
  <c r="F36" i="18"/>
  <c r="A37" i="18"/>
  <c r="E37" i="18"/>
  <c r="F37" i="18"/>
  <c r="A38" i="18"/>
  <c r="B38" i="18"/>
  <c r="C38" i="18"/>
  <c r="D38" i="18"/>
  <c r="E38" i="18"/>
  <c r="F38" i="18"/>
  <c r="A39" i="18"/>
  <c r="B39" i="18"/>
  <c r="F39" i="18"/>
  <c r="A40" i="18"/>
  <c r="B40" i="18"/>
  <c r="A41" i="18"/>
  <c r="B41" i="18"/>
  <c r="C41" i="18"/>
  <c r="E41" i="18"/>
  <c r="F41" i="18"/>
  <c r="A42" i="18"/>
  <c r="B42" i="18"/>
  <c r="C42" i="18"/>
  <c r="D42" i="18"/>
  <c r="C44" i="18"/>
  <c r="D44" i="18"/>
  <c r="E44" i="18"/>
  <c r="F44" i="18"/>
  <c r="A45" i="18"/>
  <c r="B45" i="18"/>
  <c r="C45" i="18"/>
  <c r="D45" i="18"/>
  <c r="E45" i="18"/>
  <c r="F45" i="18"/>
  <c r="E46" i="18"/>
  <c r="F46" i="18"/>
  <c r="A47" i="18"/>
  <c r="E47" i="18"/>
  <c r="F47" i="18"/>
  <c r="A48" i="18"/>
  <c r="B48" i="18"/>
  <c r="C48" i="18"/>
  <c r="D48" i="18"/>
  <c r="E48" i="18"/>
  <c r="F48" i="18"/>
  <c r="A49" i="18"/>
  <c r="B49" i="18"/>
  <c r="F49" i="18"/>
  <c r="A50" i="18"/>
  <c r="B50" i="18"/>
  <c r="A51" i="18"/>
  <c r="B51" i="18"/>
  <c r="C51" i="18"/>
  <c r="E51" i="18"/>
  <c r="F51" i="18"/>
  <c r="B6" i="15"/>
  <c r="D6" i="15"/>
  <c r="F6" i="15"/>
  <c r="H6" i="15"/>
  <c r="J6" i="15"/>
  <c r="L6" i="15"/>
  <c r="C8" i="15"/>
  <c r="A6" i="18" s="1"/>
  <c r="E8" i="15"/>
  <c r="B6" i="18" s="1"/>
  <c r="G8" i="15"/>
  <c r="C9" i="18" s="1"/>
  <c r="I8" i="15"/>
  <c r="D13" i="18" s="1"/>
  <c r="K8" i="15"/>
  <c r="E2" i="18" s="1"/>
  <c r="M8" i="15"/>
  <c r="F2" i="18" s="1"/>
  <c r="B60" i="3" l="1"/>
  <c r="C60" i="3" s="1"/>
  <c r="G208" i="3"/>
  <c r="E208" i="3"/>
  <c r="F208" i="3"/>
  <c r="H208" i="3"/>
  <c r="I208" i="3"/>
  <c r="C62" i="6" a="1"/>
  <c r="C62" i="6" s="1"/>
  <c r="B70" i="3" s="1"/>
  <c r="C70" i="3" s="1"/>
  <c r="C42" i="6" a="1"/>
  <c r="C42" i="6" s="1"/>
  <c r="C31" i="6" a="1"/>
  <c r="C31" i="6" s="1"/>
  <c r="B39" i="3" s="1"/>
  <c r="C39" i="3" s="1"/>
  <c r="B43" i="3"/>
  <c r="J22" i="3"/>
  <c r="J42" i="3"/>
  <c r="J16" i="3"/>
  <c r="J36" i="3"/>
  <c r="C60" i="6" a="1"/>
  <c r="C60" i="6" s="1"/>
  <c r="E66" i="6" a="1"/>
  <c r="E66" i="6" s="1"/>
  <c r="C94" i="3"/>
  <c r="B94" i="3"/>
  <c r="E54" i="6" a="1"/>
  <c r="E54" i="6" s="1"/>
  <c r="B55" i="3"/>
  <c r="C55" i="3" s="1"/>
  <c r="G198" i="3"/>
  <c r="I198" i="3"/>
  <c r="E198" i="3"/>
  <c r="C99" i="3"/>
  <c r="B99" i="3"/>
  <c r="D51" i="18"/>
  <c r="D41" i="18"/>
  <c r="D31" i="18"/>
  <c r="B28" i="18"/>
  <c r="D21" i="18"/>
  <c r="B18" i="18"/>
  <c r="F14" i="18"/>
  <c r="D11" i="18"/>
  <c r="B8" i="18"/>
  <c r="F4" i="18"/>
  <c r="E25" i="6" a="1"/>
  <c r="E25" i="6" s="1"/>
  <c r="B74" i="3"/>
  <c r="B36" i="3"/>
  <c r="C36" i="3" s="1"/>
  <c r="E36" i="3" s="1"/>
  <c r="B62" i="3"/>
  <c r="C33" i="6" a="1"/>
  <c r="C33" i="6" s="1"/>
  <c r="C137" i="3"/>
  <c r="B137" i="3"/>
  <c r="C51" i="6" a="1"/>
  <c r="C51" i="6" s="1"/>
  <c r="C7" i="6" a="1"/>
  <c r="C7" i="6" s="1"/>
  <c r="C27" i="6" a="1"/>
  <c r="C27" i="6" s="1"/>
  <c r="C47" i="6" a="1"/>
  <c r="C47" i="6" s="1"/>
  <c r="C2" i="6" a="1"/>
  <c r="C2" i="6" s="1"/>
  <c r="C24" i="6" a="1"/>
  <c r="C24" i="6" s="1"/>
  <c r="C44" i="6" a="1"/>
  <c r="C44" i="6" s="1"/>
  <c r="C64" i="6" a="1"/>
  <c r="C64" i="6" s="1"/>
  <c r="B72" i="3" s="1"/>
  <c r="C72" i="3" s="1"/>
  <c r="C21" i="6" a="1"/>
  <c r="C21" i="6" s="1"/>
  <c r="C41" i="6" a="1"/>
  <c r="C41" i="6" s="1"/>
  <c r="B49" i="3" s="1"/>
  <c r="C49" i="3" s="1"/>
  <c r="C61" i="6" a="1"/>
  <c r="C61" i="6" s="1"/>
  <c r="C18" i="6" a="1"/>
  <c r="C18" i="6" s="1"/>
  <c r="C38" i="6" a="1"/>
  <c r="C38" i="6" s="1"/>
  <c r="B46" i="3" s="1"/>
  <c r="C46" i="3" s="1"/>
  <c r="C58" i="6" a="1"/>
  <c r="C58" i="6" s="1"/>
  <c r="B66" i="3" s="1"/>
  <c r="C66" i="3" s="1"/>
  <c r="C15" i="6" a="1"/>
  <c r="C15" i="6" s="1"/>
  <c r="B23" i="3" s="1"/>
  <c r="C23" i="3" s="1"/>
  <c r="C35" i="6" a="1"/>
  <c r="C35" i="6" s="1"/>
  <c r="C55" i="6" a="1"/>
  <c r="C55" i="6" s="1"/>
  <c r="B63" i="3" s="1"/>
  <c r="C63" i="3" s="1"/>
  <c r="C4" i="6" a="1"/>
  <c r="C4" i="6" s="1"/>
  <c r="C12" i="6" a="1"/>
  <c r="C12" i="6" s="1"/>
  <c r="C32" i="6" a="1"/>
  <c r="C32" i="6" s="1"/>
  <c r="C52" i="6" a="1"/>
  <c r="C52" i="6" s="1"/>
  <c r="C9" i="6" a="1"/>
  <c r="C9" i="6" s="1"/>
  <c r="C29" i="6" a="1"/>
  <c r="C29" i="6" s="1"/>
  <c r="C49" i="6" a="1"/>
  <c r="C49" i="6" s="1"/>
  <c r="B57" i="3" s="1"/>
  <c r="C57" i="3" s="1"/>
  <c r="C26" i="6" a="1"/>
  <c r="C26" i="6" s="1"/>
  <c r="C46" i="6" a="1"/>
  <c r="C46" i="6" s="1"/>
  <c r="C66" i="6" a="1"/>
  <c r="C66" i="6" s="1"/>
  <c r="C23" i="6" a="1"/>
  <c r="C23" i="6" s="1"/>
  <c r="C43" i="6" a="1"/>
  <c r="C43" i="6" s="1"/>
  <c r="B51" i="3" s="1"/>
  <c r="C51" i="3" s="1"/>
  <c r="C63" i="6" a="1"/>
  <c r="C63" i="6" s="1"/>
  <c r="C6" i="6" a="1"/>
  <c r="C6" i="6" s="1"/>
  <c r="C20" i="6" a="1"/>
  <c r="C20" i="6" s="1"/>
  <c r="C40" i="6" a="1"/>
  <c r="C40" i="6" s="1"/>
  <c r="B48" i="3" s="1"/>
  <c r="C48" i="3" s="1"/>
  <c r="C17" i="6" a="1"/>
  <c r="C17" i="6" s="1"/>
  <c r="C37" i="6" a="1"/>
  <c r="C37" i="6" s="1"/>
  <c r="C57" i="6" a="1"/>
  <c r="C57" i="6" s="1"/>
  <c r="F29" i="3"/>
  <c r="C14" i="6" a="1"/>
  <c r="C14" i="6" s="1"/>
  <c r="B22" i="3" s="1"/>
  <c r="C22" i="3" s="1"/>
  <c r="C34" i="6" a="1"/>
  <c r="C34" i="6" s="1"/>
  <c r="C54" i="6" a="1"/>
  <c r="C54" i="6" s="1"/>
  <c r="C11" i="6" a="1"/>
  <c r="C11" i="6" s="1"/>
  <c r="C8" i="6" a="1"/>
  <c r="C8" i="6" s="1"/>
  <c r="C28" i="6" a="1"/>
  <c r="C28" i="6" s="1"/>
  <c r="C48" i="6" a="1"/>
  <c r="C48" i="6" s="1"/>
  <c r="C25" i="6" a="1"/>
  <c r="C25" i="6" s="1"/>
  <c r="C45" i="6" a="1"/>
  <c r="C45" i="6" s="1"/>
  <c r="C22" i="6" a="1"/>
  <c r="C22" i="6" s="1"/>
  <c r="C19" i="6" a="1"/>
  <c r="C19" i="6" s="1"/>
  <c r="B27" i="3" s="1"/>
  <c r="C27" i="3" s="1"/>
  <c r="C39" i="6" a="1"/>
  <c r="C39" i="6" s="1"/>
  <c r="B47" i="3" s="1"/>
  <c r="C47" i="3" s="1"/>
  <c r="C59" i="6" a="1"/>
  <c r="C59" i="6" s="1"/>
  <c r="B67" i="3" s="1"/>
  <c r="C67" i="3" s="1"/>
  <c r="C16" i="6" a="1"/>
  <c r="C16" i="6" s="1"/>
  <c r="C36" i="6" a="1"/>
  <c r="C36" i="6" s="1"/>
  <c r="B44" i="3" s="1"/>
  <c r="C44" i="3" s="1"/>
  <c r="C56" i="6" a="1"/>
  <c r="C56" i="6" s="1"/>
  <c r="B64" i="3" s="1"/>
  <c r="C64" i="3" s="1"/>
  <c r="F50" i="18"/>
  <c r="D47" i="18"/>
  <c r="B44" i="18"/>
  <c r="F40" i="18"/>
  <c r="D37" i="18"/>
  <c r="B34" i="18"/>
  <c r="F30" i="18"/>
  <c r="D27" i="18"/>
  <c r="B24" i="18"/>
  <c r="F20" i="18"/>
  <c r="D17" i="18"/>
  <c r="B14" i="18"/>
  <c r="F10" i="18"/>
  <c r="D7" i="18"/>
  <c r="B4" i="18"/>
  <c r="E63" i="6" a="1"/>
  <c r="E63" i="6" s="1"/>
  <c r="B71" i="3" s="1"/>
  <c r="C71" i="3" s="1"/>
  <c r="C13" i="6" a="1"/>
  <c r="C13" i="6" s="1"/>
  <c r="B21" i="3" s="1"/>
  <c r="C21" i="3" s="1"/>
  <c r="C104" i="3"/>
  <c r="B104" i="3"/>
  <c r="E50" i="18"/>
  <c r="C47" i="18"/>
  <c r="A44" i="18"/>
  <c r="E40" i="18"/>
  <c r="C37" i="18"/>
  <c r="A34" i="18"/>
  <c r="E30" i="18"/>
  <c r="C27" i="18"/>
  <c r="A24" i="18"/>
  <c r="E20" i="18"/>
  <c r="C17" i="18"/>
  <c r="A14" i="18"/>
  <c r="E10" i="18"/>
  <c r="C7" i="18"/>
  <c r="A4" i="18"/>
  <c r="E43" i="6" a="1"/>
  <c r="E43" i="6" s="1"/>
  <c r="D50" i="18"/>
  <c r="B47" i="18"/>
  <c r="F43" i="18"/>
  <c r="D40" i="18"/>
  <c r="B37" i="18"/>
  <c r="F33" i="18"/>
  <c r="D30" i="18"/>
  <c r="B27" i="18"/>
  <c r="F23" i="18"/>
  <c r="D20" i="18"/>
  <c r="B17" i="18"/>
  <c r="F13" i="18"/>
  <c r="D10" i="18"/>
  <c r="B7" i="18"/>
  <c r="F3" i="18"/>
  <c r="M9" i="15" s="1"/>
  <c r="J9" i="17"/>
  <c r="E65" i="6" a="1"/>
  <c r="E65" i="6" s="1"/>
  <c r="C10" i="6" a="1"/>
  <c r="C10" i="6" s="1"/>
  <c r="B18" i="3" s="1"/>
  <c r="C18" i="3" s="1"/>
  <c r="B128" i="3"/>
  <c r="C128" i="3"/>
  <c r="C50" i="18"/>
  <c r="E43" i="18"/>
  <c r="C40" i="18"/>
  <c r="E33" i="18"/>
  <c r="C30" i="18"/>
  <c r="E23" i="18"/>
  <c r="C20" i="18"/>
  <c r="A17" i="18"/>
  <c r="E13" i="18"/>
  <c r="C10" i="18"/>
  <c r="A7" i="18"/>
  <c r="E3" i="18"/>
  <c r="K9" i="15" s="1"/>
  <c r="I9" i="17"/>
  <c r="E195" i="3"/>
  <c r="G195" i="3"/>
  <c r="H195" i="3"/>
  <c r="I195" i="3"/>
  <c r="B69" i="3"/>
  <c r="C69" i="3" s="1"/>
  <c r="C53" i="6" a="1"/>
  <c r="C53" i="6" s="1"/>
  <c r="B35" i="3"/>
  <c r="C35" i="3" s="1"/>
  <c r="E35" i="3" s="1"/>
  <c r="B15" i="3"/>
  <c r="C15" i="3" s="1"/>
  <c r="E15" i="3" s="1"/>
  <c r="E26" i="18"/>
  <c r="E16" i="18"/>
  <c r="E6" i="18"/>
  <c r="C3" i="18"/>
  <c r="G9" i="15" s="1"/>
  <c r="C65" i="6" a="1"/>
  <c r="C65" i="6" s="1"/>
  <c r="B73" i="3" s="1"/>
  <c r="C73" i="3" s="1"/>
  <c r="C89" i="3"/>
  <c r="B89" i="3"/>
  <c r="D43" i="18"/>
  <c r="D3" i="18"/>
  <c r="I9" i="15" s="1"/>
  <c r="C33" i="18"/>
  <c r="C23" i="18"/>
  <c r="D46" i="18"/>
  <c r="D36" i="18"/>
  <c r="B33" i="18"/>
  <c r="F29" i="18"/>
  <c r="D26" i="18"/>
  <c r="B23" i="18"/>
  <c r="F19" i="18"/>
  <c r="D16" i="18"/>
  <c r="B13" i="18"/>
  <c r="F9" i="18"/>
  <c r="D6" i="18"/>
  <c r="B3" i="18"/>
  <c r="E9" i="15" s="1"/>
  <c r="F9" i="17"/>
  <c r="E5" i="6" a="1"/>
  <c r="E5" i="6" s="1"/>
  <c r="E19" i="6" a="1"/>
  <c r="E19" i="6" s="1"/>
  <c r="E39" i="6" a="1"/>
  <c r="E39" i="6" s="1"/>
  <c r="E59" i="6" a="1"/>
  <c r="E59" i="6" s="1"/>
  <c r="E16" i="6" a="1"/>
  <c r="E16" i="6" s="1"/>
  <c r="B24" i="3" s="1"/>
  <c r="C24" i="3" s="1"/>
  <c r="E36" i="6" a="1"/>
  <c r="E36" i="6" s="1"/>
  <c r="E56" i="6" a="1"/>
  <c r="E56" i="6" s="1"/>
  <c r="E13" i="6" a="1"/>
  <c r="E13" i="6" s="1"/>
  <c r="E33" i="6" a="1"/>
  <c r="E33" i="6" s="1"/>
  <c r="E53" i="6" a="1"/>
  <c r="E53" i="6" s="1"/>
  <c r="B61" i="3" s="1"/>
  <c r="C61" i="3" s="1"/>
  <c r="E10" i="6" a="1"/>
  <c r="E10" i="6" s="1"/>
  <c r="E30" i="6" a="1"/>
  <c r="E30" i="6" s="1"/>
  <c r="B38" i="3" s="1"/>
  <c r="C38" i="3" s="1"/>
  <c r="E50" i="6" a="1"/>
  <c r="E50" i="6" s="1"/>
  <c r="E7" i="6" a="1"/>
  <c r="E7" i="6" s="1"/>
  <c r="E27" i="6" a="1"/>
  <c r="E27" i="6" s="1"/>
  <c r="E47" i="6" a="1"/>
  <c r="E47" i="6" s="1"/>
  <c r="E2" i="6" a="1"/>
  <c r="E2" i="6" s="1"/>
  <c r="E24" i="6" a="1"/>
  <c r="E24" i="6" s="1"/>
  <c r="E44" i="6" a="1"/>
  <c r="E44" i="6" s="1"/>
  <c r="E64" i="6" a="1"/>
  <c r="E64" i="6" s="1"/>
  <c r="E21" i="6" a="1"/>
  <c r="E21" i="6" s="1"/>
  <c r="E41" i="6" a="1"/>
  <c r="E41" i="6" s="1"/>
  <c r="E61" i="6" a="1"/>
  <c r="E61" i="6" s="1"/>
  <c r="E18" i="6" a="1"/>
  <c r="E18" i="6" s="1"/>
  <c r="B26" i="3" s="1"/>
  <c r="C26" i="3" s="1"/>
  <c r="E38" i="6" a="1"/>
  <c r="E38" i="6" s="1"/>
  <c r="E58" i="6" a="1"/>
  <c r="E58" i="6" s="1"/>
  <c r="E15" i="6" a="1"/>
  <c r="E15" i="6" s="1"/>
  <c r="E35" i="6" a="1"/>
  <c r="E35" i="6" s="1"/>
  <c r="E55" i="6" a="1"/>
  <c r="E55" i="6" s="1"/>
  <c r="E4" i="6" a="1"/>
  <c r="E4" i="6" s="1"/>
  <c r="E12" i="6" a="1"/>
  <c r="E12" i="6" s="1"/>
  <c r="E32" i="6" a="1"/>
  <c r="E32" i="6" s="1"/>
  <c r="B40" i="3" s="1"/>
  <c r="C40" i="3" s="1"/>
  <c r="E52" i="6" a="1"/>
  <c r="E52" i="6" s="1"/>
  <c r="E9" i="6" a="1"/>
  <c r="E9" i="6" s="1"/>
  <c r="E29" i="6" a="1"/>
  <c r="E29" i="6" s="1"/>
  <c r="E26" i="6" a="1"/>
  <c r="E26" i="6" s="1"/>
  <c r="B34" i="3" s="1"/>
  <c r="C34" i="3" s="1"/>
  <c r="E46" i="6" a="1"/>
  <c r="E46" i="6" s="1"/>
  <c r="B54" i="3" s="1"/>
  <c r="C54" i="3" s="1"/>
  <c r="E6" i="6" a="1"/>
  <c r="E6" i="6" s="1"/>
  <c r="E20" i="6" a="1"/>
  <c r="E20" i="6" s="1"/>
  <c r="E40" i="6" a="1"/>
  <c r="E40" i="6" s="1"/>
  <c r="E17" i="6" a="1"/>
  <c r="E17" i="6" s="1"/>
  <c r="E37" i="6" a="1"/>
  <c r="E37" i="6" s="1"/>
  <c r="E57" i="6" a="1"/>
  <c r="E57" i="6" s="1"/>
  <c r="E14" i="6" a="1"/>
  <c r="E14" i="6" s="1"/>
  <c r="E34" i="6" a="1"/>
  <c r="E34" i="6" s="1"/>
  <c r="B42" i="3" s="1"/>
  <c r="C42" i="3" s="1"/>
  <c r="E11" i="6" a="1"/>
  <c r="E11" i="6" s="1"/>
  <c r="B19" i="3" s="1"/>
  <c r="C19" i="3" s="1"/>
  <c r="E31" i="6" a="1"/>
  <c r="E31" i="6" s="1"/>
  <c r="E51" i="6" a="1"/>
  <c r="E51" i="6" s="1"/>
  <c r="B59" i="3" s="1"/>
  <c r="C59" i="3" s="1"/>
  <c r="E3" i="6" a="1"/>
  <c r="E3" i="6" s="1"/>
  <c r="E8" i="6" a="1"/>
  <c r="E8" i="6" s="1"/>
  <c r="B16" i="3" s="1"/>
  <c r="C16" i="3" s="1"/>
  <c r="E28" i="6" a="1"/>
  <c r="E28" i="6" s="1"/>
  <c r="C43" i="18"/>
  <c r="C13" i="18"/>
  <c r="E49" i="18"/>
  <c r="C46" i="18"/>
  <c r="A43" i="18"/>
  <c r="E39" i="18"/>
  <c r="C36" i="18"/>
  <c r="A33" i="18"/>
  <c r="E29" i="18"/>
  <c r="C26" i="18"/>
  <c r="A23" i="18"/>
  <c r="E19" i="18"/>
  <c r="C16" i="18"/>
  <c r="A13" i="18"/>
  <c r="E9" i="18"/>
  <c r="C6" i="18"/>
  <c r="A3" i="18"/>
  <c r="C9" i="15" s="1"/>
  <c r="E9" i="17"/>
  <c r="E45" i="6" a="1"/>
  <c r="E45" i="6" s="1"/>
  <c r="B53" i="3" s="1"/>
  <c r="C53" i="3" s="1"/>
  <c r="D23" i="18"/>
  <c r="B43" i="18"/>
  <c r="D49" i="18"/>
  <c r="B46" i="18"/>
  <c r="F42" i="18"/>
  <c r="D39" i="18"/>
  <c r="B36" i="18"/>
  <c r="F32" i="18"/>
  <c r="D29" i="18"/>
  <c r="B26" i="18"/>
  <c r="F22" i="18"/>
  <c r="D19" i="18"/>
  <c r="B16" i="18"/>
  <c r="F12" i="18"/>
  <c r="D9" i="18"/>
  <c r="C50" i="6" a="1"/>
  <c r="C50" i="6" s="1"/>
  <c r="B29" i="3"/>
  <c r="C29" i="3" s="1"/>
  <c r="G29" i="3" s="1"/>
  <c r="D33" i="18"/>
  <c r="H9" i="17"/>
  <c r="E36" i="18"/>
  <c r="C49" i="18"/>
  <c r="A46" i="18"/>
  <c r="E42" i="18"/>
  <c r="C39" i="18"/>
  <c r="A36" i="18"/>
  <c r="E32" i="18"/>
  <c r="C29" i="18"/>
  <c r="A26" i="18"/>
  <c r="E22" i="18"/>
  <c r="C19" i="18"/>
  <c r="A16" i="18"/>
  <c r="E12" i="18"/>
  <c r="E60" i="6" a="1"/>
  <c r="E60" i="6" s="1"/>
  <c r="B68" i="3" s="1"/>
  <c r="C68" i="3" s="1"/>
  <c r="B37" i="3"/>
  <c r="B14" i="3"/>
  <c r="C14" i="3" s="1"/>
  <c r="G14" i="3" s="1"/>
  <c r="H207" i="3"/>
  <c r="F201" i="3"/>
  <c r="G191" i="3"/>
  <c r="E188" i="3"/>
  <c r="E165" i="3"/>
  <c r="G165" i="3"/>
  <c r="H165" i="3"/>
  <c r="E145" i="3"/>
  <c r="G145" i="3"/>
  <c r="H145" i="3"/>
  <c r="G136" i="3"/>
  <c r="E132" i="3"/>
  <c r="F132" i="3"/>
  <c r="H132" i="3"/>
  <c r="I132" i="3"/>
  <c r="B123" i="3"/>
  <c r="C123" i="3"/>
  <c r="B118" i="3"/>
  <c r="C118" i="3"/>
  <c r="B113" i="3"/>
  <c r="C113" i="3"/>
  <c r="B58" i="3"/>
  <c r="C58" i="3" s="1"/>
  <c r="B31" i="3"/>
  <c r="J25" i="3"/>
  <c r="E201" i="3"/>
  <c r="B188" i="3"/>
  <c r="E177" i="3"/>
  <c r="F177" i="3"/>
  <c r="I177" i="3"/>
  <c r="B169" i="3"/>
  <c r="C161" i="3"/>
  <c r="E157" i="3"/>
  <c r="F157" i="3"/>
  <c r="I157" i="3"/>
  <c r="B149" i="3"/>
  <c r="C141" i="3"/>
  <c r="F136" i="3"/>
  <c r="I131" i="3"/>
  <c r="B127" i="3"/>
  <c r="B122" i="3"/>
  <c r="B117" i="3"/>
  <c r="B112" i="3"/>
  <c r="B108" i="3"/>
  <c r="C108" i="3"/>
  <c r="E77" i="3"/>
  <c r="F77" i="3"/>
  <c r="G77" i="3"/>
  <c r="H77" i="3"/>
  <c r="I77" i="3"/>
  <c r="C37" i="3"/>
  <c r="G37" i="3" s="1"/>
  <c r="B17" i="3"/>
  <c r="C17" i="3" s="1"/>
  <c r="H17" i="3" s="1"/>
  <c r="I14" i="3"/>
  <c r="B41" i="3"/>
  <c r="C41" i="3" s="1"/>
  <c r="F41" i="3" s="1"/>
  <c r="G194" i="3"/>
  <c r="I180" i="3"/>
  <c r="B173" i="3"/>
  <c r="C173" i="3"/>
  <c r="H169" i="3"/>
  <c r="I169" i="3"/>
  <c r="B153" i="3"/>
  <c r="C153" i="3"/>
  <c r="H149" i="3"/>
  <c r="I149" i="3"/>
  <c r="E136" i="3"/>
  <c r="G131" i="3"/>
  <c r="E127" i="3"/>
  <c r="F127" i="3"/>
  <c r="H127" i="3"/>
  <c r="I127" i="3"/>
  <c r="E122" i="3"/>
  <c r="F122" i="3"/>
  <c r="G122" i="3"/>
  <c r="H122" i="3"/>
  <c r="I122" i="3"/>
  <c r="E117" i="3"/>
  <c r="F117" i="3"/>
  <c r="G117" i="3"/>
  <c r="H117" i="3"/>
  <c r="I117" i="3"/>
  <c r="E112" i="3"/>
  <c r="F112" i="3"/>
  <c r="G112" i="3"/>
  <c r="H112" i="3"/>
  <c r="I112" i="3"/>
  <c r="B107" i="3"/>
  <c r="E82" i="3"/>
  <c r="F82" i="3"/>
  <c r="G82" i="3"/>
  <c r="H82" i="3"/>
  <c r="I82" i="3"/>
  <c r="G76" i="3"/>
  <c r="B50" i="3"/>
  <c r="C50" i="3" s="1"/>
  <c r="E50" i="3" s="1"/>
  <c r="B30" i="3"/>
  <c r="C30" i="3" s="1"/>
  <c r="E30" i="3" s="1"/>
  <c r="B10" i="3"/>
  <c r="C10" i="3" s="1"/>
  <c r="E10" i="3" s="1"/>
  <c r="J45" i="3"/>
  <c r="J34" i="3"/>
  <c r="J54" i="3"/>
  <c r="J43" i="3"/>
  <c r="J32" i="3"/>
  <c r="J52" i="3"/>
  <c r="J21" i="3"/>
  <c r="J41" i="3"/>
  <c r="J30" i="3"/>
  <c r="J50" i="3"/>
  <c r="J19" i="3"/>
  <c r="J39" i="3"/>
  <c r="J28" i="3"/>
  <c r="J48" i="3"/>
  <c r="J17" i="3"/>
  <c r="J37" i="3"/>
  <c r="J26" i="3"/>
  <c r="J46" i="3"/>
  <c r="J15" i="3"/>
  <c r="J35" i="3"/>
  <c r="J24" i="3"/>
  <c r="J44" i="3"/>
  <c r="J29" i="3"/>
  <c r="J49" i="3"/>
  <c r="J18" i="3"/>
  <c r="J38" i="3"/>
  <c r="J27" i="3"/>
  <c r="J47" i="3"/>
  <c r="H32" i="3"/>
  <c r="H41" i="3"/>
  <c r="H50" i="3"/>
  <c r="H33" i="3"/>
  <c r="C204" i="3"/>
  <c r="F194" i="3"/>
  <c r="C184" i="3"/>
  <c r="G180" i="3"/>
  <c r="I160" i="3"/>
  <c r="F131" i="3"/>
  <c r="E107" i="3"/>
  <c r="F107" i="3"/>
  <c r="G107" i="3"/>
  <c r="H107" i="3"/>
  <c r="I107" i="3"/>
  <c r="E87" i="3"/>
  <c r="F87" i="3"/>
  <c r="G87" i="3"/>
  <c r="H87" i="3"/>
  <c r="I87" i="3"/>
  <c r="F76" i="3"/>
  <c r="C43" i="3"/>
  <c r="G43" i="3" s="1"/>
  <c r="I34" i="3"/>
  <c r="I54" i="3"/>
  <c r="I43" i="3"/>
  <c r="I32" i="3"/>
  <c r="I52" i="3"/>
  <c r="I21" i="3"/>
  <c r="I41" i="3"/>
  <c r="I30" i="3"/>
  <c r="I50" i="3"/>
  <c r="I39" i="3"/>
  <c r="I28" i="3"/>
  <c r="I48" i="3"/>
  <c r="I17" i="3"/>
  <c r="I37" i="3"/>
  <c r="I26" i="3"/>
  <c r="I46" i="3"/>
  <c r="I15" i="3"/>
  <c r="I35" i="3"/>
  <c r="I24" i="3"/>
  <c r="I44" i="3"/>
  <c r="I13" i="3"/>
  <c r="I33" i="3"/>
  <c r="I53" i="3"/>
  <c r="F3" i="6" a="1"/>
  <c r="F3" i="6" s="1"/>
  <c r="I18" i="3"/>
  <c r="I38" i="3"/>
  <c r="I27" i="3"/>
  <c r="I47" i="3"/>
  <c r="I16" i="3"/>
  <c r="I36" i="3"/>
  <c r="G32" i="3"/>
  <c r="G41" i="3"/>
  <c r="G50" i="3"/>
  <c r="G33" i="3"/>
  <c r="F207" i="3"/>
  <c r="I207" i="3"/>
  <c r="E131" i="3"/>
  <c r="E102" i="3"/>
  <c r="F102" i="3"/>
  <c r="G102" i="3"/>
  <c r="H102" i="3"/>
  <c r="I102" i="3"/>
  <c r="E97" i="3"/>
  <c r="F97" i="3"/>
  <c r="G97" i="3"/>
  <c r="H97" i="3"/>
  <c r="I97" i="3"/>
  <c r="E92" i="3"/>
  <c r="F92" i="3"/>
  <c r="G92" i="3"/>
  <c r="H92" i="3"/>
  <c r="I92" i="3"/>
  <c r="F17" i="3"/>
  <c r="F37" i="3"/>
  <c r="C3" i="6" a="1"/>
  <c r="C3" i="6" s="1"/>
  <c r="B11" i="3" s="1"/>
  <c r="C11" i="3" s="1"/>
  <c r="F35" i="3"/>
  <c r="C5" i="6" a="1"/>
  <c r="C5" i="6" s="1"/>
  <c r="B13" i="3" s="1"/>
  <c r="C13" i="3" s="1"/>
  <c r="F14" i="3"/>
  <c r="F43" i="3"/>
  <c r="H194" i="3"/>
  <c r="I194" i="3"/>
  <c r="E180" i="3"/>
  <c r="H180" i="3"/>
  <c r="E160" i="3"/>
  <c r="G160" i="3"/>
  <c r="H160" i="3"/>
  <c r="H76" i="3"/>
  <c r="I76" i="3"/>
  <c r="E17" i="3"/>
  <c r="E37" i="3"/>
  <c r="E29" i="3"/>
  <c r="B197" i="3"/>
  <c r="E187" i="3"/>
  <c r="F187" i="3"/>
  <c r="I187" i="3"/>
  <c r="C176" i="3"/>
  <c r="E172" i="3"/>
  <c r="F172" i="3"/>
  <c r="I172" i="3"/>
  <c r="B164" i="3"/>
  <c r="C156" i="3"/>
  <c r="E152" i="3"/>
  <c r="F152" i="3"/>
  <c r="I152" i="3"/>
  <c r="H126" i="3"/>
  <c r="I126" i="3"/>
  <c r="H121" i="3"/>
  <c r="I121" i="3"/>
  <c r="H116" i="3"/>
  <c r="I116" i="3"/>
  <c r="H111" i="3"/>
  <c r="I111" i="3"/>
  <c r="H81" i="3"/>
  <c r="I81" i="3"/>
  <c r="J10" i="3"/>
  <c r="E197" i="3"/>
  <c r="F197" i="3"/>
  <c r="I197" i="3"/>
  <c r="B168" i="3"/>
  <c r="C168" i="3"/>
  <c r="H164" i="3"/>
  <c r="I164" i="3"/>
  <c r="B148" i="3"/>
  <c r="C148" i="3"/>
  <c r="H144" i="3"/>
  <c r="I144" i="3"/>
  <c r="C106" i="3"/>
  <c r="H86" i="3"/>
  <c r="I86" i="3"/>
  <c r="B56" i="3"/>
  <c r="C56" i="3" s="1"/>
  <c r="E41" i="3"/>
  <c r="I12" i="3"/>
  <c r="E190" i="3"/>
  <c r="H190" i="3"/>
  <c r="H101" i="3"/>
  <c r="I101" i="3"/>
  <c r="H96" i="3"/>
  <c r="I96" i="3"/>
  <c r="H91" i="3"/>
  <c r="I91" i="3"/>
  <c r="C62" i="3"/>
  <c r="B28" i="3"/>
  <c r="C28" i="3" s="1"/>
  <c r="H196" i="3"/>
  <c r="H193" i="3"/>
  <c r="E183" i="3"/>
  <c r="F171" i="3"/>
  <c r="F151" i="3"/>
  <c r="G134" i="3"/>
  <c r="J40" i="3"/>
  <c r="J20" i="3"/>
  <c r="B65" i="3"/>
  <c r="C65" i="3" s="1"/>
  <c r="C206" i="3"/>
  <c r="G196" i="3"/>
  <c r="F193" i="3"/>
  <c r="B183" i="3"/>
  <c r="E175" i="3"/>
  <c r="G175" i="3"/>
  <c r="H175" i="3"/>
  <c r="E171" i="3"/>
  <c r="B167" i="3"/>
  <c r="E155" i="3"/>
  <c r="G155" i="3"/>
  <c r="H155" i="3"/>
  <c r="E151" i="3"/>
  <c r="B147" i="3"/>
  <c r="B139" i="3"/>
  <c r="F134" i="3"/>
  <c r="I40" i="3"/>
  <c r="I20" i="3"/>
  <c r="F196" i="3"/>
  <c r="E193" i="3"/>
  <c r="E167" i="3"/>
  <c r="F167" i="3"/>
  <c r="I167" i="3"/>
  <c r="E147" i="3"/>
  <c r="F147" i="3"/>
  <c r="I147" i="3"/>
  <c r="H139" i="3"/>
  <c r="I139" i="3"/>
  <c r="I205" i="3"/>
  <c r="B193" i="3"/>
  <c r="C186" i="3"/>
  <c r="H179" i="3"/>
  <c r="I179" i="3"/>
  <c r="B163" i="3"/>
  <c r="C163" i="3"/>
  <c r="H159" i="3"/>
  <c r="I159" i="3"/>
  <c r="B143" i="3"/>
  <c r="C143" i="3"/>
  <c r="B134" i="3"/>
  <c r="H134" i="3"/>
  <c r="I134" i="3"/>
  <c r="J53" i="3"/>
  <c r="J33" i="3"/>
  <c r="B20" i="3"/>
  <c r="C20" i="3" s="1"/>
  <c r="J13" i="3"/>
  <c r="H199" i="3"/>
  <c r="I199" i="3"/>
  <c r="H192" i="3"/>
  <c r="H189" i="3"/>
  <c r="I189" i="3"/>
  <c r="I185" i="3"/>
  <c r="B182" i="3"/>
  <c r="F174" i="3"/>
  <c r="F154" i="3"/>
  <c r="B33" i="3"/>
  <c r="C33" i="3" s="1"/>
  <c r="F33" i="3" s="1"/>
  <c r="G185" i="3"/>
  <c r="E182" i="3"/>
  <c r="F182" i="3"/>
  <c r="I182" i="3"/>
  <c r="E170" i="3"/>
  <c r="G170" i="3"/>
  <c r="H170" i="3"/>
  <c r="E150" i="3"/>
  <c r="G150" i="3"/>
  <c r="H150" i="3"/>
  <c r="B138" i="3"/>
  <c r="C138" i="3"/>
  <c r="H129" i="3"/>
  <c r="I129" i="3"/>
  <c r="E129" i="3"/>
  <c r="B124" i="3"/>
  <c r="B119" i="3"/>
  <c r="C74" i="3"/>
  <c r="I45" i="3"/>
  <c r="F32" i="3"/>
  <c r="I25" i="3"/>
  <c r="E202" i="3"/>
  <c r="F202" i="3"/>
  <c r="I202" i="3"/>
  <c r="B192" i="3"/>
  <c r="I181" i="3"/>
  <c r="B174" i="3"/>
  <c r="C166" i="3"/>
  <c r="E162" i="3"/>
  <c r="F162" i="3"/>
  <c r="I162" i="3"/>
  <c r="B154" i="3"/>
  <c r="C146" i="3"/>
  <c r="E142" i="3"/>
  <c r="F142" i="3"/>
  <c r="I142" i="3"/>
  <c r="H124" i="3"/>
  <c r="I124" i="3"/>
  <c r="E124" i="3"/>
  <c r="H119" i="3"/>
  <c r="I119" i="3"/>
  <c r="E119" i="3"/>
  <c r="H114" i="3"/>
  <c r="I114" i="3"/>
  <c r="E114" i="3"/>
  <c r="B109" i="3"/>
  <c r="B84" i="3"/>
  <c r="H79" i="3"/>
  <c r="I79" i="3"/>
  <c r="E79" i="3"/>
  <c r="F79" i="3"/>
  <c r="B52" i="3"/>
  <c r="C52" i="3" s="1"/>
  <c r="B32" i="3"/>
  <c r="C32" i="3"/>
  <c r="E32" i="3" s="1"/>
  <c r="B12" i="3"/>
  <c r="C12" i="3"/>
  <c r="H12" i="3" s="1"/>
  <c r="E192" i="3"/>
  <c r="F192" i="3"/>
  <c r="I192" i="3"/>
  <c r="I188" i="3"/>
  <c r="E185" i="3"/>
  <c r="H185" i="3"/>
  <c r="G181" i="3"/>
  <c r="B178" i="3"/>
  <c r="C178" i="3"/>
  <c r="H174" i="3"/>
  <c r="I174" i="3"/>
  <c r="B158" i="3"/>
  <c r="C158" i="3"/>
  <c r="H154" i="3"/>
  <c r="I154" i="3"/>
  <c r="B133" i="3"/>
  <c r="C133" i="3"/>
  <c r="H109" i="3"/>
  <c r="I109" i="3"/>
  <c r="E109" i="3"/>
  <c r="H84" i="3"/>
  <c r="I84" i="3"/>
  <c r="E84" i="3"/>
  <c r="F84" i="3"/>
  <c r="J51" i="3"/>
  <c r="J31" i="3"/>
  <c r="J11" i="3"/>
  <c r="I140" i="3"/>
  <c r="I135" i="3"/>
  <c r="H140" i="3"/>
  <c r="H135" i="3"/>
  <c r="H130" i="3"/>
  <c r="H125" i="3"/>
  <c r="H120" i="3"/>
  <c r="H115" i="3"/>
  <c r="H110" i="3"/>
  <c r="H105" i="3"/>
  <c r="C103" i="3"/>
  <c r="H100" i="3"/>
  <c r="C98" i="3"/>
  <c r="H95" i="3"/>
  <c r="C93" i="3"/>
  <c r="H90" i="3"/>
  <c r="C88" i="3"/>
  <c r="H85" i="3"/>
  <c r="C83" i="3"/>
  <c r="H80" i="3"/>
  <c r="C78" i="3"/>
  <c r="H75" i="3"/>
  <c r="C31" i="3"/>
  <c r="E31" i="3" s="1"/>
  <c r="G140" i="3"/>
  <c r="G135" i="3"/>
  <c r="G130" i="3"/>
  <c r="G125" i="3"/>
  <c r="G120" i="3"/>
  <c r="G115" i="3"/>
  <c r="I19" i="3"/>
  <c r="I10" i="3"/>
  <c r="J12" i="3"/>
  <c r="J23" i="3"/>
  <c r="I23" i="3"/>
  <c r="J14" i="3"/>
  <c r="F42" i="3" l="1"/>
  <c r="G42" i="3"/>
  <c r="E42" i="3"/>
  <c r="H42" i="3"/>
  <c r="H26" i="3"/>
  <c r="G26" i="3"/>
  <c r="F26" i="3"/>
  <c r="E26" i="3"/>
  <c r="E63" i="3"/>
  <c r="F63" i="3"/>
  <c r="G63" i="3"/>
  <c r="H63" i="3"/>
  <c r="I63" i="3"/>
  <c r="E68" i="3"/>
  <c r="F68" i="3"/>
  <c r="G68" i="3"/>
  <c r="H68" i="3"/>
  <c r="I68" i="3"/>
  <c r="G23" i="3"/>
  <c r="E23" i="3"/>
  <c r="H23" i="3"/>
  <c r="F23" i="3"/>
  <c r="E11" i="3"/>
  <c r="F11" i="3"/>
  <c r="H11" i="3"/>
  <c r="G11" i="3"/>
  <c r="H64" i="3"/>
  <c r="I64" i="3"/>
  <c r="E64" i="3"/>
  <c r="F64" i="3"/>
  <c r="G64" i="3"/>
  <c r="H48" i="3"/>
  <c r="G48" i="3"/>
  <c r="F48" i="3"/>
  <c r="E48" i="3"/>
  <c r="E46" i="3"/>
  <c r="H46" i="3"/>
  <c r="G46" i="3"/>
  <c r="F46" i="3"/>
  <c r="F22" i="3"/>
  <c r="E22" i="3"/>
  <c r="H22" i="3"/>
  <c r="G22" i="3"/>
  <c r="E54" i="3"/>
  <c r="G54" i="3"/>
  <c r="H54" i="3"/>
  <c r="F54" i="3"/>
  <c r="H21" i="3"/>
  <c r="F21" i="3"/>
  <c r="E21" i="3"/>
  <c r="G21" i="3"/>
  <c r="E67" i="3"/>
  <c r="F67" i="3"/>
  <c r="G67" i="3"/>
  <c r="H67" i="3"/>
  <c r="I67" i="3"/>
  <c r="G49" i="3"/>
  <c r="F49" i="3"/>
  <c r="H49" i="3"/>
  <c r="E49" i="3"/>
  <c r="F24" i="3"/>
  <c r="E24" i="3"/>
  <c r="H24" i="3"/>
  <c r="G24" i="3"/>
  <c r="H71" i="3"/>
  <c r="I71" i="3"/>
  <c r="E71" i="3"/>
  <c r="F71" i="3"/>
  <c r="G71" i="3"/>
  <c r="E47" i="3"/>
  <c r="F47" i="3"/>
  <c r="G47" i="3"/>
  <c r="H47" i="3"/>
  <c r="H51" i="3"/>
  <c r="F51" i="3"/>
  <c r="E51" i="3"/>
  <c r="G51" i="3"/>
  <c r="E73" i="3"/>
  <c r="F73" i="3"/>
  <c r="G73" i="3"/>
  <c r="H73" i="3"/>
  <c r="I73" i="3"/>
  <c r="F27" i="3"/>
  <c r="H27" i="3"/>
  <c r="E27" i="3"/>
  <c r="G27" i="3"/>
  <c r="E72" i="3"/>
  <c r="F72" i="3"/>
  <c r="G72" i="3"/>
  <c r="H72" i="3"/>
  <c r="I72" i="3"/>
  <c r="G39" i="3"/>
  <c r="H39" i="3"/>
  <c r="F39" i="3"/>
  <c r="E39" i="3"/>
  <c r="H69" i="3"/>
  <c r="I69" i="3"/>
  <c r="E69" i="3"/>
  <c r="F69" i="3"/>
  <c r="G69" i="3"/>
  <c r="E18" i="3"/>
  <c r="G18" i="3"/>
  <c r="H18" i="3"/>
  <c r="F18" i="3"/>
  <c r="G40" i="3"/>
  <c r="F40" i="3"/>
  <c r="H40" i="3"/>
  <c r="E40" i="3"/>
  <c r="E38" i="3"/>
  <c r="F38" i="3"/>
  <c r="G38" i="3"/>
  <c r="H38" i="3"/>
  <c r="E70" i="3"/>
  <c r="F70" i="3"/>
  <c r="G70" i="3"/>
  <c r="H70" i="3"/>
  <c r="I70" i="3"/>
  <c r="F44" i="3"/>
  <c r="E44" i="3"/>
  <c r="H44" i="3"/>
  <c r="G44" i="3"/>
  <c r="H28" i="3"/>
  <c r="G28" i="3"/>
  <c r="E28" i="3"/>
  <c r="F28" i="3"/>
  <c r="E57" i="3"/>
  <c r="F57" i="3"/>
  <c r="G57" i="3"/>
  <c r="H57" i="3"/>
  <c r="I57" i="3"/>
  <c r="H66" i="3"/>
  <c r="I66" i="3"/>
  <c r="E66" i="3"/>
  <c r="F66" i="3"/>
  <c r="G66" i="3"/>
  <c r="H61" i="3"/>
  <c r="I61" i="3"/>
  <c r="E61" i="3"/>
  <c r="F61" i="3"/>
  <c r="G61" i="3"/>
  <c r="G20" i="3"/>
  <c r="H20" i="3"/>
  <c r="F20" i="3"/>
  <c r="E20" i="3"/>
  <c r="G53" i="3"/>
  <c r="F53" i="3"/>
  <c r="E53" i="3"/>
  <c r="H53" i="3"/>
  <c r="E52" i="3"/>
  <c r="F52" i="3"/>
  <c r="G52" i="3"/>
  <c r="H52" i="3"/>
  <c r="H59" i="3"/>
  <c r="I59" i="3"/>
  <c r="E59" i="3"/>
  <c r="F59" i="3"/>
  <c r="G59" i="3"/>
  <c r="G34" i="3"/>
  <c r="H34" i="3"/>
  <c r="F34" i="3"/>
  <c r="E34" i="3"/>
  <c r="E16" i="3"/>
  <c r="F16" i="3"/>
  <c r="G16" i="3"/>
  <c r="H16" i="3"/>
  <c r="E58" i="3"/>
  <c r="F58" i="3"/>
  <c r="G58" i="3"/>
  <c r="I58" i="3"/>
  <c r="H58" i="3"/>
  <c r="H13" i="3"/>
  <c r="F13" i="3"/>
  <c r="E13" i="3"/>
  <c r="G13" i="3"/>
  <c r="G19" i="3"/>
  <c r="F19" i="3"/>
  <c r="E19" i="3"/>
  <c r="H19" i="3"/>
  <c r="H36" i="3"/>
  <c r="H99" i="3"/>
  <c r="I99" i="3"/>
  <c r="E99" i="3"/>
  <c r="F99" i="3"/>
  <c r="G99" i="3"/>
  <c r="G30" i="3"/>
  <c r="B45" i="3"/>
  <c r="C45" i="3" s="1"/>
  <c r="H141" i="3"/>
  <c r="I141" i="3"/>
  <c r="E141" i="3"/>
  <c r="F141" i="3"/>
  <c r="G141" i="3"/>
  <c r="G148" i="3"/>
  <c r="E148" i="3"/>
  <c r="F148" i="3"/>
  <c r="H148" i="3"/>
  <c r="I148" i="3"/>
  <c r="F15" i="3"/>
  <c r="E103" i="3"/>
  <c r="G103" i="3"/>
  <c r="F103" i="3"/>
  <c r="H103" i="3"/>
  <c r="I103" i="3"/>
  <c r="E14" i="3"/>
  <c r="G31" i="3"/>
  <c r="E113" i="3"/>
  <c r="G113" i="3"/>
  <c r="I113" i="3"/>
  <c r="F113" i="3"/>
  <c r="H113" i="3"/>
  <c r="G163" i="3"/>
  <c r="E163" i="3"/>
  <c r="F163" i="3"/>
  <c r="H163" i="3"/>
  <c r="I163" i="3"/>
  <c r="E206" i="3"/>
  <c r="F206" i="3"/>
  <c r="G206" i="3"/>
  <c r="H206" i="3"/>
  <c r="I206" i="3"/>
  <c r="E62" i="3"/>
  <c r="F62" i="3"/>
  <c r="G62" i="3"/>
  <c r="H62" i="3"/>
  <c r="I62" i="3"/>
  <c r="G10" i="3"/>
  <c r="H30" i="3"/>
  <c r="H31" i="3"/>
  <c r="H104" i="3"/>
  <c r="I104" i="3"/>
  <c r="E104" i="3"/>
  <c r="F104" i="3"/>
  <c r="G104" i="3"/>
  <c r="B25" i="3"/>
  <c r="C25" i="3" s="1"/>
  <c r="E98" i="3"/>
  <c r="G98" i="3"/>
  <c r="F98" i="3"/>
  <c r="H98" i="3"/>
  <c r="I98" i="3"/>
  <c r="G168" i="3"/>
  <c r="E168" i="3"/>
  <c r="F168" i="3"/>
  <c r="H168" i="3"/>
  <c r="I168" i="3"/>
  <c r="H156" i="3"/>
  <c r="E156" i="3"/>
  <c r="F156" i="3"/>
  <c r="G156" i="3"/>
  <c r="I156" i="3"/>
  <c r="H161" i="3"/>
  <c r="I161" i="3"/>
  <c r="E161" i="3"/>
  <c r="F161" i="3"/>
  <c r="G161" i="3"/>
  <c r="E186" i="3"/>
  <c r="F186" i="3"/>
  <c r="G186" i="3"/>
  <c r="H186" i="3"/>
  <c r="I186" i="3"/>
  <c r="E133" i="3"/>
  <c r="G133" i="3"/>
  <c r="F133" i="3"/>
  <c r="H133" i="3"/>
  <c r="I133" i="3"/>
  <c r="E60" i="3"/>
  <c r="F60" i="3"/>
  <c r="G60" i="3"/>
  <c r="H60" i="3"/>
  <c r="I60" i="3"/>
  <c r="H14" i="3"/>
  <c r="E55" i="3"/>
  <c r="F55" i="3"/>
  <c r="G55" i="3"/>
  <c r="H55" i="3"/>
  <c r="I55" i="3"/>
  <c r="H176" i="3"/>
  <c r="E176" i="3"/>
  <c r="F176" i="3"/>
  <c r="G176" i="3"/>
  <c r="I176" i="3"/>
  <c r="H43" i="3"/>
  <c r="F36" i="3"/>
  <c r="H94" i="3"/>
  <c r="I94" i="3"/>
  <c r="E94" i="3"/>
  <c r="F94" i="3"/>
  <c r="G94" i="3"/>
  <c r="E128" i="3"/>
  <c r="G128" i="3"/>
  <c r="H128" i="3"/>
  <c r="I128" i="3"/>
  <c r="F128" i="3"/>
  <c r="F31" i="3"/>
  <c r="F50" i="3"/>
  <c r="G35" i="3"/>
  <c r="H10" i="3"/>
  <c r="E78" i="3"/>
  <c r="F78" i="3"/>
  <c r="G78" i="3"/>
  <c r="I78" i="3"/>
  <c r="H78" i="3"/>
  <c r="G158" i="3"/>
  <c r="E158" i="3"/>
  <c r="F158" i="3"/>
  <c r="H158" i="3"/>
  <c r="I158" i="3"/>
  <c r="H74" i="3"/>
  <c r="I74" i="3"/>
  <c r="E74" i="3"/>
  <c r="F74" i="3"/>
  <c r="G74" i="3"/>
  <c r="F30" i="3"/>
  <c r="G15" i="3"/>
  <c r="H35" i="3"/>
  <c r="E108" i="3"/>
  <c r="G108" i="3"/>
  <c r="F108" i="3"/>
  <c r="I108" i="3"/>
  <c r="H108" i="3"/>
  <c r="H146" i="3"/>
  <c r="E146" i="3"/>
  <c r="F146" i="3"/>
  <c r="G146" i="3"/>
  <c r="I146" i="3"/>
  <c r="E33" i="3"/>
  <c r="F10" i="3"/>
  <c r="H15" i="3"/>
  <c r="H29" i="3"/>
  <c r="H89" i="3"/>
  <c r="I89" i="3"/>
  <c r="E89" i="3"/>
  <c r="F89" i="3"/>
  <c r="G89" i="3"/>
  <c r="E137" i="3"/>
  <c r="F137" i="3"/>
  <c r="H137" i="3"/>
  <c r="I137" i="3"/>
  <c r="G137" i="3"/>
  <c r="E118" i="3"/>
  <c r="G118" i="3"/>
  <c r="I118" i="3"/>
  <c r="F118" i="3"/>
  <c r="H118" i="3"/>
  <c r="G153" i="3"/>
  <c r="E153" i="3"/>
  <c r="F153" i="3"/>
  <c r="H153" i="3"/>
  <c r="I153" i="3"/>
  <c r="G12" i="3"/>
  <c r="H184" i="3"/>
  <c r="I184" i="3"/>
  <c r="E184" i="3"/>
  <c r="F184" i="3"/>
  <c r="G184" i="3"/>
  <c r="H37" i="3"/>
  <c r="E65" i="3"/>
  <c r="F65" i="3"/>
  <c r="G65" i="3"/>
  <c r="H65" i="3"/>
  <c r="I65" i="3"/>
  <c r="F12" i="3"/>
  <c r="E88" i="3"/>
  <c r="F88" i="3"/>
  <c r="G88" i="3"/>
  <c r="H88" i="3"/>
  <c r="I88" i="3"/>
  <c r="G17" i="3"/>
  <c r="E12" i="3"/>
  <c r="E83" i="3"/>
  <c r="F83" i="3"/>
  <c r="G83" i="3"/>
  <c r="H83" i="3"/>
  <c r="I83" i="3"/>
  <c r="E93" i="3"/>
  <c r="G93" i="3"/>
  <c r="F93" i="3"/>
  <c r="H93" i="3"/>
  <c r="I93" i="3"/>
  <c r="H106" i="3"/>
  <c r="I106" i="3"/>
  <c r="E106" i="3"/>
  <c r="F106" i="3"/>
  <c r="G106" i="3"/>
  <c r="E43" i="3"/>
  <c r="H204" i="3"/>
  <c r="E204" i="3"/>
  <c r="F204" i="3"/>
  <c r="G204" i="3"/>
  <c r="I204" i="3"/>
  <c r="G173" i="3"/>
  <c r="E173" i="3"/>
  <c r="F173" i="3"/>
  <c r="H173" i="3"/>
  <c r="I173" i="3"/>
  <c r="E123" i="3"/>
  <c r="G123" i="3"/>
  <c r="I123" i="3"/>
  <c r="F123" i="3"/>
  <c r="H123" i="3"/>
  <c r="H56" i="3"/>
  <c r="I56" i="3"/>
  <c r="E56" i="3"/>
  <c r="F56" i="3"/>
  <c r="G56" i="3"/>
  <c r="G178" i="3"/>
  <c r="E178" i="3"/>
  <c r="F178" i="3"/>
  <c r="H178" i="3"/>
  <c r="I178" i="3"/>
  <c r="H166" i="3"/>
  <c r="E166" i="3"/>
  <c r="F166" i="3"/>
  <c r="G166" i="3"/>
  <c r="I166" i="3"/>
  <c r="E138" i="3"/>
  <c r="G138" i="3"/>
  <c r="F138" i="3"/>
  <c r="H138" i="3"/>
  <c r="I138" i="3"/>
  <c r="G143" i="3"/>
  <c r="E143" i="3"/>
  <c r="F143" i="3"/>
  <c r="H143" i="3"/>
  <c r="I143" i="3"/>
  <c r="G36" i="3"/>
  <c r="H25" i="3" l="1"/>
  <c r="G25" i="3"/>
  <c r="E25" i="3"/>
  <c r="F25" i="3"/>
  <c r="H45" i="3"/>
  <c r="G45" i="3"/>
  <c r="E45" i="3"/>
  <c r="F45" i="3"/>
</calcChain>
</file>

<file path=xl/comments1.xml><?xml version="1.0" encoding="utf-8"?>
<comments xmlns="http://schemas.openxmlformats.org/spreadsheetml/2006/main">
  <authors>
    <author>.</author>
  </authors>
  <commentList>
    <comment ref="A13" authorId="0" shapeId="0">
      <text>
        <r>
          <rPr>
            <sz val="9"/>
            <color indexed="81"/>
            <rFont val="Geneva"/>
          </rPr>
          <t>We have found that a threshold of 5% often works well.</t>
        </r>
      </text>
    </comment>
  </commentList>
</comments>
</file>

<file path=xl/comments2.xml><?xml version="1.0" encoding="utf-8"?>
<comments xmlns="http://schemas.openxmlformats.org/spreadsheetml/2006/main">
  <authors>
    <author>.</author>
  </authors>
  <commentList>
    <comment ref="A3" authorId="0" shapeId="0">
      <text>
        <r>
          <rPr>
            <sz val="9"/>
            <color indexed="81"/>
            <rFont val="Geneva"/>
          </rPr>
          <t>Enter the maximum acceptable errorin base pairs for any band to be considered a "match".  This value may be any number greater than 0.  We typically use a value of 3, but this will need to be determiend by each lab for their own equipment.</t>
        </r>
      </text>
    </comment>
    <comment ref="A6" authorId="0" shapeId="0">
      <text>
        <r>
          <rPr>
            <sz val="9"/>
            <color indexed="81"/>
            <rFont val="Geneva"/>
          </rPr>
          <t>Enter the names of each enzyme and primer combination.</t>
        </r>
      </text>
    </comment>
  </commentList>
</comments>
</file>

<file path=xl/comments3.xml><?xml version="1.0" encoding="utf-8"?>
<comments xmlns="http://schemas.openxmlformats.org/spreadsheetml/2006/main">
  <authors>
    <author>.</author>
  </authors>
  <commentList>
    <comment ref="A1" authorId="0" shapeId="0">
      <text>
        <r>
          <rPr>
            <sz val="9"/>
            <color indexed="81"/>
            <rFont val="Geneva"/>
          </rPr>
          <t>Up to 4 lines of sample designation can be entered (sample, line 2, line 3, and type).  These will be reported on the output sheet.</t>
        </r>
      </text>
    </comment>
    <comment ref="E1" authorId="0" shapeId="0">
      <text>
        <r>
          <rPr>
            <sz val="9"/>
            <color indexed="81"/>
            <rFont val="Geneva"/>
          </rPr>
          <t xml:space="preserve">Enter a percentage value between 0 and 100.  This number multiplied by the maximum band height will be used as the threshold below which bands are not included in the analysis. </t>
        </r>
      </text>
    </comment>
    <comment ref="A8" authorId="0" shapeId="0">
      <text>
        <r>
          <rPr>
            <sz val="9"/>
            <color indexed="81"/>
            <rFont val="Geneva"/>
          </rPr>
          <t>This is the actual calculated threshold value for each enzyme/primer combination, below which bands will not be considered in the analysis.</t>
        </r>
      </text>
    </comment>
    <comment ref="A9" authorId="0" shapeId="0">
      <text>
        <r>
          <rPr>
            <sz val="9"/>
            <color indexed="81"/>
            <rFont val="Geneva"/>
          </rPr>
          <t>This is the number of bands that are being used in the analysis (i.e., that have a height greater than the calculated threshold).</t>
        </r>
      </text>
    </comment>
  </commentList>
</comments>
</file>

<file path=xl/comments4.xml><?xml version="1.0" encoding="utf-8"?>
<comments xmlns="http://schemas.openxmlformats.org/spreadsheetml/2006/main">
  <authors>
    <author>.</author>
  </authors>
  <commentList>
    <comment ref="A1" authorId="0" shapeId="0">
      <text>
        <r>
          <rPr>
            <sz val="9"/>
            <color indexed="81"/>
            <rFont val="Geneva"/>
          </rPr>
          <t>Up to 4 lines of sample designation can be entered (sample, line 2, line 3, and type).  These will be reported on the output sheet.</t>
        </r>
      </text>
    </comment>
    <comment ref="E1" authorId="0" shapeId="0">
      <text>
        <r>
          <rPr>
            <sz val="9"/>
            <color indexed="81"/>
            <rFont val="Geneva"/>
          </rPr>
          <t xml:space="preserve">Enter a percentage value between 0 and 100.  This number multiplied by the maximum band height will be used as the threshold below which bands are not included in the analysis. </t>
        </r>
      </text>
    </comment>
    <comment ref="A8" authorId="0" shapeId="0">
      <text>
        <r>
          <rPr>
            <sz val="9"/>
            <color indexed="81"/>
            <rFont val="Geneva"/>
          </rPr>
          <t>This is the actual calculated threshold value for each enzyme/primer combination, below which bands will not be considered in the analysis.</t>
        </r>
      </text>
    </comment>
    <comment ref="A9" authorId="0" shapeId="0">
      <text>
        <r>
          <rPr>
            <sz val="9"/>
            <color indexed="81"/>
            <rFont val="Geneva"/>
          </rPr>
          <t>This is the number of bands that are being used in the analysis (i.e., that have a height greater than the calculated threshold).</t>
        </r>
      </text>
    </comment>
  </commentList>
</comments>
</file>

<file path=xl/comments5.xml><?xml version="1.0" encoding="utf-8"?>
<comments xmlns="http://schemas.openxmlformats.org/spreadsheetml/2006/main">
  <authors>
    <author>.</author>
  </authors>
  <commentList>
    <comment ref="A1" authorId="0" shapeId="0">
      <text>
        <r>
          <rPr>
            <sz val="9"/>
            <color indexed="81"/>
            <rFont val="Geneva"/>
          </rPr>
          <t>Example data from Dickie, Xu and Koide is included for illustrative purposes.  Because of intraspecific variation in ITS, it is critical that this data be independantly obtained from each stand to be studied.</t>
        </r>
      </text>
    </comment>
  </commentList>
</comments>
</file>

<file path=xl/sharedStrings.xml><?xml version="1.0" encoding="utf-8"?>
<sst xmlns="http://schemas.openxmlformats.org/spreadsheetml/2006/main" count="1948" uniqueCount="128">
  <si>
    <t>4.  On the "unknown" sheet a threshold value must be set for band intensity.  The threshold is the percentage of the maximum band length below which other bands are not considered in analysis.  This serves to reduce noise in the data.  "To include all bands in analysis, set the threshold equal to 0.</t>
  </si>
  <si>
    <t>Max Error:</t>
  </si>
  <si>
    <t>Peak intensity threshold:</t>
  </si>
  <si>
    <t>bp</t>
  </si>
  <si>
    <t>%</t>
  </si>
  <si>
    <t>Top 30 matches in database.</t>
  </si>
  <si>
    <t>Parameters.</t>
  </si>
  <si>
    <t>Full list of all species in database with max error.</t>
  </si>
  <si>
    <t>Hinf1-ITS1F</t>
  </si>
  <si>
    <t>HaeIII-ITS4</t>
  </si>
  <si>
    <t>HaeIII-ITS1</t>
  </si>
  <si>
    <t>DpnII-ITS4</t>
  </si>
  <si>
    <t>Maximum acceptable error (bp):</t>
  </si>
  <si>
    <t>(none)</t>
  </si>
  <si>
    <t>Limitations</t>
  </si>
  <si>
    <t>3.  Data from known samples (sporocarps or root tips) is entered into the "Knowns" datasheet.  Only the size of peaks (in base pairs) is required.</t>
  </si>
  <si>
    <t>5.  On the "parameters" sheet a maximum error value must be set.  We normally use 1.5 bp as our maximum allowable error, but this may vary with other laboratories.</t>
  </si>
  <si>
    <t>7.  After entering all data, the "output results" button may be clicked on the "unknown" sheet.  This will update the "text output" sheet.  All species determined to be present will be listed on the output.  In addition, a complete report can be viewed on the "complete report" sheet.  This includes all species in the database and will list the maximum error.</t>
  </si>
  <si>
    <t>6.  The names of enzymes should also be entered on the "parameters" sheet.  This should be done once (during initial setup) and not changed.</t>
  </si>
  <si>
    <t>yes</t>
  </si>
  <si>
    <t>****</t>
  </si>
  <si>
    <t>**** indicates no data in the known database for this enzyme / primer pair.</t>
  </si>
  <si>
    <t>NO MORE THAN 200 SPECIES MAY BE ENTERED.</t>
  </si>
  <si>
    <t>Version 1.0</t>
  </si>
  <si>
    <t>Acknowledgements</t>
  </si>
  <si>
    <t>2.  As distributed, the program contains example data from a red pine plantation in central PA, USA.  This data should not be used to identify samples from other sites, as substantial interspecific variation in the ITS region is known to occur.  It is essential that a new database of known species be developed for any site to be studied.</t>
  </si>
  <si>
    <t>Amanita vaginata</t>
  </si>
  <si>
    <t>Amanita sp.</t>
  </si>
  <si>
    <t>Boletus sp.</t>
  </si>
  <si>
    <t>Cantharellula umbonata</t>
  </si>
  <si>
    <t>Collybia sp.</t>
  </si>
  <si>
    <t>Lactarius sp. (=MT C)</t>
  </si>
  <si>
    <t xml:space="preserve">MT S </t>
  </si>
  <si>
    <t>Penicillium sp.</t>
  </si>
  <si>
    <t>Russula sp. red 1</t>
  </si>
  <si>
    <t>Russula sp. white 1 (=MT A,C',H,J)</t>
  </si>
  <si>
    <t>Russula sp. white 2</t>
  </si>
  <si>
    <t>Scleroderma sp.</t>
  </si>
  <si>
    <t xml:space="preserve">Trichoderma sp. </t>
  </si>
  <si>
    <t>L-24</t>
  </si>
  <si>
    <t>Problem Solving</t>
  </si>
  <si>
    <t>1.  On all sheets, data should only be entered in yellow cells.  Comments have been embedded in some cells, indicated by a red triangle.  Positioning the cursor over these cells will reveal further documentation and hints.</t>
  </si>
  <si>
    <t>1.  If problems occur on a Macintosh system running a pre-OSX operating system, try increasing memory allocation to Excel.</t>
  </si>
  <si>
    <t>2.  Other problems may be caused by cutting and pasting data into "Knowns" sheet.  These can be resolved by returning to the original version of the programs and entering "Knowns" by using the "Paste Special -- Values" function in Excel.</t>
  </si>
  <si>
    <t>This program was developed largely while I.A.D. was a post-doc in the lab of Roger Koide at the Pennsylvania State University.  Funding was provided by the A. W. Mellon Foundation.</t>
  </si>
  <si>
    <t>1.  As currently designed, up to 200 species can be entered in the "knowns" sheet, and up to 3 enzyme/primer pairs can be used.</t>
  </si>
  <si>
    <t>Sample:</t>
  </si>
  <si>
    <t>Amanita rubescens</t>
  </si>
  <si>
    <t>Species</t>
  </si>
  <si>
    <t>Type:</t>
  </si>
  <si>
    <t>Known Species</t>
  </si>
  <si>
    <t>Max error (bp)</t>
  </si>
  <si>
    <t>Size</t>
  </si>
  <si>
    <t>Height</t>
  </si>
  <si>
    <t>Russula silvicola</t>
  </si>
  <si>
    <t>Accept</t>
  </si>
  <si>
    <t xml:space="preserve"> Output Date:</t>
  </si>
  <si>
    <t>Matching Band Lengths</t>
  </si>
  <si>
    <t>Soil Core</t>
  </si>
  <si>
    <t>(Threshold  ----&gt;)</t>
  </si>
  <si>
    <t>Clitocybe clavipes</t>
  </si>
  <si>
    <t>Suillus intermedius</t>
  </si>
  <si>
    <t>Line 2:</t>
  </si>
  <si>
    <t>Line 3:</t>
  </si>
  <si>
    <t>Line 1:</t>
  </si>
  <si>
    <t>(# Bands    ----&gt;)</t>
  </si>
  <si>
    <t>Developed by I. A. Dickie</t>
  </si>
  <si>
    <t>no</t>
  </si>
  <si>
    <t/>
  </si>
  <si>
    <t>PARAMETERS</t>
  </si>
  <si>
    <t>Click on this button to update the text output:</t>
  </si>
  <si>
    <t>Amanita brunnescens</t>
  </si>
  <si>
    <t>Amanita citrina</t>
  </si>
  <si>
    <t>Amanita flavoconia</t>
  </si>
  <si>
    <t>Amanita muscaria var. formosa</t>
  </si>
  <si>
    <t>Boletus cf. miniato-pallescens</t>
  </si>
  <si>
    <t>Boletus cf. pallidus</t>
  </si>
  <si>
    <t xml:space="preserve">Boletus cf. projectellus </t>
  </si>
  <si>
    <t>Cenococcum geophilum (=MT B)</t>
  </si>
  <si>
    <t>Cortinarius a (=MT X)</t>
  </si>
  <si>
    <t>Cortinarius b</t>
  </si>
  <si>
    <t>Cortinarius c</t>
  </si>
  <si>
    <t>Hygrophoropsis aurantiaca</t>
  </si>
  <si>
    <t>MT Q</t>
  </si>
  <si>
    <t>MT R</t>
  </si>
  <si>
    <t>Polyporus sulphurea</t>
  </si>
  <si>
    <t>Clavarioid 2</t>
  </si>
  <si>
    <t>Clavulina cristata (=MT F,G,U,W)</t>
  </si>
  <si>
    <t>Clitocybe robusta</t>
  </si>
  <si>
    <t xml:space="preserve">Collybia cf. dryophila </t>
  </si>
  <si>
    <t xml:space="preserve">Laccaria laccata </t>
  </si>
  <si>
    <t>Lactarius oculatus</t>
  </si>
  <si>
    <t>Ramaria concolor</t>
  </si>
  <si>
    <t>Russula cf. vesca</t>
  </si>
  <si>
    <t>Saprotroph 8 (TWH)</t>
  </si>
  <si>
    <t>Russula pseudolepida</t>
  </si>
  <si>
    <t>Saprotroph 6 (THW)</t>
  </si>
  <si>
    <t>Scleroderma citrinum (=MT I)</t>
  </si>
  <si>
    <t>Tricholoma virgatum</t>
  </si>
  <si>
    <t>Tylopilus felleus (=MT D,O)</t>
  </si>
  <si>
    <t>Unknown TRFLP 001</t>
  </si>
  <si>
    <t>Unknown TRFLP 002</t>
  </si>
  <si>
    <t>Unknown TRFLP 003</t>
  </si>
  <si>
    <t>Unknown TRFLP 004</t>
  </si>
  <si>
    <t>Unknown TRFLP 005</t>
  </si>
  <si>
    <t>Unknown TRFLP 006</t>
  </si>
  <si>
    <t>Unknown TRFLP 007</t>
  </si>
  <si>
    <t>Unknown TRFLP 008</t>
  </si>
  <si>
    <t>Unknown TRFLP 009</t>
  </si>
  <si>
    <t>Unknown TRFLP 010</t>
  </si>
  <si>
    <t>Unknown TRFLP 011</t>
  </si>
  <si>
    <t>Unknown TRFLP 012</t>
  </si>
  <si>
    <t>Unknown TRFLP 013</t>
  </si>
  <si>
    <t>Unknown TRFLP 014</t>
  </si>
  <si>
    <t>Unknown TRFLP 015</t>
  </si>
  <si>
    <t>Unknown TRFLP 016</t>
  </si>
  <si>
    <t>Unknown TRFLP 018</t>
  </si>
  <si>
    <t>Unknown TRFLP 019</t>
  </si>
  <si>
    <t>Unknown TRFLP 020</t>
  </si>
  <si>
    <t>Description:</t>
  </si>
  <si>
    <t>T-RFLP Analysis Matching Program (TRAMP)</t>
  </si>
  <si>
    <t>Instructions:</t>
  </si>
  <si>
    <t>TRAMP is a simple Excel spreadsheet to match output from TRFLP analysis to a database of known species.  The majority of the "guts" of the spreadsheet are simply found in worksheet formulas.  Some additional VBA code is used to prevent certain problems with broken links caused by pasting data, and to present output in as clear a fashion as possible.</t>
  </si>
  <si>
    <t>(percentage of max band height, 0 to 100)</t>
  </si>
  <si>
    <t>Threshold parameter:</t>
  </si>
  <si>
    <t>Enzyme/primer cobinations:</t>
  </si>
  <si>
    <t>Hinf1-ITS4</t>
  </si>
  <si>
    <t>2.  Data is entered on the "Unknown Data Entry" worksheet, usually pasted directly from the electropherogram output.  Two columns are required for each enzyme / primer combination.  The first column is the size of each peak in base pairs, the second column is the height or intensity of that peak.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</si>
</sst>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8">
    <font>
      <sz val="10"/>
      <name val="Arial"/>
    </font>
    <font>
      <sz val="10"/>
      <name val="Arial"/>
    </font>
    <font>
      <b/>
      <sz val="10"/>
      <name val="Arial"/>
      <family val="2"/>
    </font>
    <font>
      <b/>
      <sz val="12"/>
      <name val="Tms Rmn"/>
    </font>
    <font>
      <sz val="12"/>
      <name val="Tms Rmn"/>
    </font>
    <font>
      <sz val="9"/>
      <color indexed="81"/>
      <name val="Geneva"/>
    </font>
    <font>
      <sz val="12"/>
      <color indexed="72"/>
      <name val="Charcoal"/>
    </font>
    <font>
      <sz val="10"/>
      <color indexed="10"/>
      <name val="Arial"/>
      <family val="2"/>
    </font>
  </fonts>
  <fills count="5">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8"/>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87">
    <xf numFmtId="0" fontId="0" fillId="0" borderId="0" xfId="0"/>
    <xf numFmtId="0" fontId="0" fillId="2" borderId="0" xfId="0" applyFill="1"/>
    <xf numFmtId="0" fontId="0" fillId="2" borderId="0" xfId="0" applyFill="1" applyAlignment="1">
      <alignment horizontal="left"/>
    </xf>
    <xf numFmtId="0" fontId="0" fillId="0" borderId="0" xfId="0" applyAlignment="1">
      <alignment horizontal="right"/>
    </xf>
    <xf numFmtId="2" fontId="0" fillId="0" borderId="0" xfId="0" applyNumberFormat="1"/>
    <xf numFmtId="0" fontId="0" fillId="0" borderId="0" xfId="0" applyAlignment="1">
      <alignment wrapText="1"/>
    </xf>
    <xf numFmtId="0" fontId="0" fillId="0" borderId="0" xfId="0" applyAlignment="1">
      <alignment horizontal="left"/>
    </xf>
    <xf numFmtId="15" fontId="0" fillId="0" borderId="0" xfId="0" applyNumberFormat="1" applyAlignment="1">
      <alignment horizontal="left"/>
    </xf>
    <xf numFmtId="0" fontId="0" fillId="0" borderId="0" xfId="0" applyAlignment="1"/>
    <xf numFmtId="0" fontId="0" fillId="0" borderId="0" xfId="0" applyAlignment="1">
      <alignment horizontal="center"/>
    </xf>
    <xf numFmtId="0" fontId="0" fillId="0" borderId="1" xfId="0" applyBorder="1"/>
    <xf numFmtId="14" fontId="0" fillId="2" borderId="0" xfId="0" applyNumberFormat="1" applyFill="1" applyAlignment="1">
      <alignment horizontal="left"/>
    </xf>
    <xf numFmtId="2" fontId="0" fillId="0" borderId="1" xfId="0" applyNumberFormat="1" applyBorder="1"/>
    <xf numFmtId="1" fontId="0" fillId="2" borderId="0" xfId="0" applyNumberFormat="1" applyFill="1" applyAlignment="1">
      <alignment horizontal="left"/>
    </xf>
    <xf numFmtId="0" fontId="0" fillId="3" borderId="2" xfId="0" applyFill="1" applyBorder="1"/>
    <xf numFmtId="0" fontId="0" fillId="4" borderId="1" xfId="0" applyFill="1" applyBorder="1" applyAlignment="1">
      <alignment horizontal="center"/>
    </xf>
    <xf numFmtId="0" fontId="0" fillId="4" borderId="2" xfId="0" applyFill="1" applyBorder="1"/>
    <xf numFmtId="0" fontId="0" fillId="4" borderId="2" xfId="0" applyFill="1" applyBorder="1" applyAlignment="1"/>
    <xf numFmtId="0" fontId="0" fillId="2" borderId="0" xfId="0" applyFill="1" applyAlignment="1"/>
    <xf numFmtId="0" fontId="0" fillId="3" borderId="1" xfId="0" applyFill="1" applyBorder="1" applyAlignment="1">
      <alignment horizontal="center"/>
    </xf>
    <xf numFmtId="0" fontId="1" fillId="0" borderId="0" xfId="0" applyFont="1"/>
    <xf numFmtId="0" fontId="0" fillId="0" borderId="3" xfId="0" applyBorder="1" applyAlignment="1">
      <alignment horizontal="left"/>
    </xf>
    <xf numFmtId="0" fontId="0" fillId="0" borderId="3" xfId="0" applyBorder="1" applyAlignment="1">
      <alignment horizontal="center"/>
    </xf>
    <xf numFmtId="0" fontId="0" fillId="3" borderId="4" xfId="0" applyFill="1" applyBorder="1" applyAlignment="1">
      <alignment horizontal="center"/>
    </xf>
    <xf numFmtId="0" fontId="0" fillId="3" borderId="5" xfId="0" applyFill="1" applyBorder="1"/>
    <xf numFmtId="0" fontId="0" fillId="2" borderId="3" xfId="0" applyFill="1" applyBorder="1"/>
    <xf numFmtId="0" fontId="0" fillId="2" borderId="3" xfId="0" applyFill="1" applyBorder="1" applyAlignment="1"/>
    <xf numFmtId="0" fontId="0" fillId="0" borderId="4" xfId="0" applyBorder="1"/>
    <xf numFmtId="0" fontId="0" fillId="0" borderId="5" xfId="0" applyBorder="1"/>
    <xf numFmtId="0" fontId="0" fillId="0" borderId="3" xfId="0" applyBorder="1"/>
    <xf numFmtId="0" fontId="0" fillId="2" borderId="0" xfId="0" applyFill="1" applyProtection="1">
      <protection locked="0"/>
    </xf>
    <xf numFmtId="0" fontId="2" fillId="0" borderId="1" xfId="0" applyFont="1" applyBorder="1" applyAlignment="1">
      <alignment horizontal="left" wrapText="1"/>
    </xf>
    <xf numFmtId="0" fontId="0" fillId="0" borderId="1" xfId="0" applyBorder="1" applyAlignment="1">
      <alignment wrapText="1"/>
    </xf>
    <xf numFmtId="0" fontId="0" fillId="0" borderId="0" xfId="0" applyProtection="1">
      <protection locked="0"/>
    </xf>
    <xf numFmtId="0" fontId="1" fillId="2" borderId="0" xfId="0" applyFont="1" applyFill="1" applyProtection="1">
      <protection locked="0"/>
    </xf>
    <xf numFmtId="0" fontId="3" fillId="0" borderId="0" xfId="0" applyFont="1" applyAlignment="1">
      <alignment vertical="top" wrapText="1"/>
    </xf>
    <xf numFmtId="0" fontId="4" fillId="0" borderId="0" xfId="0" applyFont="1" applyAlignment="1">
      <alignment vertical="top"/>
    </xf>
    <xf numFmtId="0" fontId="4" fillId="0" borderId="0" xfId="0" applyNumberFormat="1" applyFont="1" applyAlignment="1">
      <alignment vertical="top" wrapText="1"/>
    </xf>
    <xf numFmtId="0" fontId="4" fillId="0" borderId="0" xfId="0" applyFont="1" applyAlignment="1">
      <alignment vertical="top" wrapText="1"/>
    </xf>
    <xf numFmtId="0" fontId="0" fillId="0" borderId="0" xfId="0" applyAlignment="1" applyProtection="1">
      <alignment horizontal="center"/>
      <protection locked="0"/>
    </xf>
    <xf numFmtId="0" fontId="0" fillId="0" borderId="1" xfId="0" applyBorder="1" applyAlignment="1">
      <alignment horizontal="center"/>
    </xf>
    <xf numFmtId="0" fontId="0" fillId="2" borderId="3" xfId="0" applyFill="1" applyBorder="1" applyProtection="1">
      <protection locked="0"/>
    </xf>
    <xf numFmtId="0" fontId="0" fillId="2" borderId="0" xfId="0" applyFill="1" applyAlignment="1" applyProtection="1">
      <protection locked="0"/>
    </xf>
    <xf numFmtId="0" fontId="0" fillId="2" borderId="3" xfId="0" applyFill="1" applyBorder="1" applyAlignment="1" applyProtection="1">
      <protection locked="0"/>
    </xf>
    <xf numFmtId="0" fontId="0" fillId="2" borderId="0" xfId="0" applyFill="1" applyAlignment="1" applyProtection="1">
      <alignment horizontal="left"/>
      <protection locked="0"/>
    </xf>
    <xf numFmtId="14" fontId="0" fillId="2" borderId="0" xfId="0" applyNumberFormat="1" applyFill="1" applyAlignment="1" applyProtection="1">
      <alignment horizontal="left"/>
      <protection locked="0"/>
    </xf>
    <xf numFmtId="1" fontId="0" fillId="2" borderId="0" xfId="0" applyNumberFormat="1" applyFill="1" applyAlignment="1" applyProtection="1">
      <alignment horizontal="left"/>
      <protection locked="0"/>
    </xf>
    <xf numFmtId="0" fontId="7" fillId="0" borderId="0" xfId="0" applyFont="1" applyAlignment="1">
      <alignment horizontal="right"/>
    </xf>
    <xf numFmtId="0" fontId="4" fillId="0" borderId="0" xfId="0" applyFont="1"/>
    <xf numFmtId="2" fontId="4" fillId="0" borderId="0" xfId="0" applyNumberFormat="1" applyFont="1"/>
    <xf numFmtId="0" fontId="3" fillId="0" borderId="0" xfId="0" applyFont="1" applyAlignment="1">
      <alignment horizontal="right"/>
    </xf>
    <xf numFmtId="0" fontId="3" fillId="0" borderId="0" xfId="0" applyFont="1" applyAlignment="1">
      <alignment horizontal="left"/>
    </xf>
    <xf numFmtId="0" fontId="4" fillId="0" borderId="0" xfId="0" applyFont="1" applyAlignment="1">
      <alignment horizontal="right"/>
    </xf>
    <xf numFmtId="0" fontId="4" fillId="0" borderId="0" xfId="0" applyNumberFormat="1" applyFont="1" applyAlignment="1">
      <alignment horizontal="left"/>
    </xf>
    <xf numFmtId="14" fontId="4" fillId="0" borderId="0" xfId="0" applyNumberFormat="1" applyFont="1" applyAlignment="1">
      <alignment horizontal="right"/>
    </xf>
    <xf numFmtId="0" fontId="4" fillId="0" borderId="0" xfId="0" applyFont="1" applyAlignment="1">
      <alignment horizontal="left"/>
    </xf>
    <xf numFmtId="15" fontId="4" fillId="0" borderId="0" xfId="0" applyNumberFormat="1" applyFont="1" applyAlignment="1">
      <alignment horizontal="left"/>
    </xf>
    <xf numFmtId="0" fontId="4" fillId="0" borderId="1" xfId="0" applyFont="1" applyBorder="1"/>
    <xf numFmtId="2" fontId="4" fillId="0" borderId="1" xfId="0" applyNumberFormat="1" applyFont="1" applyBorder="1"/>
    <xf numFmtId="0" fontId="3" fillId="0" borderId="1" xfId="0" applyFont="1" applyBorder="1" applyAlignment="1">
      <alignment horizontal="left" wrapText="1"/>
    </xf>
    <xf numFmtId="0" fontId="4" fillId="0" borderId="0" xfId="0" applyFont="1" applyAlignment="1">
      <alignment wrapText="1"/>
    </xf>
    <xf numFmtId="0" fontId="4" fillId="0" borderId="0" xfId="0" applyFont="1" applyProtection="1">
      <protection locked="0"/>
    </xf>
    <xf numFmtId="172" fontId="4" fillId="0" borderId="0" xfId="0" applyNumberFormat="1" applyFont="1" applyAlignment="1" applyProtection="1">
      <alignment horizontal="center"/>
      <protection locked="0"/>
    </xf>
    <xf numFmtId="0" fontId="4" fillId="0" borderId="0" xfId="0" applyFont="1" applyAlignment="1" applyProtection="1">
      <alignment horizontal="center"/>
      <protection locked="0"/>
    </xf>
    <xf numFmtId="172" fontId="4" fillId="0" borderId="1" xfId="0" applyNumberFormat="1" applyFont="1" applyBorder="1" applyAlignment="1">
      <alignment horizontal="center"/>
    </xf>
    <xf numFmtId="0" fontId="4" fillId="0" borderId="1" xfId="0" applyFont="1" applyBorder="1" applyAlignment="1">
      <alignment horizontal="center"/>
    </xf>
    <xf numFmtId="0" fontId="4" fillId="2" borderId="0" xfId="0" applyFont="1" applyFill="1" applyProtection="1">
      <protection locked="0"/>
    </xf>
    <xf numFmtId="0" fontId="4" fillId="0" borderId="0" xfId="0" applyFont="1" applyAlignment="1">
      <alignment horizontal="center"/>
    </xf>
    <xf numFmtId="0" fontId="4" fillId="2" borderId="0" xfId="0" applyFont="1" applyFill="1" applyAlignment="1" applyProtection="1">
      <alignment horizontal="center"/>
      <protection locked="0"/>
    </xf>
    <xf numFmtId="0" fontId="4" fillId="0" borderId="1" xfId="0" applyFont="1" applyBorder="1" applyAlignment="1">
      <alignment horizontal="right"/>
    </xf>
    <xf numFmtId="0" fontId="4" fillId="0" borderId="1" xfId="0" applyNumberFormat="1" applyFont="1" applyBorder="1"/>
    <xf numFmtId="0" fontId="3" fillId="0" borderId="1" xfId="0" applyFont="1" applyBorder="1"/>
    <xf numFmtId="0" fontId="4" fillId="0" borderId="1" xfId="0" applyFont="1" applyBorder="1" applyAlignment="1">
      <alignment horizontal="center" wrapText="1"/>
    </xf>
    <xf numFmtId="0" fontId="4" fillId="0" borderId="0" xfId="0" applyFont="1" applyAlignment="1">
      <alignment horizontal="center" wrapText="1"/>
    </xf>
    <xf numFmtId="0" fontId="4" fillId="0" borderId="2" xfId="0" applyFont="1" applyBorder="1" applyAlignment="1">
      <alignment horizontal="center" wrapText="1"/>
    </xf>
    <xf numFmtId="15" fontId="4" fillId="0" borderId="0" xfId="0" applyNumberFormat="1" applyFont="1" applyAlignment="1">
      <alignment horizontal="center"/>
    </xf>
    <xf numFmtId="0" fontId="0" fillId="0" borderId="2" xfId="0" applyBorder="1" applyAlignment="1">
      <alignment horizontal="center" wrapText="1"/>
    </xf>
    <xf numFmtId="0" fontId="0" fillId="0" borderId="0" xfId="0" applyAlignment="1" applyProtection="1">
      <alignment horizontal="center" wrapText="1"/>
      <protection locked="0"/>
    </xf>
    <xf numFmtId="0" fontId="0" fillId="0" borderId="0" xfId="0" applyAlignment="1">
      <alignment horizontal="center" wrapText="1"/>
    </xf>
    <xf numFmtId="0" fontId="0" fillId="0" borderId="0" xfId="0" applyFill="1" applyAlignment="1" applyProtection="1">
      <alignment horizontal="left"/>
    </xf>
    <xf numFmtId="0" fontId="3" fillId="0" borderId="0" xfId="0" applyNumberFormat="1" applyFont="1" applyAlignment="1">
      <alignment vertical="top" wrapText="1"/>
    </xf>
    <xf numFmtId="0" fontId="0" fillId="0" borderId="6"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4" fillId="0" borderId="2" xfId="0" applyFont="1" applyBorder="1" applyAlignment="1">
      <alignment horizontal="center"/>
    </xf>
    <xf numFmtId="0" fontId="4" fillId="0" borderId="2" xfId="0" applyFont="1" applyBorder="1" applyAlignment="1"/>
    <xf numFmtId="0" fontId="0" fillId="0" borderId="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57150</xdr:colOff>
          <xdr:row>1</xdr:row>
          <xdr:rowOff>95250</xdr:rowOff>
        </xdr:from>
        <xdr:to>
          <xdr:col>10</xdr:col>
          <xdr:colOff>82550</xdr:colOff>
          <xdr:row>3</xdr:row>
          <xdr:rowOff>120650</xdr:rowOff>
        </xdr:to>
        <xdr:sp macro="" textlink="">
          <xdr:nvSpPr>
            <xdr:cNvPr id="45083" name="Button 27" hidden="1">
              <a:extLst>
                <a:ext uri="{63B3BB69-23CF-44E3-9099-C40C66FF867C}">
                  <a14:compatExt spid="_x0000_s45083"/>
                </a:ext>
                <a:ext uri="{FF2B5EF4-FFF2-40B4-BE49-F238E27FC236}">
                  <a16:creationId xmlns:a16="http://schemas.microsoft.com/office/drawing/2014/main" id="{47AE3133-98DF-452A-8D8E-F49189638456}"/>
                </a:ext>
              </a:extLst>
            </xdr:cNvPr>
            <xdr:cNvSpPr/>
          </xdr:nvSpPr>
          <xdr:spPr bwMode="auto">
            <a:xfrm>
              <a:off x="0" y="0"/>
              <a:ext cx="0" cy="0"/>
            </a:xfrm>
            <a:prstGeom prst="rect">
              <a:avLst/>
            </a:prstGeom>
            <a:noFill/>
            <a:ln w="9525">
              <a:miter lim="800000"/>
              <a:headEnd/>
              <a:tailEnd/>
            </a:ln>
          </xdr:spPr>
          <xdr:txBody>
            <a:bodyPr vertOverflow="clip" wrap="square" lIns="18288" tIns="0" rIns="0" bIns="0" anchor="ctr" upright="1"/>
            <a:lstStyle/>
            <a:p>
              <a:pPr algn="ctr" rtl="0">
                <a:defRPr sz="1000"/>
              </a:pPr>
              <a:endParaRPr lang="en-GB"/>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3.vml"/><Relationship Id="rId1" Type="http://schemas.openxmlformats.org/officeDocument/2006/relationships/drawing" Target="../drawings/drawing1.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2:A27"/>
  <sheetViews>
    <sheetView showGridLines="0" tabSelected="1" workbookViewId="0"/>
  </sheetViews>
  <sheetFormatPr defaultColWidth="10.81640625" defaultRowHeight="15.5"/>
  <cols>
    <col min="1" max="1" width="140.6328125" style="38" customWidth="1"/>
    <col min="2" max="16384" width="10.81640625" style="36"/>
  </cols>
  <sheetData>
    <row r="2" spans="1:1">
      <c r="A2" s="35" t="s">
        <v>120</v>
      </c>
    </row>
    <row r="3" spans="1:1">
      <c r="A3" s="35" t="s">
        <v>23</v>
      </c>
    </row>
    <row r="4" spans="1:1">
      <c r="A4" s="35" t="s">
        <v>66</v>
      </c>
    </row>
    <row r="5" spans="1:1">
      <c r="A5" s="35"/>
    </row>
    <row r="6" spans="1:1">
      <c r="A6" s="35" t="s">
        <v>119</v>
      </c>
    </row>
    <row r="7" spans="1:1" ht="46.5">
      <c r="A7" s="37" t="s">
        <v>122</v>
      </c>
    </row>
    <row r="8" spans="1:1">
      <c r="A8" s="37"/>
    </row>
    <row r="9" spans="1:1">
      <c r="A9" s="35" t="s">
        <v>121</v>
      </c>
    </row>
    <row r="10" spans="1:1" ht="31">
      <c r="A10" s="38" t="s">
        <v>41</v>
      </c>
    </row>
    <row r="11" spans="1:1" ht="31">
      <c r="A11" s="37" t="s">
        <v>127</v>
      </c>
    </row>
    <row r="12" spans="1:1">
      <c r="A12" s="38" t="s">
        <v>15</v>
      </c>
    </row>
    <row r="13" spans="1:1" ht="31">
      <c r="A13" s="37" t="s">
        <v>0</v>
      </c>
    </row>
    <row r="14" spans="1:1" ht="31">
      <c r="A14" s="38" t="s">
        <v>16</v>
      </c>
    </row>
    <row r="15" spans="1:1">
      <c r="A15" s="38" t="s">
        <v>18</v>
      </c>
    </row>
    <row r="16" spans="1:1" ht="46.5">
      <c r="A16" s="37" t="s">
        <v>17</v>
      </c>
    </row>
    <row r="17" spans="1:1">
      <c r="A17" s="37"/>
    </row>
    <row r="18" spans="1:1">
      <c r="A18" s="35" t="s">
        <v>14</v>
      </c>
    </row>
    <row r="19" spans="1:1">
      <c r="A19" s="38" t="s">
        <v>45</v>
      </c>
    </row>
    <row r="20" spans="1:1" ht="46.5">
      <c r="A20" s="37" t="s">
        <v>25</v>
      </c>
    </row>
    <row r="21" spans="1:1">
      <c r="A21" s="37"/>
    </row>
    <row r="22" spans="1:1">
      <c r="A22" s="80" t="s">
        <v>40</v>
      </c>
    </row>
    <row r="23" spans="1:1">
      <c r="A23" s="37" t="s">
        <v>42</v>
      </c>
    </row>
    <row r="24" spans="1:1" ht="31">
      <c r="A24" s="37" t="s">
        <v>43</v>
      </c>
    </row>
    <row r="25" spans="1:1">
      <c r="A25" s="37"/>
    </row>
    <row r="26" spans="1:1">
      <c r="A26" s="35" t="s">
        <v>24</v>
      </c>
    </row>
    <row r="27" spans="1:1" ht="31">
      <c r="A27" s="38" t="s">
        <v>44</v>
      </c>
    </row>
  </sheetData>
  <sheetProtection sheet="1" objects="1" scenarios="1"/>
  <pageMargins left="0.75" right="0.75" top="1" bottom="1" header="0.5" footer="0.5"/>
  <pageSetup paperSize="0" scale="74" orientation="portrait" horizontalDpi="4294967292" verticalDpi="4294967292"/>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G6"/>
  <sheetViews>
    <sheetView workbookViewId="0">
      <selection activeCell="C6" sqref="C6"/>
    </sheetView>
  </sheetViews>
  <sheetFormatPr defaultColWidth="8.81640625" defaultRowHeight="15.5"/>
  <cols>
    <col min="1" max="1" width="25.36328125" style="52" bestFit="1" customWidth="1"/>
    <col min="2" max="7" width="14.1796875" style="48" customWidth="1"/>
    <col min="8" max="16384" width="8.81640625" style="48"/>
  </cols>
  <sheetData>
    <row r="1" spans="1:7">
      <c r="A1" s="50" t="s">
        <v>69</v>
      </c>
    </row>
    <row r="3" spans="1:7">
      <c r="A3" s="52" t="s">
        <v>12</v>
      </c>
      <c r="B3" s="66">
        <v>3</v>
      </c>
    </row>
    <row r="5" spans="1:7">
      <c r="B5" s="67">
        <v>1</v>
      </c>
      <c r="C5" s="67">
        <v>2</v>
      </c>
      <c r="D5" s="67">
        <v>3</v>
      </c>
      <c r="E5" s="67">
        <v>4</v>
      </c>
      <c r="F5" s="67">
        <v>5</v>
      </c>
      <c r="G5" s="67">
        <v>6</v>
      </c>
    </row>
    <row r="6" spans="1:7">
      <c r="A6" s="52" t="s">
        <v>125</v>
      </c>
      <c r="B6" s="68" t="s">
        <v>126</v>
      </c>
      <c r="C6" s="68" t="s">
        <v>8</v>
      </c>
      <c r="D6" s="68" t="s">
        <v>9</v>
      </c>
      <c r="E6" s="68" t="s">
        <v>10</v>
      </c>
      <c r="F6" s="68" t="s">
        <v>11</v>
      </c>
      <c r="G6" s="68" t="s">
        <v>13</v>
      </c>
    </row>
  </sheetData>
  <sheetProtection sheet="1" objects="1" scenarios="1"/>
  <pageMargins left="0.75" right="0.75" top="1" bottom="1" header="0.5" footer="0.5"/>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N59"/>
  <sheetViews>
    <sheetView workbookViewId="0">
      <selection activeCell="G9" sqref="G9"/>
    </sheetView>
  </sheetViews>
  <sheetFormatPr defaultColWidth="8.81640625" defaultRowHeight="12.5"/>
  <cols>
    <col min="1" max="1" width="14.81640625" customWidth="1"/>
    <col min="2" max="7" width="8.81640625" customWidth="1"/>
    <col min="8" max="8" width="9.1796875" style="8" customWidth="1"/>
    <col min="9" max="13" width="6.36328125" style="8" customWidth="1"/>
    <col min="14" max="14" width="9.6328125" customWidth="1"/>
  </cols>
  <sheetData>
    <row r="1" spans="1:14">
      <c r="A1" s="3" t="s">
        <v>46</v>
      </c>
      <c r="B1" s="44" t="s">
        <v>39</v>
      </c>
      <c r="C1" s="44"/>
      <c r="E1" s="3" t="s">
        <v>124</v>
      </c>
      <c r="F1" s="30">
        <v>5</v>
      </c>
      <c r="G1" t="s">
        <v>123</v>
      </c>
    </row>
    <row r="2" spans="1:14">
      <c r="A2" s="3" t="s">
        <v>62</v>
      </c>
      <c r="B2" s="45"/>
      <c r="C2" s="44"/>
    </row>
    <row r="3" spans="1:14" ht="12" customHeight="1">
      <c r="A3" s="3" t="s">
        <v>63</v>
      </c>
      <c r="B3" s="46"/>
      <c r="C3" s="44"/>
      <c r="I3" s="47" t="s">
        <v>70</v>
      </c>
    </row>
    <row r="4" spans="1:14">
      <c r="A4" s="3" t="s">
        <v>49</v>
      </c>
      <c r="B4" s="44" t="s">
        <v>58</v>
      </c>
      <c r="C4" s="44"/>
    </row>
    <row r="5" spans="1:14" ht="12" customHeight="1">
      <c r="A5" s="3"/>
      <c r="B5" s="79"/>
      <c r="C5" s="79"/>
    </row>
    <row r="6" spans="1:14">
      <c r="B6" s="83" t="str">
        <f>Parameters!B6</f>
        <v>Hinf1-ITS4</v>
      </c>
      <c r="C6" s="82"/>
      <c r="D6" s="81" t="str">
        <f>Parameters!C6</f>
        <v>Hinf1-ITS1F</v>
      </c>
      <c r="E6" s="82"/>
      <c r="F6" s="81" t="str">
        <f>Parameters!D6</f>
        <v>HaeIII-ITS4</v>
      </c>
      <c r="G6" s="82"/>
      <c r="H6" s="81" t="str">
        <f>Parameters!E6</f>
        <v>HaeIII-ITS1</v>
      </c>
      <c r="I6" s="82"/>
      <c r="J6" s="81" t="str">
        <f>Parameters!F6</f>
        <v>DpnII-ITS4</v>
      </c>
      <c r="K6" s="82"/>
      <c r="L6" s="81" t="str">
        <f>Parameters!G6</f>
        <v>(none)</v>
      </c>
      <c r="M6" s="82"/>
      <c r="N6" s="8"/>
    </row>
    <row r="7" spans="1:14">
      <c r="B7" s="9" t="s">
        <v>52</v>
      </c>
      <c r="C7" s="22" t="s">
        <v>53</v>
      </c>
      <c r="D7" s="9" t="s">
        <v>52</v>
      </c>
      <c r="E7" s="22" t="s">
        <v>53</v>
      </c>
      <c r="F7" s="9" t="s">
        <v>52</v>
      </c>
      <c r="G7" s="22" t="s">
        <v>53</v>
      </c>
      <c r="H7" s="9" t="s">
        <v>52</v>
      </c>
      <c r="I7" s="22" t="s">
        <v>53</v>
      </c>
      <c r="J7" s="9" t="s">
        <v>52</v>
      </c>
      <c r="K7" s="22" t="s">
        <v>53</v>
      </c>
      <c r="L7" s="9" t="s">
        <v>52</v>
      </c>
      <c r="M7" s="22" t="s">
        <v>53</v>
      </c>
    </row>
    <row r="8" spans="1:14">
      <c r="A8" s="27" t="s">
        <v>59</v>
      </c>
      <c r="B8" s="15"/>
      <c r="C8" s="19">
        <f>($F$1/100)*MAX(C10:C59)</f>
        <v>158.5</v>
      </c>
      <c r="D8" s="15"/>
      <c r="E8" s="19">
        <f>($F$1/100)*MAX(E10:E59)</f>
        <v>94.95</v>
      </c>
      <c r="F8" s="15"/>
      <c r="G8" s="19">
        <f>($F$1/100)*MAX(G10:G59)</f>
        <v>196.65</v>
      </c>
      <c r="H8" s="15"/>
      <c r="I8" s="19">
        <f>($F$1/100)*MAX(I10:I59)</f>
        <v>78.2</v>
      </c>
      <c r="J8" s="15"/>
      <c r="K8" s="19">
        <f>($F$1/100)*MAX(K10:K59)</f>
        <v>0</v>
      </c>
      <c r="L8" s="15"/>
      <c r="M8" s="19">
        <f>($F$1/100)*MAX(M10:M59)</f>
        <v>0</v>
      </c>
    </row>
    <row r="9" spans="1:14">
      <c r="A9" s="28" t="s">
        <v>65</v>
      </c>
      <c r="B9" s="16"/>
      <c r="C9" s="14">
        <f>COUNTIF(ThresholdCalc!A:A, "&lt;&gt; 9999")-1</f>
        <v>65491</v>
      </c>
      <c r="D9" s="16"/>
      <c r="E9" s="14">
        <f>COUNTIF(ThresholdCalc!B:B, "&lt;&gt; 9999")-1</f>
        <v>65496</v>
      </c>
      <c r="F9" s="16"/>
      <c r="G9" s="14">
        <f>COUNTIF(ThresholdCalc!C:C, "&lt;&gt; 9999")-1</f>
        <v>65495</v>
      </c>
      <c r="H9" s="17"/>
      <c r="I9" s="14">
        <f>COUNTIF(ThresholdCalc!D:D, "&lt;&gt; 9999")-1</f>
        <v>65497</v>
      </c>
      <c r="J9" s="17"/>
      <c r="K9" s="14">
        <f>COUNTIF(ThresholdCalc!E:E, "&lt;&gt; 9999")-1</f>
        <v>65485</v>
      </c>
      <c r="L9" s="17"/>
      <c r="M9" s="14">
        <f>COUNTIF(ThresholdCalc!F:F, "&lt;&gt; 9999")-1</f>
        <v>65485</v>
      </c>
    </row>
    <row r="10" spans="1:14">
      <c r="A10" s="29">
        <v>1</v>
      </c>
      <c r="B10" s="30">
        <v>42.91</v>
      </c>
      <c r="C10" s="41">
        <v>619</v>
      </c>
      <c r="D10" s="30">
        <v>44.26</v>
      </c>
      <c r="E10" s="41">
        <v>519</v>
      </c>
      <c r="F10" s="30">
        <v>42.91</v>
      </c>
      <c r="G10" s="41">
        <v>492</v>
      </c>
      <c r="H10" s="42">
        <v>44.26</v>
      </c>
      <c r="I10" s="43">
        <v>402</v>
      </c>
      <c r="J10" s="42"/>
      <c r="K10" s="43"/>
      <c r="L10" s="42"/>
      <c r="M10" s="43"/>
    </row>
    <row r="11" spans="1:14">
      <c r="A11" s="29">
        <v>2</v>
      </c>
      <c r="B11" s="30">
        <v>46.28</v>
      </c>
      <c r="C11" s="41">
        <v>1319</v>
      </c>
      <c r="D11" s="30">
        <v>64.010000000000005</v>
      </c>
      <c r="E11" s="41">
        <v>38</v>
      </c>
      <c r="F11" s="30">
        <v>54.83</v>
      </c>
      <c r="G11" s="41">
        <v>310</v>
      </c>
      <c r="H11" s="42">
        <v>64.349999999999994</v>
      </c>
      <c r="I11" s="43">
        <v>33</v>
      </c>
      <c r="J11" s="42"/>
      <c r="K11" s="43"/>
      <c r="L11" s="42"/>
      <c r="M11" s="43"/>
    </row>
    <row r="12" spans="1:14" ht="12" customHeight="1">
      <c r="A12" s="29">
        <v>3</v>
      </c>
      <c r="B12" s="30">
        <v>65.69</v>
      </c>
      <c r="C12" s="41">
        <v>71</v>
      </c>
      <c r="D12" s="30">
        <v>82.89</v>
      </c>
      <c r="E12" s="41">
        <v>99</v>
      </c>
      <c r="F12" s="30">
        <v>68.7</v>
      </c>
      <c r="G12" s="41">
        <v>61</v>
      </c>
      <c r="H12" s="42">
        <v>79.62</v>
      </c>
      <c r="I12" s="43">
        <v>136</v>
      </c>
      <c r="J12" s="42"/>
      <c r="K12" s="43"/>
      <c r="L12" s="42"/>
      <c r="M12" s="43"/>
    </row>
    <row r="13" spans="1:14">
      <c r="A13" s="29">
        <v>4</v>
      </c>
      <c r="B13" s="30">
        <v>79.95</v>
      </c>
      <c r="C13" s="41">
        <v>258</v>
      </c>
      <c r="D13" s="30">
        <v>91.87</v>
      </c>
      <c r="E13" s="41">
        <v>28</v>
      </c>
      <c r="F13" s="30">
        <v>79.290000000000006</v>
      </c>
      <c r="G13" s="41">
        <v>248</v>
      </c>
      <c r="H13" s="42">
        <v>99.07</v>
      </c>
      <c r="I13" s="43">
        <v>1564</v>
      </c>
      <c r="J13" s="42"/>
      <c r="K13" s="43"/>
      <c r="L13" s="42"/>
      <c r="M13" s="43"/>
    </row>
    <row r="14" spans="1:14">
      <c r="A14" s="29">
        <v>5</v>
      </c>
      <c r="B14" s="30">
        <v>92.19</v>
      </c>
      <c r="C14" s="41">
        <v>97</v>
      </c>
      <c r="D14" s="30">
        <v>99.07</v>
      </c>
      <c r="E14" s="41">
        <v>107</v>
      </c>
      <c r="F14" s="30">
        <v>92.18</v>
      </c>
      <c r="G14" s="41">
        <v>103</v>
      </c>
      <c r="H14" s="42">
        <v>112.32</v>
      </c>
      <c r="I14" s="43">
        <v>178</v>
      </c>
      <c r="J14" s="42"/>
      <c r="K14" s="43"/>
      <c r="L14" s="42"/>
      <c r="M14" s="43"/>
    </row>
    <row r="15" spans="1:14">
      <c r="A15" s="29">
        <v>6</v>
      </c>
      <c r="B15" s="30">
        <v>99.07</v>
      </c>
      <c r="C15" s="41">
        <v>1178</v>
      </c>
      <c r="D15" s="30">
        <v>106.56</v>
      </c>
      <c r="E15" s="41">
        <v>1899</v>
      </c>
      <c r="F15" s="30">
        <v>94.7</v>
      </c>
      <c r="G15" s="41">
        <v>114</v>
      </c>
      <c r="H15" s="42">
        <v>131.93</v>
      </c>
      <c r="I15" s="43">
        <v>1074</v>
      </c>
      <c r="J15" s="42"/>
      <c r="K15" s="43"/>
      <c r="L15" s="42"/>
      <c r="M15" s="43"/>
    </row>
    <row r="16" spans="1:14">
      <c r="A16" s="29">
        <v>7</v>
      </c>
      <c r="B16" s="30">
        <v>112.23</v>
      </c>
      <c r="C16" s="41">
        <v>77</v>
      </c>
      <c r="D16" s="30">
        <v>191.81</v>
      </c>
      <c r="E16" s="41">
        <v>73</v>
      </c>
      <c r="F16" s="30">
        <v>112.32</v>
      </c>
      <c r="G16" s="41">
        <v>1703</v>
      </c>
      <c r="H16" s="42">
        <v>161.87</v>
      </c>
      <c r="I16" s="43">
        <v>160</v>
      </c>
      <c r="J16" s="42"/>
      <c r="K16" s="43"/>
      <c r="L16" s="42"/>
      <c r="M16" s="43"/>
    </row>
    <row r="17" spans="1:13">
      <c r="A17" s="29">
        <v>8</v>
      </c>
      <c r="B17" s="30">
        <v>117.89</v>
      </c>
      <c r="C17" s="41">
        <v>141</v>
      </c>
      <c r="D17" s="30">
        <v>224.35</v>
      </c>
      <c r="E17" s="41">
        <v>36</v>
      </c>
      <c r="F17" s="30">
        <v>129.94999999999999</v>
      </c>
      <c r="G17" s="41">
        <v>2152</v>
      </c>
      <c r="H17" s="42">
        <v>247.05</v>
      </c>
      <c r="I17" s="43">
        <v>298</v>
      </c>
      <c r="J17" s="42"/>
      <c r="K17" s="43"/>
      <c r="L17" s="42"/>
      <c r="M17" s="43"/>
    </row>
    <row r="18" spans="1:13">
      <c r="A18" s="29">
        <v>9</v>
      </c>
      <c r="B18" s="30">
        <v>123.81</v>
      </c>
      <c r="C18" s="41">
        <v>101</v>
      </c>
      <c r="D18" s="30">
        <v>245.24</v>
      </c>
      <c r="E18" s="41">
        <v>1371</v>
      </c>
      <c r="F18" s="30">
        <v>139.31</v>
      </c>
      <c r="G18" s="41">
        <v>237</v>
      </c>
      <c r="H18" s="42">
        <v>266.83</v>
      </c>
      <c r="I18" s="43">
        <v>1468</v>
      </c>
      <c r="J18" s="42"/>
      <c r="K18" s="43"/>
      <c r="L18" s="42"/>
      <c r="M18" s="43"/>
    </row>
    <row r="19" spans="1:13">
      <c r="A19" s="29">
        <v>10</v>
      </c>
      <c r="B19" s="30">
        <v>128.32</v>
      </c>
      <c r="C19" s="41">
        <v>85</v>
      </c>
      <c r="D19" s="30">
        <v>255.82</v>
      </c>
      <c r="E19" s="41">
        <v>50</v>
      </c>
      <c r="F19" s="30">
        <v>144.26</v>
      </c>
      <c r="G19" s="41">
        <v>136</v>
      </c>
      <c r="H19" s="42">
        <v>431.93</v>
      </c>
      <c r="I19" s="43">
        <v>90</v>
      </c>
      <c r="J19" s="42"/>
      <c r="K19" s="43"/>
      <c r="L19" s="42"/>
      <c r="M19" s="43"/>
    </row>
    <row r="20" spans="1:13">
      <c r="A20" s="29">
        <v>11</v>
      </c>
      <c r="B20" s="30">
        <v>138.16</v>
      </c>
      <c r="C20" s="41">
        <v>107</v>
      </c>
      <c r="D20" s="30">
        <v>269.06</v>
      </c>
      <c r="E20" s="41">
        <v>25</v>
      </c>
      <c r="F20" s="30">
        <v>149.69999999999999</v>
      </c>
      <c r="G20" s="41">
        <v>129</v>
      </c>
      <c r="H20" s="42">
        <v>455.63</v>
      </c>
      <c r="I20" s="43">
        <v>125</v>
      </c>
      <c r="J20" s="42"/>
      <c r="K20" s="43"/>
      <c r="L20" s="42"/>
      <c r="M20" s="43"/>
    </row>
    <row r="21" spans="1:13">
      <c r="A21" s="29">
        <v>12</v>
      </c>
      <c r="B21" s="30">
        <v>149.4</v>
      </c>
      <c r="C21" s="41">
        <v>84</v>
      </c>
      <c r="D21" s="30">
        <v>299.05</v>
      </c>
      <c r="E21" s="41">
        <v>72</v>
      </c>
      <c r="F21" s="30">
        <v>153.04</v>
      </c>
      <c r="G21" s="41">
        <v>124</v>
      </c>
      <c r="H21" s="42">
        <v>459.29</v>
      </c>
      <c r="I21" s="43">
        <v>107</v>
      </c>
      <c r="J21" s="42"/>
      <c r="K21" s="43"/>
      <c r="L21" s="42"/>
      <c r="M21" s="43"/>
    </row>
    <row r="22" spans="1:13">
      <c r="A22" s="29">
        <v>13</v>
      </c>
      <c r="B22" s="30">
        <v>152.77000000000001</v>
      </c>
      <c r="C22" s="41">
        <v>88</v>
      </c>
      <c r="D22" s="30">
        <v>304.44</v>
      </c>
      <c r="E22" s="41">
        <v>35</v>
      </c>
      <c r="F22" s="30">
        <v>161.61000000000001</v>
      </c>
      <c r="G22" s="41">
        <v>1559</v>
      </c>
      <c r="H22" s="42">
        <v>468.06</v>
      </c>
      <c r="I22" s="43">
        <v>27</v>
      </c>
      <c r="J22" s="42"/>
      <c r="K22" s="43"/>
      <c r="L22" s="42"/>
      <c r="M22" s="43"/>
    </row>
    <row r="23" spans="1:13">
      <c r="A23" s="29">
        <v>14</v>
      </c>
      <c r="B23" s="30">
        <v>159.47999999999999</v>
      </c>
      <c r="C23" s="41">
        <v>90</v>
      </c>
      <c r="D23" s="30">
        <v>310.66000000000003</v>
      </c>
      <c r="E23" s="41">
        <v>165</v>
      </c>
      <c r="F23" s="30">
        <v>170.72</v>
      </c>
      <c r="G23" s="41">
        <v>236</v>
      </c>
      <c r="H23" s="42">
        <v>484.28</v>
      </c>
      <c r="I23" s="43">
        <v>50</v>
      </c>
      <c r="J23" s="42"/>
      <c r="K23" s="43"/>
      <c r="L23" s="42"/>
      <c r="M23" s="43"/>
    </row>
    <row r="24" spans="1:13">
      <c r="A24" s="29">
        <v>15</v>
      </c>
      <c r="B24" s="30">
        <v>166.64</v>
      </c>
      <c r="C24" s="41">
        <v>89</v>
      </c>
      <c r="D24" s="30">
        <v>315.19</v>
      </c>
      <c r="E24" s="41">
        <v>765</v>
      </c>
      <c r="F24" s="30">
        <v>191.39</v>
      </c>
      <c r="G24" s="41">
        <v>92</v>
      </c>
      <c r="H24" s="42">
        <v>522.70800720000011</v>
      </c>
      <c r="I24" s="43">
        <v>1482</v>
      </c>
      <c r="J24" s="42"/>
      <c r="K24" s="43"/>
      <c r="L24" s="42"/>
      <c r="M24" s="43"/>
    </row>
    <row r="25" spans="1:13">
      <c r="A25" s="29">
        <v>16</v>
      </c>
      <c r="B25" s="30">
        <v>175.4</v>
      </c>
      <c r="C25" s="41">
        <v>80</v>
      </c>
      <c r="D25" s="30">
        <v>335.78</v>
      </c>
      <c r="E25" s="41">
        <v>31</v>
      </c>
      <c r="F25" s="30">
        <v>195.96</v>
      </c>
      <c r="G25" s="41">
        <v>102</v>
      </c>
      <c r="H25" s="42">
        <v>653.31869519999998</v>
      </c>
      <c r="I25" s="43">
        <v>53</v>
      </c>
      <c r="J25" s="42"/>
      <c r="K25" s="43"/>
      <c r="L25" s="42"/>
      <c r="M25" s="43"/>
    </row>
    <row r="26" spans="1:13">
      <c r="A26" s="29">
        <v>17</v>
      </c>
      <c r="B26" s="30">
        <v>179.64</v>
      </c>
      <c r="C26" s="41">
        <v>74</v>
      </c>
      <c r="D26" s="30">
        <v>343.78</v>
      </c>
      <c r="E26" s="41">
        <v>112</v>
      </c>
      <c r="F26" s="30">
        <v>202.53</v>
      </c>
      <c r="G26" s="41">
        <v>125</v>
      </c>
      <c r="H26" s="42"/>
      <c r="I26" s="43"/>
      <c r="J26" s="42"/>
      <c r="K26" s="43"/>
      <c r="L26" s="42"/>
      <c r="M26" s="43"/>
    </row>
    <row r="27" spans="1:13">
      <c r="A27" s="29">
        <v>18</v>
      </c>
      <c r="B27" s="30">
        <v>185.2</v>
      </c>
      <c r="C27" s="41">
        <v>73</v>
      </c>
      <c r="D27" s="30">
        <v>360.78</v>
      </c>
      <c r="E27" s="41">
        <v>245</v>
      </c>
      <c r="F27" s="30">
        <v>210.09</v>
      </c>
      <c r="G27" s="41">
        <v>98</v>
      </c>
      <c r="H27" s="42"/>
      <c r="I27" s="43"/>
      <c r="J27" s="42"/>
      <c r="K27" s="43"/>
      <c r="L27" s="42"/>
      <c r="M27" s="43"/>
    </row>
    <row r="28" spans="1:13">
      <c r="A28" s="29">
        <v>19</v>
      </c>
      <c r="B28" s="30">
        <v>188.9</v>
      </c>
      <c r="C28" s="41">
        <v>72</v>
      </c>
      <c r="D28" s="30">
        <v>365.24</v>
      </c>
      <c r="E28" s="41">
        <v>1635</v>
      </c>
      <c r="F28" s="30">
        <v>212.6</v>
      </c>
      <c r="G28" s="41">
        <v>107</v>
      </c>
      <c r="H28" s="42"/>
      <c r="I28" s="43"/>
      <c r="J28" s="42"/>
      <c r="K28" s="43"/>
      <c r="L28" s="42"/>
      <c r="M28" s="43"/>
    </row>
    <row r="29" spans="1:13">
      <c r="A29" s="29">
        <v>20</v>
      </c>
      <c r="B29" s="30">
        <v>194.19</v>
      </c>
      <c r="C29" s="41">
        <v>73</v>
      </c>
      <c r="D29" s="30">
        <v>387.48</v>
      </c>
      <c r="E29" s="41">
        <v>213</v>
      </c>
      <c r="F29" s="30">
        <v>218.42</v>
      </c>
      <c r="G29" s="41">
        <v>216</v>
      </c>
      <c r="H29" s="42"/>
      <c r="I29" s="43"/>
      <c r="J29" s="42"/>
      <c r="K29" s="43"/>
      <c r="L29" s="42"/>
      <c r="M29" s="43"/>
    </row>
    <row r="30" spans="1:13">
      <c r="A30" s="29">
        <v>21</v>
      </c>
      <c r="B30" s="30">
        <v>200.55</v>
      </c>
      <c r="C30" s="41">
        <v>90</v>
      </c>
      <c r="D30" s="30"/>
      <c r="E30" s="41"/>
      <c r="F30" s="30">
        <v>232.97</v>
      </c>
      <c r="G30" s="41">
        <v>98</v>
      </c>
      <c r="H30" s="42"/>
      <c r="I30" s="43"/>
      <c r="J30" s="42"/>
      <c r="K30" s="43"/>
      <c r="L30" s="42"/>
      <c r="M30" s="43"/>
    </row>
    <row r="31" spans="1:13">
      <c r="A31" s="29">
        <v>22</v>
      </c>
      <c r="B31" s="30">
        <v>207.18</v>
      </c>
      <c r="C31" s="41">
        <v>74</v>
      </c>
      <c r="D31" s="30"/>
      <c r="E31" s="41"/>
      <c r="F31" s="30">
        <v>237.86</v>
      </c>
      <c r="G31" s="41">
        <v>100</v>
      </c>
      <c r="H31" s="42"/>
      <c r="I31" s="43"/>
      <c r="J31" s="42"/>
      <c r="K31" s="43"/>
      <c r="L31" s="42"/>
      <c r="M31" s="43"/>
    </row>
    <row r="32" spans="1:13">
      <c r="A32" s="29">
        <v>23</v>
      </c>
      <c r="B32" s="30">
        <v>212.66</v>
      </c>
      <c r="C32" s="41">
        <v>90</v>
      </c>
      <c r="D32" s="30"/>
      <c r="E32" s="41"/>
      <c r="F32" s="30">
        <v>247.05</v>
      </c>
      <c r="G32" s="41">
        <v>3933</v>
      </c>
      <c r="H32" s="42"/>
      <c r="I32" s="43"/>
      <c r="J32" s="42"/>
      <c r="K32" s="43"/>
      <c r="L32" s="42"/>
      <c r="M32" s="43"/>
    </row>
    <row r="33" spans="1:13">
      <c r="A33" s="29">
        <v>24</v>
      </c>
      <c r="B33" s="30">
        <v>215.94</v>
      </c>
      <c r="C33" s="41">
        <v>112</v>
      </c>
      <c r="D33" s="30"/>
      <c r="E33" s="41"/>
      <c r="F33" s="30">
        <v>339.74</v>
      </c>
      <c r="G33" s="41">
        <v>31</v>
      </c>
      <c r="H33" s="42"/>
      <c r="I33" s="43"/>
      <c r="J33" s="42"/>
      <c r="K33" s="43"/>
      <c r="L33" s="42"/>
      <c r="M33" s="43"/>
    </row>
    <row r="34" spans="1:13">
      <c r="A34" s="29">
        <v>25</v>
      </c>
      <c r="B34" s="30">
        <v>222.46</v>
      </c>
      <c r="C34" s="41">
        <v>86</v>
      </c>
      <c r="D34" s="30"/>
      <c r="E34" s="41"/>
      <c r="F34" s="30">
        <v>374.72</v>
      </c>
      <c r="G34" s="41">
        <v>32</v>
      </c>
      <c r="H34" s="42"/>
      <c r="I34" s="43"/>
      <c r="J34" s="42"/>
      <c r="K34" s="43"/>
      <c r="L34" s="42"/>
      <c r="M34" s="43"/>
    </row>
    <row r="35" spans="1:13">
      <c r="A35" s="29">
        <v>26</v>
      </c>
      <c r="B35" s="30">
        <v>225.71</v>
      </c>
      <c r="C35" s="41">
        <v>69</v>
      </c>
      <c r="D35" s="30"/>
      <c r="E35" s="41"/>
      <c r="F35" s="30">
        <v>379.49</v>
      </c>
      <c r="G35" s="41">
        <v>37</v>
      </c>
      <c r="H35" s="42"/>
      <c r="I35" s="43"/>
      <c r="J35" s="42"/>
      <c r="K35" s="43"/>
      <c r="L35" s="42"/>
      <c r="M35" s="43"/>
    </row>
    <row r="36" spans="1:13">
      <c r="A36" s="29">
        <v>27</v>
      </c>
      <c r="B36" s="30">
        <v>231.63</v>
      </c>
      <c r="C36" s="41">
        <v>87</v>
      </c>
      <c r="D36" s="30"/>
      <c r="E36" s="41"/>
      <c r="F36" s="30">
        <v>384</v>
      </c>
      <c r="G36" s="41">
        <v>32</v>
      </c>
      <c r="H36" s="42"/>
      <c r="I36" s="43"/>
      <c r="J36" s="42"/>
      <c r="K36" s="43"/>
      <c r="L36" s="42"/>
      <c r="M36" s="43"/>
    </row>
    <row r="37" spans="1:13">
      <c r="A37" s="29">
        <v>28</v>
      </c>
      <c r="B37" s="30">
        <v>237.25</v>
      </c>
      <c r="C37" s="41">
        <v>94</v>
      </c>
      <c r="D37" s="30"/>
      <c r="E37" s="41"/>
      <c r="F37" s="30">
        <v>392.78</v>
      </c>
      <c r="G37" s="41">
        <v>26</v>
      </c>
      <c r="H37" s="42"/>
      <c r="I37" s="43"/>
      <c r="J37" s="42"/>
      <c r="K37" s="43"/>
      <c r="L37" s="42"/>
      <c r="M37" s="43"/>
    </row>
    <row r="38" spans="1:13">
      <c r="A38" s="29">
        <v>29</v>
      </c>
      <c r="B38" s="30">
        <v>241.52</v>
      </c>
      <c r="C38" s="41">
        <v>92</v>
      </c>
      <c r="D38" s="30"/>
      <c r="E38" s="41"/>
      <c r="F38" s="30">
        <v>400</v>
      </c>
      <c r="G38" s="41">
        <v>38</v>
      </c>
      <c r="H38" s="42"/>
      <c r="I38" s="43"/>
      <c r="J38" s="42"/>
      <c r="K38" s="43"/>
      <c r="L38" s="42"/>
      <c r="M38" s="43"/>
    </row>
    <row r="39" spans="1:13">
      <c r="A39" s="29">
        <v>30</v>
      </c>
      <c r="B39" s="30">
        <v>249.47</v>
      </c>
      <c r="C39" s="41">
        <v>35</v>
      </c>
      <c r="D39" s="30"/>
      <c r="E39" s="41"/>
      <c r="F39" s="30">
        <v>405.95</v>
      </c>
      <c r="G39" s="41">
        <v>32</v>
      </c>
      <c r="H39" s="42"/>
      <c r="I39" s="43"/>
      <c r="J39" s="42"/>
      <c r="K39" s="43"/>
      <c r="L39" s="42"/>
      <c r="M39" s="43"/>
    </row>
    <row r="40" spans="1:13">
      <c r="A40" s="29">
        <v>31</v>
      </c>
      <c r="B40" s="30">
        <v>262.57</v>
      </c>
      <c r="C40" s="41">
        <v>69</v>
      </c>
      <c r="D40" s="30"/>
      <c r="E40" s="41"/>
      <c r="F40" s="30">
        <v>414.92</v>
      </c>
      <c r="G40" s="41">
        <v>27</v>
      </c>
      <c r="H40" s="42"/>
      <c r="I40" s="43"/>
      <c r="J40" s="42"/>
      <c r="K40" s="43"/>
      <c r="L40" s="42"/>
      <c r="M40" s="43"/>
    </row>
    <row r="41" spans="1:13">
      <c r="A41" s="29">
        <v>32</v>
      </c>
      <c r="B41" s="30">
        <v>265.7</v>
      </c>
      <c r="C41" s="41">
        <v>18</v>
      </c>
      <c r="D41" s="30"/>
      <c r="E41" s="41"/>
      <c r="F41" s="30">
        <v>418.47</v>
      </c>
      <c r="G41" s="41">
        <v>28</v>
      </c>
      <c r="H41" s="42"/>
      <c r="I41" s="43"/>
      <c r="J41" s="42"/>
      <c r="K41" s="43"/>
      <c r="L41" s="42"/>
      <c r="M41" s="43"/>
    </row>
    <row r="42" spans="1:13">
      <c r="A42" s="29">
        <v>33</v>
      </c>
      <c r="B42" s="30">
        <v>269.06</v>
      </c>
      <c r="C42" s="41">
        <v>52</v>
      </c>
      <c r="D42" s="30"/>
      <c r="E42" s="41"/>
      <c r="F42" s="30">
        <v>422.3</v>
      </c>
      <c r="G42" s="41">
        <v>27</v>
      </c>
      <c r="H42" s="42"/>
      <c r="I42" s="43"/>
      <c r="J42" s="42"/>
      <c r="K42" s="43"/>
      <c r="L42" s="42"/>
      <c r="M42" s="43"/>
    </row>
    <row r="43" spans="1:13">
      <c r="A43" s="29">
        <v>34</v>
      </c>
      <c r="B43" s="30">
        <v>290.52999999999997</v>
      </c>
      <c r="C43" s="41">
        <v>33</v>
      </c>
      <c r="D43" s="30"/>
      <c r="E43" s="41"/>
      <c r="F43" s="30">
        <v>427.52</v>
      </c>
      <c r="G43" s="41">
        <v>38</v>
      </c>
      <c r="H43" s="42"/>
      <c r="I43" s="43"/>
      <c r="J43" s="42"/>
      <c r="K43" s="43"/>
      <c r="L43" s="42"/>
      <c r="M43" s="43"/>
    </row>
    <row r="44" spans="1:13">
      <c r="A44" s="29">
        <v>35</v>
      </c>
      <c r="B44" s="30">
        <v>300.74</v>
      </c>
      <c r="C44" s="41">
        <v>108</v>
      </c>
      <c r="D44" s="30"/>
      <c r="E44" s="41"/>
      <c r="F44" s="30">
        <v>434.7</v>
      </c>
      <c r="G44" s="41">
        <v>25</v>
      </c>
      <c r="H44" s="42"/>
      <c r="I44" s="43"/>
      <c r="J44" s="42"/>
      <c r="K44" s="43"/>
      <c r="L44" s="42"/>
      <c r="M44" s="43"/>
    </row>
    <row r="45" spans="1:13">
      <c r="A45" s="29">
        <v>36</v>
      </c>
      <c r="B45" s="30">
        <v>312.92</v>
      </c>
      <c r="C45" s="41">
        <v>37</v>
      </c>
      <c r="D45" s="30"/>
      <c r="E45" s="41"/>
      <c r="F45" s="30">
        <v>442.74</v>
      </c>
      <c r="G45" s="41">
        <v>54</v>
      </c>
      <c r="H45" s="42"/>
      <c r="I45" s="43"/>
      <c r="J45" s="42"/>
      <c r="K45" s="43"/>
      <c r="L45" s="42"/>
      <c r="M45" s="43"/>
    </row>
    <row r="46" spans="1:13">
      <c r="A46" s="29">
        <v>37</v>
      </c>
      <c r="B46" s="30">
        <v>343.24</v>
      </c>
      <c r="C46" s="41">
        <v>1619</v>
      </c>
      <c r="D46" s="30"/>
      <c r="E46" s="41"/>
      <c r="F46" s="30">
        <v>450.56</v>
      </c>
      <c r="G46" s="41">
        <v>41</v>
      </c>
      <c r="H46" s="42"/>
      <c r="I46" s="43"/>
      <c r="J46" s="42"/>
      <c r="K46" s="43"/>
      <c r="L46" s="42"/>
      <c r="M46" s="43"/>
    </row>
    <row r="47" spans="1:13">
      <c r="A47" s="29">
        <v>38</v>
      </c>
      <c r="B47" s="30">
        <v>358.15</v>
      </c>
      <c r="C47" s="41">
        <v>142</v>
      </c>
      <c r="D47" s="30"/>
      <c r="E47" s="41"/>
      <c r="F47" s="30">
        <v>457.03</v>
      </c>
      <c r="G47" s="41">
        <v>57</v>
      </c>
      <c r="H47" s="42"/>
      <c r="I47" s="43"/>
      <c r="J47" s="42"/>
      <c r="K47" s="43"/>
      <c r="L47" s="42"/>
      <c r="M47" s="43"/>
    </row>
    <row r="48" spans="1:13">
      <c r="A48" s="29">
        <v>39</v>
      </c>
      <c r="B48" s="30">
        <v>387.22</v>
      </c>
      <c r="C48" s="41">
        <v>3170</v>
      </c>
      <c r="D48" s="30"/>
      <c r="E48" s="41"/>
      <c r="F48" s="30">
        <v>460.7</v>
      </c>
      <c r="G48" s="41">
        <v>107</v>
      </c>
      <c r="H48" s="42"/>
      <c r="I48" s="43"/>
      <c r="J48" s="42"/>
      <c r="K48" s="43"/>
      <c r="L48" s="42"/>
      <c r="M48" s="43"/>
    </row>
    <row r="49" spans="1:13">
      <c r="A49" s="29">
        <v>40</v>
      </c>
      <c r="B49" s="30"/>
      <c r="C49" s="41"/>
      <c r="D49" s="30"/>
      <c r="E49" s="41"/>
      <c r="F49" s="30">
        <v>476.01</v>
      </c>
      <c r="G49" s="41">
        <v>33</v>
      </c>
      <c r="H49" s="42"/>
      <c r="I49" s="43"/>
      <c r="J49" s="42"/>
      <c r="K49" s="43"/>
      <c r="L49" s="42"/>
      <c r="M49" s="43"/>
    </row>
    <row r="50" spans="1:13">
      <c r="A50" s="29">
        <v>41</v>
      </c>
      <c r="B50" s="30"/>
      <c r="C50" s="41"/>
      <c r="D50" s="30"/>
      <c r="E50" s="41"/>
      <c r="F50" s="30">
        <v>480</v>
      </c>
      <c r="G50" s="41">
        <v>28</v>
      </c>
      <c r="H50" s="42"/>
      <c r="I50" s="43"/>
      <c r="J50" s="42"/>
      <c r="K50" s="43"/>
      <c r="L50" s="42"/>
      <c r="M50" s="43"/>
    </row>
    <row r="51" spans="1:13">
      <c r="A51" s="29">
        <v>42</v>
      </c>
      <c r="B51" s="30"/>
      <c r="C51" s="41"/>
      <c r="D51" s="30"/>
      <c r="E51" s="41"/>
      <c r="F51" s="30">
        <v>482.85</v>
      </c>
      <c r="G51" s="41">
        <v>31</v>
      </c>
      <c r="H51" s="42"/>
      <c r="I51" s="43"/>
      <c r="J51" s="42"/>
      <c r="K51" s="43"/>
      <c r="L51" s="42"/>
      <c r="M51" s="43"/>
    </row>
    <row r="52" spans="1:13">
      <c r="A52" s="29">
        <v>43</v>
      </c>
      <c r="B52" s="30"/>
      <c r="C52" s="41"/>
      <c r="D52" s="30"/>
      <c r="E52" s="41"/>
      <c r="F52" s="30">
        <v>490</v>
      </c>
      <c r="G52" s="41">
        <v>47</v>
      </c>
      <c r="H52" s="42"/>
      <c r="I52" s="43"/>
      <c r="J52" s="42"/>
      <c r="K52" s="43"/>
      <c r="L52" s="42"/>
      <c r="M52" s="43"/>
    </row>
    <row r="53" spans="1:13">
      <c r="A53" s="29">
        <v>44</v>
      </c>
      <c r="B53" s="30"/>
      <c r="C53" s="41"/>
      <c r="D53" s="30"/>
      <c r="E53" s="41"/>
      <c r="F53" s="30">
        <v>498</v>
      </c>
      <c r="G53" s="41">
        <v>33</v>
      </c>
      <c r="H53" s="42"/>
      <c r="I53" s="43"/>
      <c r="J53" s="42"/>
      <c r="K53" s="43"/>
      <c r="L53" s="42"/>
      <c r="M53" s="43"/>
    </row>
    <row r="54" spans="1:13">
      <c r="A54" s="29">
        <v>45</v>
      </c>
      <c r="B54" s="30"/>
      <c r="C54" s="41"/>
      <c r="D54" s="30"/>
      <c r="E54" s="41"/>
      <c r="F54" s="30">
        <v>506.38167119999997</v>
      </c>
      <c r="G54" s="41">
        <v>31</v>
      </c>
      <c r="H54" s="42"/>
      <c r="I54" s="43"/>
      <c r="J54" s="42"/>
      <c r="K54" s="43"/>
      <c r="L54" s="42"/>
      <c r="M54" s="43"/>
    </row>
    <row r="55" spans="1:13">
      <c r="A55" s="29">
        <v>46</v>
      </c>
      <c r="B55" s="30"/>
      <c r="C55" s="41"/>
      <c r="D55" s="30"/>
      <c r="E55" s="41"/>
      <c r="F55" s="30">
        <v>509.06761680000005</v>
      </c>
      <c r="G55" s="41">
        <v>27</v>
      </c>
      <c r="H55" s="42"/>
      <c r="I55" s="43"/>
      <c r="J55" s="42"/>
      <c r="K55" s="43"/>
      <c r="L55" s="42"/>
      <c r="M55" s="43"/>
    </row>
    <row r="56" spans="1:13">
      <c r="A56" s="29">
        <v>47</v>
      </c>
      <c r="B56" s="30"/>
      <c r="C56" s="41"/>
      <c r="D56" s="30"/>
      <c r="E56" s="41"/>
      <c r="F56" s="30">
        <v>513.7021896</v>
      </c>
      <c r="G56" s="41">
        <v>29</v>
      </c>
      <c r="H56" s="42"/>
      <c r="I56" s="43"/>
      <c r="J56" s="42"/>
      <c r="K56" s="43"/>
      <c r="L56" s="42"/>
      <c r="M56" s="43"/>
    </row>
    <row r="57" spans="1:13">
      <c r="A57" s="29">
        <v>48</v>
      </c>
      <c r="B57" s="30"/>
      <c r="C57" s="41"/>
      <c r="D57" s="30"/>
      <c r="E57" s="41"/>
      <c r="F57" s="30">
        <v>653.05536720000009</v>
      </c>
      <c r="G57" s="41">
        <v>83</v>
      </c>
      <c r="H57" s="42"/>
      <c r="I57" s="43"/>
      <c r="J57" s="42"/>
      <c r="K57" s="43"/>
      <c r="L57" s="42"/>
      <c r="M57" s="43"/>
    </row>
    <row r="58" spans="1:13">
      <c r="A58" s="29">
        <v>49</v>
      </c>
      <c r="B58" s="30"/>
      <c r="C58" s="41"/>
      <c r="D58" s="30"/>
      <c r="E58" s="41"/>
      <c r="F58" s="30">
        <v>680.49414480000007</v>
      </c>
      <c r="G58" s="41">
        <v>31</v>
      </c>
      <c r="H58" s="42"/>
      <c r="I58" s="43"/>
      <c r="J58" s="42"/>
      <c r="K58" s="43"/>
      <c r="L58" s="42"/>
      <c r="M58" s="43"/>
    </row>
    <row r="59" spans="1:13">
      <c r="A59" s="29">
        <v>50</v>
      </c>
      <c r="B59" s="30"/>
      <c r="C59" s="41"/>
      <c r="D59" s="30"/>
      <c r="E59" s="41"/>
      <c r="F59" s="30"/>
      <c r="G59" s="41"/>
      <c r="H59" s="42"/>
      <c r="I59" s="43"/>
      <c r="J59" s="42"/>
      <c r="K59" s="43"/>
      <c r="L59" s="42"/>
      <c r="M59" s="43"/>
    </row>
  </sheetData>
  <sheetCalcPr fullCalcOnLoad="1"/>
  <sheetProtection sheet="1" objects="1" scenarios="1"/>
  <mergeCells count="6">
    <mergeCell ref="J6:K6"/>
    <mergeCell ref="L6:M6"/>
    <mergeCell ref="B6:C6"/>
    <mergeCell ref="D6:E6"/>
    <mergeCell ref="F6:G6"/>
    <mergeCell ref="H6:I6"/>
  </mergeCells>
  <pageMargins left="0.75" right="0.75" top="1" bottom="1" header="0.5" footer="0.5"/>
  <pageSetup paperSize="0" orientation="portrait" horizontalDpi="4294967292" verticalDpi="4294967292"/>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45083" r:id="rId3" name="Button 27">
              <controlPr defaultSize="0" print="0" autoFill="0" autoPict="0" macro="[0]!OutputResults">
                <anchor moveWithCells="1" sizeWithCells="1">
                  <from>
                    <xdr:col>9</xdr:col>
                    <xdr:colOff>57150</xdr:colOff>
                    <xdr:row>1</xdr:row>
                    <xdr:rowOff>95250</xdr:rowOff>
                  </from>
                  <to>
                    <xdr:col>10</xdr:col>
                    <xdr:colOff>82550</xdr:colOff>
                    <xdr:row>3</xdr:row>
                    <xdr:rowOff>120650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N59"/>
  <sheetViews>
    <sheetView workbookViewId="0">
      <selection sqref="A1:IV65536"/>
    </sheetView>
  </sheetViews>
  <sheetFormatPr defaultColWidth="8.81640625" defaultRowHeight="12.5"/>
  <cols>
    <col min="1" max="1" width="14.81640625" bestFit="1" customWidth="1"/>
    <col min="2" max="7" width="8.81640625" customWidth="1"/>
    <col min="8" max="8" width="9.1796875" style="8" customWidth="1"/>
    <col min="9" max="9" width="6.36328125" style="8" bestFit="1" customWidth="1"/>
    <col min="10" max="13" width="6.36328125" style="8" customWidth="1"/>
    <col min="14" max="14" width="9.6328125" customWidth="1"/>
  </cols>
  <sheetData>
    <row r="1" spans="1:14">
      <c r="A1" s="3" t="s">
        <v>46</v>
      </c>
      <c r="B1" s="2" t="s">
        <v>39</v>
      </c>
      <c r="C1" s="2"/>
      <c r="E1" s="3" t="s">
        <v>124</v>
      </c>
      <c r="F1" s="1">
        <v>5</v>
      </c>
      <c r="G1" t="s">
        <v>123</v>
      </c>
    </row>
    <row r="2" spans="1:14">
      <c r="A2" s="3" t="s">
        <v>62</v>
      </c>
      <c r="B2" s="11"/>
      <c r="C2" s="2"/>
    </row>
    <row r="3" spans="1:14" ht="12" customHeight="1">
      <c r="A3" s="3" t="s">
        <v>63</v>
      </c>
      <c r="B3" s="13"/>
      <c r="C3" s="2"/>
      <c r="I3" s="3" t="s">
        <v>70</v>
      </c>
    </row>
    <row r="4" spans="1:14">
      <c r="A4" s="3" t="s">
        <v>49</v>
      </c>
      <c r="B4" s="2" t="s">
        <v>58</v>
      </c>
      <c r="C4" s="2"/>
    </row>
    <row r="5" spans="1:14" ht="12" customHeight="1">
      <c r="A5" s="3"/>
      <c r="B5" s="2"/>
      <c r="C5" s="2"/>
    </row>
    <row r="6" spans="1:14">
      <c r="B6" s="6" t="s">
        <v>126</v>
      </c>
      <c r="C6" s="21"/>
      <c r="D6" s="6" t="s">
        <v>8</v>
      </c>
      <c r="E6" s="21"/>
      <c r="F6" s="6" t="s">
        <v>9</v>
      </c>
      <c r="G6" s="21"/>
      <c r="H6" s="6" t="s">
        <v>10</v>
      </c>
      <c r="I6" s="21"/>
      <c r="J6" s="6" t="s">
        <v>11</v>
      </c>
      <c r="K6" s="21"/>
      <c r="L6" s="6" t="s">
        <v>13</v>
      </c>
      <c r="M6" s="21"/>
      <c r="N6" s="8"/>
    </row>
    <row r="7" spans="1:14">
      <c r="B7" s="9" t="s">
        <v>52</v>
      </c>
      <c r="C7" s="22" t="s">
        <v>53</v>
      </c>
      <c r="D7" s="9" t="s">
        <v>52</v>
      </c>
      <c r="E7" s="22" t="s">
        <v>53</v>
      </c>
      <c r="F7" s="9" t="s">
        <v>52</v>
      </c>
      <c r="G7" s="22" t="s">
        <v>53</v>
      </c>
      <c r="H7" s="9" t="s">
        <v>52</v>
      </c>
      <c r="I7" s="22" t="s">
        <v>53</v>
      </c>
      <c r="J7" s="9" t="s">
        <v>52</v>
      </c>
      <c r="K7" s="22" t="s">
        <v>53</v>
      </c>
      <c r="L7" s="9" t="s">
        <v>52</v>
      </c>
      <c r="M7" s="22" t="s">
        <v>53</v>
      </c>
    </row>
    <row r="8" spans="1:14">
      <c r="A8" s="27" t="s">
        <v>59</v>
      </c>
      <c r="B8" s="15"/>
      <c r="C8" s="23">
        <v>158.5</v>
      </c>
      <c r="D8" s="15"/>
      <c r="E8" s="23">
        <v>94.95</v>
      </c>
      <c r="F8" s="15"/>
      <c r="G8" s="23">
        <v>196.65</v>
      </c>
      <c r="H8" s="15"/>
      <c r="I8" s="23">
        <v>78.2</v>
      </c>
      <c r="J8" s="15"/>
      <c r="K8" s="23">
        <v>0</v>
      </c>
      <c r="L8" s="15"/>
      <c r="M8" s="23">
        <v>0</v>
      </c>
    </row>
    <row r="9" spans="1:14">
      <c r="A9" s="28" t="s">
        <v>65</v>
      </c>
      <c r="B9" s="16"/>
      <c r="C9" s="24">
        <v>6</v>
      </c>
      <c r="D9" s="16"/>
      <c r="E9" s="24">
        <v>11</v>
      </c>
      <c r="F9" s="16"/>
      <c r="G9" s="24">
        <v>10</v>
      </c>
      <c r="H9" s="17"/>
      <c r="I9" s="24">
        <v>12</v>
      </c>
      <c r="J9" s="17"/>
      <c r="K9" s="24">
        <v>0</v>
      </c>
      <c r="L9" s="17"/>
      <c r="M9" s="24">
        <v>0</v>
      </c>
    </row>
    <row r="10" spans="1:14">
      <c r="A10" s="29">
        <v>1</v>
      </c>
      <c r="B10" s="1">
        <v>42.91</v>
      </c>
      <c r="C10" s="25">
        <v>619</v>
      </c>
      <c r="D10" s="1">
        <v>44.26</v>
      </c>
      <c r="E10" s="25">
        <v>519</v>
      </c>
      <c r="F10" s="1">
        <v>42.91</v>
      </c>
      <c r="G10" s="25">
        <v>492</v>
      </c>
      <c r="H10" s="18">
        <v>44.26</v>
      </c>
      <c r="I10" s="26">
        <v>402</v>
      </c>
      <c r="J10" s="18"/>
      <c r="K10" s="26"/>
      <c r="L10" s="18"/>
      <c r="M10" s="26"/>
    </row>
    <row r="11" spans="1:14">
      <c r="A11" s="29">
        <v>2</v>
      </c>
      <c r="B11" s="1">
        <v>46.28</v>
      </c>
      <c r="C11" s="25">
        <v>1319</v>
      </c>
      <c r="D11" s="1">
        <v>64.010000000000005</v>
      </c>
      <c r="E11" s="25">
        <v>38</v>
      </c>
      <c r="F11" s="1">
        <v>54.83</v>
      </c>
      <c r="G11" s="25">
        <v>310</v>
      </c>
      <c r="H11" s="18">
        <v>64.349999999999994</v>
      </c>
      <c r="I11" s="26">
        <v>33</v>
      </c>
      <c r="J11" s="18"/>
      <c r="K11" s="26"/>
      <c r="L11" s="18"/>
      <c r="M11" s="26"/>
    </row>
    <row r="12" spans="1:14" ht="12" customHeight="1">
      <c r="A12" s="29">
        <v>3</v>
      </c>
      <c r="B12" s="1">
        <v>65.69</v>
      </c>
      <c r="C12" s="25">
        <v>71</v>
      </c>
      <c r="D12" s="1">
        <v>82.89</v>
      </c>
      <c r="E12" s="25">
        <v>99</v>
      </c>
      <c r="F12" s="1">
        <v>68.7</v>
      </c>
      <c r="G12" s="25">
        <v>61</v>
      </c>
      <c r="H12" s="18">
        <v>79.62</v>
      </c>
      <c r="I12" s="26">
        <v>136</v>
      </c>
      <c r="J12" s="18"/>
      <c r="K12" s="26"/>
      <c r="L12" s="18"/>
      <c r="M12" s="26"/>
    </row>
    <row r="13" spans="1:14">
      <c r="A13" s="29">
        <v>4</v>
      </c>
      <c r="B13" s="1">
        <v>79.95</v>
      </c>
      <c r="C13" s="25">
        <v>258</v>
      </c>
      <c r="D13" s="1">
        <v>91.87</v>
      </c>
      <c r="E13" s="25">
        <v>28</v>
      </c>
      <c r="F13" s="1">
        <v>79.290000000000006</v>
      </c>
      <c r="G13" s="25">
        <v>248</v>
      </c>
      <c r="H13" s="18">
        <v>99.07</v>
      </c>
      <c r="I13" s="26">
        <v>1564</v>
      </c>
      <c r="J13" s="18"/>
      <c r="K13" s="26"/>
      <c r="L13" s="18"/>
      <c r="M13" s="26"/>
    </row>
    <row r="14" spans="1:14">
      <c r="A14" s="29">
        <v>5</v>
      </c>
      <c r="B14" s="1">
        <v>92.19</v>
      </c>
      <c r="C14" s="25">
        <v>97</v>
      </c>
      <c r="D14" s="1">
        <v>99.07</v>
      </c>
      <c r="E14" s="25">
        <v>107</v>
      </c>
      <c r="F14" s="1">
        <v>92.18</v>
      </c>
      <c r="G14" s="25">
        <v>103</v>
      </c>
      <c r="H14" s="18">
        <v>112.32</v>
      </c>
      <c r="I14" s="26">
        <v>178</v>
      </c>
      <c r="J14" s="18"/>
      <c r="K14" s="26"/>
      <c r="L14" s="18"/>
      <c r="M14" s="26"/>
    </row>
    <row r="15" spans="1:14">
      <c r="A15" s="29">
        <v>6</v>
      </c>
      <c r="B15" s="1">
        <v>99.07</v>
      </c>
      <c r="C15" s="25">
        <v>1178</v>
      </c>
      <c r="D15" s="1">
        <v>106.56</v>
      </c>
      <c r="E15" s="25">
        <v>1899</v>
      </c>
      <c r="F15" s="1">
        <v>94.7</v>
      </c>
      <c r="G15" s="25">
        <v>114</v>
      </c>
      <c r="H15" s="18">
        <v>131.93</v>
      </c>
      <c r="I15" s="26">
        <v>1074</v>
      </c>
      <c r="J15" s="18"/>
      <c r="K15" s="26"/>
      <c r="L15" s="18"/>
      <c r="M15" s="26"/>
    </row>
    <row r="16" spans="1:14">
      <c r="A16" s="29">
        <v>7</v>
      </c>
      <c r="B16" s="1">
        <v>112.23</v>
      </c>
      <c r="C16" s="25">
        <v>77</v>
      </c>
      <c r="D16" s="1">
        <v>191.81</v>
      </c>
      <c r="E16" s="25">
        <v>73</v>
      </c>
      <c r="F16" s="1">
        <v>112.32</v>
      </c>
      <c r="G16" s="25">
        <v>1703</v>
      </c>
      <c r="H16" s="18">
        <v>161.87</v>
      </c>
      <c r="I16" s="26">
        <v>160</v>
      </c>
      <c r="J16" s="18"/>
      <c r="K16" s="26"/>
      <c r="L16" s="18"/>
      <c r="M16" s="26"/>
    </row>
    <row r="17" spans="1:13">
      <c r="A17" s="29">
        <v>8</v>
      </c>
      <c r="B17" s="1">
        <v>117.89</v>
      </c>
      <c r="C17" s="25">
        <v>141</v>
      </c>
      <c r="D17" s="1">
        <v>224.35</v>
      </c>
      <c r="E17" s="25">
        <v>36</v>
      </c>
      <c r="F17" s="1">
        <v>129.94999999999999</v>
      </c>
      <c r="G17" s="25">
        <v>2152</v>
      </c>
      <c r="H17" s="18">
        <v>247.05</v>
      </c>
      <c r="I17" s="26">
        <v>298</v>
      </c>
      <c r="J17" s="18"/>
      <c r="K17" s="26"/>
      <c r="L17" s="18"/>
      <c r="M17" s="26"/>
    </row>
    <row r="18" spans="1:13">
      <c r="A18" s="29">
        <v>9</v>
      </c>
      <c r="B18" s="1">
        <v>123.81</v>
      </c>
      <c r="C18" s="25">
        <v>101</v>
      </c>
      <c r="D18" s="1">
        <v>245.24</v>
      </c>
      <c r="E18" s="25">
        <v>1371</v>
      </c>
      <c r="F18" s="1">
        <v>139.31</v>
      </c>
      <c r="G18" s="25">
        <v>237</v>
      </c>
      <c r="H18" s="18">
        <v>266.83</v>
      </c>
      <c r="I18" s="26">
        <v>1468</v>
      </c>
      <c r="J18" s="18"/>
      <c r="K18" s="26"/>
      <c r="L18" s="18"/>
      <c r="M18" s="26"/>
    </row>
    <row r="19" spans="1:13">
      <c r="A19" s="29">
        <v>10</v>
      </c>
      <c r="B19" s="1">
        <v>128.32</v>
      </c>
      <c r="C19" s="25">
        <v>85</v>
      </c>
      <c r="D19" s="1">
        <v>255.82</v>
      </c>
      <c r="E19" s="25">
        <v>50</v>
      </c>
      <c r="F19" s="1">
        <v>144.26</v>
      </c>
      <c r="G19" s="25">
        <v>136</v>
      </c>
      <c r="H19" s="18">
        <v>431.93</v>
      </c>
      <c r="I19" s="26">
        <v>90</v>
      </c>
      <c r="J19" s="18"/>
      <c r="K19" s="26"/>
      <c r="L19" s="18"/>
      <c r="M19" s="26"/>
    </row>
    <row r="20" spans="1:13">
      <c r="A20" s="29">
        <v>11</v>
      </c>
      <c r="B20" s="1">
        <v>138.16</v>
      </c>
      <c r="C20" s="25">
        <v>107</v>
      </c>
      <c r="D20" s="1">
        <v>269.06</v>
      </c>
      <c r="E20" s="25">
        <v>25</v>
      </c>
      <c r="F20" s="1">
        <v>149.69999999999999</v>
      </c>
      <c r="G20" s="25">
        <v>129</v>
      </c>
      <c r="H20" s="18">
        <v>455.63</v>
      </c>
      <c r="I20" s="26">
        <v>125</v>
      </c>
      <c r="J20" s="18"/>
      <c r="K20" s="26"/>
      <c r="L20" s="18"/>
      <c r="M20" s="26"/>
    </row>
    <row r="21" spans="1:13">
      <c r="A21" s="29">
        <v>12</v>
      </c>
      <c r="B21" s="1">
        <v>149.4</v>
      </c>
      <c r="C21" s="25">
        <v>84</v>
      </c>
      <c r="D21" s="1">
        <v>299.05</v>
      </c>
      <c r="E21" s="25">
        <v>72</v>
      </c>
      <c r="F21" s="1">
        <v>153.04</v>
      </c>
      <c r="G21" s="25">
        <v>124</v>
      </c>
      <c r="H21" s="18">
        <v>459.29</v>
      </c>
      <c r="I21" s="26">
        <v>107</v>
      </c>
      <c r="J21" s="18"/>
      <c r="K21" s="26"/>
      <c r="L21" s="18"/>
      <c r="M21" s="26"/>
    </row>
    <row r="22" spans="1:13">
      <c r="A22" s="29">
        <v>13</v>
      </c>
      <c r="B22" s="1">
        <v>152.77000000000001</v>
      </c>
      <c r="C22" s="25">
        <v>88</v>
      </c>
      <c r="D22" s="1">
        <v>304.44</v>
      </c>
      <c r="E22" s="25">
        <v>35</v>
      </c>
      <c r="F22" s="1">
        <v>161.61000000000001</v>
      </c>
      <c r="G22" s="25">
        <v>1559</v>
      </c>
      <c r="H22" s="18">
        <v>468.06</v>
      </c>
      <c r="I22" s="26">
        <v>27</v>
      </c>
      <c r="J22" s="18"/>
      <c r="K22" s="26"/>
      <c r="L22" s="18"/>
      <c r="M22" s="26"/>
    </row>
    <row r="23" spans="1:13">
      <c r="A23" s="29">
        <v>14</v>
      </c>
      <c r="B23" s="1">
        <v>159.47999999999999</v>
      </c>
      <c r="C23" s="25">
        <v>90</v>
      </c>
      <c r="D23" s="1">
        <v>310.66000000000003</v>
      </c>
      <c r="E23" s="25">
        <v>165</v>
      </c>
      <c r="F23" s="1">
        <v>170.72</v>
      </c>
      <c r="G23" s="25">
        <v>236</v>
      </c>
      <c r="H23" s="18">
        <v>484.28</v>
      </c>
      <c r="I23" s="26">
        <v>50</v>
      </c>
      <c r="J23" s="18"/>
      <c r="K23" s="26"/>
      <c r="L23" s="18"/>
      <c r="M23" s="26"/>
    </row>
    <row r="24" spans="1:13">
      <c r="A24" s="29">
        <v>15</v>
      </c>
      <c r="B24" s="1">
        <v>166.64</v>
      </c>
      <c r="C24" s="25">
        <v>89</v>
      </c>
      <c r="D24" s="1">
        <v>315.19</v>
      </c>
      <c r="E24" s="25">
        <v>765</v>
      </c>
      <c r="F24" s="1">
        <v>191.39</v>
      </c>
      <c r="G24" s="25">
        <v>92</v>
      </c>
      <c r="H24" s="18">
        <v>522.70800720000011</v>
      </c>
      <c r="I24" s="26">
        <v>1482</v>
      </c>
      <c r="J24" s="18"/>
      <c r="K24" s="26"/>
      <c r="L24" s="18"/>
      <c r="M24" s="26"/>
    </row>
    <row r="25" spans="1:13">
      <c r="A25" s="29">
        <v>16</v>
      </c>
      <c r="B25" s="1">
        <v>175.4</v>
      </c>
      <c r="C25" s="25">
        <v>80</v>
      </c>
      <c r="D25" s="1">
        <v>335.78</v>
      </c>
      <c r="E25" s="25">
        <v>31</v>
      </c>
      <c r="F25" s="1">
        <v>195.96</v>
      </c>
      <c r="G25" s="25">
        <v>102</v>
      </c>
      <c r="H25" s="18">
        <v>653.31869519999998</v>
      </c>
      <c r="I25" s="26">
        <v>53</v>
      </c>
      <c r="J25" s="18"/>
      <c r="K25" s="26"/>
      <c r="L25" s="18"/>
      <c r="M25" s="26"/>
    </row>
    <row r="26" spans="1:13">
      <c r="A26" s="29">
        <v>17</v>
      </c>
      <c r="B26" s="1">
        <v>179.64</v>
      </c>
      <c r="C26" s="25">
        <v>74</v>
      </c>
      <c r="D26" s="1">
        <v>343.78</v>
      </c>
      <c r="E26" s="25">
        <v>112</v>
      </c>
      <c r="F26" s="1">
        <v>202.53</v>
      </c>
      <c r="G26" s="25">
        <v>125</v>
      </c>
      <c r="H26" s="18"/>
      <c r="I26" s="26"/>
      <c r="J26" s="18"/>
      <c r="K26" s="26"/>
      <c r="L26" s="18"/>
      <c r="M26" s="26"/>
    </row>
    <row r="27" spans="1:13">
      <c r="A27" s="29">
        <v>18</v>
      </c>
      <c r="B27" s="1">
        <v>185.2</v>
      </c>
      <c r="C27" s="25">
        <v>73</v>
      </c>
      <c r="D27" s="1">
        <v>360.78</v>
      </c>
      <c r="E27" s="25">
        <v>245</v>
      </c>
      <c r="F27" s="1">
        <v>210.09</v>
      </c>
      <c r="G27" s="25">
        <v>98</v>
      </c>
      <c r="H27" s="18"/>
      <c r="I27" s="26"/>
      <c r="J27" s="18"/>
      <c r="K27" s="26"/>
      <c r="L27" s="18"/>
      <c r="M27" s="26"/>
    </row>
    <row r="28" spans="1:13">
      <c r="A28" s="29">
        <v>19</v>
      </c>
      <c r="B28" s="1">
        <v>188.9</v>
      </c>
      <c r="C28" s="25">
        <v>72</v>
      </c>
      <c r="D28" s="1">
        <v>365.24</v>
      </c>
      <c r="E28" s="25">
        <v>1635</v>
      </c>
      <c r="F28" s="1">
        <v>212.6</v>
      </c>
      <c r="G28" s="25">
        <v>107</v>
      </c>
      <c r="H28" s="18"/>
      <c r="I28" s="26"/>
      <c r="J28" s="18"/>
      <c r="K28" s="26"/>
      <c r="L28" s="18"/>
      <c r="M28" s="26"/>
    </row>
    <row r="29" spans="1:13">
      <c r="A29" s="29">
        <v>20</v>
      </c>
      <c r="B29" s="1">
        <v>194.19</v>
      </c>
      <c r="C29" s="25">
        <v>73</v>
      </c>
      <c r="D29" s="1">
        <v>387.48</v>
      </c>
      <c r="E29" s="25">
        <v>213</v>
      </c>
      <c r="F29" s="1">
        <v>218.42</v>
      </c>
      <c r="G29" s="25">
        <v>216</v>
      </c>
      <c r="H29" s="18"/>
      <c r="I29" s="26"/>
      <c r="J29" s="18"/>
      <c r="K29" s="26"/>
      <c r="L29" s="18"/>
      <c r="M29" s="26"/>
    </row>
    <row r="30" spans="1:13">
      <c r="A30" s="29">
        <v>21</v>
      </c>
      <c r="B30" s="1">
        <v>200.55</v>
      </c>
      <c r="C30" s="25">
        <v>90</v>
      </c>
      <c r="D30" s="1"/>
      <c r="E30" s="25"/>
      <c r="F30" s="1">
        <v>232.97</v>
      </c>
      <c r="G30" s="25">
        <v>98</v>
      </c>
      <c r="H30" s="18"/>
      <c r="I30" s="26"/>
      <c r="J30" s="18"/>
      <c r="K30" s="26"/>
      <c r="L30" s="18"/>
      <c r="M30" s="26"/>
    </row>
    <row r="31" spans="1:13">
      <c r="A31" s="29">
        <v>22</v>
      </c>
      <c r="B31" s="1">
        <v>207.18</v>
      </c>
      <c r="C31" s="25">
        <v>74</v>
      </c>
      <c r="D31" s="1"/>
      <c r="E31" s="25"/>
      <c r="F31" s="1">
        <v>237.86</v>
      </c>
      <c r="G31" s="25">
        <v>100</v>
      </c>
      <c r="H31" s="18"/>
      <c r="I31" s="26"/>
      <c r="J31" s="18"/>
      <c r="K31" s="26"/>
      <c r="L31" s="18"/>
      <c r="M31" s="26"/>
    </row>
    <row r="32" spans="1:13">
      <c r="A32" s="29">
        <v>23</v>
      </c>
      <c r="B32" s="1">
        <v>212.66</v>
      </c>
      <c r="C32" s="25">
        <v>90</v>
      </c>
      <c r="D32" s="1"/>
      <c r="E32" s="25"/>
      <c r="F32" s="1">
        <v>247.05</v>
      </c>
      <c r="G32" s="25">
        <v>3933</v>
      </c>
      <c r="H32" s="18"/>
      <c r="I32" s="26"/>
      <c r="J32" s="18"/>
      <c r="K32" s="26"/>
      <c r="L32" s="18"/>
      <c r="M32" s="26"/>
    </row>
    <row r="33" spans="1:13">
      <c r="A33" s="29">
        <v>24</v>
      </c>
      <c r="B33" s="1">
        <v>215.94</v>
      </c>
      <c r="C33" s="25">
        <v>112</v>
      </c>
      <c r="D33" s="1"/>
      <c r="E33" s="25"/>
      <c r="F33" s="1">
        <v>339.74</v>
      </c>
      <c r="G33" s="25">
        <v>31</v>
      </c>
      <c r="H33" s="18"/>
      <c r="I33" s="26"/>
      <c r="J33" s="18"/>
      <c r="K33" s="26"/>
      <c r="L33" s="18"/>
      <c r="M33" s="26"/>
    </row>
    <row r="34" spans="1:13">
      <c r="A34" s="29">
        <v>25</v>
      </c>
      <c r="B34" s="1">
        <v>222.46</v>
      </c>
      <c r="C34" s="25">
        <v>86</v>
      </c>
      <c r="D34" s="1"/>
      <c r="E34" s="25"/>
      <c r="F34" s="1">
        <v>374.72</v>
      </c>
      <c r="G34" s="25">
        <v>32</v>
      </c>
      <c r="H34" s="18"/>
      <c r="I34" s="26"/>
      <c r="J34" s="18"/>
      <c r="K34" s="26"/>
      <c r="L34" s="18"/>
      <c r="M34" s="26"/>
    </row>
    <row r="35" spans="1:13">
      <c r="A35" s="29">
        <v>26</v>
      </c>
      <c r="B35" s="1">
        <v>225.71</v>
      </c>
      <c r="C35" s="25">
        <v>69</v>
      </c>
      <c r="D35" s="1"/>
      <c r="E35" s="25"/>
      <c r="F35" s="1">
        <v>379.49</v>
      </c>
      <c r="G35" s="25">
        <v>37</v>
      </c>
      <c r="H35" s="18"/>
      <c r="I35" s="26"/>
      <c r="J35" s="18"/>
      <c r="K35" s="26"/>
      <c r="L35" s="18"/>
      <c r="M35" s="26"/>
    </row>
    <row r="36" spans="1:13">
      <c r="A36" s="29">
        <v>27</v>
      </c>
      <c r="B36" s="1">
        <v>231.63</v>
      </c>
      <c r="C36" s="25">
        <v>87</v>
      </c>
      <c r="D36" s="1"/>
      <c r="E36" s="25"/>
      <c r="F36" s="1">
        <v>384</v>
      </c>
      <c r="G36" s="25">
        <v>32</v>
      </c>
      <c r="H36" s="18"/>
      <c r="I36" s="26"/>
      <c r="J36" s="18"/>
      <c r="K36" s="26"/>
      <c r="L36" s="18"/>
      <c r="M36" s="26"/>
    </row>
    <row r="37" spans="1:13">
      <c r="A37" s="29">
        <v>28</v>
      </c>
      <c r="B37" s="1">
        <v>237.25</v>
      </c>
      <c r="C37" s="25">
        <v>94</v>
      </c>
      <c r="D37" s="1"/>
      <c r="E37" s="25"/>
      <c r="F37" s="1">
        <v>392.78</v>
      </c>
      <c r="G37" s="25">
        <v>26</v>
      </c>
      <c r="H37" s="18"/>
      <c r="I37" s="26"/>
      <c r="J37" s="18"/>
      <c r="K37" s="26"/>
      <c r="L37" s="18"/>
      <c r="M37" s="26"/>
    </row>
    <row r="38" spans="1:13">
      <c r="A38" s="29">
        <v>29</v>
      </c>
      <c r="B38" s="1">
        <v>241.52</v>
      </c>
      <c r="C38" s="25">
        <v>92</v>
      </c>
      <c r="D38" s="1"/>
      <c r="E38" s="25"/>
      <c r="F38" s="1">
        <v>400</v>
      </c>
      <c r="G38" s="25">
        <v>38</v>
      </c>
      <c r="H38" s="18"/>
      <c r="I38" s="26"/>
      <c r="J38" s="18"/>
      <c r="K38" s="26"/>
      <c r="L38" s="18"/>
      <c r="M38" s="26"/>
    </row>
    <row r="39" spans="1:13">
      <c r="A39" s="29">
        <v>30</v>
      </c>
      <c r="B39" s="1">
        <v>249.47</v>
      </c>
      <c r="C39" s="25">
        <v>35</v>
      </c>
      <c r="D39" s="1"/>
      <c r="E39" s="25"/>
      <c r="F39" s="1">
        <v>405.95</v>
      </c>
      <c r="G39" s="25">
        <v>32</v>
      </c>
      <c r="H39" s="18"/>
      <c r="I39" s="26"/>
      <c r="J39" s="18"/>
      <c r="K39" s="26"/>
      <c r="L39" s="18"/>
      <c r="M39" s="26"/>
    </row>
    <row r="40" spans="1:13">
      <c r="A40" s="29">
        <v>31</v>
      </c>
      <c r="B40" s="1">
        <v>262.57</v>
      </c>
      <c r="C40" s="25">
        <v>69</v>
      </c>
      <c r="D40" s="1"/>
      <c r="E40" s="25"/>
      <c r="F40" s="1">
        <v>414.92</v>
      </c>
      <c r="G40" s="25">
        <v>27</v>
      </c>
      <c r="H40" s="18"/>
      <c r="I40" s="26"/>
      <c r="J40" s="18"/>
      <c r="K40" s="26"/>
      <c r="L40" s="18"/>
      <c r="M40" s="26"/>
    </row>
    <row r="41" spans="1:13">
      <c r="A41" s="29">
        <v>32</v>
      </c>
      <c r="B41" s="1">
        <v>265.7</v>
      </c>
      <c r="C41" s="25">
        <v>18</v>
      </c>
      <c r="D41" s="1"/>
      <c r="E41" s="25"/>
      <c r="F41" s="1">
        <v>418.47</v>
      </c>
      <c r="G41" s="25">
        <v>28</v>
      </c>
      <c r="H41" s="18"/>
      <c r="I41" s="26"/>
      <c r="J41" s="18"/>
      <c r="K41" s="26"/>
      <c r="L41" s="18"/>
      <c r="M41" s="26"/>
    </row>
    <row r="42" spans="1:13">
      <c r="A42" s="29">
        <v>33</v>
      </c>
      <c r="B42" s="1">
        <v>269.06</v>
      </c>
      <c r="C42" s="25">
        <v>52</v>
      </c>
      <c r="D42" s="1"/>
      <c r="E42" s="25"/>
      <c r="F42" s="1">
        <v>422.3</v>
      </c>
      <c r="G42" s="25">
        <v>27</v>
      </c>
      <c r="H42" s="18"/>
      <c r="I42" s="26"/>
      <c r="J42" s="18"/>
      <c r="K42" s="26"/>
      <c r="L42" s="18"/>
      <c r="M42" s="26"/>
    </row>
    <row r="43" spans="1:13">
      <c r="A43" s="29">
        <v>34</v>
      </c>
      <c r="B43" s="1">
        <v>290.52999999999997</v>
      </c>
      <c r="C43" s="25">
        <v>33</v>
      </c>
      <c r="D43" s="1"/>
      <c r="E43" s="25"/>
      <c r="F43" s="1">
        <v>427.52</v>
      </c>
      <c r="G43" s="25">
        <v>38</v>
      </c>
      <c r="H43" s="18"/>
      <c r="I43" s="26"/>
      <c r="J43" s="18"/>
      <c r="K43" s="26"/>
      <c r="L43" s="18"/>
      <c r="M43" s="26"/>
    </row>
    <row r="44" spans="1:13">
      <c r="A44" s="29">
        <v>35</v>
      </c>
      <c r="B44" s="1">
        <v>300.74</v>
      </c>
      <c r="C44" s="25">
        <v>108</v>
      </c>
      <c r="D44" s="1"/>
      <c r="E44" s="25"/>
      <c r="F44" s="1">
        <v>434.7</v>
      </c>
      <c r="G44" s="25">
        <v>25</v>
      </c>
      <c r="H44" s="18"/>
      <c r="I44" s="26"/>
      <c r="J44" s="18"/>
      <c r="K44" s="26"/>
      <c r="L44" s="18"/>
      <c r="M44" s="26"/>
    </row>
    <row r="45" spans="1:13">
      <c r="A45" s="29">
        <v>36</v>
      </c>
      <c r="B45" s="1">
        <v>312.92</v>
      </c>
      <c r="C45" s="25">
        <v>37</v>
      </c>
      <c r="D45" s="1"/>
      <c r="E45" s="25"/>
      <c r="F45" s="1">
        <v>442.74</v>
      </c>
      <c r="G45" s="25">
        <v>54</v>
      </c>
      <c r="H45" s="18"/>
      <c r="I45" s="26"/>
      <c r="J45" s="18"/>
      <c r="K45" s="26"/>
      <c r="L45" s="18"/>
      <c r="M45" s="26"/>
    </row>
    <row r="46" spans="1:13">
      <c r="A46" s="29">
        <v>37</v>
      </c>
      <c r="B46" s="1">
        <v>343.24</v>
      </c>
      <c r="C46" s="25">
        <v>1619</v>
      </c>
      <c r="D46" s="1"/>
      <c r="E46" s="25"/>
      <c r="F46" s="1">
        <v>450.56</v>
      </c>
      <c r="G46" s="25">
        <v>41</v>
      </c>
      <c r="H46" s="18"/>
      <c r="I46" s="26"/>
      <c r="J46" s="18"/>
      <c r="K46" s="26"/>
      <c r="L46" s="18"/>
      <c r="M46" s="26"/>
    </row>
    <row r="47" spans="1:13">
      <c r="A47" s="29">
        <v>38</v>
      </c>
      <c r="B47" s="1">
        <v>358.15</v>
      </c>
      <c r="C47" s="25">
        <v>142</v>
      </c>
      <c r="D47" s="1"/>
      <c r="E47" s="25"/>
      <c r="F47" s="1">
        <v>457.03</v>
      </c>
      <c r="G47" s="25">
        <v>57</v>
      </c>
      <c r="H47" s="18"/>
      <c r="I47" s="26"/>
      <c r="J47" s="18"/>
      <c r="K47" s="26"/>
      <c r="L47" s="18"/>
      <c r="M47" s="26"/>
    </row>
    <row r="48" spans="1:13">
      <c r="A48" s="29">
        <v>39</v>
      </c>
      <c r="B48" s="1">
        <v>387.22</v>
      </c>
      <c r="C48" s="25">
        <v>3170</v>
      </c>
      <c r="D48" s="1"/>
      <c r="E48" s="25"/>
      <c r="F48" s="1">
        <v>460.7</v>
      </c>
      <c r="G48" s="25">
        <v>107</v>
      </c>
      <c r="H48" s="18"/>
      <c r="I48" s="26"/>
      <c r="J48" s="18"/>
      <c r="K48" s="26"/>
      <c r="L48" s="18"/>
      <c r="M48" s="26"/>
    </row>
    <row r="49" spans="1:13">
      <c r="A49" s="29">
        <v>40</v>
      </c>
      <c r="B49" s="1"/>
      <c r="C49" s="25"/>
      <c r="D49" s="1"/>
      <c r="E49" s="25"/>
      <c r="F49" s="1">
        <v>476.01</v>
      </c>
      <c r="G49" s="25">
        <v>33</v>
      </c>
      <c r="H49" s="18"/>
      <c r="I49" s="26"/>
      <c r="J49" s="18"/>
      <c r="K49" s="26"/>
      <c r="L49" s="18"/>
      <c r="M49" s="26"/>
    </row>
    <row r="50" spans="1:13">
      <c r="A50" s="29">
        <v>41</v>
      </c>
      <c r="B50" s="1"/>
      <c r="C50" s="25"/>
      <c r="D50" s="1"/>
      <c r="E50" s="25"/>
      <c r="F50" s="1">
        <v>480</v>
      </c>
      <c r="G50" s="25">
        <v>28</v>
      </c>
      <c r="H50" s="18"/>
      <c r="I50" s="26"/>
      <c r="J50" s="18"/>
      <c r="K50" s="26"/>
      <c r="L50" s="18"/>
      <c r="M50" s="26"/>
    </row>
    <row r="51" spans="1:13">
      <c r="A51" s="29">
        <v>42</v>
      </c>
      <c r="B51" s="1"/>
      <c r="C51" s="25"/>
      <c r="D51" s="1"/>
      <c r="E51" s="25"/>
      <c r="F51" s="1">
        <v>482.85</v>
      </c>
      <c r="G51" s="25">
        <v>31</v>
      </c>
      <c r="H51" s="18"/>
      <c r="I51" s="26"/>
      <c r="J51" s="18"/>
      <c r="K51" s="26"/>
      <c r="L51" s="18"/>
      <c r="M51" s="26"/>
    </row>
    <row r="52" spans="1:13">
      <c r="A52" s="29">
        <v>43</v>
      </c>
      <c r="B52" s="1"/>
      <c r="C52" s="25"/>
      <c r="D52" s="1"/>
      <c r="E52" s="25"/>
      <c r="F52" s="1">
        <v>490</v>
      </c>
      <c r="G52" s="25">
        <v>47</v>
      </c>
      <c r="H52" s="18"/>
      <c r="I52" s="26"/>
      <c r="J52" s="18"/>
      <c r="K52" s="26"/>
      <c r="L52" s="18"/>
      <c r="M52" s="26"/>
    </row>
    <row r="53" spans="1:13">
      <c r="A53" s="29">
        <v>44</v>
      </c>
      <c r="B53" s="1"/>
      <c r="C53" s="25"/>
      <c r="D53" s="1"/>
      <c r="E53" s="25"/>
      <c r="F53" s="1">
        <v>498</v>
      </c>
      <c r="G53" s="25">
        <v>33</v>
      </c>
      <c r="H53" s="18"/>
      <c r="I53" s="26"/>
      <c r="J53" s="18"/>
      <c r="K53" s="26"/>
      <c r="L53" s="18"/>
      <c r="M53" s="26"/>
    </row>
    <row r="54" spans="1:13">
      <c r="A54" s="29">
        <v>45</v>
      </c>
      <c r="B54" s="1"/>
      <c r="C54" s="25"/>
      <c r="D54" s="1"/>
      <c r="E54" s="25"/>
      <c r="F54" s="1">
        <v>506.38167119999997</v>
      </c>
      <c r="G54" s="25">
        <v>31</v>
      </c>
      <c r="H54" s="18"/>
      <c r="I54" s="26"/>
      <c r="J54" s="18"/>
      <c r="K54" s="26"/>
      <c r="L54" s="18"/>
      <c r="M54" s="26"/>
    </row>
    <row r="55" spans="1:13">
      <c r="A55" s="29">
        <v>46</v>
      </c>
      <c r="B55" s="1"/>
      <c r="C55" s="25"/>
      <c r="D55" s="1"/>
      <c r="E55" s="25"/>
      <c r="F55" s="1">
        <v>509.06761680000005</v>
      </c>
      <c r="G55" s="25">
        <v>27</v>
      </c>
      <c r="H55" s="18"/>
      <c r="I55" s="26"/>
      <c r="J55" s="18"/>
      <c r="K55" s="26"/>
      <c r="L55" s="18"/>
      <c r="M55" s="26"/>
    </row>
    <row r="56" spans="1:13">
      <c r="A56" s="29">
        <v>47</v>
      </c>
      <c r="B56" s="1"/>
      <c r="C56" s="25"/>
      <c r="D56" s="1"/>
      <c r="E56" s="25"/>
      <c r="F56" s="1">
        <v>513.7021896</v>
      </c>
      <c r="G56" s="25">
        <v>29</v>
      </c>
      <c r="H56" s="18"/>
      <c r="I56" s="26"/>
      <c r="J56" s="18"/>
      <c r="K56" s="26"/>
      <c r="L56" s="18"/>
      <c r="M56" s="26"/>
    </row>
    <row r="57" spans="1:13">
      <c r="A57" s="29">
        <v>48</v>
      </c>
      <c r="B57" s="1"/>
      <c r="C57" s="25"/>
      <c r="D57" s="1"/>
      <c r="E57" s="25"/>
      <c r="F57" s="1">
        <v>653.05536720000009</v>
      </c>
      <c r="G57" s="25">
        <v>83</v>
      </c>
      <c r="H57" s="18"/>
      <c r="I57" s="26"/>
      <c r="J57" s="18"/>
      <c r="K57" s="26"/>
      <c r="L57" s="18"/>
      <c r="M57" s="26"/>
    </row>
    <row r="58" spans="1:13">
      <c r="A58" s="29">
        <v>49</v>
      </c>
      <c r="B58" s="1"/>
      <c r="C58" s="25"/>
      <c r="D58" s="1"/>
      <c r="E58" s="25"/>
      <c r="F58" s="1">
        <v>680.49414480000007</v>
      </c>
      <c r="G58" s="25">
        <v>31</v>
      </c>
      <c r="H58" s="18"/>
      <c r="I58" s="26"/>
      <c r="J58" s="18"/>
      <c r="K58" s="26"/>
      <c r="L58" s="18"/>
      <c r="M58" s="26"/>
    </row>
    <row r="59" spans="1:13">
      <c r="A59" s="29">
        <v>50</v>
      </c>
      <c r="B59" s="1"/>
      <c r="C59" s="25"/>
      <c r="D59" s="1"/>
      <c r="E59" s="25"/>
      <c r="F59" s="1"/>
      <c r="G59" s="25"/>
      <c r="H59" s="18"/>
      <c r="I59" s="26"/>
      <c r="J59" s="18"/>
      <c r="K59" s="26"/>
      <c r="L59" s="18"/>
      <c r="M59" s="26"/>
    </row>
  </sheetData>
  <pageMargins left="0.75" right="0.75" top="1" bottom="1" header="0.5" footer="0.5"/>
  <pageSetup scale="82" orientation="portrait"/>
  <headerFooter alignWithMargins="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J45"/>
  <sheetViews>
    <sheetView showGridLines="0" workbookViewId="0"/>
  </sheetViews>
  <sheetFormatPr defaultColWidth="10.81640625" defaultRowHeight="15.5"/>
  <cols>
    <col min="1" max="1" width="28.453125" style="48" customWidth="1"/>
    <col min="2" max="4" width="10.81640625" style="48"/>
    <col min="5" max="10" width="11.81640625" style="48" customWidth="1"/>
    <col min="11" max="16384" width="10.81640625" style="48"/>
  </cols>
  <sheetData>
    <row r="1" spans="1:10">
      <c r="C1" s="49"/>
      <c r="D1" s="49"/>
    </row>
    <row r="2" spans="1:10">
      <c r="A2" s="50" t="s">
        <v>46</v>
      </c>
      <c r="B2" s="51" t="str">
        <f>Unknown!B1</f>
        <v>L-24</v>
      </c>
      <c r="C2" s="49"/>
      <c r="D2" s="52" t="s">
        <v>56</v>
      </c>
      <c r="E2" s="56">
        <f ca="1">TODAY()</f>
        <v>43857</v>
      </c>
    </row>
    <row r="3" spans="1:10">
      <c r="A3" s="52" t="s">
        <v>64</v>
      </c>
      <c r="B3" s="53">
        <f>Unknown!B2</f>
        <v>0</v>
      </c>
      <c r="C3" s="49"/>
      <c r="D3" s="49"/>
    </row>
    <row r="4" spans="1:10">
      <c r="A4" s="54" t="s">
        <v>62</v>
      </c>
      <c r="B4" s="53">
        <f>Unknown!B3</f>
        <v>0</v>
      </c>
      <c r="C4" s="49"/>
      <c r="D4" s="49"/>
    </row>
    <row r="5" spans="1:10">
      <c r="A5" s="52" t="s">
        <v>49</v>
      </c>
      <c r="B5" s="55" t="str">
        <f>Unknown!B4</f>
        <v>Soil Core</v>
      </c>
      <c r="C5" s="49"/>
      <c r="D5" s="49"/>
    </row>
    <row r="6" spans="1:10">
      <c r="C6" s="49"/>
      <c r="D6" s="49"/>
    </row>
    <row r="7" spans="1:10">
      <c r="A7" s="71" t="s">
        <v>5</v>
      </c>
      <c r="B7" s="57"/>
      <c r="C7" s="58"/>
      <c r="D7" s="58"/>
      <c r="E7" s="57"/>
      <c r="F7" s="57"/>
      <c r="G7" s="57"/>
      <c r="H7" s="57"/>
      <c r="I7" s="57"/>
      <c r="J7" s="57"/>
    </row>
    <row r="8" spans="1:10">
      <c r="A8" s="55"/>
      <c r="C8" s="49"/>
      <c r="D8" s="49"/>
      <c r="E8" s="84" t="s">
        <v>57</v>
      </c>
      <c r="F8" s="84"/>
      <c r="G8" s="84"/>
      <c r="H8" s="84"/>
      <c r="I8" s="85"/>
      <c r="J8" s="85"/>
    </row>
    <row r="9" spans="1:10" s="60" customFormat="1" ht="31">
      <c r="A9" s="59" t="s">
        <v>50</v>
      </c>
      <c r="B9" s="72" t="s">
        <v>51</v>
      </c>
      <c r="C9" s="72" t="s">
        <v>55</v>
      </c>
      <c r="D9" s="73"/>
      <c r="E9" s="74" t="str">
        <f>Knowns!B1</f>
        <v>Hinf1-ITS4</v>
      </c>
      <c r="F9" s="74" t="str">
        <f>Knowns!C1</f>
        <v>Hinf1-ITS1F</v>
      </c>
      <c r="G9" s="74" t="str">
        <f>Knowns!D1</f>
        <v>HaeIII-ITS4</v>
      </c>
      <c r="H9" s="74" t="str">
        <f>Knowns!E1</f>
        <v>HaeIII-ITS1</v>
      </c>
      <c r="I9" s="74" t="str">
        <f>Knowns!F1</f>
        <v>DpnII-ITS4</v>
      </c>
      <c r="J9" s="74" t="str">
        <f>Knowns!G1</f>
        <v>(none)</v>
      </c>
    </row>
    <row r="10" spans="1:10">
      <c r="A10" s="61" t="s">
        <v>105</v>
      </c>
      <c r="B10" s="62">
        <v>0.63000000000000966</v>
      </c>
      <c r="C10" s="63" t="s">
        <v>19</v>
      </c>
      <c r="D10" s="63"/>
      <c r="E10" s="62">
        <v>99.7</v>
      </c>
      <c r="F10" s="62">
        <v>314.8</v>
      </c>
      <c r="G10" s="62">
        <v>161.9</v>
      </c>
      <c r="H10" s="62">
        <v>132</v>
      </c>
      <c r="I10" s="62" t="s">
        <v>20</v>
      </c>
      <c r="J10" s="62"/>
    </row>
    <row r="11" spans="1:10">
      <c r="A11" s="61" t="s">
        <v>104</v>
      </c>
      <c r="B11" s="62">
        <v>0.84000000000003183</v>
      </c>
      <c r="C11" s="63" t="s">
        <v>19</v>
      </c>
      <c r="D11" s="63"/>
      <c r="E11" s="62">
        <v>342.4</v>
      </c>
      <c r="F11" s="62">
        <v>245.2</v>
      </c>
      <c r="G11" s="62">
        <v>111.8</v>
      </c>
      <c r="H11" s="62">
        <v>99.1</v>
      </c>
      <c r="I11" s="62" t="s">
        <v>20</v>
      </c>
      <c r="J11" s="62"/>
    </row>
    <row r="12" spans="1:10">
      <c r="A12" s="61" t="s">
        <v>91</v>
      </c>
      <c r="B12" s="62">
        <v>0.85999999999999943</v>
      </c>
      <c r="C12" s="63" t="s">
        <v>19</v>
      </c>
      <c r="D12" s="63"/>
      <c r="E12" s="62">
        <v>387.8</v>
      </c>
      <c r="F12" s="62">
        <v>105.7</v>
      </c>
      <c r="G12" s="62">
        <v>247</v>
      </c>
      <c r="H12" s="62">
        <v>522.20000000000005</v>
      </c>
      <c r="I12" s="62" t="s">
        <v>68</v>
      </c>
      <c r="J12" s="62" t="s">
        <v>68</v>
      </c>
    </row>
    <row r="13" spans="1:10">
      <c r="A13" s="61" t="s">
        <v>32</v>
      </c>
      <c r="B13" s="62">
        <v>0.94999999999998863</v>
      </c>
      <c r="C13" s="63" t="s">
        <v>19</v>
      </c>
      <c r="D13" s="63"/>
      <c r="E13" s="62" t="s">
        <v>20</v>
      </c>
      <c r="F13" s="62" t="s">
        <v>20</v>
      </c>
      <c r="G13" s="62">
        <v>129</v>
      </c>
      <c r="H13" s="62">
        <v>266.3</v>
      </c>
      <c r="I13" s="62" t="s">
        <v>68</v>
      </c>
      <c r="J13" s="62" t="s">
        <v>68</v>
      </c>
    </row>
    <row r="14" spans="1:10">
      <c r="A14" s="61" t="s">
        <v>87</v>
      </c>
      <c r="B14" s="62">
        <v>1.28</v>
      </c>
      <c r="C14" s="63" t="s">
        <v>19</v>
      </c>
      <c r="D14" s="63"/>
      <c r="E14" s="62">
        <v>45</v>
      </c>
      <c r="F14" s="62">
        <v>366</v>
      </c>
      <c r="G14" s="62">
        <v>129.80000000000001</v>
      </c>
      <c r="H14" s="62">
        <v>266.39999999999998</v>
      </c>
      <c r="I14" s="62" t="s">
        <v>68</v>
      </c>
      <c r="J14" s="62" t="s">
        <v>68</v>
      </c>
    </row>
    <row r="15" spans="1:10">
      <c r="A15" s="61" t="s">
        <v>92</v>
      </c>
      <c r="B15" s="62">
        <v>3.410000000000025</v>
      </c>
      <c r="C15" s="63" t="s">
        <v>67</v>
      </c>
      <c r="D15" s="63"/>
      <c r="E15" s="62" t="s">
        <v>68</v>
      </c>
      <c r="F15" s="62" t="s">
        <v>68</v>
      </c>
      <c r="G15" s="62" t="s">
        <v>68</v>
      </c>
      <c r="H15" s="62" t="s">
        <v>68</v>
      </c>
      <c r="I15" s="62" t="s">
        <v>68</v>
      </c>
      <c r="J15" s="62" t="s">
        <v>68</v>
      </c>
    </row>
    <row r="16" spans="1:10">
      <c r="A16" s="61" t="s">
        <v>100</v>
      </c>
      <c r="B16" s="62">
        <v>6.160000000000025</v>
      </c>
      <c r="C16" s="63" t="s">
        <v>67</v>
      </c>
      <c r="D16" s="63"/>
      <c r="E16" s="62" t="s">
        <v>68</v>
      </c>
      <c r="F16" s="62" t="s">
        <v>68</v>
      </c>
      <c r="G16" s="62" t="s">
        <v>68</v>
      </c>
      <c r="H16" s="62" t="s">
        <v>68</v>
      </c>
      <c r="I16" s="62" t="s">
        <v>68</v>
      </c>
      <c r="J16" s="62"/>
    </row>
    <row r="17" spans="1:10">
      <c r="A17" s="61" t="s">
        <v>74</v>
      </c>
      <c r="B17" s="62">
        <v>6.4799999999999613</v>
      </c>
      <c r="C17" s="63" t="s">
        <v>67</v>
      </c>
      <c r="D17" s="63"/>
      <c r="E17" s="62" t="s">
        <v>68</v>
      </c>
      <c r="F17" s="62" t="s">
        <v>68</v>
      </c>
      <c r="G17" s="62" t="s">
        <v>68</v>
      </c>
      <c r="H17" s="62" t="s">
        <v>68</v>
      </c>
      <c r="I17" s="62" t="s">
        <v>68</v>
      </c>
      <c r="J17" s="62" t="s">
        <v>68</v>
      </c>
    </row>
    <row r="18" spans="1:10">
      <c r="A18" s="61" t="s">
        <v>54</v>
      </c>
      <c r="B18" s="62">
        <v>12.65</v>
      </c>
      <c r="C18" s="63" t="s">
        <v>67</v>
      </c>
      <c r="D18" s="63"/>
      <c r="E18" s="62" t="s">
        <v>68</v>
      </c>
      <c r="F18" s="62" t="s">
        <v>68</v>
      </c>
      <c r="G18" s="62" t="s">
        <v>68</v>
      </c>
      <c r="H18" s="62" t="s">
        <v>68</v>
      </c>
      <c r="I18" s="62" t="s">
        <v>68</v>
      </c>
      <c r="J18" s="62" t="s">
        <v>68</v>
      </c>
    </row>
    <row r="19" spans="1:10">
      <c r="A19" s="61" t="s">
        <v>110</v>
      </c>
      <c r="B19" s="62">
        <v>13.82000000000005</v>
      </c>
      <c r="C19" s="63" t="s">
        <v>67</v>
      </c>
      <c r="D19" s="63"/>
      <c r="E19" s="62" t="s">
        <v>68</v>
      </c>
      <c r="F19" s="62" t="s">
        <v>68</v>
      </c>
      <c r="G19" s="62" t="s">
        <v>68</v>
      </c>
      <c r="H19" s="62" t="s">
        <v>68</v>
      </c>
      <c r="I19" s="62" t="s">
        <v>68</v>
      </c>
      <c r="J19" s="62"/>
    </row>
    <row r="20" spans="1:10">
      <c r="A20" s="61" t="s">
        <v>86</v>
      </c>
      <c r="B20" s="62">
        <v>15.96</v>
      </c>
      <c r="C20" s="63" t="s">
        <v>67</v>
      </c>
      <c r="D20" s="63"/>
      <c r="E20" s="62" t="s">
        <v>68</v>
      </c>
      <c r="F20" s="62" t="s">
        <v>68</v>
      </c>
      <c r="G20" s="62" t="s">
        <v>68</v>
      </c>
      <c r="H20" s="62" t="s">
        <v>68</v>
      </c>
      <c r="I20" s="62" t="s">
        <v>68</v>
      </c>
      <c r="J20" s="62" t="s">
        <v>68</v>
      </c>
    </row>
    <row r="21" spans="1:10">
      <c r="A21" s="61" t="s">
        <v>78</v>
      </c>
      <c r="B21" s="62">
        <v>16.02</v>
      </c>
      <c r="C21" s="63" t="s">
        <v>67</v>
      </c>
      <c r="D21" s="63"/>
      <c r="E21" s="62" t="s">
        <v>68</v>
      </c>
      <c r="F21" s="62" t="s">
        <v>68</v>
      </c>
      <c r="G21" s="62" t="s">
        <v>68</v>
      </c>
      <c r="H21" s="62" t="s">
        <v>68</v>
      </c>
      <c r="I21" s="62" t="s">
        <v>68</v>
      </c>
      <c r="J21" s="62" t="s">
        <v>68</v>
      </c>
    </row>
    <row r="22" spans="1:10">
      <c r="A22" s="61" t="s">
        <v>34</v>
      </c>
      <c r="B22" s="62">
        <v>16.920000000000002</v>
      </c>
      <c r="C22" s="63" t="s">
        <v>67</v>
      </c>
      <c r="D22" s="63"/>
      <c r="E22" s="62" t="s">
        <v>68</v>
      </c>
      <c r="F22" s="62" t="s">
        <v>68</v>
      </c>
      <c r="G22" s="62" t="s">
        <v>68</v>
      </c>
      <c r="H22" s="62" t="s">
        <v>68</v>
      </c>
      <c r="I22" s="62" t="s">
        <v>68</v>
      </c>
      <c r="J22" s="62" t="s">
        <v>68</v>
      </c>
    </row>
    <row r="23" spans="1:10">
      <c r="A23" s="61" t="s">
        <v>106</v>
      </c>
      <c r="B23" s="62">
        <v>18.63</v>
      </c>
      <c r="C23" s="63" t="s">
        <v>67</v>
      </c>
      <c r="D23" s="63"/>
      <c r="E23" s="62" t="s">
        <v>68</v>
      </c>
      <c r="F23" s="62" t="s">
        <v>68</v>
      </c>
      <c r="G23" s="62" t="s">
        <v>68</v>
      </c>
      <c r="H23" s="62" t="s">
        <v>68</v>
      </c>
      <c r="I23" s="62" t="s">
        <v>68</v>
      </c>
      <c r="J23" s="62"/>
    </row>
    <row r="24" spans="1:10">
      <c r="A24" s="61" t="s">
        <v>95</v>
      </c>
      <c r="B24" s="62">
        <v>18.96</v>
      </c>
      <c r="C24" s="63" t="s">
        <v>67</v>
      </c>
      <c r="D24" s="63"/>
      <c r="E24" s="62" t="s">
        <v>68</v>
      </c>
      <c r="F24" s="62" t="s">
        <v>68</v>
      </c>
      <c r="G24" s="62" t="s">
        <v>68</v>
      </c>
      <c r="H24" s="62" t="s">
        <v>68</v>
      </c>
      <c r="I24" s="62" t="s">
        <v>68</v>
      </c>
      <c r="J24" s="62" t="s">
        <v>68</v>
      </c>
    </row>
    <row r="25" spans="1:10">
      <c r="A25" s="61" t="s">
        <v>75</v>
      </c>
      <c r="B25" s="62">
        <v>19.03</v>
      </c>
      <c r="C25" s="63" t="s">
        <v>67</v>
      </c>
      <c r="D25" s="63"/>
      <c r="E25" s="62" t="s">
        <v>68</v>
      </c>
      <c r="F25" s="62" t="s">
        <v>68</v>
      </c>
      <c r="G25" s="62" t="s">
        <v>68</v>
      </c>
      <c r="H25" s="62" t="s">
        <v>68</v>
      </c>
      <c r="I25" s="62" t="s">
        <v>68</v>
      </c>
      <c r="J25" s="62" t="s">
        <v>68</v>
      </c>
    </row>
    <row r="26" spans="1:10">
      <c r="A26" s="61" t="s">
        <v>93</v>
      </c>
      <c r="B26" s="62">
        <v>19.808007200000134</v>
      </c>
      <c r="C26" s="63" t="s">
        <v>67</v>
      </c>
      <c r="D26" s="63"/>
      <c r="E26" s="62" t="s">
        <v>68</v>
      </c>
      <c r="F26" s="62" t="s">
        <v>68</v>
      </c>
      <c r="G26" s="62" t="s">
        <v>68</v>
      </c>
      <c r="H26" s="62" t="s">
        <v>68</v>
      </c>
      <c r="I26" s="62" t="s">
        <v>68</v>
      </c>
      <c r="J26" s="62" t="s">
        <v>68</v>
      </c>
    </row>
    <row r="27" spans="1:10">
      <c r="A27" s="61" t="s">
        <v>115</v>
      </c>
      <c r="B27" s="62">
        <v>21.44</v>
      </c>
      <c r="C27" s="63" t="s">
        <v>67</v>
      </c>
      <c r="D27" s="63"/>
      <c r="E27" s="62" t="s">
        <v>68</v>
      </c>
      <c r="F27" s="62" t="s">
        <v>68</v>
      </c>
      <c r="G27" s="62" t="s">
        <v>68</v>
      </c>
      <c r="H27" s="62" t="s">
        <v>68</v>
      </c>
      <c r="I27" s="62" t="s">
        <v>68</v>
      </c>
      <c r="J27" s="62"/>
    </row>
    <row r="28" spans="1:10">
      <c r="A28" s="61" t="s">
        <v>83</v>
      </c>
      <c r="B28" s="62">
        <v>21.63</v>
      </c>
      <c r="C28" s="63" t="s">
        <v>67</v>
      </c>
      <c r="D28" s="63"/>
      <c r="E28" s="62" t="s">
        <v>68</v>
      </c>
      <c r="F28" s="62" t="s">
        <v>68</v>
      </c>
      <c r="G28" s="62" t="s">
        <v>68</v>
      </c>
      <c r="H28" s="62" t="s">
        <v>68</v>
      </c>
      <c r="I28" s="62" t="s">
        <v>68</v>
      </c>
      <c r="J28" s="62" t="s">
        <v>68</v>
      </c>
    </row>
    <row r="29" spans="1:10">
      <c r="A29" s="61" t="s">
        <v>36</v>
      </c>
      <c r="B29" s="62">
        <v>24.208007200000111</v>
      </c>
      <c r="C29" s="63" t="s">
        <v>67</v>
      </c>
      <c r="D29" s="63"/>
      <c r="E29" s="62" t="s">
        <v>68</v>
      </c>
      <c r="F29" s="62" t="s">
        <v>68</v>
      </c>
      <c r="G29" s="62" t="s">
        <v>68</v>
      </c>
      <c r="H29" s="62" t="s">
        <v>68</v>
      </c>
      <c r="I29" s="62" t="s">
        <v>68</v>
      </c>
      <c r="J29" s="62" t="s">
        <v>68</v>
      </c>
    </row>
    <row r="30" spans="1:10">
      <c r="A30" s="61" t="s">
        <v>112</v>
      </c>
      <c r="B30" s="62">
        <v>26.51</v>
      </c>
      <c r="C30" s="63" t="s">
        <v>67</v>
      </c>
      <c r="D30" s="63"/>
      <c r="E30" s="62" t="s">
        <v>68</v>
      </c>
      <c r="F30" s="62" t="s">
        <v>68</v>
      </c>
      <c r="G30" s="62" t="s">
        <v>68</v>
      </c>
      <c r="H30" s="62" t="s">
        <v>68</v>
      </c>
      <c r="I30" s="62" t="s">
        <v>68</v>
      </c>
      <c r="J30" s="62"/>
    </row>
    <row r="31" spans="1:10">
      <c r="A31" s="61" t="s">
        <v>114</v>
      </c>
      <c r="B31" s="62">
        <v>26.54</v>
      </c>
      <c r="C31" s="63" t="s">
        <v>67</v>
      </c>
      <c r="D31" s="63"/>
      <c r="E31" s="62" t="s">
        <v>68</v>
      </c>
      <c r="F31" s="62" t="s">
        <v>68</v>
      </c>
      <c r="G31" s="62" t="s">
        <v>68</v>
      </c>
      <c r="H31" s="62" t="s">
        <v>68</v>
      </c>
      <c r="I31" s="62" t="s">
        <v>68</v>
      </c>
      <c r="J31" s="62"/>
    </row>
    <row r="32" spans="1:10">
      <c r="A32" s="61" t="s">
        <v>76</v>
      </c>
      <c r="B32" s="62">
        <v>31.24</v>
      </c>
      <c r="C32" s="63" t="s">
        <v>67</v>
      </c>
      <c r="D32" s="63"/>
      <c r="E32" s="62" t="s">
        <v>68</v>
      </c>
      <c r="F32" s="62" t="s">
        <v>68</v>
      </c>
      <c r="G32" s="62" t="s">
        <v>68</v>
      </c>
      <c r="H32" s="62" t="s">
        <v>68</v>
      </c>
      <c r="I32" s="62" t="s">
        <v>68</v>
      </c>
      <c r="J32" s="62" t="s">
        <v>68</v>
      </c>
    </row>
    <row r="33" spans="1:10">
      <c r="A33" s="61" t="s">
        <v>96</v>
      </c>
      <c r="B33" s="62">
        <v>35.82</v>
      </c>
      <c r="C33" s="63" t="s">
        <v>67</v>
      </c>
      <c r="D33" s="63"/>
      <c r="E33" s="62" t="s">
        <v>68</v>
      </c>
      <c r="F33" s="62" t="s">
        <v>68</v>
      </c>
      <c r="G33" s="62" t="s">
        <v>68</v>
      </c>
      <c r="H33" s="62" t="s">
        <v>68</v>
      </c>
      <c r="I33" s="62" t="s">
        <v>68</v>
      </c>
      <c r="J33" s="62" t="s">
        <v>68</v>
      </c>
    </row>
    <row r="34" spans="1:10">
      <c r="A34" s="61" t="s">
        <v>99</v>
      </c>
      <c r="B34" s="62">
        <v>37.491992799999935</v>
      </c>
      <c r="C34" s="63" t="s">
        <v>67</v>
      </c>
      <c r="D34" s="63"/>
      <c r="E34" s="62" t="s">
        <v>68</v>
      </c>
      <c r="F34" s="62" t="s">
        <v>68</v>
      </c>
      <c r="G34" s="62" t="s">
        <v>68</v>
      </c>
      <c r="H34" s="62" t="s">
        <v>68</v>
      </c>
      <c r="I34" s="62" t="s">
        <v>68</v>
      </c>
      <c r="J34" s="62"/>
    </row>
    <row r="35" spans="1:10">
      <c r="A35" s="61" t="s">
        <v>101</v>
      </c>
      <c r="B35" s="62">
        <v>40.04</v>
      </c>
      <c r="C35" s="63" t="s">
        <v>67</v>
      </c>
      <c r="D35" s="63"/>
      <c r="E35" s="62" t="s">
        <v>68</v>
      </c>
      <c r="F35" s="62" t="s">
        <v>68</v>
      </c>
      <c r="G35" s="62" t="s">
        <v>68</v>
      </c>
      <c r="H35" s="62" t="s">
        <v>68</v>
      </c>
      <c r="I35" s="62" t="s">
        <v>68</v>
      </c>
      <c r="J35" s="62"/>
    </row>
    <row r="36" spans="1:10">
      <c r="A36" s="61" t="s">
        <v>33</v>
      </c>
      <c r="B36" s="62">
        <v>40.83</v>
      </c>
      <c r="C36" s="63" t="s">
        <v>67</v>
      </c>
      <c r="D36" s="63"/>
      <c r="E36" s="62" t="s">
        <v>68</v>
      </c>
      <c r="F36" s="62" t="s">
        <v>68</v>
      </c>
      <c r="G36" s="62" t="s">
        <v>68</v>
      </c>
      <c r="H36" s="62" t="s">
        <v>68</v>
      </c>
      <c r="I36" s="62" t="s">
        <v>68</v>
      </c>
      <c r="J36" s="62" t="s">
        <v>68</v>
      </c>
    </row>
    <row r="37" spans="1:10">
      <c r="A37" s="61" t="s">
        <v>94</v>
      </c>
      <c r="B37" s="62">
        <v>53.54</v>
      </c>
      <c r="C37" s="63" t="s">
        <v>67</v>
      </c>
      <c r="D37" s="63"/>
      <c r="E37" s="62" t="s">
        <v>68</v>
      </c>
      <c r="F37" s="62" t="s">
        <v>68</v>
      </c>
      <c r="G37" s="62" t="s">
        <v>68</v>
      </c>
      <c r="H37" s="62" t="s">
        <v>68</v>
      </c>
      <c r="I37" s="62" t="s">
        <v>68</v>
      </c>
      <c r="J37" s="62" t="s">
        <v>68</v>
      </c>
    </row>
    <row r="38" spans="1:10">
      <c r="A38" s="61" t="s">
        <v>107</v>
      </c>
      <c r="B38" s="62">
        <v>56.74</v>
      </c>
      <c r="C38" s="63" t="s">
        <v>67</v>
      </c>
      <c r="D38" s="63"/>
      <c r="E38" s="62" t="s">
        <v>68</v>
      </c>
      <c r="F38" s="62" t="s">
        <v>68</v>
      </c>
      <c r="G38" s="62" t="s">
        <v>68</v>
      </c>
      <c r="H38" s="62" t="s">
        <v>68</v>
      </c>
      <c r="I38" s="62" t="s">
        <v>68</v>
      </c>
      <c r="J38" s="62"/>
    </row>
    <row r="39" spans="1:10">
      <c r="A39" s="61" t="s">
        <v>111</v>
      </c>
      <c r="B39" s="62">
        <v>58.14</v>
      </c>
      <c r="C39" s="63" t="s">
        <v>67</v>
      </c>
      <c r="D39" s="63"/>
      <c r="E39" s="62" t="s">
        <v>68</v>
      </c>
      <c r="F39" s="62" t="s">
        <v>68</v>
      </c>
      <c r="G39" s="62" t="s">
        <v>68</v>
      </c>
      <c r="H39" s="62" t="s">
        <v>68</v>
      </c>
      <c r="I39" s="62" t="s">
        <v>68</v>
      </c>
      <c r="J39" s="62"/>
    </row>
    <row r="40" spans="1:10">
      <c r="A40" s="57"/>
      <c r="B40" s="64"/>
      <c r="C40" s="65"/>
      <c r="D40" s="65"/>
      <c r="E40" s="64"/>
      <c r="F40" s="64"/>
      <c r="G40" s="64"/>
      <c r="H40" s="64"/>
      <c r="I40" s="64"/>
      <c r="J40" s="64"/>
    </row>
    <row r="41" spans="1:10">
      <c r="A41" s="48" t="s">
        <v>21</v>
      </c>
    </row>
    <row r="43" spans="1:10">
      <c r="A43" s="71" t="s">
        <v>6</v>
      </c>
      <c r="B43" s="57"/>
      <c r="C43" s="57"/>
    </row>
    <row r="44" spans="1:10">
      <c r="A44" s="52" t="s">
        <v>1</v>
      </c>
      <c r="B44" s="48">
        <f>Parameters!B3</f>
        <v>3</v>
      </c>
      <c r="C44" s="48" t="s">
        <v>3</v>
      </c>
    </row>
    <row r="45" spans="1:10">
      <c r="A45" s="69" t="s">
        <v>2</v>
      </c>
      <c r="B45" s="70">
        <f>'Unknown Data Entry'!F1</f>
        <v>5</v>
      </c>
      <c r="C45" s="57" t="s">
        <v>4</v>
      </c>
    </row>
  </sheetData>
  <sheetProtection sheet="1" objects="1" scenarios="1"/>
  <mergeCells count="1">
    <mergeCell ref="E8:J8"/>
  </mergeCells>
  <pageMargins left="0.75" right="0.75" top="1" bottom="1" header="0.5" footer="0.5"/>
  <pageSetup paperSize="0" scale="63" orientation="portrait" horizontalDpi="4294967292" verticalDpi="4294967292"/>
  <headerFooter alignWithMargins="0">
    <oddHeader>&amp;C&amp;"Charcoal,Regular"&amp;0&amp;F -- &amp;A</oddHeader>
    <oddFooter>&amp;LPage &amp;P of &amp;N&amp;R&amp;T, &amp;D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J3150"/>
  <sheetViews>
    <sheetView workbookViewId="0"/>
  </sheetViews>
  <sheetFormatPr defaultColWidth="8.81640625" defaultRowHeight="12.5"/>
  <cols>
    <col min="1" max="1" width="27" bestFit="1" customWidth="1"/>
    <col min="2" max="2" width="9.453125" customWidth="1"/>
    <col min="3" max="4" width="8.81640625" style="4" customWidth="1"/>
    <col min="5" max="10" width="11" style="9" customWidth="1"/>
  </cols>
  <sheetData>
    <row r="1" spans="1:10" s="48" customFormat="1" ht="15.5">
      <c r="C1" s="49"/>
      <c r="D1" s="49"/>
      <c r="E1" s="67"/>
      <c r="F1" s="67"/>
      <c r="G1" s="67"/>
      <c r="H1" s="67"/>
      <c r="I1" s="67"/>
      <c r="J1" s="67"/>
    </row>
    <row r="2" spans="1:10" s="48" customFormat="1" ht="15.5">
      <c r="A2" s="50" t="s">
        <v>46</v>
      </c>
      <c r="B2" s="51" t="str">
        <f>Unknown!B1</f>
        <v>L-24</v>
      </c>
      <c r="C2" s="49"/>
      <c r="D2" s="52" t="s">
        <v>56</v>
      </c>
      <c r="E2" s="75">
        <f ca="1">TODAY()</f>
        <v>43857</v>
      </c>
      <c r="F2" s="67"/>
      <c r="G2" s="67"/>
      <c r="H2" s="67"/>
      <c r="I2" s="67"/>
      <c r="J2" s="67"/>
    </row>
    <row r="3" spans="1:10" s="48" customFormat="1" ht="15.5">
      <c r="A3" s="52" t="s">
        <v>64</v>
      </c>
      <c r="B3" s="53">
        <f>Unknown!B2</f>
        <v>0</v>
      </c>
      <c r="C3" s="49"/>
      <c r="D3" s="49"/>
      <c r="E3" s="67"/>
      <c r="F3" s="67"/>
      <c r="G3" s="67"/>
      <c r="H3" s="67"/>
      <c r="I3" s="67"/>
      <c r="J3" s="67"/>
    </row>
    <row r="4" spans="1:10" s="48" customFormat="1" ht="15.5">
      <c r="A4" s="54" t="s">
        <v>62</v>
      </c>
      <c r="B4" s="53">
        <f>Unknown!B3</f>
        <v>0</v>
      </c>
      <c r="C4" s="49"/>
      <c r="D4" s="49"/>
      <c r="E4" s="67"/>
      <c r="F4" s="67"/>
      <c r="G4" s="67"/>
      <c r="H4" s="67"/>
      <c r="I4" s="67"/>
      <c r="J4" s="67"/>
    </row>
    <row r="5" spans="1:10" s="48" customFormat="1" ht="15.5">
      <c r="A5" s="52" t="s">
        <v>49</v>
      </c>
      <c r="B5" s="55" t="str">
        <f>Unknown!B4</f>
        <v>Soil Core</v>
      </c>
      <c r="C5" s="49"/>
      <c r="D5" s="49"/>
      <c r="E5" s="67"/>
      <c r="F5" s="67"/>
      <c r="G5" s="67"/>
      <c r="H5" s="67"/>
      <c r="I5" s="67"/>
      <c r="J5" s="67"/>
    </row>
    <row r="6" spans="1:10">
      <c r="A6" s="3"/>
      <c r="B6" s="7"/>
    </row>
    <row r="7" spans="1:10">
      <c r="A7" s="10" t="s">
        <v>7</v>
      </c>
      <c r="B7" s="10"/>
      <c r="C7" s="12"/>
      <c r="D7" s="12"/>
      <c r="E7" s="40"/>
      <c r="F7" s="40"/>
      <c r="G7" s="40"/>
      <c r="H7" s="40"/>
      <c r="I7" s="40"/>
      <c r="J7" s="40"/>
    </row>
    <row r="8" spans="1:10">
      <c r="A8" s="6"/>
      <c r="E8" s="86" t="s">
        <v>57</v>
      </c>
      <c r="F8" s="86"/>
      <c r="G8" s="86"/>
      <c r="H8" s="86"/>
    </row>
    <row r="9" spans="1:10" s="5" customFormat="1" ht="25.5">
      <c r="A9" s="31" t="s">
        <v>50</v>
      </c>
      <c r="B9" s="32" t="s">
        <v>51</v>
      </c>
      <c r="C9" s="32" t="s">
        <v>55</v>
      </c>
      <c r="E9" s="76" t="str">
        <f>Knowns!B1</f>
        <v>Hinf1-ITS4</v>
      </c>
      <c r="F9" s="76" t="str">
        <f>Knowns!C1</f>
        <v>Hinf1-ITS1F</v>
      </c>
      <c r="G9" s="76" t="str">
        <f>Knowns!D1</f>
        <v>HaeIII-ITS4</v>
      </c>
      <c r="H9" s="76" t="str">
        <f>Knowns!E1</f>
        <v>HaeIII-ITS1</v>
      </c>
      <c r="I9" s="76" t="str">
        <f>Knowns!F1</f>
        <v>DpnII-ITS4</v>
      </c>
      <c r="J9" s="76" t="str">
        <f>Knowns!G1</f>
        <v>(none)</v>
      </c>
    </row>
    <row r="10" spans="1:10">
      <c r="A10" s="33" t="str">
        <f>IF(Knowns!A2&lt;&gt;"", Knowns!A2, "")</f>
        <v>Amanita brunnescens</v>
      </c>
      <c r="B10" s="33">
        <f>IF(A10&lt;&gt;"", MAX('Error Calc (bp)'!B2:G2), "")</f>
        <v>444.84999999999997</v>
      </c>
      <c r="C10" s="33" t="str">
        <f>IF(A10&lt;&gt;"", IF(B10&lt;Parameters!B$3, "yes", "no"), "")</f>
        <v>no</v>
      </c>
      <c r="D10" s="33"/>
      <c r="E10" s="77" t="str">
        <f>IF(MIN('Clean Unknown'!A:A) &lt; 9999, IF($C10="yes", IF(Knowns!B2&lt;&gt;0, Knowns!B2, "****"), ""), "")</f>
        <v/>
      </c>
      <c r="F10" s="77" t="str">
        <f>IF(MIN('Clean Unknown'!B:B) &lt; 9999, IF($C10="yes", IF(Knowns!C2&lt;&gt;0, Knowns!C2, "****"), ""), "")</f>
        <v/>
      </c>
      <c r="G10" s="77" t="str">
        <f>IF(MIN('Clean Unknown'!C:C) &lt; 9999, IF($C10="yes", IF(Knowns!D2&lt;&gt;0, Knowns!D2, "****"), ""), "")</f>
        <v/>
      </c>
      <c r="H10" s="77" t="str">
        <f>IF(MIN('Clean Unknown'!D:D) &lt; 9999, IF($C10="yes", IF(Knowns!E2&lt;&gt;0, Knowns!E2, "****"), ""), "")</f>
        <v/>
      </c>
      <c r="I10" s="77" t="str">
        <f>IF(MIN('Clean Unknown'!E:E) &lt; 9999, IF($C10="yes", IF(Knowns!F2&lt;&gt;0, Knowns!F2, "****"), ""), "")</f>
        <v/>
      </c>
      <c r="J10" s="77" t="str">
        <f>IF(MIN('Clean Unknown'!F:F) &lt; 9999, IF($C10="yes", IF(Knowns!G2&lt;&gt;0, Knowns!G2, "****"), ""), "")</f>
        <v/>
      </c>
    </row>
    <row r="11" spans="1:10">
      <c r="A11" s="33" t="str">
        <f>IF(Knowns!A3&lt;&gt;"", Knowns!A3, "")</f>
        <v>Amanita vaginata</v>
      </c>
      <c r="B11" s="33">
        <f>IF(A11&lt;&gt;"", MAX('Error Calc (bp)'!B3:G3), "")</f>
        <v>76.44</v>
      </c>
      <c r="C11" s="33" t="str">
        <f>IF(A11&lt;&gt;"", IF(B11&lt;Parameters!B$3, "yes", "no"), "")</f>
        <v>no</v>
      </c>
      <c r="D11" s="33"/>
      <c r="E11" s="77" t="str">
        <f>IF(MIN('Clean Unknown'!A:A) &lt; 9999, IF($C11="yes", IF(Knowns!B3&lt;&gt;0, Knowns!B3, "****"), ""), "")</f>
        <v/>
      </c>
      <c r="F11" s="77" t="str">
        <f>IF(MIN('Clean Unknown'!B:B) &lt; 9999, IF($C11="yes", IF(Knowns!C3&lt;&gt;0, Knowns!C3, "****"), ""), "")</f>
        <v/>
      </c>
      <c r="G11" s="77" t="str">
        <f>IF(MIN('Clean Unknown'!C:C) &lt; 9999, IF($C11="yes", IF(Knowns!D3&lt;&gt;0, Knowns!D3, "****"), ""), "")</f>
        <v/>
      </c>
      <c r="H11" s="77" t="str">
        <f>IF(MIN('Clean Unknown'!D:D) &lt; 9999, IF($C11="yes", IF(Knowns!E3&lt;&gt;0, Knowns!E3, "****"), ""), "")</f>
        <v/>
      </c>
      <c r="I11" s="77" t="str">
        <f>IF(MIN('Clean Unknown'!E:E) &lt; 9999, IF($C11="yes", IF(Knowns!F3&lt;&gt;0, Knowns!F3, "****"), ""), "")</f>
        <v/>
      </c>
      <c r="J11" s="77" t="str">
        <f>IF(MIN('Clean Unknown'!F:F) &lt; 9999, IF($C11="yes", IF(Knowns!G3&lt;&gt;0, Knowns!G3, "****"), ""), "")</f>
        <v/>
      </c>
    </row>
    <row r="12" spans="1:10">
      <c r="A12" s="33" t="str">
        <f>IF(Knowns!A4&lt;&gt;"", Knowns!A4, "")</f>
        <v>Amanita citrina</v>
      </c>
      <c r="B12" s="33">
        <f>IF(A12&lt;&gt;"", MAX('Error Calc (bp)'!B4:G4), "")</f>
        <v>445.45</v>
      </c>
      <c r="C12" s="33" t="str">
        <f>IF(A12&lt;&gt;"", IF(B12&lt;Parameters!B$3, "yes", "no"), "")</f>
        <v>no</v>
      </c>
      <c r="D12" s="33"/>
      <c r="E12" s="77" t="str">
        <f>IF(MIN('Clean Unknown'!A:A) &lt; 9999, IF($C12="yes", IF(Knowns!B4&lt;&gt;0, Knowns!B4, "****"), ""), "")</f>
        <v/>
      </c>
      <c r="F12" s="77" t="str">
        <f>IF(MIN('Clean Unknown'!B:B) &lt; 9999, IF($C12="yes", IF(Knowns!C4&lt;&gt;0, Knowns!C4, "****"), ""), "")</f>
        <v/>
      </c>
      <c r="G12" s="77" t="str">
        <f>IF(MIN('Clean Unknown'!C:C) &lt; 9999, IF($C12="yes", IF(Knowns!D4&lt;&gt;0, Knowns!D4, "****"), ""), "")</f>
        <v/>
      </c>
      <c r="H12" s="77" t="str">
        <f>IF(MIN('Clean Unknown'!D:D) &lt; 9999, IF($C12="yes", IF(Knowns!E4&lt;&gt;0, Knowns!E4, "****"), ""), "")</f>
        <v/>
      </c>
      <c r="I12" s="77" t="str">
        <f>IF(MIN('Clean Unknown'!E:E) &lt; 9999, IF($C12="yes", IF(Knowns!F4&lt;&gt;0, Knowns!F4, "****"), ""), "")</f>
        <v/>
      </c>
      <c r="J12" s="77" t="str">
        <f>IF(MIN('Clean Unknown'!F:F) &lt; 9999, IF($C12="yes", IF(Knowns!G4&lt;&gt;0, Knowns!G4, "****"), ""), "")</f>
        <v/>
      </c>
    </row>
    <row r="13" spans="1:10">
      <c r="A13" s="33" t="str">
        <f>IF(Knowns!A5&lt;&gt;"", Knowns!A5, "")</f>
        <v>Amanita flavoconia</v>
      </c>
      <c r="B13" s="33">
        <f>IF(A13&lt;&gt;"", MAX('Error Calc (bp)'!B5:G5), "")</f>
        <v>428.65000000000003</v>
      </c>
      <c r="C13" s="33" t="str">
        <f>IF(A13&lt;&gt;"", IF(B13&lt;Parameters!B$3, "yes", "no"), "")</f>
        <v>no</v>
      </c>
      <c r="D13" s="33"/>
      <c r="E13" s="77" t="str">
        <f>IF(MIN('Clean Unknown'!A:A) &lt; 9999, IF($C13="yes", IF(Knowns!B5&lt;&gt;0, Knowns!B5, "****"), ""), "")</f>
        <v/>
      </c>
      <c r="F13" s="77" t="str">
        <f>IF(MIN('Clean Unknown'!B:B) &lt; 9999, IF($C13="yes", IF(Knowns!C5&lt;&gt;0, Knowns!C5, "****"), ""), "")</f>
        <v/>
      </c>
      <c r="G13" s="77" t="str">
        <f>IF(MIN('Clean Unknown'!C:C) &lt; 9999, IF($C13="yes", IF(Knowns!D5&lt;&gt;0, Knowns!D5, "****"), ""), "")</f>
        <v/>
      </c>
      <c r="H13" s="77" t="str">
        <f>IF(MIN('Clean Unknown'!D:D) &lt; 9999, IF($C13="yes", IF(Knowns!E5&lt;&gt;0, Knowns!E5, "****"), ""), "")</f>
        <v/>
      </c>
      <c r="I13" s="77" t="str">
        <f>IF(MIN('Clean Unknown'!E:E) &lt; 9999, IF($C13="yes", IF(Knowns!F5&lt;&gt;0, Knowns!F5, "****"), ""), "")</f>
        <v/>
      </c>
      <c r="J13" s="77" t="str">
        <f>IF(MIN('Clean Unknown'!F:F) &lt; 9999, IF($C13="yes", IF(Knowns!G5&lt;&gt;0, Knowns!G5, "****"), ""), "")</f>
        <v/>
      </c>
    </row>
    <row r="14" spans="1:10">
      <c r="A14" s="33" t="str">
        <f>IF(Knowns!A6&lt;&gt;"", Knowns!A6, "")</f>
        <v>Amanita muscaria var. formosa</v>
      </c>
      <c r="B14" s="33">
        <f>IF(A14&lt;&gt;"", MAX('Error Calc (bp)'!B6:G6), "")</f>
        <v>6.4799999999999613</v>
      </c>
      <c r="C14" s="33" t="str">
        <f>IF(A14&lt;&gt;"", IF(B14&lt;Parameters!B$3, "yes", "no"), "")</f>
        <v>no</v>
      </c>
      <c r="D14" s="33"/>
      <c r="E14" s="77" t="str">
        <f>IF(MIN('Clean Unknown'!A:A) &lt; 9999, IF($C14="yes", IF(Knowns!B6&lt;&gt;0, Knowns!B6, "****"), ""), "")</f>
        <v/>
      </c>
      <c r="F14" s="77" t="str">
        <f>IF(MIN('Clean Unknown'!B:B) &lt; 9999, IF($C14="yes", IF(Knowns!C6&lt;&gt;0, Knowns!C6, "****"), ""), "")</f>
        <v/>
      </c>
      <c r="G14" s="77" t="str">
        <f>IF(MIN('Clean Unknown'!C:C) &lt; 9999, IF($C14="yes", IF(Knowns!D6&lt;&gt;0, Knowns!D6, "****"), ""), "")</f>
        <v/>
      </c>
      <c r="H14" s="77" t="str">
        <f>IF(MIN('Clean Unknown'!D:D) &lt; 9999, IF($C14="yes", IF(Knowns!E6&lt;&gt;0, Knowns!E6, "****"), ""), "")</f>
        <v/>
      </c>
      <c r="I14" s="77" t="str">
        <f>IF(MIN('Clean Unknown'!E:E) &lt; 9999, IF($C14="yes", IF(Knowns!F6&lt;&gt;0, Knowns!F6, "****"), ""), "")</f>
        <v/>
      </c>
      <c r="J14" s="77" t="str">
        <f>IF(MIN('Clean Unknown'!F:F) &lt; 9999, IF($C14="yes", IF(Knowns!G6&lt;&gt;0, Knowns!G6, "****"), ""), "")</f>
        <v/>
      </c>
    </row>
    <row r="15" spans="1:10">
      <c r="A15" s="33" t="str">
        <f>IF(Knowns!A7&lt;&gt;"", Knowns!A7, "")</f>
        <v>Amanita rubescens</v>
      </c>
      <c r="B15" s="33">
        <f>IF(A15&lt;&gt;"", MAX('Error Calc (bp)'!B7:G7), "")</f>
        <v>485.55</v>
      </c>
      <c r="C15" s="33" t="str">
        <f>IF(A15&lt;&gt;"", IF(B15&lt;Parameters!B$3, "yes", "no"), "")</f>
        <v>no</v>
      </c>
      <c r="D15" s="33"/>
      <c r="E15" s="77" t="str">
        <f>IF(MIN('Clean Unknown'!A:A) &lt; 9999, IF($C15="yes", IF(Knowns!B7&lt;&gt;0, Knowns!B7, "****"), ""), "")</f>
        <v/>
      </c>
      <c r="F15" s="77" t="str">
        <f>IF(MIN('Clean Unknown'!B:B) &lt; 9999, IF($C15="yes", IF(Knowns!C7&lt;&gt;0, Knowns!C7, "****"), ""), "")</f>
        <v/>
      </c>
      <c r="G15" s="77" t="str">
        <f>IF(MIN('Clean Unknown'!C:C) &lt; 9999, IF($C15="yes", IF(Knowns!D7&lt;&gt;0, Knowns!D7, "****"), ""), "")</f>
        <v/>
      </c>
      <c r="H15" s="77" t="str">
        <f>IF(MIN('Clean Unknown'!D:D) &lt; 9999, IF($C15="yes", IF(Knowns!E7&lt;&gt;0, Knowns!E7, "****"), ""), "")</f>
        <v/>
      </c>
      <c r="I15" s="77" t="str">
        <f>IF(MIN('Clean Unknown'!E:E) &lt; 9999, IF($C15="yes", IF(Knowns!F7&lt;&gt;0, Knowns!F7, "****"), ""), "")</f>
        <v/>
      </c>
      <c r="J15" s="77" t="str">
        <f>IF(MIN('Clean Unknown'!F:F) &lt; 9999, IF($C15="yes", IF(Knowns!G7&lt;&gt;0, Knowns!G7, "****"), ""), "")</f>
        <v/>
      </c>
    </row>
    <row r="16" spans="1:10">
      <c r="A16" s="33" t="str">
        <f>IF(Knowns!A8&lt;&gt;"", Knowns!A8, "")</f>
        <v>Amanita sp.</v>
      </c>
      <c r="B16" s="33">
        <f>IF(A16&lt;&gt;"", MAX('Error Calc (bp)'!B8:G8), "")</f>
        <v>272.95</v>
      </c>
      <c r="C16" s="33" t="str">
        <f>IF(A16&lt;&gt;"", IF(B16&lt;Parameters!B$3, "yes", "no"), "")</f>
        <v>no</v>
      </c>
      <c r="D16" s="33"/>
      <c r="E16" s="77" t="str">
        <f>IF(MIN('Clean Unknown'!A:A) &lt; 9999, IF($C16="yes", IF(Knowns!B8&lt;&gt;0, Knowns!B8, "****"), ""), "")</f>
        <v/>
      </c>
      <c r="F16" s="77" t="str">
        <f>IF(MIN('Clean Unknown'!B:B) &lt; 9999, IF($C16="yes", IF(Knowns!C8&lt;&gt;0, Knowns!C8, "****"), ""), "")</f>
        <v/>
      </c>
      <c r="G16" s="77" t="str">
        <f>IF(MIN('Clean Unknown'!C:C) &lt; 9999, IF($C16="yes", IF(Knowns!D8&lt;&gt;0, Knowns!D8, "****"), ""), "")</f>
        <v/>
      </c>
      <c r="H16" s="77" t="str">
        <f>IF(MIN('Clean Unknown'!D:D) &lt; 9999, IF($C16="yes", IF(Knowns!E8&lt;&gt;0, Knowns!E8, "****"), ""), "")</f>
        <v/>
      </c>
      <c r="I16" s="77" t="str">
        <f>IF(MIN('Clean Unknown'!E:E) &lt; 9999, IF($C16="yes", IF(Knowns!F8&lt;&gt;0, Knowns!F8, "****"), ""), "")</f>
        <v/>
      </c>
      <c r="J16" s="77" t="str">
        <f>IF(MIN('Clean Unknown'!F:F) &lt; 9999, IF($C16="yes", IF(Knowns!G8&lt;&gt;0, Knowns!G8, "****"), ""), "")</f>
        <v/>
      </c>
    </row>
    <row r="17" spans="1:10">
      <c r="A17" s="33" t="str">
        <f>IF(Knowns!A9&lt;&gt;"", Knowns!A9, "")</f>
        <v>Boletus cf. miniato-pallescens</v>
      </c>
      <c r="B17" s="33">
        <f>IF(A17&lt;&gt;"", MAX('Error Calc (bp)'!B9:G9), "")</f>
        <v>19.03</v>
      </c>
      <c r="C17" s="33" t="str">
        <f>IF(A17&lt;&gt;"", IF(B17&lt;Parameters!B$3, "yes", "no"), "")</f>
        <v>no</v>
      </c>
      <c r="D17" s="33"/>
      <c r="E17" s="77" t="str">
        <f>IF(MIN('Clean Unknown'!A:A) &lt; 9999, IF($C17="yes", IF(Knowns!B9&lt;&gt;0, Knowns!B9, "****"), ""), "")</f>
        <v/>
      </c>
      <c r="F17" s="77" t="str">
        <f>IF(MIN('Clean Unknown'!B:B) &lt; 9999, IF($C17="yes", IF(Knowns!C9&lt;&gt;0, Knowns!C9, "****"), ""), "")</f>
        <v/>
      </c>
      <c r="G17" s="77" t="str">
        <f>IF(MIN('Clean Unknown'!C:C) &lt; 9999, IF($C17="yes", IF(Knowns!D9&lt;&gt;0, Knowns!D9, "****"), ""), "")</f>
        <v/>
      </c>
      <c r="H17" s="77" t="str">
        <f>IF(MIN('Clean Unknown'!D:D) &lt; 9999, IF($C17="yes", IF(Knowns!E9&lt;&gt;0, Knowns!E9, "****"), ""), "")</f>
        <v/>
      </c>
      <c r="I17" s="77" t="str">
        <f>IF(MIN('Clean Unknown'!E:E) &lt; 9999, IF($C17="yes", IF(Knowns!F9&lt;&gt;0, Knowns!F9, "****"), ""), "")</f>
        <v/>
      </c>
      <c r="J17" s="77" t="str">
        <f>IF(MIN('Clean Unknown'!F:F) &lt; 9999, IF($C17="yes", IF(Knowns!G9&lt;&gt;0, Knowns!G9, "****"), ""), "")</f>
        <v/>
      </c>
    </row>
    <row r="18" spans="1:10">
      <c r="A18" s="33" t="str">
        <f>IF(Knowns!A10&lt;&gt;"", Knowns!A10, "")</f>
        <v>Boletus cf. pallidus</v>
      </c>
      <c r="B18" s="33">
        <f>IF(A18&lt;&gt;"", MAX('Error Calc (bp)'!B10:G10), "")</f>
        <v>31.240000000000009</v>
      </c>
      <c r="C18" s="33" t="str">
        <f>IF(A18&lt;&gt;"", IF(B18&lt;Parameters!B$3, "yes", "no"), "")</f>
        <v>no</v>
      </c>
      <c r="D18" s="33"/>
      <c r="E18" s="77" t="str">
        <f>IF(MIN('Clean Unknown'!A:A) &lt; 9999, IF($C18="yes", IF(Knowns!B10&lt;&gt;0, Knowns!B10, "****"), ""), "")</f>
        <v/>
      </c>
      <c r="F18" s="77" t="str">
        <f>IF(MIN('Clean Unknown'!B:B) &lt; 9999, IF($C18="yes", IF(Knowns!C10&lt;&gt;0, Knowns!C10, "****"), ""), "")</f>
        <v/>
      </c>
      <c r="G18" s="77" t="str">
        <f>IF(MIN('Clean Unknown'!C:C) &lt; 9999, IF($C18="yes", IF(Knowns!D10&lt;&gt;0, Knowns!D10, "****"), ""), "")</f>
        <v/>
      </c>
      <c r="H18" s="77" t="str">
        <f>IF(MIN('Clean Unknown'!D:D) &lt; 9999, IF($C18="yes", IF(Knowns!E10&lt;&gt;0, Knowns!E10, "****"), ""), "")</f>
        <v/>
      </c>
      <c r="I18" s="77" t="str">
        <f>IF(MIN('Clean Unknown'!E:E) &lt; 9999, IF($C18="yes", IF(Knowns!F10&lt;&gt;0, Knowns!F10, "****"), ""), "")</f>
        <v/>
      </c>
      <c r="J18" s="77" t="str">
        <f>IF(MIN('Clean Unknown'!F:F) &lt; 9999, IF($C18="yes", IF(Knowns!G10&lt;&gt;0, Knowns!G10, "****"), ""), "")</f>
        <v/>
      </c>
    </row>
    <row r="19" spans="1:10">
      <c r="A19" s="33" t="str">
        <f>IF(Knowns!A11&lt;&gt;"", Knowns!A11, "")</f>
        <v xml:space="preserve">Boletus cf. projectellus </v>
      </c>
      <c r="B19" s="33">
        <f>IF(A19&lt;&gt;"", MAX('Error Calc (bp)'!B11:G11), "")</f>
        <v>67.38</v>
      </c>
      <c r="C19" s="33" t="str">
        <f>IF(A19&lt;&gt;"", IF(B19&lt;Parameters!B$3, "yes", "no"), "")</f>
        <v>no</v>
      </c>
      <c r="D19" s="33"/>
      <c r="E19" s="77" t="str">
        <f>IF(MIN('Clean Unknown'!A:A) &lt; 9999, IF($C19="yes", IF(Knowns!B11&lt;&gt;0, Knowns!B11, "****"), ""), "")</f>
        <v/>
      </c>
      <c r="F19" s="77" t="str">
        <f>IF(MIN('Clean Unknown'!B:B) &lt; 9999, IF($C19="yes", IF(Knowns!C11&lt;&gt;0, Knowns!C11, "****"), ""), "")</f>
        <v/>
      </c>
      <c r="G19" s="77" t="str">
        <f>IF(MIN('Clean Unknown'!C:C) &lt; 9999, IF($C19="yes", IF(Knowns!D11&lt;&gt;0, Knowns!D11, "****"), ""), "")</f>
        <v/>
      </c>
      <c r="H19" s="77" t="str">
        <f>IF(MIN('Clean Unknown'!D:D) &lt; 9999, IF($C19="yes", IF(Knowns!E11&lt;&gt;0, Knowns!E11, "****"), ""), "")</f>
        <v/>
      </c>
      <c r="I19" s="77" t="str">
        <f>IF(MIN('Clean Unknown'!E:E) &lt; 9999, IF($C19="yes", IF(Knowns!F11&lt;&gt;0, Knowns!F11, "****"), ""), "")</f>
        <v/>
      </c>
      <c r="J19" s="77" t="str">
        <f>IF(MIN('Clean Unknown'!F:F) &lt; 9999, IF($C19="yes", IF(Knowns!G11&lt;&gt;0, Knowns!G11, "****"), ""), "")</f>
        <v/>
      </c>
    </row>
    <row r="20" spans="1:10">
      <c r="A20" s="33" t="str">
        <f>IF(Knowns!A12&lt;&gt;"", Knowns!A12, "")</f>
        <v>Boletus sp.</v>
      </c>
      <c r="B20" s="33">
        <f>IF(A20&lt;&gt;"", MAX('Error Calc (bp)'!B12:G12), "")</f>
        <v>60.930000000000007</v>
      </c>
      <c r="C20" s="33" t="str">
        <f>IF(A20&lt;&gt;"", IF(B20&lt;Parameters!B$3, "yes", "no"), "")</f>
        <v>no</v>
      </c>
      <c r="D20" s="33"/>
      <c r="E20" s="77" t="str">
        <f>IF(MIN('Clean Unknown'!A:A) &lt; 9999, IF($C20="yes", IF(Knowns!B12&lt;&gt;0, Knowns!B12, "****"), ""), "")</f>
        <v/>
      </c>
      <c r="F20" s="77" t="str">
        <f>IF(MIN('Clean Unknown'!B:B) &lt; 9999, IF($C20="yes", IF(Knowns!C12&lt;&gt;0, Knowns!C12, "****"), ""), "")</f>
        <v/>
      </c>
      <c r="G20" s="77" t="str">
        <f>IF(MIN('Clean Unknown'!C:C) &lt; 9999, IF($C20="yes", IF(Knowns!D12&lt;&gt;0, Knowns!D12, "****"), ""), "")</f>
        <v/>
      </c>
      <c r="H20" s="77" t="str">
        <f>IF(MIN('Clean Unknown'!D:D) &lt; 9999, IF($C20="yes", IF(Knowns!E12&lt;&gt;0, Knowns!E12, "****"), ""), "")</f>
        <v/>
      </c>
      <c r="I20" s="77" t="str">
        <f>IF(MIN('Clean Unknown'!E:E) &lt; 9999, IF($C20="yes", IF(Knowns!F12&lt;&gt;0, Knowns!F12, "****"), ""), "")</f>
        <v/>
      </c>
      <c r="J20" s="77" t="str">
        <f>IF(MIN('Clean Unknown'!F:F) &lt; 9999, IF($C20="yes", IF(Knowns!G12&lt;&gt;0, Knowns!G12, "****"), ""), "")</f>
        <v/>
      </c>
    </row>
    <row r="21" spans="1:10">
      <c r="A21" s="33" t="str">
        <f>IF(Knowns!A13&lt;&gt;"", Knowns!A13, "")</f>
        <v>Cantharellula umbonata</v>
      </c>
      <c r="B21" s="33">
        <f>IF(A21&lt;&gt;"", MAX('Error Calc (bp)'!B13:G13), "")</f>
        <v>443.05</v>
      </c>
      <c r="C21" s="33" t="str">
        <f>IF(A21&lt;&gt;"", IF(B21&lt;Parameters!B$3, "yes", "no"), "")</f>
        <v>no</v>
      </c>
      <c r="D21" s="33"/>
      <c r="E21" s="77" t="str">
        <f>IF(MIN('Clean Unknown'!A:A) &lt; 9999, IF($C21="yes", IF(Knowns!B13&lt;&gt;0, Knowns!B13, "****"), ""), "")</f>
        <v/>
      </c>
      <c r="F21" s="77" t="str">
        <f>IF(MIN('Clean Unknown'!B:B) &lt; 9999, IF($C21="yes", IF(Knowns!C13&lt;&gt;0, Knowns!C13, "****"), ""), "")</f>
        <v/>
      </c>
      <c r="G21" s="77" t="str">
        <f>IF(MIN('Clean Unknown'!C:C) &lt; 9999, IF($C21="yes", IF(Knowns!D13&lt;&gt;0, Knowns!D13, "****"), ""), "")</f>
        <v/>
      </c>
      <c r="H21" s="77" t="str">
        <f>IF(MIN('Clean Unknown'!D:D) &lt; 9999, IF($C21="yes", IF(Knowns!E13&lt;&gt;0, Knowns!E13, "****"), ""), "")</f>
        <v/>
      </c>
      <c r="I21" s="77" t="str">
        <f>IF(MIN('Clean Unknown'!E:E) &lt; 9999, IF($C21="yes", IF(Knowns!F13&lt;&gt;0, Knowns!F13, "****"), ""), "")</f>
        <v/>
      </c>
      <c r="J21" s="77" t="str">
        <f>IF(MIN('Clean Unknown'!F:F) &lt; 9999, IF($C21="yes", IF(Knowns!G13&lt;&gt;0, Knowns!G13, "****"), ""), "")</f>
        <v/>
      </c>
    </row>
    <row r="22" spans="1:10">
      <c r="A22" s="33" t="str">
        <f>IF(Knowns!A14&lt;&gt;"", Knowns!A14, "")</f>
        <v>Cenococcum geophilum (=MT B)</v>
      </c>
      <c r="B22" s="33">
        <f>IF(A22&lt;&gt;"", MAX('Error Calc (bp)'!B14:G14), "")</f>
        <v>16.019999999999982</v>
      </c>
      <c r="C22" s="33" t="str">
        <f>IF(A22&lt;&gt;"", IF(B22&lt;Parameters!B$3, "yes", "no"), "")</f>
        <v>no</v>
      </c>
      <c r="D22" s="33"/>
      <c r="E22" s="77" t="str">
        <f>IF(MIN('Clean Unknown'!A:A) &lt; 9999, IF($C22="yes", IF(Knowns!B14&lt;&gt;0, Knowns!B14, "****"), ""), "")</f>
        <v/>
      </c>
      <c r="F22" s="77" t="str">
        <f>IF(MIN('Clean Unknown'!B:B) &lt; 9999, IF($C22="yes", IF(Knowns!C14&lt;&gt;0, Knowns!C14, "****"), ""), "")</f>
        <v/>
      </c>
      <c r="G22" s="77" t="str">
        <f>IF(MIN('Clean Unknown'!C:C) &lt; 9999, IF($C22="yes", IF(Knowns!D14&lt;&gt;0, Knowns!D14, "****"), ""), "")</f>
        <v/>
      </c>
      <c r="H22" s="77" t="str">
        <f>IF(MIN('Clean Unknown'!D:D) &lt; 9999, IF($C22="yes", IF(Knowns!E14&lt;&gt;0, Knowns!E14, "****"), ""), "")</f>
        <v/>
      </c>
      <c r="I22" s="77" t="str">
        <f>IF(MIN('Clean Unknown'!E:E) &lt; 9999, IF($C22="yes", IF(Knowns!F14&lt;&gt;0, Knowns!F14, "****"), ""), "")</f>
        <v/>
      </c>
      <c r="J22" s="77" t="str">
        <f>IF(MIN('Clean Unknown'!F:F) &lt; 9999, IF($C22="yes", IF(Knowns!G14&lt;&gt;0, Knowns!G14, "****"), ""), "")</f>
        <v/>
      </c>
    </row>
    <row r="23" spans="1:10">
      <c r="A23" s="33" t="str">
        <f>IF(Knowns!A15&lt;&gt;"", Knowns!A15, "")</f>
        <v>Clavarioid 2</v>
      </c>
      <c r="B23" s="33">
        <f>IF(A23&lt;&gt;"", MAX('Error Calc (bp)'!B15:G15), "")</f>
        <v>15.95999999999998</v>
      </c>
      <c r="C23" s="33" t="str">
        <f>IF(A23&lt;&gt;"", IF(B23&lt;Parameters!B$3, "yes", "no"), "")</f>
        <v>no</v>
      </c>
      <c r="D23" s="33"/>
      <c r="E23" s="77" t="str">
        <f>IF(MIN('Clean Unknown'!A:A) &lt; 9999, IF($C23="yes", IF(Knowns!B15&lt;&gt;0, Knowns!B15, "****"), ""), "")</f>
        <v/>
      </c>
      <c r="F23" s="77" t="str">
        <f>IF(MIN('Clean Unknown'!B:B) &lt; 9999, IF($C23="yes", IF(Knowns!C15&lt;&gt;0, Knowns!C15, "****"), ""), "")</f>
        <v/>
      </c>
      <c r="G23" s="77" t="str">
        <f>IF(MIN('Clean Unknown'!C:C) &lt; 9999, IF($C23="yes", IF(Knowns!D15&lt;&gt;0, Knowns!D15, "****"), ""), "")</f>
        <v/>
      </c>
      <c r="H23" s="77" t="str">
        <f>IF(MIN('Clean Unknown'!D:D) &lt; 9999, IF($C23="yes", IF(Knowns!E15&lt;&gt;0, Knowns!E15, "****"), ""), "")</f>
        <v/>
      </c>
      <c r="I23" s="77" t="str">
        <f>IF(MIN('Clean Unknown'!E:E) &lt; 9999, IF($C23="yes", IF(Knowns!F15&lt;&gt;0, Knowns!F15, "****"), ""), "")</f>
        <v/>
      </c>
      <c r="J23" s="77" t="str">
        <f>IF(MIN('Clean Unknown'!F:F) &lt; 9999, IF($C23="yes", IF(Knowns!G15&lt;&gt;0, Knowns!G15, "****"), ""), "")</f>
        <v/>
      </c>
    </row>
    <row r="24" spans="1:10">
      <c r="A24" s="33" t="str">
        <f>IF(Knowns!A16&lt;&gt;"", Knowns!A16, "")</f>
        <v>Clavulina cristata (=MT F,G,U,W)</v>
      </c>
      <c r="B24" s="33">
        <f>IF(A24&lt;&gt;"", MAX('Error Calc (bp)'!B16:G16), "")</f>
        <v>1.2800000000000011</v>
      </c>
      <c r="C24" s="33" t="str">
        <f>IF(A24&lt;&gt;"", IF(B24&lt;Parameters!B$3, "yes", "no"), "")</f>
        <v>yes</v>
      </c>
      <c r="D24" s="33"/>
      <c r="E24" s="77">
        <f>IF(MIN('Clean Unknown'!A:A) &lt; 9999, IF($C24="yes", IF(Knowns!B16&lt;&gt;0, Knowns!B16, "****"), ""), "")</f>
        <v>45</v>
      </c>
      <c r="F24" s="77">
        <f>IF(MIN('Clean Unknown'!B:B) &lt; 9999, IF($C24="yes", IF(Knowns!C16&lt;&gt;0, Knowns!C16, "****"), ""), "")</f>
        <v>366</v>
      </c>
      <c r="G24" s="77">
        <f>IF(MIN('Clean Unknown'!C:C) &lt; 9999, IF($C24="yes", IF(Knowns!D16&lt;&gt;0, Knowns!D16, "****"), ""), "")</f>
        <v>129.80000000000001</v>
      </c>
      <c r="H24" s="77">
        <f>IF(MIN('Clean Unknown'!D:D) &lt; 9999, IF($C24="yes", IF(Knowns!E16&lt;&gt;0, Knowns!E16, "****"), ""), "")</f>
        <v>266.39999999999998</v>
      </c>
      <c r="I24" s="77" t="str">
        <f>IF(MIN('Clean Unknown'!E:E) &lt; 9999, IF($C24="yes", IF(Knowns!F16&lt;&gt;0, Knowns!F16, "****"), ""), "")</f>
        <v/>
      </c>
      <c r="J24" s="77" t="str">
        <f>IF(MIN('Clean Unknown'!F:F) &lt; 9999, IF($C24="yes", IF(Knowns!G16&lt;&gt;0, Knowns!G16, "****"), ""), "")</f>
        <v/>
      </c>
    </row>
    <row r="25" spans="1:10">
      <c r="A25" s="33" t="str">
        <f>IF(Knowns!A17&lt;&gt;"", Knowns!A17, "")</f>
        <v>Clitocybe clavipes</v>
      </c>
      <c r="B25" s="33">
        <f>IF(A25&lt;&gt;"", MAX('Error Calc (bp)'!B17:G17), "")</f>
        <v>630.45000000000005</v>
      </c>
      <c r="C25" s="33" t="str">
        <f>IF(A25&lt;&gt;"", IF(B25&lt;Parameters!B$3, "yes", "no"), "")</f>
        <v>no</v>
      </c>
      <c r="D25" s="33"/>
      <c r="E25" s="77" t="str">
        <f>IF(MIN('Clean Unknown'!A:A) &lt; 9999, IF($C25="yes", IF(Knowns!B17&lt;&gt;0, Knowns!B17, "****"), ""), "")</f>
        <v/>
      </c>
      <c r="F25" s="77" t="str">
        <f>IF(MIN('Clean Unknown'!B:B) &lt; 9999, IF($C25="yes", IF(Knowns!C17&lt;&gt;0, Knowns!C17, "****"), ""), "")</f>
        <v/>
      </c>
      <c r="G25" s="77" t="str">
        <f>IF(MIN('Clean Unknown'!C:C) &lt; 9999, IF($C25="yes", IF(Knowns!D17&lt;&gt;0, Knowns!D17, "****"), ""), "")</f>
        <v/>
      </c>
      <c r="H25" s="77" t="str">
        <f>IF(MIN('Clean Unknown'!D:D) &lt; 9999, IF($C25="yes", IF(Knowns!E17&lt;&gt;0, Knowns!E17, "****"), ""), "")</f>
        <v/>
      </c>
      <c r="I25" s="77" t="str">
        <f>IF(MIN('Clean Unknown'!E:E) &lt; 9999, IF($C25="yes", IF(Knowns!F17&lt;&gt;0, Knowns!F17, "****"), ""), "")</f>
        <v/>
      </c>
      <c r="J25" s="77" t="str">
        <f>IF(MIN('Clean Unknown'!F:F) &lt; 9999, IF($C25="yes", IF(Knowns!G17&lt;&gt;0, Knowns!G17, "****"), ""), "")</f>
        <v/>
      </c>
    </row>
    <row r="26" spans="1:10">
      <c r="A26" s="33" t="str">
        <f>IF(Knowns!A18&lt;&gt;"", Knowns!A18, "")</f>
        <v>Clitocybe robusta</v>
      </c>
      <c r="B26" s="33">
        <f>IF(A26&lt;&gt;"", MAX('Error Calc (bp)'!B18:G18), "")</f>
        <v>189.05</v>
      </c>
      <c r="C26" s="33" t="str">
        <f>IF(A26&lt;&gt;"", IF(B26&lt;Parameters!B$3, "yes", "no"), "")</f>
        <v>no</v>
      </c>
      <c r="D26" s="33"/>
      <c r="E26" s="77" t="str">
        <f>IF(MIN('Clean Unknown'!A:A) &lt; 9999, IF($C26="yes", IF(Knowns!B18&lt;&gt;0, Knowns!B18, "****"), ""), "")</f>
        <v/>
      </c>
      <c r="F26" s="77" t="str">
        <f>IF(MIN('Clean Unknown'!B:B) &lt; 9999, IF($C26="yes", IF(Knowns!C18&lt;&gt;0, Knowns!C18, "****"), ""), "")</f>
        <v/>
      </c>
      <c r="G26" s="77" t="str">
        <f>IF(MIN('Clean Unknown'!C:C) &lt; 9999, IF($C26="yes", IF(Knowns!D18&lt;&gt;0, Knowns!D18, "****"), ""), "")</f>
        <v/>
      </c>
      <c r="H26" s="77" t="str">
        <f>IF(MIN('Clean Unknown'!D:D) &lt; 9999, IF($C26="yes", IF(Knowns!E18&lt;&gt;0, Knowns!E18, "****"), ""), "")</f>
        <v/>
      </c>
      <c r="I26" s="77" t="str">
        <f>IF(MIN('Clean Unknown'!E:E) &lt; 9999, IF($C26="yes", IF(Knowns!F18&lt;&gt;0, Knowns!F18, "****"), ""), "")</f>
        <v/>
      </c>
      <c r="J26" s="77" t="str">
        <f>IF(MIN('Clean Unknown'!F:F) &lt; 9999, IF($C26="yes", IF(Knowns!G18&lt;&gt;0, Knowns!G18, "****"), ""), "")</f>
        <v/>
      </c>
    </row>
    <row r="27" spans="1:10">
      <c r="A27" s="33" t="str">
        <f>IF(Knowns!A19&lt;&gt;"", Knowns!A19, "")</f>
        <v xml:space="preserve">Collybia cf. dryophila </v>
      </c>
      <c r="B27" s="33">
        <f>IF(A27&lt;&gt;"", MAX('Error Calc (bp)'!B19:G19), "")</f>
        <v>333.05</v>
      </c>
      <c r="C27" s="33" t="str">
        <f>IF(A27&lt;&gt;"", IF(B27&lt;Parameters!B$3, "yes", "no"), "")</f>
        <v>no</v>
      </c>
      <c r="D27" s="33"/>
      <c r="E27" s="77" t="str">
        <f>IF(MIN('Clean Unknown'!A:A) &lt; 9999, IF($C27="yes", IF(Knowns!B19&lt;&gt;0, Knowns!B19, "****"), ""), "")</f>
        <v/>
      </c>
      <c r="F27" s="77" t="str">
        <f>IF(MIN('Clean Unknown'!B:B) &lt; 9999, IF($C27="yes", IF(Knowns!C19&lt;&gt;0, Knowns!C19, "****"), ""), "")</f>
        <v/>
      </c>
      <c r="G27" s="77" t="str">
        <f>IF(MIN('Clean Unknown'!C:C) &lt; 9999, IF($C27="yes", IF(Knowns!D19&lt;&gt;0, Knowns!D19, "****"), ""), "")</f>
        <v/>
      </c>
      <c r="H27" s="77" t="str">
        <f>IF(MIN('Clean Unknown'!D:D) &lt; 9999, IF($C27="yes", IF(Knowns!E19&lt;&gt;0, Knowns!E19, "****"), ""), "")</f>
        <v/>
      </c>
      <c r="I27" s="77" t="str">
        <f>IF(MIN('Clean Unknown'!E:E) &lt; 9999, IF($C27="yes", IF(Knowns!F19&lt;&gt;0, Knowns!F19, "****"), ""), "")</f>
        <v/>
      </c>
      <c r="J27" s="77" t="str">
        <f>IF(MIN('Clean Unknown'!F:F) &lt; 9999, IF($C27="yes", IF(Knowns!G19&lt;&gt;0, Knowns!G19, "****"), ""), "")</f>
        <v/>
      </c>
    </row>
    <row r="28" spans="1:10">
      <c r="A28" s="33" t="str">
        <f>IF(Knowns!A20&lt;&gt;"", Knowns!A20, "")</f>
        <v>Collybia sp.</v>
      </c>
      <c r="B28" s="33">
        <f>IF(A28&lt;&gt;"", MAX('Error Calc (bp)'!B20:G20), "")</f>
        <v>506.15000000000003</v>
      </c>
      <c r="C28" s="33" t="str">
        <f>IF(A28&lt;&gt;"", IF(B28&lt;Parameters!B$3, "yes", "no"), "")</f>
        <v>no</v>
      </c>
      <c r="D28" s="33"/>
      <c r="E28" s="77" t="str">
        <f>IF(MIN('Clean Unknown'!A:A) &lt; 9999, IF($C28="yes", IF(Knowns!B20&lt;&gt;0, Knowns!B20, "****"), ""), "")</f>
        <v/>
      </c>
      <c r="F28" s="77" t="str">
        <f>IF(MIN('Clean Unknown'!B:B) &lt; 9999, IF($C28="yes", IF(Knowns!C20&lt;&gt;0, Knowns!C20, "****"), ""), "")</f>
        <v/>
      </c>
      <c r="G28" s="77" t="str">
        <f>IF(MIN('Clean Unknown'!C:C) &lt; 9999, IF($C28="yes", IF(Knowns!D20&lt;&gt;0, Knowns!D20, "****"), ""), "")</f>
        <v/>
      </c>
      <c r="H28" s="77" t="str">
        <f>IF(MIN('Clean Unknown'!D:D) &lt; 9999, IF($C28="yes", IF(Knowns!E20&lt;&gt;0, Knowns!E20, "****"), ""), "")</f>
        <v/>
      </c>
      <c r="I28" s="77" t="str">
        <f>IF(MIN('Clean Unknown'!E:E) &lt; 9999, IF($C28="yes", IF(Knowns!F20&lt;&gt;0, Knowns!F20, "****"), ""), "")</f>
        <v/>
      </c>
      <c r="J28" s="77" t="str">
        <f>IF(MIN('Clean Unknown'!F:F) &lt; 9999, IF($C28="yes", IF(Knowns!G20&lt;&gt;0, Knowns!G20, "****"), ""), "")</f>
        <v/>
      </c>
    </row>
    <row r="29" spans="1:10">
      <c r="A29" s="33" t="str">
        <f>IF(Knowns!A21&lt;&gt;"", Knowns!A21, "")</f>
        <v>Cortinarius a (=MT X)</v>
      </c>
      <c r="B29" s="33">
        <f>IF(A29&lt;&gt;"", MAX('Error Calc (bp)'!B21:G21), "")</f>
        <v>193.34999999999997</v>
      </c>
      <c r="C29" s="33" t="str">
        <f>IF(A29&lt;&gt;"", IF(B29&lt;Parameters!B$3, "yes", "no"), "")</f>
        <v>no</v>
      </c>
      <c r="D29" s="33"/>
      <c r="E29" s="77" t="str">
        <f>IF(MIN('Clean Unknown'!A:A) &lt; 9999, IF($C29="yes", IF(Knowns!B21&lt;&gt;0, Knowns!B21, "****"), ""), "")</f>
        <v/>
      </c>
      <c r="F29" s="77" t="str">
        <f>IF(MIN('Clean Unknown'!B:B) &lt; 9999, IF($C29="yes", IF(Knowns!C21&lt;&gt;0, Knowns!C21, "****"), ""), "")</f>
        <v/>
      </c>
      <c r="G29" s="77" t="str">
        <f>IF(MIN('Clean Unknown'!C:C) &lt; 9999, IF($C29="yes", IF(Knowns!D21&lt;&gt;0, Knowns!D21, "****"), ""), "")</f>
        <v/>
      </c>
      <c r="H29" s="77" t="str">
        <f>IF(MIN('Clean Unknown'!D:D) &lt; 9999, IF($C29="yes", IF(Knowns!E21&lt;&gt;0, Knowns!E21, "****"), ""), "")</f>
        <v/>
      </c>
      <c r="I29" s="77" t="str">
        <f>IF(MIN('Clean Unknown'!E:E) &lt; 9999, IF($C29="yes", IF(Knowns!F21&lt;&gt;0, Knowns!F21, "****"), ""), "")</f>
        <v/>
      </c>
      <c r="J29" s="77" t="str">
        <f>IF(MIN('Clean Unknown'!F:F) &lt; 9999, IF($C29="yes", IF(Knowns!G21&lt;&gt;0, Knowns!G21, "****"), ""), "")</f>
        <v/>
      </c>
    </row>
    <row r="30" spans="1:10">
      <c r="A30" s="33" t="str">
        <f>IF(Knowns!A22&lt;&gt;"", Knowns!A22, "")</f>
        <v>Cortinarius b</v>
      </c>
      <c r="B30" s="33">
        <f>IF(A30&lt;&gt;"", MAX('Error Calc (bp)'!B22:G22), "")</f>
        <v>88.830000000000013</v>
      </c>
      <c r="C30" s="33" t="str">
        <f>IF(A30&lt;&gt;"", IF(B30&lt;Parameters!B$3, "yes", "no"), "")</f>
        <v>no</v>
      </c>
      <c r="D30" s="33"/>
      <c r="E30" s="77" t="str">
        <f>IF(MIN('Clean Unknown'!A:A) &lt; 9999, IF($C30="yes", IF(Knowns!B22&lt;&gt;0, Knowns!B22, "****"), ""), "")</f>
        <v/>
      </c>
      <c r="F30" s="77" t="str">
        <f>IF(MIN('Clean Unknown'!B:B) &lt; 9999, IF($C30="yes", IF(Knowns!C22&lt;&gt;0, Knowns!C22, "****"), ""), "")</f>
        <v/>
      </c>
      <c r="G30" s="77" t="str">
        <f>IF(MIN('Clean Unknown'!C:C) &lt; 9999, IF($C30="yes", IF(Knowns!D22&lt;&gt;0, Knowns!D22, "****"), ""), "")</f>
        <v/>
      </c>
      <c r="H30" s="77" t="str">
        <f>IF(MIN('Clean Unknown'!D:D) &lt; 9999, IF($C30="yes", IF(Knowns!E22&lt;&gt;0, Knowns!E22, "****"), ""), "")</f>
        <v/>
      </c>
      <c r="I30" s="77" t="str">
        <f>IF(MIN('Clean Unknown'!E:E) &lt; 9999, IF($C30="yes", IF(Knowns!F22&lt;&gt;0, Knowns!F22, "****"), ""), "")</f>
        <v/>
      </c>
      <c r="J30" s="77" t="str">
        <f>IF(MIN('Clean Unknown'!F:F) &lt; 9999, IF($C30="yes", IF(Knowns!G22&lt;&gt;0, Knowns!G22, "****"), ""), "")</f>
        <v/>
      </c>
    </row>
    <row r="31" spans="1:10">
      <c r="A31" s="33" t="str">
        <f>IF(Knowns!A23&lt;&gt;"", Knowns!A23, "")</f>
        <v>Cortinarius c</v>
      </c>
      <c r="B31" s="33">
        <f>IF(A31&lt;&gt;"", MAX('Error Calc (bp)'!B23:G23), "")</f>
        <v>190.84999999999997</v>
      </c>
      <c r="C31" s="33" t="str">
        <f>IF(A31&lt;&gt;"", IF(B31&lt;Parameters!B$3, "yes", "no"), "")</f>
        <v>no</v>
      </c>
      <c r="D31" s="33"/>
      <c r="E31" s="77" t="str">
        <f>IF(MIN('Clean Unknown'!A:A) &lt; 9999, IF($C31="yes", IF(Knowns!B23&lt;&gt;0, Knowns!B23, "****"), ""), "")</f>
        <v/>
      </c>
      <c r="F31" s="77" t="str">
        <f>IF(MIN('Clean Unknown'!B:B) &lt; 9999, IF($C31="yes", IF(Knowns!C23&lt;&gt;0, Knowns!C23, "****"), ""), "")</f>
        <v/>
      </c>
      <c r="G31" s="77" t="str">
        <f>IF(MIN('Clean Unknown'!C:C) &lt; 9999, IF($C31="yes", IF(Knowns!D23&lt;&gt;0, Knowns!D23, "****"), ""), "")</f>
        <v/>
      </c>
      <c r="H31" s="77" t="str">
        <f>IF(MIN('Clean Unknown'!D:D) &lt; 9999, IF($C31="yes", IF(Knowns!E23&lt;&gt;0, Knowns!E23, "****"), ""), "")</f>
        <v/>
      </c>
      <c r="I31" s="77" t="str">
        <f>IF(MIN('Clean Unknown'!E:E) &lt; 9999, IF($C31="yes", IF(Knowns!F23&lt;&gt;0, Knowns!F23, "****"), ""), "")</f>
        <v/>
      </c>
      <c r="J31" s="77" t="str">
        <f>IF(MIN('Clean Unknown'!F:F) &lt; 9999, IF($C31="yes", IF(Knowns!G23&lt;&gt;0, Knowns!G23, "****"), ""), "")</f>
        <v/>
      </c>
    </row>
    <row r="32" spans="1:10">
      <c r="A32" s="33" t="str">
        <f>IF(Knowns!A24&lt;&gt;"", Knowns!A24, "")</f>
        <v>Hygrophoropsis aurantiaca</v>
      </c>
      <c r="B32" s="33">
        <f>IF(A32&lt;&gt;"", MAX('Error Calc (bp)'!B24:G24), "")</f>
        <v>359.55</v>
      </c>
      <c r="C32" s="33" t="str">
        <f>IF(A32&lt;&gt;"", IF(B32&lt;Parameters!B$3, "yes", "no"), "")</f>
        <v>no</v>
      </c>
      <c r="D32" s="33"/>
      <c r="E32" s="77" t="str">
        <f>IF(MIN('Clean Unknown'!A:A) &lt; 9999, IF($C32="yes", IF(Knowns!B24&lt;&gt;0, Knowns!B24, "****"), ""), "")</f>
        <v/>
      </c>
      <c r="F32" s="77" t="str">
        <f>IF(MIN('Clean Unknown'!B:B) &lt; 9999, IF($C32="yes", IF(Knowns!C24&lt;&gt;0, Knowns!C24, "****"), ""), "")</f>
        <v/>
      </c>
      <c r="G32" s="77" t="str">
        <f>IF(MIN('Clean Unknown'!C:C) &lt; 9999, IF($C32="yes", IF(Knowns!D24&lt;&gt;0, Knowns!D24, "****"), ""), "")</f>
        <v/>
      </c>
      <c r="H32" s="77" t="str">
        <f>IF(MIN('Clean Unknown'!D:D) &lt; 9999, IF($C32="yes", IF(Knowns!E24&lt;&gt;0, Knowns!E24, "****"), ""), "")</f>
        <v/>
      </c>
      <c r="I32" s="77" t="str">
        <f>IF(MIN('Clean Unknown'!E:E) &lt; 9999, IF($C32="yes", IF(Knowns!F24&lt;&gt;0, Knowns!F24, "****"), ""), "")</f>
        <v/>
      </c>
      <c r="J32" s="77" t="str">
        <f>IF(MIN('Clean Unknown'!F:F) &lt; 9999, IF($C32="yes", IF(Knowns!G24&lt;&gt;0, Knowns!G24, "****"), ""), "")</f>
        <v/>
      </c>
    </row>
    <row r="33" spans="1:10">
      <c r="A33" s="33" t="str">
        <f>IF(Knowns!A25&lt;&gt;"", Knowns!A25, "")</f>
        <v xml:space="preserve">Laccaria laccata </v>
      </c>
      <c r="B33" s="33">
        <f>IF(A33&lt;&gt;"", MAX('Error Calc (bp)'!B25:G25), "")</f>
        <v>480.15000000000003</v>
      </c>
      <c r="C33" s="33" t="str">
        <f>IF(A33&lt;&gt;"", IF(B33&lt;Parameters!B$3, "yes", "no"), "")</f>
        <v>no</v>
      </c>
      <c r="D33" s="33"/>
      <c r="E33" s="77" t="str">
        <f>IF(MIN('Clean Unknown'!A:A) &lt; 9999, IF($C33="yes", IF(Knowns!B25&lt;&gt;0, Knowns!B25, "****"), ""), "")</f>
        <v/>
      </c>
      <c r="F33" s="77" t="str">
        <f>IF(MIN('Clean Unknown'!B:B) &lt; 9999, IF($C33="yes", IF(Knowns!C25&lt;&gt;0, Knowns!C25, "****"), ""), "")</f>
        <v/>
      </c>
      <c r="G33" s="77" t="str">
        <f>IF(MIN('Clean Unknown'!C:C) &lt; 9999, IF($C33="yes", IF(Knowns!D25&lt;&gt;0, Knowns!D25, "****"), ""), "")</f>
        <v/>
      </c>
      <c r="H33" s="77" t="str">
        <f>IF(MIN('Clean Unknown'!D:D) &lt; 9999, IF($C33="yes", IF(Knowns!E25&lt;&gt;0, Knowns!E25, "****"), ""), "")</f>
        <v/>
      </c>
      <c r="I33" s="77" t="str">
        <f>IF(MIN('Clean Unknown'!E:E) &lt; 9999, IF($C33="yes", IF(Knowns!F25&lt;&gt;0, Knowns!F25, "****"), ""), "")</f>
        <v/>
      </c>
      <c r="J33" s="77" t="str">
        <f>IF(MIN('Clean Unknown'!F:F) &lt; 9999, IF($C33="yes", IF(Knowns!G25&lt;&gt;0, Knowns!G25, "****"), ""), "")</f>
        <v/>
      </c>
    </row>
    <row r="34" spans="1:10">
      <c r="A34" s="33" t="str">
        <f>IF(Knowns!A26&lt;&gt;"", Knowns!A26, "")</f>
        <v>Lactarius sp. (=MT C)</v>
      </c>
      <c r="B34" s="33">
        <f>IF(A34&lt;&gt;"", MAX('Error Calc (bp)'!B26:G26), "")</f>
        <v>455.05</v>
      </c>
      <c r="C34" s="33" t="str">
        <f>IF(A34&lt;&gt;"", IF(B34&lt;Parameters!B$3, "yes", "no"), "")</f>
        <v>no</v>
      </c>
      <c r="D34" s="33"/>
      <c r="E34" s="77" t="str">
        <f>IF(MIN('Clean Unknown'!A:A) &lt; 9999, IF($C34="yes", IF(Knowns!B26&lt;&gt;0, Knowns!B26, "****"), ""), "")</f>
        <v/>
      </c>
      <c r="F34" s="77" t="str">
        <f>IF(MIN('Clean Unknown'!B:B) &lt; 9999, IF($C34="yes", IF(Knowns!C26&lt;&gt;0, Knowns!C26, "****"), ""), "")</f>
        <v/>
      </c>
      <c r="G34" s="77" t="str">
        <f>IF(MIN('Clean Unknown'!C:C) &lt; 9999, IF($C34="yes", IF(Knowns!D26&lt;&gt;0, Knowns!D26, "****"), ""), "")</f>
        <v/>
      </c>
      <c r="H34" s="77" t="str">
        <f>IF(MIN('Clean Unknown'!D:D) &lt; 9999, IF($C34="yes", IF(Knowns!E26&lt;&gt;0, Knowns!E26, "****"), ""), "")</f>
        <v/>
      </c>
      <c r="I34" s="77" t="str">
        <f>IF(MIN('Clean Unknown'!E:E) &lt; 9999, IF($C34="yes", IF(Knowns!F26&lt;&gt;0, Knowns!F26, "****"), ""), "")</f>
        <v/>
      </c>
      <c r="J34" s="77" t="str">
        <f>IF(MIN('Clean Unknown'!F:F) &lt; 9999, IF($C34="yes", IF(Knowns!G26&lt;&gt;0, Knowns!G26, "****"), ""), "")</f>
        <v/>
      </c>
    </row>
    <row r="35" spans="1:10">
      <c r="A35" s="33" t="str">
        <f>IF(Knowns!A27&lt;&gt;"", Knowns!A27, "")</f>
        <v>Lactarius oculatus</v>
      </c>
      <c r="B35" s="33">
        <f>IF(A35&lt;&gt;"", MAX('Error Calc (bp)'!B27:G27), "")</f>
        <v>0.85999999999999943</v>
      </c>
      <c r="C35" s="33" t="str">
        <f>IF(A35&lt;&gt;"", IF(B35&lt;Parameters!B$3, "yes", "no"), "")</f>
        <v>yes</v>
      </c>
      <c r="D35" s="33"/>
      <c r="E35" s="77">
        <f>IF(MIN('Clean Unknown'!A:A) &lt; 9999, IF($C35="yes", IF(Knowns!B27&lt;&gt;0, Knowns!B27, "****"), ""), "")</f>
        <v>387.8</v>
      </c>
      <c r="F35" s="77">
        <f>IF(MIN('Clean Unknown'!B:B) &lt; 9999, IF($C35="yes", IF(Knowns!C27&lt;&gt;0, Knowns!C27, "****"), ""), "")</f>
        <v>105.7</v>
      </c>
      <c r="G35" s="77">
        <f>IF(MIN('Clean Unknown'!C:C) &lt; 9999, IF($C35="yes", IF(Knowns!D27&lt;&gt;0, Knowns!D27, "****"), ""), "")</f>
        <v>247</v>
      </c>
      <c r="H35" s="77">
        <f>IF(MIN('Clean Unknown'!D:D) &lt; 9999, IF($C35="yes", IF(Knowns!E27&lt;&gt;0, Knowns!E27, "****"), ""), "")</f>
        <v>522.20000000000005</v>
      </c>
      <c r="I35" s="77" t="str">
        <f>IF(MIN('Clean Unknown'!E:E) &lt; 9999, IF($C35="yes", IF(Knowns!F27&lt;&gt;0, Knowns!F27, "****"), ""), "")</f>
        <v/>
      </c>
      <c r="J35" s="77" t="str">
        <f>IF(MIN('Clean Unknown'!F:F) &lt; 9999, IF($C35="yes", IF(Knowns!G27&lt;&gt;0, Knowns!G27, "****"), ""), "")</f>
        <v/>
      </c>
    </row>
    <row r="36" spans="1:10">
      <c r="A36" s="33" t="str">
        <f>IF(Knowns!A28&lt;&gt;"", Knowns!A28, "")</f>
        <v>MT Q</v>
      </c>
      <c r="B36" s="33">
        <f>IF(A36&lt;&gt;"", MAX('Error Calc (bp)'!B28:G28), "")</f>
        <v>21.629999999999995</v>
      </c>
      <c r="C36" s="33" t="str">
        <f>IF(A36&lt;&gt;"", IF(B36&lt;Parameters!B$3, "yes", "no"), "")</f>
        <v>no</v>
      </c>
      <c r="D36" s="33"/>
      <c r="E36" s="77" t="str">
        <f>IF(MIN('Clean Unknown'!A:A) &lt; 9999, IF($C36="yes", IF(Knowns!B28&lt;&gt;0, Knowns!B28, "****"), ""), "")</f>
        <v/>
      </c>
      <c r="F36" s="77" t="str">
        <f>IF(MIN('Clean Unknown'!B:B) &lt; 9999, IF($C36="yes", IF(Knowns!C28&lt;&gt;0, Knowns!C28, "****"), ""), "")</f>
        <v/>
      </c>
      <c r="G36" s="77" t="str">
        <f>IF(MIN('Clean Unknown'!C:C) &lt; 9999, IF($C36="yes", IF(Knowns!D28&lt;&gt;0, Knowns!D28, "****"), ""), "")</f>
        <v/>
      </c>
      <c r="H36" s="77" t="str">
        <f>IF(MIN('Clean Unknown'!D:D) &lt; 9999, IF($C36="yes", IF(Knowns!E28&lt;&gt;0, Knowns!E28, "****"), ""), "")</f>
        <v/>
      </c>
      <c r="I36" s="77" t="str">
        <f>IF(MIN('Clean Unknown'!E:E) &lt; 9999, IF($C36="yes", IF(Knowns!F28&lt;&gt;0, Knowns!F28, "****"), ""), "")</f>
        <v/>
      </c>
      <c r="J36" s="77" t="str">
        <f>IF(MIN('Clean Unknown'!F:F) &lt; 9999, IF($C36="yes", IF(Knowns!G28&lt;&gt;0, Knowns!G28, "****"), ""), "")</f>
        <v/>
      </c>
    </row>
    <row r="37" spans="1:10">
      <c r="A37" s="33" t="str">
        <f>IF(Knowns!A29&lt;&gt;"", Knowns!A29, "")</f>
        <v>MT R</v>
      </c>
      <c r="B37" s="33">
        <f>IF(A37&lt;&gt;"", MAX('Error Calc (bp)'!B29:G29), "")</f>
        <v>96.13</v>
      </c>
      <c r="C37" s="33" t="str">
        <f>IF(A37&lt;&gt;"", IF(B37&lt;Parameters!B$3, "yes", "no"), "")</f>
        <v>no</v>
      </c>
      <c r="D37" s="33"/>
      <c r="E37" s="77" t="str">
        <f>IF(MIN('Clean Unknown'!A:A) &lt; 9999, IF($C37="yes", IF(Knowns!B29&lt;&gt;0, Knowns!B29, "****"), ""), "")</f>
        <v/>
      </c>
      <c r="F37" s="77" t="str">
        <f>IF(MIN('Clean Unknown'!B:B) &lt; 9999, IF($C37="yes", IF(Knowns!C29&lt;&gt;0, Knowns!C29, "****"), ""), "")</f>
        <v/>
      </c>
      <c r="G37" s="77" t="str">
        <f>IF(MIN('Clean Unknown'!C:C) &lt; 9999, IF($C37="yes", IF(Knowns!D29&lt;&gt;0, Knowns!D29, "****"), ""), "")</f>
        <v/>
      </c>
      <c r="H37" s="77" t="str">
        <f>IF(MIN('Clean Unknown'!D:D) &lt; 9999, IF($C37="yes", IF(Knowns!E29&lt;&gt;0, Knowns!E29, "****"), ""), "")</f>
        <v/>
      </c>
      <c r="I37" s="77" t="str">
        <f>IF(MIN('Clean Unknown'!E:E) &lt; 9999, IF($C37="yes", IF(Knowns!F29&lt;&gt;0, Knowns!F29, "****"), ""), "")</f>
        <v/>
      </c>
      <c r="J37" s="77" t="str">
        <f>IF(MIN('Clean Unknown'!F:F) &lt; 9999, IF($C37="yes", IF(Knowns!G29&lt;&gt;0, Knowns!G29, "****"), ""), "")</f>
        <v/>
      </c>
    </row>
    <row r="38" spans="1:10">
      <c r="A38" s="33" t="str">
        <f>IF(Knowns!A30&lt;&gt;"", Knowns!A30, "")</f>
        <v xml:space="preserve">MT S </v>
      </c>
      <c r="B38" s="33">
        <f>IF(A38&lt;&gt;"", MAX('Error Calc (bp)'!B30:G30), "")</f>
        <v>0.94999999999998863</v>
      </c>
      <c r="C38" s="33" t="str">
        <f>IF(A38&lt;&gt;"", IF(B38&lt;Parameters!B$3, "yes", "no"), "")</f>
        <v>yes</v>
      </c>
      <c r="D38" s="33"/>
      <c r="E38" s="77" t="str">
        <f>IF(MIN('Clean Unknown'!A:A) &lt; 9999, IF($C38="yes", IF(Knowns!B30&lt;&gt;0, Knowns!B30, "****"), ""), "")</f>
        <v>****</v>
      </c>
      <c r="F38" s="77" t="str">
        <f>IF(MIN('Clean Unknown'!B:B) &lt; 9999, IF($C38="yes", IF(Knowns!C30&lt;&gt;0, Knowns!C30, "****"), ""), "")</f>
        <v>****</v>
      </c>
      <c r="G38" s="77">
        <f>IF(MIN('Clean Unknown'!C:C) &lt; 9999, IF($C38="yes", IF(Knowns!D30&lt;&gt;0, Knowns!D30, "****"), ""), "")</f>
        <v>129</v>
      </c>
      <c r="H38" s="77">
        <f>IF(MIN('Clean Unknown'!D:D) &lt; 9999, IF($C38="yes", IF(Knowns!E30&lt;&gt;0, Knowns!E30, "****"), ""), "")</f>
        <v>266.3</v>
      </c>
      <c r="I38" s="77" t="str">
        <f>IF(MIN('Clean Unknown'!E:E) &lt; 9999, IF($C38="yes", IF(Knowns!F30&lt;&gt;0, Knowns!F30, "****"), ""), "")</f>
        <v/>
      </c>
      <c r="J38" s="77" t="str">
        <f>IF(MIN('Clean Unknown'!F:F) &lt; 9999, IF($C38="yes", IF(Knowns!G30&lt;&gt;0, Knowns!G30, "****"), ""), "")</f>
        <v/>
      </c>
    </row>
    <row r="39" spans="1:10">
      <c r="A39" s="33" t="str">
        <f>IF(Knowns!A31&lt;&gt;"", Knowns!A31, "")</f>
        <v>Penicillium sp.</v>
      </c>
      <c r="B39" s="33">
        <f>IF(A39&lt;&gt;"", MAX('Error Calc (bp)'!B31:G31), "")</f>
        <v>40.830000000000013</v>
      </c>
      <c r="C39" s="33" t="str">
        <f>IF(A39&lt;&gt;"", IF(B39&lt;Parameters!B$3, "yes", "no"), "")</f>
        <v>no</v>
      </c>
      <c r="D39" s="33"/>
      <c r="E39" s="77" t="str">
        <f>IF(MIN('Clean Unknown'!A:A) &lt; 9999, IF($C39="yes", IF(Knowns!B31&lt;&gt;0, Knowns!B31, "****"), ""), "")</f>
        <v/>
      </c>
      <c r="F39" s="77" t="str">
        <f>IF(MIN('Clean Unknown'!B:B) &lt; 9999, IF($C39="yes", IF(Knowns!C31&lt;&gt;0, Knowns!C31, "****"), ""), "")</f>
        <v/>
      </c>
      <c r="G39" s="77" t="str">
        <f>IF(MIN('Clean Unknown'!C:C) &lt; 9999, IF($C39="yes", IF(Knowns!D31&lt;&gt;0, Knowns!D31, "****"), ""), "")</f>
        <v/>
      </c>
      <c r="H39" s="77" t="str">
        <f>IF(MIN('Clean Unknown'!D:D) &lt; 9999, IF($C39="yes", IF(Knowns!E31&lt;&gt;0, Knowns!E31, "****"), ""), "")</f>
        <v/>
      </c>
      <c r="I39" s="77" t="str">
        <f>IF(MIN('Clean Unknown'!E:E) &lt; 9999, IF($C39="yes", IF(Knowns!F31&lt;&gt;0, Knowns!F31, "****"), ""), "")</f>
        <v/>
      </c>
      <c r="J39" s="77" t="str">
        <f>IF(MIN('Clean Unknown'!F:F) &lt; 9999, IF($C39="yes", IF(Knowns!G31&lt;&gt;0, Knowns!G31, "****"), ""), "")</f>
        <v/>
      </c>
    </row>
    <row r="40" spans="1:10">
      <c r="A40" s="33" t="str">
        <f>IF(Knowns!A32&lt;&gt;"", Knowns!A32, "")</f>
        <v>Polyporus sulphurea</v>
      </c>
      <c r="B40" s="33">
        <f>IF(A40&lt;&gt;"", MAX('Error Calc (bp)'!B32:G32), "")</f>
        <v>312.95</v>
      </c>
      <c r="C40" s="33" t="str">
        <f>IF(A40&lt;&gt;"", IF(B40&lt;Parameters!B$3, "yes", "no"), "")</f>
        <v>no</v>
      </c>
      <c r="D40" s="33"/>
      <c r="E40" s="77" t="str">
        <f>IF(MIN('Clean Unknown'!A:A) &lt; 9999, IF($C40="yes", IF(Knowns!B32&lt;&gt;0, Knowns!B32, "****"), ""), "")</f>
        <v/>
      </c>
      <c r="F40" s="77" t="str">
        <f>IF(MIN('Clean Unknown'!B:B) &lt; 9999, IF($C40="yes", IF(Knowns!C32&lt;&gt;0, Knowns!C32, "****"), ""), "")</f>
        <v/>
      </c>
      <c r="G40" s="77" t="str">
        <f>IF(MIN('Clean Unknown'!C:C) &lt; 9999, IF($C40="yes", IF(Knowns!D32&lt;&gt;0, Knowns!D32, "****"), ""), "")</f>
        <v/>
      </c>
      <c r="H40" s="77" t="str">
        <f>IF(MIN('Clean Unknown'!D:D) &lt; 9999, IF($C40="yes", IF(Knowns!E32&lt;&gt;0, Knowns!E32, "****"), ""), "")</f>
        <v/>
      </c>
      <c r="I40" s="77" t="str">
        <f>IF(MIN('Clean Unknown'!E:E) &lt; 9999, IF($C40="yes", IF(Knowns!F32&lt;&gt;0, Knowns!F32, "****"), ""), "")</f>
        <v/>
      </c>
      <c r="J40" s="77" t="str">
        <f>IF(MIN('Clean Unknown'!F:F) &lt; 9999, IF($C40="yes", IF(Knowns!G32&lt;&gt;0, Knowns!G32, "****"), ""), "")</f>
        <v/>
      </c>
    </row>
    <row r="41" spans="1:10">
      <c r="A41" s="33" t="str">
        <f>IF(Knowns!A33&lt;&gt;"", Knowns!A33, "")</f>
        <v>Ramaria concolor</v>
      </c>
      <c r="B41" s="33">
        <f>IF(A41&lt;&gt;"", MAX('Error Calc (bp)'!B33:G33), "")</f>
        <v>3.410000000000025</v>
      </c>
      <c r="C41" s="33" t="str">
        <f>IF(A41&lt;&gt;"", IF(B41&lt;Parameters!B$3, "yes", "no"), "")</f>
        <v>no</v>
      </c>
      <c r="D41" s="33"/>
      <c r="E41" s="77" t="str">
        <f>IF(MIN('Clean Unknown'!A:A) &lt; 9999, IF($C41="yes", IF(Knowns!B33&lt;&gt;0, Knowns!B33, "****"), ""), "")</f>
        <v/>
      </c>
      <c r="F41" s="77" t="str">
        <f>IF(MIN('Clean Unknown'!B:B) &lt; 9999, IF($C41="yes", IF(Knowns!C33&lt;&gt;0, Knowns!C33, "****"), ""), "")</f>
        <v/>
      </c>
      <c r="G41" s="77" t="str">
        <f>IF(MIN('Clean Unknown'!C:C) &lt; 9999, IF($C41="yes", IF(Knowns!D33&lt;&gt;0, Knowns!D33, "****"), ""), "")</f>
        <v/>
      </c>
      <c r="H41" s="77" t="str">
        <f>IF(MIN('Clean Unknown'!D:D) &lt; 9999, IF($C41="yes", IF(Knowns!E33&lt;&gt;0, Knowns!E33, "****"), ""), "")</f>
        <v/>
      </c>
      <c r="I41" s="77" t="str">
        <f>IF(MIN('Clean Unknown'!E:E) &lt; 9999, IF($C41="yes", IF(Knowns!F33&lt;&gt;0, Knowns!F33, "****"), ""), "")</f>
        <v/>
      </c>
      <c r="J41" s="77" t="str">
        <f>IF(MIN('Clean Unknown'!F:F) &lt; 9999, IF($C41="yes", IF(Knowns!G33&lt;&gt;0, Knowns!G33, "****"), ""), "")</f>
        <v/>
      </c>
    </row>
    <row r="42" spans="1:10">
      <c r="A42" s="33" t="str">
        <f>IF(Knowns!A34&lt;&gt;"", Knowns!A34, "")</f>
        <v>Russula cf. vesca</v>
      </c>
      <c r="B42" s="33">
        <f>IF(A42&lt;&gt;"", MAX('Error Calc (bp)'!B34:G34), "")</f>
        <v>19.808007200000134</v>
      </c>
      <c r="C42" s="33" t="str">
        <f>IF(A42&lt;&gt;"", IF(B42&lt;Parameters!B$3, "yes", "no"), "")</f>
        <v>no</v>
      </c>
      <c r="D42" s="33"/>
      <c r="E42" s="77" t="str">
        <f>IF(MIN('Clean Unknown'!A:A) &lt; 9999, IF($C42="yes", IF(Knowns!B34&lt;&gt;0, Knowns!B34, "****"), ""), "")</f>
        <v/>
      </c>
      <c r="F42" s="77" t="str">
        <f>IF(MIN('Clean Unknown'!B:B) &lt; 9999, IF($C42="yes", IF(Knowns!C34&lt;&gt;0, Knowns!C34, "****"), ""), "")</f>
        <v/>
      </c>
      <c r="G42" s="77" t="str">
        <f>IF(MIN('Clean Unknown'!C:C) &lt; 9999, IF($C42="yes", IF(Knowns!D34&lt;&gt;0, Knowns!D34, "****"), ""), "")</f>
        <v/>
      </c>
      <c r="H42" s="77" t="str">
        <f>IF(MIN('Clean Unknown'!D:D) &lt; 9999, IF($C42="yes", IF(Knowns!E34&lt;&gt;0, Knowns!E34, "****"), ""), "")</f>
        <v/>
      </c>
      <c r="I42" s="77" t="str">
        <f>IF(MIN('Clean Unknown'!E:E) &lt; 9999, IF($C42="yes", IF(Knowns!F34&lt;&gt;0, Knowns!F34, "****"), ""), "")</f>
        <v/>
      </c>
      <c r="J42" s="77" t="str">
        <f>IF(MIN('Clean Unknown'!F:F) &lt; 9999, IF($C42="yes", IF(Knowns!G34&lt;&gt;0, Knowns!G34, "****"), ""), "")</f>
        <v/>
      </c>
    </row>
    <row r="43" spans="1:10">
      <c r="A43" s="33" t="str">
        <f>IF(Knowns!A35&lt;&gt;"", Knowns!A35, "")</f>
        <v>Russula pseudolepida</v>
      </c>
      <c r="B43" s="33">
        <f>IF(A43&lt;&gt;"", MAX('Error Calc (bp)'!B35:G35), "")</f>
        <v>18.95999999999998</v>
      </c>
      <c r="C43" s="33" t="str">
        <f>IF(A43&lt;&gt;"", IF(B43&lt;Parameters!B$3, "yes", "no"), "")</f>
        <v>no</v>
      </c>
      <c r="D43" s="33"/>
      <c r="E43" s="77" t="str">
        <f>IF(MIN('Clean Unknown'!A:A) &lt; 9999, IF($C43="yes", IF(Knowns!B35&lt;&gt;0, Knowns!B35, "****"), ""), "")</f>
        <v/>
      </c>
      <c r="F43" s="77" t="str">
        <f>IF(MIN('Clean Unknown'!B:B) &lt; 9999, IF($C43="yes", IF(Knowns!C35&lt;&gt;0, Knowns!C35, "****"), ""), "")</f>
        <v/>
      </c>
      <c r="G43" s="77" t="str">
        <f>IF(MIN('Clean Unknown'!C:C) &lt; 9999, IF($C43="yes", IF(Knowns!D35&lt;&gt;0, Knowns!D35, "****"), ""), "")</f>
        <v/>
      </c>
      <c r="H43" s="77" t="str">
        <f>IF(MIN('Clean Unknown'!D:D) &lt; 9999, IF($C43="yes", IF(Knowns!E35&lt;&gt;0, Knowns!E35, "****"), ""), "")</f>
        <v/>
      </c>
      <c r="I43" s="77" t="str">
        <f>IF(MIN('Clean Unknown'!E:E) &lt; 9999, IF($C43="yes", IF(Knowns!F35&lt;&gt;0, Knowns!F35, "****"), ""), "")</f>
        <v/>
      </c>
      <c r="J43" s="77" t="str">
        <f>IF(MIN('Clean Unknown'!F:F) &lt; 9999, IF($C43="yes", IF(Knowns!G35&lt;&gt;0, Knowns!G35, "****"), ""), "")</f>
        <v/>
      </c>
    </row>
    <row r="44" spans="1:10">
      <c r="A44" s="33" t="str">
        <f>IF(Knowns!A36&lt;&gt;"", Knowns!A36, "")</f>
        <v>Russula sp. red 1</v>
      </c>
      <c r="B44" s="33">
        <f>IF(A44&lt;&gt;"", MAX('Error Calc (bp)'!B36:G36), "")</f>
        <v>16.920000000000016</v>
      </c>
      <c r="C44" s="33" t="str">
        <f>IF(A44&lt;&gt;"", IF(B44&lt;Parameters!B$3, "yes", "no"), "")</f>
        <v>no</v>
      </c>
      <c r="D44" s="33"/>
      <c r="E44" s="77" t="str">
        <f>IF(MIN('Clean Unknown'!A:A) &lt; 9999, IF($C44="yes", IF(Knowns!B36&lt;&gt;0, Knowns!B36, "****"), ""), "")</f>
        <v/>
      </c>
      <c r="F44" s="77" t="str">
        <f>IF(MIN('Clean Unknown'!B:B) &lt; 9999, IF($C44="yes", IF(Knowns!C36&lt;&gt;0, Knowns!C36, "****"), ""), "")</f>
        <v/>
      </c>
      <c r="G44" s="77" t="str">
        <f>IF(MIN('Clean Unknown'!C:C) &lt; 9999, IF($C44="yes", IF(Knowns!D36&lt;&gt;0, Knowns!D36, "****"), ""), "")</f>
        <v/>
      </c>
      <c r="H44" s="77" t="str">
        <f>IF(MIN('Clean Unknown'!D:D) &lt; 9999, IF($C44="yes", IF(Knowns!E36&lt;&gt;0, Knowns!E36, "****"), ""), "")</f>
        <v/>
      </c>
      <c r="I44" s="77" t="str">
        <f>IF(MIN('Clean Unknown'!E:E) &lt; 9999, IF($C44="yes", IF(Knowns!F36&lt;&gt;0, Knowns!F36, "****"), ""), "")</f>
        <v/>
      </c>
      <c r="J44" s="77" t="str">
        <f>IF(MIN('Clean Unknown'!F:F) &lt; 9999, IF($C44="yes", IF(Knowns!G36&lt;&gt;0, Knowns!G36, "****"), ""), "")</f>
        <v/>
      </c>
    </row>
    <row r="45" spans="1:10">
      <c r="A45" s="33" t="str">
        <f>IF(Knowns!A37&lt;&gt;"", Knowns!A37, "")</f>
        <v>Russula silvicola</v>
      </c>
      <c r="B45" s="33">
        <f>IF(A45&lt;&gt;"", MAX('Error Calc (bp)'!B37:G37), "")</f>
        <v>12.649999999999977</v>
      </c>
      <c r="C45" s="33" t="str">
        <f>IF(A45&lt;&gt;"", IF(B45&lt;Parameters!B$3, "yes", "no"), "")</f>
        <v>no</v>
      </c>
      <c r="D45" s="33"/>
      <c r="E45" s="77" t="str">
        <f>IF(MIN('Clean Unknown'!A:A) &lt; 9999, IF($C45="yes", IF(Knowns!B37&lt;&gt;0, Knowns!B37, "****"), ""), "")</f>
        <v/>
      </c>
      <c r="F45" s="77" t="str">
        <f>IF(MIN('Clean Unknown'!B:B) &lt; 9999, IF($C45="yes", IF(Knowns!C37&lt;&gt;0, Knowns!C37, "****"), ""), "")</f>
        <v/>
      </c>
      <c r="G45" s="77" t="str">
        <f>IF(MIN('Clean Unknown'!C:C) &lt; 9999, IF($C45="yes", IF(Knowns!D37&lt;&gt;0, Knowns!D37, "****"), ""), "")</f>
        <v/>
      </c>
      <c r="H45" s="77" t="str">
        <f>IF(MIN('Clean Unknown'!D:D) &lt; 9999, IF($C45="yes", IF(Knowns!E37&lt;&gt;0, Knowns!E37, "****"), ""), "")</f>
        <v/>
      </c>
      <c r="I45" s="77" t="str">
        <f>IF(MIN('Clean Unknown'!E:E) &lt; 9999, IF($C45="yes", IF(Knowns!F37&lt;&gt;0, Knowns!F37, "****"), ""), "")</f>
        <v/>
      </c>
      <c r="J45" s="77" t="str">
        <f>IF(MIN('Clean Unknown'!F:F) &lt; 9999, IF($C45="yes", IF(Knowns!G37&lt;&gt;0, Knowns!G37, "****"), ""), "")</f>
        <v/>
      </c>
    </row>
    <row r="46" spans="1:10">
      <c r="A46" s="33" t="str">
        <f>IF(Knowns!A38&lt;&gt;"", Knowns!A38, "")</f>
        <v>Russula sp. white 1 (=MT A,C',H,J)</v>
      </c>
      <c r="B46" s="33">
        <f>IF(A46&lt;&gt;"", MAX('Error Calc (bp)'!B38:G38), "")</f>
        <v>451.65000000000003</v>
      </c>
      <c r="C46" s="33" t="str">
        <f>IF(A46&lt;&gt;"", IF(B46&lt;Parameters!B$3, "yes", "no"), "")</f>
        <v>no</v>
      </c>
      <c r="D46" s="33"/>
      <c r="E46" s="77" t="str">
        <f>IF(MIN('Clean Unknown'!A:A) &lt; 9999, IF($C46="yes", IF(Knowns!B38&lt;&gt;0, Knowns!B38, "****"), ""), "")</f>
        <v/>
      </c>
      <c r="F46" s="77" t="str">
        <f>IF(MIN('Clean Unknown'!B:B) &lt; 9999, IF($C46="yes", IF(Knowns!C38&lt;&gt;0, Knowns!C38, "****"), ""), "")</f>
        <v/>
      </c>
      <c r="G46" s="77" t="str">
        <f>IF(MIN('Clean Unknown'!C:C) &lt; 9999, IF($C46="yes", IF(Knowns!D38&lt;&gt;0, Knowns!D38, "****"), ""), "")</f>
        <v/>
      </c>
      <c r="H46" s="77" t="str">
        <f>IF(MIN('Clean Unknown'!D:D) &lt; 9999, IF($C46="yes", IF(Knowns!E38&lt;&gt;0, Knowns!E38, "****"), ""), "")</f>
        <v/>
      </c>
      <c r="I46" s="77" t="str">
        <f>IF(MIN('Clean Unknown'!E:E) &lt; 9999, IF($C46="yes", IF(Knowns!F38&lt;&gt;0, Knowns!F38, "****"), ""), "")</f>
        <v/>
      </c>
      <c r="J46" s="77" t="str">
        <f>IF(MIN('Clean Unknown'!F:F) &lt; 9999, IF($C46="yes", IF(Knowns!G38&lt;&gt;0, Knowns!G38, "****"), ""), "")</f>
        <v/>
      </c>
    </row>
    <row r="47" spans="1:10">
      <c r="A47" s="33" t="str">
        <f>IF(Knowns!A39&lt;&gt;"", Knowns!A39, "")</f>
        <v>Russula sp. white 2</v>
      </c>
      <c r="B47" s="33">
        <f>IF(A47&lt;&gt;"", MAX('Error Calc (bp)'!B39:G39), "")</f>
        <v>24.208007200000111</v>
      </c>
      <c r="C47" s="33" t="str">
        <f>IF(A47&lt;&gt;"", IF(B47&lt;Parameters!B$3, "yes", "no"), "")</f>
        <v>no</v>
      </c>
      <c r="D47" s="33"/>
      <c r="E47" s="77" t="str">
        <f>IF(MIN('Clean Unknown'!A:A) &lt; 9999, IF($C47="yes", IF(Knowns!B39&lt;&gt;0, Knowns!B39, "****"), ""), "")</f>
        <v/>
      </c>
      <c r="F47" s="77" t="str">
        <f>IF(MIN('Clean Unknown'!B:B) &lt; 9999, IF($C47="yes", IF(Knowns!C39&lt;&gt;0, Knowns!C39, "****"), ""), "")</f>
        <v/>
      </c>
      <c r="G47" s="77" t="str">
        <f>IF(MIN('Clean Unknown'!C:C) &lt; 9999, IF($C47="yes", IF(Knowns!D39&lt;&gt;0, Knowns!D39, "****"), ""), "")</f>
        <v/>
      </c>
      <c r="H47" s="77" t="str">
        <f>IF(MIN('Clean Unknown'!D:D) &lt; 9999, IF($C47="yes", IF(Knowns!E39&lt;&gt;0, Knowns!E39, "****"), ""), "")</f>
        <v/>
      </c>
      <c r="I47" s="77" t="str">
        <f>IF(MIN('Clean Unknown'!E:E) &lt; 9999, IF($C47="yes", IF(Knowns!F39&lt;&gt;0, Knowns!F39, "****"), ""), "")</f>
        <v/>
      </c>
      <c r="J47" s="77" t="str">
        <f>IF(MIN('Clean Unknown'!F:F) &lt; 9999, IF($C47="yes", IF(Knowns!G39&lt;&gt;0, Knowns!G39, "****"), ""), "")</f>
        <v/>
      </c>
    </row>
    <row r="48" spans="1:10">
      <c r="A48" s="33" t="str">
        <f>IF(Knowns!A40&lt;&gt;"", Knowns!A40, "")</f>
        <v>Saprotroph 6 (THW)</v>
      </c>
      <c r="B48" s="33">
        <f>IF(A48&lt;&gt;"", MAX('Error Calc (bp)'!B40:G40), "")</f>
        <v>35.819999999999993</v>
      </c>
      <c r="C48" s="33" t="str">
        <f>IF(A48&lt;&gt;"", IF(B48&lt;Parameters!B$3, "yes", "no"), "")</f>
        <v>no</v>
      </c>
      <c r="D48" s="33"/>
      <c r="E48" s="77" t="str">
        <f>IF(MIN('Clean Unknown'!A:A) &lt; 9999, IF($C48="yes", IF(Knowns!B40&lt;&gt;0, Knowns!B40, "****"), ""), "")</f>
        <v/>
      </c>
      <c r="F48" s="77" t="str">
        <f>IF(MIN('Clean Unknown'!B:B) &lt; 9999, IF($C48="yes", IF(Knowns!C40&lt;&gt;0, Knowns!C40, "****"), ""), "")</f>
        <v/>
      </c>
      <c r="G48" s="77" t="str">
        <f>IF(MIN('Clean Unknown'!C:C) &lt; 9999, IF($C48="yes", IF(Knowns!D40&lt;&gt;0, Knowns!D40, "****"), ""), "")</f>
        <v/>
      </c>
      <c r="H48" s="77" t="str">
        <f>IF(MIN('Clean Unknown'!D:D) &lt; 9999, IF($C48="yes", IF(Knowns!E40&lt;&gt;0, Knowns!E40, "****"), ""), "")</f>
        <v/>
      </c>
      <c r="I48" s="77" t="str">
        <f>IF(MIN('Clean Unknown'!E:E) &lt; 9999, IF($C48="yes", IF(Knowns!F40&lt;&gt;0, Knowns!F40, "****"), ""), "")</f>
        <v/>
      </c>
      <c r="J48" s="77" t="str">
        <f>IF(MIN('Clean Unknown'!F:F) &lt; 9999, IF($C48="yes", IF(Knowns!G40&lt;&gt;0, Knowns!G40, "****"), ""), "")</f>
        <v/>
      </c>
    </row>
    <row r="49" spans="1:10">
      <c r="A49" s="33" t="str">
        <f>IF(Knowns!A41&lt;&gt;"", Knowns!A41, "")</f>
        <v>Saprotroph 8 (TWH)</v>
      </c>
      <c r="B49" s="33">
        <f>IF(A49&lt;&gt;"", MAX('Error Calc (bp)'!B41:G41), "")</f>
        <v>53.54000000000002</v>
      </c>
      <c r="C49" s="33" t="str">
        <f>IF(A49&lt;&gt;"", IF(B49&lt;Parameters!B$3, "yes", "no"), "")</f>
        <v>no</v>
      </c>
      <c r="D49" s="33"/>
      <c r="E49" s="77" t="str">
        <f>IF(MIN('Clean Unknown'!A:A) &lt; 9999, IF($C49="yes", IF(Knowns!B41&lt;&gt;0, Knowns!B41, "****"), ""), "")</f>
        <v/>
      </c>
      <c r="F49" s="77" t="str">
        <f>IF(MIN('Clean Unknown'!B:B) &lt; 9999, IF($C49="yes", IF(Knowns!C41&lt;&gt;0, Knowns!C41, "****"), ""), "")</f>
        <v/>
      </c>
      <c r="G49" s="77" t="str">
        <f>IF(MIN('Clean Unknown'!C:C) &lt; 9999, IF($C49="yes", IF(Knowns!D41&lt;&gt;0, Knowns!D41, "****"), ""), "")</f>
        <v/>
      </c>
      <c r="H49" s="77" t="str">
        <f>IF(MIN('Clean Unknown'!D:D) &lt; 9999, IF($C49="yes", IF(Knowns!E41&lt;&gt;0, Knowns!E41, "****"), ""), "")</f>
        <v/>
      </c>
      <c r="I49" s="77" t="str">
        <f>IF(MIN('Clean Unknown'!E:E) &lt; 9999, IF($C49="yes", IF(Knowns!F41&lt;&gt;0, Knowns!F41, "****"), ""), "")</f>
        <v/>
      </c>
      <c r="J49" s="77" t="str">
        <f>IF(MIN('Clean Unknown'!F:F) &lt; 9999, IF($C49="yes", IF(Knowns!G41&lt;&gt;0, Knowns!G41, "****"), ""), "")</f>
        <v/>
      </c>
    </row>
    <row r="50" spans="1:10">
      <c r="A50" s="33" t="str">
        <f>IF(Knowns!A42&lt;&gt;"", Knowns!A42, "")</f>
        <v>Scleroderma sp.</v>
      </c>
      <c r="B50" s="33">
        <f>IF(A50&lt;&gt;"", MAX('Error Calc (bp)'!B42:G42), "")</f>
        <v>101.34</v>
      </c>
      <c r="C50" s="33" t="str">
        <f>IF(A50&lt;&gt;"", IF(B50&lt;Parameters!B$3, "yes", "no"), "")</f>
        <v>no</v>
      </c>
      <c r="D50" s="33"/>
      <c r="E50" s="77" t="str">
        <f>IF(MIN('Clean Unknown'!A:A) &lt; 9999, IF($C50="yes", IF(Knowns!B42&lt;&gt;0, Knowns!B42, "****"), ""), "")</f>
        <v/>
      </c>
      <c r="F50" s="77" t="str">
        <f>IF(MIN('Clean Unknown'!B:B) &lt; 9999, IF($C50="yes", IF(Knowns!C42&lt;&gt;0, Knowns!C42, "****"), ""), "")</f>
        <v/>
      </c>
      <c r="G50" s="77" t="str">
        <f>IF(MIN('Clean Unknown'!C:C) &lt; 9999, IF($C50="yes", IF(Knowns!D42&lt;&gt;0, Knowns!D42, "****"), ""), "")</f>
        <v/>
      </c>
      <c r="H50" s="77" t="str">
        <f>IF(MIN('Clean Unknown'!D:D) &lt; 9999, IF($C50="yes", IF(Knowns!E42&lt;&gt;0, Knowns!E42, "****"), ""), "")</f>
        <v/>
      </c>
      <c r="I50" s="77" t="str">
        <f>IF(MIN('Clean Unknown'!E:E) &lt; 9999, IF($C50="yes", IF(Knowns!F42&lt;&gt;0, Knowns!F42, "****"), ""), "")</f>
        <v/>
      </c>
      <c r="J50" s="77" t="str">
        <f>IF(MIN('Clean Unknown'!F:F) &lt; 9999, IF($C50="yes", IF(Knowns!G42&lt;&gt;0, Knowns!G42, "****"), ""), "")</f>
        <v/>
      </c>
    </row>
    <row r="51" spans="1:10">
      <c r="A51" s="33" t="str">
        <f>IF(Knowns!A43&lt;&gt;"", Knowns!A43, "")</f>
        <v>Scleroderma citrinum (=MT I)</v>
      </c>
      <c r="B51" s="33">
        <f>IF(A51&lt;&gt;"", MAX('Error Calc (bp)'!B43:G43), "")</f>
        <v>96.04000000000002</v>
      </c>
      <c r="C51" s="33" t="str">
        <f>IF(A51&lt;&gt;"", IF(B51&lt;Parameters!B$3, "yes", "no"), "")</f>
        <v>no</v>
      </c>
      <c r="D51" s="33"/>
      <c r="E51" s="77" t="str">
        <f>IF(MIN('Clean Unknown'!A:A) &lt; 9999, IF($C51="yes", IF(Knowns!B43&lt;&gt;0, Knowns!B43, "****"), ""), "")</f>
        <v/>
      </c>
      <c r="F51" s="77" t="str">
        <f>IF(MIN('Clean Unknown'!B:B) &lt; 9999, IF($C51="yes", IF(Knowns!C43&lt;&gt;0, Knowns!C43, "****"), ""), "")</f>
        <v/>
      </c>
      <c r="G51" s="77" t="str">
        <f>IF(MIN('Clean Unknown'!C:C) &lt; 9999, IF($C51="yes", IF(Knowns!D43&lt;&gt;0, Knowns!D43, "****"), ""), "")</f>
        <v/>
      </c>
      <c r="H51" s="77" t="str">
        <f>IF(MIN('Clean Unknown'!D:D) &lt; 9999, IF($C51="yes", IF(Knowns!E43&lt;&gt;0, Knowns!E43, "****"), ""), "")</f>
        <v/>
      </c>
      <c r="I51" s="77" t="str">
        <f>IF(MIN('Clean Unknown'!E:E) &lt; 9999, IF($C51="yes", IF(Knowns!F43&lt;&gt;0, Knowns!F43, "****"), ""), "")</f>
        <v/>
      </c>
      <c r="J51" s="77" t="str">
        <f>IF(MIN('Clean Unknown'!F:F) &lt; 9999, IF($C51="yes", IF(Knowns!G43&lt;&gt;0, Knowns!G43, "****"), ""), "")</f>
        <v/>
      </c>
    </row>
    <row r="52" spans="1:10">
      <c r="A52" s="33" t="str">
        <f>IF(Knowns!A44&lt;&gt;"", Knowns!A44, "")</f>
        <v>Suillus intermedius</v>
      </c>
      <c r="B52" s="33">
        <f>IF(A52&lt;&gt;"", MAX('Error Calc (bp)'!B44:G44), "")</f>
        <v>113.53</v>
      </c>
      <c r="C52" s="33" t="str">
        <f>IF(A52&lt;&gt;"", IF(B52&lt;Parameters!B$3, "yes", "no"), "")</f>
        <v>no</v>
      </c>
      <c r="D52" s="33"/>
      <c r="E52" s="77" t="str">
        <f>IF(MIN('Clean Unknown'!A:A) &lt; 9999, IF($C52="yes", IF(Knowns!B44&lt;&gt;0, Knowns!B44, "****"), ""), "")</f>
        <v/>
      </c>
      <c r="F52" s="77" t="str">
        <f>IF(MIN('Clean Unknown'!B:B) &lt; 9999, IF($C52="yes", IF(Knowns!C44&lt;&gt;0, Knowns!C44, "****"), ""), "")</f>
        <v/>
      </c>
      <c r="G52" s="77" t="str">
        <f>IF(MIN('Clean Unknown'!C:C) &lt; 9999, IF($C52="yes", IF(Knowns!D44&lt;&gt;0, Knowns!D44, "****"), ""), "")</f>
        <v/>
      </c>
      <c r="H52" s="77" t="str">
        <f>IF(MIN('Clean Unknown'!D:D) &lt; 9999, IF($C52="yes", IF(Knowns!E44&lt;&gt;0, Knowns!E44, "****"), ""), "")</f>
        <v/>
      </c>
      <c r="I52" s="77" t="str">
        <f>IF(MIN('Clean Unknown'!E:E) &lt; 9999, IF($C52="yes", IF(Knowns!F44&lt;&gt;0, Knowns!F44, "****"), ""), "")</f>
        <v/>
      </c>
      <c r="J52" s="77" t="str">
        <f>IF(MIN('Clean Unknown'!F:F) &lt; 9999, IF($C52="yes", IF(Knowns!G44&lt;&gt;0, Knowns!G44, "****"), ""), "")</f>
        <v/>
      </c>
    </row>
    <row r="53" spans="1:10">
      <c r="A53" s="33" t="str">
        <f>IF(Knowns!A45&lt;&gt;"", Knowns!A45, "")</f>
        <v xml:space="preserve">Trichoderma sp. </v>
      </c>
      <c r="B53" s="33">
        <f>IF(A53&lt;&gt;"", MAX('Error Calc (bp)'!B45:G45), "")</f>
        <v>67.94</v>
      </c>
      <c r="C53" s="33" t="str">
        <f>IF(A53&lt;&gt;"", IF(B53&lt;Parameters!B$3, "yes", "no"), "")</f>
        <v>no</v>
      </c>
      <c r="D53" s="33"/>
      <c r="E53" s="77" t="str">
        <f>IF(MIN('Clean Unknown'!A:A) &lt; 9999, IF($C53="yes", IF(Knowns!B45&lt;&gt;0, Knowns!B45, "****"), ""), "")</f>
        <v/>
      </c>
      <c r="F53" s="77" t="str">
        <f>IF(MIN('Clean Unknown'!B:B) &lt; 9999, IF($C53="yes", IF(Knowns!C45&lt;&gt;0, Knowns!C45, "****"), ""), "")</f>
        <v/>
      </c>
      <c r="G53" s="77" t="str">
        <f>IF(MIN('Clean Unknown'!C:C) &lt; 9999, IF($C53="yes", IF(Knowns!D45&lt;&gt;0, Knowns!D45, "****"), ""), "")</f>
        <v/>
      </c>
      <c r="H53" s="77" t="str">
        <f>IF(MIN('Clean Unknown'!D:D) &lt; 9999, IF($C53="yes", IF(Knowns!E45&lt;&gt;0, Knowns!E45, "****"), ""), "")</f>
        <v/>
      </c>
      <c r="I53" s="77" t="str">
        <f>IF(MIN('Clean Unknown'!E:E) &lt; 9999, IF($C53="yes", IF(Knowns!F45&lt;&gt;0, Knowns!F45, "****"), ""), "")</f>
        <v/>
      </c>
      <c r="J53" s="77" t="str">
        <f>IF(MIN('Clean Unknown'!F:F) &lt; 9999, IF($C53="yes", IF(Knowns!G45&lt;&gt;0, Knowns!G45, "****"), ""), "")</f>
        <v/>
      </c>
    </row>
    <row r="54" spans="1:10">
      <c r="A54" s="33" t="str">
        <f>IF(Knowns!A46&lt;&gt;"", Knowns!A46, "")</f>
        <v>Tricholoma virgatum</v>
      </c>
      <c r="B54" s="33">
        <f>IF(A54&lt;&gt;"", MAX('Error Calc (bp)'!B46:G46), "")</f>
        <v>438.05</v>
      </c>
      <c r="C54" s="33" t="str">
        <f>IF(A54&lt;&gt;"", IF(B54&lt;Parameters!B$3, "yes", "no"), "")</f>
        <v>no</v>
      </c>
      <c r="D54" s="33"/>
      <c r="E54" s="77" t="str">
        <f>IF(MIN('Clean Unknown'!A:A) &lt; 9999, IF($C54="yes", IF(Knowns!B46&lt;&gt;0, Knowns!B46, "****"), ""), "")</f>
        <v/>
      </c>
      <c r="F54" s="77" t="str">
        <f>IF(MIN('Clean Unknown'!B:B) &lt; 9999, IF($C54="yes", IF(Knowns!C46&lt;&gt;0, Knowns!C46, "****"), ""), "")</f>
        <v/>
      </c>
      <c r="G54" s="77" t="str">
        <f>IF(MIN('Clean Unknown'!C:C) &lt; 9999, IF($C54="yes", IF(Knowns!D46&lt;&gt;0, Knowns!D46, "****"), ""), "")</f>
        <v/>
      </c>
      <c r="H54" s="77" t="str">
        <f>IF(MIN('Clean Unknown'!D:D) &lt; 9999, IF($C54="yes", IF(Knowns!E46&lt;&gt;0, Knowns!E46, "****"), ""), "")</f>
        <v/>
      </c>
      <c r="I54" s="77" t="str">
        <f>IF(MIN('Clean Unknown'!E:E) &lt; 9999, IF($C54="yes", IF(Knowns!F46&lt;&gt;0, Knowns!F46, "****"), ""), "")</f>
        <v/>
      </c>
      <c r="J54" s="77" t="str">
        <f>IF(MIN('Clean Unknown'!F:F) &lt; 9999, IF($C54="yes", IF(Knowns!G46&lt;&gt;0, Knowns!G46, "****"), ""), "")</f>
        <v/>
      </c>
    </row>
    <row r="55" spans="1:10">
      <c r="A55" s="33" t="str">
        <f>IF(Knowns!A47&lt;&gt;"", Knowns!A47, "")</f>
        <v>Tylopilus felleus (=MT D,O)</v>
      </c>
      <c r="B55" s="33">
        <f>IF(A55&lt;&gt;"", MAX('Error Calc (bp)'!B47:G47), "")</f>
        <v>37.491992799999935</v>
      </c>
      <c r="C55" s="33" t="str">
        <f>IF(A55&lt;&gt;"", IF(B55&lt;Parameters!B$3, "yes", "no"), "")</f>
        <v>no</v>
      </c>
      <c r="D55" s="33"/>
      <c r="E55" s="77" t="str">
        <f>IF($C55="yes", IF(Knowns!B47&lt;&gt;0, Knowns!B47, "****"), "")</f>
        <v/>
      </c>
      <c r="F55" s="77" t="str">
        <f>IF($C55="yes", IF(Knowns!C47&lt;&gt;0, Knowns!C47, "****"), "")</f>
        <v/>
      </c>
      <c r="G55" s="77" t="str">
        <f>IF($C55="yes", IF(Knowns!D47&lt;&gt;0, Knowns!D47, "****"), "")</f>
        <v/>
      </c>
      <c r="H55" s="77" t="str">
        <f>IF($C55="yes", IF(Knowns!E47&lt;&gt;0, Knowns!E47, "****"), "")</f>
        <v/>
      </c>
      <c r="I55" s="77" t="str">
        <f>IF($C55="yes", IF(Knowns!F47&lt;&gt;0, Knowns!F47, "****"), "")</f>
        <v/>
      </c>
      <c r="J55" s="39"/>
    </row>
    <row r="56" spans="1:10">
      <c r="A56" s="33" t="str">
        <f>IF(Knowns!A48&lt;&gt;"", Knowns!A48, "")</f>
        <v>Unknown TRFLP 001</v>
      </c>
      <c r="B56" s="33">
        <f>IF(A56&lt;&gt;"", MAX('Error Calc (bp)'!B48:G48), "")</f>
        <v>6.160000000000025</v>
      </c>
      <c r="C56" s="33" t="str">
        <f>IF(A56&lt;&gt;"", IF(B56&lt;Parameters!B$3, "yes", "no"), "")</f>
        <v>no</v>
      </c>
      <c r="D56" s="33"/>
      <c r="E56" s="77" t="str">
        <f>IF($C56="yes", IF(Knowns!B48&lt;&gt;0, Knowns!B48, "****"), "")</f>
        <v/>
      </c>
      <c r="F56" s="77" t="str">
        <f>IF($C56="yes", IF(Knowns!C48&lt;&gt;0, Knowns!C48, "****"), "")</f>
        <v/>
      </c>
      <c r="G56" s="77" t="str">
        <f>IF($C56="yes", IF(Knowns!D48&lt;&gt;0, Knowns!D48, "****"), "")</f>
        <v/>
      </c>
      <c r="H56" s="77" t="str">
        <f>IF($C56="yes", IF(Knowns!E48&lt;&gt;0, Knowns!E48, "****"), "")</f>
        <v/>
      </c>
      <c r="I56" s="77" t="str">
        <f>IF($C56="yes", IF(Knowns!F48&lt;&gt;0, Knowns!F48, "****"), "")</f>
        <v/>
      </c>
      <c r="J56" s="39"/>
    </row>
    <row r="57" spans="1:10">
      <c r="A57" s="33" t="str">
        <f>IF(Knowns!A49&lt;&gt;"", Knowns!A49, "")</f>
        <v>Unknown TRFLP 002</v>
      </c>
      <c r="B57" s="33">
        <f>IF(A57&lt;&gt;"", MAX('Error Calc (bp)'!B49:G49), "")</f>
        <v>40.04000000000002</v>
      </c>
      <c r="C57" s="33" t="str">
        <f>IF(A57&lt;&gt;"", IF(B57&lt;Parameters!B$3, "yes", "no"), "")</f>
        <v>no</v>
      </c>
      <c r="D57" s="33"/>
      <c r="E57" s="77" t="str">
        <f>IF($C57="yes", IF(Knowns!B49&lt;&gt;0, Knowns!B49, "****"), "")</f>
        <v/>
      </c>
      <c r="F57" s="77" t="str">
        <f>IF($C57="yes", IF(Knowns!C49&lt;&gt;0, Knowns!C49, "****"), "")</f>
        <v/>
      </c>
      <c r="G57" s="77" t="str">
        <f>IF($C57="yes", IF(Knowns!D49&lt;&gt;0, Knowns!D49, "****"), "")</f>
        <v/>
      </c>
      <c r="H57" s="77" t="str">
        <f>IF($C57="yes", IF(Knowns!E49&lt;&gt;0, Knowns!E49, "****"), "")</f>
        <v/>
      </c>
      <c r="I57" s="77" t="str">
        <f>IF($C57="yes", IF(Knowns!F49&lt;&gt;0, Knowns!F49, "****"), "")</f>
        <v/>
      </c>
      <c r="J57" s="39"/>
    </row>
    <row r="58" spans="1:10">
      <c r="A58" s="33" t="str">
        <f>IF(Knowns!A50&lt;&gt;"", Knowns!A50, "")</f>
        <v>Unknown TRFLP 003</v>
      </c>
      <c r="B58" s="33">
        <f>IF(A58&lt;&gt;"", MAX('Error Calc (bp)'!B50:G50), "")</f>
        <v>77.639999999999986</v>
      </c>
      <c r="C58" s="33" t="str">
        <f>IF(A58&lt;&gt;"", IF(B58&lt;Parameters!B$3, "yes", "no"), "")</f>
        <v>no</v>
      </c>
      <c r="D58" s="33"/>
      <c r="E58" s="77" t="str">
        <f>IF($C58="yes", IF(Knowns!B50&lt;&gt;0, Knowns!B50, "****"), "")</f>
        <v/>
      </c>
      <c r="F58" s="77" t="str">
        <f>IF($C58="yes", IF(Knowns!C50&lt;&gt;0, Knowns!C50, "****"), "")</f>
        <v/>
      </c>
      <c r="G58" s="77" t="str">
        <f>IF($C58="yes", IF(Knowns!D50&lt;&gt;0, Knowns!D50, "****"), "")</f>
        <v/>
      </c>
      <c r="H58" s="77" t="str">
        <f>IF($C58="yes", IF(Knowns!E50&lt;&gt;0, Knowns!E50, "****"), "")</f>
        <v/>
      </c>
      <c r="I58" s="77" t="str">
        <f>IF($C58="yes", IF(Knowns!F50&lt;&gt;0, Knowns!F50, "****"), "")</f>
        <v/>
      </c>
      <c r="J58" s="39"/>
    </row>
    <row r="59" spans="1:10">
      <c r="A59" s="33" t="str">
        <f>IF(Knowns!A51&lt;&gt;"", Knowns!A51, "")</f>
        <v>Unknown TRFLP 004</v>
      </c>
      <c r="B59" s="33">
        <f>IF(A59&lt;&gt;"", MAX('Error Calc (bp)'!B51:G51), "")</f>
        <v>332.95</v>
      </c>
      <c r="C59" s="33" t="str">
        <f>IF(A59&lt;&gt;"", IF(B59&lt;Parameters!B$3, "yes", "no"), "")</f>
        <v>no</v>
      </c>
      <c r="D59" s="33"/>
      <c r="E59" s="77" t="str">
        <f>IF($C59="yes", IF(Knowns!B51&lt;&gt;0, Knowns!B51, "****"), "")</f>
        <v/>
      </c>
      <c r="F59" s="77" t="str">
        <f>IF($C59="yes", IF(Knowns!C51&lt;&gt;0, Knowns!C51, "****"), "")</f>
        <v/>
      </c>
      <c r="G59" s="77" t="str">
        <f>IF($C59="yes", IF(Knowns!D51&lt;&gt;0, Knowns!D51, "****"), "")</f>
        <v/>
      </c>
      <c r="H59" s="77" t="str">
        <f>IF($C59="yes", IF(Knowns!E51&lt;&gt;0, Knowns!E51, "****"), "")</f>
        <v/>
      </c>
      <c r="I59" s="77" t="str">
        <f>IF($C59="yes", IF(Knowns!F51&lt;&gt;0, Knowns!F51, "****"), "")</f>
        <v/>
      </c>
      <c r="J59" s="39"/>
    </row>
    <row r="60" spans="1:10">
      <c r="A60" s="33" t="str">
        <f>IF(Knowns!A52&lt;&gt;"", Knowns!A52, "")</f>
        <v>Unknown TRFLP 005</v>
      </c>
      <c r="B60" s="33">
        <f>IF(A60&lt;&gt;"", MAX('Error Calc (bp)'!B52:G52), "")</f>
        <v>0.84000000000003183</v>
      </c>
      <c r="C60" s="33" t="str">
        <f>IF(A60&lt;&gt;"", IF(B60&lt;Parameters!B$3, "yes", "no"), "")</f>
        <v>yes</v>
      </c>
      <c r="D60" s="33"/>
      <c r="E60" s="77">
        <f>IF($C60="yes", IF(Knowns!B52&lt;&gt;0, Knowns!B52, "****"), "")</f>
        <v>342.4</v>
      </c>
      <c r="F60" s="77">
        <f>IF($C60="yes", IF(Knowns!C52&lt;&gt;0, Knowns!C52, "****"), "")</f>
        <v>245.2</v>
      </c>
      <c r="G60" s="77">
        <f>IF($C60="yes", IF(Knowns!D52&lt;&gt;0, Knowns!D52, "****"), "")</f>
        <v>111.8</v>
      </c>
      <c r="H60" s="77">
        <f>IF($C60="yes", IF(Knowns!E52&lt;&gt;0, Knowns!E52, "****"), "")</f>
        <v>99.1</v>
      </c>
      <c r="I60" s="77" t="str">
        <f>IF($C60="yes", IF(Knowns!F52&lt;&gt;0, Knowns!F52, "****"), "")</f>
        <v>****</v>
      </c>
      <c r="J60" s="39"/>
    </row>
    <row r="61" spans="1:10">
      <c r="A61" s="33" t="str">
        <f>IF(Knowns!A53&lt;&gt;"", Knowns!A53, "")</f>
        <v>Unknown TRFLP 006</v>
      </c>
      <c r="B61" s="33">
        <f>IF(A61&lt;&gt;"", MAX('Error Calc (bp)'!B53:G53), "")</f>
        <v>0.63000000000000966</v>
      </c>
      <c r="C61" s="33" t="str">
        <f>IF(A61&lt;&gt;"", IF(B61&lt;Parameters!B$3, "yes", "no"), "")</f>
        <v>yes</v>
      </c>
      <c r="D61" s="33"/>
      <c r="E61" s="77">
        <f>IF($C61="yes", IF(Knowns!B53&lt;&gt;0, Knowns!B53, "****"), "")</f>
        <v>99.7</v>
      </c>
      <c r="F61" s="77">
        <f>IF($C61="yes", IF(Knowns!C53&lt;&gt;0, Knowns!C53, "****"), "")</f>
        <v>314.8</v>
      </c>
      <c r="G61" s="77">
        <f>IF($C61="yes", IF(Knowns!D53&lt;&gt;0, Knowns!D53, "****"), "")</f>
        <v>161.9</v>
      </c>
      <c r="H61" s="77">
        <f>IF($C61="yes", IF(Knowns!E53&lt;&gt;0, Knowns!E53, "****"), "")</f>
        <v>132</v>
      </c>
      <c r="I61" s="77" t="str">
        <f>IF($C61="yes", IF(Knowns!F53&lt;&gt;0, Knowns!F53, "****"), "")</f>
        <v>****</v>
      </c>
      <c r="J61" s="39"/>
    </row>
    <row r="62" spans="1:10">
      <c r="A62" s="33" t="str">
        <f>IF(Knowns!A54&lt;&gt;"", Knowns!A54, "")</f>
        <v>Unknown TRFLP 007</v>
      </c>
      <c r="B62" s="33">
        <f>IF(A62&lt;&gt;"", MAX('Error Calc (bp)'!B54:G54), "")</f>
        <v>18.63000000000001</v>
      </c>
      <c r="C62" s="33" t="str">
        <f>IF(A62&lt;&gt;"", IF(B62&lt;Parameters!B$3, "yes", "no"), "")</f>
        <v>no</v>
      </c>
      <c r="D62" s="33"/>
      <c r="E62" s="77" t="str">
        <f>IF($C62="yes", IF(Knowns!B54&lt;&gt;0, Knowns!B54, "****"), "")</f>
        <v/>
      </c>
      <c r="F62" s="77" t="str">
        <f>IF($C62="yes", IF(Knowns!C54&lt;&gt;0, Knowns!C54, "****"), "")</f>
        <v/>
      </c>
      <c r="G62" s="77" t="str">
        <f>IF($C62="yes", IF(Knowns!D54&lt;&gt;0, Knowns!D54, "****"), "")</f>
        <v/>
      </c>
      <c r="H62" s="77" t="str">
        <f>IF($C62="yes", IF(Knowns!E54&lt;&gt;0, Knowns!E54, "****"), "")</f>
        <v/>
      </c>
      <c r="I62" s="77" t="str">
        <f>IF($C62="yes", IF(Knowns!F54&lt;&gt;0, Knowns!F54, "****"), "")</f>
        <v/>
      </c>
      <c r="J62" s="39"/>
    </row>
    <row r="63" spans="1:10">
      <c r="A63" s="33" t="str">
        <f>IF(Knowns!A55&lt;&gt;"", Knowns!A55, "")</f>
        <v>Unknown TRFLP 008</v>
      </c>
      <c r="B63" s="33">
        <f>IF(A63&lt;&gt;"", MAX('Error Calc (bp)'!B55:G55), "")</f>
        <v>56.740000000000009</v>
      </c>
      <c r="C63" s="33" t="str">
        <f>IF(A63&lt;&gt;"", IF(B63&lt;Parameters!B$3, "yes", "no"), "")</f>
        <v>no</v>
      </c>
      <c r="D63" s="33"/>
      <c r="E63" s="77" t="str">
        <f>IF($C63="yes", IF(Knowns!B55&lt;&gt;0, Knowns!B55, "****"), "")</f>
        <v/>
      </c>
      <c r="F63" s="77" t="str">
        <f>IF($C63="yes", IF(Knowns!C55&lt;&gt;0, Knowns!C55, "****"), "")</f>
        <v/>
      </c>
      <c r="G63" s="77" t="str">
        <f>IF($C63="yes", IF(Knowns!D55&lt;&gt;0, Knowns!D55, "****"), "")</f>
        <v/>
      </c>
      <c r="H63" s="77" t="str">
        <f>IF($C63="yes", IF(Knowns!E55&lt;&gt;0, Knowns!E55, "****"), "")</f>
        <v/>
      </c>
      <c r="I63" s="77" t="str">
        <f>IF($C63="yes", IF(Knowns!F55&lt;&gt;0, Knowns!F55, "****"), "")</f>
        <v/>
      </c>
      <c r="J63" s="39"/>
    </row>
    <row r="64" spans="1:10">
      <c r="A64" s="33" t="str">
        <f>IF(Knowns!A56&lt;&gt;"", Knowns!A56, "")</f>
        <v>Unknown TRFLP 009</v>
      </c>
      <c r="B64" s="33">
        <f>IF(A64&lt;&gt;"", MAX('Error Calc (bp)'!B56:G56), "")</f>
        <v>102.64000000000001</v>
      </c>
      <c r="C64" s="33" t="str">
        <f>IF(A64&lt;&gt;"", IF(B64&lt;Parameters!B$3, "yes", "no"), "")</f>
        <v>no</v>
      </c>
      <c r="D64" s="33"/>
      <c r="E64" s="77" t="str">
        <f>IF($C64="yes", IF(Knowns!B56&lt;&gt;0, Knowns!B56, "****"), "")</f>
        <v/>
      </c>
      <c r="F64" s="77" t="str">
        <f>IF($C64="yes", IF(Knowns!C56&lt;&gt;0, Knowns!C56, "****"), "")</f>
        <v/>
      </c>
      <c r="G64" s="77" t="str">
        <f>IF($C64="yes", IF(Knowns!D56&lt;&gt;0, Knowns!D56, "****"), "")</f>
        <v/>
      </c>
      <c r="H64" s="77" t="str">
        <f>IF($C64="yes", IF(Knowns!E56&lt;&gt;0, Knowns!E56, "****"), "")</f>
        <v/>
      </c>
      <c r="I64" s="77" t="str">
        <f>IF($C64="yes", IF(Knowns!F56&lt;&gt;0, Knowns!F56, "****"), "")</f>
        <v/>
      </c>
      <c r="J64" s="39"/>
    </row>
    <row r="65" spans="1:10">
      <c r="A65" s="33" t="str">
        <f>IF(Knowns!A57&lt;&gt;"", Knowns!A57, "")</f>
        <v>Unknown TRFLP 010</v>
      </c>
      <c r="B65" s="33">
        <f>IF(A65&lt;&gt;"", MAX('Error Calc (bp)'!B57:G57), "")</f>
        <v>406.05</v>
      </c>
      <c r="C65" s="33" t="str">
        <f>IF(A65&lt;&gt;"", IF(B65&lt;Parameters!B$3, "yes", "no"), "")</f>
        <v>no</v>
      </c>
      <c r="D65" s="33"/>
      <c r="E65" s="77" t="str">
        <f>IF($C65="yes", IF(Knowns!B57&lt;&gt;0, Knowns!B57, "****"), "")</f>
        <v/>
      </c>
      <c r="F65" s="77" t="str">
        <f>IF($C65="yes", IF(Knowns!C57&lt;&gt;0, Knowns!C57, "****"), "")</f>
        <v/>
      </c>
      <c r="G65" s="77" t="str">
        <f>IF($C65="yes", IF(Knowns!D57&lt;&gt;0, Knowns!D57, "****"), "")</f>
        <v/>
      </c>
      <c r="H65" s="77" t="str">
        <f>IF($C65="yes", IF(Knowns!E57&lt;&gt;0, Knowns!E57, "****"), "")</f>
        <v/>
      </c>
      <c r="I65" s="77" t="str">
        <f>IF($C65="yes", IF(Knowns!F57&lt;&gt;0, Knowns!F57, "****"), "")</f>
        <v/>
      </c>
      <c r="J65" s="39"/>
    </row>
    <row r="66" spans="1:10">
      <c r="A66" s="33" t="str">
        <f>IF(Knowns!A58&lt;&gt;"", Knowns!A58, "")</f>
        <v>Unknown TRFLP 011</v>
      </c>
      <c r="B66" s="33">
        <f>IF(A66&lt;&gt;"", MAX('Error Calc (bp)'!B58:G58), "")</f>
        <v>13.82000000000005</v>
      </c>
      <c r="C66" s="33" t="str">
        <f>IF(A66&lt;&gt;"", IF(B66&lt;Parameters!B$3, "yes", "no"), "")</f>
        <v>no</v>
      </c>
      <c r="D66" s="33"/>
      <c r="E66" s="77" t="str">
        <f>IF($C66="yes", IF(Knowns!B58&lt;&gt;0, Knowns!B58, "****"), "")</f>
        <v/>
      </c>
      <c r="F66" s="77" t="str">
        <f>IF($C66="yes", IF(Knowns!C58&lt;&gt;0, Knowns!C58, "****"), "")</f>
        <v/>
      </c>
      <c r="G66" s="77" t="str">
        <f>IF($C66="yes", IF(Knowns!D58&lt;&gt;0, Knowns!D58, "****"), "")</f>
        <v/>
      </c>
      <c r="H66" s="77" t="str">
        <f>IF($C66="yes", IF(Knowns!E58&lt;&gt;0, Knowns!E58, "****"), "")</f>
        <v/>
      </c>
      <c r="I66" s="77" t="str">
        <f>IF($C66="yes", IF(Knowns!F58&lt;&gt;0, Knowns!F58, "****"), "")</f>
        <v/>
      </c>
      <c r="J66" s="39"/>
    </row>
    <row r="67" spans="1:10">
      <c r="A67" s="33" t="str">
        <f>IF(Knowns!A59&lt;&gt;"", Knowns!A59, "")</f>
        <v>Unknown TRFLP 012</v>
      </c>
      <c r="B67" s="33">
        <f>IF(A67&lt;&gt;"", MAX('Error Calc (bp)'!B59:G59), "")</f>
        <v>58.139999999999986</v>
      </c>
      <c r="C67" s="33" t="str">
        <f>IF(A67&lt;&gt;"", IF(B67&lt;Parameters!B$3, "yes", "no"), "")</f>
        <v>no</v>
      </c>
      <c r="D67" s="33"/>
      <c r="E67" s="77" t="str">
        <f>IF($C67="yes", IF(Knowns!B59&lt;&gt;0, Knowns!B59, "****"), "")</f>
        <v/>
      </c>
      <c r="F67" s="77" t="str">
        <f>IF($C67="yes", IF(Knowns!C59&lt;&gt;0, Knowns!C59, "****"), "")</f>
        <v/>
      </c>
      <c r="G67" s="77" t="str">
        <f>IF($C67="yes", IF(Knowns!D59&lt;&gt;0, Knowns!D59, "****"), "")</f>
        <v/>
      </c>
      <c r="H67" s="77" t="str">
        <f>IF($C67="yes", IF(Knowns!E59&lt;&gt;0, Knowns!E59, "****"), "")</f>
        <v/>
      </c>
      <c r="I67" s="77" t="str">
        <f>IF($C67="yes", IF(Knowns!F59&lt;&gt;0, Knowns!F59, "****"), "")</f>
        <v/>
      </c>
      <c r="J67" s="39"/>
    </row>
    <row r="68" spans="1:10">
      <c r="A68" s="33" t="str">
        <f>IF(Knowns!A60&lt;&gt;"", Knowns!A60, "")</f>
        <v>Unknown TRFLP 013</v>
      </c>
      <c r="B68" s="33">
        <f>IF(A68&lt;&gt;"", MAX('Error Calc (bp)'!B60:G60), "")</f>
        <v>26.509999999999991</v>
      </c>
      <c r="C68" s="33" t="str">
        <f>IF(A68&lt;&gt;"", IF(B68&lt;Parameters!B$3, "yes", "no"), "")</f>
        <v>no</v>
      </c>
      <c r="D68" s="33"/>
      <c r="E68" s="77" t="str">
        <f>IF($C68="yes", IF(Knowns!B60&lt;&gt;0, Knowns!B60, "****"), "")</f>
        <v/>
      </c>
      <c r="F68" s="77" t="str">
        <f>IF($C68="yes", IF(Knowns!C60&lt;&gt;0, Knowns!C60, "****"), "")</f>
        <v/>
      </c>
      <c r="G68" s="77" t="str">
        <f>IF($C68="yes", IF(Knowns!D60&lt;&gt;0, Knowns!D60, "****"), "")</f>
        <v/>
      </c>
      <c r="H68" s="77" t="str">
        <f>IF($C68="yes", IF(Knowns!E60&lt;&gt;0, Knowns!E60, "****"), "")</f>
        <v/>
      </c>
      <c r="I68" s="77" t="str">
        <f>IF($C68="yes", IF(Knowns!F60&lt;&gt;0, Knowns!F60, "****"), "")</f>
        <v/>
      </c>
      <c r="J68" s="39"/>
    </row>
    <row r="69" spans="1:10">
      <c r="A69" s="33" t="str">
        <f>IF(Knowns!A61&lt;&gt;"", Knowns!A61, "")</f>
        <v>Unknown TRFLP 014</v>
      </c>
      <c r="B69" s="33">
        <f>IF(A69&lt;&gt;"", MAX('Error Calc (bp)'!B61:G61), "")</f>
        <v>110.94</v>
      </c>
      <c r="C69" s="33" t="str">
        <f>IF(A69&lt;&gt;"", IF(B69&lt;Parameters!B$3, "yes", "no"), "")</f>
        <v>no</v>
      </c>
      <c r="D69" s="33"/>
      <c r="E69" s="77" t="str">
        <f>IF($C69="yes", IF(Knowns!B61&lt;&gt;0, Knowns!B61, "****"), "")</f>
        <v/>
      </c>
      <c r="F69" s="77" t="str">
        <f>IF($C69="yes", IF(Knowns!C61&lt;&gt;0, Knowns!C61, "****"), "")</f>
        <v/>
      </c>
      <c r="G69" s="77" t="str">
        <f>IF($C69="yes", IF(Knowns!D61&lt;&gt;0, Knowns!D61, "****"), "")</f>
        <v/>
      </c>
      <c r="H69" s="77" t="str">
        <f>IF($C69="yes", IF(Knowns!E61&lt;&gt;0, Knowns!E61, "****"), "")</f>
        <v/>
      </c>
      <c r="I69" s="77" t="str">
        <f>IF($C69="yes", IF(Knowns!F61&lt;&gt;0, Knowns!F61, "****"), "")</f>
        <v/>
      </c>
      <c r="J69" s="39"/>
    </row>
    <row r="70" spans="1:10">
      <c r="A70" s="33" t="str">
        <f>IF(Knowns!A62&lt;&gt;"", Knowns!A62, "")</f>
        <v>Unknown TRFLP 015</v>
      </c>
      <c r="B70" s="33">
        <f>IF(A70&lt;&gt;"", MAX('Error Calc (bp)'!B62:G62), "")</f>
        <v>26.54000000000002</v>
      </c>
      <c r="C70" s="33" t="str">
        <f>IF(A70&lt;&gt;"", IF(B70&lt;Parameters!B$3, "yes", "no"), "")</f>
        <v>no</v>
      </c>
      <c r="D70" s="33"/>
      <c r="E70" s="77" t="str">
        <f>IF($C70="yes", IF(Knowns!B62&lt;&gt;0, Knowns!B62, "****"), "")</f>
        <v/>
      </c>
      <c r="F70" s="77" t="str">
        <f>IF($C70="yes", IF(Knowns!C62&lt;&gt;0, Knowns!C62, "****"), "")</f>
        <v/>
      </c>
      <c r="G70" s="77" t="str">
        <f>IF($C70="yes", IF(Knowns!D62&lt;&gt;0, Knowns!D62, "****"), "")</f>
        <v/>
      </c>
      <c r="H70" s="77" t="str">
        <f>IF($C70="yes", IF(Knowns!E62&lt;&gt;0, Knowns!E62, "****"), "")</f>
        <v/>
      </c>
      <c r="I70" s="77" t="str">
        <f>IF($C70="yes", IF(Knowns!F62&lt;&gt;0, Knowns!F62, "****"), "")</f>
        <v/>
      </c>
      <c r="J70" s="39"/>
    </row>
    <row r="71" spans="1:10">
      <c r="A71" s="33" t="str">
        <f>IF(Knowns!A63&lt;&gt;"", Knowns!A63, "")</f>
        <v>Unknown TRFLP 016</v>
      </c>
      <c r="B71" s="33">
        <f>IF(A71&lt;&gt;"", MAX('Error Calc (bp)'!B63:G63), "")</f>
        <v>21.439999999999998</v>
      </c>
      <c r="C71" s="33" t="str">
        <f>IF(A71&lt;&gt;"", IF(B71&lt;Parameters!B$3, "yes", "no"), "")</f>
        <v>no</v>
      </c>
      <c r="D71" s="33"/>
      <c r="E71" s="77" t="str">
        <f>IF($C71="yes", IF(Knowns!B63&lt;&gt;0, Knowns!B63, "****"), "")</f>
        <v/>
      </c>
      <c r="F71" s="77" t="str">
        <f>IF($C71="yes", IF(Knowns!C63&lt;&gt;0, Knowns!C63, "****"), "")</f>
        <v/>
      </c>
      <c r="G71" s="77" t="str">
        <f>IF($C71="yes", IF(Knowns!D63&lt;&gt;0, Knowns!D63, "****"), "")</f>
        <v/>
      </c>
      <c r="H71" s="77" t="str">
        <f>IF($C71="yes", IF(Knowns!E63&lt;&gt;0, Knowns!E63, "****"), "")</f>
        <v/>
      </c>
      <c r="I71" s="77" t="str">
        <f>IF($C71="yes", IF(Knowns!F63&lt;&gt;0, Knowns!F63, "****"), "")</f>
        <v/>
      </c>
      <c r="J71" s="39"/>
    </row>
    <row r="72" spans="1:10">
      <c r="A72" s="33" t="str">
        <f>IF(Knowns!A64&lt;&gt;"", Knowns!A64, "")</f>
        <v>Unknown TRFLP 018</v>
      </c>
      <c r="B72" s="33">
        <f>IF(A72&lt;&gt;"", MAX('Error Calc (bp)'!B64:G64), "")</f>
        <v>183.75</v>
      </c>
      <c r="C72" s="33" t="str">
        <f>IF(A72&lt;&gt;"", IF(B72&lt;Parameters!B$3, "yes", "no"), "")</f>
        <v>no</v>
      </c>
      <c r="D72" s="33"/>
      <c r="E72" s="77" t="str">
        <f>IF($C72="yes", IF(Knowns!B64&lt;&gt;0, Knowns!B64, "****"), "")</f>
        <v/>
      </c>
      <c r="F72" s="77" t="str">
        <f>IF($C72="yes", IF(Knowns!C64&lt;&gt;0, Knowns!C64, "****"), "")</f>
        <v/>
      </c>
      <c r="G72" s="77" t="str">
        <f>IF($C72="yes", IF(Knowns!D64&lt;&gt;0, Knowns!D64, "****"), "")</f>
        <v/>
      </c>
      <c r="H72" s="77" t="str">
        <f>IF($C72="yes", IF(Knowns!E64&lt;&gt;0, Knowns!E64, "****"), "")</f>
        <v/>
      </c>
      <c r="I72" s="77" t="str">
        <f>IF($C72="yes", IF(Knowns!F64&lt;&gt;0, Knowns!F64, "****"), "")</f>
        <v/>
      </c>
      <c r="J72" s="39"/>
    </row>
    <row r="73" spans="1:10">
      <c r="A73" s="33" t="str">
        <f>IF(Knowns!A65&lt;&gt;"", Knowns!A65, "")</f>
        <v>Unknown TRFLP 019</v>
      </c>
      <c r="B73" s="33">
        <f>IF(A73&lt;&gt;"", MAX('Error Calc (bp)'!B65:G65), "")</f>
        <v>113.93</v>
      </c>
      <c r="C73" s="33" t="str">
        <f>IF(A73&lt;&gt;"", IF(B73&lt;Parameters!B$3, "yes", "no"), "")</f>
        <v>no</v>
      </c>
      <c r="D73" s="33"/>
      <c r="E73" s="77" t="str">
        <f>IF($C73="yes", IF(Knowns!B65&lt;&gt;0, Knowns!B65, "****"), "")</f>
        <v/>
      </c>
      <c r="F73" s="77" t="str">
        <f>IF($C73="yes", IF(Knowns!C65&lt;&gt;0, Knowns!C65, "****"), "")</f>
        <v/>
      </c>
      <c r="G73" s="77" t="str">
        <f>IF($C73="yes", IF(Knowns!D65&lt;&gt;0, Knowns!D65, "****"), "")</f>
        <v/>
      </c>
      <c r="H73" s="77" t="str">
        <f>IF($C73="yes", IF(Knowns!E65&lt;&gt;0, Knowns!E65, "****"), "")</f>
        <v/>
      </c>
      <c r="I73" s="77" t="str">
        <f>IF($C73="yes", IF(Knowns!F65&lt;&gt;0, Knowns!F65, "****"), "")</f>
        <v/>
      </c>
      <c r="J73" s="39"/>
    </row>
    <row r="74" spans="1:10">
      <c r="A74" s="33" t="str">
        <f>IF(Knowns!A66&lt;&gt;"", Knowns!A66, "")</f>
        <v>Unknown TRFLP 020</v>
      </c>
      <c r="B74" s="33">
        <f>IF(A74&lt;&gt;"", MAX('Error Calc (bp)'!B66:G66), "")</f>
        <v>106.14000000000001</v>
      </c>
      <c r="C74" s="33" t="str">
        <f>IF(A74&lt;&gt;"", IF(B74&lt;Parameters!B$3, "yes", "no"), "")</f>
        <v>no</v>
      </c>
      <c r="D74" s="33"/>
      <c r="E74" s="77" t="str">
        <f>IF($C74="yes", IF(Knowns!B66&lt;&gt;0, Knowns!B66, "****"), "")</f>
        <v/>
      </c>
      <c r="F74" s="77" t="str">
        <f>IF($C74="yes", IF(Knowns!C66&lt;&gt;0, Knowns!C66, "****"), "")</f>
        <v/>
      </c>
      <c r="G74" s="77" t="str">
        <f>IF($C74="yes", IF(Knowns!D66&lt;&gt;0, Knowns!D66, "****"), "")</f>
        <v/>
      </c>
      <c r="H74" s="77" t="str">
        <f>IF($C74="yes", IF(Knowns!E66&lt;&gt;0, Knowns!E66, "****"), "")</f>
        <v/>
      </c>
      <c r="I74" s="77" t="str">
        <f>IF($C74="yes", IF(Knowns!F66&lt;&gt;0, Knowns!F66, "****"), "")</f>
        <v/>
      </c>
      <c r="J74" s="39"/>
    </row>
    <row r="75" spans="1:10">
      <c r="A75" s="33" t="str">
        <f>IF(Knowns!A67&lt;&gt;"", Knowns!A67, "")</f>
        <v/>
      </c>
      <c r="B75" s="33" t="str">
        <f>IF(A75&lt;&gt;"", MAX('Error Calc (bp)'!B67:G67), "")</f>
        <v/>
      </c>
      <c r="C75" s="33" t="str">
        <f>IF(A75&lt;&gt;"", IF(B75&lt;Parameters!B$3, "yes", "no"), "")</f>
        <v/>
      </c>
      <c r="D75" s="33"/>
      <c r="E75" s="77" t="str">
        <f>IF($C75="yes", IF(Knowns!B67&lt;&gt;0, Knowns!B67, "****"), "")</f>
        <v/>
      </c>
      <c r="F75" s="77" t="str">
        <f>IF($C75="yes", IF(Knowns!C67&lt;&gt;0, Knowns!C67, "****"), "")</f>
        <v/>
      </c>
      <c r="G75" s="77" t="str">
        <f>IF($C75="yes", IF(Knowns!D67&lt;&gt;0, Knowns!D67, "****"), "")</f>
        <v/>
      </c>
      <c r="H75" s="77" t="str">
        <f>IF($C75="yes", IF(Knowns!E67&lt;&gt;0, Knowns!E67, "****"), "")</f>
        <v/>
      </c>
      <c r="I75" s="77" t="str">
        <f>IF($C75="yes", IF(Knowns!F67&lt;&gt;0, Knowns!F67, "****"), "")</f>
        <v/>
      </c>
      <c r="J75" s="39"/>
    </row>
    <row r="76" spans="1:10">
      <c r="A76" s="33" t="str">
        <f>IF(Knowns!A68&lt;&gt;"", Knowns!A68, "")</f>
        <v/>
      </c>
      <c r="B76" s="33" t="str">
        <f>IF(A76&lt;&gt;"", MAX('Error Calc (bp)'!B68:G68), "")</f>
        <v/>
      </c>
      <c r="C76" s="33" t="str">
        <f>IF(A76&lt;&gt;"", IF(B76&lt;Parameters!B$3, "yes", "no"), "")</f>
        <v/>
      </c>
      <c r="D76" s="33"/>
      <c r="E76" s="77" t="str">
        <f>IF($C76="yes", IF(Knowns!B68&lt;&gt;0, Knowns!B68, "****"), "")</f>
        <v/>
      </c>
      <c r="F76" s="77" t="str">
        <f>IF($C76="yes", IF(Knowns!C68&lt;&gt;0, Knowns!C68, "****"), "")</f>
        <v/>
      </c>
      <c r="G76" s="77" t="str">
        <f>IF($C76="yes", IF(Knowns!D68&lt;&gt;0, Knowns!D68, "****"), "")</f>
        <v/>
      </c>
      <c r="H76" s="77" t="str">
        <f>IF($C76="yes", IF(Knowns!E68&lt;&gt;0, Knowns!E68, "****"), "")</f>
        <v/>
      </c>
      <c r="I76" s="77" t="str">
        <f>IF($C76="yes", IF(Knowns!F68&lt;&gt;0, Knowns!F68, "****"), "")</f>
        <v/>
      </c>
      <c r="J76" s="39"/>
    </row>
    <row r="77" spans="1:10">
      <c r="A77" s="33" t="str">
        <f>IF(Knowns!A69&lt;&gt;"", Knowns!A69, "")</f>
        <v/>
      </c>
      <c r="B77" s="33" t="str">
        <f>IF(A77&lt;&gt;"", MAX('Error Calc (bp)'!B69:G69), "")</f>
        <v/>
      </c>
      <c r="C77" s="33" t="str">
        <f>IF(A77&lt;&gt;"", IF(B77&lt;Parameters!B$3, "yes", "no"), "")</f>
        <v/>
      </c>
      <c r="D77" s="33"/>
      <c r="E77" s="77" t="str">
        <f>IF($C77="yes", IF(Knowns!B69&lt;&gt;0, Knowns!B69, "****"), "")</f>
        <v/>
      </c>
      <c r="F77" s="77" t="str">
        <f>IF($C77="yes", IF(Knowns!C69&lt;&gt;0, Knowns!C69, "****"), "")</f>
        <v/>
      </c>
      <c r="G77" s="77" t="str">
        <f>IF($C77="yes", IF(Knowns!D69&lt;&gt;0, Knowns!D69, "****"), "")</f>
        <v/>
      </c>
      <c r="H77" s="77" t="str">
        <f>IF($C77="yes", IF(Knowns!E69&lt;&gt;0, Knowns!E69, "****"), "")</f>
        <v/>
      </c>
      <c r="I77" s="77" t="str">
        <f>IF($C77="yes", IF(Knowns!F69&lt;&gt;0, Knowns!F69, "****"), "")</f>
        <v/>
      </c>
      <c r="J77" s="39"/>
    </row>
    <row r="78" spans="1:10">
      <c r="A78" s="33" t="str">
        <f>IF(Knowns!A70&lt;&gt;"", Knowns!A70, "")</f>
        <v/>
      </c>
      <c r="B78" s="33" t="str">
        <f>IF(A78&lt;&gt;"", MAX('Error Calc (bp)'!B70:G70), "")</f>
        <v/>
      </c>
      <c r="C78" s="33" t="str">
        <f>IF(A78&lt;&gt;"", IF(B78&lt;Parameters!B$3, "yes", "no"), "")</f>
        <v/>
      </c>
      <c r="D78" s="33"/>
      <c r="E78" s="77" t="str">
        <f>IF($C78="yes", IF(Knowns!B70&lt;&gt;0, Knowns!B70, "****"), "")</f>
        <v/>
      </c>
      <c r="F78" s="77" t="str">
        <f>IF($C78="yes", IF(Knowns!C70&lt;&gt;0, Knowns!C70, "****"), "")</f>
        <v/>
      </c>
      <c r="G78" s="77" t="str">
        <f>IF($C78="yes", IF(Knowns!D70&lt;&gt;0, Knowns!D70, "****"), "")</f>
        <v/>
      </c>
      <c r="H78" s="77" t="str">
        <f>IF($C78="yes", IF(Knowns!E70&lt;&gt;0, Knowns!E70, "****"), "")</f>
        <v/>
      </c>
      <c r="I78" s="77" t="str">
        <f>IF($C78="yes", IF(Knowns!F70&lt;&gt;0, Knowns!F70, "****"), "")</f>
        <v/>
      </c>
      <c r="J78" s="39"/>
    </row>
    <row r="79" spans="1:10">
      <c r="A79" s="33" t="str">
        <f>IF(Knowns!A71&lt;&gt;"", Knowns!A71, "")</f>
        <v/>
      </c>
      <c r="B79" s="33" t="str">
        <f>IF(A79&lt;&gt;"", MAX('Error Calc (bp)'!B71:G71), "")</f>
        <v/>
      </c>
      <c r="C79" s="33" t="str">
        <f>IF(A79&lt;&gt;"", IF(B79&lt;Parameters!B$3, "yes", "no"), "")</f>
        <v/>
      </c>
      <c r="D79" s="33"/>
      <c r="E79" s="77" t="str">
        <f>IF($C79="yes", IF(Knowns!B71&lt;&gt;0, Knowns!B71, "****"), "")</f>
        <v/>
      </c>
      <c r="F79" s="77" t="str">
        <f>IF($C79="yes", IF(Knowns!C71&lt;&gt;0, Knowns!C71, "****"), "")</f>
        <v/>
      </c>
      <c r="G79" s="77" t="str">
        <f>IF($C79="yes", IF(Knowns!D71&lt;&gt;0, Knowns!D71, "****"), "")</f>
        <v/>
      </c>
      <c r="H79" s="77" t="str">
        <f>IF($C79="yes", IF(Knowns!E71&lt;&gt;0, Knowns!E71, "****"), "")</f>
        <v/>
      </c>
      <c r="I79" s="77" t="str">
        <f>IF($C79="yes", IF(Knowns!F71&lt;&gt;0, Knowns!F71, "****"), "")</f>
        <v/>
      </c>
      <c r="J79" s="39"/>
    </row>
    <row r="80" spans="1:10">
      <c r="A80" s="33" t="str">
        <f>IF(Knowns!A72&lt;&gt;"", Knowns!A72, "")</f>
        <v/>
      </c>
      <c r="B80" s="33" t="str">
        <f>IF(A80&lt;&gt;"", MAX('Error Calc (bp)'!B72:G72), "")</f>
        <v/>
      </c>
      <c r="C80" s="33" t="str">
        <f>IF(A80&lt;&gt;"", IF(B80&lt;Parameters!B$3, "yes", "no"), "")</f>
        <v/>
      </c>
      <c r="D80" s="33"/>
      <c r="E80" s="77" t="str">
        <f>IF($C80="yes", IF(Knowns!B72&lt;&gt;0, Knowns!B72, "****"), "")</f>
        <v/>
      </c>
      <c r="F80" s="77" t="str">
        <f>IF($C80="yes", IF(Knowns!C72&lt;&gt;0, Knowns!C72, "****"), "")</f>
        <v/>
      </c>
      <c r="G80" s="77" t="str">
        <f>IF($C80="yes", IF(Knowns!D72&lt;&gt;0, Knowns!D72, "****"), "")</f>
        <v/>
      </c>
      <c r="H80" s="77" t="str">
        <f>IF($C80="yes", IF(Knowns!E72&lt;&gt;0, Knowns!E72, "****"), "")</f>
        <v/>
      </c>
      <c r="I80" s="77" t="str">
        <f>IF($C80="yes", IF(Knowns!F72&lt;&gt;0, Knowns!F72, "****"), "")</f>
        <v/>
      </c>
      <c r="J80" s="39"/>
    </row>
    <row r="81" spans="1:10">
      <c r="A81" s="33" t="str">
        <f>IF(Knowns!A73&lt;&gt;"", Knowns!A73, "")</f>
        <v/>
      </c>
      <c r="B81" s="33" t="str">
        <f>IF(A81&lt;&gt;"", MAX('Error Calc (bp)'!B73:G73), "")</f>
        <v/>
      </c>
      <c r="C81" s="33" t="str">
        <f>IF(A81&lt;&gt;"", IF(B81&lt;Parameters!B$3, "yes", "no"), "")</f>
        <v/>
      </c>
      <c r="D81" s="33"/>
      <c r="E81" s="77" t="str">
        <f>IF($C81="yes", IF(Knowns!B73&lt;&gt;0, Knowns!B73, "****"), "")</f>
        <v/>
      </c>
      <c r="F81" s="77" t="str">
        <f>IF($C81="yes", IF(Knowns!C73&lt;&gt;0, Knowns!C73, "****"), "")</f>
        <v/>
      </c>
      <c r="G81" s="77" t="str">
        <f>IF($C81="yes", IF(Knowns!D73&lt;&gt;0, Knowns!D73, "****"), "")</f>
        <v/>
      </c>
      <c r="H81" s="77" t="str">
        <f>IF($C81="yes", IF(Knowns!E73&lt;&gt;0, Knowns!E73, "****"), "")</f>
        <v/>
      </c>
      <c r="I81" s="77" t="str">
        <f>IF($C81="yes", IF(Knowns!F73&lt;&gt;0, Knowns!F73, "****"), "")</f>
        <v/>
      </c>
      <c r="J81" s="39"/>
    </row>
    <row r="82" spans="1:10">
      <c r="A82" s="33" t="str">
        <f>IF(Knowns!A74&lt;&gt;"", Knowns!A74, "")</f>
        <v/>
      </c>
      <c r="B82" s="33" t="str">
        <f>IF(A82&lt;&gt;"", MAX('Error Calc (bp)'!B74:G74), "")</f>
        <v/>
      </c>
      <c r="C82" s="33" t="str">
        <f>IF(A82&lt;&gt;"", IF(B82&lt;Parameters!B$3, "yes", "no"), "")</f>
        <v/>
      </c>
      <c r="D82" s="33"/>
      <c r="E82" s="77" t="str">
        <f>IF($C82="yes", IF(Knowns!B74&lt;&gt;0, Knowns!B74, "****"), "")</f>
        <v/>
      </c>
      <c r="F82" s="77" t="str">
        <f>IF($C82="yes", IF(Knowns!C74&lt;&gt;0, Knowns!C74, "****"), "")</f>
        <v/>
      </c>
      <c r="G82" s="77" t="str">
        <f>IF($C82="yes", IF(Knowns!D74&lt;&gt;0, Knowns!D74, "****"), "")</f>
        <v/>
      </c>
      <c r="H82" s="77" t="str">
        <f>IF($C82="yes", IF(Knowns!E74&lt;&gt;0, Knowns!E74, "****"), "")</f>
        <v/>
      </c>
      <c r="I82" s="77" t="str">
        <f>IF($C82="yes", IF(Knowns!F74&lt;&gt;0, Knowns!F74, "****"), "")</f>
        <v/>
      </c>
      <c r="J82" s="39"/>
    </row>
    <row r="83" spans="1:10">
      <c r="A83" s="33" t="str">
        <f>IF(Knowns!A75&lt;&gt;"", Knowns!A75, "")</f>
        <v/>
      </c>
      <c r="B83" s="33" t="str">
        <f>IF(A83&lt;&gt;"", MAX('Error Calc (bp)'!B75:G75), "")</f>
        <v/>
      </c>
      <c r="C83" s="33" t="str">
        <f>IF(A83&lt;&gt;"", IF(B83&lt;Parameters!B$3, "yes", "no"), "")</f>
        <v/>
      </c>
      <c r="D83" s="33"/>
      <c r="E83" s="77" t="str">
        <f>IF($C83="yes", IF(Knowns!B75&lt;&gt;0, Knowns!B75, "****"), "")</f>
        <v/>
      </c>
      <c r="F83" s="77" t="str">
        <f>IF($C83="yes", IF(Knowns!C75&lt;&gt;0, Knowns!C75, "****"), "")</f>
        <v/>
      </c>
      <c r="G83" s="77" t="str">
        <f>IF($C83="yes", IF(Knowns!D75&lt;&gt;0, Knowns!D75, "****"), "")</f>
        <v/>
      </c>
      <c r="H83" s="77" t="str">
        <f>IF($C83="yes", IF(Knowns!E75&lt;&gt;0, Knowns!E75, "****"), "")</f>
        <v/>
      </c>
      <c r="I83" s="77" t="str">
        <f>IF($C83="yes", IF(Knowns!F75&lt;&gt;0, Knowns!F75, "****"), "")</f>
        <v/>
      </c>
      <c r="J83" s="39"/>
    </row>
    <row r="84" spans="1:10">
      <c r="A84" s="33" t="str">
        <f>IF(Knowns!A76&lt;&gt;"", Knowns!A76, "")</f>
        <v/>
      </c>
      <c r="B84" s="33" t="str">
        <f>IF(A84&lt;&gt;"", MAX('Error Calc (bp)'!B76:G76), "")</f>
        <v/>
      </c>
      <c r="C84" s="33" t="str">
        <f>IF(A84&lt;&gt;"", IF(B84&lt;Parameters!B$3, "yes", "no"), "")</f>
        <v/>
      </c>
      <c r="D84" s="33"/>
      <c r="E84" s="77" t="str">
        <f>IF($C84="yes", IF(Knowns!B76&lt;&gt;0, Knowns!B76, "****"), "")</f>
        <v/>
      </c>
      <c r="F84" s="77" t="str">
        <f>IF($C84="yes", IF(Knowns!C76&lt;&gt;0, Knowns!C76, "****"), "")</f>
        <v/>
      </c>
      <c r="G84" s="77" t="str">
        <f>IF($C84="yes", IF(Knowns!D76&lt;&gt;0, Knowns!D76, "****"), "")</f>
        <v/>
      </c>
      <c r="H84" s="77" t="str">
        <f>IF($C84="yes", IF(Knowns!E76&lt;&gt;0, Knowns!E76, "****"), "")</f>
        <v/>
      </c>
      <c r="I84" s="77" t="str">
        <f>IF($C84="yes", IF(Knowns!F76&lt;&gt;0, Knowns!F76, "****"), "")</f>
        <v/>
      </c>
      <c r="J84" s="39"/>
    </row>
    <row r="85" spans="1:10">
      <c r="A85" s="33" t="str">
        <f>IF(Knowns!A77&lt;&gt;"", Knowns!A77, "")</f>
        <v/>
      </c>
      <c r="B85" s="33" t="str">
        <f>IF(A85&lt;&gt;"", MAX('Error Calc (bp)'!B77:G77), "")</f>
        <v/>
      </c>
      <c r="C85" s="33" t="str">
        <f>IF(A85&lt;&gt;"", IF(B85&lt;Parameters!B$3, "yes", "no"), "")</f>
        <v/>
      </c>
      <c r="D85" s="33"/>
      <c r="E85" s="77" t="str">
        <f>IF($C85="yes", IF(Knowns!B77&lt;&gt;0, Knowns!B77, "****"), "")</f>
        <v/>
      </c>
      <c r="F85" s="77" t="str">
        <f>IF($C85="yes", IF(Knowns!C77&lt;&gt;0, Knowns!C77, "****"), "")</f>
        <v/>
      </c>
      <c r="G85" s="77" t="str">
        <f>IF($C85="yes", IF(Knowns!D77&lt;&gt;0, Knowns!D77, "****"), "")</f>
        <v/>
      </c>
      <c r="H85" s="77" t="str">
        <f>IF($C85="yes", IF(Knowns!E77&lt;&gt;0, Knowns!E77, "****"), "")</f>
        <v/>
      </c>
      <c r="I85" s="77" t="str">
        <f>IF($C85="yes", IF(Knowns!F77&lt;&gt;0, Knowns!F77, "****"), "")</f>
        <v/>
      </c>
      <c r="J85" s="39"/>
    </row>
    <row r="86" spans="1:10">
      <c r="A86" s="33" t="str">
        <f>IF(Knowns!A78&lt;&gt;"", Knowns!A78, "")</f>
        <v/>
      </c>
      <c r="B86" s="33" t="str">
        <f>IF(A86&lt;&gt;"", MAX('Error Calc (bp)'!B78:G78), "")</f>
        <v/>
      </c>
      <c r="C86" s="33" t="str">
        <f>IF(A86&lt;&gt;"", IF(B86&lt;Parameters!B$3, "yes", "no"), "")</f>
        <v/>
      </c>
      <c r="D86" s="33"/>
      <c r="E86" s="77" t="str">
        <f>IF($C86="yes", IF(Knowns!B78&lt;&gt;0, Knowns!B78, "****"), "")</f>
        <v/>
      </c>
      <c r="F86" s="77" t="str">
        <f>IF($C86="yes", IF(Knowns!C78&lt;&gt;0, Knowns!C78, "****"), "")</f>
        <v/>
      </c>
      <c r="G86" s="77" t="str">
        <f>IF($C86="yes", IF(Knowns!D78&lt;&gt;0, Knowns!D78, "****"), "")</f>
        <v/>
      </c>
      <c r="H86" s="77" t="str">
        <f>IF($C86="yes", IF(Knowns!E78&lt;&gt;0, Knowns!E78, "****"), "")</f>
        <v/>
      </c>
      <c r="I86" s="77" t="str">
        <f>IF($C86="yes", IF(Knowns!F78&lt;&gt;0, Knowns!F78, "****"), "")</f>
        <v/>
      </c>
      <c r="J86" s="39"/>
    </row>
    <row r="87" spans="1:10">
      <c r="A87" s="33" t="str">
        <f>IF(Knowns!A79&lt;&gt;"", Knowns!A79, "")</f>
        <v/>
      </c>
      <c r="B87" s="33" t="str">
        <f>IF(A87&lt;&gt;"", MAX('Error Calc (bp)'!B79:G79), "")</f>
        <v/>
      </c>
      <c r="C87" s="33" t="str">
        <f>IF(A87&lt;&gt;"", IF(B87&lt;Parameters!B$3, "yes", "no"), "")</f>
        <v/>
      </c>
      <c r="D87" s="33"/>
      <c r="E87" s="77" t="str">
        <f>IF($C87="yes", IF(Knowns!B79&lt;&gt;0, Knowns!B79, "****"), "")</f>
        <v/>
      </c>
      <c r="F87" s="77" t="str">
        <f>IF($C87="yes", IF(Knowns!C79&lt;&gt;0, Knowns!C79, "****"), "")</f>
        <v/>
      </c>
      <c r="G87" s="77" t="str">
        <f>IF($C87="yes", IF(Knowns!D79&lt;&gt;0, Knowns!D79, "****"), "")</f>
        <v/>
      </c>
      <c r="H87" s="77" t="str">
        <f>IF($C87="yes", IF(Knowns!E79&lt;&gt;0, Knowns!E79, "****"), "")</f>
        <v/>
      </c>
      <c r="I87" s="77" t="str">
        <f>IF($C87="yes", IF(Knowns!F79&lt;&gt;0, Knowns!F79, "****"), "")</f>
        <v/>
      </c>
      <c r="J87" s="39"/>
    </row>
    <row r="88" spans="1:10">
      <c r="A88" s="33" t="str">
        <f>IF(Knowns!A80&lt;&gt;"", Knowns!A80, "")</f>
        <v/>
      </c>
      <c r="B88" s="33" t="str">
        <f>IF(A88&lt;&gt;"", MAX('Error Calc (bp)'!B80:G80), "")</f>
        <v/>
      </c>
      <c r="C88" s="33" t="str">
        <f>IF(A88&lt;&gt;"", IF(B88&lt;Parameters!B$3, "yes", "no"), "")</f>
        <v/>
      </c>
      <c r="D88" s="33"/>
      <c r="E88" s="77" t="str">
        <f>IF($C88="yes", IF(Knowns!B80&lt;&gt;0, Knowns!B80, "****"), "")</f>
        <v/>
      </c>
      <c r="F88" s="77" t="str">
        <f>IF($C88="yes", IF(Knowns!C80&lt;&gt;0, Knowns!C80, "****"), "")</f>
        <v/>
      </c>
      <c r="G88" s="77" t="str">
        <f>IF($C88="yes", IF(Knowns!D80&lt;&gt;0, Knowns!D80, "****"), "")</f>
        <v/>
      </c>
      <c r="H88" s="77" t="str">
        <f>IF($C88="yes", IF(Knowns!E80&lt;&gt;0, Knowns!E80, "****"), "")</f>
        <v/>
      </c>
      <c r="I88" s="77" t="str">
        <f>IF($C88="yes", IF(Knowns!F80&lt;&gt;0, Knowns!F80, "****"), "")</f>
        <v/>
      </c>
      <c r="J88" s="39"/>
    </row>
    <row r="89" spans="1:10">
      <c r="A89" s="33" t="str">
        <f>IF(Knowns!A81&lt;&gt;"", Knowns!A81, "")</f>
        <v/>
      </c>
      <c r="B89" s="33" t="str">
        <f>IF(A89&lt;&gt;"", MAX('Error Calc (bp)'!B81:G81), "")</f>
        <v/>
      </c>
      <c r="C89" s="33" t="str">
        <f>IF(A89&lt;&gt;"", IF(B89&lt;Parameters!B$3, "yes", "no"), "")</f>
        <v/>
      </c>
      <c r="D89" s="33"/>
      <c r="E89" s="77" t="str">
        <f>IF($C89="yes", IF(Knowns!B81&lt;&gt;0, Knowns!B81, "****"), "")</f>
        <v/>
      </c>
      <c r="F89" s="77" t="str">
        <f>IF($C89="yes", IF(Knowns!C81&lt;&gt;0, Knowns!C81, "****"), "")</f>
        <v/>
      </c>
      <c r="G89" s="77" t="str">
        <f>IF($C89="yes", IF(Knowns!D81&lt;&gt;0, Knowns!D81, "****"), "")</f>
        <v/>
      </c>
      <c r="H89" s="77" t="str">
        <f>IF($C89="yes", IF(Knowns!E81&lt;&gt;0, Knowns!E81, "****"), "")</f>
        <v/>
      </c>
      <c r="I89" s="77" t="str">
        <f>IF($C89="yes", IF(Knowns!F81&lt;&gt;0, Knowns!F81, "****"), "")</f>
        <v/>
      </c>
      <c r="J89" s="39"/>
    </row>
    <row r="90" spans="1:10">
      <c r="A90" s="33" t="str">
        <f>IF(Knowns!A82&lt;&gt;"", Knowns!A82, "")</f>
        <v/>
      </c>
      <c r="B90" s="33" t="str">
        <f>IF(A90&lt;&gt;"", MAX('Error Calc (bp)'!B82:G82), "")</f>
        <v/>
      </c>
      <c r="C90" s="33" t="str">
        <f>IF(A90&lt;&gt;"", IF(B90&lt;Parameters!B$3, "yes", "no"), "")</f>
        <v/>
      </c>
      <c r="D90" s="33"/>
      <c r="E90" s="77" t="str">
        <f>IF($C90="yes", IF(Knowns!B82&lt;&gt;0, Knowns!B82, "****"), "")</f>
        <v/>
      </c>
      <c r="F90" s="77" t="str">
        <f>IF($C90="yes", IF(Knowns!C82&lt;&gt;0, Knowns!C82, "****"), "")</f>
        <v/>
      </c>
      <c r="G90" s="77" t="str">
        <f>IF($C90="yes", IF(Knowns!D82&lt;&gt;0, Knowns!D82, "****"), "")</f>
        <v/>
      </c>
      <c r="H90" s="77" t="str">
        <f>IF($C90="yes", IF(Knowns!E82&lt;&gt;0, Knowns!E82, "****"), "")</f>
        <v/>
      </c>
      <c r="I90" s="77" t="str">
        <f>IF($C90="yes", IF(Knowns!F82&lt;&gt;0, Knowns!F82, "****"), "")</f>
        <v/>
      </c>
      <c r="J90" s="39"/>
    </row>
    <row r="91" spans="1:10">
      <c r="A91" s="33" t="str">
        <f>IF(Knowns!A83&lt;&gt;"", Knowns!A83, "")</f>
        <v/>
      </c>
      <c r="B91" s="33" t="str">
        <f>IF(A91&lt;&gt;"", MAX('Error Calc (bp)'!B83:G83), "")</f>
        <v/>
      </c>
      <c r="C91" s="33" t="str">
        <f>IF(A91&lt;&gt;"", IF(B91&lt;Parameters!B$3, "yes", "no"), "")</f>
        <v/>
      </c>
      <c r="D91" s="33"/>
      <c r="E91" s="77" t="str">
        <f>IF($C91="yes", IF(Knowns!B83&lt;&gt;0, Knowns!B83, "****"), "")</f>
        <v/>
      </c>
      <c r="F91" s="77" t="str">
        <f>IF($C91="yes", IF(Knowns!C83&lt;&gt;0, Knowns!C83, "****"), "")</f>
        <v/>
      </c>
      <c r="G91" s="77" t="str">
        <f>IF($C91="yes", IF(Knowns!D83&lt;&gt;0, Knowns!D83, "****"), "")</f>
        <v/>
      </c>
      <c r="H91" s="77" t="str">
        <f>IF($C91="yes", IF(Knowns!E83&lt;&gt;0, Knowns!E83, "****"), "")</f>
        <v/>
      </c>
      <c r="I91" s="77" t="str">
        <f>IF($C91="yes", IF(Knowns!F83&lt;&gt;0, Knowns!F83, "****"), "")</f>
        <v/>
      </c>
      <c r="J91" s="39"/>
    </row>
    <row r="92" spans="1:10">
      <c r="A92" s="33" t="str">
        <f>IF(Knowns!A84&lt;&gt;"", Knowns!A84, "")</f>
        <v/>
      </c>
      <c r="B92" s="33" t="str">
        <f>IF(A92&lt;&gt;"", MAX('Error Calc (bp)'!B84:G84), "")</f>
        <v/>
      </c>
      <c r="C92" s="33" t="str">
        <f>IF(A92&lt;&gt;"", IF(B92&lt;Parameters!B$3, "yes", "no"), "")</f>
        <v/>
      </c>
      <c r="D92" s="33"/>
      <c r="E92" s="77" t="str">
        <f>IF($C92="yes", IF(Knowns!B84&lt;&gt;0, Knowns!B84, "****"), "")</f>
        <v/>
      </c>
      <c r="F92" s="77" t="str">
        <f>IF($C92="yes", IF(Knowns!C84&lt;&gt;0, Knowns!C84, "****"), "")</f>
        <v/>
      </c>
      <c r="G92" s="77" t="str">
        <f>IF($C92="yes", IF(Knowns!D84&lt;&gt;0, Knowns!D84, "****"), "")</f>
        <v/>
      </c>
      <c r="H92" s="77" t="str">
        <f>IF($C92="yes", IF(Knowns!E84&lt;&gt;0, Knowns!E84, "****"), "")</f>
        <v/>
      </c>
      <c r="I92" s="77" t="str">
        <f>IF($C92="yes", IF(Knowns!F84&lt;&gt;0, Knowns!F84, "****"), "")</f>
        <v/>
      </c>
      <c r="J92" s="39"/>
    </row>
    <row r="93" spans="1:10">
      <c r="A93" s="33" t="str">
        <f>IF(Knowns!A85&lt;&gt;"", Knowns!A85, "")</f>
        <v/>
      </c>
      <c r="B93" s="33" t="str">
        <f>IF(A93&lt;&gt;"", MAX('Error Calc (bp)'!B85:G85), "")</f>
        <v/>
      </c>
      <c r="C93" s="33" t="str">
        <f>IF(A93&lt;&gt;"", IF(B93&lt;Parameters!B$3, "yes", "no"), "")</f>
        <v/>
      </c>
      <c r="D93" s="33"/>
      <c r="E93" s="77" t="str">
        <f>IF($C93="yes", IF(Knowns!B85&lt;&gt;0, Knowns!B85, "****"), "")</f>
        <v/>
      </c>
      <c r="F93" s="77" t="str">
        <f>IF($C93="yes", IF(Knowns!C85&lt;&gt;0, Knowns!C85, "****"), "")</f>
        <v/>
      </c>
      <c r="G93" s="77" t="str">
        <f>IF($C93="yes", IF(Knowns!D85&lt;&gt;0, Knowns!D85, "****"), "")</f>
        <v/>
      </c>
      <c r="H93" s="77" t="str">
        <f>IF($C93="yes", IF(Knowns!E85&lt;&gt;0, Knowns!E85, "****"), "")</f>
        <v/>
      </c>
      <c r="I93" s="77" t="str">
        <f>IF($C93="yes", IF(Knowns!F85&lt;&gt;0, Knowns!F85, "****"), "")</f>
        <v/>
      </c>
      <c r="J93" s="39"/>
    </row>
    <row r="94" spans="1:10">
      <c r="A94" s="33" t="str">
        <f>IF(Knowns!A86&lt;&gt;"", Knowns!A86, "")</f>
        <v/>
      </c>
      <c r="B94" s="33" t="str">
        <f>IF(A94&lt;&gt;"", MAX('Error Calc (bp)'!B86:G86), "")</f>
        <v/>
      </c>
      <c r="C94" s="33" t="str">
        <f>IF(A94&lt;&gt;"", IF(B94&lt;Parameters!B$3, "yes", "no"), "")</f>
        <v/>
      </c>
      <c r="D94" s="33"/>
      <c r="E94" s="77" t="str">
        <f>IF($C94="yes", IF(Knowns!B86&lt;&gt;0, Knowns!B86, "****"), "")</f>
        <v/>
      </c>
      <c r="F94" s="77" t="str">
        <f>IF($C94="yes", IF(Knowns!C86&lt;&gt;0, Knowns!C86, "****"), "")</f>
        <v/>
      </c>
      <c r="G94" s="77" t="str">
        <f>IF($C94="yes", IF(Knowns!D86&lt;&gt;0, Knowns!D86, "****"), "")</f>
        <v/>
      </c>
      <c r="H94" s="77" t="str">
        <f>IF($C94="yes", IF(Knowns!E86&lt;&gt;0, Knowns!E86, "****"), "")</f>
        <v/>
      </c>
      <c r="I94" s="77" t="str">
        <f>IF($C94="yes", IF(Knowns!F86&lt;&gt;0, Knowns!F86, "****"), "")</f>
        <v/>
      </c>
      <c r="J94" s="39"/>
    </row>
    <row r="95" spans="1:10">
      <c r="A95" s="33" t="str">
        <f>IF(Knowns!A87&lt;&gt;"", Knowns!A87, "")</f>
        <v/>
      </c>
      <c r="B95" s="33" t="str">
        <f>IF(A95&lt;&gt;"", MAX('Error Calc (bp)'!B87:G87), "")</f>
        <v/>
      </c>
      <c r="C95" s="33" t="str">
        <f>IF(A95&lt;&gt;"", IF(B95&lt;Parameters!B$3, "yes", "no"), "")</f>
        <v/>
      </c>
      <c r="D95" s="33"/>
      <c r="E95" s="77" t="str">
        <f>IF($C95="yes", IF(Knowns!B87&lt;&gt;0, Knowns!B87, "****"), "")</f>
        <v/>
      </c>
      <c r="F95" s="77" t="str">
        <f>IF($C95="yes", IF(Knowns!C87&lt;&gt;0, Knowns!C87, "****"), "")</f>
        <v/>
      </c>
      <c r="G95" s="77" t="str">
        <f>IF($C95="yes", IF(Knowns!D87&lt;&gt;0, Knowns!D87, "****"), "")</f>
        <v/>
      </c>
      <c r="H95" s="77" t="str">
        <f>IF($C95="yes", IF(Knowns!E87&lt;&gt;0, Knowns!E87, "****"), "")</f>
        <v/>
      </c>
      <c r="I95" s="77" t="str">
        <f>IF($C95="yes", IF(Knowns!F87&lt;&gt;0, Knowns!F87, "****"), "")</f>
        <v/>
      </c>
      <c r="J95" s="39"/>
    </row>
    <row r="96" spans="1:10">
      <c r="A96" s="33" t="str">
        <f>IF(Knowns!A88&lt;&gt;"", Knowns!A88, "")</f>
        <v/>
      </c>
      <c r="B96" s="33" t="str">
        <f>IF(A96&lt;&gt;"", MAX('Error Calc (bp)'!B88:G88), "")</f>
        <v/>
      </c>
      <c r="C96" s="33" t="str">
        <f>IF(A96&lt;&gt;"", IF(B96&lt;Parameters!B$3, "yes", "no"), "")</f>
        <v/>
      </c>
      <c r="D96" s="33"/>
      <c r="E96" s="77" t="str">
        <f>IF($C96="yes", IF(Knowns!B88&lt;&gt;0, Knowns!B88, "****"), "")</f>
        <v/>
      </c>
      <c r="F96" s="77" t="str">
        <f>IF($C96="yes", IF(Knowns!C88&lt;&gt;0, Knowns!C88, "****"), "")</f>
        <v/>
      </c>
      <c r="G96" s="77" t="str">
        <f>IF($C96="yes", IF(Knowns!D88&lt;&gt;0, Knowns!D88, "****"), "")</f>
        <v/>
      </c>
      <c r="H96" s="77" t="str">
        <f>IF($C96="yes", IF(Knowns!E88&lt;&gt;0, Knowns!E88, "****"), "")</f>
        <v/>
      </c>
      <c r="I96" s="77" t="str">
        <f>IF($C96="yes", IF(Knowns!F88&lt;&gt;0, Knowns!F88, "****"), "")</f>
        <v/>
      </c>
      <c r="J96" s="39"/>
    </row>
    <row r="97" spans="1:10">
      <c r="A97" s="33" t="str">
        <f>IF(Knowns!A89&lt;&gt;"", Knowns!A89, "")</f>
        <v/>
      </c>
      <c r="B97" s="33" t="str">
        <f>IF(A97&lt;&gt;"", MAX('Error Calc (bp)'!B89:G89), "")</f>
        <v/>
      </c>
      <c r="C97" s="33" t="str">
        <f>IF(A97&lt;&gt;"", IF(B97&lt;Parameters!B$3, "yes", "no"), "")</f>
        <v/>
      </c>
      <c r="D97" s="33"/>
      <c r="E97" s="77" t="str">
        <f>IF($C97="yes", IF(Knowns!B89&lt;&gt;0, Knowns!B89, "****"), "")</f>
        <v/>
      </c>
      <c r="F97" s="77" t="str">
        <f>IF($C97="yes", IF(Knowns!C89&lt;&gt;0, Knowns!C89, "****"), "")</f>
        <v/>
      </c>
      <c r="G97" s="77" t="str">
        <f>IF($C97="yes", IF(Knowns!D89&lt;&gt;0, Knowns!D89, "****"), "")</f>
        <v/>
      </c>
      <c r="H97" s="77" t="str">
        <f>IF($C97="yes", IF(Knowns!E89&lt;&gt;0, Knowns!E89, "****"), "")</f>
        <v/>
      </c>
      <c r="I97" s="77" t="str">
        <f>IF($C97="yes", IF(Knowns!F89&lt;&gt;0, Knowns!F89, "****"), "")</f>
        <v/>
      </c>
      <c r="J97" s="39"/>
    </row>
    <row r="98" spans="1:10">
      <c r="A98" s="33" t="str">
        <f>IF(Knowns!A90&lt;&gt;"", Knowns!A90, "")</f>
        <v/>
      </c>
      <c r="B98" s="33" t="str">
        <f>IF(A98&lt;&gt;"", MAX('Error Calc (bp)'!B90:G90), "")</f>
        <v/>
      </c>
      <c r="C98" s="33" t="str">
        <f>IF(A98&lt;&gt;"", IF(B98&lt;Parameters!B$3, "yes", "no"), "")</f>
        <v/>
      </c>
      <c r="D98" s="33"/>
      <c r="E98" s="77" t="str">
        <f>IF($C98="yes", IF(Knowns!B90&lt;&gt;0, Knowns!B90, "****"), "")</f>
        <v/>
      </c>
      <c r="F98" s="77" t="str">
        <f>IF($C98="yes", IF(Knowns!C90&lt;&gt;0, Knowns!C90, "****"), "")</f>
        <v/>
      </c>
      <c r="G98" s="77" t="str">
        <f>IF($C98="yes", IF(Knowns!D90&lt;&gt;0, Knowns!D90, "****"), "")</f>
        <v/>
      </c>
      <c r="H98" s="77" t="str">
        <f>IF($C98="yes", IF(Knowns!E90&lt;&gt;0, Knowns!E90, "****"), "")</f>
        <v/>
      </c>
      <c r="I98" s="77" t="str">
        <f>IF($C98="yes", IF(Knowns!F90&lt;&gt;0, Knowns!F90, "****"), "")</f>
        <v/>
      </c>
      <c r="J98" s="39"/>
    </row>
    <row r="99" spans="1:10">
      <c r="A99" s="33" t="str">
        <f>IF(Knowns!A91&lt;&gt;"", Knowns!A91, "")</f>
        <v/>
      </c>
      <c r="B99" s="33" t="str">
        <f>IF(A99&lt;&gt;"", MAX('Error Calc (bp)'!B91:G91), "")</f>
        <v/>
      </c>
      <c r="C99" s="33" t="str">
        <f>IF(A99&lt;&gt;"", IF(B99&lt;Parameters!B$3, "yes", "no"), "")</f>
        <v/>
      </c>
      <c r="D99" s="33"/>
      <c r="E99" s="77" t="str">
        <f>IF($C99="yes", IF(Knowns!B91&lt;&gt;0, Knowns!B91, "****"), "")</f>
        <v/>
      </c>
      <c r="F99" s="77" t="str">
        <f>IF($C99="yes", IF(Knowns!C91&lt;&gt;0, Knowns!C91, "****"), "")</f>
        <v/>
      </c>
      <c r="G99" s="77" t="str">
        <f>IF($C99="yes", IF(Knowns!D91&lt;&gt;0, Knowns!D91, "****"), "")</f>
        <v/>
      </c>
      <c r="H99" s="77" t="str">
        <f>IF($C99="yes", IF(Knowns!E91&lt;&gt;0, Knowns!E91, "****"), "")</f>
        <v/>
      </c>
      <c r="I99" s="77" t="str">
        <f>IF($C99="yes", IF(Knowns!F91&lt;&gt;0, Knowns!F91, "****"), "")</f>
        <v/>
      </c>
      <c r="J99" s="39"/>
    </row>
    <row r="100" spans="1:10">
      <c r="A100" s="33" t="str">
        <f>IF(Knowns!A92&lt;&gt;"", Knowns!A92, "")</f>
        <v/>
      </c>
      <c r="B100" s="33" t="str">
        <f>IF(A100&lt;&gt;"", MAX('Error Calc (bp)'!B92:G92), "")</f>
        <v/>
      </c>
      <c r="C100" s="33" t="str">
        <f>IF(A100&lt;&gt;"", IF(B100&lt;Parameters!B$3, "yes", "no"), "")</f>
        <v/>
      </c>
      <c r="D100" s="33"/>
      <c r="E100" s="77" t="str">
        <f>IF($C100="yes", IF(Knowns!B92&lt;&gt;0, Knowns!B92, "****"), "")</f>
        <v/>
      </c>
      <c r="F100" s="77" t="str">
        <f>IF($C100="yes", IF(Knowns!C92&lt;&gt;0, Knowns!C92, "****"), "")</f>
        <v/>
      </c>
      <c r="G100" s="77" t="str">
        <f>IF($C100="yes", IF(Knowns!D92&lt;&gt;0, Knowns!D92, "****"), "")</f>
        <v/>
      </c>
      <c r="H100" s="77" t="str">
        <f>IF($C100="yes", IF(Knowns!E92&lt;&gt;0, Knowns!E92, "****"), "")</f>
        <v/>
      </c>
      <c r="I100" s="77" t="str">
        <f>IF($C100="yes", IF(Knowns!F92&lt;&gt;0, Knowns!F92, "****"), "")</f>
        <v/>
      </c>
      <c r="J100" s="39"/>
    </row>
    <row r="101" spans="1:10">
      <c r="A101" s="33" t="str">
        <f>IF(Knowns!A93&lt;&gt;"", Knowns!A93, "")</f>
        <v/>
      </c>
      <c r="B101" s="33" t="str">
        <f>IF(A101&lt;&gt;"", MAX('Error Calc (bp)'!B93:G93), "")</f>
        <v/>
      </c>
      <c r="C101" s="33" t="str">
        <f>IF(A101&lt;&gt;"", IF(B101&lt;Parameters!B$3, "yes", "no"), "")</f>
        <v/>
      </c>
      <c r="D101" s="33"/>
      <c r="E101" s="77" t="str">
        <f>IF($C101="yes", IF(Knowns!B93&lt;&gt;0, Knowns!B93, "****"), "")</f>
        <v/>
      </c>
      <c r="F101" s="77" t="str">
        <f>IF($C101="yes", IF(Knowns!C93&lt;&gt;0, Knowns!C93, "****"), "")</f>
        <v/>
      </c>
      <c r="G101" s="77" t="str">
        <f>IF($C101="yes", IF(Knowns!D93&lt;&gt;0, Knowns!D93, "****"), "")</f>
        <v/>
      </c>
      <c r="H101" s="77" t="str">
        <f>IF($C101="yes", IF(Knowns!E93&lt;&gt;0, Knowns!E93, "****"), "")</f>
        <v/>
      </c>
      <c r="I101" s="77" t="str">
        <f>IF($C101="yes", IF(Knowns!F93&lt;&gt;0, Knowns!F93, "****"), "")</f>
        <v/>
      </c>
      <c r="J101" s="39"/>
    </row>
    <row r="102" spans="1:10">
      <c r="A102" s="33" t="str">
        <f>IF(Knowns!A94&lt;&gt;"", Knowns!A94, "")</f>
        <v/>
      </c>
      <c r="B102" s="33" t="str">
        <f>IF(A102&lt;&gt;"", MAX('Error Calc (bp)'!B94:G94), "")</f>
        <v/>
      </c>
      <c r="C102" s="33" t="str">
        <f>IF(A102&lt;&gt;"", IF(B102&lt;Parameters!B$3, "yes", "no"), "")</f>
        <v/>
      </c>
      <c r="D102" s="33"/>
      <c r="E102" s="77" t="str">
        <f>IF($C102="yes", IF(Knowns!B94&lt;&gt;0, Knowns!B94, "****"), "")</f>
        <v/>
      </c>
      <c r="F102" s="77" t="str">
        <f>IF($C102="yes", IF(Knowns!C94&lt;&gt;0, Knowns!C94, "****"), "")</f>
        <v/>
      </c>
      <c r="G102" s="77" t="str">
        <f>IF($C102="yes", IF(Knowns!D94&lt;&gt;0, Knowns!D94, "****"), "")</f>
        <v/>
      </c>
      <c r="H102" s="77" t="str">
        <f>IF($C102="yes", IF(Knowns!E94&lt;&gt;0, Knowns!E94, "****"), "")</f>
        <v/>
      </c>
      <c r="I102" s="77" t="str">
        <f>IF($C102="yes", IF(Knowns!F94&lt;&gt;0, Knowns!F94, "****"), "")</f>
        <v/>
      </c>
      <c r="J102" s="39"/>
    </row>
    <row r="103" spans="1:10">
      <c r="A103" s="33" t="str">
        <f>IF(Knowns!A95&lt;&gt;"", Knowns!A95, "")</f>
        <v/>
      </c>
      <c r="B103" s="33" t="str">
        <f>IF(A103&lt;&gt;"", MAX('Error Calc (bp)'!B95:G95), "")</f>
        <v/>
      </c>
      <c r="C103" s="33" t="str">
        <f>IF(A103&lt;&gt;"", IF(B103&lt;Parameters!B$3, "yes", "no"), "")</f>
        <v/>
      </c>
      <c r="D103" s="33"/>
      <c r="E103" s="77" t="str">
        <f>IF($C103="yes", IF(Knowns!B95&lt;&gt;0, Knowns!B95, "****"), "")</f>
        <v/>
      </c>
      <c r="F103" s="77" t="str">
        <f>IF($C103="yes", IF(Knowns!C95&lt;&gt;0, Knowns!C95, "****"), "")</f>
        <v/>
      </c>
      <c r="G103" s="77" t="str">
        <f>IF($C103="yes", IF(Knowns!D95&lt;&gt;0, Knowns!D95, "****"), "")</f>
        <v/>
      </c>
      <c r="H103" s="77" t="str">
        <f>IF($C103="yes", IF(Knowns!E95&lt;&gt;0, Knowns!E95, "****"), "")</f>
        <v/>
      </c>
      <c r="I103" s="77" t="str">
        <f>IF($C103="yes", IF(Knowns!F95&lt;&gt;0, Knowns!F95, "****"), "")</f>
        <v/>
      </c>
      <c r="J103" s="39"/>
    </row>
    <row r="104" spans="1:10">
      <c r="A104" s="33" t="str">
        <f>IF(Knowns!A96&lt;&gt;"", Knowns!A96, "")</f>
        <v/>
      </c>
      <c r="B104" s="33" t="str">
        <f>IF(A104&lt;&gt;"", MAX('Error Calc (bp)'!B96:G96), "")</f>
        <v/>
      </c>
      <c r="C104" s="33" t="str">
        <f>IF(A104&lt;&gt;"", IF(B104&lt;Parameters!B$3, "yes", "no"), "")</f>
        <v/>
      </c>
      <c r="D104" s="33"/>
      <c r="E104" s="77" t="str">
        <f>IF($C104="yes", IF(Knowns!B96&lt;&gt;0, Knowns!B96, "****"), "")</f>
        <v/>
      </c>
      <c r="F104" s="77" t="str">
        <f>IF($C104="yes", IF(Knowns!C96&lt;&gt;0, Knowns!C96, "****"), "")</f>
        <v/>
      </c>
      <c r="G104" s="77" t="str">
        <f>IF($C104="yes", IF(Knowns!D96&lt;&gt;0, Knowns!D96, "****"), "")</f>
        <v/>
      </c>
      <c r="H104" s="77" t="str">
        <f>IF($C104="yes", IF(Knowns!E96&lt;&gt;0, Knowns!E96, "****"), "")</f>
        <v/>
      </c>
      <c r="I104" s="77" t="str">
        <f>IF($C104="yes", IF(Knowns!F96&lt;&gt;0, Knowns!F96, "****"), "")</f>
        <v/>
      </c>
      <c r="J104" s="39"/>
    </row>
    <row r="105" spans="1:10">
      <c r="A105" s="33" t="str">
        <f>IF(Knowns!A97&lt;&gt;"", Knowns!A97, "")</f>
        <v/>
      </c>
      <c r="B105" s="33" t="str">
        <f>IF(A105&lt;&gt;"", MAX('Error Calc (bp)'!B97:G97), "")</f>
        <v/>
      </c>
      <c r="C105" s="33" t="str">
        <f>IF(A105&lt;&gt;"", IF(B105&lt;Parameters!B$3, "yes", "no"), "")</f>
        <v/>
      </c>
      <c r="D105" s="33"/>
      <c r="E105" s="77" t="str">
        <f>IF($C105="yes", IF(Knowns!B97&lt;&gt;0, Knowns!B97, "****"), "")</f>
        <v/>
      </c>
      <c r="F105" s="77" t="str">
        <f>IF($C105="yes", IF(Knowns!C97&lt;&gt;0, Knowns!C97, "****"), "")</f>
        <v/>
      </c>
      <c r="G105" s="77" t="str">
        <f>IF($C105="yes", IF(Knowns!D97&lt;&gt;0, Knowns!D97, "****"), "")</f>
        <v/>
      </c>
      <c r="H105" s="77" t="str">
        <f>IF($C105="yes", IF(Knowns!E97&lt;&gt;0, Knowns!E97, "****"), "")</f>
        <v/>
      </c>
      <c r="I105" s="77" t="str">
        <f>IF($C105="yes", IF(Knowns!F97&lt;&gt;0, Knowns!F97, "****"), "")</f>
        <v/>
      </c>
      <c r="J105" s="39"/>
    </row>
    <row r="106" spans="1:10">
      <c r="A106" s="33" t="str">
        <f>IF(Knowns!A98&lt;&gt;"", Knowns!A98, "")</f>
        <v/>
      </c>
      <c r="B106" s="33" t="str">
        <f>IF(A106&lt;&gt;"", MAX('Error Calc (bp)'!B98:G98), "")</f>
        <v/>
      </c>
      <c r="C106" s="33" t="str">
        <f>IF(A106&lt;&gt;"", IF(B106&lt;Parameters!B$3, "yes", "no"), "")</f>
        <v/>
      </c>
      <c r="D106" s="33"/>
      <c r="E106" s="77" t="str">
        <f>IF($C106="yes", IF(Knowns!B98&lt;&gt;0, Knowns!B98, "****"), "")</f>
        <v/>
      </c>
      <c r="F106" s="77" t="str">
        <f>IF($C106="yes", IF(Knowns!C98&lt;&gt;0, Knowns!C98, "****"), "")</f>
        <v/>
      </c>
      <c r="G106" s="77" t="str">
        <f>IF($C106="yes", IF(Knowns!D98&lt;&gt;0, Knowns!D98, "****"), "")</f>
        <v/>
      </c>
      <c r="H106" s="77" t="str">
        <f>IF($C106="yes", IF(Knowns!E98&lt;&gt;0, Knowns!E98, "****"), "")</f>
        <v/>
      </c>
      <c r="I106" s="77" t="str">
        <f>IF($C106="yes", IF(Knowns!F98&lt;&gt;0, Knowns!F98, "****"), "")</f>
        <v/>
      </c>
      <c r="J106" s="39"/>
    </row>
    <row r="107" spans="1:10">
      <c r="A107" s="33" t="str">
        <f>IF(Knowns!A99&lt;&gt;"", Knowns!A99, "")</f>
        <v/>
      </c>
      <c r="B107" s="33" t="str">
        <f>IF(A107&lt;&gt;"", MAX('Error Calc (bp)'!B99:G99), "")</f>
        <v/>
      </c>
      <c r="C107" s="33" t="str">
        <f>IF(A107&lt;&gt;"", IF(B107&lt;Parameters!B$3, "yes", "no"), "")</f>
        <v/>
      </c>
      <c r="D107" s="33"/>
      <c r="E107" s="77" t="str">
        <f>IF($C107="yes", IF(Knowns!B99&lt;&gt;0, Knowns!B99, "****"), "")</f>
        <v/>
      </c>
      <c r="F107" s="77" t="str">
        <f>IF($C107="yes", IF(Knowns!C99&lt;&gt;0, Knowns!C99, "****"), "")</f>
        <v/>
      </c>
      <c r="G107" s="77" t="str">
        <f>IF($C107="yes", IF(Knowns!D99&lt;&gt;0, Knowns!D99, "****"), "")</f>
        <v/>
      </c>
      <c r="H107" s="77" t="str">
        <f>IF($C107="yes", IF(Knowns!E99&lt;&gt;0, Knowns!E99, "****"), "")</f>
        <v/>
      </c>
      <c r="I107" s="77" t="str">
        <f>IF($C107="yes", IF(Knowns!F99&lt;&gt;0, Knowns!F99, "****"), "")</f>
        <v/>
      </c>
      <c r="J107" s="39"/>
    </row>
    <row r="108" spans="1:10">
      <c r="A108" s="33" t="str">
        <f>IF(Knowns!A100&lt;&gt;"", Knowns!A100, "")</f>
        <v/>
      </c>
      <c r="B108" s="33" t="str">
        <f>IF(A108&lt;&gt;"", MAX('Error Calc (bp)'!B100:G100), "")</f>
        <v/>
      </c>
      <c r="C108" s="33" t="str">
        <f>IF(A108&lt;&gt;"", IF(B108&lt;Parameters!B$3, "yes", "no"), "")</f>
        <v/>
      </c>
      <c r="D108" s="33"/>
      <c r="E108" s="77" t="str">
        <f>IF($C108="yes", IF(Knowns!B100&lt;&gt;0, Knowns!B100, "****"), "")</f>
        <v/>
      </c>
      <c r="F108" s="77" t="str">
        <f>IF($C108="yes", IF(Knowns!C100&lt;&gt;0, Knowns!C100, "****"), "")</f>
        <v/>
      </c>
      <c r="G108" s="77" t="str">
        <f>IF($C108="yes", IF(Knowns!D100&lt;&gt;0, Knowns!D100, "****"), "")</f>
        <v/>
      </c>
      <c r="H108" s="77" t="str">
        <f>IF($C108="yes", IF(Knowns!E100&lt;&gt;0, Knowns!E100, "****"), "")</f>
        <v/>
      </c>
      <c r="I108" s="77" t="str">
        <f>IF($C108="yes", IF(Knowns!F100&lt;&gt;0, Knowns!F100, "****"), "")</f>
        <v/>
      </c>
      <c r="J108" s="39"/>
    </row>
    <row r="109" spans="1:10">
      <c r="A109" s="33" t="str">
        <f>IF(Knowns!A101&lt;&gt;"", Knowns!A101, "")</f>
        <v/>
      </c>
      <c r="B109" s="33" t="str">
        <f>IF(A109&lt;&gt;"", MAX('Error Calc (bp)'!B101:G101), "")</f>
        <v/>
      </c>
      <c r="C109" s="33" t="str">
        <f>IF(A109&lt;&gt;"", IF(B109&lt;Parameters!B$3, "yes", "no"), "")</f>
        <v/>
      </c>
      <c r="D109" s="33"/>
      <c r="E109" s="77" t="str">
        <f>IF($C109="yes", IF(Knowns!B101&lt;&gt;0, Knowns!B101, "****"), "")</f>
        <v/>
      </c>
      <c r="F109" s="77" t="str">
        <f>IF($C109="yes", IF(Knowns!C101&lt;&gt;0, Knowns!C101, "****"), "")</f>
        <v/>
      </c>
      <c r="G109" s="77" t="str">
        <f>IF($C109="yes", IF(Knowns!D101&lt;&gt;0, Knowns!D101, "****"), "")</f>
        <v/>
      </c>
      <c r="H109" s="77" t="str">
        <f>IF($C109="yes", IF(Knowns!E101&lt;&gt;0, Knowns!E101, "****"), "")</f>
        <v/>
      </c>
      <c r="I109" s="77" t="str">
        <f>IF($C109="yes", IF(Knowns!F101&lt;&gt;0, Knowns!F101, "****"), "")</f>
        <v/>
      </c>
      <c r="J109" s="39"/>
    </row>
    <row r="110" spans="1:10">
      <c r="A110" s="33" t="str">
        <f>IF(Knowns!A102&lt;&gt;"", Knowns!A102, "")</f>
        <v/>
      </c>
      <c r="B110" s="33" t="str">
        <f>IF(A110&lt;&gt;"", MAX('Error Calc (bp)'!B102:G102), "")</f>
        <v/>
      </c>
      <c r="C110" s="33" t="str">
        <f>IF(A110&lt;&gt;"", IF(B110&lt;Parameters!B$3, "yes", "no"), "")</f>
        <v/>
      </c>
      <c r="D110" s="33"/>
      <c r="E110" s="77" t="str">
        <f>IF($C110="yes", IF(Knowns!B102&lt;&gt;0, Knowns!B102, "****"), "")</f>
        <v/>
      </c>
      <c r="F110" s="77" t="str">
        <f>IF($C110="yes", IF(Knowns!C102&lt;&gt;0, Knowns!C102, "****"), "")</f>
        <v/>
      </c>
      <c r="G110" s="77" t="str">
        <f>IF($C110="yes", IF(Knowns!D102&lt;&gt;0, Knowns!D102, "****"), "")</f>
        <v/>
      </c>
      <c r="H110" s="77" t="str">
        <f>IF($C110="yes", IF(Knowns!E102&lt;&gt;0, Knowns!E102, "****"), "")</f>
        <v/>
      </c>
      <c r="I110" s="77" t="str">
        <f>IF($C110="yes", IF(Knowns!F102&lt;&gt;0, Knowns!F102, "****"), "")</f>
        <v/>
      </c>
      <c r="J110" s="39"/>
    </row>
    <row r="111" spans="1:10">
      <c r="A111" s="33" t="str">
        <f>IF(Knowns!A103&lt;&gt;"", Knowns!A103, "")</f>
        <v/>
      </c>
      <c r="B111" s="33" t="str">
        <f>IF(A111&lt;&gt;"", MAX('Error Calc (bp)'!B103:G103), "")</f>
        <v/>
      </c>
      <c r="C111" s="33" t="str">
        <f>IF(A111&lt;&gt;"", IF(B111&lt;Parameters!B$3, "yes", "no"), "")</f>
        <v/>
      </c>
      <c r="D111" s="33"/>
      <c r="E111" s="77" t="str">
        <f>IF($C111="yes", IF(Knowns!B103&lt;&gt;0, Knowns!B103, "****"), "")</f>
        <v/>
      </c>
      <c r="F111" s="77" t="str">
        <f>IF($C111="yes", IF(Knowns!C103&lt;&gt;0, Knowns!C103, "****"), "")</f>
        <v/>
      </c>
      <c r="G111" s="77" t="str">
        <f>IF($C111="yes", IF(Knowns!D103&lt;&gt;0, Knowns!D103, "****"), "")</f>
        <v/>
      </c>
      <c r="H111" s="77" t="str">
        <f>IF($C111="yes", IF(Knowns!E103&lt;&gt;0, Knowns!E103, "****"), "")</f>
        <v/>
      </c>
      <c r="I111" s="77" t="str">
        <f>IF($C111="yes", IF(Knowns!F103&lt;&gt;0, Knowns!F103, "****"), "")</f>
        <v/>
      </c>
      <c r="J111" s="39"/>
    </row>
    <row r="112" spans="1:10">
      <c r="A112" s="33" t="str">
        <f>IF(Knowns!A104&lt;&gt;"", Knowns!A104, "")</f>
        <v/>
      </c>
      <c r="B112" s="33" t="str">
        <f>IF(A112&lt;&gt;"", MAX('Error Calc (bp)'!B104:G104), "")</f>
        <v/>
      </c>
      <c r="C112" s="33" t="str">
        <f>IF(A112&lt;&gt;"", IF(B112&lt;Parameters!B$3, "yes", "no"), "")</f>
        <v/>
      </c>
      <c r="D112" s="33"/>
      <c r="E112" s="77" t="str">
        <f>IF($C112="yes", IF(Knowns!B104&lt;&gt;0, Knowns!B104, "****"), "")</f>
        <v/>
      </c>
      <c r="F112" s="77" t="str">
        <f>IF($C112="yes", IF(Knowns!C104&lt;&gt;0, Knowns!C104, "****"), "")</f>
        <v/>
      </c>
      <c r="G112" s="77" t="str">
        <f>IF($C112="yes", IF(Knowns!D104&lt;&gt;0, Knowns!D104, "****"), "")</f>
        <v/>
      </c>
      <c r="H112" s="77" t="str">
        <f>IF($C112="yes", IF(Knowns!E104&lt;&gt;0, Knowns!E104, "****"), "")</f>
        <v/>
      </c>
      <c r="I112" s="77" t="str">
        <f>IF($C112="yes", IF(Knowns!F104&lt;&gt;0, Knowns!F104, "****"), "")</f>
        <v/>
      </c>
      <c r="J112" s="39"/>
    </row>
    <row r="113" spans="1:10">
      <c r="A113" s="33" t="str">
        <f>IF(Knowns!A105&lt;&gt;"", Knowns!A105, "")</f>
        <v/>
      </c>
      <c r="B113" s="33" t="str">
        <f>IF(A113&lt;&gt;"", MAX('Error Calc (bp)'!B105:G105), "")</f>
        <v/>
      </c>
      <c r="C113" s="33" t="str">
        <f>IF(A113&lt;&gt;"", IF(B113&lt;Parameters!B$3, "yes", "no"), "")</f>
        <v/>
      </c>
      <c r="D113" s="33"/>
      <c r="E113" s="77" t="str">
        <f>IF($C113="yes", IF(Knowns!B105&lt;&gt;0, Knowns!B105, "****"), "")</f>
        <v/>
      </c>
      <c r="F113" s="77" t="str">
        <f>IF($C113="yes", IF(Knowns!C105&lt;&gt;0, Knowns!C105, "****"), "")</f>
        <v/>
      </c>
      <c r="G113" s="77" t="str">
        <f>IF($C113="yes", IF(Knowns!D105&lt;&gt;0, Knowns!D105, "****"), "")</f>
        <v/>
      </c>
      <c r="H113" s="77" t="str">
        <f>IF($C113="yes", IF(Knowns!E105&lt;&gt;0, Knowns!E105, "****"), "")</f>
        <v/>
      </c>
      <c r="I113" s="77" t="str">
        <f>IF($C113="yes", IF(Knowns!F105&lt;&gt;0, Knowns!F105, "****"), "")</f>
        <v/>
      </c>
      <c r="J113" s="39"/>
    </row>
    <row r="114" spans="1:10">
      <c r="A114" s="33" t="str">
        <f>IF(Knowns!A106&lt;&gt;"", Knowns!A106, "")</f>
        <v/>
      </c>
      <c r="B114" s="33" t="str">
        <f>IF(A114&lt;&gt;"", MAX('Error Calc (bp)'!B106:G106), "")</f>
        <v/>
      </c>
      <c r="C114" s="33" t="str">
        <f>IF(A114&lt;&gt;"", IF(B114&lt;Parameters!B$3, "yes", "no"), "")</f>
        <v/>
      </c>
      <c r="D114" s="33"/>
      <c r="E114" s="77" t="str">
        <f>IF($C114="yes", IF(Knowns!B106&lt;&gt;0, Knowns!B106, "****"), "")</f>
        <v/>
      </c>
      <c r="F114" s="77" t="str">
        <f>IF($C114="yes", IF(Knowns!C106&lt;&gt;0, Knowns!C106, "****"), "")</f>
        <v/>
      </c>
      <c r="G114" s="77" t="str">
        <f>IF($C114="yes", IF(Knowns!D106&lt;&gt;0, Knowns!D106, "****"), "")</f>
        <v/>
      </c>
      <c r="H114" s="77" t="str">
        <f>IF($C114="yes", IF(Knowns!E106&lt;&gt;0, Knowns!E106, "****"), "")</f>
        <v/>
      </c>
      <c r="I114" s="77" t="str">
        <f>IF($C114="yes", IF(Knowns!F106&lt;&gt;0, Knowns!F106, "****"), "")</f>
        <v/>
      </c>
      <c r="J114" s="39"/>
    </row>
    <row r="115" spans="1:10">
      <c r="A115" s="33" t="str">
        <f>IF(Knowns!A107&lt;&gt;"", Knowns!A107, "")</f>
        <v/>
      </c>
      <c r="B115" s="33" t="str">
        <f>IF(A115&lt;&gt;"", MAX('Error Calc (bp)'!B107:G107), "")</f>
        <v/>
      </c>
      <c r="C115" s="33" t="str">
        <f>IF(A115&lt;&gt;"", IF(B115&lt;Parameters!B$3, "yes", "no"), "")</f>
        <v/>
      </c>
      <c r="D115" s="33"/>
      <c r="E115" s="77" t="str">
        <f>IF($C115="yes", IF(Knowns!B107&lt;&gt;0, Knowns!B107, "****"), "")</f>
        <v/>
      </c>
      <c r="F115" s="77" t="str">
        <f>IF($C115="yes", IF(Knowns!C107&lt;&gt;0, Knowns!C107, "****"), "")</f>
        <v/>
      </c>
      <c r="G115" s="77" t="str">
        <f>IF($C115="yes", IF(Knowns!D107&lt;&gt;0, Knowns!D107, "****"), "")</f>
        <v/>
      </c>
      <c r="H115" s="77" t="str">
        <f>IF($C115="yes", IF(Knowns!E107&lt;&gt;0, Knowns!E107, "****"), "")</f>
        <v/>
      </c>
      <c r="I115" s="77" t="str">
        <f>IF($C115="yes", IF(Knowns!F107&lt;&gt;0, Knowns!F107, "****"), "")</f>
        <v/>
      </c>
      <c r="J115" s="39"/>
    </row>
    <row r="116" spans="1:10">
      <c r="A116" s="33" t="str">
        <f>IF(Knowns!A108&lt;&gt;"", Knowns!A108, "")</f>
        <v/>
      </c>
      <c r="B116" s="33" t="str">
        <f>IF(A116&lt;&gt;"", MAX('Error Calc (bp)'!B108:G108), "")</f>
        <v/>
      </c>
      <c r="C116" s="33" t="str">
        <f>IF(A116&lt;&gt;"", IF(B116&lt;Parameters!B$3, "yes", "no"), "")</f>
        <v/>
      </c>
      <c r="D116" s="33"/>
      <c r="E116" s="77" t="str">
        <f>IF($C116="yes", IF(Knowns!B108&lt;&gt;0, Knowns!B108, "****"), "")</f>
        <v/>
      </c>
      <c r="F116" s="77" t="str">
        <f>IF($C116="yes", IF(Knowns!C108&lt;&gt;0, Knowns!C108, "****"), "")</f>
        <v/>
      </c>
      <c r="G116" s="77" t="str">
        <f>IF($C116="yes", IF(Knowns!D108&lt;&gt;0, Knowns!D108, "****"), "")</f>
        <v/>
      </c>
      <c r="H116" s="77" t="str">
        <f>IF($C116="yes", IF(Knowns!E108&lt;&gt;0, Knowns!E108, "****"), "")</f>
        <v/>
      </c>
      <c r="I116" s="77" t="str">
        <f>IF($C116="yes", IF(Knowns!F108&lt;&gt;0, Knowns!F108, "****"), "")</f>
        <v/>
      </c>
      <c r="J116" s="39"/>
    </row>
    <row r="117" spans="1:10">
      <c r="A117" s="33" t="str">
        <f>IF(Knowns!A109&lt;&gt;"", Knowns!A109, "")</f>
        <v/>
      </c>
      <c r="B117" s="33" t="str">
        <f>IF(A117&lt;&gt;"", MAX('Error Calc (bp)'!B109:G109), "")</f>
        <v/>
      </c>
      <c r="C117" s="33" t="str">
        <f>IF(A117&lt;&gt;"", IF(B117&lt;Parameters!B$3, "yes", "no"), "")</f>
        <v/>
      </c>
      <c r="D117" s="33"/>
      <c r="E117" s="77" t="str">
        <f>IF($C117="yes", IF(Knowns!B109&lt;&gt;0, Knowns!B109, "****"), "")</f>
        <v/>
      </c>
      <c r="F117" s="77" t="str">
        <f>IF($C117="yes", IF(Knowns!C109&lt;&gt;0, Knowns!C109, "****"), "")</f>
        <v/>
      </c>
      <c r="G117" s="77" t="str">
        <f>IF($C117="yes", IF(Knowns!D109&lt;&gt;0, Knowns!D109, "****"), "")</f>
        <v/>
      </c>
      <c r="H117" s="77" t="str">
        <f>IF($C117="yes", IF(Knowns!E109&lt;&gt;0, Knowns!E109, "****"), "")</f>
        <v/>
      </c>
      <c r="I117" s="77" t="str">
        <f>IF($C117="yes", IF(Knowns!F109&lt;&gt;0, Knowns!F109, "****"), "")</f>
        <v/>
      </c>
      <c r="J117" s="39"/>
    </row>
    <row r="118" spans="1:10">
      <c r="A118" s="33" t="str">
        <f>IF(Knowns!A110&lt;&gt;"", Knowns!A110, "")</f>
        <v/>
      </c>
      <c r="B118" s="33" t="str">
        <f>IF(A118&lt;&gt;"", MAX('Error Calc (bp)'!B110:G110), "")</f>
        <v/>
      </c>
      <c r="C118" s="33" t="str">
        <f>IF(A118&lt;&gt;"", IF(B118&lt;Parameters!B$3, "yes", "no"), "")</f>
        <v/>
      </c>
      <c r="D118" s="33"/>
      <c r="E118" s="77" t="str">
        <f>IF($C118="yes", IF(Knowns!B110&lt;&gt;0, Knowns!B110, "****"), "")</f>
        <v/>
      </c>
      <c r="F118" s="77" t="str">
        <f>IF($C118="yes", IF(Knowns!C110&lt;&gt;0, Knowns!C110, "****"), "")</f>
        <v/>
      </c>
      <c r="G118" s="77" t="str">
        <f>IF($C118="yes", IF(Knowns!D110&lt;&gt;0, Knowns!D110, "****"), "")</f>
        <v/>
      </c>
      <c r="H118" s="77" t="str">
        <f>IF($C118="yes", IF(Knowns!E110&lt;&gt;0, Knowns!E110, "****"), "")</f>
        <v/>
      </c>
      <c r="I118" s="77" t="str">
        <f>IF($C118="yes", IF(Knowns!F110&lt;&gt;0, Knowns!F110, "****"), "")</f>
        <v/>
      </c>
      <c r="J118" s="39"/>
    </row>
    <row r="119" spans="1:10">
      <c r="A119" s="33" t="str">
        <f>IF(Knowns!A111&lt;&gt;"", Knowns!A111, "")</f>
        <v/>
      </c>
      <c r="B119" s="33" t="str">
        <f>IF(A119&lt;&gt;"", MAX('Error Calc (bp)'!B111:G111), "")</f>
        <v/>
      </c>
      <c r="C119" s="33" t="str">
        <f>IF(A119&lt;&gt;"", IF(B119&lt;Parameters!B$3, "yes", "no"), "")</f>
        <v/>
      </c>
      <c r="D119" s="33"/>
      <c r="E119" s="77" t="str">
        <f>IF($C119="yes", IF(Knowns!B111&lt;&gt;0, Knowns!B111, "****"), "")</f>
        <v/>
      </c>
      <c r="F119" s="77" t="str">
        <f>IF($C119="yes", IF(Knowns!C111&lt;&gt;0, Knowns!C111, "****"), "")</f>
        <v/>
      </c>
      <c r="G119" s="77" t="str">
        <f>IF($C119="yes", IF(Knowns!D111&lt;&gt;0, Knowns!D111, "****"), "")</f>
        <v/>
      </c>
      <c r="H119" s="77" t="str">
        <f>IF($C119="yes", IF(Knowns!E111&lt;&gt;0, Knowns!E111, "****"), "")</f>
        <v/>
      </c>
      <c r="I119" s="77" t="str">
        <f>IF($C119="yes", IF(Knowns!F111&lt;&gt;0, Knowns!F111, "****"), "")</f>
        <v/>
      </c>
      <c r="J119" s="39"/>
    </row>
    <row r="120" spans="1:10">
      <c r="A120" s="33" t="str">
        <f>IF(Knowns!A112&lt;&gt;"", Knowns!A112, "")</f>
        <v/>
      </c>
      <c r="B120" s="33" t="str">
        <f>IF(A120&lt;&gt;"", MAX('Error Calc (bp)'!B112:G112), "")</f>
        <v/>
      </c>
      <c r="C120" s="33" t="str">
        <f>IF(A120&lt;&gt;"", IF(B120&lt;Parameters!B$3, "yes", "no"), "")</f>
        <v/>
      </c>
      <c r="D120" s="33"/>
      <c r="E120" s="77" t="str">
        <f>IF($C120="yes", IF(Knowns!B112&lt;&gt;0, Knowns!B112, "****"), "")</f>
        <v/>
      </c>
      <c r="F120" s="77" t="str">
        <f>IF($C120="yes", IF(Knowns!C112&lt;&gt;0, Knowns!C112, "****"), "")</f>
        <v/>
      </c>
      <c r="G120" s="77" t="str">
        <f>IF($C120="yes", IF(Knowns!D112&lt;&gt;0, Knowns!D112, "****"), "")</f>
        <v/>
      </c>
      <c r="H120" s="77" t="str">
        <f>IF($C120="yes", IF(Knowns!E112&lt;&gt;0, Knowns!E112, "****"), "")</f>
        <v/>
      </c>
      <c r="I120" s="77" t="str">
        <f>IF($C120="yes", IF(Knowns!F112&lt;&gt;0, Knowns!F112, "****"), "")</f>
        <v/>
      </c>
      <c r="J120" s="39"/>
    </row>
    <row r="121" spans="1:10">
      <c r="A121" s="33" t="str">
        <f>IF(Knowns!A113&lt;&gt;"", Knowns!A113, "")</f>
        <v/>
      </c>
      <c r="B121" s="33" t="str">
        <f>IF(A121&lt;&gt;"", MAX('Error Calc (bp)'!B113:G113), "")</f>
        <v/>
      </c>
      <c r="C121" s="33" t="str">
        <f>IF(A121&lt;&gt;"", IF(B121&lt;Parameters!B$3, "yes", "no"), "")</f>
        <v/>
      </c>
      <c r="D121" s="33"/>
      <c r="E121" s="77" t="str">
        <f>IF($C121="yes", IF(Knowns!B113&lt;&gt;0, Knowns!B113, "****"), "")</f>
        <v/>
      </c>
      <c r="F121" s="77" t="str">
        <f>IF($C121="yes", IF(Knowns!C113&lt;&gt;0, Knowns!C113, "****"), "")</f>
        <v/>
      </c>
      <c r="G121" s="77" t="str">
        <f>IF($C121="yes", IF(Knowns!D113&lt;&gt;0, Knowns!D113, "****"), "")</f>
        <v/>
      </c>
      <c r="H121" s="77" t="str">
        <f>IF($C121="yes", IF(Knowns!E113&lt;&gt;0, Knowns!E113, "****"), "")</f>
        <v/>
      </c>
      <c r="I121" s="77" t="str">
        <f>IF($C121="yes", IF(Knowns!F113&lt;&gt;0, Knowns!F113, "****"), "")</f>
        <v/>
      </c>
      <c r="J121" s="39"/>
    </row>
    <row r="122" spans="1:10">
      <c r="A122" s="33" t="str">
        <f>IF(Knowns!A114&lt;&gt;"", Knowns!A114, "")</f>
        <v/>
      </c>
      <c r="B122" s="33" t="str">
        <f>IF(A122&lt;&gt;"", MAX('Error Calc (bp)'!B114:G114), "")</f>
        <v/>
      </c>
      <c r="C122" s="33" t="str">
        <f>IF(A122&lt;&gt;"", IF(B122&lt;Parameters!B$3, "yes", "no"), "")</f>
        <v/>
      </c>
      <c r="D122" s="33"/>
      <c r="E122" s="77" t="str">
        <f>IF($C122="yes", IF(Knowns!B114&lt;&gt;0, Knowns!B114, "****"), "")</f>
        <v/>
      </c>
      <c r="F122" s="77" t="str">
        <f>IF($C122="yes", IF(Knowns!C114&lt;&gt;0, Knowns!C114, "****"), "")</f>
        <v/>
      </c>
      <c r="G122" s="77" t="str">
        <f>IF($C122="yes", IF(Knowns!D114&lt;&gt;0, Knowns!D114, "****"), "")</f>
        <v/>
      </c>
      <c r="H122" s="77" t="str">
        <f>IF($C122="yes", IF(Knowns!E114&lt;&gt;0, Knowns!E114, "****"), "")</f>
        <v/>
      </c>
      <c r="I122" s="77" t="str">
        <f>IF($C122="yes", IF(Knowns!F114&lt;&gt;0, Knowns!F114, "****"), "")</f>
        <v/>
      </c>
      <c r="J122" s="39"/>
    </row>
    <row r="123" spans="1:10">
      <c r="A123" s="33" t="str">
        <f>IF(Knowns!A115&lt;&gt;"", Knowns!A115, "")</f>
        <v/>
      </c>
      <c r="B123" s="33" t="str">
        <f>IF(A123&lt;&gt;"", MAX('Error Calc (bp)'!B115:G115), "")</f>
        <v/>
      </c>
      <c r="C123" s="33" t="str">
        <f>IF(A123&lt;&gt;"", IF(B123&lt;Parameters!B$3, "yes", "no"), "")</f>
        <v/>
      </c>
      <c r="D123" s="33"/>
      <c r="E123" s="77" t="str">
        <f>IF($C123="yes", IF(Knowns!B115&lt;&gt;0, Knowns!B115, "****"), "")</f>
        <v/>
      </c>
      <c r="F123" s="77" t="str">
        <f>IF($C123="yes", IF(Knowns!C115&lt;&gt;0, Knowns!C115, "****"), "")</f>
        <v/>
      </c>
      <c r="G123" s="77" t="str">
        <f>IF($C123="yes", IF(Knowns!D115&lt;&gt;0, Knowns!D115, "****"), "")</f>
        <v/>
      </c>
      <c r="H123" s="77" t="str">
        <f>IF($C123="yes", IF(Knowns!E115&lt;&gt;0, Knowns!E115, "****"), "")</f>
        <v/>
      </c>
      <c r="I123" s="77" t="str">
        <f>IF($C123="yes", IF(Knowns!F115&lt;&gt;0, Knowns!F115, "****"), "")</f>
        <v/>
      </c>
      <c r="J123" s="39"/>
    </row>
    <row r="124" spans="1:10">
      <c r="A124" s="33" t="str">
        <f>IF(Knowns!A116&lt;&gt;"", Knowns!A116, "")</f>
        <v/>
      </c>
      <c r="B124" s="33" t="str">
        <f>IF(A124&lt;&gt;"", MAX('Error Calc (bp)'!B116:G116), "")</f>
        <v/>
      </c>
      <c r="C124" s="33" t="str">
        <f>IF(A124&lt;&gt;"", IF(B124&lt;Parameters!B$3, "yes", "no"), "")</f>
        <v/>
      </c>
      <c r="D124" s="33"/>
      <c r="E124" s="77" t="str">
        <f>IF($C124="yes", IF(Knowns!B116&lt;&gt;0, Knowns!B116, "****"), "")</f>
        <v/>
      </c>
      <c r="F124" s="77" t="str">
        <f>IF($C124="yes", IF(Knowns!C116&lt;&gt;0, Knowns!C116, "****"), "")</f>
        <v/>
      </c>
      <c r="G124" s="77" t="str">
        <f>IF($C124="yes", IF(Knowns!D116&lt;&gt;0, Knowns!D116, "****"), "")</f>
        <v/>
      </c>
      <c r="H124" s="77" t="str">
        <f>IF($C124="yes", IF(Knowns!E116&lt;&gt;0, Knowns!E116, "****"), "")</f>
        <v/>
      </c>
      <c r="I124" s="77" t="str">
        <f>IF($C124="yes", IF(Knowns!F116&lt;&gt;0, Knowns!F116, "****"), "")</f>
        <v/>
      </c>
      <c r="J124" s="39"/>
    </row>
    <row r="125" spans="1:10">
      <c r="A125" s="33" t="str">
        <f>IF(Knowns!A117&lt;&gt;"", Knowns!A117, "")</f>
        <v/>
      </c>
      <c r="B125" s="33" t="str">
        <f>IF(A125&lt;&gt;"", MAX('Error Calc (bp)'!B117:G117), "")</f>
        <v/>
      </c>
      <c r="C125" s="33" t="str">
        <f>IF(A125&lt;&gt;"", IF(B125&lt;Parameters!B$3, "yes", "no"), "")</f>
        <v/>
      </c>
      <c r="D125" s="33"/>
      <c r="E125" s="77" t="str">
        <f>IF($C125="yes", IF(Knowns!B117&lt;&gt;0, Knowns!B117, "****"), "")</f>
        <v/>
      </c>
      <c r="F125" s="77" t="str">
        <f>IF($C125="yes", IF(Knowns!C117&lt;&gt;0, Knowns!C117, "****"), "")</f>
        <v/>
      </c>
      <c r="G125" s="77" t="str">
        <f>IF($C125="yes", IF(Knowns!D117&lt;&gt;0, Knowns!D117, "****"), "")</f>
        <v/>
      </c>
      <c r="H125" s="77" t="str">
        <f>IF($C125="yes", IF(Knowns!E117&lt;&gt;0, Knowns!E117, "****"), "")</f>
        <v/>
      </c>
      <c r="I125" s="77" t="str">
        <f>IF($C125="yes", IF(Knowns!F117&lt;&gt;0, Knowns!F117, "****"), "")</f>
        <v/>
      </c>
      <c r="J125" s="39"/>
    </row>
    <row r="126" spans="1:10">
      <c r="A126" s="33" t="str">
        <f>IF(Knowns!A118&lt;&gt;"", Knowns!A118, "")</f>
        <v/>
      </c>
      <c r="B126" s="33" t="str">
        <f>IF(A126&lt;&gt;"", MAX('Error Calc (bp)'!B118:G118), "")</f>
        <v/>
      </c>
      <c r="C126" s="33" t="str">
        <f>IF(A126&lt;&gt;"", IF(B126&lt;Parameters!B$3, "yes", "no"), "")</f>
        <v/>
      </c>
      <c r="D126" s="33"/>
      <c r="E126" s="77" t="str">
        <f>IF($C126="yes", IF(Knowns!B118&lt;&gt;0, Knowns!B118, "****"), "")</f>
        <v/>
      </c>
      <c r="F126" s="77" t="str">
        <f>IF($C126="yes", IF(Knowns!C118&lt;&gt;0, Knowns!C118, "****"), "")</f>
        <v/>
      </c>
      <c r="G126" s="77" t="str">
        <f>IF($C126="yes", IF(Knowns!D118&lt;&gt;0, Knowns!D118, "****"), "")</f>
        <v/>
      </c>
      <c r="H126" s="77" t="str">
        <f>IF($C126="yes", IF(Knowns!E118&lt;&gt;0, Knowns!E118, "****"), "")</f>
        <v/>
      </c>
      <c r="I126" s="77" t="str">
        <f>IF($C126="yes", IF(Knowns!F118&lt;&gt;0, Knowns!F118, "****"), "")</f>
        <v/>
      </c>
      <c r="J126" s="39"/>
    </row>
    <row r="127" spans="1:10">
      <c r="A127" s="33" t="str">
        <f>IF(Knowns!A119&lt;&gt;"", Knowns!A119, "")</f>
        <v/>
      </c>
      <c r="B127" s="33" t="str">
        <f>IF(A127&lt;&gt;"", MAX('Error Calc (bp)'!B119:G119), "")</f>
        <v/>
      </c>
      <c r="C127" s="33" t="str">
        <f>IF(A127&lt;&gt;"", IF(B127&lt;Parameters!B$3, "yes", "no"), "")</f>
        <v/>
      </c>
      <c r="D127" s="33"/>
      <c r="E127" s="77" t="str">
        <f>IF($C127="yes", IF(Knowns!B119&lt;&gt;0, Knowns!B119, "****"), "")</f>
        <v/>
      </c>
      <c r="F127" s="77" t="str">
        <f>IF($C127="yes", IF(Knowns!C119&lt;&gt;0, Knowns!C119, "****"), "")</f>
        <v/>
      </c>
      <c r="G127" s="77" t="str">
        <f>IF($C127="yes", IF(Knowns!D119&lt;&gt;0, Knowns!D119, "****"), "")</f>
        <v/>
      </c>
      <c r="H127" s="77" t="str">
        <f>IF($C127="yes", IF(Knowns!E119&lt;&gt;0, Knowns!E119, "****"), "")</f>
        <v/>
      </c>
      <c r="I127" s="77" t="str">
        <f>IF($C127="yes", IF(Knowns!F119&lt;&gt;0, Knowns!F119, "****"), "")</f>
        <v/>
      </c>
      <c r="J127" s="39"/>
    </row>
    <row r="128" spans="1:10">
      <c r="A128" s="33" t="str">
        <f>IF(Knowns!A120&lt;&gt;"", Knowns!A120, "")</f>
        <v/>
      </c>
      <c r="B128" s="33" t="str">
        <f>IF(A128&lt;&gt;"", MAX('Error Calc (bp)'!B120:G120), "")</f>
        <v/>
      </c>
      <c r="C128" s="33" t="str">
        <f>IF(A128&lt;&gt;"", IF(B128&lt;Parameters!B$3, "yes", "no"), "")</f>
        <v/>
      </c>
      <c r="D128" s="33"/>
      <c r="E128" s="77" t="str">
        <f>IF($C128="yes", IF(Knowns!B120&lt;&gt;0, Knowns!B120, "****"), "")</f>
        <v/>
      </c>
      <c r="F128" s="77" t="str">
        <f>IF($C128="yes", IF(Knowns!C120&lt;&gt;0, Knowns!C120, "****"), "")</f>
        <v/>
      </c>
      <c r="G128" s="77" t="str">
        <f>IF($C128="yes", IF(Knowns!D120&lt;&gt;0, Knowns!D120, "****"), "")</f>
        <v/>
      </c>
      <c r="H128" s="77" t="str">
        <f>IF($C128="yes", IF(Knowns!E120&lt;&gt;0, Knowns!E120, "****"), "")</f>
        <v/>
      </c>
      <c r="I128" s="77" t="str">
        <f>IF($C128="yes", IF(Knowns!F120&lt;&gt;0, Knowns!F120, "****"), "")</f>
        <v/>
      </c>
      <c r="J128" s="39"/>
    </row>
    <row r="129" spans="1:10">
      <c r="A129" s="33" t="str">
        <f>IF(Knowns!A121&lt;&gt;"", Knowns!A121, "")</f>
        <v/>
      </c>
      <c r="B129" s="33" t="str">
        <f>IF(A129&lt;&gt;"", MAX('Error Calc (bp)'!B121:G121), "")</f>
        <v/>
      </c>
      <c r="C129" s="33" t="str">
        <f>IF(A129&lt;&gt;"", IF(B129&lt;Parameters!B$3, "yes", "no"), "")</f>
        <v/>
      </c>
      <c r="D129" s="33"/>
      <c r="E129" s="77" t="str">
        <f>IF($C129="yes", IF(Knowns!B121&lt;&gt;0, Knowns!B121, "****"), "")</f>
        <v/>
      </c>
      <c r="F129" s="77" t="str">
        <f>IF($C129="yes", IF(Knowns!C121&lt;&gt;0, Knowns!C121, "****"), "")</f>
        <v/>
      </c>
      <c r="G129" s="77" t="str">
        <f>IF($C129="yes", IF(Knowns!D121&lt;&gt;0, Knowns!D121, "****"), "")</f>
        <v/>
      </c>
      <c r="H129" s="77" t="str">
        <f>IF($C129="yes", IF(Knowns!E121&lt;&gt;0, Knowns!E121, "****"), "")</f>
        <v/>
      </c>
      <c r="I129" s="77" t="str">
        <f>IF($C129="yes", IF(Knowns!F121&lt;&gt;0, Knowns!F121, "****"), "")</f>
        <v/>
      </c>
      <c r="J129" s="39"/>
    </row>
    <row r="130" spans="1:10">
      <c r="A130" s="33" t="str">
        <f>IF(Knowns!A122&lt;&gt;"", Knowns!A122, "")</f>
        <v/>
      </c>
      <c r="B130" s="33" t="str">
        <f>IF(A130&lt;&gt;"", MAX('Error Calc (bp)'!B122:G122), "")</f>
        <v/>
      </c>
      <c r="C130" s="33" t="str">
        <f>IF(A130&lt;&gt;"", IF(B130&lt;Parameters!B$3, "yes", "no"), "")</f>
        <v/>
      </c>
      <c r="D130" s="33"/>
      <c r="E130" s="77" t="str">
        <f>IF($C130="yes", IF(Knowns!B122&lt;&gt;0, Knowns!B122, "****"), "")</f>
        <v/>
      </c>
      <c r="F130" s="77" t="str">
        <f>IF($C130="yes", IF(Knowns!C122&lt;&gt;0, Knowns!C122, "****"), "")</f>
        <v/>
      </c>
      <c r="G130" s="77" t="str">
        <f>IF($C130="yes", IF(Knowns!D122&lt;&gt;0, Knowns!D122, "****"), "")</f>
        <v/>
      </c>
      <c r="H130" s="77" t="str">
        <f>IF($C130="yes", IF(Knowns!E122&lt;&gt;0, Knowns!E122, "****"), "")</f>
        <v/>
      </c>
      <c r="I130" s="77" t="str">
        <f>IF($C130="yes", IF(Knowns!F122&lt;&gt;0, Knowns!F122, "****"), "")</f>
        <v/>
      </c>
      <c r="J130" s="39"/>
    </row>
    <row r="131" spans="1:10">
      <c r="A131" s="33" t="str">
        <f>IF(Knowns!A123&lt;&gt;"", Knowns!A123, "")</f>
        <v/>
      </c>
      <c r="B131" s="33" t="str">
        <f>IF(A131&lt;&gt;"", MAX('Error Calc (bp)'!B123:G123), "")</f>
        <v/>
      </c>
      <c r="C131" s="33" t="str">
        <f>IF(A131&lt;&gt;"", IF(B131&lt;Parameters!B$3, "yes", "no"), "")</f>
        <v/>
      </c>
      <c r="D131" s="33"/>
      <c r="E131" s="77" t="str">
        <f>IF($C131="yes", IF(Knowns!B123&lt;&gt;0, Knowns!B123, "****"), "")</f>
        <v/>
      </c>
      <c r="F131" s="77" t="str">
        <f>IF($C131="yes", IF(Knowns!C123&lt;&gt;0, Knowns!C123, "****"), "")</f>
        <v/>
      </c>
      <c r="G131" s="77" t="str">
        <f>IF($C131="yes", IF(Knowns!D123&lt;&gt;0, Knowns!D123, "****"), "")</f>
        <v/>
      </c>
      <c r="H131" s="77" t="str">
        <f>IF($C131="yes", IF(Knowns!E123&lt;&gt;0, Knowns!E123, "****"), "")</f>
        <v/>
      </c>
      <c r="I131" s="77" t="str">
        <f>IF($C131="yes", IF(Knowns!F123&lt;&gt;0, Knowns!F123, "****"), "")</f>
        <v/>
      </c>
      <c r="J131" s="39"/>
    </row>
    <row r="132" spans="1:10">
      <c r="A132" s="33" t="str">
        <f>IF(Knowns!A124&lt;&gt;"", Knowns!A124, "")</f>
        <v/>
      </c>
      <c r="B132" s="33" t="str">
        <f>IF(A132&lt;&gt;"", MAX('Error Calc (bp)'!B124:G124), "")</f>
        <v/>
      </c>
      <c r="C132" s="33" t="str">
        <f>IF(A132&lt;&gt;"", IF(B132&lt;Parameters!B$3, "yes", "no"), "")</f>
        <v/>
      </c>
      <c r="D132" s="33"/>
      <c r="E132" s="77" t="str">
        <f>IF($C132="yes", IF(Knowns!B124&lt;&gt;0, Knowns!B124, "****"), "")</f>
        <v/>
      </c>
      <c r="F132" s="77" t="str">
        <f>IF($C132="yes", IF(Knowns!C124&lt;&gt;0, Knowns!C124, "****"), "")</f>
        <v/>
      </c>
      <c r="G132" s="77" t="str">
        <f>IF($C132="yes", IF(Knowns!D124&lt;&gt;0, Knowns!D124, "****"), "")</f>
        <v/>
      </c>
      <c r="H132" s="77" t="str">
        <f>IF($C132="yes", IF(Knowns!E124&lt;&gt;0, Knowns!E124, "****"), "")</f>
        <v/>
      </c>
      <c r="I132" s="77" t="str">
        <f>IF($C132="yes", IF(Knowns!F124&lt;&gt;0, Knowns!F124, "****"), "")</f>
        <v/>
      </c>
      <c r="J132" s="39"/>
    </row>
    <row r="133" spans="1:10">
      <c r="A133" s="33" t="str">
        <f>IF(Knowns!A125&lt;&gt;"", Knowns!A125, "")</f>
        <v/>
      </c>
      <c r="B133" s="33" t="str">
        <f>IF(A133&lt;&gt;"", MAX('Error Calc (bp)'!B125:G125), "")</f>
        <v/>
      </c>
      <c r="C133" s="33" t="str">
        <f>IF(A133&lt;&gt;"", IF(B133&lt;Parameters!B$3, "yes", "no"), "")</f>
        <v/>
      </c>
      <c r="D133" s="33"/>
      <c r="E133" s="77" t="str">
        <f>IF($C133="yes", IF(Knowns!B125&lt;&gt;0, Knowns!B125, "****"), "")</f>
        <v/>
      </c>
      <c r="F133" s="77" t="str">
        <f>IF($C133="yes", IF(Knowns!C125&lt;&gt;0, Knowns!C125, "****"), "")</f>
        <v/>
      </c>
      <c r="G133" s="77" t="str">
        <f>IF($C133="yes", IF(Knowns!D125&lt;&gt;0, Knowns!D125, "****"), "")</f>
        <v/>
      </c>
      <c r="H133" s="77" t="str">
        <f>IF($C133="yes", IF(Knowns!E125&lt;&gt;0, Knowns!E125, "****"), "")</f>
        <v/>
      </c>
      <c r="I133" s="77" t="str">
        <f>IF($C133="yes", IF(Knowns!F125&lt;&gt;0, Knowns!F125, "****"), "")</f>
        <v/>
      </c>
      <c r="J133" s="39"/>
    </row>
    <row r="134" spans="1:10">
      <c r="A134" s="33" t="str">
        <f>IF(Knowns!A126&lt;&gt;"", Knowns!A126, "")</f>
        <v/>
      </c>
      <c r="B134" s="33" t="str">
        <f>IF(A134&lt;&gt;"", MAX('Error Calc (bp)'!B126:G126), "")</f>
        <v/>
      </c>
      <c r="C134" s="33" t="str">
        <f>IF(A134&lt;&gt;"", IF(B134&lt;Parameters!B$3, "yes", "no"), "")</f>
        <v/>
      </c>
      <c r="D134" s="33"/>
      <c r="E134" s="77" t="str">
        <f>IF($C134="yes", IF(Knowns!B126&lt;&gt;0, Knowns!B126, "****"), "")</f>
        <v/>
      </c>
      <c r="F134" s="77" t="str">
        <f>IF($C134="yes", IF(Knowns!C126&lt;&gt;0, Knowns!C126, "****"), "")</f>
        <v/>
      </c>
      <c r="G134" s="77" t="str">
        <f>IF($C134="yes", IF(Knowns!D126&lt;&gt;0, Knowns!D126, "****"), "")</f>
        <v/>
      </c>
      <c r="H134" s="77" t="str">
        <f>IF($C134="yes", IF(Knowns!E126&lt;&gt;0, Knowns!E126, "****"), "")</f>
        <v/>
      </c>
      <c r="I134" s="77" t="str">
        <f>IF($C134="yes", IF(Knowns!F126&lt;&gt;0, Knowns!F126, "****"), "")</f>
        <v/>
      </c>
      <c r="J134" s="39"/>
    </row>
    <row r="135" spans="1:10">
      <c r="A135" s="33" t="str">
        <f>IF(Knowns!A127&lt;&gt;"", Knowns!A127, "")</f>
        <v/>
      </c>
      <c r="B135" s="33" t="str">
        <f>IF(A135&lt;&gt;"", MAX('Error Calc (bp)'!B127:G127), "")</f>
        <v/>
      </c>
      <c r="C135" s="33" t="str">
        <f>IF(A135&lt;&gt;"", IF(B135&lt;Parameters!B$3, "yes", "no"), "")</f>
        <v/>
      </c>
      <c r="D135" s="33"/>
      <c r="E135" s="77" t="str">
        <f>IF($C135="yes", IF(Knowns!B127&lt;&gt;0, Knowns!B127, "****"), "")</f>
        <v/>
      </c>
      <c r="F135" s="77" t="str">
        <f>IF($C135="yes", IF(Knowns!C127&lt;&gt;0, Knowns!C127, "****"), "")</f>
        <v/>
      </c>
      <c r="G135" s="77" t="str">
        <f>IF($C135="yes", IF(Knowns!D127&lt;&gt;0, Knowns!D127, "****"), "")</f>
        <v/>
      </c>
      <c r="H135" s="77" t="str">
        <f>IF($C135="yes", IF(Knowns!E127&lt;&gt;0, Knowns!E127, "****"), "")</f>
        <v/>
      </c>
      <c r="I135" s="77" t="str">
        <f>IF($C135="yes", IF(Knowns!F127&lt;&gt;0, Knowns!F127, "****"), "")</f>
        <v/>
      </c>
      <c r="J135" s="39"/>
    </row>
    <row r="136" spans="1:10">
      <c r="A136" s="33" t="str">
        <f>IF(Knowns!A128&lt;&gt;"", Knowns!A128, "")</f>
        <v/>
      </c>
      <c r="B136" s="33" t="str">
        <f>IF(A136&lt;&gt;"", MAX('Error Calc (bp)'!B128:G128), "")</f>
        <v/>
      </c>
      <c r="C136" s="33" t="str">
        <f>IF(A136&lt;&gt;"", IF(B136&lt;Parameters!B$3, "yes", "no"), "")</f>
        <v/>
      </c>
      <c r="D136" s="33"/>
      <c r="E136" s="77" t="str">
        <f>IF($C136="yes", IF(Knowns!B128&lt;&gt;0, Knowns!B128, "****"), "")</f>
        <v/>
      </c>
      <c r="F136" s="77" t="str">
        <f>IF($C136="yes", IF(Knowns!C128&lt;&gt;0, Knowns!C128, "****"), "")</f>
        <v/>
      </c>
      <c r="G136" s="77" t="str">
        <f>IF($C136="yes", IF(Knowns!D128&lt;&gt;0, Knowns!D128, "****"), "")</f>
        <v/>
      </c>
      <c r="H136" s="77" t="str">
        <f>IF($C136="yes", IF(Knowns!E128&lt;&gt;0, Knowns!E128, "****"), "")</f>
        <v/>
      </c>
      <c r="I136" s="77" t="str">
        <f>IF($C136="yes", IF(Knowns!F128&lt;&gt;0, Knowns!F128, "****"), "")</f>
        <v/>
      </c>
      <c r="J136" s="39"/>
    </row>
    <row r="137" spans="1:10">
      <c r="A137" s="33" t="str">
        <f>IF(Knowns!A129&lt;&gt;"", Knowns!A129, "")</f>
        <v/>
      </c>
      <c r="B137" s="33" t="str">
        <f>IF(A137&lt;&gt;"", MAX('Error Calc (bp)'!B129:G129), "")</f>
        <v/>
      </c>
      <c r="C137" s="33" t="str">
        <f>IF(A137&lt;&gt;"", IF(B137&lt;Parameters!B$3, "yes", "no"), "")</f>
        <v/>
      </c>
      <c r="D137" s="33"/>
      <c r="E137" s="77" t="str">
        <f>IF($C137="yes", IF(Knowns!B129&lt;&gt;0, Knowns!B129, "****"), "")</f>
        <v/>
      </c>
      <c r="F137" s="77" t="str">
        <f>IF($C137="yes", IF(Knowns!C129&lt;&gt;0, Knowns!C129, "****"), "")</f>
        <v/>
      </c>
      <c r="G137" s="77" t="str">
        <f>IF($C137="yes", IF(Knowns!D129&lt;&gt;0, Knowns!D129, "****"), "")</f>
        <v/>
      </c>
      <c r="H137" s="77" t="str">
        <f>IF($C137="yes", IF(Knowns!E129&lt;&gt;0, Knowns!E129, "****"), "")</f>
        <v/>
      </c>
      <c r="I137" s="77" t="str">
        <f>IF($C137="yes", IF(Knowns!F129&lt;&gt;0, Knowns!F129, "****"), "")</f>
        <v/>
      </c>
      <c r="J137" s="39"/>
    </row>
    <row r="138" spans="1:10">
      <c r="A138" s="33" t="str">
        <f>IF(Knowns!A130&lt;&gt;"", Knowns!A130, "")</f>
        <v/>
      </c>
      <c r="B138" s="33" t="str">
        <f>IF(A138&lt;&gt;"", MAX('Error Calc (bp)'!B130:G130), "")</f>
        <v/>
      </c>
      <c r="C138" s="33" t="str">
        <f>IF(A138&lt;&gt;"", IF(B138&lt;Parameters!B$3, "yes", "no"), "")</f>
        <v/>
      </c>
      <c r="D138" s="33"/>
      <c r="E138" s="77" t="str">
        <f>IF($C138="yes", IF(Knowns!B130&lt;&gt;0, Knowns!B130, "****"), "")</f>
        <v/>
      </c>
      <c r="F138" s="77" t="str">
        <f>IF($C138="yes", IF(Knowns!C130&lt;&gt;0, Knowns!C130, "****"), "")</f>
        <v/>
      </c>
      <c r="G138" s="77" t="str">
        <f>IF($C138="yes", IF(Knowns!D130&lt;&gt;0, Knowns!D130, "****"), "")</f>
        <v/>
      </c>
      <c r="H138" s="77" t="str">
        <f>IF($C138="yes", IF(Knowns!E130&lt;&gt;0, Knowns!E130, "****"), "")</f>
        <v/>
      </c>
      <c r="I138" s="77" t="str">
        <f>IF($C138="yes", IF(Knowns!F130&lt;&gt;0, Knowns!F130, "****"), "")</f>
        <v/>
      </c>
      <c r="J138" s="39"/>
    </row>
    <row r="139" spans="1:10">
      <c r="A139" s="33" t="str">
        <f>IF(Knowns!A131&lt;&gt;"", Knowns!A131, "")</f>
        <v/>
      </c>
      <c r="B139" s="33" t="str">
        <f>IF(A139&lt;&gt;"", MAX('Error Calc (bp)'!B131:G131), "")</f>
        <v/>
      </c>
      <c r="C139" s="33" t="str">
        <f>IF(A139&lt;&gt;"", IF(B139&lt;Parameters!B$3, "yes", "no"), "")</f>
        <v/>
      </c>
      <c r="D139" s="33"/>
      <c r="E139" s="77" t="str">
        <f>IF($C139="yes", IF(Knowns!B131&lt;&gt;0, Knowns!B131, "****"), "")</f>
        <v/>
      </c>
      <c r="F139" s="77" t="str">
        <f>IF($C139="yes", IF(Knowns!C131&lt;&gt;0, Knowns!C131, "****"), "")</f>
        <v/>
      </c>
      <c r="G139" s="77" t="str">
        <f>IF($C139="yes", IF(Knowns!D131&lt;&gt;0, Knowns!D131, "****"), "")</f>
        <v/>
      </c>
      <c r="H139" s="77" t="str">
        <f>IF($C139="yes", IF(Knowns!E131&lt;&gt;0, Knowns!E131, "****"), "")</f>
        <v/>
      </c>
      <c r="I139" s="77" t="str">
        <f>IF($C139="yes", IF(Knowns!F131&lt;&gt;0, Knowns!F131, "****"), "")</f>
        <v/>
      </c>
      <c r="J139" s="39"/>
    </row>
    <row r="140" spans="1:10">
      <c r="A140" s="33" t="str">
        <f>IF(Knowns!A132&lt;&gt;"", Knowns!A132, "")</f>
        <v/>
      </c>
      <c r="B140" s="33" t="str">
        <f>IF(A140&lt;&gt;"", MAX('Error Calc (bp)'!B132:G132), "")</f>
        <v/>
      </c>
      <c r="C140" s="33" t="str">
        <f>IF(A140&lt;&gt;"", IF(B140&lt;Parameters!B$3, "yes", "no"), "")</f>
        <v/>
      </c>
      <c r="D140" s="33"/>
      <c r="E140" s="77" t="str">
        <f>IF($C140="yes", IF(Knowns!B132&lt;&gt;0, Knowns!B132, "****"), "")</f>
        <v/>
      </c>
      <c r="F140" s="77" t="str">
        <f>IF($C140="yes", IF(Knowns!C132&lt;&gt;0, Knowns!C132, "****"), "")</f>
        <v/>
      </c>
      <c r="G140" s="77" t="str">
        <f>IF($C140="yes", IF(Knowns!D132&lt;&gt;0, Knowns!D132, "****"), "")</f>
        <v/>
      </c>
      <c r="H140" s="77" t="str">
        <f>IF($C140="yes", IF(Knowns!E132&lt;&gt;0, Knowns!E132, "****"), "")</f>
        <v/>
      </c>
      <c r="I140" s="77" t="str">
        <f>IF($C140="yes", IF(Knowns!F132&lt;&gt;0, Knowns!F132, "****"), "")</f>
        <v/>
      </c>
      <c r="J140" s="39"/>
    </row>
    <row r="141" spans="1:10">
      <c r="A141" s="33" t="str">
        <f>IF(Knowns!A133&lt;&gt;"", Knowns!A133, "")</f>
        <v/>
      </c>
      <c r="B141" s="33" t="str">
        <f>IF(A141&lt;&gt;"", MAX('Error Calc (bp)'!B133:G133), "")</f>
        <v/>
      </c>
      <c r="C141" s="33" t="str">
        <f>IF(A141&lt;&gt;"", IF(B141&lt;Parameters!B$3, "yes", "no"), "")</f>
        <v/>
      </c>
      <c r="D141" s="33"/>
      <c r="E141" s="77" t="str">
        <f>IF($C141="yes", IF(Knowns!B133&lt;&gt;0, Knowns!B133, "****"), "")</f>
        <v/>
      </c>
      <c r="F141" s="77" t="str">
        <f>IF($C141="yes", IF(Knowns!C133&lt;&gt;0, Knowns!C133, "****"), "")</f>
        <v/>
      </c>
      <c r="G141" s="77" t="str">
        <f>IF($C141="yes", IF(Knowns!D133&lt;&gt;0, Knowns!D133, "****"), "")</f>
        <v/>
      </c>
      <c r="H141" s="77" t="str">
        <f>IF($C141="yes", IF(Knowns!E133&lt;&gt;0, Knowns!E133, "****"), "")</f>
        <v/>
      </c>
      <c r="I141" s="77" t="str">
        <f>IF($C141="yes", IF(Knowns!F133&lt;&gt;0, Knowns!F133, "****"), "")</f>
        <v/>
      </c>
      <c r="J141" s="39"/>
    </row>
    <row r="142" spans="1:10">
      <c r="A142" s="33" t="str">
        <f>IF(Knowns!A134&lt;&gt;"", Knowns!A134, "")</f>
        <v/>
      </c>
      <c r="B142" s="33" t="str">
        <f>IF(A142&lt;&gt;"", MAX('Error Calc (bp)'!B134:G134), "")</f>
        <v/>
      </c>
      <c r="C142" s="33" t="str">
        <f>IF(A142&lt;&gt;"", IF(B142&lt;Parameters!B$3, "yes", "no"), "")</f>
        <v/>
      </c>
      <c r="D142" s="33"/>
      <c r="E142" s="77" t="str">
        <f>IF($C142="yes", IF(Knowns!B134&lt;&gt;0, Knowns!B134, "****"), "")</f>
        <v/>
      </c>
      <c r="F142" s="77" t="str">
        <f>IF($C142="yes", IF(Knowns!C134&lt;&gt;0, Knowns!C134, "****"), "")</f>
        <v/>
      </c>
      <c r="G142" s="77" t="str">
        <f>IF($C142="yes", IF(Knowns!D134&lt;&gt;0, Knowns!D134, "****"), "")</f>
        <v/>
      </c>
      <c r="H142" s="77" t="str">
        <f>IF($C142="yes", IF(Knowns!E134&lt;&gt;0, Knowns!E134, "****"), "")</f>
        <v/>
      </c>
      <c r="I142" s="77" t="str">
        <f>IF($C142="yes", IF(Knowns!F134&lt;&gt;0, Knowns!F134, "****"), "")</f>
        <v/>
      </c>
      <c r="J142" s="39"/>
    </row>
    <row r="143" spans="1:10">
      <c r="A143" s="33" t="str">
        <f>IF(Knowns!A135&lt;&gt;"", Knowns!A135, "")</f>
        <v/>
      </c>
      <c r="B143" s="33" t="str">
        <f>IF(A143&lt;&gt;"", MAX('Error Calc (bp)'!B135:G135), "")</f>
        <v/>
      </c>
      <c r="C143" s="33" t="str">
        <f>IF(A143&lt;&gt;"", IF(B143&lt;Parameters!B$3, "yes", "no"), "")</f>
        <v/>
      </c>
      <c r="D143" s="33"/>
      <c r="E143" s="77" t="str">
        <f>IF($C143="yes", IF(Knowns!B135&lt;&gt;0, Knowns!B135, "****"), "")</f>
        <v/>
      </c>
      <c r="F143" s="77" t="str">
        <f>IF($C143="yes", IF(Knowns!C135&lt;&gt;0, Knowns!C135, "****"), "")</f>
        <v/>
      </c>
      <c r="G143" s="77" t="str">
        <f>IF($C143="yes", IF(Knowns!D135&lt;&gt;0, Knowns!D135, "****"), "")</f>
        <v/>
      </c>
      <c r="H143" s="77" t="str">
        <f>IF($C143="yes", IF(Knowns!E135&lt;&gt;0, Knowns!E135, "****"), "")</f>
        <v/>
      </c>
      <c r="I143" s="77" t="str">
        <f>IF($C143="yes", IF(Knowns!F135&lt;&gt;0, Knowns!F135, "****"), "")</f>
        <v/>
      </c>
      <c r="J143" s="39"/>
    </row>
    <row r="144" spans="1:10">
      <c r="A144" s="33" t="str">
        <f>IF(Knowns!A136&lt;&gt;"", Knowns!A136, "")</f>
        <v/>
      </c>
      <c r="B144" s="33" t="str">
        <f>IF(A144&lt;&gt;"", MAX('Error Calc (bp)'!B136:G136), "")</f>
        <v/>
      </c>
      <c r="C144" s="33" t="str">
        <f>IF(A144&lt;&gt;"", IF(B144&lt;Parameters!B$3, "yes", "no"), "")</f>
        <v/>
      </c>
      <c r="D144" s="33"/>
      <c r="E144" s="77" t="str">
        <f>IF($C144="yes", IF(Knowns!B136&lt;&gt;0, Knowns!B136, "****"), "")</f>
        <v/>
      </c>
      <c r="F144" s="77" t="str">
        <f>IF($C144="yes", IF(Knowns!C136&lt;&gt;0, Knowns!C136, "****"), "")</f>
        <v/>
      </c>
      <c r="G144" s="77" t="str">
        <f>IF($C144="yes", IF(Knowns!D136&lt;&gt;0, Knowns!D136, "****"), "")</f>
        <v/>
      </c>
      <c r="H144" s="77" t="str">
        <f>IF($C144="yes", IF(Knowns!E136&lt;&gt;0, Knowns!E136, "****"), "")</f>
        <v/>
      </c>
      <c r="I144" s="77" t="str">
        <f>IF($C144="yes", IF(Knowns!F136&lt;&gt;0, Knowns!F136, "****"), "")</f>
        <v/>
      </c>
      <c r="J144" s="39"/>
    </row>
    <row r="145" spans="1:10">
      <c r="A145" s="33" t="str">
        <f>IF(Knowns!A137&lt;&gt;"", Knowns!A137, "")</f>
        <v/>
      </c>
      <c r="B145" s="33" t="str">
        <f>IF(A145&lt;&gt;"", MAX('Error Calc (bp)'!B137:G137), "")</f>
        <v/>
      </c>
      <c r="C145" s="33" t="str">
        <f>IF(A145&lt;&gt;"", IF(B145&lt;Parameters!B$3, "yes", "no"), "")</f>
        <v/>
      </c>
      <c r="D145" s="33"/>
      <c r="E145" s="77" t="str">
        <f>IF($C145="yes", IF(Knowns!B137&lt;&gt;0, Knowns!B137, "****"), "")</f>
        <v/>
      </c>
      <c r="F145" s="77" t="str">
        <f>IF($C145="yes", IF(Knowns!C137&lt;&gt;0, Knowns!C137, "****"), "")</f>
        <v/>
      </c>
      <c r="G145" s="77" t="str">
        <f>IF($C145="yes", IF(Knowns!D137&lt;&gt;0, Knowns!D137, "****"), "")</f>
        <v/>
      </c>
      <c r="H145" s="77" t="str">
        <f>IF($C145="yes", IF(Knowns!E137&lt;&gt;0, Knowns!E137, "****"), "")</f>
        <v/>
      </c>
      <c r="I145" s="77" t="str">
        <f>IF($C145="yes", IF(Knowns!F137&lt;&gt;0, Knowns!F137, "****"), "")</f>
        <v/>
      </c>
      <c r="J145" s="39"/>
    </row>
    <row r="146" spans="1:10">
      <c r="A146" s="33" t="str">
        <f>IF(Knowns!A138&lt;&gt;"", Knowns!A138, "")</f>
        <v/>
      </c>
      <c r="B146" s="33" t="str">
        <f>IF(A146&lt;&gt;"", MAX('Error Calc (bp)'!B138:G138), "")</f>
        <v/>
      </c>
      <c r="C146" s="33" t="str">
        <f>IF(A146&lt;&gt;"", IF(B146&lt;Parameters!B$3, "yes", "no"), "")</f>
        <v/>
      </c>
      <c r="D146" s="33"/>
      <c r="E146" s="77" t="str">
        <f>IF($C146="yes", IF(Knowns!B138&lt;&gt;0, Knowns!B138, "****"), "")</f>
        <v/>
      </c>
      <c r="F146" s="77" t="str">
        <f>IF($C146="yes", IF(Knowns!C138&lt;&gt;0, Knowns!C138, "****"), "")</f>
        <v/>
      </c>
      <c r="G146" s="77" t="str">
        <f>IF($C146="yes", IF(Knowns!D138&lt;&gt;0, Knowns!D138, "****"), "")</f>
        <v/>
      </c>
      <c r="H146" s="77" t="str">
        <f>IF($C146="yes", IF(Knowns!E138&lt;&gt;0, Knowns!E138, "****"), "")</f>
        <v/>
      </c>
      <c r="I146" s="77" t="str">
        <f>IF($C146="yes", IF(Knowns!F138&lt;&gt;0, Knowns!F138, "****"), "")</f>
        <v/>
      </c>
      <c r="J146" s="39"/>
    </row>
    <row r="147" spans="1:10">
      <c r="A147" s="33" t="str">
        <f>IF(Knowns!A139&lt;&gt;"", Knowns!A139, "")</f>
        <v/>
      </c>
      <c r="B147" s="33" t="str">
        <f>IF(A147&lt;&gt;"", MAX('Error Calc (bp)'!B139:G139), "")</f>
        <v/>
      </c>
      <c r="C147" s="33" t="str">
        <f>IF(A147&lt;&gt;"", IF(B147&lt;Parameters!B$3, "yes", "no"), "")</f>
        <v/>
      </c>
      <c r="D147" s="33"/>
      <c r="E147" s="77" t="str">
        <f>IF($C147="yes", IF(Knowns!B139&lt;&gt;0, Knowns!B139, "****"), "")</f>
        <v/>
      </c>
      <c r="F147" s="77" t="str">
        <f>IF($C147="yes", IF(Knowns!C139&lt;&gt;0, Knowns!C139, "****"), "")</f>
        <v/>
      </c>
      <c r="G147" s="77" t="str">
        <f>IF($C147="yes", IF(Knowns!D139&lt;&gt;0, Knowns!D139, "****"), "")</f>
        <v/>
      </c>
      <c r="H147" s="77" t="str">
        <f>IF($C147="yes", IF(Knowns!E139&lt;&gt;0, Knowns!E139, "****"), "")</f>
        <v/>
      </c>
      <c r="I147" s="77" t="str">
        <f>IF($C147="yes", IF(Knowns!F139&lt;&gt;0, Knowns!F139, "****"), "")</f>
        <v/>
      </c>
      <c r="J147" s="39"/>
    </row>
    <row r="148" spans="1:10">
      <c r="A148" s="33" t="str">
        <f>IF(Knowns!A140&lt;&gt;"", Knowns!A140, "")</f>
        <v/>
      </c>
      <c r="B148" s="33" t="str">
        <f>IF(A148&lt;&gt;"", MAX('Error Calc (bp)'!B140:G140), "")</f>
        <v/>
      </c>
      <c r="C148" s="33" t="str">
        <f>IF(A148&lt;&gt;"", IF(B148&lt;Parameters!B$3, "yes", "no"), "")</f>
        <v/>
      </c>
      <c r="D148" s="33"/>
      <c r="E148" s="77" t="str">
        <f>IF($C148="yes", IF(Knowns!B140&lt;&gt;0, Knowns!B140, "****"), "")</f>
        <v/>
      </c>
      <c r="F148" s="77" t="str">
        <f>IF($C148="yes", IF(Knowns!C140&lt;&gt;0, Knowns!C140, "****"), "")</f>
        <v/>
      </c>
      <c r="G148" s="77" t="str">
        <f>IF($C148="yes", IF(Knowns!D140&lt;&gt;0, Knowns!D140, "****"), "")</f>
        <v/>
      </c>
      <c r="H148" s="77" t="str">
        <f>IF($C148="yes", IF(Knowns!E140&lt;&gt;0, Knowns!E140, "****"), "")</f>
        <v/>
      </c>
      <c r="I148" s="77" t="str">
        <f>IF($C148="yes", IF(Knowns!F140&lt;&gt;0, Knowns!F140, "****"), "")</f>
        <v/>
      </c>
      <c r="J148" s="39"/>
    </row>
    <row r="149" spans="1:10">
      <c r="A149" s="33" t="str">
        <f>IF(Knowns!A141&lt;&gt;"", Knowns!A141, "")</f>
        <v/>
      </c>
      <c r="B149" s="33" t="str">
        <f>IF(A149&lt;&gt;"", MAX('Error Calc (bp)'!B141:G141), "")</f>
        <v/>
      </c>
      <c r="C149" s="33" t="str">
        <f>IF(A149&lt;&gt;"", IF(B149&lt;Parameters!B$3, "yes", "no"), "")</f>
        <v/>
      </c>
      <c r="D149" s="33"/>
      <c r="E149" s="77" t="str">
        <f>IF($C149="yes", IF(Knowns!B141&lt;&gt;0, Knowns!B141, "****"), "")</f>
        <v/>
      </c>
      <c r="F149" s="77" t="str">
        <f>IF($C149="yes", IF(Knowns!C141&lt;&gt;0, Knowns!C141, "****"), "")</f>
        <v/>
      </c>
      <c r="G149" s="77" t="str">
        <f>IF($C149="yes", IF(Knowns!D141&lt;&gt;0, Knowns!D141, "****"), "")</f>
        <v/>
      </c>
      <c r="H149" s="77" t="str">
        <f>IF($C149="yes", IF(Knowns!E141&lt;&gt;0, Knowns!E141, "****"), "")</f>
        <v/>
      </c>
      <c r="I149" s="77" t="str">
        <f>IF($C149="yes", IF(Knowns!F141&lt;&gt;0, Knowns!F141, "****"), "")</f>
        <v/>
      </c>
      <c r="J149" s="39"/>
    </row>
    <row r="150" spans="1:10">
      <c r="A150" s="33" t="str">
        <f>IF(Knowns!A142&lt;&gt;"", Knowns!A142, "")</f>
        <v/>
      </c>
      <c r="B150" s="33" t="str">
        <f>IF(A150&lt;&gt;"", MAX('Error Calc (bp)'!B142:G142), "")</f>
        <v/>
      </c>
      <c r="C150" s="33" t="str">
        <f>IF(A150&lt;&gt;"", IF(B150&lt;Parameters!B$3, "yes", "no"), "")</f>
        <v/>
      </c>
      <c r="D150" s="33"/>
      <c r="E150" s="77" t="str">
        <f>IF($C150="yes", IF(Knowns!B142&lt;&gt;0, Knowns!B142, "****"), "")</f>
        <v/>
      </c>
      <c r="F150" s="77" t="str">
        <f>IF($C150="yes", IF(Knowns!C142&lt;&gt;0, Knowns!C142, "****"), "")</f>
        <v/>
      </c>
      <c r="G150" s="77" t="str">
        <f>IF($C150="yes", IF(Knowns!D142&lt;&gt;0, Knowns!D142, "****"), "")</f>
        <v/>
      </c>
      <c r="H150" s="77" t="str">
        <f>IF($C150="yes", IF(Knowns!E142&lt;&gt;0, Knowns!E142, "****"), "")</f>
        <v/>
      </c>
      <c r="I150" s="77" t="str">
        <f>IF($C150="yes", IF(Knowns!F142&lt;&gt;0, Knowns!F142, "****"), "")</f>
        <v/>
      </c>
      <c r="J150" s="39"/>
    </row>
    <row r="151" spans="1:10">
      <c r="A151" s="33" t="str">
        <f>IF(Knowns!A143&lt;&gt;"", Knowns!A143, "")</f>
        <v/>
      </c>
      <c r="B151" s="33" t="str">
        <f>IF(A151&lt;&gt;"", MAX('Error Calc (bp)'!B143:G143), "")</f>
        <v/>
      </c>
      <c r="C151" s="33" t="str">
        <f>IF(A151&lt;&gt;"", IF(B151&lt;Parameters!B$3, "yes", "no"), "")</f>
        <v/>
      </c>
      <c r="D151" s="33"/>
      <c r="E151" s="77" t="str">
        <f>IF($C151="yes", IF(Knowns!B143&lt;&gt;0, Knowns!B143, "****"), "")</f>
        <v/>
      </c>
      <c r="F151" s="77" t="str">
        <f>IF($C151="yes", IF(Knowns!C143&lt;&gt;0, Knowns!C143, "****"), "")</f>
        <v/>
      </c>
      <c r="G151" s="77" t="str">
        <f>IF($C151="yes", IF(Knowns!D143&lt;&gt;0, Knowns!D143, "****"), "")</f>
        <v/>
      </c>
      <c r="H151" s="77" t="str">
        <f>IF($C151="yes", IF(Knowns!E143&lt;&gt;0, Knowns!E143, "****"), "")</f>
        <v/>
      </c>
      <c r="I151" s="77" t="str">
        <f>IF($C151="yes", IF(Knowns!F143&lt;&gt;0, Knowns!F143, "****"), "")</f>
        <v/>
      </c>
      <c r="J151" s="39"/>
    </row>
    <row r="152" spans="1:10">
      <c r="A152" s="33" t="str">
        <f>IF(Knowns!A144&lt;&gt;"", Knowns!A144, "")</f>
        <v/>
      </c>
      <c r="B152" s="33" t="str">
        <f>IF(A152&lt;&gt;"", MAX('Error Calc (bp)'!B144:G144), "")</f>
        <v/>
      </c>
      <c r="C152" s="33" t="str">
        <f>IF(A152&lt;&gt;"", IF(B152&lt;Parameters!B$3, "yes", "no"), "")</f>
        <v/>
      </c>
      <c r="D152" s="33"/>
      <c r="E152" s="77" t="str">
        <f>IF($C152="yes", IF(Knowns!B144&lt;&gt;0, Knowns!B144, "****"), "")</f>
        <v/>
      </c>
      <c r="F152" s="77" t="str">
        <f>IF($C152="yes", IF(Knowns!C144&lt;&gt;0, Knowns!C144, "****"), "")</f>
        <v/>
      </c>
      <c r="G152" s="77" t="str">
        <f>IF($C152="yes", IF(Knowns!D144&lt;&gt;0, Knowns!D144, "****"), "")</f>
        <v/>
      </c>
      <c r="H152" s="77" t="str">
        <f>IF($C152="yes", IF(Knowns!E144&lt;&gt;0, Knowns!E144, "****"), "")</f>
        <v/>
      </c>
      <c r="I152" s="77" t="str">
        <f>IF($C152="yes", IF(Knowns!F144&lt;&gt;0, Knowns!F144, "****"), "")</f>
        <v/>
      </c>
      <c r="J152" s="39"/>
    </row>
    <row r="153" spans="1:10">
      <c r="A153" s="33" t="str">
        <f>IF(Knowns!A145&lt;&gt;"", Knowns!A145, "")</f>
        <v/>
      </c>
      <c r="B153" s="33" t="str">
        <f>IF(A153&lt;&gt;"", MAX('Error Calc (bp)'!B145:G145), "")</f>
        <v/>
      </c>
      <c r="C153" s="33" t="str">
        <f>IF(A153&lt;&gt;"", IF(B153&lt;Parameters!B$3, "yes", "no"), "")</f>
        <v/>
      </c>
      <c r="D153" s="33"/>
      <c r="E153" s="77" t="str">
        <f>IF($C153="yes", IF(Knowns!B145&lt;&gt;0, Knowns!B145, "****"), "")</f>
        <v/>
      </c>
      <c r="F153" s="77" t="str">
        <f>IF($C153="yes", IF(Knowns!C145&lt;&gt;0, Knowns!C145, "****"), "")</f>
        <v/>
      </c>
      <c r="G153" s="77" t="str">
        <f>IF($C153="yes", IF(Knowns!D145&lt;&gt;0, Knowns!D145, "****"), "")</f>
        <v/>
      </c>
      <c r="H153" s="77" t="str">
        <f>IF($C153="yes", IF(Knowns!E145&lt;&gt;0, Knowns!E145, "****"), "")</f>
        <v/>
      </c>
      <c r="I153" s="77" t="str">
        <f>IF($C153="yes", IF(Knowns!F145&lt;&gt;0, Knowns!F145, "****"), "")</f>
        <v/>
      </c>
      <c r="J153" s="39"/>
    </row>
    <row r="154" spans="1:10">
      <c r="A154" s="33" t="str">
        <f>IF(Knowns!A146&lt;&gt;"", Knowns!A146, "")</f>
        <v/>
      </c>
      <c r="B154" s="33" t="str">
        <f>IF(A154&lt;&gt;"", MAX('Error Calc (bp)'!B146:G146), "")</f>
        <v/>
      </c>
      <c r="C154" s="33" t="str">
        <f>IF(A154&lt;&gt;"", IF(B154&lt;Parameters!B$3, "yes", "no"), "")</f>
        <v/>
      </c>
      <c r="D154" s="33"/>
      <c r="E154" s="77" t="str">
        <f>IF($C154="yes", IF(Knowns!B146&lt;&gt;0, Knowns!B146, "****"), "")</f>
        <v/>
      </c>
      <c r="F154" s="77" t="str">
        <f>IF($C154="yes", IF(Knowns!C146&lt;&gt;0, Knowns!C146, "****"), "")</f>
        <v/>
      </c>
      <c r="G154" s="77" t="str">
        <f>IF($C154="yes", IF(Knowns!D146&lt;&gt;0, Knowns!D146, "****"), "")</f>
        <v/>
      </c>
      <c r="H154" s="77" t="str">
        <f>IF($C154="yes", IF(Knowns!E146&lt;&gt;0, Knowns!E146, "****"), "")</f>
        <v/>
      </c>
      <c r="I154" s="77" t="str">
        <f>IF($C154="yes", IF(Knowns!F146&lt;&gt;0, Knowns!F146, "****"), "")</f>
        <v/>
      </c>
      <c r="J154" s="39"/>
    </row>
    <row r="155" spans="1:10">
      <c r="A155" s="33" t="str">
        <f>IF(Knowns!A147&lt;&gt;"", Knowns!A147, "")</f>
        <v/>
      </c>
      <c r="B155" s="33" t="str">
        <f>IF(A155&lt;&gt;"", MAX('Error Calc (bp)'!B147:G147), "")</f>
        <v/>
      </c>
      <c r="C155" s="33" t="str">
        <f>IF(A155&lt;&gt;"", IF(B155&lt;Parameters!B$3, "yes", "no"), "")</f>
        <v/>
      </c>
      <c r="D155" s="33"/>
      <c r="E155" s="77" t="str">
        <f>IF($C155="yes", IF(Knowns!B147&lt;&gt;0, Knowns!B147, "****"), "")</f>
        <v/>
      </c>
      <c r="F155" s="77" t="str">
        <f>IF($C155="yes", IF(Knowns!C147&lt;&gt;0, Knowns!C147, "****"), "")</f>
        <v/>
      </c>
      <c r="G155" s="77" t="str">
        <f>IF($C155="yes", IF(Knowns!D147&lt;&gt;0, Knowns!D147, "****"), "")</f>
        <v/>
      </c>
      <c r="H155" s="77" t="str">
        <f>IF($C155="yes", IF(Knowns!E147&lt;&gt;0, Knowns!E147, "****"), "")</f>
        <v/>
      </c>
      <c r="I155" s="77" t="str">
        <f>IF($C155="yes", IF(Knowns!F147&lt;&gt;0, Knowns!F147, "****"), "")</f>
        <v/>
      </c>
      <c r="J155" s="39"/>
    </row>
    <row r="156" spans="1:10">
      <c r="A156" s="33" t="str">
        <f>IF(Knowns!A148&lt;&gt;"", Knowns!A148, "")</f>
        <v/>
      </c>
      <c r="B156" s="33" t="str">
        <f>IF(A156&lt;&gt;"", MAX('Error Calc (bp)'!B148:G148), "")</f>
        <v/>
      </c>
      <c r="C156" s="33" t="str">
        <f>IF(A156&lt;&gt;"", IF(B156&lt;Parameters!B$3, "yes", "no"), "")</f>
        <v/>
      </c>
      <c r="D156" s="33"/>
      <c r="E156" s="77" t="str">
        <f>IF($C156="yes", IF(Knowns!B148&lt;&gt;0, Knowns!B148, "****"), "")</f>
        <v/>
      </c>
      <c r="F156" s="77" t="str">
        <f>IF($C156="yes", IF(Knowns!C148&lt;&gt;0, Knowns!C148, "****"), "")</f>
        <v/>
      </c>
      <c r="G156" s="77" t="str">
        <f>IF($C156="yes", IF(Knowns!D148&lt;&gt;0, Knowns!D148, "****"), "")</f>
        <v/>
      </c>
      <c r="H156" s="77" t="str">
        <f>IF($C156="yes", IF(Knowns!E148&lt;&gt;0, Knowns!E148, "****"), "")</f>
        <v/>
      </c>
      <c r="I156" s="77" t="str">
        <f>IF($C156="yes", IF(Knowns!F148&lt;&gt;0, Knowns!F148, "****"), "")</f>
        <v/>
      </c>
      <c r="J156" s="39"/>
    </row>
    <row r="157" spans="1:10">
      <c r="A157" s="33" t="str">
        <f>IF(Knowns!A149&lt;&gt;"", Knowns!A149, "")</f>
        <v/>
      </c>
      <c r="B157" s="33" t="str">
        <f>IF(A157&lt;&gt;"", MAX('Error Calc (bp)'!B149:G149), "")</f>
        <v/>
      </c>
      <c r="C157" s="33" t="str">
        <f>IF(A157&lt;&gt;"", IF(B157&lt;Parameters!B$3, "yes", "no"), "")</f>
        <v/>
      </c>
      <c r="D157" s="33"/>
      <c r="E157" s="77" t="str">
        <f>IF($C157="yes", IF(Knowns!B149&lt;&gt;0, Knowns!B149, "****"), "")</f>
        <v/>
      </c>
      <c r="F157" s="77" t="str">
        <f>IF($C157="yes", IF(Knowns!C149&lt;&gt;0, Knowns!C149, "****"), "")</f>
        <v/>
      </c>
      <c r="G157" s="77" t="str">
        <f>IF($C157="yes", IF(Knowns!D149&lt;&gt;0, Knowns!D149, "****"), "")</f>
        <v/>
      </c>
      <c r="H157" s="77" t="str">
        <f>IF($C157="yes", IF(Knowns!E149&lt;&gt;0, Knowns!E149, "****"), "")</f>
        <v/>
      </c>
      <c r="I157" s="77" t="str">
        <f>IF($C157="yes", IF(Knowns!F149&lt;&gt;0, Knowns!F149, "****"), "")</f>
        <v/>
      </c>
      <c r="J157" s="39"/>
    </row>
    <row r="158" spans="1:10">
      <c r="A158" s="33" t="str">
        <f>IF(Knowns!A150&lt;&gt;"", Knowns!A150, "")</f>
        <v/>
      </c>
      <c r="B158" s="33" t="str">
        <f>IF(A158&lt;&gt;"", MAX('Error Calc (bp)'!B150:G150), "")</f>
        <v/>
      </c>
      <c r="C158" s="33" t="str">
        <f>IF(A158&lt;&gt;"", IF(B158&lt;Parameters!B$3, "yes", "no"), "")</f>
        <v/>
      </c>
      <c r="D158" s="33"/>
      <c r="E158" s="77" t="str">
        <f>IF($C158="yes", IF(Knowns!B150&lt;&gt;0, Knowns!B150, "****"), "")</f>
        <v/>
      </c>
      <c r="F158" s="77" t="str">
        <f>IF($C158="yes", IF(Knowns!C150&lt;&gt;0, Knowns!C150, "****"), "")</f>
        <v/>
      </c>
      <c r="G158" s="77" t="str">
        <f>IF($C158="yes", IF(Knowns!D150&lt;&gt;0, Knowns!D150, "****"), "")</f>
        <v/>
      </c>
      <c r="H158" s="77" t="str">
        <f>IF($C158="yes", IF(Knowns!E150&lt;&gt;0, Knowns!E150, "****"), "")</f>
        <v/>
      </c>
      <c r="I158" s="77" t="str">
        <f>IF($C158="yes", IF(Knowns!F150&lt;&gt;0, Knowns!F150, "****"), "")</f>
        <v/>
      </c>
      <c r="J158" s="39"/>
    </row>
    <row r="159" spans="1:10">
      <c r="A159" s="33" t="str">
        <f>IF(Knowns!A151&lt;&gt;"", Knowns!A151, "")</f>
        <v/>
      </c>
      <c r="B159" s="33" t="str">
        <f>IF(A159&lt;&gt;"", MAX('Error Calc (bp)'!B151:G151), "")</f>
        <v/>
      </c>
      <c r="C159" s="33" t="str">
        <f>IF(A159&lt;&gt;"", IF(B159&lt;Parameters!B$3, "yes", "no"), "")</f>
        <v/>
      </c>
      <c r="D159" s="33"/>
      <c r="E159" s="77" t="str">
        <f>IF($C159="yes", IF(Knowns!B151&lt;&gt;0, Knowns!B151, "****"), "")</f>
        <v/>
      </c>
      <c r="F159" s="77" t="str">
        <f>IF($C159="yes", IF(Knowns!C151&lt;&gt;0, Knowns!C151, "****"), "")</f>
        <v/>
      </c>
      <c r="G159" s="77" t="str">
        <f>IF($C159="yes", IF(Knowns!D151&lt;&gt;0, Knowns!D151, "****"), "")</f>
        <v/>
      </c>
      <c r="H159" s="77" t="str">
        <f>IF($C159="yes", IF(Knowns!E151&lt;&gt;0, Knowns!E151, "****"), "")</f>
        <v/>
      </c>
      <c r="I159" s="77" t="str">
        <f>IF($C159="yes", IF(Knowns!F151&lt;&gt;0, Knowns!F151, "****"), "")</f>
        <v/>
      </c>
      <c r="J159" s="39"/>
    </row>
    <row r="160" spans="1:10">
      <c r="A160" s="33" t="str">
        <f>IF(Knowns!A152&lt;&gt;"", Knowns!A152, "")</f>
        <v/>
      </c>
      <c r="B160" s="33" t="str">
        <f>IF(A160&lt;&gt;"", MAX('Error Calc (bp)'!B152:G152), "")</f>
        <v/>
      </c>
      <c r="C160" s="33" t="str">
        <f>IF(A160&lt;&gt;"", IF(B160&lt;Parameters!B$3, "yes", "no"), "")</f>
        <v/>
      </c>
      <c r="D160" s="33"/>
      <c r="E160" s="77" t="str">
        <f>IF($C160="yes", IF(Knowns!B152&lt;&gt;0, Knowns!B152, "****"), "")</f>
        <v/>
      </c>
      <c r="F160" s="77" t="str">
        <f>IF($C160="yes", IF(Knowns!C152&lt;&gt;0, Knowns!C152, "****"), "")</f>
        <v/>
      </c>
      <c r="G160" s="77" t="str">
        <f>IF($C160="yes", IF(Knowns!D152&lt;&gt;0, Knowns!D152, "****"), "")</f>
        <v/>
      </c>
      <c r="H160" s="77" t="str">
        <f>IF($C160="yes", IF(Knowns!E152&lt;&gt;0, Knowns!E152, "****"), "")</f>
        <v/>
      </c>
      <c r="I160" s="77" t="str">
        <f>IF($C160="yes", IF(Knowns!F152&lt;&gt;0, Knowns!F152, "****"), "")</f>
        <v/>
      </c>
      <c r="J160" s="39"/>
    </row>
    <row r="161" spans="1:10">
      <c r="A161" s="33" t="str">
        <f>IF(Knowns!A153&lt;&gt;"", Knowns!A153, "")</f>
        <v/>
      </c>
      <c r="B161" s="33" t="str">
        <f>IF(A161&lt;&gt;"", MAX('Error Calc (bp)'!B153:G153), "")</f>
        <v/>
      </c>
      <c r="C161" s="33" t="str">
        <f>IF(A161&lt;&gt;"", IF(B161&lt;Parameters!B$3, "yes", "no"), "")</f>
        <v/>
      </c>
      <c r="D161" s="33"/>
      <c r="E161" s="77" t="str">
        <f>IF($C161="yes", IF(Knowns!B153&lt;&gt;0, Knowns!B153, "****"), "")</f>
        <v/>
      </c>
      <c r="F161" s="77" t="str">
        <f>IF($C161="yes", IF(Knowns!C153&lt;&gt;0, Knowns!C153, "****"), "")</f>
        <v/>
      </c>
      <c r="G161" s="77" t="str">
        <f>IF($C161="yes", IF(Knowns!D153&lt;&gt;0, Knowns!D153, "****"), "")</f>
        <v/>
      </c>
      <c r="H161" s="77" t="str">
        <f>IF($C161="yes", IF(Knowns!E153&lt;&gt;0, Knowns!E153, "****"), "")</f>
        <v/>
      </c>
      <c r="I161" s="77" t="str">
        <f>IF($C161="yes", IF(Knowns!F153&lt;&gt;0, Knowns!F153, "****"), "")</f>
        <v/>
      </c>
      <c r="J161" s="39"/>
    </row>
    <row r="162" spans="1:10">
      <c r="A162" s="33" t="str">
        <f>IF(Knowns!A154&lt;&gt;"", Knowns!A154, "")</f>
        <v/>
      </c>
      <c r="B162" s="33" t="str">
        <f>IF(A162&lt;&gt;"", MAX('Error Calc (bp)'!B154:G154), "")</f>
        <v/>
      </c>
      <c r="C162" s="33" t="str">
        <f>IF(A162&lt;&gt;"", IF(B162&lt;Parameters!B$3, "yes", "no"), "")</f>
        <v/>
      </c>
      <c r="D162" s="33"/>
      <c r="E162" s="77" t="str">
        <f>IF($C162="yes", IF(Knowns!B154&lt;&gt;0, Knowns!B154, "****"), "")</f>
        <v/>
      </c>
      <c r="F162" s="77" t="str">
        <f>IF($C162="yes", IF(Knowns!C154&lt;&gt;0, Knowns!C154, "****"), "")</f>
        <v/>
      </c>
      <c r="G162" s="77" t="str">
        <f>IF($C162="yes", IF(Knowns!D154&lt;&gt;0, Knowns!D154, "****"), "")</f>
        <v/>
      </c>
      <c r="H162" s="77" t="str">
        <f>IF($C162="yes", IF(Knowns!E154&lt;&gt;0, Knowns!E154, "****"), "")</f>
        <v/>
      </c>
      <c r="I162" s="77" t="str">
        <f>IF($C162="yes", IF(Knowns!F154&lt;&gt;0, Knowns!F154, "****"), "")</f>
        <v/>
      </c>
      <c r="J162" s="39"/>
    </row>
    <row r="163" spans="1:10">
      <c r="A163" s="33" t="str">
        <f>IF(Knowns!A155&lt;&gt;"", Knowns!A155, "")</f>
        <v/>
      </c>
      <c r="B163" s="33" t="str">
        <f>IF(A163&lt;&gt;"", MAX('Error Calc (bp)'!B155:G155), "")</f>
        <v/>
      </c>
      <c r="C163" s="33" t="str">
        <f>IF(A163&lt;&gt;"", IF(B163&lt;Parameters!B$3, "yes", "no"), "")</f>
        <v/>
      </c>
      <c r="D163" s="33"/>
      <c r="E163" s="77" t="str">
        <f>IF($C163="yes", IF(Knowns!B155&lt;&gt;0, Knowns!B155, "****"), "")</f>
        <v/>
      </c>
      <c r="F163" s="77" t="str">
        <f>IF($C163="yes", IF(Knowns!C155&lt;&gt;0, Knowns!C155, "****"), "")</f>
        <v/>
      </c>
      <c r="G163" s="77" t="str">
        <f>IF($C163="yes", IF(Knowns!D155&lt;&gt;0, Knowns!D155, "****"), "")</f>
        <v/>
      </c>
      <c r="H163" s="77" t="str">
        <f>IF($C163="yes", IF(Knowns!E155&lt;&gt;0, Knowns!E155, "****"), "")</f>
        <v/>
      </c>
      <c r="I163" s="77" t="str">
        <f>IF($C163="yes", IF(Knowns!F155&lt;&gt;0, Knowns!F155, "****"), "")</f>
        <v/>
      </c>
      <c r="J163" s="39"/>
    </row>
    <row r="164" spans="1:10">
      <c r="A164" s="33" t="str">
        <f>IF(Knowns!A156&lt;&gt;"", Knowns!A156, "")</f>
        <v/>
      </c>
      <c r="B164" s="33" t="str">
        <f>IF(A164&lt;&gt;"", MAX('Error Calc (bp)'!B156:G156), "")</f>
        <v/>
      </c>
      <c r="C164" s="33" t="str">
        <f>IF(A164&lt;&gt;"", IF(B164&lt;Parameters!B$3, "yes", "no"), "")</f>
        <v/>
      </c>
      <c r="D164" s="33"/>
      <c r="E164" s="77" t="str">
        <f>IF($C164="yes", IF(Knowns!B156&lt;&gt;0, Knowns!B156, "****"), "")</f>
        <v/>
      </c>
      <c r="F164" s="77" t="str">
        <f>IF($C164="yes", IF(Knowns!C156&lt;&gt;0, Knowns!C156, "****"), "")</f>
        <v/>
      </c>
      <c r="G164" s="77" t="str">
        <f>IF($C164="yes", IF(Knowns!D156&lt;&gt;0, Knowns!D156, "****"), "")</f>
        <v/>
      </c>
      <c r="H164" s="77" t="str">
        <f>IF($C164="yes", IF(Knowns!E156&lt;&gt;0, Knowns!E156, "****"), "")</f>
        <v/>
      </c>
      <c r="I164" s="77" t="str">
        <f>IF($C164="yes", IF(Knowns!F156&lt;&gt;0, Knowns!F156, "****"), "")</f>
        <v/>
      </c>
      <c r="J164" s="39"/>
    </row>
    <row r="165" spans="1:10">
      <c r="A165" s="33" t="str">
        <f>IF(Knowns!A157&lt;&gt;"", Knowns!A157, "")</f>
        <v/>
      </c>
      <c r="B165" s="33" t="str">
        <f>IF(A165&lt;&gt;"", MAX('Error Calc (bp)'!B157:G157), "")</f>
        <v/>
      </c>
      <c r="C165" s="33" t="str">
        <f>IF(A165&lt;&gt;"", IF(B165&lt;Parameters!B$3, "yes", "no"), "")</f>
        <v/>
      </c>
      <c r="D165" s="33"/>
      <c r="E165" s="77" t="str">
        <f>IF($C165="yes", IF(Knowns!B157&lt;&gt;0, Knowns!B157, "****"), "")</f>
        <v/>
      </c>
      <c r="F165" s="77" t="str">
        <f>IF($C165="yes", IF(Knowns!C157&lt;&gt;0, Knowns!C157, "****"), "")</f>
        <v/>
      </c>
      <c r="G165" s="77" t="str">
        <f>IF($C165="yes", IF(Knowns!D157&lt;&gt;0, Knowns!D157, "****"), "")</f>
        <v/>
      </c>
      <c r="H165" s="77" t="str">
        <f>IF($C165="yes", IF(Knowns!E157&lt;&gt;0, Knowns!E157, "****"), "")</f>
        <v/>
      </c>
      <c r="I165" s="77" t="str">
        <f>IF($C165="yes", IF(Knowns!F157&lt;&gt;0, Knowns!F157, "****"), "")</f>
        <v/>
      </c>
      <c r="J165" s="39"/>
    </row>
    <row r="166" spans="1:10">
      <c r="A166" s="33" t="str">
        <f>IF(Knowns!A158&lt;&gt;"", Knowns!A158, "")</f>
        <v/>
      </c>
      <c r="B166" s="33" t="str">
        <f>IF(A166&lt;&gt;"", MAX('Error Calc (bp)'!B158:G158), "")</f>
        <v/>
      </c>
      <c r="C166" s="33" t="str">
        <f>IF(A166&lt;&gt;"", IF(B166&lt;Parameters!B$3, "yes", "no"), "")</f>
        <v/>
      </c>
      <c r="D166" s="33"/>
      <c r="E166" s="77" t="str">
        <f>IF($C166="yes", IF(Knowns!B158&lt;&gt;0, Knowns!B158, "****"), "")</f>
        <v/>
      </c>
      <c r="F166" s="77" t="str">
        <f>IF($C166="yes", IF(Knowns!C158&lt;&gt;0, Knowns!C158, "****"), "")</f>
        <v/>
      </c>
      <c r="G166" s="77" t="str">
        <f>IF($C166="yes", IF(Knowns!D158&lt;&gt;0, Knowns!D158, "****"), "")</f>
        <v/>
      </c>
      <c r="H166" s="77" t="str">
        <f>IF($C166="yes", IF(Knowns!E158&lt;&gt;0, Knowns!E158, "****"), "")</f>
        <v/>
      </c>
      <c r="I166" s="77" t="str">
        <f>IF($C166="yes", IF(Knowns!F158&lt;&gt;0, Knowns!F158, "****"), "")</f>
        <v/>
      </c>
      <c r="J166" s="39"/>
    </row>
    <row r="167" spans="1:10">
      <c r="A167" s="33" t="str">
        <f>IF(Knowns!A159&lt;&gt;"", Knowns!A159, "")</f>
        <v/>
      </c>
      <c r="B167" s="33" t="str">
        <f>IF(A167&lt;&gt;"", MAX('Error Calc (bp)'!B159:G159), "")</f>
        <v/>
      </c>
      <c r="C167" s="33" t="str">
        <f>IF(A167&lt;&gt;"", IF(B167&lt;Parameters!B$3, "yes", "no"), "")</f>
        <v/>
      </c>
      <c r="D167" s="33"/>
      <c r="E167" s="77" t="str">
        <f>IF($C167="yes", IF(Knowns!B159&lt;&gt;0, Knowns!B159, "****"), "")</f>
        <v/>
      </c>
      <c r="F167" s="77" t="str">
        <f>IF($C167="yes", IF(Knowns!C159&lt;&gt;0, Knowns!C159, "****"), "")</f>
        <v/>
      </c>
      <c r="G167" s="77" t="str">
        <f>IF($C167="yes", IF(Knowns!D159&lt;&gt;0, Knowns!D159, "****"), "")</f>
        <v/>
      </c>
      <c r="H167" s="77" t="str">
        <f>IF($C167="yes", IF(Knowns!E159&lt;&gt;0, Knowns!E159, "****"), "")</f>
        <v/>
      </c>
      <c r="I167" s="77" t="str">
        <f>IF($C167="yes", IF(Knowns!F159&lt;&gt;0, Knowns!F159, "****"), "")</f>
        <v/>
      </c>
      <c r="J167" s="39"/>
    </row>
    <row r="168" spans="1:10">
      <c r="A168" s="33" t="str">
        <f>IF(Knowns!A160&lt;&gt;"", Knowns!A160, "")</f>
        <v/>
      </c>
      <c r="B168" s="33" t="str">
        <f>IF(A168&lt;&gt;"", MAX('Error Calc (bp)'!B160:G160), "")</f>
        <v/>
      </c>
      <c r="C168" s="33" t="str">
        <f>IF(A168&lt;&gt;"", IF(B168&lt;Parameters!B$3, "yes", "no"), "")</f>
        <v/>
      </c>
      <c r="D168" s="33"/>
      <c r="E168" s="77" t="str">
        <f>IF($C168="yes", IF(Knowns!B160&lt;&gt;0, Knowns!B160, "****"), "")</f>
        <v/>
      </c>
      <c r="F168" s="77" t="str">
        <f>IF($C168="yes", IF(Knowns!C160&lt;&gt;0, Knowns!C160, "****"), "")</f>
        <v/>
      </c>
      <c r="G168" s="77" t="str">
        <f>IF($C168="yes", IF(Knowns!D160&lt;&gt;0, Knowns!D160, "****"), "")</f>
        <v/>
      </c>
      <c r="H168" s="77" t="str">
        <f>IF($C168="yes", IF(Knowns!E160&lt;&gt;0, Knowns!E160, "****"), "")</f>
        <v/>
      </c>
      <c r="I168" s="77" t="str">
        <f>IF($C168="yes", IF(Knowns!F160&lt;&gt;0, Knowns!F160, "****"), "")</f>
        <v/>
      </c>
      <c r="J168" s="39"/>
    </row>
    <row r="169" spans="1:10">
      <c r="A169" s="33" t="str">
        <f>IF(Knowns!A161&lt;&gt;"", Knowns!A161, "")</f>
        <v/>
      </c>
      <c r="B169" s="33" t="str">
        <f>IF(A169&lt;&gt;"", MAX('Error Calc (bp)'!B161:G161), "")</f>
        <v/>
      </c>
      <c r="C169" s="33" t="str">
        <f>IF(A169&lt;&gt;"", IF(B169&lt;Parameters!B$3, "yes", "no"), "")</f>
        <v/>
      </c>
      <c r="D169" s="33"/>
      <c r="E169" s="77" t="str">
        <f>IF($C169="yes", IF(Knowns!B161&lt;&gt;0, Knowns!B161, "****"), "")</f>
        <v/>
      </c>
      <c r="F169" s="77" t="str">
        <f>IF($C169="yes", IF(Knowns!C161&lt;&gt;0, Knowns!C161, "****"), "")</f>
        <v/>
      </c>
      <c r="G169" s="77" t="str">
        <f>IF($C169="yes", IF(Knowns!D161&lt;&gt;0, Knowns!D161, "****"), "")</f>
        <v/>
      </c>
      <c r="H169" s="77" t="str">
        <f>IF($C169="yes", IF(Knowns!E161&lt;&gt;0, Knowns!E161, "****"), "")</f>
        <v/>
      </c>
      <c r="I169" s="77" t="str">
        <f>IF($C169="yes", IF(Knowns!F161&lt;&gt;0, Knowns!F161, "****"), "")</f>
        <v/>
      </c>
      <c r="J169" s="39"/>
    </row>
    <row r="170" spans="1:10">
      <c r="A170" s="33" t="str">
        <f>IF(Knowns!A162&lt;&gt;"", Knowns!A162, "")</f>
        <v/>
      </c>
      <c r="B170" s="33" t="str">
        <f>IF(A170&lt;&gt;"", MAX('Error Calc (bp)'!B162:G162), "")</f>
        <v/>
      </c>
      <c r="C170" s="33" t="str">
        <f>IF(A170&lt;&gt;"", IF(B170&lt;Parameters!B$3, "yes", "no"), "")</f>
        <v/>
      </c>
      <c r="D170" s="33"/>
      <c r="E170" s="77" t="str">
        <f>IF($C170="yes", IF(Knowns!B162&lt;&gt;0, Knowns!B162, "****"), "")</f>
        <v/>
      </c>
      <c r="F170" s="77" t="str">
        <f>IF($C170="yes", IF(Knowns!C162&lt;&gt;0, Knowns!C162, "****"), "")</f>
        <v/>
      </c>
      <c r="G170" s="77" t="str">
        <f>IF($C170="yes", IF(Knowns!D162&lt;&gt;0, Knowns!D162, "****"), "")</f>
        <v/>
      </c>
      <c r="H170" s="77" t="str">
        <f>IF($C170="yes", IF(Knowns!E162&lt;&gt;0, Knowns!E162, "****"), "")</f>
        <v/>
      </c>
      <c r="I170" s="77" t="str">
        <f>IF($C170="yes", IF(Knowns!F162&lt;&gt;0, Knowns!F162, "****"), "")</f>
        <v/>
      </c>
      <c r="J170" s="39"/>
    </row>
    <row r="171" spans="1:10">
      <c r="A171" s="33" t="str">
        <f>IF(Knowns!A163&lt;&gt;"", Knowns!A163, "")</f>
        <v/>
      </c>
      <c r="B171" s="33" t="str">
        <f>IF(A171&lt;&gt;"", MAX('Error Calc (bp)'!B163:G163), "")</f>
        <v/>
      </c>
      <c r="C171" s="33" t="str">
        <f>IF(A171&lt;&gt;"", IF(B171&lt;Parameters!B$3, "yes", "no"), "")</f>
        <v/>
      </c>
      <c r="D171" s="33"/>
      <c r="E171" s="77" t="str">
        <f>IF($C171="yes", IF(Knowns!B163&lt;&gt;0, Knowns!B163, "****"), "")</f>
        <v/>
      </c>
      <c r="F171" s="77" t="str">
        <f>IF($C171="yes", IF(Knowns!C163&lt;&gt;0, Knowns!C163, "****"), "")</f>
        <v/>
      </c>
      <c r="G171" s="77" t="str">
        <f>IF($C171="yes", IF(Knowns!D163&lt;&gt;0, Knowns!D163, "****"), "")</f>
        <v/>
      </c>
      <c r="H171" s="77" t="str">
        <f>IF($C171="yes", IF(Knowns!E163&lt;&gt;0, Knowns!E163, "****"), "")</f>
        <v/>
      </c>
      <c r="I171" s="77" t="str">
        <f>IF($C171="yes", IF(Knowns!F163&lt;&gt;0, Knowns!F163, "****"), "")</f>
        <v/>
      </c>
      <c r="J171" s="39"/>
    </row>
    <row r="172" spans="1:10">
      <c r="A172" s="33" t="str">
        <f>IF(Knowns!A164&lt;&gt;"", Knowns!A164, "")</f>
        <v/>
      </c>
      <c r="B172" s="33" t="str">
        <f>IF(A172&lt;&gt;"", MAX('Error Calc (bp)'!B164:G164), "")</f>
        <v/>
      </c>
      <c r="C172" s="33" t="str">
        <f>IF(A172&lt;&gt;"", IF(B172&lt;Parameters!B$3, "yes", "no"), "")</f>
        <v/>
      </c>
      <c r="D172" s="33"/>
      <c r="E172" s="77" t="str">
        <f>IF($C172="yes", IF(Knowns!B164&lt;&gt;0, Knowns!B164, "****"), "")</f>
        <v/>
      </c>
      <c r="F172" s="77" t="str">
        <f>IF($C172="yes", IF(Knowns!C164&lt;&gt;0, Knowns!C164, "****"), "")</f>
        <v/>
      </c>
      <c r="G172" s="77" t="str">
        <f>IF($C172="yes", IF(Knowns!D164&lt;&gt;0, Knowns!D164, "****"), "")</f>
        <v/>
      </c>
      <c r="H172" s="77" t="str">
        <f>IF($C172="yes", IF(Knowns!E164&lt;&gt;0, Knowns!E164, "****"), "")</f>
        <v/>
      </c>
      <c r="I172" s="77" t="str">
        <f>IF($C172="yes", IF(Knowns!F164&lt;&gt;0, Knowns!F164, "****"), "")</f>
        <v/>
      </c>
      <c r="J172" s="39"/>
    </row>
    <row r="173" spans="1:10">
      <c r="A173" s="33" t="str">
        <f>IF(Knowns!A165&lt;&gt;"", Knowns!A165, "")</f>
        <v/>
      </c>
      <c r="B173" s="33" t="str">
        <f>IF(A173&lt;&gt;"", MAX('Error Calc (bp)'!B165:G165), "")</f>
        <v/>
      </c>
      <c r="C173" s="33" t="str">
        <f>IF(A173&lt;&gt;"", IF(B173&lt;Parameters!B$3, "yes", "no"), "")</f>
        <v/>
      </c>
      <c r="D173" s="33"/>
      <c r="E173" s="77" t="str">
        <f>IF($C173="yes", IF(Knowns!B165&lt;&gt;0, Knowns!B165, "****"), "")</f>
        <v/>
      </c>
      <c r="F173" s="77" t="str">
        <f>IF($C173="yes", IF(Knowns!C165&lt;&gt;0, Knowns!C165, "****"), "")</f>
        <v/>
      </c>
      <c r="G173" s="77" t="str">
        <f>IF($C173="yes", IF(Knowns!D165&lt;&gt;0, Knowns!D165, "****"), "")</f>
        <v/>
      </c>
      <c r="H173" s="77" t="str">
        <f>IF($C173="yes", IF(Knowns!E165&lt;&gt;0, Knowns!E165, "****"), "")</f>
        <v/>
      </c>
      <c r="I173" s="77" t="str">
        <f>IF($C173="yes", IF(Knowns!F165&lt;&gt;0, Knowns!F165, "****"), "")</f>
        <v/>
      </c>
      <c r="J173" s="39"/>
    </row>
    <row r="174" spans="1:10">
      <c r="A174" s="33" t="str">
        <f>IF(Knowns!A166&lt;&gt;"", Knowns!A166, "")</f>
        <v/>
      </c>
      <c r="B174" s="33" t="str">
        <f>IF(A174&lt;&gt;"", MAX('Error Calc (bp)'!B166:G166), "")</f>
        <v/>
      </c>
      <c r="C174" s="33" t="str">
        <f>IF(A174&lt;&gt;"", IF(B174&lt;Parameters!B$3, "yes", "no"), "")</f>
        <v/>
      </c>
      <c r="D174" s="33"/>
      <c r="E174" s="77" t="str">
        <f>IF($C174="yes", IF(Knowns!B166&lt;&gt;0, Knowns!B166, "****"), "")</f>
        <v/>
      </c>
      <c r="F174" s="77" t="str">
        <f>IF($C174="yes", IF(Knowns!C166&lt;&gt;0, Knowns!C166, "****"), "")</f>
        <v/>
      </c>
      <c r="G174" s="77" t="str">
        <f>IF($C174="yes", IF(Knowns!D166&lt;&gt;0, Knowns!D166, "****"), "")</f>
        <v/>
      </c>
      <c r="H174" s="77" t="str">
        <f>IF($C174="yes", IF(Knowns!E166&lt;&gt;0, Knowns!E166, "****"), "")</f>
        <v/>
      </c>
      <c r="I174" s="77" t="str">
        <f>IF($C174="yes", IF(Knowns!F166&lt;&gt;0, Knowns!F166, "****"), "")</f>
        <v/>
      </c>
      <c r="J174" s="39"/>
    </row>
    <row r="175" spans="1:10">
      <c r="A175" s="33" t="str">
        <f>IF(Knowns!A167&lt;&gt;"", Knowns!A167, "")</f>
        <v/>
      </c>
      <c r="B175" s="33" t="str">
        <f>IF(A175&lt;&gt;"", MAX('Error Calc (bp)'!B167:G167), "")</f>
        <v/>
      </c>
      <c r="C175" s="33" t="str">
        <f>IF(A175&lt;&gt;"", IF(B175&lt;Parameters!B$3, "yes", "no"), "")</f>
        <v/>
      </c>
      <c r="D175" s="33"/>
      <c r="E175" s="77" t="str">
        <f>IF($C175="yes", IF(Knowns!B167&lt;&gt;0, Knowns!B167, "****"), "")</f>
        <v/>
      </c>
      <c r="F175" s="77" t="str">
        <f>IF($C175="yes", IF(Knowns!C167&lt;&gt;0, Knowns!C167, "****"), "")</f>
        <v/>
      </c>
      <c r="G175" s="77" t="str">
        <f>IF($C175="yes", IF(Knowns!D167&lt;&gt;0, Knowns!D167, "****"), "")</f>
        <v/>
      </c>
      <c r="H175" s="77" t="str">
        <f>IF($C175="yes", IF(Knowns!E167&lt;&gt;0, Knowns!E167, "****"), "")</f>
        <v/>
      </c>
      <c r="I175" s="77" t="str">
        <f>IF($C175="yes", IF(Knowns!F167&lt;&gt;0, Knowns!F167, "****"), "")</f>
        <v/>
      </c>
      <c r="J175" s="39"/>
    </row>
    <row r="176" spans="1:10">
      <c r="A176" s="33" t="str">
        <f>IF(Knowns!A168&lt;&gt;"", Knowns!A168, "")</f>
        <v/>
      </c>
      <c r="B176" s="33" t="str">
        <f>IF(A176&lt;&gt;"", MAX('Error Calc (bp)'!B168:G168), "")</f>
        <v/>
      </c>
      <c r="C176" s="33" t="str">
        <f>IF(A176&lt;&gt;"", IF(B176&lt;Parameters!B$3, "yes", "no"), "")</f>
        <v/>
      </c>
      <c r="D176" s="33"/>
      <c r="E176" s="77" t="str">
        <f>IF($C176="yes", IF(Knowns!B168&lt;&gt;0, Knowns!B168, "****"), "")</f>
        <v/>
      </c>
      <c r="F176" s="77" t="str">
        <f>IF($C176="yes", IF(Knowns!C168&lt;&gt;0, Knowns!C168, "****"), "")</f>
        <v/>
      </c>
      <c r="G176" s="77" t="str">
        <f>IF($C176="yes", IF(Knowns!D168&lt;&gt;0, Knowns!D168, "****"), "")</f>
        <v/>
      </c>
      <c r="H176" s="77" t="str">
        <f>IF($C176="yes", IF(Knowns!E168&lt;&gt;0, Knowns!E168, "****"), "")</f>
        <v/>
      </c>
      <c r="I176" s="77" t="str">
        <f>IF($C176="yes", IF(Knowns!F168&lt;&gt;0, Knowns!F168, "****"), "")</f>
        <v/>
      </c>
      <c r="J176" s="39"/>
    </row>
    <row r="177" spans="1:10">
      <c r="A177" s="33" t="str">
        <f>IF(Knowns!A169&lt;&gt;"", Knowns!A169, "")</f>
        <v/>
      </c>
      <c r="B177" s="33" t="str">
        <f>IF(A177&lt;&gt;"", MAX('Error Calc (bp)'!B169:G169), "")</f>
        <v/>
      </c>
      <c r="C177" s="33" t="str">
        <f>IF(A177&lt;&gt;"", IF(B177&lt;Parameters!B$3, "yes", "no"), "")</f>
        <v/>
      </c>
      <c r="D177" s="33"/>
      <c r="E177" s="77" t="str">
        <f>IF($C177="yes", IF(Knowns!B169&lt;&gt;0, Knowns!B169, "****"), "")</f>
        <v/>
      </c>
      <c r="F177" s="77" t="str">
        <f>IF($C177="yes", IF(Knowns!C169&lt;&gt;0, Knowns!C169, "****"), "")</f>
        <v/>
      </c>
      <c r="G177" s="77" t="str">
        <f>IF($C177="yes", IF(Knowns!D169&lt;&gt;0, Knowns!D169, "****"), "")</f>
        <v/>
      </c>
      <c r="H177" s="77" t="str">
        <f>IF($C177="yes", IF(Knowns!E169&lt;&gt;0, Knowns!E169, "****"), "")</f>
        <v/>
      </c>
      <c r="I177" s="77" t="str">
        <f>IF($C177="yes", IF(Knowns!F169&lt;&gt;0, Knowns!F169, "****"), "")</f>
        <v/>
      </c>
      <c r="J177" s="39"/>
    </row>
    <row r="178" spans="1:10">
      <c r="A178" s="33" t="str">
        <f>IF(Knowns!A170&lt;&gt;"", Knowns!A170, "")</f>
        <v/>
      </c>
      <c r="B178" s="33" t="str">
        <f>IF(A178&lt;&gt;"", MAX('Error Calc (bp)'!B170:G170), "")</f>
        <v/>
      </c>
      <c r="C178" s="33" t="str">
        <f>IF(A178&lt;&gt;"", IF(B178&lt;Parameters!B$3, "yes", "no"), "")</f>
        <v/>
      </c>
      <c r="D178" s="33"/>
      <c r="E178" s="77" t="str">
        <f>IF($C178="yes", IF(Knowns!B170&lt;&gt;0, Knowns!B170, "****"), "")</f>
        <v/>
      </c>
      <c r="F178" s="77" t="str">
        <f>IF($C178="yes", IF(Knowns!C170&lt;&gt;0, Knowns!C170, "****"), "")</f>
        <v/>
      </c>
      <c r="G178" s="77" t="str">
        <f>IF($C178="yes", IF(Knowns!D170&lt;&gt;0, Knowns!D170, "****"), "")</f>
        <v/>
      </c>
      <c r="H178" s="77" t="str">
        <f>IF($C178="yes", IF(Knowns!E170&lt;&gt;0, Knowns!E170, "****"), "")</f>
        <v/>
      </c>
      <c r="I178" s="77" t="str">
        <f>IF($C178="yes", IF(Knowns!F170&lt;&gt;0, Knowns!F170, "****"), "")</f>
        <v/>
      </c>
      <c r="J178" s="39"/>
    </row>
    <row r="179" spans="1:10">
      <c r="A179" s="33" t="str">
        <f>IF(Knowns!A171&lt;&gt;"", Knowns!A171, "")</f>
        <v/>
      </c>
      <c r="B179" s="33" t="str">
        <f>IF(A179&lt;&gt;"", MAX('Error Calc (bp)'!B171:G171), "")</f>
        <v/>
      </c>
      <c r="C179" s="33" t="str">
        <f>IF(A179&lt;&gt;"", IF(B179&lt;Parameters!B$3, "yes", "no"), "")</f>
        <v/>
      </c>
      <c r="D179" s="33"/>
      <c r="E179" s="77" t="str">
        <f>IF($C179="yes", IF(Knowns!B171&lt;&gt;0, Knowns!B171, "****"), "")</f>
        <v/>
      </c>
      <c r="F179" s="77" t="str">
        <f>IF($C179="yes", IF(Knowns!C171&lt;&gt;0, Knowns!C171, "****"), "")</f>
        <v/>
      </c>
      <c r="G179" s="77" t="str">
        <f>IF($C179="yes", IF(Knowns!D171&lt;&gt;0, Knowns!D171, "****"), "")</f>
        <v/>
      </c>
      <c r="H179" s="77" t="str">
        <f>IF($C179="yes", IF(Knowns!E171&lt;&gt;0, Knowns!E171, "****"), "")</f>
        <v/>
      </c>
      <c r="I179" s="77" t="str">
        <f>IF($C179="yes", IF(Knowns!F171&lt;&gt;0, Knowns!F171, "****"), "")</f>
        <v/>
      </c>
      <c r="J179" s="39"/>
    </row>
    <row r="180" spans="1:10">
      <c r="A180" s="33" t="str">
        <f>IF(Knowns!A172&lt;&gt;"", Knowns!A172, "")</f>
        <v/>
      </c>
      <c r="B180" s="33" t="str">
        <f>IF(A180&lt;&gt;"", MAX('Error Calc (bp)'!B172:G172), "")</f>
        <v/>
      </c>
      <c r="C180" s="33" t="str">
        <f>IF(A180&lt;&gt;"", IF(B180&lt;Parameters!B$3, "yes", "no"), "")</f>
        <v/>
      </c>
      <c r="D180" s="33"/>
      <c r="E180" s="77" t="str">
        <f>IF($C180="yes", IF(Knowns!B172&lt;&gt;0, Knowns!B172, "****"), "")</f>
        <v/>
      </c>
      <c r="F180" s="77" t="str">
        <f>IF($C180="yes", IF(Knowns!C172&lt;&gt;0, Knowns!C172, "****"), "")</f>
        <v/>
      </c>
      <c r="G180" s="77" t="str">
        <f>IF($C180="yes", IF(Knowns!D172&lt;&gt;0, Knowns!D172, "****"), "")</f>
        <v/>
      </c>
      <c r="H180" s="77" t="str">
        <f>IF($C180="yes", IF(Knowns!E172&lt;&gt;0, Knowns!E172, "****"), "")</f>
        <v/>
      </c>
      <c r="I180" s="77" t="str">
        <f>IF($C180="yes", IF(Knowns!F172&lt;&gt;0, Knowns!F172, "****"), "")</f>
        <v/>
      </c>
      <c r="J180" s="39"/>
    </row>
    <row r="181" spans="1:10">
      <c r="A181" s="33" t="str">
        <f>IF(Knowns!A173&lt;&gt;"", Knowns!A173, "")</f>
        <v/>
      </c>
      <c r="B181" s="33" t="str">
        <f>IF(A181&lt;&gt;"", MAX('Error Calc (bp)'!B173:G173), "")</f>
        <v/>
      </c>
      <c r="C181" s="33" t="str">
        <f>IF(A181&lt;&gt;"", IF(B181&lt;Parameters!B$3, "yes", "no"), "")</f>
        <v/>
      </c>
      <c r="D181" s="33"/>
      <c r="E181" s="77" t="str">
        <f>IF($C181="yes", IF(Knowns!B173&lt;&gt;0, Knowns!B173, "****"), "")</f>
        <v/>
      </c>
      <c r="F181" s="77" t="str">
        <f>IF($C181="yes", IF(Knowns!C173&lt;&gt;0, Knowns!C173, "****"), "")</f>
        <v/>
      </c>
      <c r="G181" s="77" t="str">
        <f>IF($C181="yes", IF(Knowns!D173&lt;&gt;0, Knowns!D173, "****"), "")</f>
        <v/>
      </c>
      <c r="H181" s="77" t="str">
        <f>IF($C181="yes", IF(Knowns!E173&lt;&gt;0, Knowns!E173, "****"), "")</f>
        <v/>
      </c>
      <c r="I181" s="77" t="str">
        <f>IF($C181="yes", IF(Knowns!F173&lt;&gt;0, Knowns!F173, "****"), "")</f>
        <v/>
      </c>
      <c r="J181" s="39"/>
    </row>
    <row r="182" spans="1:10">
      <c r="A182" s="33" t="str">
        <f>IF(Knowns!A174&lt;&gt;"", Knowns!A174, "")</f>
        <v/>
      </c>
      <c r="B182" s="33" t="str">
        <f>IF(A182&lt;&gt;"", MAX('Error Calc (bp)'!B174:G174), "")</f>
        <v/>
      </c>
      <c r="C182" s="33" t="str">
        <f>IF(A182&lt;&gt;"", IF(B182&lt;Parameters!B$3, "yes", "no"), "")</f>
        <v/>
      </c>
      <c r="D182" s="33"/>
      <c r="E182" s="77" t="str">
        <f>IF($C182="yes", IF(Knowns!B174&lt;&gt;0, Knowns!B174, "****"), "")</f>
        <v/>
      </c>
      <c r="F182" s="77" t="str">
        <f>IF($C182="yes", IF(Knowns!C174&lt;&gt;0, Knowns!C174, "****"), "")</f>
        <v/>
      </c>
      <c r="G182" s="77" t="str">
        <f>IF($C182="yes", IF(Knowns!D174&lt;&gt;0, Knowns!D174, "****"), "")</f>
        <v/>
      </c>
      <c r="H182" s="77" t="str">
        <f>IF($C182="yes", IF(Knowns!E174&lt;&gt;0, Knowns!E174, "****"), "")</f>
        <v/>
      </c>
      <c r="I182" s="77" t="str">
        <f>IF($C182="yes", IF(Knowns!F174&lt;&gt;0, Knowns!F174, "****"), "")</f>
        <v/>
      </c>
      <c r="J182" s="39"/>
    </row>
    <row r="183" spans="1:10">
      <c r="A183" s="33" t="str">
        <f>IF(Knowns!A175&lt;&gt;"", Knowns!A175, "")</f>
        <v/>
      </c>
      <c r="B183" s="33" t="str">
        <f>IF(A183&lt;&gt;"", MAX('Error Calc (bp)'!B175:G175), "")</f>
        <v/>
      </c>
      <c r="C183" s="33" t="str">
        <f>IF(A183&lt;&gt;"", IF(B183&lt;Parameters!B$3, "yes", "no"), "")</f>
        <v/>
      </c>
      <c r="D183" s="33"/>
      <c r="E183" s="77" t="str">
        <f>IF($C183="yes", IF(Knowns!B175&lt;&gt;0, Knowns!B175, "****"), "")</f>
        <v/>
      </c>
      <c r="F183" s="77" t="str">
        <f>IF($C183="yes", IF(Knowns!C175&lt;&gt;0, Knowns!C175, "****"), "")</f>
        <v/>
      </c>
      <c r="G183" s="77" t="str">
        <f>IF($C183="yes", IF(Knowns!D175&lt;&gt;0, Knowns!D175, "****"), "")</f>
        <v/>
      </c>
      <c r="H183" s="77" t="str">
        <f>IF($C183="yes", IF(Knowns!E175&lt;&gt;0, Knowns!E175, "****"), "")</f>
        <v/>
      </c>
      <c r="I183" s="77" t="str">
        <f>IF($C183="yes", IF(Knowns!F175&lt;&gt;0, Knowns!F175, "****"), "")</f>
        <v/>
      </c>
      <c r="J183" s="39"/>
    </row>
    <row r="184" spans="1:10">
      <c r="A184" s="33" t="str">
        <f>IF(Knowns!A176&lt;&gt;"", Knowns!A176, "")</f>
        <v/>
      </c>
      <c r="B184" s="33" t="str">
        <f>IF(A184&lt;&gt;"", MAX('Error Calc (bp)'!B176:G176), "")</f>
        <v/>
      </c>
      <c r="C184" s="33" t="str">
        <f>IF(A184&lt;&gt;"", IF(B184&lt;Parameters!B$3, "yes", "no"), "")</f>
        <v/>
      </c>
      <c r="D184" s="33"/>
      <c r="E184" s="77" t="str">
        <f>IF($C184="yes", IF(Knowns!B176&lt;&gt;0, Knowns!B176, "****"), "")</f>
        <v/>
      </c>
      <c r="F184" s="77" t="str">
        <f>IF($C184="yes", IF(Knowns!C176&lt;&gt;0, Knowns!C176, "****"), "")</f>
        <v/>
      </c>
      <c r="G184" s="77" t="str">
        <f>IF($C184="yes", IF(Knowns!D176&lt;&gt;0, Knowns!D176, "****"), "")</f>
        <v/>
      </c>
      <c r="H184" s="77" t="str">
        <f>IF($C184="yes", IF(Knowns!E176&lt;&gt;0, Knowns!E176, "****"), "")</f>
        <v/>
      </c>
      <c r="I184" s="77" t="str">
        <f>IF($C184="yes", IF(Knowns!F176&lt;&gt;0, Knowns!F176, "****"), "")</f>
        <v/>
      </c>
      <c r="J184" s="39"/>
    </row>
    <row r="185" spans="1:10">
      <c r="A185" s="33" t="str">
        <f>IF(Knowns!A177&lt;&gt;"", Knowns!A177, "")</f>
        <v/>
      </c>
      <c r="B185" s="33" t="str">
        <f>IF(A185&lt;&gt;"", MAX('Error Calc (bp)'!B177:G177), "")</f>
        <v/>
      </c>
      <c r="C185" s="33" t="str">
        <f>IF(A185&lt;&gt;"", IF(B185&lt;Parameters!B$3, "yes", "no"), "")</f>
        <v/>
      </c>
      <c r="D185" s="33"/>
      <c r="E185" s="77" t="str">
        <f>IF($C185="yes", IF(Knowns!B177&lt;&gt;0, Knowns!B177, "****"), "")</f>
        <v/>
      </c>
      <c r="F185" s="77" t="str">
        <f>IF($C185="yes", IF(Knowns!C177&lt;&gt;0, Knowns!C177, "****"), "")</f>
        <v/>
      </c>
      <c r="G185" s="77" t="str">
        <f>IF($C185="yes", IF(Knowns!D177&lt;&gt;0, Knowns!D177, "****"), "")</f>
        <v/>
      </c>
      <c r="H185" s="77" t="str">
        <f>IF($C185="yes", IF(Knowns!E177&lt;&gt;0, Knowns!E177, "****"), "")</f>
        <v/>
      </c>
      <c r="I185" s="77" t="str">
        <f>IF($C185="yes", IF(Knowns!F177&lt;&gt;0, Knowns!F177, "****"), "")</f>
        <v/>
      </c>
      <c r="J185" s="39"/>
    </row>
    <row r="186" spans="1:10">
      <c r="A186" s="33" t="str">
        <f>IF(Knowns!A178&lt;&gt;"", Knowns!A178, "")</f>
        <v/>
      </c>
      <c r="B186" s="33" t="str">
        <f>IF(A186&lt;&gt;"", MAX('Error Calc (bp)'!B178:G178), "")</f>
        <v/>
      </c>
      <c r="C186" s="33" t="str">
        <f>IF(A186&lt;&gt;"", IF(B186&lt;Parameters!B$3, "yes", "no"), "")</f>
        <v/>
      </c>
      <c r="D186" s="33"/>
      <c r="E186" s="77" t="str">
        <f>IF($C186="yes", IF(Knowns!B178&lt;&gt;0, Knowns!B178, "****"), "")</f>
        <v/>
      </c>
      <c r="F186" s="77" t="str">
        <f>IF($C186="yes", IF(Knowns!C178&lt;&gt;0, Knowns!C178, "****"), "")</f>
        <v/>
      </c>
      <c r="G186" s="77" t="str">
        <f>IF($C186="yes", IF(Knowns!D178&lt;&gt;0, Knowns!D178, "****"), "")</f>
        <v/>
      </c>
      <c r="H186" s="77" t="str">
        <f>IF($C186="yes", IF(Knowns!E178&lt;&gt;0, Knowns!E178, "****"), "")</f>
        <v/>
      </c>
      <c r="I186" s="77" t="str">
        <f>IF($C186="yes", IF(Knowns!F178&lt;&gt;0, Knowns!F178, "****"), "")</f>
        <v/>
      </c>
      <c r="J186" s="39"/>
    </row>
    <row r="187" spans="1:10">
      <c r="A187" s="33" t="str">
        <f>IF(Knowns!A179&lt;&gt;"", Knowns!A179, "")</f>
        <v/>
      </c>
      <c r="B187" s="33" t="str">
        <f>IF(A187&lt;&gt;"", MAX('Error Calc (bp)'!B179:G179), "")</f>
        <v/>
      </c>
      <c r="C187" s="33" t="str">
        <f>IF(A187&lt;&gt;"", IF(B187&lt;Parameters!B$3, "yes", "no"), "")</f>
        <v/>
      </c>
      <c r="D187" s="33"/>
      <c r="E187" s="77" t="str">
        <f>IF($C187="yes", IF(Knowns!B179&lt;&gt;0, Knowns!B179, "****"), "")</f>
        <v/>
      </c>
      <c r="F187" s="77" t="str">
        <f>IF($C187="yes", IF(Knowns!C179&lt;&gt;0, Knowns!C179, "****"), "")</f>
        <v/>
      </c>
      <c r="G187" s="77" t="str">
        <f>IF($C187="yes", IF(Knowns!D179&lt;&gt;0, Knowns!D179, "****"), "")</f>
        <v/>
      </c>
      <c r="H187" s="77" t="str">
        <f>IF($C187="yes", IF(Knowns!E179&lt;&gt;0, Knowns!E179, "****"), "")</f>
        <v/>
      </c>
      <c r="I187" s="77" t="str">
        <f>IF($C187="yes", IF(Knowns!F179&lt;&gt;0, Knowns!F179, "****"), "")</f>
        <v/>
      </c>
      <c r="J187" s="39"/>
    </row>
    <row r="188" spans="1:10">
      <c r="A188" s="33" t="str">
        <f>IF(Knowns!A180&lt;&gt;"", Knowns!A180, "")</f>
        <v/>
      </c>
      <c r="B188" s="33" t="str">
        <f>IF(A188&lt;&gt;"", MAX('Error Calc (bp)'!B180:G180), "")</f>
        <v/>
      </c>
      <c r="C188" s="33" t="str">
        <f>IF(A188&lt;&gt;"", IF(B188&lt;Parameters!B$3, "yes", "no"), "")</f>
        <v/>
      </c>
      <c r="D188" s="33"/>
      <c r="E188" s="77" t="str">
        <f>IF($C188="yes", IF(Knowns!B180&lt;&gt;0, Knowns!B180, "****"), "")</f>
        <v/>
      </c>
      <c r="F188" s="77" t="str">
        <f>IF($C188="yes", IF(Knowns!C180&lt;&gt;0, Knowns!C180, "****"), "")</f>
        <v/>
      </c>
      <c r="G188" s="77" t="str">
        <f>IF($C188="yes", IF(Knowns!D180&lt;&gt;0, Knowns!D180, "****"), "")</f>
        <v/>
      </c>
      <c r="H188" s="77" t="str">
        <f>IF($C188="yes", IF(Knowns!E180&lt;&gt;0, Knowns!E180, "****"), "")</f>
        <v/>
      </c>
      <c r="I188" s="77" t="str">
        <f>IF($C188="yes", IF(Knowns!F180&lt;&gt;0, Knowns!F180, "****"), "")</f>
        <v/>
      </c>
      <c r="J188" s="39"/>
    </row>
    <row r="189" spans="1:10">
      <c r="A189" s="33" t="str">
        <f>IF(Knowns!A181&lt;&gt;"", Knowns!A181, "")</f>
        <v/>
      </c>
      <c r="B189" s="33" t="str">
        <f>IF(A189&lt;&gt;"", MAX('Error Calc (bp)'!B181:G181), "")</f>
        <v/>
      </c>
      <c r="C189" s="33" t="str">
        <f>IF(A189&lt;&gt;"", IF(B189&lt;Parameters!B$3, "yes", "no"), "")</f>
        <v/>
      </c>
      <c r="D189" s="33"/>
      <c r="E189" s="77" t="str">
        <f>IF($C189="yes", IF(Knowns!B181&lt;&gt;0, Knowns!B181, "****"), "")</f>
        <v/>
      </c>
      <c r="F189" s="77" t="str">
        <f>IF($C189="yes", IF(Knowns!C181&lt;&gt;0, Knowns!C181, "****"), "")</f>
        <v/>
      </c>
      <c r="G189" s="77" t="str">
        <f>IF($C189="yes", IF(Knowns!D181&lt;&gt;0, Knowns!D181, "****"), "")</f>
        <v/>
      </c>
      <c r="H189" s="77" t="str">
        <f>IF($C189="yes", IF(Knowns!E181&lt;&gt;0, Knowns!E181, "****"), "")</f>
        <v/>
      </c>
      <c r="I189" s="77" t="str">
        <f>IF($C189="yes", IF(Knowns!F181&lt;&gt;0, Knowns!F181, "****"), "")</f>
        <v/>
      </c>
      <c r="J189" s="39"/>
    </row>
    <row r="190" spans="1:10">
      <c r="A190" s="33" t="str">
        <f>IF(Knowns!A182&lt;&gt;"", Knowns!A182, "")</f>
        <v/>
      </c>
      <c r="B190" s="33" t="str">
        <f>IF(A190&lt;&gt;"", MAX('Error Calc (bp)'!B182:G182), "")</f>
        <v/>
      </c>
      <c r="C190" s="33" t="str">
        <f>IF(A190&lt;&gt;"", IF(B190&lt;Parameters!B$3, "yes", "no"), "")</f>
        <v/>
      </c>
      <c r="D190" s="33"/>
      <c r="E190" s="77" t="str">
        <f>IF($C190="yes", IF(Knowns!B182&lt;&gt;0, Knowns!B182, "****"), "")</f>
        <v/>
      </c>
      <c r="F190" s="77" t="str">
        <f>IF($C190="yes", IF(Knowns!C182&lt;&gt;0, Knowns!C182, "****"), "")</f>
        <v/>
      </c>
      <c r="G190" s="77" t="str">
        <f>IF($C190="yes", IF(Knowns!D182&lt;&gt;0, Knowns!D182, "****"), "")</f>
        <v/>
      </c>
      <c r="H190" s="77" t="str">
        <f>IF($C190="yes", IF(Knowns!E182&lt;&gt;0, Knowns!E182, "****"), "")</f>
        <v/>
      </c>
      <c r="I190" s="77" t="str">
        <f>IF($C190="yes", IF(Knowns!F182&lt;&gt;0, Knowns!F182, "****"), "")</f>
        <v/>
      </c>
      <c r="J190" s="39"/>
    </row>
    <row r="191" spans="1:10">
      <c r="A191" s="33" t="str">
        <f>IF(Knowns!A183&lt;&gt;"", Knowns!A183, "")</f>
        <v/>
      </c>
      <c r="B191" s="33" t="str">
        <f>IF(A191&lt;&gt;"", MAX('Error Calc (bp)'!B183:G183), "")</f>
        <v/>
      </c>
      <c r="C191" s="33" t="str">
        <f>IF(A191&lt;&gt;"", IF(B191&lt;Parameters!B$3, "yes", "no"), "")</f>
        <v/>
      </c>
      <c r="D191" s="33"/>
      <c r="E191" s="77" t="str">
        <f>IF($C191="yes", IF(Knowns!B183&lt;&gt;0, Knowns!B183, "****"), "")</f>
        <v/>
      </c>
      <c r="F191" s="77" t="str">
        <f>IF($C191="yes", IF(Knowns!C183&lt;&gt;0, Knowns!C183, "****"), "")</f>
        <v/>
      </c>
      <c r="G191" s="77" t="str">
        <f>IF($C191="yes", IF(Knowns!D183&lt;&gt;0, Knowns!D183, "****"), "")</f>
        <v/>
      </c>
      <c r="H191" s="77" t="str">
        <f>IF($C191="yes", IF(Knowns!E183&lt;&gt;0, Knowns!E183, "****"), "")</f>
        <v/>
      </c>
      <c r="I191" s="77" t="str">
        <f>IF($C191="yes", IF(Knowns!F183&lt;&gt;0, Knowns!F183, "****"), "")</f>
        <v/>
      </c>
      <c r="J191" s="39"/>
    </row>
    <row r="192" spans="1:10">
      <c r="A192" s="33" t="str">
        <f>IF(Knowns!A184&lt;&gt;"", Knowns!A184, "")</f>
        <v/>
      </c>
      <c r="B192" s="33" t="str">
        <f>IF(A192&lt;&gt;"", MAX('Error Calc (bp)'!B184:G184), "")</f>
        <v/>
      </c>
      <c r="C192" s="33" t="str">
        <f>IF(A192&lt;&gt;"", IF(B192&lt;Parameters!B$3, "yes", "no"), "")</f>
        <v/>
      </c>
      <c r="D192" s="33"/>
      <c r="E192" s="77" t="str">
        <f>IF($C192="yes", IF(Knowns!B184&lt;&gt;0, Knowns!B184, "****"), "")</f>
        <v/>
      </c>
      <c r="F192" s="77" t="str">
        <f>IF($C192="yes", IF(Knowns!C184&lt;&gt;0, Knowns!C184, "****"), "")</f>
        <v/>
      </c>
      <c r="G192" s="77" t="str">
        <f>IF($C192="yes", IF(Knowns!D184&lt;&gt;0, Knowns!D184, "****"), "")</f>
        <v/>
      </c>
      <c r="H192" s="77" t="str">
        <f>IF($C192="yes", IF(Knowns!E184&lt;&gt;0, Knowns!E184, "****"), "")</f>
        <v/>
      </c>
      <c r="I192" s="77" t="str">
        <f>IF($C192="yes", IF(Knowns!F184&lt;&gt;0, Knowns!F184, "****"), "")</f>
        <v/>
      </c>
      <c r="J192" s="39"/>
    </row>
    <row r="193" spans="1:10">
      <c r="A193" s="33" t="str">
        <f>IF(Knowns!A185&lt;&gt;"", Knowns!A185, "")</f>
        <v/>
      </c>
      <c r="B193" s="33" t="str">
        <f>IF(A193&lt;&gt;"", MAX('Error Calc (bp)'!B185:G185), "")</f>
        <v/>
      </c>
      <c r="C193" s="33" t="str">
        <f>IF(A193&lt;&gt;"", IF(B193&lt;Parameters!B$3, "yes", "no"), "")</f>
        <v/>
      </c>
      <c r="D193" s="33"/>
      <c r="E193" s="77" t="str">
        <f>IF($C193="yes", IF(Knowns!B185&lt;&gt;0, Knowns!B185, "****"), "")</f>
        <v/>
      </c>
      <c r="F193" s="77" t="str">
        <f>IF($C193="yes", IF(Knowns!C185&lt;&gt;0, Knowns!C185, "****"), "")</f>
        <v/>
      </c>
      <c r="G193" s="77" t="str">
        <f>IF($C193="yes", IF(Knowns!D185&lt;&gt;0, Knowns!D185, "****"), "")</f>
        <v/>
      </c>
      <c r="H193" s="77" t="str">
        <f>IF($C193="yes", IF(Knowns!E185&lt;&gt;0, Knowns!E185, "****"), "")</f>
        <v/>
      </c>
      <c r="I193" s="77" t="str">
        <f>IF($C193="yes", IF(Knowns!F185&lt;&gt;0, Knowns!F185, "****"), "")</f>
        <v/>
      </c>
      <c r="J193" s="39"/>
    </row>
    <row r="194" spans="1:10">
      <c r="A194" s="33" t="str">
        <f>IF(Knowns!A186&lt;&gt;"", Knowns!A186, "")</f>
        <v/>
      </c>
      <c r="B194" s="33" t="str">
        <f>IF(A194&lt;&gt;"", MAX('Error Calc (bp)'!B186:G186), "")</f>
        <v/>
      </c>
      <c r="C194" s="33" t="str">
        <f>IF(A194&lt;&gt;"", IF(B194&lt;Parameters!B$3, "yes", "no"), "")</f>
        <v/>
      </c>
      <c r="D194" s="33"/>
      <c r="E194" s="77" t="str">
        <f>IF($C194="yes", IF(Knowns!B186&lt;&gt;0, Knowns!B186, "****"), "")</f>
        <v/>
      </c>
      <c r="F194" s="77" t="str">
        <f>IF($C194="yes", IF(Knowns!C186&lt;&gt;0, Knowns!C186, "****"), "")</f>
        <v/>
      </c>
      <c r="G194" s="77" t="str">
        <f>IF($C194="yes", IF(Knowns!D186&lt;&gt;0, Knowns!D186, "****"), "")</f>
        <v/>
      </c>
      <c r="H194" s="77" t="str">
        <f>IF($C194="yes", IF(Knowns!E186&lt;&gt;0, Knowns!E186, "****"), "")</f>
        <v/>
      </c>
      <c r="I194" s="77" t="str">
        <f>IF($C194="yes", IF(Knowns!F186&lt;&gt;0, Knowns!F186, "****"), "")</f>
        <v/>
      </c>
      <c r="J194" s="39"/>
    </row>
    <row r="195" spans="1:10">
      <c r="A195" s="33" t="str">
        <f>IF(Knowns!A187&lt;&gt;"", Knowns!A187, "")</f>
        <v/>
      </c>
      <c r="B195" s="33" t="str">
        <f>IF(A195&lt;&gt;"", MAX('Error Calc (bp)'!B187:G187), "")</f>
        <v/>
      </c>
      <c r="C195" s="33" t="str">
        <f>IF(A195&lt;&gt;"", IF(B195&lt;Parameters!B$3, "yes", "no"), "")</f>
        <v/>
      </c>
      <c r="D195" s="33"/>
      <c r="E195" s="77" t="str">
        <f>IF($C195="yes", IF(Knowns!B187&lt;&gt;0, Knowns!B187, "****"), "")</f>
        <v/>
      </c>
      <c r="F195" s="77" t="str">
        <f>IF($C195="yes", IF(Knowns!C187&lt;&gt;0, Knowns!C187, "****"), "")</f>
        <v/>
      </c>
      <c r="G195" s="77" t="str">
        <f>IF($C195="yes", IF(Knowns!D187&lt;&gt;0, Knowns!D187, "****"), "")</f>
        <v/>
      </c>
      <c r="H195" s="77" t="str">
        <f>IF($C195="yes", IF(Knowns!E187&lt;&gt;0, Knowns!E187, "****"), "")</f>
        <v/>
      </c>
      <c r="I195" s="77" t="str">
        <f>IF($C195="yes", IF(Knowns!F187&lt;&gt;0, Knowns!F187, "****"), "")</f>
        <v/>
      </c>
      <c r="J195" s="39"/>
    </row>
    <row r="196" spans="1:10">
      <c r="A196" s="33" t="str">
        <f>IF(Knowns!A188&lt;&gt;"", Knowns!A188, "")</f>
        <v/>
      </c>
      <c r="B196" s="33" t="str">
        <f>IF(A196&lt;&gt;"", MAX('Error Calc (bp)'!B188:G188), "")</f>
        <v/>
      </c>
      <c r="C196" s="33" t="str">
        <f>IF(A196&lt;&gt;"", IF(B196&lt;Parameters!B$3, "yes", "no"), "")</f>
        <v/>
      </c>
      <c r="D196" s="33"/>
      <c r="E196" s="77" t="str">
        <f>IF($C196="yes", IF(Knowns!B188&lt;&gt;0, Knowns!B188, "****"), "")</f>
        <v/>
      </c>
      <c r="F196" s="77" t="str">
        <f>IF($C196="yes", IF(Knowns!C188&lt;&gt;0, Knowns!C188, "****"), "")</f>
        <v/>
      </c>
      <c r="G196" s="77" t="str">
        <f>IF($C196="yes", IF(Knowns!D188&lt;&gt;0, Knowns!D188, "****"), "")</f>
        <v/>
      </c>
      <c r="H196" s="77" t="str">
        <f>IF($C196="yes", IF(Knowns!E188&lt;&gt;0, Knowns!E188, "****"), "")</f>
        <v/>
      </c>
      <c r="I196" s="77" t="str">
        <f>IF($C196="yes", IF(Knowns!F188&lt;&gt;0, Knowns!F188, "****"), "")</f>
        <v/>
      </c>
      <c r="J196" s="39"/>
    </row>
    <row r="197" spans="1:10">
      <c r="A197" s="33" t="str">
        <f>IF(Knowns!A189&lt;&gt;"", Knowns!A189, "")</f>
        <v/>
      </c>
      <c r="B197" s="33" t="str">
        <f>IF(A197&lt;&gt;"", MAX('Error Calc (bp)'!B189:G189), "")</f>
        <v/>
      </c>
      <c r="C197" s="33" t="str">
        <f>IF(A197&lt;&gt;"", IF(B197&lt;Parameters!B$3, "yes", "no"), "")</f>
        <v/>
      </c>
      <c r="D197" s="33"/>
      <c r="E197" s="77" t="str">
        <f>IF($C197="yes", IF(Knowns!B189&lt;&gt;0, Knowns!B189, "****"), "")</f>
        <v/>
      </c>
      <c r="F197" s="77" t="str">
        <f>IF($C197="yes", IF(Knowns!C189&lt;&gt;0, Knowns!C189, "****"), "")</f>
        <v/>
      </c>
      <c r="G197" s="77" t="str">
        <f>IF($C197="yes", IF(Knowns!D189&lt;&gt;0, Knowns!D189, "****"), "")</f>
        <v/>
      </c>
      <c r="H197" s="77" t="str">
        <f>IF($C197="yes", IF(Knowns!E189&lt;&gt;0, Knowns!E189, "****"), "")</f>
        <v/>
      </c>
      <c r="I197" s="77" t="str">
        <f>IF($C197="yes", IF(Knowns!F189&lt;&gt;0, Knowns!F189, "****"), "")</f>
        <v/>
      </c>
      <c r="J197" s="39"/>
    </row>
    <row r="198" spans="1:10">
      <c r="A198" s="33" t="str">
        <f>IF(Knowns!A190&lt;&gt;"", Knowns!A190, "")</f>
        <v/>
      </c>
      <c r="B198" s="33" t="str">
        <f>IF(A198&lt;&gt;"", MAX('Error Calc (bp)'!B190:G190), "")</f>
        <v/>
      </c>
      <c r="C198" s="33" t="str">
        <f>IF(A198&lt;&gt;"", IF(B198&lt;Parameters!B$3, "yes", "no"), "")</f>
        <v/>
      </c>
      <c r="D198" s="33"/>
      <c r="E198" s="77" t="str">
        <f>IF($C198="yes", IF(Knowns!B190&lt;&gt;0, Knowns!B190, "****"), "")</f>
        <v/>
      </c>
      <c r="F198" s="77" t="str">
        <f>IF($C198="yes", IF(Knowns!C190&lt;&gt;0, Knowns!C190, "****"), "")</f>
        <v/>
      </c>
      <c r="G198" s="77" t="str">
        <f>IF($C198="yes", IF(Knowns!D190&lt;&gt;0, Knowns!D190, "****"), "")</f>
        <v/>
      </c>
      <c r="H198" s="77" t="str">
        <f>IF($C198="yes", IF(Knowns!E190&lt;&gt;0, Knowns!E190, "****"), "")</f>
        <v/>
      </c>
      <c r="I198" s="77" t="str">
        <f>IF($C198="yes", IF(Knowns!F190&lt;&gt;0, Knowns!F190, "****"), "")</f>
        <v/>
      </c>
      <c r="J198" s="39"/>
    </row>
    <row r="199" spans="1:10">
      <c r="A199" s="33" t="str">
        <f>IF(Knowns!A191&lt;&gt;"", Knowns!A191, "")</f>
        <v/>
      </c>
      <c r="B199" s="33" t="str">
        <f>IF(A199&lt;&gt;"", MAX('Error Calc (bp)'!B191:G191), "")</f>
        <v/>
      </c>
      <c r="C199" s="33" t="str">
        <f>IF(A199&lt;&gt;"", IF(B199&lt;Parameters!B$3, "yes", "no"), "")</f>
        <v/>
      </c>
      <c r="D199" s="33"/>
      <c r="E199" s="77" t="str">
        <f>IF($C199="yes", IF(Knowns!B191&lt;&gt;0, Knowns!B191, "****"), "")</f>
        <v/>
      </c>
      <c r="F199" s="77" t="str">
        <f>IF($C199="yes", IF(Knowns!C191&lt;&gt;0, Knowns!C191, "****"), "")</f>
        <v/>
      </c>
      <c r="G199" s="77" t="str">
        <f>IF($C199="yes", IF(Knowns!D191&lt;&gt;0, Knowns!D191, "****"), "")</f>
        <v/>
      </c>
      <c r="H199" s="77" t="str">
        <f>IF($C199="yes", IF(Knowns!E191&lt;&gt;0, Knowns!E191, "****"), "")</f>
        <v/>
      </c>
      <c r="I199" s="77" t="str">
        <f>IF($C199="yes", IF(Knowns!F191&lt;&gt;0, Knowns!F191, "****"), "")</f>
        <v/>
      </c>
      <c r="J199" s="39"/>
    </row>
    <row r="200" spans="1:10">
      <c r="A200" s="33" t="str">
        <f>IF(Knowns!A192&lt;&gt;"", Knowns!A192, "")</f>
        <v/>
      </c>
      <c r="B200" s="33" t="str">
        <f>IF(A200&lt;&gt;"", MAX('Error Calc (bp)'!B192:G192), "")</f>
        <v/>
      </c>
      <c r="C200" s="33" t="str">
        <f>IF(A200&lt;&gt;"", IF(B200&lt;Parameters!B$3, "yes", "no"), "")</f>
        <v/>
      </c>
      <c r="D200" s="33"/>
      <c r="E200" s="77" t="str">
        <f>IF($C200="yes", IF(Knowns!B192&lt;&gt;0, Knowns!B192, "****"), "")</f>
        <v/>
      </c>
      <c r="F200" s="77" t="str">
        <f>IF($C200="yes", IF(Knowns!C192&lt;&gt;0, Knowns!C192, "****"), "")</f>
        <v/>
      </c>
      <c r="G200" s="77" t="str">
        <f>IF($C200="yes", IF(Knowns!D192&lt;&gt;0, Knowns!D192, "****"), "")</f>
        <v/>
      </c>
      <c r="H200" s="77" t="str">
        <f>IF($C200="yes", IF(Knowns!E192&lt;&gt;0, Knowns!E192, "****"), "")</f>
        <v/>
      </c>
      <c r="I200" s="77" t="str">
        <f>IF($C200="yes", IF(Knowns!F192&lt;&gt;0, Knowns!F192, "****"), "")</f>
        <v/>
      </c>
      <c r="J200" s="39"/>
    </row>
    <row r="201" spans="1:10">
      <c r="A201" s="33" t="str">
        <f>IF(Knowns!A193&lt;&gt;"", Knowns!A193, "")</f>
        <v/>
      </c>
      <c r="B201" s="33" t="str">
        <f>IF(A201&lt;&gt;"", MAX('Error Calc (bp)'!B193:G193), "")</f>
        <v/>
      </c>
      <c r="C201" s="33" t="str">
        <f>IF(A201&lt;&gt;"", IF(B201&lt;Parameters!B$3, "yes", "no"), "")</f>
        <v/>
      </c>
      <c r="D201" s="33"/>
      <c r="E201" s="77" t="str">
        <f>IF($C201="yes", IF(Knowns!B193&lt;&gt;0, Knowns!B193, "****"), "")</f>
        <v/>
      </c>
      <c r="F201" s="77" t="str">
        <f>IF($C201="yes", IF(Knowns!C193&lt;&gt;0, Knowns!C193, "****"), "")</f>
        <v/>
      </c>
      <c r="G201" s="77" t="str">
        <f>IF($C201="yes", IF(Knowns!D193&lt;&gt;0, Knowns!D193, "****"), "")</f>
        <v/>
      </c>
      <c r="H201" s="77" t="str">
        <f>IF($C201="yes", IF(Knowns!E193&lt;&gt;0, Knowns!E193, "****"), "")</f>
        <v/>
      </c>
      <c r="I201" s="77" t="str">
        <f>IF($C201="yes", IF(Knowns!F193&lt;&gt;0, Knowns!F193, "****"), "")</f>
        <v/>
      </c>
      <c r="J201" s="39"/>
    </row>
    <row r="202" spans="1:10">
      <c r="A202" t="str">
        <f>IF(Knowns!A194&lt;&gt;"", Knowns!A194, "")</f>
        <v/>
      </c>
      <c r="B202" t="str">
        <f>IF(A202&lt;&gt;"", MAX('Error Calc (bp)'!B194:G194), "")</f>
        <v/>
      </c>
      <c r="C202" t="str">
        <f>IF(A202&lt;&gt;"", IF(B202&lt;Parameters!B$3, "yes", "no"), "")</f>
        <v/>
      </c>
      <c r="D202"/>
      <c r="E202" s="78" t="str">
        <f>IF($C202="yes", IF(Knowns!B194&lt;&gt;0, Knowns!B194, "****"), "")</f>
        <v/>
      </c>
      <c r="F202" s="78" t="str">
        <f>IF($C202="yes", IF(Knowns!C194&lt;&gt;0, Knowns!C194, "****"), "")</f>
        <v/>
      </c>
      <c r="G202" s="78" t="str">
        <f>IF($C202="yes", IF(Knowns!D194&lt;&gt;0, Knowns!D194, "****"), "")</f>
        <v/>
      </c>
      <c r="H202" s="78" t="str">
        <f>IF($C202="yes", IF(Knowns!E194&lt;&gt;0, Knowns!E194, "****"), "")</f>
        <v/>
      </c>
      <c r="I202" s="78" t="str">
        <f>IF($C202="yes", IF(Knowns!F194&lt;&gt;0, Knowns!F194, "****"), "")</f>
        <v/>
      </c>
    </row>
    <row r="203" spans="1:10">
      <c r="A203" t="str">
        <f>IF(Knowns!A195&lt;&gt;"", Knowns!A195, "")</f>
        <v/>
      </c>
      <c r="B203" t="str">
        <f>IF(A203&lt;&gt;"", MAX('Error Calc (bp)'!B195:G195), "")</f>
        <v/>
      </c>
      <c r="C203" t="str">
        <f>IF(A203&lt;&gt;"", IF(B203&lt;Parameters!B$3, "yes", "no"), "")</f>
        <v/>
      </c>
      <c r="D203"/>
      <c r="E203" s="78" t="str">
        <f>IF($C203="yes", IF(Knowns!B195&lt;&gt;0, Knowns!B195, "****"), "")</f>
        <v/>
      </c>
      <c r="F203" s="78" t="str">
        <f>IF($C203="yes", IF(Knowns!C195&lt;&gt;0, Knowns!C195, "****"), "")</f>
        <v/>
      </c>
      <c r="G203" s="78" t="str">
        <f>IF($C203="yes", IF(Knowns!D195&lt;&gt;0, Knowns!D195, "****"), "")</f>
        <v/>
      </c>
      <c r="H203" s="78" t="str">
        <f>IF($C203="yes", IF(Knowns!E195&lt;&gt;0, Knowns!E195, "****"), "")</f>
        <v/>
      </c>
      <c r="I203" s="78" t="str">
        <f>IF($C203="yes", IF(Knowns!F195&lt;&gt;0, Knowns!F195, "****"), "")</f>
        <v/>
      </c>
    </row>
    <row r="204" spans="1:10">
      <c r="A204" t="str">
        <f>IF(Knowns!A196&lt;&gt;"", Knowns!A196, "")</f>
        <v/>
      </c>
      <c r="B204" t="str">
        <f>IF(A204&lt;&gt;"", MAX('Error Calc (bp)'!B196:G196), "")</f>
        <v/>
      </c>
      <c r="C204" t="str">
        <f>IF(A204&lt;&gt;"", IF(B204&lt;Parameters!B$3, "yes", "no"), "")</f>
        <v/>
      </c>
      <c r="D204"/>
      <c r="E204" s="78" t="str">
        <f>IF($C204="yes", IF(Knowns!B196&lt;&gt;0, Knowns!B196, "****"), "")</f>
        <v/>
      </c>
      <c r="F204" s="78" t="str">
        <f>IF($C204="yes", IF(Knowns!C196&lt;&gt;0, Knowns!C196, "****"), "")</f>
        <v/>
      </c>
      <c r="G204" s="78" t="str">
        <f>IF($C204="yes", IF(Knowns!D196&lt;&gt;0, Knowns!D196, "****"), "")</f>
        <v/>
      </c>
      <c r="H204" s="78" t="str">
        <f>IF($C204="yes", IF(Knowns!E196&lt;&gt;0, Knowns!E196, "****"), "")</f>
        <v/>
      </c>
      <c r="I204" s="78" t="str">
        <f>IF($C204="yes", IF(Knowns!F196&lt;&gt;0, Knowns!F196, "****"), "")</f>
        <v/>
      </c>
    </row>
    <row r="205" spans="1:10">
      <c r="A205" t="str">
        <f>IF(Knowns!A197&lt;&gt;"", Knowns!A197, "")</f>
        <v/>
      </c>
      <c r="B205" t="str">
        <f>IF(A205&lt;&gt;"", MAX('Error Calc (bp)'!B197:G197), "")</f>
        <v/>
      </c>
      <c r="C205" t="str">
        <f>IF(A205&lt;&gt;"", IF(B205&lt;Parameters!B$3, "yes", "no"), "")</f>
        <v/>
      </c>
      <c r="D205"/>
      <c r="E205" s="78" t="str">
        <f>IF($C205="yes", IF(Knowns!B197&lt;&gt;0, Knowns!B197, "****"), "")</f>
        <v/>
      </c>
      <c r="F205" s="78" t="str">
        <f>IF($C205="yes", IF(Knowns!C197&lt;&gt;0, Knowns!C197, "****"), "")</f>
        <v/>
      </c>
      <c r="G205" s="78" t="str">
        <f>IF($C205="yes", IF(Knowns!D197&lt;&gt;0, Knowns!D197, "****"), "")</f>
        <v/>
      </c>
      <c r="H205" s="78" t="str">
        <f>IF($C205="yes", IF(Knowns!E197&lt;&gt;0, Knowns!E197, "****"), "")</f>
        <v/>
      </c>
      <c r="I205" s="78" t="str">
        <f>IF($C205="yes", IF(Knowns!F197&lt;&gt;0, Knowns!F197, "****"), "")</f>
        <v/>
      </c>
    </row>
    <row r="206" spans="1:10">
      <c r="A206" t="str">
        <f>IF(Knowns!A198&lt;&gt;"", Knowns!A198, "")</f>
        <v/>
      </c>
      <c r="B206" t="str">
        <f>IF(A206&lt;&gt;"", MAX('Error Calc (bp)'!B198:G198), "")</f>
        <v/>
      </c>
      <c r="C206" t="str">
        <f>IF(A206&lt;&gt;"", IF(B206&lt;Parameters!B$3, "yes", "no"), "")</f>
        <v/>
      </c>
      <c r="D206"/>
      <c r="E206" s="78" t="str">
        <f>IF($C206="yes", IF(Knowns!B198&lt;&gt;0, Knowns!B198, "****"), "")</f>
        <v/>
      </c>
      <c r="F206" s="78" t="str">
        <f>IF($C206="yes", IF(Knowns!C198&lt;&gt;0, Knowns!C198, "****"), "")</f>
        <v/>
      </c>
      <c r="G206" s="78" t="str">
        <f>IF($C206="yes", IF(Knowns!D198&lt;&gt;0, Knowns!D198, "****"), "")</f>
        <v/>
      </c>
      <c r="H206" s="78" t="str">
        <f>IF($C206="yes", IF(Knowns!E198&lt;&gt;0, Knowns!E198, "****"), "")</f>
        <v/>
      </c>
      <c r="I206" s="78" t="str">
        <f>IF($C206="yes", IF(Knowns!F198&lt;&gt;0, Knowns!F198, "****"), "")</f>
        <v/>
      </c>
    </row>
    <row r="207" spans="1:10">
      <c r="A207" t="str">
        <f>IF(Knowns!A199&lt;&gt;"", Knowns!A199, "")</f>
        <v/>
      </c>
      <c r="B207" t="str">
        <f>IF(A207&lt;&gt;"", MAX('Error Calc (bp)'!B199:G199), "")</f>
        <v/>
      </c>
      <c r="C207" t="str">
        <f>IF(A207&lt;&gt;"", IF(B207&lt;Parameters!B$3, "yes", "no"), "")</f>
        <v/>
      </c>
      <c r="D207"/>
      <c r="E207" s="78" t="str">
        <f>IF($C207="yes", IF(Knowns!B199&lt;&gt;0, Knowns!B199, "****"), "")</f>
        <v/>
      </c>
      <c r="F207" s="78" t="str">
        <f>IF($C207="yes", IF(Knowns!C199&lt;&gt;0, Knowns!C199, "****"), "")</f>
        <v/>
      </c>
      <c r="G207" s="78" t="str">
        <f>IF($C207="yes", IF(Knowns!D199&lt;&gt;0, Knowns!D199, "****"), "")</f>
        <v/>
      </c>
      <c r="H207" s="78" t="str">
        <f>IF($C207="yes", IF(Knowns!E199&lt;&gt;0, Knowns!E199, "****"), "")</f>
        <v/>
      </c>
      <c r="I207" s="78" t="str">
        <f>IF($C207="yes", IF(Knowns!F199&lt;&gt;0, Knowns!F199, "****"), "")</f>
        <v/>
      </c>
    </row>
    <row r="208" spans="1:10">
      <c r="A208" t="str">
        <f>IF(Knowns!A200&lt;&gt;"", Knowns!A200, "")</f>
        <v/>
      </c>
      <c r="B208" t="str">
        <f>IF(A208&lt;&gt;"", MAX('Error Calc (bp)'!B200:G200), "")</f>
        <v/>
      </c>
      <c r="C208" t="str">
        <f>IF(A208&lt;&gt;"", IF(B208&lt;Parameters!B$3, "yes", "no"), "")</f>
        <v/>
      </c>
      <c r="D208"/>
      <c r="E208" s="78" t="str">
        <f>IF($C208="yes", IF(Knowns!B200&lt;&gt;0, Knowns!B200, "****"), "")</f>
        <v/>
      </c>
      <c r="F208" s="78" t="str">
        <f>IF($C208="yes", IF(Knowns!C200&lt;&gt;0, Knowns!C200, "****"), "")</f>
        <v/>
      </c>
      <c r="G208" s="78" t="str">
        <f>IF($C208="yes", IF(Knowns!D200&lt;&gt;0, Knowns!D200, "****"), "")</f>
        <v/>
      </c>
      <c r="H208" s="78" t="str">
        <f>IF($C208="yes", IF(Knowns!E200&lt;&gt;0, Knowns!E200, "****"), "")</f>
        <v/>
      </c>
      <c r="I208" s="78" t="str">
        <f>IF($C208="yes", IF(Knowns!F200&lt;&gt;0, Knowns!F200, "****"), "")</f>
        <v/>
      </c>
    </row>
    <row r="209" spans="1:9">
      <c r="A209" t="str">
        <f>IF(Knowns!A201&lt;&gt;"", Knowns!A201, "")</f>
        <v/>
      </c>
      <c r="B209" t="str">
        <f>IF(A209&lt;&gt;"", MAX('Error Calc (bp)'!B201:G201), "")</f>
        <v/>
      </c>
      <c r="C209" t="str">
        <f>IF(A209&lt;&gt;"", IF(B209&lt;Parameters!B$3, "yes", "no"), "")</f>
        <v/>
      </c>
      <c r="D209"/>
      <c r="E209" s="78" t="str">
        <f>IF($C209="yes", IF(Knowns!B201&lt;&gt;0, Knowns!B201, "****"), "")</f>
        <v/>
      </c>
      <c r="F209" s="78" t="str">
        <f>IF($C209="yes", IF(Knowns!C201&lt;&gt;0, Knowns!C201, "****"), "")</f>
        <v/>
      </c>
      <c r="G209" s="78" t="str">
        <f>IF($C209="yes", IF(Knowns!D201&lt;&gt;0, Knowns!D201, "****"), "")</f>
        <v/>
      </c>
      <c r="H209" s="78" t="str">
        <f>IF($C209="yes", IF(Knowns!E201&lt;&gt;0, Knowns!E201, "****"), "")</f>
        <v/>
      </c>
      <c r="I209" s="78" t="str">
        <f>IF($C209="yes", IF(Knowns!F201&lt;&gt;0, Knowns!F201, "****"), "")</f>
        <v/>
      </c>
    </row>
    <row r="210" spans="1:9">
      <c r="C210"/>
      <c r="D210"/>
    </row>
    <row r="211" spans="1:9">
      <c r="C211"/>
      <c r="D211"/>
    </row>
    <row r="212" spans="1:9">
      <c r="C212"/>
      <c r="D212"/>
    </row>
    <row r="213" spans="1:9">
      <c r="C213"/>
      <c r="D213"/>
    </row>
    <row r="214" spans="1:9">
      <c r="C214"/>
      <c r="D214"/>
    </row>
    <row r="215" spans="1:9">
      <c r="C215"/>
      <c r="D215"/>
    </row>
    <row r="216" spans="1:9">
      <c r="C216"/>
      <c r="D216"/>
    </row>
    <row r="217" spans="1:9">
      <c r="C217"/>
      <c r="D217"/>
    </row>
    <row r="218" spans="1:9">
      <c r="C218"/>
      <c r="D218"/>
    </row>
    <row r="219" spans="1:9">
      <c r="C219"/>
      <c r="D219"/>
    </row>
    <row r="220" spans="1:9">
      <c r="C220"/>
      <c r="D220"/>
    </row>
    <row r="221" spans="1:9">
      <c r="C221"/>
      <c r="D221"/>
    </row>
    <row r="222" spans="1:9">
      <c r="C222"/>
      <c r="D222"/>
    </row>
    <row r="223" spans="1:9">
      <c r="C223"/>
      <c r="D223"/>
    </row>
    <row r="224" spans="1:9">
      <c r="C224"/>
      <c r="D224"/>
    </row>
    <row r="225" spans="3:4">
      <c r="C225"/>
      <c r="D225"/>
    </row>
    <row r="226" spans="3:4">
      <c r="C226"/>
      <c r="D226"/>
    </row>
    <row r="227" spans="3:4">
      <c r="C227"/>
      <c r="D227"/>
    </row>
    <row r="228" spans="3:4">
      <c r="C228"/>
      <c r="D228"/>
    </row>
    <row r="229" spans="3:4">
      <c r="C229"/>
      <c r="D229"/>
    </row>
    <row r="230" spans="3:4">
      <c r="C230"/>
      <c r="D230"/>
    </row>
    <row r="231" spans="3:4">
      <c r="C231"/>
      <c r="D231"/>
    </row>
    <row r="232" spans="3:4">
      <c r="C232"/>
      <c r="D232"/>
    </row>
    <row r="233" spans="3:4">
      <c r="C233"/>
      <c r="D233"/>
    </row>
    <row r="234" spans="3:4">
      <c r="C234"/>
      <c r="D234"/>
    </row>
    <row r="235" spans="3:4">
      <c r="C235"/>
      <c r="D235"/>
    </row>
    <row r="236" spans="3:4">
      <c r="C236"/>
      <c r="D236"/>
    </row>
    <row r="237" spans="3:4">
      <c r="C237"/>
      <c r="D237"/>
    </row>
    <row r="238" spans="3:4">
      <c r="C238"/>
      <c r="D238"/>
    </row>
    <row r="239" spans="3:4">
      <c r="C239"/>
      <c r="D239"/>
    </row>
    <row r="240" spans="3:4">
      <c r="C240"/>
      <c r="D240"/>
    </row>
    <row r="241" spans="3:4">
      <c r="C241"/>
      <c r="D241"/>
    </row>
    <row r="242" spans="3:4">
      <c r="C242"/>
      <c r="D242"/>
    </row>
    <row r="243" spans="3:4">
      <c r="C243"/>
      <c r="D243"/>
    </row>
    <row r="244" spans="3:4">
      <c r="C244"/>
      <c r="D244"/>
    </row>
    <row r="245" spans="3:4">
      <c r="C245"/>
      <c r="D245"/>
    </row>
    <row r="246" spans="3:4">
      <c r="C246"/>
      <c r="D246"/>
    </row>
    <row r="247" spans="3:4">
      <c r="C247"/>
      <c r="D247"/>
    </row>
    <row r="248" spans="3:4">
      <c r="C248"/>
      <c r="D248"/>
    </row>
    <row r="249" spans="3:4">
      <c r="C249"/>
      <c r="D249"/>
    </row>
    <row r="250" spans="3:4">
      <c r="C250"/>
      <c r="D250"/>
    </row>
    <row r="251" spans="3:4">
      <c r="C251"/>
      <c r="D251"/>
    </row>
    <row r="252" spans="3:4">
      <c r="C252"/>
      <c r="D252"/>
    </row>
    <row r="253" spans="3:4">
      <c r="C253"/>
      <c r="D253"/>
    </row>
    <row r="254" spans="3:4">
      <c r="C254"/>
      <c r="D254"/>
    </row>
    <row r="255" spans="3:4">
      <c r="C255"/>
      <c r="D255"/>
    </row>
    <row r="256" spans="3:4">
      <c r="C256"/>
      <c r="D256"/>
    </row>
    <row r="257" spans="3:4">
      <c r="C257"/>
      <c r="D257"/>
    </row>
    <row r="258" spans="3:4">
      <c r="C258"/>
      <c r="D258"/>
    </row>
    <row r="259" spans="3:4">
      <c r="C259"/>
      <c r="D259"/>
    </row>
    <row r="260" spans="3:4">
      <c r="C260"/>
      <c r="D260"/>
    </row>
    <row r="261" spans="3:4">
      <c r="C261"/>
      <c r="D261"/>
    </row>
    <row r="262" spans="3:4">
      <c r="C262"/>
      <c r="D262"/>
    </row>
    <row r="263" spans="3:4">
      <c r="C263"/>
      <c r="D263"/>
    </row>
    <row r="264" spans="3:4">
      <c r="C264"/>
      <c r="D264"/>
    </row>
    <row r="265" spans="3:4">
      <c r="C265"/>
      <c r="D265"/>
    </row>
    <row r="266" spans="3:4">
      <c r="C266"/>
      <c r="D266"/>
    </row>
    <row r="267" spans="3:4">
      <c r="C267"/>
      <c r="D267"/>
    </row>
    <row r="268" spans="3:4">
      <c r="C268"/>
      <c r="D268"/>
    </row>
    <row r="269" spans="3:4">
      <c r="C269"/>
      <c r="D269"/>
    </row>
    <row r="270" spans="3:4">
      <c r="C270"/>
      <c r="D270"/>
    </row>
    <row r="271" spans="3:4">
      <c r="C271"/>
      <c r="D271"/>
    </row>
    <row r="272" spans="3:4">
      <c r="C272"/>
      <c r="D272"/>
    </row>
    <row r="273" spans="3:4">
      <c r="C273"/>
      <c r="D273"/>
    </row>
    <row r="274" spans="3:4">
      <c r="C274"/>
      <c r="D274"/>
    </row>
    <row r="275" spans="3:4">
      <c r="C275"/>
      <c r="D275"/>
    </row>
    <row r="276" spans="3:4">
      <c r="C276"/>
      <c r="D276"/>
    </row>
    <row r="277" spans="3:4">
      <c r="C277"/>
      <c r="D277"/>
    </row>
    <row r="278" spans="3:4">
      <c r="C278"/>
      <c r="D278"/>
    </row>
    <row r="279" spans="3:4">
      <c r="C279"/>
      <c r="D279"/>
    </row>
    <row r="280" spans="3:4">
      <c r="C280"/>
      <c r="D280"/>
    </row>
    <row r="281" spans="3:4">
      <c r="C281"/>
      <c r="D281"/>
    </row>
    <row r="282" spans="3:4">
      <c r="C282"/>
      <c r="D282"/>
    </row>
    <row r="283" spans="3:4">
      <c r="C283"/>
      <c r="D283"/>
    </row>
    <row r="284" spans="3:4">
      <c r="C284"/>
      <c r="D284"/>
    </row>
    <row r="285" spans="3:4">
      <c r="C285"/>
      <c r="D285"/>
    </row>
    <row r="286" spans="3:4">
      <c r="C286"/>
      <c r="D286"/>
    </row>
    <row r="287" spans="3:4">
      <c r="C287"/>
      <c r="D287"/>
    </row>
    <row r="288" spans="3:4">
      <c r="C288"/>
      <c r="D288"/>
    </row>
    <row r="289" spans="3:4">
      <c r="C289"/>
      <c r="D289"/>
    </row>
    <row r="290" spans="3:4">
      <c r="C290"/>
      <c r="D290"/>
    </row>
    <row r="291" spans="3:4">
      <c r="C291"/>
      <c r="D291"/>
    </row>
    <row r="292" spans="3:4">
      <c r="C292"/>
      <c r="D292"/>
    </row>
    <row r="293" spans="3:4">
      <c r="C293"/>
      <c r="D293"/>
    </row>
    <row r="294" spans="3:4">
      <c r="C294"/>
      <c r="D294"/>
    </row>
    <row r="295" spans="3:4">
      <c r="C295"/>
      <c r="D295"/>
    </row>
    <row r="296" spans="3:4">
      <c r="C296"/>
      <c r="D296"/>
    </row>
    <row r="297" spans="3:4">
      <c r="C297"/>
      <c r="D297"/>
    </row>
    <row r="298" spans="3:4">
      <c r="C298"/>
      <c r="D298"/>
    </row>
    <row r="299" spans="3:4">
      <c r="C299"/>
      <c r="D299"/>
    </row>
    <row r="300" spans="3:4">
      <c r="C300"/>
      <c r="D300"/>
    </row>
    <row r="301" spans="3:4">
      <c r="C301"/>
      <c r="D301"/>
    </row>
    <row r="302" spans="3:4">
      <c r="C302"/>
      <c r="D302"/>
    </row>
    <row r="303" spans="3:4">
      <c r="C303"/>
      <c r="D303"/>
    </row>
    <row r="304" spans="3:4">
      <c r="C304"/>
      <c r="D304"/>
    </row>
    <row r="305" spans="3:4">
      <c r="C305"/>
      <c r="D305"/>
    </row>
    <row r="306" spans="3:4">
      <c r="C306"/>
      <c r="D306"/>
    </row>
    <row r="307" spans="3:4">
      <c r="C307"/>
      <c r="D307"/>
    </row>
    <row r="308" spans="3:4">
      <c r="C308"/>
      <c r="D308"/>
    </row>
    <row r="309" spans="3:4">
      <c r="C309"/>
      <c r="D309"/>
    </row>
    <row r="310" spans="3:4">
      <c r="C310"/>
      <c r="D310"/>
    </row>
    <row r="311" spans="3:4">
      <c r="C311"/>
      <c r="D311"/>
    </row>
    <row r="312" spans="3:4">
      <c r="C312"/>
      <c r="D312"/>
    </row>
    <row r="313" spans="3:4">
      <c r="C313"/>
      <c r="D313"/>
    </row>
    <row r="314" spans="3:4">
      <c r="C314"/>
      <c r="D314"/>
    </row>
    <row r="315" spans="3:4">
      <c r="C315"/>
      <c r="D315"/>
    </row>
    <row r="316" spans="3:4">
      <c r="C316"/>
      <c r="D316"/>
    </row>
    <row r="317" spans="3:4">
      <c r="C317"/>
      <c r="D317"/>
    </row>
    <row r="318" spans="3:4">
      <c r="C318"/>
      <c r="D318"/>
    </row>
    <row r="319" spans="3:4">
      <c r="C319"/>
      <c r="D319"/>
    </row>
    <row r="320" spans="3:4">
      <c r="C320"/>
      <c r="D320"/>
    </row>
    <row r="321" spans="3:4">
      <c r="C321"/>
      <c r="D321"/>
    </row>
    <row r="322" spans="3:4">
      <c r="C322"/>
      <c r="D322"/>
    </row>
    <row r="323" spans="3:4">
      <c r="C323"/>
      <c r="D323"/>
    </row>
    <row r="324" spans="3:4">
      <c r="C324"/>
      <c r="D324"/>
    </row>
    <row r="325" spans="3:4">
      <c r="C325"/>
      <c r="D325"/>
    </row>
    <row r="326" spans="3:4">
      <c r="C326"/>
      <c r="D326"/>
    </row>
    <row r="327" spans="3:4">
      <c r="C327"/>
      <c r="D327"/>
    </row>
    <row r="328" spans="3:4">
      <c r="C328"/>
      <c r="D328"/>
    </row>
    <row r="329" spans="3:4">
      <c r="C329"/>
      <c r="D329"/>
    </row>
    <row r="330" spans="3:4">
      <c r="C330"/>
      <c r="D330"/>
    </row>
    <row r="331" spans="3:4">
      <c r="C331"/>
      <c r="D331"/>
    </row>
    <row r="332" spans="3:4">
      <c r="C332"/>
      <c r="D332"/>
    </row>
    <row r="333" spans="3:4">
      <c r="C333"/>
      <c r="D333"/>
    </row>
    <row r="334" spans="3:4">
      <c r="C334"/>
      <c r="D334"/>
    </row>
    <row r="335" spans="3:4">
      <c r="C335"/>
      <c r="D335"/>
    </row>
    <row r="336" spans="3:4">
      <c r="C336"/>
      <c r="D336"/>
    </row>
    <row r="337" spans="3:4">
      <c r="C337"/>
      <c r="D337"/>
    </row>
    <row r="338" spans="3:4">
      <c r="C338"/>
      <c r="D338"/>
    </row>
    <row r="339" spans="3:4">
      <c r="C339"/>
      <c r="D339"/>
    </row>
    <row r="340" spans="3:4">
      <c r="C340"/>
      <c r="D340"/>
    </row>
    <row r="341" spans="3:4">
      <c r="C341"/>
      <c r="D341"/>
    </row>
    <row r="342" spans="3:4">
      <c r="C342"/>
      <c r="D342"/>
    </row>
    <row r="343" spans="3:4">
      <c r="C343"/>
      <c r="D343"/>
    </row>
    <row r="344" spans="3:4">
      <c r="C344"/>
      <c r="D344"/>
    </row>
    <row r="345" spans="3:4">
      <c r="C345"/>
      <c r="D345"/>
    </row>
    <row r="346" spans="3:4">
      <c r="C346"/>
      <c r="D346"/>
    </row>
    <row r="347" spans="3:4">
      <c r="C347"/>
      <c r="D347"/>
    </row>
    <row r="348" spans="3:4">
      <c r="C348"/>
      <c r="D348"/>
    </row>
    <row r="349" spans="3:4">
      <c r="C349"/>
      <c r="D349"/>
    </row>
    <row r="350" spans="3:4">
      <c r="C350"/>
      <c r="D350"/>
    </row>
    <row r="351" spans="3:4">
      <c r="C351"/>
      <c r="D351"/>
    </row>
    <row r="352" spans="3:4">
      <c r="C352"/>
      <c r="D352"/>
    </row>
    <row r="353" spans="3:4">
      <c r="C353"/>
      <c r="D353"/>
    </row>
    <row r="354" spans="3:4">
      <c r="C354"/>
      <c r="D354"/>
    </row>
    <row r="355" spans="3:4">
      <c r="C355"/>
      <c r="D355"/>
    </row>
    <row r="356" spans="3:4">
      <c r="C356"/>
      <c r="D356"/>
    </row>
    <row r="357" spans="3:4">
      <c r="C357"/>
      <c r="D357"/>
    </row>
    <row r="358" spans="3:4">
      <c r="C358"/>
      <c r="D358"/>
    </row>
    <row r="359" spans="3:4">
      <c r="C359"/>
      <c r="D359"/>
    </row>
    <row r="360" spans="3:4">
      <c r="C360"/>
      <c r="D360"/>
    </row>
    <row r="361" spans="3:4">
      <c r="C361"/>
      <c r="D361"/>
    </row>
    <row r="362" spans="3:4">
      <c r="C362"/>
      <c r="D362"/>
    </row>
    <row r="363" spans="3:4">
      <c r="C363"/>
      <c r="D363"/>
    </row>
    <row r="364" spans="3:4">
      <c r="C364"/>
      <c r="D364"/>
    </row>
    <row r="365" spans="3:4">
      <c r="C365"/>
      <c r="D365"/>
    </row>
    <row r="366" spans="3:4">
      <c r="C366"/>
      <c r="D366"/>
    </row>
    <row r="367" spans="3:4">
      <c r="C367"/>
      <c r="D367"/>
    </row>
    <row r="368" spans="3:4">
      <c r="C368"/>
      <c r="D368"/>
    </row>
    <row r="369" spans="3:4">
      <c r="C369"/>
      <c r="D369"/>
    </row>
    <row r="370" spans="3:4">
      <c r="C370"/>
      <c r="D370"/>
    </row>
    <row r="371" spans="3:4">
      <c r="C371"/>
      <c r="D371"/>
    </row>
    <row r="372" spans="3:4">
      <c r="C372"/>
      <c r="D372"/>
    </row>
    <row r="373" spans="3:4">
      <c r="C373"/>
      <c r="D373"/>
    </row>
    <row r="374" spans="3:4">
      <c r="C374"/>
      <c r="D374"/>
    </row>
    <row r="375" spans="3:4">
      <c r="C375"/>
      <c r="D375"/>
    </row>
    <row r="376" spans="3:4">
      <c r="C376"/>
      <c r="D376"/>
    </row>
    <row r="377" spans="3:4">
      <c r="C377"/>
      <c r="D377"/>
    </row>
    <row r="378" spans="3:4">
      <c r="C378"/>
      <c r="D378"/>
    </row>
    <row r="379" spans="3:4">
      <c r="C379"/>
      <c r="D379"/>
    </row>
    <row r="380" spans="3:4">
      <c r="C380"/>
      <c r="D380"/>
    </row>
    <row r="381" spans="3:4">
      <c r="C381"/>
      <c r="D381"/>
    </row>
    <row r="382" spans="3:4">
      <c r="C382"/>
      <c r="D382"/>
    </row>
    <row r="383" spans="3:4">
      <c r="C383"/>
      <c r="D383"/>
    </row>
    <row r="384" spans="3:4">
      <c r="C384"/>
      <c r="D384"/>
    </row>
    <row r="385" spans="3:4">
      <c r="C385"/>
      <c r="D385"/>
    </row>
    <row r="386" spans="3:4">
      <c r="C386"/>
      <c r="D386"/>
    </row>
    <row r="387" spans="3:4">
      <c r="C387"/>
      <c r="D387"/>
    </row>
    <row r="388" spans="3:4">
      <c r="C388"/>
      <c r="D388"/>
    </row>
    <row r="389" spans="3:4">
      <c r="C389"/>
      <c r="D389"/>
    </row>
    <row r="390" spans="3:4">
      <c r="C390"/>
      <c r="D390"/>
    </row>
    <row r="391" spans="3:4">
      <c r="C391"/>
      <c r="D391"/>
    </row>
    <row r="392" spans="3:4">
      <c r="C392"/>
      <c r="D392"/>
    </row>
    <row r="393" spans="3:4">
      <c r="C393"/>
      <c r="D393"/>
    </row>
    <row r="394" spans="3:4">
      <c r="C394"/>
      <c r="D394"/>
    </row>
    <row r="395" spans="3:4">
      <c r="C395"/>
      <c r="D395"/>
    </row>
    <row r="396" spans="3:4">
      <c r="C396"/>
      <c r="D396"/>
    </row>
    <row r="397" spans="3:4">
      <c r="C397"/>
      <c r="D397"/>
    </row>
    <row r="398" spans="3:4">
      <c r="C398"/>
      <c r="D398"/>
    </row>
    <row r="399" spans="3:4">
      <c r="C399"/>
      <c r="D399"/>
    </row>
    <row r="400" spans="3:4">
      <c r="C400"/>
      <c r="D400"/>
    </row>
    <row r="401" spans="3:4">
      <c r="C401"/>
      <c r="D401"/>
    </row>
    <row r="402" spans="3:4">
      <c r="C402"/>
      <c r="D402"/>
    </row>
    <row r="403" spans="3:4">
      <c r="C403"/>
      <c r="D403"/>
    </row>
    <row r="404" spans="3:4">
      <c r="C404"/>
      <c r="D404"/>
    </row>
    <row r="405" spans="3:4">
      <c r="C405"/>
      <c r="D405"/>
    </row>
    <row r="406" spans="3:4">
      <c r="C406"/>
      <c r="D406"/>
    </row>
    <row r="407" spans="3:4">
      <c r="C407"/>
      <c r="D407"/>
    </row>
    <row r="408" spans="3:4">
      <c r="C408"/>
      <c r="D408"/>
    </row>
    <row r="409" spans="3:4">
      <c r="C409"/>
      <c r="D409"/>
    </row>
    <row r="410" spans="3:4">
      <c r="C410"/>
      <c r="D410"/>
    </row>
    <row r="411" spans="3:4">
      <c r="C411"/>
      <c r="D411"/>
    </row>
    <row r="412" spans="3:4">
      <c r="C412"/>
      <c r="D412"/>
    </row>
    <row r="413" spans="3:4">
      <c r="C413"/>
      <c r="D413"/>
    </row>
    <row r="414" spans="3:4">
      <c r="C414"/>
      <c r="D414"/>
    </row>
    <row r="415" spans="3:4">
      <c r="C415"/>
      <c r="D415"/>
    </row>
    <row r="416" spans="3:4">
      <c r="C416"/>
      <c r="D416"/>
    </row>
    <row r="417" spans="3:4">
      <c r="C417"/>
      <c r="D417"/>
    </row>
    <row r="418" spans="3:4">
      <c r="C418"/>
      <c r="D418"/>
    </row>
    <row r="419" spans="3:4">
      <c r="C419"/>
      <c r="D419"/>
    </row>
    <row r="420" spans="3:4">
      <c r="C420"/>
      <c r="D420"/>
    </row>
    <row r="421" spans="3:4">
      <c r="C421"/>
      <c r="D421"/>
    </row>
    <row r="422" spans="3:4">
      <c r="C422"/>
      <c r="D422"/>
    </row>
    <row r="423" spans="3:4">
      <c r="C423"/>
      <c r="D423"/>
    </row>
    <row r="424" spans="3:4">
      <c r="C424"/>
      <c r="D424"/>
    </row>
    <row r="425" spans="3:4">
      <c r="C425"/>
      <c r="D425"/>
    </row>
    <row r="426" spans="3:4">
      <c r="C426"/>
      <c r="D426"/>
    </row>
    <row r="427" spans="3:4">
      <c r="C427"/>
      <c r="D427"/>
    </row>
    <row r="428" spans="3:4">
      <c r="C428"/>
      <c r="D428"/>
    </row>
    <row r="429" spans="3:4">
      <c r="C429"/>
      <c r="D429"/>
    </row>
    <row r="430" spans="3:4">
      <c r="C430"/>
      <c r="D430"/>
    </row>
    <row r="431" spans="3:4">
      <c r="C431"/>
      <c r="D431"/>
    </row>
    <row r="432" spans="3:4">
      <c r="C432"/>
      <c r="D432"/>
    </row>
    <row r="433" spans="3:4">
      <c r="C433"/>
      <c r="D433"/>
    </row>
    <row r="434" spans="3:4">
      <c r="C434"/>
      <c r="D434"/>
    </row>
    <row r="435" spans="3:4">
      <c r="C435"/>
      <c r="D435"/>
    </row>
    <row r="436" spans="3:4">
      <c r="C436"/>
      <c r="D436"/>
    </row>
    <row r="437" spans="3:4">
      <c r="C437"/>
      <c r="D437"/>
    </row>
    <row r="438" spans="3:4">
      <c r="C438"/>
      <c r="D438"/>
    </row>
    <row r="439" spans="3:4">
      <c r="C439"/>
      <c r="D439"/>
    </row>
    <row r="440" spans="3:4">
      <c r="C440"/>
      <c r="D440"/>
    </row>
    <row r="441" spans="3:4">
      <c r="C441"/>
      <c r="D441"/>
    </row>
    <row r="442" spans="3:4">
      <c r="C442"/>
      <c r="D442"/>
    </row>
    <row r="443" spans="3:4">
      <c r="C443"/>
      <c r="D443"/>
    </row>
    <row r="444" spans="3:4">
      <c r="C444"/>
      <c r="D444"/>
    </row>
    <row r="445" spans="3:4">
      <c r="C445"/>
      <c r="D445"/>
    </row>
    <row r="446" spans="3:4">
      <c r="C446"/>
      <c r="D446"/>
    </row>
    <row r="447" spans="3:4">
      <c r="C447"/>
      <c r="D447"/>
    </row>
    <row r="448" spans="3:4">
      <c r="C448"/>
      <c r="D448"/>
    </row>
    <row r="449" spans="3:4">
      <c r="C449"/>
      <c r="D449"/>
    </row>
    <row r="450" spans="3:4">
      <c r="C450"/>
      <c r="D450"/>
    </row>
    <row r="451" spans="3:4">
      <c r="C451"/>
      <c r="D451"/>
    </row>
    <row r="452" spans="3:4">
      <c r="C452"/>
      <c r="D452"/>
    </row>
    <row r="453" spans="3:4">
      <c r="C453"/>
      <c r="D453"/>
    </row>
    <row r="454" spans="3:4">
      <c r="C454"/>
      <c r="D454"/>
    </row>
    <row r="455" spans="3:4">
      <c r="C455"/>
      <c r="D455"/>
    </row>
    <row r="456" spans="3:4">
      <c r="C456"/>
      <c r="D456"/>
    </row>
    <row r="457" spans="3:4">
      <c r="C457"/>
      <c r="D457"/>
    </row>
    <row r="458" spans="3:4">
      <c r="C458"/>
      <c r="D458"/>
    </row>
    <row r="459" spans="3:4">
      <c r="C459"/>
      <c r="D459"/>
    </row>
    <row r="460" spans="3:4">
      <c r="C460"/>
      <c r="D460"/>
    </row>
    <row r="461" spans="3:4">
      <c r="C461"/>
      <c r="D461"/>
    </row>
    <row r="462" spans="3:4">
      <c r="C462"/>
      <c r="D462"/>
    </row>
    <row r="463" spans="3:4">
      <c r="C463"/>
      <c r="D463"/>
    </row>
    <row r="464" spans="3:4">
      <c r="C464"/>
      <c r="D464"/>
    </row>
    <row r="465" spans="3:4">
      <c r="C465"/>
      <c r="D465"/>
    </row>
    <row r="466" spans="3:4">
      <c r="C466"/>
      <c r="D466"/>
    </row>
    <row r="467" spans="3:4">
      <c r="C467"/>
      <c r="D467"/>
    </row>
    <row r="468" spans="3:4">
      <c r="C468"/>
      <c r="D468"/>
    </row>
    <row r="469" spans="3:4">
      <c r="C469"/>
      <c r="D469"/>
    </row>
    <row r="470" spans="3:4">
      <c r="C470"/>
      <c r="D470"/>
    </row>
    <row r="471" spans="3:4">
      <c r="C471"/>
      <c r="D471"/>
    </row>
    <row r="472" spans="3:4">
      <c r="C472"/>
      <c r="D472"/>
    </row>
    <row r="473" spans="3:4">
      <c r="C473"/>
      <c r="D473"/>
    </row>
    <row r="474" spans="3:4">
      <c r="C474"/>
      <c r="D474"/>
    </row>
    <row r="475" spans="3:4">
      <c r="C475"/>
      <c r="D475"/>
    </row>
    <row r="476" spans="3:4">
      <c r="C476"/>
      <c r="D476"/>
    </row>
    <row r="477" spans="3:4">
      <c r="C477"/>
      <c r="D477"/>
    </row>
    <row r="478" spans="3:4">
      <c r="C478"/>
      <c r="D478"/>
    </row>
    <row r="479" spans="3:4">
      <c r="C479"/>
      <c r="D479"/>
    </row>
    <row r="480" spans="3:4">
      <c r="C480"/>
      <c r="D480"/>
    </row>
    <row r="481" spans="3:4">
      <c r="C481"/>
      <c r="D481"/>
    </row>
    <row r="482" spans="3:4">
      <c r="C482"/>
      <c r="D482"/>
    </row>
    <row r="483" spans="3:4">
      <c r="C483"/>
      <c r="D483"/>
    </row>
    <row r="484" spans="3:4">
      <c r="C484"/>
      <c r="D484"/>
    </row>
    <row r="485" spans="3:4">
      <c r="C485"/>
      <c r="D485"/>
    </row>
    <row r="486" spans="3:4">
      <c r="C486"/>
      <c r="D486"/>
    </row>
    <row r="487" spans="3:4">
      <c r="C487"/>
      <c r="D487"/>
    </row>
    <row r="488" spans="3:4">
      <c r="C488"/>
      <c r="D488"/>
    </row>
    <row r="489" spans="3:4">
      <c r="C489"/>
      <c r="D489"/>
    </row>
    <row r="490" spans="3:4">
      <c r="C490"/>
      <c r="D490"/>
    </row>
    <row r="491" spans="3:4">
      <c r="C491"/>
      <c r="D491"/>
    </row>
    <row r="492" spans="3:4">
      <c r="C492"/>
      <c r="D492"/>
    </row>
    <row r="493" spans="3:4">
      <c r="C493"/>
      <c r="D493"/>
    </row>
    <row r="494" spans="3:4">
      <c r="C494"/>
      <c r="D494"/>
    </row>
    <row r="495" spans="3:4">
      <c r="C495"/>
      <c r="D495"/>
    </row>
    <row r="496" spans="3:4">
      <c r="C496"/>
      <c r="D496"/>
    </row>
    <row r="497" spans="3:4">
      <c r="C497"/>
      <c r="D497"/>
    </row>
    <row r="498" spans="3:4">
      <c r="C498"/>
      <c r="D498"/>
    </row>
    <row r="499" spans="3:4">
      <c r="C499"/>
      <c r="D499"/>
    </row>
    <row r="500" spans="3:4">
      <c r="C500"/>
      <c r="D500"/>
    </row>
    <row r="501" spans="3:4">
      <c r="C501"/>
      <c r="D501"/>
    </row>
    <row r="502" spans="3:4">
      <c r="C502"/>
      <c r="D502"/>
    </row>
    <row r="503" spans="3:4">
      <c r="C503"/>
      <c r="D503"/>
    </row>
    <row r="504" spans="3:4">
      <c r="C504"/>
      <c r="D504"/>
    </row>
    <row r="505" spans="3:4">
      <c r="C505"/>
      <c r="D505"/>
    </row>
    <row r="506" spans="3:4">
      <c r="C506"/>
      <c r="D506"/>
    </row>
    <row r="507" spans="3:4">
      <c r="C507"/>
      <c r="D507"/>
    </row>
    <row r="508" spans="3:4">
      <c r="C508"/>
      <c r="D508"/>
    </row>
    <row r="509" spans="3:4">
      <c r="C509"/>
      <c r="D509"/>
    </row>
    <row r="510" spans="3:4">
      <c r="C510"/>
      <c r="D510"/>
    </row>
    <row r="511" spans="3:4">
      <c r="C511"/>
      <c r="D511"/>
    </row>
    <row r="512" spans="3:4">
      <c r="C512"/>
      <c r="D512"/>
    </row>
    <row r="513" spans="3:4">
      <c r="C513"/>
      <c r="D513"/>
    </row>
    <row r="514" spans="3:4">
      <c r="C514"/>
      <c r="D514"/>
    </row>
    <row r="515" spans="3:4">
      <c r="C515"/>
      <c r="D515"/>
    </row>
    <row r="516" spans="3:4">
      <c r="C516"/>
      <c r="D516"/>
    </row>
    <row r="517" spans="3:4">
      <c r="C517"/>
      <c r="D517"/>
    </row>
    <row r="518" spans="3:4">
      <c r="C518"/>
      <c r="D518"/>
    </row>
    <row r="519" spans="3:4">
      <c r="C519"/>
      <c r="D519"/>
    </row>
    <row r="520" spans="3:4">
      <c r="C520"/>
      <c r="D520"/>
    </row>
    <row r="521" spans="3:4">
      <c r="C521"/>
      <c r="D521"/>
    </row>
    <row r="522" spans="3:4">
      <c r="C522"/>
      <c r="D522"/>
    </row>
    <row r="523" spans="3:4">
      <c r="C523"/>
      <c r="D523"/>
    </row>
    <row r="524" spans="3:4">
      <c r="C524"/>
      <c r="D524"/>
    </row>
    <row r="525" spans="3:4">
      <c r="C525"/>
      <c r="D525"/>
    </row>
    <row r="526" spans="3:4">
      <c r="C526"/>
      <c r="D526"/>
    </row>
    <row r="527" spans="3:4">
      <c r="C527"/>
      <c r="D527"/>
    </row>
    <row r="528" spans="3:4">
      <c r="C528"/>
      <c r="D528"/>
    </row>
    <row r="529" spans="3:4">
      <c r="C529"/>
      <c r="D529"/>
    </row>
    <row r="530" spans="3:4">
      <c r="C530"/>
      <c r="D530"/>
    </row>
    <row r="531" spans="3:4">
      <c r="C531"/>
      <c r="D531"/>
    </row>
    <row r="532" spans="3:4">
      <c r="C532"/>
      <c r="D532"/>
    </row>
    <row r="533" spans="3:4">
      <c r="C533"/>
      <c r="D533"/>
    </row>
    <row r="534" spans="3:4">
      <c r="C534"/>
      <c r="D534"/>
    </row>
    <row r="535" spans="3:4">
      <c r="C535"/>
      <c r="D535"/>
    </row>
    <row r="536" spans="3:4">
      <c r="C536"/>
      <c r="D536"/>
    </row>
    <row r="537" spans="3:4">
      <c r="C537"/>
      <c r="D537"/>
    </row>
    <row r="538" spans="3:4">
      <c r="C538"/>
      <c r="D538"/>
    </row>
    <row r="539" spans="3:4">
      <c r="C539"/>
      <c r="D539"/>
    </row>
    <row r="540" spans="3:4">
      <c r="C540"/>
      <c r="D540"/>
    </row>
    <row r="541" spans="3:4">
      <c r="C541"/>
      <c r="D541"/>
    </row>
    <row r="542" spans="3:4">
      <c r="C542"/>
      <c r="D542"/>
    </row>
    <row r="543" spans="3:4">
      <c r="C543"/>
      <c r="D543"/>
    </row>
    <row r="544" spans="3:4">
      <c r="C544"/>
      <c r="D544"/>
    </row>
    <row r="545" spans="3:4">
      <c r="C545"/>
      <c r="D545"/>
    </row>
    <row r="546" spans="3:4">
      <c r="C546"/>
      <c r="D546"/>
    </row>
    <row r="547" spans="3:4">
      <c r="C547"/>
      <c r="D547"/>
    </row>
    <row r="548" spans="3:4">
      <c r="C548"/>
      <c r="D548"/>
    </row>
    <row r="549" spans="3:4">
      <c r="C549"/>
      <c r="D549"/>
    </row>
    <row r="550" spans="3:4">
      <c r="C550"/>
      <c r="D550"/>
    </row>
    <row r="551" spans="3:4">
      <c r="C551"/>
      <c r="D551"/>
    </row>
    <row r="552" spans="3:4">
      <c r="C552"/>
      <c r="D552"/>
    </row>
    <row r="553" spans="3:4">
      <c r="C553"/>
      <c r="D553"/>
    </row>
    <row r="554" spans="3:4">
      <c r="C554"/>
      <c r="D554"/>
    </row>
    <row r="555" spans="3:4">
      <c r="C555"/>
      <c r="D555"/>
    </row>
    <row r="556" spans="3:4">
      <c r="C556"/>
      <c r="D556"/>
    </row>
    <row r="557" spans="3:4">
      <c r="C557"/>
      <c r="D557"/>
    </row>
    <row r="558" spans="3:4">
      <c r="C558"/>
      <c r="D558"/>
    </row>
    <row r="559" spans="3:4">
      <c r="C559"/>
      <c r="D559"/>
    </row>
    <row r="560" spans="3:4">
      <c r="C560"/>
      <c r="D560"/>
    </row>
    <row r="561" spans="3:4">
      <c r="C561"/>
      <c r="D561"/>
    </row>
    <row r="562" spans="3:4">
      <c r="C562"/>
      <c r="D562"/>
    </row>
    <row r="563" spans="3:4">
      <c r="C563"/>
      <c r="D563"/>
    </row>
    <row r="564" spans="3:4">
      <c r="C564"/>
      <c r="D564"/>
    </row>
    <row r="565" spans="3:4">
      <c r="C565"/>
      <c r="D565"/>
    </row>
    <row r="566" spans="3:4">
      <c r="C566"/>
      <c r="D566"/>
    </row>
    <row r="567" spans="3:4">
      <c r="C567"/>
      <c r="D567"/>
    </row>
    <row r="568" spans="3:4">
      <c r="C568"/>
      <c r="D568"/>
    </row>
    <row r="569" spans="3:4">
      <c r="C569"/>
      <c r="D569"/>
    </row>
    <row r="570" spans="3:4">
      <c r="C570"/>
      <c r="D570"/>
    </row>
    <row r="571" spans="3:4">
      <c r="C571"/>
      <c r="D571"/>
    </row>
    <row r="572" spans="3:4">
      <c r="C572"/>
      <c r="D572"/>
    </row>
    <row r="573" spans="3:4">
      <c r="C573"/>
      <c r="D573"/>
    </row>
    <row r="574" spans="3:4">
      <c r="C574"/>
      <c r="D574"/>
    </row>
    <row r="575" spans="3:4">
      <c r="C575"/>
      <c r="D575"/>
    </row>
    <row r="576" spans="3:4">
      <c r="C576"/>
      <c r="D576"/>
    </row>
    <row r="577" spans="3:4">
      <c r="C577"/>
      <c r="D577"/>
    </row>
    <row r="578" spans="3:4">
      <c r="C578"/>
      <c r="D578"/>
    </row>
    <row r="579" spans="3:4">
      <c r="C579"/>
      <c r="D579"/>
    </row>
    <row r="580" spans="3:4">
      <c r="C580"/>
      <c r="D580"/>
    </row>
    <row r="581" spans="3:4">
      <c r="C581"/>
      <c r="D581"/>
    </row>
    <row r="582" spans="3:4">
      <c r="C582"/>
      <c r="D582"/>
    </row>
    <row r="583" spans="3:4">
      <c r="C583"/>
      <c r="D583"/>
    </row>
    <row r="584" spans="3:4">
      <c r="C584"/>
      <c r="D584"/>
    </row>
    <row r="585" spans="3:4">
      <c r="C585"/>
      <c r="D585"/>
    </row>
    <row r="586" spans="3:4">
      <c r="C586"/>
      <c r="D586"/>
    </row>
    <row r="587" spans="3:4">
      <c r="C587"/>
      <c r="D587"/>
    </row>
    <row r="588" spans="3:4">
      <c r="C588"/>
      <c r="D588"/>
    </row>
    <row r="589" spans="3:4">
      <c r="C589"/>
      <c r="D589"/>
    </row>
    <row r="590" spans="3:4">
      <c r="C590"/>
      <c r="D590"/>
    </row>
    <row r="591" spans="3:4">
      <c r="C591"/>
      <c r="D591"/>
    </row>
    <row r="592" spans="3:4">
      <c r="C592"/>
      <c r="D592"/>
    </row>
    <row r="593" spans="3:4">
      <c r="C593"/>
      <c r="D593"/>
    </row>
    <row r="594" spans="3:4">
      <c r="C594"/>
      <c r="D594"/>
    </row>
    <row r="595" spans="3:4">
      <c r="C595"/>
      <c r="D595"/>
    </row>
    <row r="596" spans="3:4">
      <c r="C596"/>
      <c r="D596"/>
    </row>
    <row r="597" spans="3:4">
      <c r="C597"/>
      <c r="D597"/>
    </row>
    <row r="598" spans="3:4">
      <c r="C598"/>
      <c r="D598"/>
    </row>
    <row r="599" spans="3:4">
      <c r="C599"/>
      <c r="D599"/>
    </row>
    <row r="600" spans="3:4">
      <c r="C600"/>
      <c r="D600"/>
    </row>
    <row r="601" spans="3:4">
      <c r="C601"/>
      <c r="D601"/>
    </row>
    <row r="602" spans="3:4">
      <c r="C602"/>
      <c r="D602"/>
    </row>
    <row r="603" spans="3:4">
      <c r="C603"/>
      <c r="D603"/>
    </row>
    <row r="604" spans="3:4">
      <c r="C604"/>
      <c r="D604"/>
    </row>
    <row r="605" spans="3:4">
      <c r="C605"/>
      <c r="D605"/>
    </row>
    <row r="606" spans="3:4">
      <c r="C606"/>
      <c r="D606"/>
    </row>
    <row r="607" spans="3:4">
      <c r="C607"/>
      <c r="D607"/>
    </row>
    <row r="608" spans="3:4">
      <c r="C608"/>
      <c r="D608"/>
    </row>
    <row r="609" spans="3:4">
      <c r="C609"/>
      <c r="D609"/>
    </row>
    <row r="610" spans="3:4">
      <c r="C610"/>
      <c r="D610"/>
    </row>
    <row r="611" spans="3:4">
      <c r="C611"/>
      <c r="D611"/>
    </row>
    <row r="612" spans="3:4">
      <c r="C612"/>
      <c r="D612"/>
    </row>
    <row r="613" spans="3:4">
      <c r="C613"/>
      <c r="D613"/>
    </row>
    <row r="614" spans="3:4">
      <c r="C614"/>
      <c r="D614"/>
    </row>
    <row r="615" spans="3:4">
      <c r="C615"/>
      <c r="D615"/>
    </row>
    <row r="616" spans="3:4">
      <c r="C616"/>
      <c r="D616"/>
    </row>
    <row r="617" spans="3:4">
      <c r="C617"/>
      <c r="D617"/>
    </row>
    <row r="618" spans="3:4">
      <c r="C618"/>
      <c r="D618"/>
    </row>
    <row r="619" spans="3:4">
      <c r="C619"/>
      <c r="D619"/>
    </row>
    <row r="620" spans="3:4">
      <c r="C620"/>
      <c r="D620"/>
    </row>
    <row r="621" spans="3:4">
      <c r="C621"/>
      <c r="D621"/>
    </row>
    <row r="622" spans="3:4">
      <c r="C622"/>
      <c r="D622"/>
    </row>
    <row r="623" spans="3:4">
      <c r="C623"/>
      <c r="D623"/>
    </row>
    <row r="624" spans="3:4">
      <c r="C624"/>
      <c r="D624"/>
    </row>
    <row r="625" spans="3:4">
      <c r="C625"/>
      <c r="D625"/>
    </row>
    <row r="626" spans="3:4">
      <c r="C626"/>
      <c r="D626"/>
    </row>
    <row r="627" spans="3:4">
      <c r="C627"/>
      <c r="D627"/>
    </row>
    <row r="628" spans="3:4">
      <c r="C628"/>
      <c r="D628"/>
    </row>
    <row r="629" spans="3:4">
      <c r="C629"/>
      <c r="D629"/>
    </row>
    <row r="630" spans="3:4">
      <c r="C630"/>
      <c r="D630"/>
    </row>
    <row r="631" spans="3:4">
      <c r="C631"/>
      <c r="D631"/>
    </row>
    <row r="632" spans="3:4">
      <c r="C632"/>
      <c r="D632"/>
    </row>
    <row r="633" spans="3:4">
      <c r="C633"/>
      <c r="D633"/>
    </row>
    <row r="634" spans="3:4">
      <c r="C634"/>
      <c r="D634"/>
    </row>
    <row r="635" spans="3:4">
      <c r="C635"/>
      <c r="D635"/>
    </row>
    <row r="636" spans="3:4">
      <c r="C636"/>
      <c r="D636"/>
    </row>
    <row r="637" spans="3:4">
      <c r="C637"/>
      <c r="D637"/>
    </row>
    <row r="638" spans="3:4">
      <c r="C638"/>
      <c r="D638"/>
    </row>
    <row r="639" spans="3:4">
      <c r="C639"/>
      <c r="D639"/>
    </row>
    <row r="640" spans="3:4">
      <c r="C640"/>
      <c r="D640"/>
    </row>
    <row r="641" spans="3:4">
      <c r="C641"/>
      <c r="D641"/>
    </row>
    <row r="642" spans="3:4">
      <c r="C642"/>
      <c r="D642"/>
    </row>
    <row r="643" spans="3:4">
      <c r="C643"/>
      <c r="D643"/>
    </row>
    <row r="644" spans="3:4">
      <c r="C644"/>
      <c r="D644"/>
    </row>
    <row r="645" spans="3:4">
      <c r="C645"/>
      <c r="D645"/>
    </row>
    <row r="646" spans="3:4">
      <c r="C646"/>
      <c r="D646"/>
    </row>
    <row r="647" spans="3:4">
      <c r="C647"/>
      <c r="D647"/>
    </row>
    <row r="648" spans="3:4">
      <c r="C648"/>
      <c r="D648"/>
    </row>
    <row r="649" spans="3:4">
      <c r="C649"/>
      <c r="D649"/>
    </row>
    <row r="650" spans="3:4">
      <c r="C650"/>
      <c r="D650"/>
    </row>
    <row r="651" spans="3:4">
      <c r="C651"/>
      <c r="D651"/>
    </row>
    <row r="652" spans="3:4">
      <c r="C652"/>
      <c r="D652"/>
    </row>
    <row r="653" spans="3:4">
      <c r="C653"/>
      <c r="D653"/>
    </row>
    <row r="654" spans="3:4">
      <c r="C654"/>
      <c r="D654"/>
    </row>
    <row r="655" spans="3:4">
      <c r="C655"/>
      <c r="D655"/>
    </row>
    <row r="656" spans="3:4">
      <c r="C656"/>
      <c r="D656"/>
    </row>
    <row r="657" spans="3:4">
      <c r="C657"/>
      <c r="D657"/>
    </row>
    <row r="658" spans="3:4">
      <c r="C658"/>
      <c r="D658"/>
    </row>
    <row r="659" spans="3:4">
      <c r="C659"/>
      <c r="D659"/>
    </row>
    <row r="660" spans="3:4">
      <c r="C660"/>
      <c r="D660"/>
    </row>
    <row r="661" spans="3:4">
      <c r="C661"/>
      <c r="D661"/>
    </row>
    <row r="662" spans="3:4">
      <c r="C662"/>
      <c r="D662"/>
    </row>
    <row r="663" spans="3:4">
      <c r="C663"/>
      <c r="D663"/>
    </row>
    <row r="664" spans="3:4">
      <c r="C664"/>
      <c r="D664"/>
    </row>
    <row r="665" spans="3:4">
      <c r="C665"/>
      <c r="D665"/>
    </row>
    <row r="666" spans="3:4">
      <c r="C666"/>
      <c r="D666"/>
    </row>
    <row r="667" spans="3:4">
      <c r="C667"/>
      <c r="D667"/>
    </row>
    <row r="668" spans="3:4">
      <c r="C668"/>
      <c r="D668"/>
    </row>
    <row r="669" spans="3:4">
      <c r="C669"/>
      <c r="D669"/>
    </row>
    <row r="670" spans="3:4">
      <c r="C670"/>
      <c r="D670"/>
    </row>
    <row r="671" spans="3:4">
      <c r="C671"/>
      <c r="D671"/>
    </row>
    <row r="672" spans="3:4">
      <c r="C672"/>
      <c r="D672"/>
    </row>
    <row r="673" spans="3:4">
      <c r="C673"/>
      <c r="D673"/>
    </row>
    <row r="674" spans="3:4">
      <c r="C674"/>
      <c r="D674"/>
    </row>
    <row r="675" spans="3:4">
      <c r="C675"/>
      <c r="D675"/>
    </row>
    <row r="676" spans="3:4">
      <c r="C676"/>
      <c r="D676"/>
    </row>
    <row r="677" spans="3:4">
      <c r="C677"/>
      <c r="D677"/>
    </row>
    <row r="678" spans="3:4">
      <c r="C678"/>
      <c r="D678"/>
    </row>
    <row r="679" spans="3:4">
      <c r="C679"/>
      <c r="D679"/>
    </row>
    <row r="680" spans="3:4">
      <c r="C680"/>
      <c r="D680"/>
    </row>
    <row r="681" spans="3:4">
      <c r="C681"/>
      <c r="D681"/>
    </row>
    <row r="682" spans="3:4">
      <c r="C682"/>
      <c r="D682"/>
    </row>
    <row r="683" spans="3:4">
      <c r="C683"/>
      <c r="D683"/>
    </row>
    <row r="684" spans="3:4">
      <c r="C684"/>
      <c r="D684"/>
    </row>
    <row r="685" spans="3:4">
      <c r="C685"/>
      <c r="D685"/>
    </row>
    <row r="686" spans="3:4">
      <c r="C686"/>
      <c r="D686"/>
    </row>
    <row r="687" spans="3:4">
      <c r="C687"/>
      <c r="D687"/>
    </row>
    <row r="688" spans="3:4">
      <c r="C688"/>
      <c r="D688"/>
    </row>
    <row r="689" spans="2:4">
      <c r="C689"/>
      <c r="D689"/>
    </row>
    <row r="690" spans="2:4">
      <c r="C690"/>
      <c r="D690"/>
    </row>
    <row r="691" spans="2:4">
      <c r="C691"/>
      <c r="D691"/>
    </row>
    <row r="692" spans="2:4">
      <c r="C692"/>
      <c r="D692"/>
    </row>
    <row r="693" spans="2:4">
      <c r="C693"/>
      <c r="D693"/>
    </row>
    <row r="694" spans="2:4">
      <c r="C694"/>
      <c r="D694"/>
    </row>
    <row r="695" spans="2:4">
      <c r="C695"/>
      <c r="D695"/>
    </row>
    <row r="696" spans="2:4">
      <c r="C696"/>
      <c r="D696"/>
    </row>
    <row r="697" spans="2:4">
      <c r="C697"/>
      <c r="D697"/>
    </row>
    <row r="698" spans="2:4">
      <c r="C698"/>
      <c r="D698"/>
    </row>
    <row r="699" spans="2:4">
      <c r="C699"/>
      <c r="D699"/>
    </row>
    <row r="700" spans="2:4">
      <c r="C700"/>
      <c r="D700"/>
    </row>
    <row r="701" spans="2:4">
      <c r="B701" s="4"/>
      <c r="D701"/>
    </row>
    <row r="702" spans="2:4">
      <c r="B702" s="4"/>
      <c r="D702"/>
    </row>
    <row r="703" spans="2:4">
      <c r="B703" s="4"/>
      <c r="D703"/>
    </row>
    <row r="704" spans="2:4">
      <c r="B704" s="4"/>
      <c r="D704"/>
    </row>
    <row r="705" spans="2:4">
      <c r="B705" s="4"/>
      <c r="D705"/>
    </row>
    <row r="706" spans="2:4">
      <c r="B706" s="4"/>
      <c r="D706"/>
    </row>
    <row r="707" spans="2:4">
      <c r="B707" s="4"/>
      <c r="D707"/>
    </row>
    <row r="708" spans="2:4">
      <c r="B708" s="4"/>
      <c r="D708"/>
    </row>
    <row r="709" spans="2:4">
      <c r="B709" s="4"/>
      <c r="D709"/>
    </row>
    <row r="710" spans="2:4">
      <c r="B710" s="4"/>
      <c r="D710"/>
    </row>
    <row r="711" spans="2:4">
      <c r="B711" s="4"/>
      <c r="D711"/>
    </row>
    <row r="712" spans="2:4">
      <c r="B712" s="4"/>
      <c r="D712"/>
    </row>
    <row r="713" spans="2:4">
      <c r="B713" s="4"/>
      <c r="D713"/>
    </row>
    <row r="714" spans="2:4">
      <c r="B714" s="4"/>
      <c r="D714"/>
    </row>
    <row r="715" spans="2:4">
      <c r="B715" s="4"/>
      <c r="D715"/>
    </row>
    <row r="716" spans="2:4">
      <c r="B716" s="4"/>
      <c r="D716"/>
    </row>
    <row r="717" spans="2:4">
      <c r="B717" s="4"/>
      <c r="D717"/>
    </row>
    <row r="718" spans="2:4">
      <c r="B718" s="4"/>
      <c r="D718"/>
    </row>
    <row r="719" spans="2:4">
      <c r="B719" s="4"/>
      <c r="D719"/>
    </row>
    <row r="720" spans="2:4">
      <c r="B720" s="4"/>
      <c r="D720"/>
    </row>
    <row r="721" spans="2:4">
      <c r="B721" s="4"/>
      <c r="D721"/>
    </row>
    <row r="722" spans="2:4">
      <c r="B722" s="4"/>
      <c r="D722"/>
    </row>
    <row r="723" spans="2:4">
      <c r="B723" s="4"/>
      <c r="D723"/>
    </row>
    <row r="724" spans="2:4">
      <c r="B724" s="4"/>
      <c r="D724"/>
    </row>
    <row r="725" spans="2:4">
      <c r="B725" s="4"/>
      <c r="D725"/>
    </row>
    <row r="726" spans="2:4">
      <c r="B726" s="4"/>
      <c r="D726"/>
    </row>
    <row r="727" spans="2:4">
      <c r="B727" s="4"/>
      <c r="D727"/>
    </row>
    <row r="728" spans="2:4">
      <c r="B728" s="4"/>
      <c r="D728"/>
    </row>
    <row r="729" spans="2:4">
      <c r="B729" s="4"/>
      <c r="D729"/>
    </row>
    <row r="730" spans="2:4">
      <c r="B730" s="4"/>
      <c r="D730"/>
    </row>
    <row r="731" spans="2:4">
      <c r="B731" s="4"/>
      <c r="D731"/>
    </row>
    <row r="732" spans="2:4">
      <c r="B732" s="4"/>
      <c r="D732"/>
    </row>
    <row r="733" spans="2:4">
      <c r="B733" s="4"/>
      <c r="D733"/>
    </row>
    <row r="734" spans="2:4">
      <c r="B734" s="4"/>
      <c r="D734"/>
    </row>
    <row r="735" spans="2:4">
      <c r="B735" s="4"/>
      <c r="D735"/>
    </row>
    <row r="736" spans="2:4">
      <c r="B736" s="4"/>
      <c r="D736"/>
    </row>
    <row r="737" spans="2:4">
      <c r="B737" s="4"/>
      <c r="D737"/>
    </row>
    <row r="738" spans="2:4">
      <c r="B738" s="4"/>
      <c r="D738"/>
    </row>
    <row r="739" spans="2:4">
      <c r="B739" s="4"/>
      <c r="D739"/>
    </row>
    <row r="740" spans="2:4">
      <c r="B740" s="4"/>
      <c r="D740"/>
    </row>
    <row r="741" spans="2:4">
      <c r="B741" s="4"/>
      <c r="D741"/>
    </row>
    <row r="742" spans="2:4">
      <c r="B742" s="4"/>
      <c r="D742"/>
    </row>
    <row r="743" spans="2:4">
      <c r="B743" s="4"/>
      <c r="D743"/>
    </row>
    <row r="744" spans="2:4">
      <c r="B744" s="4"/>
      <c r="D744"/>
    </row>
    <row r="745" spans="2:4">
      <c r="B745" s="4"/>
      <c r="D745"/>
    </row>
    <row r="746" spans="2:4">
      <c r="B746" s="4"/>
      <c r="D746"/>
    </row>
    <row r="747" spans="2:4">
      <c r="B747" s="4"/>
      <c r="D747"/>
    </row>
    <row r="748" spans="2:4">
      <c r="B748" s="4"/>
      <c r="D748"/>
    </row>
    <row r="749" spans="2:4">
      <c r="B749" s="4"/>
      <c r="D749"/>
    </row>
    <row r="750" spans="2:4">
      <c r="B750" s="4"/>
      <c r="D750"/>
    </row>
    <row r="751" spans="2:4">
      <c r="B751" s="4"/>
      <c r="D751"/>
    </row>
    <row r="752" spans="2:4">
      <c r="B752" s="4"/>
      <c r="D752"/>
    </row>
    <row r="753" spans="2:4">
      <c r="B753" s="4"/>
      <c r="D753"/>
    </row>
    <row r="754" spans="2:4">
      <c r="B754" s="4"/>
      <c r="D754"/>
    </row>
    <row r="755" spans="2:4">
      <c r="B755" s="4"/>
      <c r="D755"/>
    </row>
    <row r="756" spans="2:4">
      <c r="B756" s="4"/>
      <c r="D756"/>
    </row>
    <row r="757" spans="2:4">
      <c r="B757" s="4"/>
      <c r="D757"/>
    </row>
    <row r="758" spans="2:4">
      <c r="B758" s="4"/>
      <c r="D758"/>
    </row>
    <row r="759" spans="2:4">
      <c r="B759" s="4"/>
      <c r="D759"/>
    </row>
    <row r="760" spans="2:4">
      <c r="B760" s="4"/>
      <c r="D760"/>
    </row>
    <row r="761" spans="2:4">
      <c r="B761" s="4"/>
      <c r="D761"/>
    </row>
    <row r="762" spans="2:4">
      <c r="B762" s="4"/>
      <c r="D762"/>
    </row>
    <row r="763" spans="2:4">
      <c r="B763" s="4"/>
      <c r="D763"/>
    </row>
    <row r="764" spans="2:4">
      <c r="B764" s="4"/>
      <c r="D764"/>
    </row>
    <row r="765" spans="2:4">
      <c r="B765" s="4"/>
      <c r="D765"/>
    </row>
    <row r="766" spans="2:4">
      <c r="B766" s="4"/>
      <c r="D766"/>
    </row>
    <row r="767" spans="2:4">
      <c r="B767" s="4"/>
      <c r="D767"/>
    </row>
    <row r="768" spans="2:4">
      <c r="B768" s="4"/>
      <c r="D768"/>
    </row>
    <row r="769" spans="2:4">
      <c r="B769" s="4"/>
      <c r="D769"/>
    </row>
    <row r="770" spans="2:4">
      <c r="B770" s="4"/>
      <c r="D770"/>
    </row>
    <row r="771" spans="2:4">
      <c r="B771" s="4"/>
      <c r="D771"/>
    </row>
    <row r="772" spans="2:4">
      <c r="B772" s="4"/>
      <c r="D772"/>
    </row>
    <row r="773" spans="2:4">
      <c r="B773" s="4"/>
      <c r="D773"/>
    </row>
    <row r="774" spans="2:4">
      <c r="B774" s="4"/>
      <c r="D774"/>
    </row>
    <row r="775" spans="2:4">
      <c r="B775" s="4"/>
      <c r="D775"/>
    </row>
    <row r="776" spans="2:4">
      <c r="B776" s="4"/>
      <c r="D776"/>
    </row>
    <row r="777" spans="2:4">
      <c r="B777" s="4"/>
      <c r="D777"/>
    </row>
    <row r="778" spans="2:4">
      <c r="B778" s="4"/>
      <c r="D778"/>
    </row>
    <row r="779" spans="2:4">
      <c r="B779" s="4"/>
      <c r="D779"/>
    </row>
    <row r="780" spans="2:4">
      <c r="B780" s="4"/>
      <c r="D780"/>
    </row>
    <row r="781" spans="2:4">
      <c r="B781" s="4"/>
      <c r="D781"/>
    </row>
    <row r="782" spans="2:4">
      <c r="B782" s="4"/>
      <c r="D782"/>
    </row>
    <row r="783" spans="2:4">
      <c r="B783" s="4"/>
      <c r="D783"/>
    </row>
    <row r="784" spans="2:4">
      <c r="B784" s="4"/>
      <c r="D784"/>
    </row>
    <row r="785" spans="2:4">
      <c r="B785" s="4"/>
      <c r="D785"/>
    </row>
    <row r="786" spans="2:4">
      <c r="B786" s="4"/>
      <c r="D786"/>
    </row>
    <row r="787" spans="2:4">
      <c r="B787" s="4"/>
      <c r="D787"/>
    </row>
    <row r="788" spans="2:4">
      <c r="B788" s="4"/>
      <c r="D788"/>
    </row>
    <row r="789" spans="2:4">
      <c r="B789" s="4"/>
      <c r="D789"/>
    </row>
    <row r="790" spans="2:4">
      <c r="B790" s="4"/>
      <c r="D790"/>
    </row>
    <row r="791" spans="2:4">
      <c r="B791" s="4"/>
      <c r="D791"/>
    </row>
    <row r="792" spans="2:4">
      <c r="B792" s="4"/>
      <c r="D792"/>
    </row>
    <row r="793" spans="2:4">
      <c r="B793" s="4"/>
      <c r="D793"/>
    </row>
    <row r="794" spans="2:4">
      <c r="B794" s="4"/>
      <c r="D794"/>
    </row>
    <row r="795" spans="2:4">
      <c r="B795" s="4"/>
      <c r="D795"/>
    </row>
    <row r="796" spans="2:4">
      <c r="B796" s="4"/>
      <c r="D796"/>
    </row>
    <row r="797" spans="2:4">
      <c r="B797" s="4"/>
      <c r="D797"/>
    </row>
    <row r="798" spans="2:4">
      <c r="B798" s="4"/>
      <c r="D798"/>
    </row>
    <row r="799" spans="2:4">
      <c r="B799" s="4"/>
      <c r="D799"/>
    </row>
    <row r="800" spans="2:4">
      <c r="B800" s="4"/>
      <c r="D800"/>
    </row>
    <row r="801" spans="2:4">
      <c r="B801" s="4"/>
      <c r="D801"/>
    </row>
    <row r="802" spans="2:4">
      <c r="B802" s="4"/>
      <c r="D802"/>
    </row>
    <row r="803" spans="2:4">
      <c r="B803" s="4"/>
      <c r="D803"/>
    </row>
    <row r="804" spans="2:4">
      <c r="B804" s="4"/>
      <c r="D804"/>
    </row>
    <row r="805" spans="2:4">
      <c r="B805" s="4"/>
      <c r="D805"/>
    </row>
    <row r="806" spans="2:4">
      <c r="B806" s="4"/>
      <c r="D806"/>
    </row>
    <row r="807" spans="2:4">
      <c r="B807" s="4"/>
      <c r="D807"/>
    </row>
    <row r="808" spans="2:4">
      <c r="B808" s="4"/>
      <c r="D808"/>
    </row>
    <row r="809" spans="2:4">
      <c r="B809" s="4"/>
      <c r="D809"/>
    </row>
    <row r="810" spans="2:4">
      <c r="B810" s="4"/>
      <c r="D810"/>
    </row>
    <row r="811" spans="2:4">
      <c r="B811" s="4"/>
      <c r="D811"/>
    </row>
    <row r="812" spans="2:4">
      <c r="B812" s="4"/>
      <c r="D812"/>
    </row>
    <row r="813" spans="2:4">
      <c r="B813" s="4"/>
      <c r="D813"/>
    </row>
    <row r="814" spans="2:4">
      <c r="B814" s="4"/>
      <c r="D814"/>
    </row>
    <row r="815" spans="2:4">
      <c r="B815" s="4"/>
      <c r="D815"/>
    </row>
    <row r="816" spans="2:4">
      <c r="B816" s="4"/>
      <c r="D816"/>
    </row>
    <row r="817" spans="2:4">
      <c r="B817" s="4"/>
      <c r="D817"/>
    </row>
    <row r="818" spans="2:4">
      <c r="B818" s="4"/>
      <c r="D818"/>
    </row>
    <row r="819" spans="2:4">
      <c r="B819" s="4"/>
      <c r="D819"/>
    </row>
    <row r="820" spans="2:4">
      <c r="B820" s="4"/>
      <c r="D820"/>
    </row>
    <row r="821" spans="2:4">
      <c r="B821" s="4"/>
      <c r="D821"/>
    </row>
    <row r="822" spans="2:4">
      <c r="B822" s="4"/>
      <c r="D822"/>
    </row>
    <row r="823" spans="2:4">
      <c r="B823" s="4"/>
      <c r="D823"/>
    </row>
    <row r="824" spans="2:4">
      <c r="B824" s="4"/>
      <c r="D824"/>
    </row>
    <row r="825" spans="2:4">
      <c r="B825" s="4"/>
      <c r="D825"/>
    </row>
    <row r="826" spans="2:4">
      <c r="B826" s="4"/>
      <c r="D826"/>
    </row>
    <row r="827" spans="2:4">
      <c r="B827" s="4"/>
      <c r="D827"/>
    </row>
    <row r="828" spans="2:4">
      <c r="B828" s="4"/>
      <c r="D828"/>
    </row>
    <row r="829" spans="2:4">
      <c r="B829" s="4"/>
      <c r="D829"/>
    </row>
    <row r="830" spans="2:4">
      <c r="B830" s="4"/>
      <c r="D830"/>
    </row>
    <row r="831" spans="2:4">
      <c r="B831" s="4"/>
      <c r="D831"/>
    </row>
    <row r="832" spans="2:4">
      <c r="B832" s="4"/>
      <c r="D832"/>
    </row>
    <row r="833" spans="2:4">
      <c r="B833" s="4"/>
      <c r="D833"/>
    </row>
    <row r="834" spans="2:4">
      <c r="B834" s="4"/>
      <c r="D834"/>
    </row>
    <row r="835" spans="2:4">
      <c r="B835" s="4"/>
      <c r="D835"/>
    </row>
    <row r="836" spans="2:4">
      <c r="B836" s="4"/>
      <c r="D836"/>
    </row>
    <row r="837" spans="2:4">
      <c r="B837" s="4"/>
      <c r="D837"/>
    </row>
    <row r="838" spans="2:4">
      <c r="B838" s="4"/>
      <c r="D838"/>
    </row>
    <row r="839" spans="2:4">
      <c r="B839" s="4"/>
      <c r="D839"/>
    </row>
    <row r="840" spans="2:4">
      <c r="B840" s="4"/>
      <c r="D840"/>
    </row>
    <row r="841" spans="2:4">
      <c r="B841" s="4"/>
      <c r="D841"/>
    </row>
    <row r="842" spans="2:4">
      <c r="B842" s="4"/>
      <c r="D842"/>
    </row>
    <row r="843" spans="2:4">
      <c r="B843" s="4"/>
      <c r="D843"/>
    </row>
    <row r="844" spans="2:4">
      <c r="B844" s="4"/>
      <c r="D844"/>
    </row>
    <row r="845" spans="2:4">
      <c r="B845" s="4"/>
      <c r="D845"/>
    </row>
    <row r="846" spans="2:4">
      <c r="B846" s="4"/>
      <c r="D846"/>
    </row>
    <row r="847" spans="2:4">
      <c r="B847" s="4"/>
      <c r="D847"/>
    </row>
    <row r="848" spans="2:4">
      <c r="B848" s="4"/>
      <c r="D848"/>
    </row>
    <row r="849" spans="2:4">
      <c r="B849" s="4"/>
      <c r="D849"/>
    </row>
    <row r="850" spans="2:4">
      <c r="B850" s="4"/>
      <c r="D850"/>
    </row>
    <row r="851" spans="2:4">
      <c r="B851" s="4"/>
      <c r="D851"/>
    </row>
    <row r="852" spans="2:4">
      <c r="B852" s="4"/>
      <c r="D852"/>
    </row>
    <row r="853" spans="2:4">
      <c r="B853" s="4"/>
      <c r="D853"/>
    </row>
    <row r="854" spans="2:4">
      <c r="B854" s="4"/>
      <c r="D854"/>
    </row>
    <row r="855" spans="2:4">
      <c r="B855" s="4"/>
      <c r="D855"/>
    </row>
    <row r="856" spans="2:4">
      <c r="B856" s="4"/>
      <c r="D856"/>
    </row>
    <row r="857" spans="2:4">
      <c r="B857" s="4"/>
      <c r="D857"/>
    </row>
    <row r="858" spans="2:4">
      <c r="B858" s="4"/>
      <c r="D858"/>
    </row>
    <row r="859" spans="2:4">
      <c r="B859" s="4"/>
      <c r="D859"/>
    </row>
    <row r="860" spans="2:4">
      <c r="B860" s="4"/>
      <c r="D860"/>
    </row>
    <row r="861" spans="2:4">
      <c r="B861" s="4"/>
      <c r="D861"/>
    </row>
    <row r="862" spans="2:4">
      <c r="B862" s="4"/>
      <c r="D862"/>
    </row>
    <row r="863" spans="2:4">
      <c r="B863" s="4"/>
      <c r="D863"/>
    </row>
    <row r="864" spans="2:4">
      <c r="B864" s="4"/>
      <c r="D864"/>
    </row>
    <row r="865" spans="2:4">
      <c r="B865" s="4"/>
      <c r="D865"/>
    </row>
    <row r="866" spans="2:4">
      <c r="B866" s="4"/>
      <c r="D866"/>
    </row>
    <row r="867" spans="2:4">
      <c r="B867" s="4"/>
      <c r="D867"/>
    </row>
    <row r="868" spans="2:4">
      <c r="B868" s="4"/>
      <c r="D868"/>
    </row>
    <row r="869" spans="2:4">
      <c r="B869" s="4"/>
      <c r="D869"/>
    </row>
    <row r="870" spans="2:4">
      <c r="B870" s="4"/>
      <c r="D870"/>
    </row>
    <row r="871" spans="2:4">
      <c r="B871" s="4"/>
      <c r="D871"/>
    </row>
    <row r="872" spans="2:4">
      <c r="B872" s="4"/>
      <c r="D872"/>
    </row>
    <row r="873" spans="2:4">
      <c r="B873" s="4"/>
      <c r="D873"/>
    </row>
    <row r="874" spans="2:4">
      <c r="B874" s="4"/>
      <c r="D874"/>
    </row>
    <row r="875" spans="2:4">
      <c r="B875" s="4"/>
      <c r="D875"/>
    </row>
    <row r="876" spans="2:4">
      <c r="B876" s="4"/>
      <c r="D876"/>
    </row>
    <row r="877" spans="2:4">
      <c r="B877" s="4"/>
      <c r="D877"/>
    </row>
    <row r="878" spans="2:4">
      <c r="B878" s="4"/>
      <c r="D878"/>
    </row>
    <row r="879" spans="2:4">
      <c r="B879" s="4"/>
      <c r="D879"/>
    </row>
    <row r="880" spans="2:4">
      <c r="B880" s="4"/>
      <c r="D880"/>
    </row>
    <row r="881" spans="2:4">
      <c r="B881" s="4"/>
      <c r="D881"/>
    </row>
    <row r="882" spans="2:4">
      <c r="B882" s="4"/>
      <c r="D882"/>
    </row>
    <row r="883" spans="2:4">
      <c r="B883" s="4"/>
      <c r="D883"/>
    </row>
    <row r="884" spans="2:4">
      <c r="B884" s="4"/>
      <c r="D884"/>
    </row>
    <row r="885" spans="2:4">
      <c r="B885" s="4"/>
      <c r="D885"/>
    </row>
    <row r="886" spans="2:4">
      <c r="B886" s="4"/>
      <c r="D886"/>
    </row>
    <row r="887" spans="2:4">
      <c r="B887" s="4"/>
      <c r="D887"/>
    </row>
    <row r="888" spans="2:4">
      <c r="B888" s="4"/>
      <c r="D888"/>
    </row>
    <row r="889" spans="2:4">
      <c r="B889" s="4"/>
      <c r="D889"/>
    </row>
    <row r="890" spans="2:4">
      <c r="B890" s="4"/>
      <c r="D890"/>
    </row>
    <row r="891" spans="2:4">
      <c r="B891" s="4"/>
      <c r="D891"/>
    </row>
    <row r="892" spans="2:4">
      <c r="B892" s="4"/>
      <c r="D892"/>
    </row>
    <row r="893" spans="2:4">
      <c r="B893" s="4"/>
      <c r="D893"/>
    </row>
    <row r="894" spans="2:4">
      <c r="B894" s="4"/>
      <c r="D894"/>
    </row>
    <row r="895" spans="2:4">
      <c r="B895" s="4"/>
      <c r="D895"/>
    </row>
    <row r="896" spans="2:4">
      <c r="B896" s="4"/>
      <c r="D896"/>
    </row>
    <row r="897" spans="2:4">
      <c r="B897" s="4"/>
      <c r="D897"/>
    </row>
    <row r="898" spans="2:4">
      <c r="B898" s="4"/>
      <c r="D898"/>
    </row>
    <row r="899" spans="2:4">
      <c r="B899" s="4"/>
      <c r="D899"/>
    </row>
    <row r="900" spans="2:4">
      <c r="B900" s="4"/>
      <c r="D900"/>
    </row>
    <row r="901" spans="2:4">
      <c r="B901" s="4"/>
      <c r="D901"/>
    </row>
    <row r="902" spans="2:4">
      <c r="B902" s="4"/>
      <c r="D902"/>
    </row>
    <row r="903" spans="2:4">
      <c r="B903" s="4"/>
      <c r="D903"/>
    </row>
    <row r="904" spans="2:4">
      <c r="B904" s="4"/>
      <c r="D904"/>
    </row>
    <row r="905" spans="2:4">
      <c r="B905" s="4"/>
      <c r="D905"/>
    </row>
    <row r="906" spans="2:4">
      <c r="B906" s="4"/>
      <c r="D906"/>
    </row>
    <row r="907" spans="2:4">
      <c r="B907" s="4"/>
      <c r="D907"/>
    </row>
    <row r="908" spans="2:4">
      <c r="B908" s="4"/>
      <c r="D908"/>
    </row>
    <row r="909" spans="2:4">
      <c r="B909" s="4"/>
      <c r="D909"/>
    </row>
    <row r="910" spans="2:4">
      <c r="B910" s="4"/>
      <c r="D910"/>
    </row>
    <row r="911" spans="2:4">
      <c r="B911" s="4"/>
      <c r="D911"/>
    </row>
    <row r="912" spans="2:4">
      <c r="B912" s="4"/>
      <c r="D912"/>
    </row>
    <row r="913" spans="2:4">
      <c r="B913" s="4"/>
      <c r="D913"/>
    </row>
    <row r="914" spans="2:4">
      <c r="B914" s="4"/>
      <c r="D914"/>
    </row>
    <row r="915" spans="2:4">
      <c r="B915" s="4"/>
      <c r="D915"/>
    </row>
    <row r="916" spans="2:4">
      <c r="B916" s="4"/>
      <c r="D916"/>
    </row>
    <row r="917" spans="2:4">
      <c r="B917" s="4"/>
      <c r="D917"/>
    </row>
    <row r="918" spans="2:4">
      <c r="B918" s="4"/>
      <c r="D918"/>
    </row>
    <row r="919" spans="2:4">
      <c r="B919" s="4"/>
      <c r="D919"/>
    </row>
    <row r="920" spans="2:4">
      <c r="B920" s="4"/>
      <c r="D920"/>
    </row>
    <row r="921" spans="2:4">
      <c r="B921" s="4"/>
      <c r="D921"/>
    </row>
    <row r="922" spans="2:4">
      <c r="B922" s="4"/>
      <c r="D922"/>
    </row>
    <row r="923" spans="2:4">
      <c r="B923" s="4"/>
      <c r="D923"/>
    </row>
    <row r="924" spans="2:4">
      <c r="B924" s="4"/>
      <c r="D924"/>
    </row>
    <row r="925" spans="2:4">
      <c r="B925" s="4"/>
      <c r="D925"/>
    </row>
    <row r="926" spans="2:4">
      <c r="B926" s="4"/>
      <c r="D926"/>
    </row>
    <row r="927" spans="2:4">
      <c r="B927" s="4"/>
      <c r="D927"/>
    </row>
    <row r="928" spans="2:4">
      <c r="B928" s="4"/>
      <c r="D928"/>
    </row>
    <row r="929" spans="2:4">
      <c r="B929" s="4"/>
      <c r="D929"/>
    </row>
    <row r="930" spans="2:4">
      <c r="B930" s="4"/>
      <c r="D930"/>
    </row>
    <row r="931" spans="2:4">
      <c r="B931" s="4"/>
      <c r="D931"/>
    </row>
    <row r="932" spans="2:4">
      <c r="B932" s="4"/>
      <c r="D932"/>
    </row>
    <row r="933" spans="2:4">
      <c r="B933" s="4"/>
      <c r="D933"/>
    </row>
    <row r="934" spans="2:4">
      <c r="B934" s="4"/>
      <c r="D934"/>
    </row>
    <row r="935" spans="2:4">
      <c r="B935" s="4"/>
      <c r="D935"/>
    </row>
    <row r="936" spans="2:4">
      <c r="B936" s="4"/>
      <c r="D936"/>
    </row>
    <row r="937" spans="2:4">
      <c r="B937" s="4"/>
      <c r="D937"/>
    </row>
    <row r="938" spans="2:4">
      <c r="B938" s="4"/>
      <c r="D938"/>
    </row>
    <row r="939" spans="2:4">
      <c r="B939" s="4"/>
      <c r="D939"/>
    </row>
    <row r="940" spans="2:4">
      <c r="B940" s="4"/>
      <c r="D940"/>
    </row>
    <row r="941" spans="2:4">
      <c r="B941" s="4"/>
      <c r="D941"/>
    </row>
    <row r="942" spans="2:4">
      <c r="B942" s="4"/>
      <c r="D942"/>
    </row>
    <row r="943" spans="2:4">
      <c r="B943" s="4"/>
      <c r="D943"/>
    </row>
    <row r="944" spans="2:4">
      <c r="B944" s="4"/>
      <c r="D944"/>
    </row>
    <row r="945" spans="2:4">
      <c r="B945" s="4"/>
      <c r="D945"/>
    </row>
    <row r="946" spans="2:4">
      <c r="B946" s="4"/>
      <c r="D946"/>
    </row>
    <row r="947" spans="2:4">
      <c r="B947" s="4"/>
      <c r="D947"/>
    </row>
    <row r="948" spans="2:4">
      <c r="B948" s="4"/>
      <c r="D948"/>
    </row>
    <row r="949" spans="2:4">
      <c r="B949" s="4"/>
      <c r="D949"/>
    </row>
    <row r="950" spans="2:4">
      <c r="B950" s="4"/>
      <c r="D950"/>
    </row>
    <row r="951" spans="2:4">
      <c r="B951" s="4"/>
      <c r="D951"/>
    </row>
    <row r="952" spans="2:4">
      <c r="B952" s="4"/>
      <c r="D952"/>
    </row>
    <row r="953" spans="2:4">
      <c r="B953" s="4"/>
      <c r="D953"/>
    </row>
    <row r="954" spans="2:4">
      <c r="B954" s="4"/>
      <c r="D954"/>
    </row>
    <row r="955" spans="2:4">
      <c r="B955" s="4"/>
      <c r="D955"/>
    </row>
    <row r="956" spans="2:4">
      <c r="B956" s="4"/>
      <c r="D956"/>
    </row>
    <row r="957" spans="2:4">
      <c r="B957" s="4"/>
      <c r="D957"/>
    </row>
    <row r="958" spans="2:4">
      <c r="B958" s="4"/>
      <c r="D958"/>
    </row>
    <row r="959" spans="2:4">
      <c r="B959" s="4"/>
      <c r="D959"/>
    </row>
    <row r="960" spans="2:4">
      <c r="B960" s="4"/>
      <c r="D960"/>
    </row>
    <row r="961" spans="2:4">
      <c r="B961" s="4"/>
      <c r="D961"/>
    </row>
    <row r="962" spans="2:4">
      <c r="B962" s="4"/>
      <c r="D962"/>
    </row>
    <row r="963" spans="2:4">
      <c r="B963" s="4"/>
      <c r="D963"/>
    </row>
    <row r="964" spans="2:4">
      <c r="B964" s="4"/>
      <c r="D964"/>
    </row>
    <row r="965" spans="2:4">
      <c r="B965" s="4"/>
      <c r="D965"/>
    </row>
    <row r="966" spans="2:4">
      <c r="B966" s="4"/>
      <c r="D966"/>
    </row>
    <row r="967" spans="2:4">
      <c r="B967" s="4"/>
      <c r="D967"/>
    </row>
    <row r="968" spans="2:4">
      <c r="B968" s="4"/>
      <c r="D968"/>
    </row>
    <row r="969" spans="2:4">
      <c r="B969" s="4"/>
      <c r="D969"/>
    </row>
    <row r="970" spans="2:4">
      <c r="B970" s="4"/>
      <c r="D970"/>
    </row>
    <row r="971" spans="2:4">
      <c r="B971" s="4"/>
      <c r="D971"/>
    </row>
    <row r="972" spans="2:4">
      <c r="B972" s="4"/>
      <c r="D972"/>
    </row>
    <row r="973" spans="2:4">
      <c r="B973" s="4"/>
      <c r="D973"/>
    </row>
    <row r="974" spans="2:4">
      <c r="B974" s="4"/>
      <c r="D974"/>
    </row>
    <row r="975" spans="2:4">
      <c r="B975" s="4"/>
      <c r="D975"/>
    </row>
    <row r="976" spans="2:4">
      <c r="B976" s="4"/>
      <c r="D976"/>
    </row>
    <row r="977" spans="2:4">
      <c r="B977" s="4"/>
      <c r="D977"/>
    </row>
    <row r="978" spans="2:4">
      <c r="B978" s="4"/>
      <c r="D978"/>
    </row>
    <row r="979" spans="2:4">
      <c r="B979" s="4"/>
      <c r="D979"/>
    </row>
    <row r="980" spans="2:4">
      <c r="B980" s="4"/>
      <c r="D980"/>
    </row>
    <row r="981" spans="2:4">
      <c r="B981" s="4"/>
      <c r="D981"/>
    </row>
    <row r="982" spans="2:4">
      <c r="B982" s="4"/>
      <c r="D982"/>
    </row>
    <row r="983" spans="2:4">
      <c r="B983" s="4"/>
      <c r="D983"/>
    </row>
    <row r="984" spans="2:4">
      <c r="B984" s="4"/>
      <c r="D984"/>
    </row>
    <row r="985" spans="2:4">
      <c r="B985" s="4"/>
      <c r="D985"/>
    </row>
    <row r="986" spans="2:4">
      <c r="B986" s="4"/>
      <c r="D986"/>
    </row>
    <row r="987" spans="2:4">
      <c r="B987" s="4"/>
      <c r="D987"/>
    </row>
    <row r="988" spans="2:4">
      <c r="B988" s="4"/>
      <c r="D988"/>
    </row>
    <row r="989" spans="2:4">
      <c r="B989" s="4"/>
      <c r="D989"/>
    </row>
    <row r="990" spans="2:4">
      <c r="B990" s="4"/>
      <c r="D990"/>
    </row>
    <row r="991" spans="2:4">
      <c r="B991" s="4"/>
      <c r="D991"/>
    </row>
    <row r="992" spans="2:4">
      <c r="B992" s="4"/>
      <c r="D992"/>
    </row>
    <row r="993" spans="2:4">
      <c r="B993" s="4"/>
      <c r="D993"/>
    </row>
    <row r="994" spans="2:4">
      <c r="B994" s="4"/>
      <c r="D994"/>
    </row>
    <row r="995" spans="2:4">
      <c r="B995" s="4"/>
      <c r="D995"/>
    </row>
    <row r="996" spans="2:4">
      <c r="B996" s="4"/>
      <c r="D996"/>
    </row>
    <row r="997" spans="2:4">
      <c r="B997" s="4"/>
      <c r="D997"/>
    </row>
    <row r="998" spans="2:4">
      <c r="B998" s="4"/>
      <c r="D998"/>
    </row>
    <row r="999" spans="2:4">
      <c r="B999" s="4"/>
      <c r="D999"/>
    </row>
    <row r="1000" spans="2:4">
      <c r="B1000" s="4"/>
      <c r="D1000"/>
    </row>
    <row r="1001" spans="2:4">
      <c r="B1001" s="4"/>
      <c r="D1001"/>
    </row>
    <row r="1002" spans="2:4">
      <c r="B1002" s="4"/>
      <c r="D1002"/>
    </row>
    <row r="1003" spans="2:4">
      <c r="B1003" s="4"/>
      <c r="D1003"/>
    </row>
    <row r="1004" spans="2:4">
      <c r="B1004" s="4"/>
      <c r="D1004"/>
    </row>
    <row r="1005" spans="2:4">
      <c r="B1005" s="4"/>
      <c r="D1005"/>
    </row>
    <row r="1006" spans="2:4">
      <c r="B1006" s="4"/>
      <c r="D1006"/>
    </row>
    <row r="1007" spans="2:4">
      <c r="B1007" s="4"/>
      <c r="D1007"/>
    </row>
    <row r="1008" spans="2:4">
      <c r="B1008" s="4"/>
      <c r="D1008"/>
    </row>
    <row r="1009" spans="2:4">
      <c r="B1009" s="4"/>
      <c r="D1009"/>
    </row>
    <row r="1010" spans="2:4">
      <c r="B1010" s="4"/>
      <c r="D1010"/>
    </row>
    <row r="1011" spans="2:4">
      <c r="B1011" s="4"/>
      <c r="D1011"/>
    </row>
    <row r="1012" spans="2:4">
      <c r="B1012" s="4"/>
      <c r="D1012"/>
    </row>
    <row r="1013" spans="2:4">
      <c r="B1013" s="4"/>
      <c r="D1013"/>
    </row>
    <row r="1014" spans="2:4">
      <c r="B1014" s="4"/>
      <c r="D1014"/>
    </row>
    <row r="1015" spans="2:4">
      <c r="B1015" s="4"/>
      <c r="D1015"/>
    </row>
    <row r="1016" spans="2:4">
      <c r="B1016" s="4"/>
      <c r="D1016"/>
    </row>
    <row r="1017" spans="2:4">
      <c r="B1017" s="4"/>
      <c r="D1017"/>
    </row>
    <row r="1018" spans="2:4">
      <c r="B1018" s="4"/>
      <c r="D1018"/>
    </row>
    <row r="1019" spans="2:4">
      <c r="B1019" s="4"/>
      <c r="D1019"/>
    </row>
    <row r="1020" spans="2:4">
      <c r="B1020" s="4"/>
      <c r="D1020"/>
    </row>
    <row r="1021" spans="2:4">
      <c r="B1021" s="4"/>
      <c r="D1021"/>
    </row>
    <row r="1022" spans="2:4">
      <c r="B1022" s="4"/>
      <c r="D1022"/>
    </row>
    <row r="1023" spans="2:4">
      <c r="B1023" s="4"/>
      <c r="D1023"/>
    </row>
    <row r="1024" spans="2:4">
      <c r="B1024" s="4"/>
      <c r="D1024"/>
    </row>
    <row r="1025" spans="2:4">
      <c r="B1025" s="4"/>
      <c r="D1025"/>
    </row>
    <row r="1026" spans="2:4">
      <c r="B1026" s="4"/>
      <c r="D1026"/>
    </row>
    <row r="1027" spans="2:4">
      <c r="B1027" s="4"/>
      <c r="D1027"/>
    </row>
    <row r="1028" spans="2:4">
      <c r="B1028" s="4"/>
      <c r="D1028"/>
    </row>
    <row r="1029" spans="2:4">
      <c r="B1029" s="4"/>
      <c r="D1029"/>
    </row>
    <row r="1030" spans="2:4">
      <c r="B1030" s="4"/>
      <c r="D1030"/>
    </row>
    <row r="1031" spans="2:4">
      <c r="B1031" s="4"/>
      <c r="D1031"/>
    </row>
    <row r="1032" spans="2:4">
      <c r="B1032" s="4"/>
      <c r="D1032"/>
    </row>
    <row r="1033" spans="2:4">
      <c r="B1033" s="4"/>
      <c r="D1033"/>
    </row>
    <row r="1034" spans="2:4">
      <c r="B1034" s="4"/>
      <c r="D1034"/>
    </row>
    <row r="1035" spans="2:4">
      <c r="B1035" s="4"/>
      <c r="D1035"/>
    </row>
    <row r="1036" spans="2:4">
      <c r="B1036" s="4"/>
      <c r="D1036"/>
    </row>
    <row r="1037" spans="2:4">
      <c r="B1037" s="4"/>
      <c r="D1037"/>
    </row>
    <row r="1038" spans="2:4">
      <c r="B1038" s="4"/>
      <c r="D1038"/>
    </row>
    <row r="1039" spans="2:4">
      <c r="B1039" s="4"/>
      <c r="D1039"/>
    </row>
    <row r="1040" spans="2:4">
      <c r="B1040" s="4"/>
      <c r="D1040"/>
    </row>
    <row r="1041" spans="2:4">
      <c r="B1041" s="4"/>
      <c r="D1041"/>
    </row>
    <row r="1042" spans="2:4">
      <c r="B1042" s="4"/>
      <c r="D1042"/>
    </row>
    <row r="1043" spans="2:4">
      <c r="B1043" s="4"/>
      <c r="D1043"/>
    </row>
    <row r="1044" spans="2:4">
      <c r="B1044" s="4"/>
      <c r="D1044"/>
    </row>
    <row r="1045" spans="2:4">
      <c r="B1045" s="4"/>
      <c r="D1045"/>
    </row>
    <row r="1046" spans="2:4">
      <c r="B1046" s="4"/>
      <c r="D1046"/>
    </row>
    <row r="1047" spans="2:4">
      <c r="B1047" s="4"/>
      <c r="D1047"/>
    </row>
    <row r="1048" spans="2:4">
      <c r="B1048" s="4"/>
      <c r="D1048"/>
    </row>
    <row r="1049" spans="2:4">
      <c r="B1049" s="4"/>
      <c r="D1049"/>
    </row>
    <row r="1050" spans="2:4">
      <c r="B1050" s="4"/>
      <c r="D1050"/>
    </row>
    <row r="1051" spans="2:4">
      <c r="B1051" s="4"/>
      <c r="D1051"/>
    </row>
    <row r="1052" spans="2:4">
      <c r="B1052" s="4"/>
      <c r="D1052"/>
    </row>
    <row r="1053" spans="2:4">
      <c r="B1053" s="4"/>
      <c r="D1053"/>
    </row>
    <row r="1054" spans="2:4">
      <c r="B1054" s="4"/>
      <c r="D1054"/>
    </row>
    <row r="1055" spans="2:4">
      <c r="B1055" s="4"/>
      <c r="D1055"/>
    </row>
    <row r="1056" spans="2:4">
      <c r="B1056" s="4"/>
      <c r="D1056"/>
    </row>
    <row r="1057" spans="2:4">
      <c r="B1057" s="4"/>
      <c r="D1057"/>
    </row>
    <row r="1058" spans="2:4">
      <c r="B1058" s="4"/>
      <c r="D1058"/>
    </row>
    <row r="1059" spans="2:4">
      <c r="B1059" s="4"/>
      <c r="D1059"/>
    </row>
    <row r="1060" spans="2:4">
      <c r="B1060" s="4"/>
      <c r="D1060"/>
    </row>
    <row r="1061" spans="2:4">
      <c r="B1061" s="4"/>
      <c r="D1061"/>
    </row>
    <row r="1062" spans="2:4">
      <c r="B1062" s="4"/>
      <c r="D1062"/>
    </row>
    <row r="1063" spans="2:4">
      <c r="B1063" s="4"/>
      <c r="D1063"/>
    </row>
    <row r="1064" spans="2:4">
      <c r="B1064" s="4"/>
      <c r="D1064"/>
    </row>
    <row r="1065" spans="2:4">
      <c r="B1065" s="4"/>
      <c r="D1065"/>
    </row>
    <row r="1066" spans="2:4">
      <c r="B1066" s="4"/>
      <c r="D1066"/>
    </row>
    <row r="1067" spans="2:4">
      <c r="B1067" s="4"/>
      <c r="D1067"/>
    </row>
    <row r="1068" spans="2:4">
      <c r="B1068" s="4"/>
      <c r="D1068"/>
    </row>
    <row r="1069" spans="2:4">
      <c r="B1069" s="4"/>
      <c r="D1069"/>
    </row>
    <row r="1070" spans="2:4">
      <c r="B1070" s="4"/>
      <c r="D1070"/>
    </row>
    <row r="1071" spans="2:4">
      <c r="B1071" s="4"/>
      <c r="D1071"/>
    </row>
    <row r="1072" spans="2:4">
      <c r="B1072" s="4"/>
      <c r="D1072"/>
    </row>
    <row r="1073" spans="2:4">
      <c r="B1073" s="4"/>
      <c r="D1073"/>
    </row>
    <row r="1074" spans="2:4">
      <c r="B1074" s="4"/>
      <c r="D1074"/>
    </row>
    <row r="1075" spans="2:4">
      <c r="B1075" s="4"/>
      <c r="D1075"/>
    </row>
    <row r="1076" spans="2:4">
      <c r="B1076" s="4"/>
      <c r="D1076"/>
    </row>
    <row r="1077" spans="2:4">
      <c r="B1077" s="4"/>
      <c r="D1077"/>
    </row>
    <row r="1078" spans="2:4">
      <c r="B1078" s="4"/>
      <c r="D1078"/>
    </row>
    <row r="1079" spans="2:4">
      <c r="B1079" s="4"/>
      <c r="D1079"/>
    </row>
    <row r="1080" spans="2:4">
      <c r="B1080" s="4"/>
      <c r="D1080"/>
    </row>
    <row r="1081" spans="2:4">
      <c r="B1081" s="4"/>
      <c r="D1081"/>
    </row>
    <row r="1082" spans="2:4">
      <c r="B1082" s="4"/>
      <c r="D1082"/>
    </row>
    <row r="1083" spans="2:4">
      <c r="B1083" s="4"/>
      <c r="D1083"/>
    </row>
    <row r="1084" spans="2:4">
      <c r="B1084" s="4"/>
      <c r="D1084"/>
    </row>
    <row r="1085" spans="2:4">
      <c r="B1085" s="4"/>
      <c r="D1085"/>
    </row>
    <row r="1086" spans="2:4">
      <c r="B1086" s="4"/>
      <c r="D1086"/>
    </row>
    <row r="1087" spans="2:4">
      <c r="B1087" s="4"/>
      <c r="D1087"/>
    </row>
    <row r="1088" spans="2:4">
      <c r="B1088" s="4"/>
      <c r="D1088"/>
    </row>
    <row r="1089" spans="2:4">
      <c r="B1089" s="4"/>
      <c r="D1089"/>
    </row>
    <row r="1090" spans="2:4">
      <c r="B1090" s="4"/>
      <c r="D1090"/>
    </row>
    <row r="1091" spans="2:4">
      <c r="B1091" s="4"/>
      <c r="D1091"/>
    </row>
    <row r="1092" spans="2:4">
      <c r="B1092" s="4"/>
      <c r="D1092"/>
    </row>
    <row r="1093" spans="2:4">
      <c r="B1093" s="4"/>
      <c r="D1093"/>
    </row>
    <row r="1094" spans="2:4">
      <c r="B1094" s="4"/>
      <c r="D1094"/>
    </row>
    <row r="1095" spans="2:4">
      <c r="B1095" s="4"/>
      <c r="D1095"/>
    </row>
    <row r="1096" spans="2:4">
      <c r="B1096" s="4"/>
      <c r="D1096"/>
    </row>
    <row r="1097" spans="2:4">
      <c r="B1097" s="4"/>
      <c r="D1097"/>
    </row>
    <row r="1098" spans="2:4">
      <c r="B1098" s="4"/>
      <c r="D1098"/>
    </row>
    <row r="1099" spans="2:4">
      <c r="B1099" s="4"/>
      <c r="D1099"/>
    </row>
    <row r="1100" spans="2:4">
      <c r="B1100" s="4"/>
      <c r="D1100"/>
    </row>
    <row r="1101" spans="2:4">
      <c r="B1101" s="4"/>
      <c r="D1101"/>
    </row>
    <row r="1102" spans="2:4">
      <c r="B1102" s="4"/>
      <c r="D1102"/>
    </row>
    <row r="1103" spans="2:4">
      <c r="B1103" s="4"/>
      <c r="D1103"/>
    </row>
    <row r="1104" spans="2:4">
      <c r="B1104" s="4"/>
      <c r="D1104"/>
    </row>
    <row r="1105" spans="2:4">
      <c r="B1105" s="4"/>
      <c r="D1105"/>
    </row>
    <row r="1106" spans="2:4">
      <c r="B1106" s="4"/>
      <c r="D1106"/>
    </row>
    <row r="1107" spans="2:4">
      <c r="B1107" s="4"/>
      <c r="D1107"/>
    </row>
    <row r="1108" spans="2:4">
      <c r="B1108" s="4"/>
      <c r="D1108"/>
    </row>
    <row r="1109" spans="2:4">
      <c r="B1109" s="4"/>
      <c r="D1109"/>
    </row>
    <row r="1110" spans="2:4">
      <c r="B1110" s="4"/>
      <c r="D1110"/>
    </row>
    <row r="1111" spans="2:4">
      <c r="B1111" s="4"/>
      <c r="D1111"/>
    </row>
    <row r="1112" spans="2:4">
      <c r="B1112" s="4"/>
      <c r="D1112"/>
    </row>
    <row r="1113" spans="2:4">
      <c r="B1113" s="4"/>
      <c r="D1113"/>
    </row>
    <row r="1114" spans="2:4">
      <c r="B1114" s="4"/>
      <c r="D1114"/>
    </row>
    <row r="1115" spans="2:4">
      <c r="B1115" s="4"/>
      <c r="D1115"/>
    </row>
    <row r="1116" spans="2:4">
      <c r="B1116" s="4"/>
      <c r="D1116"/>
    </row>
    <row r="1117" spans="2:4">
      <c r="B1117" s="4"/>
      <c r="D1117"/>
    </row>
    <row r="1118" spans="2:4">
      <c r="B1118" s="4"/>
      <c r="D1118"/>
    </row>
    <row r="1119" spans="2:4">
      <c r="B1119" s="4"/>
      <c r="D1119"/>
    </row>
    <row r="1120" spans="2:4">
      <c r="B1120" s="4"/>
      <c r="D1120"/>
    </row>
    <row r="1121" spans="2:4">
      <c r="B1121" s="4"/>
      <c r="D1121"/>
    </row>
    <row r="1122" spans="2:4">
      <c r="B1122" s="4"/>
      <c r="D1122"/>
    </row>
    <row r="1123" spans="2:4">
      <c r="B1123" s="4"/>
      <c r="D1123"/>
    </row>
    <row r="1124" spans="2:4">
      <c r="B1124" s="4"/>
      <c r="D1124"/>
    </row>
    <row r="1125" spans="2:4">
      <c r="B1125" s="4"/>
      <c r="D1125"/>
    </row>
    <row r="1126" spans="2:4">
      <c r="B1126" s="4"/>
      <c r="D1126"/>
    </row>
    <row r="1127" spans="2:4">
      <c r="B1127" s="4"/>
      <c r="D1127"/>
    </row>
    <row r="1128" spans="2:4">
      <c r="B1128" s="4"/>
      <c r="D1128"/>
    </row>
    <row r="1129" spans="2:4">
      <c r="B1129" s="4"/>
      <c r="D1129"/>
    </row>
    <row r="1130" spans="2:4">
      <c r="B1130" s="4"/>
      <c r="D1130"/>
    </row>
    <row r="1131" spans="2:4">
      <c r="B1131" s="4"/>
      <c r="D1131"/>
    </row>
    <row r="1132" spans="2:4">
      <c r="B1132" s="4"/>
      <c r="D1132"/>
    </row>
    <row r="1133" spans="2:4">
      <c r="B1133" s="4"/>
      <c r="D1133"/>
    </row>
    <row r="1134" spans="2:4">
      <c r="B1134" s="4"/>
      <c r="D1134"/>
    </row>
    <row r="1135" spans="2:4">
      <c r="B1135" s="4"/>
      <c r="D1135"/>
    </row>
    <row r="1136" spans="2:4">
      <c r="B1136" s="4"/>
      <c r="D1136"/>
    </row>
    <row r="1137" spans="2:4">
      <c r="B1137" s="4"/>
      <c r="D1137"/>
    </row>
    <row r="1138" spans="2:4">
      <c r="B1138" s="4"/>
      <c r="D1138"/>
    </row>
    <row r="1139" spans="2:4">
      <c r="B1139" s="4"/>
      <c r="D1139"/>
    </row>
    <row r="1140" spans="2:4">
      <c r="B1140" s="4"/>
      <c r="D1140"/>
    </row>
    <row r="1141" spans="2:4">
      <c r="B1141" s="4"/>
      <c r="D1141"/>
    </row>
    <row r="1142" spans="2:4">
      <c r="B1142" s="4"/>
      <c r="D1142"/>
    </row>
    <row r="1143" spans="2:4">
      <c r="B1143" s="4"/>
      <c r="D1143"/>
    </row>
    <row r="1144" spans="2:4">
      <c r="B1144" s="4"/>
      <c r="D1144"/>
    </row>
    <row r="1145" spans="2:4">
      <c r="B1145" s="4"/>
      <c r="D1145"/>
    </row>
    <row r="1146" spans="2:4">
      <c r="B1146" s="4"/>
      <c r="D1146"/>
    </row>
    <row r="1147" spans="2:4">
      <c r="B1147" s="4"/>
      <c r="D1147"/>
    </row>
    <row r="1148" spans="2:4">
      <c r="B1148" s="4"/>
      <c r="D1148"/>
    </row>
    <row r="1149" spans="2:4">
      <c r="B1149" s="4"/>
      <c r="D1149"/>
    </row>
    <row r="1150" spans="2:4">
      <c r="B1150" s="4"/>
      <c r="D1150"/>
    </row>
    <row r="1151" spans="2:4">
      <c r="B1151" s="4"/>
      <c r="D1151"/>
    </row>
    <row r="1152" spans="2:4">
      <c r="B1152" s="4"/>
      <c r="D1152"/>
    </row>
    <row r="1153" spans="2:4">
      <c r="B1153" s="4"/>
      <c r="D1153"/>
    </row>
    <row r="1154" spans="2:4">
      <c r="B1154" s="4"/>
      <c r="D1154"/>
    </row>
    <row r="1155" spans="2:4">
      <c r="B1155" s="4"/>
      <c r="D1155"/>
    </row>
    <row r="1156" spans="2:4">
      <c r="B1156" s="4"/>
      <c r="D1156"/>
    </row>
    <row r="1157" spans="2:4">
      <c r="B1157" s="4"/>
      <c r="D1157"/>
    </row>
    <row r="1158" spans="2:4">
      <c r="B1158" s="4"/>
      <c r="D1158"/>
    </row>
    <row r="1159" spans="2:4">
      <c r="B1159" s="4"/>
      <c r="D1159"/>
    </row>
    <row r="1160" spans="2:4">
      <c r="B1160" s="4"/>
      <c r="D1160"/>
    </row>
    <row r="1161" spans="2:4">
      <c r="B1161" s="4"/>
      <c r="D1161"/>
    </row>
    <row r="1162" spans="2:4">
      <c r="B1162" s="4"/>
      <c r="D1162"/>
    </row>
    <row r="1163" spans="2:4">
      <c r="B1163" s="4"/>
      <c r="D1163"/>
    </row>
    <row r="1164" spans="2:4">
      <c r="B1164" s="4"/>
      <c r="D1164"/>
    </row>
    <row r="1165" spans="2:4">
      <c r="B1165" s="4"/>
      <c r="D1165"/>
    </row>
    <row r="1166" spans="2:4">
      <c r="B1166" s="4"/>
      <c r="D1166"/>
    </row>
    <row r="1167" spans="2:4">
      <c r="B1167" s="4"/>
      <c r="D1167"/>
    </row>
    <row r="1168" spans="2:4">
      <c r="B1168" s="4"/>
      <c r="D1168"/>
    </row>
    <row r="1169" spans="2:4">
      <c r="B1169" s="4"/>
      <c r="D1169"/>
    </row>
    <row r="1170" spans="2:4">
      <c r="B1170" s="4"/>
      <c r="D1170"/>
    </row>
    <row r="1171" spans="2:4">
      <c r="B1171" s="4"/>
      <c r="D1171"/>
    </row>
    <row r="1172" spans="2:4">
      <c r="B1172" s="4"/>
      <c r="D1172"/>
    </row>
    <row r="1173" spans="2:4">
      <c r="B1173" s="4"/>
      <c r="D1173"/>
    </row>
    <row r="1174" spans="2:4">
      <c r="B1174" s="4"/>
      <c r="D1174"/>
    </row>
    <row r="1175" spans="2:4">
      <c r="B1175" s="4"/>
      <c r="D1175"/>
    </row>
    <row r="1176" spans="2:4">
      <c r="B1176" s="4"/>
      <c r="D1176"/>
    </row>
    <row r="1177" spans="2:4">
      <c r="B1177" s="4"/>
      <c r="D1177"/>
    </row>
    <row r="1178" spans="2:4">
      <c r="B1178" s="4"/>
      <c r="D1178"/>
    </row>
    <row r="1179" spans="2:4">
      <c r="B1179" s="4"/>
      <c r="D1179"/>
    </row>
    <row r="1180" spans="2:4">
      <c r="B1180" s="4"/>
      <c r="D1180"/>
    </row>
    <row r="1181" spans="2:4">
      <c r="B1181" s="4"/>
      <c r="D1181"/>
    </row>
    <row r="1182" spans="2:4">
      <c r="B1182" s="4"/>
      <c r="D1182"/>
    </row>
    <row r="1183" spans="2:4">
      <c r="B1183" s="4"/>
      <c r="D1183"/>
    </row>
    <row r="1184" spans="2:4">
      <c r="B1184" s="4"/>
      <c r="D1184"/>
    </row>
    <row r="1185" spans="2:4">
      <c r="B1185" s="4"/>
      <c r="D1185"/>
    </row>
    <row r="1186" spans="2:4">
      <c r="B1186" s="4"/>
      <c r="D1186"/>
    </row>
    <row r="1187" spans="2:4">
      <c r="B1187" s="4"/>
      <c r="D1187"/>
    </row>
    <row r="1188" spans="2:4">
      <c r="B1188" s="4"/>
      <c r="D1188"/>
    </row>
    <row r="1189" spans="2:4">
      <c r="B1189" s="4"/>
      <c r="D1189"/>
    </row>
    <row r="1190" spans="2:4">
      <c r="B1190" s="4"/>
      <c r="D1190"/>
    </row>
    <row r="1191" spans="2:4">
      <c r="B1191" s="4"/>
      <c r="D1191"/>
    </row>
    <row r="1192" spans="2:4">
      <c r="B1192" s="4"/>
      <c r="D1192"/>
    </row>
    <row r="1193" spans="2:4">
      <c r="B1193" s="4"/>
      <c r="D1193"/>
    </row>
    <row r="1194" spans="2:4">
      <c r="B1194" s="4"/>
      <c r="D1194"/>
    </row>
    <row r="1195" spans="2:4">
      <c r="B1195" s="4"/>
      <c r="D1195"/>
    </row>
    <row r="1196" spans="2:4">
      <c r="B1196" s="4"/>
      <c r="D1196"/>
    </row>
    <row r="1197" spans="2:4">
      <c r="B1197" s="4"/>
      <c r="D1197"/>
    </row>
    <row r="1198" spans="2:4">
      <c r="B1198" s="4"/>
      <c r="D1198"/>
    </row>
    <row r="1199" spans="2:4">
      <c r="B1199" s="4"/>
      <c r="D1199"/>
    </row>
    <row r="1200" spans="2:4">
      <c r="B1200" s="4"/>
      <c r="D1200"/>
    </row>
    <row r="1201" spans="2:4">
      <c r="B1201" s="4"/>
      <c r="D1201"/>
    </row>
    <row r="1202" spans="2:4">
      <c r="B1202" s="4"/>
      <c r="D1202"/>
    </row>
    <row r="1203" spans="2:4">
      <c r="B1203" s="4"/>
      <c r="D1203"/>
    </row>
    <row r="1204" spans="2:4">
      <c r="B1204" s="4"/>
      <c r="D1204"/>
    </row>
    <row r="1205" spans="2:4">
      <c r="B1205" s="4"/>
      <c r="D1205"/>
    </row>
    <row r="1206" spans="2:4">
      <c r="B1206" s="4"/>
      <c r="D1206"/>
    </row>
    <row r="1207" spans="2:4">
      <c r="B1207" s="4"/>
      <c r="D1207"/>
    </row>
    <row r="1208" spans="2:4">
      <c r="B1208" s="4"/>
      <c r="D1208"/>
    </row>
    <row r="1209" spans="2:4">
      <c r="B1209" s="4"/>
      <c r="D1209"/>
    </row>
    <row r="1210" spans="2:4">
      <c r="B1210" s="4"/>
      <c r="D1210"/>
    </row>
    <row r="1211" spans="2:4">
      <c r="B1211" s="4"/>
      <c r="D1211"/>
    </row>
    <row r="1212" spans="2:4">
      <c r="B1212" s="4"/>
      <c r="D1212"/>
    </row>
    <row r="1213" spans="2:4">
      <c r="B1213" s="4"/>
      <c r="D1213"/>
    </row>
    <row r="1214" spans="2:4">
      <c r="B1214" s="4"/>
      <c r="D1214"/>
    </row>
    <row r="1215" spans="2:4">
      <c r="B1215" s="4"/>
      <c r="D1215"/>
    </row>
    <row r="1216" spans="2:4">
      <c r="B1216" s="4"/>
      <c r="D1216"/>
    </row>
    <row r="1217" spans="2:4">
      <c r="B1217" s="4"/>
      <c r="D1217"/>
    </row>
    <row r="1218" spans="2:4">
      <c r="B1218" s="4"/>
      <c r="D1218"/>
    </row>
    <row r="1219" spans="2:4">
      <c r="B1219" s="4"/>
      <c r="D1219"/>
    </row>
    <row r="1220" spans="2:4">
      <c r="B1220" s="4"/>
      <c r="D1220"/>
    </row>
    <row r="1221" spans="2:4">
      <c r="B1221" s="4"/>
      <c r="D1221"/>
    </row>
    <row r="1222" spans="2:4">
      <c r="B1222" s="4"/>
      <c r="D1222"/>
    </row>
    <row r="1223" spans="2:4">
      <c r="B1223" s="4"/>
      <c r="D1223"/>
    </row>
    <row r="1224" spans="2:4">
      <c r="B1224" s="4"/>
      <c r="D1224"/>
    </row>
    <row r="1225" spans="2:4">
      <c r="B1225" s="4"/>
      <c r="D1225"/>
    </row>
    <row r="1226" spans="2:4">
      <c r="B1226" s="4"/>
      <c r="D1226"/>
    </row>
    <row r="1227" spans="2:4">
      <c r="B1227" s="4"/>
      <c r="D1227"/>
    </row>
    <row r="1228" spans="2:4">
      <c r="B1228" s="4"/>
      <c r="D1228"/>
    </row>
    <row r="1229" spans="2:4">
      <c r="B1229" s="4"/>
      <c r="D1229"/>
    </row>
    <row r="1230" spans="2:4">
      <c r="B1230" s="4"/>
      <c r="D1230"/>
    </row>
    <row r="1231" spans="2:4">
      <c r="B1231" s="4"/>
      <c r="D1231"/>
    </row>
    <row r="1232" spans="2:4">
      <c r="B1232" s="4"/>
      <c r="D1232"/>
    </row>
    <row r="1233" spans="2:4">
      <c r="B1233" s="4"/>
      <c r="D1233"/>
    </row>
    <row r="1234" spans="2:4">
      <c r="B1234" s="4"/>
      <c r="D1234"/>
    </row>
    <row r="1235" spans="2:4">
      <c r="B1235" s="4"/>
      <c r="D1235"/>
    </row>
    <row r="1236" spans="2:4">
      <c r="B1236" s="4"/>
      <c r="D1236"/>
    </row>
    <row r="1237" spans="2:4">
      <c r="B1237" s="4"/>
      <c r="D1237"/>
    </row>
    <row r="1238" spans="2:4">
      <c r="B1238" s="4"/>
      <c r="D1238"/>
    </row>
    <row r="1239" spans="2:4">
      <c r="B1239" s="4"/>
      <c r="D1239"/>
    </row>
    <row r="1240" spans="2:4">
      <c r="B1240" s="4"/>
      <c r="D1240"/>
    </row>
    <row r="1241" spans="2:4">
      <c r="B1241" s="4"/>
      <c r="D1241"/>
    </row>
    <row r="1242" spans="2:4">
      <c r="B1242" s="4"/>
      <c r="D1242"/>
    </row>
    <row r="1243" spans="2:4">
      <c r="B1243" s="4"/>
      <c r="D1243"/>
    </row>
    <row r="1244" spans="2:4">
      <c r="B1244" s="4"/>
      <c r="D1244"/>
    </row>
    <row r="1245" spans="2:4">
      <c r="B1245" s="4"/>
      <c r="D1245"/>
    </row>
    <row r="1246" spans="2:4">
      <c r="B1246" s="4"/>
      <c r="D1246"/>
    </row>
    <row r="1247" spans="2:4">
      <c r="B1247" s="4"/>
      <c r="D1247"/>
    </row>
    <row r="1248" spans="2:4">
      <c r="B1248" s="4"/>
      <c r="D1248"/>
    </row>
    <row r="1249" spans="2:4">
      <c r="B1249" s="4"/>
      <c r="D1249"/>
    </row>
    <row r="1250" spans="2:4">
      <c r="B1250" s="4"/>
      <c r="D1250"/>
    </row>
    <row r="1251" spans="2:4">
      <c r="B1251" s="4"/>
      <c r="D1251"/>
    </row>
    <row r="1252" spans="2:4">
      <c r="B1252" s="4"/>
      <c r="D1252"/>
    </row>
    <row r="1253" spans="2:4">
      <c r="B1253" s="4"/>
      <c r="D1253"/>
    </row>
    <row r="1254" spans="2:4">
      <c r="B1254" s="4"/>
      <c r="D1254"/>
    </row>
    <row r="1255" spans="2:4">
      <c r="B1255" s="4"/>
      <c r="D1255"/>
    </row>
    <row r="1256" spans="2:4">
      <c r="B1256" s="4"/>
      <c r="D1256"/>
    </row>
    <row r="1257" spans="2:4">
      <c r="B1257" s="4"/>
      <c r="D1257"/>
    </row>
    <row r="1258" spans="2:4">
      <c r="B1258" s="4"/>
      <c r="D1258"/>
    </row>
    <row r="1259" spans="2:4">
      <c r="B1259" s="4"/>
      <c r="D1259"/>
    </row>
    <row r="1260" spans="2:4">
      <c r="B1260" s="4"/>
      <c r="D1260"/>
    </row>
    <row r="1261" spans="2:4">
      <c r="B1261" s="4"/>
      <c r="D1261"/>
    </row>
    <row r="1262" spans="2:4">
      <c r="B1262" s="4"/>
      <c r="D1262"/>
    </row>
    <row r="1263" spans="2:4">
      <c r="B1263" s="4"/>
      <c r="D1263"/>
    </row>
    <row r="1264" spans="2:4">
      <c r="B1264" s="4"/>
      <c r="D1264"/>
    </row>
    <row r="1265" spans="2:4">
      <c r="B1265" s="4"/>
      <c r="D1265"/>
    </row>
    <row r="1266" spans="2:4">
      <c r="B1266" s="4"/>
      <c r="D1266"/>
    </row>
    <row r="1267" spans="2:4">
      <c r="B1267" s="4"/>
      <c r="D1267"/>
    </row>
    <row r="1268" spans="2:4">
      <c r="B1268" s="4"/>
      <c r="D1268"/>
    </row>
    <row r="1269" spans="2:4">
      <c r="B1269" s="4"/>
      <c r="D1269"/>
    </row>
    <row r="1270" spans="2:4">
      <c r="B1270" s="4"/>
      <c r="D1270"/>
    </row>
    <row r="1271" spans="2:4">
      <c r="B1271" s="4"/>
      <c r="D1271"/>
    </row>
    <row r="1272" spans="2:4">
      <c r="B1272" s="4"/>
      <c r="D1272"/>
    </row>
    <row r="1273" spans="2:4">
      <c r="B1273" s="4"/>
      <c r="D1273"/>
    </row>
    <row r="1274" spans="2:4">
      <c r="B1274" s="4"/>
      <c r="D1274"/>
    </row>
    <row r="1275" spans="2:4">
      <c r="B1275" s="4"/>
      <c r="D1275"/>
    </row>
    <row r="1276" spans="2:4">
      <c r="B1276" s="4"/>
      <c r="D1276"/>
    </row>
    <row r="1277" spans="2:4">
      <c r="B1277" s="4"/>
      <c r="D1277"/>
    </row>
    <row r="1278" spans="2:4">
      <c r="B1278" s="4"/>
      <c r="D1278"/>
    </row>
    <row r="1279" spans="2:4">
      <c r="B1279" s="4"/>
      <c r="D1279"/>
    </row>
    <row r="1280" spans="2:4">
      <c r="B1280" s="4"/>
      <c r="D1280"/>
    </row>
    <row r="1281" spans="2:4">
      <c r="B1281" s="4"/>
      <c r="D1281"/>
    </row>
    <row r="1282" spans="2:4">
      <c r="B1282" s="4"/>
      <c r="D1282"/>
    </row>
    <row r="1283" spans="2:4">
      <c r="B1283" s="4"/>
      <c r="D1283"/>
    </row>
    <row r="1284" spans="2:4">
      <c r="B1284" s="4"/>
      <c r="D1284"/>
    </row>
    <row r="1285" spans="2:4">
      <c r="B1285" s="4"/>
      <c r="D1285"/>
    </row>
    <row r="1286" spans="2:4">
      <c r="B1286" s="4"/>
      <c r="D1286"/>
    </row>
    <row r="1287" spans="2:4">
      <c r="B1287" s="4"/>
      <c r="D1287"/>
    </row>
    <row r="1288" spans="2:4">
      <c r="B1288" s="4"/>
      <c r="D1288"/>
    </row>
    <row r="1289" spans="2:4">
      <c r="B1289" s="4"/>
      <c r="D1289"/>
    </row>
    <row r="1290" spans="2:4">
      <c r="B1290" s="4"/>
      <c r="D1290"/>
    </row>
    <row r="1291" spans="2:4">
      <c r="B1291" s="4"/>
      <c r="D1291"/>
    </row>
    <row r="1292" spans="2:4">
      <c r="B1292" s="4"/>
      <c r="D1292"/>
    </row>
    <row r="1293" spans="2:4">
      <c r="B1293" s="4"/>
      <c r="D1293"/>
    </row>
    <row r="1294" spans="2:4">
      <c r="B1294" s="4"/>
      <c r="D1294"/>
    </row>
    <row r="1295" spans="2:4">
      <c r="B1295" s="4"/>
      <c r="D1295"/>
    </row>
    <row r="1296" spans="2:4">
      <c r="B1296" s="4"/>
      <c r="D1296"/>
    </row>
    <row r="1297" spans="2:4">
      <c r="B1297" s="4"/>
      <c r="D1297"/>
    </row>
    <row r="1298" spans="2:4">
      <c r="B1298" s="4"/>
      <c r="D1298"/>
    </row>
    <row r="1299" spans="2:4">
      <c r="B1299" s="4"/>
      <c r="D1299"/>
    </row>
    <row r="1300" spans="2:4">
      <c r="B1300" s="4"/>
      <c r="D1300"/>
    </row>
    <row r="1301" spans="2:4">
      <c r="B1301" s="4"/>
      <c r="D1301"/>
    </row>
    <row r="1302" spans="2:4">
      <c r="B1302" s="4"/>
      <c r="D1302"/>
    </row>
    <row r="1303" spans="2:4">
      <c r="B1303" s="4"/>
      <c r="D1303"/>
    </row>
    <row r="1304" spans="2:4">
      <c r="B1304" s="4"/>
      <c r="D1304"/>
    </row>
    <row r="1305" spans="2:4">
      <c r="B1305" s="4"/>
      <c r="D1305"/>
    </row>
    <row r="1306" spans="2:4">
      <c r="B1306" s="4"/>
      <c r="D1306"/>
    </row>
    <row r="1307" spans="2:4">
      <c r="B1307" s="4"/>
      <c r="D1307"/>
    </row>
    <row r="1308" spans="2:4">
      <c r="B1308" s="4"/>
      <c r="D1308"/>
    </row>
    <row r="1309" spans="2:4">
      <c r="B1309" s="4"/>
      <c r="D1309"/>
    </row>
    <row r="1310" spans="2:4">
      <c r="B1310" s="4"/>
      <c r="D1310"/>
    </row>
    <row r="1311" spans="2:4">
      <c r="B1311" s="4"/>
      <c r="D1311"/>
    </row>
    <row r="1312" spans="2:4">
      <c r="B1312" s="4"/>
      <c r="D1312"/>
    </row>
    <row r="1313" spans="2:4">
      <c r="B1313" s="4"/>
      <c r="D1313"/>
    </row>
    <row r="1314" spans="2:4">
      <c r="B1314" s="4"/>
      <c r="D1314"/>
    </row>
    <row r="1315" spans="2:4">
      <c r="B1315" s="4"/>
      <c r="D1315"/>
    </row>
    <row r="1316" spans="2:4">
      <c r="B1316" s="4"/>
      <c r="D1316"/>
    </row>
    <row r="1317" spans="2:4">
      <c r="B1317" s="4"/>
      <c r="D1317"/>
    </row>
    <row r="1318" spans="2:4">
      <c r="B1318" s="4"/>
      <c r="D1318"/>
    </row>
    <row r="1319" spans="2:4">
      <c r="B1319" s="4"/>
      <c r="D1319"/>
    </row>
    <row r="1320" spans="2:4">
      <c r="B1320" s="4"/>
      <c r="D1320"/>
    </row>
    <row r="1321" spans="2:4">
      <c r="B1321" s="4"/>
      <c r="D1321"/>
    </row>
    <row r="1322" spans="2:4">
      <c r="B1322" s="4"/>
      <c r="D1322"/>
    </row>
    <row r="1323" spans="2:4">
      <c r="B1323" s="4"/>
      <c r="D1323"/>
    </row>
    <row r="1324" spans="2:4">
      <c r="B1324" s="4"/>
      <c r="D1324"/>
    </row>
    <row r="1325" spans="2:4">
      <c r="B1325" s="4"/>
      <c r="D1325"/>
    </row>
    <row r="1326" spans="2:4">
      <c r="B1326" s="4"/>
      <c r="D1326"/>
    </row>
    <row r="1327" spans="2:4">
      <c r="B1327" s="4"/>
      <c r="D1327"/>
    </row>
    <row r="1328" spans="2:4">
      <c r="B1328" s="4"/>
      <c r="D1328"/>
    </row>
    <row r="1329" spans="2:4">
      <c r="B1329" s="4"/>
      <c r="D1329"/>
    </row>
    <row r="1330" spans="2:4">
      <c r="B1330" s="4"/>
      <c r="D1330"/>
    </row>
    <row r="1331" spans="2:4">
      <c r="B1331" s="4"/>
      <c r="D1331"/>
    </row>
    <row r="1332" spans="2:4">
      <c r="B1332" s="4"/>
      <c r="D1332"/>
    </row>
    <row r="1333" spans="2:4">
      <c r="B1333" s="4"/>
      <c r="D1333"/>
    </row>
    <row r="1334" spans="2:4">
      <c r="B1334" s="4"/>
      <c r="D1334"/>
    </row>
    <row r="1335" spans="2:4">
      <c r="B1335" s="4"/>
      <c r="D1335"/>
    </row>
    <row r="1336" spans="2:4">
      <c r="B1336" s="4"/>
      <c r="D1336"/>
    </row>
    <row r="1337" spans="2:4">
      <c r="B1337" s="4"/>
      <c r="D1337"/>
    </row>
    <row r="1338" spans="2:4">
      <c r="B1338" s="4"/>
      <c r="D1338"/>
    </row>
    <row r="1339" spans="2:4">
      <c r="B1339" s="4"/>
      <c r="D1339"/>
    </row>
    <row r="1340" spans="2:4">
      <c r="B1340" s="4"/>
      <c r="D1340"/>
    </row>
    <row r="1341" spans="2:4">
      <c r="B1341" s="4"/>
      <c r="D1341"/>
    </row>
    <row r="1342" spans="2:4">
      <c r="B1342" s="4"/>
      <c r="D1342"/>
    </row>
    <row r="1343" spans="2:4">
      <c r="B1343" s="4"/>
      <c r="D1343"/>
    </row>
    <row r="1344" spans="2:4">
      <c r="B1344" s="4"/>
      <c r="D1344"/>
    </row>
    <row r="1345" spans="2:4">
      <c r="B1345" s="4"/>
      <c r="D1345"/>
    </row>
    <row r="1346" spans="2:4">
      <c r="B1346" s="4"/>
      <c r="D1346"/>
    </row>
    <row r="1347" spans="2:4">
      <c r="B1347" s="4"/>
      <c r="D1347"/>
    </row>
    <row r="1348" spans="2:4">
      <c r="B1348" s="4"/>
      <c r="D1348"/>
    </row>
    <row r="1349" spans="2:4">
      <c r="B1349" s="4"/>
      <c r="D1349"/>
    </row>
    <row r="1350" spans="2:4">
      <c r="B1350" s="4"/>
      <c r="D1350"/>
    </row>
    <row r="1351" spans="2:4">
      <c r="B1351" s="4"/>
      <c r="D1351"/>
    </row>
    <row r="1352" spans="2:4">
      <c r="B1352" s="4"/>
      <c r="D1352"/>
    </row>
    <row r="1353" spans="2:4">
      <c r="B1353" s="4"/>
      <c r="D1353"/>
    </row>
    <row r="1354" spans="2:4">
      <c r="B1354" s="4"/>
      <c r="D1354"/>
    </row>
    <row r="1355" spans="2:4">
      <c r="B1355" s="4"/>
      <c r="D1355"/>
    </row>
    <row r="1356" spans="2:4">
      <c r="B1356" s="4"/>
      <c r="D1356"/>
    </row>
    <row r="1357" spans="2:4">
      <c r="B1357" s="4"/>
      <c r="D1357"/>
    </row>
    <row r="1358" spans="2:4">
      <c r="B1358" s="4"/>
      <c r="D1358"/>
    </row>
    <row r="1359" spans="2:4">
      <c r="B1359" s="4"/>
      <c r="D1359"/>
    </row>
    <row r="1360" spans="2:4">
      <c r="B1360" s="4"/>
      <c r="D1360"/>
    </row>
    <row r="1361" spans="2:4">
      <c r="B1361" s="4"/>
      <c r="D1361"/>
    </row>
    <row r="1362" spans="2:4">
      <c r="B1362" s="4"/>
      <c r="D1362"/>
    </row>
    <row r="1363" spans="2:4">
      <c r="B1363" s="4"/>
      <c r="D1363"/>
    </row>
    <row r="1364" spans="2:4">
      <c r="B1364" s="4"/>
      <c r="D1364"/>
    </row>
    <row r="1365" spans="2:4">
      <c r="B1365" s="4"/>
      <c r="D1365"/>
    </row>
    <row r="1366" spans="2:4">
      <c r="B1366" s="4"/>
      <c r="D1366"/>
    </row>
    <row r="1367" spans="2:4">
      <c r="B1367" s="4"/>
      <c r="D1367"/>
    </row>
    <row r="1368" spans="2:4">
      <c r="B1368" s="4"/>
      <c r="D1368"/>
    </row>
    <row r="1369" spans="2:4">
      <c r="B1369" s="4"/>
      <c r="D1369"/>
    </row>
    <row r="1370" spans="2:4">
      <c r="B1370" s="4"/>
      <c r="D1370"/>
    </row>
    <row r="1371" spans="2:4">
      <c r="B1371" s="4"/>
      <c r="D1371"/>
    </row>
    <row r="1372" spans="2:4">
      <c r="B1372" s="4"/>
      <c r="D1372"/>
    </row>
    <row r="1373" spans="2:4">
      <c r="B1373" s="4"/>
      <c r="D1373"/>
    </row>
    <row r="1374" spans="2:4">
      <c r="B1374" s="4"/>
      <c r="D1374"/>
    </row>
    <row r="1375" spans="2:4">
      <c r="B1375" s="4"/>
      <c r="D1375"/>
    </row>
    <row r="1376" spans="2:4">
      <c r="B1376" s="4"/>
      <c r="D1376"/>
    </row>
    <row r="1377" spans="2:4">
      <c r="B1377" s="4"/>
      <c r="D1377"/>
    </row>
    <row r="1378" spans="2:4">
      <c r="B1378" s="4"/>
      <c r="D1378"/>
    </row>
    <row r="1379" spans="2:4">
      <c r="B1379" s="4"/>
      <c r="D1379"/>
    </row>
    <row r="1380" spans="2:4">
      <c r="B1380" s="4"/>
      <c r="D1380"/>
    </row>
    <row r="1381" spans="2:4">
      <c r="B1381" s="4"/>
      <c r="D1381"/>
    </row>
    <row r="1382" spans="2:4">
      <c r="B1382" s="4"/>
      <c r="D1382"/>
    </row>
    <row r="1383" spans="2:4">
      <c r="B1383" s="4"/>
      <c r="D1383"/>
    </row>
    <row r="1384" spans="2:4">
      <c r="B1384" s="4"/>
      <c r="D1384"/>
    </row>
    <row r="1385" spans="2:4">
      <c r="B1385" s="4"/>
      <c r="D1385"/>
    </row>
    <row r="1386" spans="2:4">
      <c r="B1386" s="4"/>
      <c r="D1386"/>
    </row>
    <row r="1387" spans="2:4">
      <c r="B1387" s="4"/>
      <c r="D1387"/>
    </row>
    <row r="1388" spans="2:4">
      <c r="B1388" s="4"/>
      <c r="D1388"/>
    </row>
    <row r="1389" spans="2:4">
      <c r="B1389" s="4"/>
      <c r="D1389"/>
    </row>
    <row r="1390" spans="2:4">
      <c r="B1390" s="4"/>
      <c r="D1390"/>
    </row>
    <row r="1391" spans="2:4">
      <c r="B1391" s="4"/>
      <c r="D1391"/>
    </row>
    <row r="1392" spans="2:4">
      <c r="B1392" s="4"/>
      <c r="D1392"/>
    </row>
    <row r="1393" spans="2:4">
      <c r="B1393" s="4"/>
      <c r="D1393"/>
    </row>
    <row r="1394" spans="2:4">
      <c r="B1394" s="4"/>
      <c r="D1394"/>
    </row>
    <row r="1395" spans="2:4">
      <c r="B1395" s="4"/>
      <c r="D1395"/>
    </row>
    <row r="1396" spans="2:4">
      <c r="B1396" s="4"/>
      <c r="D1396"/>
    </row>
    <row r="1397" spans="2:4">
      <c r="B1397" s="4"/>
      <c r="D1397"/>
    </row>
    <row r="1398" spans="2:4">
      <c r="B1398" s="4"/>
      <c r="D1398"/>
    </row>
    <row r="1399" spans="2:4">
      <c r="B1399" s="4"/>
      <c r="D1399"/>
    </row>
    <row r="1400" spans="2:4">
      <c r="B1400" s="4"/>
      <c r="D1400"/>
    </row>
    <row r="1401" spans="2:4">
      <c r="B1401" s="4"/>
      <c r="D1401"/>
    </row>
    <row r="1402" spans="2:4">
      <c r="B1402" s="4"/>
      <c r="D1402"/>
    </row>
    <row r="1403" spans="2:4">
      <c r="B1403" s="4"/>
      <c r="D1403"/>
    </row>
    <row r="1404" spans="2:4">
      <c r="B1404" s="4"/>
      <c r="D1404"/>
    </row>
    <row r="1405" spans="2:4">
      <c r="B1405" s="4"/>
      <c r="D1405"/>
    </row>
    <row r="1406" spans="2:4">
      <c r="B1406" s="4"/>
      <c r="D1406"/>
    </row>
    <row r="1407" spans="2:4">
      <c r="B1407" s="4"/>
      <c r="D1407"/>
    </row>
    <row r="1408" spans="2:4">
      <c r="B1408" s="4"/>
      <c r="D1408"/>
    </row>
    <row r="1409" spans="2:4">
      <c r="B1409" s="4"/>
      <c r="D1409"/>
    </row>
    <row r="1410" spans="2:4">
      <c r="B1410" s="4"/>
      <c r="D1410"/>
    </row>
    <row r="1411" spans="2:4">
      <c r="B1411" s="4"/>
      <c r="D1411"/>
    </row>
    <row r="1412" spans="2:4">
      <c r="B1412" s="4"/>
      <c r="D1412"/>
    </row>
    <row r="1413" spans="2:4">
      <c r="B1413" s="4"/>
      <c r="D1413"/>
    </row>
    <row r="1414" spans="2:4">
      <c r="B1414" s="4"/>
      <c r="D1414"/>
    </row>
    <row r="1415" spans="2:4">
      <c r="B1415" s="4"/>
      <c r="D1415"/>
    </row>
    <row r="1416" spans="2:4">
      <c r="B1416" s="4"/>
      <c r="D1416"/>
    </row>
    <row r="1417" spans="2:4">
      <c r="B1417" s="4"/>
      <c r="D1417"/>
    </row>
    <row r="1418" spans="2:4">
      <c r="B1418" s="4"/>
      <c r="D1418"/>
    </row>
    <row r="1419" spans="2:4">
      <c r="B1419" s="4"/>
      <c r="D1419"/>
    </row>
    <row r="1420" spans="2:4">
      <c r="B1420" s="4"/>
      <c r="D1420"/>
    </row>
    <row r="1421" spans="2:4">
      <c r="B1421" s="4"/>
      <c r="D1421"/>
    </row>
    <row r="1422" spans="2:4">
      <c r="B1422" s="4"/>
      <c r="D1422"/>
    </row>
    <row r="1423" spans="2:4">
      <c r="B1423" s="4"/>
      <c r="D1423"/>
    </row>
    <row r="1424" spans="2:4">
      <c r="B1424" s="4"/>
      <c r="D1424"/>
    </row>
    <row r="1425" spans="2:4">
      <c r="B1425" s="4"/>
      <c r="D1425"/>
    </row>
    <row r="1426" spans="2:4">
      <c r="B1426" s="4"/>
      <c r="D1426"/>
    </row>
    <row r="1427" spans="2:4">
      <c r="B1427" s="4"/>
      <c r="D1427"/>
    </row>
    <row r="1428" spans="2:4">
      <c r="B1428" s="4"/>
      <c r="D1428"/>
    </row>
    <row r="1429" spans="2:4">
      <c r="B1429" s="4"/>
      <c r="D1429"/>
    </row>
    <row r="1430" spans="2:4">
      <c r="B1430" s="4"/>
      <c r="D1430"/>
    </row>
    <row r="1431" spans="2:4">
      <c r="B1431" s="4"/>
      <c r="D1431"/>
    </row>
    <row r="1432" spans="2:4">
      <c r="B1432" s="4"/>
      <c r="D1432"/>
    </row>
    <row r="1433" spans="2:4">
      <c r="B1433" s="4"/>
      <c r="D1433"/>
    </row>
    <row r="1434" spans="2:4">
      <c r="B1434" s="4"/>
      <c r="D1434"/>
    </row>
    <row r="1435" spans="2:4">
      <c r="B1435" s="4"/>
      <c r="D1435"/>
    </row>
    <row r="1436" spans="2:4">
      <c r="B1436" s="4"/>
      <c r="D1436"/>
    </row>
    <row r="1437" spans="2:4">
      <c r="B1437" s="4"/>
      <c r="D1437"/>
    </row>
    <row r="1438" spans="2:4">
      <c r="B1438" s="4"/>
      <c r="D1438"/>
    </row>
    <row r="1439" spans="2:4">
      <c r="B1439" s="4"/>
      <c r="D1439"/>
    </row>
    <row r="1440" spans="2:4">
      <c r="B1440" s="4"/>
      <c r="D1440"/>
    </row>
    <row r="1441" spans="2:4">
      <c r="B1441" s="4"/>
      <c r="D1441"/>
    </row>
    <row r="1442" spans="2:4">
      <c r="B1442" s="4"/>
      <c r="D1442"/>
    </row>
    <row r="1443" spans="2:4">
      <c r="B1443" s="4"/>
      <c r="D1443"/>
    </row>
    <row r="1444" spans="2:4">
      <c r="B1444" s="4"/>
      <c r="D1444"/>
    </row>
    <row r="1445" spans="2:4">
      <c r="B1445" s="4"/>
      <c r="D1445"/>
    </row>
    <row r="1446" spans="2:4">
      <c r="B1446" s="4"/>
      <c r="D1446"/>
    </row>
    <row r="1447" spans="2:4">
      <c r="B1447" s="4"/>
      <c r="D1447"/>
    </row>
    <row r="1448" spans="2:4">
      <c r="B1448" s="4"/>
      <c r="D1448"/>
    </row>
    <row r="1449" spans="2:4">
      <c r="B1449" s="4"/>
      <c r="D1449"/>
    </row>
    <row r="1450" spans="2:4">
      <c r="B1450" s="4"/>
      <c r="D1450"/>
    </row>
    <row r="1451" spans="2:4">
      <c r="B1451" s="4"/>
      <c r="D1451"/>
    </row>
    <row r="1452" spans="2:4">
      <c r="B1452" s="4"/>
      <c r="D1452"/>
    </row>
    <row r="1453" spans="2:4">
      <c r="B1453" s="4"/>
      <c r="D1453"/>
    </row>
    <row r="1454" spans="2:4">
      <c r="B1454" s="4"/>
      <c r="D1454"/>
    </row>
    <row r="1455" spans="2:4">
      <c r="B1455" s="4"/>
      <c r="D1455"/>
    </row>
    <row r="1456" spans="2:4">
      <c r="B1456" s="4"/>
      <c r="D1456"/>
    </row>
    <row r="1457" spans="2:4">
      <c r="B1457" s="4"/>
      <c r="D1457"/>
    </row>
    <row r="1458" spans="2:4">
      <c r="B1458" s="4"/>
      <c r="D1458"/>
    </row>
    <row r="1459" spans="2:4">
      <c r="B1459" s="4"/>
      <c r="D1459"/>
    </row>
    <row r="1460" spans="2:4">
      <c r="B1460" s="4"/>
      <c r="D1460"/>
    </row>
    <row r="1461" spans="2:4">
      <c r="B1461" s="4"/>
      <c r="D1461"/>
    </row>
    <row r="1462" spans="2:4">
      <c r="B1462" s="4"/>
      <c r="D1462"/>
    </row>
    <row r="1463" spans="2:4">
      <c r="B1463" s="4"/>
      <c r="D1463"/>
    </row>
    <row r="1464" spans="2:4">
      <c r="B1464" s="4"/>
      <c r="D1464"/>
    </row>
    <row r="1465" spans="2:4">
      <c r="B1465" s="4"/>
      <c r="D1465"/>
    </row>
    <row r="1466" spans="2:4">
      <c r="B1466" s="4"/>
      <c r="D1466"/>
    </row>
    <row r="1467" spans="2:4">
      <c r="B1467" s="4"/>
      <c r="D1467"/>
    </row>
    <row r="1468" spans="2:4">
      <c r="B1468" s="4"/>
      <c r="D1468"/>
    </row>
    <row r="1469" spans="2:4">
      <c r="B1469" s="4"/>
      <c r="D1469"/>
    </row>
    <row r="1470" spans="2:4">
      <c r="B1470" s="4"/>
      <c r="D1470"/>
    </row>
    <row r="1471" spans="2:4">
      <c r="B1471" s="4"/>
      <c r="D1471"/>
    </row>
    <row r="1472" spans="2:4">
      <c r="B1472" s="4"/>
      <c r="D1472"/>
    </row>
    <row r="1473" spans="2:4">
      <c r="B1473" s="4"/>
      <c r="D1473"/>
    </row>
    <row r="1474" spans="2:4">
      <c r="B1474" s="4"/>
      <c r="D1474"/>
    </row>
    <row r="1475" spans="2:4">
      <c r="B1475" s="4"/>
      <c r="D1475"/>
    </row>
    <row r="1476" spans="2:4">
      <c r="B1476" s="4"/>
      <c r="D1476"/>
    </row>
    <row r="1477" spans="2:4">
      <c r="B1477" s="4"/>
      <c r="D1477"/>
    </row>
    <row r="1478" spans="2:4">
      <c r="B1478" s="4"/>
      <c r="D1478"/>
    </row>
    <row r="1479" spans="2:4">
      <c r="B1479" s="4"/>
      <c r="D1479"/>
    </row>
    <row r="1480" spans="2:4">
      <c r="B1480" s="4"/>
      <c r="D1480"/>
    </row>
    <row r="1481" spans="2:4">
      <c r="B1481" s="4"/>
      <c r="D1481"/>
    </row>
    <row r="1482" spans="2:4">
      <c r="B1482" s="4"/>
      <c r="D1482"/>
    </row>
    <row r="1483" spans="2:4">
      <c r="B1483" s="4"/>
      <c r="D1483"/>
    </row>
    <row r="1484" spans="2:4">
      <c r="B1484" s="4"/>
      <c r="D1484"/>
    </row>
    <row r="1485" spans="2:4">
      <c r="B1485" s="4"/>
      <c r="D1485"/>
    </row>
    <row r="1486" spans="2:4">
      <c r="B1486" s="4"/>
      <c r="D1486"/>
    </row>
    <row r="1487" spans="2:4">
      <c r="B1487" s="4"/>
      <c r="D1487"/>
    </row>
    <row r="1488" spans="2:4">
      <c r="B1488" s="4"/>
      <c r="D1488"/>
    </row>
    <row r="1489" spans="2:4">
      <c r="B1489" s="4"/>
      <c r="D1489"/>
    </row>
    <row r="1490" spans="2:4">
      <c r="B1490" s="4"/>
      <c r="D1490"/>
    </row>
    <row r="1491" spans="2:4">
      <c r="B1491" s="4"/>
      <c r="D1491"/>
    </row>
    <row r="1492" spans="2:4">
      <c r="B1492" s="4"/>
      <c r="D1492"/>
    </row>
    <row r="1493" spans="2:4">
      <c r="B1493" s="4"/>
      <c r="D1493"/>
    </row>
    <row r="1494" spans="2:4">
      <c r="B1494" s="4"/>
      <c r="D1494"/>
    </row>
    <row r="1495" spans="2:4">
      <c r="B1495" s="4"/>
      <c r="D1495"/>
    </row>
    <row r="1496" spans="2:4">
      <c r="B1496" s="4"/>
      <c r="D1496"/>
    </row>
    <row r="1497" spans="2:4">
      <c r="B1497" s="4"/>
      <c r="D1497"/>
    </row>
    <row r="1498" spans="2:4">
      <c r="B1498" s="4"/>
      <c r="D1498"/>
    </row>
    <row r="1499" spans="2:4">
      <c r="B1499" s="4"/>
      <c r="D1499"/>
    </row>
    <row r="1500" spans="2:4">
      <c r="B1500" s="4"/>
      <c r="D1500"/>
    </row>
    <row r="1501" spans="2:4">
      <c r="B1501" s="4"/>
      <c r="D1501"/>
    </row>
    <row r="1502" spans="2:4">
      <c r="B1502" s="4"/>
      <c r="D1502"/>
    </row>
    <row r="1503" spans="2:4">
      <c r="B1503" s="4"/>
      <c r="D1503"/>
    </row>
    <row r="1504" spans="2:4">
      <c r="B1504" s="4"/>
      <c r="D1504"/>
    </row>
    <row r="1505" spans="2:4">
      <c r="B1505" s="4"/>
      <c r="D1505"/>
    </row>
    <row r="1506" spans="2:4">
      <c r="B1506" s="4"/>
      <c r="D1506"/>
    </row>
    <row r="1507" spans="2:4">
      <c r="B1507" s="4"/>
      <c r="D1507"/>
    </row>
    <row r="1508" spans="2:4">
      <c r="B1508" s="4"/>
      <c r="D1508"/>
    </row>
    <row r="1509" spans="2:4">
      <c r="B1509" s="4"/>
      <c r="D1509"/>
    </row>
    <row r="1510" spans="2:4">
      <c r="B1510" s="4"/>
      <c r="D1510"/>
    </row>
    <row r="1511" spans="2:4">
      <c r="B1511" s="4"/>
      <c r="D1511"/>
    </row>
    <row r="1512" spans="2:4">
      <c r="B1512" s="4"/>
      <c r="D1512"/>
    </row>
    <row r="1513" spans="2:4">
      <c r="B1513" s="4"/>
      <c r="D1513"/>
    </row>
    <row r="1514" spans="2:4">
      <c r="B1514" s="4"/>
      <c r="D1514"/>
    </row>
    <row r="1515" spans="2:4">
      <c r="B1515" s="4"/>
      <c r="D1515"/>
    </row>
    <row r="1516" spans="2:4">
      <c r="B1516" s="4"/>
      <c r="D1516"/>
    </row>
    <row r="1517" spans="2:4">
      <c r="B1517" s="4"/>
      <c r="D1517"/>
    </row>
    <row r="1518" spans="2:4">
      <c r="B1518" s="4"/>
      <c r="D1518"/>
    </row>
    <row r="1519" spans="2:4">
      <c r="B1519" s="4"/>
      <c r="D1519"/>
    </row>
    <row r="1520" spans="2:4">
      <c r="B1520" s="4"/>
      <c r="D1520"/>
    </row>
    <row r="1521" spans="2:4">
      <c r="B1521" s="4"/>
      <c r="D1521"/>
    </row>
    <row r="1522" spans="2:4">
      <c r="B1522" s="4"/>
      <c r="D1522"/>
    </row>
    <row r="1523" spans="2:4">
      <c r="B1523" s="4"/>
      <c r="D1523"/>
    </row>
    <row r="1524" spans="2:4">
      <c r="B1524" s="4"/>
      <c r="D1524"/>
    </row>
    <row r="1525" spans="2:4">
      <c r="B1525" s="4"/>
      <c r="D1525"/>
    </row>
    <row r="1526" spans="2:4">
      <c r="B1526" s="4"/>
      <c r="D1526"/>
    </row>
    <row r="1527" spans="2:4">
      <c r="B1527" s="4"/>
      <c r="D1527"/>
    </row>
    <row r="1528" spans="2:4">
      <c r="B1528" s="4"/>
      <c r="D1528"/>
    </row>
    <row r="1529" spans="2:4">
      <c r="B1529" s="4"/>
      <c r="D1529"/>
    </row>
    <row r="1530" spans="2:4">
      <c r="B1530" s="4"/>
      <c r="D1530"/>
    </row>
    <row r="1531" spans="2:4">
      <c r="B1531" s="4"/>
      <c r="D1531"/>
    </row>
    <row r="1532" spans="2:4">
      <c r="B1532" s="4"/>
      <c r="D1532"/>
    </row>
    <row r="1533" spans="2:4">
      <c r="B1533" s="4"/>
      <c r="D1533"/>
    </row>
    <row r="1534" spans="2:4">
      <c r="B1534" s="4"/>
      <c r="D1534"/>
    </row>
    <row r="1535" spans="2:4">
      <c r="B1535" s="4"/>
      <c r="D1535"/>
    </row>
    <row r="1536" spans="2:4">
      <c r="B1536" s="4"/>
      <c r="D1536"/>
    </row>
    <row r="1537" spans="2:4">
      <c r="B1537" s="4"/>
      <c r="D1537"/>
    </row>
    <row r="1538" spans="2:4">
      <c r="B1538" s="4"/>
      <c r="D1538"/>
    </row>
    <row r="1539" spans="2:4">
      <c r="B1539" s="4"/>
      <c r="D1539"/>
    </row>
    <row r="1540" spans="2:4">
      <c r="B1540" s="4"/>
      <c r="D1540"/>
    </row>
    <row r="1541" spans="2:4">
      <c r="B1541" s="4"/>
      <c r="D1541"/>
    </row>
    <row r="1542" spans="2:4">
      <c r="B1542" s="4"/>
      <c r="D1542"/>
    </row>
    <row r="1543" spans="2:4">
      <c r="B1543" s="4"/>
      <c r="D1543"/>
    </row>
    <row r="1544" spans="2:4">
      <c r="B1544" s="4"/>
      <c r="D1544"/>
    </row>
    <row r="1545" spans="2:4">
      <c r="B1545" s="4"/>
      <c r="D1545"/>
    </row>
    <row r="1546" spans="2:4">
      <c r="B1546" s="4"/>
      <c r="D1546"/>
    </row>
    <row r="1547" spans="2:4">
      <c r="B1547" s="4"/>
      <c r="D1547"/>
    </row>
    <row r="1548" spans="2:4">
      <c r="B1548" s="4"/>
      <c r="D1548"/>
    </row>
    <row r="1549" spans="2:4">
      <c r="B1549" s="4"/>
      <c r="D1549"/>
    </row>
    <row r="1550" spans="2:4">
      <c r="B1550" s="4"/>
      <c r="D1550"/>
    </row>
    <row r="1551" spans="2:4">
      <c r="B1551" s="4"/>
      <c r="D1551"/>
    </row>
    <row r="1552" spans="2:4">
      <c r="B1552" s="4"/>
      <c r="D1552"/>
    </row>
    <row r="1553" spans="2:4">
      <c r="B1553" s="4"/>
      <c r="D1553"/>
    </row>
    <row r="1554" spans="2:4">
      <c r="B1554" s="4"/>
      <c r="D1554"/>
    </row>
    <row r="1555" spans="2:4">
      <c r="B1555" s="4"/>
      <c r="D1555"/>
    </row>
    <row r="1556" spans="2:4">
      <c r="B1556" s="4"/>
      <c r="D1556"/>
    </row>
    <row r="1557" spans="2:4">
      <c r="B1557" s="4"/>
      <c r="D1557"/>
    </row>
    <row r="1558" spans="2:4">
      <c r="B1558" s="4"/>
      <c r="D1558"/>
    </row>
    <row r="1559" spans="2:4">
      <c r="B1559" s="4"/>
      <c r="D1559"/>
    </row>
    <row r="1560" spans="2:4">
      <c r="B1560" s="4"/>
      <c r="D1560"/>
    </row>
    <row r="1561" spans="2:4">
      <c r="B1561" s="4"/>
      <c r="D1561"/>
    </row>
    <row r="1562" spans="2:4">
      <c r="B1562" s="4"/>
      <c r="D1562"/>
    </row>
    <row r="1563" spans="2:4">
      <c r="B1563" s="4"/>
      <c r="D1563"/>
    </row>
    <row r="1564" spans="2:4">
      <c r="B1564" s="4"/>
      <c r="D1564"/>
    </row>
    <row r="1565" spans="2:4">
      <c r="B1565" s="4"/>
      <c r="D1565"/>
    </row>
    <row r="1566" spans="2:4">
      <c r="B1566" s="4"/>
      <c r="D1566"/>
    </row>
    <row r="1567" spans="2:4">
      <c r="B1567" s="4"/>
      <c r="D1567"/>
    </row>
    <row r="1568" spans="2:4">
      <c r="B1568" s="4"/>
      <c r="D1568"/>
    </row>
    <row r="1569" spans="2:4">
      <c r="B1569" s="4"/>
      <c r="D1569"/>
    </row>
    <row r="1570" spans="2:4">
      <c r="B1570" s="4"/>
      <c r="D1570"/>
    </row>
    <row r="1571" spans="2:4">
      <c r="B1571" s="4"/>
      <c r="D1571"/>
    </row>
    <row r="1572" spans="2:4">
      <c r="B1572" s="4"/>
      <c r="D1572"/>
    </row>
    <row r="1573" spans="2:4">
      <c r="B1573" s="4"/>
      <c r="D1573"/>
    </row>
    <row r="1574" spans="2:4">
      <c r="B1574" s="4"/>
      <c r="D1574"/>
    </row>
    <row r="1575" spans="2:4">
      <c r="B1575" s="4"/>
      <c r="D1575"/>
    </row>
    <row r="1576" spans="2:4">
      <c r="B1576" s="4"/>
      <c r="D1576"/>
    </row>
    <row r="1577" spans="2:4">
      <c r="B1577" s="4"/>
      <c r="D1577"/>
    </row>
    <row r="1578" spans="2:4">
      <c r="B1578" s="4"/>
      <c r="D1578"/>
    </row>
    <row r="1579" spans="2:4">
      <c r="B1579" s="4"/>
      <c r="D1579"/>
    </row>
    <row r="1580" spans="2:4">
      <c r="B1580" s="4"/>
      <c r="D1580"/>
    </row>
    <row r="1581" spans="2:4">
      <c r="B1581" s="4"/>
      <c r="D1581"/>
    </row>
    <row r="1582" spans="2:4">
      <c r="B1582" s="4"/>
      <c r="D1582"/>
    </row>
    <row r="1583" spans="2:4">
      <c r="B1583" s="4"/>
      <c r="D1583"/>
    </row>
    <row r="1584" spans="2:4">
      <c r="B1584" s="4"/>
      <c r="D1584"/>
    </row>
    <row r="1585" spans="2:4">
      <c r="B1585" s="4"/>
      <c r="D1585"/>
    </row>
    <row r="1586" spans="2:4">
      <c r="B1586" s="4"/>
      <c r="D1586"/>
    </row>
    <row r="1587" spans="2:4">
      <c r="B1587" s="4"/>
      <c r="D1587"/>
    </row>
    <row r="1588" spans="2:4">
      <c r="B1588" s="4"/>
      <c r="D1588"/>
    </row>
    <row r="1589" spans="2:4">
      <c r="B1589" s="4"/>
      <c r="D1589"/>
    </row>
    <row r="1590" spans="2:4">
      <c r="B1590" s="4"/>
      <c r="D1590"/>
    </row>
    <row r="1591" spans="2:4">
      <c r="B1591" s="4"/>
      <c r="D1591"/>
    </row>
    <row r="1592" spans="2:4">
      <c r="B1592" s="4"/>
      <c r="D1592"/>
    </row>
    <row r="1593" spans="2:4">
      <c r="B1593" s="4"/>
      <c r="D1593"/>
    </row>
    <row r="1594" spans="2:4">
      <c r="B1594" s="4"/>
      <c r="D1594"/>
    </row>
    <row r="1595" spans="2:4">
      <c r="B1595" s="4"/>
      <c r="D1595"/>
    </row>
    <row r="1596" spans="2:4">
      <c r="B1596" s="4"/>
      <c r="D1596"/>
    </row>
    <row r="1597" spans="2:4">
      <c r="B1597" s="4"/>
      <c r="D1597"/>
    </row>
    <row r="1598" spans="2:4">
      <c r="B1598" s="4"/>
      <c r="D1598"/>
    </row>
    <row r="1599" spans="2:4">
      <c r="B1599" s="4"/>
      <c r="D1599"/>
    </row>
    <row r="1600" spans="2:4">
      <c r="B1600" s="4"/>
      <c r="D1600"/>
    </row>
    <row r="1601" spans="2:4">
      <c r="B1601" s="4"/>
      <c r="D1601"/>
    </row>
    <row r="1602" spans="2:4">
      <c r="B1602" s="4"/>
      <c r="D1602"/>
    </row>
    <row r="1603" spans="2:4">
      <c r="B1603" s="4"/>
      <c r="D1603"/>
    </row>
    <row r="1604" spans="2:4">
      <c r="B1604" s="4"/>
      <c r="D1604"/>
    </row>
    <row r="1605" spans="2:4">
      <c r="B1605" s="4"/>
      <c r="D1605"/>
    </row>
    <row r="1606" spans="2:4">
      <c r="B1606" s="4"/>
      <c r="D1606"/>
    </row>
    <row r="1607" spans="2:4">
      <c r="B1607" s="4"/>
      <c r="D1607"/>
    </row>
    <row r="1608" spans="2:4">
      <c r="B1608" s="4"/>
      <c r="D1608"/>
    </row>
    <row r="1609" spans="2:4">
      <c r="B1609" s="4"/>
      <c r="D1609"/>
    </row>
    <row r="1610" spans="2:4">
      <c r="B1610" s="4"/>
      <c r="D1610"/>
    </row>
    <row r="1611" spans="2:4">
      <c r="B1611" s="4"/>
      <c r="D1611"/>
    </row>
    <row r="1612" spans="2:4">
      <c r="B1612" s="4"/>
      <c r="D1612"/>
    </row>
    <row r="1613" spans="2:4">
      <c r="B1613" s="4"/>
      <c r="D1613"/>
    </row>
    <row r="1614" spans="2:4">
      <c r="B1614" s="4"/>
      <c r="D1614"/>
    </row>
    <row r="1615" spans="2:4">
      <c r="B1615" s="4"/>
      <c r="D1615"/>
    </row>
    <row r="1616" spans="2:4">
      <c r="B1616" s="4"/>
      <c r="D1616"/>
    </row>
    <row r="1617" spans="2:4">
      <c r="B1617" s="4"/>
      <c r="D1617"/>
    </row>
    <row r="1618" spans="2:4">
      <c r="B1618" s="4"/>
      <c r="D1618"/>
    </row>
    <row r="1619" spans="2:4">
      <c r="B1619" s="4"/>
      <c r="D1619"/>
    </row>
    <row r="1620" spans="2:4">
      <c r="B1620" s="4"/>
      <c r="D1620"/>
    </row>
    <row r="1621" spans="2:4">
      <c r="B1621" s="4"/>
      <c r="D1621"/>
    </row>
    <row r="1622" spans="2:4">
      <c r="B1622" s="4"/>
      <c r="D1622"/>
    </row>
    <row r="1623" spans="2:4">
      <c r="B1623" s="4"/>
      <c r="D1623"/>
    </row>
    <row r="1624" spans="2:4">
      <c r="B1624" s="4"/>
      <c r="D1624"/>
    </row>
    <row r="1625" spans="2:4">
      <c r="B1625" s="4"/>
      <c r="D1625"/>
    </row>
    <row r="1626" spans="2:4">
      <c r="B1626" s="4"/>
      <c r="D1626"/>
    </row>
    <row r="1627" spans="2:4">
      <c r="B1627" s="4"/>
      <c r="D1627"/>
    </row>
    <row r="1628" spans="2:4">
      <c r="B1628" s="4"/>
      <c r="D1628"/>
    </row>
    <row r="1629" spans="2:4">
      <c r="B1629" s="4"/>
      <c r="D1629"/>
    </row>
    <row r="1630" spans="2:4">
      <c r="B1630" s="4"/>
      <c r="D1630"/>
    </row>
    <row r="1631" spans="2:4">
      <c r="B1631" s="4"/>
      <c r="D1631"/>
    </row>
    <row r="1632" spans="2:4">
      <c r="B1632" s="4"/>
      <c r="D1632"/>
    </row>
    <row r="1633" spans="2:4">
      <c r="B1633" s="4"/>
      <c r="D1633"/>
    </row>
    <row r="1634" spans="2:4">
      <c r="B1634" s="4"/>
      <c r="D1634"/>
    </row>
    <row r="1635" spans="2:4">
      <c r="B1635" s="4"/>
      <c r="D1635"/>
    </row>
    <row r="1636" spans="2:4">
      <c r="B1636" s="4"/>
      <c r="D1636"/>
    </row>
    <row r="1637" spans="2:4">
      <c r="B1637" s="4"/>
      <c r="D1637"/>
    </row>
    <row r="1638" spans="2:4">
      <c r="B1638" s="4"/>
      <c r="D1638"/>
    </row>
    <row r="1639" spans="2:4">
      <c r="B1639" s="4"/>
      <c r="D1639"/>
    </row>
    <row r="1640" spans="2:4">
      <c r="B1640" s="4"/>
      <c r="D1640"/>
    </row>
    <row r="1641" spans="2:4">
      <c r="B1641" s="4"/>
      <c r="D1641"/>
    </row>
    <row r="1642" spans="2:4">
      <c r="B1642" s="4"/>
      <c r="D1642"/>
    </row>
    <row r="1643" spans="2:4">
      <c r="B1643" s="4"/>
      <c r="D1643"/>
    </row>
    <row r="1644" spans="2:4">
      <c r="B1644" s="4"/>
      <c r="D1644"/>
    </row>
    <row r="1645" spans="2:4">
      <c r="B1645" s="4"/>
      <c r="D1645"/>
    </row>
    <row r="1646" spans="2:4">
      <c r="B1646" s="4"/>
      <c r="D1646"/>
    </row>
    <row r="1647" spans="2:4">
      <c r="B1647" s="4"/>
      <c r="D1647"/>
    </row>
    <row r="1648" spans="2:4">
      <c r="B1648" s="4"/>
      <c r="D1648"/>
    </row>
    <row r="1649" spans="2:4">
      <c r="B1649" s="4"/>
      <c r="D1649"/>
    </row>
    <row r="1650" spans="2:4">
      <c r="B1650" s="4"/>
      <c r="D1650"/>
    </row>
    <row r="1651" spans="2:4">
      <c r="B1651" s="4"/>
      <c r="D1651"/>
    </row>
    <row r="1652" spans="2:4">
      <c r="B1652" s="4"/>
      <c r="D1652"/>
    </row>
    <row r="1653" spans="2:4">
      <c r="B1653" s="4"/>
      <c r="D1653"/>
    </row>
    <row r="1654" spans="2:4">
      <c r="B1654" s="4"/>
      <c r="D1654"/>
    </row>
    <row r="1655" spans="2:4">
      <c r="B1655" s="4"/>
      <c r="D1655"/>
    </row>
    <row r="1656" spans="2:4">
      <c r="B1656" s="4"/>
      <c r="D1656"/>
    </row>
    <row r="1657" spans="2:4">
      <c r="B1657" s="4"/>
      <c r="D1657"/>
    </row>
    <row r="1658" spans="2:4">
      <c r="B1658" s="4"/>
      <c r="D1658"/>
    </row>
    <row r="1659" spans="2:4">
      <c r="B1659" s="4"/>
      <c r="D1659"/>
    </row>
    <row r="1660" spans="2:4">
      <c r="B1660" s="4"/>
      <c r="D1660"/>
    </row>
    <row r="1661" spans="2:4">
      <c r="B1661" s="4"/>
      <c r="D1661"/>
    </row>
    <row r="1662" spans="2:4">
      <c r="B1662" s="4"/>
      <c r="D1662"/>
    </row>
    <row r="1663" spans="2:4">
      <c r="B1663" s="4"/>
      <c r="D1663"/>
    </row>
    <row r="1664" spans="2:4">
      <c r="B1664" s="4"/>
      <c r="D1664"/>
    </row>
    <row r="1665" spans="2:4">
      <c r="B1665" s="4"/>
      <c r="D1665"/>
    </row>
    <row r="1666" spans="2:4">
      <c r="B1666" s="4"/>
      <c r="D1666"/>
    </row>
    <row r="1667" spans="2:4">
      <c r="B1667" s="4"/>
      <c r="D1667"/>
    </row>
    <row r="1668" spans="2:4">
      <c r="B1668" s="4"/>
      <c r="D1668"/>
    </row>
    <row r="1669" spans="2:4">
      <c r="B1669" s="4"/>
      <c r="D1669"/>
    </row>
    <row r="1670" spans="2:4">
      <c r="B1670" s="4"/>
      <c r="D1670"/>
    </row>
    <row r="1671" spans="2:4">
      <c r="B1671" s="4"/>
      <c r="D1671"/>
    </row>
    <row r="1672" spans="2:4">
      <c r="B1672" s="4"/>
      <c r="D1672"/>
    </row>
    <row r="1673" spans="2:4">
      <c r="B1673" s="4"/>
      <c r="D1673"/>
    </row>
    <row r="1674" spans="2:4">
      <c r="B1674" s="4"/>
      <c r="D1674"/>
    </row>
    <row r="1675" spans="2:4">
      <c r="B1675" s="4"/>
      <c r="D1675"/>
    </row>
    <row r="1676" spans="2:4">
      <c r="B1676" s="4"/>
      <c r="D1676"/>
    </row>
    <row r="1677" spans="2:4">
      <c r="B1677" s="4"/>
      <c r="D1677"/>
    </row>
    <row r="1678" spans="2:4">
      <c r="B1678" s="4"/>
      <c r="D1678"/>
    </row>
    <row r="1679" spans="2:4">
      <c r="B1679" s="4"/>
      <c r="D1679"/>
    </row>
    <row r="1680" spans="2:4">
      <c r="B1680" s="4"/>
      <c r="D1680"/>
    </row>
    <row r="1681" spans="2:4">
      <c r="B1681" s="4"/>
      <c r="D1681"/>
    </row>
    <row r="1682" spans="2:4">
      <c r="B1682" s="4"/>
      <c r="D1682"/>
    </row>
    <row r="1683" spans="2:4">
      <c r="B1683" s="4"/>
      <c r="D1683"/>
    </row>
    <row r="1684" spans="2:4">
      <c r="B1684" s="4"/>
      <c r="D1684"/>
    </row>
    <row r="1685" spans="2:4">
      <c r="B1685" s="4"/>
      <c r="D1685"/>
    </row>
    <row r="1686" spans="2:4">
      <c r="B1686" s="4"/>
      <c r="D1686"/>
    </row>
    <row r="1687" spans="2:4">
      <c r="B1687" s="4"/>
      <c r="D1687"/>
    </row>
    <row r="1688" spans="2:4">
      <c r="B1688" s="4"/>
      <c r="D1688"/>
    </row>
    <row r="1689" spans="2:4">
      <c r="B1689" s="4"/>
      <c r="D1689"/>
    </row>
    <row r="1690" spans="2:4">
      <c r="B1690" s="4"/>
      <c r="D1690"/>
    </row>
    <row r="1691" spans="2:4">
      <c r="B1691" s="4"/>
      <c r="D1691"/>
    </row>
    <row r="1692" spans="2:4">
      <c r="B1692" s="4"/>
      <c r="D1692"/>
    </row>
    <row r="1693" spans="2:4">
      <c r="B1693" s="4"/>
      <c r="D1693"/>
    </row>
    <row r="1694" spans="2:4">
      <c r="B1694" s="4"/>
      <c r="D1694"/>
    </row>
    <row r="1695" spans="2:4">
      <c r="B1695" s="4"/>
      <c r="D1695"/>
    </row>
    <row r="1696" spans="2:4">
      <c r="B1696" s="4"/>
      <c r="D1696"/>
    </row>
    <row r="1697" spans="2:4">
      <c r="B1697" s="4"/>
      <c r="D1697"/>
    </row>
    <row r="1698" spans="2:4">
      <c r="B1698" s="4"/>
      <c r="D1698"/>
    </row>
    <row r="1699" spans="2:4">
      <c r="B1699" s="4"/>
      <c r="D1699"/>
    </row>
    <row r="1700" spans="2:4">
      <c r="B1700" s="4"/>
      <c r="D1700"/>
    </row>
    <row r="1701" spans="2:4">
      <c r="B1701" s="4"/>
      <c r="D1701"/>
    </row>
    <row r="1702" spans="2:4">
      <c r="B1702" s="4"/>
      <c r="D1702"/>
    </row>
    <row r="1703" spans="2:4">
      <c r="B1703" s="4"/>
      <c r="D1703"/>
    </row>
    <row r="1704" spans="2:4">
      <c r="B1704" s="4"/>
      <c r="D1704"/>
    </row>
    <row r="1705" spans="2:4">
      <c r="B1705" s="4"/>
      <c r="D1705"/>
    </row>
    <row r="1706" spans="2:4">
      <c r="B1706" s="4"/>
      <c r="D1706"/>
    </row>
    <row r="1707" spans="2:4">
      <c r="B1707" s="4"/>
      <c r="D1707"/>
    </row>
    <row r="1708" spans="2:4">
      <c r="B1708" s="4"/>
      <c r="D1708"/>
    </row>
    <row r="1709" spans="2:4">
      <c r="B1709" s="4"/>
      <c r="D1709"/>
    </row>
    <row r="1710" spans="2:4">
      <c r="B1710" s="4"/>
      <c r="D1710"/>
    </row>
    <row r="1711" spans="2:4">
      <c r="B1711" s="4"/>
      <c r="D1711"/>
    </row>
    <row r="1712" spans="2:4">
      <c r="B1712" s="4"/>
      <c r="D1712"/>
    </row>
    <row r="1713" spans="2:4">
      <c r="B1713" s="4"/>
      <c r="D1713"/>
    </row>
    <row r="1714" spans="2:4">
      <c r="B1714" s="4"/>
      <c r="D1714"/>
    </row>
    <row r="1715" spans="2:4">
      <c r="B1715" s="4"/>
      <c r="D1715"/>
    </row>
    <row r="1716" spans="2:4">
      <c r="B1716" s="4"/>
      <c r="D1716"/>
    </row>
    <row r="1717" spans="2:4">
      <c r="B1717" s="4"/>
      <c r="D1717"/>
    </row>
    <row r="1718" spans="2:4">
      <c r="B1718" s="4"/>
      <c r="D1718"/>
    </row>
    <row r="1719" spans="2:4">
      <c r="B1719" s="4"/>
      <c r="D1719"/>
    </row>
    <row r="1720" spans="2:4">
      <c r="B1720" s="4"/>
      <c r="D1720"/>
    </row>
    <row r="1721" spans="2:4">
      <c r="B1721" s="4"/>
      <c r="D1721"/>
    </row>
    <row r="1722" spans="2:4">
      <c r="B1722" s="4"/>
      <c r="D1722"/>
    </row>
    <row r="1723" spans="2:4">
      <c r="B1723" s="4"/>
      <c r="D1723"/>
    </row>
    <row r="1724" spans="2:4">
      <c r="B1724" s="4"/>
      <c r="D1724"/>
    </row>
    <row r="1725" spans="2:4">
      <c r="B1725" s="4"/>
      <c r="D1725"/>
    </row>
    <row r="1726" spans="2:4">
      <c r="B1726" s="4"/>
      <c r="D1726"/>
    </row>
    <row r="1727" spans="2:4">
      <c r="B1727" s="4"/>
      <c r="D1727"/>
    </row>
    <row r="1728" spans="2:4">
      <c r="B1728" s="4"/>
      <c r="D1728"/>
    </row>
    <row r="1729" spans="2:4">
      <c r="B1729" s="4"/>
      <c r="D1729"/>
    </row>
    <row r="1730" spans="2:4">
      <c r="B1730" s="4"/>
      <c r="D1730"/>
    </row>
    <row r="1731" spans="2:4">
      <c r="B1731" s="4"/>
      <c r="D1731"/>
    </row>
    <row r="1732" spans="2:4">
      <c r="B1732" s="4"/>
      <c r="D1732"/>
    </row>
    <row r="1733" spans="2:4">
      <c r="B1733" s="4"/>
      <c r="D1733"/>
    </row>
    <row r="1734" spans="2:4">
      <c r="B1734" s="4"/>
      <c r="D1734"/>
    </row>
    <row r="1735" spans="2:4">
      <c r="B1735" s="4"/>
      <c r="D1735"/>
    </row>
    <row r="1736" spans="2:4">
      <c r="B1736" s="4"/>
      <c r="D1736"/>
    </row>
    <row r="1737" spans="2:4">
      <c r="B1737" s="4"/>
      <c r="D1737"/>
    </row>
    <row r="1738" spans="2:4">
      <c r="B1738" s="4"/>
      <c r="D1738"/>
    </row>
    <row r="1739" spans="2:4">
      <c r="B1739" s="4"/>
      <c r="D1739"/>
    </row>
    <row r="1740" spans="2:4">
      <c r="B1740" s="4"/>
      <c r="D1740"/>
    </row>
    <row r="1741" spans="2:4">
      <c r="B1741" s="4"/>
      <c r="D1741"/>
    </row>
    <row r="1742" spans="2:4">
      <c r="B1742" s="4"/>
      <c r="D1742"/>
    </row>
    <row r="1743" spans="2:4">
      <c r="B1743" s="4"/>
      <c r="D1743"/>
    </row>
    <row r="1744" spans="2:4">
      <c r="B1744" s="4"/>
      <c r="D1744"/>
    </row>
    <row r="1745" spans="2:4">
      <c r="B1745" s="4"/>
      <c r="D1745"/>
    </row>
    <row r="1746" spans="2:4">
      <c r="B1746" s="4"/>
      <c r="D1746"/>
    </row>
    <row r="1747" spans="2:4">
      <c r="B1747" s="4"/>
      <c r="D1747"/>
    </row>
    <row r="1748" spans="2:4">
      <c r="B1748" s="4"/>
      <c r="D1748"/>
    </row>
    <row r="1749" spans="2:4">
      <c r="B1749" s="4"/>
      <c r="D1749"/>
    </row>
    <row r="1750" spans="2:4">
      <c r="B1750" s="4"/>
      <c r="D1750"/>
    </row>
    <row r="1751" spans="2:4">
      <c r="B1751" s="4"/>
      <c r="D1751"/>
    </row>
    <row r="1752" spans="2:4">
      <c r="B1752" s="4"/>
      <c r="D1752"/>
    </row>
    <row r="1753" spans="2:4">
      <c r="B1753" s="4"/>
      <c r="D1753"/>
    </row>
    <row r="1754" spans="2:4">
      <c r="B1754" s="4"/>
      <c r="D1754"/>
    </row>
    <row r="1755" spans="2:4">
      <c r="B1755" s="4"/>
      <c r="D1755"/>
    </row>
    <row r="1756" spans="2:4">
      <c r="B1756" s="4"/>
      <c r="D1756"/>
    </row>
    <row r="1757" spans="2:4">
      <c r="B1757" s="4"/>
      <c r="D1757"/>
    </row>
    <row r="1758" spans="2:4">
      <c r="B1758" s="4"/>
      <c r="D1758"/>
    </row>
    <row r="1759" spans="2:4">
      <c r="B1759" s="4"/>
      <c r="D1759"/>
    </row>
    <row r="1760" spans="2:4">
      <c r="B1760" s="4"/>
      <c r="D1760"/>
    </row>
    <row r="1761" spans="2:4">
      <c r="B1761" s="4"/>
      <c r="D1761"/>
    </row>
    <row r="1762" spans="2:4">
      <c r="B1762" s="4"/>
      <c r="D1762"/>
    </row>
    <row r="1763" spans="2:4">
      <c r="B1763" s="4"/>
      <c r="D1763"/>
    </row>
    <row r="1764" spans="2:4">
      <c r="B1764" s="4"/>
      <c r="D1764"/>
    </row>
    <row r="1765" spans="2:4">
      <c r="B1765" s="4"/>
      <c r="D1765"/>
    </row>
    <row r="1766" spans="2:4">
      <c r="B1766" s="4"/>
      <c r="D1766"/>
    </row>
    <row r="1767" spans="2:4">
      <c r="B1767" s="4"/>
      <c r="D1767"/>
    </row>
    <row r="1768" spans="2:4">
      <c r="B1768" s="4"/>
      <c r="D1768"/>
    </row>
    <row r="1769" spans="2:4">
      <c r="B1769" s="4"/>
      <c r="D1769"/>
    </row>
    <row r="1770" spans="2:4">
      <c r="B1770" s="4"/>
      <c r="D1770"/>
    </row>
    <row r="1771" spans="2:4">
      <c r="B1771" s="4"/>
      <c r="D1771"/>
    </row>
    <row r="1772" spans="2:4">
      <c r="B1772" s="4"/>
      <c r="D1772"/>
    </row>
    <row r="1773" spans="2:4">
      <c r="B1773" s="4"/>
      <c r="D1773"/>
    </row>
    <row r="1774" spans="2:4">
      <c r="B1774" s="4"/>
      <c r="D1774"/>
    </row>
    <row r="1775" spans="2:4">
      <c r="B1775" s="4"/>
      <c r="D1775"/>
    </row>
    <row r="1776" spans="2:4">
      <c r="B1776" s="4"/>
      <c r="D1776"/>
    </row>
    <row r="1777" spans="2:4">
      <c r="B1777" s="4"/>
      <c r="D1777"/>
    </row>
    <row r="1778" spans="2:4">
      <c r="B1778" s="4"/>
      <c r="D1778"/>
    </row>
    <row r="1779" spans="2:4">
      <c r="B1779" s="4"/>
      <c r="D1779"/>
    </row>
    <row r="1780" spans="2:4">
      <c r="B1780" s="4"/>
      <c r="D1780"/>
    </row>
    <row r="1781" spans="2:4">
      <c r="B1781" s="4"/>
      <c r="D1781"/>
    </row>
    <row r="1782" spans="2:4">
      <c r="B1782" s="4"/>
      <c r="D1782"/>
    </row>
    <row r="1783" spans="2:4">
      <c r="B1783" s="4"/>
      <c r="D1783"/>
    </row>
    <row r="1784" spans="2:4">
      <c r="B1784" s="4"/>
      <c r="D1784"/>
    </row>
    <row r="1785" spans="2:4">
      <c r="B1785" s="4"/>
      <c r="D1785"/>
    </row>
    <row r="1786" spans="2:4">
      <c r="B1786" s="4"/>
      <c r="D1786"/>
    </row>
    <row r="1787" spans="2:4">
      <c r="B1787" s="4"/>
      <c r="D1787"/>
    </row>
    <row r="1788" spans="2:4">
      <c r="B1788" s="4"/>
      <c r="D1788"/>
    </row>
    <row r="1789" spans="2:4">
      <c r="B1789" s="4"/>
      <c r="D1789"/>
    </row>
    <row r="1790" spans="2:4">
      <c r="B1790" s="4"/>
      <c r="D1790"/>
    </row>
    <row r="1791" spans="2:4">
      <c r="B1791" s="4"/>
      <c r="D1791"/>
    </row>
    <row r="1792" spans="2:4">
      <c r="B1792" s="4"/>
      <c r="D1792"/>
    </row>
    <row r="1793" spans="2:4">
      <c r="B1793" s="4"/>
      <c r="D1793"/>
    </row>
    <row r="1794" spans="2:4">
      <c r="B1794" s="4"/>
      <c r="D1794"/>
    </row>
    <row r="1795" spans="2:4">
      <c r="B1795" s="4"/>
      <c r="D1795"/>
    </row>
    <row r="1796" spans="2:4">
      <c r="B1796" s="4"/>
      <c r="D1796"/>
    </row>
    <row r="1797" spans="2:4">
      <c r="B1797" s="4"/>
      <c r="D1797"/>
    </row>
    <row r="1798" spans="2:4">
      <c r="B1798" s="4"/>
      <c r="D1798"/>
    </row>
    <row r="1799" spans="2:4">
      <c r="B1799" s="4"/>
      <c r="D1799"/>
    </row>
    <row r="1800" spans="2:4">
      <c r="B1800" s="4"/>
      <c r="D1800"/>
    </row>
    <row r="1801" spans="2:4">
      <c r="B1801" s="4"/>
      <c r="D1801"/>
    </row>
    <row r="1802" spans="2:4">
      <c r="B1802" s="4"/>
      <c r="D1802"/>
    </row>
    <row r="1803" spans="2:4">
      <c r="B1803" s="4"/>
      <c r="D1803"/>
    </row>
    <row r="1804" spans="2:4">
      <c r="B1804" s="4"/>
      <c r="D1804"/>
    </row>
    <row r="1805" spans="2:4">
      <c r="B1805" s="4"/>
      <c r="D1805"/>
    </row>
    <row r="1806" spans="2:4">
      <c r="B1806" s="4"/>
      <c r="D1806"/>
    </row>
    <row r="1807" spans="2:4">
      <c r="B1807" s="4"/>
      <c r="D1807"/>
    </row>
    <row r="1808" spans="2:4">
      <c r="B1808" s="4"/>
      <c r="D1808"/>
    </row>
    <row r="1809" spans="2:4">
      <c r="B1809" s="4"/>
      <c r="D1809"/>
    </row>
    <row r="1810" spans="2:4">
      <c r="B1810" s="4"/>
      <c r="D1810"/>
    </row>
    <row r="1811" spans="2:4">
      <c r="B1811" s="4"/>
      <c r="D1811"/>
    </row>
    <row r="1812" spans="2:4">
      <c r="B1812" s="4"/>
      <c r="D1812"/>
    </row>
    <row r="1813" spans="2:4">
      <c r="B1813" s="4"/>
      <c r="D1813"/>
    </row>
    <row r="1814" spans="2:4">
      <c r="B1814" s="4"/>
      <c r="D1814"/>
    </row>
    <row r="1815" spans="2:4">
      <c r="B1815" s="4"/>
      <c r="D1815"/>
    </row>
    <row r="1816" spans="2:4">
      <c r="B1816" s="4"/>
      <c r="D1816"/>
    </row>
    <row r="1817" spans="2:4">
      <c r="B1817" s="4"/>
      <c r="D1817"/>
    </row>
    <row r="1818" spans="2:4">
      <c r="B1818" s="4"/>
      <c r="D1818"/>
    </row>
    <row r="1819" spans="2:4">
      <c r="B1819" s="4"/>
      <c r="D1819"/>
    </row>
    <row r="1820" spans="2:4">
      <c r="B1820" s="4"/>
      <c r="D1820"/>
    </row>
    <row r="1821" spans="2:4">
      <c r="B1821" s="4"/>
      <c r="D1821"/>
    </row>
    <row r="1822" spans="2:4">
      <c r="B1822" s="4"/>
      <c r="D1822"/>
    </row>
    <row r="1823" spans="2:4">
      <c r="B1823" s="4"/>
      <c r="D1823"/>
    </row>
    <row r="1824" spans="2:4">
      <c r="B1824" s="4"/>
      <c r="D1824"/>
    </row>
    <row r="1825" spans="2:4">
      <c r="B1825" s="4"/>
      <c r="D1825"/>
    </row>
    <row r="1826" spans="2:4">
      <c r="B1826" s="4"/>
      <c r="D1826"/>
    </row>
    <row r="1827" spans="2:4">
      <c r="B1827" s="4"/>
      <c r="D1827"/>
    </row>
    <row r="1828" spans="2:4">
      <c r="B1828" s="4"/>
      <c r="D1828"/>
    </row>
    <row r="1829" spans="2:4">
      <c r="B1829" s="4"/>
      <c r="D1829"/>
    </row>
    <row r="1830" spans="2:4">
      <c r="B1830" s="4"/>
      <c r="D1830"/>
    </row>
    <row r="1831" spans="2:4">
      <c r="B1831" s="4"/>
      <c r="D1831"/>
    </row>
    <row r="1832" spans="2:4">
      <c r="B1832" s="4"/>
      <c r="D1832"/>
    </row>
    <row r="1833" spans="2:4">
      <c r="B1833" s="4"/>
      <c r="D1833"/>
    </row>
    <row r="1834" spans="2:4">
      <c r="B1834" s="4"/>
      <c r="D1834"/>
    </row>
    <row r="1835" spans="2:4">
      <c r="B1835" s="4"/>
      <c r="D1835"/>
    </row>
    <row r="1836" spans="2:4">
      <c r="B1836" s="4"/>
      <c r="D1836"/>
    </row>
    <row r="1837" spans="2:4">
      <c r="B1837" s="4"/>
      <c r="D1837"/>
    </row>
    <row r="1838" spans="2:4">
      <c r="B1838" s="4"/>
      <c r="D1838"/>
    </row>
    <row r="1839" spans="2:4">
      <c r="B1839" s="4"/>
      <c r="D1839"/>
    </row>
    <row r="1840" spans="2:4">
      <c r="B1840" s="4"/>
      <c r="D1840"/>
    </row>
    <row r="1841" spans="2:4">
      <c r="B1841" s="4"/>
      <c r="D1841"/>
    </row>
    <row r="1842" spans="2:4">
      <c r="B1842" s="4"/>
      <c r="D1842"/>
    </row>
    <row r="1843" spans="2:4">
      <c r="B1843" s="4"/>
      <c r="D1843"/>
    </row>
    <row r="1844" spans="2:4">
      <c r="B1844" s="4"/>
      <c r="D1844"/>
    </row>
    <row r="1845" spans="2:4">
      <c r="B1845" s="4"/>
      <c r="D1845"/>
    </row>
    <row r="1846" spans="2:4">
      <c r="B1846" s="4"/>
      <c r="D1846"/>
    </row>
    <row r="1847" spans="2:4">
      <c r="B1847" s="4"/>
      <c r="D1847"/>
    </row>
    <row r="1848" spans="2:4">
      <c r="B1848" s="4"/>
      <c r="D1848"/>
    </row>
    <row r="1849" spans="2:4">
      <c r="B1849" s="4"/>
      <c r="D1849"/>
    </row>
    <row r="1850" spans="2:4">
      <c r="B1850" s="4"/>
      <c r="D1850"/>
    </row>
    <row r="1851" spans="2:4">
      <c r="B1851" s="4"/>
      <c r="D1851"/>
    </row>
    <row r="1852" spans="2:4">
      <c r="B1852" s="4"/>
      <c r="D1852"/>
    </row>
    <row r="1853" spans="2:4">
      <c r="B1853" s="4"/>
      <c r="D1853"/>
    </row>
    <row r="1854" spans="2:4">
      <c r="B1854" s="4"/>
      <c r="D1854"/>
    </row>
    <row r="1855" spans="2:4">
      <c r="B1855" s="4"/>
      <c r="D1855"/>
    </row>
    <row r="1856" spans="2:4">
      <c r="B1856" s="4"/>
      <c r="D1856"/>
    </row>
    <row r="1857" spans="2:4">
      <c r="B1857" s="4"/>
      <c r="D1857"/>
    </row>
    <row r="1858" spans="2:4">
      <c r="B1858" s="4"/>
      <c r="D1858"/>
    </row>
    <row r="1859" spans="2:4">
      <c r="B1859" s="4"/>
      <c r="D1859"/>
    </row>
    <row r="1860" spans="2:4">
      <c r="B1860" s="4"/>
      <c r="D1860"/>
    </row>
    <row r="1861" spans="2:4">
      <c r="B1861" s="4"/>
      <c r="D1861"/>
    </row>
    <row r="1862" spans="2:4">
      <c r="B1862" s="4"/>
      <c r="D1862"/>
    </row>
    <row r="1863" spans="2:4">
      <c r="B1863" s="4"/>
      <c r="D1863"/>
    </row>
    <row r="1864" spans="2:4">
      <c r="B1864" s="4"/>
      <c r="D1864"/>
    </row>
    <row r="1865" spans="2:4">
      <c r="B1865" s="4"/>
      <c r="D1865"/>
    </row>
    <row r="1866" spans="2:4">
      <c r="B1866" s="4"/>
      <c r="D1866"/>
    </row>
    <row r="1867" spans="2:4">
      <c r="B1867" s="4"/>
      <c r="D1867"/>
    </row>
    <row r="1868" spans="2:4">
      <c r="B1868" s="4"/>
      <c r="D1868"/>
    </row>
    <row r="1869" spans="2:4">
      <c r="B1869" s="4"/>
      <c r="D1869"/>
    </row>
    <row r="1870" spans="2:4">
      <c r="B1870" s="4"/>
      <c r="D1870"/>
    </row>
    <row r="1871" spans="2:4">
      <c r="B1871" s="4"/>
      <c r="D1871"/>
    </row>
    <row r="1872" spans="2:4">
      <c r="B1872" s="4"/>
      <c r="D1872"/>
    </row>
    <row r="1873" spans="2:4">
      <c r="B1873" s="4"/>
      <c r="D1873"/>
    </row>
    <row r="1874" spans="2:4">
      <c r="B1874" s="4"/>
      <c r="D1874"/>
    </row>
    <row r="1875" spans="2:4">
      <c r="B1875" s="4"/>
      <c r="D1875"/>
    </row>
    <row r="1876" spans="2:4">
      <c r="B1876" s="4"/>
      <c r="D1876"/>
    </row>
    <row r="1877" spans="2:4">
      <c r="B1877" s="4"/>
      <c r="D1877"/>
    </row>
    <row r="1878" spans="2:4">
      <c r="B1878" s="4"/>
      <c r="D1878"/>
    </row>
    <row r="1879" spans="2:4">
      <c r="B1879" s="4"/>
      <c r="D1879"/>
    </row>
    <row r="1880" spans="2:4">
      <c r="B1880" s="4"/>
      <c r="D1880"/>
    </row>
    <row r="1881" spans="2:4">
      <c r="B1881" s="4"/>
      <c r="D1881"/>
    </row>
    <row r="1882" spans="2:4">
      <c r="B1882" s="4"/>
      <c r="D1882"/>
    </row>
    <row r="1883" spans="2:4">
      <c r="B1883" s="4"/>
      <c r="D1883"/>
    </row>
    <row r="1884" spans="2:4">
      <c r="B1884" s="4"/>
      <c r="D1884"/>
    </row>
    <row r="1885" spans="2:4">
      <c r="B1885" s="4"/>
      <c r="D1885"/>
    </row>
    <row r="1886" spans="2:4">
      <c r="B1886" s="4"/>
      <c r="D1886"/>
    </row>
    <row r="1887" spans="2:4">
      <c r="B1887" s="4"/>
      <c r="D1887"/>
    </row>
    <row r="1888" spans="2:4">
      <c r="B1888" s="4"/>
      <c r="D1888"/>
    </row>
    <row r="1889" spans="2:4">
      <c r="B1889" s="4"/>
      <c r="D1889"/>
    </row>
    <row r="1890" spans="2:4">
      <c r="B1890" s="4"/>
      <c r="D1890"/>
    </row>
    <row r="1891" spans="2:4">
      <c r="B1891" s="4"/>
      <c r="D1891"/>
    </row>
    <row r="1892" spans="2:4">
      <c r="B1892" s="4"/>
      <c r="D1892"/>
    </row>
    <row r="1893" spans="2:4">
      <c r="B1893" s="4"/>
      <c r="D1893"/>
    </row>
    <row r="1894" spans="2:4">
      <c r="B1894" s="4"/>
      <c r="D1894"/>
    </row>
    <row r="1895" spans="2:4">
      <c r="B1895" s="4"/>
      <c r="D1895"/>
    </row>
    <row r="1896" spans="2:4">
      <c r="B1896" s="4"/>
      <c r="D1896"/>
    </row>
    <row r="1897" spans="2:4">
      <c r="B1897" s="4"/>
      <c r="D1897"/>
    </row>
    <row r="1898" spans="2:4">
      <c r="B1898" s="4"/>
      <c r="D1898"/>
    </row>
    <row r="1899" spans="2:4">
      <c r="B1899" s="4"/>
      <c r="D1899"/>
    </row>
    <row r="1900" spans="2:4">
      <c r="B1900" s="4"/>
      <c r="D1900"/>
    </row>
    <row r="1901" spans="2:4">
      <c r="B1901" s="4"/>
      <c r="D1901"/>
    </row>
    <row r="1902" spans="2:4">
      <c r="B1902" s="4"/>
      <c r="D1902"/>
    </row>
    <row r="1903" spans="2:4">
      <c r="B1903" s="4"/>
      <c r="D1903"/>
    </row>
    <row r="1904" spans="2:4">
      <c r="B1904" s="4"/>
      <c r="D1904"/>
    </row>
    <row r="1905" spans="2:4">
      <c r="B1905" s="4"/>
      <c r="D1905"/>
    </row>
    <row r="1906" spans="2:4">
      <c r="B1906" s="4"/>
      <c r="D1906"/>
    </row>
    <row r="1907" spans="2:4">
      <c r="B1907" s="4"/>
      <c r="D1907"/>
    </row>
    <row r="1908" spans="2:4">
      <c r="B1908" s="4"/>
      <c r="D1908"/>
    </row>
    <row r="1909" spans="2:4">
      <c r="B1909" s="4"/>
      <c r="D1909"/>
    </row>
    <row r="1910" spans="2:4">
      <c r="B1910" s="4"/>
      <c r="D1910"/>
    </row>
    <row r="1911" spans="2:4">
      <c r="B1911" s="4"/>
      <c r="D1911"/>
    </row>
    <row r="1912" spans="2:4">
      <c r="B1912" s="4"/>
      <c r="D1912"/>
    </row>
    <row r="1913" spans="2:4">
      <c r="B1913" s="4"/>
      <c r="D1913"/>
    </row>
    <row r="1914" spans="2:4">
      <c r="B1914" s="4"/>
      <c r="D1914"/>
    </row>
    <row r="1915" spans="2:4">
      <c r="B1915" s="4"/>
      <c r="D1915"/>
    </row>
    <row r="1916" spans="2:4">
      <c r="B1916" s="4"/>
      <c r="D1916"/>
    </row>
    <row r="1917" spans="2:4">
      <c r="B1917" s="4"/>
      <c r="D1917"/>
    </row>
    <row r="1918" spans="2:4">
      <c r="B1918" s="4"/>
      <c r="D1918"/>
    </row>
    <row r="1919" spans="2:4">
      <c r="B1919" s="4"/>
      <c r="D1919"/>
    </row>
    <row r="1920" spans="2:4">
      <c r="B1920" s="4"/>
      <c r="D1920"/>
    </row>
    <row r="1921" spans="2:4">
      <c r="B1921" s="4"/>
      <c r="D1921"/>
    </row>
    <row r="1922" spans="2:4">
      <c r="B1922" s="4"/>
      <c r="D1922"/>
    </row>
    <row r="1923" spans="2:4">
      <c r="B1923" s="4"/>
      <c r="D1923"/>
    </row>
    <row r="1924" spans="2:4">
      <c r="B1924" s="4"/>
      <c r="D1924"/>
    </row>
    <row r="1925" spans="2:4">
      <c r="B1925" s="4"/>
      <c r="D1925"/>
    </row>
    <row r="1926" spans="2:4">
      <c r="B1926" s="4"/>
      <c r="D1926"/>
    </row>
    <row r="1927" spans="2:4">
      <c r="B1927" s="4"/>
      <c r="D1927"/>
    </row>
    <row r="1928" spans="2:4">
      <c r="B1928" s="4"/>
      <c r="D1928"/>
    </row>
    <row r="1929" spans="2:4">
      <c r="B1929" s="4"/>
      <c r="D1929"/>
    </row>
    <row r="1930" spans="2:4">
      <c r="B1930" s="4"/>
      <c r="D1930"/>
    </row>
    <row r="1931" spans="2:4">
      <c r="B1931" s="4"/>
      <c r="D1931"/>
    </row>
    <row r="1932" spans="2:4">
      <c r="B1932" s="4"/>
      <c r="D1932"/>
    </row>
    <row r="1933" spans="2:4">
      <c r="B1933" s="4"/>
      <c r="D1933"/>
    </row>
    <row r="1934" spans="2:4">
      <c r="B1934" s="4"/>
      <c r="D1934"/>
    </row>
    <row r="1935" spans="2:4">
      <c r="B1935" s="4"/>
      <c r="D1935"/>
    </row>
    <row r="1936" spans="2:4">
      <c r="B1936" s="4"/>
      <c r="D1936"/>
    </row>
    <row r="1937" spans="2:4">
      <c r="B1937" s="4"/>
      <c r="D1937"/>
    </row>
    <row r="1938" spans="2:4">
      <c r="B1938" s="4"/>
      <c r="D1938"/>
    </row>
    <row r="1939" spans="2:4">
      <c r="B1939" s="4"/>
      <c r="D1939"/>
    </row>
    <row r="1940" spans="2:4">
      <c r="B1940" s="4"/>
      <c r="D1940"/>
    </row>
    <row r="1941" spans="2:4">
      <c r="B1941" s="4"/>
      <c r="D1941"/>
    </row>
    <row r="1942" spans="2:4">
      <c r="B1942" s="4"/>
      <c r="D1942"/>
    </row>
    <row r="1943" spans="2:4">
      <c r="B1943" s="4"/>
      <c r="D1943"/>
    </row>
    <row r="1944" spans="2:4">
      <c r="B1944" s="4"/>
      <c r="D1944"/>
    </row>
    <row r="1945" spans="2:4">
      <c r="B1945" s="4"/>
      <c r="D1945"/>
    </row>
    <row r="1946" spans="2:4">
      <c r="B1946" s="4"/>
      <c r="D1946"/>
    </row>
    <row r="1947" spans="2:4">
      <c r="B1947" s="4"/>
      <c r="D1947"/>
    </row>
    <row r="1948" spans="2:4">
      <c r="B1948" s="4"/>
      <c r="D1948"/>
    </row>
    <row r="1949" spans="2:4">
      <c r="B1949" s="4"/>
      <c r="D1949"/>
    </row>
    <row r="1950" spans="2:4">
      <c r="B1950" s="4"/>
      <c r="D1950"/>
    </row>
    <row r="1951" spans="2:4">
      <c r="B1951" s="4"/>
      <c r="D1951"/>
    </row>
    <row r="1952" spans="2:4">
      <c r="B1952" s="4"/>
      <c r="D1952"/>
    </row>
    <row r="1953" spans="2:4">
      <c r="B1953" s="4"/>
      <c r="D1953"/>
    </row>
    <row r="1954" spans="2:4">
      <c r="B1954" s="4"/>
      <c r="D1954"/>
    </row>
    <row r="1955" spans="2:4">
      <c r="B1955" s="4"/>
      <c r="D1955"/>
    </row>
    <row r="1956" spans="2:4">
      <c r="B1956" s="4"/>
      <c r="D1956"/>
    </row>
    <row r="1957" spans="2:4">
      <c r="B1957" s="4"/>
      <c r="D1957"/>
    </row>
    <row r="1958" spans="2:4">
      <c r="B1958" s="4"/>
      <c r="D1958"/>
    </row>
    <row r="1959" spans="2:4">
      <c r="B1959" s="4"/>
      <c r="D1959"/>
    </row>
    <row r="1960" spans="2:4">
      <c r="B1960" s="4"/>
      <c r="D1960"/>
    </row>
    <row r="1961" spans="2:4">
      <c r="B1961" s="4"/>
      <c r="D1961"/>
    </row>
    <row r="1962" spans="2:4">
      <c r="B1962" s="4"/>
      <c r="D1962"/>
    </row>
    <row r="1963" spans="2:4">
      <c r="B1963" s="4"/>
      <c r="D1963"/>
    </row>
    <row r="1964" spans="2:4">
      <c r="B1964" s="4"/>
      <c r="D1964"/>
    </row>
    <row r="1965" spans="2:4">
      <c r="B1965" s="4"/>
      <c r="D1965"/>
    </row>
    <row r="1966" spans="2:4">
      <c r="B1966" s="4"/>
      <c r="D1966"/>
    </row>
    <row r="1967" spans="2:4">
      <c r="B1967" s="4"/>
      <c r="D1967"/>
    </row>
    <row r="1968" spans="2:4">
      <c r="B1968" s="4"/>
      <c r="D1968"/>
    </row>
    <row r="1969" spans="2:4">
      <c r="B1969" s="4"/>
      <c r="D1969"/>
    </row>
    <row r="1970" spans="2:4">
      <c r="B1970" s="4"/>
      <c r="D1970"/>
    </row>
    <row r="1971" spans="2:4">
      <c r="B1971" s="4"/>
      <c r="D1971"/>
    </row>
    <row r="1972" spans="2:4">
      <c r="B1972" s="4"/>
      <c r="D1972"/>
    </row>
    <row r="1973" spans="2:4">
      <c r="B1973" s="4"/>
      <c r="D1973"/>
    </row>
    <row r="1974" spans="2:4">
      <c r="B1974" s="4"/>
      <c r="D1974"/>
    </row>
    <row r="1975" spans="2:4">
      <c r="B1975" s="4"/>
      <c r="D1975"/>
    </row>
    <row r="1976" spans="2:4">
      <c r="B1976" s="4"/>
      <c r="D1976"/>
    </row>
    <row r="1977" spans="2:4">
      <c r="B1977" s="4"/>
      <c r="D1977"/>
    </row>
    <row r="1978" spans="2:4">
      <c r="B1978" s="4"/>
      <c r="D1978"/>
    </row>
    <row r="1979" spans="2:4">
      <c r="B1979" s="4"/>
      <c r="D1979"/>
    </row>
    <row r="1980" spans="2:4">
      <c r="B1980" s="4"/>
      <c r="D1980"/>
    </row>
    <row r="1981" spans="2:4">
      <c r="B1981" s="4"/>
      <c r="D1981"/>
    </row>
    <row r="1982" spans="2:4">
      <c r="B1982" s="4"/>
      <c r="D1982"/>
    </row>
    <row r="1983" spans="2:4">
      <c r="B1983" s="4"/>
      <c r="D1983"/>
    </row>
    <row r="1984" spans="2:4">
      <c r="B1984" s="4"/>
      <c r="D1984"/>
    </row>
    <row r="1985" spans="2:4">
      <c r="B1985" s="4"/>
      <c r="D1985"/>
    </row>
    <row r="1986" spans="2:4">
      <c r="B1986" s="4"/>
      <c r="D1986"/>
    </row>
    <row r="1987" spans="2:4">
      <c r="B1987" s="4"/>
      <c r="D1987"/>
    </row>
    <row r="1988" spans="2:4">
      <c r="B1988" s="4"/>
      <c r="D1988"/>
    </row>
    <row r="1989" spans="2:4">
      <c r="B1989" s="4"/>
      <c r="D1989"/>
    </row>
    <row r="1990" spans="2:4">
      <c r="B1990" s="4"/>
      <c r="D1990"/>
    </row>
    <row r="1991" spans="2:4">
      <c r="B1991" s="4"/>
      <c r="D1991"/>
    </row>
    <row r="1992" spans="2:4">
      <c r="B1992" s="4"/>
      <c r="D1992"/>
    </row>
    <row r="1993" spans="2:4">
      <c r="B1993" s="4"/>
      <c r="D1993"/>
    </row>
    <row r="1994" spans="2:4">
      <c r="B1994" s="4"/>
      <c r="D1994"/>
    </row>
    <row r="1995" spans="2:4">
      <c r="B1995" s="4"/>
      <c r="D1995"/>
    </row>
    <row r="1996" spans="2:4">
      <c r="B1996" s="4"/>
      <c r="D1996"/>
    </row>
    <row r="1997" spans="2:4">
      <c r="B1997" s="4"/>
      <c r="D1997"/>
    </row>
    <row r="1998" spans="2:4">
      <c r="B1998" s="4"/>
      <c r="D1998"/>
    </row>
    <row r="1999" spans="2:4">
      <c r="B1999" s="4"/>
      <c r="D1999"/>
    </row>
    <row r="2000" spans="2:4">
      <c r="B2000" s="4"/>
      <c r="D2000"/>
    </row>
    <row r="2001" spans="2:4">
      <c r="B2001" s="4"/>
      <c r="D2001"/>
    </row>
    <row r="2002" spans="2:4">
      <c r="B2002" s="4"/>
      <c r="D2002"/>
    </row>
    <row r="2003" spans="2:4">
      <c r="B2003" s="4"/>
      <c r="D2003"/>
    </row>
    <row r="2004" spans="2:4">
      <c r="B2004" s="4"/>
      <c r="D2004"/>
    </row>
    <row r="2005" spans="2:4">
      <c r="B2005" s="4"/>
      <c r="D2005"/>
    </row>
    <row r="2006" spans="2:4">
      <c r="B2006" s="4"/>
      <c r="D2006"/>
    </row>
    <row r="2007" spans="2:4">
      <c r="B2007" s="4"/>
      <c r="D2007"/>
    </row>
    <row r="2008" spans="2:4">
      <c r="B2008" s="4"/>
      <c r="D2008"/>
    </row>
    <row r="2009" spans="2:4">
      <c r="B2009" s="4"/>
      <c r="D2009"/>
    </row>
    <row r="2010" spans="2:4">
      <c r="B2010" s="4"/>
      <c r="D2010"/>
    </row>
    <row r="2011" spans="2:4">
      <c r="B2011" s="4"/>
      <c r="D2011"/>
    </row>
    <row r="2012" spans="2:4">
      <c r="B2012" s="4"/>
      <c r="D2012"/>
    </row>
    <row r="2013" spans="2:4">
      <c r="B2013" s="4"/>
      <c r="D2013"/>
    </row>
    <row r="2014" spans="2:4">
      <c r="B2014" s="4"/>
      <c r="D2014"/>
    </row>
    <row r="2015" spans="2:4">
      <c r="B2015" s="4"/>
      <c r="D2015"/>
    </row>
    <row r="2016" spans="2:4">
      <c r="B2016" s="4"/>
      <c r="D2016"/>
    </row>
    <row r="2017" spans="2:4">
      <c r="B2017" s="4"/>
      <c r="D2017"/>
    </row>
    <row r="2018" spans="2:4">
      <c r="B2018" s="4"/>
      <c r="D2018"/>
    </row>
    <row r="2019" spans="2:4">
      <c r="B2019" s="4"/>
      <c r="D2019"/>
    </row>
    <row r="2020" spans="2:4">
      <c r="B2020" s="4"/>
      <c r="D2020"/>
    </row>
    <row r="2021" spans="2:4">
      <c r="B2021" s="4"/>
      <c r="D2021"/>
    </row>
    <row r="2022" spans="2:4">
      <c r="B2022" s="4"/>
      <c r="D2022"/>
    </row>
    <row r="2023" spans="2:4">
      <c r="B2023" s="4"/>
      <c r="D2023"/>
    </row>
    <row r="2024" spans="2:4">
      <c r="B2024" s="4"/>
      <c r="D2024"/>
    </row>
    <row r="2025" spans="2:4">
      <c r="B2025" s="4"/>
      <c r="D2025"/>
    </row>
    <row r="2026" spans="2:4">
      <c r="B2026" s="4"/>
      <c r="D2026"/>
    </row>
    <row r="2027" spans="2:4">
      <c r="B2027" s="4"/>
      <c r="D2027"/>
    </row>
    <row r="2028" spans="2:4">
      <c r="B2028" s="4"/>
      <c r="D2028"/>
    </row>
    <row r="2029" spans="2:4">
      <c r="B2029" s="4"/>
      <c r="D2029"/>
    </row>
    <row r="2030" spans="2:4">
      <c r="B2030" s="4"/>
      <c r="D2030"/>
    </row>
    <row r="2031" spans="2:4">
      <c r="B2031" s="4"/>
      <c r="D2031"/>
    </row>
    <row r="2032" spans="2:4">
      <c r="B2032" s="4"/>
      <c r="D2032"/>
    </row>
    <row r="2033" spans="2:4">
      <c r="B2033" s="4"/>
      <c r="D2033"/>
    </row>
    <row r="2034" spans="2:4">
      <c r="B2034" s="4"/>
      <c r="D2034"/>
    </row>
    <row r="2035" spans="2:4">
      <c r="B2035" s="4"/>
      <c r="D2035"/>
    </row>
    <row r="2036" spans="2:4">
      <c r="B2036" s="4"/>
      <c r="D2036"/>
    </row>
    <row r="2037" spans="2:4">
      <c r="B2037" s="4"/>
      <c r="D2037"/>
    </row>
    <row r="2038" spans="2:4">
      <c r="B2038" s="4"/>
      <c r="D2038"/>
    </row>
    <row r="2039" spans="2:4">
      <c r="B2039" s="4"/>
      <c r="D2039"/>
    </row>
    <row r="2040" spans="2:4">
      <c r="B2040" s="4"/>
      <c r="D2040"/>
    </row>
    <row r="2041" spans="2:4">
      <c r="B2041" s="4"/>
      <c r="D2041"/>
    </row>
    <row r="2042" spans="2:4">
      <c r="B2042" s="4"/>
      <c r="D2042"/>
    </row>
    <row r="2043" spans="2:4">
      <c r="B2043" s="4"/>
      <c r="D2043"/>
    </row>
    <row r="2044" spans="2:4">
      <c r="B2044" s="4"/>
      <c r="D2044"/>
    </row>
    <row r="2045" spans="2:4">
      <c r="B2045" s="4"/>
      <c r="D2045"/>
    </row>
    <row r="2046" spans="2:4">
      <c r="B2046" s="4"/>
      <c r="D2046"/>
    </row>
    <row r="2047" spans="2:4">
      <c r="B2047" s="4"/>
      <c r="D2047"/>
    </row>
    <row r="2048" spans="2:4">
      <c r="B2048" s="4"/>
      <c r="D2048"/>
    </row>
    <row r="2049" spans="2:4">
      <c r="B2049" s="4"/>
      <c r="D2049"/>
    </row>
    <row r="2050" spans="2:4">
      <c r="B2050" s="4"/>
      <c r="D2050"/>
    </row>
    <row r="2051" spans="2:4">
      <c r="B2051" s="4"/>
      <c r="D2051"/>
    </row>
    <row r="2052" spans="2:4">
      <c r="B2052" s="4"/>
      <c r="D2052"/>
    </row>
    <row r="2053" spans="2:4">
      <c r="B2053" s="4"/>
      <c r="D2053"/>
    </row>
    <row r="2054" spans="2:4">
      <c r="B2054" s="4"/>
      <c r="D2054"/>
    </row>
    <row r="2055" spans="2:4">
      <c r="B2055" s="4"/>
      <c r="D2055"/>
    </row>
    <row r="2056" spans="2:4">
      <c r="B2056" s="4"/>
      <c r="D2056"/>
    </row>
    <row r="2057" spans="2:4">
      <c r="B2057" s="4"/>
      <c r="D2057"/>
    </row>
    <row r="2058" spans="2:4">
      <c r="B2058" s="4"/>
      <c r="D2058"/>
    </row>
    <row r="2059" spans="2:4">
      <c r="B2059" s="4"/>
      <c r="D2059"/>
    </row>
    <row r="2060" spans="2:4">
      <c r="B2060" s="4"/>
      <c r="D2060"/>
    </row>
    <row r="2061" spans="2:4">
      <c r="B2061" s="4"/>
      <c r="D2061"/>
    </row>
    <row r="2062" spans="2:4">
      <c r="B2062" s="4"/>
      <c r="D2062"/>
    </row>
    <row r="2063" spans="2:4">
      <c r="B2063" s="4"/>
      <c r="D2063"/>
    </row>
    <row r="2064" spans="2:4">
      <c r="B2064" s="4"/>
      <c r="D2064"/>
    </row>
    <row r="2065" spans="2:4">
      <c r="B2065" s="4"/>
      <c r="D2065"/>
    </row>
    <row r="2066" spans="2:4">
      <c r="B2066" s="4"/>
      <c r="D2066"/>
    </row>
    <row r="2067" spans="2:4">
      <c r="B2067" s="4"/>
      <c r="D2067"/>
    </row>
    <row r="2068" spans="2:4">
      <c r="B2068" s="4"/>
      <c r="D2068"/>
    </row>
    <row r="2069" spans="2:4">
      <c r="B2069" s="4"/>
      <c r="D2069"/>
    </row>
    <row r="2070" spans="2:4">
      <c r="B2070" s="4"/>
      <c r="D2070"/>
    </row>
    <row r="2071" spans="2:4">
      <c r="B2071" s="4"/>
      <c r="D2071"/>
    </row>
    <row r="2072" spans="2:4">
      <c r="B2072" s="4"/>
      <c r="D2072"/>
    </row>
    <row r="2073" spans="2:4">
      <c r="B2073" s="4"/>
      <c r="D2073"/>
    </row>
    <row r="2074" spans="2:4">
      <c r="B2074" s="4"/>
      <c r="D2074"/>
    </row>
    <row r="2075" spans="2:4">
      <c r="B2075" s="4"/>
      <c r="D2075"/>
    </row>
    <row r="2076" spans="2:4">
      <c r="B2076" s="4"/>
      <c r="D2076"/>
    </row>
    <row r="2077" spans="2:4">
      <c r="B2077" s="4"/>
      <c r="D2077"/>
    </row>
    <row r="2078" spans="2:4">
      <c r="B2078" s="4"/>
      <c r="D2078"/>
    </row>
    <row r="2079" spans="2:4">
      <c r="B2079" s="4"/>
      <c r="D2079"/>
    </row>
    <row r="2080" spans="2:4">
      <c r="B2080" s="4"/>
      <c r="D2080"/>
    </row>
    <row r="2081" spans="2:4">
      <c r="B2081" s="4"/>
      <c r="D2081"/>
    </row>
    <row r="2082" spans="2:4">
      <c r="B2082" s="4"/>
      <c r="D2082"/>
    </row>
    <row r="2083" spans="2:4">
      <c r="B2083" s="4"/>
      <c r="D2083"/>
    </row>
    <row r="2084" spans="2:4">
      <c r="B2084" s="4"/>
      <c r="D2084"/>
    </row>
    <row r="2085" spans="2:4">
      <c r="B2085" s="4"/>
      <c r="D2085"/>
    </row>
    <row r="2086" spans="2:4">
      <c r="B2086" s="4"/>
      <c r="D2086"/>
    </row>
    <row r="2087" spans="2:4">
      <c r="B2087" s="4"/>
      <c r="D2087"/>
    </row>
    <row r="2088" spans="2:4">
      <c r="B2088" s="4"/>
      <c r="D2088"/>
    </row>
    <row r="2089" spans="2:4">
      <c r="B2089" s="4"/>
      <c r="D2089"/>
    </row>
    <row r="2090" spans="2:4">
      <c r="B2090" s="4"/>
      <c r="D2090"/>
    </row>
    <row r="2091" spans="2:4">
      <c r="B2091" s="4"/>
      <c r="D2091"/>
    </row>
    <row r="2092" spans="2:4">
      <c r="B2092" s="4"/>
      <c r="D2092"/>
    </row>
    <row r="2093" spans="2:4">
      <c r="B2093" s="4"/>
      <c r="D2093"/>
    </row>
    <row r="2094" spans="2:4">
      <c r="B2094" s="4"/>
      <c r="D2094"/>
    </row>
    <row r="2095" spans="2:4">
      <c r="B2095" s="4"/>
      <c r="D2095"/>
    </row>
    <row r="2096" spans="2:4">
      <c r="B2096" s="4"/>
      <c r="D2096"/>
    </row>
    <row r="2097" spans="2:4">
      <c r="B2097" s="4"/>
      <c r="D2097"/>
    </row>
    <row r="2098" spans="2:4">
      <c r="B2098" s="4"/>
      <c r="D2098"/>
    </row>
    <row r="2099" spans="2:4">
      <c r="B2099" s="4"/>
      <c r="D2099"/>
    </row>
    <row r="2100" spans="2:4">
      <c r="B2100" s="4"/>
      <c r="D2100"/>
    </row>
    <row r="2101" spans="2:4">
      <c r="B2101" s="4"/>
      <c r="D2101"/>
    </row>
    <row r="2102" spans="2:4">
      <c r="B2102" s="4"/>
      <c r="D2102"/>
    </row>
    <row r="2103" spans="2:4">
      <c r="B2103" s="4"/>
      <c r="D2103"/>
    </row>
    <row r="2104" spans="2:4">
      <c r="B2104" s="4"/>
      <c r="D2104"/>
    </row>
    <row r="2105" spans="2:4">
      <c r="B2105" s="4"/>
      <c r="D2105"/>
    </row>
    <row r="2106" spans="2:4">
      <c r="B2106" s="4"/>
      <c r="D2106"/>
    </row>
    <row r="2107" spans="2:4">
      <c r="B2107" s="4"/>
      <c r="D2107"/>
    </row>
    <row r="2108" spans="2:4">
      <c r="B2108" s="4"/>
      <c r="D2108"/>
    </row>
    <row r="2109" spans="2:4">
      <c r="B2109" s="4"/>
      <c r="D2109"/>
    </row>
    <row r="2110" spans="2:4">
      <c r="B2110" s="4"/>
      <c r="D2110"/>
    </row>
    <row r="2111" spans="2:4">
      <c r="B2111" s="4"/>
      <c r="D2111"/>
    </row>
    <row r="2112" spans="2:4">
      <c r="B2112" s="4"/>
      <c r="D2112"/>
    </row>
    <row r="2113" spans="2:4">
      <c r="B2113" s="4"/>
      <c r="D2113"/>
    </row>
    <row r="2114" spans="2:4">
      <c r="B2114" s="4"/>
      <c r="D2114"/>
    </row>
    <row r="2115" spans="2:4">
      <c r="B2115" s="4"/>
      <c r="D2115"/>
    </row>
    <row r="2116" spans="2:4">
      <c r="B2116" s="4"/>
      <c r="D2116"/>
    </row>
    <row r="2117" spans="2:4">
      <c r="B2117" s="4"/>
      <c r="D2117"/>
    </row>
    <row r="2118" spans="2:4">
      <c r="B2118" s="4"/>
      <c r="D2118"/>
    </row>
    <row r="2119" spans="2:4">
      <c r="B2119" s="4"/>
      <c r="D2119"/>
    </row>
    <row r="2120" spans="2:4">
      <c r="B2120" s="4"/>
      <c r="D2120"/>
    </row>
    <row r="2121" spans="2:4">
      <c r="B2121" s="4"/>
      <c r="D2121"/>
    </row>
    <row r="2122" spans="2:4">
      <c r="B2122" s="4"/>
      <c r="D2122"/>
    </row>
    <row r="2123" spans="2:4">
      <c r="B2123" s="4"/>
      <c r="D2123"/>
    </row>
    <row r="2124" spans="2:4">
      <c r="B2124" s="4"/>
      <c r="D2124"/>
    </row>
    <row r="2125" spans="2:4">
      <c r="B2125" s="4"/>
      <c r="D2125"/>
    </row>
    <row r="2126" spans="2:4">
      <c r="B2126" s="4"/>
      <c r="D2126"/>
    </row>
    <row r="2127" spans="2:4">
      <c r="B2127" s="4"/>
      <c r="D2127"/>
    </row>
    <row r="2128" spans="2:4">
      <c r="B2128" s="4"/>
      <c r="D2128"/>
    </row>
    <row r="2129" spans="2:4">
      <c r="B2129" s="4"/>
      <c r="D2129"/>
    </row>
    <row r="2130" spans="2:4">
      <c r="B2130" s="4"/>
      <c r="D2130"/>
    </row>
    <row r="2131" spans="2:4">
      <c r="B2131" s="4"/>
      <c r="D2131"/>
    </row>
    <row r="2132" spans="2:4">
      <c r="B2132" s="4"/>
      <c r="D2132"/>
    </row>
    <row r="2133" spans="2:4">
      <c r="B2133" s="4"/>
      <c r="D2133"/>
    </row>
    <row r="2134" spans="2:4">
      <c r="B2134" s="4"/>
      <c r="D2134"/>
    </row>
    <row r="2135" spans="2:4">
      <c r="B2135" s="4"/>
      <c r="D2135"/>
    </row>
    <row r="2136" spans="2:4">
      <c r="B2136" s="4"/>
      <c r="D2136"/>
    </row>
    <row r="2137" spans="2:4">
      <c r="B2137" s="4"/>
      <c r="D2137"/>
    </row>
    <row r="2138" spans="2:4">
      <c r="B2138" s="4"/>
      <c r="D2138"/>
    </row>
    <row r="2139" spans="2:4">
      <c r="B2139" s="4"/>
      <c r="D2139"/>
    </row>
    <row r="2140" spans="2:4">
      <c r="B2140" s="4"/>
      <c r="D2140"/>
    </row>
    <row r="2141" spans="2:4">
      <c r="B2141" s="4"/>
      <c r="D2141"/>
    </row>
    <row r="2142" spans="2:4">
      <c r="B2142" s="4"/>
      <c r="D2142"/>
    </row>
    <row r="2143" spans="2:4">
      <c r="B2143" s="4"/>
      <c r="D2143"/>
    </row>
    <row r="2144" spans="2:4">
      <c r="B2144" s="4"/>
      <c r="D2144"/>
    </row>
    <row r="2145" spans="2:4">
      <c r="B2145" s="4"/>
      <c r="D2145"/>
    </row>
    <row r="2146" spans="2:4">
      <c r="B2146" s="4"/>
      <c r="D2146"/>
    </row>
    <row r="2147" spans="2:4">
      <c r="B2147" s="4"/>
      <c r="D2147"/>
    </row>
    <row r="2148" spans="2:4">
      <c r="B2148" s="4"/>
      <c r="D2148"/>
    </row>
    <row r="2149" spans="2:4">
      <c r="B2149" s="4"/>
      <c r="D2149"/>
    </row>
    <row r="2150" spans="2:4">
      <c r="B2150" s="4"/>
      <c r="D2150"/>
    </row>
    <row r="2151" spans="2:4">
      <c r="B2151" s="4"/>
      <c r="D2151"/>
    </row>
    <row r="2152" spans="2:4">
      <c r="B2152" s="4"/>
      <c r="D2152"/>
    </row>
    <row r="2153" spans="2:4">
      <c r="B2153" s="4"/>
      <c r="D2153"/>
    </row>
    <row r="2154" spans="2:4">
      <c r="B2154" s="4"/>
      <c r="D2154"/>
    </row>
    <row r="2155" spans="2:4">
      <c r="B2155" s="4"/>
      <c r="D2155"/>
    </row>
    <row r="2156" spans="2:4">
      <c r="B2156" s="4"/>
      <c r="D2156"/>
    </row>
    <row r="2157" spans="2:4">
      <c r="B2157" s="4"/>
      <c r="D2157"/>
    </row>
    <row r="2158" spans="2:4">
      <c r="B2158" s="4"/>
      <c r="D2158"/>
    </row>
    <row r="2159" spans="2:4">
      <c r="B2159" s="4"/>
      <c r="D2159"/>
    </row>
    <row r="2160" spans="2:4">
      <c r="B2160" s="4"/>
      <c r="D2160"/>
    </row>
    <row r="2161" spans="2:4">
      <c r="B2161" s="4"/>
      <c r="D2161"/>
    </row>
    <row r="2162" spans="2:4">
      <c r="B2162" s="4"/>
      <c r="D2162"/>
    </row>
    <row r="2163" spans="2:4">
      <c r="B2163" s="4"/>
      <c r="D2163"/>
    </row>
    <row r="2164" spans="2:4">
      <c r="B2164" s="4"/>
      <c r="D2164"/>
    </row>
    <row r="2165" spans="2:4">
      <c r="B2165" s="4"/>
      <c r="D2165"/>
    </row>
    <row r="2166" spans="2:4">
      <c r="B2166" s="4"/>
      <c r="D2166"/>
    </row>
    <row r="2167" spans="2:4">
      <c r="B2167" s="4"/>
      <c r="D2167"/>
    </row>
    <row r="2168" spans="2:4">
      <c r="B2168" s="4"/>
      <c r="D2168"/>
    </row>
    <row r="2169" spans="2:4">
      <c r="B2169" s="4"/>
      <c r="D2169"/>
    </row>
    <row r="2170" spans="2:4">
      <c r="B2170" s="4"/>
      <c r="D2170"/>
    </row>
    <row r="2171" spans="2:4">
      <c r="B2171" s="4"/>
      <c r="D2171"/>
    </row>
    <row r="2172" spans="2:4">
      <c r="B2172" s="4"/>
      <c r="D2172"/>
    </row>
    <row r="2173" spans="2:4">
      <c r="B2173" s="4"/>
      <c r="D2173"/>
    </row>
    <row r="2174" spans="2:4">
      <c r="B2174" s="4"/>
      <c r="D2174"/>
    </row>
    <row r="2175" spans="2:4">
      <c r="B2175" s="4"/>
      <c r="D2175"/>
    </row>
    <row r="2176" spans="2:4">
      <c r="B2176" s="4"/>
      <c r="D2176"/>
    </row>
    <row r="2177" spans="2:4">
      <c r="B2177" s="4"/>
      <c r="D2177"/>
    </row>
    <row r="2178" spans="2:4">
      <c r="B2178" s="4"/>
      <c r="D2178"/>
    </row>
    <row r="2179" spans="2:4">
      <c r="B2179" s="4"/>
      <c r="D2179"/>
    </row>
    <row r="2180" spans="2:4">
      <c r="B2180" s="4"/>
      <c r="D2180"/>
    </row>
    <row r="2181" spans="2:4">
      <c r="B2181" s="4"/>
      <c r="D2181"/>
    </row>
    <row r="2182" spans="2:4">
      <c r="B2182" s="4"/>
      <c r="D2182"/>
    </row>
    <row r="2183" spans="2:4">
      <c r="B2183" s="4"/>
      <c r="D2183"/>
    </row>
    <row r="2184" spans="2:4">
      <c r="B2184" s="4"/>
      <c r="D2184"/>
    </row>
    <row r="2185" spans="2:4">
      <c r="B2185" s="4"/>
      <c r="D2185"/>
    </row>
    <row r="2186" spans="2:4">
      <c r="B2186" s="4"/>
      <c r="D2186"/>
    </row>
    <row r="2187" spans="2:4">
      <c r="B2187" s="4"/>
      <c r="D2187"/>
    </row>
    <row r="2188" spans="2:4">
      <c r="B2188" s="4"/>
      <c r="D2188"/>
    </row>
    <row r="2189" spans="2:4">
      <c r="B2189" s="4"/>
      <c r="D2189"/>
    </row>
    <row r="2190" spans="2:4">
      <c r="B2190" s="4"/>
      <c r="D2190"/>
    </row>
    <row r="2191" spans="2:4">
      <c r="B2191" s="4"/>
      <c r="D2191"/>
    </row>
    <row r="2192" spans="2:4">
      <c r="B2192" s="4"/>
      <c r="D2192"/>
    </row>
    <row r="2193" spans="2:4">
      <c r="B2193" s="4"/>
      <c r="D2193"/>
    </row>
    <row r="2194" spans="2:4">
      <c r="B2194" s="4"/>
      <c r="D2194"/>
    </row>
    <row r="2195" spans="2:4">
      <c r="B2195" s="4"/>
      <c r="D2195"/>
    </row>
    <row r="2196" spans="2:4">
      <c r="B2196" s="4"/>
      <c r="D2196"/>
    </row>
    <row r="2197" spans="2:4">
      <c r="B2197" s="4"/>
      <c r="D2197"/>
    </row>
    <row r="2198" spans="2:4">
      <c r="B2198" s="4"/>
      <c r="D2198"/>
    </row>
    <row r="2199" spans="2:4">
      <c r="B2199" s="4"/>
      <c r="D2199"/>
    </row>
    <row r="2200" spans="2:4">
      <c r="B2200" s="4"/>
      <c r="D2200"/>
    </row>
    <row r="2201" spans="2:4">
      <c r="B2201" s="4"/>
      <c r="D2201"/>
    </row>
    <row r="2202" spans="2:4">
      <c r="B2202" s="4"/>
      <c r="D2202"/>
    </row>
    <row r="2203" spans="2:4">
      <c r="B2203" s="4"/>
      <c r="D2203"/>
    </row>
    <row r="2204" spans="2:4">
      <c r="B2204" s="4"/>
      <c r="D2204"/>
    </row>
    <row r="2205" spans="2:4">
      <c r="B2205" s="4"/>
      <c r="D2205"/>
    </row>
    <row r="2206" spans="2:4">
      <c r="B2206" s="4"/>
      <c r="D2206"/>
    </row>
    <row r="2207" spans="2:4">
      <c r="B2207" s="4"/>
      <c r="D2207"/>
    </row>
    <row r="2208" spans="2:4">
      <c r="B2208" s="4"/>
      <c r="D2208"/>
    </row>
    <row r="2209" spans="2:4">
      <c r="B2209" s="4"/>
      <c r="D2209"/>
    </row>
    <row r="2210" spans="2:4">
      <c r="B2210" s="4"/>
      <c r="D2210"/>
    </row>
    <row r="2211" spans="2:4">
      <c r="B2211" s="4"/>
      <c r="D2211"/>
    </row>
    <row r="2212" spans="2:4">
      <c r="B2212" s="4"/>
      <c r="D2212"/>
    </row>
    <row r="2213" spans="2:4">
      <c r="B2213" s="4"/>
      <c r="D2213"/>
    </row>
    <row r="2214" spans="2:4">
      <c r="B2214" s="4"/>
      <c r="D2214"/>
    </row>
    <row r="2215" spans="2:4">
      <c r="B2215" s="4"/>
      <c r="D2215"/>
    </row>
    <row r="2216" spans="2:4">
      <c r="B2216" s="4"/>
      <c r="D2216"/>
    </row>
    <row r="2217" spans="2:4">
      <c r="B2217" s="4"/>
      <c r="D2217"/>
    </row>
    <row r="2218" spans="2:4">
      <c r="B2218" s="4"/>
      <c r="D2218"/>
    </row>
    <row r="2219" spans="2:4">
      <c r="B2219" s="4"/>
      <c r="D2219"/>
    </row>
    <row r="2220" spans="2:4">
      <c r="B2220" s="4"/>
      <c r="D2220"/>
    </row>
    <row r="2221" spans="2:4">
      <c r="B2221" s="4"/>
      <c r="D2221"/>
    </row>
    <row r="2222" spans="2:4">
      <c r="B2222" s="4"/>
      <c r="D2222"/>
    </row>
    <row r="2223" spans="2:4">
      <c r="B2223" s="4"/>
      <c r="D2223"/>
    </row>
    <row r="2224" spans="2:4">
      <c r="B2224" s="4"/>
      <c r="D2224"/>
    </row>
    <row r="2225" spans="2:4">
      <c r="B2225" s="4"/>
      <c r="D2225"/>
    </row>
    <row r="2226" spans="2:4">
      <c r="B2226" s="4"/>
      <c r="D2226"/>
    </row>
    <row r="2227" spans="2:4">
      <c r="B2227" s="4"/>
      <c r="D2227"/>
    </row>
    <row r="2228" spans="2:4">
      <c r="B2228" s="4"/>
      <c r="D2228"/>
    </row>
    <row r="2229" spans="2:4">
      <c r="B2229" s="4"/>
      <c r="D2229"/>
    </row>
    <row r="2230" spans="2:4">
      <c r="B2230" s="4"/>
      <c r="D2230"/>
    </row>
    <row r="2231" spans="2:4">
      <c r="B2231" s="4"/>
      <c r="D2231"/>
    </row>
    <row r="2232" spans="2:4">
      <c r="B2232" s="4"/>
      <c r="D2232"/>
    </row>
    <row r="2233" spans="2:4">
      <c r="B2233" s="4"/>
      <c r="D2233"/>
    </row>
    <row r="2234" spans="2:4">
      <c r="B2234" s="4"/>
      <c r="D2234"/>
    </row>
    <row r="2235" spans="2:4">
      <c r="B2235" s="4"/>
      <c r="D2235"/>
    </row>
    <row r="2236" spans="2:4">
      <c r="B2236" s="4"/>
      <c r="D2236"/>
    </row>
    <row r="2237" spans="2:4">
      <c r="B2237" s="4"/>
      <c r="D2237"/>
    </row>
    <row r="2238" spans="2:4">
      <c r="B2238" s="4"/>
      <c r="D2238"/>
    </row>
    <row r="2239" spans="2:4">
      <c r="B2239" s="4"/>
      <c r="D2239"/>
    </row>
    <row r="2240" spans="2:4">
      <c r="B2240" s="4"/>
      <c r="D2240"/>
    </row>
    <row r="2241" spans="2:4">
      <c r="B2241" s="4"/>
      <c r="D2241"/>
    </row>
    <row r="2242" spans="2:4">
      <c r="B2242" s="4"/>
      <c r="D2242"/>
    </row>
    <row r="2243" spans="2:4">
      <c r="B2243" s="4"/>
      <c r="D2243"/>
    </row>
    <row r="2244" spans="2:4">
      <c r="B2244" s="4"/>
      <c r="D2244"/>
    </row>
    <row r="2245" spans="2:4">
      <c r="B2245" s="4"/>
      <c r="D2245"/>
    </row>
    <row r="2246" spans="2:4">
      <c r="B2246" s="4"/>
      <c r="D2246"/>
    </row>
    <row r="2247" spans="2:4">
      <c r="B2247" s="4"/>
      <c r="D2247"/>
    </row>
    <row r="2248" spans="2:4">
      <c r="B2248" s="4"/>
      <c r="D2248"/>
    </row>
    <row r="2249" spans="2:4">
      <c r="B2249" s="4"/>
      <c r="D2249"/>
    </row>
    <row r="2250" spans="2:4">
      <c r="B2250" s="4"/>
      <c r="D2250"/>
    </row>
    <row r="2251" spans="2:4">
      <c r="B2251" s="4"/>
      <c r="D2251"/>
    </row>
    <row r="2252" spans="2:4">
      <c r="B2252" s="4"/>
      <c r="D2252"/>
    </row>
    <row r="2253" spans="2:4">
      <c r="B2253" s="4"/>
      <c r="D2253"/>
    </row>
    <row r="2254" spans="2:4">
      <c r="B2254" s="4"/>
      <c r="D2254"/>
    </row>
    <row r="2255" spans="2:4">
      <c r="B2255" s="4"/>
      <c r="D2255"/>
    </row>
    <row r="2256" spans="2:4">
      <c r="B2256" s="4"/>
      <c r="D2256"/>
    </row>
    <row r="2257" spans="2:4">
      <c r="B2257" s="4"/>
      <c r="D2257"/>
    </row>
    <row r="2258" spans="2:4">
      <c r="B2258" s="4"/>
      <c r="D2258"/>
    </row>
    <row r="2259" spans="2:4">
      <c r="B2259" s="4"/>
      <c r="D2259"/>
    </row>
    <row r="2260" spans="2:4">
      <c r="B2260" s="4"/>
      <c r="D2260"/>
    </row>
    <row r="2261" spans="2:4">
      <c r="B2261" s="4"/>
      <c r="D2261"/>
    </row>
    <row r="2262" spans="2:4">
      <c r="B2262" s="4"/>
      <c r="D2262"/>
    </row>
    <row r="2263" spans="2:4">
      <c r="B2263" s="4"/>
      <c r="D2263"/>
    </row>
    <row r="2264" spans="2:4">
      <c r="B2264" s="4"/>
      <c r="D2264"/>
    </row>
    <row r="2265" spans="2:4">
      <c r="B2265" s="4"/>
      <c r="D2265"/>
    </row>
    <row r="2266" spans="2:4">
      <c r="B2266" s="4"/>
      <c r="D2266"/>
    </row>
    <row r="2267" spans="2:4">
      <c r="B2267" s="4"/>
      <c r="D2267"/>
    </row>
    <row r="2268" spans="2:4">
      <c r="B2268" s="4"/>
      <c r="D2268"/>
    </row>
    <row r="2269" spans="2:4">
      <c r="B2269" s="4"/>
      <c r="D2269"/>
    </row>
    <row r="2270" spans="2:4">
      <c r="B2270" s="4"/>
      <c r="D2270"/>
    </row>
    <row r="2271" spans="2:4">
      <c r="B2271" s="4"/>
      <c r="D2271"/>
    </row>
    <row r="2272" spans="2:4">
      <c r="B2272" s="4"/>
      <c r="D2272"/>
    </row>
    <row r="2273" spans="2:4">
      <c r="B2273" s="4"/>
      <c r="D2273"/>
    </row>
    <row r="2274" spans="2:4">
      <c r="B2274" s="4"/>
      <c r="D2274"/>
    </row>
    <row r="2275" spans="2:4">
      <c r="B2275" s="4"/>
      <c r="D2275"/>
    </row>
    <row r="2276" spans="2:4">
      <c r="B2276" s="4"/>
      <c r="D2276"/>
    </row>
    <row r="2277" spans="2:4">
      <c r="B2277" s="4"/>
      <c r="D2277"/>
    </row>
    <row r="2278" spans="2:4">
      <c r="B2278" s="4"/>
      <c r="D2278"/>
    </row>
    <row r="2279" spans="2:4">
      <c r="B2279" s="4"/>
      <c r="D2279"/>
    </row>
    <row r="2280" spans="2:4">
      <c r="B2280" s="4"/>
      <c r="D2280"/>
    </row>
    <row r="2281" spans="2:4">
      <c r="B2281" s="4"/>
      <c r="D2281"/>
    </row>
    <row r="2282" spans="2:4">
      <c r="B2282" s="4"/>
      <c r="D2282"/>
    </row>
    <row r="2283" spans="2:4">
      <c r="B2283" s="4"/>
      <c r="D2283"/>
    </row>
    <row r="2284" spans="2:4">
      <c r="B2284" s="4"/>
      <c r="D2284"/>
    </row>
    <row r="2285" spans="2:4">
      <c r="B2285" s="4"/>
      <c r="D2285"/>
    </row>
    <row r="2286" spans="2:4">
      <c r="B2286" s="4"/>
      <c r="D2286"/>
    </row>
    <row r="2287" spans="2:4">
      <c r="B2287" s="4"/>
      <c r="D2287"/>
    </row>
    <row r="2288" spans="2:4">
      <c r="B2288" s="4"/>
      <c r="D2288"/>
    </row>
    <row r="2289" spans="2:4">
      <c r="B2289" s="4"/>
      <c r="D2289"/>
    </row>
    <row r="2290" spans="2:4">
      <c r="B2290" s="4"/>
      <c r="D2290"/>
    </row>
    <row r="2291" spans="2:4">
      <c r="B2291" s="4"/>
      <c r="D2291"/>
    </row>
    <row r="2292" spans="2:4">
      <c r="B2292" s="4"/>
      <c r="D2292"/>
    </row>
    <row r="2293" spans="2:4">
      <c r="B2293" s="4"/>
      <c r="D2293"/>
    </row>
    <row r="2294" spans="2:4">
      <c r="B2294" s="4"/>
      <c r="D2294"/>
    </row>
    <row r="2295" spans="2:4">
      <c r="B2295" s="4"/>
      <c r="D2295"/>
    </row>
    <row r="2296" spans="2:4">
      <c r="B2296" s="4"/>
      <c r="D2296"/>
    </row>
    <row r="2297" spans="2:4">
      <c r="B2297" s="4"/>
      <c r="D2297"/>
    </row>
    <row r="2298" spans="2:4">
      <c r="B2298" s="4"/>
      <c r="D2298"/>
    </row>
    <row r="2299" spans="2:4">
      <c r="B2299" s="4"/>
      <c r="D2299"/>
    </row>
    <row r="2300" spans="2:4">
      <c r="B2300" s="4"/>
      <c r="D2300"/>
    </row>
    <row r="2301" spans="2:4">
      <c r="B2301" s="4"/>
      <c r="D2301"/>
    </row>
    <row r="2302" spans="2:4">
      <c r="B2302" s="4"/>
      <c r="D2302"/>
    </row>
    <row r="2303" spans="2:4">
      <c r="B2303" s="4"/>
      <c r="D2303"/>
    </row>
    <row r="2304" spans="2:4">
      <c r="B2304" s="4"/>
      <c r="D2304"/>
    </row>
    <row r="2305" spans="2:4">
      <c r="B2305" s="4"/>
      <c r="D2305"/>
    </row>
    <row r="2306" spans="2:4">
      <c r="B2306" s="4"/>
      <c r="D2306"/>
    </row>
    <row r="2307" spans="2:4">
      <c r="B2307" s="4"/>
      <c r="D2307"/>
    </row>
    <row r="2308" spans="2:4">
      <c r="B2308" s="4"/>
      <c r="D2308"/>
    </row>
    <row r="2309" spans="2:4">
      <c r="B2309" s="4"/>
      <c r="D2309"/>
    </row>
    <row r="2310" spans="2:4">
      <c r="B2310" s="4"/>
      <c r="D2310"/>
    </row>
    <row r="2311" spans="2:4">
      <c r="B2311" s="4"/>
      <c r="D2311"/>
    </row>
    <row r="2312" spans="2:4">
      <c r="B2312" s="4"/>
      <c r="D2312"/>
    </row>
    <row r="2313" spans="2:4">
      <c r="B2313" s="4"/>
      <c r="D2313"/>
    </row>
    <row r="2314" spans="2:4">
      <c r="B2314" s="4"/>
      <c r="D2314"/>
    </row>
    <row r="2315" spans="2:4">
      <c r="B2315" s="4"/>
      <c r="D2315"/>
    </row>
    <row r="2316" spans="2:4">
      <c r="B2316" s="4"/>
      <c r="D2316"/>
    </row>
    <row r="2317" spans="2:4">
      <c r="B2317" s="4"/>
      <c r="D2317"/>
    </row>
    <row r="2318" spans="2:4">
      <c r="B2318" s="4"/>
      <c r="D2318"/>
    </row>
    <row r="2319" spans="2:4">
      <c r="B2319" s="4"/>
      <c r="D2319"/>
    </row>
    <row r="2320" spans="2:4">
      <c r="B2320" s="4"/>
      <c r="D2320"/>
    </row>
    <row r="2321" spans="2:4">
      <c r="B2321" s="4"/>
      <c r="D2321"/>
    </row>
    <row r="2322" spans="2:4">
      <c r="B2322" s="4"/>
      <c r="D2322"/>
    </row>
    <row r="2323" spans="2:4">
      <c r="B2323" s="4"/>
      <c r="D2323"/>
    </row>
    <row r="2324" spans="2:4">
      <c r="B2324" s="4"/>
      <c r="D2324"/>
    </row>
    <row r="2325" spans="2:4">
      <c r="B2325" s="4"/>
      <c r="D2325"/>
    </row>
    <row r="2326" spans="2:4">
      <c r="B2326" s="4"/>
      <c r="D2326"/>
    </row>
    <row r="2327" spans="2:4">
      <c r="B2327" s="4"/>
      <c r="D2327"/>
    </row>
    <row r="2328" spans="2:4">
      <c r="B2328" s="4"/>
      <c r="D2328"/>
    </row>
    <row r="2329" spans="2:4">
      <c r="B2329" s="4"/>
      <c r="D2329"/>
    </row>
    <row r="2330" spans="2:4">
      <c r="B2330" s="4"/>
      <c r="D2330"/>
    </row>
    <row r="2331" spans="2:4">
      <c r="B2331" s="4"/>
      <c r="D2331"/>
    </row>
    <row r="2332" spans="2:4">
      <c r="B2332" s="4"/>
      <c r="D2332"/>
    </row>
    <row r="2333" spans="2:4">
      <c r="B2333" s="4"/>
      <c r="D2333"/>
    </row>
    <row r="2334" spans="2:4">
      <c r="B2334" s="4"/>
      <c r="D2334"/>
    </row>
    <row r="2335" spans="2:4">
      <c r="B2335" s="4"/>
      <c r="D2335"/>
    </row>
    <row r="2336" spans="2:4">
      <c r="B2336" s="4"/>
      <c r="D2336"/>
    </row>
    <row r="2337" spans="2:4">
      <c r="B2337" s="4"/>
      <c r="D2337"/>
    </row>
    <row r="2338" spans="2:4">
      <c r="B2338" s="4"/>
      <c r="D2338"/>
    </row>
    <row r="2339" spans="2:4">
      <c r="B2339" s="4"/>
      <c r="D2339"/>
    </row>
    <row r="2340" spans="2:4">
      <c r="B2340" s="4"/>
      <c r="D2340"/>
    </row>
    <row r="2341" spans="2:4">
      <c r="B2341" s="4"/>
      <c r="D2341"/>
    </row>
    <row r="2342" spans="2:4">
      <c r="B2342" s="4"/>
      <c r="D2342"/>
    </row>
    <row r="2343" spans="2:4">
      <c r="B2343" s="4"/>
      <c r="D2343"/>
    </row>
    <row r="2344" spans="2:4">
      <c r="B2344" s="4"/>
      <c r="D2344"/>
    </row>
    <row r="2345" spans="2:4">
      <c r="B2345" s="4"/>
      <c r="D2345"/>
    </row>
    <row r="2346" spans="2:4">
      <c r="B2346" s="4"/>
      <c r="D2346"/>
    </row>
    <row r="2347" spans="2:4">
      <c r="B2347" s="4"/>
      <c r="D2347"/>
    </row>
    <row r="2348" spans="2:4">
      <c r="B2348" s="4"/>
      <c r="D2348"/>
    </row>
    <row r="2349" spans="2:4">
      <c r="B2349" s="4"/>
      <c r="D2349"/>
    </row>
    <row r="2350" spans="2:4">
      <c r="B2350" s="4"/>
      <c r="D2350"/>
    </row>
    <row r="2351" spans="2:4">
      <c r="B2351" s="4"/>
      <c r="D2351"/>
    </row>
    <row r="2352" spans="2:4">
      <c r="B2352" s="4"/>
      <c r="D2352"/>
    </row>
    <row r="2353" spans="2:4">
      <c r="B2353" s="4"/>
      <c r="D2353"/>
    </row>
    <row r="2354" spans="2:4">
      <c r="B2354" s="4"/>
      <c r="D2354"/>
    </row>
    <row r="2355" spans="2:4">
      <c r="B2355" s="4"/>
      <c r="D2355"/>
    </row>
    <row r="2356" spans="2:4">
      <c r="B2356" s="4"/>
      <c r="D2356"/>
    </row>
    <row r="2357" spans="2:4">
      <c r="B2357" s="4"/>
      <c r="D2357"/>
    </row>
    <row r="2358" spans="2:4">
      <c r="B2358" s="4"/>
      <c r="D2358"/>
    </row>
    <row r="2359" spans="2:4">
      <c r="B2359" s="4"/>
      <c r="D2359"/>
    </row>
    <row r="2360" spans="2:4">
      <c r="B2360" s="4"/>
      <c r="D2360"/>
    </row>
    <row r="2361" spans="2:4">
      <c r="B2361" s="4"/>
      <c r="D2361"/>
    </row>
    <row r="2362" spans="2:4">
      <c r="B2362" s="4"/>
      <c r="D2362"/>
    </row>
    <row r="2363" spans="2:4">
      <c r="B2363" s="4"/>
      <c r="D2363"/>
    </row>
    <row r="2364" spans="2:4">
      <c r="B2364" s="4"/>
      <c r="D2364"/>
    </row>
    <row r="2365" spans="2:4">
      <c r="B2365" s="4"/>
      <c r="D2365"/>
    </row>
    <row r="2366" spans="2:4">
      <c r="B2366" s="4"/>
      <c r="D2366"/>
    </row>
    <row r="2367" spans="2:4">
      <c r="B2367" s="4"/>
      <c r="D2367"/>
    </row>
    <row r="2368" spans="2:4">
      <c r="B2368" s="4"/>
      <c r="D2368"/>
    </row>
    <row r="2369" spans="2:4">
      <c r="B2369" s="4"/>
      <c r="D2369"/>
    </row>
    <row r="2370" spans="2:4">
      <c r="B2370" s="4"/>
      <c r="D2370"/>
    </row>
    <row r="2371" spans="2:4">
      <c r="B2371" s="4"/>
      <c r="D2371"/>
    </row>
    <row r="2372" spans="2:4">
      <c r="B2372" s="4"/>
      <c r="D2372"/>
    </row>
    <row r="2373" spans="2:4">
      <c r="B2373" s="4"/>
      <c r="D2373"/>
    </row>
    <row r="2374" spans="2:4">
      <c r="B2374" s="4"/>
      <c r="D2374"/>
    </row>
    <row r="2375" spans="2:4">
      <c r="B2375" s="4"/>
      <c r="D2375"/>
    </row>
    <row r="2376" spans="2:4">
      <c r="B2376" s="4"/>
      <c r="D2376"/>
    </row>
    <row r="2377" spans="2:4">
      <c r="B2377" s="4"/>
      <c r="D2377"/>
    </row>
    <row r="2378" spans="2:4">
      <c r="B2378" s="4"/>
      <c r="D2378"/>
    </row>
    <row r="2379" spans="2:4">
      <c r="B2379" s="4"/>
      <c r="D2379"/>
    </row>
    <row r="2380" spans="2:4">
      <c r="B2380" s="4"/>
      <c r="D2380"/>
    </row>
    <row r="2381" spans="2:4">
      <c r="B2381" s="4"/>
      <c r="D2381"/>
    </row>
    <row r="2382" spans="2:4">
      <c r="B2382" s="4"/>
      <c r="D2382"/>
    </row>
    <row r="2383" spans="2:4">
      <c r="B2383" s="4"/>
      <c r="D2383"/>
    </row>
    <row r="2384" spans="2:4">
      <c r="B2384" s="4"/>
      <c r="D2384"/>
    </row>
    <row r="2385" spans="2:4">
      <c r="B2385" s="4"/>
      <c r="D2385"/>
    </row>
    <row r="2386" spans="2:4">
      <c r="B2386" s="4"/>
      <c r="D2386"/>
    </row>
    <row r="2387" spans="2:4">
      <c r="B2387" s="4"/>
      <c r="D2387"/>
    </row>
    <row r="2388" spans="2:4">
      <c r="B2388" s="4"/>
      <c r="D2388"/>
    </row>
    <row r="2389" spans="2:4">
      <c r="B2389" s="4"/>
      <c r="D2389"/>
    </row>
    <row r="2390" spans="2:4">
      <c r="B2390" s="4"/>
      <c r="D2390"/>
    </row>
    <row r="2391" spans="2:4">
      <c r="B2391" s="4"/>
      <c r="D2391"/>
    </row>
    <row r="2392" spans="2:4">
      <c r="B2392" s="4"/>
      <c r="D2392"/>
    </row>
    <row r="2393" spans="2:4">
      <c r="B2393" s="4"/>
      <c r="D2393"/>
    </row>
    <row r="2394" spans="2:4">
      <c r="B2394" s="4"/>
      <c r="D2394"/>
    </row>
    <row r="2395" spans="2:4">
      <c r="B2395" s="4"/>
      <c r="D2395"/>
    </row>
    <row r="2396" spans="2:4">
      <c r="B2396" s="4"/>
      <c r="D2396"/>
    </row>
    <row r="2397" spans="2:4">
      <c r="B2397" s="4"/>
      <c r="D2397"/>
    </row>
    <row r="2398" spans="2:4">
      <c r="B2398" s="4"/>
      <c r="D2398"/>
    </row>
    <row r="2399" spans="2:4">
      <c r="B2399" s="4"/>
      <c r="D2399"/>
    </row>
    <row r="2400" spans="2:4">
      <c r="B2400" s="4"/>
      <c r="D2400"/>
    </row>
    <row r="2401" spans="2:4">
      <c r="B2401" s="4"/>
      <c r="D2401"/>
    </row>
    <row r="2402" spans="2:4">
      <c r="B2402" s="4"/>
      <c r="D2402"/>
    </row>
    <row r="2403" spans="2:4">
      <c r="B2403" s="4"/>
      <c r="D2403"/>
    </row>
    <row r="2404" spans="2:4">
      <c r="B2404" s="4"/>
      <c r="D2404"/>
    </row>
    <row r="2405" spans="2:4">
      <c r="B2405" s="4"/>
      <c r="D2405"/>
    </row>
    <row r="2406" spans="2:4">
      <c r="B2406" s="4"/>
      <c r="D2406"/>
    </row>
    <row r="2407" spans="2:4">
      <c r="B2407" s="4"/>
      <c r="D2407"/>
    </row>
    <row r="2408" spans="2:4">
      <c r="B2408" s="4"/>
      <c r="D2408"/>
    </row>
    <row r="2409" spans="2:4">
      <c r="B2409" s="4"/>
      <c r="D2409"/>
    </row>
    <row r="2410" spans="2:4">
      <c r="B2410" s="4"/>
      <c r="D2410"/>
    </row>
    <row r="2411" spans="2:4">
      <c r="B2411" s="4"/>
      <c r="D2411"/>
    </row>
    <row r="2412" spans="2:4">
      <c r="B2412" s="4"/>
      <c r="D2412"/>
    </row>
    <row r="2413" spans="2:4">
      <c r="B2413" s="4"/>
      <c r="D2413"/>
    </row>
    <row r="2414" spans="2:4">
      <c r="B2414" s="4"/>
      <c r="D2414"/>
    </row>
    <row r="2415" spans="2:4">
      <c r="B2415" s="4"/>
      <c r="D2415"/>
    </row>
    <row r="2416" spans="2:4">
      <c r="B2416" s="4"/>
      <c r="D2416"/>
    </row>
    <row r="2417" spans="2:4">
      <c r="B2417" s="4"/>
      <c r="D2417"/>
    </row>
    <row r="2418" spans="2:4">
      <c r="B2418" s="4"/>
      <c r="D2418"/>
    </row>
    <row r="2419" spans="2:4">
      <c r="B2419" s="4"/>
      <c r="D2419"/>
    </row>
    <row r="2420" spans="2:4">
      <c r="B2420" s="4"/>
      <c r="D2420"/>
    </row>
    <row r="2421" spans="2:4">
      <c r="B2421" s="4"/>
      <c r="D2421"/>
    </row>
    <row r="2422" spans="2:4">
      <c r="B2422" s="4"/>
      <c r="D2422"/>
    </row>
    <row r="2423" spans="2:4">
      <c r="B2423" s="4"/>
      <c r="D2423"/>
    </row>
    <row r="2424" spans="2:4">
      <c r="B2424" s="4"/>
      <c r="D2424"/>
    </row>
    <row r="2425" spans="2:4">
      <c r="B2425" s="4"/>
      <c r="D2425"/>
    </row>
    <row r="2426" spans="2:4">
      <c r="B2426" s="4"/>
      <c r="D2426"/>
    </row>
    <row r="2427" spans="2:4">
      <c r="B2427" s="4"/>
      <c r="D2427"/>
    </row>
    <row r="2428" spans="2:4">
      <c r="B2428" s="4"/>
      <c r="D2428"/>
    </row>
    <row r="2429" spans="2:4">
      <c r="B2429" s="4"/>
      <c r="D2429"/>
    </row>
    <row r="2430" spans="2:4">
      <c r="B2430" s="4"/>
      <c r="D2430"/>
    </row>
    <row r="2431" spans="2:4">
      <c r="B2431" s="4"/>
      <c r="D2431"/>
    </row>
    <row r="2432" spans="2:4">
      <c r="B2432" s="4"/>
      <c r="D2432"/>
    </row>
    <row r="2433" spans="2:4">
      <c r="B2433" s="4"/>
      <c r="D2433"/>
    </row>
    <row r="2434" spans="2:4">
      <c r="B2434" s="4"/>
      <c r="D2434"/>
    </row>
    <row r="2435" spans="2:4">
      <c r="B2435" s="4"/>
      <c r="D2435"/>
    </row>
    <row r="2436" spans="2:4">
      <c r="B2436" s="4"/>
      <c r="D2436"/>
    </row>
    <row r="2437" spans="2:4">
      <c r="B2437" s="4"/>
      <c r="D2437"/>
    </row>
    <row r="2438" spans="2:4">
      <c r="B2438" s="4"/>
      <c r="D2438"/>
    </row>
    <row r="2439" spans="2:4">
      <c r="B2439" s="4"/>
      <c r="D2439"/>
    </row>
    <row r="2440" spans="2:4">
      <c r="B2440" s="4"/>
      <c r="D2440"/>
    </row>
    <row r="2441" spans="2:4">
      <c r="B2441" s="4"/>
      <c r="D2441"/>
    </row>
    <row r="2442" spans="2:4">
      <c r="B2442" s="4"/>
      <c r="D2442"/>
    </row>
    <row r="2443" spans="2:4">
      <c r="B2443" s="4"/>
      <c r="D2443"/>
    </row>
    <row r="2444" spans="2:4">
      <c r="B2444" s="4"/>
      <c r="D2444"/>
    </row>
    <row r="2445" spans="2:4">
      <c r="B2445" s="4"/>
      <c r="D2445"/>
    </row>
    <row r="2446" spans="2:4">
      <c r="B2446" s="4"/>
      <c r="D2446"/>
    </row>
    <row r="2447" spans="2:4">
      <c r="B2447" s="4"/>
      <c r="D2447"/>
    </row>
    <row r="2448" spans="2:4">
      <c r="B2448" s="4"/>
      <c r="D2448"/>
    </row>
    <row r="2449" spans="2:4">
      <c r="B2449" s="4"/>
      <c r="D2449"/>
    </row>
    <row r="2450" spans="2:4">
      <c r="B2450" s="4"/>
      <c r="D2450"/>
    </row>
    <row r="2451" spans="2:4">
      <c r="B2451" s="4"/>
      <c r="D2451"/>
    </row>
    <row r="2452" spans="2:4">
      <c r="B2452" s="4"/>
      <c r="D2452"/>
    </row>
    <row r="2453" spans="2:4">
      <c r="B2453" s="4"/>
      <c r="D2453"/>
    </row>
    <row r="2454" spans="2:4">
      <c r="B2454" s="4"/>
      <c r="D2454"/>
    </row>
    <row r="2455" spans="2:4">
      <c r="B2455" s="4"/>
      <c r="D2455"/>
    </row>
    <row r="2456" spans="2:4">
      <c r="B2456" s="4"/>
      <c r="D2456"/>
    </row>
    <row r="2457" spans="2:4">
      <c r="B2457" s="4"/>
      <c r="D2457"/>
    </row>
    <row r="2458" spans="2:4">
      <c r="B2458" s="4"/>
      <c r="D2458"/>
    </row>
    <row r="2459" spans="2:4">
      <c r="B2459" s="4"/>
      <c r="D2459"/>
    </row>
    <row r="2460" spans="2:4">
      <c r="B2460" s="4"/>
      <c r="D2460"/>
    </row>
    <row r="2461" spans="2:4">
      <c r="B2461" s="4"/>
      <c r="D2461"/>
    </row>
    <row r="2462" spans="2:4">
      <c r="B2462" s="4"/>
      <c r="D2462"/>
    </row>
    <row r="2463" spans="2:4">
      <c r="B2463" s="4"/>
      <c r="D2463"/>
    </row>
    <row r="2464" spans="2:4">
      <c r="B2464" s="4"/>
      <c r="D2464"/>
    </row>
    <row r="2465" spans="2:4">
      <c r="B2465" s="4"/>
      <c r="D2465"/>
    </row>
    <row r="2466" spans="2:4">
      <c r="B2466" s="4"/>
      <c r="D2466"/>
    </row>
    <row r="2467" spans="2:4">
      <c r="B2467" s="4"/>
      <c r="D2467"/>
    </row>
    <row r="2468" spans="2:4">
      <c r="B2468" s="4"/>
      <c r="D2468"/>
    </row>
    <row r="2469" spans="2:4">
      <c r="B2469" s="4"/>
      <c r="D2469"/>
    </row>
    <row r="2470" spans="2:4">
      <c r="B2470" s="4"/>
      <c r="D2470"/>
    </row>
    <row r="2471" spans="2:4">
      <c r="B2471" s="4"/>
      <c r="D2471"/>
    </row>
    <row r="2472" spans="2:4">
      <c r="B2472" s="4"/>
      <c r="D2472"/>
    </row>
    <row r="2473" spans="2:4">
      <c r="B2473" s="4"/>
      <c r="D2473"/>
    </row>
    <row r="2474" spans="2:4">
      <c r="B2474" s="4"/>
      <c r="D2474"/>
    </row>
    <row r="2475" spans="2:4">
      <c r="B2475" s="4"/>
      <c r="D2475"/>
    </row>
    <row r="2476" spans="2:4">
      <c r="B2476" s="4"/>
      <c r="D2476"/>
    </row>
    <row r="2477" spans="2:4">
      <c r="B2477" s="4"/>
      <c r="D2477"/>
    </row>
    <row r="2478" spans="2:4">
      <c r="B2478" s="4"/>
      <c r="D2478"/>
    </row>
    <row r="2479" spans="2:4">
      <c r="B2479" s="4"/>
      <c r="D2479"/>
    </row>
    <row r="2480" spans="2:4">
      <c r="B2480" s="4"/>
      <c r="D2480"/>
    </row>
    <row r="2481" spans="2:4">
      <c r="B2481" s="4"/>
      <c r="D2481"/>
    </row>
    <row r="2482" spans="2:4">
      <c r="B2482" s="4"/>
      <c r="D2482"/>
    </row>
    <row r="2483" spans="2:4">
      <c r="B2483" s="4"/>
      <c r="D2483"/>
    </row>
    <row r="2484" spans="2:4">
      <c r="B2484" s="4"/>
      <c r="D2484"/>
    </row>
    <row r="2485" spans="2:4">
      <c r="B2485" s="4"/>
      <c r="D2485"/>
    </row>
    <row r="2486" spans="2:4">
      <c r="B2486" s="4"/>
      <c r="D2486"/>
    </row>
    <row r="2487" spans="2:4">
      <c r="B2487" s="4"/>
      <c r="D2487"/>
    </row>
    <row r="2488" spans="2:4">
      <c r="B2488" s="4"/>
      <c r="D2488"/>
    </row>
    <row r="2489" spans="2:4">
      <c r="B2489" s="4"/>
      <c r="D2489"/>
    </row>
    <row r="2490" spans="2:4">
      <c r="B2490" s="4"/>
      <c r="D2490"/>
    </row>
    <row r="2491" spans="2:4">
      <c r="B2491" s="4"/>
      <c r="D2491"/>
    </row>
    <row r="2492" spans="2:4">
      <c r="B2492" s="4"/>
      <c r="D2492"/>
    </row>
    <row r="2493" spans="2:4">
      <c r="B2493" s="4"/>
      <c r="D2493"/>
    </row>
    <row r="2494" spans="2:4">
      <c r="B2494" s="4"/>
      <c r="D2494"/>
    </row>
    <row r="2495" spans="2:4">
      <c r="B2495" s="4"/>
      <c r="D2495"/>
    </row>
    <row r="2496" spans="2:4">
      <c r="B2496" s="4"/>
      <c r="D2496"/>
    </row>
    <row r="2497" spans="2:4">
      <c r="B2497" s="4"/>
      <c r="D2497"/>
    </row>
    <row r="2498" spans="2:4">
      <c r="B2498" s="4"/>
      <c r="D2498"/>
    </row>
    <row r="2499" spans="2:4">
      <c r="B2499" s="4"/>
      <c r="D2499"/>
    </row>
    <row r="2500" spans="2:4">
      <c r="B2500" s="4"/>
      <c r="D2500"/>
    </row>
    <row r="2501" spans="2:4">
      <c r="B2501" s="4"/>
      <c r="D2501"/>
    </row>
    <row r="2502" spans="2:4">
      <c r="B2502" s="4"/>
      <c r="D2502"/>
    </row>
    <row r="2503" spans="2:4">
      <c r="B2503" s="4"/>
      <c r="D2503"/>
    </row>
    <row r="2504" spans="2:4">
      <c r="B2504" s="4"/>
      <c r="D2504"/>
    </row>
    <row r="2505" spans="2:4">
      <c r="B2505" s="4"/>
      <c r="D2505"/>
    </row>
    <row r="2506" spans="2:4">
      <c r="B2506" s="4"/>
      <c r="D2506"/>
    </row>
    <row r="2507" spans="2:4">
      <c r="B2507" s="4"/>
      <c r="D2507"/>
    </row>
    <row r="2508" spans="2:4">
      <c r="B2508" s="4"/>
      <c r="D2508"/>
    </row>
    <row r="2509" spans="2:4">
      <c r="B2509" s="4"/>
      <c r="D2509"/>
    </row>
    <row r="2510" spans="2:4">
      <c r="B2510" s="4"/>
      <c r="D2510"/>
    </row>
    <row r="2511" spans="2:4">
      <c r="B2511" s="4"/>
      <c r="D2511"/>
    </row>
    <row r="2512" spans="2:4">
      <c r="B2512" s="4"/>
      <c r="D2512"/>
    </row>
    <row r="2513" spans="2:4">
      <c r="B2513" s="4"/>
      <c r="D2513"/>
    </row>
    <row r="2514" spans="2:4">
      <c r="B2514" s="4"/>
      <c r="D2514"/>
    </row>
    <row r="2515" spans="2:4">
      <c r="B2515" s="4"/>
      <c r="D2515"/>
    </row>
    <row r="2516" spans="2:4">
      <c r="B2516" s="4"/>
      <c r="D2516"/>
    </row>
    <row r="2517" spans="2:4">
      <c r="B2517" s="4"/>
      <c r="D2517"/>
    </row>
    <row r="2518" spans="2:4">
      <c r="B2518" s="4"/>
      <c r="D2518"/>
    </row>
    <row r="2519" spans="2:4">
      <c r="B2519" s="4"/>
      <c r="D2519"/>
    </row>
    <row r="2520" spans="2:4">
      <c r="B2520" s="4"/>
      <c r="D2520"/>
    </row>
    <row r="2521" spans="2:4">
      <c r="B2521" s="4"/>
      <c r="D2521"/>
    </row>
    <row r="2522" spans="2:4">
      <c r="B2522" s="4"/>
      <c r="D2522"/>
    </row>
    <row r="2523" spans="2:4">
      <c r="B2523" s="4"/>
      <c r="D2523"/>
    </row>
    <row r="2524" spans="2:4">
      <c r="B2524" s="4"/>
      <c r="D2524"/>
    </row>
    <row r="2525" spans="2:4">
      <c r="B2525" s="4"/>
      <c r="D2525"/>
    </row>
    <row r="2526" spans="2:4">
      <c r="B2526" s="4"/>
      <c r="D2526"/>
    </row>
    <row r="2527" spans="2:4">
      <c r="B2527" s="4"/>
      <c r="D2527"/>
    </row>
    <row r="2528" spans="2:4">
      <c r="B2528" s="4"/>
      <c r="D2528"/>
    </row>
    <row r="2529" spans="2:4">
      <c r="B2529" s="4"/>
      <c r="D2529"/>
    </row>
    <row r="2530" spans="2:4">
      <c r="B2530" s="4"/>
      <c r="D2530"/>
    </row>
    <row r="2531" spans="2:4">
      <c r="B2531" s="4"/>
      <c r="D2531"/>
    </row>
    <row r="2532" spans="2:4">
      <c r="B2532" s="4"/>
      <c r="D2532"/>
    </row>
    <row r="2533" spans="2:4">
      <c r="B2533" s="4"/>
      <c r="D2533"/>
    </row>
    <row r="2534" spans="2:4">
      <c r="B2534" s="4"/>
      <c r="D2534"/>
    </row>
    <row r="2535" spans="2:4">
      <c r="B2535" s="4"/>
      <c r="D2535"/>
    </row>
    <row r="2536" spans="2:4">
      <c r="B2536" s="4"/>
      <c r="D2536"/>
    </row>
    <row r="2537" spans="2:4">
      <c r="B2537" s="4"/>
      <c r="D2537"/>
    </row>
    <row r="2538" spans="2:4">
      <c r="B2538" s="4"/>
      <c r="D2538"/>
    </row>
    <row r="2539" spans="2:4">
      <c r="B2539" s="4"/>
      <c r="D2539"/>
    </row>
    <row r="2540" spans="2:4">
      <c r="B2540" s="4"/>
      <c r="D2540"/>
    </row>
    <row r="2541" spans="2:4">
      <c r="B2541" s="4"/>
      <c r="D2541"/>
    </row>
    <row r="2542" spans="2:4">
      <c r="B2542" s="4"/>
      <c r="D2542"/>
    </row>
    <row r="2543" spans="2:4">
      <c r="B2543" s="4"/>
      <c r="D2543"/>
    </row>
    <row r="2544" spans="2:4">
      <c r="B2544" s="4"/>
      <c r="D2544"/>
    </row>
    <row r="2545" spans="2:4">
      <c r="B2545" s="4"/>
      <c r="D2545"/>
    </row>
    <row r="2546" spans="2:4">
      <c r="B2546" s="4"/>
      <c r="D2546"/>
    </row>
    <row r="2547" spans="2:4">
      <c r="B2547" s="4"/>
      <c r="D2547"/>
    </row>
    <row r="2548" spans="2:4">
      <c r="B2548" s="4"/>
      <c r="D2548"/>
    </row>
    <row r="2549" spans="2:4">
      <c r="B2549" s="4"/>
      <c r="D2549"/>
    </row>
    <row r="2550" spans="2:4">
      <c r="B2550" s="4"/>
      <c r="D2550"/>
    </row>
    <row r="2551" spans="2:4">
      <c r="B2551" s="4"/>
      <c r="D2551"/>
    </row>
    <row r="2552" spans="2:4">
      <c r="B2552" s="4"/>
      <c r="D2552"/>
    </row>
    <row r="2553" spans="2:4">
      <c r="B2553" s="4"/>
      <c r="D2553"/>
    </row>
    <row r="2554" spans="2:4">
      <c r="B2554" s="4"/>
      <c r="D2554"/>
    </row>
    <row r="2555" spans="2:4">
      <c r="B2555" s="4"/>
      <c r="D2555"/>
    </row>
    <row r="2556" spans="2:4">
      <c r="B2556" s="4"/>
      <c r="D2556"/>
    </row>
    <row r="2557" spans="2:4">
      <c r="B2557" s="4"/>
      <c r="D2557"/>
    </row>
    <row r="2558" spans="2:4">
      <c r="B2558" s="4"/>
      <c r="D2558"/>
    </row>
    <row r="2559" spans="2:4">
      <c r="B2559" s="4"/>
      <c r="D2559"/>
    </row>
    <row r="2560" spans="2:4">
      <c r="B2560" s="4"/>
      <c r="D2560"/>
    </row>
    <row r="2561" spans="2:4">
      <c r="B2561" s="4"/>
      <c r="D2561"/>
    </row>
    <row r="2562" spans="2:4">
      <c r="B2562" s="4"/>
      <c r="D2562"/>
    </row>
    <row r="2563" spans="2:4">
      <c r="B2563" s="4"/>
      <c r="D2563"/>
    </row>
    <row r="2564" spans="2:4">
      <c r="B2564" s="4"/>
      <c r="D2564"/>
    </row>
    <row r="2565" spans="2:4">
      <c r="B2565" s="4"/>
      <c r="D2565"/>
    </row>
    <row r="2566" spans="2:4">
      <c r="B2566" s="4"/>
      <c r="D2566"/>
    </row>
    <row r="2567" spans="2:4">
      <c r="B2567" s="4"/>
      <c r="D2567"/>
    </row>
    <row r="2568" spans="2:4">
      <c r="B2568" s="4"/>
      <c r="D2568"/>
    </row>
    <row r="2569" spans="2:4">
      <c r="B2569" s="4"/>
      <c r="D2569"/>
    </row>
    <row r="2570" spans="2:4">
      <c r="B2570" s="4"/>
      <c r="D2570"/>
    </row>
    <row r="2571" spans="2:4">
      <c r="B2571" s="4"/>
      <c r="D2571"/>
    </row>
    <row r="2572" spans="2:4">
      <c r="B2572" s="4"/>
      <c r="D2572"/>
    </row>
    <row r="2573" spans="2:4">
      <c r="B2573" s="4"/>
      <c r="D2573"/>
    </row>
    <row r="2574" spans="2:4">
      <c r="B2574" s="4"/>
      <c r="D2574"/>
    </row>
    <row r="2575" spans="2:4">
      <c r="B2575" s="4"/>
      <c r="D2575"/>
    </row>
    <row r="2576" spans="2:4">
      <c r="B2576" s="4"/>
      <c r="D2576"/>
    </row>
    <row r="2577" spans="2:4">
      <c r="B2577" s="4"/>
      <c r="D2577"/>
    </row>
    <row r="2578" spans="2:4">
      <c r="B2578" s="4"/>
      <c r="D2578"/>
    </row>
    <row r="2579" spans="2:4">
      <c r="B2579" s="4"/>
      <c r="D2579"/>
    </row>
    <row r="2580" spans="2:4">
      <c r="B2580" s="4"/>
      <c r="D2580"/>
    </row>
    <row r="2581" spans="2:4">
      <c r="B2581" s="4"/>
      <c r="D2581"/>
    </row>
    <row r="2582" spans="2:4">
      <c r="B2582" s="4"/>
      <c r="D2582"/>
    </row>
    <row r="2583" spans="2:4">
      <c r="B2583" s="4"/>
      <c r="D2583"/>
    </row>
    <row r="2584" spans="2:4">
      <c r="B2584" s="4"/>
      <c r="D2584"/>
    </row>
    <row r="2585" spans="2:4">
      <c r="B2585" s="4"/>
      <c r="D2585"/>
    </row>
    <row r="2586" spans="2:4">
      <c r="B2586" s="4"/>
      <c r="D2586"/>
    </row>
    <row r="2587" spans="2:4">
      <c r="B2587" s="4"/>
      <c r="D2587"/>
    </row>
    <row r="2588" spans="2:4">
      <c r="B2588" s="4"/>
      <c r="D2588"/>
    </row>
    <row r="2589" spans="2:4">
      <c r="B2589" s="4"/>
      <c r="D2589"/>
    </row>
    <row r="2590" spans="2:4">
      <c r="B2590" s="4"/>
      <c r="D2590"/>
    </row>
    <row r="2591" spans="2:4">
      <c r="B2591" s="4"/>
      <c r="D2591"/>
    </row>
    <row r="2592" spans="2:4">
      <c r="B2592" s="4"/>
      <c r="D2592"/>
    </row>
    <row r="2593" spans="2:4">
      <c r="B2593" s="4"/>
      <c r="D2593"/>
    </row>
    <row r="2594" spans="2:4">
      <c r="B2594" s="4"/>
      <c r="D2594"/>
    </row>
    <row r="2595" spans="2:4">
      <c r="B2595" s="4"/>
      <c r="D2595"/>
    </row>
    <row r="2596" spans="2:4">
      <c r="B2596" s="4"/>
      <c r="D2596"/>
    </row>
    <row r="2597" spans="2:4">
      <c r="B2597" s="4"/>
      <c r="D2597"/>
    </row>
    <row r="2598" spans="2:4">
      <c r="B2598" s="4"/>
      <c r="D2598"/>
    </row>
    <row r="2599" spans="2:4">
      <c r="B2599" s="4"/>
      <c r="D2599"/>
    </row>
    <row r="2600" spans="2:4">
      <c r="B2600" s="4"/>
      <c r="D2600"/>
    </row>
    <row r="2601" spans="2:4">
      <c r="B2601" s="4"/>
      <c r="D2601"/>
    </row>
    <row r="2602" spans="2:4">
      <c r="B2602" s="4"/>
      <c r="D2602"/>
    </row>
    <row r="2603" spans="2:4">
      <c r="B2603" s="4"/>
      <c r="D2603"/>
    </row>
    <row r="2604" spans="2:4">
      <c r="B2604" s="4"/>
      <c r="D2604"/>
    </row>
    <row r="2605" spans="2:4">
      <c r="B2605" s="4"/>
      <c r="D2605"/>
    </row>
    <row r="2606" spans="2:4">
      <c r="B2606" s="4"/>
      <c r="D2606"/>
    </row>
    <row r="2607" spans="2:4">
      <c r="B2607" s="4"/>
      <c r="D2607"/>
    </row>
    <row r="2608" spans="2:4">
      <c r="B2608" s="4"/>
      <c r="D2608"/>
    </row>
    <row r="2609" spans="2:4">
      <c r="B2609" s="4"/>
      <c r="D2609"/>
    </row>
    <row r="2610" spans="2:4">
      <c r="B2610" s="4"/>
      <c r="D2610"/>
    </row>
    <row r="2611" spans="2:4">
      <c r="B2611" s="4"/>
      <c r="D2611"/>
    </row>
    <row r="2612" spans="2:4">
      <c r="B2612" s="4"/>
      <c r="D2612"/>
    </row>
    <row r="2613" spans="2:4">
      <c r="B2613" s="4"/>
      <c r="D2613"/>
    </row>
    <row r="2614" spans="2:4">
      <c r="B2614" s="4"/>
      <c r="D2614"/>
    </row>
    <row r="2615" spans="2:4">
      <c r="B2615" s="4"/>
      <c r="D2615"/>
    </row>
    <row r="2616" spans="2:4">
      <c r="B2616" s="4"/>
      <c r="D2616"/>
    </row>
    <row r="2617" spans="2:4">
      <c r="B2617" s="4"/>
      <c r="D2617"/>
    </row>
    <row r="2618" spans="2:4">
      <c r="B2618" s="4"/>
      <c r="D2618"/>
    </row>
    <row r="2619" spans="2:4">
      <c r="B2619" s="4"/>
      <c r="D2619"/>
    </row>
    <row r="2620" spans="2:4">
      <c r="B2620" s="4"/>
      <c r="D2620"/>
    </row>
    <row r="2621" spans="2:4">
      <c r="B2621" s="4"/>
      <c r="D2621"/>
    </row>
    <row r="2622" spans="2:4">
      <c r="B2622" s="4"/>
      <c r="D2622"/>
    </row>
    <row r="2623" spans="2:4">
      <c r="B2623" s="4"/>
      <c r="D2623"/>
    </row>
    <row r="2624" spans="2:4">
      <c r="B2624" s="4"/>
      <c r="D2624"/>
    </row>
    <row r="2625" spans="2:4">
      <c r="B2625" s="4"/>
      <c r="D2625"/>
    </row>
    <row r="2626" spans="2:4">
      <c r="B2626" s="4"/>
      <c r="D2626"/>
    </row>
    <row r="2627" spans="2:4">
      <c r="B2627" s="4"/>
      <c r="D2627"/>
    </row>
    <row r="2628" spans="2:4">
      <c r="B2628" s="4"/>
      <c r="D2628"/>
    </row>
    <row r="2629" spans="2:4">
      <c r="B2629" s="4"/>
      <c r="D2629"/>
    </row>
    <row r="2630" spans="2:4">
      <c r="B2630" s="4"/>
      <c r="D2630"/>
    </row>
    <row r="2631" spans="2:4">
      <c r="B2631" s="4"/>
      <c r="D2631"/>
    </row>
    <row r="2632" spans="2:4">
      <c r="B2632" s="4"/>
      <c r="D2632"/>
    </row>
    <row r="2633" spans="2:4">
      <c r="B2633" s="4"/>
      <c r="D2633"/>
    </row>
    <row r="2634" spans="2:4">
      <c r="B2634" s="4"/>
      <c r="D2634"/>
    </row>
    <row r="2635" spans="2:4">
      <c r="B2635" s="4"/>
      <c r="D2635"/>
    </row>
    <row r="2636" spans="2:4">
      <c r="B2636" s="4"/>
      <c r="D2636"/>
    </row>
    <row r="2637" spans="2:4">
      <c r="B2637" s="4"/>
      <c r="D2637"/>
    </row>
    <row r="2638" spans="2:4">
      <c r="B2638" s="4"/>
      <c r="D2638"/>
    </row>
    <row r="2639" spans="2:4">
      <c r="B2639" s="4"/>
      <c r="D2639"/>
    </row>
    <row r="2640" spans="2:4">
      <c r="B2640" s="4"/>
      <c r="D2640"/>
    </row>
    <row r="2641" spans="2:4">
      <c r="B2641" s="4"/>
      <c r="D2641"/>
    </row>
    <row r="2642" spans="2:4">
      <c r="B2642" s="4"/>
      <c r="D2642"/>
    </row>
    <row r="2643" spans="2:4">
      <c r="B2643" s="4"/>
      <c r="D2643"/>
    </row>
    <row r="2644" spans="2:4">
      <c r="B2644" s="4"/>
      <c r="D2644"/>
    </row>
    <row r="2645" spans="2:4">
      <c r="B2645" s="4"/>
      <c r="D2645"/>
    </row>
    <row r="2646" spans="2:4">
      <c r="B2646" s="4"/>
      <c r="D2646"/>
    </row>
    <row r="2647" spans="2:4">
      <c r="B2647" s="4"/>
      <c r="D2647"/>
    </row>
    <row r="2648" spans="2:4">
      <c r="B2648" s="4"/>
      <c r="D2648"/>
    </row>
    <row r="2649" spans="2:4">
      <c r="B2649" s="4"/>
      <c r="D2649"/>
    </row>
    <row r="2650" spans="2:4">
      <c r="B2650" s="4"/>
      <c r="D2650"/>
    </row>
    <row r="2651" spans="2:4">
      <c r="B2651" s="4"/>
      <c r="D2651"/>
    </row>
    <row r="2652" spans="2:4">
      <c r="B2652" s="4"/>
      <c r="D2652"/>
    </row>
    <row r="2653" spans="2:4">
      <c r="B2653" s="4"/>
      <c r="D2653"/>
    </row>
    <row r="2654" spans="2:4">
      <c r="B2654" s="4"/>
      <c r="D2654"/>
    </row>
    <row r="2655" spans="2:4">
      <c r="B2655" s="4"/>
      <c r="D2655"/>
    </row>
    <row r="2656" spans="2:4">
      <c r="B2656" s="4"/>
      <c r="D2656"/>
    </row>
    <row r="2657" spans="2:4">
      <c r="B2657" s="4"/>
      <c r="D2657"/>
    </row>
    <row r="2658" spans="2:4">
      <c r="B2658" s="4"/>
      <c r="D2658"/>
    </row>
    <row r="2659" spans="2:4">
      <c r="B2659" s="4"/>
      <c r="D2659"/>
    </row>
    <row r="2660" spans="2:4">
      <c r="B2660" s="4"/>
      <c r="D2660"/>
    </row>
    <row r="2661" spans="2:4">
      <c r="B2661" s="4"/>
      <c r="D2661"/>
    </row>
    <row r="2662" spans="2:4">
      <c r="B2662" s="4"/>
      <c r="D2662"/>
    </row>
    <row r="2663" spans="2:4">
      <c r="B2663" s="4"/>
      <c r="D2663"/>
    </row>
    <row r="2664" spans="2:4">
      <c r="B2664" s="4"/>
      <c r="D2664"/>
    </row>
    <row r="2665" spans="2:4">
      <c r="B2665" s="4"/>
      <c r="D2665"/>
    </row>
    <row r="2666" spans="2:4">
      <c r="B2666" s="4"/>
      <c r="D2666"/>
    </row>
    <row r="2667" spans="2:4">
      <c r="B2667" s="4"/>
      <c r="D2667"/>
    </row>
    <row r="2668" spans="2:4">
      <c r="B2668" s="4"/>
      <c r="D2668"/>
    </row>
    <row r="2669" spans="2:4">
      <c r="B2669" s="4"/>
      <c r="D2669"/>
    </row>
    <row r="2670" spans="2:4">
      <c r="B2670" s="4"/>
      <c r="D2670"/>
    </row>
    <row r="2671" spans="2:4">
      <c r="B2671" s="4"/>
      <c r="D2671"/>
    </row>
    <row r="2672" spans="2:4">
      <c r="B2672" s="4"/>
      <c r="D2672"/>
    </row>
    <row r="2673" spans="2:4">
      <c r="B2673" s="4"/>
      <c r="D2673"/>
    </row>
    <row r="2674" spans="2:4">
      <c r="B2674" s="4"/>
      <c r="D2674"/>
    </row>
    <row r="2675" spans="2:4">
      <c r="B2675" s="4"/>
      <c r="D2675"/>
    </row>
    <row r="2676" spans="2:4">
      <c r="B2676" s="4"/>
      <c r="D2676"/>
    </row>
    <row r="2677" spans="2:4">
      <c r="B2677" s="4"/>
      <c r="D2677"/>
    </row>
    <row r="2678" spans="2:4">
      <c r="B2678" s="4"/>
      <c r="D2678"/>
    </row>
    <row r="2679" spans="2:4">
      <c r="B2679" s="4"/>
      <c r="D2679"/>
    </row>
    <row r="2680" spans="2:4">
      <c r="B2680" s="4"/>
      <c r="D2680"/>
    </row>
    <row r="2681" spans="2:4">
      <c r="B2681" s="4"/>
      <c r="D2681"/>
    </row>
    <row r="2682" spans="2:4">
      <c r="B2682" s="4"/>
      <c r="D2682"/>
    </row>
    <row r="2683" spans="2:4">
      <c r="B2683" s="4"/>
      <c r="D2683"/>
    </row>
    <row r="2684" spans="2:4">
      <c r="B2684" s="4"/>
      <c r="D2684"/>
    </row>
    <row r="2685" spans="2:4">
      <c r="B2685" s="4"/>
      <c r="D2685"/>
    </row>
    <row r="2686" spans="2:4">
      <c r="B2686" s="4"/>
      <c r="D2686"/>
    </row>
    <row r="2687" spans="2:4">
      <c r="B2687" s="4"/>
      <c r="D2687"/>
    </row>
    <row r="2688" spans="2:4">
      <c r="B2688" s="4"/>
      <c r="D2688"/>
    </row>
    <row r="2689" spans="2:4">
      <c r="B2689" s="4"/>
      <c r="D2689"/>
    </row>
    <row r="2690" spans="2:4">
      <c r="B2690" s="4"/>
      <c r="D2690"/>
    </row>
    <row r="2691" spans="2:4">
      <c r="B2691" s="4"/>
      <c r="D2691"/>
    </row>
    <row r="2692" spans="2:4">
      <c r="B2692" s="4"/>
      <c r="D2692"/>
    </row>
    <row r="2693" spans="2:4">
      <c r="B2693" s="4"/>
      <c r="D2693"/>
    </row>
    <row r="2694" spans="2:4">
      <c r="B2694" s="4"/>
      <c r="D2694"/>
    </row>
    <row r="2695" spans="2:4">
      <c r="B2695" s="4"/>
      <c r="D2695"/>
    </row>
    <row r="2696" spans="2:4">
      <c r="B2696" s="4"/>
      <c r="D2696"/>
    </row>
    <row r="2697" spans="2:4">
      <c r="B2697" s="4"/>
      <c r="D2697"/>
    </row>
    <row r="2698" spans="2:4">
      <c r="B2698" s="4"/>
      <c r="D2698"/>
    </row>
    <row r="2699" spans="2:4">
      <c r="B2699" s="4"/>
      <c r="D2699"/>
    </row>
    <row r="2700" spans="2:4">
      <c r="B2700" s="4"/>
      <c r="D2700"/>
    </row>
    <row r="2701" spans="2:4">
      <c r="B2701" s="4"/>
      <c r="D2701"/>
    </row>
    <row r="2702" spans="2:4">
      <c r="B2702" s="4"/>
      <c r="D2702"/>
    </row>
    <row r="2703" spans="2:4">
      <c r="B2703" s="4"/>
      <c r="D2703"/>
    </row>
    <row r="2704" spans="2:4">
      <c r="B2704" s="4"/>
      <c r="D2704"/>
    </row>
    <row r="2705" spans="2:4">
      <c r="B2705" s="4"/>
      <c r="D2705"/>
    </row>
    <row r="2706" spans="2:4">
      <c r="B2706" s="4"/>
      <c r="D2706"/>
    </row>
    <row r="2707" spans="2:4">
      <c r="B2707" s="4"/>
      <c r="D2707"/>
    </row>
    <row r="2708" spans="2:4">
      <c r="B2708" s="4"/>
      <c r="D2708"/>
    </row>
    <row r="2709" spans="2:4">
      <c r="B2709" s="4"/>
      <c r="D2709"/>
    </row>
    <row r="2710" spans="2:4">
      <c r="B2710" s="4"/>
      <c r="D2710"/>
    </row>
    <row r="2711" spans="2:4">
      <c r="B2711" s="4"/>
      <c r="D2711"/>
    </row>
    <row r="2712" spans="2:4">
      <c r="B2712" s="4"/>
      <c r="D2712"/>
    </row>
    <row r="2713" spans="2:4">
      <c r="B2713" s="4"/>
      <c r="D2713"/>
    </row>
    <row r="2714" spans="2:4">
      <c r="B2714" s="4"/>
      <c r="D2714"/>
    </row>
    <row r="2715" spans="2:4">
      <c r="B2715" s="4"/>
      <c r="D2715"/>
    </row>
    <row r="2716" spans="2:4">
      <c r="B2716" s="4"/>
      <c r="D2716"/>
    </row>
    <row r="2717" spans="2:4">
      <c r="B2717" s="4"/>
      <c r="D2717"/>
    </row>
    <row r="2718" spans="2:4">
      <c r="B2718" s="4"/>
      <c r="D2718"/>
    </row>
    <row r="2719" spans="2:4">
      <c r="B2719" s="4"/>
      <c r="D2719"/>
    </row>
    <row r="2720" spans="2:4">
      <c r="B2720" s="4"/>
      <c r="D2720"/>
    </row>
    <row r="2721" spans="2:4">
      <c r="B2721" s="4"/>
      <c r="D2721"/>
    </row>
    <row r="2722" spans="2:4">
      <c r="B2722" s="4"/>
      <c r="D2722"/>
    </row>
    <row r="2723" spans="2:4">
      <c r="B2723" s="4"/>
      <c r="D2723"/>
    </row>
    <row r="2724" spans="2:4">
      <c r="B2724" s="4"/>
      <c r="D2724"/>
    </row>
    <row r="2725" spans="2:4">
      <c r="B2725" s="4"/>
      <c r="D2725"/>
    </row>
    <row r="2726" spans="2:4">
      <c r="B2726" s="4"/>
      <c r="D2726"/>
    </row>
    <row r="2727" spans="2:4">
      <c r="B2727" s="4"/>
      <c r="D2727"/>
    </row>
    <row r="2728" spans="2:4">
      <c r="B2728" s="4"/>
      <c r="D2728"/>
    </row>
    <row r="2729" spans="2:4">
      <c r="B2729" s="4"/>
      <c r="D2729"/>
    </row>
    <row r="2730" spans="2:4">
      <c r="B2730" s="4"/>
      <c r="D2730"/>
    </row>
    <row r="2731" spans="2:4">
      <c r="B2731" s="4"/>
      <c r="D2731"/>
    </row>
    <row r="2732" spans="2:4">
      <c r="B2732" s="4"/>
      <c r="D2732"/>
    </row>
    <row r="2733" spans="2:4">
      <c r="B2733" s="4"/>
      <c r="D2733"/>
    </row>
    <row r="2734" spans="2:4">
      <c r="B2734" s="4"/>
      <c r="D2734"/>
    </row>
    <row r="2735" spans="2:4">
      <c r="B2735" s="4"/>
      <c r="D2735"/>
    </row>
    <row r="2736" spans="2:4">
      <c r="B2736" s="4"/>
      <c r="D2736"/>
    </row>
    <row r="2737" spans="2:4">
      <c r="B2737" s="4"/>
      <c r="D2737"/>
    </row>
    <row r="2738" spans="2:4">
      <c r="B2738" s="4"/>
      <c r="D2738"/>
    </row>
    <row r="2739" spans="2:4">
      <c r="B2739" s="4"/>
      <c r="D2739"/>
    </row>
    <row r="2740" spans="2:4">
      <c r="B2740" s="4"/>
      <c r="D2740"/>
    </row>
    <row r="2741" spans="2:4">
      <c r="B2741" s="4"/>
      <c r="D2741"/>
    </row>
    <row r="2742" spans="2:4">
      <c r="B2742" s="4"/>
      <c r="D2742"/>
    </row>
    <row r="2743" spans="2:4">
      <c r="B2743" s="4"/>
      <c r="D2743"/>
    </row>
    <row r="2744" spans="2:4">
      <c r="B2744" s="4"/>
      <c r="D2744"/>
    </row>
    <row r="2745" spans="2:4">
      <c r="B2745" s="4"/>
      <c r="D2745"/>
    </row>
    <row r="2746" spans="2:4">
      <c r="B2746" s="4"/>
      <c r="D2746"/>
    </row>
    <row r="2747" spans="2:4">
      <c r="B2747" s="4"/>
      <c r="D2747"/>
    </row>
    <row r="2748" spans="2:4">
      <c r="B2748" s="4"/>
      <c r="D2748"/>
    </row>
    <row r="2749" spans="2:4">
      <c r="B2749" s="4"/>
      <c r="D2749"/>
    </row>
    <row r="2750" spans="2:4">
      <c r="B2750" s="4"/>
      <c r="D2750"/>
    </row>
    <row r="2751" spans="2:4">
      <c r="B2751" s="4"/>
      <c r="D2751"/>
    </row>
    <row r="2752" spans="2:4">
      <c r="B2752" s="4"/>
      <c r="D2752"/>
    </row>
    <row r="2753" spans="2:4">
      <c r="B2753" s="4"/>
      <c r="D2753"/>
    </row>
    <row r="2754" spans="2:4">
      <c r="B2754" s="4"/>
      <c r="D2754"/>
    </row>
    <row r="2755" spans="2:4">
      <c r="B2755" s="4"/>
      <c r="D2755"/>
    </row>
    <row r="2756" spans="2:4">
      <c r="B2756" s="4"/>
      <c r="D2756"/>
    </row>
    <row r="2757" spans="2:4">
      <c r="B2757" s="4"/>
      <c r="D2757"/>
    </row>
    <row r="2758" spans="2:4">
      <c r="B2758" s="4"/>
      <c r="D2758"/>
    </row>
    <row r="2759" spans="2:4">
      <c r="B2759" s="4"/>
      <c r="D2759"/>
    </row>
    <row r="2760" spans="2:4">
      <c r="B2760" s="4"/>
      <c r="D2760"/>
    </row>
    <row r="2761" spans="2:4">
      <c r="B2761" s="4"/>
      <c r="D2761"/>
    </row>
    <row r="2762" spans="2:4">
      <c r="B2762" s="4"/>
      <c r="D2762"/>
    </row>
    <row r="2763" spans="2:4">
      <c r="B2763" s="4"/>
      <c r="D2763"/>
    </row>
    <row r="2764" spans="2:4">
      <c r="B2764" s="4"/>
      <c r="D2764"/>
    </row>
    <row r="2765" spans="2:4">
      <c r="B2765" s="4"/>
      <c r="D2765"/>
    </row>
    <row r="2766" spans="2:4">
      <c r="B2766" s="4"/>
      <c r="D2766"/>
    </row>
    <row r="2767" spans="2:4">
      <c r="B2767" s="4"/>
      <c r="D2767"/>
    </row>
    <row r="2768" spans="2:4">
      <c r="B2768" s="4"/>
      <c r="D2768"/>
    </row>
    <row r="2769" spans="2:4">
      <c r="B2769" s="4"/>
      <c r="D2769"/>
    </row>
    <row r="2770" spans="2:4">
      <c r="B2770" s="4"/>
      <c r="D2770"/>
    </row>
    <row r="2771" spans="2:4">
      <c r="B2771" s="4"/>
      <c r="D2771"/>
    </row>
    <row r="2772" spans="2:4">
      <c r="B2772" s="4"/>
      <c r="D2772"/>
    </row>
    <row r="2773" spans="2:4">
      <c r="B2773" s="4"/>
      <c r="D2773"/>
    </row>
    <row r="2774" spans="2:4">
      <c r="B2774" s="4"/>
      <c r="D2774"/>
    </row>
    <row r="2775" spans="2:4">
      <c r="B2775" s="4"/>
      <c r="D2775"/>
    </row>
    <row r="2776" spans="2:4">
      <c r="B2776" s="4"/>
      <c r="D2776"/>
    </row>
    <row r="2777" spans="2:4">
      <c r="B2777" s="4"/>
      <c r="D2777"/>
    </row>
    <row r="2778" spans="2:4">
      <c r="B2778" s="4"/>
      <c r="D2778"/>
    </row>
    <row r="2779" spans="2:4">
      <c r="B2779" s="4"/>
      <c r="D2779"/>
    </row>
    <row r="2780" spans="2:4">
      <c r="B2780" s="4"/>
      <c r="D2780"/>
    </row>
    <row r="2781" spans="2:4">
      <c r="B2781" s="4"/>
      <c r="D2781"/>
    </row>
    <row r="2782" spans="2:4">
      <c r="B2782" s="4"/>
      <c r="D2782"/>
    </row>
    <row r="2783" spans="2:4">
      <c r="B2783" s="4"/>
      <c r="D2783"/>
    </row>
    <row r="2784" spans="2:4">
      <c r="B2784" s="4"/>
      <c r="D2784"/>
    </row>
    <row r="2785" spans="2:4">
      <c r="B2785" s="4"/>
      <c r="D2785"/>
    </row>
    <row r="2786" spans="2:4">
      <c r="B2786" s="4"/>
      <c r="D2786"/>
    </row>
    <row r="2787" spans="2:4">
      <c r="B2787" s="4"/>
      <c r="D2787"/>
    </row>
    <row r="2788" spans="2:4">
      <c r="B2788" s="4"/>
      <c r="D2788"/>
    </row>
    <row r="2789" spans="2:4">
      <c r="B2789" s="4"/>
      <c r="D2789"/>
    </row>
    <row r="2790" spans="2:4">
      <c r="B2790" s="4"/>
      <c r="D2790"/>
    </row>
    <row r="2791" spans="2:4">
      <c r="B2791" s="4"/>
      <c r="D2791"/>
    </row>
    <row r="2792" spans="2:4">
      <c r="B2792" s="4"/>
      <c r="D2792"/>
    </row>
    <row r="2793" spans="2:4">
      <c r="B2793" s="4"/>
      <c r="D2793"/>
    </row>
    <row r="2794" spans="2:4">
      <c r="B2794" s="4"/>
      <c r="D2794"/>
    </row>
    <row r="2795" spans="2:4">
      <c r="B2795" s="4"/>
      <c r="D2795"/>
    </row>
    <row r="2796" spans="2:4">
      <c r="B2796" s="4"/>
      <c r="D2796"/>
    </row>
    <row r="2797" spans="2:4">
      <c r="B2797" s="4"/>
      <c r="D2797"/>
    </row>
    <row r="2798" spans="2:4">
      <c r="B2798" s="4"/>
      <c r="D2798"/>
    </row>
    <row r="2799" spans="2:4">
      <c r="B2799" s="4"/>
      <c r="D2799"/>
    </row>
    <row r="2800" spans="2:4">
      <c r="B2800" s="4"/>
      <c r="D2800"/>
    </row>
    <row r="2801" spans="2:4">
      <c r="B2801" s="4"/>
      <c r="D2801"/>
    </row>
    <row r="2802" spans="2:4">
      <c r="B2802" s="4"/>
      <c r="D2802"/>
    </row>
    <row r="2803" spans="2:4">
      <c r="B2803" s="4"/>
      <c r="D2803"/>
    </row>
    <row r="2804" spans="2:4">
      <c r="B2804" s="4"/>
      <c r="D2804"/>
    </row>
    <row r="2805" spans="2:4">
      <c r="B2805" s="4"/>
      <c r="D2805"/>
    </row>
    <row r="2806" spans="2:4">
      <c r="B2806" s="4"/>
      <c r="D2806"/>
    </row>
    <row r="2807" spans="2:4">
      <c r="B2807" s="4"/>
      <c r="D2807"/>
    </row>
    <row r="2808" spans="2:4">
      <c r="B2808" s="4"/>
      <c r="D2808"/>
    </row>
    <row r="2809" spans="2:4">
      <c r="B2809" s="4"/>
      <c r="D2809"/>
    </row>
    <row r="2810" spans="2:4">
      <c r="B2810" s="4"/>
      <c r="D2810"/>
    </row>
    <row r="2811" spans="2:4">
      <c r="B2811" s="4"/>
      <c r="D2811"/>
    </row>
    <row r="2812" spans="2:4">
      <c r="B2812" s="4"/>
      <c r="D2812"/>
    </row>
    <row r="2813" spans="2:4">
      <c r="B2813" s="4"/>
      <c r="D2813"/>
    </row>
    <row r="2814" spans="2:4">
      <c r="B2814" s="4"/>
      <c r="D2814"/>
    </row>
    <row r="2815" spans="2:4">
      <c r="B2815" s="4"/>
      <c r="D2815"/>
    </row>
    <row r="2816" spans="2:4">
      <c r="B2816" s="4"/>
      <c r="D2816"/>
    </row>
    <row r="2817" spans="2:4">
      <c r="B2817" s="4"/>
      <c r="D2817"/>
    </row>
    <row r="2818" spans="2:4">
      <c r="B2818" s="4"/>
      <c r="D2818"/>
    </row>
    <row r="2819" spans="2:4">
      <c r="B2819" s="4"/>
      <c r="D2819"/>
    </row>
    <row r="2820" spans="2:4">
      <c r="B2820" s="4"/>
      <c r="D2820"/>
    </row>
    <row r="2821" spans="2:4">
      <c r="B2821" s="4"/>
      <c r="D2821"/>
    </row>
    <row r="2822" spans="2:4">
      <c r="B2822" s="4"/>
      <c r="D2822"/>
    </row>
    <row r="2823" spans="2:4">
      <c r="B2823" s="4"/>
      <c r="D2823"/>
    </row>
    <row r="2824" spans="2:4">
      <c r="B2824" s="4"/>
      <c r="D2824"/>
    </row>
    <row r="2825" spans="2:4">
      <c r="B2825" s="4"/>
      <c r="D2825"/>
    </row>
    <row r="2826" spans="2:4">
      <c r="B2826" s="4"/>
      <c r="D2826"/>
    </row>
    <row r="2827" spans="2:4">
      <c r="B2827" s="4"/>
      <c r="D2827"/>
    </row>
    <row r="2828" spans="2:4">
      <c r="B2828" s="4"/>
      <c r="D2828"/>
    </row>
    <row r="2829" spans="2:4">
      <c r="B2829" s="4"/>
      <c r="D2829"/>
    </row>
    <row r="2830" spans="2:4">
      <c r="B2830" s="4"/>
      <c r="D2830"/>
    </row>
    <row r="2831" spans="2:4">
      <c r="B2831" s="4"/>
      <c r="D2831"/>
    </row>
    <row r="2832" spans="2:4">
      <c r="B2832" s="4"/>
      <c r="D2832"/>
    </row>
    <row r="2833" spans="2:4">
      <c r="B2833" s="4"/>
      <c r="D2833"/>
    </row>
    <row r="2834" spans="2:4">
      <c r="B2834" s="4"/>
      <c r="D2834"/>
    </row>
    <row r="2835" spans="2:4">
      <c r="B2835" s="4"/>
      <c r="D2835"/>
    </row>
    <row r="2836" spans="2:4">
      <c r="B2836" s="4"/>
      <c r="D2836"/>
    </row>
    <row r="2837" spans="2:4">
      <c r="B2837" s="4"/>
      <c r="D2837"/>
    </row>
    <row r="2838" spans="2:4">
      <c r="B2838" s="4"/>
      <c r="D2838"/>
    </row>
    <row r="2839" spans="2:4">
      <c r="B2839" s="4"/>
      <c r="D2839"/>
    </row>
    <row r="2840" spans="2:4">
      <c r="B2840" s="4"/>
      <c r="D2840"/>
    </row>
    <row r="2841" spans="2:4">
      <c r="B2841" s="4"/>
      <c r="D2841"/>
    </row>
    <row r="2842" spans="2:4">
      <c r="B2842" s="4"/>
      <c r="D2842"/>
    </row>
    <row r="2843" spans="2:4">
      <c r="B2843" s="4"/>
      <c r="D2843"/>
    </row>
    <row r="2844" spans="2:4">
      <c r="B2844" s="4"/>
      <c r="D2844"/>
    </row>
    <row r="2845" spans="2:4">
      <c r="B2845" s="4"/>
      <c r="D2845"/>
    </row>
    <row r="2846" spans="2:4">
      <c r="B2846" s="4"/>
      <c r="D2846"/>
    </row>
    <row r="2847" spans="2:4">
      <c r="B2847" s="4"/>
      <c r="D2847"/>
    </row>
    <row r="2848" spans="2:4">
      <c r="B2848" s="4"/>
      <c r="D2848"/>
    </row>
    <row r="2849" spans="2:4">
      <c r="B2849" s="4"/>
      <c r="D2849"/>
    </row>
    <row r="2850" spans="2:4">
      <c r="B2850" s="4"/>
      <c r="D2850"/>
    </row>
    <row r="2851" spans="2:4">
      <c r="B2851" s="4"/>
      <c r="D2851"/>
    </row>
    <row r="2852" spans="2:4">
      <c r="B2852" s="4"/>
      <c r="D2852"/>
    </row>
    <row r="2853" spans="2:4">
      <c r="B2853" s="4"/>
      <c r="D2853"/>
    </row>
    <row r="2854" spans="2:4">
      <c r="B2854" s="4"/>
      <c r="D2854"/>
    </row>
    <row r="2855" spans="2:4">
      <c r="B2855" s="4"/>
      <c r="D2855"/>
    </row>
    <row r="2856" spans="2:4">
      <c r="B2856" s="4"/>
      <c r="D2856"/>
    </row>
    <row r="2857" spans="2:4">
      <c r="B2857" s="4"/>
      <c r="D2857"/>
    </row>
    <row r="2858" spans="2:4">
      <c r="B2858" s="4"/>
      <c r="D2858"/>
    </row>
    <row r="2859" spans="2:4">
      <c r="B2859" s="4"/>
      <c r="D2859"/>
    </row>
    <row r="2860" spans="2:4">
      <c r="B2860" s="4"/>
      <c r="D2860"/>
    </row>
    <row r="2861" spans="2:4">
      <c r="B2861" s="4"/>
      <c r="D2861"/>
    </row>
    <row r="2862" spans="2:4">
      <c r="B2862" s="4"/>
      <c r="D2862"/>
    </row>
    <row r="2863" spans="2:4">
      <c r="B2863" s="4"/>
      <c r="D2863"/>
    </row>
    <row r="2864" spans="2:4">
      <c r="B2864" s="4"/>
      <c r="D2864"/>
    </row>
    <row r="2865" spans="2:4">
      <c r="B2865" s="4"/>
      <c r="D2865"/>
    </row>
    <row r="2866" spans="2:4">
      <c r="B2866" s="4"/>
      <c r="D2866"/>
    </row>
    <row r="2867" spans="2:4">
      <c r="B2867" s="4"/>
      <c r="D2867"/>
    </row>
    <row r="2868" spans="2:4">
      <c r="B2868" s="4"/>
      <c r="D2868"/>
    </row>
    <row r="2869" spans="2:4">
      <c r="B2869" s="4"/>
      <c r="D2869"/>
    </row>
    <row r="2870" spans="2:4">
      <c r="B2870" s="4"/>
      <c r="D2870"/>
    </row>
    <row r="2871" spans="2:4">
      <c r="B2871" s="4"/>
      <c r="D2871"/>
    </row>
    <row r="2872" spans="2:4">
      <c r="B2872" s="4"/>
      <c r="D2872"/>
    </row>
    <row r="2873" spans="2:4">
      <c r="B2873" s="4"/>
      <c r="D2873"/>
    </row>
    <row r="2874" spans="2:4">
      <c r="B2874" s="4"/>
      <c r="D2874"/>
    </row>
    <row r="2875" spans="2:4">
      <c r="B2875" s="4"/>
      <c r="D2875"/>
    </row>
    <row r="2876" spans="2:4">
      <c r="B2876" s="4"/>
      <c r="D2876"/>
    </row>
    <row r="2877" spans="2:4">
      <c r="B2877" s="4"/>
      <c r="D2877"/>
    </row>
    <row r="2878" spans="2:4">
      <c r="B2878" s="4"/>
      <c r="D2878"/>
    </row>
    <row r="2879" spans="2:4">
      <c r="B2879" s="4"/>
      <c r="D2879"/>
    </row>
    <row r="2880" spans="2:4">
      <c r="B2880" s="4"/>
      <c r="D2880"/>
    </row>
    <row r="2881" spans="2:4">
      <c r="B2881" s="4"/>
      <c r="D2881"/>
    </row>
    <row r="2882" spans="2:4">
      <c r="B2882" s="4"/>
      <c r="D2882"/>
    </row>
    <row r="2883" spans="2:4">
      <c r="B2883" s="4"/>
      <c r="D2883"/>
    </row>
    <row r="2884" spans="2:4">
      <c r="B2884" s="4"/>
      <c r="D2884"/>
    </row>
    <row r="2885" spans="2:4">
      <c r="B2885" s="4"/>
      <c r="D2885"/>
    </row>
    <row r="2886" spans="2:4">
      <c r="B2886" s="4"/>
      <c r="D2886"/>
    </row>
    <row r="2887" spans="2:4">
      <c r="B2887" s="4"/>
      <c r="D2887"/>
    </row>
    <row r="2888" spans="2:4">
      <c r="B2888" s="4"/>
      <c r="D2888"/>
    </row>
    <row r="2889" spans="2:4">
      <c r="B2889" s="4"/>
      <c r="D2889"/>
    </row>
    <row r="2890" spans="2:4">
      <c r="B2890" s="4"/>
      <c r="D2890"/>
    </row>
    <row r="2891" spans="2:4">
      <c r="B2891" s="4"/>
      <c r="D2891"/>
    </row>
    <row r="2892" spans="2:4">
      <c r="B2892" s="4"/>
      <c r="D2892"/>
    </row>
    <row r="2893" spans="2:4">
      <c r="B2893" s="4"/>
      <c r="D2893"/>
    </row>
    <row r="2894" spans="2:4">
      <c r="B2894" s="4"/>
      <c r="D2894"/>
    </row>
    <row r="2895" spans="2:4">
      <c r="B2895" s="4"/>
      <c r="D2895"/>
    </row>
    <row r="2896" spans="2:4">
      <c r="B2896" s="4"/>
      <c r="D2896"/>
    </row>
    <row r="2897" spans="2:4">
      <c r="B2897" s="4"/>
      <c r="D2897"/>
    </row>
    <row r="2898" spans="2:4">
      <c r="B2898" s="4"/>
      <c r="D2898"/>
    </row>
    <row r="2899" spans="2:4">
      <c r="B2899" s="4"/>
      <c r="D2899"/>
    </row>
    <row r="2900" spans="2:4">
      <c r="B2900" s="4"/>
      <c r="D2900"/>
    </row>
    <row r="2901" spans="2:4">
      <c r="B2901" s="4"/>
      <c r="D2901"/>
    </row>
    <row r="2902" spans="2:4">
      <c r="B2902" s="4"/>
      <c r="D2902"/>
    </row>
    <row r="2903" spans="2:4">
      <c r="B2903" s="4"/>
      <c r="D2903"/>
    </row>
    <row r="2904" spans="2:4">
      <c r="B2904" s="4"/>
      <c r="D2904"/>
    </row>
    <row r="2905" spans="2:4">
      <c r="B2905" s="4"/>
      <c r="D2905"/>
    </row>
    <row r="2906" spans="2:4">
      <c r="B2906" s="4"/>
      <c r="D2906"/>
    </row>
    <row r="2907" spans="2:4">
      <c r="B2907" s="4"/>
      <c r="D2907"/>
    </row>
    <row r="2908" spans="2:4">
      <c r="B2908" s="4"/>
      <c r="D2908"/>
    </row>
    <row r="2909" spans="2:4">
      <c r="B2909" s="4"/>
      <c r="D2909"/>
    </row>
    <row r="2910" spans="2:4">
      <c r="B2910" s="4"/>
      <c r="D2910"/>
    </row>
    <row r="2911" spans="2:4">
      <c r="B2911" s="4"/>
      <c r="D2911"/>
    </row>
    <row r="2912" spans="2:4">
      <c r="B2912" s="4"/>
      <c r="D2912"/>
    </row>
    <row r="2913" spans="2:4">
      <c r="B2913" s="4"/>
      <c r="D2913"/>
    </row>
    <row r="2914" spans="2:4">
      <c r="B2914" s="4"/>
      <c r="D2914"/>
    </row>
    <row r="2915" spans="2:4">
      <c r="B2915" s="4"/>
      <c r="D2915"/>
    </row>
    <row r="2916" spans="2:4">
      <c r="B2916" s="4"/>
      <c r="D2916"/>
    </row>
    <row r="2917" spans="2:4">
      <c r="B2917" s="4"/>
      <c r="D2917"/>
    </row>
    <row r="2918" spans="2:4">
      <c r="B2918" s="4"/>
      <c r="D2918"/>
    </row>
    <row r="2919" spans="2:4">
      <c r="B2919" s="4"/>
      <c r="D2919"/>
    </row>
    <row r="2920" spans="2:4">
      <c r="B2920" s="4"/>
      <c r="D2920"/>
    </row>
    <row r="2921" spans="2:4">
      <c r="B2921" s="4"/>
      <c r="D2921"/>
    </row>
    <row r="2922" spans="2:4">
      <c r="B2922" s="4"/>
      <c r="D2922"/>
    </row>
    <row r="2923" spans="2:4">
      <c r="B2923" s="4"/>
      <c r="D2923"/>
    </row>
    <row r="2924" spans="2:4">
      <c r="B2924" s="4"/>
      <c r="D2924"/>
    </row>
    <row r="2925" spans="2:4">
      <c r="B2925" s="4"/>
      <c r="D2925"/>
    </row>
    <row r="2926" spans="2:4">
      <c r="B2926" s="4"/>
      <c r="D2926"/>
    </row>
    <row r="2927" spans="2:4">
      <c r="B2927" s="4"/>
      <c r="D2927"/>
    </row>
    <row r="2928" spans="2:4">
      <c r="B2928" s="4"/>
      <c r="D2928"/>
    </row>
    <row r="2929" spans="2:4">
      <c r="B2929" s="4"/>
      <c r="D2929"/>
    </row>
    <row r="2930" spans="2:4">
      <c r="B2930" s="4"/>
      <c r="D2930"/>
    </row>
    <row r="2931" spans="2:4">
      <c r="B2931" s="4"/>
      <c r="D2931"/>
    </row>
    <row r="2932" spans="2:4">
      <c r="B2932" s="4"/>
      <c r="D2932"/>
    </row>
    <row r="2933" spans="2:4">
      <c r="B2933" s="4"/>
      <c r="D2933"/>
    </row>
    <row r="2934" spans="2:4">
      <c r="B2934" s="4"/>
      <c r="D2934"/>
    </row>
    <row r="2935" spans="2:4">
      <c r="B2935" s="4"/>
      <c r="D2935"/>
    </row>
    <row r="2936" spans="2:4">
      <c r="B2936" s="4"/>
      <c r="D2936"/>
    </row>
    <row r="2937" spans="2:4">
      <c r="B2937" s="4"/>
      <c r="D2937"/>
    </row>
    <row r="2938" spans="2:4">
      <c r="B2938" s="4"/>
      <c r="D2938"/>
    </row>
    <row r="2939" spans="2:4">
      <c r="B2939" s="4"/>
      <c r="D2939"/>
    </row>
    <row r="2940" spans="2:4">
      <c r="B2940" s="4"/>
      <c r="D2940"/>
    </row>
    <row r="2941" spans="2:4">
      <c r="B2941" s="4"/>
      <c r="D2941"/>
    </row>
    <row r="2942" spans="2:4">
      <c r="B2942" s="4"/>
      <c r="D2942"/>
    </row>
    <row r="2943" spans="2:4">
      <c r="B2943" s="4"/>
      <c r="D2943"/>
    </row>
    <row r="2944" spans="2:4">
      <c r="B2944" s="4"/>
      <c r="D2944"/>
    </row>
    <row r="2945" spans="2:4">
      <c r="B2945" s="4"/>
      <c r="D2945"/>
    </row>
    <row r="2946" spans="2:4">
      <c r="B2946" s="4"/>
      <c r="D2946"/>
    </row>
    <row r="2947" spans="2:4">
      <c r="B2947" s="4"/>
      <c r="D2947"/>
    </row>
    <row r="2948" spans="2:4">
      <c r="B2948" s="4"/>
      <c r="D2948"/>
    </row>
    <row r="2949" spans="2:4">
      <c r="B2949" s="4"/>
      <c r="D2949"/>
    </row>
    <row r="2950" spans="2:4">
      <c r="B2950" s="4"/>
      <c r="D2950"/>
    </row>
    <row r="2951" spans="2:4">
      <c r="B2951" s="4"/>
      <c r="D2951"/>
    </row>
    <row r="2952" spans="2:4">
      <c r="B2952" s="4"/>
      <c r="D2952"/>
    </row>
    <row r="2953" spans="2:4">
      <c r="B2953" s="4"/>
      <c r="D2953"/>
    </row>
    <row r="2954" spans="2:4">
      <c r="B2954" s="4"/>
      <c r="D2954"/>
    </row>
    <row r="2955" spans="2:4">
      <c r="B2955" s="4"/>
      <c r="D2955"/>
    </row>
    <row r="2956" spans="2:4">
      <c r="B2956" s="4"/>
      <c r="D2956"/>
    </row>
    <row r="2957" spans="2:4">
      <c r="B2957" s="4"/>
      <c r="D2957"/>
    </row>
    <row r="2958" spans="2:4">
      <c r="B2958" s="4"/>
      <c r="D2958"/>
    </row>
    <row r="2959" spans="2:4">
      <c r="B2959" s="4"/>
      <c r="D2959"/>
    </row>
    <row r="2960" spans="2:4">
      <c r="B2960" s="4"/>
      <c r="D2960"/>
    </row>
    <row r="2961" spans="2:4">
      <c r="B2961" s="4"/>
      <c r="D2961"/>
    </row>
    <row r="2962" spans="2:4">
      <c r="B2962" s="4"/>
      <c r="D2962"/>
    </row>
    <row r="2963" spans="2:4">
      <c r="B2963" s="4"/>
      <c r="D2963"/>
    </row>
    <row r="2964" spans="2:4">
      <c r="B2964" s="4"/>
      <c r="D2964"/>
    </row>
    <row r="2965" spans="2:4">
      <c r="B2965" s="4"/>
      <c r="D2965"/>
    </row>
    <row r="2966" spans="2:4">
      <c r="B2966" s="4"/>
      <c r="D2966"/>
    </row>
    <row r="2967" spans="2:4">
      <c r="B2967" s="4"/>
      <c r="D2967"/>
    </row>
    <row r="2968" spans="2:4">
      <c r="B2968" s="4"/>
      <c r="D2968"/>
    </row>
    <row r="2969" spans="2:4">
      <c r="B2969" s="4"/>
      <c r="D2969"/>
    </row>
    <row r="2970" spans="2:4">
      <c r="B2970" s="4"/>
      <c r="D2970"/>
    </row>
    <row r="2971" spans="2:4">
      <c r="B2971" s="4"/>
      <c r="D2971"/>
    </row>
    <row r="2972" spans="2:4">
      <c r="B2972" s="4"/>
      <c r="D2972"/>
    </row>
    <row r="2973" spans="2:4">
      <c r="B2973" s="4"/>
      <c r="D2973"/>
    </row>
    <row r="2974" spans="2:4">
      <c r="B2974" s="4"/>
      <c r="D2974"/>
    </row>
    <row r="2975" spans="2:4">
      <c r="B2975" s="4"/>
      <c r="D2975"/>
    </row>
    <row r="2976" spans="2:4">
      <c r="B2976" s="4"/>
      <c r="D2976"/>
    </row>
    <row r="2977" spans="2:4">
      <c r="B2977" s="4"/>
      <c r="D2977"/>
    </row>
    <row r="2978" spans="2:4">
      <c r="B2978" s="4"/>
      <c r="D2978"/>
    </row>
    <row r="2979" spans="2:4">
      <c r="B2979" s="4"/>
      <c r="D2979"/>
    </row>
    <row r="2980" spans="2:4">
      <c r="B2980" s="4"/>
      <c r="D2980"/>
    </row>
    <row r="2981" spans="2:4">
      <c r="B2981" s="4"/>
      <c r="D2981"/>
    </row>
    <row r="2982" spans="2:4">
      <c r="B2982" s="4"/>
      <c r="D2982"/>
    </row>
    <row r="2983" spans="2:4">
      <c r="B2983" s="4"/>
      <c r="D2983"/>
    </row>
    <row r="2984" spans="2:4">
      <c r="B2984" s="4"/>
      <c r="D2984"/>
    </row>
    <row r="2985" spans="2:4">
      <c r="B2985" s="4"/>
      <c r="D2985"/>
    </row>
    <row r="2986" spans="2:4">
      <c r="B2986" s="4"/>
      <c r="D2986"/>
    </row>
    <row r="2987" spans="2:4">
      <c r="B2987" s="4"/>
      <c r="D2987"/>
    </row>
    <row r="2988" spans="2:4">
      <c r="B2988" s="4"/>
      <c r="D2988"/>
    </row>
    <row r="2989" spans="2:4">
      <c r="B2989" s="4"/>
      <c r="D2989"/>
    </row>
    <row r="2990" spans="2:4">
      <c r="B2990" s="4"/>
      <c r="D2990"/>
    </row>
    <row r="2991" spans="2:4">
      <c r="B2991" s="4"/>
      <c r="D2991"/>
    </row>
    <row r="2992" spans="2:4">
      <c r="B2992" s="4"/>
      <c r="D2992"/>
    </row>
    <row r="2993" spans="2:4">
      <c r="B2993" s="4"/>
      <c r="D2993"/>
    </row>
    <row r="2994" spans="2:4">
      <c r="B2994" s="4"/>
      <c r="D2994"/>
    </row>
    <row r="2995" spans="2:4">
      <c r="B2995" s="4"/>
      <c r="D2995"/>
    </row>
    <row r="2996" spans="2:4">
      <c r="B2996" s="4"/>
      <c r="D2996"/>
    </row>
    <row r="2997" spans="2:4">
      <c r="B2997" s="4"/>
      <c r="D2997"/>
    </row>
    <row r="2998" spans="2:4">
      <c r="B2998" s="4"/>
      <c r="D2998"/>
    </row>
    <row r="2999" spans="2:4">
      <c r="B2999" s="4"/>
      <c r="D2999"/>
    </row>
    <row r="3000" spans="2:4">
      <c r="B3000" s="4"/>
      <c r="D3000"/>
    </row>
    <row r="3001" spans="2:4">
      <c r="B3001" s="4"/>
      <c r="D3001"/>
    </row>
    <row r="3002" spans="2:4">
      <c r="B3002" s="4"/>
      <c r="D3002"/>
    </row>
    <row r="3003" spans="2:4">
      <c r="B3003" s="4"/>
      <c r="D3003"/>
    </row>
    <row r="3004" spans="2:4">
      <c r="B3004" s="4"/>
      <c r="D3004"/>
    </row>
    <row r="3005" spans="2:4">
      <c r="B3005" s="4"/>
      <c r="D3005"/>
    </row>
    <row r="3006" spans="2:4">
      <c r="B3006" s="4"/>
      <c r="D3006"/>
    </row>
    <row r="3007" spans="2:4">
      <c r="B3007" s="4"/>
      <c r="D3007"/>
    </row>
    <row r="3008" spans="2:4">
      <c r="B3008" s="4"/>
      <c r="D3008"/>
    </row>
    <row r="3009" spans="2:4">
      <c r="B3009" s="4"/>
      <c r="D3009"/>
    </row>
    <row r="3010" spans="2:4">
      <c r="B3010" s="4"/>
      <c r="D3010"/>
    </row>
    <row r="3011" spans="2:4">
      <c r="B3011" s="4"/>
      <c r="D3011"/>
    </row>
    <row r="3012" spans="2:4">
      <c r="B3012" s="4"/>
      <c r="D3012"/>
    </row>
    <row r="3013" spans="2:4">
      <c r="B3013" s="4"/>
      <c r="D3013"/>
    </row>
    <row r="3014" spans="2:4">
      <c r="B3014" s="4"/>
      <c r="D3014"/>
    </row>
    <row r="3015" spans="2:4">
      <c r="B3015" s="4"/>
      <c r="D3015"/>
    </row>
    <row r="3016" spans="2:4">
      <c r="B3016" s="4"/>
      <c r="D3016"/>
    </row>
    <row r="3017" spans="2:4">
      <c r="B3017" s="4"/>
      <c r="D3017"/>
    </row>
    <row r="3018" spans="2:4">
      <c r="B3018" s="4"/>
      <c r="D3018"/>
    </row>
    <row r="3019" spans="2:4">
      <c r="B3019" s="4"/>
      <c r="D3019"/>
    </row>
    <row r="3020" spans="2:4">
      <c r="B3020" s="4"/>
      <c r="D3020"/>
    </row>
    <row r="3021" spans="2:4">
      <c r="B3021" s="4"/>
      <c r="D3021"/>
    </row>
    <row r="3022" spans="2:4">
      <c r="B3022" s="4"/>
      <c r="D3022"/>
    </row>
    <row r="3023" spans="2:4">
      <c r="B3023" s="4"/>
      <c r="D3023"/>
    </row>
    <row r="3024" spans="2:4">
      <c r="B3024" s="4"/>
      <c r="D3024"/>
    </row>
    <row r="3025" spans="2:4">
      <c r="B3025" s="4"/>
      <c r="D3025"/>
    </row>
    <row r="3026" spans="2:4">
      <c r="B3026" s="4"/>
      <c r="D3026"/>
    </row>
    <row r="3027" spans="2:4">
      <c r="B3027" s="4"/>
      <c r="D3027"/>
    </row>
    <row r="3028" spans="2:4">
      <c r="B3028" s="4"/>
      <c r="D3028"/>
    </row>
    <row r="3029" spans="2:4">
      <c r="B3029" s="4"/>
      <c r="D3029"/>
    </row>
    <row r="3030" spans="2:4">
      <c r="B3030" s="4"/>
      <c r="D3030"/>
    </row>
    <row r="3031" spans="2:4">
      <c r="B3031" s="4"/>
      <c r="D3031"/>
    </row>
    <row r="3032" spans="2:4">
      <c r="B3032" s="4"/>
      <c r="D3032"/>
    </row>
    <row r="3033" spans="2:4">
      <c r="B3033" s="4"/>
      <c r="D3033"/>
    </row>
    <row r="3034" spans="2:4">
      <c r="B3034" s="4"/>
      <c r="D3034"/>
    </row>
    <row r="3035" spans="2:4">
      <c r="B3035" s="4"/>
      <c r="D3035"/>
    </row>
    <row r="3036" spans="2:4">
      <c r="B3036" s="4"/>
      <c r="D3036"/>
    </row>
    <row r="3037" spans="2:4">
      <c r="B3037" s="4"/>
      <c r="D3037"/>
    </row>
    <row r="3038" spans="2:4">
      <c r="B3038" s="4"/>
      <c r="D3038"/>
    </row>
    <row r="3039" spans="2:4">
      <c r="B3039" s="4"/>
      <c r="D3039"/>
    </row>
    <row r="3040" spans="2:4">
      <c r="B3040" s="4"/>
      <c r="D3040"/>
    </row>
    <row r="3041" spans="2:4">
      <c r="B3041" s="4"/>
      <c r="D3041"/>
    </row>
    <row r="3042" spans="2:4">
      <c r="B3042" s="4"/>
      <c r="D3042"/>
    </row>
    <row r="3043" spans="2:4">
      <c r="B3043" s="4"/>
      <c r="D3043"/>
    </row>
    <row r="3044" spans="2:4">
      <c r="B3044" s="4"/>
      <c r="D3044"/>
    </row>
    <row r="3045" spans="2:4">
      <c r="B3045" s="4"/>
      <c r="D3045"/>
    </row>
    <row r="3046" spans="2:4">
      <c r="B3046" s="4"/>
      <c r="D3046"/>
    </row>
    <row r="3047" spans="2:4">
      <c r="B3047" s="4"/>
      <c r="D3047"/>
    </row>
    <row r="3048" spans="2:4">
      <c r="B3048" s="4"/>
      <c r="D3048"/>
    </row>
    <row r="3049" spans="2:4">
      <c r="B3049" s="4"/>
      <c r="D3049"/>
    </row>
    <row r="3050" spans="2:4">
      <c r="B3050" s="4"/>
      <c r="D3050"/>
    </row>
    <row r="3051" spans="2:4">
      <c r="B3051" s="4"/>
      <c r="D3051"/>
    </row>
    <row r="3052" spans="2:4">
      <c r="B3052" s="4"/>
      <c r="D3052"/>
    </row>
    <row r="3053" spans="2:4">
      <c r="B3053" s="4"/>
      <c r="D3053"/>
    </row>
    <row r="3054" spans="2:4">
      <c r="B3054" s="4"/>
      <c r="D3054"/>
    </row>
    <row r="3055" spans="2:4">
      <c r="B3055" s="4"/>
      <c r="D3055"/>
    </row>
    <row r="3056" spans="2:4">
      <c r="B3056" s="4"/>
      <c r="D3056"/>
    </row>
    <row r="3057" spans="2:4">
      <c r="B3057" s="4"/>
      <c r="D3057"/>
    </row>
    <row r="3058" spans="2:4">
      <c r="B3058" s="4"/>
      <c r="D3058"/>
    </row>
    <row r="3059" spans="2:4">
      <c r="B3059" s="4"/>
      <c r="D3059"/>
    </row>
    <row r="3060" spans="2:4">
      <c r="B3060" s="4"/>
      <c r="D3060"/>
    </row>
    <row r="3061" spans="2:4">
      <c r="B3061" s="4"/>
      <c r="D3061"/>
    </row>
    <row r="3062" spans="2:4">
      <c r="B3062" s="4"/>
      <c r="D3062"/>
    </row>
    <row r="3063" spans="2:4">
      <c r="B3063" s="4"/>
      <c r="D3063"/>
    </row>
    <row r="3064" spans="2:4">
      <c r="B3064" s="4"/>
      <c r="D3064"/>
    </row>
    <row r="3065" spans="2:4">
      <c r="B3065" s="4"/>
      <c r="D3065"/>
    </row>
    <row r="3066" spans="2:4">
      <c r="B3066" s="4"/>
      <c r="D3066"/>
    </row>
    <row r="3067" spans="2:4">
      <c r="B3067" s="4"/>
      <c r="D3067"/>
    </row>
    <row r="3068" spans="2:4">
      <c r="B3068" s="4"/>
      <c r="D3068"/>
    </row>
    <row r="3069" spans="2:4">
      <c r="B3069" s="4"/>
      <c r="D3069"/>
    </row>
    <row r="3070" spans="2:4">
      <c r="B3070" s="4"/>
      <c r="D3070"/>
    </row>
    <row r="3071" spans="2:4">
      <c r="B3071" s="4"/>
      <c r="D3071"/>
    </row>
    <row r="3072" spans="2:4">
      <c r="B3072" s="4"/>
      <c r="D3072"/>
    </row>
    <row r="3073" spans="2:4">
      <c r="B3073" s="4"/>
      <c r="D3073"/>
    </row>
    <row r="3074" spans="2:4">
      <c r="B3074" s="4"/>
      <c r="D3074"/>
    </row>
    <row r="3075" spans="2:4">
      <c r="B3075" s="4"/>
      <c r="D3075"/>
    </row>
    <row r="3076" spans="2:4">
      <c r="B3076" s="4"/>
      <c r="D3076"/>
    </row>
    <row r="3077" spans="2:4">
      <c r="B3077" s="4"/>
      <c r="D3077"/>
    </row>
    <row r="3078" spans="2:4">
      <c r="B3078" s="4"/>
      <c r="D3078"/>
    </row>
    <row r="3079" spans="2:4">
      <c r="B3079" s="4"/>
      <c r="D3079"/>
    </row>
    <row r="3080" spans="2:4">
      <c r="B3080" s="4"/>
      <c r="D3080"/>
    </row>
    <row r="3081" spans="2:4">
      <c r="B3081" s="4"/>
      <c r="D3081"/>
    </row>
    <row r="3082" spans="2:4">
      <c r="B3082" s="4"/>
      <c r="D3082"/>
    </row>
    <row r="3083" spans="2:4">
      <c r="B3083" s="4"/>
      <c r="D3083"/>
    </row>
    <row r="3084" spans="2:4">
      <c r="B3084" s="4"/>
      <c r="D3084"/>
    </row>
    <row r="3085" spans="2:4">
      <c r="B3085" s="4"/>
      <c r="D3085"/>
    </row>
    <row r="3086" spans="2:4">
      <c r="B3086" s="4"/>
      <c r="D3086"/>
    </row>
    <row r="3087" spans="2:4">
      <c r="B3087" s="4"/>
      <c r="D3087"/>
    </row>
    <row r="3088" spans="2:4">
      <c r="B3088" s="4"/>
      <c r="D3088"/>
    </row>
    <row r="3089" spans="2:4">
      <c r="B3089" s="4"/>
      <c r="D3089"/>
    </row>
    <row r="3090" spans="2:4">
      <c r="B3090" s="4"/>
      <c r="D3090"/>
    </row>
    <row r="3091" spans="2:4">
      <c r="B3091" s="4"/>
      <c r="D3091"/>
    </row>
    <row r="3092" spans="2:4">
      <c r="B3092" s="4"/>
      <c r="D3092"/>
    </row>
    <row r="3093" spans="2:4">
      <c r="B3093" s="4"/>
      <c r="D3093"/>
    </row>
    <row r="3094" spans="2:4">
      <c r="B3094" s="4"/>
      <c r="D3094"/>
    </row>
    <row r="3095" spans="2:4">
      <c r="B3095" s="4"/>
      <c r="D3095"/>
    </row>
    <row r="3096" spans="2:4">
      <c r="B3096" s="4"/>
      <c r="D3096"/>
    </row>
    <row r="3097" spans="2:4">
      <c r="B3097" s="4"/>
      <c r="D3097"/>
    </row>
    <row r="3098" spans="2:4">
      <c r="B3098" s="4"/>
      <c r="D3098"/>
    </row>
    <row r="3099" spans="2:4">
      <c r="B3099" s="4"/>
      <c r="D3099"/>
    </row>
    <row r="3100" spans="2:4">
      <c r="B3100" s="4"/>
      <c r="D3100"/>
    </row>
    <row r="3101" spans="2:4">
      <c r="B3101" s="4"/>
      <c r="D3101"/>
    </row>
    <row r="3102" spans="2:4">
      <c r="B3102" s="4"/>
      <c r="D3102"/>
    </row>
    <row r="3103" spans="2:4">
      <c r="B3103" s="4"/>
      <c r="D3103"/>
    </row>
    <row r="3104" spans="2:4">
      <c r="B3104" s="4"/>
      <c r="D3104"/>
    </row>
    <row r="3105" spans="2:4">
      <c r="B3105" s="4"/>
      <c r="D3105"/>
    </row>
    <row r="3106" spans="2:4">
      <c r="B3106" s="4"/>
      <c r="D3106"/>
    </row>
    <row r="3107" spans="2:4">
      <c r="B3107" s="4"/>
      <c r="D3107"/>
    </row>
    <row r="3108" spans="2:4">
      <c r="B3108" s="4"/>
      <c r="D3108"/>
    </row>
    <row r="3109" spans="2:4">
      <c r="B3109" s="4"/>
      <c r="D3109"/>
    </row>
    <row r="3110" spans="2:4">
      <c r="B3110" s="4"/>
      <c r="D3110"/>
    </row>
    <row r="3111" spans="2:4">
      <c r="B3111" s="4"/>
      <c r="D3111"/>
    </row>
    <row r="3112" spans="2:4">
      <c r="B3112" s="4"/>
      <c r="D3112"/>
    </row>
    <row r="3113" spans="2:4">
      <c r="B3113" s="4"/>
      <c r="D3113"/>
    </row>
    <row r="3114" spans="2:4">
      <c r="B3114" s="4"/>
      <c r="D3114"/>
    </row>
    <row r="3115" spans="2:4">
      <c r="B3115" s="4"/>
      <c r="D3115"/>
    </row>
    <row r="3116" spans="2:4">
      <c r="B3116" s="4"/>
      <c r="D3116"/>
    </row>
    <row r="3117" spans="2:4">
      <c r="B3117" s="4"/>
      <c r="D3117"/>
    </row>
    <row r="3118" spans="2:4">
      <c r="B3118" s="4"/>
      <c r="D3118"/>
    </row>
    <row r="3119" spans="2:4">
      <c r="B3119" s="4"/>
      <c r="D3119"/>
    </row>
    <row r="3120" spans="2:4">
      <c r="B3120" s="4"/>
      <c r="D3120"/>
    </row>
    <row r="3121" spans="2:4">
      <c r="B3121" s="4"/>
      <c r="D3121"/>
    </row>
    <row r="3122" spans="2:4">
      <c r="B3122" s="4"/>
      <c r="D3122"/>
    </row>
    <row r="3123" spans="2:4">
      <c r="B3123" s="4"/>
      <c r="D3123"/>
    </row>
    <row r="3124" spans="2:4">
      <c r="B3124" s="4"/>
      <c r="D3124"/>
    </row>
    <row r="3125" spans="2:4">
      <c r="B3125" s="4"/>
      <c r="D3125"/>
    </row>
    <row r="3126" spans="2:4">
      <c r="B3126" s="4"/>
      <c r="D3126"/>
    </row>
    <row r="3127" spans="2:4">
      <c r="B3127" s="4"/>
      <c r="D3127"/>
    </row>
    <row r="3128" spans="2:4">
      <c r="B3128" s="4"/>
      <c r="D3128"/>
    </row>
    <row r="3129" spans="2:4">
      <c r="B3129" s="4"/>
      <c r="D3129"/>
    </row>
    <row r="3130" spans="2:4">
      <c r="B3130" s="4"/>
      <c r="D3130"/>
    </row>
    <row r="3131" spans="2:4">
      <c r="B3131" s="4"/>
      <c r="D3131"/>
    </row>
    <row r="3132" spans="2:4">
      <c r="B3132" s="4"/>
      <c r="D3132"/>
    </row>
    <row r="3133" spans="2:4">
      <c r="B3133" s="4"/>
      <c r="D3133"/>
    </row>
    <row r="3134" spans="2:4">
      <c r="B3134" s="4"/>
      <c r="D3134"/>
    </row>
    <row r="3135" spans="2:4">
      <c r="B3135" s="4"/>
      <c r="D3135"/>
    </row>
    <row r="3136" spans="2:4">
      <c r="B3136" s="4"/>
      <c r="D3136"/>
    </row>
    <row r="3137" spans="2:4">
      <c r="B3137" s="4"/>
      <c r="D3137"/>
    </row>
    <row r="3138" spans="2:4">
      <c r="B3138" s="4"/>
      <c r="D3138"/>
    </row>
    <row r="3139" spans="2:4">
      <c r="B3139" s="4"/>
      <c r="D3139"/>
    </row>
    <row r="3140" spans="2:4">
      <c r="B3140" s="4"/>
      <c r="D3140"/>
    </row>
    <row r="3141" spans="2:4">
      <c r="B3141" s="4"/>
      <c r="D3141"/>
    </row>
    <row r="3142" spans="2:4">
      <c r="B3142" s="4"/>
      <c r="D3142"/>
    </row>
    <row r="3143" spans="2:4">
      <c r="B3143" s="4"/>
      <c r="D3143"/>
    </row>
    <row r="3144" spans="2:4">
      <c r="B3144" s="4"/>
      <c r="D3144"/>
    </row>
    <row r="3145" spans="2:4">
      <c r="B3145" s="4"/>
      <c r="D3145"/>
    </row>
    <row r="3146" spans="2:4">
      <c r="B3146" s="4"/>
      <c r="D3146"/>
    </row>
    <row r="3147" spans="2:4">
      <c r="B3147" s="4"/>
      <c r="D3147"/>
    </row>
    <row r="3148" spans="2:4">
      <c r="B3148" s="4"/>
      <c r="D3148"/>
    </row>
    <row r="3149" spans="2:4">
      <c r="B3149" s="4"/>
      <c r="D3149"/>
    </row>
    <row r="3150" spans="2:4">
      <c r="B3150" s="4"/>
      <c r="D3150"/>
    </row>
  </sheetData>
  <sheetCalcPr fullCalcOnLoad="1"/>
  <sheetProtection sheet="1" objects="1" scenarios="1"/>
  <mergeCells count="1">
    <mergeCell ref="E8:H8"/>
  </mergeCells>
  <pageMargins left="0.75" right="0.75" top="1" bottom="1" header="0.5" footer="0.5"/>
  <pageSetup scale="24" orientation="portrait" horizontalDpi="4294967292" verticalDpi="4294967292"/>
  <headerFooter alignWithMargins="0">
    <oddHeader>&amp;C&amp;"Charcoal,Regular"&amp;0&amp;F -- &amp;A</oddHeader>
    <oddFooter>&amp;LPage &amp;P of &amp;N&amp;R&amp;T, &amp;D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200"/>
  <sheetViews>
    <sheetView workbookViewId="0">
      <selection sqref="A1:J30"/>
    </sheetView>
  </sheetViews>
  <sheetFormatPr defaultRowHeight="12.5"/>
  <cols>
    <col min="1" max="256" width="10.90625" customWidth="1"/>
  </cols>
  <sheetData>
    <row r="1" spans="1:10">
      <c r="A1" t="s">
        <v>105</v>
      </c>
      <c r="B1">
        <v>0.63000000000000966</v>
      </c>
      <c r="C1" t="s">
        <v>19</v>
      </c>
      <c r="E1" s="5">
        <v>99.7</v>
      </c>
      <c r="F1" s="5">
        <v>314.8</v>
      </c>
      <c r="G1" s="5">
        <v>161.9</v>
      </c>
      <c r="H1" s="5">
        <v>132</v>
      </c>
      <c r="I1" s="5" t="s">
        <v>20</v>
      </c>
      <c r="J1" s="5"/>
    </row>
    <row r="2" spans="1:10">
      <c r="A2" t="s">
        <v>104</v>
      </c>
      <c r="B2">
        <v>0.84000000000003183</v>
      </c>
      <c r="C2" t="s">
        <v>19</v>
      </c>
      <c r="E2" s="5">
        <v>342.4</v>
      </c>
      <c r="F2" s="5">
        <v>245.2</v>
      </c>
      <c r="G2" s="5">
        <v>111.8</v>
      </c>
      <c r="H2" s="5">
        <v>99.1</v>
      </c>
      <c r="I2" s="5" t="s">
        <v>20</v>
      </c>
      <c r="J2" s="5"/>
    </row>
    <row r="3" spans="1:10">
      <c r="A3" t="s">
        <v>91</v>
      </c>
      <c r="B3">
        <v>0.85999999999999943</v>
      </c>
      <c r="C3" t="s">
        <v>19</v>
      </c>
      <c r="E3" s="5">
        <v>387.8</v>
      </c>
      <c r="F3" s="5">
        <v>105.7</v>
      </c>
      <c r="G3" s="5">
        <v>247</v>
      </c>
      <c r="H3" s="5">
        <v>522.20000000000005</v>
      </c>
      <c r="I3" s="5" t="s">
        <v>68</v>
      </c>
      <c r="J3" t="s">
        <v>68</v>
      </c>
    </row>
    <row r="4" spans="1:10">
      <c r="A4" t="s">
        <v>32</v>
      </c>
      <c r="B4">
        <v>0.94999999999998863</v>
      </c>
      <c r="C4" t="s">
        <v>19</v>
      </c>
      <c r="E4" s="5" t="s">
        <v>20</v>
      </c>
      <c r="F4" s="5" t="s">
        <v>20</v>
      </c>
      <c r="G4" s="5">
        <v>129</v>
      </c>
      <c r="H4" s="5">
        <v>266.3</v>
      </c>
      <c r="I4" s="5" t="s">
        <v>68</v>
      </c>
      <c r="J4" s="5" t="s">
        <v>68</v>
      </c>
    </row>
    <row r="5" spans="1:10">
      <c r="A5" t="s">
        <v>87</v>
      </c>
      <c r="B5">
        <v>1.28</v>
      </c>
      <c r="C5" t="s">
        <v>19</v>
      </c>
      <c r="E5" s="5">
        <v>45</v>
      </c>
      <c r="F5" s="5">
        <v>366</v>
      </c>
      <c r="G5" s="5">
        <v>129.80000000000001</v>
      </c>
      <c r="H5" s="5">
        <v>266.39999999999998</v>
      </c>
      <c r="I5" s="5" t="s">
        <v>68</v>
      </c>
      <c r="J5" s="5" t="s">
        <v>68</v>
      </c>
    </row>
    <row r="6" spans="1:10">
      <c r="A6" t="s">
        <v>92</v>
      </c>
      <c r="B6">
        <v>3.410000000000025</v>
      </c>
      <c r="C6" t="s">
        <v>67</v>
      </c>
      <c r="E6" s="5" t="s">
        <v>68</v>
      </c>
      <c r="F6" s="5" t="s">
        <v>68</v>
      </c>
      <c r="G6" s="5" t="s">
        <v>68</v>
      </c>
      <c r="H6" s="5" t="s">
        <v>68</v>
      </c>
      <c r="I6" s="5" t="s">
        <v>68</v>
      </c>
      <c r="J6" s="5" t="s">
        <v>68</v>
      </c>
    </row>
    <row r="7" spans="1:10">
      <c r="A7" t="s">
        <v>100</v>
      </c>
      <c r="B7">
        <v>6.160000000000025</v>
      </c>
      <c r="C7" t="s">
        <v>67</v>
      </c>
      <c r="E7" s="5" t="s">
        <v>68</v>
      </c>
      <c r="F7" s="5" t="s">
        <v>68</v>
      </c>
      <c r="G7" s="5" t="s">
        <v>68</v>
      </c>
      <c r="H7" s="5" t="s">
        <v>68</v>
      </c>
      <c r="I7" s="5" t="s">
        <v>68</v>
      </c>
      <c r="J7" s="5"/>
    </row>
    <row r="8" spans="1:10">
      <c r="A8" t="s">
        <v>74</v>
      </c>
      <c r="B8">
        <v>6.4799999999999613</v>
      </c>
      <c r="C8" t="s">
        <v>67</v>
      </c>
      <c r="E8" s="5" t="s">
        <v>68</v>
      </c>
      <c r="F8" s="5" t="s">
        <v>68</v>
      </c>
      <c r="G8" s="5" t="s">
        <v>68</v>
      </c>
      <c r="H8" s="5" t="s">
        <v>68</v>
      </c>
      <c r="I8" s="5" t="s">
        <v>68</v>
      </c>
      <c r="J8" s="5" t="s">
        <v>68</v>
      </c>
    </row>
    <row r="9" spans="1:10">
      <c r="A9" t="s">
        <v>54</v>
      </c>
      <c r="B9">
        <v>12.65</v>
      </c>
      <c r="C9" t="s">
        <v>67</v>
      </c>
      <c r="E9" s="5" t="s">
        <v>68</v>
      </c>
      <c r="F9" s="5" t="s">
        <v>68</v>
      </c>
      <c r="G9" s="5" t="s">
        <v>68</v>
      </c>
      <c r="H9" s="5" t="s">
        <v>68</v>
      </c>
      <c r="I9" s="5" t="s">
        <v>68</v>
      </c>
      <c r="J9" s="5" t="s">
        <v>68</v>
      </c>
    </row>
    <row r="10" spans="1:10">
      <c r="A10" t="s">
        <v>110</v>
      </c>
      <c r="B10">
        <v>13.82000000000005</v>
      </c>
      <c r="C10" t="s">
        <v>67</v>
      </c>
      <c r="E10" s="5" t="s">
        <v>68</v>
      </c>
      <c r="F10" s="5" t="s">
        <v>68</v>
      </c>
      <c r="G10" s="5" t="s">
        <v>68</v>
      </c>
      <c r="H10" s="5" t="s">
        <v>68</v>
      </c>
      <c r="I10" s="5" t="s">
        <v>68</v>
      </c>
    </row>
    <row r="11" spans="1:10">
      <c r="A11" t="s">
        <v>86</v>
      </c>
      <c r="B11">
        <v>15.96</v>
      </c>
      <c r="C11" t="s">
        <v>67</v>
      </c>
      <c r="E11" s="5" t="s">
        <v>68</v>
      </c>
      <c r="F11" s="5" t="s">
        <v>68</v>
      </c>
      <c r="G11" s="5" t="s">
        <v>68</v>
      </c>
      <c r="H11" s="5" t="s">
        <v>68</v>
      </c>
      <c r="I11" s="5" t="s">
        <v>68</v>
      </c>
      <c r="J11" s="5" t="s">
        <v>68</v>
      </c>
    </row>
    <row r="12" spans="1:10">
      <c r="A12" t="s">
        <v>78</v>
      </c>
      <c r="B12">
        <v>16.02</v>
      </c>
      <c r="C12" t="s">
        <v>67</v>
      </c>
      <c r="E12" s="5" t="s">
        <v>68</v>
      </c>
      <c r="F12" s="5" t="s">
        <v>68</v>
      </c>
      <c r="G12" s="5" t="s">
        <v>68</v>
      </c>
      <c r="H12" s="5" t="s">
        <v>68</v>
      </c>
      <c r="I12" s="5" t="s">
        <v>68</v>
      </c>
      <c r="J12" s="5" t="s">
        <v>68</v>
      </c>
    </row>
    <row r="13" spans="1:10">
      <c r="A13" t="s">
        <v>34</v>
      </c>
      <c r="B13">
        <v>16.920000000000002</v>
      </c>
      <c r="C13" t="s">
        <v>67</v>
      </c>
      <c r="E13" s="5" t="s">
        <v>68</v>
      </c>
      <c r="F13" s="5" t="s">
        <v>68</v>
      </c>
      <c r="G13" s="5" t="s">
        <v>68</v>
      </c>
      <c r="H13" s="5" t="s">
        <v>68</v>
      </c>
      <c r="I13" s="5" t="s">
        <v>68</v>
      </c>
      <c r="J13" t="s">
        <v>68</v>
      </c>
    </row>
    <row r="14" spans="1:10">
      <c r="A14" t="s">
        <v>106</v>
      </c>
      <c r="B14">
        <v>18.63</v>
      </c>
      <c r="C14" t="s">
        <v>67</v>
      </c>
      <c r="E14" s="5" t="s">
        <v>68</v>
      </c>
      <c r="F14" s="5" t="s">
        <v>68</v>
      </c>
      <c r="G14" s="5" t="s">
        <v>68</v>
      </c>
      <c r="H14" s="5" t="s">
        <v>68</v>
      </c>
      <c r="I14" s="5" t="s">
        <v>68</v>
      </c>
      <c r="J14" s="5"/>
    </row>
    <row r="15" spans="1:10">
      <c r="A15" t="s">
        <v>95</v>
      </c>
      <c r="B15">
        <v>18.96</v>
      </c>
      <c r="C15" t="s">
        <v>67</v>
      </c>
      <c r="E15" s="5" t="s">
        <v>68</v>
      </c>
      <c r="F15" s="5" t="s">
        <v>68</v>
      </c>
      <c r="G15" s="5" t="s">
        <v>68</v>
      </c>
      <c r="H15" s="5" t="s">
        <v>68</v>
      </c>
      <c r="I15" s="5" t="s">
        <v>68</v>
      </c>
      <c r="J15" s="5" t="s">
        <v>68</v>
      </c>
    </row>
    <row r="16" spans="1:10">
      <c r="A16" t="s">
        <v>75</v>
      </c>
      <c r="B16">
        <v>19.03</v>
      </c>
      <c r="C16" t="s">
        <v>67</v>
      </c>
      <c r="E16" s="5" t="s">
        <v>68</v>
      </c>
      <c r="F16" s="5" t="s">
        <v>68</v>
      </c>
      <c r="G16" s="5" t="s">
        <v>68</v>
      </c>
      <c r="H16" s="5" t="s">
        <v>68</v>
      </c>
      <c r="I16" s="5" t="s">
        <v>68</v>
      </c>
      <c r="J16" t="s">
        <v>68</v>
      </c>
    </row>
    <row r="17" spans="1:10">
      <c r="A17" t="s">
        <v>93</v>
      </c>
      <c r="B17">
        <v>19.808007200000134</v>
      </c>
      <c r="C17" t="s">
        <v>67</v>
      </c>
      <c r="E17" s="5" t="s">
        <v>68</v>
      </c>
      <c r="F17" s="5" t="s">
        <v>68</v>
      </c>
      <c r="G17" s="5" t="s">
        <v>68</v>
      </c>
      <c r="H17" s="5" t="s">
        <v>68</v>
      </c>
      <c r="I17" s="5" t="s">
        <v>68</v>
      </c>
      <c r="J17" t="s">
        <v>68</v>
      </c>
    </row>
    <row r="18" spans="1:10">
      <c r="A18" t="s">
        <v>115</v>
      </c>
      <c r="B18">
        <v>21.44</v>
      </c>
      <c r="C18" t="s">
        <v>67</v>
      </c>
      <c r="E18" s="5" t="s">
        <v>68</v>
      </c>
      <c r="F18" s="5" t="s">
        <v>68</v>
      </c>
      <c r="G18" s="5" t="s">
        <v>68</v>
      </c>
      <c r="H18" s="5" t="s">
        <v>68</v>
      </c>
      <c r="I18" s="5" t="s">
        <v>68</v>
      </c>
      <c r="J18" s="5"/>
    </row>
    <row r="19" spans="1:10">
      <c r="A19" t="s">
        <v>83</v>
      </c>
      <c r="B19">
        <v>21.63</v>
      </c>
      <c r="C19" t="s">
        <v>67</v>
      </c>
      <c r="E19" s="5" t="s">
        <v>68</v>
      </c>
      <c r="F19" s="5" t="s">
        <v>68</v>
      </c>
      <c r="G19" s="5" t="s">
        <v>68</v>
      </c>
      <c r="H19" s="5" t="s">
        <v>68</v>
      </c>
      <c r="I19" s="5" t="s">
        <v>68</v>
      </c>
      <c r="J19" s="5" t="s">
        <v>68</v>
      </c>
    </row>
    <row r="20" spans="1:10">
      <c r="A20" t="s">
        <v>36</v>
      </c>
      <c r="B20">
        <v>24.208007200000111</v>
      </c>
      <c r="C20" t="s">
        <v>67</v>
      </c>
      <c r="E20" s="5" t="s">
        <v>68</v>
      </c>
      <c r="F20" s="5" t="s">
        <v>68</v>
      </c>
      <c r="G20" s="5" t="s">
        <v>68</v>
      </c>
      <c r="H20" s="5" t="s">
        <v>68</v>
      </c>
      <c r="I20" s="5" t="s">
        <v>68</v>
      </c>
      <c r="J20" s="5" t="s">
        <v>68</v>
      </c>
    </row>
    <row r="21" spans="1:10">
      <c r="A21" t="s">
        <v>112</v>
      </c>
      <c r="B21">
        <v>26.51</v>
      </c>
      <c r="C21" t="s">
        <v>67</v>
      </c>
      <c r="E21" s="5" t="s">
        <v>68</v>
      </c>
      <c r="F21" s="5" t="s">
        <v>68</v>
      </c>
      <c r="G21" s="5" t="s">
        <v>68</v>
      </c>
      <c r="H21" s="5" t="s">
        <v>68</v>
      </c>
      <c r="I21" s="5" t="s">
        <v>68</v>
      </c>
      <c r="J21" s="5"/>
    </row>
    <row r="22" spans="1:10">
      <c r="A22" t="s">
        <v>114</v>
      </c>
      <c r="B22">
        <v>26.54</v>
      </c>
      <c r="C22" t="s">
        <v>67</v>
      </c>
      <c r="E22" s="5" t="s">
        <v>68</v>
      </c>
      <c r="F22" s="5" t="s">
        <v>68</v>
      </c>
      <c r="G22" s="5" t="s">
        <v>68</v>
      </c>
      <c r="H22" s="5" t="s">
        <v>68</v>
      </c>
      <c r="I22" s="5" t="s">
        <v>68</v>
      </c>
    </row>
    <row r="23" spans="1:10">
      <c r="A23" t="s">
        <v>76</v>
      </c>
      <c r="B23">
        <v>31.24</v>
      </c>
      <c r="C23" t="s">
        <v>67</v>
      </c>
      <c r="E23" s="5" t="s">
        <v>68</v>
      </c>
      <c r="F23" s="5" t="s">
        <v>68</v>
      </c>
      <c r="G23" s="5" t="s">
        <v>68</v>
      </c>
      <c r="H23" s="5" t="s">
        <v>68</v>
      </c>
      <c r="I23" s="5" t="s">
        <v>68</v>
      </c>
      <c r="J23" s="5" t="s">
        <v>68</v>
      </c>
    </row>
    <row r="24" spans="1:10">
      <c r="A24" t="s">
        <v>96</v>
      </c>
      <c r="B24">
        <v>35.82</v>
      </c>
      <c r="C24" t="s">
        <v>67</v>
      </c>
      <c r="E24" s="5" t="s">
        <v>68</v>
      </c>
      <c r="F24" s="5" t="s">
        <v>68</v>
      </c>
      <c r="G24" s="5" t="s">
        <v>68</v>
      </c>
      <c r="H24" s="5" t="s">
        <v>68</v>
      </c>
      <c r="I24" s="5" t="s">
        <v>68</v>
      </c>
      <c r="J24" t="s">
        <v>68</v>
      </c>
    </row>
    <row r="25" spans="1:10">
      <c r="A25" t="s">
        <v>99</v>
      </c>
      <c r="B25">
        <v>37.491992799999935</v>
      </c>
      <c r="C25" t="s">
        <v>67</v>
      </c>
      <c r="E25" s="5" t="s">
        <v>68</v>
      </c>
      <c r="F25" s="5" t="s">
        <v>68</v>
      </c>
      <c r="G25" s="5" t="s">
        <v>68</v>
      </c>
      <c r="H25" s="5" t="s">
        <v>68</v>
      </c>
      <c r="I25" s="5" t="s">
        <v>68</v>
      </c>
      <c r="J25" s="5"/>
    </row>
    <row r="26" spans="1:10">
      <c r="A26" t="s">
        <v>101</v>
      </c>
      <c r="B26">
        <v>40.04</v>
      </c>
      <c r="C26" t="s">
        <v>67</v>
      </c>
      <c r="E26" s="5" t="s">
        <v>68</v>
      </c>
      <c r="F26" s="5" t="s">
        <v>68</v>
      </c>
      <c r="G26" s="5" t="s">
        <v>68</v>
      </c>
      <c r="H26" s="5" t="s">
        <v>68</v>
      </c>
      <c r="I26" s="5" t="s">
        <v>68</v>
      </c>
    </row>
    <row r="27" spans="1:10">
      <c r="A27" t="s">
        <v>33</v>
      </c>
      <c r="B27">
        <v>40.83</v>
      </c>
      <c r="C27" t="s">
        <v>67</v>
      </c>
      <c r="E27" s="5" t="s">
        <v>68</v>
      </c>
      <c r="F27" s="5" t="s">
        <v>68</v>
      </c>
      <c r="G27" s="5" t="s">
        <v>68</v>
      </c>
      <c r="H27" s="5" t="s">
        <v>68</v>
      </c>
      <c r="I27" s="5" t="s">
        <v>68</v>
      </c>
      <c r="J27" t="s">
        <v>68</v>
      </c>
    </row>
    <row r="28" spans="1:10">
      <c r="A28" t="s">
        <v>94</v>
      </c>
      <c r="B28">
        <v>53.54</v>
      </c>
      <c r="C28" t="s">
        <v>67</v>
      </c>
      <c r="E28" s="5" t="s">
        <v>68</v>
      </c>
      <c r="F28" s="5" t="s">
        <v>68</v>
      </c>
      <c r="G28" s="5" t="s">
        <v>68</v>
      </c>
      <c r="H28" s="5" t="s">
        <v>68</v>
      </c>
      <c r="I28" s="5" t="s">
        <v>68</v>
      </c>
      <c r="J28" s="5" t="s">
        <v>68</v>
      </c>
    </row>
    <row r="29" spans="1:10">
      <c r="A29" t="s">
        <v>107</v>
      </c>
      <c r="B29">
        <v>56.74</v>
      </c>
      <c r="C29" t="s">
        <v>67</v>
      </c>
      <c r="E29" s="5" t="s">
        <v>68</v>
      </c>
      <c r="F29" s="5" t="s">
        <v>68</v>
      </c>
      <c r="G29" s="5" t="s">
        <v>68</v>
      </c>
      <c r="H29" s="5" t="s">
        <v>68</v>
      </c>
      <c r="I29" s="5" t="s">
        <v>68</v>
      </c>
      <c r="J29" s="5"/>
    </row>
    <row r="30" spans="1:10">
      <c r="A30" t="s">
        <v>111</v>
      </c>
      <c r="B30">
        <v>58.14</v>
      </c>
      <c r="C30" t="s">
        <v>67</v>
      </c>
      <c r="E30" s="5" t="s">
        <v>68</v>
      </c>
      <c r="F30" s="5" t="s">
        <v>68</v>
      </c>
      <c r="G30" s="5" t="s">
        <v>68</v>
      </c>
      <c r="H30" s="5" t="s">
        <v>68</v>
      </c>
      <c r="I30" s="5" t="s">
        <v>68</v>
      </c>
    </row>
    <row r="31" spans="1:10">
      <c r="A31" t="s">
        <v>28</v>
      </c>
      <c r="B31">
        <v>60.93</v>
      </c>
      <c r="C31" t="s">
        <v>67</v>
      </c>
      <c r="E31" s="5" t="s">
        <v>68</v>
      </c>
      <c r="F31" s="5" t="s">
        <v>68</v>
      </c>
      <c r="G31" s="5" t="s">
        <v>68</v>
      </c>
      <c r="H31" s="5" t="s">
        <v>68</v>
      </c>
      <c r="I31" s="5" t="s">
        <v>68</v>
      </c>
      <c r="J31" s="5" t="s">
        <v>68</v>
      </c>
    </row>
    <row r="32" spans="1:10">
      <c r="A32" t="s">
        <v>77</v>
      </c>
      <c r="B32">
        <v>67.38</v>
      </c>
      <c r="C32" t="s">
        <v>67</v>
      </c>
      <c r="E32" s="5" t="s">
        <v>68</v>
      </c>
      <c r="F32" s="5" t="s">
        <v>68</v>
      </c>
      <c r="G32" s="5" t="s">
        <v>68</v>
      </c>
      <c r="H32" s="5" t="s">
        <v>68</v>
      </c>
      <c r="I32" s="5" t="s">
        <v>68</v>
      </c>
      <c r="J32" s="5" t="s">
        <v>68</v>
      </c>
    </row>
    <row r="33" spans="1:10">
      <c r="A33" t="s">
        <v>38</v>
      </c>
      <c r="B33">
        <v>67.94</v>
      </c>
      <c r="C33" t="s">
        <v>67</v>
      </c>
      <c r="E33" s="5" t="s">
        <v>68</v>
      </c>
      <c r="F33" s="5" t="s">
        <v>68</v>
      </c>
      <c r="G33" s="5" t="s">
        <v>68</v>
      </c>
      <c r="H33" s="5" t="s">
        <v>68</v>
      </c>
      <c r="I33" s="5" t="s">
        <v>68</v>
      </c>
      <c r="J33" s="5" t="s">
        <v>68</v>
      </c>
    </row>
    <row r="34" spans="1:10">
      <c r="A34" t="s">
        <v>26</v>
      </c>
      <c r="B34">
        <v>76.44</v>
      </c>
      <c r="C34" t="s">
        <v>67</v>
      </c>
      <c r="E34" s="5" t="s">
        <v>68</v>
      </c>
      <c r="F34" s="5" t="s">
        <v>68</v>
      </c>
      <c r="G34" s="5" t="s">
        <v>68</v>
      </c>
      <c r="H34" s="5" t="s">
        <v>68</v>
      </c>
      <c r="I34" s="5" t="s">
        <v>68</v>
      </c>
      <c r="J34" t="s">
        <v>68</v>
      </c>
    </row>
    <row r="35" spans="1:10">
      <c r="A35" t="s">
        <v>102</v>
      </c>
      <c r="B35">
        <v>77.64</v>
      </c>
      <c r="C35" t="s">
        <v>67</v>
      </c>
      <c r="E35" s="5" t="s">
        <v>68</v>
      </c>
      <c r="F35" s="5" t="s">
        <v>68</v>
      </c>
      <c r="G35" s="5" t="s">
        <v>68</v>
      </c>
      <c r="H35" s="5" t="s">
        <v>68</v>
      </c>
      <c r="I35" s="5" t="s">
        <v>68</v>
      </c>
      <c r="J35" s="5"/>
    </row>
    <row r="36" spans="1:10">
      <c r="A36" t="s">
        <v>80</v>
      </c>
      <c r="B36">
        <v>88.83</v>
      </c>
      <c r="C36" t="s">
        <v>67</v>
      </c>
      <c r="E36" s="5" t="s">
        <v>68</v>
      </c>
      <c r="F36" s="5" t="s">
        <v>68</v>
      </c>
      <c r="G36" s="5" t="s">
        <v>68</v>
      </c>
      <c r="H36" s="5" t="s">
        <v>68</v>
      </c>
      <c r="I36" s="5" t="s">
        <v>68</v>
      </c>
      <c r="J36" t="s">
        <v>68</v>
      </c>
    </row>
    <row r="37" spans="1:10">
      <c r="A37" t="s">
        <v>97</v>
      </c>
      <c r="B37">
        <v>96.04</v>
      </c>
      <c r="C37" t="s">
        <v>67</v>
      </c>
      <c r="E37" s="5" t="s">
        <v>68</v>
      </c>
      <c r="F37" s="5" t="s">
        <v>68</v>
      </c>
      <c r="G37" s="5" t="s">
        <v>68</v>
      </c>
      <c r="H37" s="5" t="s">
        <v>68</v>
      </c>
      <c r="I37" s="5" t="s">
        <v>68</v>
      </c>
      <c r="J37" s="5" t="s">
        <v>68</v>
      </c>
    </row>
    <row r="38" spans="1:10">
      <c r="A38" t="s">
        <v>84</v>
      </c>
      <c r="B38">
        <v>96.13</v>
      </c>
      <c r="C38" t="s">
        <v>67</v>
      </c>
      <c r="E38" s="5" t="s">
        <v>68</v>
      </c>
      <c r="F38" s="5" t="s">
        <v>68</v>
      </c>
      <c r="G38" s="5" t="s">
        <v>68</v>
      </c>
      <c r="H38" s="5" t="s">
        <v>68</v>
      </c>
      <c r="I38" s="5" t="s">
        <v>68</v>
      </c>
      <c r="J38" t="s">
        <v>68</v>
      </c>
    </row>
    <row r="39" spans="1:10">
      <c r="A39" t="s">
        <v>37</v>
      </c>
      <c r="B39">
        <v>101.34</v>
      </c>
      <c r="C39" t="s">
        <v>67</v>
      </c>
      <c r="E39" s="5" t="s">
        <v>68</v>
      </c>
      <c r="F39" s="5" t="s">
        <v>68</v>
      </c>
      <c r="G39" s="5" t="s">
        <v>68</v>
      </c>
      <c r="H39" s="5" t="s">
        <v>68</v>
      </c>
      <c r="I39" s="5" t="s">
        <v>68</v>
      </c>
      <c r="J39" t="s">
        <v>68</v>
      </c>
    </row>
    <row r="40" spans="1:10">
      <c r="A40" t="s">
        <v>108</v>
      </c>
      <c r="B40">
        <v>102.64</v>
      </c>
      <c r="C40" t="s">
        <v>67</v>
      </c>
      <c r="E40" s="5" t="s">
        <v>68</v>
      </c>
      <c r="F40" s="5" t="s">
        <v>68</v>
      </c>
      <c r="G40" s="5" t="s">
        <v>68</v>
      </c>
      <c r="H40" s="5" t="s">
        <v>68</v>
      </c>
      <c r="I40" s="5" t="s">
        <v>68</v>
      </c>
      <c r="J40" s="5"/>
    </row>
    <row r="41" spans="1:10">
      <c r="A41" t="s">
        <v>118</v>
      </c>
      <c r="B41">
        <v>106.14</v>
      </c>
      <c r="C41" t="s">
        <v>67</v>
      </c>
      <c r="E41" s="5" t="s">
        <v>68</v>
      </c>
      <c r="F41" s="5" t="s">
        <v>68</v>
      </c>
      <c r="G41" s="5" t="s">
        <v>68</v>
      </c>
      <c r="H41" s="5" t="s">
        <v>68</v>
      </c>
      <c r="I41" s="5" t="s">
        <v>68</v>
      </c>
      <c r="J41" s="5"/>
    </row>
    <row r="42" spans="1:10">
      <c r="A42" t="s">
        <v>113</v>
      </c>
      <c r="B42">
        <v>110.94</v>
      </c>
      <c r="C42" t="s">
        <v>67</v>
      </c>
      <c r="E42" s="5" t="s">
        <v>68</v>
      </c>
      <c r="F42" s="5" t="s">
        <v>68</v>
      </c>
      <c r="G42" s="5" t="s">
        <v>68</v>
      </c>
      <c r="H42" s="5" t="s">
        <v>68</v>
      </c>
      <c r="I42" s="5" t="s">
        <v>68</v>
      </c>
    </row>
    <row r="43" spans="1:10">
      <c r="A43" t="s">
        <v>61</v>
      </c>
      <c r="B43">
        <v>113.53</v>
      </c>
      <c r="C43" t="s">
        <v>67</v>
      </c>
      <c r="E43" s="5" t="s">
        <v>68</v>
      </c>
      <c r="F43" s="5" t="s">
        <v>68</v>
      </c>
      <c r="G43" s="5" t="s">
        <v>68</v>
      </c>
      <c r="H43" s="5" t="s">
        <v>68</v>
      </c>
      <c r="I43" s="5" t="s">
        <v>68</v>
      </c>
      <c r="J43" t="s">
        <v>68</v>
      </c>
    </row>
    <row r="44" spans="1:10">
      <c r="A44" t="s">
        <v>117</v>
      </c>
      <c r="B44">
        <v>113.93</v>
      </c>
      <c r="C44" t="s">
        <v>67</v>
      </c>
      <c r="E44" s="5" t="s">
        <v>68</v>
      </c>
      <c r="F44" s="5" t="s">
        <v>68</v>
      </c>
      <c r="G44" s="5" t="s">
        <v>68</v>
      </c>
      <c r="H44" s="5" t="s">
        <v>68</v>
      </c>
      <c r="I44" s="5" t="s">
        <v>68</v>
      </c>
      <c r="J44" s="5"/>
    </row>
    <row r="45" spans="1:10">
      <c r="A45" t="s">
        <v>116</v>
      </c>
      <c r="B45">
        <v>183.75</v>
      </c>
      <c r="C45" t="s">
        <v>67</v>
      </c>
      <c r="E45" s="5" t="s">
        <v>68</v>
      </c>
      <c r="F45" s="5" t="s">
        <v>68</v>
      </c>
      <c r="G45" s="5" t="s">
        <v>68</v>
      </c>
      <c r="H45" s="5" t="s">
        <v>68</v>
      </c>
      <c r="I45" s="5" t="s">
        <v>68</v>
      </c>
      <c r="J45" s="5"/>
    </row>
    <row r="46" spans="1:10">
      <c r="A46" t="s">
        <v>88</v>
      </c>
      <c r="B46">
        <v>189.05</v>
      </c>
      <c r="C46" t="s">
        <v>67</v>
      </c>
      <c r="E46" s="5" t="s">
        <v>68</v>
      </c>
      <c r="F46" s="5" t="s">
        <v>68</v>
      </c>
      <c r="G46" s="5" t="s">
        <v>68</v>
      </c>
      <c r="H46" s="5" t="s">
        <v>68</v>
      </c>
      <c r="I46" s="5" t="s">
        <v>68</v>
      </c>
      <c r="J46" t="s">
        <v>68</v>
      </c>
    </row>
    <row r="47" spans="1:10">
      <c r="A47" t="s">
        <v>81</v>
      </c>
      <c r="B47">
        <v>190.85</v>
      </c>
      <c r="C47" t="s">
        <v>67</v>
      </c>
      <c r="E47" s="5" t="s">
        <v>68</v>
      </c>
      <c r="F47" s="5" t="s">
        <v>68</v>
      </c>
      <c r="G47" s="5" t="s">
        <v>68</v>
      </c>
      <c r="H47" s="5" t="s">
        <v>68</v>
      </c>
      <c r="I47" s="5" t="s">
        <v>68</v>
      </c>
      <c r="J47" s="5" t="s">
        <v>68</v>
      </c>
    </row>
    <row r="48" spans="1:10">
      <c r="A48" t="s">
        <v>79</v>
      </c>
      <c r="B48">
        <v>193.35</v>
      </c>
      <c r="C48" t="s">
        <v>67</v>
      </c>
      <c r="E48" s="5" t="s">
        <v>68</v>
      </c>
      <c r="F48" s="5" t="s">
        <v>68</v>
      </c>
      <c r="G48" s="5" t="s">
        <v>68</v>
      </c>
      <c r="H48" s="5" t="s">
        <v>68</v>
      </c>
      <c r="I48" s="5" t="s">
        <v>68</v>
      </c>
      <c r="J48" s="5" t="s">
        <v>68</v>
      </c>
    </row>
    <row r="49" spans="1:10">
      <c r="A49" t="s">
        <v>27</v>
      </c>
      <c r="B49">
        <v>272.95</v>
      </c>
      <c r="C49" t="s">
        <v>67</v>
      </c>
      <c r="E49" s="5" t="s">
        <v>68</v>
      </c>
      <c r="F49" s="5" t="s">
        <v>68</v>
      </c>
      <c r="G49" s="5" t="s">
        <v>68</v>
      </c>
      <c r="H49" s="5" t="s">
        <v>68</v>
      </c>
      <c r="I49" s="5" t="s">
        <v>68</v>
      </c>
      <c r="J49" s="5" t="s">
        <v>68</v>
      </c>
    </row>
    <row r="50" spans="1:10">
      <c r="A50" t="s">
        <v>85</v>
      </c>
      <c r="B50">
        <v>312.95</v>
      </c>
      <c r="C50" t="s">
        <v>67</v>
      </c>
      <c r="E50" s="5" t="s">
        <v>68</v>
      </c>
      <c r="F50" s="5" t="s">
        <v>68</v>
      </c>
      <c r="G50" s="5" t="s">
        <v>68</v>
      </c>
      <c r="H50" s="5" t="s">
        <v>68</v>
      </c>
      <c r="I50" s="5" t="s">
        <v>68</v>
      </c>
      <c r="J50" t="s">
        <v>68</v>
      </c>
    </row>
    <row r="51" spans="1:10">
      <c r="A51" t="s">
        <v>103</v>
      </c>
      <c r="B51">
        <v>332.95</v>
      </c>
      <c r="C51" t="s">
        <v>67</v>
      </c>
      <c r="E51" s="5" t="s">
        <v>68</v>
      </c>
      <c r="F51" s="5" t="s">
        <v>68</v>
      </c>
      <c r="G51" s="5" t="s">
        <v>68</v>
      </c>
      <c r="H51" s="5" t="s">
        <v>68</v>
      </c>
      <c r="I51" s="5" t="s">
        <v>68</v>
      </c>
      <c r="J51" s="5"/>
    </row>
    <row r="52" spans="1:10">
      <c r="A52" t="s">
        <v>89</v>
      </c>
      <c r="B52">
        <v>333.05</v>
      </c>
      <c r="C52" t="s">
        <v>67</v>
      </c>
      <c r="E52" s="5" t="s">
        <v>68</v>
      </c>
      <c r="F52" s="5" t="s">
        <v>68</v>
      </c>
      <c r="G52" s="5" t="s">
        <v>68</v>
      </c>
      <c r="H52" s="5" t="s">
        <v>68</v>
      </c>
      <c r="I52" s="5" t="s">
        <v>68</v>
      </c>
      <c r="J52" s="5" t="s">
        <v>68</v>
      </c>
    </row>
    <row r="53" spans="1:10">
      <c r="A53" t="s">
        <v>82</v>
      </c>
      <c r="B53">
        <v>359.55</v>
      </c>
      <c r="C53" t="s">
        <v>67</v>
      </c>
      <c r="E53" s="5" t="s">
        <v>68</v>
      </c>
      <c r="F53" s="5" t="s">
        <v>68</v>
      </c>
      <c r="G53" s="5" t="s">
        <v>68</v>
      </c>
      <c r="H53" s="5" t="s">
        <v>68</v>
      </c>
      <c r="I53" s="5" t="s">
        <v>68</v>
      </c>
      <c r="J53" s="5" t="s">
        <v>68</v>
      </c>
    </row>
    <row r="54" spans="1:10">
      <c r="A54" t="s">
        <v>109</v>
      </c>
      <c r="B54">
        <v>406.05</v>
      </c>
      <c r="C54" t="s">
        <v>67</v>
      </c>
      <c r="E54" s="5" t="s">
        <v>68</v>
      </c>
      <c r="F54" s="5" t="s">
        <v>68</v>
      </c>
      <c r="G54" s="5" t="s">
        <v>68</v>
      </c>
      <c r="H54" s="5" t="s">
        <v>68</v>
      </c>
      <c r="I54" s="5" t="s">
        <v>68</v>
      </c>
      <c r="J54" s="5"/>
    </row>
    <row r="55" spans="1:10">
      <c r="A55" t="s">
        <v>73</v>
      </c>
      <c r="B55">
        <v>428.65</v>
      </c>
      <c r="C55" t="s">
        <v>67</v>
      </c>
      <c r="E55" s="5" t="s">
        <v>68</v>
      </c>
      <c r="F55" s="5" t="s">
        <v>68</v>
      </c>
      <c r="G55" s="5" t="s">
        <v>68</v>
      </c>
      <c r="H55" s="5" t="s">
        <v>68</v>
      </c>
      <c r="I55" s="5" t="s">
        <v>68</v>
      </c>
      <c r="J55" s="5" t="s">
        <v>68</v>
      </c>
    </row>
    <row r="56" spans="1:10">
      <c r="A56" t="s">
        <v>98</v>
      </c>
      <c r="B56">
        <v>438.05</v>
      </c>
      <c r="C56" t="s">
        <v>67</v>
      </c>
      <c r="E56" s="5" t="s">
        <v>68</v>
      </c>
      <c r="F56" s="5" t="s">
        <v>68</v>
      </c>
      <c r="G56" s="5" t="s">
        <v>68</v>
      </c>
      <c r="H56" s="5" t="s">
        <v>68</v>
      </c>
      <c r="I56" s="5" t="s">
        <v>68</v>
      </c>
      <c r="J56" s="5" t="s">
        <v>68</v>
      </c>
    </row>
    <row r="57" spans="1:10">
      <c r="A57" t="s">
        <v>29</v>
      </c>
      <c r="B57">
        <v>443.05</v>
      </c>
      <c r="C57" t="s">
        <v>67</v>
      </c>
      <c r="E57" s="5" t="s">
        <v>68</v>
      </c>
      <c r="F57" s="5" t="s">
        <v>68</v>
      </c>
      <c r="G57" s="5" t="s">
        <v>68</v>
      </c>
      <c r="H57" s="5" t="s">
        <v>68</v>
      </c>
      <c r="I57" s="5" t="s">
        <v>68</v>
      </c>
      <c r="J57" s="5" t="s">
        <v>68</v>
      </c>
    </row>
    <row r="58" spans="1:10">
      <c r="A58" t="s">
        <v>71</v>
      </c>
      <c r="B58">
        <v>444.85</v>
      </c>
      <c r="C58" t="s">
        <v>67</v>
      </c>
      <c r="E58" s="5" t="s">
        <v>68</v>
      </c>
      <c r="F58" s="5" t="s">
        <v>68</v>
      </c>
      <c r="G58" s="5" t="s">
        <v>68</v>
      </c>
      <c r="H58" s="5" t="s">
        <v>68</v>
      </c>
      <c r="I58" s="5" t="s">
        <v>68</v>
      </c>
      <c r="J58" t="s">
        <v>68</v>
      </c>
    </row>
    <row r="59" spans="1:10">
      <c r="A59" t="s">
        <v>72</v>
      </c>
      <c r="B59">
        <v>445.45</v>
      </c>
      <c r="C59" t="s">
        <v>67</v>
      </c>
      <c r="E59" s="5" t="s">
        <v>68</v>
      </c>
      <c r="F59" s="5" t="s">
        <v>68</v>
      </c>
      <c r="G59" s="5" t="s">
        <v>68</v>
      </c>
      <c r="H59" s="5" t="s">
        <v>68</v>
      </c>
      <c r="I59" s="5" t="s">
        <v>68</v>
      </c>
      <c r="J59" s="5" t="s">
        <v>68</v>
      </c>
    </row>
    <row r="60" spans="1:10">
      <c r="A60" t="s">
        <v>35</v>
      </c>
      <c r="B60">
        <v>451.65</v>
      </c>
      <c r="C60" t="s">
        <v>67</v>
      </c>
      <c r="E60" s="5" t="s">
        <v>68</v>
      </c>
      <c r="F60" s="5" t="s">
        <v>68</v>
      </c>
      <c r="G60" s="5" t="s">
        <v>68</v>
      </c>
      <c r="H60" s="5" t="s">
        <v>68</v>
      </c>
      <c r="I60" s="5" t="s">
        <v>68</v>
      </c>
      <c r="J60" s="5" t="s">
        <v>68</v>
      </c>
    </row>
    <row r="61" spans="1:10">
      <c r="A61" t="s">
        <v>31</v>
      </c>
      <c r="B61">
        <v>455.05</v>
      </c>
      <c r="C61" t="s">
        <v>67</v>
      </c>
      <c r="E61" s="5" t="s">
        <v>68</v>
      </c>
      <c r="F61" s="5" t="s">
        <v>68</v>
      </c>
      <c r="G61" s="5" t="s">
        <v>68</v>
      </c>
      <c r="H61" s="5" t="s">
        <v>68</v>
      </c>
      <c r="I61" s="5" t="s">
        <v>68</v>
      </c>
      <c r="J61" t="s">
        <v>68</v>
      </c>
    </row>
    <row r="62" spans="1:10">
      <c r="A62" t="s">
        <v>90</v>
      </c>
      <c r="B62">
        <v>480.15</v>
      </c>
      <c r="C62" t="s">
        <v>67</v>
      </c>
      <c r="E62" s="5" t="s">
        <v>68</v>
      </c>
      <c r="F62" s="5" t="s">
        <v>68</v>
      </c>
      <c r="G62" s="5" t="s">
        <v>68</v>
      </c>
      <c r="H62" s="5" t="s">
        <v>68</v>
      </c>
      <c r="I62" s="5" t="s">
        <v>68</v>
      </c>
      <c r="J62" s="5" t="s">
        <v>68</v>
      </c>
    </row>
    <row r="63" spans="1:10">
      <c r="A63" t="s">
        <v>47</v>
      </c>
      <c r="B63">
        <v>485.55</v>
      </c>
      <c r="C63" t="s">
        <v>67</v>
      </c>
      <c r="E63" s="5" t="s">
        <v>68</v>
      </c>
      <c r="F63" s="5" t="s">
        <v>68</v>
      </c>
      <c r="G63" s="5" t="s">
        <v>68</v>
      </c>
      <c r="H63" s="5" t="s">
        <v>68</v>
      </c>
      <c r="I63" s="5" t="s">
        <v>68</v>
      </c>
      <c r="J63" s="5" t="s">
        <v>68</v>
      </c>
    </row>
    <row r="64" spans="1:10">
      <c r="A64" t="s">
        <v>30</v>
      </c>
      <c r="B64">
        <v>506.15</v>
      </c>
      <c r="C64" t="s">
        <v>67</v>
      </c>
      <c r="E64" s="5" t="s">
        <v>68</v>
      </c>
      <c r="F64" s="5" t="s">
        <v>68</v>
      </c>
      <c r="G64" s="5" t="s">
        <v>68</v>
      </c>
      <c r="H64" s="5" t="s">
        <v>68</v>
      </c>
      <c r="I64" s="5" t="s">
        <v>68</v>
      </c>
      <c r="J64" s="5" t="s">
        <v>68</v>
      </c>
    </row>
    <row r="65" spans="1:10">
      <c r="A65" t="s">
        <v>60</v>
      </c>
      <c r="B65">
        <v>630.45000000000005</v>
      </c>
      <c r="C65" t="s">
        <v>67</v>
      </c>
      <c r="E65" s="5" t="s">
        <v>68</v>
      </c>
      <c r="F65" s="5" t="s">
        <v>68</v>
      </c>
      <c r="G65" s="5" t="s">
        <v>68</v>
      </c>
      <c r="H65" s="5" t="s">
        <v>68</v>
      </c>
      <c r="I65" s="5" t="s">
        <v>68</v>
      </c>
      <c r="J65" s="5" t="s">
        <v>68</v>
      </c>
    </row>
    <row r="66" spans="1:10">
      <c r="A66" t="s">
        <v>68</v>
      </c>
      <c r="B66" t="s">
        <v>68</v>
      </c>
      <c r="C66" t="s">
        <v>68</v>
      </c>
      <c r="E66" s="5" t="s">
        <v>68</v>
      </c>
      <c r="F66" s="5" t="s">
        <v>68</v>
      </c>
      <c r="G66" s="5" t="s">
        <v>68</v>
      </c>
      <c r="H66" s="5" t="s">
        <v>68</v>
      </c>
      <c r="I66" s="5" t="s">
        <v>68</v>
      </c>
    </row>
    <row r="67" spans="1:10">
      <c r="A67" t="s">
        <v>68</v>
      </c>
      <c r="B67" t="s">
        <v>68</v>
      </c>
      <c r="C67" t="s">
        <v>68</v>
      </c>
      <c r="E67" s="5" t="s">
        <v>68</v>
      </c>
      <c r="F67" s="5" t="s">
        <v>68</v>
      </c>
      <c r="G67" s="5" t="s">
        <v>68</v>
      </c>
      <c r="H67" s="5" t="s">
        <v>68</v>
      </c>
      <c r="I67" s="5" t="s">
        <v>68</v>
      </c>
    </row>
    <row r="68" spans="1:10">
      <c r="A68" t="s">
        <v>68</v>
      </c>
      <c r="B68" t="s">
        <v>68</v>
      </c>
      <c r="C68" t="s">
        <v>68</v>
      </c>
      <c r="E68" s="5" t="s">
        <v>68</v>
      </c>
      <c r="F68" s="5" t="s">
        <v>68</v>
      </c>
      <c r="G68" s="5" t="s">
        <v>68</v>
      </c>
      <c r="H68" s="5" t="s">
        <v>68</v>
      </c>
      <c r="I68" s="5" t="s">
        <v>68</v>
      </c>
    </row>
    <row r="69" spans="1:10">
      <c r="A69" t="s">
        <v>68</v>
      </c>
      <c r="B69" t="s">
        <v>68</v>
      </c>
      <c r="C69" t="s">
        <v>68</v>
      </c>
      <c r="E69" s="5" t="s">
        <v>68</v>
      </c>
      <c r="F69" s="5" t="s">
        <v>68</v>
      </c>
      <c r="G69" s="5" t="s">
        <v>68</v>
      </c>
      <c r="H69" s="5" t="s">
        <v>68</v>
      </c>
      <c r="I69" s="5" t="s">
        <v>68</v>
      </c>
    </row>
    <row r="70" spans="1:10">
      <c r="A70" t="s">
        <v>68</v>
      </c>
      <c r="B70" t="s">
        <v>68</v>
      </c>
      <c r="C70" t="s">
        <v>68</v>
      </c>
      <c r="E70" s="5" t="s">
        <v>68</v>
      </c>
      <c r="F70" s="5" t="s">
        <v>68</v>
      </c>
      <c r="G70" s="5" t="s">
        <v>68</v>
      </c>
      <c r="H70" s="5" t="s">
        <v>68</v>
      </c>
      <c r="I70" s="5" t="s">
        <v>68</v>
      </c>
    </row>
    <row r="71" spans="1:10">
      <c r="A71" t="s">
        <v>68</v>
      </c>
      <c r="B71" t="s">
        <v>68</v>
      </c>
      <c r="C71" t="s">
        <v>68</v>
      </c>
      <c r="E71" s="5" t="s">
        <v>68</v>
      </c>
      <c r="F71" s="5" t="s">
        <v>68</v>
      </c>
      <c r="G71" s="5" t="s">
        <v>68</v>
      </c>
      <c r="H71" s="5" t="s">
        <v>68</v>
      </c>
      <c r="I71" s="5" t="s">
        <v>68</v>
      </c>
    </row>
    <row r="72" spans="1:10">
      <c r="A72" t="s">
        <v>68</v>
      </c>
      <c r="B72" t="s">
        <v>68</v>
      </c>
      <c r="C72" t="s">
        <v>68</v>
      </c>
      <c r="E72" s="5" t="s">
        <v>68</v>
      </c>
      <c r="F72" s="5" t="s">
        <v>68</v>
      </c>
      <c r="G72" s="5" t="s">
        <v>68</v>
      </c>
      <c r="H72" s="5" t="s">
        <v>68</v>
      </c>
      <c r="I72" s="5" t="s">
        <v>68</v>
      </c>
    </row>
    <row r="73" spans="1:10">
      <c r="A73" t="s">
        <v>68</v>
      </c>
      <c r="B73" t="s">
        <v>68</v>
      </c>
      <c r="C73" t="s">
        <v>68</v>
      </c>
      <c r="E73" s="5" t="s">
        <v>68</v>
      </c>
      <c r="F73" s="5" t="s">
        <v>68</v>
      </c>
      <c r="G73" s="5" t="s">
        <v>68</v>
      </c>
      <c r="H73" s="5" t="s">
        <v>68</v>
      </c>
      <c r="I73" s="5" t="s">
        <v>68</v>
      </c>
    </row>
    <row r="74" spans="1:10">
      <c r="A74" t="s">
        <v>68</v>
      </c>
      <c r="B74" t="s">
        <v>68</v>
      </c>
      <c r="C74" t="s">
        <v>68</v>
      </c>
      <c r="E74" s="5" t="s">
        <v>68</v>
      </c>
      <c r="F74" s="5" t="s">
        <v>68</v>
      </c>
      <c r="G74" s="5" t="s">
        <v>68</v>
      </c>
      <c r="H74" s="5" t="s">
        <v>68</v>
      </c>
      <c r="I74" s="5" t="s">
        <v>68</v>
      </c>
    </row>
    <row r="75" spans="1:10">
      <c r="A75" t="s">
        <v>68</v>
      </c>
      <c r="B75" t="s">
        <v>68</v>
      </c>
      <c r="C75" t="s">
        <v>68</v>
      </c>
      <c r="E75" s="5" t="s">
        <v>68</v>
      </c>
      <c r="F75" s="5" t="s">
        <v>68</v>
      </c>
      <c r="G75" s="5" t="s">
        <v>68</v>
      </c>
      <c r="H75" s="5" t="s">
        <v>68</v>
      </c>
      <c r="I75" s="5" t="s">
        <v>68</v>
      </c>
    </row>
    <row r="76" spans="1:10">
      <c r="A76" t="s">
        <v>68</v>
      </c>
      <c r="B76" t="s">
        <v>68</v>
      </c>
      <c r="C76" t="s">
        <v>68</v>
      </c>
      <c r="E76" s="5" t="s">
        <v>68</v>
      </c>
      <c r="F76" s="5" t="s">
        <v>68</v>
      </c>
      <c r="G76" s="5" t="s">
        <v>68</v>
      </c>
      <c r="H76" s="5" t="s">
        <v>68</v>
      </c>
      <c r="I76" s="5" t="s">
        <v>68</v>
      </c>
    </row>
    <row r="77" spans="1:10">
      <c r="A77" t="s">
        <v>68</v>
      </c>
      <c r="B77" t="s">
        <v>68</v>
      </c>
      <c r="C77" t="s">
        <v>68</v>
      </c>
      <c r="E77" s="5" t="s">
        <v>68</v>
      </c>
      <c r="F77" s="5" t="s">
        <v>68</v>
      </c>
      <c r="G77" s="5" t="s">
        <v>68</v>
      </c>
      <c r="H77" s="5" t="s">
        <v>68</v>
      </c>
      <c r="I77" s="5" t="s">
        <v>68</v>
      </c>
    </row>
    <row r="78" spans="1:10">
      <c r="A78" t="s">
        <v>68</v>
      </c>
      <c r="B78" t="s">
        <v>68</v>
      </c>
      <c r="C78" t="s">
        <v>68</v>
      </c>
      <c r="E78" s="5" t="s">
        <v>68</v>
      </c>
      <c r="F78" s="5" t="s">
        <v>68</v>
      </c>
      <c r="G78" s="5" t="s">
        <v>68</v>
      </c>
      <c r="H78" s="5" t="s">
        <v>68</v>
      </c>
      <c r="I78" s="5" t="s">
        <v>68</v>
      </c>
    </row>
    <row r="79" spans="1:10">
      <c r="A79" t="s">
        <v>68</v>
      </c>
      <c r="B79" t="s">
        <v>68</v>
      </c>
      <c r="C79" t="s">
        <v>68</v>
      </c>
      <c r="E79" s="5" t="s">
        <v>68</v>
      </c>
      <c r="F79" s="5" t="s">
        <v>68</v>
      </c>
      <c r="G79" s="5" t="s">
        <v>68</v>
      </c>
      <c r="H79" s="5" t="s">
        <v>68</v>
      </c>
      <c r="I79" s="5" t="s">
        <v>68</v>
      </c>
    </row>
    <row r="80" spans="1:10">
      <c r="A80" t="s">
        <v>68</v>
      </c>
      <c r="B80" t="s">
        <v>68</v>
      </c>
      <c r="C80" t="s">
        <v>68</v>
      </c>
      <c r="E80" s="5" t="s">
        <v>68</v>
      </c>
      <c r="F80" s="5" t="s">
        <v>68</v>
      </c>
      <c r="G80" s="5" t="s">
        <v>68</v>
      </c>
      <c r="H80" s="5" t="s">
        <v>68</v>
      </c>
      <c r="I80" s="5" t="s">
        <v>68</v>
      </c>
    </row>
    <row r="81" spans="1:9">
      <c r="A81" t="s">
        <v>68</v>
      </c>
      <c r="B81" t="s">
        <v>68</v>
      </c>
      <c r="C81" t="s">
        <v>68</v>
      </c>
      <c r="E81" s="5" t="s">
        <v>68</v>
      </c>
      <c r="F81" s="5" t="s">
        <v>68</v>
      </c>
      <c r="G81" s="5" t="s">
        <v>68</v>
      </c>
      <c r="H81" s="5" t="s">
        <v>68</v>
      </c>
      <c r="I81" s="5" t="s">
        <v>68</v>
      </c>
    </row>
    <row r="82" spans="1:9">
      <c r="A82" t="s">
        <v>68</v>
      </c>
      <c r="B82" t="s">
        <v>68</v>
      </c>
      <c r="C82" t="s">
        <v>68</v>
      </c>
      <c r="E82" s="5" t="s">
        <v>68</v>
      </c>
      <c r="F82" s="5" t="s">
        <v>68</v>
      </c>
      <c r="G82" s="5" t="s">
        <v>68</v>
      </c>
      <c r="H82" s="5" t="s">
        <v>68</v>
      </c>
      <c r="I82" s="5" t="s">
        <v>68</v>
      </c>
    </row>
    <row r="83" spans="1:9">
      <c r="A83" t="s">
        <v>68</v>
      </c>
      <c r="B83" t="s">
        <v>68</v>
      </c>
      <c r="C83" t="s">
        <v>68</v>
      </c>
      <c r="E83" s="5" t="s">
        <v>68</v>
      </c>
      <c r="F83" s="5" t="s">
        <v>68</v>
      </c>
      <c r="G83" s="5" t="s">
        <v>68</v>
      </c>
      <c r="H83" s="5" t="s">
        <v>68</v>
      </c>
      <c r="I83" s="5" t="s">
        <v>68</v>
      </c>
    </row>
    <row r="84" spans="1:9">
      <c r="A84" t="s">
        <v>68</v>
      </c>
      <c r="B84" t="s">
        <v>68</v>
      </c>
      <c r="C84" t="s">
        <v>68</v>
      </c>
      <c r="E84" s="5" t="s">
        <v>68</v>
      </c>
      <c r="F84" s="5" t="s">
        <v>68</v>
      </c>
      <c r="G84" s="5" t="s">
        <v>68</v>
      </c>
      <c r="H84" s="5" t="s">
        <v>68</v>
      </c>
      <c r="I84" s="5" t="s">
        <v>68</v>
      </c>
    </row>
    <row r="85" spans="1:9">
      <c r="A85" t="s">
        <v>68</v>
      </c>
      <c r="B85" t="s">
        <v>68</v>
      </c>
      <c r="C85" t="s">
        <v>68</v>
      </c>
      <c r="E85" s="5" t="s">
        <v>68</v>
      </c>
      <c r="F85" s="5" t="s">
        <v>68</v>
      </c>
      <c r="G85" s="5" t="s">
        <v>68</v>
      </c>
      <c r="H85" s="5" t="s">
        <v>68</v>
      </c>
      <c r="I85" s="5" t="s">
        <v>68</v>
      </c>
    </row>
    <row r="86" spans="1:9">
      <c r="A86" t="s">
        <v>68</v>
      </c>
      <c r="B86" t="s">
        <v>68</v>
      </c>
      <c r="C86" t="s">
        <v>68</v>
      </c>
      <c r="E86" s="5" t="s">
        <v>68</v>
      </c>
      <c r="F86" s="5" t="s">
        <v>68</v>
      </c>
      <c r="G86" s="5" t="s">
        <v>68</v>
      </c>
      <c r="H86" s="5" t="s">
        <v>68</v>
      </c>
      <c r="I86" s="5" t="s">
        <v>68</v>
      </c>
    </row>
    <row r="87" spans="1:9">
      <c r="A87" t="s">
        <v>68</v>
      </c>
      <c r="B87" t="s">
        <v>68</v>
      </c>
      <c r="C87" t="s">
        <v>68</v>
      </c>
      <c r="E87" s="5" t="s">
        <v>68</v>
      </c>
      <c r="F87" s="5" t="s">
        <v>68</v>
      </c>
      <c r="G87" s="5" t="s">
        <v>68</v>
      </c>
      <c r="H87" s="5" t="s">
        <v>68</v>
      </c>
      <c r="I87" s="5" t="s">
        <v>68</v>
      </c>
    </row>
    <row r="88" spans="1:9">
      <c r="A88" t="s">
        <v>68</v>
      </c>
      <c r="B88" t="s">
        <v>68</v>
      </c>
      <c r="C88" t="s">
        <v>68</v>
      </c>
      <c r="E88" s="5" t="s">
        <v>68</v>
      </c>
      <c r="F88" s="5" t="s">
        <v>68</v>
      </c>
      <c r="G88" s="5" t="s">
        <v>68</v>
      </c>
      <c r="H88" s="5" t="s">
        <v>68</v>
      </c>
      <c r="I88" s="5" t="s">
        <v>68</v>
      </c>
    </row>
    <row r="89" spans="1:9">
      <c r="A89" t="s">
        <v>68</v>
      </c>
      <c r="B89" t="s">
        <v>68</v>
      </c>
      <c r="C89" t="s">
        <v>68</v>
      </c>
      <c r="E89" s="5" t="s">
        <v>68</v>
      </c>
      <c r="F89" s="5" t="s">
        <v>68</v>
      </c>
      <c r="G89" s="5" t="s">
        <v>68</v>
      </c>
      <c r="H89" s="5" t="s">
        <v>68</v>
      </c>
      <c r="I89" s="5" t="s">
        <v>68</v>
      </c>
    </row>
    <row r="90" spans="1:9">
      <c r="A90" t="s">
        <v>68</v>
      </c>
      <c r="B90" t="s">
        <v>68</v>
      </c>
      <c r="C90" t="s">
        <v>68</v>
      </c>
      <c r="E90" s="5" t="s">
        <v>68</v>
      </c>
      <c r="F90" s="5" t="s">
        <v>68</v>
      </c>
      <c r="G90" s="5" t="s">
        <v>68</v>
      </c>
      <c r="H90" s="5" t="s">
        <v>68</v>
      </c>
      <c r="I90" s="5" t="s">
        <v>68</v>
      </c>
    </row>
    <row r="91" spans="1:9">
      <c r="A91" t="s">
        <v>68</v>
      </c>
      <c r="B91" t="s">
        <v>68</v>
      </c>
      <c r="C91" t="s">
        <v>68</v>
      </c>
      <c r="E91" s="5" t="s">
        <v>68</v>
      </c>
      <c r="F91" s="5" t="s">
        <v>68</v>
      </c>
      <c r="G91" s="5" t="s">
        <v>68</v>
      </c>
      <c r="H91" s="5" t="s">
        <v>68</v>
      </c>
      <c r="I91" s="5" t="s">
        <v>68</v>
      </c>
    </row>
    <row r="92" spans="1:9">
      <c r="A92" t="s">
        <v>68</v>
      </c>
      <c r="B92" t="s">
        <v>68</v>
      </c>
      <c r="C92" t="s">
        <v>68</v>
      </c>
      <c r="E92" s="5" t="s">
        <v>68</v>
      </c>
      <c r="F92" s="5" t="s">
        <v>68</v>
      </c>
      <c r="G92" s="5" t="s">
        <v>68</v>
      </c>
      <c r="H92" s="5" t="s">
        <v>68</v>
      </c>
      <c r="I92" s="5" t="s">
        <v>68</v>
      </c>
    </row>
    <row r="93" spans="1:9">
      <c r="A93" t="s">
        <v>68</v>
      </c>
      <c r="B93" t="s">
        <v>68</v>
      </c>
      <c r="C93" t="s">
        <v>68</v>
      </c>
      <c r="E93" s="5" t="s">
        <v>68</v>
      </c>
      <c r="F93" s="5" t="s">
        <v>68</v>
      </c>
      <c r="G93" s="5" t="s">
        <v>68</v>
      </c>
      <c r="H93" s="5" t="s">
        <v>68</v>
      </c>
      <c r="I93" s="5" t="s">
        <v>68</v>
      </c>
    </row>
    <row r="94" spans="1:9">
      <c r="A94" t="s">
        <v>68</v>
      </c>
      <c r="B94" t="s">
        <v>68</v>
      </c>
      <c r="C94" t="s">
        <v>68</v>
      </c>
      <c r="E94" s="5" t="s">
        <v>68</v>
      </c>
      <c r="F94" s="5" t="s">
        <v>68</v>
      </c>
      <c r="G94" s="5" t="s">
        <v>68</v>
      </c>
      <c r="H94" s="5" t="s">
        <v>68</v>
      </c>
      <c r="I94" s="5" t="s">
        <v>68</v>
      </c>
    </row>
    <row r="95" spans="1:9">
      <c r="A95" t="s">
        <v>68</v>
      </c>
      <c r="B95" t="s">
        <v>68</v>
      </c>
      <c r="C95" t="s">
        <v>68</v>
      </c>
      <c r="E95" s="5" t="s">
        <v>68</v>
      </c>
      <c r="F95" s="5" t="s">
        <v>68</v>
      </c>
      <c r="G95" s="5" t="s">
        <v>68</v>
      </c>
      <c r="H95" s="5" t="s">
        <v>68</v>
      </c>
      <c r="I95" s="5" t="s">
        <v>68</v>
      </c>
    </row>
    <row r="96" spans="1:9">
      <c r="A96" t="s">
        <v>68</v>
      </c>
      <c r="B96" t="s">
        <v>68</v>
      </c>
      <c r="C96" t="s">
        <v>68</v>
      </c>
      <c r="E96" s="5" t="s">
        <v>68</v>
      </c>
      <c r="F96" s="5" t="s">
        <v>68</v>
      </c>
      <c r="G96" s="5" t="s">
        <v>68</v>
      </c>
      <c r="H96" s="5" t="s">
        <v>68</v>
      </c>
      <c r="I96" s="5" t="s">
        <v>68</v>
      </c>
    </row>
    <row r="97" spans="1:9">
      <c r="A97" t="s">
        <v>68</v>
      </c>
      <c r="B97" t="s">
        <v>68</v>
      </c>
      <c r="C97" t="s">
        <v>68</v>
      </c>
      <c r="E97" s="5" t="s">
        <v>68</v>
      </c>
      <c r="F97" s="5" t="s">
        <v>68</v>
      </c>
      <c r="G97" s="5" t="s">
        <v>68</v>
      </c>
      <c r="H97" s="5" t="s">
        <v>68</v>
      </c>
      <c r="I97" s="5" t="s">
        <v>68</v>
      </c>
    </row>
    <row r="98" spans="1:9">
      <c r="A98" t="s">
        <v>68</v>
      </c>
      <c r="B98" t="s">
        <v>68</v>
      </c>
      <c r="C98" t="s">
        <v>68</v>
      </c>
      <c r="E98" s="5" t="s">
        <v>68</v>
      </c>
      <c r="F98" s="5" t="s">
        <v>68</v>
      </c>
      <c r="G98" s="5" t="s">
        <v>68</v>
      </c>
      <c r="H98" s="5" t="s">
        <v>68</v>
      </c>
      <c r="I98" s="5" t="s">
        <v>68</v>
      </c>
    </row>
    <row r="99" spans="1:9">
      <c r="A99" t="s">
        <v>68</v>
      </c>
      <c r="B99" t="s">
        <v>68</v>
      </c>
      <c r="C99" t="s">
        <v>68</v>
      </c>
      <c r="E99" s="5" t="s">
        <v>68</v>
      </c>
      <c r="F99" s="5" t="s">
        <v>68</v>
      </c>
      <c r="G99" s="5" t="s">
        <v>68</v>
      </c>
      <c r="H99" s="5" t="s">
        <v>68</v>
      </c>
      <c r="I99" s="5" t="s">
        <v>68</v>
      </c>
    </row>
    <row r="100" spans="1:9">
      <c r="A100" t="s">
        <v>68</v>
      </c>
      <c r="B100" t="s">
        <v>68</v>
      </c>
      <c r="C100" t="s">
        <v>68</v>
      </c>
      <c r="E100" s="5" t="s">
        <v>68</v>
      </c>
      <c r="F100" s="5" t="s">
        <v>68</v>
      </c>
      <c r="G100" s="5" t="s">
        <v>68</v>
      </c>
      <c r="H100" s="5" t="s">
        <v>68</v>
      </c>
      <c r="I100" s="5" t="s">
        <v>68</v>
      </c>
    </row>
    <row r="101" spans="1:9">
      <c r="A101" t="s">
        <v>68</v>
      </c>
      <c r="B101" t="s">
        <v>68</v>
      </c>
      <c r="C101" t="s">
        <v>68</v>
      </c>
      <c r="E101" s="5" t="s">
        <v>68</v>
      </c>
      <c r="F101" s="5" t="s">
        <v>68</v>
      </c>
      <c r="G101" s="5" t="s">
        <v>68</v>
      </c>
      <c r="H101" s="5" t="s">
        <v>68</v>
      </c>
      <c r="I101" s="5" t="s">
        <v>68</v>
      </c>
    </row>
    <row r="102" spans="1:9">
      <c r="A102" t="s">
        <v>68</v>
      </c>
      <c r="B102" t="s">
        <v>68</v>
      </c>
      <c r="C102" t="s">
        <v>68</v>
      </c>
      <c r="E102" s="5" t="s">
        <v>68</v>
      </c>
      <c r="F102" s="5" t="s">
        <v>68</v>
      </c>
      <c r="G102" s="5" t="s">
        <v>68</v>
      </c>
      <c r="H102" s="5" t="s">
        <v>68</v>
      </c>
      <c r="I102" s="5" t="s">
        <v>68</v>
      </c>
    </row>
    <row r="103" spans="1:9">
      <c r="A103" t="s">
        <v>68</v>
      </c>
      <c r="B103" t="s">
        <v>68</v>
      </c>
      <c r="C103" t="s">
        <v>68</v>
      </c>
      <c r="E103" s="5" t="s">
        <v>68</v>
      </c>
      <c r="F103" s="5" t="s">
        <v>68</v>
      </c>
      <c r="G103" s="5" t="s">
        <v>68</v>
      </c>
      <c r="H103" s="5" t="s">
        <v>68</v>
      </c>
      <c r="I103" s="5" t="s">
        <v>68</v>
      </c>
    </row>
    <row r="104" spans="1:9">
      <c r="A104" t="s">
        <v>68</v>
      </c>
      <c r="B104" t="s">
        <v>68</v>
      </c>
      <c r="C104" t="s">
        <v>68</v>
      </c>
      <c r="E104" s="5" t="s">
        <v>68</v>
      </c>
      <c r="F104" s="5" t="s">
        <v>68</v>
      </c>
      <c r="G104" s="5" t="s">
        <v>68</v>
      </c>
      <c r="H104" s="5" t="s">
        <v>68</v>
      </c>
      <c r="I104" s="5" t="s">
        <v>68</v>
      </c>
    </row>
    <row r="105" spans="1:9">
      <c r="A105" t="s">
        <v>68</v>
      </c>
      <c r="B105" t="s">
        <v>68</v>
      </c>
      <c r="C105" t="s">
        <v>68</v>
      </c>
      <c r="E105" s="5" t="s">
        <v>68</v>
      </c>
      <c r="F105" s="5" t="s">
        <v>68</v>
      </c>
      <c r="G105" s="5" t="s">
        <v>68</v>
      </c>
      <c r="H105" s="5" t="s">
        <v>68</v>
      </c>
      <c r="I105" s="5" t="s">
        <v>68</v>
      </c>
    </row>
    <row r="106" spans="1:9">
      <c r="A106" t="s">
        <v>68</v>
      </c>
      <c r="B106" t="s">
        <v>68</v>
      </c>
      <c r="C106" t="s">
        <v>68</v>
      </c>
      <c r="E106" s="5" t="s">
        <v>68</v>
      </c>
      <c r="F106" s="5" t="s">
        <v>68</v>
      </c>
      <c r="G106" s="5" t="s">
        <v>68</v>
      </c>
      <c r="H106" s="5" t="s">
        <v>68</v>
      </c>
      <c r="I106" s="5" t="s">
        <v>68</v>
      </c>
    </row>
    <row r="107" spans="1:9">
      <c r="A107" t="s">
        <v>68</v>
      </c>
      <c r="B107" t="s">
        <v>68</v>
      </c>
      <c r="C107" t="s">
        <v>68</v>
      </c>
      <c r="E107" s="5" t="s">
        <v>68</v>
      </c>
      <c r="F107" s="5" t="s">
        <v>68</v>
      </c>
      <c r="G107" s="5" t="s">
        <v>68</v>
      </c>
      <c r="H107" s="5" t="s">
        <v>68</v>
      </c>
      <c r="I107" s="5" t="s">
        <v>68</v>
      </c>
    </row>
    <row r="108" spans="1:9">
      <c r="A108" t="s">
        <v>68</v>
      </c>
      <c r="B108" t="s">
        <v>68</v>
      </c>
      <c r="C108" t="s">
        <v>68</v>
      </c>
      <c r="E108" s="5" t="s">
        <v>68</v>
      </c>
      <c r="F108" s="5" t="s">
        <v>68</v>
      </c>
      <c r="G108" s="5" t="s">
        <v>68</v>
      </c>
      <c r="H108" s="5" t="s">
        <v>68</v>
      </c>
      <c r="I108" s="5" t="s">
        <v>68</v>
      </c>
    </row>
    <row r="109" spans="1:9">
      <c r="A109" t="s">
        <v>68</v>
      </c>
      <c r="B109" t="s">
        <v>68</v>
      </c>
      <c r="C109" t="s">
        <v>68</v>
      </c>
      <c r="E109" s="5" t="s">
        <v>68</v>
      </c>
      <c r="F109" s="5" t="s">
        <v>68</v>
      </c>
      <c r="G109" s="5" t="s">
        <v>68</v>
      </c>
      <c r="H109" s="5" t="s">
        <v>68</v>
      </c>
      <c r="I109" s="5" t="s">
        <v>68</v>
      </c>
    </row>
    <row r="110" spans="1:9">
      <c r="A110" t="s">
        <v>68</v>
      </c>
      <c r="B110" t="s">
        <v>68</v>
      </c>
      <c r="C110" t="s">
        <v>68</v>
      </c>
      <c r="E110" s="5" t="s">
        <v>68</v>
      </c>
      <c r="F110" s="5" t="s">
        <v>68</v>
      </c>
      <c r="G110" s="5" t="s">
        <v>68</v>
      </c>
      <c r="H110" s="5" t="s">
        <v>68</v>
      </c>
      <c r="I110" s="5" t="s">
        <v>68</v>
      </c>
    </row>
    <row r="111" spans="1:9">
      <c r="A111" t="s">
        <v>68</v>
      </c>
      <c r="B111" t="s">
        <v>68</v>
      </c>
      <c r="C111" t="s">
        <v>68</v>
      </c>
      <c r="E111" s="5" t="s">
        <v>68</v>
      </c>
      <c r="F111" s="5" t="s">
        <v>68</v>
      </c>
      <c r="G111" s="5" t="s">
        <v>68</v>
      </c>
      <c r="H111" s="5" t="s">
        <v>68</v>
      </c>
      <c r="I111" s="5" t="s">
        <v>68</v>
      </c>
    </row>
    <row r="112" spans="1:9">
      <c r="A112" t="s">
        <v>68</v>
      </c>
      <c r="B112" t="s">
        <v>68</v>
      </c>
      <c r="C112" t="s">
        <v>68</v>
      </c>
      <c r="E112" s="5" t="s">
        <v>68</v>
      </c>
      <c r="F112" s="5" t="s">
        <v>68</v>
      </c>
      <c r="G112" s="5" t="s">
        <v>68</v>
      </c>
      <c r="H112" s="5" t="s">
        <v>68</v>
      </c>
      <c r="I112" s="5" t="s">
        <v>68</v>
      </c>
    </row>
    <row r="113" spans="1:9">
      <c r="A113" t="s">
        <v>68</v>
      </c>
      <c r="B113" t="s">
        <v>68</v>
      </c>
      <c r="C113" t="s">
        <v>68</v>
      </c>
      <c r="E113" s="5" t="s">
        <v>68</v>
      </c>
      <c r="F113" s="5" t="s">
        <v>68</v>
      </c>
      <c r="G113" s="5" t="s">
        <v>68</v>
      </c>
      <c r="H113" s="5" t="s">
        <v>68</v>
      </c>
      <c r="I113" s="5" t="s">
        <v>68</v>
      </c>
    </row>
    <row r="114" spans="1:9">
      <c r="A114" t="s">
        <v>68</v>
      </c>
      <c r="B114" t="s">
        <v>68</v>
      </c>
      <c r="C114" t="s">
        <v>68</v>
      </c>
      <c r="E114" s="5" t="s">
        <v>68</v>
      </c>
      <c r="F114" s="5" t="s">
        <v>68</v>
      </c>
      <c r="G114" s="5" t="s">
        <v>68</v>
      </c>
      <c r="H114" s="5" t="s">
        <v>68</v>
      </c>
      <c r="I114" s="5" t="s">
        <v>68</v>
      </c>
    </row>
    <row r="115" spans="1:9">
      <c r="A115" t="s">
        <v>68</v>
      </c>
      <c r="B115" t="s">
        <v>68</v>
      </c>
      <c r="C115" t="s">
        <v>68</v>
      </c>
      <c r="E115" s="5" t="s">
        <v>68</v>
      </c>
      <c r="F115" s="5" t="s">
        <v>68</v>
      </c>
      <c r="G115" s="5" t="s">
        <v>68</v>
      </c>
      <c r="H115" s="5" t="s">
        <v>68</v>
      </c>
      <c r="I115" s="5" t="s">
        <v>68</v>
      </c>
    </row>
    <row r="116" spans="1:9">
      <c r="A116" t="s">
        <v>68</v>
      </c>
      <c r="B116" t="s">
        <v>68</v>
      </c>
      <c r="C116" t="s">
        <v>68</v>
      </c>
      <c r="E116" s="5" t="s">
        <v>68</v>
      </c>
      <c r="F116" s="5" t="s">
        <v>68</v>
      </c>
      <c r="G116" s="5" t="s">
        <v>68</v>
      </c>
      <c r="H116" s="5" t="s">
        <v>68</v>
      </c>
      <c r="I116" s="5" t="s">
        <v>68</v>
      </c>
    </row>
    <row r="117" spans="1:9">
      <c r="A117" t="s">
        <v>68</v>
      </c>
      <c r="B117" t="s">
        <v>68</v>
      </c>
      <c r="C117" t="s">
        <v>68</v>
      </c>
      <c r="E117" s="5" t="s">
        <v>68</v>
      </c>
      <c r="F117" s="5" t="s">
        <v>68</v>
      </c>
      <c r="G117" s="5" t="s">
        <v>68</v>
      </c>
      <c r="H117" s="5" t="s">
        <v>68</v>
      </c>
      <c r="I117" s="5" t="s">
        <v>68</v>
      </c>
    </row>
    <row r="118" spans="1:9">
      <c r="A118" t="s">
        <v>68</v>
      </c>
      <c r="B118" t="s">
        <v>68</v>
      </c>
      <c r="C118" t="s">
        <v>68</v>
      </c>
      <c r="E118" s="5" t="s">
        <v>68</v>
      </c>
      <c r="F118" s="5" t="s">
        <v>68</v>
      </c>
      <c r="G118" s="5" t="s">
        <v>68</v>
      </c>
      <c r="H118" s="5" t="s">
        <v>68</v>
      </c>
      <c r="I118" s="5" t="s">
        <v>68</v>
      </c>
    </row>
    <row r="119" spans="1:9">
      <c r="A119" t="s">
        <v>68</v>
      </c>
      <c r="B119" t="s">
        <v>68</v>
      </c>
      <c r="C119" t="s">
        <v>68</v>
      </c>
      <c r="E119" s="5" t="s">
        <v>68</v>
      </c>
      <c r="F119" s="5" t="s">
        <v>68</v>
      </c>
      <c r="G119" s="5" t="s">
        <v>68</v>
      </c>
      <c r="H119" s="5" t="s">
        <v>68</v>
      </c>
      <c r="I119" s="5" t="s">
        <v>68</v>
      </c>
    </row>
    <row r="120" spans="1:9">
      <c r="A120" t="s">
        <v>68</v>
      </c>
      <c r="B120" t="s">
        <v>68</v>
      </c>
      <c r="C120" t="s">
        <v>68</v>
      </c>
      <c r="E120" s="5" t="s">
        <v>68</v>
      </c>
      <c r="F120" s="5" t="s">
        <v>68</v>
      </c>
      <c r="G120" s="5" t="s">
        <v>68</v>
      </c>
      <c r="H120" s="5" t="s">
        <v>68</v>
      </c>
      <c r="I120" s="5" t="s">
        <v>68</v>
      </c>
    </row>
    <row r="121" spans="1:9">
      <c r="A121" t="s">
        <v>68</v>
      </c>
      <c r="B121" t="s">
        <v>68</v>
      </c>
      <c r="C121" t="s">
        <v>68</v>
      </c>
      <c r="E121" s="5" t="s">
        <v>68</v>
      </c>
      <c r="F121" s="5" t="s">
        <v>68</v>
      </c>
      <c r="G121" s="5" t="s">
        <v>68</v>
      </c>
      <c r="H121" s="5" t="s">
        <v>68</v>
      </c>
      <c r="I121" s="5" t="s">
        <v>68</v>
      </c>
    </row>
    <row r="122" spans="1:9">
      <c r="A122" t="s">
        <v>68</v>
      </c>
      <c r="B122" t="s">
        <v>68</v>
      </c>
      <c r="C122" t="s">
        <v>68</v>
      </c>
      <c r="E122" s="5" t="s">
        <v>68</v>
      </c>
      <c r="F122" s="5" t="s">
        <v>68</v>
      </c>
      <c r="G122" s="5" t="s">
        <v>68</v>
      </c>
      <c r="H122" s="5" t="s">
        <v>68</v>
      </c>
      <c r="I122" s="5" t="s">
        <v>68</v>
      </c>
    </row>
    <row r="123" spans="1:9">
      <c r="A123" t="s">
        <v>68</v>
      </c>
      <c r="B123" t="s">
        <v>68</v>
      </c>
      <c r="C123" t="s">
        <v>68</v>
      </c>
      <c r="E123" s="5" t="s">
        <v>68</v>
      </c>
      <c r="F123" s="5" t="s">
        <v>68</v>
      </c>
      <c r="G123" s="5" t="s">
        <v>68</v>
      </c>
      <c r="H123" s="5" t="s">
        <v>68</v>
      </c>
      <c r="I123" s="5" t="s">
        <v>68</v>
      </c>
    </row>
    <row r="124" spans="1:9">
      <c r="A124" t="s">
        <v>68</v>
      </c>
      <c r="B124" t="s">
        <v>68</v>
      </c>
      <c r="C124" t="s">
        <v>68</v>
      </c>
      <c r="E124" s="5" t="s">
        <v>68</v>
      </c>
      <c r="F124" s="5" t="s">
        <v>68</v>
      </c>
      <c r="G124" s="5" t="s">
        <v>68</v>
      </c>
      <c r="H124" s="5" t="s">
        <v>68</v>
      </c>
      <c r="I124" s="5" t="s">
        <v>68</v>
      </c>
    </row>
    <row r="125" spans="1:9">
      <c r="A125" t="s">
        <v>68</v>
      </c>
      <c r="B125" t="s">
        <v>68</v>
      </c>
      <c r="C125" t="s">
        <v>68</v>
      </c>
      <c r="E125" s="5" t="s">
        <v>68</v>
      </c>
      <c r="F125" s="5" t="s">
        <v>68</v>
      </c>
      <c r="G125" s="5" t="s">
        <v>68</v>
      </c>
      <c r="H125" s="5" t="s">
        <v>68</v>
      </c>
      <c r="I125" s="5" t="s">
        <v>68</v>
      </c>
    </row>
    <row r="126" spans="1:9">
      <c r="A126" t="s">
        <v>68</v>
      </c>
      <c r="B126" t="s">
        <v>68</v>
      </c>
      <c r="C126" t="s">
        <v>68</v>
      </c>
      <c r="E126" s="5" t="s">
        <v>68</v>
      </c>
      <c r="F126" s="5" t="s">
        <v>68</v>
      </c>
      <c r="G126" s="5" t="s">
        <v>68</v>
      </c>
      <c r="H126" s="5" t="s">
        <v>68</v>
      </c>
      <c r="I126" s="5" t="s">
        <v>68</v>
      </c>
    </row>
    <row r="127" spans="1:9">
      <c r="A127" t="s">
        <v>68</v>
      </c>
      <c r="B127" t="s">
        <v>68</v>
      </c>
      <c r="C127" t="s">
        <v>68</v>
      </c>
      <c r="E127" s="5" t="s">
        <v>68</v>
      </c>
      <c r="F127" s="5" t="s">
        <v>68</v>
      </c>
      <c r="G127" s="5" t="s">
        <v>68</v>
      </c>
      <c r="H127" s="5" t="s">
        <v>68</v>
      </c>
      <c r="I127" s="5" t="s">
        <v>68</v>
      </c>
    </row>
    <row r="128" spans="1:9">
      <c r="A128" t="s">
        <v>68</v>
      </c>
      <c r="B128" t="s">
        <v>68</v>
      </c>
      <c r="C128" t="s">
        <v>68</v>
      </c>
      <c r="E128" s="5" t="s">
        <v>68</v>
      </c>
      <c r="F128" s="5" t="s">
        <v>68</v>
      </c>
      <c r="G128" s="5" t="s">
        <v>68</v>
      </c>
      <c r="H128" s="5" t="s">
        <v>68</v>
      </c>
      <c r="I128" s="5" t="s">
        <v>68</v>
      </c>
    </row>
    <row r="129" spans="1:9">
      <c r="A129" t="s">
        <v>68</v>
      </c>
      <c r="B129" t="s">
        <v>68</v>
      </c>
      <c r="C129" t="s">
        <v>68</v>
      </c>
      <c r="E129" s="5" t="s">
        <v>68</v>
      </c>
      <c r="F129" s="5" t="s">
        <v>68</v>
      </c>
      <c r="G129" s="5" t="s">
        <v>68</v>
      </c>
      <c r="H129" s="5" t="s">
        <v>68</v>
      </c>
      <c r="I129" s="5" t="s">
        <v>68</v>
      </c>
    </row>
    <row r="130" spans="1:9">
      <c r="A130" t="s">
        <v>68</v>
      </c>
      <c r="B130" t="s">
        <v>68</v>
      </c>
      <c r="C130" t="s">
        <v>68</v>
      </c>
      <c r="E130" s="5" t="s">
        <v>68</v>
      </c>
      <c r="F130" s="5" t="s">
        <v>68</v>
      </c>
      <c r="G130" s="5" t="s">
        <v>68</v>
      </c>
      <c r="H130" s="5" t="s">
        <v>68</v>
      </c>
      <c r="I130" s="5" t="s">
        <v>68</v>
      </c>
    </row>
    <row r="131" spans="1:9">
      <c r="A131" t="s">
        <v>68</v>
      </c>
      <c r="B131" t="s">
        <v>68</v>
      </c>
      <c r="C131" t="s">
        <v>68</v>
      </c>
      <c r="E131" s="5" t="s">
        <v>68</v>
      </c>
      <c r="F131" s="5" t="s">
        <v>68</v>
      </c>
      <c r="G131" s="5" t="s">
        <v>68</v>
      </c>
      <c r="H131" s="5" t="s">
        <v>68</v>
      </c>
      <c r="I131" s="5" t="s">
        <v>68</v>
      </c>
    </row>
    <row r="132" spans="1:9">
      <c r="A132" t="s">
        <v>68</v>
      </c>
      <c r="B132" t="s">
        <v>68</v>
      </c>
      <c r="C132" t="s">
        <v>68</v>
      </c>
      <c r="E132" s="5" t="s">
        <v>68</v>
      </c>
      <c r="F132" s="5" t="s">
        <v>68</v>
      </c>
      <c r="G132" s="5" t="s">
        <v>68</v>
      </c>
      <c r="H132" s="5" t="s">
        <v>68</v>
      </c>
      <c r="I132" s="5" t="s">
        <v>68</v>
      </c>
    </row>
    <row r="133" spans="1:9">
      <c r="A133" t="s">
        <v>68</v>
      </c>
      <c r="B133" t="s">
        <v>68</v>
      </c>
      <c r="C133" t="s">
        <v>68</v>
      </c>
      <c r="E133" s="5" t="s">
        <v>68</v>
      </c>
      <c r="F133" s="5" t="s">
        <v>68</v>
      </c>
      <c r="G133" s="5" t="s">
        <v>68</v>
      </c>
      <c r="H133" s="5" t="s">
        <v>68</v>
      </c>
      <c r="I133" s="5" t="s">
        <v>68</v>
      </c>
    </row>
    <row r="134" spans="1:9">
      <c r="A134" t="s">
        <v>68</v>
      </c>
      <c r="B134" t="s">
        <v>68</v>
      </c>
      <c r="C134" t="s">
        <v>68</v>
      </c>
      <c r="E134" s="5" t="s">
        <v>68</v>
      </c>
      <c r="F134" s="5" t="s">
        <v>68</v>
      </c>
      <c r="G134" s="5" t="s">
        <v>68</v>
      </c>
      <c r="H134" s="5" t="s">
        <v>68</v>
      </c>
      <c r="I134" s="5" t="s">
        <v>68</v>
      </c>
    </row>
    <row r="135" spans="1:9">
      <c r="A135" t="s">
        <v>68</v>
      </c>
      <c r="B135" t="s">
        <v>68</v>
      </c>
      <c r="C135" t="s">
        <v>68</v>
      </c>
      <c r="E135" s="5" t="s">
        <v>68</v>
      </c>
      <c r="F135" s="5" t="s">
        <v>68</v>
      </c>
      <c r="G135" s="5" t="s">
        <v>68</v>
      </c>
      <c r="H135" s="5" t="s">
        <v>68</v>
      </c>
      <c r="I135" s="5" t="s">
        <v>68</v>
      </c>
    </row>
    <row r="136" spans="1:9">
      <c r="A136" t="s">
        <v>68</v>
      </c>
      <c r="B136" t="s">
        <v>68</v>
      </c>
      <c r="C136" t="s">
        <v>68</v>
      </c>
      <c r="E136" s="5" t="s">
        <v>68</v>
      </c>
      <c r="F136" s="5" t="s">
        <v>68</v>
      </c>
      <c r="G136" s="5" t="s">
        <v>68</v>
      </c>
      <c r="H136" s="5" t="s">
        <v>68</v>
      </c>
      <c r="I136" s="5" t="s">
        <v>68</v>
      </c>
    </row>
    <row r="137" spans="1:9">
      <c r="A137" t="s">
        <v>68</v>
      </c>
      <c r="B137" t="s">
        <v>68</v>
      </c>
      <c r="C137" t="s">
        <v>68</v>
      </c>
      <c r="E137" s="5" t="s">
        <v>68</v>
      </c>
      <c r="F137" s="5" t="s">
        <v>68</v>
      </c>
      <c r="G137" s="5" t="s">
        <v>68</v>
      </c>
      <c r="H137" s="5" t="s">
        <v>68</v>
      </c>
      <c r="I137" s="5" t="s">
        <v>68</v>
      </c>
    </row>
    <row r="138" spans="1:9">
      <c r="A138" t="s">
        <v>68</v>
      </c>
      <c r="B138" t="s">
        <v>68</v>
      </c>
      <c r="C138" t="s">
        <v>68</v>
      </c>
      <c r="E138" s="5" t="s">
        <v>68</v>
      </c>
      <c r="F138" s="5" t="s">
        <v>68</v>
      </c>
      <c r="G138" s="5" t="s">
        <v>68</v>
      </c>
      <c r="H138" s="5" t="s">
        <v>68</v>
      </c>
      <c r="I138" s="5" t="s">
        <v>68</v>
      </c>
    </row>
    <row r="139" spans="1:9">
      <c r="A139" t="s">
        <v>68</v>
      </c>
      <c r="B139" t="s">
        <v>68</v>
      </c>
      <c r="C139" t="s">
        <v>68</v>
      </c>
      <c r="E139" s="5" t="s">
        <v>68</v>
      </c>
      <c r="F139" s="5" t="s">
        <v>68</v>
      </c>
      <c r="G139" s="5" t="s">
        <v>68</v>
      </c>
      <c r="H139" s="5" t="s">
        <v>68</v>
      </c>
      <c r="I139" s="5" t="s">
        <v>68</v>
      </c>
    </row>
    <row r="140" spans="1:9">
      <c r="A140" t="s">
        <v>68</v>
      </c>
      <c r="B140" t="s">
        <v>68</v>
      </c>
      <c r="C140" t="s">
        <v>68</v>
      </c>
      <c r="E140" s="5" t="s">
        <v>68</v>
      </c>
      <c r="F140" s="5" t="s">
        <v>68</v>
      </c>
      <c r="G140" s="5" t="s">
        <v>68</v>
      </c>
      <c r="H140" s="5" t="s">
        <v>68</v>
      </c>
      <c r="I140" s="5" t="s">
        <v>68</v>
      </c>
    </row>
    <row r="141" spans="1:9">
      <c r="A141" t="s">
        <v>68</v>
      </c>
      <c r="B141" t="s">
        <v>68</v>
      </c>
      <c r="C141" t="s">
        <v>68</v>
      </c>
      <c r="E141" s="5" t="s">
        <v>68</v>
      </c>
      <c r="F141" s="5" t="s">
        <v>68</v>
      </c>
      <c r="G141" s="5" t="s">
        <v>68</v>
      </c>
      <c r="H141" s="5" t="s">
        <v>68</v>
      </c>
      <c r="I141" s="5" t="s">
        <v>68</v>
      </c>
    </row>
    <row r="142" spans="1:9">
      <c r="A142" t="s">
        <v>68</v>
      </c>
      <c r="B142" t="s">
        <v>68</v>
      </c>
      <c r="C142" t="s">
        <v>68</v>
      </c>
      <c r="E142" s="5" t="s">
        <v>68</v>
      </c>
      <c r="F142" s="5" t="s">
        <v>68</v>
      </c>
      <c r="G142" s="5" t="s">
        <v>68</v>
      </c>
      <c r="H142" s="5" t="s">
        <v>68</v>
      </c>
      <c r="I142" s="5" t="s">
        <v>68</v>
      </c>
    </row>
    <row r="143" spans="1:9">
      <c r="A143" t="s">
        <v>68</v>
      </c>
      <c r="B143" t="s">
        <v>68</v>
      </c>
      <c r="C143" t="s">
        <v>68</v>
      </c>
      <c r="E143" s="5" t="s">
        <v>68</v>
      </c>
      <c r="F143" s="5" t="s">
        <v>68</v>
      </c>
      <c r="G143" s="5" t="s">
        <v>68</v>
      </c>
      <c r="H143" s="5" t="s">
        <v>68</v>
      </c>
      <c r="I143" s="5" t="s">
        <v>68</v>
      </c>
    </row>
    <row r="144" spans="1:9">
      <c r="A144" t="s">
        <v>68</v>
      </c>
      <c r="B144" t="s">
        <v>68</v>
      </c>
      <c r="C144" t="s">
        <v>68</v>
      </c>
      <c r="E144" s="5" t="s">
        <v>68</v>
      </c>
      <c r="F144" s="5" t="s">
        <v>68</v>
      </c>
      <c r="G144" s="5" t="s">
        <v>68</v>
      </c>
      <c r="H144" s="5" t="s">
        <v>68</v>
      </c>
      <c r="I144" s="5" t="s">
        <v>68</v>
      </c>
    </row>
    <row r="145" spans="1:9">
      <c r="A145" t="s">
        <v>68</v>
      </c>
      <c r="B145" t="s">
        <v>68</v>
      </c>
      <c r="C145" t="s">
        <v>68</v>
      </c>
      <c r="E145" s="5" t="s">
        <v>68</v>
      </c>
      <c r="F145" s="5" t="s">
        <v>68</v>
      </c>
      <c r="G145" s="5" t="s">
        <v>68</v>
      </c>
      <c r="H145" s="5" t="s">
        <v>68</v>
      </c>
      <c r="I145" s="5" t="s">
        <v>68</v>
      </c>
    </row>
    <row r="146" spans="1:9">
      <c r="A146" t="s">
        <v>68</v>
      </c>
      <c r="B146" t="s">
        <v>68</v>
      </c>
      <c r="C146" t="s">
        <v>68</v>
      </c>
      <c r="E146" s="5" t="s">
        <v>68</v>
      </c>
      <c r="F146" s="5" t="s">
        <v>68</v>
      </c>
      <c r="G146" s="5" t="s">
        <v>68</v>
      </c>
      <c r="H146" s="5" t="s">
        <v>68</v>
      </c>
      <c r="I146" s="5" t="s">
        <v>68</v>
      </c>
    </row>
    <row r="147" spans="1:9">
      <c r="A147" t="s">
        <v>68</v>
      </c>
      <c r="B147" t="s">
        <v>68</v>
      </c>
      <c r="C147" t="s">
        <v>68</v>
      </c>
      <c r="E147" s="5" t="s">
        <v>68</v>
      </c>
      <c r="F147" s="5" t="s">
        <v>68</v>
      </c>
      <c r="G147" s="5" t="s">
        <v>68</v>
      </c>
      <c r="H147" s="5" t="s">
        <v>68</v>
      </c>
      <c r="I147" s="5" t="s">
        <v>68</v>
      </c>
    </row>
    <row r="148" spans="1:9">
      <c r="A148" t="s">
        <v>68</v>
      </c>
      <c r="B148" t="s">
        <v>68</v>
      </c>
      <c r="C148" t="s">
        <v>68</v>
      </c>
      <c r="E148" s="5" t="s">
        <v>68</v>
      </c>
      <c r="F148" s="5" t="s">
        <v>68</v>
      </c>
      <c r="G148" s="5" t="s">
        <v>68</v>
      </c>
      <c r="H148" s="5" t="s">
        <v>68</v>
      </c>
      <c r="I148" s="5" t="s">
        <v>68</v>
      </c>
    </row>
    <row r="149" spans="1:9">
      <c r="A149" t="s">
        <v>68</v>
      </c>
      <c r="B149" t="s">
        <v>68</v>
      </c>
      <c r="C149" t="s">
        <v>68</v>
      </c>
      <c r="E149" s="5" t="s">
        <v>68</v>
      </c>
      <c r="F149" s="5" t="s">
        <v>68</v>
      </c>
      <c r="G149" s="5" t="s">
        <v>68</v>
      </c>
      <c r="H149" s="5" t="s">
        <v>68</v>
      </c>
      <c r="I149" s="5" t="s">
        <v>68</v>
      </c>
    </row>
    <row r="150" spans="1:9">
      <c r="A150" t="s">
        <v>68</v>
      </c>
      <c r="B150" t="s">
        <v>68</v>
      </c>
      <c r="C150" t="s">
        <v>68</v>
      </c>
      <c r="E150" s="5" t="s">
        <v>68</v>
      </c>
      <c r="F150" s="5" t="s">
        <v>68</v>
      </c>
      <c r="G150" s="5" t="s">
        <v>68</v>
      </c>
      <c r="H150" s="5" t="s">
        <v>68</v>
      </c>
      <c r="I150" s="5" t="s">
        <v>68</v>
      </c>
    </row>
    <row r="151" spans="1:9">
      <c r="A151" t="s">
        <v>68</v>
      </c>
      <c r="B151" t="s">
        <v>68</v>
      </c>
      <c r="C151" t="s">
        <v>68</v>
      </c>
      <c r="E151" s="5" t="s">
        <v>68</v>
      </c>
      <c r="F151" s="5" t="s">
        <v>68</v>
      </c>
      <c r="G151" s="5" t="s">
        <v>68</v>
      </c>
      <c r="H151" s="5" t="s">
        <v>68</v>
      </c>
      <c r="I151" s="5" t="s">
        <v>68</v>
      </c>
    </row>
    <row r="152" spans="1:9">
      <c r="A152" t="s">
        <v>68</v>
      </c>
      <c r="B152" t="s">
        <v>68</v>
      </c>
      <c r="C152" t="s">
        <v>68</v>
      </c>
      <c r="E152" s="5" t="s">
        <v>68</v>
      </c>
      <c r="F152" s="5" t="s">
        <v>68</v>
      </c>
      <c r="G152" s="5" t="s">
        <v>68</v>
      </c>
      <c r="H152" s="5" t="s">
        <v>68</v>
      </c>
      <c r="I152" s="5" t="s">
        <v>68</v>
      </c>
    </row>
    <row r="153" spans="1:9">
      <c r="A153" t="s">
        <v>68</v>
      </c>
      <c r="B153" t="s">
        <v>68</v>
      </c>
      <c r="C153" t="s">
        <v>68</v>
      </c>
      <c r="E153" s="5" t="s">
        <v>68</v>
      </c>
      <c r="F153" s="5" t="s">
        <v>68</v>
      </c>
      <c r="G153" s="5" t="s">
        <v>68</v>
      </c>
      <c r="H153" s="5" t="s">
        <v>68</v>
      </c>
      <c r="I153" s="5" t="s">
        <v>68</v>
      </c>
    </row>
    <row r="154" spans="1:9">
      <c r="A154" t="s">
        <v>68</v>
      </c>
      <c r="B154" t="s">
        <v>68</v>
      </c>
      <c r="C154" t="s">
        <v>68</v>
      </c>
      <c r="E154" s="5" t="s">
        <v>68</v>
      </c>
      <c r="F154" s="5" t="s">
        <v>68</v>
      </c>
      <c r="G154" s="5" t="s">
        <v>68</v>
      </c>
      <c r="H154" s="5" t="s">
        <v>68</v>
      </c>
      <c r="I154" s="5" t="s">
        <v>68</v>
      </c>
    </row>
    <row r="155" spans="1:9">
      <c r="A155" t="s">
        <v>68</v>
      </c>
      <c r="B155" t="s">
        <v>68</v>
      </c>
      <c r="C155" t="s">
        <v>68</v>
      </c>
      <c r="E155" s="5" t="s">
        <v>68</v>
      </c>
      <c r="F155" s="5" t="s">
        <v>68</v>
      </c>
      <c r="G155" s="5" t="s">
        <v>68</v>
      </c>
      <c r="H155" s="5" t="s">
        <v>68</v>
      </c>
      <c r="I155" s="5" t="s">
        <v>68</v>
      </c>
    </row>
    <row r="156" spans="1:9">
      <c r="A156" t="s">
        <v>68</v>
      </c>
      <c r="B156" t="s">
        <v>68</v>
      </c>
      <c r="C156" t="s">
        <v>68</v>
      </c>
      <c r="E156" s="5" t="s">
        <v>68</v>
      </c>
      <c r="F156" s="5" t="s">
        <v>68</v>
      </c>
      <c r="G156" s="5" t="s">
        <v>68</v>
      </c>
      <c r="H156" s="5" t="s">
        <v>68</v>
      </c>
      <c r="I156" s="5" t="s">
        <v>68</v>
      </c>
    </row>
    <row r="157" spans="1:9">
      <c r="A157" t="s">
        <v>68</v>
      </c>
      <c r="B157" t="s">
        <v>68</v>
      </c>
      <c r="C157" t="s">
        <v>68</v>
      </c>
      <c r="E157" s="5" t="s">
        <v>68</v>
      </c>
      <c r="F157" s="5" t="s">
        <v>68</v>
      </c>
      <c r="G157" s="5" t="s">
        <v>68</v>
      </c>
      <c r="H157" s="5" t="s">
        <v>68</v>
      </c>
      <c r="I157" s="5" t="s">
        <v>68</v>
      </c>
    </row>
    <row r="158" spans="1:9">
      <c r="A158" t="s">
        <v>68</v>
      </c>
      <c r="B158" t="s">
        <v>68</v>
      </c>
      <c r="C158" t="s">
        <v>68</v>
      </c>
      <c r="E158" s="5" t="s">
        <v>68</v>
      </c>
      <c r="F158" s="5" t="s">
        <v>68</v>
      </c>
      <c r="G158" s="5" t="s">
        <v>68</v>
      </c>
      <c r="H158" s="5" t="s">
        <v>68</v>
      </c>
      <c r="I158" s="5" t="s">
        <v>68</v>
      </c>
    </row>
    <row r="159" spans="1:9">
      <c r="A159" t="s">
        <v>68</v>
      </c>
      <c r="B159" t="s">
        <v>68</v>
      </c>
      <c r="C159" t="s">
        <v>68</v>
      </c>
      <c r="E159" s="5" t="s">
        <v>68</v>
      </c>
      <c r="F159" s="5" t="s">
        <v>68</v>
      </c>
      <c r="G159" s="5" t="s">
        <v>68</v>
      </c>
      <c r="H159" s="5" t="s">
        <v>68</v>
      </c>
      <c r="I159" s="5" t="s">
        <v>68</v>
      </c>
    </row>
    <row r="160" spans="1:9">
      <c r="A160" t="s">
        <v>68</v>
      </c>
      <c r="B160" t="s">
        <v>68</v>
      </c>
      <c r="C160" t="s">
        <v>68</v>
      </c>
      <c r="E160" s="5" t="s">
        <v>68</v>
      </c>
      <c r="F160" s="5" t="s">
        <v>68</v>
      </c>
      <c r="G160" s="5" t="s">
        <v>68</v>
      </c>
      <c r="H160" s="5" t="s">
        <v>68</v>
      </c>
      <c r="I160" s="5" t="s">
        <v>68</v>
      </c>
    </row>
    <row r="161" spans="1:9">
      <c r="A161" t="s">
        <v>68</v>
      </c>
      <c r="B161" t="s">
        <v>68</v>
      </c>
      <c r="C161" t="s">
        <v>68</v>
      </c>
      <c r="E161" s="5" t="s">
        <v>68</v>
      </c>
      <c r="F161" s="5" t="s">
        <v>68</v>
      </c>
      <c r="G161" s="5" t="s">
        <v>68</v>
      </c>
      <c r="H161" s="5" t="s">
        <v>68</v>
      </c>
      <c r="I161" s="5" t="s">
        <v>68</v>
      </c>
    </row>
    <row r="162" spans="1:9">
      <c r="A162" t="s">
        <v>68</v>
      </c>
      <c r="B162" t="s">
        <v>68</v>
      </c>
      <c r="C162" t="s">
        <v>68</v>
      </c>
      <c r="E162" s="5" t="s">
        <v>68</v>
      </c>
      <c r="F162" s="5" t="s">
        <v>68</v>
      </c>
      <c r="G162" s="5" t="s">
        <v>68</v>
      </c>
      <c r="H162" s="5" t="s">
        <v>68</v>
      </c>
      <c r="I162" s="5" t="s">
        <v>68</v>
      </c>
    </row>
    <row r="163" spans="1:9">
      <c r="A163" t="s">
        <v>68</v>
      </c>
      <c r="B163" t="s">
        <v>68</v>
      </c>
      <c r="C163" t="s">
        <v>68</v>
      </c>
      <c r="E163" s="5" t="s">
        <v>68</v>
      </c>
      <c r="F163" s="5" t="s">
        <v>68</v>
      </c>
      <c r="G163" s="5" t="s">
        <v>68</v>
      </c>
      <c r="H163" s="5" t="s">
        <v>68</v>
      </c>
      <c r="I163" s="5" t="s">
        <v>68</v>
      </c>
    </row>
    <row r="164" spans="1:9">
      <c r="A164" t="s">
        <v>68</v>
      </c>
      <c r="B164" t="s">
        <v>68</v>
      </c>
      <c r="C164" t="s">
        <v>68</v>
      </c>
      <c r="E164" s="5" t="s">
        <v>68</v>
      </c>
      <c r="F164" s="5" t="s">
        <v>68</v>
      </c>
      <c r="G164" s="5" t="s">
        <v>68</v>
      </c>
      <c r="H164" s="5" t="s">
        <v>68</v>
      </c>
      <c r="I164" s="5" t="s">
        <v>68</v>
      </c>
    </row>
    <row r="165" spans="1:9">
      <c r="A165" t="s">
        <v>68</v>
      </c>
      <c r="B165" t="s">
        <v>68</v>
      </c>
      <c r="C165" t="s">
        <v>68</v>
      </c>
      <c r="E165" s="5" t="s">
        <v>68</v>
      </c>
      <c r="F165" s="5" t="s">
        <v>68</v>
      </c>
      <c r="G165" s="5" t="s">
        <v>68</v>
      </c>
      <c r="H165" s="5" t="s">
        <v>68</v>
      </c>
      <c r="I165" s="5" t="s">
        <v>68</v>
      </c>
    </row>
    <row r="166" spans="1:9">
      <c r="A166" t="s">
        <v>68</v>
      </c>
      <c r="B166" t="s">
        <v>68</v>
      </c>
      <c r="C166" t="s">
        <v>68</v>
      </c>
      <c r="E166" s="5" t="s">
        <v>68</v>
      </c>
      <c r="F166" s="5" t="s">
        <v>68</v>
      </c>
      <c r="G166" s="5" t="s">
        <v>68</v>
      </c>
      <c r="H166" s="5" t="s">
        <v>68</v>
      </c>
      <c r="I166" s="5" t="s">
        <v>68</v>
      </c>
    </row>
    <row r="167" spans="1:9">
      <c r="A167" t="s">
        <v>68</v>
      </c>
      <c r="B167" t="s">
        <v>68</v>
      </c>
      <c r="C167" t="s">
        <v>68</v>
      </c>
      <c r="E167" s="5" t="s">
        <v>68</v>
      </c>
      <c r="F167" s="5" t="s">
        <v>68</v>
      </c>
      <c r="G167" s="5" t="s">
        <v>68</v>
      </c>
      <c r="H167" s="5" t="s">
        <v>68</v>
      </c>
      <c r="I167" s="5" t="s">
        <v>68</v>
      </c>
    </row>
    <row r="168" spans="1:9">
      <c r="A168" t="s">
        <v>68</v>
      </c>
      <c r="B168" t="s">
        <v>68</v>
      </c>
      <c r="C168" t="s">
        <v>68</v>
      </c>
      <c r="E168" s="5" t="s">
        <v>68</v>
      </c>
      <c r="F168" s="5" t="s">
        <v>68</v>
      </c>
      <c r="G168" s="5" t="s">
        <v>68</v>
      </c>
      <c r="H168" s="5" t="s">
        <v>68</v>
      </c>
      <c r="I168" s="5" t="s">
        <v>68</v>
      </c>
    </row>
    <row r="169" spans="1:9">
      <c r="A169" t="s">
        <v>68</v>
      </c>
      <c r="B169" t="s">
        <v>68</v>
      </c>
      <c r="C169" t="s">
        <v>68</v>
      </c>
      <c r="E169" s="5" t="s">
        <v>68</v>
      </c>
      <c r="F169" s="5" t="s">
        <v>68</v>
      </c>
      <c r="G169" s="5" t="s">
        <v>68</v>
      </c>
      <c r="H169" s="5" t="s">
        <v>68</v>
      </c>
      <c r="I169" s="5" t="s">
        <v>68</v>
      </c>
    </row>
    <row r="170" spans="1:9">
      <c r="A170" t="s">
        <v>68</v>
      </c>
      <c r="B170" t="s">
        <v>68</v>
      </c>
      <c r="C170" t="s">
        <v>68</v>
      </c>
      <c r="E170" s="5" t="s">
        <v>68</v>
      </c>
      <c r="F170" s="5" t="s">
        <v>68</v>
      </c>
      <c r="G170" s="5" t="s">
        <v>68</v>
      </c>
      <c r="H170" s="5" t="s">
        <v>68</v>
      </c>
      <c r="I170" s="5" t="s">
        <v>68</v>
      </c>
    </row>
    <row r="171" spans="1:9">
      <c r="A171" t="s">
        <v>68</v>
      </c>
      <c r="B171" t="s">
        <v>68</v>
      </c>
      <c r="C171" t="s">
        <v>68</v>
      </c>
      <c r="E171" s="5" t="s">
        <v>68</v>
      </c>
      <c r="F171" s="5" t="s">
        <v>68</v>
      </c>
      <c r="G171" s="5" t="s">
        <v>68</v>
      </c>
      <c r="H171" s="5" t="s">
        <v>68</v>
      </c>
      <c r="I171" s="5" t="s">
        <v>68</v>
      </c>
    </row>
    <row r="172" spans="1:9">
      <c r="A172" t="s">
        <v>68</v>
      </c>
      <c r="B172" t="s">
        <v>68</v>
      </c>
      <c r="C172" t="s">
        <v>68</v>
      </c>
      <c r="E172" s="5" t="s">
        <v>68</v>
      </c>
      <c r="F172" s="5" t="s">
        <v>68</v>
      </c>
      <c r="G172" s="5" t="s">
        <v>68</v>
      </c>
      <c r="H172" s="5" t="s">
        <v>68</v>
      </c>
      <c r="I172" s="5" t="s">
        <v>68</v>
      </c>
    </row>
    <row r="173" spans="1:9">
      <c r="A173" t="s">
        <v>68</v>
      </c>
      <c r="B173" t="s">
        <v>68</v>
      </c>
      <c r="C173" t="s">
        <v>68</v>
      </c>
      <c r="E173" s="5" t="s">
        <v>68</v>
      </c>
      <c r="F173" s="5" t="s">
        <v>68</v>
      </c>
      <c r="G173" s="5" t="s">
        <v>68</v>
      </c>
      <c r="H173" s="5" t="s">
        <v>68</v>
      </c>
      <c r="I173" s="5" t="s">
        <v>68</v>
      </c>
    </row>
    <row r="174" spans="1:9">
      <c r="A174" t="s">
        <v>68</v>
      </c>
      <c r="B174" t="s">
        <v>68</v>
      </c>
      <c r="C174" t="s">
        <v>68</v>
      </c>
      <c r="E174" s="5" t="s">
        <v>68</v>
      </c>
      <c r="F174" s="5" t="s">
        <v>68</v>
      </c>
      <c r="G174" s="5" t="s">
        <v>68</v>
      </c>
      <c r="H174" s="5" t="s">
        <v>68</v>
      </c>
      <c r="I174" s="5" t="s">
        <v>68</v>
      </c>
    </row>
    <row r="175" spans="1:9">
      <c r="A175" t="s">
        <v>68</v>
      </c>
      <c r="B175" t="s">
        <v>68</v>
      </c>
      <c r="C175" t="s">
        <v>68</v>
      </c>
      <c r="E175" s="5" t="s">
        <v>68</v>
      </c>
      <c r="F175" s="5" t="s">
        <v>68</v>
      </c>
      <c r="G175" s="5" t="s">
        <v>68</v>
      </c>
      <c r="H175" s="5" t="s">
        <v>68</v>
      </c>
      <c r="I175" s="5" t="s">
        <v>68</v>
      </c>
    </row>
    <row r="176" spans="1:9">
      <c r="A176" t="s">
        <v>68</v>
      </c>
      <c r="B176" t="s">
        <v>68</v>
      </c>
      <c r="C176" t="s">
        <v>68</v>
      </c>
      <c r="E176" s="5" t="s">
        <v>68</v>
      </c>
      <c r="F176" s="5" t="s">
        <v>68</v>
      </c>
      <c r="G176" s="5" t="s">
        <v>68</v>
      </c>
      <c r="H176" s="5" t="s">
        <v>68</v>
      </c>
      <c r="I176" s="5" t="s">
        <v>68</v>
      </c>
    </row>
    <row r="177" spans="1:9">
      <c r="A177" t="s">
        <v>68</v>
      </c>
      <c r="B177" t="s">
        <v>68</v>
      </c>
      <c r="C177" t="s">
        <v>68</v>
      </c>
      <c r="E177" s="5" t="s">
        <v>68</v>
      </c>
      <c r="F177" s="5" t="s">
        <v>68</v>
      </c>
      <c r="G177" s="5" t="s">
        <v>68</v>
      </c>
      <c r="H177" s="5" t="s">
        <v>68</v>
      </c>
      <c r="I177" s="5" t="s">
        <v>68</v>
      </c>
    </row>
    <row r="178" spans="1:9">
      <c r="A178" t="s">
        <v>68</v>
      </c>
      <c r="B178" t="s">
        <v>68</v>
      </c>
      <c r="C178" t="s">
        <v>68</v>
      </c>
      <c r="E178" s="5" t="s">
        <v>68</v>
      </c>
      <c r="F178" s="5" t="s">
        <v>68</v>
      </c>
      <c r="G178" s="5" t="s">
        <v>68</v>
      </c>
      <c r="H178" s="5" t="s">
        <v>68</v>
      </c>
      <c r="I178" s="5" t="s">
        <v>68</v>
      </c>
    </row>
    <row r="179" spans="1:9">
      <c r="A179" t="s">
        <v>68</v>
      </c>
      <c r="B179" t="s">
        <v>68</v>
      </c>
      <c r="C179" t="s">
        <v>68</v>
      </c>
      <c r="E179" s="5" t="s">
        <v>68</v>
      </c>
      <c r="F179" s="5" t="s">
        <v>68</v>
      </c>
      <c r="G179" s="5" t="s">
        <v>68</v>
      </c>
      <c r="H179" s="5" t="s">
        <v>68</v>
      </c>
      <c r="I179" s="5" t="s">
        <v>68</v>
      </c>
    </row>
    <row r="180" spans="1:9">
      <c r="A180" t="s">
        <v>68</v>
      </c>
      <c r="B180" t="s">
        <v>68</v>
      </c>
      <c r="C180" t="s">
        <v>68</v>
      </c>
      <c r="E180" s="5" t="s">
        <v>68</v>
      </c>
      <c r="F180" s="5" t="s">
        <v>68</v>
      </c>
      <c r="G180" s="5" t="s">
        <v>68</v>
      </c>
      <c r="H180" s="5" t="s">
        <v>68</v>
      </c>
      <c r="I180" s="5" t="s">
        <v>68</v>
      </c>
    </row>
    <row r="181" spans="1:9">
      <c r="A181" t="s">
        <v>68</v>
      </c>
      <c r="B181" t="s">
        <v>68</v>
      </c>
      <c r="C181" t="s">
        <v>68</v>
      </c>
      <c r="E181" s="5" t="s">
        <v>68</v>
      </c>
      <c r="F181" s="5" t="s">
        <v>68</v>
      </c>
      <c r="G181" s="5" t="s">
        <v>68</v>
      </c>
      <c r="H181" s="5" t="s">
        <v>68</v>
      </c>
      <c r="I181" s="5" t="s">
        <v>68</v>
      </c>
    </row>
    <row r="182" spans="1:9">
      <c r="A182" t="s">
        <v>68</v>
      </c>
      <c r="B182" t="s">
        <v>68</v>
      </c>
      <c r="C182" t="s">
        <v>68</v>
      </c>
      <c r="E182" s="5" t="s">
        <v>68</v>
      </c>
      <c r="F182" s="5" t="s">
        <v>68</v>
      </c>
      <c r="G182" s="5" t="s">
        <v>68</v>
      </c>
      <c r="H182" s="5" t="s">
        <v>68</v>
      </c>
      <c r="I182" s="5" t="s">
        <v>68</v>
      </c>
    </row>
    <row r="183" spans="1:9">
      <c r="A183" t="s">
        <v>68</v>
      </c>
      <c r="B183" t="s">
        <v>68</v>
      </c>
      <c r="C183" t="s">
        <v>68</v>
      </c>
      <c r="E183" s="5" t="s">
        <v>68</v>
      </c>
      <c r="F183" s="5" t="s">
        <v>68</v>
      </c>
      <c r="G183" s="5" t="s">
        <v>68</v>
      </c>
      <c r="H183" s="5" t="s">
        <v>68</v>
      </c>
      <c r="I183" s="5" t="s">
        <v>68</v>
      </c>
    </row>
    <row r="184" spans="1:9">
      <c r="A184" t="s">
        <v>68</v>
      </c>
      <c r="B184" t="s">
        <v>68</v>
      </c>
      <c r="C184" t="s">
        <v>68</v>
      </c>
      <c r="E184" s="5" t="s">
        <v>68</v>
      </c>
      <c r="F184" s="5" t="s">
        <v>68</v>
      </c>
      <c r="G184" s="5" t="s">
        <v>68</v>
      </c>
      <c r="H184" s="5" t="s">
        <v>68</v>
      </c>
      <c r="I184" s="5" t="s">
        <v>68</v>
      </c>
    </row>
    <row r="185" spans="1:9">
      <c r="A185" t="s">
        <v>68</v>
      </c>
      <c r="B185" t="s">
        <v>68</v>
      </c>
      <c r="C185" t="s">
        <v>68</v>
      </c>
      <c r="E185" s="5" t="s">
        <v>68</v>
      </c>
      <c r="F185" s="5" t="s">
        <v>68</v>
      </c>
      <c r="G185" s="5" t="s">
        <v>68</v>
      </c>
      <c r="H185" s="5" t="s">
        <v>68</v>
      </c>
      <c r="I185" s="5" t="s">
        <v>68</v>
      </c>
    </row>
    <row r="186" spans="1:9">
      <c r="A186" t="s">
        <v>68</v>
      </c>
      <c r="B186" t="s">
        <v>68</v>
      </c>
      <c r="C186" t="s">
        <v>68</v>
      </c>
      <c r="E186" s="5" t="s">
        <v>68</v>
      </c>
      <c r="F186" s="5" t="s">
        <v>68</v>
      </c>
      <c r="G186" s="5" t="s">
        <v>68</v>
      </c>
      <c r="H186" s="5" t="s">
        <v>68</v>
      </c>
      <c r="I186" s="5" t="s">
        <v>68</v>
      </c>
    </row>
    <row r="187" spans="1:9">
      <c r="A187" t="s">
        <v>68</v>
      </c>
      <c r="B187" t="s">
        <v>68</v>
      </c>
      <c r="C187" t="s">
        <v>68</v>
      </c>
      <c r="E187" s="5" t="s">
        <v>68</v>
      </c>
      <c r="F187" s="5" t="s">
        <v>68</v>
      </c>
      <c r="G187" s="5" t="s">
        <v>68</v>
      </c>
      <c r="H187" s="5" t="s">
        <v>68</v>
      </c>
      <c r="I187" s="5" t="s">
        <v>68</v>
      </c>
    </row>
    <row r="188" spans="1:9">
      <c r="A188" t="s">
        <v>68</v>
      </c>
      <c r="B188" t="s">
        <v>68</v>
      </c>
      <c r="C188" t="s">
        <v>68</v>
      </c>
      <c r="E188" s="5" t="s">
        <v>68</v>
      </c>
      <c r="F188" s="5" t="s">
        <v>68</v>
      </c>
      <c r="G188" s="5" t="s">
        <v>68</v>
      </c>
      <c r="H188" s="5" t="s">
        <v>68</v>
      </c>
      <c r="I188" s="5" t="s">
        <v>68</v>
      </c>
    </row>
    <row r="189" spans="1:9">
      <c r="A189" t="s">
        <v>68</v>
      </c>
      <c r="B189" t="s">
        <v>68</v>
      </c>
      <c r="C189" t="s">
        <v>68</v>
      </c>
      <c r="E189" s="5" t="s">
        <v>68</v>
      </c>
      <c r="F189" s="5" t="s">
        <v>68</v>
      </c>
      <c r="G189" s="5" t="s">
        <v>68</v>
      </c>
      <c r="H189" s="5" t="s">
        <v>68</v>
      </c>
      <c r="I189" s="5" t="s">
        <v>68</v>
      </c>
    </row>
    <row r="190" spans="1:9">
      <c r="A190" t="s">
        <v>68</v>
      </c>
      <c r="B190" t="s">
        <v>68</v>
      </c>
      <c r="C190" t="s">
        <v>68</v>
      </c>
      <c r="E190" s="5" t="s">
        <v>68</v>
      </c>
      <c r="F190" s="5" t="s">
        <v>68</v>
      </c>
      <c r="G190" s="5" t="s">
        <v>68</v>
      </c>
      <c r="H190" s="5" t="s">
        <v>68</v>
      </c>
      <c r="I190" s="5" t="s">
        <v>68</v>
      </c>
    </row>
    <row r="191" spans="1:9">
      <c r="A191" t="s">
        <v>68</v>
      </c>
      <c r="B191" t="s">
        <v>68</v>
      </c>
      <c r="C191" t="s">
        <v>68</v>
      </c>
      <c r="E191" s="5" t="s">
        <v>68</v>
      </c>
      <c r="F191" s="5" t="s">
        <v>68</v>
      </c>
      <c r="G191" s="5" t="s">
        <v>68</v>
      </c>
      <c r="H191" s="5" t="s">
        <v>68</v>
      </c>
      <c r="I191" s="5" t="s">
        <v>68</v>
      </c>
    </row>
    <row r="192" spans="1:9">
      <c r="A192" t="s">
        <v>68</v>
      </c>
      <c r="B192" t="s">
        <v>68</v>
      </c>
      <c r="C192" t="s">
        <v>68</v>
      </c>
      <c r="E192" s="5" t="s">
        <v>68</v>
      </c>
      <c r="F192" s="5" t="s">
        <v>68</v>
      </c>
      <c r="G192" s="5" t="s">
        <v>68</v>
      </c>
      <c r="H192" s="5" t="s">
        <v>68</v>
      </c>
      <c r="I192" s="5" t="s">
        <v>68</v>
      </c>
    </row>
    <row r="193" spans="1:9">
      <c r="A193" t="s">
        <v>68</v>
      </c>
      <c r="B193" t="s">
        <v>68</v>
      </c>
      <c r="C193" t="s">
        <v>68</v>
      </c>
      <c r="E193" s="5" t="s">
        <v>68</v>
      </c>
      <c r="F193" s="5" t="s">
        <v>68</v>
      </c>
      <c r="G193" s="5" t="s">
        <v>68</v>
      </c>
      <c r="H193" s="5" t="s">
        <v>68</v>
      </c>
      <c r="I193" s="5" t="s">
        <v>68</v>
      </c>
    </row>
    <row r="194" spans="1:9">
      <c r="A194" t="s">
        <v>68</v>
      </c>
      <c r="B194" t="s">
        <v>68</v>
      </c>
      <c r="C194" t="s">
        <v>68</v>
      </c>
      <c r="E194" s="5" t="s">
        <v>68</v>
      </c>
      <c r="F194" s="5" t="s">
        <v>68</v>
      </c>
      <c r="G194" s="5" t="s">
        <v>68</v>
      </c>
      <c r="H194" s="5" t="s">
        <v>68</v>
      </c>
      <c r="I194" s="5" t="s">
        <v>68</v>
      </c>
    </row>
    <row r="195" spans="1:9">
      <c r="A195" t="s">
        <v>68</v>
      </c>
      <c r="B195" t="s">
        <v>68</v>
      </c>
      <c r="C195" t="s">
        <v>68</v>
      </c>
      <c r="E195" s="5" t="s">
        <v>68</v>
      </c>
      <c r="F195" s="5" t="s">
        <v>68</v>
      </c>
      <c r="G195" s="5" t="s">
        <v>68</v>
      </c>
      <c r="H195" s="5" t="s">
        <v>68</v>
      </c>
      <c r="I195" s="5" t="s">
        <v>68</v>
      </c>
    </row>
    <row r="196" spans="1:9">
      <c r="A196" t="s">
        <v>68</v>
      </c>
      <c r="B196" t="s">
        <v>68</v>
      </c>
      <c r="C196" t="s">
        <v>68</v>
      </c>
      <c r="E196" s="5" t="s">
        <v>68</v>
      </c>
      <c r="F196" s="5" t="s">
        <v>68</v>
      </c>
      <c r="G196" s="5" t="s">
        <v>68</v>
      </c>
      <c r="H196" s="5" t="s">
        <v>68</v>
      </c>
      <c r="I196" s="5" t="s">
        <v>68</v>
      </c>
    </row>
    <row r="197" spans="1:9">
      <c r="A197" t="s">
        <v>68</v>
      </c>
      <c r="B197" t="s">
        <v>68</v>
      </c>
      <c r="C197" t="s">
        <v>68</v>
      </c>
      <c r="E197" s="5" t="s">
        <v>68</v>
      </c>
      <c r="F197" s="5" t="s">
        <v>68</v>
      </c>
      <c r="G197" s="5" t="s">
        <v>68</v>
      </c>
      <c r="H197" s="5" t="s">
        <v>68</v>
      </c>
      <c r="I197" s="5" t="s">
        <v>68</v>
      </c>
    </row>
    <row r="198" spans="1:9">
      <c r="A198" t="s">
        <v>68</v>
      </c>
      <c r="B198" t="s">
        <v>68</v>
      </c>
      <c r="C198" t="s">
        <v>68</v>
      </c>
      <c r="E198" s="5" t="s">
        <v>68</v>
      </c>
      <c r="F198" s="5" t="s">
        <v>68</v>
      </c>
      <c r="G198" s="5" t="s">
        <v>68</v>
      </c>
      <c r="H198" s="5" t="s">
        <v>68</v>
      </c>
      <c r="I198" s="5" t="s">
        <v>68</v>
      </c>
    </row>
    <row r="199" spans="1:9">
      <c r="A199" t="s">
        <v>68</v>
      </c>
      <c r="B199" t="s">
        <v>68</v>
      </c>
      <c r="C199" t="s">
        <v>68</v>
      </c>
      <c r="E199" s="5" t="s">
        <v>68</v>
      </c>
      <c r="F199" s="5" t="s">
        <v>68</v>
      </c>
      <c r="G199" s="5" t="s">
        <v>68</v>
      </c>
      <c r="H199" s="5" t="s">
        <v>68</v>
      </c>
      <c r="I199" s="5" t="s">
        <v>68</v>
      </c>
    </row>
    <row r="200" spans="1:9">
      <c r="A200" t="s">
        <v>68</v>
      </c>
      <c r="B200" t="s">
        <v>68</v>
      </c>
      <c r="C200" t="s">
        <v>68</v>
      </c>
      <c r="E200" s="5" t="s">
        <v>68</v>
      </c>
      <c r="F200" s="5" t="s">
        <v>68</v>
      </c>
      <c r="G200" s="5" t="s">
        <v>68</v>
      </c>
      <c r="H200" s="5" t="s">
        <v>68</v>
      </c>
      <c r="I200" s="5" t="s">
        <v>68</v>
      </c>
    </row>
  </sheetData>
  <pageMargins left="0.75" right="0.75" top="1" bottom="1" header="0.5" footer="0.5"/>
  <pageSetup paperSize="0" orientation="portrait"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G202"/>
  <sheetViews>
    <sheetView workbookViewId="0">
      <selection activeCell="D31" sqref="D31"/>
    </sheetView>
  </sheetViews>
  <sheetFormatPr defaultColWidth="8.81640625" defaultRowHeight="12.5"/>
  <cols>
    <col min="1" max="1" width="27" style="20" bestFit="1" customWidth="1"/>
    <col min="2" max="2" width="9.36328125" bestFit="1" customWidth="1"/>
    <col min="3" max="3" width="10.36328125" bestFit="1" customWidth="1"/>
    <col min="4" max="5" width="10" bestFit="1" customWidth="1"/>
    <col min="6" max="6" width="9.453125" bestFit="1" customWidth="1"/>
    <col min="7" max="7" width="6.1796875" bestFit="1" customWidth="1"/>
  </cols>
  <sheetData>
    <row r="1" spans="1:7">
      <c r="A1" s="20" t="s">
        <v>48</v>
      </c>
      <c r="B1" t="str">
        <f>Parameters!B6</f>
        <v>Hinf1-ITS4</v>
      </c>
      <c r="C1" t="str">
        <f>Parameters!C6</f>
        <v>Hinf1-ITS1F</v>
      </c>
      <c r="D1" t="str">
        <f>Parameters!D6</f>
        <v>HaeIII-ITS4</v>
      </c>
      <c r="E1" t="str">
        <f>Parameters!E6</f>
        <v>HaeIII-ITS1</v>
      </c>
      <c r="F1" t="str">
        <f>Parameters!F6</f>
        <v>DpnII-ITS4</v>
      </c>
      <c r="G1" t="str">
        <f>Parameters!G6</f>
        <v>(none)</v>
      </c>
    </row>
    <row r="2" spans="1:7">
      <c r="A2" s="34" t="s">
        <v>71</v>
      </c>
      <c r="B2" s="30">
        <v>319.89999999999998</v>
      </c>
      <c r="C2" s="30">
        <v>414.8</v>
      </c>
      <c r="D2" s="30">
        <v>691.9</v>
      </c>
      <c r="E2" s="30">
        <v>696.8</v>
      </c>
      <c r="F2" s="30"/>
      <c r="G2" s="30"/>
    </row>
    <row r="3" spans="1:7">
      <c r="A3" s="34" t="s">
        <v>26</v>
      </c>
      <c r="B3" s="30">
        <v>266.8</v>
      </c>
      <c r="C3" s="30">
        <v>335.7</v>
      </c>
      <c r="D3" s="30">
        <v>81.7</v>
      </c>
      <c r="E3" s="30">
        <v>104.3</v>
      </c>
      <c r="F3" s="30">
        <v>193.8</v>
      </c>
      <c r="G3" s="30"/>
    </row>
    <row r="4" spans="1:7">
      <c r="A4" s="34" t="s">
        <v>72</v>
      </c>
      <c r="B4" s="30">
        <v>324.60000000000002</v>
      </c>
      <c r="C4" s="30">
        <v>228.8</v>
      </c>
      <c r="D4" s="30">
        <v>692.5</v>
      </c>
      <c r="E4" s="30">
        <v>700.5</v>
      </c>
      <c r="F4" s="30"/>
      <c r="G4" s="30"/>
    </row>
    <row r="5" spans="1:7">
      <c r="A5" s="34" t="s">
        <v>73</v>
      </c>
      <c r="B5" s="30">
        <v>318.7</v>
      </c>
      <c r="C5" s="30">
        <v>390.6</v>
      </c>
      <c r="D5" s="30">
        <v>675.7</v>
      </c>
      <c r="E5" s="30">
        <v>682.3</v>
      </c>
      <c r="F5" s="30"/>
      <c r="G5" s="30"/>
    </row>
    <row r="6" spans="1:7">
      <c r="A6" s="34" t="s">
        <v>74</v>
      </c>
      <c r="B6" s="30">
        <v>343.7</v>
      </c>
      <c r="C6" s="30">
        <v>354.3</v>
      </c>
      <c r="D6" s="30"/>
      <c r="E6" s="30">
        <v>108.5</v>
      </c>
      <c r="F6" s="30"/>
      <c r="G6" s="30"/>
    </row>
    <row r="7" spans="1:7">
      <c r="A7" s="34" t="s">
        <v>47</v>
      </c>
      <c r="B7" s="30">
        <v>317.5</v>
      </c>
      <c r="C7" s="30">
        <v>406.2</v>
      </c>
      <c r="D7" s="30">
        <v>732.6</v>
      </c>
      <c r="E7" s="30">
        <v>742.3</v>
      </c>
      <c r="F7" s="30">
        <v>99.6</v>
      </c>
      <c r="G7" s="30"/>
    </row>
    <row r="8" spans="1:7">
      <c r="A8" s="34" t="s">
        <v>27</v>
      </c>
      <c r="B8" s="30">
        <v>285.5</v>
      </c>
      <c r="C8" s="30">
        <v>325.2</v>
      </c>
      <c r="D8" s="30">
        <v>520</v>
      </c>
      <c r="E8" s="30">
        <v>107.1</v>
      </c>
      <c r="F8" s="30"/>
      <c r="G8" s="30"/>
    </row>
    <row r="9" spans="1:7">
      <c r="A9" s="34" t="s">
        <v>75</v>
      </c>
      <c r="B9" s="30">
        <v>89.7</v>
      </c>
      <c r="C9" s="30">
        <v>377.7</v>
      </c>
      <c r="D9" s="30">
        <v>176.7</v>
      </c>
      <c r="E9" s="30">
        <v>180.9</v>
      </c>
      <c r="F9" s="30"/>
      <c r="G9" s="30"/>
    </row>
    <row r="10" spans="1:7">
      <c r="A10" s="34" t="s">
        <v>76</v>
      </c>
      <c r="B10" s="30">
        <v>368.4</v>
      </c>
      <c r="C10" s="30">
        <v>214</v>
      </c>
      <c r="D10" s="30">
        <v>194.8</v>
      </c>
      <c r="E10" s="30">
        <v>528.20000000000005</v>
      </c>
      <c r="F10" s="30"/>
      <c r="G10" s="30"/>
    </row>
    <row r="11" spans="1:7">
      <c r="A11" s="34" t="s">
        <v>77</v>
      </c>
      <c r="B11" s="30">
        <v>454.6</v>
      </c>
      <c r="C11" s="30">
        <v>355.2</v>
      </c>
      <c r="D11" s="30">
        <v>120.4</v>
      </c>
      <c r="E11" s="30">
        <v>110.1</v>
      </c>
      <c r="F11" s="30">
        <v>169.3</v>
      </c>
      <c r="G11" s="30"/>
    </row>
    <row r="12" spans="1:7">
      <c r="A12" s="34" t="s">
        <v>28</v>
      </c>
      <c r="B12" s="30">
        <v>160</v>
      </c>
      <c r="C12" s="30">
        <v>71.099999999999994</v>
      </c>
      <c r="D12" s="30">
        <v>216.9</v>
      </c>
      <c r="E12" s="30">
        <v>197.3</v>
      </c>
      <c r="F12" s="30"/>
      <c r="G12" s="30"/>
    </row>
    <row r="13" spans="1:7">
      <c r="A13" s="34" t="s">
        <v>29</v>
      </c>
      <c r="B13" s="30">
        <v>100</v>
      </c>
      <c r="C13" s="30">
        <v>305.60000000000002</v>
      </c>
      <c r="D13" s="30">
        <v>690.1</v>
      </c>
      <c r="E13" s="30">
        <v>697.4</v>
      </c>
      <c r="F13" s="30">
        <v>153.1</v>
      </c>
      <c r="G13" s="30"/>
    </row>
    <row r="14" spans="1:7">
      <c r="A14" s="34" t="s">
        <v>78</v>
      </c>
      <c r="B14" s="30">
        <v>97.7</v>
      </c>
      <c r="C14" s="30">
        <v>349.9</v>
      </c>
      <c r="D14" s="30">
        <v>202.4</v>
      </c>
      <c r="E14" s="30">
        <v>98.4</v>
      </c>
      <c r="F14" s="30">
        <v>106.8</v>
      </c>
      <c r="G14" s="30"/>
    </row>
    <row r="15" spans="1:7">
      <c r="A15" s="34" t="s">
        <v>86</v>
      </c>
      <c r="B15" s="30">
        <v>359.2</v>
      </c>
      <c r="C15" s="30">
        <v>366.2</v>
      </c>
      <c r="D15" s="30">
        <v>129</v>
      </c>
      <c r="E15" s="30">
        <v>268.5</v>
      </c>
      <c r="F15" s="30"/>
      <c r="G15" s="30"/>
    </row>
    <row r="16" spans="1:7">
      <c r="A16" s="34" t="s">
        <v>87</v>
      </c>
      <c r="B16" s="30">
        <v>45</v>
      </c>
      <c r="C16" s="30">
        <v>366</v>
      </c>
      <c r="D16" s="30">
        <v>129.80000000000001</v>
      </c>
      <c r="E16" s="30">
        <v>266.39999999999998</v>
      </c>
      <c r="F16" s="30"/>
      <c r="G16" s="30"/>
    </row>
    <row r="17" spans="1:7">
      <c r="A17" s="34" t="s">
        <v>60</v>
      </c>
      <c r="B17" s="30">
        <v>332.3</v>
      </c>
      <c r="C17" s="30">
        <v>159.1</v>
      </c>
      <c r="D17" s="30">
        <v>877.5</v>
      </c>
      <c r="E17" s="30">
        <v>93.5</v>
      </c>
      <c r="F17" s="30">
        <v>130.30000000000001</v>
      </c>
      <c r="G17" s="30"/>
    </row>
    <row r="18" spans="1:7">
      <c r="A18" s="34" t="s">
        <v>88</v>
      </c>
      <c r="B18" s="30">
        <v>315.89999999999998</v>
      </c>
      <c r="C18" s="30">
        <v>387.2</v>
      </c>
      <c r="D18" s="30">
        <v>436.1</v>
      </c>
      <c r="E18" s="30">
        <v>278</v>
      </c>
      <c r="F18" s="30"/>
      <c r="G18" s="30"/>
    </row>
    <row r="19" spans="1:7">
      <c r="A19" s="34" t="s">
        <v>89</v>
      </c>
      <c r="B19" s="30">
        <v>466.6</v>
      </c>
      <c r="C19" s="30">
        <v>377.4</v>
      </c>
      <c r="D19" s="30">
        <v>580.1</v>
      </c>
      <c r="E19" s="30">
        <v>101.2</v>
      </c>
      <c r="F19" s="30"/>
      <c r="G19" s="30"/>
    </row>
    <row r="20" spans="1:7">
      <c r="A20" s="34" t="s">
        <v>30</v>
      </c>
      <c r="B20" s="30">
        <v>393</v>
      </c>
      <c r="C20" s="30">
        <v>107.9</v>
      </c>
      <c r="D20" s="30">
        <v>753.2</v>
      </c>
      <c r="E20" s="30">
        <v>763.5</v>
      </c>
      <c r="F20" s="30"/>
      <c r="G20" s="30"/>
    </row>
    <row r="21" spans="1:7">
      <c r="A21" s="34" t="s">
        <v>79</v>
      </c>
      <c r="B21" s="30">
        <v>320.8</v>
      </c>
      <c r="C21" s="30">
        <v>389.3</v>
      </c>
      <c r="D21" s="30">
        <v>440.4</v>
      </c>
      <c r="E21" s="30">
        <v>232.5</v>
      </c>
      <c r="F21" s="30"/>
      <c r="G21" s="30"/>
    </row>
    <row r="22" spans="1:7">
      <c r="A22" s="34" t="s">
        <v>80</v>
      </c>
      <c r="B22" s="30">
        <v>187.9</v>
      </c>
      <c r="C22" s="30">
        <v>59.8</v>
      </c>
      <c r="D22" s="30"/>
      <c r="E22" s="30"/>
      <c r="F22" s="30">
        <v>186.2</v>
      </c>
      <c r="G22" s="30"/>
    </row>
    <row r="23" spans="1:7">
      <c r="A23" s="34" t="s">
        <v>81</v>
      </c>
      <c r="B23" s="30">
        <v>319</v>
      </c>
      <c r="C23" s="30">
        <v>120.3</v>
      </c>
      <c r="D23" s="30">
        <v>437.9</v>
      </c>
      <c r="E23" s="30">
        <v>277.7</v>
      </c>
      <c r="F23" s="30"/>
      <c r="G23" s="30"/>
    </row>
    <row r="24" spans="1:7">
      <c r="A24" s="34" t="s">
        <v>82</v>
      </c>
      <c r="B24" s="30">
        <v>341.1</v>
      </c>
      <c r="C24" s="30">
        <v>408.5</v>
      </c>
      <c r="D24" s="30">
        <v>606.6</v>
      </c>
      <c r="E24" s="30">
        <v>133.1</v>
      </c>
      <c r="F24" s="30"/>
      <c r="G24" s="30"/>
    </row>
    <row r="25" spans="1:7">
      <c r="A25" s="34" t="s">
        <v>90</v>
      </c>
      <c r="B25" s="30">
        <v>323.7</v>
      </c>
      <c r="C25" s="30">
        <v>393.9</v>
      </c>
      <c r="D25" s="30">
        <v>727.2</v>
      </c>
      <c r="E25" s="30">
        <v>735.3</v>
      </c>
      <c r="F25" s="30">
        <v>400.9</v>
      </c>
      <c r="G25" s="30"/>
    </row>
    <row r="26" spans="1:7">
      <c r="A26" s="34" t="s">
        <v>31</v>
      </c>
      <c r="B26" s="30">
        <v>388</v>
      </c>
      <c r="C26" s="30">
        <v>107</v>
      </c>
      <c r="D26" s="30">
        <v>702.1</v>
      </c>
      <c r="E26" s="30">
        <v>86.1</v>
      </c>
      <c r="F26" s="30">
        <v>201.4</v>
      </c>
      <c r="G26" s="30"/>
    </row>
    <row r="27" spans="1:7">
      <c r="A27" s="34" t="s">
        <v>91</v>
      </c>
      <c r="B27" s="30">
        <v>387.8</v>
      </c>
      <c r="C27" s="30">
        <v>105.7</v>
      </c>
      <c r="D27" s="30">
        <v>247</v>
      </c>
      <c r="E27" s="30">
        <v>522.20000000000005</v>
      </c>
      <c r="F27" s="30"/>
      <c r="G27" s="30"/>
    </row>
    <row r="28" spans="1:7">
      <c r="A28" s="34" t="s">
        <v>83</v>
      </c>
      <c r="B28" s="30">
        <v>343</v>
      </c>
      <c r="C28" s="30">
        <v>363.3</v>
      </c>
      <c r="D28" s="30">
        <v>85.8</v>
      </c>
      <c r="E28" s="30">
        <v>183.5</v>
      </c>
      <c r="F28" s="30"/>
      <c r="G28" s="30"/>
    </row>
    <row r="29" spans="1:7">
      <c r="A29" s="34" t="s">
        <v>84</v>
      </c>
      <c r="B29" s="30">
        <v>195.2</v>
      </c>
      <c r="C29" s="30">
        <v>357.3</v>
      </c>
      <c r="D29" s="30">
        <v>216.3</v>
      </c>
      <c r="E29" s="30">
        <v>178.1</v>
      </c>
      <c r="F29" s="30"/>
      <c r="G29" s="30"/>
    </row>
    <row r="30" spans="1:7">
      <c r="A30" s="34" t="s">
        <v>32</v>
      </c>
      <c r="B30" s="30"/>
      <c r="C30" s="30"/>
      <c r="D30" s="30">
        <v>129</v>
      </c>
      <c r="E30" s="30">
        <v>266.3</v>
      </c>
      <c r="F30" s="30"/>
      <c r="G30" s="30"/>
    </row>
    <row r="31" spans="1:7">
      <c r="A31" s="34" t="s">
        <v>33</v>
      </c>
      <c r="B31" s="30">
        <v>139.9</v>
      </c>
      <c r="C31" s="30">
        <v>325.5</v>
      </c>
      <c r="D31" s="30">
        <v>92.5</v>
      </c>
      <c r="E31" s="30">
        <v>79.7</v>
      </c>
      <c r="F31" s="30"/>
      <c r="G31" s="30"/>
    </row>
    <row r="32" spans="1:7">
      <c r="A32" s="34" t="s">
        <v>85</v>
      </c>
      <c r="B32" s="30">
        <v>316.10000000000002</v>
      </c>
      <c r="C32" s="30">
        <v>149.30000000000001</v>
      </c>
      <c r="D32" s="30">
        <v>560</v>
      </c>
      <c r="E32" s="30">
        <v>81.5</v>
      </c>
      <c r="F32" s="30"/>
      <c r="G32" s="30"/>
    </row>
    <row r="33" spans="1:7">
      <c r="A33" s="34" t="s">
        <v>92</v>
      </c>
      <c r="B33" s="30">
        <v>340</v>
      </c>
      <c r="C33" s="30">
        <v>345.3</v>
      </c>
      <c r="D33" s="30">
        <v>158.19999999999999</v>
      </c>
      <c r="E33" s="30">
        <v>99.7</v>
      </c>
      <c r="F33" s="30"/>
      <c r="G33" s="30"/>
    </row>
    <row r="34" spans="1:7">
      <c r="A34" s="34" t="s">
        <v>93</v>
      </c>
      <c r="B34" s="30">
        <v>71</v>
      </c>
      <c r="C34" s="30">
        <v>365.8</v>
      </c>
      <c r="D34" s="30">
        <v>221.3</v>
      </c>
      <c r="E34" s="30">
        <v>502.9</v>
      </c>
      <c r="F34" s="30"/>
      <c r="G34" s="30"/>
    </row>
    <row r="35" spans="1:7">
      <c r="A35" s="34" t="s">
        <v>95</v>
      </c>
      <c r="B35" s="30">
        <v>362.2</v>
      </c>
      <c r="C35" s="30">
        <v>344.2</v>
      </c>
      <c r="D35" s="30">
        <v>129.6</v>
      </c>
      <c r="E35" s="30">
        <v>266.5</v>
      </c>
      <c r="F35" s="30"/>
      <c r="G35" s="30"/>
    </row>
    <row r="36" spans="1:7">
      <c r="A36" s="34" t="s">
        <v>34</v>
      </c>
      <c r="B36" s="30">
        <v>370.3</v>
      </c>
      <c r="C36" s="30">
        <v>345.3</v>
      </c>
      <c r="D36" s="30"/>
      <c r="E36" s="30">
        <v>170.8</v>
      </c>
      <c r="F36" s="30">
        <v>343.2</v>
      </c>
      <c r="G36" s="30"/>
    </row>
    <row r="37" spans="1:7">
      <c r="A37" s="34" t="s">
        <v>54</v>
      </c>
      <c r="B37" s="30">
        <v>91.6</v>
      </c>
      <c r="C37" s="30">
        <v>352.8</v>
      </c>
      <c r="D37" s="30">
        <v>259.7</v>
      </c>
      <c r="E37" s="30">
        <v>469.5</v>
      </c>
      <c r="F37" s="30"/>
      <c r="G37" s="30"/>
    </row>
    <row r="38" spans="1:7">
      <c r="A38" s="34" t="s">
        <v>35</v>
      </c>
      <c r="B38" s="30">
        <v>322.10000000000002</v>
      </c>
      <c r="C38" s="30">
        <v>361.4</v>
      </c>
      <c r="D38" s="30">
        <v>698.7</v>
      </c>
      <c r="E38" s="30">
        <v>700.1</v>
      </c>
      <c r="F38" s="30">
        <v>146.19999999999999</v>
      </c>
      <c r="G38" s="30"/>
    </row>
    <row r="39" spans="1:7">
      <c r="A39" s="34" t="s">
        <v>36</v>
      </c>
      <c r="B39" s="30">
        <v>380</v>
      </c>
      <c r="C39" s="30">
        <v>363.4</v>
      </c>
      <c r="D39" s="30">
        <v>105.9</v>
      </c>
      <c r="E39" s="30">
        <v>498.5</v>
      </c>
      <c r="F39" s="30"/>
      <c r="G39" s="30"/>
    </row>
    <row r="40" spans="1:7">
      <c r="A40" s="34" t="s">
        <v>96</v>
      </c>
      <c r="B40" s="30">
        <v>323.89999999999998</v>
      </c>
      <c r="C40" s="30">
        <v>423.3</v>
      </c>
      <c r="D40" s="30">
        <v>75.3</v>
      </c>
      <c r="E40" s="30">
        <v>76.5</v>
      </c>
      <c r="F40" s="30"/>
      <c r="G40" s="30"/>
    </row>
    <row r="41" spans="1:7">
      <c r="A41" s="34" t="s">
        <v>94</v>
      </c>
      <c r="B41" s="30">
        <v>289.7</v>
      </c>
      <c r="C41" s="30">
        <v>244.9</v>
      </c>
      <c r="D41" s="30">
        <v>170.5</v>
      </c>
      <c r="E41" s="30">
        <v>470.6</v>
      </c>
      <c r="F41" s="30"/>
      <c r="G41" s="30"/>
    </row>
    <row r="42" spans="1:7">
      <c r="A42" s="34" t="s">
        <v>37</v>
      </c>
      <c r="B42" s="30">
        <v>241.9</v>
      </c>
      <c r="C42" s="30">
        <v>373.6</v>
      </c>
      <c r="D42" s="30">
        <v>74.400000000000006</v>
      </c>
      <c r="E42" s="30">
        <v>108.8</v>
      </c>
      <c r="F42" s="30">
        <v>147.4</v>
      </c>
      <c r="G42" s="30"/>
    </row>
    <row r="43" spans="1:7">
      <c r="A43" s="34" t="s">
        <v>97</v>
      </c>
      <c r="B43" s="30">
        <v>247.2</v>
      </c>
      <c r="C43" s="30">
        <v>102.7</v>
      </c>
      <c r="D43" s="30">
        <v>75.3</v>
      </c>
      <c r="E43" s="30">
        <v>230.2</v>
      </c>
      <c r="F43" s="30">
        <v>112.3</v>
      </c>
      <c r="G43" s="30"/>
    </row>
    <row r="44" spans="1:7">
      <c r="A44" s="34" t="s">
        <v>61</v>
      </c>
      <c r="B44" s="30">
        <v>212.6</v>
      </c>
      <c r="C44" s="30">
        <v>235</v>
      </c>
      <c r="D44" s="30">
        <v>157.30000000000001</v>
      </c>
      <c r="E44" s="30">
        <v>113.5</v>
      </c>
      <c r="F44" s="30">
        <v>137.19999999999999</v>
      </c>
      <c r="G44" s="30"/>
    </row>
    <row r="45" spans="1:7">
      <c r="A45" s="34" t="s">
        <v>38</v>
      </c>
      <c r="B45" s="30">
        <v>275.3</v>
      </c>
      <c r="C45" s="30">
        <v>329.8</v>
      </c>
      <c r="D45" s="30">
        <v>74</v>
      </c>
      <c r="E45" s="30">
        <v>77.599999999999994</v>
      </c>
      <c r="F45" s="30"/>
      <c r="G45" s="30"/>
    </row>
    <row r="46" spans="1:7">
      <c r="A46" s="34" t="s">
        <v>98</v>
      </c>
      <c r="B46" s="30">
        <v>328</v>
      </c>
      <c r="C46" s="30">
        <v>395.5</v>
      </c>
      <c r="D46" s="30">
        <v>685.1</v>
      </c>
      <c r="E46" s="30">
        <v>695.1</v>
      </c>
      <c r="F46" s="30"/>
      <c r="G46" s="30"/>
    </row>
    <row r="47" spans="1:7">
      <c r="A47" s="34" t="s">
        <v>99</v>
      </c>
      <c r="B47" s="30">
        <v>330.8</v>
      </c>
      <c r="C47" s="30">
        <v>124.9</v>
      </c>
      <c r="D47" s="30">
        <v>153.9</v>
      </c>
      <c r="E47" s="30">
        <v>560.20000000000005</v>
      </c>
      <c r="F47" s="30">
        <v>132.30000000000001</v>
      </c>
      <c r="G47" s="30"/>
    </row>
    <row r="48" spans="1:7">
      <c r="A48" s="34" t="s">
        <v>100</v>
      </c>
      <c r="B48" s="30">
        <v>99.1</v>
      </c>
      <c r="C48" s="30">
        <v>304.5</v>
      </c>
      <c r="D48" s="30"/>
      <c r="E48" s="30"/>
      <c r="F48" s="30"/>
      <c r="G48" s="30"/>
    </row>
    <row r="49" spans="1:7">
      <c r="A49" s="34" t="s">
        <v>101</v>
      </c>
      <c r="B49" s="30">
        <v>303.2</v>
      </c>
      <c r="C49" s="30">
        <v>322.39999999999998</v>
      </c>
      <c r="D49" s="30"/>
      <c r="E49" s="30"/>
      <c r="F49" s="30"/>
      <c r="G49" s="30"/>
    </row>
    <row r="50" spans="1:7">
      <c r="A50" s="34" t="s">
        <v>102</v>
      </c>
      <c r="B50" s="30">
        <v>265.60000000000002</v>
      </c>
      <c r="C50" s="30">
        <v>312.2</v>
      </c>
      <c r="D50" s="30">
        <v>83.1</v>
      </c>
      <c r="E50" s="30">
        <v>134.4</v>
      </c>
      <c r="F50" s="30"/>
      <c r="G50" s="30"/>
    </row>
    <row r="51" spans="1:7">
      <c r="A51" s="34" t="s">
        <v>103</v>
      </c>
      <c r="B51" s="30">
        <v>316.2</v>
      </c>
      <c r="C51" s="30">
        <v>282.8</v>
      </c>
      <c r="D51" s="30">
        <v>580</v>
      </c>
      <c r="E51" s="30">
        <v>477.1</v>
      </c>
      <c r="F51" s="30"/>
      <c r="G51" s="30"/>
    </row>
    <row r="52" spans="1:7">
      <c r="A52" s="34" t="s">
        <v>104</v>
      </c>
      <c r="B52" s="30">
        <v>342.4</v>
      </c>
      <c r="C52" s="30">
        <v>245.2</v>
      </c>
      <c r="D52" s="30">
        <v>111.8</v>
      </c>
      <c r="E52" s="30">
        <v>99.1</v>
      </c>
      <c r="F52" s="30"/>
      <c r="G52" s="30"/>
    </row>
    <row r="53" spans="1:7">
      <c r="A53" s="34" t="s">
        <v>105</v>
      </c>
      <c r="B53" s="30">
        <v>99.7</v>
      </c>
      <c r="C53" s="30">
        <v>314.8</v>
      </c>
      <c r="D53" s="30">
        <v>161.9</v>
      </c>
      <c r="E53" s="30">
        <v>132</v>
      </c>
      <c r="F53" s="30"/>
      <c r="G53" s="30"/>
    </row>
    <row r="54" spans="1:7">
      <c r="A54" s="34" t="s">
        <v>106</v>
      </c>
      <c r="B54" s="30">
        <v>117.7</v>
      </c>
      <c r="C54" s="30">
        <v>299.10000000000002</v>
      </c>
      <c r="D54" s="30">
        <v>139.30000000000001</v>
      </c>
      <c r="E54" s="30">
        <v>79.599999999999994</v>
      </c>
      <c r="F54" s="30"/>
      <c r="G54" s="30"/>
    </row>
    <row r="55" spans="1:7">
      <c r="A55" s="34" t="s">
        <v>107</v>
      </c>
      <c r="B55" s="30">
        <v>286.5</v>
      </c>
      <c r="C55" s="30">
        <v>299.8</v>
      </c>
      <c r="D55" s="30">
        <v>159.5</v>
      </c>
      <c r="E55" s="30">
        <v>124.9</v>
      </c>
      <c r="F55" s="30"/>
      <c r="G55" s="30"/>
    </row>
    <row r="56" spans="1:7">
      <c r="A56" s="34" t="s">
        <v>108</v>
      </c>
      <c r="B56" s="30">
        <v>240.6</v>
      </c>
      <c r="C56" s="30">
        <v>352.3</v>
      </c>
      <c r="D56" s="30">
        <v>223.8</v>
      </c>
      <c r="E56" s="30">
        <v>96.2</v>
      </c>
      <c r="F56" s="30"/>
      <c r="G56" s="30"/>
    </row>
    <row r="57" spans="1:7">
      <c r="A57" s="34" t="s">
        <v>109</v>
      </c>
      <c r="B57" s="30">
        <v>357.8</v>
      </c>
      <c r="C57" s="30">
        <v>310.8</v>
      </c>
      <c r="D57" s="30">
        <v>653.1</v>
      </c>
      <c r="E57" s="30">
        <v>653.6</v>
      </c>
      <c r="F57" s="30"/>
      <c r="G57" s="30"/>
    </row>
    <row r="58" spans="1:7">
      <c r="A58" s="34" t="s">
        <v>110</v>
      </c>
      <c r="B58" s="30">
        <v>373.4</v>
      </c>
      <c r="C58" s="30">
        <v>384.7</v>
      </c>
      <c r="D58" s="30">
        <v>258.60000000000002</v>
      </c>
      <c r="E58" s="30">
        <v>512.29999999999995</v>
      </c>
      <c r="F58" s="30"/>
      <c r="G58" s="30"/>
    </row>
    <row r="59" spans="1:7">
      <c r="A59" s="34" t="s">
        <v>111</v>
      </c>
      <c r="B59" s="30">
        <v>285.10000000000002</v>
      </c>
      <c r="C59" s="30">
        <v>281.39999999999998</v>
      </c>
      <c r="D59" s="30">
        <v>77.099999999999994</v>
      </c>
      <c r="E59" s="30">
        <v>149.19999999999999</v>
      </c>
      <c r="F59" s="30"/>
      <c r="G59" s="30"/>
    </row>
    <row r="60" spans="1:7">
      <c r="A60" s="34" t="s">
        <v>112</v>
      </c>
      <c r="B60" s="30">
        <v>106.3</v>
      </c>
      <c r="C60" s="30">
        <v>117.3</v>
      </c>
      <c r="D60" s="30">
        <v>85.1</v>
      </c>
      <c r="E60" s="30">
        <v>485.8</v>
      </c>
      <c r="F60" s="30"/>
      <c r="G60" s="30"/>
    </row>
    <row r="61" spans="1:7">
      <c r="A61" s="34" t="s">
        <v>113</v>
      </c>
      <c r="B61" s="30">
        <v>232.3</v>
      </c>
      <c r="C61" s="30">
        <v>164.3</v>
      </c>
      <c r="D61" s="30">
        <v>146.6</v>
      </c>
      <c r="E61" s="30">
        <v>82.1</v>
      </c>
      <c r="F61" s="30"/>
      <c r="G61" s="30"/>
    </row>
    <row r="62" spans="1:7">
      <c r="A62" s="34" t="s">
        <v>114</v>
      </c>
      <c r="B62" s="30">
        <v>316.7</v>
      </c>
      <c r="C62" s="30">
        <v>346.8</v>
      </c>
      <c r="D62" s="30">
        <v>97.5</v>
      </c>
      <c r="E62" s="30">
        <v>96.4</v>
      </c>
      <c r="F62" s="30"/>
      <c r="G62" s="30"/>
    </row>
    <row r="63" spans="1:7">
      <c r="A63" s="34" t="s">
        <v>115</v>
      </c>
      <c r="B63" s="30">
        <v>321.8</v>
      </c>
      <c r="C63" s="30">
        <v>97.3</v>
      </c>
      <c r="D63" s="30">
        <v>202.2</v>
      </c>
      <c r="E63" s="30">
        <v>506.4</v>
      </c>
      <c r="F63" s="30"/>
      <c r="G63" s="30"/>
    </row>
    <row r="64" spans="1:7">
      <c r="A64" s="34" t="s">
        <v>116</v>
      </c>
      <c r="B64" s="30">
        <v>236.4</v>
      </c>
      <c r="C64" s="30">
        <v>248.1</v>
      </c>
      <c r="D64" s="30">
        <v>430.8</v>
      </c>
      <c r="E64" s="30">
        <v>75</v>
      </c>
      <c r="F64" s="30"/>
      <c r="G64" s="30"/>
    </row>
    <row r="65" spans="1:7">
      <c r="A65" s="34" t="s">
        <v>117</v>
      </c>
      <c r="B65" s="30">
        <v>213</v>
      </c>
      <c r="C65" s="30">
        <v>192.1</v>
      </c>
      <c r="D65" s="30">
        <v>92.7</v>
      </c>
      <c r="E65" s="30">
        <v>151.1</v>
      </c>
      <c r="F65" s="30"/>
      <c r="G65" s="30"/>
    </row>
    <row r="66" spans="1:7">
      <c r="A66" s="34" t="s">
        <v>118</v>
      </c>
      <c r="B66" s="30">
        <v>237.1</v>
      </c>
      <c r="C66" s="30">
        <v>417.4</v>
      </c>
      <c r="D66" s="30">
        <v>160.5</v>
      </c>
      <c r="E66" s="30">
        <v>206.2</v>
      </c>
      <c r="F66" s="30"/>
      <c r="G66" s="30"/>
    </row>
    <row r="67" spans="1:7">
      <c r="A67" s="34"/>
      <c r="B67" s="30"/>
      <c r="C67" s="30"/>
      <c r="D67" s="30"/>
      <c r="E67" s="30"/>
      <c r="F67" s="30"/>
      <c r="G67" s="30"/>
    </row>
    <row r="68" spans="1:7">
      <c r="A68" s="34"/>
      <c r="B68" s="30"/>
      <c r="C68" s="30"/>
      <c r="D68" s="30"/>
      <c r="E68" s="30"/>
      <c r="F68" s="30"/>
      <c r="G68" s="30"/>
    </row>
    <row r="69" spans="1:7">
      <c r="A69" s="34"/>
      <c r="B69" s="30"/>
      <c r="C69" s="30"/>
      <c r="D69" s="30"/>
      <c r="E69" s="30"/>
      <c r="F69" s="30"/>
      <c r="G69" s="30"/>
    </row>
    <row r="70" spans="1:7">
      <c r="A70" s="34"/>
      <c r="B70" s="30"/>
      <c r="C70" s="30"/>
      <c r="D70" s="30"/>
      <c r="E70" s="30"/>
      <c r="F70" s="30"/>
      <c r="G70" s="30"/>
    </row>
    <row r="71" spans="1:7">
      <c r="A71" s="34"/>
      <c r="B71" s="30"/>
      <c r="C71" s="30"/>
      <c r="D71" s="30"/>
      <c r="E71" s="30"/>
      <c r="F71" s="30"/>
      <c r="G71" s="30"/>
    </row>
    <row r="72" spans="1:7">
      <c r="A72" s="34"/>
      <c r="B72" s="30"/>
      <c r="C72" s="30"/>
      <c r="D72" s="30"/>
      <c r="E72" s="30"/>
      <c r="F72" s="30"/>
      <c r="G72" s="30"/>
    </row>
    <row r="73" spans="1:7">
      <c r="A73" s="34"/>
      <c r="B73" s="30"/>
      <c r="C73" s="30"/>
      <c r="D73" s="30"/>
      <c r="E73" s="30"/>
      <c r="F73" s="30"/>
      <c r="G73" s="30"/>
    </row>
    <row r="74" spans="1:7">
      <c r="A74" s="34"/>
      <c r="B74" s="30"/>
      <c r="C74" s="30"/>
      <c r="D74" s="30"/>
      <c r="E74" s="30"/>
      <c r="F74" s="30"/>
      <c r="G74" s="30"/>
    </row>
    <row r="75" spans="1:7">
      <c r="A75" s="34"/>
      <c r="B75" s="30"/>
      <c r="C75" s="30"/>
      <c r="D75" s="30"/>
      <c r="E75" s="30"/>
      <c r="F75" s="30"/>
      <c r="G75" s="30"/>
    </row>
    <row r="76" spans="1:7">
      <c r="A76" s="34"/>
      <c r="B76" s="30"/>
      <c r="C76" s="30"/>
      <c r="D76" s="30"/>
      <c r="E76" s="30"/>
      <c r="F76" s="30"/>
      <c r="G76" s="30"/>
    </row>
    <row r="77" spans="1:7">
      <c r="A77" s="34"/>
      <c r="B77" s="30"/>
      <c r="C77" s="30"/>
      <c r="D77" s="30"/>
      <c r="E77" s="30"/>
      <c r="F77" s="30"/>
      <c r="G77" s="30"/>
    </row>
    <row r="78" spans="1:7">
      <c r="A78" s="34"/>
      <c r="B78" s="30"/>
      <c r="C78" s="30"/>
      <c r="D78" s="30"/>
      <c r="E78" s="30"/>
      <c r="F78" s="30"/>
      <c r="G78" s="30"/>
    </row>
    <row r="79" spans="1:7">
      <c r="A79" s="34"/>
      <c r="B79" s="30"/>
      <c r="C79" s="30"/>
      <c r="D79" s="30"/>
      <c r="E79" s="30"/>
      <c r="F79" s="30"/>
      <c r="G79" s="30"/>
    </row>
    <row r="80" spans="1:7">
      <c r="A80" s="34"/>
      <c r="B80" s="30"/>
      <c r="C80" s="30"/>
      <c r="D80" s="30"/>
      <c r="E80" s="30"/>
      <c r="F80" s="30"/>
      <c r="G80" s="30"/>
    </row>
    <row r="81" spans="1:7">
      <c r="A81" s="34"/>
      <c r="B81" s="30"/>
      <c r="C81" s="30"/>
      <c r="D81" s="30"/>
      <c r="E81" s="30"/>
      <c r="F81" s="30"/>
      <c r="G81" s="30"/>
    </row>
    <row r="82" spans="1:7">
      <c r="A82" s="34"/>
      <c r="B82" s="30"/>
      <c r="C82" s="30"/>
      <c r="D82" s="30"/>
      <c r="E82" s="30"/>
      <c r="F82" s="30"/>
      <c r="G82" s="30"/>
    </row>
    <row r="83" spans="1:7">
      <c r="A83" s="34"/>
      <c r="B83" s="30"/>
      <c r="C83" s="30"/>
      <c r="D83" s="30"/>
      <c r="E83" s="30"/>
      <c r="F83" s="30"/>
      <c r="G83" s="30"/>
    </row>
    <row r="84" spans="1:7">
      <c r="A84" s="34"/>
      <c r="B84" s="30"/>
      <c r="C84" s="30"/>
      <c r="D84" s="30"/>
      <c r="E84" s="30"/>
      <c r="F84" s="30"/>
      <c r="G84" s="30"/>
    </row>
    <row r="85" spans="1:7">
      <c r="A85" s="34"/>
      <c r="B85" s="30"/>
      <c r="C85" s="30"/>
      <c r="D85" s="30"/>
      <c r="E85" s="30"/>
      <c r="F85" s="30"/>
      <c r="G85" s="30"/>
    </row>
    <row r="86" spans="1:7">
      <c r="A86" s="34"/>
      <c r="B86" s="30"/>
      <c r="C86" s="30"/>
      <c r="D86" s="30"/>
      <c r="E86" s="30"/>
      <c r="F86" s="30"/>
      <c r="G86" s="30"/>
    </row>
    <row r="87" spans="1:7">
      <c r="A87" s="34"/>
      <c r="B87" s="30"/>
      <c r="C87" s="30"/>
      <c r="D87" s="30"/>
      <c r="E87" s="30"/>
      <c r="F87" s="30"/>
      <c r="G87" s="30"/>
    </row>
    <row r="88" spans="1:7">
      <c r="A88" s="34"/>
      <c r="B88" s="30"/>
      <c r="C88" s="30"/>
      <c r="D88" s="30"/>
      <c r="E88" s="30"/>
      <c r="F88" s="30"/>
      <c r="G88" s="30"/>
    </row>
    <row r="89" spans="1:7">
      <c r="A89" s="34"/>
      <c r="B89" s="30"/>
      <c r="C89" s="30"/>
      <c r="D89" s="30"/>
      <c r="E89" s="30"/>
      <c r="F89" s="30"/>
      <c r="G89" s="30"/>
    </row>
    <row r="90" spans="1:7">
      <c r="A90" s="34"/>
      <c r="B90" s="30"/>
      <c r="C90" s="30"/>
      <c r="D90" s="30"/>
      <c r="E90" s="30"/>
      <c r="F90" s="30"/>
      <c r="G90" s="30"/>
    </row>
    <row r="91" spans="1:7">
      <c r="A91" s="34"/>
      <c r="B91" s="30"/>
      <c r="C91" s="30"/>
      <c r="D91" s="30"/>
      <c r="E91" s="30"/>
      <c r="F91" s="30"/>
      <c r="G91" s="30"/>
    </row>
    <row r="92" spans="1:7">
      <c r="A92" s="34"/>
      <c r="B92" s="30"/>
      <c r="C92" s="30"/>
      <c r="D92" s="30"/>
      <c r="E92" s="30"/>
      <c r="F92" s="30"/>
      <c r="G92" s="30"/>
    </row>
    <row r="93" spans="1:7">
      <c r="A93" s="34"/>
      <c r="B93" s="30"/>
      <c r="C93" s="30"/>
      <c r="D93" s="30"/>
      <c r="E93" s="30"/>
      <c r="F93" s="30"/>
      <c r="G93" s="30"/>
    </row>
    <row r="94" spans="1:7">
      <c r="A94" s="34"/>
      <c r="B94" s="30"/>
      <c r="C94" s="30"/>
      <c r="D94" s="30"/>
      <c r="E94" s="30"/>
      <c r="F94" s="30"/>
      <c r="G94" s="30"/>
    </row>
    <row r="95" spans="1:7">
      <c r="A95" s="34"/>
      <c r="B95" s="30"/>
      <c r="C95" s="30"/>
      <c r="D95" s="30"/>
      <c r="E95" s="30"/>
      <c r="F95" s="30"/>
      <c r="G95" s="30"/>
    </row>
    <row r="96" spans="1:7">
      <c r="A96" s="34"/>
      <c r="B96" s="30"/>
      <c r="C96" s="30"/>
      <c r="D96" s="30"/>
      <c r="E96" s="30"/>
      <c r="F96" s="30"/>
      <c r="G96" s="30"/>
    </row>
    <row r="97" spans="1:7">
      <c r="A97" s="34"/>
      <c r="B97" s="30"/>
      <c r="C97" s="30"/>
      <c r="D97" s="30"/>
      <c r="E97" s="30"/>
      <c r="F97" s="30"/>
      <c r="G97" s="30"/>
    </row>
    <row r="98" spans="1:7">
      <c r="A98" s="34"/>
      <c r="B98" s="30"/>
      <c r="C98" s="30"/>
      <c r="D98" s="30"/>
      <c r="E98" s="30"/>
      <c r="F98" s="30"/>
      <c r="G98" s="30"/>
    </row>
    <row r="99" spans="1:7">
      <c r="A99" s="34"/>
      <c r="B99" s="30"/>
      <c r="C99" s="30"/>
      <c r="D99" s="30"/>
      <c r="E99" s="30"/>
      <c r="F99" s="30"/>
      <c r="G99" s="30"/>
    </row>
    <row r="100" spans="1:7">
      <c r="A100" s="34"/>
      <c r="B100" s="30"/>
      <c r="C100" s="30"/>
      <c r="D100" s="30"/>
      <c r="E100" s="30"/>
      <c r="F100" s="30"/>
      <c r="G100" s="30"/>
    </row>
    <row r="101" spans="1:7">
      <c r="A101" s="34"/>
      <c r="B101" s="30"/>
      <c r="C101" s="30"/>
      <c r="D101" s="30"/>
      <c r="E101" s="30"/>
      <c r="F101" s="30"/>
      <c r="G101" s="30"/>
    </row>
    <row r="102" spans="1:7">
      <c r="A102" s="34"/>
      <c r="B102" s="30"/>
      <c r="C102" s="30"/>
      <c r="D102" s="30"/>
      <c r="E102" s="30"/>
      <c r="F102" s="30"/>
      <c r="G102" s="30"/>
    </row>
    <row r="103" spans="1:7">
      <c r="A103" s="34"/>
      <c r="B103" s="30"/>
      <c r="C103" s="30"/>
      <c r="D103" s="30"/>
      <c r="E103" s="30"/>
      <c r="F103" s="30"/>
      <c r="G103" s="30"/>
    </row>
    <row r="104" spans="1:7">
      <c r="A104" s="34"/>
      <c r="B104" s="30"/>
      <c r="C104" s="30"/>
      <c r="D104" s="30"/>
      <c r="E104" s="30"/>
      <c r="F104" s="30"/>
      <c r="G104" s="30"/>
    </row>
    <row r="105" spans="1:7">
      <c r="A105" s="34"/>
      <c r="B105" s="30"/>
      <c r="C105" s="30"/>
      <c r="D105" s="30"/>
      <c r="E105" s="30"/>
      <c r="F105" s="30"/>
      <c r="G105" s="30"/>
    </row>
    <row r="106" spans="1:7">
      <c r="A106" s="34"/>
      <c r="B106" s="30"/>
      <c r="C106" s="30"/>
      <c r="D106" s="30"/>
      <c r="E106" s="30"/>
      <c r="F106" s="30"/>
      <c r="G106" s="30"/>
    </row>
    <row r="107" spans="1:7">
      <c r="A107" s="34"/>
      <c r="B107" s="30"/>
      <c r="C107" s="30"/>
      <c r="D107" s="30"/>
      <c r="E107" s="30"/>
      <c r="F107" s="30"/>
      <c r="G107" s="30"/>
    </row>
    <row r="108" spans="1:7">
      <c r="A108" s="34"/>
      <c r="B108" s="30"/>
      <c r="C108" s="30"/>
      <c r="D108" s="30"/>
      <c r="E108" s="30"/>
      <c r="F108" s="30"/>
      <c r="G108" s="30"/>
    </row>
    <row r="109" spans="1:7">
      <c r="A109" s="34"/>
      <c r="B109" s="30"/>
      <c r="C109" s="30"/>
      <c r="D109" s="30"/>
      <c r="E109" s="30"/>
      <c r="F109" s="30"/>
      <c r="G109" s="30"/>
    </row>
    <row r="110" spans="1:7">
      <c r="A110" s="34"/>
      <c r="B110" s="30"/>
      <c r="C110" s="30"/>
      <c r="D110" s="30"/>
      <c r="E110" s="30"/>
      <c r="F110" s="30"/>
      <c r="G110" s="30"/>
    </row>
    <row r="111" spans="1:7">
      <c r="A111" s="34"/>
      <c r="B111" s="30"/>
      <c r="C111" s="30"/>
      <c r="D111" s="30"/>
      <c r="E111" s="30"/>
      <c r="F111" s="30"/>
      <c r="G111" s="30"/>
    </row>
    <row r="112" spans="1:7">
      <c r="A112" s="34"/>
      <c r="B112" s="30"/>
      <c r="C112" s="30"/>
      <c r="D112" s="30"/>
      <c r="E112" s="30"/>
      <c r="F112" s="30"/>
      <c r="G112" s="30"/>
    </row>
    <row r="113" spans="1:7">
      <c r="A113" s="34"/>
      <c r="B113" s="30"/>
      <c r="C113" s="30"/>
      <c r="D113" s="30"/>
      <c r="E113" s="30"/>
      <c r="F113" s="30"/>
      <c r="G113" s="30"/>
    </row>
    <row r="114" spans="1:7">
      <c r="A114" s="34"/>
      <c r="B114" s="30"/>
      <c r="C114" s="30"/>
      <c r="D114" s="30"/>
      <c r="E114" s="30"/>
      <c r="F114" s="30"/>
      <c r="G114" s="30"/>
    </row>
    <row r="115" spans="1:7">
      <c r="A115" s="34"/>
      <c r="B115" s="30"/>
      <c r="C115" s="30"/>
      <c r="D115" s="30"/>
      <c r="E115" s="30"/>
      <c r="F115" s="30"/>
      <c r="G115" s="30"/>
    </row>
    <row r="116" spans="1:7">
      <c r="A116" s="34"/>
      <c r="B116" s="30"/>
      <c r="C116" s="30"/>
      <c r="D116" s="30"/>
      <c r="E116" s="30"/>
      <c r="F116" s="30"/>
      <c r="G116" s="30"/>
    </row>
    <row r="117" spans="1:7">
      <c r="A117" s="34"/>
      <c r="B117" s="30"/>
      <c r="C117" s="30"/>
      <c r="D117" s="30"/>
      <c r="E117" s="30"/>
      <c r="F117" s="30"/>
      <c r="G117" s="30"/>
    </row>
    <row r="118" spans="1:7">
      <c r="A118" s="34"/>
      <c r="B118" s="30"/>
      <c r="C118" s="30"/>
      <c r="D118" s="30"/>
      <c r="E118" s="30"/>
      <c r="F118" s="30"/>
      <c r="G118" s="30"/>
    </row>
    <row r="119" spans="1:7">
      <c r="A119" s="34"/>
      <c r="B119" s="30"/>
      <c r="C119" s="30"/>
      <c r="D119" s="30"/>
      <c r="E119" s="30"/>
      <c r="F119" s="30"/>
      <c r="G119" s="30"/>
    </row>
    <row r="120" spans="1:7">
      <c r="A120" s="34"/>
      <c r="B120" s="30"/>
      <c r="C120" s="30"/>
      <c r="D120" s="30"/>
      <c r="E120" s="30"/>
      <c r="F120" s="30"/>
      <c r="G120" s="30"/>
    </row>
    <row r="121" spans="1:7">
      <c r="A121" s="34"/>
      <c r="B121" s="30"/>
      <c r="C121" s="30"/>
      <c r="D121" s="30"/>
      <c r="E121" s="30"/>
      <c r="F121" s="30"/>
      <c r="G121" s="30"/>
    </row>
    <row r="122" spans="1:7">
      <c r="A122" s="34"/>
      <c r="B122" s="30"/>
      <c r="C122" s="30"/>
      <c r="D122" s="30"/>
      <c r="E122" s="30"/>
      <c r="F122" s="30"/>
      <c r="G122" s="30"/>
    </row>
    <row r="123" spans="1:7">
      <c r="A123" s="34"/>
      <c r="B123" s="30"/>
      <c r="C123" s="30"/>
      <c r="D123" s="30"/>
      <c r="E123" s="30"/>
      <c r="F123" s="30"/>
      <c r="G123" s="30"/>
    </row>
    <row r="124" spans="1:7">
      <c r="A124" s="34"/>
      <c r="B124" s="30"/>
      <c r="C124" s="30"/>
      <c r="D124" s="30"/>
      <c r="E124" s="30"/>
      <c r="F124" s="30"/>
      <c r="G124" s="30"/>
    </row>
    <row r="125" spans="1:7">
      <c r="A125" s="34"/>
      <c r="B125" s="30"/>
      <c r="C125" s="30"/>
      <c r="D125" s="30"/>
      <c r="E125" s="30"/>
      <c r="F125" s="30"/>
      <c r="G125" s="30"/>
    </row>
    <row r="126" spans="1:7">
      <c r="A126" s="34"/>
      <c r="B126" s="30"/>
      <c r="C126" s="30"/>
      <c r="D126" s="30"/>
      <c r="E126" s="30"/>
      <c r="F126" s="30"/>
      <c r="G126" s="30"/>
    </row>
    <row r="127" spans="1:7">
      <c r="A127" s="34"/>
      <c r="B127" s="30"/>
      <c r="C127" s="30"/>
      <c r="D127" s="30"/>
      <c r="E127" s="30"/>
      <c r="F127" s="30"/>
      <c r="G127" s="30"/>
    </row>
    <row r="128" spans="1:7">
      <c r="A128" s="34"/>
      <c r="B128" s="30"/>
      <c r="C128" s="30"/>
      <c r="D128" s="30"/>
      <c r="E128" s="30"/>
      <c r="F128" s="30"/>
      <c r="G128" s="30"/>
    </row>
    <row r="129" spans="1:7">
      <c r="A129" s="34"/>
      <c r="B129" s="30"/>
      <c r="C129" s="30"/>
      <c r="D129" s="30"/>
      <c r="E129" s="30"/>
      <c r="F129" s="30"/>
      <c r="G129" s="30"/>
    </row>
    <row r="130" spans="1:7">
      <c r="A130" s="34"/>
      <c r="B130" s="30"/>
      <c r="C130" s="30"/>
      <c r="D130" s="30"/>
      <c r="E130" s="30"/>
      <c r="F130" s="30"/>
      <c r="G130" s="30"/>
    </row>
    <row r="131" spans="1:7">
      <c r="A131" s="34"/>
      <c r="B131" s="30"/>
      <c r="C131" s="30"/>
      <c r="D131" s="30"/>
      <c r="E131" s="30"/>
      <c r="F131" s="30"/>
      <c r="G131" s="30"/>
    </row>
    <row r="132" spans="1:7">
      <c r="A132" s="34"/>
      <c r="B132" s="30"/>
      <c r="C132" s="30"/>
      <c r="D132" s="30"/>
      <c r="E132" s="30"/>
      <c r="F132" s="30"/>
      <c r="G132" s="30"/>
    </row>
    <row r="133" spans="1:7">
      <c r="A133" s="34"/>
      <c r="B133" s="30"/>
      <c r="C133" s="30"/>
      <c r="D133" s="30"/>
      <c r="E133" s="30"/>
      <c r="F133" s="30"/>
      <c r="G133" s="30"/>
    </row>
    <row r="134" spans="1:7">
      <c r="A134" s="34"/>
      <c r="B134" s="30"/>
      <c r="C134" s="30"/>
      <c r="D134" s="30"/>
      <c r="E134" s="30"/>
      <c r="F134" s="30"/>
      <c r="G134" s="30"/>
    </row>
    <row r="135" spans="1:7">
      <c r="A135" s="34"/>
      <c r="B135" s="30"/>
      <c r="C135" s="30"/>
      <c r="D135" s="30"/>
      <c r="E135" s="30"/>
      <c r="F135" s="30"/>
      <c r="G135" s="30"/>
    </row>
    <row r="136" spans="1:7">
      <c r="A136" s="34"/>
      <c r="B136" s="30"/>
      <c r="C136" s="30"/>
      <c r="D136" s="30"/>
      <c r="E136" s="30"/>
      <c r="F136" s="30"/>
      <c r="G136" s="30"/>
    </row>
    <row r="137" spans="1:7">
      <c r="A137" s="34"/>
      <c r="B137" s="30"/>
      <c r="C137" s="30"/>
      <c r="D137" s="30"/>
      <c r="E137" s="30"/>
      <c r="F137" s="30"/>
      <c r="G137" s="30"/>
    </row>
    <row r="138" spans="1:7">
      <c r="A138" s="34"/>
      <c r="B138" s="30"/>
      <c r="C138" s="30"/>
      <c r="D138" s="30"/>
      <c r="E138" s="30"/>
      <c r="F138" s="30"/>
      <c r="G138" s="30"/>
    </row>
    <row r="139" spans="1:7">
      <c r="A139" s="34"/>
      <c r="B139" s="30"/>
      <c r="C139" s="30"/>
      <c r="D139" s="30"/>
      <c r="E139" s="30"/>
      <c r="F139" s="30"/>
      <c r="G139" s="30"/>
    </row>
    <row r="140" spans="1:7">
      <c r="A140" s="34"/>
      <c r="B140" s="30"/>
      <c r="C140" s="30"/>
      <c r="D140" s="30"/>
      <c r="E140" s="30"/>
      <c r="F140" s="30"/>
      <c r="G140" s="30"/>
    </row>
    <row r="141" spans="1:7">
      <c r="A141" s="34"/>
      <c r="B141" s="30"/>
      <c r="C141" s="30"/>
      <c r="D141" s="30"/>
      <c r="E141" s="30"/>
      <c r="F141" s="30"/>
      <c r="G141" s="30"/>
    </row>
    <row r="142" spans="1:7">
      <c r="A142" s="34"/>
      <c r="B142" s="30"/>
      <c r="C142" s="30"/>
      <c r="D142" s="30"/>
      <c r="E142" s="30"/>
      <c r="F142" s="30"/>
      <c r="G142" s="30"/>
    </row>
    <row r="143" spans="1:7">
      <c r="A143" s="34"/>
      <c r="B143" s="30"/>
      <c r="C143" s="30"/>
      <c r="D143" s="30"/>
      <c r="E143" s="30"/>
      <c r="F143" s="30"/>
      <c r="G143" s="30"/>
    </row>
    <row r="144" spans="1:7">
      <c r="A144" s="34"/>
      <c r="B144" s="30"/>
      <c r="C144" s="30"/>
      <c r="D144" s="30"/>
      <c r="E144" s="30"/>
      <c r="F144" s="30"/>
      <c r="G144" s="30"/>
    </row>
    <row r="145" spans="1:7">
      <c r="A145" s="34"/>
      <c r="B145" s="30"/>
      <c r="C145" s="30"/>
      <c r="D145" s="30"/>
      <c r="E145" s="30"/>
      <c r="F145" s="30"/>
      <c r="G145" s="30"/>
    </row>
    <row r="146" spans="1:7">
      <c r="A146" s="34"/>
      <c r="B146" s="30"/>
      <c r="C146" s="30"/>
      <c r="D146" s="30"/>
      <c r="E146" s="30"/>
      <c r="F146" s="30"/>
      <c r="G146" s="30"/>
    </row>
    <row r="147" spans="1:7">
      <c r="A147" s="34"/>
      <c r="B147" s="30"/>
      <c r="C147" s="30"/>
      <c r="D147" s="30"/>
      <c r="E147" s="30"/>
      <c r="F147" s="30"/>
      <c r="G147" s="30"/>
    </row>
    <row r="148" spans="1:7">
      <c r="A148" s="34"/>
      <c r="B148" s="30"/>
      <c r="C148" s="30"/>
      <c r="D148" s="30"/>
      <c r="E148" s="30"/>
      <c r="F148" s="30"/>
      <c r="G148" s="30"/>
    </row>
    <row r="149" spans="1:7">
      <c r="A149" s="34"/>
      <c r="B149" s="30"/>
      <c r="C149" s="30"/>
      <c r="D149" s="30"/>
      <c r="E149" s="30"/>
      <c r="F149" s="30"/>
      <c r="G149" s="30"/>
    </row>
    <row r="150" spans="1:7">
      <c r="A150" s="34"/>
      <c r="B150" s="30"/>
      <c r="C150" s="30"/>
      <c r="D150" s="30"/>
      <c r="E150" s="30"/>
      <c r="F150" s="30"/>
      <c r="G150" s="30"/>
    </row>
    <row r="151" spans="1:7">
      <c r="A151" s="34"/>
      <c r="B151" s="30"/>
      <c r="C151" s="30"/>
      <c r="D151" s="30"/>
      <c r="E151" s="30"/>
      <c r="F151" s="30"/>
      <c r="G151" s="30"/>
    </row>
    <row r="152" spans="1:7">
      <c r="A152" s="34"/>
      <c r="B152" s="30"/>
      <c r="C152" s="30"/>
      <c r="D152" s="30"/>
      <c r="E152" s="30"/>
      <c r="F152" s="30"/>
      <c r="G152" s="30"/>
    </row>
    <row r="153" spans="1:7">
      <c r="A153" s="34"/>
      <c r="B153" s="30"/>
      <c r="C153" s="30"/>
      <c r="D153" s="30"/>
      <c r="E153" s="30"/>
      <c r="F153" s="30"/>
      <c r="G153" s="30"/>
    </row>
    <row r="154" spans="1:7">
      <c r="A154" s="34"/>
      <c r="B154" s="30"/>
      <c r="C154" s="30"/>
      <c r="D154" s="30"/>
      <c r="E154" s="30"/>
      <c r="F154" s="30"/>
      <c r="G154" s="30"/>
    </row>
    <row r="155" spans="1:7">
      <c r="A155" s="34"/>
      <c r="B155" s="30"/>
      <c r="C155" s="30"/>
      <c r="D155" s="30"/>
      <c r="E155" s="30"/>
      <c r="F155" s="30"/>
      <c r="G155" s="30"/>
    </row>
    <row r="156" spans="1:7">
      <c r="A156" s="34"/>
      <c r="B156" s="30"/>
      <c r="C156" s="30"/>
      <c r="D156" s="30"/>
      <c r="E156" s="30"/>
      <c r="F156" s="30"/>
      <c r="G156" s="30"/>
    </row>
    <row r="157" spans="1:7">
      <c r="A157" s="34"/>
      <c r="B157" s="30"/>
      <c r="C157" s="30"/>
      <c r="D157" s="30"/>
      <c r="E157" s="30"/>
      <c r="F157" s="30"/>
      <c r="G157" s="30"/>
    </row>
    <row r="158" spans="1:7">
      <c r="A158" s="34"/>
      <c r="B158" s="30"/>
      <c r="C158" s="30"/>
      <c r="D158" s="30"/>
      <c r="E158" s="30"/>
      <c r="F158" s="30"/>
      <c r="G158" s="30"/>
    </row>
    <row r="159" spans="1:7">
      <c r="A159" s="34"/>
      <c r="B159" s="30"/>
      <c r="C159" s="30"/>
      <c r="D159" s="30"/>
      <c r="E159" s="30"/>
      <c r="F159" s="30"/>
      <c r="G159" s="30"/>
    </row>
    <row r="160" spans="1:7">
      <c r="A160" s="34"/>
      <c r="B160" s="30"/>
      <c r="C160" s="30"/>
      <c r="D160" s="30"/>
      <c r="E160" s="30"/>
      <c r="F160" s="30"/>
      <c r="G160" s="30"/>
    </row>
    <row r="161" spans="1:7">
      <c r="A161" s="34"/>
      <c r="B161" s="30"/>
      <c r="C161" s="30"/>
      <c r="D161" s="30"/>
      <c r="E161" s="30"/>
      <c r="F161" s="30"/>
      <c r="G161" s="30"/>
    </row>
    <row r="162" spans="1:7">
      <c r="A162" s="34"/>
      <c r="B162" s="30"/>
      <c r="C162" s="30"/>
      <c r="D162" s="30"/>
      <c r="E162" s="30"/>
      <c r="F162" s="30"/>
      <c r="G162" s="30"/>
    </row>
    <row r="163" spans="1:7">
      <c r="A163" s="34"/>
      <c r="B163" s="30"/>
      <c r="C163" s="30"/>
      <c r="D163" s="30"/>
      <c r="E163" s="30"/>
      <c r="F163" s="30"/>
      <c r="G163" s="30"/>
    </row>
    <row r="164" spans="1:7">
      <c r="A164" s="34"/>
      <c r="B164" s="30"/>
      <c r="C164" s="30"/>
      <c r="D164" s="30"/>
      <c r="E164" s="30"/>
      <c r="F164" s="30"/>
      <c r="G164" s="30"/>
    </row>
    <row r="165" spans="1:7">
      <c r="A165" s="34"/>
      <c r="B165" s="30"/>
      <c r="C165" s="30"/>
      <c r="D165" s="30"/>
      <c r="E165" s="30"/>
      <c r="F165" s="30"/>
      <c r="G165" s="30"/>
    </row>
    <row r="166" spans="1:7">
      <c r="A166" s="34"/>
      <c r="B166" s="30"/>
      <c r="C166" s="30"/>
      <c r="D166" s="30"/>
      <c r="E166" s="30"/>
      <c r="F166" s="30"/>
      <c r="G166" s="30"/>
    </row>
    <row r="167" spans="1:7">
      <c r="A167" s="34"/>
      <c r="B167" s="30"/>
      <c r="C167" s="30"/>
      <c r="D167" s="30"/>
      <c r="E167" s="30"/>
      <c r="F167" s="30"/>
      <c r="G167" s="30"/>
    </row>
    <row r="168" spans="1:7">
      <c r="A168" s="34"/>
      <c r="B168" s="30"/>
      <c r="C168" s="30"/>
      <c r="D168" s="30"/>
      <c r="E168" s="30"/>
      <c r="F168" s="30"/>
      <c r="G168" s="30"/>
    </row>
    <row r="169" spans="1:7">
      <c r="A169" s="34"/>
      <c r="B169" s="30"/>
      <c r="C169" s="30"/>
      <c r="D169" s="30"/>
      <c r="E169" s="30"/>
      <c r="F169" s="30"/>
      <c r="G169" s="30"/>
    </row>
    <row r="170" spans="1:7">
      <c r="A170" s="34"/>
      <c r="B170" s="30"/>
      <c r="C170" s="30"/>
      <c r="D170" s="30"/>
      <c r="E170" s="30"/>
      <c r="F170" s="30"/>
      <c r="G170" s="30"/>
    </row>
    <row r="171" spans="1:7">
      <c r="A171" s="34"/>
      <c r="B171" s="30"/>
      <c r="C171" s="30"/>
      <c r="D171" s="30"/>
      <c r="E171" s="30"/>
      <c r="F171" s="30"/>
      <c r="G171" s="30"/>
    </row>
    <row r="172" spans="1:7">
      <c r="A172" s="34"/>
      <c r="B172" s="30"/>
      <c r="C172" s="30"/>
      <c r="D172" s="30"/>
      <c r="E172" s="30"/>
      <c r="F172" s="30"/>
      <c r="G172" s="30"/>
    </row>
    <row r="173" spans="1:7">
      <c r="A173" s="34"/>
      <c r="B173" s="30"/>
      <c r="C173" s="30"/>
      <c r="D173" s="30"/>
      <c r="E173" s="30"/>
      <c r="F173" s="30"/>
      <c r="G173" s="30"/>
    </row>
    <row r="174" spans="1:7">
      <c r="A174" s="34"/>
      <c r="B174" s="30"/>
      <c r="C174" s="30"/>
      <c r="D174" s="30"/>
      <c r="E174" s="30"/>
      <c r="F174" s="30"/>
      <c r="G174" s="30"/>
    </row>
    <row r="175" spans="1:7">
      <c r="A175" s="34"/>
      <c r="B175" s="30"/>
      <c r="C175" s="30"/>
      <c r="D175" s="30"/>
      <c r="E175" s="30"/>
      <c r="F175" s="30"/>
      <c r="G175" s="30"/>
    </row>
    <row r="176" spans="1:7">
      <c r="A176" s="34"/>
      <c r="B176" s="30"/>
      <c r="C176" s="30"/>
      <c r="D176" s="30"/>
      <c r="E176" s="30"/>
      <c r="F176" s="30"/>
      <c r="G176" s="30"/>
    </row>
    <row r="177" spans="1:7">
      <c r="A177" s="34"/>
      <c r="B177" s="30"/>
      <c r="C177" s="30"/>
      <c r="D177" s="30"/>
      <c r="E177" s="30"/>
      <c r="F177" s="30"/>
      <c r="G177" s="30"/>
    </row>
    <row r="178" spans="1:7">
      <c r="A178" s="34"/>
      <c r="B178" s="30"/>
      <c r="C178" s="30"/>
      <c r="D178" s="30"/>
      <c r="E178" s="30"/>
      <c r="F178" s="30"/>
      <c r="G178" s="30"/>
    </row>
    <row r="179" spans="1:7">
      <c r="A179" s="34"/>
      <c r="B179" s="30"/>
      <c r="C179" s="30"/>
      <c r="D179" s="30"/>
      <c r="E179" s="30"/>
      <c r="F179" s="30"/>
      <c r="G179" s="30"/>
    </row>
    <row r="180" spans="1:7">
      <c r="A180" s="34"/>
      <c r="B180" s="30"/>
      <c r="C180" s="30"/>
      <c r="D180" s="30"/>
      <c r="E180" s="30"/>
      <c r="F180" s="30"/>
      <c r="G180" s="30"/>
    </row>
    <row r="181" spans="1:7">
      <c r="A181" s="34"/>
      <c r="B181" s="30"/>
      <c r="C181" s="30"/>
      <c r="D181" s="30"/>
      <c r="E181" s="30"/>
      <c r="F181" s="30"/>
      <c r="G181" s="30"/>
    </row>
    <row r="182" spans="1:7">
      <c r="A182" s="34"/>
      <c r="B182" s="30"/>
      <c r="C182" s="30"/>
      <c r="D182" s="30"/>
      <c r="E182" s="30"/>
      <c r="F182" s="30"/>
      <c r="G182" s="30"/>
    </row>
    <row r="183" spans="1:7">
      <c r="A183" s="34"/>
      <c r="B183" s="30"/>
      <c r="C183" s="30"/>
      <c r="D183" s="30"/>
      <c r="E183" s="30"/>
      <c r="F183" s="30"/>
      <c r="G183" s="30"/>
    </row>
    <row r="184" spans="1:7">
      <c r="A184" s="34"/>
      <c r="B184" s="30"/>
      <c r="C184" s="30"/>
      <c r="D184" s="30"/>
      <c r="E184" s="30"/>
      <c r="F184" s="30"/>
      <c r="G184" s="30"/>
    </row>
    <row r="185" spans="1:7">
      <c r="A185" s="34"/>
      <c r="B185" s="30"/>
      <c r="C185" s="30"/>
      <c r="D185" s="30"/>
      <c r="E185" s="30"/>
      <c r="F185" s="30"/>
      <c r="G185" s="30"/>
    </row>
    <row r="186" spans="1:7">
      <c r="A186" s="34"/>
      <c r="B186" s="30"/>
      <c r="C186" s="30"/>
      <c r="D186" s="30"/>
      <c r="E186" s="30"/>
      <c r="F186" s="30"/>
      <c r="G186" s="30"/>
    </row>
    <row r="187" spans="1:7">
      <c r="A187" s="34"/>
      <c r="B187" s="30"/>
      <c r="C187" s="30"/>
      <c r="D187" s="30"/>
      <c r="E187" s="30"/>
      <c r="F187" s="30"/>
      <c r="G187" s="30"/>
    </row>
    <row r="188" spans="1:7">
      <c r="A188" s="34"/>
      <c r="B188" s="30"/>
      <c r="C188" s="30"/>
      <c r="D188" s="30"/>
      <c r="E188" s="30"/>
      <c r="F188" s="30"/>
      <c r="G188" s="30"/>
    </row>
    <row r="189" spans="1:7">
      <c r="A189" s="34"/>
      <c r="B189" s="30"/>
      <c r="C189" s="30"/>
      <c r="D189" s="30"/>
      <c r="E189" s="30"/>
      <c r="F189" s="30"/>
      <c r="G189" s="30"/>
    </row>
    <row r="190" spans="1:7">
      <c r="A190" s="34"/>
      <c r="B190" s="30"/>
      <c r="C190" s="30"/>
      <c r="D190" s="30"/>
      <c r="E190" s="30"/>
      <c r="F190" s="30"/>
      <c r="G190" s="30"/>
    </row>
    <row r="191" spans="1:7">
      <c r="A191" s="34"/>
      <c r="B191" s="30"/>
      <c r="C191" s="30"/>
      <c r="D191" s="30"/>
      <c r="E191" s="30"/>
      <c r="F191" s="30"/>
      <c r="G191" s="30"/>
    </row>
    <row r="192" spans="1:7">
      <c r="A192" s="34"/>
      <c r="B192" s="30"/>
      <c r="C192" s="30"/>
      <c r="D192" s="30"/>
      <c r="E192" s="30"/>
      <c r="F192" s="30"/>
      <c r="G192" s="30"/>
    </row>
    <row r="193" spans="1:7">
      <c r="A193" s="34"/>
      <c r="B193" s="30"/>
      <c r="C193" s="30"/>
      <c r="D193" s="30"/>
      <c r="E193" s="30"/>
      <c r="F193" s="30"/>
      <c r="G193" s="30"/>
    </row>
    <row r="194" spans="1:7">
      <c r="A194" s="34"/>
      <c r="B194" s="30"/>
      <c r="C194" s="30"/>
      <c r="D194" s="30"/>
      <c r="E194" s="30"/>
      <c r="F194" s="30"/>
      <c r="G194" s="30"/>
    </row>
    <row r="195" spans="1:7">
      <c r="A195" s="34"/>
      <c r="B195" s="30"/>
      <c r="C195" s="30"/>
      <c r="D195" s="30"/>
      <c r="E195" s="30"/>
      <c r="F195" s="30"/>
      <c r="G195" s="30"/>
    </row>
    <row r="196" spans="1:7">
      <c r="A196" s="34"/>
      <c r="B196" s="30"/>
      <c r="C196" s="30"/>
      <c r="D196" s="30"/>
      <c r="E196" s="30"/>
      <c r="F196" s="30"/>
      <c r="G196" s="30"/>
    </row>
    <row r="197" spans="1:7">
      <c r="A197" s="34"/>
      <c r="B197" s="30"/>
      <c r="C197" s="30"/>
      <c r="D197" s="30"/>
      <c r="E197" s="30"/>
      <c r="F197" s="30"/>
      <c r="G197" s="30"/>
    </row>
    <row r="198" spans="1:7">
      <c r="A198" s="34"/>
      <c r="B198" s="30"/>
      <c r="C198" s="30"/>
      <c r="D198" s="30"/>
      <c r="E198" s="30"/>
      <c r="F198" s="30"/>
      <c r="G198" s="30"/>
    </row>
    <row r="199" spans="1:7">
      <c r="A199" s="34"/>
      <c r="B199" s="30"/>
      <c r="C199" s="30"/>
      <c r="D199" s="30"/>
      <c r="E199" s="30"/>
      <c r="F199" s="30"/>
      <c r="G199" s="30"/>
    </row>
    <row r="200" spans="1:7">
      <c r="A200" s="34"/>
      <c r="B200" s="30"/>
      <c r="C200" s="30"/>
      <c r="D200" s="30"/>
      <c r="E200" s="30"/>
      <c r="F200" s="30"/>
      <c r="G200" s="30"/>
    </row>
    <row r="201" spans="1:7">
      <c r="A201" s="34"/>
      <c r="B201" s="30"/>
      <c r="C201" s="30"/>
      <c r="D201" s="30"/>
      <c r="E201" s="30"/>
      <c r="F201" s="30"/>
      <c r="G201" s="30"/>
    </row>
    <row r="202" spans="1:7">
      <c r="A202" s="20" t="s">
        <v>22</v>
      </c>
    </row>
  </sheetData>
  <sheetProtection sheet="1" objects="1" scenarios="1"/>
  <pageMargins left="0.75" right="0.75" top="1" bottom="1" header="0.5" footer="0.5"/>
  <pageSetup orientation="portrait"/>
  <headerFooter alignWithMargin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F51"/>
  <sheetViews>
    <sheetView workbookViewId="0">
      <selection activeCell="E12" sqref="E12"/>
    </sheetView>
  </sheetViews>
  <sheetFormatPr defaultColWidth="8.81640625" defaultRowHeight="12.5"/>
  <cols>
    <col min="1" max="1" width="9.36328125" customWidth="1"/>
    <col min="2" max="2" width="10.36328125" customWidth="1"/>
    <col min="3" max="4" width="10" customWidth="1"/>
    <col min="5" max="5" width="9.453125" customWidth="1"/>
    <col min="6" max="6" width="6.1796875" customWidth="1"/>
  </cols>
  <sheetData>
    <row r="1" spans="1:6">
      <c r="A1" t="str">
        <f>Parameters!B6</f>
        <v>Hinf1-ITS4</v>
      </c>
      <c r="B1" t="str">
        <f>Parameters!C6</f>
        <v>Hinf1-ITS1F</v>
      </c>
      <c r="C1" t="str">
        <f>Parameters!D6</f>
        <v>HaeIII-ITS4</v>
      </c>
      <c r="D1" t="str">
        <f>Parameters!E6</f>
        <v>HaeIII-ITS1</v>
      </c>
      <c r="E1" t="str">
        <f>Parameters!F6</f>
        <v>DpnII-ITS4</v>
      </c>
      <c r="F1" t="str">
        <f>Parameters!G6</f>
        <v>(none)</v>
      </c>
    </row>
    <row r="2" spans="1:6">
      <c r="A2">
        <f>IF('Unknown Data Entry'!C10&gt;'Unknown Data Entry'!C$8, 'Unknown Data Entry'!B10, 9999)</f>
        <v>42.91</v>
      </c>
      <c r="B2">
        <f>IF('Unknown Data Entry'!E10&gt;'Unknown Data Entry'!E$8, 'Unknown Data Entry'!D10, 9999)</f>
        <v>44.26</v>
      </c>
      <c r="C2">
        <f>IF('Unknown Data Entry'!G10&gt;'Unknown Data Entry'!G$8, 'Unknown Data Entry'!F10, 9999)</f>
        <v>42.91</v>
      </c>
      <c r="D2">
        <f>IF('Unknown Data Entry'!I10&gt;'Unknown Data Entry'!I$8, 'Unknown Data Entry'!H10, 9999)</f>
        <v>44.26</v>
      </c>
      <c r="E2">
        <f>IF('Unknown Data Entry'!K10&gt;'Unknown Data Entry'!K$8, 'Unknown Data Entry'!J10, 9999)</f>
        <v>9999</v>
      </c>
      <c r="F2">
        <f>IF('Unknown Data Entry'!M10&gt;'Unknown Data Entry'!M$8, 'Unknown Data Entry'!L10, 9999)</f>
        <v>9999</v>
      </c>
    </row>
    <row r="3" spans="1:6">
      <c r="A3">
        <f>IF('Unknown Data Entry'!C11&gt;'Unknown Data Entry'!C$8, 'Unknown Data Entry'!B11, 9999)</f>
        <v>46.28</v>
      </c>
      <c r="B3">
        <f>IF('Unknown Data Entry'!E11&gt;'Unknown Data Entry'!E$8, 'Unknown Data Entry'!D11, 9999)</f>
        <v>9999</v>
      </c>
      <c r="C3">
        <f>IF('Unknown Data Entry'!G11&gt;'Unknown Data Entry'!G$8, 'Unknown Data Entry'!F11, 9999)</f>
        <v>54.83</v>
      </c>
      <c r="D3">
        <f>IF('Unknown Data Entry'!I11&gt;'Unknown Data Entry'!I$8, 'Unknown Data Entry'!H11, 9999)</f>
        <v>9999</v>
      </c>
      <c r="E3">
        <f>IF('Unknown Data Entry'!K11&gt;'Unknown Data Entry'!K$8, 'Unknown Data Entry'!J11, 9999)</f>
        <v>9999</v>
      </c>
      <c r="F3">
        <f>IF('Unknown Data Entry'!M11&gt;'Unknown Data Entry'!M$8, 'Unknown Data Entry'!L11, 9999)</f>
        <v>9999</v>
      </c>
    </row>
    <row r="4" spans="1:6">
      <c r="A4">
        <f>IF('Unknown Data Entry'!C12&gt;'Unknown Data Entry'!C$8, 'Unknown Data Entry'!B12, 9999)</f>
        <v>9999</v>
      </c>
      <c r="B4">
        <f>IF('Unknown Data Entry'!E12&gt;'Unknown Data Entry'!E$8, 'Unknown Data Entry'!D12, 9999)</f>
        <v>82.89</v>
      </c>
      <c r="C4">
        <f>IF('Unknown Data Entry'!G12&gt;'Unknown Data Entry'!G$8, 'Unknown Data Entry'!F12, 9999)</f>
        <v>9999</v>
      </c>
      <c r="D4">
        <f>IF('Unknown Data Entry'!I12&gt;'Unknown Data Entry'!I$8, 'Unknown Data Entry'!H12, 9999)</f>
        <v>79.62</v>
      </c>
      <c r="E4">
        <f>IF('Unknown Data Entry'!K12&gt;'Unknown Data Entry'!K$8, 'Unknown Data Entry'!J12, 9999)</f>
        <v>9999</v>
      </c>
      <c r="F4">
        <f>IF('Unknown Data Entry'!M12&gt;'Unknown Data Entry'!M$8, 'Unknown Data Entry'!L12, 9999)</f>
        <v>9999</v>
      </c>
    </row>
    <row r="5" spans="1:6">
      <c r="A5">
        <f>IF('Unknown Data Entry'!C13&gt;'Unknown Data Entry'!C$8, 'Unknown Data Entry'!B13, 9999)</f>
        <v>79.95</v>
      </c>
      <c r="B5">
        <f>IF('Unknown Data Entry'!E13&gt;'Unknown Data Entry'!E$8, 'Unknown Data Entry'!D13, 9999)</f>
        <v>9999</v>
      </c>
      <c r="C5">
        <f>IF('Unknown Data Entry'!G13&gt;'Unknown Data Entry'!G$8, 'Unknown Data Entry'!F13, 9999)</f>
        <v>79.290000000000006</v>
      </c>
      <c r="D5">
        <f>IF('Unknown Data Entry'!I13&gt;'Unknown Data Entry'!I$8, 'Unknown Data Entry'!H13, 9999)</f>
        <v>99.07</v>
      </c>
      <c r="E5">
        <f>IF('Unknown Data Entry'!K13&gt;'Unknown Data Entry'!K$8, 'Unknown Data Entry'!J13, 9999)</f>
        <v>9999</v>
      </c>
      <c r="F5">
        <f>IF('Unknown Data Entry'!M13&gt;'Unknown Data Entry'!M$8, 'Unknown Data Entry'!L13, 9999)</f>
        <v>9999</v>
      </c>
    </row>
    <row r="6" spans="1:6">
      <c r="A6">
        <f>IF('Unknown Data Entry'!C14&gt;'Unknown Data Entry'!C$8, 'Unknown Data Entry'!B14, 9999)</f>
        <v>9999</v>
      </c>
      <c r="B6">
        <f>IF('Unknown Data Entry'!E14&gt;'Unknown Data Entry'!E$8, 'Unknown Data Entry'!D14, 9999)</f>
        <v>99.07</v>
      </c>
      <c r="C6">
        <f>IF('Unknown Data Entry'!G14&gt;'Unknown Data Entry'!G$8, 'Unknown Data Entry'!F14, 9999)</f>
        <v>9999</v>
      </c>
      <c r="D6">
        <f>IF('Unknown Data Entry'!I14&gt;'Unknown Data Entry'!I$8, 'Unknown Data Entry'!H14, 9999)</f>
        <v>112.32</v>
      </c>
      <c r="E6">
        <f>IF('Unknown Data Entry'!K14&gt;'Unknown Data Entry'!K$8, 'Unknown Data Entry'!J14, 9999)</f>
        <v>9999</v>
      </c>
      <c r="F6">
        <f>IF('Unknown Data Entry'!M14&gt;'Unknown Data Entry'!M$8, 'Unknown Data Entry'!L14, 9999)</f>
        <v>9999</v>
      </c>
    </row>
    <row r="7" spans="1:6">
      <c r="A7">
        <f>IF('Unknown Data Entry'!C15&gt;'Unknown Data Entry'!C$8, 'Unknown Data Entry'!B15, 9999)</f>
        <v>99.07</v>
      </c>
      <c r="B7">
        <f>IF('Unknown Data Entry'!E15&gt;'Unknown Data Entry'!E$8, 'Unknown Data Entry'!D15, 9999)</f>
        <v>106.56</v>
      </c>
      <c r="C7">
        <f>IF('Unknown Data Entry'!G15&gt;'Unknown Data Entry'!G$8, 'Unknown Data Entry'!F15, 9999)</f>
        <v>9999</v>
      </c>
      <c r="D7">
        <f>IF('Unknown Data Entry'!I15&gt;'Unknown Data Entry'!I$8, 'Unknown Data Entry'!H15, 9999)</f>
        <v>131.93</v>
      </c>
      <c r="E7">
        <f>IF('Unknown Data Entry'!K15&gt;'Unknown Data Entry'!K$8, 'Unknown Data Entry'!J15, 9999)</f>
        <v>9999</v>
      </c>
      <c r="F7">
        <f>IF('Unknown Data Entry'!M15&gt;'Unknown Data Entry'!M$8, 'Unknown Data Entry'!L15, 9999)</f>
        <v>9999</v>
      </c>
    </row>
    <row r="8" spans="1:6">
      <c r="A8">
        <f>IF('Unknown Data Entry'!C16&gt;'Unknown Data Entry'!C$8, 'Unknown Data Entry'!B16, 9999)</f>
        <v>9999</v>
      </c>
      <c r="B8">
        <f>IF('Unknown Data Entry'!E16&gt;'Unknown Data Entry'!E$8, 'Unknown Data Entry'!D16, 9999)</f>
        <v>9999</v>
      </c>
      <c r="C8">
        <f>IF('Unknown Data Entry'!G16&gt;'Unknown Data Entry'!G$8, 'Unknown Data Entry'!F16, 9999)</f>
        <v>112.32</v>
      </c>
      <c r="D8">
        <f>IF('Unknown Data Entry'!I16&gt;'Unknown Data Entry'!I$8, 'Unknown Data Entry'!H16, 9999)</f>
        <v>161.87</v>
      </c>
      <c r="E8">
        <f>IF('Unknown Data Entry'!K16&gt;'Unknown Data Entry'!K$8, 'Unknown Data Entry'!J16, 9999)</f>
        <v>9999</v>
      </c>
      <c r="F8">
        <f>IF('Unknown Data Entry'!M16&gt;'Unknown Data Entry'!M$8, 'Unknown Data Entry'!L16, 9999)</f>
        <v>9999</v>
      </c>
    </row>
    <row r="9" spans="1:6">
      <c r="A9">
        <f>IF('Unknown Data Entry'!C17&gt;'Unknown Data Entry'!C$8, 'Unknown Data Entry'!B17, 9999)</f>
        <v>9999</v>
      </c>
      <c r="B9">
        <f>IF('Unknown Data Entry'!E17&gt;'Unknown Data Entry'!E$8, 'Unknown Data Entry'!D17, 9999)</f>
        <v>9999</v>
      </c>
      <c r="C9">
        <f>IF('Unknown Data Entry'!G17&gt;'Unknown Data Entry'!G$8, 'Unknown Data Entry'!F17, 9999)</f>
        <v>129.94999999999999</v>
      </c>
      <c r="D9">
        <f>IF('Unknown Data Entry'!I17&gt;'Unknown Data Entry'!I$8, 'Unknown Data Entry'!H17, 9999)</f>
        <v>247.05</v>
      </c>
      <c r="E9">
        <f>IF('Unknown Data Entry'!K17&gt;'Unknown Data Entry'!K$8, 'Unknown Data Entry'!J17, 9999)</f>
        <v>9999</v>
      </c>
      <c r="F9">
        <f>IF('Unknown Data Entry'!M17&gt;'Unknown Data Entry'!M$8, 'Unknown Data Entry'!L17, 9999)</f>
        <v>9999</v>
      </c>
    </row>
    <row r="10" spans="1:6">
      <c r="A10">
        <f>IF('Unknown Data Entry'!C18&gt;'Unknown Data Entry'!C$8, 'Unknown Data Entry'!B18, 9999)</f>
        <v>9999</v>
      </c>
      <c r="B10">
        <f>IF('Unknown Data Entry'!E18&gt;'Unknown Data Entry'!E$8, 'Unknown Data Entry'!D18, 9999)</f>
        <v>245.24</v>
      </c>
      <c r="C10">
        <f>IF('Unknown Data Entry'!G18&gt;'Unknown Data Entry'!G$8, 'Unknown Data Entry'!F18, 9999)</f>
        <v>139.31</v>
      </c>
      <c r="D10">
        <f>IF('Unknown Data Entry'!I18&gt;'Unknown Data Entry'!I$8, 'Unknown Data Entry'!H18, 9999)</f>
        <v>266.83</v>
      </c>
      <c r="E10">
        <f>IF('Unknown Data Entry'!K18&gt;'Unknown Data Entry'!K$8, 'Unknown Data Entry'!J18, 9999)</f>
        <v>9999</v>
      </c>
      <c r="F10">
        <f>IF('Unknown Data Entry'!M18&gt;'Unknown Data Entry'!M$8, 'Unknown Data Entry'!L18, 9999)</f>
        <v>9999</v>
      </c>
    </row>
    <row r="11" spans="1:6">
      <c r="A11">
        <f>IF('Unknown Data Entry'!C19&gt;'Unknown Data Entry'!C$8, 'Unknown Data Entry'!B19, 9999)</f>
        <v>9999</v>
      </c>
      <c r="B11">
        <f>IF('Unknown Data Entry'!E19&gt;'Unknown Data Entry'!E$8, 'Unknown Data Entry'!D19, 9999)</f>
        <v>9999</v>
      </c>
      <c r="C11">
        <f>IF('Unknown Data Entry'!G19&gt;'Unknown Data Entry'!G$8, 'Unknown Data Entry'!F19, 9999)</f>
        <v>9999</v>
      </c>
      <c r="D11">
        <f>IF('Unknown Data Entry'!I19&gt;'Unknown Data Entry'!I$8, 'Unknown Data Entry'!H19, 9999)</f>
        <v>431.93</v>
      </c>
      <c r="E11">
        <f>IF('Unknown Data Entry'!K19&gt;'Unknown Data Entry'!K$8, 'Unknown Data Entry'!J19, 9999)</f>
        <v>9999</v>
      </c>
      <c r="F11">
        <f>IF('Unknown Data Entry'!M19&gt;'Unknown Data Entry'!M$8, 'Unknown Data Entry'!L19, 9999)</f>
        <v>9999</v>
      </c>
    </row>
    <row r="12" spans="1:6">
      <c r="A12">
        <f>IF('Unknown Data Entry'!C20&gt;'Unknown Data Entry'!C$8, 'Unknown Data Entry'!B20, 9999)</f>
        <v>9999</v>
      </c>
      <c r="B12">
        <f>IF('Unknown Data Entry'!E20&gt;'Unknown Data Entry'!E$8, 'Unknown Data Entry'!D20, 9999)</f>
        <v>9999</v>
      </c>
      <c r="C12">
        <f>IF('Unknown Data Entry'!G20&gt;'Unknown Data Entry'!G$8, 'Unknown Data Entry'!F20, 9999)</f>
        <v>9999</v>
      </c>
      <c r="D12">
        <f>IF('Unknown Data Entry'!I20&gt;'Unknown Data Entry'!I$8, 'Unknown Data Entry'!H20, 9999)</f>
        <v>455.63</v>
      </c>
      <c r="E12">
        <f>IF('Unknown Data Entry'!K20&gt;'Unknown Data Entry'!K$8, 'Unknown Data Entry'!J20, 9999)</f>
        <v>9999</v>
      </c>
      <c r="F12">
        <f>IF('Unknown Data Entry'!M20&gt;'Unknown Data Entry'!M$8, 'Unknown Data Entry'!L20, 9999)</f>
        <v>9999</v>
      </c>
    </row>
    <row r="13" spans="1:6">
      <c r="A13">
        <f>IF('Unknown Data Entry'!C21&gt;'Unknown Data Entry'!C$8, 'Unknown Data Entry'!B21, 9999)</f>
        <v>9999</v>
      </c>
      <c r="B13">
        <f>IF('Unknown Data Entry'!E21&gt;'Unknown Data Entry'!E$8, 'Unknown Data Entry'!D21, 9999)</f>
        <v>9999</v>
      </c>
      <c r="C13">
        <f>IF('Unknown Data Entry'!G21&gt;'Unknown Data Entry'!G$8, 'Unknown Data Entry'!F21, 9999)</f>
        <v>9999</v>
      </c>
      <c r="D13">
        <f>IF('Unknown Data Entry'!I21&gt;'Unknown Data Entry'!I$8, 'Unknown Data Entry'!H21, 9999)</f>
        <v>459.29</v>
      </c>
      <c r="E13">
        <f>IF('Unknown Data Entry'!K21&gt;'Unknown Data Entry'!K$8, 'Unknown Data Entry'!J21, 9999)</f>
        <v>9999</v>
      </c>
      <c r="F13">
        <f>IF('Unknown Data Entry'!M21&gt;'Unknown Data Entry'!M$8, 'Unknown Data Entry'!L21, 9999)</f>
        <v>9999</v>
      </c>
    </row>
    <row r="14" spans="1:6">
      <c r="A14">
        <f>IF('Unknown Data Entry'!C22&gt;'Unknown Data Entry'!C$8, 'Unknown Data Entry'!B22, 9999)</f>
        <v>9999</v>
      </c>
      <c r="B14">
        <f>IF('Unknown Data Entry'!E22&gt;'Unknown Data Entry'!E$8, 'Unknown Data Entry'!D22, 9999)</f>
        <v>9999</v>
      </c>
      <c r="C14">
        <f>IF('Unknown Data Entry'!G22&gt;'Unknown Data Entry'!G$8, 'Unknown Data Entry'!F22, 9999)</f>
        <v>161.61000000000001</v>
      </c>
      <c r="D14">
        <f>IF('Unknown Data Entry'!I22&gt;'Unknown Data Entry'!I$8, 'Unknown Data Entry'!H22, 9999)</f>
        <v>9999</v>
      </c>
      <c r="E14">
        <f>IF('Unknown Data Entry'!K22&gt;'Unknown Data Entry'!K$8, 'Unknown Data Entry'!J22, 9999)</f>
        <v>9999</v>
      </c>
      <c r="F14">
        <f>IF('Unknown Data Entry'!M22&gt;'Unknown Data Entry'!M$8, 'Unknown Data Entry'!L22, 9999)</f>
        <v>9999</v>
      </c>
    </row>
    <row r="15" spans="1:6">
      <c r="A15">
        <f>IF('Unknown Data Entry'!C23&gt;'Unknown Data Entry'!C$8, 'Unknown Data Entry'!B23, 9999)</f>
        <v>9999</v>
      </c>
      <c r="B15">
        <f>IF('Unknown Data Entry'!E23&gt;'Unknown Data Entry'!E$8, 'Unknown Data Entry'!D23, 9999)</f>
        <v>310.66000000000003</v>
      </c>
      <c r="C15">
        <f>IF('Unknown Data Entry'!G23&gt;'Unknown Data Entry'!G$8, 'Unknown Data Entry'!F23, 9999)</f>
        <v>170.72</v>
      </c>
      <c r="D15">
        <f>IF('Unknown Data Entry'!I23&gt;'Unknown Data Entry'!I$8, 'Unknown Data Entry'!H23, 9999)</f>
        <v>9999</v>
      </c>
      <c r="E15">
        <f>IF('Unknown Data Entry'!K23&gt;'Unknown Data Entry'!K$8, 'Unknown Data Entry'!J23, 9999)</f>
        <v>9999</v>
      </c>
      <c r="F15">
        <f>IF('Unknown Data Entry'!M23&gt;'Unknown Data Entry'!M$8, 'Unknown Data Entry'!L23, 9999)</f>
        <v>9999</v>
      </c>
    </row>
    <row r="16" spans="1:6">
      <c r="A16">
        <f>IF('Unknown Data Entry'!C24&gt;'Unknown Data Entry'!C$8, 'Unknown Data Entry'!B24, 9999)</f>
        <v>9999</v>
      </c>
      <c r="B16">
        <f>IF('Unknown Data Entry'!E24&gt;'Unknown Data Entry'!E$8, 'Unknown Data Entry'!D24, 9999)</f>
        <v>315.19</v>
      </c>
      <c r="C16">
        <f>IF('Unknown Data Entry'!G24&gt;'Unknown Data Entry'!G$8, 'Unknown Data Entry'!F24, 9999)</f>
        <v>9999</v>
      </c>
      <c r="D16">
        <f>IF('Unknown Data Entry'!I24&gt;'Unknown Data Entry'!I$8, 'Unknown Data Entry'!H24, 9999)</f>
        <v>522.70800720000011</v>
      </c>
      <c r="E16">
        <f>IF('Unknown Data Entry'!K24&gt;'Unknown Data Entry'!K$8, 'Unknown Data Entry'!J24, 9999)</f>
        <v>9999</v>
      </c>
      <c r="F16">
        <f>IF('Unknown Data Entry'!M24&gt;'Unknown Data Entry'!M$8, 'Unknown Data Entry'!L24, 9999)</f>
        <v>9999</v>
      </c>
    </row>
    <row r="17" spans="1:6">
      <c r="A17">
        <f>IF('Unknown Data Entry'!C25&gt;'Unknown Data Entry'!C$8, 'Unknown Data Entry'!B25, 9999)</f>
        <v>9999</v>
      </c>
      <c r="B17">
        <f>IF('Unknown Data Entry'!E25&gt;'Unknown Data Entry'!E$8, 'Unknown Data Entry'!D25, 9999)</f>
        <v>9999</v>
      </c>
      <c r="C17">
        <f>IF('Unknown Data Entry'!G25&gt;'Unknown Data Entry'!G$8, 'Unknown Data Entry'!F25, 9999)</f>
        <v>9999</v>
      </c>
      <c r="D17">
        <f>IF('Unknown Data Entry'!I25&gt;'Unknown Data Entry'!I$8, 'Unknown Data Entry'!H25, 9999)</f>
        <v>9999</v>
      </c>
      <c r="E17">
        <f>IF('Unknown Data Entry'!K25&gt;'Unknown Data Entry'!K$8, 'Unknown Data Entry'!J25, 9999)</f>
        <v>9999</v>
      </c>
      <c r="F17">
        <f>IF('Unknown Data Entry'!M25&gt;'Unknown Data Entry'!M$8, 'Unknown Data Entry'!L25, 9999)</f>
        <v>9999</v>
      </c>
    </row>
    <row r="18" spans="1:6">
      <c r="A18">
        <f>IF('Unknown Data Entry'!C26&gt;'Unknown Data Entry'!C$8, 'Unknown Data Entry'!B26, 9999)</f>
        <v>9999</v>
      </c>
      <c r="B18">
        <f>IF('Unknown Data Entry'!E26&gt;'Unknown Data Entry'!E$8, 'Unknown Data Entry'!D26, 9999)</f>
        <v>343.78</v>
      </c>
      <c r="C18">
        <f>IF('Unknown Data Entry'!G26&gt;'Unknown Data Entry'!G$8, 'Unknown Data Entry'!F26, 9999)</f>
        <v>9999</v>
      </c>
      <c r="D18">
        <f>IF('Unknown Data Entry'!I26&gt;'Unknown Data Entry'!I$8, 'Unknown Data Entry'!H26, 9999)</f>
        <v>9999</v>
      </c>
      <c r="E18">
        <f>IF('Unknown Data Entry'!K26&gt;'Unknown Data Entry'!K$8, 'Unknown Data Entry'!J26, 9999)</f>
        <v>9999</v>
      </c>
      <c r="F18">
        <f>IF('Unknown Data Entry'!M26&gt;'Unknown Data Entry'!M$8, 'Unknown Data Entry'!L26, 9999)</f>
        <v>9999</v>
      </c>
    </row>
    <row r="19" spans="1:6">
      <c r="A19">
        <f>IF('Unknown Data Entry'!C27&gt;'Unknown Data Entry'!C$8, 'Unknown Data Entry'!B27, 9999)</f>
        <v>9999</v>
      </c>
      <c r="B19">
        <f>IF('Unknown Data Entry'!E27&gt;'Unknown Data Entry'!E$8, 'Unknown Data Entry'!D27, 9999)</f>
        <v>360.78</v>
      </c>
      <c r="C19">
        <f>IF('Unknown Data Entry'!G27&gt;'Unknown Data Entry'!G$8, 'Unknown Data Entry'!F27, 9999)</f>
        <v>9999</v>
      </c>
      <c r="D19">
        <f>IF('Unknown Data Entry'!I27&gt;'Unknown Data Entry'!I$8, 'Unknown Data Entry'!H27, 9999)</f>
        <v>9999</v>
      </c>
      <c r="E19">
        <f>IF('Unknown Data Entry'!K27&gt;'Unknown Data Entry'!K$8, 'Unknown Data Entry'!J27, 9999)</f>
        <v>9999</v>
      </c>
      <c r="F19">
        <f>IF('Unknown Data Entry'!M27&gt;'Unknown Data Entry'!M$8, 'Unknown Data Entry'!L27, 9999)</f>
        <v>9999</v>
      </c>
    </row>
    <row r="20" spans="1:6">
      <c r="A20">
        <f>IF('Unknown Data Entry'!C28&gt;'Unknown Data Entry'!C$8, 'Unknown Data Entry'!B28, 9999)</f>
        <v>9999</v>
      </c>
      <c r="B20">
        <f>IF('Unknown Data Entry'!E28&gt;'Unknown Data Entry'!E$8, 'Unknown Data Entry'!D28, 9999)</f>
        <v>365.24</v>
      </c>
      <c r="C20">
        <f>IF('Unknown Data Entry'!G28&gt;'Unknown Data Entry'!G$8, 'Unknown Data Entry'!F28, 9999)</f>
        <v>9999</v>
      </c>
      <c r="D20">
        <f>IF('Unknown Data Entry'!I28&gt;'Unknown Data Entry'!I$8, 'Unknown Data Entry'!H28, 9999)</f>
        <v>9999</v>
      </c>
      <c r="E20">
        <f>IF('Unknown Data Entry'!K28&gt;'Unknown Data Entry'!K$8, 'Unknown Data Entry'!J28, 9999)</f>
        <v>9999</v>
      </c>
      <c r="F20">
        <f>IF('Unknown Data Entry'!M28&gt;'Unknown Data Entry'!M$8, 'Unknown Data Entry'!L28, 9999)</f>
        <v>9999</v>
      </c>
    </row>
    <row r="21" spans="1:6">
      <c r="A21">
        <f>IF('Unknown Data Entry'!C29&gt;'Unknown Data Entry'!C$8, 'Unknown Data Entry'!B29, 9999)</f>
        <v>9999</v>
      </c>
      <c r="B21">
        <f>IF('Unknown Data Entry'!E29&gt;'Unknown Data Entry'!E$8, 'Unknown Data Entry'!D29, 9999)</f>
        <v>387.48</v>
      </c>
      <c r="C21">
        <f>IF('Unknown Data Entry'!G29&gt;'Unknown Data Entry'!G$8, 'Unknown Data Entry'!F29, 9999)</f>
        <v>218.42</v>
      </c>
      <c r="D21">
        <f>IF('Unknown Data Entry'!I29&gt;'Unknown Data Entry'!I$8, 'Unknown Data Entry'!H29, 9999)</f>
        <v>9999</v>
      </c>
      <c r="E21">
        <f>IF('Unknown Data Entry'!K29&gt;'Unknown Data Entry'!K$8, 'Unknown Data Entry'!J29, 9999)</f>
        <v>9999</v>
      </c>
      <c r="F21">
        <f>IF('Unknown Data Entry'!M29&gt;'Unknown Data Entry'!M$8, 'Unknown Data Entry'!L29, 9999)</f>
        <v>9999</v>
      </c>
    </row>
    <row r="22" spans="1:6">
      <c r="A22">
        <f>IF('Unknown Data Entry'!C30&gt;'Unknown Data Entry'!C$8, 'Unknown Data Entry'!B30, 9999)</f>
        <v>9999</v>
      </c>
      <c r="B22">
        <f>IF('Unknown Data Entry'!E30&gt;'Unknown Data Entry'!E$8, 'Unknown Data Entry'!D30, 9999)</f>
        <v>9999</v>
      </c>
      <c r="C22">
        <f>IF('Unknown Data Entry'!G30&gt;'Unknown Data Entry'!G$8, 'Unknown Data Entry'!F30, 9999)</f>
        <v>9999</v>
      </c>
      <c r="D22">
        <f>IF('Unknown Data Entry'!I30&gt;'Unknown Data Entry'!I$8, 'Unknown Data Entry'!H30, 9999)</f>
        <v>9999</v>
      </c>
      <c r="E22">
        <f>IF('Unknown Data Entry'!K30&gt;'Unknown Data Entry'!K$8, 'Unknown Data Entry'!J30, 9999)</f>
        <v>9999</v>
      </c>
      <c r="F22">
        <f>IF('Unknown Data Entry'!M30&gt;'Unknown Data Entry'!M$8, 'Unknown Data Entry'!L30, 9999)</f>
        <v>9999</v>
      </c>
    </row>
    <row r="23" spans="1:6">
      <c r="A23">
        <f>IF('Unknown Data Entry'!C31&gt;'Unknown Data Entry'!C$8, 'Unknown Data Entry'!B31, 9999)</f>
        <v>9999</v>
      </c>
      <c r="B23">
        <f>IF('Unknown Data Entry'!E31&gt;'Unknown Data Entry'!E$8, 'Unknown Data Entry'!D31, 9999)</f>
        <v>9999</v>
      </c>
      <c r="C23">
        <f>IF('Unknown Data Entry'!G31&gt;'Unknown Data Entry'!G$8, 'Unknown Data Entry'!F31, 9999)</f>
        <v>9999</v>
      </c>
      <c r="D23">
        <f>IF('Unknown Data Entry'!I31&gt;'Unknown Data Entry'!I$8, 'Unknown Data Entry'!H31, 9999)</f>
        <v>9999</v>
      </c>
      <c r="E23">
        <f>IF('Unknown Data Entry'!K31&gt;'Unknown Data Entry'!K$8, 'Unknown Data Entry'!J31, 9999)</f>
        <v>9999</v>
      </c>
      <c r="F23">
        <f>IF('Unknown Data Entry'!M31&gt;'Unknown Data Entry'!M$8, 'Unknown Data Entry'!L31, 9999)</f>
        <v>9999</v>
      </c>
    </row>
    <row r="24" spans="1:6">
      <c r="A24">
        <f>IF('Unknown Data Entry'!C32&gt;'Unknown Data Entry'!C$8, 'Unknown Data Entry'!B32, 9999)</f>
        <v>9999</v>
      </c>
      <c r="B24">
        <f>IF('Unknown Data Entry'!E32&gt;'Unknown Data Entry'!E$8, 'Unknown Data Entry'!D32, 9999)</f>
        <v>9999</v>
      </c>
      <c r="C24">
        <f>IF('Unknown Data Entry'!G32&gt;'Unknown Data Entry'!G$8, 'Unknown Data Entry'!F32, 9999)</f>
        <v>247.05</v>
      </c>
      <c r="D24">
        <f>IF('Unknown Data Entry'!I32&gt;'Unknown Data Entry'!I$8, 'Unknown Data Entry'!H32, 9999)</f>
        <v>9999</v>
      </c>
      <c r="E24">
        <f>IF('Unknown Data Entry'!K32&gt;'Unknown Data Entry'!K$8, 'Unknown Data Entry'!J32, 9999)</f>
        <v>9999</v>
      </c>
      <c r="F24">
        <f>IF('Unknown Data Entry'!M32&gt;'Unknown Data Entry'!M$8, 'Unknown Data Entry'!L32, 9999)</f>
        <v>9999</v>
      </c>
    </row>
    <row r="25" spans="1:6">
      <c r="A25">
        <f>IF('Unknown Data Entry'!C33&gt;'Unknown Data Entry'!C$8, 'Unknown Data Entry'!B33, 9999)</f>
        <v>9999</v>
      </c>
      <c r="B25">
        <f>IF('Unknown Data Entry'!E33&gt;'Unknown Data Entry'!E$8, 'Unknown Data Entry'!D33, 9999)</f>
        <v>9999</v>
      </c>
      <c r="C25">
        <f>IF('Unknown Data Entry'!G33&gt;'Unknown Data Entry'!G$8, 'Unknown Data Entry'!F33, 9999)</f>
        <v>9999</v>
      </c>
      <c r="D25">
        <f>IF('Unknown Data Entry'!I33&gt;'Unknown Data Entry'!I$8, 'Unknown Data Entry'!H33, 9999)</f>
        <v>9999</v>
      </c>
      <c r="E25">
        <f>IF('Unknown Data Entry'!K33&gt;'Unknown Data Entry'!K$8, 'Unknown Data Entry'!J33, 9999)</f>
        <v>9999</v>
      </c>
      <c r="F25">
        <f>IF('Unknown Data Entry'!M33&gt;'Unknown Data Entry'!M$8, 'Unknown Data Entry'!L33, 9999)</f>
        <v>9999</v>
      </c>
    </row>
    <row r="26" spans="1:6">
      <c r="A26">
        <f>IF('Unknown Data Entry'!C34&gt;'Unknown Data Entry'!C$8, 'Unknown Data Entry'!B34, 9999)</f>
        <v>9999</v>
      </c>
      <c r="B26">
        <f>IF('Unknown Data Entry'!E34&gt;'Unknown Data Entry'!E$8, 'Unknown Data Entry'!D34, 9999)</f>
        <v>9999</v>
      </c>
      <c r="C26">
        <f>IF('Unknown Data Entry'!G34&gt;'Unknown Data Entry'!G$8, 'Unknown Data Entry'!F34, 9999)</f>
        <v>9999</v>
      </c>
      <c r="D26">
        <f>IF('Unknown Data Entry'!I34&gt;'Unknown Data Entry'!I$8, 'Unknown Data Entry'!H34, 9999)</f>
        <v>9999</v>
      </c>
      <c r="E26">
        <f>IF('Unknown Data Entry'!K34&gt;'Unknown Data Entry'!K$8, 'Unknown Data Entry'!J34, 9999)</f>
        <v>9999</v>
      </c>
      <c r="F26">
        <f>IF('Unknown Data Entry'!M34&gt;'Unknown Data Entry'!M$8, 'Unknown Data Entry'!L34, 9999)</f>
        <v>9999</v>
      </c>
    </row>
    <row r="27" spans="1:6">
      <c r="A27">
        <f>IF('Unknown Data Entry'!C35&gt;'Unknown Data Entry'!C$8, 'Unknown Data Entry'!B35, 9999)</f>
        <v>9999</v>
      </c>
      <c r="B27">
        <f>IF('Unknown Data Entry'!E35&gt;'Unknown Data Entry'!E$8, 'Unknown Data Entry'!D35, 9999)</f>
        <v>9999</v>
      </c>
      <c r="C27">
        <f>IF('Unknown Data Entry'!G35&gt;'Unknown Data Entry'!G$8, 'Unknown Data Entry'!F35, 9999)</f>
        <v>9999</v>
      </c>
      <c r="D27">
        <f>IF('Unknown Data Entry'!I35&gt;'Unknown Data Entry'!I$8, 'Unknown Data Entry'!H35, 9999)</f>
        <v>9999</v>
      </c>
      <c r="E27">
        <f>IF('Unknown Data Entry'!K35&gt;'Unknown Data Entry'!K$8, 'Unknown Data Entry'!J35, 9999)</f>
        <v>9999</v>
      </c>
      <c r="F27">
        <f>IF('Unknown Data Entry'!M35&gt;'Unknown Data Entry'!M$8, 'Unknown Data Entry'!L35, 9999)</f>
        <v>9999</v>
      </c>
    </row>
    <row r="28" spans="1:6">
      <c r="A28">
        <f>IF('Unknown Data Entry'!C36&gt;'Unknown Data Entry'!C$8, 'Unknown Data Entry'!B36, 9999)</f>
        <v>9999</v>
      </c>
      <c r="B28">
        <f>IF('Unknown Data Entry'!E36&gt;'Unknown Data Entry'!E$8, 'Unknown Data Entry'!D36, 9999)</f>
        <v>9999</v>
      </c>
      <c r="C28">
        <f>IF('Unknown Data Entry'!G36&gt;'Unknown Data Entry'!G$8, 'Unknown Data Entry'!F36, 9999)</f>
        <v>9999</v>
      </c>
      <c r="D28">
        <f>IF('Unknown Data Entry'!I36&gt;'Unknown Data Entry'!I$8, 'Unknown Data Entry'!H36, 9999)</f>
        <v>9999</v>
      </c>
      <c r="E28">
        <f>IF('Unknown Data Entry'!K36&gt;'Unknown Data Entry'!K$8, 'Unknown Data Entry'!J36, 9999)</f>
        <v>9999</v>
      </c>
      <c r="F28">
        <f>IF('Unknown Data Entry'!M36&gt;'Unknown Data Entry'!M$8, 'Unknown Data Entry'!L36, 9999)</f>
        <v>9999</v>
      </c>
    </row>
    <row r="29" spans="1:6">
      <c r="A29">
        <f>IF('Unknown Data Entry'!C37&gt;'Unknown Data Entry'!C$8, 'Unknown Data Entry'!B37, 9999)</f>
        <v>9999</v>
      </c>
      <c r="B29">
        <f>IF('Unknown Data Entry'!E37&gt;'Unknown Data Entry'!E$8, 'Unknown Data Entry'!D37, 9999)</f>
        <v>9999</v>
      </c>
      <c r="C29">
        <f>IF('Unknown Data Entry'!G37&gt;'Unknown Data Entry'!G$8, 'Unknown Data Entry'!F37, 9999)</f>
        <v>9999</v>
      </c>
      <c r="D29">
        <f>IF('Unknown Data Entry'!I37&gt;'Unknown Data Entry'!I$8, 'Unknown Data Entry'!H37, 9999)</f>
        <v>9999</v>
      </c>
      <c r="E29">
        <f>IF('Unknown Data Entry'!K37&gt;'Unknown Data Entry'!K$8, 'Unknown Data Entry'!J37, 9999)</f>
        <v>9999</v>
      </c>
      <c r="F29">
        <f>IF('Unknown Data Entry'!M37&gt;'Unknown Data Entry'!M$8, 'Unknown Data Entry'!L37, 9999)</f>
        <v>9999</v>
      </c>
    </row>
    <row r="30" spans="1:6">
      <c r="A30">
        <f>IF('Unknown Data Entry'!C38&gt;'Unknown Data Entry'!C$8, 'Unknown Data Entry'!B38, 9999)</f>
        <v>9999</v>
      </c>
      <c r="B30">
        <f>IF('Unknown Data Entry'!E38&gt;'Unknown Data Entry'!E$8, 'Unknown Data Entry'!D38, 9999)</f>
        <v>9999</v>
      </c>
      <c r="C30">
        <f>IF('Unknown Data Entry'!G38&gt;'Unknown Data Entry'!G$8, 'Unknown Data Entry'!F38, 9999)</f>
        <v>9999</v>
      </c>
      <c r="D30">
        <f>IF('Unknown Data Entry'!I38&gt;'Unknown Data Entry'!I$8, 'Unknown Data Entry'!H38, 9999)</f>
        <v>9999</v>
      </c>
      <c r="E30">
        <f>IF('Unknown Data Entry'!K38&gt;'Unknown Data Entry'!K$8, 'Unknown Data Entry'!J38, 9999)</f>
        <v>9999</v>
      </c>
      <c r="F30">
        <f>IF('Unknown Data Entry'!M38&gt;'Unknown Data Entry'!M$8, 'Unknown Data Entry'!L38, 9999)</f>
        <v>9999</v>
      </c>
    </row>
    <row r="31" spans="1:6">
      <c r="A31">
        <f>IF('Unknown Data Entry'!C39&gt;'Unknown Data Entry'!C$8, 'Unknown Data Entry'!B39, 9999)</f>
        <v>9999</v>
      </c>
      <c r="B31">
        <f>IF('Unknown Data Entry'!E39&gt;'Unknown Data Entry'!E$8, 'Unknown Data Entry'!D39, 9999)</f>
        <v>9999</v>
      </c>
      <c r="C31">
        <f>IF('Unknown Data Entry'!G39&gt;'Unknown Data Entry'!G$8, 'Unknown Data Entry'!F39, 9999)</f>
        <v>9999</v>
      </c>
      <c r="D31">
        <f>IF('Unknown Data Entry'!I39&gt;'Unknown Data Entry'!I$8, 'Unknown Data Entry'!H39, 9999)</f>
        <v>9999</v>
      </c>
      <c r="E31">
        <f>IF('Unknown Data Entry'!K39&gt;'Unknown Data Entry'!K$8, 'Unknown Data Entry'!J39, 9999)</f>
        <v>9999</v>
      </c>
      <c r="F31">
        <f>IF('Unknown Data Entry'!M39&gt;'Unknown Data Entry'!M$8, 'Unknown Data Entry'!L39, 9999)</f>
        <v>9999</v>
      </c>
    </row>
    <row r="32" spans="1:6">
      <c r="A32">
        <f>IF('Unknown Data Entry'!C40&gt;'Unknown Data Entry'!C$8, 'Unknown Data Entry'!B40, 9999)</f>
        <v>9999</v>
      </c>
      <c r="B32">
        <f>IF('Unknown Data Entry'!E40&gt;'Unknown Data Entry'!E$8, 'Unknown Data Entry'!D40, 9999)</f>
        <v>9999</v>
      </c>
      <c r="C32">
        <f>IF('Unknown Data Entry'!G40&gt;'Unknown Data Entry'!G$8, 'Unknown Data Entry'!F40, 9999)</f>
        <v>9999</v>
      </c>
      <c r="D32">
        <f>IF('Unknown Data Entry'!I40&gt;'Unknown Data Entry'!I$8, 'Unknown Data Entry'!H40, 9999)</f>
        <v>9999</v>
      </c>
      <c r="E32">
        <f>IF('Unknown Data Entry'!K40&gt;'Unknown Data Entry'!K$8, 'Unknown Data Entry'!J40, 9999)</f>
        <v>9999</v>
      </c>
      <c r="F32">
        <f>IF('Unknown Data Entry'!M40&gt;'Unknown Data Entry'!M$8, 'Unknown Data Entry'!L40, 9999)</f>
        <v>9999</v>
      </c>
    </row>
    <row r="33" spans="1:6">
      <c r="A33">
        <f>IF('Unknown Data Entry'!C41&gt;'Unknown Data Entry'!C$8, 'Unknown Data Entry'!B41, 9999)</f>
        <v>9999</v>
      </c>
      <c r="B33">
        <f>IF('Unknown Data Entry'!E41&gt;'Unknown Data Entry'!E$8, 'Unknown Data Entry'!D41, 9999)</f>
        <v>9999</v>
      </c>
      <c r="C33">
        <f>IF('Unknown Data Entry'!G41&gt;'Unknown Data Entry'!G$8, 'Unknown Data Entry'!F41, 9999)</f>
        <v>9999</v>
      </c>
      <c r="D33">
        <f>IF('Unknown Data Entry'!I41&gt;'Unknown Data Entry'!I$8, 'Unknown Data Entry'!H41, 9999)</f>
        <v>9999</v>
      </c>
      <c r="E33">
        <f>IF('Unknown Data Entry'!K41&gt;'Unknown Data Entry'!K$8, 'Unknown Data Entry'!J41, 9999)</f>
        <v>9999</v>
      </c>
      <c r="F33">
        <f>IF('Unknown Data Entry'!M41&gt;'Unknown Data Entry'!M$8, 'Unknown Data Entry'!L41, 9999)</f>
        <v>9999</v>
      </c>
    </row>
    <row r="34" spans="1:6">
      <c r="A34">
        <f>IF('Unknown Data Entry'!C42&gt;'Unknown Data Entry'!C$8, 'Unknown Data Entry'!B42, 9999)</f>
        <v>9999</v>
      </c>
      <c r="B34">
        <f>IF('Unknown Data Entry'!E42&gt;'Unknown Data Entry'!E$8, 'Unknown Data Entry'!D42, 9999)</f>
        <v>9999</v>
      </c>
      <c r="C34">
        <f>IF('Unknown Data Entry'!G42&gt;'Unknown Data Entry'!G$8, 'Unknown Data Entry'!F42, 9999)</f>
        <v>9999</v>
      </c>
      <c r="D34">
        <f>IF('Unknown Data Entry'!I42&gt;'Unknown Data Entry'!I$8, 'Unknown Data Entry'!H42, 9999)</f>
        <v>9999</v>
      </c>
      <c r="E34">
        <f>IF('Unknown Data Entry'!K42&gt;'Unknown Data Entry'!K$8, 'Unknown Data Entry'!J42, 9999)</f>
        <v>9999</v>
      </c>
      <c r="F34">
        <f>IF('Unknown Data Entry'!M42&gt;'Unknown Data Entry'!M$8, 'Unknown Data Entry'!L42, 9999)</f>
        <v>9999</v>
      </c>
    </row>
    <row r="35" spans="1:6">
      <c r="A35">
        <f>IF('Unknown Data Entry'!C43&gt;'Unknown Data Entry'!C$8, 'Unknown Data Entry'!B43, 9999)</f>
        <v>9999</v>
      </c>
      <c r="B35">
        <f>IF('Unknown Data Entry'!E43&gt;'Unknown Data Entry'!E$8, 'Unknown Data Entry'!D43, 9999)</f>
        <v>9999</v>
      </c>
      <c r="C35">
        <f>IF('Unknown Data Entry'!G43&gt;'Unknown Data Entry'!G$8, 'Unknown Data Entry'!F43, 9999)</f>
        <v>9999</v>
      </c>
      <c r="D35">
        <f>IF('Unknown Data Entry'!I43&gt;'Unknown Data Entry'!I$8, 'Unknown Data Entry'!H43, 9999)</f>
        <v>9999</v>
      </c>
      <c r="E35">
        <f>IF('Unknown Data Entry'!K43&gt;'Unknown Data Entry'!K$8, 'Unknown Data Entry'!J43, 9999)</f>
        <v>9999</v>
      </c>
      <c r="F35">
        <f>IF('Unknown Data Entry'!M43&gt;'Unknown Data Entry'!M$8, 'Unknown Data Entry'!L43, 9999)</f>
        <v>9999</v>
      </c>
    </row>
    <row r="36" spans="1:6">
      <c r="A36">
        <f>IF('Unknown Data Entry'!C44&gt;'Unknown Data Entry'!C$8, 'Unknown Data Entry'!B44, 9999)</f>
        <v>9999</v>
      </c>
      <c r="B36">
        <f>IF('Unknown Data Entry'!E44&gt;'Unknown Data Entry'!E$8, 'Unknown Data Entry'!D44, 9999)</f>
        <v>9999</v>
      </c>
      <c r="C36">
        <f>IF('Unknown Data Entry'!G44&gt;'Unknown Data Entry'!G$8, 'Unknown Data Entry'!F44, 9999)</f>
        <v>9999</v>
      </c>
      <c r="D36">
        <f>IF('Unknown Data Entry'!I44&gt;'Unknown Data Entry'!I$8, 'Unknown Data Entry'!H44, 9999)</f>
        <v>9999</v>
      </c>
      <c r="E36">
        <f>IF('Unknown Data Entry'!K44&gt;'Unknown Data Entry'!K$8, 'Unknown Data Entry'!J44, 9999)</f>
        <v>9999</v>
      </c>
      <c r="F36">
        <f>IF('Unknown Data Entry'!M44&gt;'Unknown Data Entry'!M$8, 'Unknown Data Entry'!L44, 9999)</f>
        <v>9999</v>
      </c>
    </row>
    <row r="37" spans="1:6">
      <c r="A37">
        <f>IF('Unknown Data Entry'!C45&gt;'Unknown Data Entry'!C$8, 'Unknown Data Entry'!B45, 9999)</f>
        <v>9999</v>
      </c>
      <c r="B37">
        <f>IF('Unknown Data Entry'!E45&gt;'Unknown Data Entry'!E$8, 'Unknown Data Entry'!D45, 9999)</f>
        <v>9999</v>
      </c>
      <c r="C37">
        <f>IF('Unknown Data Entry'!G45&gt;'Unknown Data Entry'!G$8, 'Unknown Data Entry'!F45, 9999)</f>
        <v>9999</v>
      </c>
      <c r="D37">
        <f>IF('Unknown Data Entry'!I45&gt;'Unknown Data Entry'!I$8, 'Unknown Data Entry'!H45, 9999)</f>
        <v>9999</v>
      </c>
      <c r="E37">
        <f>IF('Unknown Data Entry'!K45&gt;'Unknown Data Entry'!K$8, 'Unknown Data Entry'!J45, 9999)</f>
        <v>9999</v>
      </c>
      <c r="F37">
        <f>IF('Unknown Data Entry'!M45&gt;'Unknown Data Entry'!M$8, 'Unknown Data Entry'!L45, 9999)</f>
        <v>9999</v>
      </c>
    </row>
    <row r="38" spans="1:6">
      <c r="A38">
        <f>IF('Unknown Data Entry'!C46&gt;'Unknown Data Entry'!C$8, 'Unknown Data Entry'!B46, 9999)</f>
        <v>343.24</v>
      </c>
      <c r="B38">
        <f>IF('Unknown Data Entry'!E46&gt;'Unknown Data Entry'!E$8, 'Unknown Data Entry'!D46, 9999)</f>
        <v>9999</v>
      </c>
      <c r="C38">
        <f>IF('Unknown Data Entry'!G46&gt;'Unknown Data Entry'!G$8, 'Unknown Data Entry'!F46, 9999)</f>
        <v>9999</v>
      </c>
      <c r="D38">
        <f>IF('Unknown Data Entry'!I46&gt;'Unknown Data Entry'!I$8, 'Unknown Data Entry'!H46, 9999)</f>
        <v>9999</v>
      </c>
      <c r="E38">
        <f>IF('Unknown Data Entry'!K46&gt;'Unknown Data Entry'!K$8, 'Unknown Data Entry'!J46, 9999)</f>
        <v>9999</v>
      </c>
      <c r="F38">
        <f>IF('Unknown Data Entry'!M46&gt;'Unknown Data Entry'!M$8, 'Unknown Data Entry'!L46, 9999)</f>
        <v>9999</v>
      </c>
    </row>
    <row r="39" spans="1:6">
      <c r="A39">
        <f>IF('Unknown Data Entry'!C47&gt;'Unknown Data Entry'!C$8, 'Unknown Data Entry'!B47, 9999)</f>
        <v>9999</v>
      </c>
      <c r="B39">
        <f>IF('Unknown Data Entry'!E47&gt;'Unknown Data Entry'!E$8, 'Unknown Data Entry'!D47, 9999)</f>
        <v>9999</v>
      </c>
      <c r="C39">
        <f>IF('Unknown Data Entry'!G47&gt;'Unknown Data Entry'!G$8, 'Unknown Data Entry'!F47, 9999)</f>
        <v>9999</v>
      </c>
      <c r="D39">
        <f>IF('Unknown Data Entry'!I47&gt;'Unknown Data Entry'!I$8, 'Unknown Data Entry'!H47, 9999)</f>
        <v>9999</v>
      </c>
      <c r="E39">
        <f>IF('Unknown Data Entry'!K47&gt;'Unknown Data Entry'!K$8, 'Unknown Data Entry'!J47, 9999)</f>
        <v>9999</v>
      </c>
      <c r="F39">
        <f>IF('Unknown Data Entry'!M47&gt;'Unknown Data Entry'!M$8, 'Unknown Data Entry'!L47, 9999)</f>
        <v>9999</v>
      </c>
    </row>
    <row r="40" spans="1:6">
      <c r="A40">
        <f>IF('Unknown Data Entry'!C48&gt;'Unknown Data Entry'!C$8, 'Unknown Data Entry'!B48, 9999)</f>
        <v>387.22</v>
      </c>
      <c r="B40">
        <f>IF('Unknown Data Entry'!E48&gt;'Unknown Data Entry'!E$8, 'Unknown Data Entry'!D48, 9999)</f>
        <v>9999</v>
      </c>
      <c r="C40">
        <f>IF('Unknown Data Entry'!G48&gt;'Unknown Data Entry'!G$8, 'Unknown Data Entry'!F48, 9999)</f>
        <v>9999</v>
      </c>
      <c r="D40">
        <f>IF('Unknown Data Entry'!I48&gt;'Unknown Data Entry'!I$8, 'Unknown Data Entry'!H48, 9999)</f>
        <v>9999</v>
      </c>
      <c r="E40">
        <f>IF('Unknown Data Entry'!K48&gt;'Unknown Data Entry'!K$8, 'Unknown Data Entry'!J48, 9999)</f>
        <v>9999</v>
      </c>
      <c r="F40">
        <f>IF('Unknown Data Entry'!M48&gt;'Unknown Data Entry'!M$8, 'Unknown Data Entry'!L48, 9999)</f>
        <v>9999</v>
      </c>
    </row>
    <row r="41" spans="1:6">
      <c r="A41">
        <f>IF('Unknown Data Entry'!C49&gt;'Unknown Data Entry'!C$8, 'Unknown Data Entry'!B49, 9999)</f>
        <v>9999</v>
      </c>
      <c r="B41">
        <f>IF('Unknown Data Entry'!E49&gt;'Unknown Data Entry'!E$8, 'Unknown Data Entry'!D49, 9999)</f>
        <v>9999</v>
      </c>
      <c r="C41">
        <f>IF('Unknown Data Entry'!G49&gt;'Unknown Data Entry'!G$8, 'Unknown Data Entry'!F49, 9999)</f>
        <v>9999</v>
      </c>
      <c r="D41">
        <f>IF('Unknown Data Entry'!I49&gt;'Unknown Data Entry'!I$8, 'Unknown Data Entry'!H49, 9999)</f>
        <v>9999</v>
      </c>
      <c r="E41">
        <f>IF('Unknown Data Entry'!K49&gt;'Unknown Data Entry'!K$8, 'Unknown Data Entry'!J49, 9999)</f>
        <v>9999</v>
      </c>
      <c r="F41">
        <f>IF('Unknown Data Entry'!M49&gt;'Unknown Data Entry'!M$8, 'Unknown Data Entry'!L49, 9999)</f>
        <v>9999</v>
      </c>
    </row>
    <row r="42" spans="1:6">
      <c r="A42">
        <f>IF('Unknown Data Entry'!C50&gt;'Unknown Data Entry'!C$8, 'Unknown Data Entry'!B50, 9999)</f>
        <v>9999</v>
      </c>
      <c r="B42">
        <f>IF('Unknown Data Entry'!E50&gt;'Unknown Data Entry'!E$8, 'Unknown Data Entry'!D50, 9999)</f>
        <v>9999</v>
      </c>
      <c r="C42">
        <f>IF('Unknown Data Entry'!G50&gt;'Unknown Data Entry'!G$8, 'Unknown Data Entry'!F50, 9999)</f>
        <v>9999</v>
      </c>
      <c r="D42">
        <f>IF('Unknown Data Entry'!I50&gt;'Unknown Data Entry'!I$8, 'Unknown Data Entry'!H50, 9999)</f>
        <v>9999</v>
      </c>
      <c r="E42">
        <f>IF('Unknown Data Entry'!K50&gt;'Unknown Data Entry'!K$8, 'Unknown Data Entry'!J50, 9999)</f>
        <v>9999</v>
      </c>
      <c r="F42">
        <f>IF('Unknown Data Entry'!M50&gt;'Unknown Data Entry'!M$8, 'Unknown Data Entry'!L50, 9999)</f>
        <v>9999</v>
      </c>
    </row>
    <row r="43" spans="1:6">
      <c r="A43">
        <f>IF('Unknown Data Entry'!C51&gt;'Unknown Data Entry'!C$8, 'Unknown Data Entry'!B51, 9999)</f>
        <v>9999</v>
      </c>
      <c r="B43">
        <f>IF('Unknown Data Entry'!E51&gt;'Unknown Data Entry'!E$8, 'Unknown Data Entry'!D51, 9999)</f>
        <v>9999</v>
      </c>
      <c r="C43">
        <f>IF('Unknown Data Entry'!G51&gt;'Unknown Data Entry'!G$8, 'Unknown Data Entry'!F51, 9999)</f>
        <v>9999</v>
      </c>
      <c r="D43">
        <f>IF('Unknown Data Entry'!I51&gt;'Unknown Data Entry'!I$8, 'Unknown Data Entry'!H51, 9999)</f>
        <v>9999</v>
      </c>
      <c r="E43">
        <f>IF('Unknown Data Entry'!K51&gt;'Unknown Data Entry'!K$8, 'Unknown Data Entry'!J51, 9999)</f>
        <v>9999</v>
      </c>
      <c r="F43">
        <f>IF('Unknown Data Entry'!M51&gt;'Unknown Data Entry'!M$8, 'Unknown Data Entry'!L51, 9999)</f>
        <v>9999</v>
      </c>
    </row>
    <row r="44" spans="1:6">
      <c r="A44">
        <f>IF('Unknown Data Entry'!C52&gt;'Unknown Data Entry'!C$8, 'Unknown Data Entry'!B52, 9999)</f>
        <v>9999</v>
      </c>
      <c r="B44">
        <f>IF('Unknown Data Entry'!E52&gt;'Unknown Data Entry'!E$8, 'Unknown Data Entry'!D52, 9999)</f>
        <v>9999</v>
      </c>
      <c r="C44">
        <f>IF('Unknown Data Entry'!G52&gt;'Unknown Data Entry'!G$8, 'Unknown Data Entry'!F52, 9999)</f>
        <v>9999</v>
      </c>
      <c r="D44">
        <f>IF('Unknown Data Entry'!I52&gt;'Unknown Data Entry'!I$8, 'Unknown Data Entry'!H52, 9999)</f>
        <v>9999</v>
      </c>
      <c r="E44">
        <f>IF('Unknown Data Entry'!K52&gt;'Unknown Data Entry'!K$8, 'Unknown Data Entry'!J52, 9999)</f>
        <v>9999</v>
      </c>
      <c r="F44">
        <f>IF('Unknown Data Entry'!M52&gt;'Unknown Data Entry'!M$8, 'Unknown Data Entry'!L52, 9999)</f>
        <v>9999</v>
      </c>
    </row>
    <row r="45" spans="1:6">
      <c r="A45">
        <f>IF('Unknown Data Entry'!C53&gt;'Unknown Data Entry'!C$8, 'Unknown Data Entry'!B53, 9999)</f>
        <v>9999</v>
      </c>
      <c r="B45">
        <f>IF('Unknown Data Entry'!E53&gt;'Unknown Data Entry'!E$8, 'Unknown Data Entry'!D53, 9999)</f>
        <v>9999</v>
      </c>
      <c r="C45">
        <f>IF('Unknown Data Entry'!G53&gt;'Unknown Data Entry'!G$8, 'Unknown Data Entry'!F53, 9999)</f>
        <v>9999</v>
      </c>
      <c r="D45">
        <f>IF('Unknown Data Entry'!I53&gt;'Unknown Data Entry'!I$8, 'Unknown Data Entry'!H53, 9999)</f>
        <v>9999</v>
      </c>
      <c r="E45">
        <f>IF('Unknown Data Entry'!K53&gt;'Unknown Data Entry'!K$8, 'Unknown Data Entry'!J53, 9999)</f>
        <v>9999</v>
      </c>
      <c r="F45">
        <f>IF('Unknown Data Entry'!M53&gt;'Unknown Data Entry'!M$8, 'Unknown Data Entry'!L53, 9999)</f>
        <v>9999</v>
      </c>
    </row>
    <row r="46" spans="1:6">
      <c r="A46">
        <f>IF('Unknown Data Entry'!C54&gt;'Unknown Data Entry'!C$8, 'Unknown Data Entry'!B54, 9999)</f>
        <v>9999</v>
      </c>
      <c r="B46">
        <f>IF('Unknown Data Entry'!E54&gt;'Unknown Data Entry'!E$8, 'Unknown Data Entry'!D54, 9999)</f>
        <v>9999</v>
      </c>
      <c r="C46">
        <f>IF('Unknown Data Entry'!G54&gt;'Unknown Data Entry'!G$8, 'Unknown Data Entry'!F54, 9999)</f>
        <v>9999</v>
      </c>
      <c r="D46">
        <f>IF('Unknown Data Entry'!I54&gt;'Unknown Data Entry'!I$8, 'Unknown Data Entry'!H54, 9999)</f>
        <v>9999</v>
      </c>
      <c r="E46">
        <f>IF('Unknown Data Entry'!K54&gt;'Unknown Data Entry'!K$8, 'Unknown Data Entry'!J54, 9999)</f>
        <v>9999</v>
      </c>
      <c r="F46">
        <f>IF('Unknown Data Entry'!M54&gt;'Unknown Data Entry'!M$8, 'Unknown Data Entry'!L54, 9999)</f>
        <v>9999</v>
      </c>
    </row>
    <row r="47" spans="1:6">
      <c r="A47">
        <f>IF('Unknown Data Entry'!C55&gt;'Unknown Data Entry'!C$8, 'Unknown Data Entry'!B55, 9999)</f>
        <v>9999</v>
      </c>
      <c r="B47">
        <f>IF('Unknown Data Entry'!E55&gt;'Unknown Data Entry'!E$8, 'Unknown Data Entry'!D55, 9999)</f>
        <v>9999</v>
      </c>
      <c r="C47">
        <f>IF('Unknown Data Entry'!G55&gt;'Unknown Data Entry'!G$8, 'Unknown Data Entry'!F55, 9999)</f>
        <v>9999</v>
      </c>
      <c r="D47">
        <f>IF('Unknown Data Entry'!I55&gt;'Unknown Data Entry'!I$8, 'Unknown Data Entry'!H55, 9999)</f>
        <v>9999</v>
      </c>
      <c r="E47">
        <f>IF('Unknown Data Entry'!K55&gt;'Unknown Data Entry'!K$8, 'Unknown Data Entry'!J55, 9999)</f>
        <v>9999</v>
      </c>
      <c r="F47">
        <f>IF('Unknown Data Entry'!M55&gt;'Unknown Data Entry'!M$8, 'Unknown Data Entry'!L55, 9999)</f>
        <v>9999</v>
      </c>
    </row>
    <row r="48" spans="1:6">
      <c r="A48">
        <f>IF('Unknown Data Entry'!C56&gt;'Unknown Data Entry'!C$8, 'Unknown Data Entry'!B56, 9999)</f>
        <v>9999</v>
      </c>
      <c r="B48">
        <f>IF('Unknown Data Entry'!E56&gt;'Unknown Data Entry'!E$8, 'Unknown Data Entry'!D56, 9999)</f>
        <v>9999</v>
      </c>
      <c r="C48">
        <f>IF('Unknown Data Entry'!G56&gt;'Unknown Data Entry'!G$8, 'Unknown Data Entry'!F56, 9999)</f>
        <v>9999</v>
      </c>
      <c r="D48">
        <f>IF('Unknown Data Entry'!I56&gt;'Unknown Data Entry'!I$8, 'Unknown Data Entry'!H56, 9999)</f>
        <v>9999</v>
      </c>
      <c r="E48">
        <f>IF('Unknown Data Entry'!K56&gt;'Unknown Data Entry'!K$8, 'Unknown Data Entry'!J56, 9999)</f>
        <v>9999</v>
      </c>
      <c r="F48">
        <f>IF('Unknown Data Entry'!M56&gt;'Unknown Data Entry'!M$8, 'Unknown Data Entry'!L56, 9999)</f>
        <v>9999</v>
      </c>
    </row>
    <row r="49" spans="1:6">
      <c r="A49">
        <f>IF('Unknown Data Entry'!C57&gt;'Unknown Data Entry'!C$8, 'Unknown Data Entry'!B57, 9999)</f>
        <v>9999</v>
      </c>
      <c r="B49">
        <f>IF('Unknown Data Entry'!E57&gt;'Unknown Data Entry'!E$8, 'Unknown Data Entry'!D57, 9999)</f>
        <v>9999</v>
      </c>
      <c r="C49">
        <f>IF('Unknown Data Entry'!G57&gt;'Unknown Data Entry'!G$8, 'Unknown Data Entry'!F57, 9999)</f>
        <v>9999</v>
      </c>
      <c r="D49">
        <f>IF('Unknown Data Entry'!I57&gt;'Unknown Data Entry'!I$8, 'Unknown Data Entry'!H57, 9999)</f>
        <v>9999</v>
      </c>
      <c r="E49">
        <f>IF('Unknown Data Entry'!K57&gt;'Unknown Data Entry'!K$8, 'Unknown Data Entry'!J57, 9999)</f>
        <v>9999</v>
      </c>
      <c r="F49">
        <f>IF('Unknown Data Entry'!M57&gt;'Unknown Data Entry'!M$8, 'Unknown Data Entry'!L57, 9999)</f>
        <v>9999</v>
      </c>
    </row>
    <row r="50" spans="1:6">
      <c r="A50">
        <f>IF('Unknown Data Entry'!C58&gt;'Unknown Data Entry'!C$8, 'Unknown Data Entry'!B58, 9999)</f>
        <v>9999</v>
      </c>
      <c r="B50">
        <f>IF('Unknown Data Entry'!E58&gt;'Unknown Data Entry'!E$8, 'Unknown Data Entry'!D58, 9999)</f>
        <v>9999</v>
      </c>
      <c r="C50">
        <f>IF('Unknown Data Entry'!G58&gt;'Unknown Data Entry'!G$8, 'Unknown Data Entry'!F58, 9999)</f>
        <v>9999</v>
      </c>
      <c r="D50">
        <f>IF('Unknown Data Entry'!I58&gt;'Unknown Data Entry'!I$8, 'Unknown Data Entry'!H58, 9999)</f>
        <v>9999</v>
      </c>
      <c r="E50">
        <f>IF('Unknown Data Entry'!K58&gt;'Unknown Data Entry'!K$8, 'Unknown Data Entry'!J58, 9999)</f>
        <v>9999</v>
      </c>
      <c r="F50">
        <f>IF('Unknown Data Entry'!M58&gt;'Unknown Data Entry'!M$8, 'Unknown Data Entry'!L58, 9999)</f>
        <v>9999</v>
      </c>
    </row>
    <row r="51" spans="1:6">
      <c r="A51">
        <f>IF('Unknown Data Entry'!C59&gt;'Unknown Data Entry'!C$8, 'Unknown Data Entry'!B59, 9999)</f>
        <v>9999</v>
      </c>
      <c r="B51">
        <f>IF('Unknown Data Entry'!E59&gt;'Unknown Data Entry'!E$8, 'Unknown Data Entry'!D59, 9999)</f>
        <v>9999</v>
      </c>
      <c r="C51">
        <f>IF('Unknown Data Entry'!G59&gt;'Unknown Data Entry'!G$8, 'Unknown Data Entry'!F59, 9999)</f>
        <v>9999</v>
      </c>
      <c r="D51">
        <f>IF('Unknown Data Entry'!I59&gt;'Unknown Data Entry'!I$8, 'Unknown Data Entry'!H59, 9999)</f>
        <v>9999</v>
      </c>
      <c r="E51">
        <f>IF('Unknown Data Entry'!K59&gt;'Unknown Data Entry'!K$8, 'Unknown Data Entry'!J59, 9999)</f>
        <v>9999</v>
      </c>
      <c r="F51">
        <f>IF('Unknown Data Entry'!M59&gt;'Unknown Data Entry'!M$8, 'Unknown Data Entry'!L59, 9999)</f>
        <v>9999</v>
      </c>
    </row>
  </sheetData>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51"/>
  <sheetViews>
    <sheetView workbookViewId="0">
      <selection activeCell="F10" sqref="F10"/>
    </sheetView>
  </sheetViews>
  <sheetFormatPr defaultColWidth="8.81640625" defaultRowHeight="12.5"/>
  <cols>
    <col min="1" max="1" width="9.36328125" bestFit="1" customWidth="1"/>
    <col min="2" max="2" width="10.36328125" bestFit="1" customWidth="1"/>
    <col min="3" max="4" width="10" bestFit="1" customWidth="1"/>
    <col min="5" max="5" width="9.453125" bestFit="1" customWidth="1"/>
    <col min="6" max="6" width="6.1796875" bestFit="1" customWidth="1"/>
  </cols>
  <sheetData>
    <row r="1" spans="1:6">
      <c r="A1" t="str">
        <f>Parameters!B6</f>
        <v>Hinf1-ITS4</v>
      </c>
      <c r="B1" t="str">
        <f>Parameters!C6</f>
        <v>Hinf1-ITS1F</v>
      </c>
      <c r="C1" t="str">
        <f>Parameters!D6</f>
        <v>HaeIII-ITS4</v>
      </c>
      <c r="D1" t="str">
        <f>Parameters!E6</f>
        <v>HaeIII-ITS1</v>
      </c>
      <c r="E1" t="str">
        <f>Parameters!F6</f>
        <v>DpnII-ITS4</v>
      </c>
      <c r="F1" t="str">
        <f>Parameters!G6</f>
        <v>(none)</v>
      </c>
    </row>
    <row r="2" spans="1:6">
      <c r="A2">
        <f>IF(Unknown!C10&gt;Unknown!C$8, Unknown!B10, 9999)</f>
        <v>42.91</v>
      </c>
      <c r="B2">
        <f>IF(Unknown!E10&gt;Unknown!E$8, Unknown!D10, 9999)</f>
        <v>44.26</v>
      </c>
      <c r="C2">
        <f>IF(Unknown!G10&gt;Unknown!G$8, Unknown!F10, 9999)</f>
        <v>42.91</v>
      </c>
      <c r="D2">
        <f>IF(Unknown!I10&gt;Unknown!I$8, Unknown!H10, 9999)</f>
        <v>44.26</v>
      </c>
      <c r="E2">
        <f>IF(Unknown!K10&gt;Unknown!K$8, Unknown!J10, 9999)</f>
        <v>9999</v>
      </c>
      <c r="F2">
        <f>IF(Unknown!M10&gt;Unknown!M$8, Unknown!L10, 9999)</f>
        <v>9999</v>
      </c>
    </row>
    <row r="3" spans="1:6">
      <c r="A3">
        <f>IF(Unknown!C11&gt;Unknown!C$8, Unknown!B11, 9999)</f>
        <v>46.28</v>
      </c>
      <c r="B3">
        <f>IF(Unknown!E11&gt;Unknown!E$8, Unknown!D11, 9999)</f>
        <v>9999</v>
      </c>
      <c r="C3">
        <f>IF(Unknown!G11&gt;Unknown!G$8, Unknown!F11, 9999)</f>
        <v>54.83</v>
      </c>
      <c r="D3">
        <f>IF(Unknown!I11&gt;Unknown!I$8, Unknown!H11, 9999)</f>
        <v>9999</v>
      </c>
      <c r="E3">
        <f>IF(Unknown!K11&gt;Unknown!K$8, Unknown!J11, 9999)</f>
        <v>9999</v>
      </c>
      <c r="F3">
        <f>IF(Unknown!M11&gt;Unknown!M$8, Unknown!L11, 9999)</f>
        <v>9999</v>
      </c>
    </row>
    <row r="4" spans="1:6">
      <c r="A4">
        <f>IF(Unknown!C12&gt;Unknown!C$8, Unknown!B12, 9999)</f>
        <v>9999</v>
      </c>
      <c r="B4">
        <f>IF(Unknown!E12&gt;Unknown!E$8, Unknown!D12, 9999)</f>
        <v>82.89</v>
      </c>
      <c r="C4">
        <f>IF(Unknown!G12&gt;Unknown!G$8, Unknown!F12, 9999)</f>
        <v>9999</v>
      </c>
      <c r="D4">
        <f>IF(Unknown!I12&gt;Unknown!I$8, Unknown!H12, 9999)</f>
        <v>79.62</v>
      </c>
      <c r="E4">
        <f>IF(Unknown!K12&gt;Unknown!K$8, Unknown!J12, 9999)</f>
        <v>9999</v>
      </c>
      <c r="F4">
        <f>IF(Unknown!M12&gt;Unknown!M$8, Unknown!L12, 9999)</f>
        <v>9999</v>
      </c>
    </row>
    <row r="5" spans="1:6">
      <c r="A5">
        <f>IF(Unknown!C13&gt;Unknown!C$8, Unknown!B13, 9999)</f>
        <v>79.95</v>
      </c>
      <c r="B5">
        <f>IF(Unknown!E13&gt;Unknown!E$8, Unknown!D13, 9999)</f>
        <v>9999</v>
      </c>
      <c r="C5">
        <f>IF(Unknown!G13&gt;Unknown!G$8, Unknown!F13, 9999)</f>
        <v>79.290000000000006</v>
      </c>
      <c r="D5">
        <f>IF(Unknown!I13&gt;Unknown!I$8, Unknown!H13, 9999)</f>
        <v>99.07</v>
      </c>
      <c r="E5">
        <f>IF(Unknown!K13&gt;Unknown!K$8, Unknown!J13, 9999)</f>
        <v>9999</v>
      </c>
      <c r="F5">
        <f>IF(Unknown!M13&gt;Unknown!M$8, Unknown!L13, 9999)</f>
        <v>9999</v>
      </c>
    </row>
    <row r="6" spans="1:6">
      <c r="A6">
        <f>IF(Unknown!C14&gt;Unknown!C$8, Unknown!B14, 9999)</f>
        <v>9999</v>
      </c>
      <c r="B6">
        <f>IF(Unknown!E14&gt;Unknown!E$8, Unknown!D14, 9999)</f>
        <v>99.07</v>
      </c>
      <c r="C6">
        <f>IF(Unknown!G14&gt;Unknown!G$8, Unknown!F14, 9999)</f>
        <v>9999</v>
      </c>
      <c r="D6">
        <f>IF(Unknown!I14&gt;Unknown!I$8, Unknown!H14, 9999)</f>
        <v>112.32</v>
      </c>
      <c r="E6">
        <f>IF(Unknown!K14&gt;Unknown!K$8, Unknown!J14, 9999)</f>
        <v>9999</v>
      </c>
      <c r="F6">
        <f>IF(Unknown!M14&gt;Unknown!M$8, Unknown!L14, 9999)</f>
        <v>9999</v>
      </c>
    </row>
    <row r="7" spans="1:6">
      <c r="A7">
        <f>IF(Unknown!C15&gt;Unknown!C$8, Unknown!B15, 9999)</f>
        <v>99.07</v>
      </c>
      <c r="B7">
        <f>IF(Unknown!E15&gt;Unknown!E$8, Unknown!D15, 9999)</f>
        <v>106.56</v>
      </c>
      <c r="C7">
        <f>IF(Unknown!G15&gt;Unknown!G$8, Unknown!F15, 9999)</f>
        <v>9999</v>
      </c>
      <c r="D7">
        <f>IF(Unknown!I15&gt;Unknown!I$8, Unknown!H15, 9999)</f>
        <v>131.93</v>
      </c>
      <c r="E7">
        <f>IF(Unknown!K15&gt;Unknown!K$8, Unknown!J15, 9999)</f>
        <v>9999</v>
      </c>
      <c r="F7">
        <f>IF(Unknown!M15&gt;Unknown!M$8, Unknown!L15, 9999)</f>
        <v>9999</v>
      </c>
    </row>
    <row r="8" spans="1:6">
      <c r="A8">
        <f>IF(Unknown!C16&gt;Unknown!C$8, Unknown!B16, 9999)</f>
        <v>9999</v>
      </c>
      <c r="B8">
        <f>IF(Unknown!E16&gt;Unknown!E$8, Unknown!D16, 9999)</f>
        <v>9999</v>
      </c>
      <c r="C8">
        <f>IF(Unknown!G16&gt;Unknown!G$8, Unknown!F16, 9999)</f>
        <v>112.32</v>
      </c>
      <c r="D8">
        <f>IF(Unknown!I16&gt;Unknown!I$8, Unknown!H16, 9999)</f>
        <v>161.87</v>
      </c>
      <c r="E8">
        <f>IF(Unknown!K16&gt;Unknown!K$8, Unknown!J16, 9999)</f>
        <v>9999</v>
      </c>
      <c r="F8">
        <f>IF(Unknown!M16&gt;Unknown!M$8, Unknown!L16, 9999)</f>
        <v>9999</v>
      </c>
    </row>
    <row r="9" spans="1:6">
      <c r="A9">
        <f>IF(Unknown!C17&gt;Unknown!C$8, Unknown!B17, 9999)</f>
        <v>9999</v>
      </c>
      <c r="B9">
        <f>IF(Unknown!E17&gt;Unknown!E$8, Unknown!D17, 9999)</f>
        <v>9999</v>
      </c>
      <c r="C9">
        <f>IF(Unknown!G17&gt;Unknown!G$8, Unknown!F17, 9999)</f>
        <v>129.94999999999999</v>
      </c>
      <c r="D9">
        <f>IF(Unknown!I17&gt;Unknown!I$8, Unknown!H17, 9999)</f>
        <v>247.05</v>
      </c>
      <c r="E9">
        <f>IF(Unknown!K17&gt;Unknown!K$8, Unknown!J17, 9999)</f>
        <v>9999</v>
      </c>
      <c r="F9">
        <f>IF(Unknown!M17&gt;Unknown!M$8, Unknown!L17, 9999)</f>
        <v>9999</v>
      </c>
    </row>
    <row r="10" spans="1:6">
      <c r="A10">
        <f>IF(Unknown!C18&gt;Unknown!C$8, Unknown!B18, 9999)</f>
        <v>9999</v>
      </c>
      <c r="B10">
        <f>IF(Unknown!E18&gt;Unknown!E$8, Unknown!D18, 9999)</f>
        <v>245.24</v>
      </c>
      <c r="C10">
        <f>IF(Unknown!G18&gt;Unknown!G$8, Unknown!F18, 9999)</f>
        <v>139.31</v>
      </c>
      <c r="D10">
        <f>IF(Unknown!I18&gt;Unknown!I$8, Unknown!H18, 9999)</f>
        <v>266.83</v>
      </c>
      <c r="E10">
        <f>IF(Unknown!K18&gt;Unknown!K$8, Unknown!J18, 9999)</f>
        <v>9999</v>
      </c>
      <c r="F10">
        <f>IF(Unknown!M18&gt;Unknown!M$8, Unknown!L18, 9999)</f>
        <v>9999</v>
      </c>
    </row>
    <row r="11" spans="1:6">
      <c r="A11">
        <f>IF(Unknown!C19&gt;Unknown!C$8, Unknown!B19, 9999)</f>
        <v>9999</v>
      </c>
      <c r="B11">
        <f>IF(Unknown!E19&gt;Unknown!E$8, Unknown!D19, 9999)</f>
        <v>9999</v>
      </c>
      <c r="C11">
        <f>IF(Unknown!G19&gt;Unknown!G$8, Unknown!F19, 9999)</f>
        <v>9999</v>
      </c>
      <c r="D11">
        <f>IF(Unknown!I19&gt;Unknown!I$8, Unknown!H19, 9999)</f>
        <v>431.93</v>
      </c>
      <c r="E11">
        <f>IF(Unknown!K19&gt;Unknown!K$8, Unknown!J19, 9999)</f>
        <v>9999</v>
      </c>
      <c r="F11">
        <f>IF(Unknown!M19&gt;Unknown!M$8, Unknown!L19, 9999)</f>
        <v>9999</v>
      </c>
    </row>
    <row r="12" spans="1:6">
      <c r="A12">
        <f>IF(Unknown!C20&gt;Unknown!C$8, Unknown!B20, 9999)</f>
        <v>9999</v>
      </c>
      <c r="B12">
        <f>IF(Unknown!E20&gt;Unknown!E$8, Unknown!D20, 9999)</f>
        <v>9999</v>
      </c>
      <c r="C12">
        <f>IF(Unknown!G20&gt;Unknown!G$8, Unknown!F20, 9999)</f>
        <v>9999</v>
      </c>
      <c r="D12">
        <f>IF(Unknown!I20&gt;Unknown!I$8, Unknown!H20, 9999)</f>
        <v>455.63</v>
      </c>
      <c r="E12">
        <f>IF(Unknown!K20&gt;Unknown!K$8, Unknown!J20, 9999)</f>
        <v>9999</v>
      </c>
      <c r="F12">
        <f>IF(Unknown!M20&gt;Unknown!M$8, Unknown!L20, 9999)</f>
        <v>9999</v>
      </c>
    </row>
    <row r="13" spans="1:6">
      <c r="A13">
        <f>IF(Unknown!C21&gt;Unknown!C$8, Unknown!B21, 9999)</f>
        <v>9999</v>
      </c>
      <c r="B13">
        <f>IF(Unknown!E21&gt;Unknown!E$8, Unknown!D21, 9999)</f>
        <v>9999</v>
      </c>
      <c r="C13">
        <f>IF(Unknown!G21&gt;Unknown!G$8, Unknown!F21, 9999)</f>
        <v>9999</v>
      </c>
      <c r="D13">
        <f>IF(Unknown!I21&gt;Unknown!I$8, Unknown!H21, 9999)</f>
        <v>459.29</v>
      </c>
      <c r="E13">
        <f>IF(Unknown!K21&gt;Unknown!K$8, Unknown!J21, 9999)</f>
        <v>9999</v>
      </c>
      <c r="F13">
        <f>IF(Unknown!M21&gt;Unknown!M$8, Unknown!L21, 9999)</f>
        <v>9999</v>
      </c>
    </row>
    <row r="14" spans="1:6">
      <c r="A14">
        <f>IF(Unknown!C22&gt;Unknown!C$8, Unknown!B22, 9999)</f>
        <v>9999</v>
      </c>
      <c r="B14">
        <f>IF(Unknown!E22&gt;Unknown!E$8, Unknown!D22, 9999)</f>
        <v>9999</v>
      </c>
      <c r="C14">
        <f>IF(Unknown!G22&gt;Unknown!G$8, Unknown!F22, 9999)</f>
        <v>161.61000000000001</v>
      </c>
      <c r="D14">
        <f>IF(Unknown!I22&gt;Unknown!I$8, Unknown!H22, 9999)</f>
        <v>9999</v>
      </c>
      <c r="E14">
        <f>IF(Unknown!K22&gt;Unknown!K$8, Unknown!J22, 9999)</f>
        <v>9999</v>
      </c>
      <c r="F14">
        <f>IF(Unknown!M22&gt;Unknown!M$8, Unknown!L22, 9999)</f>
        <v>9999</v>
      </c>
    </row>
    <row r="15" spans="1:6">
      <c r="A15">
        <f>IF(Unknown!C23&gt;Unknown!C$8, Unknown!B23, 9999)</f>
        <v>9999</v>
      </c>
      <c r="B15">
        <f>IF(Unknown!E23&gt;Unknown!E$8, Unknown!D23, 9999)</f>
        <v>310.66000000000003</v>
      </c>
      <c r="C15">
        <f>IF(Unknown!G23&gt;Unknown!G$8, Unknown!F23, 9999)</f>
        <v>170.72</v>
      </c>
      <c r="D15">
        <f>IF(Unknown!I23&gt;Unknown!I$8, Unknown!H23, 9999)</f>
        <v>9999</v>
      </c>
      <c r="E15">
        <f>IF(Unknown!K23&gt;Unknown!K$8, Unknown!J23, 9999)</f>
        <v>9999</v>
      </c>
      <c r="F15">
        <f>IF(Unknown!M23&gt;Unknown!M$8, Unknown!L23, 9999)</f>
        <v>9999</v>
      </c>
    </row>
    <row r="16" spans="1:6">
      <c r="A16">
        <f>IF(Unknown!C24&gt;Unknown!C$8, Unknown!B24, 9999)</f>
        <v>9999</v>
      </c>
      <c r="B16">
        <f>IF(Unknown!E24&gt;Unknown!E$8, Unknown!D24, 9999)</f>
        <v>315.19</v>
      </c>
      <c r="C16">
        <f>IF(Unknown!G24&gt;Unknown!G$8, Unknown!F24, 9999)</f>
        <v>9999</v>
      </c>
      <c r="D16">
        <f>IF(Unknown!I24&gt;Unknown!I$8, Unknown!H24, 9999)</f>
        <v>522.70800720000011</v>
      </c>
      <c r="E16">
        <f>IF(Unknown!K24&gt;Unknown!K$8, Unknown!J24, 9999)</f>
        <v>9999</v>
      </c>
      <c r="F16">
        <f>IF(Unknown!M24&gt;Unknown!M$8, Unknown!L24, 9999)</f>
        <v>9999</v>
      </c>
    </row>
    <row r="17" spans="1:6">
      <c r="A17">
        <f>IF(Unknown!C25&gt;Unknown!C$8, Unknown!B25, 9999)</f>
        <v>9999</v>
      </c>
      <c r="B17">
        <f>IF(Unknown!E25&gt;Unknown!E$8, Unknown!D25, 9999)</f>
        <v>9999</v>
      </c>
      <c r="C17">
        <f>IF(Unknown!G25&gt;Unknown!G$8, Unknown!F25, 9999)</f>
        <v>9999</v>
      </c>
      <c r="D17">
        <f>IF(Unknown!I25&gt;Unknown!I$8, Unknown!H25, 9999)</f>
        <v>9999</v>
      </c>
      <c r="E17">
        <f>IF(Unknown!K25&gt;Unknown!K$8, Unknown!J25, 9999)</f>
        <v>9999</v>
      </c>
      <c r="F17">
        <f>IF(Unknown!M25&gt;Unknown!M$8, Unknown!L25, 9999)</f>
        <v>9999</v>
      </c>
    </row>
    <row r="18" spans="1:6">
      <c r="A18">
        <f>IF(Unknown!C26&gt;Unknown!C$8, Unknown!B26, 9999)</f>
        <v>9999</v>
      </c>
      <c r="B18">
        <f>IF(Unknown!E26&gt;Unknown!E$8, Unknown!D26, 9999)</f>
        <v>343.78</v>
      </c>
      <c r="C18">
        <f>IF(Unknown!G26&gt;Unknown!G$8, Unknown!F26, 9999)</f>
        <v>9999</v>
      </c>
      <c r="D18">
        <f>IF(Unknown!I26&gt;Unknown!I$8, Unknown!H26, 9999)</f>
        <v>9999</v>
      </c>
      <c r="E18">
        <f>IF(Unknown!K26&gt;Unknown!K$8, Unknown!J26, 9999)</f>
        <v>9999</v>
      </c>
      <c r="F18">
        <f>IF(Unknown!M26&gt;Unknown!M$8, Unknown!L26, 9999)</f>
        <v>9999</v>
      </c>
    </row>
    <row r="19" spans="1:6">
      <c r="A19">
        <f>IF(Unknown!C27&gt;Unknown!C$8, Unknown!B27, 9999)</f>
        <v>9999</v>
      </c>
      <c r="B19">
        <f>IF(Unknown!E27&gt;Unknown!E$8, Unknown!D27, 9999)</f>
        <v>360.78</v>
      </c>
      <c r="C19">
        <f>IF(Unknown!G27&gt;Unknown!G$8, Unknown!F27, 9999)</f>
        <v>9999</v>
      </c>
      <c r="D19">
        <f>IF(Unknown!I27&gt;Unknown!I$8, Unknown!H27, 9999)</f>
        <v>9999</v>
      </c>
      <c r="E19">
        <f>IF(Unknown!K27&gt;Unknown!K$8, Unknown!J27, 9999)</f>
        <v>9999</v>
      </c>
      <c r="F19">
        <f>IF(Unknown!M27&gt;Unknown!M$8, Unknown!L27, 9999)</f>
        <v>9999</v>
      </c>
    </row>
    <row r="20" spans="1:6">
      <c r="A20">
        <f>IF(Unknown!C28&gt;Unknown!C$8, Unknown!B28, 9999)</f>
        <v>9999</v>
      </c>
      <c r="B20">
        <f>IF(Unknown!E28&gt;Unknown!E$8, Unknown!D28, 9999)</f>
        <v>365.24</v>
      </c>
      <c r="C20">
        <f>IF(Unknown!G28&gt;Unknown!G$8, Unknown!F28, 9999)</f>
        <v>9999</v>
      </c>
      <c r="D20">
        <f>IF(Unknown!I28&gt;Unknown!I$8, Unknown!H28, 9999)</f>
        <v>9999</v>
      </c>
      <c r="E20">
        <f>IF(Unknown!K28&gt;Unknown!K$8, Unknown!J28, 9999)</f>
        <v>9999</v>
      </c>
      <c r="F20">
        <f>IF(Unknown!M28&gt;Unknown!M$8, Unknown!L28, 9999)</f>
        <v>9999</v>
      </c>
    </row>
    <row r="21" spans="1:6">
      <c r="A21">
        <f>IF(Unknown!C29&gt;Unknown!C$8, Unknown!B29, 9999)</f>
        <v>9999</v>
      </c>
      <c r="B21">
        <f>IF(Unknown!E29&gt;Unknown!E$8, Unknown!D29, 9999)</f>
        <v>387.48</v>
      </c>
      <c r="C21">
        <f>IF(Unknown!G29&gt;Unknown!G$8, Unknown!F29, 9999)</f>
        <v>218.42</v>
      </c>
      <c r="D21">
        <f>IF(Unknown!I29&gt;Unknown!I$8, Unknown!H29, 9999)</f>
        <v>9999</v>
      </c>
      <c r="E21">
        <f>IF(Unknown!K29&gt;Unknown!K$8, Unknown!J29, 9999)</f>
        <v>9999</v>
      </c>
      <c r="F21">
        <f>IF(Unknown!M29&gt;Unknown!M$8, Unknown!L29, 9999)</f>
        <v>9999</v>
      </c>
    </row>
    <row r="22" spans="1:6">
      <c r="A22">
        <f>IF(Unknown!C30&gt;Unknown!C$8, Unknown!B30, 9999)</f>
        <v>9999</v>
      </c>
      <c r="B22">
        <f>IF(Unknown!E30&gt;Unknown!E$8, Unknown!D30, 9999)</f>
        <v>9999</v>
      </c>
      <c r="C22">
        <f>IF(Unknown!G30&gt;Unknown!G$8, Unknown!F30, 9999)</f>
        <v>9999</v>
      </c>
      <c r="D22">
        <f>IF(Unknown!I30&gt;Unknown!I$8, Unknown!H30, 9999)</f>
        <v>9999</v>
      </c>
      <c r="E22">
        <f>IF(Unknown!K30&gt;Unknown!K$8, Unknown!J30, 9999)</f>
        <v>9999</v>
      </c>
      <c r="F22">
        <f>IF(Unknown!M30&gt;Unknown!M$8, Unknown!L30, 9999)</f>
        <v>9999</v>
      </c>
    </row>
    <row r="23" spans="1:6">
      <c r="A23">
        <f>IF(Unknown!C31&gt;Unknown!C$8, Unknown!B31, 9999)</f>
        <v>9999</v>
      </c>
      <c r="B23">
        <f>IF(Unknown!E31&gt;Unknown!E$8, Unknown!D31, 9999)</f>
        <v>9999</v>
      </c>
      <c r="C23">
        <f>IF(Unknown!G31&gt;Unknown!G$8, Unknown!F31, 9999)</f>
        <v>9999</v>
      </c>
      <c r="D23">
        <f>IF(Unknown!I31&gt;Unknown!I$8, Unknown!H31, 9999)</f>
        <v>9999</v>
      </c>
      <c r="E23">
        <f>IF(Unknown!K31&gt;Unknown!K$8, Unknown!J31, 9999)</f>
        <v>9999</v>
      </c>
      <c r="F23">
        <f>IF(Unknown!M31&gt;Unknown!M$8, Unknown!L31, 9999)</f>
        <v>9999</v>
      </c>
    </row>
    <row r="24" spans="1:6">
      <c r="A24">
        <f>IF(Unknown!C32&gt;Unknown!C$8, Unknown!B32, 9999)</f>
        <v>9999</v>
      </c>
      <c r="B24">
        <f>IF(Unknown!E32&gt;Unknown!E$8, Unknown!D32, 9999)</f>
        <v>9999</v>
      </c>
      <c r="C24">
        <f>IF(Unknown!G32&gt;Unknown!G$8, Unknown!F32, 9999)</f>
        <v>247.05</v>
      </c>
      <c r="D24">
        <f>IF(Unknown!I32&gt;Unknown!I$8, Unknown!H32, 9999)</f>
        <v>9999</v>
      </c>
      <c r="E24">
        <f>IF(Unknown!K32&gt;Unknown!K$8, Unknown!J32, 9999)</f>
        <v>9999</v>
      </c>
      <c r="F24">
        <f>IF(Unknown!M32&gt;Unknown!M$8, Unknown!L32, 9999)</f>
        <v>9999</v>
      </c>
    </row>
    <row r="25" spans="1:6">
      <c r="A25">
        <f>IF(Unknown!C33&gt;Unknown!C$8, Unknown!B33, 9999)</f>
        <v>9999</v>
      </c>
      <c r="B25">
        <f>IF(Unknown!E33&gt;Unknown!E$8, Unknown!D33, 9999)</f>
        <v>9999</v>
      </c>
      <c r="C25">
        <f>IF(Unknown!G33&gt;Unknown!G$8, Unknown!F33, 9999)</f>
        <v>9999</v>
      </c>
      <c r="D25">
        <f>IF(Unknown!I33&gt;Unknown!I$8, Unknown!H33, 9999)</f>
        <v>9999</v>
      </c>
      <c r="E25">
        <f>IF(Unknown!K33&gt;Unknown!K$8, Unknown!J33, 9999)</f>
        <v>9999</v>
      </c>
      <c r="F25">
        <f>IF(Unknown!M33&gt;Unknown!M$8, Unknown!L33, 9999)</f>
        <v>9999</v>
      </c>
    </row>
    <row r="26" spans="1:6">
      <c r="A26">
        <f>IF(Unknown!C34&gt;Unknown!C$8, Unknown!B34, 9999)</f>
        <v>9999</v>
      </c>
      <c r="B26">
        <f>IF(Unknown!E34&gt;Unknown!E$8, Unknown!D34, 9999)</f>
        <v>9999</v>
      </c>
      <c r="C26">
        <f>IF(Unknown!G34&gt;Unknown!G$8, Unknown!F34, 9999)</f>
        <v>9999</v>
      </c>
      <c r="D26">
        <f>IF(Unknown!I34&gt;Unknown!I$8, Unknown!H34, 9999)</f>
        <v>9999</v>
      </c>
      <c r="E26">
        <f>IF(Unknown!K34&gt;Unknown!K$8, Unknown!J34, 9999)</f>
        <v>9999</v>
      </c>
      <c r="F26">
        <f>IF(Unknown!M34&gt;Unknown!M$8, Unknown!L34, 9999)</f>
        <v>9999</v>
      </c>
    </row>
    <row r="27" spans="1:6">
      <c r="A27">
        <f>IF(Unknown!C35&gt;Unknown!C$8, Unknown!B35, 9999)</f>
        <v>9999</v>
      </c>
      <c r="B27">
        <f>IF(Unknown!E35&gt;Unknown!E$8, Unknown!D35, 9999)</f>
        <v>9999</v>
      </c>
      <c r="C27">
        <f>IF(Unknown!G35&gt;Unknown!G$8, Unknown!F35, 9999)</f>
        <v>9999</v>
      </c>
      <c r="D27">
        <f>IF(Unknown!I35&gt;Unknown!I$8, Unknown!H35, 9999)</f>
        <v>9999</v>
      </c>
      <c r="E27">
        <f>IF(Unknown!K35&gt;Unknown!K$8, Unknown!J35, 9999)</f>
        <v>9999</v>
      </c>
      <c r="F27">
        <f>IF(Unknown!M35&gt;Unknown!M$8, Unknown!L35, 9999)</f>
        <v>9999</v>
      </c>
    </row>
    <row r="28" spans="1:6">
      <c r="A28">
        <f>IF(Unknown!C36&gt;Unknown!C$8, Unknown!B36, 9999)</f>
        <v>9999</v>
      </c>
      <c r="B28">
        <f>IF(Unknown!E36&gt;Unknown!E$8, Unknown!D36, 9999)</f>
        <v>9999</v>
      </c>
      <c r="C28">
        <f>IF(Unknown!G36&gt;Unknown!G$8, Unknown!F36, 9999)</f>
        <v>9999</v>
      </c>
      <c r="D28">
        <f>IF(Unknown!I36&gt;Unknown!I$8, Unknown!H36, 9999)</f>
        <v>9999</v>
      </c>
      <c r="E28">
        <f>IF(Unknown!K36&gt;Unknown!K$8, Unknown!J36, 9999)</f>
        <v>9999</v>
      </c>
      <c r="F28">
        <f>IF(Unknown!M36&gt;Unknown!M$8, Unknown!L36, 9999)</f>
        <v>9999</v>
      </c>
    </row>
    <row r="29" spans="1:6">
      <c r="A29">
        <f>IF(Unknown!C37&gt;Unknown!C$8, Unknown!B37, 9999)</f>
        <v>9999</v>
      </c>
      <c r="B29">
        <f>IF(Unknown!E37&gt;Unknown!E$8, Unknown!D37, 9999)</f>
        <v>9999</v>
      </c>
      <c r="C29">
        <f>IF(Unknown!G37&gt;Unknown!G$8, Unknown!F37, 9999)</f>
        <v>9999</v>
      </c>
      <c r="D29">
        <f>IF(Unknown!I37&gt;Unknown!I$8, Unknown!H37, 9999)</f>
        <v>9999</v>
      </c>
      <c r="E29">
        <f>IF(Unknown!K37&gt;Unknown!K$8, Unknown!J37, 9999)</f>
        <v>9999</v>
      </c>
      <c r="F29">
        <f>IF(Unknown!M37&gt;Unknown!M$8, Unknown!L37, 9999)</f>
        <v>9999</v>
      </c>
    </row>
    <row r="30" spans="1:6">
      <c r="A30">
        <f>IF(Unknown!C38&gt;Unknown!C$8, Unknown!B38, 9999)</f>
        <v>9999</v>
      </c>
      <c r="B30">
        <f>IF(Unknown!E38&gt;Unknown!E$8, Unknown!D38, 9999)</f>
        <v>9999</v>
      </c>
      <c r="C30">
        <f>IF(Unknown!G38&gt;Unknown!G$8, Unknown!F38, 9999)</f>
        <v>9999</v>
      </c>
      <c r="D30">
        <f>IF(Unknown!I38&gt;Unknown!I$8, Unknown!H38, 9999)</f>
        <v>9999</v>
      </c>
      <c r="E30">
        <f>IF(Unknown!K38&gt;Unknown!K$8, Unknown!J38, 9999)</f>
        <v>9999</v>
      </c>
      <c r="F30">
        <f>IF(Unknown!M38&gt;Unknown!M$8, Unknown!L38, 9999)</f>
        <v>9999</v>
      </c>
    </row>
    <row r="31" spans="1:6">
      <c r="A31">
        <f>IF(Unknown!C39&gt;Unknown!C$8, Unknown!B39, 9999)</f>
        <v>9999</v>
      </c>
      <c r="B31">
        <f>IF(Unknown!E39&gt;Unknown!E$8, Unknown!D39, 9999)</f>
        <v>9999</v>
      </c>
      <c r="C31">
        <f>IF(Unknown!G39&gt;Unknown!G$8, Unknown!F39, 9999)</f>
        <v>9999</v>
      </c>
      <c r="D31">
        <f>IF(Unknown!I39&gt;Unknown!I$8, Unknown!H39, 9999)</f>
        <v>9999</v>
      </c>
      <c r="E31">
        <f>IF(Unknown!K39&gt;Unknown!K$8, Unknown!J39, 9999)</f>
        <v>9999</v>
      </c>
      <c r="F31">
        <f>IF(Unknown!M39&gt;Unknown!M$8, Unknown!L39, 9999)</f>
        <v>9999</v>
      </c>
    </row>
    <row r="32" spans="1:6">
      <c r="A32">
        <f>IF(Unknown!C40&gt;Unknown!C$8, Unknown!B40, 9999)</f>
        <v>9999</v>
      </c>
      <c r="B32">
        <f>IF(Unknown!E40&gt;Unknown!E$8, Unknown!D40, 9999)</f>
        <v>9999</v>
      </c>
      <c r="C32">
        <f>IF(Unknown!G40&gt;Unknown!G$8, Unknown!F40, 9999)</f>
        <v>9999</v>
      </c>
      <c r="D32">
        <f>IF(Unknown!I40&gt;Unknown!I$8, Unknown!H40, 9999)</f>
        <v>9999</v>
      </c>
      <c r="E32">
        <f>IF(Unknown!K40&gt;Unknown!K$8, Unknown!J40, 9999)</f>
        <v>9999</v>
      </c>
      <c r="F32">
        <f>IF(Unknown!M40&gt;Unknown!M$8, Unknown!L40, 9999)</f>
        <v>9999</v>
      </c>
    </row>
    <row r="33" spans="1:6">
      <c r="A33">
        <f>IF(Unknown!C41&gt;Unknown!C$8, Unknown!B41, 9999)</f>
        <v>9999</v>
      </c>
      <c r="B33">
        <f>IF(Unknown!E41&gt;Unknown!E$8, Unknown!D41, 9999)</f>
        <v>9999</v>
      </c>
      <c r="C33">
        <f>IF(Unknown!G41&gt;Unknown!G$8, Unknown!F41, 9999)</f>
        <v>9999</v>
      </c>
      <c r="D33">
        <f>IF(Unknown!I41&gt;Unknown!I$8, Unknown!H41, 9999)</f>
        <v>9999</v>
      </c>
      <c r="E33">
        <f>IF(Unknown!K41&gt;Unknown!K$8, Unknown!J41, 9999)</f>
        <v>9999</v>
      </c>
      <c r="F33">
        <f>IF(Unknown!M41&gt;Unknown!M$8, Unknown!L41, 9999)</f>
        <v>9999</v>
      </c>
    </row>
    <row r="34" spans="1:6">
      <c r="A34">
        <f>IF(Unknown!C42&gt;Unknown!C$8, Unknown!B42, 9999)</f>
        <v>9999</v>
      </c>
      <c r="B34">
        <f>IF(Unknown!E42&gt;Unknown!E$8, Unknown!D42, 9999)</f>
        <v>9999</v>
      </c>
      <c r="C34">
        <f>IF(Unknown!G42&gt;Unknown!G$8, Unknown!F42, 9999)</f>
        <v>9999</v>
      </c>
      <c r="D34">
        <f>IF(Unknown!I42&gt;Unknown!I$8, Unknown!H42, 9999)</f>
        <v>9999</v>
      </c>
      <c r="E34">
        <f>IF(Unknown!K42&gt;Unknown!K$8, Unknown!J42, 9999)</f>
        <v>9999</v>
      </c>
      <c r="F34">
        <f>IF(Unknown!M42&gt;Unknown!M$8, Unknown!L42, 9999)</f>
        <v>9999</v>
      </c>
    </row>
    <row r="35" spans="1:6">
      <c r="A35">
        <f>IF(Unknown!C43&gt;Unknown!C$8, Unknown!B43, 9999)</f>
        <v>9999</v>
      </c>
      <c r="B35">
        <f>IF(Unknown!E43&gt;Unknown!E$8, Unknown!D43, 9999)</f>
        <v>9999</v>
      </c>
      <c r="C35">
        <f>IF(Unknown!G43&gt;Unknown!G$8, Unknown!F43, 9999)</f>
        <v>9999</v>
      </c>
      <c r="D35">
        <f>IF(Unknown!I43&gt;Unknown!I$8, Unknown!H43, 9999)</f>
        <v>9999</v>
      </c>
      <c r="E35">
        <f>IF(Unknown!K43&gt;Unknown!K$8, Unknown!J43, 9999)</f>
        <v>9999</v>
      </c>
      <c r="F35">
        <f>IF(Unknown!M43&gt;Unknown!M$8, Unknown!L43, 9999)</f>
        <v>9999</v>
      </c>
    </row>
    <row r="36" spans="1:6">
      <c r="A36">
        <f>IF(Unknown!C44&gt;Unknown!C$8, Unknown!B44, 9999)</f>
        <v>9999</v>
      </c>
      <c r="B36">
        <f>IF(Unknown!E44&gt;Unknown!E$8, Unknown!D44, 9999)</f>
        <v>9999</v>
      </c>
      <c r="C36">
        <f>IF(Unknown!G44&gt;Unknown!G$8, Unknown!F44, 9999)</f>
        <v>9999</v>
      </c>
      <c r="D36">
        <f>IF(Unknown!I44&gt;Unknown!I$8, Unknown!H44, 9999)</f>
        <v>9999</v>
      </c>
      <c r="E36">
        <f>IF(Unknown!K44&gt;Unknown!K$8, Unknown!J44, 9999)</f>
        <v>9999</v>
      </c>
      <c r="F36">
        <f>IF(Unknown!M44&gt;Unknown!M$8, Unknown!L44, 9999)</f>
        <v>9999</v>
      </c>
    </row>
    <row r="37" spans="1:6">
      <c r="A37">
        <f>IF(Unknown!C45&gt;Unknown!C$8, Unknown!B45, 9999)</f>
        <v>9999</v>
      </c>
      <c r="B37">
        <f>IF(Unknown!E45&gt;Unknown!E$8, Unknown!D45, 9999)</f>
        <v>9999</v>
      </c>
      <c r="C37">
        <f>IF(Unknown!G45&gt;Unknown!G$8, Unknown!F45, 9999)</f>
        <v>9999</v>
      </c>
      <c r="D37">
        <f>IF(Unknown!I45&gt;Unknown!I$8, Unknown!H45, 9999)</f>
        <v>9999</v>
      </c>
      <c r="E37">
        <f>IF(Unknown!K45&gt;Unknown!K$8, Unknown!J45, 9999)</f>
        <v>9999</v>
      </c>
      <c r="F37">
        <f>IF(Unknown!M45&gt;Unknown!M$8, Unknown!L45, 9999)</f>
        <v>9999</v>
      </c>
    </row>
    <row r="38" spans="1:6">
      <c r="A38">
        <f>IF(Unknown!C46&gt;Unknown!C$8, Unknown!B46, 9999)</f>
        <v>343.24</v>
      </c>
      <c r="B38">
        <f>IF(Unknown!E46&gt;Unknown!E$8, Unknown!D46, 9999)</f>
        <v>9999</v>
      </c>
      <c r="C38">
        <f>IF(Unknown!G46&gt;Unknown!G$8, Unknown!F46, 9999)</f>
        <v>9999</v>
      </c>
      <c r="D38">
        <f>IF(Unknown!I46&gt;Unknown!I$8, Unknown!H46, 9999)</f>
        <v>9999</v>
      </c>
      <c r="E38">
        <f>IF(Unknown!K46&gt;Unknown!K$8, Unknown!J46, 9999)</f>
        <v>9999</v>
      </c>
      <c r="F38">
        <f>IF(Unknown!M46&gt;Unknown!M$8, Unknown!L46, 9999)</f>
        <v>9999</v>
      </c>
    </row>
    <row r="39" spans="1:6">
      <c r="A39">
        <f>IF(Unknown!C47&gt;Unknown!C$8, Unknown!B47, 9999)</f>
        <v>9999</v>
      </c>
      <c r="B39">
        <f>IF(Unknown!E47&gt;Unknown!E$8, Unknown!D47, 9999)</f>
        <v>9999</v>
      </c>
      <c r="C39">
        <f>IF(Unknown!G47&gt;Unknown!G$8, Unknown!F47, 9999)</f>
        <v>9999</v>
      </c>
      <c r="D39">
        <f>IF(Unknown!I47&gt;Unknown!I$8, Unknown!H47, 9999)</f>
        <v>9999</v>
      </c>
      <c r="E39">
        <f>IF(Unknown!K47&gt;Unknown!K$8, Unknown!J47, 9999)</f>
        <v>9999</v>
      </c>
      <c r="F39">
        <f>IF(Unknown!M47&gt;Unknown!M$8, Unknown!L47, 9999)</f>
        <v>9999</v>
      </c>
    </row>
    <row r="40" spans="1:6">
      <c r="A40">
        <f>IF(Unknown!C48&gt;Unknown!C$8, Unknown!B48, 9999)</f>
        <v>387.22</v>
      </c>
      <c r="B40">
        <f>IF(Unknown!E48&gt;Unknown!E$8, Unknown!D48, 9999)</f>
        <v>9999</v>
      </c>
      <c r="C40">
        <f>IF(Unknown!G48&gt;Unknown!G$8, Unknown!F48, 9999)</f>
        <v>9999</v>
      </c>
      <c r="D40">
        <f>IF(Unknown!I48&gt;Unknown!I$8, Unknown!H48, 9999)</f>
        <v>9999</v>
      </c>
      <c r="E40">
        <f>IF(Unknown!K48&gt;Unknown!K$8, Unknown!J48, 9999)</f>
        <v>9999</v>
      </c>
      <c r="F40">
        <f>IF(Unknown!M48&gt;Unknown!M$8, Unknown!L48, 9999)</f>
        <v>9999</v>
      </c>
    </row>
    <row r="41" spans="1:6">
      <c r="A41">
        <f>IF(Unknown!C49&gt;Unknown!C$8, Unknown!B49, 9999)</f>
        <v>9999</v>
      </c>
      <c r="B41">
        <f>IF(Unknown!E49&gt;Unknown!E$8, Unknown!D49, 9999)</f>
        <v>9999</v>
      </c>
      <c r="C41">
        <f>IF(Unknown!G49&gt;Unknown!G$8, Unknown!F49, 9999)</f>
        <v>9999</v>
      </c>
      <c r="D41">
        <f>IF(Unknown!I49&gt;Unknown!I$8, Unknown!H49, 9999)</f>
        <v>9999</v>
      </c>
      <c r="E41">
        <f>IF(Unknown!K49&gt;Unknown!K$8, Unknown!J49, 9999)</f>
        <v>9999</v>
      </c>
      <c r="F41">
        <f>IF(Unknown!M49&gt;Unknown!M$8, Unknown!L49, 9999)</f>
        <v>9999</v>
      </c>
    </row>
    <row r="42" spans="1:6">
      <c r="A42">
        <f>IF(Unknown!C50&gt;Unknown!C$8, Unknown!B50, 9999)</f>
        <v>9999</v>
      </c>
      <c r="B42">
        <f>IF(Unknown!E50&gt;Unknown!E$8, Unknown!D50, 9999)</f>
        <v>9999</v>
      </c>
      <c r="C42">
        <f>IF(Unknown!G50&gt;Unknown!G$8, Unknown!F50, 9999)</f>
        <v>9999</v>
      </c>
      <c r="D42">
        <f>IF(Unknown!I50&gt;Unknown!I$8, Unknown!H50, 9999)</f>
        <v>9999</v>
      </c>
      <c r="E42">
        <f>IF(Unknown!K50&gt;Unknown!K$8, Unknown!J50, 9999)</f>
        <v>9999</v>
      </c>
      <c r="F42">
        <f>IF(Unknown!M50&gt;Unknown!M$8, Unknown!L50, 9999)</f>
        <v>9999</v>
      </c>
    </row>
    <row r="43" spans="1:6">
      <c r="A43">
        <f>IF(Unknown!C51&gt;Unknown!C$8, Unknown!B51, 9999)</f>
        <v>9999</v>
      </c>
      <c r="B43">
        <f>IF(Unknown!E51&gt;Unknown!E$8, Unknown!D51, 9999)</f>
        <v>9999</v>
      </c>
      <c r="C43">
        <f>IF(Unknown!G51&gt;Unknown!G$8, Unknown!F51, 9999)</f>
        <v>9999</v>
      </c>
      <c r="D43">
        <f>IF(Unknown!I51&gt;Unknown!I$8, Unknown!H51, 9999)</f>
        <v>9999</v>
      </c>
      <c r="E43">
        <f>IF(Unknown!K51&gt;Unknown!K$8, Unknown!J51, 9999)</f>
        <v>9999</v>
      </c>
      <c r="F43">
        <f>IF(Unknown!M51&gt;Unknown!M$8, Unknown!L51, 9999)</f>
        <v>9999</v>
      </c>
    </row>
    <row r="44" spans="1:6">
      <c r="A44">
        <f>IF(Unknown!C52&gt;Unknown!C$8, Unknown!B52, 9999)</f>
        <v>9999</v>
      </c>
      <c r="B44">
        <f>IF(Unknown!E52&gt;Unknown!E$8, Unknown!D52, 9999)</f>
        <v>9999</v>
      </c>
      <c r="C44">
        <f>IF(Unknown!G52&gt;Unknown!G$8, Unknown!F52, 9999)</f>
        <v>9999</v>
      </c>
      <c r="D44">
        <f>IF(Unknown!I52&gt;Unknown!I$8, Unknown!H52, 9999)</f>
        <v>9999</v>
      </c>
      <c r="E44">
        <f>IF(Unknown!K52&gt;Unknown!K$8, Unknown!J52, 9999)</f>
        <v>9999</v>
      </c>
      <c r="F44">
        <f>IF(Unknown!M52&gt;Unknown!M$8, Unknown!L52, 9999)</f>
        <v>9999</v>
      </c>
    </row>
    <row r="45" spans="1:6">
      <c r="A45">
        <f>IF(Unknown!C53&gt;Unknown!C$8, Unknown!B53, 9999)</f>
        <v>9999</v>
      </c>
      <c r="B45">
        <f>IF(Unknown!E53&gt;Unknown!E$8, Unknown!D53, 9999)</f>
        <v>9999</v>
      </c>
      <c r="C45">
        <f>IF(Unknown!G53&gt;Unknown!G$8, Unknown!F53, 9999)</f>
        <v>9999</v>
      </c>
      <c r="D45">
        <f>IF(Unknown!I53&gt;Unknown!I$8, Unknown!H53, 9999)</f>
        <v>9999</v>
      </c>
      <c r="E45">
        <f>IF(Unknown!K53&gt;Unknown!K$8, Unknown!J53, 9999)</f>
        <v>9999</v>
      </c>
      <c r="F45">
        <f>IF(Unknown!M53&gt;Unknown!M$8, Unknown!L53, 9999)</f>
        <v>9999</v>
      </c>
    </row>
    <row r="46" spans="1:6">
      <c r="A46">
        <f>IF(Unknown!C54&gt;Unknown!C$8, Unknown!B54, 9999)</f>
        <v>9999</v>
      </c>
      <c r="B46">
        <f>IF(Unknown!E54&gt;Unknown!E$8, Unknown!D54, 9999)</f>
        <v>9999</v>
      </c>
      <c r="C46">
        <f>IF(Unknown!G54&gt;Unknown!G$8, Unknown!F54, 9999)</f>
        <v>9999</v>
      </c>
      <c r="D46">
        <f>IF(Unknown!I54&gt;Unknown!I$8, Unknown!H54, 9999)</f>
        <v>9999</v>
      </c>
      <c r="E46">
        <f>IF(Unknown!K54&gt;Unknown!K$8, Unknown!J54, 9999)</f>
        <v>9999</v>
      </c>
      <c r="F46">
        <f>IF(Unknown!M54&gt;Unknown!M$8, Unknown!L54, 9999)</f>
        <v>9999</v>
      </c>
    </row>
    <row r="47" spans="1:6">
      <c r="A47">
        <f>IF(Unknown!C55&gt;Unknown!C$8, Unknown!B55, 9999)</f>
        <v>9999</v>
      </c>
      <c r="B47">
        <f>IF(Unknown!E55&gt;Unknown!E$8, Unknown!D55, 9999)</f>
        <v>9999</v>
      </c>
      <c r="C47">
        <f>IF(Unknown!G55&gt;Unknown!G$8, Unknown!F55, 9999)</f>
        <v>9999</v>
      </c>
      <c r="D47">
        <f>IF(Unknown!I55&gt;Unknown!I$8, Unknown!H55, 9999)</f>
        <v>9999</v>
      </c>
      <c r="E47">
        <f>IF(Unknown!K55&gt;Unknown!K$8, Unknown!J55, 9999)</f>
        <v>9999</v>
      </c>
      <c r="F47">
        <f>IF(Unknown!M55&gt;Unknown!M$8, Unknown!L55, 9999)</f>
        <v>9999</v>
      </c>
    </row>
    <row r="48" spans="1:6">
      <c r="A48">
        <f>IF(Unknown!C56&gt;Unknown!C$8, Unknown!B56, 9999)</f>
        <v>9999</v>
      </c>
      <c r="B48">
        <f>IF(Unknown!E56&gt;Unknown!E$8, Unknown!D56, 9999)</f>
        <v>9999</v>
      </c>
      <c r="C48">
        <f>IF(Unknown!G56&gt;Unknown!G$8, Unknown!F56, 9999)</f>
        <v>9999</v>
      </c>
      <c r="D48">
        <f>IF(Unknown!I56&gt;Unknown!I$8, Unknown!H56, 9999)</f>
        <v>9999</v>
      </c>
      <c r="E48">
        <f>IF(Unknown!K56&gt;Unknown!K$8, Unknown!J56, 9999)</f>
        <v>9999</v>
      </c>
      <c r="F48">
        <f>IF(Unknown!M56&gt;Unknown!M$8, Unknown!L56, 9999)</f>
        <v>9999</v>
      </c>
    </row>
    <row r="49" spans="1:6">
      <c r="A49">
        <f>IF(Unknown!C57&gt;Unknown!C$8, Unknown!B57, 9999)</f>
        <v>9999</v>
      </c>
      <c r="B49">
        <f>IF(Unknown!E57&gt;Unknown!E$8, Unknown!D57, 9999)</f>
        <v>9999</v>
      </c>
      <c r="C49">
        <f>IF(Unknown!G57&gt;Unknown!G$8, Unknown!F57, 9999)</f>
        <v>9999</v>
      </c>
      <c r="D49">
        <f>IF(Unknown!I57&gt;Unknown!I$8, Unknown!H57, 9999)</f>
        <v>9999</v>
      </c>
      <c r="E49">
        <f>IF(Unknown!K57&gt;Unknown!K$8, Unknown!J57, 9999)</f>
        <v>9999</v>
      </c>
      <c r="F49">
        <f>IF(Unknown!M57&gt;Unknown!M$8, Unknown!L57, 9999)</f>
        <v>9999</v>
      </c>
    </row>
    <row r="50" spans="1:6">
      <c r="A50">
        <f>IF(Unknown!C58&gt;Unknown!C$8, Unknown!B58, 9999)</f>
        <v>9999</v>
      </c>
      <c r="B50">
        <f>IF(Unknown!E58&gt;Unknown!E$8, Unknown!D58, 9999)</f>
        <v>9999</v>
      </c>
      <c r="C50">
        <f>IF(Unknown!G58&gt;Unknown!G$8, Unknown!F58, 9999)</f>
        <v>9999</v>
      </c>
      <c r="D50">
        <f>IF(Unknown!I58&gt;Unknown!I$8, Unknown!H58, 9999)</f>
        <v>9999</v>
      </c>
      <c r="E50">
        <f>IF(Unknown!K58&gt;Unknown!K$8, Unknown!J58, 9999)</f>
        <v>9999</v>
      </c>
      <c r="F50">
        <f>IF(Unknown!M58&gt;Unknown!M$8, Unknown!L58, 9999)</f>
        <v>9999</v>
      </c>
    </row>
    <row r="51" spans="1:6">
      <c r="A51">
        <f>IF(Unknown!C59&gt;Unknown!C$8, Unknown!B59, 9999)</f>
        <v>9999</v>
      </c>
      <c r="B51">
        <f>IF(Unknown!E59&gt;Unknown!E$8, Unknown!D59, 9999)</f>
        <v>9999</v>
      </c>
      <c r="C51">
        <f>IF(Unknown!G59&gt;Unknown!G$8, Unknown!F59, 9999)</f>
        <v>9999</v>
      </c>
      <c r="D51">
        <f>IF(Unknown!I59&gt;Unknown!I$8, Unknown!H59, 9999)</f>
        <v>9999</v>
      </c>
      <c r="E51">
        <f>IF(Unknown!K59&gt;Unknown!K$8, Unknown!J59, 9999)</f>
        <v>9999</v>
      </c>
      <c r="F51">
        <f>IF(Unknown!M59&gt;Unknown!M$8, Unknown!L59, 9999)</f>
        <v>9999</v>
      </c>
    </row>
  </sheetData>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201"/>
  <sheetViews>
    <sheetView workbookViewId="0">
      <selection activeCell="F28" sqref="F28"/>
    </sheetView>
  </sheetViews>
  <sheetFormatPr defaultColWidth="8.81640625" defaultRowHeight="12.5"/>
  <cols>
    <col min="1" max="1" width="27" bestFit="1" customWidth="1"/>
    <col min="2" max="2" width="9.36328125" bestFit="1" customWidth="1"/>
    <col min="3" max="3" width="10.36328125" bestFit="1" customWidth="1"/>
    <col min="4" max="5" width="10" bestFit="1" customWidth="1"/>
    <col min="6" max="7" width="10" customWidth="1"/>
  </cols>
  <sheetData>
    <row r="1" spans="1:7">
      <c r="A1" t="s">
        <v>48</v>
      </c>
      <c r="B1" t="str">
        <f>Parameters!B6</f>
        <v>Hinf1-ITS4</v>
      </c>
      <c r="C1" t="str">
        <f>Parameters!C6</f>
        <v>Hinf1-ITS1F</v>
      </c>
      <c r="D1" t="str">
        <f>Parameters!D6</f>
        <v>HaeIII-ITS4</v>
      </c>
      <c r="E1" t="str">
        <f>Parameters!E6</f>
        <v>HaeIII-ITS1</v>
      </c>
      <c r="F1" t="str">
        <f>Parameters!F6</f>
        <v>DpnII-ITS4</v>
      </c>
      <c r="G1" t="str">
        <f>Parameters!G6</f>
        <v>(none)</v>
      </c>
    </row>
    <row r="2" spans="1:7">
      <c r="A2" t="str">
        <f>Knowns!A2</f>
        <v>Amanita brunnescens</v>
      </c>
      <c r="B2">
        <f t="array" ref="B2">IF(Knowns!B2&lt;&gt;"",IF(MIN('Clean Unknown'!A$2:A$52) &lt; 9999,MIN(ABS(Knowns!B2-'Clean Unknown'!A$2:A$52)),""),"")</f>
        <v>23.340000000000032</v>
      </c>
      <c r="C2">
        <f t="array" ref="C2">IF(Knowns!C2&lt;&gt;"",IF(MIN('Clean Unknown'!B$2:B$52) &lt; 9999,MIN(ABS(Knowns!C2-'Clean Unknown'!B$2:B$52)),""),"")</f>
        <v>27.319999999999993</v>
      </c>
      <c r="D2">
        <f t="array" ref="D2">IF(Knowns!D2&lt;&gt;"",IF(MIN('Clean Unknown'!C$2:C$52) &lt; 9999,MIN(ABS(Knowns!D2-'Clean Unknown'!C$2:C$52)),""),"")</f>
        <v>444.84999999999997</v>
      </c>
      <c r="E2">
        <f t="array" ref="E2">IF(Knowns!E2&lt;&gt;"",IF(MIN('Clean Unknown'!D$2:D$52) &lt; 9999,MIN(ABS(Knowns!E2-'Clean Unknown'!D$2:D$52)),""),"")</f>
        <v>174.09199279999984</v>
      </c>
      <c r="F2" t="str">
        <f t="array" ref="F2">IF(Knowns!F2&lt;&gt;"",IF(MIN('Clean Unknown'!E$2:E$52) &lt; 9999,MIN(ABS(Knowns!F2-'Clean Unknown'!E$2:E$52)),""),"")</f>
        <v/>
      </c>
      <c r="G2" t="str">
        <f t="array" ref="G2">IF(Knowns!G2&lt;&gt;"",IF(MIN('Clean Unknown'!F$2:F$52) &lt; 9999,MIN(ABS(Knowns!G2-'Clean Unknown'!F$2:F$52)),""),"")</f>
        <v/>
      </c>
    </row>
    <row r="3" spans="1:7">
      <c r="A3" t="str">
        <f>Knowns!A3</f>
        <v>Amanita vaginata</v>
      </c>
      <c r="B3">
        <f t="array" ref="B3">IF(Knowns!B3&lt;&gt;"",IF(MIN('Clean Unknown'!A$2:A$52) &lt; 9999,MIN(ABS(Knowns!B3-'Clean Unknown'!A$2:A$52)),""),"")</f>
        <v>76.44</v>
      </c>
      <c r="C3">
        <f t="array" ref="C3">IF(Knowns!C3&lt;&gt;"",IF(MIN('Clean Unknown'!B$2:B$52) &lt; 9999,MIN(ABS(Knowns!C3-'Clean Unknown'!B$2:B$52)),""),"")</f>
        <v>8.0799999999999841</v>
      </c>
      <c r="D3">
        <f t="array" ref="D3">IF(Knowns!D3&lt;&gt;"",IF(MIN('Clean Unknown'!C$2:C$52) &lt; 9999,MIN(ABS(Knowns!D3-'Clean Unknown'!C$2:C$52)),""),"")</f>
        <v>2.4099999999999966</v>
      </c>
      <c r="E3">
        <f t="array" ref="E3">IF(Knowns!E3&lt;&gt;"",IF(MIN('Clean Unknown'!D$2:D$52) &lt; 9999,MIN(ABS(Knowns!E3-'Clean Unknown'!D$2:D$52)),""),"")</f>
        <v>5.230000000000004</v>
      </c>
      <c r="F3" t="str">
        <f t="array" ref="F3">IF(Knowns!F3&lt;&gt;"",IF(MIN('Clean Unknown'!E$2:E$52) &lt; 9999,MIN(ABS(Knowns!F3-'Clean Unknown'!E$2:E$52)),""),"")</f>
        <v/>
      </c>
      <c r="G3" t="str">
        <f t="array" ref="G3">IF(Knowns!G3&lt;&gt;"",IF(MIN('Clean Unknown'!F$2:F$52) &lt; 9999,MIN(ABS(Knowns!G3-'Clean Unknown'!F$2:F$52)),""),"")</f>
        <v/>
      </c>
    </row>
    <row r="4" spans="1:7">
      <c r="A4" t="str">
        <f>Knowns!A4</f>
        <v>Amanita citrina</v>
      </c>
      <c r="B4">
        <f t="array" ref="B4">IF(Knowns!B4&lt;&gt;"",IF(MIN('Clean Unknown'!A$2:A$52) &lt; 9999,MIN(ABS(Knowns!B4-'Clean Unknown'!A$2:A$52)),""),"")</f>
        <v>18.639999999999986</v>
      </c>
      <c r="C4">
        <f t="array" ref="C4">IF(Knowns!C4&lt;&gt;"",IF(MIN('Clean Unknown'!B$2:B$52) &lt; 9999,MIN(ABS(Knowns!C4-'Clean Unknown'!B$2:B$52)),""),"")</f>
        <v>16.439999999999998</v>
      </c>
      <c r="D4">
        <f t="array" ref="D4">IF(Knowns!D4&lt;&gt;"",IF(MIN('Clean Unknown'!C$2:C$52) &lt; 9999,MIN(ABS(Knowns!D4-'Clean Unknown'!C$2:C$52)),""),"")</f>
        <v>445.45</v>
      </c>
      <c r="E4">
        <f t="array" ref="E4">IF(Knowns!E4&lt;&gt;"",IF(MIN('Clean Unknown'!D$2:D$52) &lt; 9999,MIN(ABS(Knowns!E4-'Clean Unknown'!D$2:D$52)),""),"")</f>
        <v>177.79199279999989</v>
      </c>
      <c r="F4" t="str">
        <f t="array" ref="F4">IF(Knowns!F4&lt;&gt;"",IF(MIN('Clean Unknown'!E$2:E$52) &lt; 9999,MIN(ABS(Knowns!F4-'Clean Unknown'!E$2:E$52)),""),"")</f>
        <v/>
      </c>
      <c r="G4" t="str">
        <f t="array" ref="G4">IF(Knowns!G4&lt;&gt;"",IF(MIN('Clean Unknown'!F$2:F$52) &lt; 9999,MIN(ABS(Knowns!G4-'Clean Unknown'!F$2:F$52)),""),"")</f>
        <v/>
      </c>
    </row>
    <row r="5" spans="1:7">
      <c r="A5" t="str">
        <f>Knowns!A5</f>
        <v>Amanita flavoconia</v>
      </c>
      <c r="B5">
        <f t="array" ref="B5">IF(Knowns!B5&lt;&gt;"",IF(MIN('Clean Unknown'!A$2:A$52) &lt; 9999,MIN(ABS(Knowns!B5-'Clean Unknown'!A$2:A$52)),""),"")</f>
        <v>24.54000000000002</v>
      </c>
      <c r="C5">
        <f t="array" ref="C5">IF(Knowns!C5&lt;&gt;"",IF(MIN('Clean Unknown'!B$2:B$52) &lt; 9999,MIN(ABS(Knowns!C5-'Clean Unknown'!B$2:B$52)),""),"")</f>
        <v>3.1200000000000045</v>
      </c>
      <c r="D5">
        <f t="array" ref="D5">IF(Knowns!D5&lt;&gt;"",IF(MIN('Clean Unknown'!C$2:C$52) &lt; 9999,MIN(ABS(Knowns!D5-'Clean Unknown'!C$2:C$52)),""),"")</f>
        <v>428.65000000000003</v>
      </c>
      <c r="E5">
        <f t="array" ref="E5">IF(Knowns!E5&lt;&gt;"",IF(MIN('Clean Unknown'!D$2:D$52) &lt; 9999,MIN(ABS(Knowns!E5-'Clean Unknown'!D$2:D$52)),""),"")</f>
        <v>159.59199279999984</v>
      </c>
      <c r="F5" t="str">
        <f t="array" ref="F5">IF(Knowns!F5&lt;&gt;"",IF(MIN('Clean Unknown'!E$2:E$52) &lt; 9999,MIN(ABS(Knowns!F5-'Clean Unknown'!E$2:E$52)),""),"")</f>
        <v/>
      </c>
      <c r="G5" t="str">
        <f t="array" ref="G5">IF(Knowns!G5&lt;&gt;"",IF(MIN('Clean Unknown'!F$2:F$52) &lt; 9999,MIN(ABS(Knowns!G5-'Clean Unknown'!F$2:F$52)),""),"")</f>
        <v/>
      </c>
    </row>
    <row r="6" spans="1:7">
      <c r="A6" t="str">
        <f>Knowns!A6</f>
        <v>Amanita muscaria var. formosa</v>
      </c>
      <c r="B6">
        <f t="array" ref="B6">IF(Knowns!B6&lt;&gt;"",IF(MIN('Clean Unknown'!A$2:A$52) &lt; 9999,MIN(ABS(Knowns!B6-'Clean Unknown'!A$2:A$52)),""),"")</f>
        <v>0.45999999999997954</v>
      </c>
      <c r="C6">
        <f t="array" ref="C6">IF(Knowns!C6&lt;&gt;"",IF(MIN('Clean Unknown'!B$2:B$52) &lt; 9999,MIN(ABS(Knowns!C6-'Clean Unknown'!B$2:B$52)),""),"")</f>
        <v>6.4799999999999613</v>
      </c>
      <c r="D6" t="str">
        <f t="array" ref="D6">IF(Knowns!D6&lt;&gt;"",IF(MIN('Clean Unknown'!C$2:C$52) &lt; 9999,MIN(ABS(Knowns!D6-'Clean Unknown'!C$2:C$52)),""),"")</f>
        <v/>
      </c>
      <c r="E6">
        <f t="array" ref="E6">IF(Knowns!E6&lt;&gt;"",IF(MIN('Clean Unknown'!D$2:D$52) &lt; 9999,MIN(ABS(Knowns!E6-'Clean Unknown'!D$2:D$52)),""),"")</f>
        <v>3.8199999999999932</v>
      </c>
      <c r="F6" t="str">
        <f t="array" ref="F6">IF(Knowns!F6&lt;&gt;"",IF(MIN('Clean Unknown'!E$2:E$52) &lt; 9999,MIN(ABS(Knowns!F6-'Clean Unknown'!E$2:E$52)),""),"")</f>
        <v/>
      </c>
      <c r="G6" t="str">
        <f t="array" ref="G6">IF(Knowns!G6&lt;&gt;"",IF(MIN('Clean Unknown'!F$2:F$52) &lt; 9999,MIN(ABS(Knowns!G6-'Clean Unknown'!F$2:F$52)),""),"")</f>
        <v/>
      </c>
    </row>
    <row r="7" spans="1:7">
      <c r="A7" t="str">
        <f>Knowns!A7</f>
        <v>Amanita rubescens</v>
      </c>
      <c r="B7">
        <f t="array" ref="B7">IF(Knowns!B7&lt;&gt;"",IF(MIN('Clean Unknown'!A$2:A$52) &lt; 9999,MIN(ABS(Knowns!B7-'Clean Unknown'!A$2:A$52)),""),"")</f>
        <v>25.740000000000009</v>
      </c>
      <c r="C7">
        <f t="array" ref="C7">IF(Knowns!C7&lt;&gt;"",IF(MIN('Clean Unknown'!B$2:B$52) &lt; 9999,MIN(ABS(Knowns!C7-'Clean Unknown'!B$2:B$52)),""),"")</f>
        <v>18.71999999999997</v>
      </c>
      <c r="D7">
        <f t="array" ref="D7">IF(Knowns!D7&lt;&gt;"",IF(MIN('Clean Unknown'!C$2:C$52) &lt; 9999,MIN(ABS(Knowns!D7-'Clean Unknown'!C$2:C$52)),""),"")</f>
        <v>485.55</v>
      </c>
      <c r="E7">
        <f t="array" ref="E7">IF(Knowns!E7&lt;&gt;"",IF(MIN('Clean Unknown'!D$2:D$52) &lt; 9999,MIN(ABS(Knowns!E7-'Clean Unknown'!D$2:D$52)),""),"")</f>
        <v>219.59199279999984</v>
      </c>
      <c r="F7" t="str">
        <f t="array" ref="F7">IF(Knowns!F7&lt;&gt;"",IF(MIN('Clean Unknown'!E$2:E$52) &lt; 9999,MIN(ABS(Knowns!F7-'Clean Unknown'!E$2:E$52)),""),"")</f>
        <v/>
      </c>
      <c r="G7" t="str">
        <f t="array" ref="G7">IF(Knowns!G7&lt;&gt;"",IF(MIN('Clean Unknown'!F$2:F$52) &lt; 9999,MIN(ABS(Knowns!G7-'Clean Unknown'!F$2:F$52)),""),"")</f>
        <v/>
      </c>
    </row>
    <row r="8" spans="1:7">
      <c r="A8" t="str">
        <f>Knowns!A8</f>
        <v>Amanita sp.</v>
      </c>
      <c r="B8">
        <f t="array" ref="B8">IF(Knowns!B8&lt;&gt;"",IF(MIN('Clean Unknown'!A$2:A$52) &lt; 9999,MIN(ABS(Knowns!B8-'Clean Unknown'!A$2:A$52)),""),"")</f>
        <v>57.740000000000009</v>
      </c>
      <c r="C8">
        <f t="array" ref="C8">IF(Knowns!C8&lt;&gt;"",IF(MIN('Clean Unknown'!B$2:B$52) &lt; 9999,MIN(ABS(Knowns!C8-'Clean Unknown'!B$2:B$52)),""),"")</f>
        <v>10.009999999999991</v>
      </c>
      <c r="D8">
        <f t="array" ref="D8">IF(Knowns!D8&lt;&gt;"",IF(MIN('Clean Unknown'!C$2:C$52) &lt; 9999,MIN(ABS(Knowns!D8-'Clean Unknown'!C$2:C$52)),""),"")</f>
        <v>272.95</v>
      </c>
      <c r="E8">
        <f t="array" ref="E8">IF(Knowns!E8&lt;&gt;"",IF(MIN('Clean Unknown'!D$2:D$52) &lt; 9999,MIN(ABS(Knowns!E8-'Clean Unknown'!D$2:D$52)),""),"")</f>
        <v>5.2199999999999989</v>
      </c>
      <c r="F8" t="str">
        <f t="array" ref="F8">IF(Knowns!F8&lt;&gt;"",IF(MIN('Clean Unknown'!E$2:E$52) &lt; 9999,MIN(ABS(Knowns!F8-'Clean Unknown'!E$2:E$52)),""),"")</f>
        <v/>
      </c>
      <c r="G8" t="str">
        <f t="array" ref="G8">IF(Knowns!G8&lt;&gt;"",IF(MIN('Clean Unknown'!F$2:F$52) &lt; 9999,MIN(ABS(Knowns!G8-'Clean Unknown'!F$2:F$52)),""),"")</f>
        <v/>
      </c>
    </row>
    <row r="9" spans="1:7">
      <c r="A9" t="str">
        <f>Knowns!A9</f>
        <v>Boletus cf. miniato-pallescens</v>
      </c>
      <c r="B9">
        <f t="array" ref="B9">IF(Knowns!B9&lt;&gt;"",IF(MIN('Clean Unknown'!A$2:A$52) &lt; 9999,MIN(ABS(Knowns!B9-'Clean Unknown'!A$2:A$52)),""),"")</f>
        <v>9.3699999999999903</v>
      </c>
      <c r="C9">
        <f t="array" ref="C9">IF(Knowns!C9&lt;&gt;"",IF(MIN('Clean Unknown'!B$2:B$52) &lt; 9999,MIN(ABS(Knowns!C9-'Clean Unknown'!B$2:B$52)),""),"")</f>
        <v>9.7800000000000296</v>
      </c>
      <c r="D9">
        <f t="array" ref="D9">IF(Knowns!D9&lt;&gt;"",IF(MIN('Clean Unknown'!C$2:C$52) &lt; 9999,MIN(ABS(Knowns!D9-'Clean Unknown'!C$2:C$52)),""),"")</f>
        <v>5.9799999999999898</v>
      </c>
      <c r="E9">
        <f t="array" ref="E9">IF(Knowns!E9&lt;&gt;"",IF(MIN('Clean Unknown'!D$2:D$52) &lt; 9999,MIN(ABS(Knowns!E9-'Clean Unknown'!D$2:D$52)),""),"")</f>
        <v>19.03</v>
      </c>
      <c r="F9" t="str">
        <f t="array" ref="F9">IF(Knowns!F9&lt;&gt;"",IF(MIN('Clean Unknown'!E$2:E$52) &lt; 9999,MIN(ABS(Knowns!F9-'Clean Unknown'!E$2:E$52)),""),"")</f>
        <v/>
      </c>
      <c r="G9" t="str">
        <f t="array" ref="G9">IF(Knowns!G9&lt;&gt;"",IF(MIN('Clean Unknown'!F$2:F$52) &lt; 9999,MIN(ABS(Knowns!G9-'Clean Unknown'!F$2:F$52)),""),"")</f>
        <v/>
      </c>
    </row>
    <row r="10" spans="1:7">
      <c r="A10" t="str">
        <f>Knowns!A10</f>
        <v>Boletus cf. pallidus</v>
      </c>
      <c r="B10">
        <f t="array" ref="B10">IF(Knowns!B10&lt;&gt;"",IF(MIN('Clean Unknown'!A$2:A$52) &lt; 9999,MIN(ABS(Knowns!B10-'Clean Unknown'!A$2:A$52)),""),"")</f>
        <v>18.82000000000005</v>
      </c>
      <c r="C10">
        <f t="array" ref="C10">IF(Knowns!C10&lt;&gt;"",IF(MIN('Clean Unknown'!B$2:B$52) &lt; 9999,MIN(ABS(Knowns!C10-'Clean Unknown'!B$2:B$52)),""),"")</f>
        <v>31.240000000000009</v>
      </c>
      <c r="D10">
        <f t="array" ref="D10">IF(Knowns!D10&lt;&gt;"",IF(MIN('Clean Unknown'!C$2:C$52) &lt; 9999,MIN(ABS(Knowns!D10-'Clean Unknown'!C$2:C$52)),""),"")</f>
        <v>23.619999999999976</v>
      </c>
      <c r="E10">
        <f t="array" ref="E10">IF(Knowns!E10&lt;&gt;"",IF(MIN('Clean Unknown'!D$2:D$52) &lt; 9999,MIN(ABS(Knowns!E10-'Clean Unknown'!D$2:D$52)),""),"")</f>
        <v>5.4919927999999345</v>
      </c>
      <c r="F10" t="str">
        <f t="array" ref="F10">IF(Knowns!F10&lt;&gt;"",IF(MIN('Clean Unknown'!E$2:E$52) &lt; 9999,MIN(ABS(Knowns!F10-'Clean Unknown'!E$2:E$52)),""),"")</f>
        <v/>
      </c>
      <c r="G10" t="str">
        <f t="array" ref="G10">IF(Knowns!G10&lt;&gt;"",IF(MIN('Clean Unknown'!F$2:F$52) &lt; 9999,MIN(ABS(Knowns!G10-'Clean Unknown'!F$2:F$52)),""),"")</f>
        <v/>
      </c>
    </row>
    <row r="11" spans="1:7">
      <c r="A11" t="str">
        <f>Knowns!A11</f>
        <v xml:space="preserve">Boletus cf. projectellus </v>
      </c>
      <c r="B11">
        <f t="array" ref="B11">IF(Knowns!B11&lt;&gt;"",IF(MIN('Clean Unknown'!A$2:A$52) &lt; 9999,MIN(ABS(Knowns!B11-'Clean Unknown'!A$2:A$52)),""),"")</f>
        <v>67.38</v>
      </c>
      <c r="C11">
        <f t="array" ref="C11">IF(Knowns!C11&lt;&gt;"",IF(MIN('Clean Unknown'!B$2:B$52) &lt; 9999,MIN(ABS(Knowns!C11-'Clean Unknown'!B$2:B$52)),""),"")</f>
        <v>5.5799999999999841</v>
      </c>
      <c r="D11">
        <f t="array" ref="D11">IF(Knowns!D11&lt;&gt;"",IF(MIN('Clean Unknown'!C$2:C$52) &lt; 9999,MIN(ABS(Knowns!D11-'Clean Unknown'!C$2:C$52)),""),"")</f>
        <v>8.0800000000000125</v>
      </c>
      <c r="E11">
        <f t="array" ref="E11">IF(Knowns!E11&lt;&gt;"",IF(MIN('Clean Unknown'!D$2:D$52) &lt; 9999,MIN(ABS(Knowns!E11-'Clean Unknown'!D$2:D$52)),""),"")</f>
        <v>2.2199999999999989</v>
      </c>
      <c r="F11" t="str">
        <f t="array" ref="F11">IF(Knowns!F11&lt;&gt;"",IF(MIN('Clean Unknown'!E$2:E$52) &lt; 9999,MIN(ABS(Knowns!F11-'Clean Unknown'!E$2:E$52)),""),"")</f>
        <v/>
      </c>
      <c r="G11" t="str">
        <f t="array" ref="G11">IF(Knowns!G11&lt;&gt;"",IF(MIN('Clean Unknown'!F$2:F$52) &lt; 9999,MIN(ABS(Knowns!G11-'Clean Unknown'!F$2:F$52)),""),"")</f>
        <v/>
      </c>
    </row>
    <row r="12" spans="1:7">
      <c r="A12" t="str">
        <f>Knowns!A12</f>
        <v>Boletus sp.</v>
      </c>
      <c r="B12">
        <f t="array" ref="B12">IF(Knowns!B12&lt;&gt;"",IF(MIN('Clean Unknown'!A$2:A$52) &lt; 9999,MIN(ABS(Knowns!B12-'Clean Unknown'!A$2:A$52)),""),"")</f>
        <v>60.930000000000007</v>
      </c>
      <c r="C12">
        <f t="array" ref="C12">IF(Knowns!C12&lt;&gt;"",IF(MIN('Clean Unknown'!B$2:B$52) &lt; 9999,MIN(ABS(Knowns!C12-'Clean Unknown'!B$2:B$52)),""),"")</f>
        <v>11.790000000000006</v>
      </c>
      <c r="D12">
        <f t="array" ref="D12">IF(Knowns!D12&lt;&gt;"",IF(MIN('Clean Unknown'!C$2:C$52) &lt; 9999,MIN(ABS(Knowns!D12-'Clean Unknown'!C$2:C$52)),""),"")</f>
        <v>1.5199999999999818</v>
      </c>
      <c r="E12">
        <f t="array" ref="E12">IF(Knowns!E12&lt;&gt;"",IF(MIN('Clean Unknown'!D$2:D$52) &lt; 9999,MIN(ABS(Knowns!E12-'Clean Unknown'!D$2:D$52)),""),"")</f>
        <v>35.430000000000007</v>
      </c>
      <c r="F12" t="str">
        <f t="array" ref="F12">IF(Knowns!F12&lt;&gt;"",IF(MIN('Clean Unknown'!E$2:E$52) &lt; 9999,MIN(ABS(Knowns!F12-'Clean Unknown'!E$2:E$52)),""),"")</f>
        <v/>
      </c>
      <c r="G12" t="str">
        <f t="array" ref="G12">IF(Knowns!G12&lt;&gt;"",IF(MIN('Clean Unknown'!F$2:F$52) &lt; 9999,MIN(ABS(Knowns!G12-'Clean Unknown'!F$2:F$52)),""),"")</f>
        <v/>
      </c>
    </row>
    <row r="13" spans="1:7">
      <c r="A13" t="str">
        <f>Knowns!A13</f>
        <v>Cantharellula umbonata</v>
      </c>
      <c r="B13">
        <f t="array" ref="B13">IF(Knowns!B13&lt;&gt;"",IF(MIN('Clean Unknown'!A$2:A$52) &lt; 9999,MIN(ABS(Knowns!B13-'Clean Unknown'!A$2:A$52)),""),"")</f>
        <v>0.93000000000000682</v>
      </c>
      <c r="C13">
        <f t="array" ref="C13">IF(Knowns!C13&lt;&gt;"",IF(MIN('Clean Unknown'!B$2:B$52) &lt; 9999,MIN(ABS(Knowns!C13-'Clean Unknown'!B$2:B$52)),""),"")</f>
        <v>5.0600000000000023</v>
      </c>
      <c r="D13">
        <f t="array" ref="D13">IF(Knowns!D13&lt;&gt;"",IF(MIN('Clean Unknown'!C$2:C$52) &lt; 9999,MIN(ABS(Knowns!D13-'Clean Unknown'!C$2:C$52)),""),"")</f>
        <v>443.05</v>
      </c>
      <c r="E13">
        <f t="array" ref="E13">IF(Knowns!E13&lt;&gt;"",IF(MIN('Clean Unknown'!D$2:D$52) &lt; 9999,MIN(ABS(Knowns!E13-'Clean Unknown'!D$2:D$52)),""),"")</f>
        <v>174.69199279999987</v>
      </c>
      <c r="F13" t="str">
        <f t="array" ref="F13">IF(Knowns!F13&lt;&gt;"",IF(MIN('Clean Unknown'!E$2:E$52) &lt; 9999,MIN(ABS(Knowns!F13-'Clean Unknown'!E$2:E$52)),""),"")</f>
        <v/>
      </c>
      <c r="G13" t="str">
        <f t="array" ref="G13">IF(Knowns!G13&lt;&gt;"",IF(MIN('Clean Unknown'!F$2:F$52) &lt; 9999,MIN(ABS(Knowns!G13-'Clean Unknown'!F$2:F$52)),""),"")</f>
        <v/>
      </c>
    </row>
    <row r="14" spans="1:7">
      <c r="A14" t="str">
        <f>Knowns!A14</f>
        <v>Cenococcum geophilum (=MT B)</v>
      </c>
      <c r="B14">
        <f t="array" ref="B14">IF(Knowns!B14&lt;&gt;"",IF(MIN('Clean Unknown'!A$2:A$52) &lt; 9999,MIN(ABS(Knowns!B14-'Clean Unknown'!A$2:A$52)),""),"")</f>
        <v>1.3699999999999903</v>
      </c>
      <c r="C14">
        <f t="array" ref="C14">IF(Knowns!C14&lt;&gt;"",IF(MIN('Clean Unknown'!B$2:B$52) &lt; 9999,MIN(ABS(Knowns!C14-'Clean Unknown'!B$2:B$52)),""),"")</f>
        <v>6.1200000000000045</v>
      </c>
      <c r="D14">
        <f t="array" ref="D14">IF(Knowns!D14&lt;&gt;"",IF(MIN('Clean Unknown'!C$2:C$52) &lt; 9999,MIN(ABS(Knowns!D14-'Clean Unknown'!C$2:C$52)),""),"")</f>
        <v>16.019999999999982</v>
      </c>
      <c r="E14">
        <f t="array" ref="E14">IF(Knowns!E14&lt;&gt;"",IF(MIN('Clean Unknown'!D$2:D$52) &lt; 9999,MIN(ABS(Knowns!E14-'Clean Unknown'!D$2:D$52)),""),"")</f>
        <v>0.66999999999998749</v>
      </c>
      <c r="F14" t="str">
        <f t="array" ref="F14">IF(Knowns!F14&lt;&gt;"",IF(MIN('Clean Unknown'!E$2:E$52) &lt; 9999,MIN(ABS(Knowns!F14-'Clean Unknown'!E$2:E$52)),""),"")</f>
        <v/>
      </c>
      <c r="G14" t="str">
        <f t="array" ref="G14">IF(Knowns!G14&lt;&gt;"",IF(MIN('Clean Unknown'!F$2:F$52) &lt; 9999,MIN(ABS(Knowns!G14-'Clean Unknown'!F$2:F$52)),""),"")</f>
        <v/>
      </c>
    </row>
    <row r="15" spans="1:7">
      <c r="A15" t="str">
        <f>Knowns!A15</f>
        <v>Clavarioid 2</v>
      </c>
      <c r="B15">
        <f t="array" ref="B15">IF(Knowns!B15&lt;&gt;"",IF(MIN('Clean Unknown'!A$2:A$52) &lt; 9999,MIN(ABS(Knowns!B15-'Clean Unknown'!A$2:A$52)),""),"")</f>
        <v>15.95999999999998</v>
      </c>
      <c r="C15">
        <f t="array" ref="C15">IF(Knowns!C15&lt;&gt;"",IF(MIN('Clean Unknown'!B$2:B$52) &lt; 9999,MIN(ABS(Knowns!C15-'Clean Unknown'!B$2:B$52)),""),"")</f>
        <v>0.95999999999997954</v>
      </c>
      <c r="D15">
        <f t="array" ref="D15">IF(Knowns!D15&lt;&gt;"",IF(MIN('Clean Unknown'!C$2:C$52) &lt; 9999,MIN(ABS(Knowns!D15-'Clean Unknown'!C$2:C$52)),""),"")</f>
        <v>0.94999999999998863</v>
      </c>
      <c r="E15">
        <f t="array" ref="E15">IF(Knowns!E15&lt;&gt;"",IF(MIN('Clean Unknown'!D$2:D$52) &lt; 9999,MIN(ABS(Knowns!E15-'Clean Unknown'!D$2:D$52)),""),"")</f>
        <v>1.6700000000000159</v>
      </c>
      <c r="F15" t="str">
        <f t="array" ref="F15">IF(Knowns!F15&lt;&gt;"",IF(MIN('Clean Unknown'!E$2:E$52) &lt; 9999,MIN(ABS(Knowns!F15-'Clean Unknown'!E$2:E$52)),""),"")</f>
        <v/>
      </c>
      <c r="G15" t="str">
        <f t="array" ref="G15">IF(Knowns!G15&lt;&gt;"",IF(MIN('Clean Unknown'!F$2:F$52) &lt; 9999,MIN(ABS(Knowns!G15-'Clean Unknown'!F$2:F$52)),""),"")</f>
        <v/>
      </c>
    </row>
    <row r="16" spans="1:7">
      <c r="A16" t="str">
        <f>Knowns!A16</f>
        <v>Clavulina cristata (=MT F,G,U,W)</v>
      </c>
      <c r="B16">
        <f t="array" ref="B16">IF(Knowns!B16&lt;&gt;"",IF(MIN('Clean Unknown'!A$2:A$52) &lt; 9999,MIN(ABS(Knowns!B16-'Clean Unknown'!A$2:A$52)),""),"")</f>
        <v>1.2800000000000011</v>
      </c>
      <c r="C16">
        <f t="array" ref="C16">IF(Knowns!C16&lt;&gt;"",IF(MIN('Clean Unknown'!B$2:B$52) &lt; 9999,MIN(ABS(Knowns!C16-'Clean Unknown'!B$2:B$52)),""),"")</f>
        <v>0.75999999999999091</v>
      </c>
      <c r="D16">
        <f t="array" ref="D16">IF(Knowns!D16&lt;&gt;"",IF(MIN('Clean Unknown'!C$2:C$52) &lt; 9999,MIN(ABS(Knowns!D16-'Clean Unknown'!C$2:C$52)),""),"")</f>
        <v>0.14999999999997726</v>
      </c>
      <c r="E16">
        <f t="array" ref="E16">IF(Knowns!E16&lt;&gt;"",IF(MIN('Clean Unknown'!D$2:D$52) &lt; 9999,MIN(ABS(Knowns!E16-'Clean Unknown'!D$2:D$52)),""),"")</f>
        <v>0.43000000000000682</v>
      </c>
      <c r="F16" t="str">
        <f t="array" ref="F16">IF(Knowns!F16&lt;&gt;"",IF(MIN('Clean Unknown'!E$2:E$52) &lt; 9999,MIN(ABS(Knowns!F16-'Clean Unknown'!E$2:E$52)),""),"")</f>
        <v/>
      </c>
      <c r="G16" t="str">
        <f t="array" ref="G16">IF(Knowns!G16&lt;&gt;"",IF(MIN('Clean Unknown'!F$2:F$52) &lt; 9999,MIN(ABS(Knowns!G16-'Clean Unknown'!F$2:F$52)),""),"")</f>
        <v/>
      </c>
    </row>
    <row r="17" spans="1:7">
      <c r="A17" t="str">
        <f>Knowns!A17</f>
        <v>Clitocybe clavipes</v>
      </c>
      <c r="B17">
        <f t="array" ref="B17">IF(Knowns!B17&lt;&gt;"",IF(MIN('Clean Unknown'!A$2:A$52) &lt; 9999,MIN(ABS(Knowns!B17-'Clean Unknown'!A$2:A$52)),""),"")</f>
        <v>10.939999999999998</v>
      </c>
      <c r="C17">
        <f t="array" ref="C17">IF(Knowns!C17&lt;&gt;"",IF(MIN('Clean Unknown'!B$2:B$52) &lt; 9999,MIN(ABS(Knowns!C17-'Clean Unknown'!B$2:B$52)),""),"")</f>
        <v>52.539999999999992</v>
      </c>
      <c r="D17">
        <f t="array" ref="D17">IF(Knowns!D17&lt;&gt;"",IF(MIN('Clean Unknown'!C$2:C$52) &lt; 9999,MIN(ABS(Knowns!D17-'Clean Unknown'!C$2:C$52)),""),"")</f>
        <v>630.45000000000005</v>
      </c>
      <c r="E17">
        <f t="array" ref="E17">IF(Knowns!E17&lt;&gt;"",IF(MIN('Clean Unknown'!D$2:D$52) &lt; 9999,MIN(ABS(Knowns!E17-'Clean Unknown'!D$2:D$52)),""),"")</f>
        <v>5.5699999999999932</v>
      </c>
      <c r="F17" t="str">
        <f t="array" ref="F17">IF(Knowns!F17&lt;&gt;"",IF(MIN('Clean Unknown'!E$2:E$52) &lt; 9999,MIN(ABS(Knowns!F17-'Clean Unknown'!E$2:E$52)),""),"")</f>
        <v/>
      </c>
      <c r="G17" t="str">
        <f t="array" ref="G17">IF(Knowns!G17&lt;&gt;"",IF(MIN('Clean Unknown'!F$2:F$52) &lt; 9999,MIN(ABS(Knowns!G17-'Clean Unknown'!F$2:F$52)),""),"")</f>
        <v/>
      </c>
    </row>
    <row r="18" spans="1:7">
      <c r="A18" t="str">
        <f>Knowns!A18</f>
        <v>Clitocybe robusta</v>
      </c>
      <c r="B18">
        <f t="array" ref="B18">IF(Knowns!B18&lt;&gt;"",IF(MIN('Clean Unknown'!A$2:A$52) &lt; 9999,MIN(ABS(Knowns!B18-'Clean Unknown'!A$2:A$52)),""),"")</f>
        <v>27.340000000000032</v>
      </c>
      <c r="C18">
        <f t="array" ref="C18">IF(Knowns!C18&lt;&gt;"",IF(MIN('Clean Unknown'!B$2:B$52) &lt; 9999,MIN(ABS(Knowns!C18-'Clean Unknown'!B$2:B$52)),""),"")</f>
        <v>0.28000000000002956</v>
      </c>
      <c r="D18">
        <f t="array" ref="D18">IF(Knowns!D18&lt;&gt;"",IF(MIN('Clean Unknown'!C$2:C$52) &lt; 9999,MIN(ABS(Knowns!D18-'Clean Unknown'!C$2:C$52)),""),"")</f>
        <v>189.05</v>
      </c>
      <c r="E18">
        <f t="array" ref="E18">IF(Knowns!E18&lt;&gt;"",IF(MIN('Clean Unknown'!D$2:D$52) &lt; 9999,MIN(ABS(Knowns!E18-'Clean Unknown'!D$2:D$52)),""),"")</f>
        <v>11.170000000000016</v>
      </c>
      <c r="F18" t="str">
        <f t="array" ref="F18">IF(Knowns!F18&lt;&gt;"",IF(MIN('Clean Unknown'!E$2:E$52) &lt; 9999,MIN(ABS(Knowns!F18-'Clean Unknown'!E$2:E$52)),""),"")</f>
        <v/>
      </c>
      <c r="G18" t="str">
        <f t="array" ref="G18">IF(Knowns!G18&lt;&gt;"",IF(MIN('Clean Unknown'!F$2:F$52) &lt; 9999,MIN(ABS(Knowns!G18-'Clean Unknown'!F$2:F$52)),""),"")</f>
        <v/>
      </c>
    </row>
    <row r="19" spans="1:7">
      <c r="A19" t="str">
        <f>Knowns!A19</f>
        <v xml:space="preserve">Collybia cf. dryophila </v>
      </c>
      <c r="B19">
        <f t="array" ref="B19">IF(Knowns!B19&lt;&gt;"",IF(MIN('Clean Unknown'!A$2:A$52) &lt; 9999,MIN(ABS(Knowns!B19-'Clean Unknown'!A$2:A$52)),""),"")</f>
        <v>79.38</v>
      </c>
      <c r="C19">
        <f t="array" ref="C19">IF(Knowns!C19&lt;&gt;"",IF(MIN('Clean Unknown'!B$2:B$52) &lt; 9999,MIN(ABS(Knowns!C19-'Clean Unknown'!B$2:B$52)),""),"")</f>
        <v>10.080000000000041</v>
      </c>
      <c r="D19">
        <f t="array" ref="D19">IF(Knowns!D19&lt;&gt;"",IF(MIN('Clean Unknown'!C$2:C$52) &lt; 9999,MIN(ABS(Knowns!D19-'Clean Unknown'!C$2:C$52)),""),"")</f>
        <v>333.05</v>
      </c>
      <c r="E19">
        <f t="array" ref="E19">IF(Knowns!E19&lt;&gt;"",IF(MIN('Clean Unknown'!D$2:D$52) &lt; 9999,MIN(ABS(Knowns!E19-'Clean Unknown'!D$2:D$52)),""),"")</f>
        <v>2.1300000000000097</v>
      </c>
      <c r="F19" t="str">
        <f t="array" ref="F19">IF(Knowns!F19&lt;&gt;"",IF(MIN('Clean Unknown'!E$2:E$52) &lt; 9999,MIN(ABS(Knowns!F19-'Clean Unknown'!E$2:E$52)),""),"")</f>
        <v/>
      </c>
      <c r="G19" t="str">
        <f t="array" ref="G19">IF(Knowns!G19&lt;&gt;"",IF(MIN('Clean Unknown'!F$2:F$52) &lt; 9999,MIN(ABS(Knowns!G19-'Clean Unknown'!F$2:F$52)),""),"")</f>
        <v/>
      </c>
    </row>
    <row r="20" spans="1:7">
      <c r="A20" t="str">
        <f>Knowns!A20</f>
        <v>Collybia sp.</v>
      </c>
      <c r="B20">
        <f t="array" ref="B20">IF(Knowns!B20&lt;&gt;"",IF(MIN('Clean Unknown'!A$2:A$52) &lt; 9999,MIN(ABS(Knowns!B20-'Clean Unknown'!A$2:A$52)),""),"")</f>
        <v>5.7799999999999727</v>
      </c>
      <c r="C20">
        <f t="array" ref="C20">IF(Knowns!C20&lt;&gt;"",IF(MIN('Clean Unknown'!B$2:B$52) &lt; 9999,MIN(ABS(Knowns!C20-'Clean Unknown'!B$2:B$52)),""),"")</f>
        <v>1.3400000000000034</v>
      </c>
      <c r="D20">
        <f t="array" ref="D20">IF(Knowns!D20&lt;&gt;"",IF(MIN('Clean Unknown'!C$2:C$52) &lt; 9999,MIN(ABS(Knowns!D20-'Clean Unknown'!C$2:C$52)),""),"")</f>
        <v>506.15000000000003</v>
      </c>
      <c r="E20">
        <f t="array" ref="E20">IF(Knowns!E20&lt;&gt;"",IF(MIN('Clean Unknown'!D$2:D$52) &lt; 9999,MIN(ABS(Knowns!E20-'Clean Unknown'!D$2:D$52)),""),"")</f>
        <v>240.79199279999989</v>
      </c>
      <c r="F20" t="str">
        <f t="array" ref="F20">IF(Knowns!F20&lt;&gt;"",IF(MIN('Clean Unknown'!E$2:E$52) &lt; 9999,MIN(ABS(Knowns!F20-'Clean Unknown'!E$2:E$52)),""),"")</f>
        <v/>
      </c>
      <c r="G20" t="str">
        <f t="array" ref="G20">IF(Knowns!G20&lt;&gt;"",IF(MIN('Clean Unknown'!F$2:F$52) &lt; 9999,MIN(ABS(Knowns!G20-'Clean Unknown'!F$2:F$52)),""),"")</f>
        <v/>
      </c>
    </row>
    <row r="21" spans="1:7">
      <c r="A21" t="str">
        <f>Knowns!A21</f>
        <v>Cortinarius a (=MT X)</v>
      </c>
      <c r="B21">
        <f t="array" ref="B21">IF(Knowns!B21&lt;&gt;"",IF(MIN('Clean Unknown'!A$2:A$52) &lt; 9999,MIN(ABS(Knowns!B21-'Clean Unknown'!A$2:A$52)),""),"")</f>
        <v>22.439999999999998</v>
      </c>
      <c r="C21">
        <f t="array" ref="C21">IF(Knowns!C21&lt;&gt;"",IF(MIN('Clean Unknown'!B$2:B$52) &lt; 9999,MIN(ABS(Knowns!C21-'Clean Unknown'!B$2:B$52)),""),"")</f>
        <v>1.8199999999999932</v>
      </c>
      <c r="D21">
        <f t="array" ref="D21">IF(Knowns!D21&lt;&gt;"",IF(MIN('Clean Unknown'!C$2:C$52) &lt; 9999,MIN(ABS(Knowns!D21-'Clean Unknown'!C$2:C$52)),""),"")</f>
        <v>193.34999999999997</v>
      </c>
      <c r="E21">
        <f t="array" ref="E21">IF(Knowns!E21&lt;&gt;"",IF(MIN('Clean Unknown'!D$2:D$52) &lt; 9999,MIN(ABS(Knowns!E21-'Clean Unknown'!D$2:D$52)),""),"")</f>
        <v>14.550000000000011</v>
      </c>
      <c r="F21" t="str">
        <f t="array" ref="F21">IF(Knowns!F21&lt;&gt;"",IF(MIN('Clean Unknown'!E$2:E$52) &lt; 9999,MIN(ABS(Knowns!F21-'Clean Unknown'!E$2:E$52)),""),"")</f>
        <v/>
      </c>
      <c r="G21" t="str">
        <f t="array" ref="G21">IF(Knowns!G21&lt;&gt;"",IF(MIN('Clean Unknown'!F$2:F$52) &lt; 9999,MIN(ABS(Knowns!G21-'Clean Unknown'!F$2:F$52)),""),"")</f>
        <v/>
      </c>
    </row>
    <row r="22" spans="1:7">
      <c r="A22" t="str">
        <f>Knowns!A22</f>
        <v>Cortinarius b</v>
      </c>
      <c r="B22">
        <f t="array" ref="B22">IF(Knowns!B22&lt;&gt;"",IF(MIN('Clean Unknown'!A$2:A$52) &lt; 9999,MIN(ABS(Knowns!B22-'Clean Unknown'!A$2:A$52)),""),"")</f>
        <v>88.830000000000013</v>
      </c>
      <c r="C22">
        <f t="array" ref="C22">IF(Knowns!C22&lt;&gt;"",IF(MIN('Clean Unknown'!B$2:B$52) &lt; 9999,MIN(ABS(Knowns!C22-'Clean Unknown'!B$2:B$52)),""),"")</f>
        <v>15.54</v>
      </c>
      <c r="D22" t="str">
        <f t="array" ref="D22">IF(Knowns!D22&lt;&gt;"",IF(MIN('Clean Unknown'!C$2:C$52) &lt; 9999,MIN(ABS(Knowns!D22-'Clean Unknown'!C$2:C$52)),""),"")</f>
        <v/>
      </c>
      <c r="E22" t="str">
        <f t="array" ref="E22">IF(Knowns!E22&lt;&gt;"",IF(MIN('Clean Unknown'!D$2:D$52) &lt; 9999,MIN(ABS(Knowns!E22-'Clean Unknown'!D$2:D$52)),""),"")</f>
        <v/>
      </c>
      <c r="F22" t="str">
        <f t="array" ref="F22">IF(Knowns!F22&lt;&gt;"",IF(MIN('Clean Unknown'!E$2:E$52) &lt; 9999,MIN(ABS(Knowns!F22-'Clean Unknown'!E$2:E$52)),""),"")</f>
        <v/>
      </c>
      <c r="G22" t="str">
        <f t="array" ref="G22">IF(Knowns!G22&lt;&gt;"",IF(MIN('Clean Unknown'!F$2:F$52) &lt; 9999,MIN(ABS(Knowns!G22-'Clean Unknown'!F$2:F$52)),""),"")</f>
        <v/>
      </c>
    </row>
    <row r="23" spans="1:7">
      <c r="A23" t="str">
        <f>Knowns!A23</f>
        <v>Cortinarius c</v>
      </c>
      <c r="B23">
        <f t="array" ref="B23">IF(Knowns!B23&lt;&gt;"",IF(MIN('Clean Unknown'!A$2:A$52) &lt; 9999,MIN(ABS(Knowns!B23-'Clean Unknown'!A$2:A$52)),""),"")</f>
        <v>24.240000000000009</v>
      </c>
      <c r="C23">
        <f t="array" ref="C23">IF(Knowns!C23&lt;&gt;"",IF(MIN('Clean Unknown'!B$2:B$52) &lt; 9999,MIN(ABS(Knowns!C23-'Clean Unknown'!B$2:B$52)),""),"")</f>
        <v>13.739999999999995</v>
      </c>
      <c r="D23">
        <f t="array" ref="D23">IF(Knowns!D23&lt;&gt;"",IF(MIN('Clean Unknown'!C$2:C$52) &lt; 9999,MIN(ABS(Knowns!D23-'Clean Unknown'!C$2:C$52)),""),"")</f>
        <v>190.84999999999997</v>
      </c>
      <c r="E23">
        <f t="array" ref="E23">IF(Knowns!E23&lt;&gt;"",IF(MIN('Clean Unknown'!D$2:D$52) &lt; 9999,MIN(ABS(Knowns!E23-'Clean Unknown'!D$2:D$52)),""),"")</f>
        <v>10.870000000000005</v>
      </c>
      <c r="F23" t="str">
        <f t="array" ref="F23">IF(Knowns!F23&lt;&gt;"",IF(MIN('Clean Unknown'!E$2:E$52) &lt; 9999,MIN(ABS(Knowns!F23-'Clean Unknown'!E$2:E$52)),""),"")</f>
        <v/>
      </c>
      <c r="G23" t="str">
        <f t="array" ref="G23">IF(Knowns!G23&lt;&gt;"",IF(MIN('Clean Unknown'!F$2:F$52) &lt; 9999,MIN(ABS(Knowns!G23-'Clean Unknown'!F$2:F$52)),""),"")</f>
        <v/>
      </c>
    </row>
    <row r="24" spans="1:7">
      <c r="A24" t="str">
        <f>Knowns!A24</f>
        <v>Hygrophoropsis aurantiaca</v>
      </c>
      <c r="B24">
        <f t="array" ref="B24">IF(Knowns!B24&lt;&gt;"",IF(MIN('Clean Unknown'!A$2:A$52) &lt; 9999,MIN(ABS(Knowns!B24-'Clean Unknown'!A$2:A$52)),""),"")</f>
        <v>2.1399999999999864</v>
      </c>
      <c r="C24">
        <f t="array" ref="C24">IF(Knowns!C24&lt;&gt;"",IF(MIN('Clean Unknown'!B$2:B$52) &lt; 9999,MIN(ABS(Knowns!C24-'Clean Unknown'!B$2:B$52)),""),"")</f>
        <v>21.019999999999982</v>
      </c>
      <c r="D24">
        <f t="array" ref="D24">IF(Knowns!D24&lt;&gt;"",IF(MIN('Clean Unknown'!C$2:C$52) &lt; 9999,MIN(ABS(Knowns!D24-'Clean Unknown'!C$2:C$52)),""),"")</f>
        <v>359.55</v>
      </c>
      <c r="E24">
        <f t="array" ref="E24">IF(Knowns!E24&lt;&gt;"",IF(MIN('Clean Unknown'!D$2:D$52) &lt; 9999,MIN(ABS(Knowns!E24-'Clean Unknown'!D$2:D$52)),""),"")</f>
        <v>1.1699999999999875</v>
      </c>
      <c r="F24" t="str">
        <f t="array" ref="F24">IF(Knowns!F24&lt;&gt;"",IF(MIN('Clean Unknown'!E$2:E$52) &lt; 9999,MIN(ABS(Knowns!F24-'Clean Unknown'!E$2:E$52)),""),"")</f>
        <v/>
      </c>
      <c r="G24" t="str">
        <f t="array" ref="G24">IF(Knowns!G24&lt;&gt;"",IF(MIN('Clean Unknown'!F$2:F$52) &lt; 9999,MIN(ABS(Knowns!G24-'Clean Unknown'!F$2:F$52)),""),"")</f>
        <v/>
      </c>
    </row>
    <row r="25" spans="1:7">
      <c r="A25" t="str">
        <f>Knowns!A25</f>
        <v xml:space="preserve">Laccaria laccata </v>
      </c>
      <c r="B25">
        <f t="array" ref="B25">IF(Knowns!B25&lt;&gt;"",IF(MIN('Clean Unknown'!A$2:A$52) &lt; 9999,MIN(ABS(Knowns!B25-'Clean Unknown'!A$2:A$52)),""),"")</f>
        <v>19.54000000000002</v>
      </c>
      <c r="C25">
        <f t="array" ref="C25">IF(Knowns!C25&lt;&gt;"",IF(MIN('Clean Unknown'!B$2:B$52) &lt; 9999,MIN(ABS(Knowns!C25-'Clean Unknown'!B$2:B$52)),""),"")</f>
        <v>6.4199999999999591</v>
      </c>
      <c r="D25">
        <f t="array" ref="D25">IF(Knowns!D25&lt;&gt;"",IF(MIN('Clean Unknown'!C$2:C$52) &lt; 9999,MIN(ABS(Knowns!D25-'Clean Unknown'!C$2:C$52)),""),"")</f>
        <v>480.15000000000003</v>
      </c>
      <c r="E25">
        <f t="array" ref="E25">IF(Knowns!E25&lt;&gt;"",IF(MIN('Clean Unknown'!D$2:D$52) &lt; 9999,MIN(ABS(Knowns!E25-'Clean Unknown'!D$2:D$52)),""),"")</f>
        <v>212.59199279999984</v>
      </c>
      <c r="F25" t="str">
        <f t="array" ref="F25">IF(Knowns!F25&lt;&gt;"",IF(MIN('Clean Unknown'!E$2:E$52) &lt; 9999,MIN(ABS(Knowns!F25-'Clean Unknown'!E$2:E$52)),""),"")</f>
        <v/>
      </c>
      <c r="G25" t="str">
        <f t="array" ref="G25">IF(Knowns!G25&lt;&gt;"",IF(MIN('Clean Unknown'!F$2:F$52) &lt; 9999,MIN(ABS(Knowns!G25-'Clean Unknown'!F$2:F$52)),""),"")</f>
        <v/>
      </c>
    </row>
    <row r="26" spans="1:7">
      <c r="A26" t="str">
        <f>Knowns!A26</f>
        <v>Lactarius sp. (=MT C)</v>
      </c>
      <c r="B26">
        <f t="array" ref="B26">IF(Knowns!B26&lt;&gt;"",IF(MIN('Clean Unknown'!A$2:A$52) &lt; 9999,MIN(ABS(Knowns!B26-'Clean Unknown'!A$2:A$52)),""),"")</f>
        <v>0.77999999999997272</v>
      </c>
      <c r="C26">
        <f t="array" ref="C26">IF(Knowns!C26&lt;&gt;"",IF(MIN('Clean Unknown'!B$2:B$52) &lt; 9999,MIN(ABS(Knowns!C26-'Clean Unknown'!B$2:B$52)),""),"")</f>
        <v>0.43999999999999773</v>
      </c>
      <c r="D26">
        <f t="array" ref="D26">IF(Knowns!D26&lt;&gt;"",IF(MIN('Clean Unknown'!C$2:C$52) &lt; 9999,MIN(ABS(Knowns!D26-'Clean Unknown'!C$2:C$52)),""),"")</f>
        <v>455.05</v>
      </c>
      <c r="E26">
        <f t="array" ref="E26">IF(Knowns!E26&lt;&gt;"",IF(MIN('Clean Unknown'!D$2:D$52) &lt; 9999,MIN(ABS(Knowns!E26-'Clean Unknown'!D$2:D$52)),""),"")</f>
        <v>6.4799999999999898</v>
      </c>
      <c r="F26" t="str">
        <f t="array" ref="F26">IF(Knowns!F26&lt;&gt;"",IF(MIN('Clean Unknown'!E$2:E$52) &lt; 9999,MIN(ABS(Knowns!F26-'Clean Unknown'!E$2:E$52)),""),"")</f>
        <v/>
      </c>
      <c r="G26" t="str">
        <f t="array" ref="G26">IF(Knowns!G26&lt;&gt;"",IF(MIN('Clean Unknown'!F$2:F$52) &lt; 9999,MIN(ABS(Knowns!G26-'Clean Unknown'!F$2:F$52)),""),"")</f>
        <v/>
      </c>
    </row>
    <row r="27" spans="1:7">
      <c r="A27" t="str">
        <f>Knowns!A27</f>
        <v>Lactarius oculatus</v>
      </c>
      <c r="B27">
        <f t="array" ref="B27">IF(Knowns!B27&lt;&gt;"",IF(MIN('Clean Unknown'!A$2:A$52) &lt; 9999,MIN(ABS(Knowns!B27-'Clean Unknown'!A$2:A$52)),""),"")</f>
        <v>0.57999999999998408</v>
      </c>
      <c r="C27">
        <f t="array" ref="C27">IF(Knowns!C27&lt;&gt;"",IF(MIN('Clean Unknown'!B$2:B$52) &lt; 9999,MIN(ABS(Knowns!C27-'Clean Unknown'!B$2:B$52)),""),"")</f>
        <v>0.85999999999999943</v>
      </c>
      <c r="D27">
        <f t="array" ref="D27">IF(Knowns!D27&lt;&gt;"",IF(MIN('Clean Unknown'!C$2:C$52) &lt; 9999,MIN(ABS(Knowns!D27-'Clean Unknown'!C$2:C$52)),""),"")</f>
        <v>5.0000000000011369E-2</v>
      </c>
      <c r="E27">
        <f t="array" ref="E27">IF(Knowns!E27&lt;&gt;"",IF(MIN('Clean Unknown'!D$2:D$52) &lt; 9999,MIN(ABS(Knowns!E27-'Clean Unknown'!D$2:D$52)),""),"")</f>
        <v>0.5080072000000655</v>
      </c>
      <c r="F27" t="str">
        <f t="array" ref="F27">IF(Knowns!F27&lt;&gt;"",IF(MIN('Clean Unknown'!E$2:E$52) &lt; 9999,MIN(ABS(Knowns!F27-'Clean Unknown'!E$2:E$52)),""),"")</f>
        <v/>
      </c>
      <c r="G27" t="str">
        <f t="array" ref="G27">IF(Knowns!G27&lt;&gt;"",IF(MIN('Clean Unknown'!F$2:F$52) &lt; 9999,MIN(ABS(Knowns!G27-'Clean Unknown'!F$2:F$52)),""),"")</f>
        <v/>
      </c>
    </row>
    <row r="28" spans="1:7">
      <c r="A28" t="str">
        <f>Knowns!A28</f>
        <v>MT Q</v>
      </c>
      <c r="B28">
        <f t="array" ref="B28">IF(Knowns!B28&lt;&gt;"",IF(MIN('Clean Unknown'!A$2:A$52) &lt; 9999,MIN(ABS(Knowns!B28-'Clean Unknown'!A$2:A$52)),""),"")</f>
        <v>0.24000000000000909</v>
      </c>
      <c r="C28">
        <f t="array" ref="C28">IF(Knowns!C28&lt;&gt;"",IF(MIN('Clean Unknown'!B$2:B$52) &lt; 9999,MIN(ABS(Knowns!C28-'Clean Unknown'!B$2:B$52)),""),"")</f>
        <v>1.9399999999999977</v>
      </c>
      <c r="D28">
        <f t="array" ref="D28">IF(Knowns!D28&lt;&gt;"",IF(MIN('Clean Unknown'!C$2:C$52) &lt; 9999,MIN(ABS(Knowns!D28-'Clean Unknown'!C$2:C$52)),""),"")</f>
        <v>6.5099999999999909</v>
      </c>
      <c r="E28">
        <f t="array" ref="E28">IF(Knowns!E28&lt;&gt;"",IF(MIN('Clean Unknown'!D$2:D$52) &lt; 9999,MIN(ABS(Knowns!E28-'Clean Unknown'!D$2:D$52)),""),"")</f>
        <v>21.629999999999995</v>
      </c>
      <c r="F28" t="str">
        <f t="array" ref="F28">IF(Knowns!F28&lt;&gt;"",IF(MIN('Clean Unknown'!E$2:E$52) &lt; 9999,MIN(ABS(Knowns!F28-'Clean Unknown'!E$2:E$52)),""),"")</f>
        <v/>
      </c>
      <c r="G28" t="str">
        <f t="array" ref="G28">IF(Knowns!G28&lt;&gt;"",IF(MIN('Clean Unknown'!F$2:F$52) &lt; 9999,MIN(ABS(Knowns!G28-'Clean Unknown'!F$2:F$52)),""),"")</f>
        <v/>
      </c>
    </row>
    <row r="29" spans="1:7">
      <c r="A29" t="str">
        <f>Knowns!A29</f>
        <v>MT R</v>
      </c>
      <c r="B29">
        <f t="array" ref="B29">IF(Knowns!B29&lt;&gt;"",IF(MIN('Clean Unknown'!A$2:A$52) &lt; 9999,MIN(ABS(Knowns!B29-'Clean Unknown'!A$2:A$52)),""),"")</f>
        <v>96.13</v>
      </c>
      <c r="C29">
        <f t="array" ref="C29">IF(Knowns!C29&lt;&gt;"",IF(MIN('Clean Unknown'!B$2:B$52) &lt; 9999,MIN(ABS(Knowns!C29-'Clean Unknown'!B$2:B$52)),""),"")</f>
        <v>3.4799999999999613</v>
      </c>
      <c r="D29">
        <f t="array" ref="D29">IF(Knowns!D29&lt;&gt;"",IF(MIN('Clean Unknown'!C$2:C$52) &lt; 9999,MIN(ABS(Knowns!D29-'Clean Unknown'!C$2:C$52)),""),"")</f>
        <v>2.1199999999999761</v>
      </c>
      <c r="E29">
        <f t="array" ref="E29">IF(Knowns!E29&lt;&gt;"",IF(MIN('Clean Unknown'!D$2:D$52) &lt; 9999,MIN(ABS(Knowns!E29-'Clean Unknown'!D$2:D$52)),""),"")</f>
        <v>16.22999999999999</v>
      </c>
      <c r="F29" t="str">
        <f t="array" ref="F29">IF(Knowns!F29&lt;&gt;"",IF(MIN('Clean Unknown'!E$2:E$52) &lt; 9999,MIN(ABS(Knowns!F29-'Clean Unknown'!E$2:E$52)),""),"")</f>
        <v/>
      </c>
      <c r="G29" t="str">
        <f t="array" ref="G29">IF(Knowns!G29&lt;&gt;"",IF(MIN('Clean Unknown'!F$2:F$52) &lt; 9999,MIN(ABS(Knowns!G29-'Clean Unknown'!F$2:F$52)),""),"")</f>
        <v/>
      </c>
    </row>
    <row r="30" spans="1:7">
      <c r="A30" t="str">
        <f>Knowns!A30</f>
        <v xml:space="preserve">MT S </v>
      </c>
      <c r="B30" t="str">
        <f t="array" ref="B30">IF(Knowns!B30&lt;&gt;"",IF(MIN('Clean Unknown'!A$2:A$52) &lt; 9999,MIN(ABS(Knowns!B30-'Clean Unknown'!A$2:A$52)),""),"")</f>
        <v/>
      </c>
      <c r="C30" t="str">
        <f t="array" ref="C30">IF(Knowns!C30&lt;&gt;"",IF(MIN('Clean Unknown'!B$2:B$52) &lt; 9999,MIN(ABS(Knowns!C30-'Clean Unknown'!B$2:B$52)),""),"")</f>
        <v/>
      </c>
      <c r="D30">
        <f t="array" ref="D30">IF(Knowns!D30&lt;&gt;"",IF(MIN('Clean Unknown'!C$2:C$52) &lt; 9999,MIN(ABS(Knowns!D30-'Clean Unknown'!C$2:C$52)),""),"")</f>
        <v>0.94999999999998863</v>
      </c>
      <c r="E30">
        <f t="array" ref="E30">IF(Knowns!E30&lt;&gt;"",IF(MIN('Clean Unknown'!D$2:D$52) &lt; 9999,MIN(ABS(Knowns!E30-'Clean Unknown'!D$2:D$52)),""),"")</f>
        <v>0.52999999999997272</v>
      </c>
      <c r="F30" t="str">
        <f t="array" ref="F30">IF(Knowns!F30&lt;&gt;"",IF(MIN('Clean Unknown'!E$2:E$52) &lt; 9999,MIN(ABS(Knowns!F30-'Clean Unknown'!E$2:E$52)),""),"")</f>
        <v/>
      </c>
      <c r="G30" t="str">
        <f t="array" ref="G30">IF(Knowns!G30&lt;&gt;"",IF(MIN('Clean Unknown'!F$2:F$52) &lt; 9999,MIN(ABS(Knowns!G30-'Clean Unknown'!F$2:F$52)),""),"")</f>
        <v/>
      </c>
    </row>
    <row r="31" spans="1:7">
      <c r="A31" t="str">
        <f>Knowns!A31</f>
        <v>Penicillium sp.</v>
      </c>
      <c r="B31">
        <f t="array" ref="B31">IF(Knowns!B31&lt;&gt;"",IF(MIN('Clean Unknown'!A$2:A$52) &lt; 9999,MIN(ABS(Knowns!B31-'Clean Unknown'!A$2:A$52)),""),"")</f>
        <v>40.830000000000013</v>
      </c>
      <c r="C31">
        <f t="array" ref="C31">IF(Knowns!C31&lt;&gt;"",IF(MIN('Clean Unknown'!B$2:B$52) &lt; 9999,MIN(ABS(Knowns!C31-'Clean Unknown'!B$2:B$52)),""),"")</f>
        <v>10.310000000000002</v>
      </c>
      <c r="D31">
        <f t="array" ref="D31">IF(Knowns!D31&lt;&gt;"",IF(MIN('Clean Unknown'!C$2:C$52) &lt; 9999,MIN(ABS(Knowns!D31-'Clean Unknown'!C$2:C$52)),""),"")</f>
        <v>13.209999999999994</v>
      </c>
      <c r="E31">
        <f t="array" ref="E31">IF(Knowns!E31&lt;&gt;"",IF(MIN('Clean Unknown'!D$2:D$52) &lt; 9999,MIN(ABS(Knowns!E31-'Clean Unknown'!D$2:D$52)),""),"")</f>
        <v>7.9999999999998295E-2</v>
      </c>
      <c r="F31" t="str">
        <f t="array" ref="F31">IF(Knowns!F31&lt;&gt;"",IF(MIN('Clean Unknown'!E$2:E$52) &lt; 9999,MIN(ABS(Knowns!F31-'Clean Unknown'!E$2:E$52)),""),"")</f>
        <v/>
      </c>
      <c r="G31" t="str">
        <f t="array" ref="G31">IF(Knowns!G31&lt;&gt;"",IF(MIN('Clean Unknown'!F$2:F$52) &lt; 9999,MIN(ABS(Knowns!G31-'Clean Unknown'!F$2:F$52)),""),"")</f>
        <v/>
      </c>
    </row>
    <row r="32" spans="1:7">
      <c r="A32" t="str">
        <f>Knowns!A32</f>
        <v>Polyporus sulphurea</v>
      </c>
      <c r="B32">
        <f t="array" ref="B32">IF(Knowns!B32&lt;&gt;"",IF(MIN('Clean Unknown'!A$2:A$52) &lt; 9999,MIN(ABS(Knowns!B32-'Clean Unknown'!A$2:A$52)),""),"")</f>
        <v>27.139999999999986</v>
      </c>
      <c r="C32">
        <f t="array" ref="C32">IF(Knowns!C32&lt;&gt;"",IF(MIN('Clean Unknown'!B$2:B$52) &lt; 9999,MIN(ABS(Knowns!C32-'Clean Unknown'!B$2:B$52)),""),"")</f>
        <v>42.740000000000009</v>
      </c>
      <c r="D32">
        <f t="array" ref="D32">IF(Knowns!D32&lt;&gt;"",IF(MIN('Clean Unknown'!C$2:C$52) &lt; 9999,MIN(ABS(Knowns!D32-'Clean Unknown'!C$2:C$52)),""),"")</f>
        <v>312.95</v>
      </c>
      <c r="E32">
        <f t="array" ref="E32">IF(Knowns!E32&lt;&gt;"",IF(MIN('Clean Unknown'!D$2:D$52) &lt; 9999,MIN(ABS(Knowns!E32-'Clean Unknown'!D$2:D$52)),""),"")</f>
        <v>1.8799999999999955</v>
      </c>
      <c r="F32" t="str">
        <f t="array" ref="F32">IF(Knowns!F32&lt;&gt;"",IF(MIN('Clean Unknown'!E$2:E$52) &lt; 9999,MIN(ABS(Knowns!F32-'Clean Unknown'!E$2:E$52)),""),"")</f>
        <v/>
      </c>
      <c r="G32" t="str">
        <f t="array" ref="G32">IF(Knowns!G32&lt;&gt;"",IF(MIN('Clean Unknown'!F$2:F$52) &lt; 9999,MIN(ABS(Knowns!G32-'Clean Unknown'!F$2:F$52)),""),"")</f>
        <v/>
      </c>
    </row>
    <row r="33" spans="1:7">
      <c r="A33" t="str">
        <f>Knowns!A33</f>
        <v>Ramaria concolor</v>
      </c>
      <c r="B33">
        <f t="array" ref="B33">IF(Knowns!B33&lt;&gt;"",IF(MIN('Clean Unknown'!A$2:A$52) &lt; 9999,MIN(ABS(Knowns!B33-'Clean Unknown'!A$2:A$52)),""),"")</f>
        <v>3.2400000000000091</v>
      </c>
      <c r="C33">
        <f t="array" ref="C33">IF(Knowns!C33&lt;&gt;"",IF(MIN('Clean Unknown'!B$2:B$52) &lt; 9999,MIN(ABS(Knowns!C33-'Clean Unknown'!B$2:B$52)),""),"")</f>
        <v>1.5200000000000387</v>
      </c>
      <c r="D33">
        <f t="array" ref="D33">IF(Knowns!D33&lt;&gt;"",IF(MIN('Clean Unknown'!C$2:C$52) &lt; 9999,MIN(ABS(Knowns!D33-'Clean Unknown'!C$2:C$52)),""),"")</f>
        <v>3.410000000000025</v>
      </c>
      <c r="E33">
        <f t="array" ref="E33">IF(Knowns!E33&lt;&gt;"",IF(MIN('Clean Unknown'!D$2:D$52) &lt; 9999,MIN(ABS(Knowns!E33-'Clean Unknown'!D$2:D$52)),""),"")</f>
        <v>0.63000000000000966</v>
      </c>
      <c r="F33" t="str">
        <f t="array" ref="F33">IF(Knowns!F33&lt;&gt;"",IF(MIN('Clean Unknown'!E$2:E$52) &lt; 9999,MIN(ABS(Knowns!F33-'Clean Unknown'!E$2:E$52)),""),"")</f>
        <v/>
      </c>
      <c r="G33" t="str">
        <f t="array" ref="G33">IF(Knowns!G33&lt;&gt;"",IF(MIN('Clean Unknown'!F$2:F$52) &lt; 9999,MIN(ABS(Knowns!G33-'Clean Unknown'!F$2:F$52)),""),"")</f>
        <v/>
      </c>
    </row>
    <row r="34" spans="1:7">
      <c r="A34" t="str">
        <f>Knowns!A34</f>
        <v>Russula cf. vesca</v>
      </c>
      <c r="B34">
        <f t="array" ref="B34">IF(Knowns!B34&lt;&gt;"",IF(MIN('Clean Unknown'!A$2:A$52) &lt; 9999,MIN(ABS(Knowns!B34-'Clean Unknown'!A$2:A$52)),""),"")</f>
        <v>8.9500000000000028</v>
      </c>
      <c r="C34">
        <f t="array" ref="C34">IF(Knowns!C34&lt;&gt;"",IF(MIN('Clean Unknown'!B$2:B$52) &lt; 9999,MIN(ABS(Knowns!C34-'Clean Unknown'!B$2:B$52)),""),"")</f>
        <v>0.56000000000000227</v>
      </c>
      <c r="D34">
        <f t="array" ref="D34">IF(Knowns!D34&lt;&gt;"",IF(MIN('Clean Unknown'!C$2:C$52) &lt; 9999,MIN(ABS(Knowns!D34-'Clean Unknown'!C$2:C$52)),""),"")</f>
        <v>2.8800000000000239</v>
      </c>
      <c r="E34">
        <f t="array" ref="E34">IF(Knowns!E34&lt;&gt;"",IF(MIN('Clean Unknown'!D$2:D$52) &lt; 9999,MIN(ABS(Knowns!E34-'Clean Unknown'!D$2:D$52)),""),"")</f>
        <v>19.808007200000134</v>
      </c>
      <c r="F34" t="str">
        <f t="array" ref="F34">IF(Knowns!F34&lt;&gt;"",IF(MIN('Clean Unknown'!E$2:E$52) &lt; 9999,MIN(ABS(Knowns!F34-'Clean Unknown'!E$2:E$52)),""),"")</f>
        <v/>
      </c>
      <c r="G34" t="str">
        <f t="array" ref="G34">IF(Knowns!G34&lt;&gt;"",IF(MIN('Clean Unknown'!F$2:F$52) &lt; 9999,MIN(ABS(Knowns!G34-'Clean Unknown'!F$2:F$52)),""),"")</f>
        <v/>
      </c>
    </row>
    <row r="35" spans="1:7">
      <c r="A35" t="str">
        <f>Knowns!A35</f>
        <v>Russula pseudolepida</v>
      </c>
      <c r="B35">
        <f t="array" ref="B35">IF(Knowns!B35&lt;&gt;"",IF(MIN('Clean Unknown'!A$2:A$52) &lt; 9999,MIN(ABS(Knowns!B35-'Clean Unknown'!A$2:A$52)),""),"")</f>
        <v>18.95999999999998</v>
      </c>
      <c r="C35">
        <f t="array" ref="C35">IF(Knowns!C35&lt;&gt;"",IF(MIN('Clean Unknown'!B$2:B$52) &lt; 9999,MIN(ABS(Knowns!C35-'Clean Unknown'!B$2:B$52)),""),"")</f>
        <v>0.42000000000001592</v>
      </c>
      <c r="D35">
        <f t="array" ref="D35">IF(Knowns!D35&lt;&gt;"",IF(MIN('Clean Unknown'!C$2:C$52) &lt; 9999,MIN(ABS(Knowns!D35-'Clean Unknown'!C$2:C$52)),""),"")</f>
        <v>0.34999999999999432</v>
      </c>
      <c r="E35">
        <f t="array" ref="E35">IF(Knowns!E35&lt;&gt;"",IF(MIN('Clean Unknown'!D$2:D$52) &lt; 9999,MIN(ABS(Knowns!E35-'Clean Unknown'!D$2:D$52)),""),"")</f>
        <v>0.32999999999998408</v>
      </c>
      <c r="F35" t="str">
        <f t="array" ref="F35">IF(Knowns!F35&lt;&gt;"",IF(MIN('Clean Unknown'!E$2:E$52) &lt; 9999,MIN(ABS(Knowns!F35-'Clean Unknown'!E$2:E$52)),""),"")</f>
        <v/>
      </c>
      <c r="G35" t="str">
        <f t="array" ref="G35">IF(Knowns!G35&lt;&gt;"",IF(MIN('Clean Unknown'!F$2:F$52) &lt; 9999,MIN(ABS(Knowns!G35-'Clean Unknown'!F$2:F$52)),""),"")</f>
        <v/>
      </c>
    </row>
    <row r="36" spans="1:7">
      <c r="A36" t="str">
        <f>Knowns!A36</f>
        <v>Russula sp. red 1</v>
      </c>
      <c r="B36">
        <f t="array" ref="B36">IF(Knowns!B36&lt;&gt;"",IF(MIN('Clean Unknown'!A$2:A$52) &lt; 9999,MIN(ABS(Knowns!B36-'Clean Unknown'!A$2:A$52)),""),"")</f>
        <v>16.920000000000016</v>
      </c>
      <c r="C36">
        <f t="array" ref="C36">IF(Knowns!C36&lt;&gt;"",IF(MIN('Clean Unknown'!B$2:B$52) &lt; 9999,MIN(ABS(Knowns!C36-'Clean Unknown'!B$2:B$52)),""),"")</f>
        <v>1.5200000000000387</v>
      </c>
      <c r="D36" t="str">
        <f t="array" ref="D36">IF(Knowns!D36&lt;&gt;"",IF(MIN('Clean Unknown'!C$2:C$52) &lt; 9999,MIN(ABS(Knowns!D36-'Clean Unknown'!C$2:C$52)),""),"")</f>
        <v/>
      </c>
      <c r="E36">
        <f t="array" ref="E36">IF(Knowns!E36&lt;&gt;"",IF(MIN('Clean Unknown'!D$2:D$52) &lt; 9999,MIN(ABS(Knowns!E36-'Clean Unknown'!D$2:D$52)),""),"")</f>
        <v>8.9300000000000068</v>
      </c>
      <c r="F36" t="str">
        <f t="array" ref="F36">IF(Knowns!F36&lt;&gt;"",IF(MIN('Clean Unknown'!E$2:E$52) &lt; 9999,MIN(ABS(Knowns!F36-'Clean Unknown'!E$2:E$52)),""),"")</f>
        <v/>
      </c>
      <c r="G36" t="str">
        <f t="array" ref="G36">IF(Knowns!G36&lt;&gt;"",IF(MIN('Clean Unknown'!F$2:F$52) &lt; 9999,MIN(ABS(Knowns!G36-'Clean Unknown'!F$2:F$52)),""),"")</f>
        <v/>
      </c>
    </row>
    <row r="37" spans="1:7">
      <c r="A37" t="str">
        <f>Knowns!A37</f>
        <v>Russula silvicola</v>
      </c>
      <c r="B37">
        <f t="array" ref="B37">IF(Knowns!B37&lt;&gt;"",IF(MIN('Clean Unknown'!A$2:A$52) &lt; 9999,MIN(ABS(Knowns!B37-'Clean Unknown'!A$2:A$52)),""),"")</f>
        <v>7.4699999999999989</v>
      </c>
      <c r="C37">
        <f t="array" ref="C37">IF(Knowns!C37&lt;&gt;"",IF(MIN('Clean Unknown'!B$2:B$52) &lt; 9999,MIN(ABS(Knowns!C37-'Clean Unknown'!B$2:B$52)),""),"")</f>
        <v>7.9799999999999613</v>
      </c>
      <c r="D37">
        <f t="array" ref="D37">IF(Knowns!D37&lt;&gt;"",IF(MIN('Clean Unknown'!C$2:C$52) &lt; 9999,MIN(ABS(Knowns!D37-'Clean Unknown'!C$2:C$52)),""),"")</f>
        <v>12.649999999999977</v>
      </c>
      <c r="E37">
        <f t="array" ref="E37">IF(Knowns!E37&lt;&gt;"",IF(MIN('Clean Unknown'!D$2:D$52) &lt; 9999,MIN(ABS(Knowns!E37-'Clean Unknown'!D$2:D$52)),""),"")</f>
        <v>10.20999999999998</v>
      </c>
      <c r="F37" t="str">
        <f t="array" ref="F37">IF(Knowns!F37&lt;&gt;"",IF(MIN('Clean Unknown'!E$2:E$52) &lt; 9999,MIN(ABS(Knowns!F37-'Clean Unknown'!E$2:E$52)),""),"")</f>
        <v/>
      </c>
      <c r="G37" t="str">
        <f t="array" ref="G37">IF(Knowns!G37&lt;&gt;"",IF(MIN('Clean Unknown'!F$2:F$52) &lt; 9999,MIN(ABS(Knowns!G37-'Clean Unknown'!F$2:F$52)),""),"")</f>
        <v/>
      </c>
    </row>
    <row r="38" spans="1:7">
      <c r="A38" t="str">
        <f>Knowns!A38</f>
        <v>Russula sp. white 1 (=MT A,C',H,J)</v>
      </c>
      <c r="B38">
        <f t="array" ref="B38">IF(Knowns!B38&lt;&gt;"",IF(MIN('Clean Unknown'!A$2:A$52) &lt; 9999,MIN(ABS(Knowns!B38-'Clean Unknown'!A$2:A$52)),""),"")</f>
        <v>21.139999999999986</v>
      </c>
      <c r="C38">
        <f t="array" ref="C38">IF(Knowns!C38&lt;&gt;"",IF(MIN('Clean Unknown'!B$2:B$52) &lt; 9999,MIN(ABS(Knowns!C38-'Clean Unknown'!B$2:B$52)),""),"")</f>
        <v>0.62000000000000455</v>
      </c>
      <c r="D38">
        <f t="array" ref="D38">IF(Knowns!D38&lt;&gt;"",IF(MIN('Clean Unknown'!C$2:C$52) &lt; 9999,MIN(ABS(Knowns!D38-'Clean Unknown'!C$2:C$52)),""),"")</f>
        <v>451.65000000000003</v>
      </c>
      <c r="E38">
        <f t="array" ref="E38">IF(Knowns!E38&lt;&gt;"",IF(MIN('Clean Unknown'!D$2:D$52) &lt; 9999,MIN(ABS(Knowns!E38-'Clean Unknown'!D$2:D$52)),""),"")</f>
        <v>177.39199279999991</v>
      </c>
      <c r="F38" t="str">
        <f t="array" ref="F38">IF(Knowns!F38&lt;&gt;"",IF(MIN('Clean Unknown'!E$2:E$52) &lt; 9999,MIN(ABS(Knowns!F38-'Clean Unknown'!E$2:E$52)),""),"")</f>
        <v/>
      </c>
      <c r="G38" t="str">
        <f t="array" ref="G38">IF(Knowns!G38&lt;&gt;"",IF(MIN('Clean Unknown'!F$2:F$52) &lt; 9999,MIN(ABS(Knowns!G38-'Clean Unknown'!F$2:F$52)),""),"")</f>
        <v/>
      </c>
    </row>
    <row r="39" spans="1:7">
      <c r="A39" t="str">
        <f>Knowns!A39</f>
        <v>Russula sp. white 2</v>
      </c>
      <c r="B39">
        <f t="array" ref="B39">IF(Knowns!B39&lt;&gt;"",IF(MIN('Clean Unknown'!A$2:A$52) &lt; 9999,MIN(ABS(Knowns!B39-'Clean Unknown'!A$2:A$52)),""),"")</f>
        <v>7.2200000000000273</v>
      </c>
      <c r="C39">
        <f t="array" ref="C39">IF(Knowns!C39&lt;&gt;"",IF(MIN('Clean Unknown'!B$2:B$52) &lt; 9999,MIN(ABS(Knowns!C39-'Clean Unknown'!B$2:B$52)),""),"")</f>
        <v>1.8400000000000318</v>
      </c>
      <c r="D39">
        <f t="array" ref="D39">IF(Knowns!D39&lt;&gt;"",IF(MIN('Clean Unknown'!C$2:C$52) &lt; 9999,MIN(ABS(Knowns!D39-'Clean Unknown'!C$2:C$52)),""),"")</f>
        <v>6.4199999999999875</v>
      </c>
      <c r="E39">
        <f t="array" ref="E39">IF(Knowns!E39&lt;&gt;"",IF(MIN('Clean Unknown'!D$2:D$52) &lt; 9999,MIN(ABS(Knowns!E39-'Clean Unknown'!D$2:D$52)),""),"")</f>
        <v>24.208007200000111</v>
      </c>
      <c r="F39" t="str">
        <f t="array" ref="F39">IF(Knowns!F39&lt;&gt;"",IF(MIN('Clean Unknown'!E$2:E$52) &lt; 9999,MIN(ABS(Knowns!F39-'Clean Unknown'!E$2:E$52)),""),"")</f>
        <v/>
      </c>
      <c r="G39" t="str">
        <f t="array" ref="G39">IF(Knowns!G39&lt;&gt;"",IF(MIN('Clean Unknown'!F$2:F$52) &lt; 9999,MIN(ABS(Knowns!G39-'Clean Unknown'!F$2:F$52)),""),"")</f>
        <v/>
      </c>
    </row>
    <row r="40" spans="1:7">
      <c r="A40" t="str">
        <f>Knowns!A40</f>
        <v>Saprotroph 6 (THW)</v>
      </c>
      <c r="B40">
        <f t="array" ref="B40">IF(Knowns!B40&lt;&gt;"",IF(MIN('Clean Unknown'!A$2:A$52) &lt; 9999,MIN(ABS(Knowns!B40-'Clean Unknown'!A$2:A$52)),""),"")</f>
        <v>19.340000000000032</v>
      </c>
      <c r="C40">
        <f t="array" ref="C40">IF(Knowns!C40&lt;&gt;"",IF(MIN('Clean Unknown'!B$2:B$52) &lt; 9999,MIN(ABS(Knowns!C40-'Clean Unknown'!B$2:B$52)),""),"")</f>
        <v>35.819999999999993</v>
      </c>
      <c r="D40">
        <f t="array" ref="D40">IF(Knowns!D40&lt;&gt;"",IF(MIN('Clean Unknown'!C$2:C$52) &lt; 9999,MIN(ABS(Knowns!D40-'Clean Unknown'!C$2:C$52)),""),"")</f>
        <v>3.9900000000000091</v>
      </c>
      <c r="E40">
        <f t="array" ref="E40">IF(Knowns!E40&lt;&gt;"",IF(MIN('Clean Unknown'!D$2:D$52) &lt; 9999,MIN(ABS(Knowns!E40-'Clean Unknown'!D$2:D$52)),""),"")</f>
        <v>3.1200000000000045</v>
      </c>
      <c r="F40" t="str">
        <f t="array" ref="F40">IF(Knowns!F40&lt;&gt;"",IF(MIN('Clean Unknown'!E$2:E$52) &lt; 9999,MIN(ABS(Knowns!F40-'Clean Unknown'!E$2:E$52)),""),"")</f>
        <v/>
      </c>
      <c r="G40" t="str">
        <f t="array" ref="G40">IF(Knowns!G40&lt;&gt;"",IF(MIN('Clean Unknown'!F$2:F$52) &lt; 9999,MIN(ABS(Knowns!G40-'Clean Unknown'!F$2:F$52)),""),"")</f>
        <v/>
      </c>
    </row>
    <row r="41" spans="1:7">
      <c r="A41" t="str">
        <f>Knowns!A41</f>
        <v>Saprotroph 8 (TWH)</v>
      </c>
      <c r="B41">
        <f t="array" ref="B41">IF(Knowns!B41&lt;&gt;"",IF(MIN('Clean Unknown'!A$2:A$52) &lt; 9999,MIN(ABS(Knowns!B41-'Clean Unknown'!A$2:A$52)),""),"")</f>
        <v>53.54000000000002</v>
      </c>
      <c r="C41">
        <f t="array" ref="C41">IF(Knowns!C41&lt;&gt;"",IF(MIN('Clean Unknown'!B$2:B$52) &lt; 9999,MIN(ABS(Knowns!C41-'Clean Unknown'!B$2:B$52)),""),"")</f>
        <v>0.34000000000000341</v>
      </c>
      <c r="D41">
        <f t="array" ref="D41">IF(Knowns!D41&lt;&gt;"",IF(MIN('Clean Unknown'!C$2:C$52) &lt; 9999,MIN(ABS(Knowns!D41-'Clean Unknown'!C$2:C$52)),""),"")</f>
        <v>0.21999999999999886</v>
      </c>
      <c r="E41">
        <f t="array" ref="E41">IF(Knowns!E41&lt;&gt;"",IF(MIN('Clean Unknown'!D$2:D$52) &lt; 9999,MIN(ABS(Knowns!E41-'Clean Unknown'!D$2:D$52)),""),"")</f>
        <v>11.310000000000002</v>
      </c>
      <c r="F41" t="str">
        <f t="array" ref="F41">IF(Knowns!F41&lt;&gt;"",IF(MIN('Clean Unknown'!E$2:E$52) &lt; 9999,MIN(ABS(Knowns!F41-'Clean Unknown'!E$2:E$52)),""),"")</f>
        <v/>
      </c>
      <c r="G41" t="str">
        <f t="array" ref="G41">IF(Knowns!G41&lt;&gt;"",IF(MIN('Clean Unknown'!F$2:F$52) &lt; 9999,MIN(ABS(Knowns!G41-'Clean Unknown'!F$2:F$52)),""),"")</f>
        <v/>
      </c>
    </row>
    <row r="42" spans="1:7">
      <c r="A42" t="str">
        <f>Knowns!A42</f>
        <v>Scleroderma sp.</v>
      </c>
      <c r="B42">
        <f t="array" ref="B42">IF(Knowns!B42&lt;&gt;"",IF(MIN('Clean Unknown'!A$2:A$52) &lt; 9999,MIN(ABS(Knowns!B42-'Clean Unknown'!A$2:A$52)),""),"")</f>
        <v>101.34</v>
      </c>
      <c r="C42">
        <f t="array" ref="C42">IF(Knowns!C42&lt;&gt;"",IF(MIN('Clean Unknown'!B$2:B$52) &lt; 9999,MIN(ABS(Knowns!C42-'Clean Unknown'!B$2:B$52)),""),"")</f>
        <v>8.3600000000000136</v>
      </c>
      <c r="D42">
        <f t="array" ref="D42">IF(Knowns!D42&lt;&gt;"",IF(MIN('Clean Unknown'!C$2:C$52) &lt; 9999,MIN(ABS(Knowns!D42-'Clean Unknown'!C$2:C$52)),""),"")</f>
        <v>4.8900000000000006</v>
      </c>
      <c r="E42">
        <f t="array" ref="E42">IF(Knowns!E42&lt;&gt;"",IF(MIN('Clean Unknown'!D$2:D$52) &lt; 9999,MIN(ABS(Knowns!E42-'Clean Unknown'!D$2:D$52)),""),"")</f>
        <v>3.519999999999996</v>
      </c>
      <c r="F42" t="str">
        <f t="array" ref="F42">IF(Knowns!F42&lt;&gt;"",IF(MIN('Clean Unknown'!E$2:E$52) &lt; 9999,MIN(ABS(Knowns!F42-'Clean Unknown'!E$2:E$52)),""),"")</f>
        <v/>
      </c>
      <c r="G42" t="str">
        <f t="array" ref="G42">IF(Knowns!G42&lt;&gt;"",IF(MIN('Clean Unknown'!F$2:F$52) &lt; 9999,MIN(ABS(Knowns!G42-'Clean Unknown'!F$2:F$52)),""),"")</f>
        <v/>
      </c>
    </row>
    <row r="43" spans="1:7">
      <c r="A43" t="str">
        <f>Knowns!A43</f>
        <v>Scleroderma citrinum (=MT I)</v>
      </c>
      <c r="B43">
        <f t="array" ref="B43">IF(Knowns!B43&lt;&gt;"",IF(MIN('Clean Unknown'!A$2:A$52) &lt; 9999,MIN(ABS(Knowns!B43-'Clean Unknown'!A$2:A$52)),""),"")</f>
        <v>96.04000000000002</v>
      </c>
      <c r="C43">
        <f t="array" ref="C43">IF(Knowns!C43&lt;&gt;"",IF(MIN('Clean Unknown'!B$2:B$52) &lt; 9999,MIN(ABS(Knowns!C43-'Clean Unknown'!B$2:B$52)),""),"")</f>
        <v>3.6300000000000097</v>
      </c>
      <c r="D43">
        <f t="array" ref="D43">IF(Knowns!D43&lt;&gt;"",IF(MIN('Clean Unknown'!C$2:C$52) &lt; 9999,MIN(ABS(Knowns!D43-'Clean Unknown'!C$2:C$52)),""),"")</f>
        <v>3.9900000000000091</v>
      </c>
      <c r="E43">
        <f t="array" ref="E43">IF(Knowns!E43&lt;&gt;"",IF(MIN('Clean Unknown'!D$2:D$52) &lt; 9999,MIN(ABS(Knowns!E43-'Clean Unknown'!D$2:D$52)),""),"")</f>
        <v>16.850000000000023</v>
      </c>
      <c r="F43" t="str">
        <f t="array" ref="F43">IF(Knowns!F43&lt;&gt;"",IF(MIN('Clean Unknown'!E$2:E$52) &lt; 9999,MIN(ABS(Knowns!F43-'Clean Unknown'!E$2:E$52)),""),"")</f>
        <v/>
      </c>
      <c r="G43" t="str">
        <f t="array" ref="G43">IF(Knowns!G43&lt;&gt;"",IF(MIN('Clean Unknown'!F$2:F$52) &lt; 9999,MIN(ABS(Knowns!G43-'Clean Unknown'!F$2:F$52)),""),"")</f>
        <v/>
      </c>
    </row>
    <row r="44" spans="1:7">
      <c r="A44" t="str">
        <f>Knowns!A44</f>
        <v>Suillus intermedius</v>
      </c>
      <c r="B44">
        <f t="array" ref="B44">IF(Knowns!B44&lt;&gt;"",IF(MIN('Clean Unknown'!A$2:A$52) &lt; 9999,MIN(ABS(Knowns!B44-'Clean Unknown'!A$2:A$52)),""),"")</f>
        <v>113.53</v>
      </c>
      <c r="C44">
        <f t="array" ref="C44">IF(Knowns!C44&lt;&gt;"",IF(MIN('Clean Unknown'!B$2:B$52) &lt; 9999,MIN(ABS(Knowns!C44-'Clean Unknown'!B$2:B$52)),""),"")</f>
        <v>10.240000000000009</v>
      </c>
      <c r="D44">
        <f t="array" ref="D44">IF(Knowns!D44&lt;&gt;"",IF(MIN('Clean Unknown'!C$2:C$52) &lt; 9999,MIN(ABS(Knowns!D44-'Clean Unknown'!C$2:C$52)),""),"")</f>
        <v>4.3100000000000023</v>
      </c>
      <c r="E44">
        <f t="array" ref="E44">IF(Knowns!E44&lt;&gt;"",IF(MIN('Clean Unknown'!D$2:D$52) &lt; 9999,MIN(ABS(Knowns!E44-'Clean Unknown'!D$2:D$52)),""),"")</f>
        <v>1.1800000000000068</v>
      </c>
      <c r="F44" t="str">
        <f t="array" ref="F44">IF(Knowns!F44&lt;&gt;"",IF(MIN('Clean Unknown'!E$2:E$52) &lt; 9999,MIN(ABS(Knowns!F44-'Clean Unknown'!E$2:E$52)),""),"")</f>
        <v/>
      </c>
      <c r="G44" t="str">
        <f t="array" ref="G44">IF(Knowns!G44&lt;&gt;"",IF(MIN('Clean Unknown'!F$2:F$52) &lt; 9999,MIN(ABS(Knowns!G44-'Clean Unknown'!F$2:F$52)),""),"")</f>
        <v/>
      </c>
    </row>
    <row r="45" spans="1:7">
      <c r="A45" t="str">
        <f>Knowns!A45</f>
        <v xml:space="preserve">Trichoderma sp. </v>
      </c>
      <c r="B45">
        <f t="array" ref="B45">IF(Knowns!B45&lt;&gt;"",IF(MIN('Clean Unknown'!A$2:A$52) &lt; 9999,MIN(ABS(Knowns!B45-'Clean Unknown'!A$2:A$52)),""),"")</f>
        <v>67.94</v>
      </c>
      <c r="C45">
        <f t="array" ref="C45">IF(Knowns!C45&lt;&gt;"",IF(MIN('Clean Unknown'!B$2:B$52) &lt; 9999,MIN(ABS(Knowns!C45-'Clean Unknown'!B$2:B$52)),""),"")</f>
        <v>13.979999999999961</v>
      </c>
      <c r="D45">
        <f t="array" ref="D45">IF(Knowns!D45&lt;&gt;"",IF(MIN('Clean Unknown'!C$2:C$52) &lt; 9999,MIN(ABS(Knowns!D45-'Clean Unknown'!C$2:C$52)),""),"")</f>
        <v>5.2900000000000063</v>
      </c>
      <c r="E45">
        <f t="array" ref="E45">IF(Knowns!E45&lt;&gt;"",IF(MIN('Clean Unknown'!D$2:D$52) &lt; 9999,MIN(ABS(Knowns!E45-'Clean Unknown'!D$2:D$52)),""),"")</f>
        <v>2.0200000000000102</v>
      </c>
      <c r="F45" t="str">
        <f t="array" ref="F45">IF(Knowns!F45&lt;&gt;"",IF(MIN('Clean Unknown'!E$2:E$52) &lt; 9999,MIN(ABS(Knowns!F45-'Clean Unknown'!E$2:E$52)),""),"")</f>
        <v/>
      </c>
      <c r="G45" t="str">
        <f t="array" ref="G45">IF(Knowns!G45&lt;&gt;"",IF(MIN('Clean Unknown'!F$2:F$52) &lt; 9999,MIN(ABS(Knowns!G45-'Clean Unknown'!F$2:F$52)),""),"")</f>
        <v/>
      </c>
    </row>
    <row r="46" spans="1:7">
      <c r="A46" t="str">
        <f>Knowns!A46</f>
        <v>Tricholoma virgatum</v>
      </c>
      <c r="B46">
        <f t="array" ref="B46">IF(Knowns!B46&lt;&gt;"",IF(MIN('Clean Unknown'!A$2:A$52) &lt; 9999,MIN(ABS(Knowns!B46-'Clean Unknown'!A$2:A$52)),""),"")</f>
        <v>15.240000000000009</v>
      </c>
      <c r="C46">
        <f t="array" ref="C46">IF(Knowns!C46&lt;&gt;"",IF(MIN('Clean Unknown'!B$2:B$52) &lt; 9999,MIN(ABS(Knowns!C46-'Clean Unknown'!B$2:B$52)),""),"")</f>
        <v>8.0199999999999818</v>
      </c>
      <c r="D46">
        <f t="array" ref="D46">IF(Knowns!D46&lt;&gt;"",IF(MIN('Clean Unknown'!C$2:C$52) &lt; 9999,MIN(ABS(Knowns!D46-'Clean Unknown'!C$2:C$52)),""),"")</f>
        <v>438.05</v>
      </c>
      <c r="E46">
        <f t="array" ref="E46">IF(Knowns!E46&lt;&gt;"",IF(MIN('Clean Unknown'!D$2:D$52) &lt; 9999,MIN(ABS(Knowns!E46-'Clean Unknown'!D$2:D$52)),""),"")</f>
        <v>172.39199279999991</v>
      </c>
      <c r="F46" t="str">
        <f t="array" ref="F46">IF(Knowns!F46&lt;&gt;"",IF(MIN('Clean Unknown'!E$2:E$52) &lt; 9999,MIN(ABS(Knowns!F46-'Clean Unknown'!E$2:E$52)),""),"")</f>
        <v/>
      </c>
      <c r="G46" t="str">
        <f t="array" ref="G46">IF(Knowns!G46&lt;&gt;"",IF(MIN('Clean Unknown'!F$2:F$52) &lt; 9999,MIN(ABS(Knowns!G46-'Clean Unknown'!F$2:F$52)),""),"")</f>
        <v/>
      </c>
    </row>
    <row r="47" spans="1:7">
      <c r="A47" t="str">
        <f>Knowns!A47</f>
        <v>Tylopilus felleus (=MT D,O)</v>
      </c>
      <c r="B47">
        <f t="array" ref="B47">IF(Knowns!B47&lt;&gt;"",IF(MIN('Clean Unknown'!A$2:A$52) &lt; 9999,MIN(ABS(Knowns!B47-'Clean Unknown'!A$2:A$52)),""),"")</f>
        <v>12.439999999999998</v>
      </c>
      <c r="C47">
        <f t="array" ref="C47">IF(Knowns!C47&lt;&gt;"",IF(MIN('Clean Unknown'!B$2:B$52) &lt; 9999,MIN(ABS(Knowns!C47-'Clean Unknown'!B$2:B$52)),""),"")</f>
        <v>18.340000000000003</v>
      </c>
      <c r="D47">
        <f t="array" ref="D47">IF(Knowns!D47&lt;&gt;"",IF(MIN('Clean Unknown'!C$2:C$52) &lt; 9999,MIN(ABS(Knowns!D47-'Clean Unknown'!C$2:C$52)),""),"")</f>
        <v>7.710000000000008</v>
      </c>
      <c r="E47">
        <f t="array" ref="E47">IF(Knowns!E47&lt;&gt;"",IF(MIN('Clean Unknown'!D$2:D$52) &lt; 9999,MIN(ABS(Knowns!E47-'Clean Unknown'!D$2:D$52)),""),"")</f>
        <v>37.491992799999935</v>
      </c>
      <c r="F47" t="str">
        <f t="array" ref="F47">IF(Knowns!F47&lt;&gt;"",IF(MIN('Clean Unknown'!E$2:E$52) &lt; 9999,MIN(ABS(Knowns!F47-'Clean Unknown'!E$2:E$52)),""),"")</f>
        <v/>
      </c>
      <c r="G47" t="str">
        <f t="array" ref="G47">IF(Knowns!G47&lt;&gt;"",IF(MIN('Clean Unknown'!F$2:F$52) &lt; 9999,MIN(ABS(Knowns!G47-'Clean Unknown'!F$2:F$52)),""),"")</f>
        <v/>
      </c>
    </row>
    <row r="48" spans="1:7">
      <c r="A48" t="str">
        <f>Knowns!A48</f>
        <v>Unknown TRFLP 001</v>
      </c>
      <c r="B48">
        <f t="array" ref="B48">IF(Knowns!B48&lt;&gt;"",IF(MIN('Clean Unknown'!A$2:A$52) &lt; 9999,MIN(ABS(Knowns!B48-'Clean Unknown'!A$2:A$52)),""),"")</f>
        <v>3.0000000000001137E-2</v>
      </c>
      <c r="C48">
        <f t="array" ref="C48">IF(Knowns!C48&lt;&gt;"",IF(MIN('Clean Unknown'!B$2:B$52) &lt; 9999,MIN(ABS(Knowns!C48-'Clean Unknown'!B$2:B$52)),""),"")</f>
        <v>6.160000000000025</v>
      </c>
      <c r="D48" t="str">
        <f t="array" ref="D48">IF(Knowns!D48&lt;&gt;"",IF(MIN('Clean Unknown'!C$2:C$52) &lt; 9999,MIN(ABS(Knowns!D48-'Clean Unknown'!C$2:C$52)),""),"")</f>
        <v/>
      </c>
      <c r="E48" t="str">
        <f t="array" ref="E48">IF(Knowns!E48&lt;&gt;"",IF(MIN('Clean Unknown'!D$2:D$52) &lt; 9999,MIN(ABS(Knowns!E48-'Clean Unknown'!D$2:D$52)),""),"")</f>
        <v/>
      </c>
      <c r="F48" t="str">
        <f t="array" ref="F48">IF(Knowns!F48&lt;&gt;"",IF(MIN('Clean Unknown'!E$2:E$52) &lt; 9999,MIN(ABS(Knowns!F48-'Clean Unknown'!E$2:E$52)),""),"")</f>
        <v/>
      </c>
      <c r="G48" t="str">
        <f t="array" ref="G48">IF(Knowns!G48&lt;&gt;"",IF(MIN('Clean Unknown'!F$2:F$52) &lt; 9999,MIN(ABS(Knowns!G48-'Clean Unknown'!F$2:F$52)),""),"")</f>
        <v/>
      </c>
    </row>
    <row r="49" spans="1:7">
      <c r="A49" t="str">
        <f>Knowns!A49</f>
        <v>Unknown TRFLP 002</v>
      </c>
      <c r="B49">
        <f t="array" ref="B49">IF(Knowns!B49&lt;&gt;"",IF(MIN('Clean Unknown'!A$2:A$52) &lt; 9999,MIN(ABS(Knowns!B49-'Clean Unknown'!A$2:A$52)),""),"")</f>
        <v>40.04000000000002</v>
      </c>
      <c r="C49">
        <f t="array" ref="C49">IF(Knowns!C49&lt;&gt;"",IF(MIN('Clean Unknown'!B$2:B$52) &lt; 9999,MIN(ABS(Knowns!C49-'Clean Unknown'!B$2:B$52)),""),"")</f>
        <v>7.2099999999999795</v>
      </c>
      <c r="D49" t="str">
        <f t="array" ref="D49">IF(Knowns!D49&lt;&gt;"",IF(MIN('Clean Unknown'!C$2:C$52) &lt; 9999,MIN(ABS(Knowns!D49-'Clean Unknown'!C$2:C$52)),""),"")</f>
        <v/>
      </c>
      <c r="E49" t="str">
        <f t="array" ref="E49">IF(Knowns!E49&lt;&gt;"",IF(MIN('Clean Unknown'!D$2:D$52) &lt; 9999,MIN(ABS(Knowns!E49-'Clean Unknown'!D$2:D$52)),""),"")</f>
        <v/>
      </c>
      <c r="F49" t="str">
        <f t="array" ref="F49">IF(Knowns!F49&lt;&gt;"",IF(MIN('Clean Unknown'!E$2:E$52) &lt; 9999,MIN(ABS(Knowns!F49-'Clean Unknown'!E$2:E$52)),""),"")</f>
        <v/>
      </c>
      <c r="G49" t="str">
        <f t="array" ref="G49">IF(Knowns!G49&lt;&gt;"",IF(MIN('Clean Unknown'!F$2:F$52) &lt; 9999,MIN(ABS(Knowns!G49-'Clean Unknown'!F$2:F$52)),""),"")</f>
        <v/>
      </c>
    </row>
    <row r="50" spans="1:7">
      <c r="A50" t="str">
        <f>Knowns!A50</f>
        <v>Unknown TRFLP 003</v>
      </c>
      <c r="B50">
        <f t="array" ref="B50">IF(Knowns!B50&lt;&gt;"",IF(MIN('Clean Unknown'!A$2:A$52) &lt; 9999,MIN(ABS(Knowns!B50-'Clean Unknown'!A$2:A$52)),""),"")</f>
        <v>77.639999999999986</v>
      </c>
      <c r="C50">
        <f t="array" ref="C50">IF(Knowns!C50&lt;&gt;"",IF(MIN('Clean Unknown'!B$2:B$52) &lt; 9999,MIN(ABS(Knowns!C50-'Clean Unknown'!B$2:B$52)),""),"")</f>
        <v>1.5399999999999636</v>
      </c>
      <c r="D50">
        <f t="array" ref="D50">IF(Knowns!D50&lt;&gt;"",IF(MIN('Clean Unknown'!C$2:C$52) &lt; 9999,MIN(ABS(Knowns!D50-'Clean Unknown'!C$2:C$52)),""),"")</f>
        <v>3.8099999999999881</v>
      </c>
      <c r="E50">
        <f t="array" ref="E50">IF(Knowns!E50&lt;&gt;"",IF(MIN('Clean Unknown'!D$2:D$52) &lt; 9999,MIN(ABS(Knowns!E50-'Clean Unknown'!D$2:D$52)),""),"")</f>
        <v>2.4699999999999989</v>
      </c>
      <c r="F50" t="str">
        <f t="array" ref="F50">IF(Knowns!F50&lt;&gt;"",IF(MIN('Clean Unknown'!E$2:E$52) &lt; 9999,MIN(ABS(Knowns!F50-'Clean Unknown'!E$2:E$52)),""),"")</f>
        <v/>
      </c>
      <c r="G50" t="str">
        <f t="array" ref="G50">IF(Knowns!G50&lt;&gt;"",IF(MIN('Clean Unknown'!F$2:F$52) &lt; 9999,MIN(ABS(Knowns!G50-'Clean Unknown'!F$2:F$52)),""),"")</f>
        <v/>
      </c>
    </row>
    <row r="51" spans="1:7">
      <c r="A51" t="str">
        <f>Knowns!A51</f>
        <v>Unknown TRFLP 004</v>
      </c>
      <c r="B51">
        <f t="array" ref="B51">IF(Knowns!B51&lt;&gt;"",IF(MIN('Clean Unknown'!A$2:A$52) &lt; 9999,MIN(ABS(Knowns!B51-'Clean Unknown'!A$2:A$52)),""),"")</f>
        <v>27.04000000000002</v>
      </c>
      <c r="C51">
        <f t="array" ref="C51">IF(Knowns!C51&lt;&gt;"",IF(MIN('Clean Unknown'!B$2:B$52) &lt; 9999,MIN(ABS(Knowns!C51-'Clean Unknown'!B$2:B$52)),""),"")</f>
        <v>27.860000000000014</v>
      </c>
      <c r="D51">
        <f t="array" ref="D51">IF(Knowns!D51&lt;&gt;"",IF(MIN('Clean Unknown'!C$2:C$52) &lt; 9999,MIN(ABS(Knowns!D51-'Clean Unknown'!C$2:C$52)),""),"")</f>
        <v>332.95</v>
      </c>
      <c r="E51">
        <f t="array" ref="E51">IF(Knowns!E51&lt;&gt;"",IF(MIN('Clean Unknown'!D$2:D$52) &lt; 9999,MIN(ABS(Knowns!E51-'Clean Unknown'!D$2:D$52)),""),"")</f>
        <v>17.810000000000002</v>
      </c>
      <c r="F51" t="str">
        <f t="array" ref="F51">IF(Knowns!F51&lt;&gt;"",IF(MIN('Clean Unknown'!E$2:E$52) &lt; 9999,MIN(ABS(Knowns!F51-'Clean Unknown'!E$2:E$52)),""),"")</f>
        <v/>
      </c>
      <c r="G51" t="str">
        <f t="array" ref="G51">IF(Knowns!G51&lt;&gt;"",IF(MIN('Clean Unknown'!F$2:F$52) &lt; 9999,MIN(ABS(Knowns!G51-'Clean Unknown'!F$2:F$52)),""),"")</f>
        <v/>
      </c>
    </row>
    <row r="52" spans="1:7">
      <c r="A52" t="str">
        <f>Knowns!A52</f>
        <v>Unknown TRFLP 005</v>
      </c>
      <c r="B52">
        <f t="array" ref="B52">IF(Knowns!B52&lt;&gt;"",IF(MIN('Clean Unknown'!A$2:A$52) &lt; 9999,MIN(ABS(Knowns!B52-'Clean Unknown'!A$2:A$52)),""),"")</f>
        <v>0.84000000000003183</v>
      </c>
      <c r="C52">
        <f t="array" ref="C52">IF(Knowns!C52&lt;&gt;"",IF(MIN('Clean Unknown'!B$2:B$52) &lt; 9999,MIN(ABS(Knowns!C52-'Clean Unknown'!B$2:B$52)),""),"")</f>
        <v>4.0000000000020464E-2</v>
      </c>
      <c r="D52">
        <f t="array" ref="D52">IF(Knowns!D52&lt;&gt;"",IF(MIN('Clean Unknown'!C$2:C$52) &lt; 9999,MIN(ABS(Knowns!D52-'Clean Unknown'!C$2:C$52)),""),"")</f>
        <v>0.51999999999999602</v>
      </c>
      <c r="E52">
        <f t="array" ref="E52">IF(Knowns!E52&lt;&gt;"",IF(MIN('Clean Unknown'!D$2:D$52) &lt; 9999,MIN(ABS(Knowns!E52-'Clean Unknown'!D$2:D$52)),""),"")</f>
        <v>3.0000000000001137E-2</v>
      </c>
      <c r="F52" t="str">
        <f t="array" ref="F52">IF(Knowns!F52&lt;&gt;"",IF(MIN('Clean Unknown'!E$2:E$52) &lt; 9999,MIN(ABS(Knowns!F52-'Clean Unknown'!E$2:E$52)),""),"")</f>
        <v/>
      </c>
      <c r="G52" t="str">
        <f t="array" ref="G52">IF(Knowns!G52&lt;&gt;"",IF(MIN('Clean Unknown'!F$2:F$52) &lt; 9999,MIN(ABS(Knowns!G52-'Clean Unknown'!F$2:F$52)),""),"")</f>
        <v/>
      </c>
    </row>
    <row r="53" spans="1:7">
      <c r="A53" t="str">
        <f>Knowns!A53</f>
        <v>Unknown TRFLP 006</v>
      </c>
      <c r="B53">
        <f t="array" ref="B53">IF(Knowns!B53&lt;&gt;"",IF(MIN('Clean Unknown'!A$2:A$52) &lt; 9999,MIN(ABS(Knowns!B53-'Clean Unknown'!A$2:A$52)),""),"")</f>
        <v>0.63000000000000966</v>
      </c>
      <c r="C53">
        <f t="array" ref="C53">IF(Knowns!C53&lt;&gt;"",IF(MIN('Clean Unknown'!B$2:B$52) &lt; 9999,MIN(ABS(Knowns!C53-'Clean Unknown'!B$2:B$52)),""),"")</f>
        <v>0.38999999999998636</v>
      </c>
      <c r="D53">
        <f t="array" ref="D53">IF(Knowns!D53&lt;&gt;"",IF(MIN('Clean Unknown'!C$2:C$52) &lt; 9999,MIN(ABS(Knowns!D53-'Clean Unknown'!C$2:C$52)),""),"")</f>
        <v>0.28999999999999204</v>
      </c>
      <c r="E53">
        <f t="array" ref="E53">IF(Knowns!E53&lt;&gt;"",IF(MIN('Clean Unknown'!D$2:D$52) &lt; 9999,MIN(ABS(Knowns!E53-'Clean Unknown'!D$2:D$52)),""),"")</f>
        <v>6.9999999999993179E-2</v>
      </c>
      <c r="F53" t="str">
        <f t="array" ref="F53">IF(Knowns!F53&lt;&gt;"",IF(MIN('Clean Unknown'!E$2:E$52) &lt; 9999,MIN(ABS(Knowns!F53-'Clean Unknown'!E$2:E$52)),""),"")</f>
        <v/>
      </c>
      <c r="G53" t="str">
        <f t="array" ref="G53">IF(Knowns!G53&lt;&gt;"",IF(MIN('Clean Unknown'!F$2:F$52) &lt; 9999,MIN(ABS(Knowns!G53-'Clean Unknown'!F$2:F$52)),""),"")</f>
        <v/>
      </c>
    </row>
    <row r="54" spans="1:7">
      <c r="A54" t="str">
        <f>Knowns!A54</f>
        <v>Unknown TRFLP 007</v>
      </c>
      <c r="B54">
        <f t="array" ref="B54">IF(Knowns!B54&lt;&gt;"",IF(MIN('Clean Unknown'!A$2:A$52) &lt; 9999,MIN(ABS(Knowns!B54-'Clean Unknown'!A$2:A$52)),""),"")</f>
        <v>18.63000000000001</v>
      </c>
      <c r="C54">
        <f t="array" ref="C54">IF(Knowns!C54&lt;&gt;"",IF(MIN('Clean Unknown'!B$2:B$52) &lt; 9999,MIN(ABS(Knowns!C54-'Clean Unknown'!B$2:B$52)),""),"")</f>
        <v>11.560000000000002</v>
      </c>
      <c r="D54">
        <f t="array" ref="D54">IF(Knowns!D54&lt;&gt;"",IF(MIN('Clean Unknown'!C$2:C$52) &lt; 9999,MIN(ABS(Knowns!D54-'Clean Unknown'!C$2:C$52)),""),"")</f>
        <v>9.9999999999909051E-3</v>
      </c>
      <c r="E54">
        <f t="array" ref="E54">IF(Knowns!E54&lt;&gt;"",IF(MIN('Clean Unknown'!D$2:D$52) &lt; 9999,MIN(ABS(Knowns!E54-'Clean Unknown'!D$2:D$52)),""),"")</f>
        <v>2.0000000000010232E-2</v>
      </c>
      <c r="F54" t="str">
        <f t="array" ref="F54">IF(Knowns!F54&lt;&gt;"",IF(MIN('Clean Unknown'!E$2:E$52) &lt; 9999,MIN(ABS(Knowns!F54-'Clean Unknown'!E$2:E$52)),""),"")</f>
        <v/>
      </c>
      <c r="G54" t="str">
        <f t="array" ref="G54">IF(Knowns!G54&lt;&gt;"",IF(MIN('Clean Unknown'!F$2:F$52) &lt; 9999,MIN(ABS(Knowns!G54-'Clean Unknown'!F$2:F$52)),""),"")</f>
        <v/>
      </c>
    </row>
    <row r="55" spans="1:7">
      <c r="A55" t="str">
        <f>Knowns!A55</f>
        <v>Unknown TRFLP 008</v>
      </c>
      <c r="B55">
        <f t="array" ref="B55">IF(Knowns!B55&lt;&gt;"",IF(MIN('Clean Unknown'!A$2:A$52) &lt; 9999,MIN(ABS(Knowns!B55-'Clean Unknown'!A$2:A$52)),""),"")</f>
        <v>56.740000000000009</v>
      </c>
      <c r="C55">
        <f t="array" ref="C55">IF(Knowns!C55&lt;&gt;"",IF(MIN('Clean Unknown'!B$2:B$52) &lt; 9999,MIN(ABS(Knowns!C55-'Clean Unknown'!B$2:B$52)),""),"")</f>
        <v>10.860000000000014</v>
      </c>
      <c r="D55">
        <f t="array" ref="D55">IF(Knowns!D55&lt;&gt;"",IF(MIN('Clean Unknown'!C$2:C$52) &lt; 9999,MIN(ABS(Knowns!D55-'Clean Unknown'!C$2:C$52)),""),"")</f>
        <v>2.1100000000000136</v>
      </c>
      <c r="E55">
        <f t="array" ref="E55">IF(Knowns!E55&lt;&gt;"",IF(MIN('Clean Unknown'!D$2:D$52) &lt; 9999,MIN(ABS(Knowns!E55-'Clean Unknown'!D$2:D$52)),""),"")</f>
        <v>7.0300000000000011</v>
      </c>
      <c r="F55" t="str">
        <f t="array" ref="F55">IF(Knowns!F55&lt;&gt;"",IF(MIN('Clean Unknown'!E$2:E$52) &lt; 9999,MIN(ABS(Knowns!F55-'Clean Unknown'!E$2:E$52)),""),"")</f>
        <v/>
      </c>
      <c r="G55" t="str">
        <f t="array" ref="G55">IF(Knowns!G55&lt;&gt;"",IF(MIN('Clean Unknown'!F$2:F$52) &lt; 9999,MIN(ABS(Knowns!G55-'Clean Unknown'!F$2:F$52)),""),"")</f>
        <v/>
      </c>
    </row>
    <row r="56" spans="1:7">
      <c r="A56" t="str">
        <f>Knowns!A56</f>
        <v>Unknown TRFLP 009</v>
      </c>
      <c r="B56">
        <f t="array" ref="B56">IF(Knowns!B56&lt;&gt;"",IF(MIN('Clean Unknown'!A$2:A$52) &lt; 9999,MIN(ABS(Knowns!B56-'Clean Unknown'!A$2:A$52)),""),"")</f>
        <v>102.64000000000001</v>
      </c>
      <c r="C56">
        <f t="array" ref="C56">IF(Knowns!C56&lt;&gt;"",IF(MIN('Clean Unknown'!B$2:B$52) &lt; 9999,MIN(ABS(Knowns!C56-'Clean Unknown'!B$2:B$52)),""),"")</f>
        <v>8.4799999999999613</v>
      </c>
      <c r="D56">
        <f t="array" ref="D56">IF(Knowns!D56&lt;&gt;"",IF(MIN('Clean Unknown'!C$2:C$52) &lt; 9999,MIN(ABS(Knowns!D56-'Clean Unknown'!C$2:C$52)),""),"")</f>
        <v>5.3800000000000239</v>
      </c>
      <c r="E56">
        <f t="array" ref="E56">IF(Knowns!E56&lt;&gt;"",IF(MIN('Clean Unknown'!D$2:D$52) &lt; 9999,MIN(ABS(Knowns!E56-'Clean Unknown'!D$2:D$52)),""),"")</f>
        <v>2.8699999999999903</v>
      </c>
      <c r="F56" t="str">
        <f t="array" ref="F56">IF(Knowns!F56&lt;&gt;"",IF(MIN('Clean Unknown'!E$2:E$52) &lt; 9999,MIN(ABS(Knowns!F56-'Clean Unknown'!E$2:E$52)),""),"")</f>
        <v/>
      </c>
      <c r="G56" t="str">
        <f t="array" ref="G56">IF(Knowns!G56&lt;&gt;"",IF(MIN('Clean Unknown'!F$2:F$52) &lt; 9999,MIN(ABS(Knowns!G56-'Clean Unknown'!F$2:F$52)),""),"")</f>
        <v/>
      </c>
    </row>
    <row r="57" spans="1:7">
      <c r="A57" t="str">
        <f>Knowns!A57</f>
        <v>Unknown TRFLP 010</v>
      </c>
      <c r="B57">
        <f t="array" ref="B57">IF(Knowns!B57&lt;&gt;"",IF(MIN('Clean Unknown'!A$2:A$52) &lt; 9999,MIN(ABS(Knowns!B57-'Clean Unknown'!A$2:A$52)),""),"")</f>
        <v>14.560000000000002</v>
      </c>
      <c r="C57">
        <f t="array" ref="C57">IF(Knowns!C57&lt;&gt;"",IF(MIN('Clean Unknown'!B$2:B$52) &lt; 9999,MIN(ABS(Knowns!C57-'Clean Unknown'!B$2:B$52)),""),"")</f>
        <v>0.13999999999998636</v>
      </c>
      <c r="D57">
        <f t="array" ref="D57">IF(Knowns!D57&lt;&gt;"",IF(MIN('Clean Unknown'!C$2:C$52) &lt; 9999,MIN(ABS(Knowns!D57-'Clean Unknown'!C$2:C$52)),""),"")</f>
        <v>406.05</v>
      </c>
      <c r="E57">
        <f t="array" ref="E57">IF(Knowns!E57&lt;&gt;"",IF(MIN('Clean Unknown'!D$2:D$52) &lt; 9999,MIN(ABS(Knowns!E57-'Clean Unknown'!D$2:D$52)),""),"")</f>
        <v>130.89199279999991</v>
      </c>
      <c r="F57" t="str">
        <f t="array" ref="F57">IF(Knowns!F57&lt;&gt;"",IF(MIN('Clean Unknown'!E$2:E$52) &lt; 9999,MIN(ABS(Knowns!F57-'Clean Unknown'!E$2:E$52)),""),"")</f>
        <v/>
      </c>
      <c r="G57" t="str">
        <f t="array" ref="G57">IF(Knowns!G57&lt;&gt;"",IF(MIN('Clean Unknown'!F$2:F$52) &lt; 9999,MIN(ABS(Knowns!G57-'Clean Unknown'!F$2:F$52)),""),"")</f>
        <v/>
      </c>
    </row>
    <row r="58" spans="1:7">
      <c r="A58" t="str">
        <f>Knowns!A58</f>
        <v>Unknown TRFLP 011</v>
      </c>
      <c r="B58">
        <f t="array" ref="B58">IF(Knowns!B58&lt;&gt;"",IF(MIN('Clean Unknown'!A$2:A$52) &lt; 9999,MIN(ABS(Knowns!B58-'Clean Unknown'!A$2:A$52)),""),"")</f>
        <v>13.82000000000005</v>
      </c>
      <c r="C58">
        <f t="array" ref="C58">IF(Knowns!C58&lt;&gt;"",IF(MIN('Clean Unknown'!B$2:B$52) &lt; 9999,MIN(ABS(Knowns!C58-'Clean Unknown'!B$2:B$52)),""),"")</f>
        <v>2.7800000000000296</v>
      </c>
      <c r="D58">
        <f t="array" ref="D58">IF(Knowns!D58&lt;&gt;"",IF(MIN('Clean Unknown'!C$2:C$52) &lt; 9999,MIN(ABS(Knowns!D58-'Clean Unknown'!C$2:C$52)),""),"")</f>
        <v>11.550000000000011</v>
      </c>
      <c r="E58">
        <f t="array" ref="E58">IF(Knowns!E58&lt;&gt;"",IF(MIN('Clean Unknown'!D$2:D$52) &lt; 9999,MIN(ABS(Knowns!E58-'Clean Unknown'!D$2:D$52)),""),"")</f>
        <v>10.408007200000156</v>
      </c>
      <c r="F58" t="str">
        <f t="array" ref="F58">IF(Knowns!F58&lt;&gt;"",IF(MIN('Clean Unknown'!E$2:E$52) &lt; 9999,MIN(ABS(Knowns!F58-'Clean Unknown'!E$2:E$52)),""),"")</f>
        <v/>
      </c>
      <c r="G58" t="str">
        <f t="array" ref="G58">IF(Knowns!G58&lt;&gt;"",IF(MIN('Clean Unknown'!F$2:F$52) &lt; 9999,MIN(ABS(Knowns!G58-'Clean Unknown'!F$2:F$52)),""),"")</f>
        <v/>
      </c>
    </row>
    <row r="59" spans="1:7">
      <c r="A59" t="str">
        <f>Knowns!A59</f>
        <v>Unknown TRFLP 012</v>
      </c>
      <c r="B59">
        <f t="array" ref="B59">IF(Knowns!B59&lt;&gt;"",IF(MIN('Clean Unknown'!A$2:A$52) &lt; 9999,MIN(ABS(Knowns!B59-'Clean Unknown'!A$2:A$52)),""),"")</f>
        <v>58.139999999999986</v>
      </c>
      <c r="C59">
        <f t="array" ref="C59">IF(Knowns!C59&lt;&gt;"",IF(MIN('Clean Unknown'!B$2:B$52) &lt; 9999,MIN(ABS(Knowns!C59-'Clean Unknown'!B$2:B$52)),""),"")</f>
        <v>29.260000000000048</v>
      </c>
      <c r="D59">
        <f t="array" ref="D59">IF(Knowns!D59&lt;&gt;"",IF(MIN('Clean Unknown'!C$2:C$52) &lt; 9999,MIN(ABS(Knowns!D59-'Clean Unknown'!C$2:C$52)),""),"")</f>
        <v>2.1900000000000119</v>
      </c>
      <c r="E59">
        <f t="array" ref="E59">IF(Knowns!E59&lt;&gt;"",IF(MIN('Clean Unknown'!D$2:D$52) &lt; 9999,MIN(ABS(Knowns!E59-'Clean Unknown'!D$2:D$52)),""),"")</f>
        <v>12.670000000000016</v>
      </c>
      <c r="F59" t="str">
        <f t="array" ref="F59">IF(Knowns!F59&lt;&gt;"",IF(MIN('Clean Unknown'!E$2:E$52) &lt; 9999,MIN(ABS(Knowns!F59-'Clean Unknown'!E$2:E$52)),""),"")</f>
        <v/>
      </c>
      <c r="G59" t="str">
        <f t="array" ref="G59">IF(Knowns!G59&lt;&gt;"",IF(MIN('Clean Unknown'!F$2:F$52) &lt; 9999,MIN(ABS(Knowns!G59-'Clean Unknown'!F$2:F$52)),""),"")</f>
        <v/>
      </c>
    </row>
    <row r="60" spans="1:7">
      <c r="A60" t="str">
        <f>Knowns!A60</f>
        <v>Unknown TRFLP 013</v>
      </c>
      <c r="B60">
        <f t="array" ref="B60">IF(Knowns!B60&lt;&gt;"",IF(MIN('Clean Unknown'!A$2:A$52) &lt; 9999,MIN(ABS(Knowns!B60-'Clean Unknown'!A$2:A$52)),""),"")</f>
        <v>7.230000000000004</v>
      </c>
      <c r="C60">
        <f t="array" ref="C60">IF(Knowns!C60&lt;&gt;"",IF(MIN('Clean Unknown'!B$2:B$52) &lt; 9999,MIN(ABS(Knowns!C60-'Clean Unknown'!B$2:B$52)),""),"")</f>
        <v>10.739999999999995</v>
      </c>
      <c r="D60">
        <f t="array" ref="D60">IF(Knowns!D60&lt;&gt;"",IF(MIN('Clean Unknown'!C$2:C$52) &lt; 9999,MIN(ABS(Knowns!D60-'Clean Unknown'!C$2:C$52)),""),"")</f>
        <v>5.8099999999999881</v>
      </c>
      <c r="E60">
        <f t="array" ref="E60">IF(Knowns!E60&lt;&gt;"",IF(MIN('Clean Unknown'!D$2:D$52) &lt; 9999,MIN(ABS(Knowns!E60-'Clean Unknown'!D$2:D$52)),""),"")</f>
        <v>26.509999999999991</v>
      </c>
      <c r="F60" t="str">
        <f t="array" ref="F60">IF(Knowns!F60&lt;&gt;"",IF(MIN('Clean Unknown'!E$2:E$52) &lt; 9999,MIN(ABS(Knowns!F60-'Clean Unknown'!E$2:E$52)),""),"")</f>
        <v/>
      </c>
      <c r="G60" t="str">
        <f t="array" ref="G60">IF(Knowns!G60&lt;&gt;"",IF(MIN('Clean Unknown'!F$2:F$52) &lt; 9999,MIN(ABS(Knowns!G60-'Clean Unknown'!F$2:F$52)),""),"")</f>
        <v/>
      </c>
    </row>
    <row r="61" spans="1:7">
      <c r="A61" t="str">
        <f>Knowns!A61</f>
        <v>Unknown TRFLP 014</v>
      </c>
      <c r="B61">
        <f t="array" ref="B61">IF(Knowns!B61&lt;&gt;"",IF(MIN('Clean Unknown'!A$2:A$52) &lt; 9999,MIN(ABS(Knowns!B61-'Clean Unknown'!A$2:A$52)),""),"")</f>
        <v>110.94</v>
      </c>
      <c r="C61">
        <f t="array" ref="C61">IF(Knowns!C61&lt;&gt;"",IF(MIN('Clean Unknown'!B$2:B$52) &lt; 9999,MIN(ABS(Knowns!C61-'Clean Unknown'!B$2:B$52)),""),"")</f>
        <v>57.740000000000009</v>
      </c>
      <c r="D61">
        <f t="array" ref="D61">IF(Knowns!D61&lt;&gt;"",IF(MIN('Clean Unknown'!C$2:C$52) &lt; 9999,MIN(ABS(Knowns!D61-'Clean Unknown'!C$2:C$52)),""),"")</f>
        <v>7.289999999999992</v>
      </c>
      <c r="E61">
        <f t="array" ref="E61">IF(Knowns!E61&lt;&gt;"",IF(MIN('Clean Unknown'!D$2:D$52) &lt; 9999,MIN(ABS(Knowns!E61-'Clean Unknown'!D$2:D$52)),""),"")</f>
        <v>2.4799999999999898</v>
      </c>
      <c r="F61" t="str">
        <f t="array" ref="F61">IF(Knowns!F61&lt;&gt;"",IF(MIN('Clean Unknown'!E$2:E$52) &lt; 9999,MIN(ABS(Knowns!F61-'Clean Unknown'!E$2:E$52)),""),"")</f>
        <v/>
      </c>
      <c r="G61" t="str">
        <f t="array" ref="G61">IF(Knowns!G61&lt;&gt;"",IF(MIN('Clean Unknown'!F$2:F$52) &lt; 9999,MIN(ABS(Knowns!G61-'Clean Unknown'!F$2:F$52)),""),"")</f>
        <v/>
      </c>
    </row>
    <row r="62" spans="1:7">
      <c r="A62" t="str">
        <f>Knowns!A62</f>
        <v>Unknown TRFLP 015</v>
      </c>
      <c r="B62">
        <f t="array" ref="B62">IF(Knowns!B62&lt;&gt;"",IF(MIN('Clean Unknown'!A$2:A$52) &lt; 9999,MIN(ABS(Knowns!B62-'Clean Unknown'!A$2:A$52)),""),"")</f>
        <v>26.54000000000002</v>
      </c>
      <c r="C62">
        <f t="array" ref="C62">IF(Knowns!C62&lt;&gt;"",IF(MIN('Clean Unknown'!B$2:B$52) &lt; 9999,MIN(ABS(Knowns!C62-'Clean Unknown'!B$2:B$52)),""),"")</f>
        <v>3.0200000000000387</v>
      </c>
      <c r="D62">
        <f t="array" ref="D62">IF(Knowns!D62&lt;&gt;"",IF(MIN('Clean Unknown'!C$2:C$52) &lt; 9999,MIN(ABS(Knowns!D62-'Clean Unknown'!C$2:C$52)),""),"")</f>
        <v>14.819999999999993</v>
      </c>
      <c r="E62">
        <f t="array" ref="E62">IF(Knowns!E62&lt;&gt;"",IF(MIN('Clean Unknown'!D$2:D$52) &lt; 9999,MIN(ABS(Knowns!E62-'Clean Unknown'!D$2:D$52)),""),"")</f>
        <v>2.6699999999999875</v>
      </c>
      <c r="F62" t="str">
        <f t="array" ref="F62">IF(Knowns!F62&lt;&gt;"",IF(MIN('Clean Unknown'!E$2:E$52) &lt; 9999,MIN(ABS(Knowns!F62-'Clean Unknown'!E$2:E$52)),""),"")</f>
        <v/>
      </c>
      <c r="G62" t="str">
        <f t="array" ref="G62">IF(Knowns!G62&lt;&gt;"",IF(MIN('Clean Unknown'!F$2:F$52) &lt; 9999,MIN(ABS(Knowns!G62-'Clean Unknown'!F$2:F$52)),""),"")</f>
        <v/>
      </c>
    </row>
    <row r="63" spans="1:7">
      <c r="A63" t="str">
        <f>Knowns!A63</f>
        <v>Unknown TRFLP 016</v>
      </c>
      <c r="B63">
        <f t="array" ref="B63">IF(Knowns!B63&lt;&gt;"",IF(MIN('Clean Unknown'!A$2:A$52) &lt; 9999,MIN(ABS(Knowns!B63-'Clean Unknown'!A$2:A$52)),""),"")</f>
        <v>21.439999999999998</v>
      </c>
      <c r="C63">
        <f t="array" ref="C63">IF(Knowns!C63&lt;&gt;"",IF(MIN('Clean Unknown'!B$2:B$52) &lt; 9999,MIN(ABS(Knowns!C63-'Clean Unknown'!B$2:B$52)),""),"")</f>
        <v>1.769999999999996</v>
      </c>
      <c r="D63">
        <f t="array" ref="D63">IF(Knowns!D63&lt;&gt;"",IF(MIN('Clean Unknown'!C$2:C$52) &lt; 9999,MIN(ABS(Knowns!D63-'Clean Unknown'!C$2:C$52)),""),"")</f>
        <v>16.22</v>
      </c>
      <c r="E63">
        <f t="array" ref="E63">IF(Knowns!E63&lt;&gt;"",IF(MIN('Clean Unknown'!D$2:D$52) &lt; 9999,MIN(ABS(Knowns!E63-'Clean Unknown'!D$2:D$52)),""),"")</f>
        <v>16.308007200000134</v>
      </c>
      <c r="F63" t="str">
        <f t="array" ref="F63">IF(Knowns!F63&lt;&gt;"",IF(MIN('Clean Unknown'!E$2:E$52) &lt; 9999,MIN(ABS(Knowns!F63-'Clean Unknown'!E$2:E$52)),""),"")</f>
        <v/>
      </c>
      <c r="G63" t="str">
        <f t="array" ref="G63">IF(Knowns!G63&lt;&gt;"",IF(MIN('Clean Unknown'!F$2:F$52) &lt; 9999,MIN(ABS(Knowns!G63-'Clean Unknown'!F$2:F$52)),""),"")</f>
        <v/>
      </c>
    </row>
    <row r="64" spans="1:7">
      <c r="A64" t="str">
        <f>Knowns!A64</f>
        <v>Unknown TRFLP 018</v>
      </c>
      <c r="B64">
        <f t="array" ref="B64">IF(Knowns!B64&lt;&gt;"",IF(MIN('Clean Unknown'!A$2:A$52) &lt; 9999,MIN(ABS(Knowns!B64-'Clean Unknown'!A$2:A$52)),""),"")</f>
        <v>106.84</v>
      </c>
      <c r="C64">
        <f t="array" ref="C64">IF(Knowns!C64&lt;&gt;"",IF(MIN('Clean Unknown'!B$2:B$52) &lt; 9999,MIN(ABS(Knowns!C64-'Clean Unknown'!B$2:B$52)),""),"")</f>
        <v>2.8599999999999852</v>
      </c>
      <c r="D64">
        <f t="array" ref="D64">IF(Knowns!D64&lt;&gt;"",IF(MIN('Clean Unknown'!C$2:C$52) &lt; 9999,MIN(ABS(Knowns!D64-'Clean Unknown'!C$2:C$52)),""),"")</f>
        <v>183.75</v>
      </c>
      <c r="E64">
        <f t="array" ref="E64">IF(Knowns!E64&lt;&gt;"",IF(MIN('Clean Unknown'!D$2:D$52) &lt; 9999,MIN(ABS(Knowns!E64-'Clean Unknown'!D$2:D$52)),""),"")</f>
        <v>4.6200000000000045</v>
      </c>
      <c r="F64" t="str">
        <f t="array" ref="F64">IF(Knowns!F64&lt;&gt;"",IF(MIN('Clean Unknown'!E$2:E$52) &lt; 9999,MIN(ABS(Knowns!F64-'Clean Unknown'!E$2:E$52)),""),"")</f>
        <v/>
      </c>
      <c r="G64" t="str">
        <f t="array" ref="G64">IF(Knowns!G64&lt;&gt;"",IF(MIN('Clean Unknown'!F$2:F$52) &lt; 9999,MIN(ABS(Knowns!G64-'Clean Unknown'!F$2:F$52)),""),"")</f>
        <v/>
      </c>
    </row>
    <row r="65" spans="1:7">
      <c r="A65" t="str">
        <f>Knowns!A65</f>
        <v>Unknown TRFLP 019</v>
      </c>
      <c r="B65">
        <f t="array" ref="B65">IF(Knowns!B65&lt;&gt;"",IF(MIN('Clean Unknown'!A$2:A$52) &lt; 9999,MIN(ABS(Knowns!B65-'Clean Unknown'!A$2:A$52)),""),"")</f>
        <v>113.93</v>
      </c>
      <c r="C65">
        <f t="array" ref="C65">IF(Knowns!C65&lt;&gt;"",IF(MIN('Clean Unknown'!B$2:B$52) &lt; 9999,MIN(ABS(Knowns!C65-'Clean Unknown'!B$2:B$52)),""),"")</f>
        <v>53.140000000000015</v>
      </c>
      <c r="D65">
        <f t="array" ref="D65">IF(Knowns!D65&lt;&gt;"",IF(MIN('Clean Unknown'!C$2:C$52) &lt; 9999,MIN(ABS(Knowns!D65-'Clean Unknown'!C$2:C$52)),""),"")</f>
        <v>13.409999999999997</v>
      </c>
      <c r="E65">
        <f t="array" ref="E65">IF(Knowns!E65&lt;&gt;"",IF(MIN('Clean Unknown'!D$2:D$52) &lt; 9999,MIN(ABS(Knowns!E65-'Clean Unknown'!D$2:D$52)),""),"")</f>
        <v>10.77000000000001</v>
      </c>
      <c r="F65" t="str">
        <f t="array" ref="F65">IF(Knowns!F65&lt;&gt;"",IF(MIN('Clean Unknown'!E$2:E$52) &lt; 9999,MIN(ABS(Knowns!F65-'Clean Unknown'!E$2:E$52)),""),"")</f>
        <v/>
      </c>
      <c r="G65" t="str">
        <f t="array" ref="G65">IF(Knowns!G65&lt;&gt;"",IF(MIN('Clean Unknown'!F$2:F$52) &lt; 9999,MIN(ABS(Knowns!G65-'Clean Unknown'!F$2:F$52)),""),"")</f>
        <v/>
      </c>
    </row>
    <row r="66" spans="1:7">
      <c r="A66" t="str">
        <f>Knowns!A66</f>
        <v>Unknown TRFLP 020</v>
      </c>
      <c r="B66">
        <f t="array" ref="B66">IF(Knowns!B66&lt;&gt;"",IF(MIN('Clean Unknown'!A$2:A$52) &lt; 9999,MIN(ABS(Knowns!B66-'Clean Unknown'!A$2:A$52)),""),"")</f>
        <v>106.14000000000001</v>
      </c>
      <c r="C66">
        <f t="array" ref="C66">IF(Knowns!C66&lt;&gt;"",IF(MIN('Clean Unknown'!B$2:B$52) &lt; 9999,MIN(ABS(Knowns!C66-'Clean Unknown'!B$2:B$52)),""),"")</f>
        <v>29.919999999999959</v>
      </c>
      <c r="D66">
        <f t="array" ref="D66">IF(Knowns!D66&lt;&gt;"",IF(MIN('Clean Unknown'!C$2:C$52) &lt; 9999,MIN(ABS(Knowns!D66-'Clean Unknown'!C$2:C$52)),""),"")</f>
        <v>1.1100000000000136</v>
      </c>
      <c r="E66">
        <f t="array" ref="E66">IF(Knowns!E66&lt;&gt;"",IF(MIN('Clean Unknown'!D$2:D$52) &lt; 9999,MIN(ABS(Knowns!E66-'Clean Unknown'!D$2:D$52)),""),"")</f>
        <v>40.850000000000023</v>
      </c>
      <c r="F66" t="str">
        <f t="array" ref="F66">IF(Knowns!F66&lt;&gt;"",IF(MIN('Clean Unknown'!E$2:E$52) &lt; 9999,MIN(ABS(Knowns!F66-'Clean Unknown'!E$2:E$52)),""),"")</f>
        <v/>
      </c>
      <c r="G66" t="str">
        <f t="array" ref="G66">IF(Knowns!G66&lt;&gt;"",IF(MIN('Clean Unknown'!F$2:F$52) &lt; 9999,MIN(ABS(Knowns!G66-'Clean Unknown'!F$2:F$52)),""),"")</f>
        <v/>
      </c>
    </row>
    <row r="67" spans="1:7">
      <c r="A67">
        <f>Knowns!A67</f>
        <v>0</v>
      </c>
      <c r="B67" t="str">
        <f t="array" ref="B67">IF(Knowns!B67&lt;&gt;"",IF(MIN('Clean Unknown'!A$2:A$52) &lt; 9999,MIN(ABS(Knowns!B67-'Clean Unknown'!A$2:A$52)),""),"")</f>
        <v/>
      </c>
      <c r="C67" t="str">
        <f t="array" ref="C67">IF(Knowns!C67&lt;&gt;"",IF(MIN('Clean Unknown'!B$2:B$52) &lt; 9999,MIN(ABS(Knowns!C67-'Clean Unknown'!B$2:B$52)),""),"")</f>
        <v/>
      </c>
      <c r="D67" t="str">
        <f t="array" ref="D67">IF(Knowns!D67&lt;&gt;"",IF(MIN('Clean Unknown'!C$2:C$52) &lt; 9999,MIN(ABS(Knowns!D67-'Clean Unknown'!C$2:C$52)),""),"")</f>
        <v/>
      </c>
      <c r="E67" t="str">
        <f t="array" ref="E67">IF(Knowns!E67&lt;&gt;"",IF(MIN('Clean Unknown'!D$2:D$52) &lt; 9999,MIN(ABS(Knowns!E67-'Clean Unknown'!D$2:D$52)),""),"")</f>
        <v/>
      </c>
      <c r="F67" t="str">
        <f t="array" ref="F67">IF(Knowns!F67&lt;&gt;"",IF(MIN('Clean Unknown'!E$2:E$52) &lt; 9999,MIN(ABS(Knowns!F67-'Clean Unknown'!E$2:E$52)),""),"")</f>
        <v/>
      </c>
      <c r="G67" t="str">
        <f t="array" ref="G67">IF(Knowns!G67&lt;&gt;"",IF(MIN('Clean Unknown'!F$2:F$52) &lt; 9999,MIN(ABS(Knowns!G67-'Clean Unknown'!F$2:F$52)),""),"")</f>
        <v/>
      </c>
    </row>
    <row r="68" spans="1:7">
      <c r="A68">
        <f>Knowns!A68</f>
        <v>0</v>
      </c>
      <c r="B68" t="str">
        <f t="array" ref="B68">IF(Knowns!B68&lt;&gt;"",IF(MIN('Clean Unknown'!A$2:A$52) &lt; 9999,MIN(ABS(Knowns!B68-'Clean Unknown'!A$2:A$52)),""),"")</f>
        <v/>
      </c>
      <c r="C68" t="str">
        <f t="array" ref="C68">IF(Knowns!C68&lt;&gt;"",IF(MIN('Clean Unknown'!B$2:B$52) &lt; 9999,MIN(ABS(Knowns!C68-'Clean Unknown'!B$2:B$52)),""),"")</f>
        <v/>
      </c>
      <c r="D68" t="str">
        <f t="array" ref="D68">IF(Knowns!D68&lt;&gt;"",IF(MIN('Clean Unknown'!C$2:C$52) &lt; 9999,MIN(ABS(Knowns!D68-'Clean Unknown'!C$2:C$52)),""),"")</f>
        <v/>
      </c>
      <c r="E68" t="str">
        <f t="array" ref="E68">IF(Knowns!E68&lt;&gt;"",IF(MIN('Clean Unknown'!D$2:D$52) &lt; 9999,MIN(ABS(Knowns!E68-'Clean Unknown'!D$2:D$52)),""),"")</f>
        <v/>
      </c>
      <c r="F68" t="str">
        <f t="array" ref="F68">IF(Knowns!F68&lt;&gt;"",IF(MIN('Clean Unknown'!E$2:E$52) &lt; 9999,MIN(ABS(Knowns!F68-'Clean Unknown'!E$2:E$52)),""),"")</f>
        <v/>
      </c>
      <c r="G68" t="str">
        <f t="array" ref="G68">IF(Knowns!G68&lt;&gt;"",IF(MIN('Clean Unknown'!F$2:F$52) &lt; 9999,MIN(ABS(Knowns!G68-'Clean Unknown'!F$2:F$52)),""),"")</f>
        <v/>
      </c>
    </row>
    <row r="69" spans="1:7">
      <c r="A69">
        <f>Knowns!A69</f>
        <v>0</v>
      </c>
      <c r="B69" t="str">
        <f t="array" ref="B69">IF(Knowns!B69&lt;&gt;"",IF(MIN('Clean Unknown'!A$2:A$52) &lt; 9999,MIN(ABS(Knowns!B69-'Clean Unknown'!A$2:A$52)),""),"")</f>
        <v/>
      </c>
      <c r="C69" t="str">
        <f t="array" ref="C69">IF(Knowns!C69&lt;&gt;"",IF(MIN('Clean Unknown'!B$2:B$52) &lt; 9999,MIN(ABS(Knowns!C69-'Clean Unknown'!B$2:B$52)),""),"")</f>
        <v/>
      </c>
      <c r="D69" t="str">
        <f t="array" ref="D69">IF(Knowns!D69&lt;&gt;"",IF(MIN('Clean Unknown'!C$2:C$52) &lt; 9999,MIN(ABS(Knowns!D69-'Clean Unknown'!C$2:C$52)),""),"")</f>
        <v/>
      </c>
      <c r="E69" t="str">
        <f t="array" ref="E69">IF(Knowns!E69&lt;&gt;"",IF(MIN('Clean Unknown'!D$2:D$52) &lt; 9999,MIN(ABS(Knowns!E69-'Clean Unknown'!D$2:D$52)),""),"")</f>
        <v/>
      </c>
      <c r="F69" t="str">
        <f t="array" ref="F69">IF(Knowns!F69&lt;&gt;"",IF(MIN('Clean Unknown'!E$2:E$52) &lt; 9999,MIN(ABS(Knowns!F69-'Clean Unknown'!E$2:E$52)),""),"")</f>
        <v/>
      </c>
      <c r="G69" t="str">
        <f t="array" ref="G69">IF(Knowns!G69&lt;&gt;"",IF(MIN('Clean Unknown'!F$2:F$52) &lt; 9999,MIN(ABS(Knowns!G69-'Clean Unknown'!F$2:F$52)),""),"")</f>
        <v/>
      </c>
    </row>
    <row r="70" spans="1:7">
      <c r="A70">
        <f>Knowns!A70</f>
        <v>0</v>
      </c>
      <c r="B70" t="str">
        <f t="array" ref="B70">IF(Knowns!B70&lt;&gt;"",IF(MIN('Clean Unknown'!A$2:A$52) &lt; 9999,MIN(ABS(Knowns!B70-'Clean Unknown'!A$2:A$52)),""),"")</f>
        <v/>
      </c>
      <c r="C70" t="str">
        <f t="array" ref="C70">IF(Knowns!C70&lt;&gt;"",IF(MIN('Clean Unknown'!B$2:B$52) &lt; 9999,MIN(ABS(Knowns!C70-'Clean Unknown'!B$2:B$52)),""),"")</f>
        <v/>
      </c>
      <c r="D70" t="str">
        <f t="array" ref="D70">IF(Knowns!D70&lt;&gt;"",IF(MIN('Clean Unknown'!C$2:C$52) &lt; 9999,MIN(ABS(Knowns!D70-'Clean Unknown'!C$2:C$52)),""),"")</f>
        <v/>
      </c>
      <c r="E70" t="str">
        <f t="array" ref="E70">IF(Knowns!E70&lt;&gt;"",IF(MIN('Clean Unknown'!D$2:D$52) &lt; 9999,MIN(ABS(Knowns!E70-'Clean Unknown'!D$2:D$52)),""),"")</f>
        <v/>
      </c>
      <c r="F70" t="str">
        <f t="array" ref="F70">IF(Knowns!F70&lt;&gt;"",IF(MIN('Clean Unknown'!E$2:E$52) &lt; 9999,MIN(ABS(Knowns!F70-'Clean Unknown'!E$2:E$52)),""),"")</f>
        <v/>
      </c>
      <c r="G70" t="str">
        <f t="array" ref="G70">IF(Knowns!G70&lt;&gt;"",IF(MIN('Clean Unknown'!F$2:F$52) &lt; 9999,MIN(ABS(Knowns!G70-'Clean Unknown'!F$2:F$52)),""),"")</f>
        <v/>
      </c>
    </row>
    <row r="71" spans="1:7">
      <c r="A71">
        <f>Knowns!A71</f>
        <v>0</v>
      </c>
      <c r="B71" t="str">
        <f t="array" ref="B71">IF(Knowns!B71&lt;&gt;"",IF(MIN('Clean Unknown'!A$2:A$52) &lt; 9999,MIN(ABS(Knowns!B71-'Clean Unknown'!A$2:A$52)),""),"")</f>
        <v/>
      </c>
      <c r="C71" t="str">
        <f t="array" ref="C71">IF(Knowns!C71&lt;&gt;"",IF(MIN('Clean Unknown'!B$2:B$52) &lt; 9999,MIN(ABS(Knowns!C71-'Clean Unknown'!B$2:B$52)),""),"")</f>
        <v/>
      </c>
      <c r="D71" t="str">
        <f t="array" ref="D71">IF(Knowns!D71&lt;&gt;"",IF(MIN('Clean Unknown'!C$2:C$52) &lt; 9999,MIN(ABS(Knowns!D71-'Clean Unknown'!C$2:C$52)),""),"")</f>
        <v/>
      </c>
      <c r="E71" t="str">
        <f t="array" ref="E71">IF(Knowns!E71&lt;&gt;"",IF(MIN('Clean Unknown'!D$2:D$52) &lt; 9999,MIN(ABS(Knowns!E71-'Clean Unknown'!D$2:D$52)),""),"")</f>
        <v/>
      </c>
      <c r="F71" t="str">
        <f t="array" ref="F71">IF(Knowns!F71&lt;&gt;"",IF(MIN('Clean Unknown'!E$2:E$52) &lt; 9999,MIN(ABS(Knowns!F71-'Clean Unknown'!E$2:E$52)),""),"")</f>
        <v/>
      </c>
      <c r="G71" t="str">
        <f t="array" ref="G71">IF(Knowns!G71&lt;&gt;"",IF(MIN('Clean Unknown'!F$2:F$52) &lt; 9999,MIN(ABS(Knowns!G71-'Clean Unknown'!F$2:F$52)),""),"")</f>
        <v/>
      </c>
    </row>
    <row r="72" spans="1:7">
      <c r="A72">
        <f>Knowns!A72</f>
        <v>0</v>
      </c>
      <c r="B72" t="str">
        <f t="array" ref="B72">IF(Knowns!B72&lt;&gt;"",IF(MIN('Clean Unknown'!A$2:A$52) &lt; 9999,MIN(ABS(Knowns!B72-'Clean Unknown'!A$2:A$52)),""),"")</f>
        <v/>
      </c>
      <c r="C72" t="str">
        <f t="array" ref="C72">IF(Knowns!C72&lt;&gt;"",IF(MIN('Clean Unknown'!B$2:B$52) &lt; 9999,MIN(ABS(Knowns!C72-'Clean Unknown'!B$2:B$52)),""),"")</f>
        <v/>
      </c>
      <c r="D72" t="str">
        <f t="array" ref="D72">IF(Knowns!D72&lt;&gt;"",IF(MIN('Clean Unknown'!C$2:C$52) &lt; 9999,MIN(ABS(Knowns!D72-'Clean Unknown'!C$2:C$52)),""),"")</f>
        <v/>
      </c>
      <c r="E72" t="str">
        <f t="array" ref="E72">IF(Knowns!E72&lt;&gt;"",IF(MIN('Clean Unknown'!D$2:D$52) &lt; 9999,MIN(ABS(Knowns!E72-'Clean Unknown'!D$2:D$52)),""),"")</f>
        <v/>
      </c>
      <c r="F72" t="str">
        <f t="array" ref="F72">IF(Knowns!F72&lt;&gt;"",IF(MIN('Clean Unknown'!E$2:E$52) &lt; 9999,MIN(ABS(Knowns!F72-'Clean Unknown'!E$2:E$52)),""),"")</f>
        <v/>
      </c>
      <c r="G72" t="str">
        <f t="array" ref="G72">IF(Knowns!G72&lt;&gt;"",IF(MIN('Clean Unknown'!F$2:F$52) &lt; 9999,MIN(ABS(Knowns!G72-'Clean Unknown'!F$2:F$52)),""),"")</f>
        <v/>
      </c>
    </row>
    <row r="73" spans="1:7">
      <c r="A73">
        <f>Knowns!A73</f>
        <v>0</v>
      </c>
      <c r="B73" t="str">
        <f t="array" ref="B73">IF(Knowns!B73&lt;&gt;"",IF(MIN('Clean Unknown'!A$2:A$52) &lt; 9999,MIN(ABS(Knowns!B73-'Clean Unknown'!A$2:A$52)),""),"")</f>
        <v/>
      </c>
      <c r="C73" t="str">
        <f t="array" ref="C73">IF(Knowns!C73&lt;&gt;"",IF(MIN('Clean Unknown'!B$2:B$52) &lt; 9999,MIN(ABS(Knowns!C73-'Clean Unknown'!B$2:B$52)),""),"")</f>
        <v/>
      </c>
      <c r="D73" t="str">
        <f t="array" ref="D73">IF(Knowns!D73&lt;&gt;"",IF(MIN('Clean Unknown'!C$2:C$52) &lt; 9999,MIN(ABS(Knowns!D73-'Clean Unknown'!C$2:C$52)),""),"")</f>
        <v/>
      </c>
      <c r="E73" t="str">
        <f t="array" ref="E73">IF(Knowns!E73&lt;&gt;"",IF(MIN('Clean Unknown'!D$2:D$52) &lt; 9999,MIN(ABS(Knowns!E73-'Clean Unknown'!D$2:D$52)),""),"")</f>
        <v/>
      </c>
      <c r="F73" t="str">
        <f t="array" ref="F73">IF(Knowns!F73&lt;&gt;"",IF(MIN('Clean Unknown'!E$2:E$52) &lt; 9999,MIN(ABS(Knowns!F73-'Clean Unknown'!E$2:E$52)),""),"")</f>
        <v/>
      </c>
      <c r="G73" t="str">
        <f t="array" ref="G73">IF(Knowns!G73&lt;&gt;"",IF(MIN('Clean Unknown'!F$2:F$52) &lt; 9999,MIN(ABS(Knowns!G73-'Clean Unknown'!F$2:F$52)),""),"")</f>
        <v/>
      </c>
    </row>
    <row r="74" spans="1:7">
      <c r="A74">
        <f>Knowns!A74</f>
        <v>0</v>
      </c>
      <c r="B74" t="str">
        <f t="array" ref="B74">IF(Knowns!B74&lt;&gt;"",IF(MIN('Clean Unknown'!A$2:A$52) &lt; 9999,MIN(ABS(Knowns!B74-'Clean Unknown'!A$2:A$52)),""),"")</f>
        <v/>
      </c>
      <c r="C74" t="str">
        <f t="array" ref="C74">IF(Knowns!C74&lt;&gt;"",IF(MIN('Clean Unknown'!B$2:B$52) &lt; 9999,MIN(ABS(Knowns!C74-'Clean Unknown'!B$2:B$52)),""),"")</f>
        <v/>
      </c>
      <c r="D74" t="str">
        <f t="array" ref="D74">IF(Knowns!D74&lt;&gt;"",IF(MIN('Clean Unknown'!C$2:C$52) &lt; 9999,MIN(ABS(Knowns!D74-'Clean Unknown'!C$2:C$52)),""),"")</f>
        <v/>
      </c>
      <c r="E74" t="str">
        <f t="array" ref="E74">IF(Knowns!E74&lt;&gt;"",IF(MIN('Clean Unknown'!D$2:D$52) &lt; 9999,MIN(ABS(Knowns!E74-'Clean Unknown'!D$2:D$52)),""),"")</f>
        <v/>
      </c>
      <c r="F74" t="str">
        <f t="array" ref="F74">IF(Knowns!F74&lt;&gt;"",IF(MIN('Clean Unknown'!E$2:E$52) &lt; 9999,MIN(ABS(Knowns!F74-'Clean Unknown'!E$2:E$52)),""),"")</f>
        <v/>
      </c>
      <c r="G74" t="str">
        <f t="array" ref="G74">IF(Knowns!G74&lt;&gt;"",IF(MIN('Clean Unknown'!F$2:F$52) &lt; 9999,MIN(ABS(Knowns!G74-'Clean Unknown'!F$2:F$52)),""),"")</f>
        <v/>
      </c>
    </row>
    <row r="75" spans="1:7">
      <c r="A75">
        <f>Knowns!A75</f>
        <v>0</v>
      </c>
      <c r="B75" t="str">
        <f t="array" ref="B75">IF(Knowns!B75&lt;&gt;"",IF(MIN('Clean Unknown'!A$2:A$52) &lt; 9999,MIN(ABS(Knowns!B75-'Clean Unknown'!A$2:A$52)),""),"")</f>
        <v/>
      </c>
      <c r="C75" t="str">
        <f t="array" ref="C75">IF(Knowns!C75&lt;&gt;"",IF(MIN('Clean Unknown'!B$2:B$52) &lt; 9999,MIN(ABS(Knowns!C75-'Clean Unknown'!B$2:B$52)),""),"")</f>
        <v/>
      </c>
      <c r="D75" t="str">
        <f t="array" ref="D75">IF(Knowns!D75&lt;&gt;"",IF(MIN('Clean Unknown'!C$2:C$52) &lt; 9999,MIN(ABS(Knowns!D75-'Clean Unknown'!C$2:C$52)),""),"")</f>
        <v/>
      </c>
      <c r="E75" t="str">
        <f t="array" ref="E75">IF(Knowns!E75&lt;&gt;"",IF(MIN('Clean Unknown'!D$2:D$52) &lt; 9999,MIN(ABS(Knowns!E75-'Clean Unknown'!D$2:D$52)),""),"")</f>
        <v/>
      </c>
      <c r="F75" t="str">
        <f t="array" ref="F75">IF(Knowns!F75&lt;&gt;"",IF(MIN('Clean Unknown'!E$2:E$52) &lt; 9999,MIN(ABS(Knowns!F75-'Clean Unknown'!E$2:E$52)),""),"")</f>
        <v/>
      </c>
      <c r="G75" t="str">
        <f t="array" ref="G75">IF(Knowns!G75&lt;&gt;"",IF(MIN('Clean Unknown'!F$2:F$52) &lt; 9999,MIN(ABS(Knowns!G75-'Clean Unknown'!F$2:F$52)),""),"")</f>
        <v/>
      </c>
    </row>
    <row r="76" spans="1:7">
      <c r="A76">
        <f>Knowns!A76</f>
        <v>0</v>
      </c>
      <c r="B76" t="str">
        <f t="array" ref="B76">IF(Knowns!B76&lt;&gt;"",IF(MIN('Clean Unknown'!A$2:A$52) &lt; 9999,MIN(ABS(Knowns!B76-'Clean Unknown'!A$2:A$52)),""),"")</f>
        <v/>
      </c>
      <c r="C76" t="str">
        <f t="array" ref="C76">IF(Knowns!C76&lt;&gt;"",IF(MIN('Clean Unknown'!B$2:B$52) &lt; 9999,MIN(ABS(Knowns!C76-'Clean Unknown'!B$2:B$52)),""),"")</f>
        <v/>
      </c>
      <c r="D76" t="str">
        <f t="array" ref="D76">IF(Knowns!D76&lt;&gt;"",IF(MIN('Clean Unknown'!C$2:C$52) &lt; 9999,MIN(ABS(Knowns!D76-'Clean Unknown'!C$2:C$52)),""),"")</f>
        <v/>
      </c>
      <c r="E76" t="str">
        <f t="array" ref="E76">IF(Knowns!E76&lt;&gt;"",IF(MIN('Clean Unknown'!D$2:D$52) &lt; 9999,MIN(ABS(Knowns!E76-'Clean Unknown'!D$2:D$52)),""),"")</f>
        <v/>
      </c>
      <c r="F76" t="str">
        <f t="array" ref="F76">IF(Knowns!F76&lt;&gt;"",IF(MIN('Clean Unknown'!E$2:E$52) &lt; 9999,MIN(ABS(Knowns!F76-'Clean Unknown'!E$2:E$52)),""),"")</f>
        <v/>
      </c>
      <c r="G76" t="str">
        <f t="array" ref="G76">IF(Knowns!G76&lt;&gt;"",IF(MIN('Clean Unknown'!F$2:F$52) &lt; 9999,MIN(ABS(Knowns!G76-'Clean Unknown'!F$2:F$52)),""),"")</f>
        <v/>
      </c>
    </row>
    <row r="77" spans="1:7">
      <c r="A77">
        <f>Knowns!A77</f>
        <v>0</v>
      </c>
      <c r="B77" t="str">
        <f t="array" ref="B77">IF(Knowns!B77&lt;&gt;"",IF(MIN('Clean Unknown'!A$2:A$52) &lt; 9999,MIN(ABS(Knowns!B77-'Clean Unknown'!A$2:A$52)),""),"")</f>
        <v/>
      </c>
      <c r="C77" t="str">
        <f t="array" ref="C77">IF(Knowns!C77&lt;&gt;"",IF(MIN('Clean Unknown'!B$2:B$52) &lt; 9999,MIN(ABS(Knowns!C77-'Clean Unknown'!B$2:B$52)),""),"")</f>
        <v/>
      </c>
      <c r="D77" t="str">
        <f t="array" ref="D77">IF(Knowns!D77&lt;&gt;"",IF(MIN('Clean Unknown'!C$2:C$52) &lt; 9999,MIN(ABS(Knowns!D77-'Clean Unknown'!C$2:C$52)),""),"")</f>
        <v/>
      </c>
      <c r="E77" t="str">
        <f t="array" ref="E77">IF(Knowns!E77&lt;&gt;"",IF(MIN('Clean Unknown'!D$2:D$52) &lt; 9999,MIN(ABS(Knowns!E77-'Clean Unknown'!D$2:D$52)),""),"")</f>
        <v/>
      </c>
      <c r="F77" t="str">
        <f t="array" ref="F77">IF(Knowns!F77&lt;&gt;"",IF(MIN('Clean Unknown'!E$2:E$52) &lt; 9999,MIN(ABS(Knowns!F77-'Clean Unknown'!E$2:E$52)),""),"")</f>
        <v/>
      </c>
      <c r="G77" t="str">
        <f t="array" ref="G77">IF(Knowns!G77&lt;&gt;"",IF(MIN('Clean Unknown'!F$2:F$52) &lt; 9999,MIN(ABS(Knowns!G77-'Clean Unknown'!F$2:F$52)),""),"")</f>
        <v/>
      </c>
    </row>
    <row r="78" spans="1:7">
      <c r="A78">
        <f>Knowns!A78</f>
        <v>0</v>
      </c>
      <c r="B78" t="str">
        <f t="array" ref="B78">IF(Knowns!B78&lt;&gt;"",IF(MIN('Clean Unknown'!A$2:A$52) &lt; 9999,MIN(ABS(Knowns!B78-'Clean Unknown'!A$2:A$52)),""),"")</f>
        <v/>
      </c>
      <c r="C78" t="str">
        <f t="array" ref="C78">IF(Knowns!C78&lt;&gt;"",IF(MIN('Clean Unknown'!B$2:B$52) &lt; 9999,MIN(ABS(Knowns!C78-'Clean Unknown'!B$2:B$52)),""),"")</f>
        <v/>
      </c>
      <c r="D78" t="str">
        <f t="array" ref="D78">IF(Knowns!D78&lt;&gt;"",IF(MIN('Clean Unknown'!C$2:C$52) &lt; 9999,MIN(ABS(Knowns!D78-'Clean Unknown'!C$2:C$52)),""),"")</f>
        <v/>
      </c>
      <c r="E78" t="str">
        <f t="array" ref="E78">IF(Knowns!E78&lt;&gt;"",IF(MIN('Clean Unknown'!D$2:D$52) &lt; 9999,MIN(ABS(Knowns!E78-'Clean Unknown'!D$2:D$52)),""),"")</f>
        <v/>
      </c>
      <c r="F78" t="str">
        <f t="array" ref="F78">IF(Knowns!F78&lt;&gt;"",IF(MIN('Clean Unknown'!E$2:E$52) &lt; 9999,MIN(ABS(Knowns!F78-'Clean Unknown'!E$2:E$52)),""),"")</f>
        <v/>
      </c>
      <c r="G78" t="str">
        <f t="array" ref="G78">IF(Knowns!G78&lt;&gt;"",IF(MIN('Clean Unknown'!F$2:F$52) &lt; 9999,MIN(ABS(Knowns!G78-'Clean Unknown'!F$2:F$52)),""),"")</f>
        <v/>
      </c>
    </row>
    <row r="79" spans="1:7">
      <c r="A79">
        <f>Knowns!A79</f>
        <v>0</v>
      </c>
      <c r="B79" t="str">
        <f t="array" ref="B79">IF(Knowns!B79&lt;&gt;"",IF(MIN('Clean Unknown'!A$2:A$52) &lt; 9999,MIN(ABS(Knowns!B79-'Clean Unknown'!A$2:A$52)),""),"")</f>
        <v/>
      </c>
      <c r="C79" t="str">
        <f t="array" ref="C79">IF(Knowns!C79&lt;&gt;"",IF(MIN('Clean Unknown'!B$2:B$52) &lt; 9999,MIN(ABS(Knowns!C79-'Clean Unknown'!B$2:B$52)),""),"")</f>
        <v/>
      </c>
      <c r="D79" t="str">
        <f t="array" ref="D79">IF(Knowns!D79&lt;&gt;"",IF(MIN('Clean Unknown'!C$2:C$52) &lt; 9999,MIN(ABS(Knowns!D79-'Clean Unknown'!C$2:C$52)),""),"")</f>
        <v/>
      </c>
      <c r="E79" t="str">
        <f t="array" ref="E79">IF(Knowns!E79&lt;&gt;"",IF(MIN('Clean Unknown'!D$2:D$52) &lt; 9999,MIN(ABS(Knowns!E79-'Clean Unknown'!D$2:D$52)),""),"")</f>
        <v/>
      </c>
      <c r="F79" t="str">
        <f t="array" ref="F79">IF(Knowns!F79&lt;&gt;"",IF(MIN('Clean Unknown'!E$2:E$52) &lt; 9999,MIN(ABS(Knowns!F79-'Clean Unknown'!E$2:E$52)),""),"")</f>
        <v/>
      </c>
      <c r="G79" t="str">
        <f t="array" ref="G79">IF(Knowns!G79&lt;&gt;"",IF(MIN('Clean Unknown'!F$2:F$52) &lt; 9999,MIN(ABS(Knowns!G79-'Clean Unknown'!F$2:F$52)),""),"")</f>
        <v/>
      </c>
    </row>
    <row r="80" spans="1:7">
      <c r="A80">
        <f>Knowns!A80</f>
        <v>0</v>
      </c>
      <c r="B80" t="str">
        <f t="array" ref="B80">IF(Knowns!B80&lt;&gt;"",IF(MIN('Clean Unknown'!A$2:A$52) &lt; 9999,MIN(ABS(Knowns!B80-'Clean Unknown'!A$2:A$52)),""),"")</f>
        <v/>
      </c>
      <c r="C80" t="str">
        <f t="array" ref="C80">IF(Knowns!C80&lt;&gt;"",IF(MIN('Clean Unknown'!B$2:B$52) &lt; 9999,MIN(ABS(Knowns!C80-'Clean Unknown'!B$2:B$52)),""),"")</f>
        <v/>
      </c>
      <c r="D80" t="str">
        <f t="array" ref="D80">IF(Knowns!D80&lt;&gt;"",IF(MIN('Clean Unknown'!C$2:C$52) &lt; 9999,MIN(ABS(Knowns!D80-'Clean Unknown'!C$2:C$52)),""),"")</f>
        <v/>
      </c>
      <c r="E80" t="str">
        <f t="array" ref="E80">IF(Knowns!E80&lt;&gt;"",IF(MIN('Clean Unknown'!D$2:D$52) &lt; 9999,MIN(ABS(Knowns!E80-'Clean Unknown'!D$2:D$52)),""),"")</f>
        <v/>
      </c>
      <c r="F80" t="str">
        <f t="array" ref="F80">IF(Knowns!F80&lt;&gt;"",IF(MIN('Clean Unknown'!E$2:E$52) &lt; 9999,MIN(ABS(Knowns!F80-'Clean Unknown'!E$2:E$52)),""),"")</f>
        <v/>
      </c>
      <c r="G80" t="str">
        <f t="array" ref="G80">IF(Knowns!G80&lt;&gt;"",IF(MIN('Clean Unknown'!F$2:F$52) &lt; 9999,MIN(ABS(Knowns!G80-'Clean Unknown'!F$2:F$52)),""),"")</f>
        <v/>
      </c>
    </row>
    <row r="81" spans="1:7">
      <c r="A81">
        <f>Knowns!A81</f>
        <v>0</v>
      </c>
      <c r="B81" t="str">
        <f t="array" ref="B81">IF(Knowns!B81&lt;&gt;"",IF(MIN('Clean Unknown'!A$2:A$52) &lt; 9999,MIN(ABS(Knowns!B81-'Clean Unknown'!A$2:A$52)),""),"")</f>
        <v/>
      </c>
      <c r="C81" t="str">
        <f t="array" ref="C81">IF(Knowns!C81&lt;&gt;"",IF(MIN('Clean Unknown'!B$2:B$52) &lt; 9999,MIN(ABS(Knowns!C81-'Clean Unknown'!B$2:B$52)),""),"")</f>
        <v/>
      </c>
      <c r="D81" t="str">
        <f t="array" ref="D81">IF(Knowns!D81&lt;&gt;"",IF(MIN('Clean Unknown'!C$2:C$52) &lt; 9999,MIN(ABS(Knowns!D81-'Clean Unknown'!C$2:C$52)),""),"")</f>
        <v/>
      </c>
      <c r="E81" t="str">
        <f t="array" ref="E81">IF(Knowns!E81&lt;&gt;"",IF(MIN('Clean Unknown'!D$2:D$52) &lt; 9999,MIN(ABS(Knowns!E81-'Clean Unknown'!D$2:D$52)),""),"")</f>
        <v/>
      </c>
      <c r="F81" t="str">
        <f t="array" ref="F81">IF(Knowns!F81&lt;&gt;"",IF(MIN('Clean Unknown'!E$2:E$52) &lt; 9999,MIN(ABS(Knowns!F81-'Clean Unknown'!E$2:E$52)),""),"")</f>
        <v/>
      </c>
      <c r="G81" t="str">
        <f t="array" ref="G81">IF(Knowns!G81&lt;&gt;"",IF(MIN('Clean Unknown'!F$2:F$52) &lt; 9999,MIN(ABS(Knowns!G81-'Clean Unknown'!F$2:F$52)),""),"")</f>
        <v/>
      </c>
    </row>
    <row r="82" spans="1:7">
      <c r="A82">
        <f>Knowns!A82</f>
        <v>0</v>
      </c>
      <c r="B82" t="str">
        <f t="array" ref="B82">IF(Knowns!B82&lt;&gt;"",IF(MIN('Clean Unknown'!A$2:A$52) &lt; 9999,MIN(ABS(Knowns!B82-'Clean Unknown'!A$2:A$52)),""),"")</f>
        <v/>
      </c>
      <c r="C82" t="str">
        <f t="array" ref="C82">IF(Knowns!C82&lt;&gt;"",IF(MIN('Clean Unknown'!B$2:B$52) &lt; 9999,MIN(ABS(Knowns!C82-'Clean Unknown'!B$2:B$52)),""),"")</f>
        <v/>
      </c>
      <c r="D82" t="str">
        <f t="array" ref="D82">IF(Knowns!D82&lt;&gt;"",IF(MIN('Clean Unknown'!C$2:C$52) &lt; 9999,MIN(ABS(Knowns!D82-'Clean Unknown'!C$2:C$52)),""),"")</f>
        <v/>
      </c>
      <c r="E82" t="str">
        <f t="array" ref="E82">IF(Knowns!E82&lt;&gt;"",IF(MIN('Clean Unknown'!D$2:D$52) &lt; 9999,MIN(ABS(Knowns!E82-'Clean Unknown'!D$2:D$52)),""),"")</f>
        <v/>
      </c>
      <c r="F82" t="str">
        <f t="array" ref="F82">IF(Knowns!F82&lt;&gt;"",IF(MIN('Clean Unknown'!E$2:E$52) &lt; 9999,MIN(ABS(Knowns!F82-'Clean Unknown'!E$2:E$52)),""),"")</f>
        <v/>
      </c>
      <c r="G82" t="str">
        <f t="array" ref="G82">IF(Knowns!G82&lt;&gt;"",IF(MIN('Clean Unknown'!F$2:F$52) &lt; 9999,MIN(ABS(Knowns!G82-'Clean Unknown'!F$2:F$52)),""),"")</f>
        <v/>
      </c>
    </row>
    <row r="83" spans="1:7">
      <c r="A83">
        <f>Knowns!A83</f>
        <v>0</v>
      </c>
      <c r="B83" t="str">
        <f t="array" ref="B83">IF(Knowns!B83&lt;&gt;"",IF(MIN('Clean Unknown'!A$2:A$52) &lt; 9999,MIN(ABS(Knowns!B83-'Clean Unknown'!A$2:A$52)),""),"")</f>
        <v/>
      </c>
      <c r="C83" t="str">
        <f t="array" ref="C83">IF(Knowns!C83&lt;&gt;"",IF(MIN('Clean Unknown'!B$2:B$52) &lt; 9999,MIN(ABS(Knowns!C83-'Clean Unknown'!B$2:B$52)),""),"")</f>
        <v/>
      </c>
      <c r="D83" t="str">
        <f t="array" ref="D83">IF(Knowns!D83&lt;&gt;"",IF(MIN('Clean Unknown'!C$2:C$52) &lt; 9999,MIN(ABS(Knowns!D83-'Clean Unknown'!C$2:C$52)),""),"")</f>
        <v/>
      </c>
      <c r="E83" t="str">
        <f t="array" ref="E83">IF(Knowns!E83&lt;&gt;"",IF(MIN('Clean Unknown'!D$2:D$52) &lt; 9999,MIN(ABS(Knowns!E83-'Clean Unknown'!D$2:D$52)),""),"")</f>
        <v/>
      </c>
      <c r="F83" t="str">
        <f t="array" ref="F83">IF(Knowns!F83&lt;&gt;"",IF(MIN('Clean Unknown'!E$2:E$52) &lt; 9999,MIN(ABS(Knowns!F83-'Clean Unknown'!E$2:E$52)),""),"")</f>
        <v/>
      </c>
      <c r="G83" t="str">
        <f t="array" ref="G83">IF(Knowns!G83&lt;&gt;"",IF(MIN('Clean Unknown'!F$2:F$52) &lt; 9999,MIN(ABS(Knowns!G83-'Clean Unknown'!F$2:F$52)),""),"")</f>
        <v/>
      </c>
    </row>
    <row r="84" spans="1:7">
      <c r="A84">
        <f>Knowns!A84</f>
        <v>0</v>
      </c>
      <c r="B84" t="str">
        <f t="array" ref="B84">IF(Knowns!B84&lt;&gt;"",IF(MIN('Clean Unknown'!A$2:A$52) &lt; 9999,MIN(ABS(Knowns!B84-'Clean Unknown'!A$2:A$52)),""),"")</f>
        <v/>
      </c>
      <c r="C84" t="str">
        <f t="array" ref="C84">IF(Knowns!C84&lt;&gt;"",IF(MIN('Clean Unknown'!B$2:B$52) &lt; 9999,MIN(ABS(Knowns!C84-'Clean Unknown'!B$2:B$52)),""),"")</f>
        <v/>
      </c>
      <c r="D84" t="str">
        <f t="array" ref="D84">IF(Knowns!D84&lt;&gt;"",IF(MIN('Clean Unknown'!C$2:C$52) &lt; 9999,MIN(ABS(Knowns!D84-'Clean Unknown'!C$2:C$52)),""),"")</f>
        <v/>
      </c>
      <c r="E84" t="str">
        <f t="array" ref="E84">IF(Knowns!E84&lt;&gt;"",IF(MIN('Clean Unknown'!D$2:D$52) &lt; 9999,MIN(ABS(Knowns!E84-'Clean Unknown'!D$2:D$52)),""),"")</f>
        <v/>
      </c>
      <c r="F84" t="str">
        <f t="array" ref="F84">IF(Knowns!F84&lt;&gt;"",IF(MIN('Clean Unknown'!E$2:E$52) &lt; 9999,MIN(ABS(Knowns!F84-'Clean Unknown'!E$2:E$52)),""),"")</f>
        <v/>
      </c>
      <c r="G84" t="str">
        <f t="array" ref="G84">IF(Knowns!G84&lt;&gt;"",IF(MIN('Clean Unknown'!F$2:F$52) &lt; 9999,MIN(ABS(Knowns!G84-'Clean Unknown'!F$2:F$52)),""),"")</f>
        <v/>
      </c>
    </row>
    <row r="85" spans="1:7">
      <c r="A85">
        <f>Knowns!A85</f>
        <v>0</v>
      </c>
      <c r="B85" t="str">
        <f t="array" ref="B85">IF(Knowns!B85&lt;&gt;"",IF(MIN('Clean Unknown'!A$2:A$52) &lt; 9999,MIN(ABS(Knowns!B85-'Clean Unknown'!A$2:A$52)),""),"")</f>
        <v/>
      </c>
      <c r="C85" t="str">
        <f t="array" ref="C85">IF(Knowns!C85&lt;&gt;"",IF(MIN('Clean Unknown'!B$2:B$52) &lt; 9999,MIN(ABS(Knowns!C85-'Clean Unknown'!B$2:B$52)),""),"")</f>
        <v/>
      </c>
      <c r="D85" t="str">
        <f t="array" ref="D85">IF(Knowns!D85&lt;&gt;"",IF(MIN('Clean Unknown'!C$2:C$52) &lt; 9999,MIN(ABS(Knowns!D85-'Clean Unknown'!C$2:C$52)),""),"")</f>
        <v/>
      </c>
      <c r="E85" t="str">
        <f t="array" ref="E85">IF(Knowns!E85&lt;&gt;"",IF(MIN('Clean Unknown'!D$2:D$52) &lt; 9999,MIN(ABS(Knowns!E85-'Clean Unknown'!D$2:D$52)),""),"")</f>
        <v/>
      </c>
      <c r="F85" t="str">
        <f t="array" ref="F85">IF(Knowns!F85&lt;&gt;"",IF(MIN('Clean Unknown'!E$2:E$52) &lt; 9999,MIN(ABS(Knowns!F85-'Clean Unknown'!E$2:E$52)),""),"")</f>
        <v/>
      </c>
      <c r="G85" t="str">
        <f t="array" ref="G85">IF(Knowns!G85&lt;&gt;"",IF(MIN('Clean Unknown'!F$2:F$52) &lt; 9999,MIN(ABS(Knowns!G85-'Clean Unknown'!F$2:F$52)),""),"")</f>
        <v/>
      </c>
    </row>
    <row r="86" spans="1:7">
      <c r="A86">
        <f>Knowns!A86</f>
        <v>0</v>
      </c>
      <c r="B86" t="str">
        <f t="array" ref="B86">IF(Knowns!B86&lt;&gt;"",IF(MIN('Clean Unknown'!A$2:A$52) &lt; 9999,MIN(ABS(Knowns!B86-'Clean Unknown'!A$2:A$52)),""),"")</f>
        <v/>
      </c>
      <c r="C86" t="str">
        <f t="array" ref="C86">IF(Knowns!C86&lt;&gt;"",IF(MIN('Clean Unknown'!B$2:B$52) &lt; 9999,MIN(ABS(Knowns!C86-'Clean Unknown'!B$2:B$52)),""),"")</f>
        <v/>
      </c>
      <c r="D86" t="str">
        <f t="array" ref="D86">IF(Knowns!D86&lt;&gt;"",IF(MIN('Clean Unknown'!C$2:C$52) &lt; 9999,MIN(ABS(Knowns!D86-'Clean Unknown'!C$2:C$52)),""),"")</f>
        <v/>
      </c>
      <c r="E86" t="str">
        <f t="array" ref="E86">IF(Knowns!E86&lt;&gt;"",IF(MIN('Clean Unknown'!D$2:D$52) &lt; 9999,MIN(ABS(Knowns!E86-'Clean Unknown'!D$2:D$52)),""),"")</f>
        <v/>
      </c>
      <c r="F86" t="str">
        <f t="array" ref="F86">IF(Knowns!F86&lt;&gt;"",IF(MIN('Clean Unknown'!E$2:E$52) &lt; 9999,MIN(ABS(Knowns!F86-'Clean Unknown'!E$2:E$52)),""),"")</f>
        <v/>
      </c>
      <c r="G86" t="str">
        <f t="array" ref="G86">IF(Knowns!G86&lt;&gt;"",IF(MIN('Clean Unknown'!F$2:F$52) &lt; 9999,MIN(ABS(Knowns!G86-'Clean Unknown'!F$2:F$52)),""),"")</f>
        <v/>
      </c>
    </row>
    <row r="87" spans="1:7">
      <c r="A87">
        <f>Knowns!A87</f>
        <v>0</v>
      </c>
      <c r="B87" t="str">
        <f t="array" ref="B87">IF(Knowns!B87&lt;&gt;"",IF(MIN('Clean Unknown'!A$2:A$52) &lt; 9999,MIN(ABS(Knowns!B87-'Clean Unknown'!A$2:A$52)),""),"")</f>
        <v/>
      </c>
      <c r="C87" t="str">
        <f t="array" ref="C87">IF(Knowns!C87&lt;&gt;"",IF(MIN('Clean Unknown'!B$2:B$52) &lt; 9999,MIN(ABS(Knowns!C87-'Clean Unknown'!B$2:B$52)),""),"")</f>
        <v/>
      </c>
      <c r="D87" t="str">
        <f t="array" ref="D87">IF(Knowns!D87&lt;&gt;"",IF(MIN('Clean Unknown'!C$2:C$52) &lt; 9999,MIN(ABS(Knowns!D87-'Clean Unknown'!C$2:C$52)),""),"")</f>
        <v/>
      </c>
      <c r="E87" t="str">
        <f t="array" ref="E87">IF(Knowns!E87&lt;&gt;"",IF(MIN('Clean Unknown'!D$2:D$52) &lt; 9999,MIN(ABS(Knowns!E87-'Clean Unknown'!D$2:D$52)),""),"")</f>
        <v/>
      </c>
      <c r="F87" t="str">
        <f t="array" ref="F87">IF(Knowns!F87&lt;&gt;"",IF(MIN('Clean Unknown'!E$2:E$52) &lt; 9999,MIN(ABS(Knowns!F87-'Clean Unknown'!E$2:E$52)),""),"")</f>
        <v/>
      </c>
      <c r="G87" t="str">
        <f t="array" ref="G87">IF(Knowns!G87&lt;&gt;"",IF(MIN('Clean Unknown'!F$2:F$52) &lt; 9999,MIN(ABS(Knowns!G87-'Clean Unknown'!F$2:F$52)),""),"")</f>
        <v/>
      </c>
    </row>
    <row r="88" spans="1:7">
      <c r="A88">
        <f>Knowns!A88</f>
        <v>0</v>
      </c>
      <c r="B88" t="str">
        <f t="array" ref="B88">IF(Knowns!B88&lt;&gt;"",IF(MIN('Clean Unknown'!A$2:A$52) &lt; 9999,MIN(ABS(Knowns!B88-'Clean Unknown'!A$2:A$52)),""),"")</f>
        <v/>
      </c>
      <c r="C88" t="str">
        <f t="array" ref="C88">IF(Knowns!C88&lt;&gt;"",IF(MIN('Clean Unknown'!B$2:B$52) &lt; 9999,MIN(ABS(Knowns!C88-'Clean Unknown'!B$2:B$52)),""),"")</f>
        <v/>
      </c>
      <c r="D88" t="str">
        <f t="array" ref="D88">IF(Knowns!D88&lt;&gt;"",IF(MIN('Clean Unknown'!C$2:C$52) &lt; 9999,MIN(ABS(Knowns!D88-'Clean Unknown'!C$2:C$52)),""),"")</f>
        <v/>
      </c>
      <c r="E88" t="str">
        <f t="array" ref="E88">IF(Knowns!E88&lt;&gt;"",IF(MIN('Clean Unknown'!D$2:D$52) &lt; 9999,MIN(ABS(Knowns!E88-'Clean Unknown'!D$2:D$52)),""),"")</f>
        <v/>
      </c>
      <c r="F88" t="str">
        <f t="array" ref="F88">IF(Knowns!F88&lt;&gt;"",IF(MIN('Clean Unknown'!E$2:E$52) &lt; 9999,MIN(ABS(Knowns!F88-'Clean Unknown'!E$2:E$52)),""),"")</f>
        <v/>
      </c>
      <c r="G88" t="str">
        <f t="array" ref="G88">IF(Knowns!G88&lt;&gt;"",IF(MIN('Clean Unknown'!F$2:F$52) &lt; 9999,MIN(ABS(Knowns!G88-'Clean Unknown'!F$2:F$52)),""),"")</f>
        <v/>
      </c>
    </row>
    <row r="89" spans="1:7">
      <c r="A89">
        <f>Knowns!A89</f>
        <v>0</v>
      </c>
      <c r="B89" t="str">
        <f t="array" ref="B89">IF(Knowns!B89&lt;&gt;"",IF(MIN('Clean Unknown'!A$2:A$52) &lt; 9999,MIN(ABS(Knowns!B89-'Clean Unknown'!A$2:A$52)),""),"")</f>
        <v/>
      </c>
      <c r="C89" t="str">
        <f t="array" ref="C89">IF(Knowns!C89&lt;&gt;"",IF(MIN('Clean Unknown'!B$2:B$52) &lt; 9999,MIN(ABS(Knowns!C89-'Clean Unknown'!B$2:B$52)),""),"")</f>
        <v/>
      </c>
      <c r="D89" t="str">
        <f t="array" ref="D89">IF(Knowns!D89&lt;&gt;"",IF(MIN('Clean Unknown'!C$2:C$52) &lt; 9999,MIN(ABS(Knowns!D89-'Clean Unknown'!C$2:C$52)),""),"")</f>
        <v/>
      </c>
      <c r="E89" t="str">
        <f t="array" ref="E89">IF(Knowns!E89&lt;&gt;"",IF(MIN('Clean Unknown'!D$2:D$52) &lt; 9999,MIN(ABS(Knowns!E89-'Clean Unknown'!D$2:D$52)),""),"")</f>
        <v/>
      </c>
      <c r="F89" t="str">
        <f t="array" ref="F89">IF(Knowns!F89&lt;&gt;"",IF(MIN('Clean Unknown'!E$2:E$52) &lt; 9999,MIN(ABS(Knowns!F89-'Clean Unknown'!E$2:E$52)),""),"")</f>
        <v/>
      </c>
      <c r="G89" t="str">
        <f t="array" ref="G89">IF(Knowns!G89&lt;&gt;"",IF(MIN('Clean Unknown'!F$2:F$52) &lt; 9999,MIN(ABS(Knowns!G89-'Clean Unknown'!F$2:F$52)),""),"")</f>
        <v/>
      </c>
    </row>
    <row r="90" spans="1:7">
      <c r="A90">
        <f>Knowns!A90</f>
        <v>0</v>
      </c>
      <c r="B90" t="str">
        <f t="array" ref="B90">IF(Knowns!B90&lt;&gt;"",IF(MIN('Clean Unknown'!A$2:A$52) &lt; 9999,MIN(ABS(Knowns!B90-'Clean Unknown'!A$2:A$52)),""),"")</f>
        <v/>
      </c>
      <c r="C90" t="str">
        <f t="array" ref="C90">IF(Knowns!C90&lt;&gt;"",IF(MIN('Clean Unknown'!B$2:B$52) &lt; 9999,MIN(ABS(Knowns!C90-'Clean Unknown'!B$2:B$52)),""),"")</f>
        <v/>
      </c>
      <c r="D90" t="str">
        <f t="array" ref="D90">IF(Knowns!D90&lt;&gt;"",IF(MIN('Clean Unknown'!C$2:C$52) &lt; 9999,MIN(ABS(Knowns!D90-'Clean Unknown'!C$2:C$52)),""),"")</f>
        <v/>
      </c>
      <c r="E90" t="str">
        <f t="array" ref="E90">IF(Knowns!E90&lt;&gt;"",IF(MIN('Clean Unknown'!D$2:D$52) &lt; 9999,MIN(ABS(Knowns!E90-'Clean Unknown'!D$2:D$52)),""),"")</f>
        <v/>
      </c>
      <c r="F90" t="str">
        <f t="array" ref="F90">IF(Knowns!F90&lt;&gt;"",IF(MIN('Clean Unknown'!E$2:E$52) &lt; 9999,MIN(ABS(Knowns!F90-'Clean Unknown'!E$2:E$52)),""),"")</f>
        <v/>
      </c>
      <c r="G90" t="str">
        <f t="array" ref="G90">IF(Knowns!G90&lt;&gt;"",IF(MIN('Clean Unknown'!F$2:F$52) &lt; 9999,MIN(ABS(Knowns!G90-'Clean Unknown'!F$2:F$52)),""),"")</f>
        <v/>
      </c>
    </row>
    <row r="91" spans="1:7">
      <c r="A91">
        <f>Knowns!A91</f>
        <v>0</v>
      </c>
      <c r="B91" t="str">
        <f t="array" ref="B91">IF(Knowns!B91&lt;&gt;"",IF(MIN('Clean Unknown'!A$2:A$52) &lt; 9999,MIN(ABS(Knowns!B91-'Clean Unknown'!A$2:A$52)),""),"")</f>
        <v/>
      </c>
      <c r="C91" t="str">
        <f t="array" ref="C91">IF(Knowns!C91&lt;&gt;"",IF(MIN('Clean Unknown'!B$2:B$52) &lt; 9999,MIN(ABS(Knowns!C91-'Clean Unknown'!B$2:B$52)),""),"")</f>
        <v/>
      </c>
      <c r="D91" t="str">
        <f t="array" ref="D91">IF(Knowns!D91&lt;&gt;"",IF(MIN('Clean Unknown'!C$2:C$52) &lt; 9999,MIN(ABS(Knowns!D91-'Clean Unknown'!C$2:C$52)),""),"")</f>
        <v/>
      </c>
      <c r="E91" t="str">
        <f t="array" ref="E91">IF(Knowns!E91&lt;&gt;"",IF(MIN('Clean Unknown'!D$2:D$52) &lt; 9999,MIN(ABS(Knowns!E91-'Clean Unknown'!D$2:D$52)),""),"")</f>
        <v/>
      </c>
      <c r="F91" t="str">
        <f t="array" ref="F91">IF(Knowns!F91&lt;&gt;"",IF(MIN('Clean Unknown'!E$2:E$52) &lt; 9999,MIN(ABS(Knowns!F91-'Clean Unknown'!E$2:E$52)),""),"")</f>
        <v/>
      </c>
      <c r="G91" t="str">
        <f t="array" ref="G91">IF(Knowns!G91&lt;&gt;"",IF(MIN('Clean Unknown'!F$2:F$52) &lt; 9999,MIN(ABS(Knowns!G91-'Clean Unknown'!F$2:F$52)),""),"")</f>
        <v/>
      </c>
    </row>
    <row r="92" spans="1:7">
      <c r="A92">
        <f>Knowns!A92</f>
        <v>0</v>
      </c>
      <c r="B92" t="str">
        <f t="array" ref="B92">IF(Knowns!B92&lt;&gt;"",IF(MIN('Clean Unknown'!A$2:A$52) &lt; 9999,MIN(ABS(Knowns!B92-'Clean Unknown'!A$2:A$52)),""),"")</f>
        <v/>
      </c>
      <c r="C92" t="str">
        <f t="array" ref="C92">IF(Knowns!C92&lt;&gt;"",IF(MIN('Clean Unknown'!B$2:B$52) &lt; 9999,MIN(ABS(Knowns!C92-'Clean Unknown'!B$2:B$52)),""),"")</f>
        <v/>
      </c>
      <c r="D92" t="str">
        <f t="array" ref="D92">IF(Knowns!D92&lt;&gt;"",IF(MIN('Clean Unknown'!C$2:C$52) &lt; 9999,MIN(ABS(Knowns!D92-'Clean Unknown'!C$2:C$52)),""),"")</f>
        <v/>
      </c>
      <c r="E92" t="str">
        <f t="array" ref="E92">IF(Knowns!E92&lt;&gt;"",IF(MIN('Clean Unknown'!D$2:D$52) &lt; 9999,MIN(ABS(Knowns!E92-'Clean Unknown'!D$2:D$52)),""),"")</f>
        <v/>
      </c>
      <c r="F92" t="str">
        <f t="array" ref="F92">IF(Knowns!F92&lt;&gt;"",IF(MIN('Clean Unknown'!E$2:E$52) &lt; 9999,MIN(ABS(Knowns!F92-'Clean Unknown'!E$2:E$52)),""),"")</f>
        <v/>
      </c>
      <c r="G92" t="str">
        <f t="array" ref="G92">IF(Knowns!G92&lt;&gt;"",IF(MIN('Clean Unknown'!F$2:F$52) &lt; 9999,MIN(ABS(Knowns!G92-'Clean Unknown'!F$2:F$52)),""),"")</f>
        <v/>
      </c>
    </row>
    <row r="93" spans="1:7">
      <c r="A93">
        <f>Knowns!A93</f>
        <v>0</v>
      </c>
      <c r="B93" t="str">
        <f t="array" ref="B93">IF(Knowns!B93&lt;&gt;"",IF(MIN('Clean Unknown'!A$2:A$52) &lt; 9999,MIN(ABS(Knowns!B93-'Clean Unknown'!A$2:A$52)),""),"")</f>
        <v/>
      </c>
      <c r="C93" t="str">
        <f t="array" ref="C93">IF(Knowns!C93&lt;&gt;"",IF(MIN('Clean Unknown'!B$2:B$52) &lt; 9999,MIN(ABS(Knowns!C93-'Clean Unknown'!B$2:B$52)),""),"")</f>
        <v/>
      </c>
      <c r="D93" t="str">
        <f t="array" ref="D93">IF(Knowns!D93&lt;&gt;"",IF(MIN('Clean Unknown'!C$2:C$52) &lt; 9999,MIN(ABS(Knowns!D93-'Clean Unknown'!C$2:C$52)),""),"")</f>
        <v/>
      </c>
      <c r="E93" t="str">
        <f t="array" ref="E93">IF(Knowns!E93&lt;&gt;"",IF(MIN('Clean Unknown'!D$2:D$52) &lt; 9999,MIN(ABS(Knowns!E93-'Clean Unknown'!D$2:D$52)),""),"")</f>
        <v/>
      </c>
      <c r="F93" t="str">
        <f t="array" ref="F93">IF(Knowns!F93&lt;&gt;"",IF(MIN('Clean Unknown'!E$2:E$52) &lt; 9999,MIN(ABS(Knowns!F93-'Clean Unknown'!E$2:E$52)),""),"")</f>
        <v/>
      </c>
      <c r="G93" t="str">
        <f t="array" ref="G93">IF(Knowns!G93&lt;&gt;"",IF(MIN('Clean Unknown'!F$2:F$52) &lt; 9999,MIN(ABS(Knowns!G93-'Clean Unknown'!F$2:F$52)),""),"")</f>
        <v/>
      </c>
    </row>
    <row r="94" spans="1:7">
      <c r="A94">
        <f>Knowns!A94</f>
        <v>0</v>
      </c>
      <c r="B94" t="str">
        <f t="array" ref="B94">IF(Knowns!B94&lt;&gt;"",IF(MIN('Clean Unknown'!A$2:A$52) &lt; 9999,MIN(ABS(Knowns!B94-'Clean Unknown'!A$2:A$52)),""),"")</f>
        <v/>
      </c>
      <c r="C94" t="str">
        <f t="array" ref="C94">IF(Knowns!C94&lt;&gt;"",IF(MIN('Clean Unknown'!B$2:B$52) &lt; 9999,MIN(ABS(Knowns!C94-'Clean Unknown'!B$2:B$52)),""),"")</f>
        <v/>
      </c>
      <c r="D94" t="str">
        <f t="array" ref="D94">IF(Knowns!D94&lt;&gt;"",IF(MIN('Clean Unknown'!C$2:C$52) &lt; 9999,MIN(ABS(Knowns!D94-'Clean Unknown'!C$2:C$52)),""),"")</f>
        <v/>
      </c>
      <c r="E94" t="str">
        <f t="array" ref="E94">IF(Knowns!E94&lt;&gt;"",IF(MIN('Clean Unknown'!D$2:D$52) &lt; 9999,MIN(ABS(Knowns!E94-'Clean Unknown'!D$2:D$52)),""),"")</f>
        <v/>
      </c>
      <c r="F94" t="str">
        <f t="array" ref="F94">IF(Knowns!F94&lt;&gt;"",IF(MIN('Clean Unknown'!E$2:E$52) &lt; 9999,MIN(ABS(Knowns!F94-'Clean Unknown'!E$2:E$52)),""),"")</f>
        <v/>
      </c>
      <c r="G94" t="str">
        <f t="array" ref="G94">IF(Knowns!G94&lt;&gt;"",IF(MIN('Clean Unknown'!F$2:F$52) &lt; 9999,MIN(ABS(Knowns!G94-'Clean Unknown'!F$2:F$52)),""),"")</f>
        <v/>
      </c>
    </row>
    <row r="95" spans="1:7">
      <c r="A95">
        <f>Knowns!A95</f>
        <v>0</v>
      </c>
      <c r="B95" t="str">
        <f t="array" ref="B95">IF(Knowns!B95&lt;&gt;"",IF(MIN('Clean Unknown'!A$2:A$52) &lt; 9999,MIN(ABS(Knowns!B95-'Clean Unknown'!A$2:A$52)),""),"")</f>
        <v/>
      </c>
      <c r="C95" t="str">
        <f t="array" ref="C95">IF(Knowns!C95&lt;&gt;"",IF(MIN('Clean Unknown'!B$2:B$52) &lt; 9999,MIN(ABS(Knowns!C95-'Clean Unknown'!B$2:B$52)),""),"")</f>
        <v/>
      </c>
      <c r="D95" t="str">
        <f t="array" ref="D95">IF(Knowns!D95&lt;&gt;"",IF(MIN('Clean Unknown'!C$2:C$52) &lt; 9999,MIN(ABS(Knowns!D95-'Clean Unknown'!C$2:C$52)),""),"")</f>
        <v/>
      </c>
      <c r="E95" t="str">
        <f t="array" ref="E95">IF(Knowns!E95&lt;&gt;"",IF(MIN('Clean Unknown'!D$2:D$52) &lt; 9999,MIN(ABS(Knowns!E95-'Clean Unknown'!D$2:D$52)),""),"")</f>
        <v/>
      </c>
      <c r="F95" t="str">
        <f t="array" ref="F95">IF(Knowns!F95&lt;&gt;"",IF(MIN('Clean Unknown'!E$2:E$52) &lt; 9999,MIN(ABS(Knowns!F95-'Clean Unknown'!E$2:E$52)),""),"")</f>
        <v/>
      </c>
      <c r="G95" t="str">
        <f t="array" ref="G95">IF(Knowns!G95&lt;&gt;"",IF(MIN('Clean Unknown'!F$2:F$52) &lt; 9999,MIN(ABS(Knowns!G95-'Clean Unknown'!F$2:F$52)),""),"")</f>
        <v/>
      </c>
    </row>
    <row r="96" spans="1:7">
      <c r="A96">
        <f>Knowns!A96</f>
        <v>0</v>
      </c>
      <c r="B96" t="str">
        <f t="array" ref="B96">IF(Knowns!B96&lt;&gt;"",IF(MIN('Clean Unknown'!A$2:A$52) &lt; 9999,MIN(ABS(Knowns!B96-'Clean Unknown'!A$2:A$52)),""),"")</f>
        <v/>
      </c>
      <c r="C96" t="str">
        <f t="array" ref="C96">IF(Knowns!C96&lt;&gt;"",IF(MIN('Clean Unknown'!B$2:B$52) &lt; 9999,MIN(ABS(Knowns!C96-'Clean Unknown'!B$2:B$52)),""),"")</f>
        <v/>
      </c>
      <c r="D96" t="str">
        <f t="array" ref="D96">IF(Knowns!D96&lt;&gt;"",IF(MIN('Clean Unknown'!C$2:C$52) &lt; 9999,MIN(ABS(Knowns!D96-'Clean Unknown'!C$2:C$52)),""),"")</f>
        <v/>
      </c>
      <c r="E96" t="str">
        <f t="array" ref="E96">IF(Knowns!E96&lt;&gt;"",IF(MIN('Clean Unknown'!D$2:D$52) &lt; 9999,MIN(ABS(Knowns!E96-'Clean Unknown'!D$2:D$52)),""),"")</f>
        <v/>
      </c>
      <c r="F96" t="str">
        <f t="array" ref="F96">IF(Knowns!F96&lt;&gt;"",IF(MIN('Clean Unknown'!E$2:E$52) &lt; 9999,MIN(ABS(Knowns!F96-'Clean Unknown'!E$2:E$52)),""),"")</f>
        <v/>
      </c>
      <c r="G96" t="str">
        <f t="array" ref="G96">IF(Knowns!G96&lt;&gt;"",IF(MIN('Clean Unknown'!F$2:F$52) &lt; 9999,MIN(ABS(Knowns!G96-'Clean Unknown'!F$2:F$52)),""),"")</f>
        <v/>
      </c>
    </row>
    <row r="97" spans="1:7">
      <c r="A97">
        <f>Knowns!A97</f>
        <v>0</v>
      </c>
      <c r="B97" t="str">
        <f t="array" ref="B97">IF(Knowns!B97&lt;&gt;"",IF(MIN('Clean Unknown'!A$2:A$52) &lt; 9999,MIN(ABS(Knowns!B97-'Clean Unknown'!A$2:A$52)),""),"")</f>
        <v/>
      </c>
      <c r="C97" t="str">
        <f t="array" ref="C97">IF(Knowns!C97&lt;&gt;"",IF(MIN('Clean Unknown'!B$2:B$52) &lt; 9999,MIN(ABS(Knowns!C97-'Clean Unknown'!B$2:B$52)),""),"")</f>
        <v/>
      </c>
      <c r="D97" t="str">
        <f t="array" ref="D97">IF(Knowns!D97&lt;&gt;"",IF(MIN('Clean Unknown'!C$2:C$52) &lt; 9999,MIN(ABS(Knowns!D97-'Clean Unknown'!C$2:C$52)),""),"")</f>
        <v/>
      </c>
      <c r="E97" t="str">
        <f t="array" ref="E97">IF(Knowns!E97&lt;&gt;"",IF(MIN('Clean Unknown'!D$2:D$52) &lt; 9999,MIN(ABS(Knowns!E97-'Clean Unknown'!D$2:D$52)),""),"")</f>
        <v/>
      </c>
      <c r="F97" t="str">
        <f t="array" ref="F97">IF(Knowns!F97&lt;&gt;"",IF(MIN('Clean Unknown'!E$2:E$52) &lt; 9999,MIN(ABS(Knowns!F97-'Clean Unknown'!E$2:E$52)),""),"")</f>
        <v/>
      </c>
      <c r="G97" t="str">
        <f t="array" ref="G97">IF(Knowns!G97&lt;&gt;"",IF(MIN('Clean Unknown'!F$2:F$52) &lt; 9999,MIN(ABS(Knowns!G97-'Clean Unknown'!F$2:F$52)),""),"")</f>
        <v/>
      </c>
    </row>
    <row r="98" spans="1:7">
      <c r="A98">
        <f>Knowns!A98</f>
        <v>0</v>
      </c>
      <c r="B98" t="str">
        <f t="array" ref="B98">IF(Knowns!B98&lt;&gt;"",IF(MIN('Clean Unknown'!A$2:A$52) &lt; 9999,MIN(ABS(Knowns!B98-'Clean Unknown'!A$2:A$52)),""),"")</f>
        <v/>
      </c>
      <c r="C98" t="str">
        <f t="array" ref="C98">IF(Knowns!C98&lt;&gt;"",IF(MIN('Clean Unknown'!B$2:B$52) &lt; 9999,MIN(ABS(Knowns!C98-'Clean Unknown'!B$2:B$52)),""),"")</f>
        <v/>
      </c>
      <c r="D98" t="str">
        <f t="array" ref="D98">IF(Knowns!D98&lt;&gt;"",IF(MIN('Clean Unknown'!C$2:C$52) &lt; 9999,MIN(ABS(Knowns!D98-'Clean Unknown'!C$2:C$52)),""),"")</f>
        <v/>
      </c>
      <c r="E98" t="str">
        <f t="array" ref="E98">IF(Knowns!E98&lt;&gt;"",IF(MIN('Clean Unknown'!D$2:D$52) &lt; 9999,MIN(ABS(Knowns!E98-'Clean Unknown'!D$2:D$52)),""),"")</f>
        <v/>
      </c>
      <c r="F98" t="str">
        <f t="array" ref="F98">IF(Knowns!F98&lt;&gt;"",IF(MIN('Clean Unknown'!E$2:E$52) &lt; 9999,MIN(ABS(Knowns!F98-'Clean Unknown'!E$2:E$52)),""),"")</f>
        <v/>
      </c>
      <c r="G98" t="str">
        <f t="array" ref="G98">IF(Knowns!G98&lt;&gt;"",IF(MIN('Clean Unknown'!F$2:F$52) &lt; 9999,MIN(ABS(Knowns!G98-'Clean Unknown'!F$2:F$52)),""),"")</f>
        <v/>
      </c>
    </row>
    <row r="99" spans="1:7">
      <c r="A99">
        <f>Knowns!A99</f>
        <v>0</v>
      </c>
      <c r="B99" t="str">
        <f t="array" ref="B99">IF(Knowns!B99&lt;&gt;"",IF(MIN('Clean Unknown'!A$2:A$52) &lt; 9999,MIN(ABS(Knowns!B99-'Clean Unknown'!A$2:A$52)),""),"")</f>
        <v/>
      </c>
      <c r="C99" t="str">
        <f t="array" ref="C99">IF(Knowns!C99&lt;&gt;"",IF(MIN('Clean Unknown'!B$2:B$52) &lt; 9999,MIN(ABS(Knowns!C99-'Clean Unknown'!B$2:B$52)),""),"")</f>
        <v/>
      </c>
      <c r="D99" t="str">
        <f t="array" ref="D99">IF(Knowns!D99&lt;&gt;"",IF(MIN('Clean Unknown'!C$2:C$52) &lt; 9999,MIN(ABS(Knowns!D99-'Clean Unknown'!C$2:C$52)),""),"")</f>
        <v/>
      </c>
      <c r="E99" t="str">
        <f t="array" ref="E99">IF(Knowns!E99&lt;&gt;"",IF(MIN('Clean Unknown'!D$2:D$52) &lt; 9999,MIN(ABS(Knowns!E99-'Clean Unknown'!D$2:D$52)),""),"")</f>
        <v/>
      </c>
      <c r="F99" t="str">
        <f t="array" ref="F99">IF(Knowns!F99&lt;&gt;"",IF(MIN('Clean Unknown'!E$2:E$52) &lt; 9999,MIN(ABS(Knowns!F99-'Clean Unknown'!E$2:E$52)),""),"")</f>
        <v/>
      </c>
      <c r="G99" t="str">
        <f t="array" ref="G99">IF(Knowns!G99&lt;&gt;"",IF(MIN('Clean Unknown'!F$2:F$52) &lt; 9999,MIN(ABS(Knowns!G99-'Clean Unknown'!F$2:F$52)),""),"")</f>
        <v/>
      </c>
    </row>
    <row r="100" spans="1:7">
      <c r="A100">
        <f>Knowns!A100</f>
        <v>0</v>
      </c>
      <c r="B100" t="str">
        <f t="array" ref="B100">IF(Knowns!B100&lt;&gt;"",IF(MIN('Clean Unknown'!A$2:A$52) &lt; 9999,MIN(ABS(Knowns!B100-'Clean Unknown'!A$2:A$52)),""),"")</f>
        <v/>
      </c>
      <c r="C100" t="str">
        <f t="array" ref="C100">IF(Knowns!C100&lt;&gt;"",IF(MIN('Clean Unknown'!B$2:B$52) &lt; 9999,MIN(ABS(Knowns!C100-'Clean Unknown'!B$2:B$52)),""),"")</f>
        <v/>
      </c>
      <c r="D100" t="str">
        <f t="array" ref="D100">IF(Knowns!D100&lt;&gt;"",IF(MIN('Clean Unknown'!C$2:C$52) &lt; 9999,MIN(ABS(Knowns!D100-'Clean Unknown'!C$2:C$52)),""),"")</f>
        <v/>
      </c>
      <c r="E100" t="str">
        <f t="array" ref="E100">IF(Knowns!E100&lt;&gt;"",IF(MIN('Clean Unknown'!D$2:D$52) &lt; 9999,MIN(ABS(Knowns!E100-'Clean Unknown'!D$2:D$52)),""),"")</f>
        <v/>
      </c>
      <c r="F100" t="str">
        <f t="array" ref="F100">IF(Knowns!F100&lt;&gt;"",IF(MIN('Clean Unknown'!E$2:E$52) &lt; 9999,MIN(ABS(Knowns!F100-'Clean Unknown'!E$2:E$52)),""),"")</f>
        <v/>
      </c>
      <c r="G100" t="str">
        <f t="array" ref="G100">IF(Knowns!G100&lt;&gt;"",IF(MIN('Clean Unknown'!F$2:F$52) &lt; 9999,MIN(ABS(Knowns!G100-'Clean Unknown'!F$2:F$52)),""),"")</f>
        <v/>
      </c>
    </row>
    <row r="101" spans="1:7">
      <c r="A101">
        <f>Knowns!A101</f>
        <v>0</v>
      </c>
      <c r="B101" t="str">
        <f t="array" ref="B101">IF(Knowns!B101&lt;&gt;"",IF(MIN('Clean Unknown'!A$2:A$52) &lt; 9999,MIN(ABS(Knowns!B101-'Clean Unknown'!A$2:A$52)),""),"")</f>
        <v/>
      </c>
      <c r="C101" t="str">
        <f t="array" ref="C101">IF(Knowns!C101&lt;&gt;"",IF(MIN('Clean Unknown'!B$2:B$52) &lt; 9999,MIN(ABS(Knowns!C101-'Clean Unknown'!B$2:B$52)),""),"")</f>
        <v/>
      </c>
      <c r="D101" t="str">
        <f t="array" ref="D101">IF(Knowns!D101&lt;&gt;"",IF(MIN('Clean Unknown'!C$2:C$52) &lt; 9999,MIN(ABS(Knowns!D101-'Clean Unknown'!C$2:C$52)),""),"")</f>
        <v/>
      </c>
      <c r="E101" t="str">
        <f t="array" ref="E101">IF(Knowns!E101&lt;&gt;"",IF(MIN('Clean Unknown'!D$2:D$52) &lt; 9999,MIN(ABS(Knowns!E101-'Clean Unknown'!D$2:D$52)),""),"")</f>
        <v/>
      </c>
      <c r="F101" t="str">
        <f t="array" ref="F101">IF(Knowns!F101&lt;&gt;"",IF(MIN('Clean Unknown'!E$2:E$52) &lt; 9999,MIN(ABS(Knowns!F101-'Clean Unknown'!E$2:E$52)),""),"")</f>
        <v/>
      </c>
      <c r="G101" t="str">
        <f t="array" ref="G101">IF(Knowns!G101&lt;&gt;"",IF(MIN('Clean Unknown'!F$2:F$52) &lt; 9999,MIN(ABS(Knowns!G101-'Clean Unknown'!F$2:F$52)),""),"")</f>
        <v/>
      </c>
    </row>
    <row r="102" spans="1:7">
      <c r="A102">
        <f>Knowns!A102</f>
        <v>0</v>
      </c>
      <c r="B102" t="str">
        <f t="array" ref="B102">IF(Knowns!B102&lt;&gt;"",IF(MIN('Clean Unknown'!A$2:A$52) &lt; 9999,MIN(ABS(Knowns!B102-'Clean Unknown'!A$2:A$52)),""),"")</f>
        <v/>
      </c>
      <c r="C102" t="str">
        <f t="array" ref="C102">IF(Knowns!C102&lt;&gt;"",IF(MIN('Clean Unknown'!B$2:B$52) &lt; 9999,MIN(ABS(Knowns!C102-'Clean Unknown'!B$2:B$52)),""),"")</f>
        <v/>
      </c>
      <c r="D102" t="str">
        <f t="array" ref="D102">IF(Knowns!D102&lt;&gt;"",IF(MIN('Clean Unknown'!C$2:C$52) &lt; 9999,MIN(ABS(Knowns!D102-'Clean Unknown'!C$2:C$52)),""),"")</f>
        <v/>
      </c>
      <c r="E102" t="str">
        <f t="array" ref="E102">IF(Knowns!E102&lt;&gt;"",IF(MIN('Clean Unknown'!D$2:D$52) &lt; 9999,MIN(ABS(Knowns!E102-'Clean Unknown'!D$2:D$52)),""),"")</f>
        <v/>
      </c>
      <c r="F102" t="str">
        <f t="array" ref="F102">IF(Knowns!F102&lt;&gt;"",IF(MIN('Clean Unknown'!E$2:E$52) &lt; 9999,MIN(ABS(Knowns!F102-'Clean Unknown'!E$2:E$52)),""),"")</f>
        <v/>
      </c>
      <c r="G102" t="str">
        <f t="array" ref="G102">IF(Knowns!G102&lt;&gt;"",IF(MIN('Clean Unknown'!F$2:F$52) &lt; 9999,MIN(ABS(Knowns!G102-'Clean Unknown'!F$2:F$52)),""),"")</f>
        <v/>
      </c>
    </row>
    <row r="103" spans="1:7">
      <c r="A103">
        <f>Knowns!A103</f>
        <v>0</v>
      </c>
      <c r="B103" t="str">
        <f t="array" ref="B103">IF(Knowns!B103&lt;&gt;"",IF(MIN('Clean Unknown'!A$2:A$52) &lt; 9999,MIN(ABS(Knowns!B103-'Clean Unknown'!A$2:A$52)),""),"")</f>
        <v/>
      </c>
      <c r="C103" t="str">
        <f t="array" ref="C103">IF(Knowns!C103&lt;&gt;"",IF(MIN('Clean Unknown'!B$2:B$52) &lt; 9999,MIN(ABS(Knowns!C103-'Clean Unknown'!B$2:B$52)),""),"")</f>
        <v/>
      </c>
      <c r="D103" t="str">
        <f t="array" ref="D103">IF(Knowns!D103&lt;&gt;"",IF(MIN('Clean Unknown'!C$2:C$52) &lt; 9999,MIN(ABS(Knowns!D103-'Clean Unknown'!C$2:C$52)),""),"")</f>
        <v/>
      </c>
      <c r="E103" t="str">
        <f t="array" ref="E103">IF(Knowns!E103&lt;&gt;"",IF(MIN('Clean Unknown'!D$2:D$52) &lt; 9999,MIN(ABS(Knowns!E103-'Clean Unknown'!D$2:D$52)),""),"")</f>
        <v/>
      </c>
      <c r="F103" t="str">
        <f t="array" ref="F103">IF(Knowns!F103&lt;&gt;"",IF(MIN('Clean Unknown'!E$2:E$52) &lt; 9999,MIN(ABS(Knowns!F103-'Clean Unknown'!E$2:E$52)),""),"")</f>
        <v/>
      </c>
      <c r="G103" t="str">
        <f t="array" ref="G103">IF(Knowns!G103&lt;&gt;"",IF(MIN('Clean Unknown'!F$2:F$52) &lt; 9999,MIN(ABS(Knowns!G103-'Clean Unknown'!F$2:F$52)),""),"")</f>
        <v/>
      </c>
    </row>
    <row r="104" spans="1:7">
      <c r="A104">
        <f>Knowns!A104</f>
        <v>0</v>
      </c>
      <c r="B104" t="str">
        <f t="array" ref="B104">IF(Knowns!B104&lt;&gt;"",IF(MIN('Clean Unknown'!A$2:A$52) &lt; 9999,MIN(ABS(Knowns!B104-'Clean Unknown'!A$2:A$52)),""),"")</f>
        <v/>
      </c>
      <c r="C104" t="str">
        <f t="array" ref="C104">IF(Knowns!C104&lt;&gt;"",IF(MIN('Clean Unknown'!B$2:B$52) &lt; 9999,MIN(ABS(Knowns!C104-'Clean Unknown'!B$2:B$52)),""),"")</f>
        <v/>
      </c>
      <c r="D104" t="str">
        <f t="array" ref="D104">IF(Knowns!D104&lt;&gt;"",IF(MIN('Clean Unknown'!C$2:C$52) &lt; 9999,MIN(ABS(Knowns!D104-'Clean Unknown'!C$2:C$52)),""),"")</f>
        <v/>
      </c>
      <c r="E104" t="str">
        <f t="array" ref="E104">IF(Knowns!E104&lt;&gt;"",IF(MIN('Clean Unknown'!D$2:D$52) &lt; 9999,MIN(ABS(Knowns!E104-'Clean Unknown'!D$2:D$52)),""),"")</f>
        <v/>
      </c>
      <c r="F104" t="str">
        <f t="array" ref="F104">IF(Knowns!F104&lt;&gt;"",IF(MIN('Clean Unknown'!E$2:E$52) &lt; 9999,MIN(ABS(Knowns!F104-'Clean Unknown'!E$2:E$52)),""),"")</f>
        <v/>
      </c>
      <c r="G104" t="str">
        <f t="array" ref="G104">IF(Knowns!G104&lt;&gt;"",IF(MIN('Clean Unknown'!F$2:F$52) &lt; 9999,MIN(ABS(Knowns!G104-'Clean Unknown'!F$2:F$52)),""),"")</f>
        <v/>
      </c>
    </row>
    <row r="105" spans="1:7">
      <c r="A105">
        <f>Knowns!A105</f>
        <v>0</v>
      </c>
      <c r="B105" t="str">
        <f t="array" ref="B105">IF(Knowns!B105&lt;&gt;"",IF(MIN('Clean Unknown'!A$2:A$52) &lt; 9999,MIN(ABS(Knowns!B105-'Clean Unknown'!A$2:A$52)),""),"")</f>
        <v/>
      </c>
      <c r="C105" t="str">
        <f t="array" ref="C105">IF(Knowns!C105&lt;&gt;"",IF(MIN('Clean Unknown'!B$2:B$52) &lt; 9999,MIN(ABS(Knowns!C105-'Clean Unknown'!B$2:B$52)),""),"")</f>
        <v/>
      </c>
      <c r="D105" t="str">
        <f t="array" ref="D105">IF(Knowns!D105&lt;&gt;"",IF(MIN('Clean Unknown'!C$2:C$52) &lt; 9999,MIN(ABS(Knowns!D105-'Clean Unknown'!C$2:C$52)),""),"")</f>
        <v/>
      </c>
      <c r="E105" t="str">
        <f t="array" ref="E105">IF(Knowns!E105&lt;&gt;"",IF(MIN('Clean Unknown'!D$2:D$52) &lt; 9999,MIN(ABS(Knowns!E105-'Clean Unknown'!D$2:D$52)),""),"")</f>
        <v/>
      </c>
      <c r="F105" t="str">
        <f t="array" ref="F105">IF(Knowns!F105&lt;&gt;"",IF(MIN('Clean Unknown'!E$2:E$52) &lt; 9999,MIN(ABS(Knowns!F105-'Clean Unknown'!E$2:E$52)),""),"")</f>
        <v/>
      </c>
      <c r="G105" t="str">
        <f t="array" ref="G105">IF(Knowns!G105&lt;&gt;"",IF(MIN('Clean Unknown'!F$2:F$52) &lt; 9999,MIN(ABS(Knowns!G105-'Clean Unknown'!F$2:F$52)),""),"")</f>
        <v/>
      </c>
    </row>
    <row r="106" spans="1:7">
      <c r="A106">
        <f>Knowns!A106</f>
        <v>0</v>
      </c>
      <c r="B106" t="str">
        <f t="array" ref="B106">IF(Knowns!B106&lt;&gt;"",IF(MIN('Clean Unknown'!A$2:A$52) &lt; 9999,MIN(ABS(Knowns!B106-'Clean Unknown'!A$2:A$52)),""),"")</f>
        <v/>
      </c>
      <c r="C106" t="str">
        <f t="array" ref="C106">IF(Knowns!C106&lt;&gt;"",IF(MIN('Clean Unknown'!B$2:B$52) &lt; 9999,MIN(ABS(Knowns!C106-'Clean Unknown'!B$2:B$52)),""),"")</f>
        <v/>
      </c>
      <c r="D106" t="str">
        <f t="array" ref="D106">IF(Knowns!D106&lt;&gt;"",IF(MIN('Clean Unknown'!C$2:C$52) &lt; 9999,MIN(ABS(Knowns!D106-'Clean Unknown'!C$2:C$52)),""),"")</f>
        <v/>
      </c>
      <c r="E106" t="str">
        <f t="array" ref="E106">IF(Knowns!E106&lt;&gt;"",IF(MIN('Clean Unknown'!D$2:D$52) &lt; 9999,MIN(ABS(Knowns!E106-'Clean Unknown'!D$2:D$52)),""),"")</f>
        <v/>
      </c>
      <c r="F106" t="str">
        <f t="array" ref="F106">IF(Knowns!F106&lt;&gt;"",IF(MIN('Clean Unknown'!E$2:E$52) &lt; 9999,MIN(ABS(Knowns!F106-'Clean Unknown'!E$2:E$52)),""),"")</f>
        <v/>
      </c>
      <c r="G106" t="str">
        <f t="array" ref="G106">IF(Knowns!G106&lt;&gt;"",IF(MIN('Clean Unknown'!F$2:F$52) &lt; 9999,MIN(ABS(Knowns!G106-'Clean Unknown'!F$2:F$52)),""),"")</f>
        <v/>
      </c>
    </row>
    <row r="107" spans="1:7">
      <c r="A107">
        <f>Knowns!A107</f>
        <v>0</v>
      </c>
      <c r="B107" t="str">
        <f t="array" ref="B107">IF(Knowns!B107&lt;&gt;"",IF(MIN('Clean Unknown'!A$2:A$52) &lt; 9999,MIN(ABS(Knowns!B107-'Clean Unknown'!A$2:A$52)),""),"")</f>
        <v/>
      </c>
      <c r="C107" t="str">
        <f t="array" ref="C107">IF(Knowns!C107&lt;&gt;"",IF(MIN('Clean Unknown'!B$2:B$52) &lt; 9999,MIN(ABS(Knowns!C107-'Clean Unknown'!B$2:B$52)),""),"")</f>
        <v/>
      </c>
      <c r="D107" t="str">
        <f t="array" ref="D107">IF(Knowns!D107&lt;&gt;"",IF(MIN('Clean Unknown'!C$2:C$52) &lt; 9999,MIN(ABS(Knowns!D107-'Clean Unknown'!C$2:C$52)),""),"")</f>
        <v/>
      </c>
      <c r="E107" t="str">
        <f t="array" ref="E107">IF(Knowns!E107&lt;&gt;"",IF(MIN('Clean Unknown'!D$2:D$52) &lt; 9999,MIN(ABS(Knowns!E107-'Clean Unknown'!D$2:D$52)),""),"")</f>
        <v/>
      </c>
      <c r="F107" t="str">
        <f t="array" ref="F107">IF(Knowns!F107&lt;&gt;"",IF(MIN('Clean Unknown'!E$2:E$52) &lt; 9999,MIN(ABS(Knowns!F107-'Clean Unknown'!E$2:E$52)),""),"")</f>
        <v/>
      </c>
      <c r="G107" t="str">
        <f t="array" ref="G107">IF(Knowns!G107&lt;&gt;"",IF(MIN('Clean Unknown'!F$2:F$52) &lt; 9999,MIN(ABS(Knowns!G107-'Clean Unknown'!F$2:F$52)),""),"")</f>
        <v/>
      </c>
    </row>
    <row r="108" spans="1:7">
      <c r="A108">
        <f>Knowns!A108</f>
        <v>0</v>
      </c>
      <c r="B108" t="str">
        <f t="array" ref="B108">IF(Knowns!B108&lt;&gt;"",IF(MIN('Clean Unknown'!A$2:A$52) &lt; 9999,MIN(ABS(Knowns!B108-'Clean Unknown'!A$2:A$52)),""),"")</f>
        <v/>
      </c>
      <c r="C108" t="str">
        <f t="array" ref="C108">IF(Knowns!C108&lt;&gt;"",IF(MIN('Clean Unknown'!B$2:B$52) &lt; 9999,MIN(ABS(Knowns!C108-'Clean Unknown'!B$2:B$52)),""),"")</f>
        <v/>
      </c>
      <c r="D108" t="str">
        <f t="array" ref="D108">IF(Knowns!D108&lt;&gt;"",IF(MIN('Clean Unknown'!C$2:C$52) &lt; 9999,MIN(ABS(Knowns!D108-'Clean Unknown'!C$2:C$52)),""),"")</f>
        <v/>
      </c>
      <c r="E108" t="str">
        <f t="array" ref="E108">IF(Knowns!E108&lt;&gt;"",IF(MIN('Clean Unknown'!D$2:D$52) &lt; 9999,MIN(ABS(Knowns!E108-'Clean Unknown'!D$2:D$52)),""),"")</f>
        <v/>
      </c>
      <c r="F108" t="str">
        <f t="array" ref="F108">IF(Knowns!F108&lt;&gt;"",IF(MIN('Clean Unknown'!E$2:E$52) &lt; 9999,MIN(ABS(Knowns!F108-'Clean Unknown'!E$2:E$52)),""),"")</f>
        <v/>
      </c>
      <c r="G108" t="str">
        <f t="array" ref="G108">IF(Knowns!G108&lt;&gt;"",IF(MIN('Clean Unknown'!F$2:F$52) &lt; 9999,MIN(ABS(Knowns!G108-'Clean Unknown'!F$2:F$52)),""),"")</f>
        <v/>
      </c>
    </row>
    <row r="109" spans="1:7">
      <c r="A109">
        <f>Knowns!A109</f>
        <v>0</v>
      </c>
      <c r="B109" t="str">
        <f t="array" ref="B109">IF(Knowns!B109&lt;&gt;"",IF(MIN('Clean Unknown'!A$2:A$52) &lt; 9999,MIN(ABS(Knowns!B109-'Clean Unknown'!A$2:A$52)),""),"")</f>
        <v/>
      </c>
      <c r="C109" t="str">
        <f t="array" ref="C109">IF(Knowns!C109&lt;&gt;"",IF(MIN('Clean Unknown'!B$2:B$52) &lt; 9999,MIN(ABS(Knowns!C109-'Clean Unknown'!B$2:B$52)),""),"")</f>
        <v/>
      </c>
      <c r="D109" t="str">
        <f t="array" ref="D109">IF(Knowns!D109&lt;&gt;"",IF(MIN('Clean Unknown'!C$2:C$52) &lt; 9999,MIN(ABS(Knowns!D109-'Clean Unknown'!C$2:C$52)),""),"")</f>
        <v/>
      </c>
      <c r="E109" t="str">
        <f t="array" ref="E109">IF(Knowns!E109&lt;&gt;"",IF(MIN('Clean Unknown'!D$2:D$52) &lt; 9999,MIN(ABS(Knowns!E109-'Clean Unknown'!D$2:D$52)),""),"")</f>
        <v/>
      </c>
      <c r="F109" t="str">
        <f t="array" ref="F109">IF(Knowns!F109&lt;&gt;"",IF(MIN('Clean Unknown'!E$2:E$52) &lt; 9999,MIN(ABS(Knowns!F109-'Clean Unknown'!E$2:E$52)),""),"")</f>
        <v/>
      </c>
      <c r="G109" t="str">
        <f t="array" ref="G109">IF(Knowns!G109&lt;&gt;"",IF(MIN('Clean Unknown'!F$2:F$52) &lt; 9999,MIN(ABS(Knowns!G109-'Clean Unknown'!F$2:F$52)),""),"")</f>
        <v/>
      </c>
    </row>
    <row r="110" spans="1:7">
      <c r="A110">
        <f>Knowns!A110</f>
        <v>0</v>
      </c>
      <c r="B110" t="str">
        <f t="array" ref="B110">IF(Knowns!B110&lt;&gt;"",IF(MIN('Clean Unknown'!A$2:A$52) &lt; 9999,MIN(ABS(Knowns!B110-'Clean Unknown'!A$2:A$52)),""),"")</f>
        <v/>
      </c>
      <c r="C110" t="str">
        <f t="array" ref="C110">IF(Knowns!C110&lt;&gt;"",IF(MIN('Clean Unknown'!B$2:B$52) &lt; 9999,MIN(ABS(Knowns!C110-'Clean Unknown'!B$2:B$52)),""),"")</f>
        <v/>
      </c>
      <c r="D110" t="str">
        <f t="array" ref="D110">IF(Knowns!D110&lt;&gt;"",IF(MIN('Clean Unknown'!C$2:C$52) &lt; 9999,MIN(ABS(Knowns!D110-'Clean Unknown'!C$2:C$52)),""),"")</f>
        <v/>
      </c>
      <c r="E110" t="str">
        <f t="array" ref="E110">IF(Knowns!E110&lt;&gt;"",IF(MIN('Clean Unknown'!D$2:D$52) &lt; 9999,MIN(ABS(Knowns!E110-'Clean Unknown'!D$2:D$52)),""),"")</f>
        <v/>
      </c>
      <c r="F110" t="str">
        <f t="array" ref="F110">IF(Knowns!F110&lt;&gt;"",IF(MIN('Clean Unknown'!E$2:E$52) &lt; 9999,MIN(ABS(Knowns!F110-'Clean Unknown'!E$2:E$52)),""),"")</f>
        <v/>
      </c>
      <c r="G110" t="str">
        <f t="array" ref="G110">IF(Knowns!G110&lt;&gt;"",IF(MIN('Clean Unknown'!F$2:F$52) &lt; 9999,MIN(ABS(Knowns!G110-'Clean Unknown'!F$2:F$52)),""),"")</f>
        <v/>
      </c>
    </row>
    <row r="111" spans="1:7">
      <c r="A111">
        <f>Knowns!A111</f>
        <v>0</v>
      </c>
      <c r="B111" t="str">
        <f t="array" ref="B111">IF(Knowns!B111&lt;&gt;"",IF(MIN('Clean Unknown'!A$2:A$52) &lt; 9999,MIN(ABS(Knowns!B111-'Clean Unknown'!A$2:A$52)),""),"")</f>
        <v/>
      </c>
      <c r="C111" t="str">
        <f t="array" ref="C111">IF(Knowns!C111&lt;&gt;"",IF(MIN('Clean Unknown'!B$2:B$52) &lt; 9999,MIN(ABS(Knowns!C111-'Clean Unknown'!B$2:B$52)),""),"")</f>
        <v/>
      </c>
      <c r="D111" t="str">
        <f t="array" ref="D111">IF(Knowns!D111&lt;&gt;"",IF(MIN('Clean Unknown'!C$2:C$52) &lt; 9999,MIN(ABS(Knowns!D111-'Clean Unknown'!C$2:C$52)),""),"")</f>
        <v/>
      </c>
      <c r="E111" t="str">
        <f t="array" ref="E111">IF(Knowns!E111&lt;&gt;"",IF(MIN('Clean Unknown'!D$2:D$52) &lt; 9999,MIN(ABS(Knowns!E111-'Clean Unknown'!D$2:D$52)),""),"")</f>
        <v/>
      </c>
      <c r="F111" t="str">
        <f t="array" ref="F111">IF(Knowns!F111&lt;&gt;"",IF(MIN('Clean Unknown'!E$2:E$52) &lt; 9999,MIN(ABS(Knowns!F111-'Clean Unknown'!E$2:E$52)),""),"")</f>
        <v/>
      </c>
      <c r="G111" t="str">
        <f t="array" ref="G111">IF(Knowns!G111&lt;&gt;"",IF(MIN('Clean Unknown'!F$2:F$52) &lt; 9999,MIN(ABS(Knowns!G111-'Clean Unknown'!F$2:F$52)),""),"")</f>
        <v/>
      </c>
    </row>
    <row r="112" spans="1:7">
      <c r="A112">
        <f>Knowns!A112</f>
        <v>0</v>
      </c>
      <c r="B112" t="str">
        <f t="array" ref="B112">IF(Knowns!B112&lt;&gt;"",IF(MIN('Clean Unknown'!A$2:A$52) &lt; 9999,MIN(ABS(Knowns!B112-'Clean Unknown'!A$2:A$52)),""),"")</f>
        <v/>
      </c>
      <c r="C112" t="str">
        <f t="array" ref="C112">IF(Knowns!C112&lt;&gt;"",IF(MIN('Clean Unknown'!B$2:B$52) &lt; 9999,MIN(ABS(Knowns!C112-'Clean Unknown'!B$2:B$52)),""),"")</f>
        <v/>
      </c>
      <c r="D112" t="str">
        <f t="array" ref="D112">IF(Knowns!D112&lt;&gt;"",IF(MIN('Clean Unknown'!C$2:C$52) &lt; 9999,MIN(ABS(Knowns!D112-'Clean Unknown'!C$2:C$52)),""),"")</f>
        <v/>
      </c>
      <c r="E112" t="str">
        <f t="array" ref="E112">IF(Knowns!E112&lt;&gt;"",IF(MIN('Clean Unknown'!D$2:D$52) &lt; 9999,MIN(ABS(Knowns!E112-'Clean Unknown'!D$2:D$52)),""),"")</f>
        <v/>
      </c>
      <c r="F112" t="str">
        <f t="array" ref="F112">IF(Knowns!F112&lt;&gt;"",IF(MIN('Clean Unknown'!E$2:E$52) &lt; 9999,MIN(ABS(Knowns!F112-'Clean Unknown'!E$2:E$52)),""),"")</f>
        <v/>
      </c>
      <c r="G112" t="str">
        <f t="array" ref="G112">IF(Knowns!G112&lt;&gt;"",IF(MIN('Clean Unknown'!F$2:F$52) &lt; 9999,MIN(ABS(Knowns!G112-'Clean Unknown'!F$2:F$52)),""),"")</f>
        <v/>
      </c>
    </row>
    <row r="113" spans="1:7">
      <c r="A113">
        <f>Knowns!A113</f>
        <v>0</v>
      </c>
      <c r="B113" t="str">
        <f t="array" ref="B113">IF(Knowns!B113&lt;&gt;"",IF(MIN('Clean Unknown'!A$2:A$52) &lt; 9999,MIN(ABS(Knowns!B113-'Clean Unknown'!A$2:A$52)),""),"")</f>
        <v/>
      </c>
      <c r="C113" t="str">
        <f t="array" ref="C113">IF(Knowns!C113&lt;&gt;"",IF(MIN('Clean Unknown'!B$2:B$52) &lt; 9999,MIN(ABS(Knowns!C113-'Clean Unknown'!B$2:B$52)),""),"")</f>
        <v/>
      </c>
      <c r="D113" t="str">
        <f t="array" ref="D113">IF(Knowns!D113&lt;&gt;"",IF(MIN('Clean Unknown'!C$2:C$52) &lt; 9999,MIN(ABS(Knowns!D113-'Clean Unknown'!C$2:C$52)),""),"")</f>
        <v/>
      </c>
      <c r="E113" t="str">
        <f t="array" ref="E113">IF(Knowns!E113&lt;&gt;"",IF(MIN('Clean Unknown'!D$2:D$52) &lt; 9999,MIN(ABS(Knowns!E113-'Clean Unknown'!D$2:D$52)),""),"")</f>
        <v/>
      </c>
      <c r="F113" t="str">
        <f t="array" ref="F113">IF(Knowns!F113&lt;&gt;"",IF(MIN('Clean Unknown'!E$2:E$52) &lt; 9999,MIN(ABS(Knowns!F113-'Clean Unknown'!E$2:E$52)),""),"")</f>
        <v/>
      </c>
      <c r="G113" t="str">
        <f t="array" ref="G113">IF(Knowns!G113&lt;&gt;"",IF(MIN('Clean Unknown'!F$2:F$52) &lt; 9999,MIN(ABS(Knowns!G113-'Clean Unknown'!F$2:F$52)),""),"")</f>
        <v/>
      </c>
    </row>
    <row r="114" spans="1:7">
      <c r="A114">
        <f>Knowns!A114</f>
        <v>0</v>
      </c>
      <c r="B114" t="str">
        <f t="array" ref="B114">IF(Knowns!B114&lt;&gt;"",IF(MIN('Clean Unknown'!A$2:A$52) &lt; 9999,MIN(ABS(Knowns!B114-'Clean Unknown'!A$2:A$52)),""),"")</f>
        <v/>
      </c>
      <c r="C114" t="str">
        <f t="array" ref="C114">IF(Knowns!C114&lt;&gt;"",IF(MIN('Clean Unknown'!B$2:B$52) &lt; 9999,MIN(ABS(Knowns!C114-'Clean Unknown'!B$2:B$52)),""),"")</f>
        <v/>
      </c>
      <c r="D114" t="str">
        <f t="array" ref="D114">IF(Knowns!D114&lt;&gt;"",IF(MIN('Clean Unknown'!C$2:C$52) &lt; 9999,MIN(ABS(Knowns!D114-'Clean Unknown'!C$2:C$52)),""),"")</f>
        <v/>
      </c>
      <c r="E114" t="str">
        <f t="array" ref="E114">IF(Knowns!E114&lt;&gt;"",IF(MIN('Clean Unknown'!D$2:D$52) &lt; 9999,MIN(ABS(Knowns!E114-'Clean Unknown'!D$2:D$52)),""),"")</f>
        <v/>
      </c>
      <c r="F114" t="str">
        <f t="array" ref="F114">IF(Knowns!F114&lt;&gt;"",IF(MIN('Clean Unknown'!E$2:E$52) &lt; 9999,MIN(ABS(Knowns!F114-'Clean Unknown'!E$2:E$52)),""),"")</f>
        <v/>
      </c>
      <c r="G114" t="str">
        <f t="array" ref="G114">IF(Knowns!G114&lt;&gt;"",IF(MIN('Clean Unknown'!F$2:F$52) &lt; 9999,MIN(ABS(Knowns!G114-'Clean Unknown'!F$2:F$52)),""),"")</f>
        <v/>
      </c>
    </row>
    <row r="115" spans="1:7">
      <c r="A115">
        <f>Knowns!A115</f>
        <v>0</v>
      </c>
      <c r="B115" t="str">
        <f t="array" ref="B115">IF(Knowns!B115&lt;&gt;"",IF(MIN('Clean Unknown'!A$2:A$52) &lt; 9999,MIN(ABS(Knowns!B115-'Clean Unknown'!A$2:A$52)),""),"")</f>
        <v/>
      </c>
      <c r="C115" t="str">
        <f t="array" ref="C115">IF(Knowns!C115&lt;&gt;"",IF(MIN('Clean Unknown'!B$2:B$52) &lt; 9999,MIN(ABS(Knowns!C115-'Clean Unknown'!B$2:B$52)),""),"")</f>
        <v/>
      </c>
      <c r="D115" t="str">
        <f t="array" ref="D115">IF(Knowns!D115&lt;&gt;"",IF(MIN('Clean Unknown'!C$2:C$52) &lt; 9999,MIN(ABS(Knowns!D115-'Clean Unknown'!C$2:C$52)),""),"")</f>
        <v/>
      </c>
      <c r="E115" t="str">
        <f t="array" ref="E115">IF(Knowns!E115&lt;&gt;"",IF(MIN('Clean Unknown'!D$2:D$52) &lt; 9999,MIN(ABS(Knowns!E115-'Clean Unknown'!D$2:D$52)),""),"")</f>
        <v/>
      </c>
      <c r="F115" t="str">
        <f t="array" ref="F115">IF(Knowns!F115&lt;&gt;"",IF(MIN('Clean Unknown'!E$2:E$52) &lt; 9999,MIN(ABS(Knowns!F115-'Clean Unknown'!E$2:E$52)),""),"")</f>
        <v/>
      </c>
      <c r="G115" t="str">
        <f t="array" ref="G115">IF(Knowns!G115&lt;&gt;"",IF(MIN('Clean Unknown'!F$2:F$52) &lt; 9999,MIN(ABS(Knowns!G115-'Clean Unknown'!F$2:F$52)),""),"")</f>
        <v/>
      </c>
    </row>
    <row r="116" spans="1:7">
      <c r="A116">
        <f>Knowns!A116</f>
        <v>0</v>
      </c>
      <c r="B116" t="str">
        <f t="array" ref="B116">IF(Knowns!B116&lt;&gt;"",IF(MIN('Clean Unknown'!A$2:A$52) &lt; 9999,MIN(ABS(Knowns!B116-'Clean Unknown'!A$2:A$52)),""),"")</f>
        <v/>
      </c>
      <c r="C116" t="str">
        <f t="array" ref="C116">IF(Knowns!C116&lt;&gt;"",IF(MIN('Clean Unknown'!B$2:B$52) &lt; 9999,MIN(ABS(Knowns!C116-'Clean Unknown'!B$2:B$52)),""),"")</f>
        <v/>
      </c>
      <c r="D116" t="str">
        <f t="array" ref="D116">IF(Knowns!D116&lt;&gt;"",IF(MIN('Clean Unknown'!C$2:C$52) &lt; 9999,MIN(ABS(Knowns!D116-'Clean Unknown'!C$2:C$52)),""),"")</f>
        <v/>
      </c>
      <c r="E116" t="str">
        <f t="array" ref="E116">IF(Knowns!E116&lt;&gt;"",IF(MIN('Clean Unknown'!D$2:D$52) &lt; 9999,MIN(ABS(Knowns!E116-'Clean Unknown'!D$2:D$52)),""),"")</f>
        <v/>
      </c>
      <c r="F116" t="str">
        <f t="array" ref="F116">IF(Knowns!F116&lt;&gt;"",IF(MIN('Clean Unknown'!E$2:E$52) &lt; 9999,MIN(ABS(Knowns!F116-'Clean Unknown'!E$2:E$52)),""),"")</f>
        <v/>
      </c>
      <c r="G116" t="str">
        <f t="array" ref="G116">IF(Knowns!G116&lt;&gt;"",IF(MIN('Clean Unknown'!F$2:F$52) &lt; 9999,MIN(ABS(Knowns!G116-'Clean Unknown'!F$2:F$52)),""),"")</f>
        <v/>
      </c>
    </row>
    <row r="117" spans="1:7">
      <c r="A117">
        <f>Knowns!A117</f>
        <v>0</v>
      </c>
      <c r="B117" t="str">
        <f t="array" ref="B117">IF(Knowns!B117&lt;&gt;"",IF(MIN('Clean Unknown'!A$2:A$52) &lt; 9999,MIN(ABS(Knowns!B117-'Clean Unknown'!A$2:A$52)),""),"")</f>
        <v/>
      </c>
      <c r="C117" t="str">
        <f t="array" ref="C117">IF(Knowns!C117&lt;&gt;"",IF(MIN('Clean Unknown'!B$2:B$52) &lt; 9999,MIN(ABS(Knowns!C117-'Clean Unknown'!B$2:B$52)),""),"")</f>
        <v/>
      </c>
      <c r="D117" t="str">
        <f t="array" ref="D117">IF(Knowns!D117&lt;&gt;"",IF(MIN('Clean Unknown'!C$2:C$52) &lt; 9999,MIN(ABS(Knowns!D117-'Clean Unknown'!C$2:C$52)),""),"")</f>
        <v/>
      </c>
      <c r="E117" t="str">
        <f t="array" ref="E117">IF(Knowns!E117&lt;&gt;"",IF(MIN('Clean Unknown'!D$2:D$52) &lt; 9999,MIN(ABS(Knowns!E117-'Clean Unknown'!D$2:D$52)),""),"")</f>
        <v/>
      </c>
      <c r="F117" t="str">
        <f t="array" ref="F117">IF(Knowns!F117&lt;&gt;"",IF(MIN('Clean Unknown'!E$2:E$52) &lt; 9999,MIN(ABS(Knowns!F117-'Clean Unknown'!E$2:E$52)),""),"")</f>
        <v/>
      </c>
      <c r="G117" t="str">
        <f t="array" ref="G117">IF(Knowns!G117&lt;&gt;"",IF(MIN('Clean Unknown'!F$2:F$52) &lt; 9999,MIN(ABS(Knowns!G117-'Clean Unknown'!F$2:F$52)),""),"")</f>
        <v/>
      </c>
    </row>
    <row r="118" spans="1:7">
      <c r="A118">
        <f>Knowns!A118</f>
        <v>0</v>
      </c>
      <c r="B118" t="str">
        <f t="array" ref="B118">IF(Knowns!B118&lt;&gt;"",IF(MIN('Clean Unknown'!A$2:A$52) &lt; 9999,MIN(ABS(Knowns!B118-'Clean Unknown'!A$2:A$52)),""),"")</f>
        <v/>
      </c>
      <c r="C118" t="str">
        <f t="array" ref="C118">IF(Knowns!C118&lt;&gt;"",IF(MIN('Clean Unknown'!B$2:B$52) &lt; 9999,MIN(ABS(Knowns!C118-'Clean Unknown'!B$2:B$52)),""),"")</f>
        <v/>
      </c>
      <c r="D118" t="str">
        <f t="array" ref="D118">IF(Knowns!D118&lt;&gt;"",IF(MIN('Clean Unknown'!C$2:C$52) &lt; 9999,MIN(ABS(Knowns!D118-'Clean Unknown'!C$2:C$52)),""),"")</f>
        <v/>
      </c>
      <c r="E118" t="str">
        <f t="array" ref="E118">IF(Knowns!E118&lt;&gt;"",IF(MIN('Clean Unknown'!D$2:D$52) &lt; 9999,MIN(ABS(Knowns!E118-'Clean Unknown'!D$2:D$52)),""),"")</f>
        <v/>
      </c>
      <c r="F118" t="str">
        <f t="array" ref="F118">IF(Knowns!F118&lt;&gt;"",IF(MIN('Clean Unknown'!E$2:E$52) &lt; 9999,MIN(ABS(Knowns!F118-'Clean Unknown'!E$2:E$52)),""),"")</f>
        <v/>
      </c>
      <c r="G118" t="str">
        <f t="array" ref="G118">IF(Knowns!G118&lt;&gt;"",IF(MIN('Clean Unknown'!F$2:F$52) &lt; 9999,MIN(ABS(Knowns!G118-'Clean Unknown'!F$2:F$52)),""),"")</f>
        <v/>
      </c>
    </row>
    <row r="119" spans="1:7">
      <c r="A119">
        <f>Knowns!A119</f>
        <v>0</v>
      </c>
      <c r="B119" t="str">
        <f t="array" ref="B119">IF(Knowns!B119&lt;&gt;"",IF(MIN('Clean Unknown'!A$2:A$52) &lt; 9999,MIN(ABS(Knowns!B119-'Clean Unknown'!A$2:A$52)),""),"")</f>
        <v/>
      </c>
      <c r="C119" t="str">
        <f t="array" ref="C119">IF(Knowns!C119&lt;&gt;"",IF(MIN('Clean Unknown'!B$2:B$52) &lt; 9999,MIN(ABS(Knowns!C119-'Clean Unknown'!B$2:B$52)),""),"")</f>
        <v/>
      </c>
      <c r="D119" t="str">
        <f t="array" ref="D119">IF(Knowns!D119&lt;&gt;"",IF(MIN('Clean Unknown'!C$2:C$52) &lt; 9999,MIN(ABS(Knowns!D119-'Clean Unknown'!C$2:C$52)),""),"")</f>
        <v/>
      </c>
      <c r="E119" t="str">
        <f t="array" ref="E119">IF(Knowns!E119&lt;&gt;"",IF(MIN('Clean Unknown'!D$2:D$52) &lt; 9999,MIN(ABS(Knowns!E119-'Clean Unknown'!D$2:D$52)),""),"")</f>
        <v/>
      </c>
      <c r="F119" t="str">
        <f t="array" ref="F119">IF(Knowns!F119&lt;&gt;"",IF(MIN('Clean Unknown'!E$2:E$52) &lt; 9999,MIN(ABS(Knowns!F119-'Clean Unknown'!E$2:E$52)),""),"")</f>
        <v/>
      </c>
      <c r="G119" t="str">
        <f t="array" ref="G119">IF(Knowns!G119&lt;&gt;"",IF(MIN('Clean Unknown'!F$2:F$52) &lt; 9999,MIN(ABS(Knowns!G119-'Clean Unknown'!F$2:F$52)),""),"")</f>
        <v/>
      </c>
    </row>
    <row r="120" spans="1:7">
      <c r="A120">
        <f>Knowns!A120</f>
        <v>0</v>
      </c>
      <c r="B120" t="str">
        <f t="array" ref="B120">IF(Knowns!B120&lt;&gt;"",IF(MIN('Clean Unknown'!A$2:A$52) &lt; 9999,MIN(ABS(Knowns!B120-'Clean Unknown'!A$2:A$52)),""),"")</f>
        <v/>
      </c>
      <c r="C120" t="str">
        <f t="array" ref="C120">IF(Knowns!C120&lt;&gt;"",IF(MIN('Clean Unknown'!B$2:B$52) &lt; 9999,MIN(ABS(Knowns!C120-'Clean Unknown'!B$2:B$52)),""),"")</f>
        <v/>
      </c>
      <c r="D120" t="str">
        <f t="array" ref="D120">IF(Knowns!D120&lt;&gt;"",IF(MIN('Clean Unknown'!C$2:C$52) &lt; 9999,MIN(ABS(Knowns!D120-'Clean Unknown'!C$2:C$52)),""),"")</f>
        <v/>
      </c>
      <c r="E120" t="str">
        <f t="array" ref="E120">IF(Knowns!E120&lt;&gt;"",IF(MIN('Clean Unknown'!D$2:D$52) &lt; 9999,MIN(ABS(Knowns!E120-'Clean Unknown'!D$2:D$52)),""),"")</f>
        <v/>
      </c>
      <c r="F120" t="str">
        <f t="array" ref="F120">IF(Knowns!F120&lt;&gt;"",IF(MIN('Clean Unknown'!E$2:E$52) &lt; 9999,MIN(ABS(Knowns!F120-'Clean Unknown'!E$2:E$52)),""),"")</f>
        <v/>
      </c>
      <c r="G120" t="str">
        <f t="array" ref="G120">IF(Knowns!G120&lt;&gt;"",IF(MIN('Clean Unknown'!F$2:F$52) &lt; 9999,MIN(ABS(Knowns!G120-'Clean Unknown'!F$2:F$52)),""),"")</f>
        <v/>
      </c>
    </row>
    <row r="121" spans="1:7">
      <c r="A121">
        <f>Knowns!A121</f>
        <v>0</v>
      </c>
      <c r="B121" t="str">
        <f t="array" ref="B121">IF(Knowns!B121&lt;&gt;"",IF(MIN('Clean Unknown'!A$2:A$52) &lt; 9999,MIN(ABS(Knowns!B121-'Clean Unknown'!A$2:A$52)),""),"")</f>
        <v/>
      </c>
      <c r="C121" t="str">
        <f t="array" ref="C121">IF(Knowns!C121&lt;&gt;"",IF(MIN('Clean Unknown'!B$2:B$52) &lt; 9999,MIN(ABS(Knowns!C121-'Clean Unknown'!B$2:B$52)),""),"")</f>
        <v/>
      </c>
      <c r="D121" t="str">
        <f t="array" ref="D121">IF(Knowns!D121&lt;&gt;"",IF(MIN('Clean Unknown'!C$2:C$52) &lt; 9999,MIN(ABS(Knowns!D121-'Clean Unknown'!C$2:C$52)),""),"")</f>
        <v/>
      </c>
      <c r="E121" t="str">
        <f t="array" ref="E121">IF(Knowns!E121&lt;&gt;"",IF(MIN('Clean Unknown'!D$2:D$52) &lt; 9999,MIN(ABS(Knowns!E121-'Clean Unknown'!D$2:D$52)),""),"")</f>
        <v/>
      </c>
      <c r="F121" t="str">
        <f t="array" ref="F121">IF(Knowns!F121&lt;&gt;"",IF(MIN('Clean Unknown'!E$2:E$52) &lt; 9999,MIN(ABS(Knowns!F121-'Clean Unknown'!E$2:E$52)),""),"")</f>
        <v/>
      </c>
      <c r="G121" t="str">
        <f t="array" ref="G121">IF(Knowns!G121&lt;&gt;"",IF(MIN('Clean Unknown'!F$2:F$52) &lt; 9999,MIN(ABS(Knowns!G121-'Clean Unknown'!F$2:F$52)),""),"")</f>
        <v/>
      </c>
    </row>
    <row r="122" spans="1:7">
      <c r="A122">
        <f>Knowns!A122</f>
        <v>0</v>
      </c>
      <c r="B122" t="str">
        <f t="array" ref="B122">IF(Knowns!B122&lt;&gt;"",IF(MIN('Clean Unknown'!A$2:A$52) &lt; 9999,MIN(ABS(Knowns!B122-'Clean Unknown'!A$2:A$52)),""),"")</f>
        <v/>
      </c>
      <c r="C122" t="str">
        <f t="array" ref="C122">IF(Knowns!C122&lt;&gt;"",IF(MIN('Clean Unknown'!B$2:B$52) &lt; 9999,MIN(ABS(Knowns!C122-'Clean Unknown'!B$2:B$52)),""),"")</f>
        <v/>
      </c>
      <c r="D122" t="str">
        <f t="array" ref="D122">IF(Knowns!D122&lt;&gt;"",IF(MIN('Clean Unknown'!C$2:C$52) &lt; 9999,MIN(ABS(Knowns!D122-'Clean Unknown'!C$2:C$52)),""),"")</f>
        <v/>
      </c>
      <c r="E122" t="str">
        <f t="array" ref="E122">IF(Knowns!E122&lt;&gt;"",IF(MIN('Clean Unknown'!D$2:D$52) &lt; 9999,MIN(ABS(Knowns!E122-'Clean Unknown'!D$2:D$52)),""),"")</f>
        <v/>
      </c>
      <c r="F122" t="str">
        <f t="array" ref="F122">IF(Knowns!F122&lt;&gt;"",IF(MIN('Clean Unknown'!E$2:E$52) &lt; 9999,MIN(ABS(Knowns!F122-'Clean Unknown'!E$2:E$52)),""),"")</f>
        <v/>
      </c>
      <c r="G122" t="str">
        <f t="array" ref="G122">IF(Knowns!G122&lt;&gt;"",IF(MIN('Clean Unknown'!F$2:F$52) &lt; 9999,MIN(ABS(Knowns!G122-'Clean Unknown'!F$2:F$52)),""),"")</f>
        <v/>
      </c>
    </row>
    <row r="123" spans="1:7">
      <c r="A123">
        <f>Knowns!A123</f>
        <v>0</v>
      </c>
      <c r="B123" t="str">
        <f t="array" ref="B123">IF(Knowns!B123&lt;&gt;"",IF(MIN('Clean Unknown'!A$2:A$52) &lt; 9999,MIN(ABS(Knowns!B123-'Clean Unknown'!A$2:A$52)),""),"")</f>
        <v/>
      </c>
      <c r="C123" t="str">
        <f t="array" ref="C123">IF(Knowns!C123&lt;&gt;"",IF(MIN('Clean Unknown'!B$2:B$52) &lt; 9999,MIN(ABS(Knowns!C123-'Clean Unknown'!B$2:B$52)),""),"")</f>
        <v/>
      </c>
      <c r="D123" t="str">
        <f t="array" ref="D123">IF(Knowns!D123&lt;&gt;"",IF(MIN('Clean Unknown'!C$2:C$52) &lt; 9999,MIN(ABS(Knowns!D123-'Clean Unknown'!C$2:C$52)),""),"")</f>
        <v/>
      </c>
      <c r="E123" t="str">
        <f t="array" ref="E123">IF(Knowns!E123&lt;&gt;"",IF(MIN('Clean Unknown'!D$2:D$52) &lt; 9999,MIN(ABS(Knowns!E123-'Clean Unknown'!D$2:D$52)),""),"")</f>
        <v/>
      </c>
      <c r="F123" t="str">
        <f t="array" ref="F123">IF(Knowns!F123&lt;&gt;"",IF(MIN('Clean Unknown'!E$2:E$52) &lt; 9999,MIN(ABS(Knowns!F123-'Clean Unknown'!E$2:E$52)),""),"")</f>
        <v/>
      </c>
      <c r="G123" t="str">
        <f t="array" ref="G123">IF(Knowns!G123&lt;&gt;"",IF(MIN('Clean Unknown'!F$2:F$52) &lt; 9999,MIN(ABS(Knowns!G123-'Clean Unknown'!F$2:F$52)),""),"")</f>
        <v/>
      </c>
    </row>
    <row r="124" spans="1:7">
      <c r="A124">
        <f>Knowns!A124</f>
        <v>0</v>
      </c>
      <c r="B124" t="str">
        <f t="array" ref="B124">IF(Knowns!B124&lt;&gt;"",IF(MIN('Clean Unknown'!A$2:A$52) &lt; 9999,MIN(ABS(Knowns!B124-'Clean Unknown'!A$2:A$52)),""),"")</f>
        <v/>
      </c>
      <c r="C124" t="str">
        <f t="array" ref="C124">IF(Knowns!C124&lt;&gt;"",IF(MIN('Clean Unknown'!B$2:B$52) &lt; 9999,MIN(ABS(Knowns!C124-'Clean Unknown'!B$2:B$52)),""),"")</f>
        <v/>
      </c>
      <c r="D124" t="str">
        <f t="array" ref="D124">IF(Knowns!D124&lt;&gt;"",IF(MIN('Clean Unknown'!C$2:C$52) &lt; 9999,MIN(ABS(Knowns!D124-'Clean Unknown'!C$2:C$52)),""),"")</f>
        <v/>
      </c>
      <c r="E124" t="str">
        <f t="array" ref="E124">IF(Knowns!E124&lt;&gt;"",IF(MIN('Clean Unknown'!D$2:D$52) &lt; 9999,MIN(ABS(Knowns!E124-'Clean Unknown'!D$2:D$52)),""),"")</f>
        <v/>
      </c>
      <c r="F124" t="str">
        <f t="array" ref="F124">IF(Knowns!F124&lt;&gt;"",IF(MIN('Clean Unknown'!E$2:E$52) &lt; 9999,MIN(ABS(Knowns!F124-'Clean Unknown'!E$2:E$52)),""),"")</f>
        <v/>
      </c>
      <c r="G124" t="str">
        <f t="array" ref="G124">IF(Knowns!G124&lt;&gt;"",IF(MIN('Clean Unknown'!F$2:F$52) &lt; 9999,MIN(ABS(Knowns!G124-'Clean Unknown'!F$2:F$52)),""),"")</f>
        <v/>
      </c>
    </row>
    <row r="125" spans="1:7">
      <c r="A125">
        <f>Knowns!A125</f>
        <v>0</v>
      </c>
      <c r="B125" t="str">
        <f t="array" ref="B125">IF(Knowns!B125&lt;&gt;"",IF(MIN('Clean Unknown'!A$2:A$52) &lt; 9999,MIN(ABS(Knowns!B125-'Clean Unknown'!A$2:A$52)),""),"")</f>
        <v/>
      </c>
      <c r="C125" t="str">
        <f t="array" ref="C125">IF(Knowns!C125&lt;&gt;"",IF(MIN('Clean Unknown'!B$2:B$52) &lt; 9999,MIN(ABS(Knowns!C125-'Clean Unknown'!B$2:B$52)),""),"")</f>
        <v/>
      </c>
      <c r="D125" t="str">
        <f t="array" ref="D125">IF(Knowns!D125&lt;&gt;"",IF(MIN('Clean Unknown'!C$2:C$52) &lt; 9999,MIN(ABS(Knowns!D125-'Clean Unknown'!C$2:C$52)),""),"")</f>
        <v/>
      </c>
      <c r="E125" t="str">
        <f t="array" ref="E125">IF(Knowns!E125&lt;&gt;"",IF(MIN('Clean Unknown'!D$2:D$52) &lt; 9999,MIN(ABS(Knowns!E125-'Clean Unknown'!D$2:D$52)),""),"")</f>
        <v/>
      </c>
      <c r="F125" t="str">
        <f t="array" ref="F125">IF(Knowns!F125&lt;&gt;"",IF(MIN('Clean Unknown'!E$2:E$52) &lt; 9999,MIN(ABS(Knowns!F125-'Clean Unknown'!E$2:E$52)),""),"")</f>
        <v/>
      </c>
      <c r="G125" t="str">
        <f t="array" ref="G125">IF(Knowns!G125&lt;&gt;"",IF(MIN('Clean Unknown'!F$2:F$52) &lt; 9999,MIN(ABS(Knowns!G125-'Clean Unknown'!F$2:F$52)),""),"")</f>
        <v/>
      </c>
    </row>
    <row r="126" spans="1:7">
      <c r="A126">
        <f>Knowns!A126</f>
        <v>0</v>
      </c>
      <c r="B126" t="str">
        <f t="array" ref="B126">IF(Knowns!B126&lt;&gt;"",IF(MIN('Clean Unknown'!A$2:A$52) &lt; 9999,MIN(ABS(Knowns!B126-'Clean Unknown'!A$2:A$52)),""),"")</f>
        <v/>
      </c>
      <c r="C126" t="str">
        <f t="array" ref="C126">IF(Knowns!C126&lt;&gt;"",IF(MIN('Clean Unknown'!B$2:B$52) &lt; 9999,MIN(ABS(Knowns!C126-'Clean Unknown'!B$2:B$52)),""),"")</f>
        <v/>
      </c>
      <c r="D126" t="str">
        <f t="array" ref="D126">IF(Knowns!D126&lt;&gt;"",IF(MIN('Clean Unknown'!C$2:C$52) &lt; 9999,MIN(ABS(Knowns!D126-'Clean Unknown'!C$2:C$52)),""),"")</f>
        <v/>
      </c>
      <c r="E126" t="str">
        <f t="array" ref="E126">IF(Knowns!E126&lt;&gt;"",IF(MIN('Clean Unknown'!D$2:D$52) &lt; 9999,MIN(ABS(Knowns!E126-'Clean Unknown'!D$2:D$52)),""),"")</f>
        <v/>
      </c>
      <c r="F126" t="str">
        <f t="array" ref="F126">IF(Knowns!F126&lt;&gt;"",IF(MIN('Clean Unknown'!E$2:E$52) &lt; 9999,MIN(ABS(Knowns!F126-'Clean Unknown'!E$2:E$52)),""),"")</f>
        <v/>
      </c>
      <c r="G126" t="str">
        <f t="array" ref="G126">IF(Knowns!G126&lt;&gt;"",IF(MIN('Clean Unknown'!F$2:F$52) &lt; 9999,MIN(ABS(Knowns!G126-'Clean Unknown'!F$2:F$52)),""),"")</f>
        <v/>
      </c>
    </row>
    <row r="127" spans="1:7">
      <c r="A127">
        <f>Knowns!A127</f>
        <v>0</v>
      </c>
      <c r="B127" t="str">
        <f t="array" ref="B127">IF(Knowns!B127&lt;&gt;"",IF(MIN('Clean Unknown'!A$2:A$52) &lt; 9999,MIN(ABS(Knowns!B127-'Clean Unknown'!A$2:A$52)),""),"")</f>
        <v/>
      </c>
      <c r="C127" t="str">
        <f t="array" ref="C127">IF(Knowns!C127&lt;&gt;"",IF(MIN('Clean Unknown'!B$2:B$52) &lt; 9999,MIN(ABS(Knowns!C127-'Clean Unknown'!B$2:B$52)),""),"")</f>
        <v/>
      </c>
      <c r="D127" t="str">
        <f t="array" ref="D127">IF(Knowns!D127&lt;&gt;"",IF(MIN('Clean Unknown'!C$2:C$52) &lt; 9999,MIN(ABS(Knowns!D127-'Clean Unknown'!C$2:C$52)),""),"")</f>
        <v/>
      </c>
      <c r="E127" t="str">
        <f t="array" ref="E127">IF(Knowns!E127&lt;&gt;"",IF(MIN('Clean Unknown'!D$2:D$52) &lt; 9999,MIN(ABS(Knowns!E127-'Clean Unknown'!D$2:D$52)),""),"")</f>
        <v/>
      </c>
      <c r="F127" t="str">
        <f t="array" ref="F127">IF(Knowns!F127&lt;&gt;"",IF(MIN('Clean Unknown'!E$2:E$52) &lt; 9999,MIN(ABS(Knowns!F127-'Clean Unknown'!E$2:E$52)),""),"")</f>
        <v/>
      </c>
      <c r="G127" t="str">
        <f t="array" ref="G127">IF(Knowns!G127&lt;&gt;"",IF(MIN('Clean Unknown'!F$2:F$52) &lt; 9999,MIN(ABS(Knowns!G127-'Clean Unknown'!F$2:F$52)),""),"")</f>
        <v/>
      </c>
    </row>
    <row r="128" spans="1:7">
      <c r="A128">
        <f>Knowns!A128</f>
        <v>0</v>
      </c>
      <c r="B128" t="str">
        <f t="array" ref="B128">IF(Knowns!B128&lt;&gt;"",IF(MIN('Clean Unknown'!A$2:A$52) &lt; 9999,MIN(ABS(Knowns!B128-'Clean Unknown'!A$2:A$52)),""),"")</f>
        <v/>
      </c>
      <c r="C128" t="str">
        <f t="array" ref="C128">IF(Knowns!C128&lt;&gt;"",IF(MIN('Clean Unknown'!B$2:B$52) &lt; 9999,MIN(ABS(Knowns!C128-'Clean Unknown'!B$2:B$52)),""),"")</f>
        <v/>
      </c>
      <c r="D128" t="str">
        <f t="array" ref="D128">IF(Knowns!D128&lt;&gt;"",IF(MIN('Clean Unknown'!C$2:C$52) &lt; 9999,MIN(ABS(Knowns!D128-'Clean Unknown'!C$2:C$52)),""),"")</f>
        <v/>
      </c>
      <c r="E128" t="str">
        <f t="array" ref="E128">IF(Knowns!E128&lt;&gt;"",IF(MIN('Clean Unknown'!D$2:D$52) &lt; 9999,MIN(ABS(Knowns!E128-'Clean Unknown'!D$2:D$52)),""),"")</f>
        <v/>
      </c>
      <c r="F128" t="str">
        <f t="array" ref="F128">IF(Knowns!F128&lt;&gt;"",IF(MIN('Clean Unknown'!E$2:E$52) &lt; 9999,MIN(ABS(Knowns!F128-'Clean Unknown'!E$2:E$52)),""),"")</f>
        <v/>
      </c>
      <c r="G128" t="str">
        <f t="array" ref="G128">IF(Knowns!G128&lt;&gt;"",IF(MIN('Clean Unknown'!F$2:F$52) &lt; 9999,MIN(ABS(Knowns!G128-'Clean Unknown'!F$2:F$52)),""),"")</f>
        <v/>
      </c>
    </row>
    <row r="129" spans="1:7">
      <c r="A129">
        <f>Knowns!A129</f>
        <v>0</v>
      </c>
      <c r="B129" t="str">
        <f t="array" ref="B129">IF(Knowns!B129&lt;&gt;"",IF(MIN('Clean Unknown'!A$2:A$52) &lt; 9999,MIN(ABS(Knowns!B129-'Clean Unknown'!A$2:A$52)),""),"")</f>
        <v/>
      </c>
      <c r="C129" t="str">
        <f t="array" ref="C129">IF(Knowns!C129&lt;&gt;"",IF(MIN('Clean Unknown'!B$2:B$52) &lt; 9999,MIN(ABS(Knowns!C129-'Clean Unknown'!B$2:B$52)),""),"")</f>
        <v/>
      </c>
      <c r="D129" t="str">
        <f t="array" ref="D129">IF(Knowns!D129&lt;&gt;"",IF(MIN('Clean Unknown'!C$2:C$52) &lt; 9999,MIN(ABS(Knowns!D129-'Clean Unknown'!C$2:C$52)),""),"")</f>
        <v/>
      </c>
      <c r="E129" t="str">
        <f t="array" ref="E129">IF(Knowns!E129&lt;&gt;"",IF(MIN('Clean Unknown'!D$2:D$52) &lt; 9999,MIN(ABS(Knowns!E129-'Clean Unknown'!D$2:D$52)),""),"")</f>
        <v/>
      </c>
      <c r="F129" t="str">
        <f t="array" ref="F129">IF(Knowns!F129&lt;&gt;"",IF(MIN('Clean Unknown'!E$2:E$52) &lt; 9999,MIN(ABS(Knowns!F129-'Clean Unknown'!E$2:E$52)),""),"")</f>
        <v/>
      </c>
      <c r="G129" t="str">
        <f t="array" ref="G129">IF(Knowns!G129&lt;&gt;"",IF(MIN('Clean Unknown'!F$2:F$52) &lt; 9999,MIN(ABS(Knowns!G129-'Clean Unknown'!F$2:F$52)),""),"")</f>
        <v/>
      </c>
    </row>
    <row r="130" spans="1:7">
      <c r="A130">
        <f>Knowns!A130</f>
        <v>0</v>
      </c>
      <c r="B130" t="str">
        <f t="array" ref="B130">IF(Knowns!B130&lt;&gt;"",IF(MIN('Clean Unknown'!A$2:A$52) &lt; 9999,MIN(ABS(Knowns!B130-'Clean Unknown'!A$2:A$52)),""),"")</f>
        <v/>
      </c>
      <c r="C130" t="str">
        <f t="array" ref="C130">IF(Knowns!C130&lt;&gt;"",IF(MIN('Clean Unknown'!B$2:B$52) &lt; 9999,MIN(ABS(Knowns!C130-'Clean Unknown'!B$2:B$52)),""),"")</f>
        <v/>
      </c>
      <c r="D130" t="str">
        <f t="array" ref="D130">IF(Knowns!D130&lt;&gt;"",IF(MIN('Clean Unknown'!C$2:C$52) &lt; 9999,MIN(ABS(Knowns!D130-'Clean Unknown'!C$2:C$52)),""),"")</f>
        <v/>
      </c>
      <c r="E130" t="str">
        <f t="array" ref="E130">IF(Knowns!E130&lt;&gt;"",IF(MIN('Clean Unknown'!D$2:D$52) &lt; 9999,MIN(ABS(Knowns!E130-'Clean Unknown'!D$2:D$52)),""),"")</f>
        <v/>
      </c>
      <c r="F130" t="str">
        <f t="array" ref="F130">IF(Knowns!F130&lt;&gt;"",IF(MIN('Clean Unknown'!E$2:E$52) &lt; 9999,MIN(ABS(Knowns!F130-'Clean Unknown'!E$2:E$52)),""),"")</f>
        <v/>
      </c>
      <c r="G130" t="str">
        <f t="array" ref="G130">IF(Knowns!G130&lt;&gt;"",IF(MIN('Clean Unknown'!F$2:F$52) &lt; 9999,MIN(ABS(Knowns!G130-'Clean Unknown'!F$2:F$52)),""),"")</f>
        <v/>
      </c>
    </row>
    <row r="131" spans="1:7">
      <c r="A131">
        <f>Knowns!A131</f>
        <v>0</v>
      </c>
      <c r="B131" t="str">
        <f t="array" ref="B131">IF(Knowns!B131&lt;&gt;"",IF(MIN('Clean Unknown'!A$2:A$52) &lt; 9999,MIN(ABS(Knowns!B131-'Clean Unknown'!A$2:A$52)),""),"")</f>
        <v/>
      </c>
      <c r="C131" t="str">
        <f t="array" ref="C131">IF(Knowns!C131&lt;&gt;"",IF(MIN('Clean Unknown'!B$2:B$52) &lt; 9999,MIN(ABS(Knowns!C131-'Clean Unknown'!B$2:B$52)),""),"")</f>
        <v/>
      </c>
      <c r="D131" t="str">
        <f t="array" ref="D131">IF(Knowns!D131&lt;&gt;"",IF(MIN('Clean Unknown'!C$2:C$52) &lt; 9999,MIN(ABS(Knowns!D131-'Clean Unknown'!C$2:C$52)),""),"")</f>
        <v/>
      </c>
      <c r="E131" t="str">
        <f t="array" ref="E131">IF(Knowns!E131&lt;&gt;"",IF(MIN('Clean Unknown'!D$2:D$52) &lt; 9999,MIN(ABS(Knowns!E131-'Clean Unknown'!D$2:D$52)),""),"")</f>
        <v/>
      </c>
      <c r="F131" t="str">
        <f t="array" ref="F131">IF(Knowns!F131&lt;&gt;"",IF(MIN('Clean Unknown'!E$2:E$52) &lt; 9999,MIN(ABS(Knowns!F131-'Clean Unknown'!E$2:E$52)),""),"")</f>
        <v/>
      </c>
      <c r="G131" t="str">
        <f t="array" ref="G131">IF(Knowns!G131&lt;&gt;"",IF(MIN('Clean Unknown'!F$2:F$52) &lt; 9999,MIN(ABS(Knowns!G131-'Clean Unknown'!F$2:F$52)),""),"")</f>
        <v/>
      </c>
    </row>
    <row r="132" spans="1:7">
      <c r="A132">
        <f>Knowns!A132</f>
        <v>0</v>
      </c>
      <c r="B132" t="str">
        <f t="array" ref="B132">IF(Knowns!B132&lt;&gt;"",IF(MIN('Clean Unknown'!A$2:A$52) &lt; 9999,MIN(ABS(Knowns!B132-'Clean Unknown'!A$2:A$52)),""),"")</f>
        <v/>
      </c>
      <c r="C132" t="str">
        <f t="array" ref="C132">IF(Knowns!C132&lt;&gt;"",IF(MIN('Clean Unknown'!B$2:B$52) &lt; 9999,MIN(ABS(Knowns!C132-'Clean Unknown'!B$2:B$52)),""),"")</f>
        <v/>
      </c>
      <c r="D132" t="str">
        <f t="array" ref="D132">IF(Knowns!D132&lt;&gt;"",IF(MIN('Clean Unknown'!C$2:C$52) &lt; 9999,MIN(ABS(Knowns!D132-'Clean Unknown'!C$2:C$52)),""),"")</f>
        <v/>
      </c>
      <c r="E132" t="str">
        <f t="array" ref="E132">IF(Knowns!E132&lt;&gt;"",IF(MIN('Clean Unknown'!D$2:D$52) &lt; 9999,MIN(ABS(Knowns!E132-'Clean Unknown'!D$2:D$52)),""),"")</f>
        <v/>
      </c>
      <c r="F132" t="str">
        <f t="array" ref="F132">IF(Knowns!F132&lt;&gt;"",IF(MIN('Clean Unknown'!E$2:E$52) &lt; 9999,MIN(ABS(Knowns!F132-'Clean Unknown'!E$2:E$52)),""),"")</f>
        <v/>
      </c>
      <c r="G132" t="str">
        <f t="array" ref="G132">IF(Knowns!G132&lt;&gt;"",IF(MIN('Clean Unknown'!F$2:F$52) &lt; 9999,MIN(ABS(Knowns!G132-'Clean Unknown'!F$2:F$52)),""),"")</f>
        <v/>
      </c>
    </row>
    <row r="133" spans="1:7">
      <c r="A133">
        <f>Knowns!A133</f>
        <v>0</v>
      </c>
      <c r="B133" t="str">
        <f t="array" ref="B133">IF(Knowns!B133&lt;&gt;"",IF(MIN('Clean Unknown'!A$2:A$52) &lt; 9999,MIN(ABS(Knowns!B133-'Clean Unknown'!A$2:A$52)),""),"")</f>
        <v/>
      </c>
      <c r="C133" t="str">
        <f t="array" ref="C133">IF(Knowns!C133&lt;&gt;"",IF(MIN('Clean Unknown'!B$2:B$52) &lt; 9999,MIN(ABS(Knowns!C133-'Clean Unknown'!B$2:B$52)),""),"")</f>
        <v/>
      </c>
      <c r="D133" t="str">
        <f t="array" ref="D133">IF(Knowns!D133&lt;&gt;"",IF(MIN('Clean Unknown'!C$2:C$52) &lt; 9999,MIN(ABS(Knowns!D133-'Clean Unknown'!C$2:C$52)),""),"")</f>
        <v/>
      </c>
      <c r="E133" t="str">
        <f t="array" ref="E133">IF(Knowns!E133&lt;&gt;"",IF(MIN('Clean Unknown'!D$2:D$52) &lt; 9999,MIN(ABS(Knowns!E133-'Clean Unknown'!D$2:D$52)),""),"")</f>
        <v/>
      </c>
      <c r="F133" t="str">
        <f t="array" ref="F133">IF(Knowns!F133&lt;&gt;"",IF(MIN('Clean Unknown'!E$2:E$52) &lt; 9999,MIN(ABS(Knowns!F133-'Clean Unknown'!E$2:E$52)),""),"")</f>
        <v/>
      </c>
      <c r="G133" t="str">
        <f t="array" ref="G133">IF(Knowns!G133&lt;&gt;"",IF(MIN('Clean Unknown'!F$2:F$52) &lt; 9999,MIN(ABS(Knowns!G133-'Clean Unknown'!F$2:F$52)),""),"")</f>
        <v/>
      </c>
    </row>
    <row r="134" spans="1:7">
      <c r="A134">
        <f>Knowns!A134</f>
        <v>0</v>
      </c>
      <c r="B134" t="str">
        <f t="array" ref="B134">IF(Knowns!B134&lt;&gt;"",IF(MIN('Clean Unknown'!A$2:A$52) &lt; 9999,MIN(ABS(Knowns!B134-'Clean Unknown'!A$2:A$52)),""),"")</f>
        <v/>
      </c>
      <c r="C134" t="str">
        <f t="array" ref="C134">IF(Knowns!C134&lt;&gt;"",IF(MIN('Clean Unknown'!B$2:B$52) &lt; 9999,MIN(ABS(Knowns!C134-'Clean Unknown'!B$2:B$52)),""),"")</f>
        <v/>
      </c>
      <c r="D134" t="str">
        <f t="array" ref="D134">IF(Knowns!D134&lt;&gt;"",IF(MIN('Clean Unknown'!C$2:C$52) &lt; 9999,MIN(ABS(Knowns!D134-'Clean Unknown'!C$2:C$52)),""),"")</f>
        <v/>
      </c>
      <c r="E134" t="str">
        <f t="array" ref="E134">IF(Knowns!E134&lt;&gt;"",IF(MIN('Clean Unknown'!D$2:D$52) &lt; 9999,MIN(ABS(Knowns!E134-'Clean Unknown'!D$2:D$52)),""),"")</f>
        <v/>
      </c>
      <c r="F134" t="str">
        <f t="array" ref="F134">IF(Knowns!F134&lt;&gt;"",IF(MIN('Clean Unknown'!E$2:E$52) &lt; 9999,MIN(ABS(Knowns!F134-'Clean Unknown'!E$2:E$52)),""),"")</f>
        <v/>
      </c>
      <c r="G134" t="str">
        <f t="array" ref="G134">IF(Knowns!G134&lt;&gt;"",IF(MIN('Clean Unknown'!F$2:F$52) &lt; 9999,MIN(ABS(Knowns!G134-'Clean Unknown'!F$2:F$52)),""),"")</f>
        <v/>
      </c>
    </row>
    <row r="135" spans="1:7">
      <c r="A135">
        <f>Knowns!A135</f>
        <v>0</v>
      </c>
      <c r="B135" t="str">
        <f t="array" ref="B135">IF(Knowns!B135&lt;&gt;"",IF(MIN('Clean Unknown'!A$2:A$52) &lt; 9999,MIN(ABS(Knowns!B135-'Clean Unknown'!A$2:A$52)),""),"")</f>
        <v/>
      </c>
      <c r="C135" t="str">
        <f t="array" ref="C135">IF(Knowns!C135&lt;&gt;"",IF(MIN('Clean Unknown'!B$2:B$52) &lt; 9999,MIN(ABS(Knowns!C135-'Clean Unknown'!B$2:B$52)),""),"")</f>
        <v/>
      </c>
      <c r="D135" t="str">
        <f t="array" ref="D135">IF(Knowns!D135&lt;&gt;"",IF(MIN('Clean Unknown'!C$2:C$52) &lt; 9999,MIN(ABS(Knowns!D135-'Clean Unknown'!C$2:C$52)),""),"")</f>
        <v/>
      </c>
      <c r="E135" t="str">
        <f t="array" ref="E135">IF(Knowns!E135&lt;&gt;"",IF(MIN('Clean Unknown'!D$2:D$52) &lt; 9999,MIN(ABS(Knowns!E135-'Clean Unknown'!D$2:D$52)),""),"")</f>
        <v/>
      </c>
      <c r="F135" t="str">
        <f t="array" ref="F135">IF(Knowns!F135&lt;&gt;"",IF(MIN('Clean Unknown'!E$2:E$52) &lt; 9999,MIN(ABS(Knowns!F135-'Clean Unknown'!E$2:E$52)),""),"")</f>
        <v/>
      </c>
      <c r="G135" t="str">
        <f t="array" ref="G135">IF(Knowns!G135&lt;&gt;"",IF(MIN('Clean Unknown'!F$2:F$52) &lt; 9999,MIN(ABS(Knowns!G135-'Clean Unknown'!F$2:F$52)),""),"")</f>
        <v/>
      </c>
    </row>
    <row r="136" spans="1:7">
      <c r="A136">
        <f>Knowns!A136</f>
        <v>0</v>
      </c>
      <c r="B136" t="str">
        <f t="array" ref="B136">IF(Knowns!B136&lt;&gt;"",IF(MIN('Clean Unknown'!A$2:A$52) &lt; 9999,MIN(ABS(Knowns!B136-'Clean Unknown'!A$2:A$52)),""),"")</f>
        <v/>
      </c>
      <c r="C136" t="str">
        <f t="array" ref="C136">IF(Knowns!C136&lt;&gt;"",IF(MIN('Clean Unknown'!B$2:B$52) &lt; 9999,MIN(ABS(Knowns!C136-'Clean Unknown'!B$2:B$52)),""),"")</f>
        <v/>
      </c>
      <c r="D136" t="str">
        <f t="array" ref="D136">IF(Knowns!D136&lt;&gt;"",IF(MIN('Clean Unknown'!C$2:C$52) &lt; 9999,MIN(ABS(Knowns!D136-'Clean Unknown'!C$2:C$52)),""),"")</f>
        <v/>
      </c>
      <c r="E136" t="str">
        <f t="array" ref="E136">IF(Knowns!E136&lt;&gt;"",IF(MIN('Clean Unknown'!D$2:D$52) &lt; 9999,MIN(ABS(Knowns!E136-'Clean Unknown'!D$2:D$52)),""),"")</f>
        <v/>
      </c>
      <c r="F136" t="str">
        <f t="array" ref="F136">IF(Knowns!F136&lt;&gt;"",IF(MIN('Clean Unknown'!E$2:E$52) &lt; 9999,MIN(ABS(Knowns!F136-'Clean Unknown'!E$2:E$52)),""),"")</f>
        <v/>
      </c>
      <c r="G136" t="str">
        <f t="array" ref="G136">IF(Knowns!G136&lt;&gt;"",IF(MIN('Clean Unknown'!F$2:F$52) &lt; 9999,MIN(ABS(Knowns!G136-'Clean Unknown'!F$2:F$52)),""),"")</f>
        <v/>
      </c>
    </row>
    <row r="137" spans="1:7">
      <c r="A137">
        <f>Knowns!A137</f>
        <v>0</v>
      </c>
      <c r="B137" t="str">
        <f t="array" ref="B137">IF(Knowns!B137&lt;&gt;"",IF(MIN('Clean Unknown'!A$2:A$52) &lt; 9999,MIN(ABS(Knowns!B137-'Clean Unknown'!A$2:A$52)),""),"")</f>
        <v/>
      </c>
      <c r="C137" t="str">
        <f t="array" ref="C137">IF(Knowns!C137&lt;&gt;"",IF(MIN('Clean Unknown'!B$2:B$52) &lt; 9999,MIN(ABS(Knowns!C137-'Clean Unknown'!B$2:B$52)),""),"")</f>
        <v/>
      </c>
      <c r="D137" t="str">
        <f t="array" ref="D137">IF(Knowns!D137&lt;&gt;"",IF(MIN('Clean Unknown'!C$2:C$52) &lt; 9999,MIN(ABS(Knowns!D137-'Clean Unknown'!C$2:C$52)),""),"")</f>
        <v/>
      </c>
      <c r="E137" t="str">
        <f t="array" ref="E137">IF(Knowns!E137&lt;&gt;"",IF(MIN('Clean Unknown'!D$2:D$52) &lt; 9999,MIN(ABS(Knowns!E137-'Clean Unknown'!D$2:D$52)),""),"")</f>
        <v/>
      </c>
      <c r="F137" t="str">
        <f t="array" ref="F137">IF(Knowns!F137&lt;&gt;"",IF(MIN('Clean Unknown'!E$2:E$52) &lt; 9999,MIN(ABS(Knowns!F137-'Clean Unknown'!E$2:E$52)),""),"")</f>
        <v/>
      </c>
      <c r="G137" t="str">
        <f t="array" ref="G137">IF(Knowns!G137&lt;&gt;"",IF(MIN('Clean Unknown'!F$2:F$52) &lt; 9999,MIN(ABS(Knowns!G137-'Clean Unknown'!F$2:F$52)),""),"")</f>
        <v/>
      </c>
    </row>
    <row r="138" spans="1:7">
      <c r="A138">
        <f>Knowns!A138</f>
        <v>0</v>
      </c>
      <c r="B138" t="str">
        <f t="array" ref="B138">IF(Knowns!B138&lt;&gt;"",IF(MIN('Clean Unknown'!A$2:A$52) &lt; 9999,MIN(ABS(Knowns!B138-'Clean Unknown'!A$2:A$52)),""),"")</f>
        <v/>
      </c>
      <c r="C138" t="str">
        <f t="array" ref="C138">IF(Knowns!C138&lt;&gt;"",IF(MIN('Clean Unknown'!B$2:B$52) &lt; 9999,MIN(ABS(Knowns!C138-'Clean Unknown'!B$2:B$52)),""),"")</f>
        <v/>
      </c>
      <c r="D138" t="str">
        <f t="array" ref="D138">IF(Knowns!D138&lt;&gt;"",IF(MIN('Clean Unknown'!C$2:C$52) &lt; 9999,MIN(ABS(Knowns!D138-'Clean Unknown'!C$2:C$52)),""),"")</f>
        <v/>
      </c>
      <c r="E138" t="str">
        <f t="array" ref="E138">IF(Knowns!E138&lt;&gt;"",IF(MIN('Clean Unknown'!D$2:D$52) &lt; 9999,MIN(ABS(Knowns!E138-'Clean Unknown'!D$2:D$52)),""),"")</f>
        <v/>
      </c>
      <c r="F138" t="str">
        <f t="array" ref="F138">IF(Knowns!F138&lt;&gt;"",IF(MIN('Clean Unknown'!E$2:E$52) &lt; 9999,MIN(ABS(Knowns!F138-'Clean Unknown'!E$2:E$52)),""),"")</f>
        <v/>
      </c>
      <c r="G138" t="str">
        <f t="array" ref="G138">IF(Knowns!G138&lt;&gt;"",IF(MIN('Clean Unknown'!F$2:F$52) &lt; 9999,MIN(ABS(Knowns!G138-'Clean Unknown'!F$2:F$52)),""),"")</f>
        <v/>
      </c>
    </row>
    <row r="139" spans="1:7">
      <c r="A139">
        <f>Knowns!A139</f>
        <v>0</v>
      </c>
      <c r="B139" t="str">
        <f t="array" ref="B139">IF(Knowns!B139&lt;&gt;"",IF(MIN('Clean Unknown'!A$2:A$52) &lt; 9999,MIN(ABS(Knowns!B139-'Clean Unknown'!A$2:A$52)),""),"")</f>
        <v/>
      </c>
      <c r="C139" t="str">
        <f t="array" ref="C139">IF(Knowns!C139&lt;&gt;"",IF(MIN('Clean Unknown'!B$2:B$52) &lt; 9999,MIN(ABS(Knowns!C139-'Clean Unknown'!B$2:B$52)),""),"")</f>
        <v/>
      </c>
      <c r="D139" t="str">
        <f t="array" ref="D139">IF(Knowns!D139&lt;&gt;"",IF(MIN('Clean Unknown'!C$2:C$52) &lt; 9999,MIN(ABS(Knowns!D139-'Clean Unknown'!C$2:C$52)),""),"")</f>
        <v/>
      </c>
      <c r="E139" t="str">
        <f t="array" ref="E139">IF(Knowns!E139&lt;&gt;"",IF(MIN('Clean Unknown'!D$2:D$52) &lt; 9999,MIN(ABS(Knowns!E139-'Clean Unknown'!D$2:D$52)),""),"")</f>
        <v/>
      </c>
      <c r="F139" t="str">
        <f t="array" ref="F139">IF(Knowns!F139&lt;&gt;"",IF(MIN('Clean Unknown'!E$2:E$52) &lt; 9999,MIN(ABS(Knowns!F139-'Clean Unknown'!E$2:E$52)),""),"")</f>
        <v/>
      </c>
      <c r="G139" t="str">
        <f t="array" ref="G139">IF(Knowns!G139&lt;&gt;"",IF(MIN('Clean Unknown'!F$2:F$52) &lt; 9999,MIN(ABS(Knowns!G139-'Clean Unknown'!F$2:F$52)),""),"")</f>
        <v/>
      </c>
    </row>
    <row r="140" spans="1:7">
      <c r="A140">
        <f>Knowns!A140</f>
        <v>0</v>
      </c>
      <c r="B140" t="str">
        <f t="array" ref="B140">IF(Knowns!B140&lt;&gt;"",IF(MIN('Clean Unknown'!A$2:A$52) &lt; 9999,MIN(ABS(Knowns!B140-'Clean Unknown'!A$2:A$52)),""),"")</f>
        <v/>
      </c>
      <c r="C140" t="str">
        <f t="array" ref="C140">IF(Knowns!C140&lt;&gt;"",IF(MIN('Clean Unknown'!B$2:B$52) &lt; 9999,MIN(ABS(Knowns!C140-'Clean Unknown'!B$2:B$52)),""),"")</f>
        <v/>
      </c>
      <c r="D140" t="str">
        <f t="array" ref="D140">IF(Knowns!D140&lt;&gt;"",IF(MIN('Clean Unknown'!C$2:C$52) &lt; 9999,MIN(ABS(Knowns!D140-'Clean Unknown'!C$2:C$52)),""),"")</f>
        <v/>
      </c>
      <c r="E140" t="str">
        <f t="array" ref="E140">IF(Knowns!E140&lt;&gt;"",IF(MIN('Clean Unknown'!D$2:D$52) &lt; 9999,MIN(ABS(Knowns!E140-'Clean Unknown'!D$2:D$52)),""),"")</f>
        <v/>
      </c>
      <c r="F140" t="str">
        <f t="array" ref="F140">IF(Knowns!F140&lt;&gt;"",IF(MIN('Clean Unknown'!E$2:E$52) &lt; 9999,MIN(ABS(Knowns!F140-'Clean Unknown'!E$2:E$52)),""),"")</f>
        <v/>
      </c>
      <c r="G140" t="str">
        <f t="array" ref="G140">IF(Knowns!G140&lt;&gt;"",IF(MIN('Clean Unknown'!F$2:F$52) &lt; 9999,MIN(ABS(Knowns!G140-'Clean Unknown'!F$2:F$52)),""),"")</f>
        <v/>
      </c>
    </row>
    <row r="141" spans="1:7">
      <c r="A141">
        <f>Knowns!A141</f>
        <v>0</v>
      </c>
      <c r="B141" t="str">
        <f t="array" ref="B141">IF(Knowns!B141&lt;&gt;"",IF(MIN('Clean Unknown'!A$2:A$52) &lt; 9999,MIN(ABS(Knowns!B141-'Clean Unknown'!A$2:A$52)),""),"")</f>
        <v/>
      </c>
      <c r="C141" t="str">
        <f t="array" ref="C141">IF(Knowns!C141&lt;&gt;"",IF(MIN('Clean Unknown'!B$2:B$52) &lt; 9999,MIN(ABS(Knowns!C141-'Clean Unknown'!B$2:B$52)),""),"")</f>
        <v/>
      </c>
      <c r="D141" t="str">
        <f t="array" ref="D141">IF(Knowns!D141&lt;&gt;"",IF(MIN('Clean Unknown'!C$2:C$52) &lt; 9999,MIN(ABS(Knowns!D141-'Clean Unknown'!C$2:C$52)),""),"")</f>
        <v/>
      </c>
      <c r="E141" t="str">
        <f t="array" ref="E141">IF(Knowns!E141&lt;&gt;"",IF(MIN('Clean Unknown'!D$2:D$52) &lt; 9999,MIN(ABS(Knowns!E141-'Clean Unknown'!D$2:D$52)),""),"")</f>
        <v/>
      </c>
      <c r="F141" t="str">
        <f t="array" ref="F141">IF(Knowns!F141&lt;&gt;"",IF(MIN('Clean Unknown'!E$2:E$52) &lt; 9999,MIN(ABS(Knowns!F141-'Clean Unknown'!E$2:E$52)),""),"")</f>
        <v/>
      </c>
      <c r="G141" t="str">
        <f t="array" ref="G141">IF(Knowns!G141&lt;&gt;"",IF(MIN('Clean Unknown'!F$2:F$52) &lt; 9999,MIN(ABS(Knowns!G141-'Clean Unknown'!F$2:F$52)),""),"")</f>
        <v/>
      </c>
    </row>
    <row r="142" spans="1:7">
      <c r="A142">
        <f>Knowns!A142</f>
        <v>0</v>
      </c>
      <c r="B142" t="str">
        <f t="array" ref="B142">IF(Knowns!B142&lt;&gt;"",IF(MIN('Clean Unknown'!A$2:A$52) &lt; 9999,MIN(ABS(Knowns!B142-'Clean Unknown'!A$2:A$52)),""),"")</f>
        <v/>
      </c>
      <c r="C142" t="str">
        <f t="array" ref="C142">IF(Knowns!C142&lt;&gt;"",IF(MIN('Clean Unknown'!B$2:B$52) &lt; 9999,MIN(ABS(Knowns!C142-'Clean Unknown'!B$2:B$52)),""),"")</f>
        <v/>
      </c>
      <c r="D142" t="str">
        <f t="array" ref="D142">IF(Knowns!D142&lt;&gt;"",IF(MIN('Clean Unknown'!C$2:C$52) &lt; 9999,MIN(ABS(Knowns!D142-'Clean Unknown'!C$2:C$52)),""),"")</f>
        <v/>
      </c>
      <c r="E142" t="str">
        <f t="array" ref="E142">IF(Knowns!E142&lt;&gt;"",IF(MIN('Clean Unknown'!D$2:D$52) &lt; 9999,MIN(ABS(Knowns!E142-'Clean Unknown'!D$2:D$52)),""),"")</f>
        <v/>
      </c>
      <c r="F142" t="str">
        <f t="array" ref="F142">IF(Knowns!F142&lt;&gt;"",IF(MIN('Clean Unknown'!E$2:E$52) &lt; 9999,MIN(ABS(Knowns!F142-'Clean Unknown'!E$2:E$52)),""),"")</f>
        <v/>
      </c>
      <c r="G142" t="str">
        <f t="array" ref="G142">IF(Knowns!G142&lt;&gt;"",IF(MIN('Clean Unknown'!F$2:F$52) &lt; 9999,MIN(ABS(Knowns!G142-'Clean Unknown'!F$2:F$52)),""),"")</f>
        <v/>
      </c>
    </row>
    <row r="143" spans="1:7">
      <c r="A143">
        <f>Knowns!A143</f>
        <v>0</v>
      </c>
      <c r="B143" t="str">
        <f t="array" ref="B143">IF(Knowns!B143&lt;&gt;"",IF(MIN('Clean Unknown'!A$2:A$52) &lt; 9999,MIN(ABS(Knowns!B143-'Clean Unknown'!A$2:A$52)),""),"")</f>
        <v/>
      </c>
      <c r="C143" t="str">
        <f t="array" ref="C143">IF(Knowns!C143&lt;&gt;"",IF(MIN('Clean Unknown'!B$2:B$52) &lt; 9999,MIN(ABS(Knowns!C143-'Clean Unknown'!B$2:B$52)),""),"")</f>
        <v/>
      </c>
      <c r="D143" t="str">
        <f t="array" ref="D143">IF(Knowns!D143&lt;&gt;"",IF(MIN('Clean Unknown'!C$2:C$52) &lt; 9999,MIN(ABS(Knowns!D143-'Clean Unknown'!C$2:C$52)),""),"")</f>
        <v/>
      </c>
      <c r="E143" t="str">
        <f t="array" ref="E143">IF(Knowns!E143&lt;&gt;"",IF(MIN('Clean Unknown'!D$2:D$52) &lt; 9999,MIN(ABS(Knowns!E143-'Clean Unknown'!D$2:D$52)),""),"")</f>
        <v/>
      </c>
      <c r="F143" t="str">
        <f t="array" ref="F143">IF(Knowns!F143&lt;&gt;"",IF(MIN('Clean Unknown'!E$2:E$52) &lt; 9999,MIN(ABS(Knowns!F143-'Clean Unknown'!E$2:E$52)),""),"")</f>
        <v/>
      </c>
      <c r="G143" t="str">
        <f t="array" ref="G143">IF(Knowns!G143&lt;&gt;"",IF(MIN('Clean Unknown'!F$2:F$52) &lt; 9999,MIN(ABS(Knowns!G143-'Clean Unknown'!F$2:F$52)),""),"")</f>
        <v/>
      </c>
    </row>
    <row r="144" spans="1:7">
      <c r="A144">
        <f>Knowns!A144</f>
        <v>0</v>
      </c>
      <c r="B144" t="str">
        <f t="array" ref="B144">IF(Knowns!B144&lt;&gt;"",IF(MIN('Clean Unknown'!A$2:A$52) &lt; 9999,MIN(ABS(Knowns!B144-'Clean Unknown'!A$2:A$52)),""),"")</f>
        <v/>
      </c>
      <c r="C144" t="str">
        <f t="array" ref="C144">IF(Knowns!C144&lt;&gt;"",IF(MIN('Clean Unknown'!B$2:B$52) &lt; 9999,MIN(ABS(Knowns!C144-'Clean Unknown'!B$2:B$52)),""),"")</f>
        <v/>
      </c>
      <c r="D144" t="str">
        <f t="array" ref="D144">IF(Knowns!D144&lt;&gt;"",IF(MIN('Clean Unknown'!C$2:C$52) &lt; 9999,MIN(ABS(Knowns!D144-'Clean Unknown'!C$2:C$52)),""),"")</f>
        <v/>
      </c>
      <c r="E144" t="str">
        <f t="array" ref="E144">IF(Knowns!E144&lt;&gt;"",IF(MIN('Clean Unknown'!D$2:D$52) &lt; 9999,MIN(ABS(Knowns!E144-'Clean Unknown'!D$2:D$52)),""),"")</f>
        <v/>
      </c>
      <c r="F144" t="str">
        <f t="array" ref="F144">IF(Knowns!F144&lt;&gt;"",IF(MIN('Clean Unknown'!E$2:E$52) &lt; 9999,MIN(ABS(Knowns!F144-'Clean Unknown'!E$2:E$52)),""),"")</f>
        <v/>
      </c>
      <c r="G144" t="str">
        <f t="array" ref="G144">IF(Knowns!G144&lt;&gt;"",IF(MIN('Clean Unknown'!F$2:F$52) &lt; 9999,MIN(ABS(Knowns!G144-'Clean Unknown'!F$2:F$52)),""),"")</f>
        <v/>
      </c>
    </row>
    <row r="145" spans="1:7">
      <c r="A145">
        <f>Knowns!A145</f>
        <v>0</v>
      </c>
      <c r="B145" t="str">
        <f t="array" ref="B145">IF(Knowns!B145&lt;&gt;"",IF(MIN('Clean Unknown'!A$2:A$52) &lt; 9999,MIN(ABS(Knowns!B145-'Clean Unknown'!A$2:A$52)),""),"")</f>
        <v/>
      </c>
      <c r="C145" t="str">
        <f t="array" ref="C145">IF(Knowns!C145&lt;&gt;"",IF(MIN('Clean Unknown'!B$2:B$52) &lt; 9999,MIN(ABS(Knowns!C145-'Clean Unknown'!B$2:B$52)),""),"")</f>
        <v/>
      </c>
      <c r="D145" t="str">
        <f t="array" ref="D145">IF(Knowns!D145&lt;&gt;"",IF(MIN('Clean Unknown'!C$2:C$52) &lt; 9999,MIN(ABS(Knowns!D145-'Clean Unknown'!C$2:C$52)),""),"")</f>
        <v/>
      </c>
      <c r="E145" t="str">
        <f t="array" ref="E145">IF(Knowns!E145&lt;&gt;"",IF(MIN('Clean Unknown'!D$2:D$52) &lt; 9999,MIN(ABS(Knowns!E145-'Clean Unknown'!D$2:D$52)),""),"")</f>
        <v/>
      </c>
      <c r="F145" t="str">
        <f t="array" ref="F145">IF(Knowns!F145&lt;&gt;"",IF(MIN('Clean Unknown'!E$2:E$52) &lt; 9999,MIN(ABS(Knowns!F145-'Clean Unknown'!E$2:E$52)),""),"")</f>
        <v/>
      </c>
      <c r="G145" t="str">
        <f t="array" ref="G145">IF(Knowns!G145&lt;&gt;"",IF(MIN('Clean Unknown'!F$2:F$52) &lt; 9999,MIN(ABS(Knowns!G145-'Clean Unknown'!F$2:F$52)),""),"")</f>
        <v/>
      </c>
    </row>
    <row r="146" spans="1:7">
      <c r="A146">
        <f>Knowns!A146</f>
        <v>0</v>
      </c>
      <c r="B146" t="str">
        <f t="array" ref="B146">IF(Knowns!B146&lt;&gt;"",IF(MIN('Clean Unknown'!A$2:A$52) &lt; 9999,MIN(ABS(Knowns!B146-'Clean Unknown'!A$2:A$52)),""),"")</f>
        <v/>
      </c>
      <c r="C146" t="str">
        <f t="array" ref="C146">IF(Knowns!C146&lt;&gt;"",IF(MIN('Clean Unknown'!B$2:B$52) &lt; 9999,MIN(ABS(Knowns!C146-'Clean Unknown'!B$2:B$52)),""),"")</f>
        <v/>
      </c>
      <c r="D146" t="str">
        <f t="array" ref="D146">IF(Knowns!D146&lt;&gt;"",IF(MIN('Clean Unknown'!C$2:C$52) &lt; 9999,MIN(ABS(Knowns!D146-'Clean Unknown'!C$2:C$52)),""),"")</f>
        <v/>
      </c>
      <c r="E146" t="str">
        <f t="array" ref="E146">IF(Knowns!E146&lt;&gt;"",IF(MIN('Clean Unknown'!D$2:D$52) &lt; 9999,MIN(ABS(Knowns!E146-'Clean Unknown'!D$2:D$52)),""),"")</f>
        <v/>
      </c>
      <c r="F146" t="str">
        <f t="array" ref="F146">IF(Knowns!F146&lt;&gt;"",IF(MIN('Clean Unknown'!E$2:E$52) &lt; 9999,MIN(ABS(Knowns!F146-'Clean Unknown'!E$2:E$52)),""),"")</f>
        <v/>
      </c>
      <c r="G146" t="str">
        <f t="array" ref="G146">IF(Knowns!G146&lt;&gt;"",IF(MIN('Clean Unknown'!F$2:F$52) &lt; 9999,MIN(ABS(Knowns!G146-'Clean Unknown'!F$2:F$52)),""),"")</f>
        <v/>
      </c>
    </row>
    <row r="147" spans="1:7">
      <c r="A147">
        <f>Knowns!A147</f>
        <v>0</v>
      </c>
      <c r="B147" t="str">
        <f t="array" ref="B147">IF(Knowns!B147&lt;&gt;"",IF(MIN('Clean Unknown'!A$2:A$52) &lt; 9999,MIN(ABS(Knowns!B147-'Clean Unknown'!A$2:A$52)),""),"")</f>
        <v/>
      </c>
      <c r="C147" t="str">
        <f t="array" ref="C147">IF(Knowns!C147&lt;&gt;"",IF(MIN('Clean Unknown'!B$2:B$52) &lt; 9999,MIN(ABS(Knowns!C147-'Clean Unknown'!B$2:B$52)),""),"")</f>
        <v/>
      </c>
      <c r="D147" t="str">
        <f t="array" ref="D147">IF(Knowns!D147&lt;&gt;"",IF(MIN('Clean Unknown'!C$2:C$52) &lt; 9999,MIN(ABS(Knowns!D147-'Clean Unknown'!C$2:C$52)),""),"")</f>
        <v/>
      </c>
      <c r="E147" t="str">
        <f t="array" ref="E147">IF(Knowns!E147&lt;&gt;"",IF(MIN('Clean Unknown'!D$2:D$52) &lt; 9999,MIN(ABS(Knowns!E147-'Clean Unknown'!D$2:D$52)),""),"")</f>
        <v/>
      </c>
      <c r="F147" t="str">
        <f t="array" ref="F147">IF(Knowns!F147&lt;&gt;"",IF(MIN('Clean Unknown'!E$2:E$52) &lt; 9999,MIN(ABS(Knowns!F147-'Clean Unknown'!E$2:E$52)),""),"")</f>
        <v/>
      </c>
      <c r="G147" t="str">
        <f t="array" ref="G147">IF(Knowns!G147&lt;&gt;"",IF(MIN('Clean Unknown'!F$2:F$52) &lt; 9999,MIN(ABS(Knowns!G147-'Clean Unknown'!F$2:F$52)),""),"")</f>
        <v/>
      </c>
    </row>
    <row r="148" spans="1:7">
      <c r="A148">
        <f>Knowns!A148</f>
        <v>0</v>
      </c>
      <c r="B148" t="str">
        <f t="array" ref="B148">IF(Knowns!B148&lt;&gt;"",IF(MIN('Clean Unknown'!A$2:A$52) &lt; 9999,MIN(ABS(Knowns!B148-'Clean Unknown'!A$2:A$52)),""),"")</f>
        <v/>
      </c>
      <c r="C148" t="str">
        <f t="array" ref="C148">IF(Knowns!C148&lt;&gt;"",IF(MIN('Clean Unknown'!B$2:B$52) &lt; 9999,MIN(ABS(Knowns!C148-'Clean Unknown'!B$2:B$52)),""),"")</f>
        <v/>
      </c>
      <c r="D148" t="str">
        <f t="array" ref="D148">IF(Knowns!D148&lt;&gt;"",IF(MIN('Clean Unknown'!C$2:C$52) &lt; 9999,MIN(ABS(Knowns!D148-'Clean Unknown'!C$2:C$52)),""),"")</f>
        <v/>
      </c>
      <c r="E148" t="str">
        <f t="array" ref="E148">IF(Knowns!E148&lt;&gt;"",IF(MIN('Clean Unknown'!D$2:D$52) &lt; 9999,MIN(ABS(Knowns!E148-'Clean Unknown'!D$2:D$52)),""),"")</f>
        <v/>
      </c>
      <c r="F148" t="str">
        <f t="array" ref="F148">IF(Knowns!F148&lt;&gt;"",IF(MIN('Clean Unknown'!E$2:E$52) &lt; 9999,MIN(ABS(Knowns!F148-'Clean Unknown'!E$2:E$52)),""),"")</f>
        <v/>
      </c>
      <c r="G148" t="str">
        <f t="array" ref="G148">IF(Knowns!G148&lt;&gt;"",IF(MIN('Clean Unknown'!F$2:F$52) &lt; 9999,MIN(ABS(Knowns!G148-'Clean Unknown'!F$2:F$52)),""),"")</f>
        <v/>
      </c>
    </row>
    <row r="149" spans="1:7">
      <c r="A149">
        <f>Knowns!A149</f>
        <v>0</v>
      </c>
      <c r="B149" t="str">
        <f t="array" ref="B149">IF(Knowns!B149&lt;&gt;"",IF(MIN('Clean Unknown'!A$2:A$52) &lt; 9999,MIN(ABS(Knowns!B149-'Clean Unknown'!A$2:A$52)),""),"")</f>
        <v/>
      </c>
      <c r="C149" t="str">
        <f t="array" ref="C149">IF(Knowns!C149&lt;&gt;"",IF(MIN('Clean Unknown'!B$2:B$52) &lt; 9999,MIN(ABS(Knowns!C149-'Clean Unknown'!B$2:B$52)),""),"")</f>
        <v/>
      </c>
      <c r="D149" t="str">
        <f t="array" ref="D149">IF(Knowns!D149&lt;&gt;"",IF(MIN('Clean Unknown'!C$2:C$52) &lt; 9999,MIN(ABS(Knowns!D149-'Clean Unknown'!C$2:C$52)),""),"")</f>
        <v/>
      </c>
      <c r="E149" t="str">
        <f t="array" ref="E149">IF(Knowns!E149&lt;&gt;"",IF(MIN('Clean Unknown'!D$2:D$52) &lt; 9999,MIN(ABS(Knowns!E149-'Clean Unknown'!D$2:D$52)),""),"")</f>
        <v/>
      </c>
      <c r="F149" t="str">
        <f t="array" ref="F149">IF(Knowns!F149&lt;&gt;"",IF(MIN('Clean Unknown'!E$2:E$52) &lt; 9999,MIN(ABS(Knowns!F149-'Clean Unknown'!E$2:E$52)),""),"")</f>
        <v/>
      </c>
      <c r="G149" t="str">
        <f t="array" ref="G149">IF(Knowns!G149&lt;&gt;"",IF(MIN('Clean Unknown'!F$2:F$52) &lt; 9999,MIN(ABS(Knowns!G149-'Clean Unknown'!F$2:F$52)),""),"")</f>
        <v/>
      </c>
    </row>
    <row r="150" spans="1:7">
      <c r="A150">
        <f>Knowns!A150</f>
        <v>0</v>
      </c>
      <c r="B150" t="str">
        <f t="array" ref="B150">IF(Knowns!B150&lt;&gt;"",IF(MIN('Clean Unknown'!A$2:A$52) &lt; 9999,MIN(ABS(Knowns!B150-'Clean Unknown'!A$2:A$52)),""),"")</f>
        <v/>
      </c>
      <c r="C150" t="str">
        <f t="array" ref="C150">IF(Knowns!C150&lt;&gt;"",IF(MIN('Clean Unknown'!B$2:B$52) &lt; 9999,MIN(ABS(Knowns!C150-'Clean Unknown'!B$2:B$52)),""),"")</f>
        <v/>
      </c>
      <c r="D150" t="str">
        <f t="array" ref="D150">IF(Knowns!D150&lt;&gt;"",IF(MIN('Clean Unknown'!C$2:C$52) &lt; 9999,MIN(ABS(Knowns!D150-'Clean Unknown'!C$2:C$52)),""),"")</f>
        <v/>
      </c>
      <c r="E150" t="str">
        <f t="array" ref="E150">IF(Knowns!E150&lt;&gt;"",IF(MIN('Clean Unknown'!D$2:D$52) &lt; 9999,MIN(ABS(Knowns!E150-'Clean Unknown'!D$2:D$52)),""),"")</f>
        <v/>
      </c>
      <c r="F150" t="str">
        <f t="array" ref="F150">IF(Knowns!F150&lt;&gt;"",IF(MIN('Clean Unknown'!E$2:E$52) &lt; 9999,MIN(ABS(Knowns!F150-'Clean Unknown'!E$2:E$52)),""),"")</f>
        <v/>
      </c>
      <c r="G150" t="str">
        <f t="array" ref="G150">IF(Knowns!G150&lt;&gt;"",IF(MIN('Clean Unknown'!F$2:F$52) &lt; 9999,MIN(ABS(Knowns!G150-'Clean Unknown'!F$2:F$52)),""),"")</f>
        <v/>
      </c>
    </row>
    <row r="151" spans="1:7">
      <c r="A151">
        <f>Knowns!A151</f>
        <v>0</v>
      </c>
      <c r="B151" t="str">
        <f t="array" ref="B151">IF(Knowns!B151&lt;&gt;"",IF(MIN('Clean Unknown'!A$2:A$52) &lt; 9999,MIN(ABS(Knowns!B151-'Clean Unknown'!A$2:A$52)),""),"")</f>
        <v/>
      </c>
      <c r="C151" t="str">
        <f t="array" ref="C151">IF(Knowns!C151&lt;&gt;"",IF(MIN('Clean Unknown'!B$2:B$52) &lt; 9999,MIN(ABS(Knowns!C151-'Clean Unknown'!B$2:B$52)),""),"")</f>
        <v/>
      </c>
      <c r="D151" t="str">
        <f t="array" ref="D151">IF(Knowns!D151&lt;&gt;"",IF(MIN('Clean Unknown'!C$2:C$52) &lt; 9999,MIN(ABS(Knowns!D151-'Clean Unknown'!C$2:C$52)),""),"")</f>
        <v/>
      </c>
      <c r="E151" t="str">
        <f t="array" ref="E151">IF(Knowns!E151&lt;&gt;"",IF(MIN('Clean Unknown'!D$2:D$52) &lt; 9999,MIN(ABS(Knowns!E151-'Clean Unknown'!D$2:D$52)),""),"")</f>
        <v/>
      </c>
      <c r="F151" t="str">
        <f t="array" ref="F151">IF(Knowns!F151&lt;&gt;"",IF(MIN('Clean Unknown'!E$2:E$52) &lt; 9999,MIN(ABS(Knowns!F151-'Clean Unknown'!E$2:E$52)),""),"")</f>
        <v/>
      </c>
      <c r="G151" t="str">
        <f t="array" ref="G151">IF(Knowns!G151&lt;&gt;"",IF(MIN('Clean Unknown'!F$2:F$52) &lt; 9999,MIN(ABS(Knowns!G151-'Clean Unknown'!F$2:F$52)),""),"")</f>
        <v/>
      </c>
    </row>
    <row r="152" spans="1:7">
      <c r="A152">
        <f>Knowns!A152</f>
        <v>0</v>
      </c>
      <c r="B152" t="str">
        <f t="array" ref="B152">IF(Knowns!B152&lt;&gt;"",IF(MIN('Clean Unknown'!A$2:A$52) &lt; 9999,MIN(ABS(Knowns!B152-'Clean Unknown'!A$2:A$52)),""),"")</f>
        <v/>
      </c>
      <c r="C152" t="str">
        <f t="array" ref="C152">IF(Knowns!C152&lt;&gt;"",IF(MIN('Clean Unknown'!B$2:B$52) &lt; 9999,MIN(ABS(Knowns!C152-'Clean Unknown'!B$2:B$52)),""),"")</f>
        <v/>
      </c>
      <c r="D152" t="str">
        <f t="array" ref="D152">IF(Knowns!D152&lt;&gt;"",IF(MIN('Clean Unknown'!C$2:C$52) &lt; 9999,MIN(ABS(Knowns!D152-'Clean Unknown'!C$2:C$52)),""),"")</f>
        <v/>
      </c>
      <c r="E152" t="str">
        <f t="array" ref="E152">IF(Knowns!E152&lt;&gt;"",IF(MIN('Clean Unknown'!D$2:D$52) &lt; 9999,MIN(ABS(Knowns!E152-'Clean Unknown'!D$2:D$52)),""),"")</f>
        <v/>
      </c>
      <c r="F152" t="str">
        <f t="array" ref="F152">IF(Knowns!F152&lt;&gt;"",IF(MIN('Clean Unknown'!E$2:E$52) &lt; 9999,MIN(ABS(Knowns!F152-'Clean Unknown'!E$2:E$52)),""),"")</f>
        <v/>
      </c>
      <c r="G152" t="str">
        <f t="array" ref="G152">IF(Knowns!G152&lt;&gt;"",IF(MIN('Clean Unknown'!F$2:F$52) &lt; 9999,MIN(ABS(Knowns!G152-'Clean Unknown'!F$2:F$52)),""),"")</f>
        <v/>
      </c>
    </row>
    <row r="153" spans="1:7">
      <c r="A153">
        <f>Knowns!A153</f>
        <v>0</v>
      </c>
      <c r="B153" t="str">
        <f t="array" ref="B153">IF(Knowns!B153&lt;&gt;"",IF(MIN('Clean Unknown'!A$2:A$52) &lt; 9999,MIN(ABS(Knowns!B153-'Clean Unknown'!A$2:A$52)),""),"")</f>
        <v/>
      </c>
      <c r="C153" t="str">
        <f t="array" ref="C153">IF(Knowns!C153&lt;&gt;"",IF(MIN('Clean Unknown'!B$2:B$52) &lt; 9999,MIN(ABS(Knowns!C153-'Clean Unknown'!B$2:B$52)),""),"")</f>
        <v/>
      </c>
      <c r="D153" t="str">
        <f t="array" ref="D153">IF(Knowns!D153&lt;&gt;"",IF(MIN('Clean Unknown'!C$2:C$52) &lt; 9999,MIN(ABS(Knowns!D153-'Clean Unknown'!C$2:C$52)),""),"")</f>
        <v/>
      </c>
      <c r="E153" t="str">
        <f t="array" ref="E153">IF(Knowns!E153&lt;&gt;"",IF(MIN('Clean Unknown'!D$2:D$52) &lt; 9999,MIN(ABS(Knowns!E153-'Clean Unknown'!D$2:D$52)),""),"")</f>
        <v/>
      </c>
      <c r="F153" t="str">
        <f t="array" ref="F153">IF(Knowns!F153&lt;&gt;"",IF(MIN('Clean Unknown'!E$2:E$52) &lt; 9999,MIN(ABS(Knowns!F153-'Clean Unknown'!E$2:E$52)),""),"")</f>
        <v/>
      </c>
      <c r="G153" t="str">
        <f t="array" ref="G153">IF(Knowns!G153&lt;&gt;"",IF(MIN('Clean Unknown'!F$2:F$52) &lt; 9999,MIN(ABS(Knowns!G153-'Clean Unknown'!F$2:F$52)),""),"")</f>
        <v/>
      </c>
    </row>
    <row r="154" spans="1:7">
      <c r="A154">
        <f>Knowns!A154</f>
        <v>0</v>
      </c>
      <c r="B154" t="str">
        <f t="array" ref="B154">IF(Knowns!B154&lt;&gt;"",IF(MIN('Clean Unknown'!A$2:A$52) &lt; 9999,MIN(ABS(Knowns!B154-'Clean Unknown'!A$2:A$52)),""),"")</f>
        <v/>
      </c>
      <c r="C154" t="str">
        <f t="array" ref="C154">IF(Knowns!C154&lt;&gt;"",IF(MIN('Clean Unknown'!B$2:B$52) &lt; 9999,MIN(ABS(Knowns!C154-'Clean Unknown'!B$2:B$52)),""),"")</f>
        <v/>
      </c>
      <c r="D154" t="str">
        <f t="array" ref="D154">IF(Knowns!D154&lt;&gt;"",IF(MIN('Clean Unknown'!C$2:C$52) &lt; 9999,MIN(ABS(Knowns!D154-'Clean Unknown'!C$2:C$52)),""),"")</f>
        <v/>
      </c>
      <c r="E154" t="str">
        <f t="array" ref="E154">IF(Knowns!E154&lt;&gt;"",IF(MIN('Clean Unknown'!D$2:D$52) &lt; 9999,MIN(ABS(Knowns!E154-'Clean Unknown'!D$2:D$52)),""),"")</f>
        <v/>
      </c>
      <c r="F154" t="str">
        <f t="array" ref="F154">IF(Knowns!F154&lt;&gt;"",IF(MIN('Clean Unknown'!E$2:E$52) &lt; 9999,MIN(ABS(Knowns!F154-'Clean Unknown'!E$2:E$52)),""),"")</f>
        <v/>
      </c>
      <c r="G154" t="str">
        <f t="array" ref="G154">IF(Knowns!G154&lt;&gt;"",IF(MIN('Clean Unknown'!F$2:F$52) &lt; 9999,MIN(ABS(Knowns!G154-'Clean Unknown'!F$2:F$52)),""),"")</f>
        <v/>
      </c>
    </row>
    <row r="155" spans="1:7">
      <c r="A155">
        <f>Knowns!A155</f>
        <v>0</v>
      </c>
      <c r="B155" t="str">
        <f t="array" ref="B155">IF(Knowns!B155&lt;&gt;"",IF(MIN('Clean Unknown'!A$2:A$52) &lt; 9999,MIN(ABS(Knowns!B155-'Clean Unknown'!A$2:A$52)),""),"")</f>
        <v/>
      </c>
      <c r="C155" t="str">
        <f t="array" ref="C155">IF(Knowns!C155&lt;&gt;"",IF(MIN('Clean Unknown'!B$2:B$52) &lt; 9999,MIN(ABS(Knowns!C155-'Clean Unknown'!B$2:B$52)),""),"")</f>
        <v/>
      </c>
      <c r="D155" t="str">
        <f t="array" ref="D155">IF(Knowns!D155&lt;&gt;"",IF(MIN('Clean Unknown'!C$2:C$52) &lt; 9999,MIN(ABS(Knowns!D155-'Clean Unknown'!C$2:C$52)),""),"")</f>
        <v/>
      </c>
      <c r="E155" t="str">
        <f t="array" ref="E155">IF(Knowns!E155&lt;&gt;"",IF(MIN('Clean Unknown'!D$2:D$52) &lt; 9999,MIN(ABS(Knowns!E155-'Clean Unknown'!D$2:D$52)),""),"")</f>
        <v/>
      </c>
      <c r="F155" t="str">
        <f t="array" ref="F155">IF(Knowns!F155&lt;&gt;"",IF(MIN('Clean Unknown'!E$2:E$52) &lt; 9999,MIN(ABS(Knowns!F155-'Clean Unknown'!E$2:E$52)),""),"")</f>
        <v/>
      </c>
      <c r="G155" t="str">
        <f t="array" ref="G155">IF(Knowns!G155&lt;&gt;"",IF(MIN('Clean Unknown'!F$2:F$52) &lt; 9999,MIN(ABS(Knowns!G155-'Clean Unknown'!F$2:F$52)),""),"")</f>
        <v/>
      </c>
    </row>
    <row r="156" spans="1:7">
      <c r="A156">
        <f>Knowns!A156</f>
        <v>0</v>
      </c>
      <c r="B156" t="str">
        <f t="array" ref="B156">IF(Knowns!B156&lt;&gt;"",IF(MIN('Clean Unknown'!A$2:A$52) &lt; 9999,MIN(ABS(Knowns!B156-'Clean Unknown'!A$2:A$52)),""),"")</f>
        <v/>
      </c>
      <c r="C156" t="str">
        <f t="array" ref="C156">IF(Knowns!C156&lt;&gt;"",IF(MIN('Clean Unknown'!B$2:B$52) &lt; 9999,MIN(ABS(Knowns!C156-'Clean Unknown'!B$2:B$52)),""),"")</f>
        <v/>
      </c>
      <c r="D156" t="str">
        <f t="array" ref="D156">IF(Knowns!D156&lt;&gt;"",IF(MIN('Clean Unknown'!C$2:C$52) &lt; 9999,MIN(ABS(Knowns!D156-'Clean Unknown'!C$2:C$52)),""),"")</f>
        <v/>
      </c>
      <c r="E156" t="str">
        <f t="array" ref="E156">IF(Knowns!E156&lt;&gt;"",IF(MIN('Clean Unknown'!D$2:D$52) &lt; 9999,MIN(ABS(Knowns!E156-'Clean Unknown'!D$2:D$52)),""),"")</f>
        <v/>
      </c>
      <c r="F156" t="str">
        <f t="array" ref="F156">IF(Knowns!F156&lt;&gt;"",IF(MIN('Clean Unknown'!E$2:E$52) &lt; 9999,MIN(ABS(Knowns!F156-'Clean Unknown'!E$2:E$52)),""),"")</f>
        <v/>
      </c>
      <c r="G156" t="str">
        <f t="array" ref="G156">IF(Knowns!G156&lt;&gt;"",IF(MIN('Clean Unknown'!F$2:F$52) &lt; 9999,MIN(ABS(Knowns!G156-'Clean Unknown'!F$2:F$52)),""),"")</f>
        <v/>
      </c>
    </row>
    <row r="157" spans="1:7">
      <c r="A157">
        <f>Knowns!A157</f>
        <v>0</v>
      </c>
      <c r="B157" t="str">
        <f t="array" ref="B157">IF(Knowns!B157&lt;&gt;"",IF(MIN('Clean Unknown'!A$2:A$52) &lt; 9999,MIN(ABS(Knowns!B157-'Clean Unknown'!A$2:A$52)),""),"")</f>
        <v/>
      </c>
      <c r="C157" t="str">
        <f t="array" ref="C157">IF(Knowns!C157&lt;&gt;"",IF(MIN('Clean Unknown'!B$2:B$52) &lt; 9999,MIN(ABS(Knowns!C157-'Clean Unknown'!B$2:B$52)),""),"")</f>
        <v/>
      </c>
      <c r="D157" t="str">
        <f t="array" ref="D157">IF(Knowns!D157&lt;&gt;"",IF(MIN('Clean Unknown'!C$2:C$52) &lt; 9999,MIN(ABS(Knowns!D157-'Clean Unknown'!C$2:C$52)),""),"")</f>
        <v/>
      </c>
      <c r="E157" t="str">
        <f t="array" ref="E157">IF(Knowns!E157&lt;&gt;"",IF(MIN('Clean Unknown'!D$2:D$52) &lt; 9999,MIN(ABS(Knowns!E157-'Clean Unknown'!D$2:D$52)),""),"")</f>
        <v/>
      </c>
      <c r="F157" t="str">
        <f t="array" ref="F157">IF(Knowns!F157&lt;&gt;"",IF(MIN('Clean Unknown'!E$2:E$52) &lt; 9999,MIN(ABS(Knowns!F157-'Clean Unknown'!E$2:E$52)),""),"")</f>
        <v/>
      </c>
      <c r="G157" t="str">
        <f t="array" ref="G157">IF(Knowns!G157&lt;&gt;"",IF(MIN('Clean Unknown'!F$2:F$52) &lt; 9999,MIN(ABS(Knowns!G157-'Clean Unknown'!F$2:F$52)),""),"")</f>
        <v/>
      </c>
    </row>
    <row r="158" spans="1:7">
      <c r="A158">
        <f>Knowns!A158</f>
        <v>0</v>
      </c>
      <c r="B158" t="str">
        <f t="array" ref="B158">IF(Knowns!B158&lt;&gt;"",IF(MIN('Clean Unknown'!A$2:A$52) &lt; 9999,MIN(ABS(Knowns!B158-'Clean Unknown'!A$2:A$52)),""),"")</f>
        <v/>
      </c>
      <c r="C158" t="str">
        <f t="array" ref="C158">IF(Knowns!C158&lt;&gt;"",IF(MIN('Clean Unknown'!B$2:B$52) &lt; 9999,MIN(ABS(Knowns!C158-'Clean Unknown'!B$2:B$52)),""),"")</f>
        <v/>
      </c>
      <c r="D158" t="str">
        <f t="array" ref="D158">IF(Knowns!D158&lt;&gt;"",IF(MIN('Clean Unknown'!C$2:C$52) &lt; 9999,MIN(ABS(Knowns!D158-'Clean Unknown'!C$2:C$52)),""),"")</f>
        <v/>
      </c>
      <c r="E158" t="str">
        <f t="array" ref="E158">IF(Knowns!E158&lt;&gt;"",IF(MIN('Clean Unknown'!D$2:D$52) &lt; 9999,MIN(ABS(Knowns!E158-'Clean Unknown'!D$2:D$52)),""),"")</f>
        <v/>
      </c>
      <c r="F158" t="str">
        <f t="array" ref="F158">IF(Knowns!F158&lt;&gt;"",IF(MIN('Clean Unknown'!E$2:E$52) &lt; 9999,MIN(ABS(Knowns!F158-'Clean Unknown'!E$2:E$52)),""),"")</f>
        <v/>
      </c>
      <c r="G158" t="str">
        <f t="array" ref="G158">IF(Knowns!G158&lt;&gt;"",IF(MIN('Clean Unknown'!F$2:F$52) &lt; 9999,MIN(ABS(Knowns!G158-'Clean Unknown'!F$2:F$52)),""),"")</f>
        <v/>
      </c>
    </row>
    <row r="159" spans="1:7">
      <c r="A159">
        <f>Knowns!A159</f>
        <v>0</v>
      </c>
      <c r="B159" t="str">
        <f t="array" ref="B159">IF(Knowns!B159&lt;&gt;"",IF(MIN('Clean Unknown'!A$2:A$52) &lt; 9999,MIN(ABS(Knowns!B159-'Clean Unknown'!A$2:A$52)),""),"")</f>
        <v/>
      </c>
      <c r="C159" t="str">
        <f t="array" ref="C159">IF(Knowns!C159&lt;&gt;"",IF(MIN('Clean Unknown'!B$2:B$52) &lt; 9999,MIN(ABS(Knowns!C159-'Clean Unknown'!B$2:B$52)),""),"")</f>
        <v/>
      </c>
      <c r="D159" t="str">
        <f t="array" ref="D159">IF(Knowns!D159&lt;&gt;"",IF(MIN('Clean Unknown'!C$2:C$52) &lt; 9999,MIN(ABS(Knowns!D159-'Clean Unknown'!C$2:C$52)),""),"")</f>
        <v/>
      </c>
      <c r="E159" t="str">
        <f t="array" ref="E159">IF(Knowns!E159&lt;&gt;"",IF(MIN('Clean Unknown'!D$2:D$52) &lt; 9999,MIN(ABS(Knowns!E159-'Clean Unknown'!D$2:D$52)),""),"")</f>
        <v/>
      </c>
      <c r="F159" t="str">
        <f t="array" ref="F159">IF(Knowns!F159&lt;&gt;"",IF(MIN('Clean Unknown'!E$2:E$52) &lt; 9999,MIN(ABS(Knowns!F159-'Clean Unknown'!E$2:E$52)),""),"")</f>
        <v/>
      </c>
      <c r="G159" t="str">
        <f t="array" ref="G159">IF(Knowns!G159&lt;&gt;"",IF(MIN('Clean Unknown'!F$2:F$52) &lt; 9999,MIN(ABS(Knowns!G159-'Clean Unknown'!F$2:F$52)),""),"")</f>
        <v/>
      </c>
    </row>
    <row r="160" spans="1:7">
      <c r="A160">
        <f>Knowns!A160</f>
        <v>0</v>
      </c>
      <c r="B160" t="str">
        <f t="array" ref="B160">IF(Knowns!B160&lt;&gt;"",IF(MIN('Clean Unknown'!A$2:A$52) &lt; 9999,MIN(ABS(Knowns!B160-'Clean Unknown'!A$2:A$52)),""),"")</f>
        <v/>
      </c>
      <c r="C160" t="str">
        <f t="array" ref="C160">IF(Knowns!C160&lt;&gt;"",IF(MIN('Clean Unknown'!B$2:B$52) &lt; 9999,MIN(ABS(Knowns!C160-'Clean Unknown'!B$2:B$52)),""),"")</f>
        <v/>
      </c>
      <c r="D160" t="str">
        <f t="array" ref="D160">IF(Knowns!D160&lt;&gt;"",IF(MIN('Clean Unknown'!C$2:C$52) &lt; 9999,MIN(ABS(Knowns!D160-'Clean Unknown'!C$2:C$52)),""),"")</f>
        <v/>
      </c>
      <c r="E160" t="str">
        <f t="array" ref="E160">IF(Knowns!E160&lt;&gt;"",IF(MIN('Clean Unknown'!D$2:D$52) &lt; 9999,MIN(ABS(Knowns!E160-'Clean Unknown'!D$2:D$52)),""),"")</f>
        <v/>
      </c>
      <c r="F160" t="str">
        <f t="array" ref="F160">IF(Knowns!F160&lt;&gt;"",IF(MIN('Clean Unknown'!E$2:E$52) &lt; 9999,MIN(ABS(Knowns!F160-'Clean Unknown'!E$2:E$52)),""),"")</f>
        <v/>
      </c>
      <c r="G160" t="str">
        <f t="array" ref="G160">IF(Knowns!G160&lt;&gt;"",IF(MIN('Clean Unknown'!F$2:F$52) &lt; 9999,MIN(ABS(Knowns!G160-'Clean Unknown'!F$2:F$52)),""),"")</f>
        <v/>
      </c>
    </row>
    <row r="161" spans="1:7">
      <c r="A161">
        <f>Knowns!A161</f>
        <v>0</v>
      </c>
      <c r="B161" t="str">
        <f t="array" ref="B161">IF(Knowns!B161&lt;&gt;"",IF(MIN('Clean Unknown'!A$2:A$52) &lt; 9999,MIN(ABS(Knowns!B161-'Clean Unknown'!A$2:A$52)),""),"")</f>
        <v/>
      </c>
      <c r="C161" t="str">
        <f t="array" ref="C161">IF(Knowns!C161&lt;&gt;"",IF(MIN('Clean Unknown'!B$2:B$52) &lt; 9999,MIN(ABS(Knowns!C161-'Clean Unknown'!B$2:B$52)),""),"")</f>
        <v/>
      </c>
      <c r="D161" t="str">
        <f t="array" ref="D161">IF(Knowns!D161&lt;&gt;"",IF(MIN('Clean Unknown'!C$2:C$52) &lt; 9999,MIN(ABS(Knowns!D161-'Clean Unknown'!C$2:C$52)),""),"")</f>
        <v/>
      </c>
      <c r="E161" t="str">
        <f t="array" ref="E161">IF(Knowns!E161&lt;&gt;"",IF(MIN('Clean Unknown'!D$2:D$52) &lt; 9999,MIN(ABS(Knowns!E161-'Clean Unknown'!D$2:D$52)),""),"")</f>
        <v/>
      </c>
      <c r="F161" t="str">
        <f t="array" ref="F161">IF(Knowns!F161&lt;&gt;"",IF(MIN('Clean Unknown'!E$2:E$52) &lt; 9999,MIN(ABS(Knowns!F161-'Clean Unknown'!E$2:E$52)),""),"")</f>
        <v/>
      </c>
      <c r="G161" t="str">
        <f t="array" ref="G161">IF(Knowns!G161&lt;&gt;"",IF(MIN('Clean Unknown'!F$2:F$52) &lt; 9999,MIN(ABS(Knowns!G161-'Clean Unknown'!F$2:F$52)),""),"")</f>
        <v/>
      </c>
    </row>
    <row r="162" spans="1:7">
      <c r="A162">
        <f>Knowns!A162</f>
        <v>0</v>
      </c>
      <c r="B162" t="str">
        <f t="array" ref="B162">IF(Knowns!B162&lt;&gt;"",IF(MIN('Clean Unknown'!A$2:A$52) &lt; 9999,MIN(ABS(Knowns!B162-'Clean Unknown'!A$2:A$52)),""),"")</f>
        <v/>
      </c>
      <c r="C162" t="str">
        <f t="array" ref="C162">IF(Knowns!C162&lt;&gt;"",IF(MIN('Clean Unknown'!B$2:B$52) &lt; 9999,MIN(ABS(Knowns!C162-'Clean Unknown'!B$2:B$52)),""),"")</f>
        <v/>
      </c>
      <c r="D162" t="str">
        <f t="array" ref="D162">IF(Knowns!D162&lt;&gt;"",IF(MIN('Clean Unknown'!C$2:C$52) &lt; 9999,MIN(ABS(Knowns!D162-'Clean Unknown'!C$2:C$52)),""),"")</f>
        <v/>
      </c>
      <c r="E162" t="str">
        <f t="array" ref="E162">IF(Knowns!E162&lt;&gt;"",IF(MIN('Clean Unknown'!D$2:D$52) &lt; 9999,MIN(ABS(Knowns!E162-'Clean Unknown'!D$2:D$52)),""),"")</f>
        <v/>
      </c>
      <c r="F162" t="str">
        <f t="array" ref="F162">IF(Knowns!F162&lt;&gt;"",IF(MIN('Clean Unknown'!E$2:E$52) &lt; 9999,MIN(ABS(Knowns!F162-'Clean Unknown'!E$2:E$52)),""),"")</f>
        <v/>
      </c>
      <c r="G162" t="str">
        <f t="array" ref="G162">IF(Knowns!G162&lt;&gt;"",IF(MIN('Clean Unknown'!F$2:F$52) &lt; 9999,MIN(ABS(Knowns!G162-'Clean Unknown'!F$2:F$52)),""),"")</f>
        <v/>
      </c>
    </row>
    <row r="163" spans="1:7">
      <c r="A163">
        <f>Knowns!A163</f>
        <v>0</v>
      </c>
      <c r="B163" t="str">
        <f t="array" ref="B163">IF(Knowns!B163&lt;&gt;"",IF(MIN('Clean Unknown'!A$2:A$52) &lt; 9999,MIN(ABS(Knowns!B163-'Clean Unknown'!A$2:A$52)),""),"")</f>
        <v/>
      </c>
      <c r="C163" t="str">
        <f t="array" ref="C163">IF(Knowns!C163&lt;&gt;"",IF(MIN('Clean Unknown'!B$2:B$52) &lt; 9999,MIN(ABS(Knowns!C163-'Clean Unknown'!B$2:B$52)),""),"")</f>
        <v/>
      </c>
      <c r="D163" t="str">
        <f t="array" ref="D163">IF(Knowns!D163&lt;&gt;"",IF(MIN('Clean Unknown'!C$2:C$52) &lt; 9999,MIN(ABS(Knowns!D163-'Clean Unknown'!C$2:C$52)),""),"")</f>
        <v/>
      </c>
      <c r="E163" t="str">
        <f t="array" ref="E163">IF(Knowns!E163&lt;&gt;"",IF(MIN('Clean Unknown'!D$2:D$52) &lt; 9999,MIN(ABS(Knowns!E163-'Clean Unknown'!D$2:D$52)),""),"")</f>
        <v/>
      </c>
      <c r="F163" t="str">
        <f t="array" ref="F163">IF(Knowns!F163&lt;&gt;"",IF(MIN('Clean Unknown'!E$2:E$52) &lt; 9999,MIN(ABS(Knowns!F163-'Clean Unknown'!E$2:E$52)),""),"")</f>
        <v/>
      </c>
      <c r="G163" t="str">
        <f t="array" ref="G163">IF(Knowns!G163&lt;&gt;"",IF(MIN('Clean Unknown'!F$2:F$52) &lt; 9999,MIN(ABS(Knowns!G163-'Clean Unknown'!F$2:F$52)),""),"")</f>
        <v/>
      </c>
    </row>
    <row r="164" spans="1:7">
      <c r="A164">
        <f>Knowns!A164</f>
        <v>0</v>
      </c>
      <c r="B164" t="str">
        <f t="array" ref="B164">IF(Knowns!B164&lt;&gt;"",IF(MIN('Clean Unknown'!A$2:A$52) &lt; 9999,MIN(ABS(Knowns!B164-'Clean Unknown'!A$2:A$52)),""),"")</f>
        <v/>
      </c>
      <c r="C164" t="str">
        <f t="array" ref="C164">IF(Knowns!C164&lt;&gt;"",IF(MIN('Clean Unknown'!B$2:B$52) &lt; 9999,MIN(ABS(Knowns!C164-'Clean Unknown'!B$2:B$52)),""),"")</f>
        <v/>
      </c>
      <c r="D164" t="str">
        <f t="array" ref="D164">IF(Knowns!D164&lt;&gt;"",IF(MIN('Clean Unknown'!C$2:C$52) &lt; 9999,MIN(ABS(Knowns!D164-'Clean Unknown'!C$2:C$52)),""),"")</f>
        <v/>
      </c>
      <c r="E164" t="str">
        <f t="array" ref="E164">IF(Knowns!E164&lt;&gt;"",IF(MIN('Clean Unknown'!D$2:D$52) &lt; 9999,MIN(ABS(Knowns!E164-'Clean Unknown'!D$2:D$52)),""),"")</f>
        <v/>
      </c>
      <c r="F164" t="str">
        <f t="array" ref="F164">IF(Knowns!F164&lt;&gt;"",IF(MIN('Clean Unknown'!E$2:E$52) &lt; 9999,MIN(ABS(Knowns!F164-'Clean Unknown'!E$2:E$52)),""),"")</f>
        <v/>
      </c>
      <c r="G164" t="str">
        <f t="array" ref="G164">IF(Knowns!G164&lt;&gt;"",IF(MIN('Clean Unknown'!F$2:F$52) &lt; 9999,MIN(ABS(Knowns!G164-'Clean Unknown'!F$2:F$52)),""),"")</f>
        <v/>
      </c>
    </row>
    <row r="165" spans="1:7">
      <c r="A165">
        <f>Knowns!A165</f>
        <v>0</v>
      </c>
      <c r="B165" t="str">
        <f t="array" ref="B165">IF(Knowns!B165&lt;&gt;"",IF(MIN('Clean Unknown'!A$2:A$52) &lt; 9999,MIN(ABS(Knowns!B165-'Clean Unknown'!A$2:A$52)),""),"")</f>
        <v/>
      </c>
      <c r="C165" t="str">
        <f t="array" ref="C165">IF(Knowns!C165&lt;&gt;"",IF(MIN('Clean Unknown'!B$2:B$52) &lt; 9999,MIN(ABS(Knowns!C165-'Clean Unknown'!B$2:B$52)),""),"")</f>
        <v/>
      </c>
      <c r="D165" t="str">
        <f t="array" ref="D165">IF(Knowns!D165&lt;&gt;"",IF(MIN('Clean Unknown'!C$2:C$52) &lt; 9999,MIN(ABS(Knowns!D165-'Clean Unknown'!C$2:C$52)),""),"")</f>
        <v/>
      </c>
      <c r="E165" t="str">
        <f t="array" ref="E165">IF(Knowns!E165&lt;&gt;"",IF(MIN('Clean Unknown'!D$2:D$52) &lt; 9999,MIN(ABS(Knowns!E165-'Clean Unknown'!D$2:D$52)),""),"")</f>
        <v/>
      </c>
      <c r="F165" t="str">
        <f t="array" ref="F165">IF(Knowns!F165&lt;&gt;"",IF(MIN('Clean Unknown'!E$2:E$52) &lt; 9999,MIN(ABS(Knowns!F165-'Clean Unknown'!E$2:E$52)),""),"")</f>
        <v/>
      </c>
      <c r="G165" t="str">
        <f t="array" ref="G165">IF(Knowns!G165&lt;&gt;"",IF(MIN('Clean Unknown'!F$2:F$52) &lt; 9999,MIN(ABS(Knowns!G165-'Clean Unknown'!F$2:F$52)),""),"")</f>
        <v/>
      </c>
    </row>
    <row r="166" spans="1:7">
      <c r="A166">
        <f>Knowns!A166</f>
        <v>0</v>
      </c>
      <c r="B166" t="str">
        <f t="array" ref="B166">IF(Knowns!B166&lt;&gt;"",IF(MIN('Clean Unknown'!A$2:A$52) &lt; 9999,MIN(ABS(Knowns!B166-'Clean Unknown'!A$2:A$52)),""),"")</f>
        <v/>
      </c>
      <c r="C166" t="str">
        <f t="array" ref="C166">IF(Knowns!C166&lt;&gt;"",IF(MIN('Clean Unknown'!B$2:B$52) &lt; 9999,MIN(ABS(Knowns!C166-'Clean Unknown'!B$2:B$52)),""),"")</f>
        <v/>
      </c>
      <c r="D166" t="str">
        <f t="array" ref="D166">IF(Knowns!D166&lt;&gt;"",IF(MIN('Clean Unknown'!C$2:C$52) &lt; 9999,MIN(ABS(Knowns!D166-'Clean Unknown'!C$2:C$52)),""),"")</f>
        <v/>
      </c>
      <c r="E166" t="str">
        <f t="array" ref="E166">IF(Knowns!E166&lt;&gt;"",IF(MIN('Clean Unknown'!D$2:D$52) &lt; 9999,MIN(ABS(Knowns!E166-'Clean Unknown'!D$2:D$52)),""),"")</f>
        <v/>
      </c>
      <c r="F166" t="str">
        <f t="array" ref="F166">IF(Knowns!F166&lt;&gt;"",IF(MIN('Clean Unknown'!E$2:E$52) &lt; 9999,MIN(ABS(Knowns!F166-'Clean Unknown'!E$2:E$52)),""),"")</f>
        <v/>
      </c>
      <c r="G166" t="str">
        <f t="array" ref="G166">IF(Knowns!G166&lt;&gt;"",IF(MIN('Clean Unknown'!F$2:F$52) &lt; 9999,MIN(ABS(Knowns!G166-'Clean Unknown'!F$2:F$52)),""),"")</f>
        <v/>
      </c>
    </row>
    <row r="167" spans="1:7">
      <c r="A167">
        <f>Knowns!A167</f>
        <v>0</v>
      </c>
      <c r="B167" t="str">
        <f t="array" ref="B167">IF(Knowns!B167&lt;&gt;"",IF(MIN('Clean Unknown'!A$2:A$52) &lt; 9999,MIN(ABS(Knowns!B167-'Clean Unknown'!A$2:A$52)),""),"")</f>
        <v/>
      </c>
      <c r="C167" t="str">
        <f t="array" ref="C167">IF(Knowns!C167&lt;&gt;"",IF(MIN('Clean Unknown'!B$2:B$52) &lt; 9999,MIN(ABS(Knowns!C167-'Clean Unknown'!B$2:B$52)),""),"")</f>
        <v/>
      </c>
      <c r="D167" t="str">
        <f t="array" ref="D167">IF(Knowns!D167&lt;&gt;"",IF(MIN('Clean Unknown'!C$2:C$52) &lt; 9999,MIN(ABS(Knowns!D167-'Clean Unknown'!C$2:C$52)),""),"")</f>
        <v/>
      </c>
      <c r="E167" t="str">
        <f t="array" ref="E167">IF(Knowns!E167&lt;&gt;"",IF(MIN('Clean Unknown'!D$2:D$52) &lt; 9999,MIN(ABS(Knowns!E167-'Clean Unknown'!D$2:D$52)),""),"")</f>
        <v/>
      </c>
      <c r="F167" t="str">
        <f t="array" ref="F167">IF(Knowns!F167&lt;&gt;"",IF(MIN('Clean Unknown'!E$2:E$52) &lt; 9999,MIN(ABS(Knowns!F167-'Clean Unknown'!E$2:E$52)),""),"")</f>
        <v/>
      </c>
      <c r="G167" t="str">
        <f t="array" ref="G167">IF(Knowns!G167&lt;&gt;"",IF(MIN('Clean Unknown'!F$2:F$52) &lt; 9999,MIN(ABS(Knowns!G167-'Clean Unknown'!F$2:F$52)),""),"")</f>
        <v/>
      </c>
    </row>
    <row r="168" spans="1:7">
      <c r="A168">
        <f>Knowns!A168</f>
        <v>0</v>
      </c>
      <c r="B168" t="str">
        <f t="array" ref="B168">IF(Knowns!B168&lt;&gt;"",IF(MIN('Clean Unknown'!A$2:A$52) &lt; 9999,MIN(ABS(Knowns!B168-'Clean Unknown'!A$2:A$52)),""),"")</f>
        <v/>
      </c>
      <c r="C168" t="str">
        <f t="array" ref="C168">IF(Knowns!C168&lt;&gt;"",IF(MIN('Clean Unknown'!B$2:B$52) &lt; 9999,MIN(ABS(Knowns!C168-'Clean Unknown'!B$2:B$52)),""),"")</f>
        <v/>
      </c>
      <c r="D168" t="str">
        <f t="array" ref="D168">IF(Knowns!D168&lt;&gt;"",IF(MIN('Clean Unknown'!C$2:C$52) &lt; 9999,MIN(ABS(Knowns!D168-'Clean Unknown'!C$2:C$52)),""),"")</f>
        <v/>
      </c>
      <c r="E168" t="str">
        <f t="array" ref="E168">IF(Knowns!E168&lt;&gt;"",IF(MIN('Clean Unknown'!D$2:D$52) &lt; 9999,MIN(ABS(Knowns!E168-'Clean Unknown'!D$2:D$52)),""),"")</f>
        <v/>
      </c>
      <c r="F168" t="str">
        <f t="array" ref="F168">IF(Knowns!F168&lt;&gt;"",IF(MIN('Clean Unknown'!E$2:E$52) &lt; 9999,MIN(ABS(Knowns!F168-'Clean Unknown'!E$2:E$52)),""),"")</f>
        <v/>
      </c>
      <c r="G168" t="str">
        <f t="array" ref="G168">IF(Knowns!G168&lt;&gt;"",IF(MIN('Clean Unknown'!F$2:F$52) &lt; 9999,MIN(ABS(Knowns!G168-'Clean Unknown'!F$2:F$52)),""),"")</f>
        <v/>
      </c>
    </row>
    <row r="169" spans="1:7">
      <c r="A169">
        <f>Knowns!A169</f>
        <v>0</v>
      </c>
      <c r="B169" t="str">
        <f t="array" ref="B169">IF(Knowns!B169&lt;&gt;"",IF(MIN('Clean Unknown'!A$2:A$52) &lt; 9999,MIN(ABS(Knowns!B169-'Clean Unknown'!A$2:A$52)),""),"")</f>
        <v/>
      </c>
      <c r="C169" t="str">
        <f t="array" ref="C169">IF(Knowns!C169&lt;&gt;"",IF(MIN('Clean Unknown'!B$2:B$52) &lt; 9999,MIN(ABS(Knowns!C169-'Clean Unknown'!B$2:B$52)),""),"")</f>
        <v/>
      </c>
      <c r="D169" t="str">
        <f t="array" ref="D169">IF(Knowns!D169&lt;&gt;"",IF(MIN('Clean Unknown'!C$2:C$52) &lt; 9999,MIN(ABS(Knowns!D169-'Clean Unknown'!C$2:C$52)),""),"")</f>
        <v/>
      </c>
      <c r="E169" t="str">
        <f t="array" ref="E169">IF(Knowns!E169&lt;&gt;"",IF(MIN('Clean Unknown'!D$2:D$52) &lt; 9999,MIN(ABS(Knowns!E169-'Clean Unknown'!D$2:D$52)),""),"")</f>
        <v/>
      </c>
      <c r="F169" t="str">
        <f t="array" ref="F169">IF(Knowns!F169&lt;&gt;"",IF(MIN('Clean Unknown'!E$2:E$52) &lt; 9999,MIN(ABS(Knowns!F169-'Clean Unknown'!E$2:E$52)),""),"")</f>
        <v/>
      </c>
      <c r="G169" t="str">
        <f t="array" ref="G169">IF(Knowns!G169&lt;&gt;"",IF(MIN('Clean Unknown'!F$2:F$52) &lt; 9999,MIN(ABS(Knowns!G169-'Clean Unknown'!F$2:F$52)),""),"")</f>
        <v/>
      </c>
    </row>
    <row r="170" spans="1:7">
      <c r="A170">
        <f>Knowns!A170</f>
        <v>0</v>
      </c>
      <c r="B170" t="str">
        <f t="array" ref="B170">IF(Knowns!B170&lt;&gt;"",IF(MIN('Clean Unknown'!A$2:A$52) &lt; 9999,MIN(ABS(Knowns!B170-'Clean Unknown'!A$2:A$52)),""),"")</f>
        <v/>
      </c>
      <c r="C170" t="str">
        <f t="array" ref="C170">IF(Knowns!C170&lt;&gt;"",IF(MIN('Clean Unknown'!B$2:B$52) &lt; 9999,MIN(ABS(Knowns!C170-'Clean Unknown'!B$2:B$52)),""),"")</f>
        <v/>
      </c>
      <c r="D170" t="str">
        <f t="array" ref="D170">IF(Knowns!D170&lt;&gt;"",IF(MIN('Clean Unknown'!C$2:C$52) &lt; 9999,MIN(ABS(Knowns!D170-'Clean Unknown'!C$2:C$52)),""),"")</f>
        <v/>
      </c>
      <c r="E170" t="str">
        <f t="array" ref="E170">IF(Knowns!E170&lt;&gt;"",IF(MIN('Clean Unknown'!D$2:D$52) &lt; 9999,MIN(ABS(Knowns!E170-'Clean Unknown'!D$2:D$52)),""),"")</f>
        <v/>
      </c>
      <c r="F170" t="str">
        <f t="array" ref="F170">IF(Knowns!F170&lt;&gt;"",IF(MIN('Clean Unknown'!E$2:E$52) &lt; 9999,MIN(ABS(Knowns!F170-'Clean Unknown'!E$2:E$52)),""),"")</f>
        <v/>
      </c>
      <c r="G170" t="str">
        <f t="array" ref="G170">IF(Knowns!G170&lt;&gt;"",IF(MIN('Clean Unknown'!F$2:F$52) &lt; 9999,MIN(ABS(Knowns!G170-'Clean Unknown'!F$2:F$52)),""),"")</f>
        <v/>
      </c>
    </row>
    <row r="171" spans="1:7">
      <c r="A171">
        <f>Knowns!A171</f>
        <v>0</v>
      </c>
      <c r="B171" t="str">
        <f t="array" ref="B171">IF(Knowns!B171&lt;&gt;"",IF(MIN('Clean Unknown'!A$2:A$52) &lt; 9999,MIN(ABS(Knowns!B171-'Clean Unknown'!A$2:A$52)),""),"")</f>
        <v/>
      </c>
      <c r="C171" t="str">
        <f t="array" ref="C171">IF(Knowns!C171&lt;&gt;"",IF(MIN('Clean Unknown'!B$2:B$52) &lt; 9999,MIN(ABS(Knowns!C171-'Clean Unknown'!B$2:B$52)),""),"")</f>
        <v/>
      </c>
      <c r="D171" t="str">
        <f t="array" ref="D171">IF(Knowns!D171&lt;&gt;"",IF(MIN('Clean Unknown'!C$2:C$52) &lt; 9999,MIN(ABS(Knowns!D171-'Clean Unknown'!C$2:C$52)),""),"")</f>
        <v/>
      </c>
      <c r="E171" t="str">
        <f t="array" ref="E171">IF(Knowns!E171&lt;&gt;"",IF(MIN('Clean Unknown'!D$2:D$52) &lt; 9999,MIN(ABS(Knowns!E171-'Clean Unknown'!D$2:D$52)),""),"")</f>
        <v/>
      </c>
      <c r="F171" t="str">
        <f t="array" ref="F171">IF(Knowns!F171&lt;&gt;"",IF(MIN('Clean Unknown'!E$2:E$52) &lt; 9999,MIN(ABS(Knowns!F171-'Clean Unknown'!E$2:E$52)),""),"")</f>
        <v/>
      </c>
      <c r="G171" t="str">
        <f t="array" ref="G171">IF(Knowns!G171&lt;&gt;"",IF(MIN('Clean Unknown'!F$2:F$52) &lt; 9999,MIN(ABS(Knowns!G171-'Clean Unknown'!F$2:F$52)),""),"")</f>
        <v/>
      </c>
    </row>
    <row r="172" spans="1:7">
      <c r="A172">
        <f>Knowns!A172</f>
        <v>0</v>
      </c>
      <c r="B172" t="str">
        <f t="array" ref="B172">IF(Knowns!B172&lt;&gt;"",IF(MIN('Clean Unknown'!A$2:A$52) &lt; 9999,MIN(ABS(Knowns!B172-'Clean Unknown'!A$2:A$52)),""),"")</f>
        <v/>
      </c>
      <c r="C172" t="str">
        <f t="array" ref="C172">IF(Knowns!C172&lt;&gt;"",IF(MIN('Clean Unknown'!B$2:B$52) &lt; 9999,MIN(ABS(Knowns!C172-'Clean Unknown'!B$2:B$52)),""),"")</f>
        <v/>
      </c>
      <c r="D172" t="str">
        <f t="array" ref="D172">IF(Knowns!D172&lt;&gt;"",IF(MIN('Clean Unknown'!C$2:C$52) &lt; 9999,MIN(ABS(Knowns!D172-'Clean Unknown'!C$2:C$52)),""),"")</f>
        <v/>
      </c>
      <c r="E172" t="str">
        <f t="array" ref="E172">IF(Knowns!E172&lt;&gt;"",IF(MIN('Clean Unknown'!D$2:D$52) &lt; 9999,MIN(ABS(Knowns!E172-'Clean Unknown'!D$2:D$52)),""),"")</f>
        <v/>
      </c>
      <c r="F172" t="str">
        <f t="array" ref="F172">IF(Knowns!F172&lt;&gt;"",IF(MIN('Clean Unknown'!E$2:E$52) &lt; 9999,MIN(ABS(Knowns!F172-'Clean Unknown'!E$2:E$52)),""),"")</f>
        <v/>
      </c>
      <c r="G172" t="str">
        <f t="array" ref="G172">IF(Knowns!G172&lt;&gt;"",IF(MIN('Clean Unknown'!F$2:F$52) &lt; 9999,MIN(ABS(Knowns!G172-'Clean Unknown'!F$2:F$52)),""),"")</f>
        <v/>
      </c>
    </row>
    <row r="173" spans="1:7">
      <c r="A173">
        <f>Knowns!A173</f>
        <v>0</v>
      </c>
      <c r="B173" t="str">
        <f t="array" ref="B173">IF(Knowns!B173&lt;&gt;"",IF(MIN('Clean Unknown'!A$2:A$52) &lt; 9999,MIN(ABS(Knowns!B173-'Clean Unknown'!A$2:A$52)),""),"")</f>
        <v/>
      </c>
      <c r="C173" t="str">
        <f t="array" ref="C173">IF(Knowns!C173&lt;&gt;"",IF(MIN('Clean Unknown'!B$2:B$52) &lt; 9999,MIN(ABS(Knowns!C173-'Clean Unknown'!B$2:B$52)),""),"")</f>
        <v/>
      </c>
      <c r="D173" t="str">
        <f t="array" ref="D173">IF(Knowns!D173&lt;&gt;"",IF(MIN('Clean Unknown'!C$2:C$52) &lt; 9999,MIN(ABS(Knowns!D173-'Clean Unknown'!C$2:C$52)),""),"")</f>
        <v/>
      </c>
      <c r="E173" t="str">
        <f t="array" ref="E173">IF(Knowns!E173&lt;&gt;"",IF(MIN('Clean Unknown'!D$2:D$52) &lt; 9999,MIN(ABS(Knowns!E173-'Clean Unknown'!D$2:D$52)),""),"")</f>
        <v/>
      </c>
      <c r="F173" t="str">
        <f t="array" ref="F173">IF(Knowns!F173&lt;&gt;"",IF(MIN('Clean Unknown'!E$2:E$52) &lt; 9999,MIN(ABS(Knowns!F173-'Clean Unknown'!E$2:E$52)),""),"")</f>
        <v/>
      </c>
      <c r="G173" t="str">
        <f t="array" ref="G173">IF(Knowns!G173&lt;&gt;"",IF(MIN('Clean Unknown'!F$2:F$52) &lt; 9999,MIN(ABS(Knowns!G173-'Clean Unknown'!F$2:F$52)),""),"")</f>
        <v/>
      </c>
    </row>
    <row r="174" spans="1:7">
      <c r="A174">
        <f>Knowns!A174</f>
        <v>0</v>
      </c>
      <c r="B174" t="str">
        <f t="array" ref="B174">IF(Knowns!B174&lt;&gt;"",IF(MIN('Clean Unknown'!A$2:A$52) &lt; 9999,MIN(ABS(Knowns!B174-'Clean Unknown'!A$2:A$52)),""),"")</f>
        <v/>
      </c>
      <c r="C174" t="str">
        <f t="array" ref="C174">IF(Knowns!C174&lt;&gt;"",IF(MIN('Clean Unknown'!B$2:B$52) &lt; 9999,MIN(ABS(Knowns!C174-'Clean Unknown'!B$2:B$52)),""),"")</f>
        <v/>
      </c>
      <c r="D174" t="str">
        <f t="array" ref="D174">IF(Knowns!D174&lt;&gt;"",IF(MIN('Clean Unknown'!C$2:C$52) &lt; 9999,MIN(ABS(Knowns!D174-'Clean Unknown'!C$2:C$52)),""),"")</f>
        <v/>
      </c>
      <c r="E174" t="str">
        <f t="array" ref="E174">IF(Knowns!E174&lt;&gt;"",IF(MIN('Clean Unknown'!D$2:D$52) &lt; 9999,MIN(ABS(Knowns!E174-'Clean Unknown'!D$2:D$52)),""),"")</f>
        <v/>
      </c>
      <c r="F174" t="str">
        <f t="array" ref="F174">IF(Knowns!F174&lt;&gt;"",IF(MIN('Clean Unknown'!E$2:E$52) &lt; 9999,MIN(ABS(Knowns!F174-'Clean Unknown'!E$2:E$52)),""),"")</f>
        <v/>
      </c>
      <c r="G174" t="str">
        <f t="array" ref="G174">IF(Knowns!G174&lt;&gt;"",IF(MIN('Clean Unknown'!F$2:F$52) &lt; 9999,MIN(ABS(Knowns!G174-'Clean Unknown'!F$2:F$52)),""),"")</f>
        <v/>
      </c>
    </row>
    <row r="175" spans="1:7">
      <c r="A175">
        <f>Knowns!A175</f>
        <v>0</v>
      </c>
      <c r="B175" t="str">
        <f t="array" ref="B175">IF(Knowns!B175&lt;&gt;"",IF(MIN('Clean Unknown'!A$2:A$52) &lt; 9999,MIN(ABS(Knowns!B175-'Clean Unknown'!A$2:A$52)),""),"")</f>
        <v/>
      </c>
      <c r="C175" t="str">
        <f t="array" ref="C175">IF(Knowns!C175&lt;&gt;"",IF(MIN('Clean Unknown'!B$2:B$52) &lt; 9999,MIN(ABS(Knowns!C175-'Clean Unknown'!B$2:B$52)),""),"")</f>
        <v/>
      </c>
      <c r="D175" t="str">
        <f t="array" ref="D175">IF(Knowns!D175&lt;&gt;"",IF(MIN('Clean Unknown'!C$2:C$52) &lt; 9999,MIN(ABS(Knowns!D175-'Clean Unknown'!C$2:C$52)),""),"")</f>
        <v/>
      </c>
      <c r="E175" t="str">
        <f t="array" ref="E175">IF(Knowns!E175&lt;&gt;"",IF(MIN('Clean Unknown'!D$2:D$52) &lt; 9999,MIN(ABS(Knowns!E175-'Clean Unknown'!D$2:D$52)),""),"")</f>
        <v/>
      </c>
      <c r="F175" t="str">
        <f t="array" ref="F175">IF(Knowns!F175&lt;&gt;"",IF(MIN('Clean Unknown'!E$2:E$52) &lt; 9999,MIN(ABS(Knowns!F175-'Clean Unknown'!E$2:E$52)),""),"")</f>
        <v/>
      </c>
      <c r="G175" t="str">
        <f t="array" ref="G175">IF(Knowns!G175&lt;&gt;"",IF(MIN('Clean Unknown'!F$2:F$52) &lt; 9999,MIN(ABS(Knowns!G175-'Clean Unknown'!F$2:F$52)),""),"")</f>
        <v/>
      </c>
    </row>
    <row r="176" spans="1:7">
      <c r="A176">
        <f>Knowns!A176</f>
        <v>0</v>
      </c>
      <c r="B176" t="str">
        <f t="array" ref="B176">IF(Knowns!B176&lt;&gt;"",IF(MIN('Clean Unknown'!A$2:A$52) &lt; 9999,MIN(ABS(Knowns!B176-'Clean Unknown'!A$2:A$52)),""),"")</f>
        <v/>
      </c>
      <c r="C176" t="str">
        <f t="array" ref="C176">IF(Knowns!C176&lt;&gt;"",IF(MIN('Clean Unknown'!B$2:B$52) &lt; 9999,MIN(ABS(Knowns!C176-'Clean Unknown'!B$2:B$52)),""),"")</f>
        <v/>
      </c>
      <c r="D176" t="str">
        <f t="array" ref="D176">IF(Knowns!D176&lt;&gt;"",IF(MIN('Clean Unknown'!C$2:C$52) &lt; 9999,MIN(ABS(Knowns!D176-'Clean Unknown'!C$2:C$52)),""),"")</f>
        <v/>
      </c>
      <c r="E176" t="str">
        <f t="array" ref="E176">IF(Knowns!E176&lt;&gt;"",IF(MIN('Clean Unknown'!D$2:D$52) &lt; 9999,MIN(ABS(Knowns!E176-'Clean Unknown'!D$2:D$52)),""),"")</f>
        <v/>
      </c>
      <c r="F176" t="str">
        <f t="array" ref="F176">IF(Knowns!F176&lt;&gt;"",IF(MIN('Clean Unknown'!E$2:E$52) &lt; 9999,MIN(ABS(Knowns!F176-'Clean Unknown'!E$2:E$52)),""),"")</f>
        <v/>
      </c>
      <c r="G176" t="str">
        <f t="array" ref="G176">IF(Knowns!G176&lt;&gt;"",IF(MIN('Clean Unknown'!F$2:F$52) &lt; 9999,MIN(ABS(Knowns!G176-'Clean Unknown'!F$2:F$52)),""),"")</f>
        <v/>
      </c>
    </row>
    <row r="177" spans="1:7">
      <c r="A177">
        <f>Knowns!A177</f>
        <v>0</v>
      </c>
      <c r="B177" t="str">
        <f t="array" ref="B177">IF(Knowns!B177&lt;&gt;"",IF(MIN('Clean Unknown'!A$2:A$52) &lt; 9999,MIN(ABS(Knowns!B177-'Clean Unknown'!A$2:A$52)),""),"")</f>
        <v/>
      </c>
      <c r="C177" t="str">
        <f t="array" ref="C177">IF(Knowns!C177&lt;&gt;"",IF(MIN('Clean Unknown'!B$2:B$52) &lt; 9999,MIN(ABS(Knowns!C177-'Clean Unknown'!B$2:B$52)),""),"")</f>
        <v/>
      </c>
      <c r="D177" t="str">
        <f t="array" ref="D177">IF(Knowns!D177&lt;&gt;"",IF(MIN('Clean Unknown'!C$2:C$52) &lt; 9999,MIN(ABS(Knowns!D177-'Clean Unknown'!C$2:C$52)),""),"")</f>
        <v/>
      </c>
      <c r="E177" t="str">
        <f t="array" ref="E177">IF(Knowns!E177&lt;&gt;"",IF(MIN('Clean Unknown'!D$2:D$52) &lt; 9999,MIN(ABS(Knowns!E177-'Clean Unknown'!D$2:D$52)),""),"")</f>
        <v/>
      </c>
      <c r="F177" t="str">
        <f t="array" ref="F177">IF(Knowns!F177&lt;&gt;"",IF(MIN('Clean Unknown'!E$2:E$52) &lt; 9999,MIN(ABS(Knowns!F177-'Clean Unknown'!E$2:E$52)),""),"")</f>
        <v/>
      </c>
      <c r="G177" t="str">
        <f t="array" ref="G177">IF(Knowns!G177&lt;&gt;"",IF(MIN('Clean Unknown'!F$2:F$52) &lt; 9999,MIN(ABS(Knowns!G177-'Clean Unknown'!F$2:F$52)),""),"")</f>
        <v/>
      </c>
    </row>
    <row r="178" spans="1:7">
      <c r="A178">
        <f>Knowns!A178</f>
        <v>0</v>
      </c>
      <c r="B178" t="str">
        <f t="array" ref="B178">IF(Knowns!B178&lt;&gt;"",IF(MIN('Clean Unknown'!A$2:A$52) &lt; 9999,MIN(ABS(Knowns!B178-'Clean Unknown'!A$2:A$52)),""),"")</f>
        <v/>
      </c>
      <c r="C178" t="str">
        <f t="array" ref="C178">IF(Knowns!C178&lt;&gt;"",IF(MIN('Clean Unknown'!B$2:B$52) &lt; 9999,MIN(ABS(Knowns!C178-'Clean Unknown'!B$2:B$52)),""),"")</f>
        <v/>
      </c>
      <c r="D178" t="str">
        <f t="array" ref="D178">IF(Knowns!D178&lt;&gt;"",IF(MIN('Clean Unknown'!C$2:C$52) &lt; 9999,MIN(ABS(Knowns!D178-'Clean Unknown'!C$2:C$52)),""),"")</f>
        <v/>
      </c>
      <c r="E178" t="str">
        <f t="array" ref="E178">IF(Knowns!E178&lt;&gt;"",IF(MIN('Clean Unknown'!D$2:D$52) &lt; 9999,MIN(ABS(Knowns!E178-'Clean Unknown'!D$2:D$52)),""),"")</f>
        <v/>
      </c>
      <c r="F178" t="str">
        <f t="array" ref="F178">IF(Knowns!F178&lt;&gt;"",IF(MIN('Clean Unknown'!E$2:E$52) &lt; 9999,MIN(ABS(Knowns!F178-'Clean Unknown'!E$2:E$52)),""),"")</f>
        <v/>
      </c>
      <c r="G178" t="str">
        <f t="array" ref="G178">IF(Knowns!G178&lt;&gt;"",IF(MIN('Clean Unknown'!F$2:F$52) &lt; 9999,MIN(ABS(Knowns!G178-'Clean Unknown'!F$2:F$52)),""),"")</f>
        <v/>
      </c>
    </row>
    <row r="179" spans="1:7">
      <c r="A179">
        <f>Knowns!A179</f>
        <v>0</v>
      </c>
      <c r="B179" t="str">
        <f t="array" ref="B179">IF(Knowns!B179&lt;&gt;"",IF(MIN('Clean Unknown'!A$2:A$52) &lt; 9999,MIN(ABS(Knowns!B179-'Clean Unknown'!A$2:A$52)),""),"")</f>
        <v/>
      </c>
      <c r="C179" t="str">
        <f t="array" ref="C179">IF(Knowns!C179&lt;&gt;"",IF(MIN('Clean Unknown'!B$2:B$52) &lt; 9999,MIN(ABS(Knowns!C179-'Clean Unknown'!B$2:B$52)),""),"")</f>
        <v/>
      </c>
      <c r="D179" t="str">
        <f t="array" ref="D179">IF(Knowns!D179&lt;&gt;"",IF(MIN('Clean Unknown'!C$2:C$52) &lt; 9999,MIN(ABS(Knowns!D179-'Clean Unknown'!C$2:C$52)),""),"")</f>
        <v/>
      </c>
      <c r="E179" t="str">
        <f t="array" ref="E179">IF(Knowns!E179&lt;&gt;"",IF(MIN('Clean Unknown'!D$2:D$52) &lt; 9999,MIN(ABS(Knowns!E179-'Clean Unknown'!D$2:D$52)),""),"")</f>
        <v/>
      </c>
      <c r="F179" t="str">
        <f t="array" ref="F179">IF(Knowns!F179&lt;&gt;"",IF(MIN('Clean Unknown'!E$2:E$52) &lt; 9999,MIN(ABS(Knowns!F179-'Clean Unknown'!E$2:E$52)),""),"")</f>
        <v/>
      </c>
      <c r="G179" t="str">
        <f t="array" ref="G179">IF(Knowns!G179&lt;&gt;"",IF(MIN('Clean Unknown'!F$2:F$52) &lt; 9999,MIN(ABS(Knowns!G179-'Clean Unknown'!F$2:F$52)),""),"")</f>
        <v/>
      </c>
    </row>
    <row r="180" spans="1:7">
      <c r="A180">
        <f>Knowns!A180</f>
        <v>0</v>
      </c>
      <c r="B180" t="str">
        <f t="array" ref="B180">IF(Knowns!B180&lt;&gt;"",IF(MIN('Clean Unknown'!A$2:A$52) &lt; 9999,MIN(ABS(Knowns!B180-'Clean Unknown'!A$2:A$52)),""),"")</f>
        <v/>
      </c>
      <c r="C180" t="str">
        <f t="array" ref="C180">IF(Knowns!C180&lt;&gt;"",IF(MIN('Clean Unknown'!B$2:B$52) &lt; 9999,MIN(ABS(Knowns!C180-'Clean Unknown'!B$2:B$52)),""),"")</f>
        <v/>
      </c>
      <c r="D180" t="str">
        <f t="array" ref="D180">IF(Knowns!D180&lt;&gt;"",IF(MIN('Clean Unknown'!C$2:C$52) &lt; 9999,MIN(ABS(Knowns!D180-'Clean Unknown'!C$2:C$52)),""),"")</f>
        <v/>
      </c>
      <c r="E180" t="str">
        <f t="array" ref="E180">IF(Knowns!E180&lt;&gt;"",IF(MIN('Clean Unknown'!D$2:D$52) &lt; 9999,MIN(ABS(Knowns!E180-'Clean Unknown'!D$2:D$52)),""),"")</f>
        <v/>
      </c>
      <c r="F180" t="str">
        <f t="array" ref="F180">IF(Knowns!F180&lt;&gt;"",IF(MIN('Clean Unknown'!E$2:E$52) &lt; 9999,MIN(ABS(Knowns!F180-'Clean Unknown'!E$2:E$52)),""),"")</f>
        <v/>
      </c>
      <c r="G180" t="str">
        <f t="array" ref="G180">IF(Knowns!G180&lt;&gt;"",IF(MIN('Clean Unknown'!F$2:F$52) &lt; 9999,MIN(ABS(Knowns!G180-'Clean Unknown'!F$2:F$52)),""),"")</f>
        <v/>
      </c>
    </row>
    <row r="181" spans="1:7">
      <c r="A181">
        <f>Knowns!A181</f>
        <v>0</v>
      </c>
      <c r="B181" t="str">
        <f t="array" ref="B181">IF(Knowns!B181&lt;&gt;"",IF(MIN('Clean Unknown'!A$2:A$52) &lt; 9999,MIN(ABS(Knowns!B181-'Clean Unknown'!A$2:A$52)),""),"")</f>
        <v/>
      </c>
      <c r="C181" t="str">
        <f t="array" ref="C181">IF(Knowns!C181&lt;&gt;"",IF(MIN('Clean Unknown'!B$2:B$52) &lt; 9999,MIN(ABS(Knowns!C181-'Clean Unknown'!B$2:B$52)),""),"")</f>
        <v/>
      </c>
      <c r="D181" t="str">
        <f t="array" ref="D181">IF(Knowns!D181&lt;&gt;"",IF(MIN('Clean Unknown'!C$2:C$52) &lt; 9999,MIN(ABS(Knowns!D181-'Clean Unknown'!C$2:C$52)),""),"")</f>
        <v/>
      </c>
      <c r="E181" t="str">
        <f t="array" ref="E181">IF(Knowns!E181&lt;&gt;"",IF(MIN('Clean Unknown'!D$2:D$52) &lt; 9999,MIN(ABS(Knowns!E181-'Clean Unknown'!D$2:D$52)),""),"")</f>
        <v/>
      </c>
      <c r="F181" t="str">
        <f t="array" ref="F181">IF(Knowns!F181&lt;&gt;"",IF(MIN('Clean Unknown'!E$2:E$52) &lt; 9999,MIN(ABS(Knowns!F181-'Clean Unknown'!E$2:E$52)),""),"")</f>
        <v/>
      </c>
      <c r="G181" t="str">
        <f t="array" ref="G181">IF(Knowns!G181&lt;&gt;"",IF(MIN('Clean Unknown'!F$2:F$52) &lt; 9999,MIN(ABS(Knowns!G181-'Clean Unknown'!F$2:F$52)),""),"")</f>
        <v/>
      </c>
    </row>
    <row r="182" spans="1:7">
      <c r="A182">
        <f>Knowns!A182</f>
        <v>0</v>
      </c>
      <c r="B182" t="str">
        <f t="array" ref="B182">IF(Knowns!B182&lt;&gt;"",IF(MIN('Clean Unknown'!A$2:A$52) &lt; 9999,MIN(ABS(Knowns!B182-'Clean Unknown'!A$2:A$52)),""),"")</f>
        <v/>
      </c>
      <c r="C182" t="str">
        <f t="array" ref="C182">IF(Knowns!C182&lt;&gt;"",IF(MIN('Clean Unknown'!B$2:B$52) &lt; 9999,MIN(ABS(Knowns!C182-'Clean Unknown'!B$2:B$52)),""),"")</f>
        <v/>
      </c>
      <c r="D182" t="str">
        <f t="array" ref="D182">IF(Knowns!D182&lt;&gt;"",IF(MIN('Clean Unknown'!C$2:C$52) &lt; 9999,MIN(ABS(Knowns!D182-'Clean Unknown'!C$2:C$52)),""),"")</f>
        <v/>
      </c>
      <c r="E182" t="str">
        <f t="array" ref="E182">IF(Knowns!E182&lt;&gt;"",IF(MIN('Clean Unknown'!D$2:D$52) &lt; 9999,MIN(ABS(Knowns!E182-'Clean Unknown'!D$2:D$52)),""),"")</f>
        <v/>
      </c>
      <c r="F182" t="str">
        <f t="array" ref="F182">IF(Knowns!F182&lt;&gt;"",IF(MIN('Clean Unknown'!E$2:E$52) &lt; 9999,MIN(ABS(Knowns!F182-'Clean Unknown'!E$2:E$52)),""),"")</f>
        <v/>
      </c>
      <c r="G182" t="str">
        <f t="array" ref="G182">IF(Knowns!G182&lt;&gt;"",IF(MIN('Clean Unknown'!F$2:F$52) &lt; 9999,MIN(ABS(Knowns!G182-'Clean Unknown'!F$2:F$52)),""),"")</f>
        <v/>
      </c>
    </row>
    <row r="183" spans="1:7">
      <c r="A183">
        <f>Knowns!A183</f>
        <v>0</v>
      </c>
      <c r="B183" t="str">
        <f t="array" ref="B183">IF(Knowns!B183&lt;&gt;"",IF(MIN('Clean Unknown'!A$2:A$52) &lt; 9999,MIN(ABS(Knowns!B183-'Clean Unknown'!A$2:A$52)),""),"")</f>
        <v/>
      </c>
      <c r="C183" t="str">
        <f t="array" ref="C183">IF(Knowns!C183&lt;&gt;"",IF(MIN('Clean Unknown'!B$2:B$52) &lt; 9999,MIN(ABS(Knowns!C183-'Clean Unknown'!B$2:B$52)),""),"")</f>
        <v/>
      </c>
      <c r="D183" t="str">
        <f t="array" ref="D183">IF(Knowns!D183&lt;&gt;"",IF(MIN('Clean Unknown'!C$2:C$52) &lt; 9999,MIN(ABS(Knowns!D183-'Clean Unknown'!C$2:C$52)),""),"")</f>
        <v/>
      </c>
      <c r="E183" t="str">
        <f t="array" ref="E183">IF(Knowns!E183&lt;&gt;"",IF(MIN('Clean Unknown'!D$2:D$52) &lt; 9999,MIN(ABS(Knowns!E183-'Clean Unknown'!D$2:D$52)),""),"")</f>
        <v/>
      </c>
      <c r="F183" t="str">
        <f t="array" ref="F183">IF(Knowns!F183&lt;&gt;"",IF(MIN('Clean Unknown'!E$2:E$52) &lt; 9999,MIN(ABS(Knowns!F183-'Clean Unknown'!E$2:E$52)),""),"")</f>
        <v/>
      </c>
      <c r="G183" t="str">
        <f t="array" ref="G183">IF(Knowns!G183&lt;&gt;"",IF(MIN('Clean Unknown'!F$2:F$52) &lt; 9999,MIN(ABS(Knowns!G183-'Clean Unknown'!F$2:F$52)),""),"")</f>
        <v/>
      </c>
    </row>
    <row r="184" spans="1:7">
      <c r="A184">
        <f>Knowns!A184</f>
        <v>0</v>
      </c>
      <c r="B184" t="str">
        <f t="array" ref="B184">IF(Knowns!B184&lt;&gt;"",IF(MIN('Clean Unknown'!A$2:A$52) &lt; 9999,MIN(ABS(Knowns!B184-'Clean Unknown'!A$2:A$52)),""),"")</f>
        <v/>
      </c>
      <c r="C184" t="str">
        <f t="array" ref="C184">IF(Knowns!C184&lt;&gt;"",IF(MIN('Clean Unknown'!B$2:B$52) &lt; 9999,MIN(ABS(Knowns!C184-'Clean Unknown'!B$2:B$52)),""),"")</f>
        <v/>
      </c>
      <c r="D184" t="str">
        <f t="array" ref="D184">IF(Knowns!D184&lt;&gt;"",IF(MIN('Clean Unknown'!C$2:C$52) &lt; 9999,MIN(ABS(Knowns!D184-'Clean Unknown'!C$2:C$52)),""),"")</f>
        <v/>
      </c>
      <c r="E184" t="str">
        <f t="array" ref="E184">IF(Knowns!E184&lt;&gt;"",IF(MIN('Clean Unknown'!D$2:D$52) &lt; 9999,MIN(ABS(Knowns!E184-'Clean Unknown'!D$2:D$52)),""),"")</f>
        <v/>
      </c>
      <c r="F184" t="str">
        <f t="array" ref="F184">IF(Knowns!F184&lt;&gt;"",IF(MIN('Clean Unknown'!E$2:E$52) &lt; 9999,MIN(ABS(Knowns!F184-'Clean Unknown'!E$2:E$52)),""),"")</f>
        <v/>
      </c>
      <c r="G184" t="str">
        <f t="array" ref="G184">IF(Knowns!G184&lt;&gt;"",IF(MIN('Clean Unknown'!F$2:F$52) &lt; 9999,MIN(ABS(Knowns!G184-'Clean Unknown'!F$2:F$52)),""),"")</f>
        <v/>
      </c>
    </row>
    <row r="185" spans="1:7">
      <c r="A185">
        <f>Knowns!A185</f>
        <v>0</v>
      </c>
      <c r="B185" t="str">
        <f t="array" ref="B185">IF(Knowns!B185&lt;&gt;"",IF(MIN('Clean Unknown'!A$2:A$52) &lt; 9999,MIN(ABS(Knowns!B185-'Clean Unknown'!A$2:A$52)),""),"")</f>
        <v/>
      </c>
      <c r="C185" t="str">
        <f t="array" ref="C185">IF(Knowns!C185&lt;&gt;"",IF(MIN('Clean Unknown'!B$2:B$52) &lt; 9999,MIN(ABS(Knowns!C185-'Clean Unknown'!B$2:B$52)),""),"")</f>
        <v/>
      </c>
      <c r="D185" t="str">
        <f t="array" ref="D185">IF(Knowns!D185&lt;&gt;"",IF(MIN('Clean Unknown'!C$2:C$52) &lt; 9999,MIN(ABS(Knowns!D185-'Clean Unknown'!C$2:C$52)),""),"")</f>
        <v/>
      </c>
      <c r="E185" t="str">
        <f t="array" ref="E185">IF(Knowns!E185&lt;&gt;"",IF(MIN('Clean Unknown'!D$2:D$52) &lt; 9999,MIN(ABS(Knowns!E185-'Clean Unknown'!D$2:D$52)),""),"")</f>
        <v/>
      </c>
      <c r="F185" t="str">
        <f t="array" ref="F185">IF(Knowns!F185&lt;&gt;"",IF(MIN('Clean Unknown'!E$2:E$52) &lt; 9999,MIN(ABS(Knowns!F185-'Clean Unknown'!E$2:E$52)),""),"")</f>
        <v/>
      </c>
      <c r="G185" t="str">
        <f t="array" ref="G185">IF(Knowns!G185&lt;&gt;"",IF(MIN('Clean Unknown'!F$2:F$52) &lt; 9999,MIN(ABS(Knowns!G185-'Clean Unknown'!F$2:F$52)),""),"")</f>
        <v/>
      </c>
    </row>
    <row r="186" spans="1:7">
      <c r="A186">
        <f>Knowns!A186</f>
        <v>0</v>
      </c>
      <c r="B186" t="str">
        <f t="array" ref="B186">IF(Knowns!B186&lt;&gt;"",IF(MIN('Clean Unknown'!A$2:A$52) &lt; 9999,MIN(ABS(Knowns!B186-'Clean Unknown'!A$2:A$52)),""),"")</f>
        <v/>
      </c>
      <c r="C186" t="str">
        <f t="array" ref="C186">IF(Knowns!C186&lt;&gt;"",IF(MIN('Clean Unknown'!B$2:B$52) &lt; 9999,MIN(ABS(Knowns!C186-'Clean Unknown'!B$2:B$52)),""),"")</f>
        <v/>
      </c>
      <c r="D186" t="str">
        <f t="array" ref="D186">IF(Knowns!D186&lt;&gt;"",IF(MIN('Clean Unknown'!C$2:C$52) &lt; 9999,MIN(ABS(Knowns!D186-'Clean Unknown'!C$2:C$52)),""),"")</f>
        <v/>
      </c>
      <c r="E186" t="str">
        <f t="array" ref="E186">IF(Knowns!E186&lt;&gt;"",IF(MIN('Clean Unknown'!D$2:D$52) &lt; 9999,MIN(ABS(Knowns!E186-'Clean Unknown'!D$2:D$52)),""),"")</f>
        <v/>
      </c>
      <c r="F186" t="str">
        <f t="array" ref="F186">IF(Knowns!F186&lt;&gt;"",IF(MIN('Clean Unknown'!E$2:E$52) &lt; 9999,MIN(ABS(Knowns!F186-'Clean Unknown'!E$2:E$52)),""),"")</f>
        <v/>
      </c>
      <c r="G186" t="str">
        <f t="array" ref="G186">IF(Knowns!G186&lt;&gt;"",IF(MIN('Clean Unknown'!F$2:F$52) &lt; 9999,MIN(ABS(Knowns!G186-'Clean Unknown'!F$2:F$52)),""),"")</f>
        <v/>
      </c>
    </row>
    <row r="187" spans="1:7">
      <c r="A187">
        <f>Knowns!A187</f>
        <v>0</v>
      </c>
      <c r="B187" t="str">
        <f t="array" ref="B187">IF(Knowns!B187&lt;&gt;"",IF(MIN('Clean Unknown'!A$2:A$52) &lt; 9999,MIN(ABS(Knowns!B187-'Clean Unknown'!A$2:A$52)),""),"")</f>
        <v/>
      </c>
      <c r="C187" t="str">
        <f t="array" ref="C187">IF(Knowns!C187&lt;&gt;"",IF(MIN('Clean Unknown'!B$2:B$52) &lt; 9999,MIN(ABS(Knowns!C187-'Clean Unknown'!B$2:B$52)),""),"")</f>
        <v/>
      </c>
      <c r="D187" t="str">
        <f t="array" ref="D187">IF(Knowns!D187&lt;&gt;"",IF(MIN('Clean Unknown'!C$2:C$52) &lt; 9999,MIN(ABS(Knowns!D187-'Clean Unknown'!C$2:C$52)),""),"")</f>
        <v/>
      </c>
      <c r="E187" t="str">
        <f t="array" ref="E187">IF(Knowns!E187&lt;&gt;"",IF(MIN('Clean Unknown'!D$2:D$52) &lt; 9999,MIN(ABS(Knowns!E187-'Clean Unknown'!D$2:D$52)),""),"")</f>
        <v/>
      </c>
      <c r="F187" t="str">
        <f t="array" ref="F187">IF(Knowns!F187&lt;&gt;"",IF(MIN('Clean Unknown'!E$2:E$52) &lt; 9999,MIN(ABS(Knowns!F187-'Clean Unknown'!E$2:E$52)),""),"")</f>
        <v/>
      </c>
      <c r="G187" t="str">
        <f t="array" ref="G187">IF(Knowns!G187&lt;&gt;"",IF(MIN('Clean Unknown'!F$2:F$52) &lt; 9999,MIN(ABS(Knowns!G187-'Clean Unknown'!F$2:F$52)),""),"")</f>
        <v/>
      </c>
    </row>
    <row r="188" spans="1:7">
      <c r="A188">
        <f>Knowns!A188</f>
        <v>0</v>
      </c>
      <c r="B188" t="str">
        <f t="array" ref="B188">IF(Knowns!B188&lt;&gt;"",IF(MIN('Clean Unknown'!A$2:A$52) &lt; 9999,MIN(ABS(Knowns!B188-'Clean Unknown'!A$2:A$52)),""),"")</f>
        <v/>
      </c>
      <c r="C188" t="str">
        <f t="array" ref="C188">IF(Knowns!C188&lt;&gt;"",IF(MIN('Clean Unknown'!B$2:B$52) &lt; 9999,MIN(ABS(Knowns!C188-'Clean Unknown'!B$2:B$52)),""),"")</f>
        <v/>
      </c>
      <c r="D188" t="str">
        <f t="array" ref="D188">IF(Knowns!D188&lt;&gt;"",IF(MIN('Clean Unknown'!C$2:C$52) &lt; 9999,MIN(ABS(Knowns!D188-'Clean Unknown'!C$2:C$52)),""),"")</f>
        <v/>
      </c>
      <c r="E188" t="str">
        <f t="array" ref="E188">IF(Knowns!E188&lt;&gt;"",IF(MIN('Clean Unknown'!D$2:D$52) &lt; 9999,MIN(ABS(Knowns!E188-'Clean Unknown'!D$2:D$52)),""),"")</f>
        <v/>
      </c>
      <c r="F188" t="str">
        <f t="array" ref="F188">IF(Knowns!F188&lt;&gt;"",IF(MIN('Clean Unknown'!E$2:E$52) &lt; 9999,MIN(ABS(Knowns!F188-'Clean Unknown'!E$2:E$52)),""),"")</f>
        <v/>
      </c>
      <c r="G188" t="str">
        <f t="array" ref="G188">IF(Knowns!G188&lt;&gt;"",IF(MIN('Clean Unknown'!F$2:F$52) &lt; 9999,MIN(ABS(Knowns!G188-'Clean Unknown'!F$2:F$52)),""),"")</f>
        <v/>
      </c>
    </row>
    <row r="189" spans="1:7">
      <c r="A189">
        <f>Knowns!A189</f>
        <v>0</v>
      </c>
      <c r="B189" t="str">
        <f t="array" ref="B189">IF(Knowns!B189&lt;&gt;"",IF(MIN('Clean Unknown'!A$2:A$52) &lt; 9999,MIN(ABS(Knowns!B189-'Clean Unknown'!A$2:A$52)),""),"")</f>
        <v/>
      </c>
      <c r="C189" t="str">
        <f t="array" ref="C189">IF(Knowns!C189&lt;&gt;"",IF(MIN('Clean Unknown'!B$2:B$52) &lt; 9999,MIN(ABS(Knowns!C189-'Clean Unknown'!B$2:B$52)),""),"")</f>
        <v/>
      </c>
      <c r="D189" t="str">
        <f t="array" ref="D189">IF(Knowns!D189&lt;&gt;"",IF(MIN('Clean Unknown'!C$2:C$52) &lt; 9999,MIN(ABS(Knowns!D189-'Clean Unknown'!C$2:C$52)),""),"")</f>
        <v/>
      </c>
      <c r="E189" t="str">
        <f t="array" ref="E189">IF(Knowns!E189&lt;&gt;"",IF(MIN('Clean Unknown'!D$2:D$52) &lt; 9999,MIN(ABS(Knowns!E189-'Clean Unknown'!D$2:D$52)),""),"")</f>
        <v/>
      </c>
      <c r="F189" t="str">
        <f t="array" ref="F189">IF(Knowns!F189&lt;&gt;"",IF(MIN('Clean Unknown'!E$2:E$52) &lt; 9999,MIN(ABS(Knowns!F189-'Clean Unknown'!E$2:E$52)),""),"")</f>
        <v/>
      </c>
      <c r="G189" t="str">
        <f t="array" ref="G189">IF(Knowns!G189&lt;&gt;"",IF(MIN('Clean Unknown'!F$2:F$52) &lt; 9999,MIN(ABS(Knowns!G189-'Clean Unknown'!F$2:F$52)),""),"")</f>
        <v/>
      </c>
    </row>
    <row r="190" spans="1:7">
      <c r="A190">
        <f>Knowns!A190</f>
        <v>0</v>
      </c>
      <c r="B190" t="str">
        <f t="array" ref="B190">IF(Knowns!B190&lt;&gt;"",IF(MIN('Clean Unknown'!A$2:A$52) &lt; 9999,MIN(ABS(Knowns!B190-'Clean Unknown'!A$2:A$52)),""),"")</f>
        <v/>
      </c>
      <c r="C190" t="str">
        <f t="array" ref="C190">IF(Knowns!C190&lt;&gt;"",IF(MIN('Clean Unknown'!B$2:B$52) &lt; 9999,MIN(ABS(Knowns!C190-'Clean Unknown'!B$2:B$52)),""),"")</f>
        <v/>
      </c>
      <c r="D190" t="str">
        <f t="array" ref="D190">IF(Knowns!D190&lt;&gt;"",IF(MIN('Clean Unknown'!C$2:C$52) &lt; 9999,MIN(ABS(Knowns!D190-'Clean Unknown'!C$2:C$52)),""),"")</f>
        <v/>
      </c>
      <c r="E190" t="str">
        <f t="array" ref="E190">IF(Knowns!E190&lt;&gt;"",IF(MIN('Clean Unknown'!D$2:D$52) &lt; 9999,MIN(ABS(Knowns!E190-'Clean Unknown'!D$2:D$52)),""),"")</f>
        <v/>
      </c>
      <c r="F190" t="str">
        <f t="array" ref="F190">IF(Knowns!F190&lt;&gt;"",IF(MIN('Clean Unknown'!E$2:E$52) &lt; 9999,MIN(ABS(Knowns!F190-'Clean Unknown'!E$2:E$52)),""),"")</f>
        <v/>
      </c>
      <c r="G190" t="str">
        <f t="array" ref="G190">IF(Knowns!G190&lt;&gt;"",IF(MIN('Clean Unknown'!F$2:F$52) &lt; 9999,MIN(ABS(Knowns!G190-'Clean Unknown'!F$2:F$52)),""),"")</f>
        <v/>
      </c>
    </row>
    <row r="191" spans="1:7">
      <c r="A191">
        <f>Knowns!A191</f>
        <v>0</v>
      </c>
      <c r="B191" t="str">
        <f t="array" ref="B191">IF(Knowns!B191&lt;&gt;"",IF(MIN('Clean Unknown'!A$2:A$52) &lt; 9999,MIN(ABS(Knowns!B191-'Clean Unknown'!A$2:A$52)),""),"")</f>
        <v/>
      </c>
      <c r="C191" t="str">
        <f t="array" ref="C191">IF(Knowns!C191&lt;&gt;"",IF(MIN('Clean Unknown'!B$2:B$52) &lt; 9999,MIN(ABS(Knowns!C191-'Clean Unknown'!B$2:B$52)),""),"")</f>
        <v/>
      </c>
      <c r="D191" t="str">
        <f t="array" ref="D191">IF(Knowns!D191&lt;&gt;"",IF(MIN('Clean Unknown'!C$2:C$52) &lt; 9999,MIN(ABS(Knowns!D191-'Clean Unknown'!C$2:C$52)),""),"")</f>
        <v/>
      </c>
      <c r="E191" t="str">
        <f t="array" ref="E191">IF(Knowns!E191&lt;&gt;"",IF(MIN('Clean Unknown'!D$2:D$52) &lt; 9999,MIN(ABS(Knowns!E191-'Clean Unknown'!D$2:D$52)),""),"")</f>
        <v/>
      </c>
      <c r="F191" t="str">
        <f t="array" ref="F191">IF(Knowns!F191&lt;&gt;"",IF(MIN('Clean Unknown'!E$2:E$52) &lt; 9999,MIN(ABS(Knowns!F191-'Clean Unknown'!E$2:E$52)),""),"")</f>
        <v/>
      </c>
      <c r="G191" t="str">
        <f t="array" ref="G191">IF(Knowns!G191&lt;&gt;"",IF(MIN('Clean Unknown'!F$2:F$52) &lt; 9999,MIN(ABS(Knowns!G191-'Clean Unknown'!F$2:F$52)),""),"")</f>
        <v/>
      </c>
    </row>
    <row r="192" spans="1:7">
      <c r="A192">
        <f>Knowns!A192</f>
        <v>0</v>
      </c>
      <c r="B192" t="str">
        <f t="array" ref="B192">IF(Knowns!B192&lt;&gt;"",IF(MIN('Clean Unknown'!A$2:A$52) &lt; 9999,MIN(ABS(Knowns!B192-'Clean Unknown'!A$2:A$52)),""),"")</f>
        <v/>
      </c>
      <c r="C192" t="str">
        <f t="array" ref="C192">IF(Knowns!C192&lt;&gt;"",IF(MIN('Clean Unknown'!B$2:B$52) &lt; 9999,MIN(ABS(Knowns!C192-'Clean Unknown'!B$2:B$52)),""),"")</f>
        <v/>
      </c>
      <c r="D192" t="str">
        <f t="array" ref="D192">IF(Knowns!D192&lt;&gt;"",IF(MIN('Clean Unknown'!C$2:C$52) &lt; 9999,MIN(ABS(Knowns!D192-'Clean Unknown'!C$2:C$52)),""),"")</f>
        <v/>
      </c>
      <c r="E192" t="str">
        <f t="array" ref="E192">IF(Knowns!E192&lt;&gt;"",IF(MIN('Clean Unknown'!D$2:D$52) &lt; 9999,MIN(ABS(Knowns!E192-'Clean Unknown'!D$2:D$52)),""),"")</f>
        <v/>
      </c>
      <c r="F192" t="str">
        <f t="array" ref="F192">IF(Knowns!F192&lt;&gt;"",IF(MIN('Clean Unknown'!E$2:E$52) &lt; 9999,MIN(ABS(Knowns!F192-'Clean Unknown'!E$2:E$52)),""),"")</f>
        <v/>
      </c>
      <c r="G192" t="str">
        <f t="array" ref="G192">IF(Knowns!G192&lt;&gt;"",IF(MIN('Clean Unknown'!F$2:F$52) &lt; 9999,MIN(ABS(Knowns!G192-'Clean Unknown'!F$2:F$52)),""),"")</f>
        <v/>
      </c>
    </row>
    <row r="193" spans="1:7">
      <c r="A193">
        <f>Knowns!A193</f>
        <v>0</v>
      </c>
      <c r="B193" t="str">
        <f t="array" ref="B193">IF(Knowns!B193&lt;&gt;"",IF(MIN('Clean Unknown'!A$2:A$52) &lt; 9999,MIN(ABS(Knowns!B193-'Clean Unknown'!A$2:A$52)),""),"")</f>
        <v/>
      </c>
      <c r="C193" t="str">
        <f t="array" ref="C193">IF(Knowns!C193&lt;&gt;"",IF(MIN('Clean Unknown'!B$2:B$52) &lt; 9999,MIN(ABS(Knowns!C193-'Clean Unknown'!B$2:B$52)),""),"")</f>
        <v/>
      </c>
      <c r="D193" t="str">
        <f t="array" ref="D193">IF(Knowns!D193&lt;&gt;"",IF(MIN('Clean Unknown'!C$2:C$52) &lt; 9999,MIN(ABS(Knowns!D193-'Clean Unknown'!C$2:C$52)),""),"")</f>
        <v/>
      </c>
      <c r="E193" t="str">
        <f t="array" ref="E193">IF(Knowns!E193&lt;&gt;"",IF(MIN('Clean Unknown'!D$2:D$52) &lt; 9999,MIN(ABS(Knowns!E193-'Clean Unknown'!D$2:D$52)),""),"")</f>
        <v/>
      </c>
      <c r="F193" t="str">
        <f t="array" ref="F193">IF(Knowns!F193&lt;&gt;"",IF(MIN('Clean Unknown'!E$2:E$52) &lt; 9999,MIN(ABS(Knowns!F193-'Clean Unknown'!E$2:E$52)),""),"")</f>
        <v/>
      </c>
      <c r="G193" t="str">
        <f t="array" ref="G193">IF(Knowns!G193&lt;&gt;"",IF(MIN('Clean Unknown'!F$2:F$52) &lt; 9999,MIN(ABS(Knowns!G193-'Clean Unknown'!F$2:F$52)),""),"")</f>
        <v/>
      </c>
    </row>
    <row r="194" spans="1:7">
      <c r="A194">
        <f>Knowns!A194</f>
        <v>0</v>
      </c>
      <c r="B194" t="str">
        <f t="array" ref="B194">IF(Knowns!B194&lt;&gt;"",IF(MIN('Clean Unknown'!A$2:A$52) &lt; 9999,MIN(ABS(Knowns!B194-'Clean Unknown'!A$2:A$52)),""),"")</f>
        <v/>
      </c>
      <c r="C194" t="str">
        <f t="array" ref="C194">IF(Knowns!C194&lt;&gt;"",IF(MIN('Clean Unknown'!B$2:B$52) &lt; 9999,MIN(ABS(Knowns!C194-'Clean Unknown'!B$2:B$52)),""),"")</f>
        <v/>
      </c>
      <c r="D194" t="str">
        <f t="array" ref="D194">IF(Knowns!D194&lt;&gt;"",IF(MIN('Clean Unknown'!C$2:C$52) &lt; 9999,MIN(ABS(Knowns!D194-'Clean Unknown'!C$2:C$52)),""),"")</f>
        <v/>
      </c>
      <c r="E194" t="str">
        <f t="array" ref="E194">IF(Knowns!E194&lt;&gt;"",IF(MIN('Clean Unknown'!D$2:D$52) &lt; 9999,MIN(ABS(Knowns!E194-'Clean Unknown'!D$2:D$52)),""),"")</f>
        <v/>
      </c>
      <c r="F194" t="str">
        <f t="array" ref="F194">IF(Knowns!F194&lt;&gt;"",IF(MIN('Clean Unknown'!E$2:E$52) &lt; 9999,MIN(ABS(Knowns!F194-'Clean Unknown'!E$2:E$52)),""),"")</f>
        <v/>
      </c>
      <c r="G194" t="str">
        <f t="array" ref="G194">IF(Knowns!G194&lt;&gt;"",IF(MIN('Clean Unknown'!F$2:F$52) &lt; 9999,MIN(ABS(Knowns!G194-'Clean Unknown'!F$2:F$52)),""),"")</f>
        <v/>
      </c>
    </row>
    <row r="195" spans="1:7">
      <c r="A195">
        <f>Knowns!A195</f>
        <v>0</v>
      </c>
      <c r="B195" t="str">
        <f t="array" ref="B195">IF(Knowns!B195&lt;&gt;"",IF(MIN('Clean Unknown'!A$2:A$52) &lt; 9999,MIN(ABS(Knowns!B195-'Clean Unknown'!A$2:A$52)),""),"")</f>
        <v/>
      </c>
      <c r="C195" t="str">
        <f t="array" ref="C195">IF(Knowns!C195&lt;&gt;"",IF(MIN('Clean Unknown'!B$2:B$52) &lt; 9999,MIN(ABS(Knowns!C195-'Clean Unknown'!B$2:B$52)),""),"")</f>
        <v/>
      </c>
      <c r="D195" t="str">
        <f t="array" ref="D195">IF(Knowns!D195&lt;&gt;"",IF(MIN('Clean Unknown'!C$2:C$52) &lt; 9999,MIN(ABS(Knowns!D195-'Clean Unknown'!C$2:C$52)),""),"")</f>
        <v/>
      </c>
      <c r="E195" t="str">
        <f t="array" ref="E195">IF(Knowns!E195&lt;&gt;"",IF(MIN('Clean Unknown'!D$2:D$52) &lt; 9999,MIN(ABS(Knowns!E195-'Clean Unknown'!D$2:D$52)),""),"")</f>
        <v/>
      </c>
      <c r="F195" t="str">
        <f t="array" ref="F195">IF(Knowns!F195&lt;&gt;"",IF(MIN('Clean Unknown'!E$2:E$52) &lt; 9999,MIN(ABS(Knowns!F195-'Clean Unknown'!E$2:E$52)),""),"")</f>
        <v/>
      </c>
      <c r="G195" t="str">
        <f t="array" ref="G195">IF(Knowns!G195&lt;&gt;"",IF(MIN('Clean Unknown'!F$2:F$52) &lt; 9999,MIN(ABS(Knowns!G195-'Clean Unknown'!F$2:F$52)),""),"")</f>
        <v/>
      </c>
    </row>
    <row r="196" spans="1:7">
      <c r="A196">
        <f>Knowns!A196</f>
        <v>0</v>
      </c>
      <c r="B196" t="str">
        <f t="array" ref="B196">IF(Knowns!B196&lt;&gt;"",IF(MIN('Clean Unknown'!A$2:A$52) &lt; 9999,MIN(ABS(Knowns!B196-'Clean Unknown'!A$2:A$52)),""),"")</f>
        <v/>
      </c>
      <c r="C196" t="str">
        <f t="array" ref="C196">IF(Knowns!C196&lt;&gt;"",IF(MIN('Clean Unknown'!B$2:B$52) &lt; 9999,MIN(ABS(Knowns!C196-'Clean Unknown'!B$2:B$52)),""),"")</f>
        <v/>
      </c>
      <c r="D196" t="str">
        <f t="array" ref="D196">IF(Knowns!D196&lt;&gt;"",IF(MIN('Clean Unknown'!C$2:C$52) &lt; 9999,MIN(ABS(Knowns!D196-'Clean Unknown'!C$2:C$52)),""),"")</f>
        <v/>
      </c>
      <c r="E196" t="str">
        <f t="array" ref="E196">IF(Knowns!E196&lt;&gt;"",IF(MIN('Clean Unknown'!D$2:D$52) &lt; 9999,MIN(ABS(Knowns!E196-'Clean Unknown'!D$2:D$52)),""),"")</f>
        <v/>
      </c>
      <c r="F196" t="str">
        <f t="array" ref="F196">IF(Knowns!F196&lt;&gt;"",IF(MIN('Clean Unknown'!E$2:E$52) &lt; 9999,MIN(ABS(Knowns!F196-'Clean Unknown'!E$2:E$52)),""),"")</f>
        <v/>
      </c>
      <c r="G196" t="str">
        <f t="array" ref="G196">IF(Knowns!G196&lt;&gt;"",IF(MIN('Clean Unknown'!F$2:F$52) &lt; 9999,MIN(ABS(Knowns!G196-'Clean Unknown'!F$2:F$52)),""),"")</f>
        <v/>
      </c>
    </row>
    <row r="197" spans="1:7">
      <c r="A197">
        <f>Knowns!A197</f>
        <v>0</v>
      </c>
      <c r="B197" t="str">
        <f t="array" ref="B197">IF(Knowns!B197&lt;&gt;"",IF(MIN('Clean Unknown'!A$2:A$52) &lt; 9999,MIN(ABS(Knowns!B197-'Clean Unknown'!A$2:A$52)),""),"")</f>
        <v/>
      </c>
      <c r="C197" t="str">
        <f t="array" ref="C197">IF(Knowns!C197&lt;&gt;"",IF(MIN('Clean Unknown'!B$2:B$52) &lt; 9999,MIN(ABS(Knowns!C197-'Clean Unknown'!B$2:B$52)),""),"")</f>
        <v/>
      </c>
      <c r="D197" t="str">
        <f t="array" ref="D197">IF(Knowns!D197&lt;&gt;"",IF(MIN('Clean Unknown'!C$2:C$52) &lt; 9999,MIN(ABS(Knowns!D197-'Clean Unknown'!C$2:C$52)),""),"")</f>
        <v/>
      </c>
      <c r="E197" t="str">
        <f t="array" ref="E197">IF(Knowns!E197&lt;&gt;"",IF(MIN('Clean Unknown'!D$2:D$52) &lt; 9999,MIN(ABS(Knowns!E197-'Clean Unknown'!D$2:D$52)),""),"")</f>
        <v/>
      </c>
      <c r="F197" t="str">
        <f t="array" ref="F197">IF(Knowns!F197&lt;&gt;"",IF(MIN('Clean Unknown'!E$2:E$52) &lt; 9999,MIN(ABS(Knowns!F197-'Clean Unknown'!E$2:E$52)),""),"")</f>
        <v/>
      </c>
      <c r="G197" t="str">
        <f t="array" ref="G197">IF(Knowns!G197&lt;&gt;"",IF(MIN('Clean Unknown'!F$2:F$52) &lt; 9999,MIN(ABS(Knowns!G197-'Clean Unknown'!F$2:F$52)),""),"")</f>
        <v/>
      </c>
    </row>
    <row r="198" spans="1:7">
      <c r="A198">
        <f>Knowns!A198</f>
        <v>0</v>
      </c>
      <c r="B198" t="str">
        <f t="array" ref="B198">IF(Knowns!B198&lt;&gt;"",IF(MIN('Clean Unknown'!A$2:A$52) &lt; 9999,MIN(ABS(Knowns!B198-'Clean Unknown'!A$2:A$52)),""),"")</f>
        <v/>
      </c>
      <c r="C198" t="str">
        <f t="array" ref="C198">IF(Knowns!C198&lt;&gt;"",IF(MIN('Clean Unknown'!B$2:B$52) &lt; 9999,MIN(ABS(Knowns!C198-'Clean Unknown'!B$2:B$52)),""),"")</f>
        <v/>
      </c>
      <c r="D198" t="str">
        <f t="array" ref="D198">IF(Knowns!D198&lt;&gt;"",IF(MIN('Clean Unknown'!C$2:C$52) &lt; 9999,MIN(ABS(Knowns!D198-'Clean Unknown'!C$2:C$52)),""),"")</f>
        <v/>
      </c>
      <c r="E198" t="str">
        <f t="array" ref="E198">IF(Knowns!E198&lt;&gt;"",IF(MIN('Clean Unknown'!D$2:D$52) &lt; 9999,MIN(ABS(Knowns!E198-'Clean Unknown'!D$2:D$52)),""),"")</f>
        <v/>
      </c>
      <c r="F198" t="str">
        <f t="array" ref="F198">IF(Knowns!F198&lt;&gt;"",IF(MIN('Clean Unknown'!E$2:E$52) &lt; 9999,MIN(ABS(Knowns!F198-'Clean Unknown'!E$2:E$52)),""),"")</f>
        <v/>
      </c>
      <c r="G198" t="str">
        <f t="array" ref="G198">IF(Knowns!G198&lt;&gt;"",IF(MIN('Clean Unknown'!F$2:F$52) &lt; 9999,MIN(ABS(Knowns!G198-'Clean Unknown'!F$2:F$52)),""),"")</f>
        <v/>
      </c>
    </row>
    <row r="199" spans="1:7">
      <c r="A199">
        <f>Knowns!A199</f>
        <v>0</v>
      </c>
      <c r="B199" t="str">
        <f t="array" ref="B199">IF(Knowns!B199&lt;&gt;"",IF(MIN('Clean Unknown'!A$2:A$52) &lt; 9999,MIN(ABS(Knowns!B199-'Clean Unknown'!A$2:A$52)),""),"")</f>
        <v/>
      </c>
      <c r="C199" t="str">
        <f t="array" ref="C199">IF(Knowns!C199&lt;&gt;"",IF(MIN('Clean Unknown'!B$2:B$52) &lt; 9999,MIN(ABS(Knowns!C199-'Clean Unknown'!B$2:B$52)),""),"")</f>
        <v/>
      </c>
      <c r="D199" t="str">
        <f t="array" ref="D199">IF(Knowns!D199&lt;&gt;"",IF(MIN('Clean Unknown'!C$2:C$52) &lt; 9999,MIN(ABS(Knowns!D199-'Clean Unknown'!C$2:C$52)),""),"")</f>
        <v/>
      </c>
      <c r="E199" t="str">
        <f t="array" ref="E199">IF(Knowns!E199&lt;&gt;"",IF(MIN('Clean Unknown'!D$2:D$52) &lt; 9999,MIN(ABS(Knowns!E199-'Clean Unknown'!D$2:D$52)),""),"")</f>
        <v/>
      </c>
      <c r="F199" t="str">
        <f t="array" ref="F199">IF(Knowns!F199&lt;&gt;"",IF(MIN('Clean Unknown'!E$2:E$52) &lt; 9999,MIN(ABS(Knowns!F199-'Clean Unknown'!E$2:E$52)),""),"")</f>
        <v/>
      </c>
      <c r="G199" t="str">
        <f t="array" ref="G199">IF(Knowns!G199&lt;&gt;"",IF(MIN('Clean Unknown'!F$2:F$52) &lt; 9999,MIN(ABS(Knowns!G199-'Clean Unknown'!F$2:F$52)),""),"")</f>
        <v/>
      </c>
    </row>
    <row r="200" spans="1:7">
      <c r="A200">
        <f>Knowns!A200</f>
        <v>0</v>
      </c>
      <c r="B200" t="str">
        <f t="array" ref="B200">IF(Knowns!B200&lt;&gt;"",IF(MIN('Clean Unknown'!A$2:A$52) &lt; 9999,MIN(ABS(Knowns!B200-'Clean Unknown'!A$2:A$52)),""),"")</f>
        <v/>
      </c>
      <c r="C200" t="str">
        <f t="array" ref="C200">IF(Knowns!C200&lt;&gt;"",IF(MIN('Clean Unknown'!B$2:B$52) &lt; 9999,MIN(ABS(Knowns!C200-'Clean Unknown'!B$2:B$52)),""),"")</f>
        <v/>
      </c>
      <c r="D200" t="str">
        <f t="array" ref="D200">IF(Knowns!D200&lt;&gt;"",IF(MIN('Clean Unknown'!C$2:C$52) &lt; 9999,MIN(ABS(Knowns!D200-'Clean Unknown'!C$2:C$52)),""),"")</f>
        <v/>
      </c>
      <c r="E200" t="str">
        <f t="array" ref="E200">IF(Knowns!E200&lt;&gt;"",IF(MIN('Clean Unknown'!D$2:D$52) &lt; 9999,MIN(ABS(Knowns!E200-'Clean Unknown'!D$2:D$52)),""),"")</f>
        <v/>
      </c>
      <c r="F200" t="str">
        <f t="array" ref="F200">IF(Knowns!F200&lt;&gt;"",IF(MIN('Clean Unknown'!E$2:E$52) &lt; 9999,MIN(ABS(Knowns!F200-'Clean Unknown'!E$2:E$52)),""),"")</f>
        <v/>
      </c>
      <c r="G200" t="str">
        <f t="array" ref="G200">IF(Knowns!G200&lt;&gt;"",IF(MIN('Clean Unknown'!F$2:F$52) &lt; 9999,MIN(ABS(Knowns!G200-'Clean Unknown'!F$2:F$52)),""),"")</f>
        <v/>
      </c>
    </row>
    <row r="201" spans="1:7">
      <c r="A201">
        <f>Knowns!A201</f>
        <v>0</v>
      </c>
      <c r="B201" t="str">
        <f t="array" ref="B201">IF(Knowns!B201&lt;&gt;"",IF(MIN('Clean Unknown'!A$2:A$52) &lt; 9999,MIN(ABS(Knowns!B201-'Clean Unknown'!A$2:A$52)),""),"")</f>
        <v/>
      </c>
      <c r="C201" t="str">
        <f t="array" ref="C201">IF(Knowns!C201&lt;&gt;"",IF(MIN('Clean Unknown'!B$2:B$52) &lt; 9999,MIN(ABS(Knowns!C201-'Clean Unknown'!B$2:B$52)),""),"")</f>
        <v/>
      </c>
      <c r="D201" t="str">
        <f t="array" ref="D201">IF(Knowns!D201&lt;&gt;"",IF(MIN('Clean Unknown'!C$2:C$52) &lt; 9999,MIN(ABS(Knowns!D201-'Clean Unknown'!C$2:C$52)),""),"")</f>
        <v/>
      </c>
      <c r="E201" t="str">
        <f t="array" ref="E201">IF(Knowns!E201&lt;&gt;"",IF(MIN('Clean Unknown'!D$2:D$52) &lt; 9999,MIN(ABS(Knowns!E201-'Clean Unknown'!D$2:D$52)),""),"")</f>
        <v/>
      </c>
      <c r="F201" t="str">
        <f t="array" ref="F201">IF(Knowns!F201&lt;&gt;"",IF(MIN('Clean Unknown'!E$2:E$52) &lt; 9999,MIN(ABS(Knowns!F201-'Clean Unknown'!E$2:E$52)),""),"")</f>
        <v/>
      </c>
      <c r="G201" t="str">
        <f t="array" ref="G201">IF(Knowns!G201&lt;&gt;"",IF(MIN('Clean Unknown'!F$2:F$52) &lt; 9999,MIN(ABS(Knowns!G201-'Clean Unknown'!F$2:F$52)),""),"")</f>
        <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 and documentation</vt:lpstr>
      <vt:lpstr>Parameters</vt:lpstr>
      <vt:lpstr>Unknown Data Entry</vt:lpstr>
      <vt:lpstr>Unknown</vt:lpstr>
      <vt:lpstr>Output (short report)</vt:lpstr>
      <vt:lpstr>Complete report</vt:lpstr>
      <vt:lpstr>Scratch Pad</vt:lpstr>
      <vt:lpstr>Knowns</vt:lpstr>
      <vt:lpstr>ThresholdCalc</vt:lpstr>
      <vt:lpstr>Clean Unknown</vt:lpstr>
      <vt:lpstr>Error Calc (bp)</vt:lpstr>
    </vt:vector>
  </TitlesOfParts>
  <Company>koide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 Tai Koide</dc:creator>
  <cp:lastModifiedBy>Carina Negreanu</cp:lastModifiedBy>
  <cp:lastPrinted>2002-05-26T18:29:40Z</cp:lastPrinted>
  <dcterms:created xsi:type="dcterms:W3CDTF">2001-01-22T19:12:35Z</dcterms:created>
  <dcterms:modified xsi:type="dcterms:W3CDTF">2020-01-27T12:47:53Z</dcterms:modified>
</cp:coreProperties>
</file>