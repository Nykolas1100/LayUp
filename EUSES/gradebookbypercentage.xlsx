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A290888-CD35-4D6F-B11B-BA222A7AD581}" xr6:coauthVersionLast="45" xr6:coauthVersionMax="45" xr10:uidLastSave="{00000000-0000-0000-0000-000000000000}"/>
  <bookViews>
    <workbookView xWindow="380" yWindow="380" windowWidth="28800" windowHeight="15460" tabRatio="222"/>
  </bookViews>
  <sheets>
    <sheet name="Sheet1" sheetId="1" r:id="rId1"/>
  </sheets>
  <definedNames>
    <definedName name="GradeTable">Sheet1!$C$11:$O$13</definedName>
    <definedName name="_xlnm.Print_Area" localSheetId="0">Sheet1!$A$14:OFFSET(Sheet1!$I$66,0,COUNTA(Sheet1!$J$16:$AF$16))</definedName>
    <definedName name="_xlnm.Print_Titles" localSheetId="0">Sheet1!$A:$A,Sheet1!$20:$20</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0" i="1" l="1"/>
  <c r="C59" i="1"/>
  <c r="C58" i="1"/>
  <c r="C57" i="1"/>
  <c r="C56" i="1"/>
  <c r="C55" i="1"/>
  <c r="C54" i="1"/>
  <c r="C53" i="1"/>
  <c r="C52" i="1"/>
  <c r="C51" i="1"/>
  <c r="C50" i="1"/>
  <c r="C49" i="1"/>
  <c r="C48" i="1"/>
  <c r="C47" i="1"/>
  <c r="C46" i="1"/>
  <c r="D46" i="1" s="1"/>
  <c r="C45" i="1"/>
  <c r="D45" i="1" s="1"/>
  <c r="C44" i="1"/>
  <c r="D44" i="1" s="1"/>
  <c r="C43" i="1"/>
  <c r="D43" i="1" s="1"/>
  <c r="C42" i="1"/>
  <c r="D42" i="1" s="1"/>
  <c r="C41" i="1"/>
  <c r="E41" i="1" s="1"/>
  <c r="C40" i="1"/>
  <c r="C39" i="1"/>
  <c r="C38" i="1"/>
  <c r="C37" i="1"/>
  <c r="C36" i="1"/>
  <c r="C35" i="1"/>
  <c r="C34" i="1"/>
  <c r="C33" i="1"/>
  <c r="C32" i="1"/>
  <c r="C31" i="1"/>
  <c r="C30" i="1"/>
  <c r="C29" i="1"/>
  <c r="C28" i="1"/>
  <c r="C27" i="1"/>
  <c r="C26" i="1"/>
  <c r="D26" i="1" s="1"/>
  <c r="C25" i="1"/>
  <c r="D25" i="1" s="1"/>
  <c r="C24" i="1"/>
  <c r="D24" i="1" s="1"/>
  <c r="C23" i="1"/>
  <c r="D23" i="1" s="1"/>
  <c r="C22" i="1"/>
  <c r="D22" i="1" s="1"/>
  <c r="C21" i="1"/>
  <c r="C65" i="1" s="1"/>
  <c r="D65" i="1" s="1"/>
  <c r="D60" i="1"/>
  <c r="D59" i="1"/>
  <c r="D58" i="1"/>
  <c r="D57" i="1"/>
  <c r="D56" i="1"/>
  <c r="D55" i="1"/>
  <c r="D54" i="1"/>
  <c r="D53" i="1"/>
  <c r="D52" i="1"/>
  <c r="D51" i="1"/>
  <c r="D50" i="1"/>
  <c r="D49" i="1"/>
  <c r="D48" i="1"/>
  <c r="D47" i="1"/>
  <c r="D40" i="1"/>
  <c r="D39" i="1"/>
  <c r="D38" i="1"/>
  <c r="D37" i="1"/>
  <c r="D36" i="1"/>
  <c r="D35" i="1"/>
  <c r="D34" i="1"/>
  <c r="D33" i="1"/>
  <c r="D32" i="1"/>
  <c r="D31" i="1"/>
  <c r="D30" i="1"/>
  <c r="D29" i="1"/>
  <c r="D28" i="1"/>
  <c r="D27" i="1"/>
  <c r="E17" i="1"/>
  <c r="AF20" i="1"/>
  <c r="AE20" i="1"/>
  <c r="AD20" i="1"/>
  <c r="AC20" i="1"/>
  <c r="AC62" i="1" s="1"/>
  <c r="AB20" i="1"/>
  <c r="AB62" i="1" s="1"/>
  <c r="AA20" i="1"/>
  <c r="AA62" i="1" s="1"/>
  <c r="Z20" i="1"/>
  <c r="Y20" i="1"/>
  <c r="X20" i="1"/>
  <c r="W20" i="1"/>
  <c r="V20" i="1"/>
  <c r="U20" i="1"/>
  <c r="T20" i="1"/>
  <c r="S20" i="1"/>
  <c r="R20" i="1"/>
  <c r="Q20" i="1"/>
  <c r="P20" i="1"/>
  <c r="O20" i="1"/>
  <c r="N20" i="1"/>
  <c r="M20" i="1"/>
  <c r="L20" i="1"/>
  <c r="K20" i="1"/>
  <c r="J20" i="1"/>
  <c r="J62" i="1" s="1"/>
  <c r="I20" i="1"/>
  <c r="I62" i="1" s="1"/>
  <c r="H20" i="1"/>
  <c r="H62" i="1" s="1"/>
  <c r="G20" i="1"/>
  <c r="F20" i="1"/>
  <c r="AF65" i="1"/>
  <c r="AE65" i="1"/>
  <c r="AD65" i="1"/>
  <c r="AC65" i="1"/>
  <c r="AB65" i="1"/>
  <c r="AA65" i="1"/>
  <c r="Z65" i="1"/>
  <c r="Y65" i="1"/>
  <c r="X65" i="1"/>
  <c r="W65" i="1"/>
  <c r="V65" i="1"/>
  <c r="U65" i="1"/>
  <c r="T65" i="1"/>
  <c r="S65" i="1"/>
  <c r="R65" i="1"/>
  <c r="Q65" i="1"/>
  <c r="P65" i="1"/>
  <c r="O65" i="1"/>
  <c r="N65" i="1"/>
  <c r="M65" i="1"/>
  <c r="L65" i="1"/>
  <c r="K65" i="1"/>
  <c r="J65" i="1"/>
  <c r="AF64" i="1"/>
  <c r="AE64" i="1"/>
  <c r="AD64" i="1"/>
  <c r="AC64" i="1"/>
  <c r="AB64" i="1"/>
  <c r="AA64" i="1"/>
  <c r="Z64" i="1"/>
  <c r="Y64" i="1"/>
  <c r="X64" i="1"/>
  <c r="W64" i="1"/>
  <c r="V64" i="1"/>
  <c r="U64" i="1"/>
  <c r="T64" i="1"/>
  <c r="S64" i="1"/>
  <c r="R64" i="1"/>
  <c r="Q64" i="1"/>
  <c r="P64" i="1"/>
  <c r="O64" i="1"/>
  <c r="N64" i="1"/>
  <c r="M64" i="1"/>
  <c r="L64" i="1"/>
  <c r="K64" i="1"/>
  <c r="J64" i="1"/>
  <c r="AF63" i="1"/>
  <c r="AE63" i="1"/>
  <c r="AD63" i="1"/>
  <c r="AC63" i="1"/>
  <c r="AB63" i="1"/>
  <c r="AA63" i="1"/>
  <c r="Z63" i="1"/>
  <c r="Y63" i="1"/>
  <c r="X63" i="1"/>
  <c r="W63" i="1"/>
  <c r="V63" i="1"/>
  <c r="U63" i="1"/>
  <c r="T63" i="1"/>
  <c r="S63" i="1"/>
  <c r="R63" i="1"/>
  <c r="Q63" i="1"/>
  <c r="P63" i="1"/>
  <c r="O63" i="1"/>
  <c r="N63" i="1"/>
  <c r="M63" i="1"/>
  <c r="L63" i="1"/>
  <c r="K63" i="1"/>
  <c r="J63" i="1"/>
  <c r="E27" i="1"/>
  <c r="E28" i="1"/>
  <c r="E29" i="1"/>
  <c r="E30" i="1"/>
  <c r="E31" i="1"/>
  <c r="E32" i="1"/>
  <c r="E33" i="1"/>
  <c r="E34" i="1"/>
  <c r="E35" i="1"/>
  <c r="E36" i="1"/>
  <c r="E37" i="1"/>
  <c r="E38" i="1"/>
  <c r="E39" i="1"/>
  <c r="E40" i="1"/>
  <c r="E47" i="1"/>
  <c r="E48" i="1"/>
  <c r="E49" i="1"/>
  <c r="E50" i="1"/>
  <c r="E51" i="1"/>
  <c r="E52" i="1"/>
  <c r="E53" i="1"/>
  <c r="E54" i="1"/>
  <c r="E55" i="1"/>
  <c r="E56" i="1"/>
  <c r="E57" i="1"/>
  <c r="E58" i="1"/>
  <c r="E59" i="1"/>
  <c r="E60" i="1"/>
  <c r="E62" i="1"/>
  <c r="D62" i="1"/>
  <c r="C62" i="1"/>
  <c r="I65" i="1"/>
  <c r="H65" i="1"/>
  <c r="G65" i="1"/>
  <c r="AE62" i="1"/>
  <c r="AF62" i="1"/>
  <c r="M62" i="1"/>
  <c r="N62" i="1"/>
  <c r="O62" i="1"/>
  <c r="P62" i="1"/>
  <c r="Y62" i="1"/>
  <c r="Z62" i="1"/>
  <c r="AD62" i="1"/>
  <c r="K62" i="1"/>
  <c r="L62" i="1"/>
  <c r="H63" i="1"/>
  <c r="I63" i="1"/>
  <c r="H64" i="1"/>
  <c r="I64" i="1"/>
  <c r="G62" i="1"/>
  <c r="G63" i="1"/>
  <c r="G64" i="1"/>
  <c r="F65" i="1"/>
  <c r="F64" i="1"/>
  <c r="F63" i="1"/>
  <c r="F62" i="1"/>
  <c r="E21" i="1" l="1"/>
  <c r="E22" i="1"/>
  <c r="E46" i="1"/>
  <c r="E26" i="1"/>
  <c r="E45" i="1"/>
  <c r="E44" i="1"/>
  <c r="E24" i="1"/>
  <c r="E43" i="1"/>
  <c r="E23" i="1"/>
  <c r="D21" i="1"/>
  <c r="D41" i="1"/>
  <c r="E25" i="1"/>
  <c r="E42" i="1"/>
  <c r="C63" i="1"/>
  <c r="D63" i="1" s="1"/>
  <c r="C64" i="1"/>
  <c r="D64" i="1" s="1"/>
  <c r="E65" i="1" l="1"/>
  <c r="E64" i="1"/>
  <c r="E63" i="1"/>
</calcChain>
</file>

<file path=xl/comments1.xml><?xml version="1.0" encoding="utf-8"?>
<comments xmlns="http://schemas.openxmlformats.org/spreadsheetml/2006/main">
  <authors>
    <author>Microsoft</author>
    <author>An-Chian Kao</author>
  </authors>
  <commentList>
    <comment ref="C20" authorId="0" shapeId="0">
      <text>
        <r>
          <rPr>
            <sz val="8"/>
            <color indexed="81"/>
            <rFont val="Arial"/>
            <family val="2"/>
          </rPr>
          <t>Cumulative score equals the sum of each individual score times its percentage weight. The cumulative score and grade aren't valid until 100% of scores are in.</t>
        </r>
      </text>
    </comment>
    <comment ref="D20" authorId="1" shapeId="0">
      <text>
        <r>
          <rPr>
            <sz val="8"/>
            <color indexed="81"/>
            <rFont val="Arial"/>
            <family val="2"/>
          </rPr>
          <t>Note that the GradeTable referred to in the formula in this column is the table of grades found at the top of this sheet.</t>
        </r>
      </text>
    </comment>
    <comment ref="AF20" authorId="0" shapeId="0">
      <text>
        <r>
          <rPr>
            <sz val="8"/>
            <color indexed="81"/>
            <rFont val="Arial"/>
            <family val="2"/>
          </rPr>
          <t>INSERT NEW COLUMNS TO THE LEFT TO ADD MORE ASSIGNMENTS OR TESTS.</t>
        </r>
      </text>
    </comment>
    <comment ref="A60" authorId="0" shapeId="0">
      <text>
        <r>
          <rPr>
            <sz val="8"/>
            <color indexed="81"/>
            <rFont val="Arial"/>
            <family val="2"/>
          </rPr>
          <t>INSERT NEW ROWS ABOVE THIS ROW TO ADD STUDENTS.</t>
        </r>
      </text>
    </comment>
  </commentList>
</comments>
</file>

<file path=xl/sharedStrings.xml><?xml version="1.0" encoding="utf-8"?>
<sst xmlns="http://schemas.openxmlformats.org/spreadsheetml/2006/main" count="32" uniqueCount="29">
  <si>
    <t>GRADE &amp; GPA TABLE</t>
  </si>
  <si>
    <t>F</t>
  </si>
  <si>
    <t>D-</t>
  </si>
  <si>
    <t>D</t>
  </si>
  <si>
    <t>D+</t>
  </si>
  <si>
    <t>C-</t>
  </si>
  <si>
    <t>C</t>
  </si>
  <si>
    <t>C+</t>
  </si>
  <si>
    <t>B-</t>
  </si>
  <si>
    <t>B</t>
  </si>
  <si>
    <t>B+</t>
  </si>
  <si>
    <t>A-</t>
  </si>
  <si>
    <t>A</t>
  </si>
  <si>
    <t xml:space="preserve"> CLASS SUMMARY</t>
  </si>
  <si>
    <t xml:space="preserve"> Average</t>
  </si>
  <si>
    <t xml:space="preserve"> Highest Score</t>
  </si>
  <si>
    <t xml:space="preserve"> Lowest Score</t>
  </si>
  <si>
    <t>Ltr Grade</t>
  </si>
  <si>
    <t>GPA</t>
  </si>
  <si>
    <t>STUDENT ID</t>
  </si>
  <si>
    <t>Teacher Name</t>
  </si>
  <si>
    <t>Class/Project</t>
  </si>
  <si>
    <t>Year/Semester/Quarter</t>
  </si>
  <si>
    <t>Your School Name</t>
  </si>
  <si>
    <t>STUDENT NAME</t>
  </si>
  <si>
    <t>Assignment or Test Name</t>
  </si>
  <si>
    <t>Use this gradebook to calculate grades where each assignment is worth a % of the final grade.</t>
  </si>
  <si>
    <t>Score</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</si>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</sst>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9"/>
      <name val="Arial"/>
      <family val="2"/>
    </font>
    <font>
      <b/>
      <sz val="8"/>
      <color indexed="8"/>
      <name val="Times New Roman"/>
      <family val="1"/>
    </font>
    <font>
      <sz val="8"/>
      <name val="Times New Roman"/>
      <family val="1"/>
    </font>
    <font>
      <b/>
      <i/>
      <sz val="8"/>
      <color indexed="8"/>
      <name val="Times New Roman"/>
      <family val="1"/>
    </font>
    <font>
      <b/>
      <i/>
      <sz val="8"/>
      <color indexed="16"/>
      <name val="Times New Roman"/>
      <family val="1"/>
    </font>
    <font>
      <sz val="9"/>
      <name val="Arial"/>
      <family val="2"/>
    </font>
    <font>
      <sz val="18"/>
      <name val="Times New Roman"/>
      <family val="1"/>
    </font>
    <font>
      <sz val="10"/>
      <name val="Times New Roman"/>
      <family val="1"/>
    </font>
    <font>
      <sz val="8"/>
      <color indexed="81"/>
      <name val="Arial"/>
      <family val="2"/>
    </font>
    <font>
      <sz val="8"/>
      <color indexed="10"/>
      <name val="Arial"/>
      <family val="2"/>
    </font>
    <font>
      <b/>
      <sz val="8"/>
      <name val="Arial"/>
      <family val="2"/>
    </font>
    <font>
      <b/>
      <sz val="12"/>
      <name val="Arial"/>
      <family val="2"/>
    </font>
    <font>
      <sz val="8"/>
      <name val="Arial"/>
      <family val="2"/>
    </font>
    <font>
      <sz val="8"/>
      <color indexed="16"/>
      <name val="Arial"/>
      <family val="2"/>
    </font>
    <font>
      <sz val="8"/>
      <name val="Arial"/>
      <family val="2"/>
    </font>
    <font>
      <sz val="8"/>
      <color indexed="8"/>
      <name val="Times New Roman"/>
      <family val="1"/>
    </font>
    <font>
      <sz val="8"/>
      <color indexed="8"/>
      <name val="MS Sans Serif"/>
    </font>
    <font>
      <sz val="9"/>
      <name val="Arial"/>
      <family val="2"/>
    </font>
    <font>
      <sz val="9"/>
      <color indexed="8"/>
      <name val="Arial"/>
      <family val="2"/>
    </font>
    <font>
      <sz val="9"/>
      <color indexed="8"/>
      <name val="Arial"/>
      <family val="2"/>
    </font>
    <font>
      <sz val="8"/>
      <name val="Times New Roman"/>
      <family val="1"/>
    </font>
    <font>
      <b/>
      <sz val="8"/>
      <name val="Times New Roman"/>
      <family val="1"/>
    </font>
    <font>
      <b/>
      <sz val="9"/>
      <color indexed="10"/>
      <name val="Arial"/>
      <family val="2"/>
    </font>
  </fonts>
  <fills count="7">
    <fill>
      <patternFill patternType="none"/>
    </fill>
    <fill>
      <patternFill patternType="gray125"/>
    </fill>
    <fill>
      <patternFill patternType="solid">
        <fgColor indexed="9"/>
        <bgColor indexed="64"/>
      </patternFill>
    </fill>
    <fill>
      <patternFill patternType="solid">
        <fgColor indexed="65"/>
        <bgColor indexed="17"/>
      </patternFill>
    </fill>
    <fill>
      <patternFill patternType="solid">
        <fgColor indexed="65"/>
        <bgColor indexed="64"/>
      </patternFill>
    </fill>
    <fill>
      <patternFill patternType="darkGray">
        <fgColor indexed="22"/>
        <bgColor indexed="22"/>
      </patternFill>
    </fill>
    <fill>
      <patternFill patternType="solid">
        <fgColor indexed="2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3"/>
      </left>
      <right/>
      <top/>
      <bottom/>
      <diagonal/>
    </border>
    <border>
      <left/>
      <right style="thin">
        <color indexed="63"/>
      </right>
      <top/>
      <bottom/>
      <diagonal/>
    </border>
    <border>
      <left style="thin">
        <color indexed="63"/>
      </left>
      <right style="thin">
        <color indexed="63"/>
      </right>
      <top/>
      <bottom/>
      <diagonal/>
    </border>
    <border>
      <left style="thin">
        <color indexed="63"/>
      </left>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80">
    <xf numFmtId="0" fontId="0" fillId="0" borderId="0" xfId="0"/>
    <xf numFmtId="0" fontId="0" fillId="2" borderId="0" xfId="0" applyNumberFormat="1" applyFont="1" applyFill="1" applyBorder="1" applyAlignment="1"/>
    <xf numFmtId="0" fontId="0" fillId="2" borderId="0" xfId="0" applyFill="1" applyBorder="1"/>
    <xf numFmtId="0" fontId="2"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horizontal="center" vertical="top"/>
    </xf>
    <xf numFmtId="0" fontId="7" fillId="2" borderId="0" xfId="0" applyNumberFormat="1" applyFont="1" applyFill="1" applyBorder="1" applyAlignment="1"/>
    <xf numFmtId="0" fontId="0" fillId="0" borderId="0" xfId="0" applyBorder="1"/>
    <xf numFmtId="0" fontId="3" fillId="0" borderId="0" xfId="0" applyNumberFormat="1" applyFont="1" applyFill="1" applyBorder="1" applyAlignment="1" applyProtection="1">
      <alignment horizontal="left" vertical="top"/>
    </xf>
    <xf numFmtId="0" fontId="6" fillId="2" borderId="0" xfId="0" applyNumberFormat="1" applyFont="1" applyFill="1" applyBorder="1" applyAlignment="1">
      <alignment wrapText="1"/>
    </xf>
    <xf numFmtId="0" fontId="10" fillId="2" borderId="1" xfId="0" applyNumberFormat="1" applyFont="1" applyFill="1" applyBorder="1" applyAlignment="1">
      <alignment horizontal="right"/>
    </xf>
    <xf numFmtId="0" fontId="11" fillId="0" borderId="0" xfId="0" applyFont="1"/>
    <xf numFmtId="0" fontId="1" fillId="0" borderId="1" xfId="0" applyNumberFormat="1" applyFont="1" applyFill="1" applyBorder="1" applyAlignment="1" applyProtection="1">
      <alignment horizontal="center" vertical="center"/>
    </xf>
    <xf numFmtId="0" fontId="5" fillId="3" borderId="2" xfId="0" applyNumberFormat="1" applyFont="1" applyFill="1" applyBorder="1" applyAlignment="1" applyProtection="1">
      <alignment horizontal="left"/>
      <protection locked="0"/>
    </xf>
    <xf numFmtId="0" fontId="5" fillId="3" borderId="3" xfId="0" applyNumberFormat="1" applyFont="1" applyFill="1" applyBorder="1" applyAlignment="1" applyProtection="1">
      <alignment horizontal="left"/>
      <protection locked="0"/>
    </xf>
    <xf numFmtId="0" fontId="5" fillId="3" borderId="4" xfId="0" applyNumberFormat="1" applyFont="1" applyFill="1" applyBorder="1" applyAlignment="1" applyProtection="1">
      <alignment horizontal="center"/>
      <protection locked="0"/>
    </xf>
    <xf numFmtId="0" fontId="5" fillId="4" borderId="2" xfId="0" applyNumberFormat="1" applyFont="1" applyFill="1" applyBorder="1" applyAlignment="1" applyProtection="1">
      <alignment horizontal="left"/>
      <protection locked="0"/>
    </xf>
    <xf numFmtId="0" fontId="5" fillId="4" borderId="3" xfId="0" applyNumberFormat="1" applyFont="1" applyFill="1" applyBorder="1" applyAlignment="1" applyProtection="1">
      <alignment horizontal="left"/>
      <protection locked="0"/>
    </xf>
    <xf numFmtId="0" fontId="5" fillId="4" borderId="4" xfId="0" applyNumberFormat="1" applyFont="1" applyFill="1" applyBorder="1" applyAlignment="1" applyProtection="1">
      <alignment horizontal="center"/>
      <protection locked="0"/>
    </xf>
    <xf numFmtId="0" fontId="5" fillId="3" borderId="5" xfId="0" applyNumberFormat="1" applyFont="1" applyFill="1" applyBorder="1" applyAlignment="1" applyProtection="1">
      <alignment horizontal="left"/>
      <protection locked="0"/>
    </xf>
    <xf numFmtId="0" fontId="5" fillId="3" borderId="6" xfId="0" applyNumberFormat="1" applyFont="1" applyFill="1" applyBorder="1" applyAlignment="1" applyProtection="1">
      <alignment horizontal="left"/>
      <protection locked="0"/>
    </xf>
    <xf numFmtId="0" fontId="5" fillId="3" borderId="7" xfId="0" applyNumberFormat="1" applyFont="1" applyFill="1" applyBorder="1" applyAlignment="1" applyProtection="1">
      <alignment horizontal="center"/>
      <protection locked="0"/>
    </xf>
    <xf numFmtId="0" fontId="1" fillId="4" borderId="1" xfId="0" applyNumberFormat="1" applyFont="1" applyFill="1" applyBorder="1" applyAlignment="1" applyProtection="1">
      <alignment horizontal="center" vertical="center"/>
    </xf>
    <xf numFmtId="1" fontId="1" fillId="4" borderId="1" xfId="0" applyNumberFormat="1" applyFont="1" applyFill="1" applyBorder="1" applyAlignment="1" applyProtection="1">
      <alignment horizontal="center" vertical="center"/>
    </xf>
    <xf numFmtId="0" fontId="1" fillId="4" borderId="8" xfId="0" applyNumberFormat="1" applyFont="1" applyFill="1" applyBorder="1" applyAlignment="1" applyProtection="1">
      <alignment horizontal="left" vertical="center"/>
    </xf>
    <xf numFmtId="0" fontId="1" fillId="4" borderId="9" xfId="0" applyNumberFormat="1" applyFont="1" applyFill="1" applyBorder="1" applyAlignment="1" applyProtection="1">
      <alignment horizontal="left" vertical="center"/>
    </xf>
    <xf numFmtId="0" fontId="12" fillId="2" borderId="0" xfId="0" applyNumberFormat="1" applyFont="1" applyFill="1" applyBorder="1" applyAlignment="1"/>
    <xf numFmtId="0" fontId="12" fillId="0" borderId="0" xfId="0" applyFont="1"/>
    <xf numFmtId="9" fontId="13" fillId="4" borderId="10" xfId="0" applyNumberFormat="1" applyFont="1" applyFill="1" applyBorder="1" applyAlignment="1" applyProtection="1">
      <alignment horizontal="center"/>
      <protection locked="0"/>
    </xf>
    <xf numFmtId="9" fontId="13" fillId="4" borderId="11" xfId="0" applyNumberFormat="1" applyFont="1" applyFill="1" applyBorder="1" applyAlignment="1" applyProtection="1">
      <alignment horizontal="center"/>
      <protection locked="0"/>
    </xf>
    <xf numFmtId="0" fontId="13" fillId="4" borderId="10" xfId="0" applyFont="1" applyFill="1" applyBorder="1" applyAlignment="1" applyProtection="1">
      <alignment horizontal="center"/>
      <protection locked="0"/>
    </xf>
    <xf numFmtId="0" fontId="13" fillId="4" borderId="11" xfId="0" applyFont="1" applyFill="1" applyBorder="1" applyAlignment="1" applyProtection="1">
      <alignment horizontal="center"/>
      <protection locked="0"/>
    </xf>
    <xf numFmtId="2" fontId="13" fillId="4" borderId="10" xfId="0" applyNumberFormat="1" applyFont="1" applyFill="1" applyBorder="1" applyAlignment="1" applyProtection="1">
      <alignment horizontal="center"/>
      <protection locked="0"/>
    </xf>
    <xf numFmtId="2" fontId="13" fillId="4" borderId="11" xfId="0" applyNumberFormat="1" applyFont="1" applyFill="1" applyBorder="1" applyAlignment="1" applyProtection="1">
      <alignment horizontal="center"/>
      <protection locked="0"/>
    </xf>
    <xf numFmtId="0" fontId="14" fillId="2" borderId="0" xfId="0" applyNumberFormat="1" applyFont="1" applyFill="1" applyBorder="1" applyAlignment="1"/>
    <xf numFmtId="0" fontId="15" fillId="5" borderId="8" xfId="0" applyFont="1" applyFill="1" applyBorder="1"/>
    <xf numFmtId="0" fontId="15" fillId="5" borderId="12" xfId="0" applyFont="1" applyFill="1" applyBorder="1"/>
    <xf numFmtId="0" fontId="16" fillId="5" borderId="9" xfId="0" applyFont="1" applyFill="1" applyBorder="1"/>
    <xf numFmtId="0" fontId="14" fillId="0" borderId="0" xfId="0" applyFont="1"/>
    <xf numFmtId="0" fontId="17" fillId="0" borderId="4" xfId="0" applyNumberFormat="1" applyFont="1" applyFill="1" applyBorder="1" applyAlignment="1" applyProtection="1">
      <alignment horizontal="left"/>
      <protection locked="0"/>
    </xf>
    <xf numFmtId="0" fontId="17" fillId="0" borderId="4" xfId="0" applyNumberFormat="1" applyFont="1" applyFill="1" applyBorder="1" applyAlignment="1" applyProtection="1">
      <alignment horizontal="center"/>
    </xf>
    <xf numFmtId="1" fontId="18" fillId="0" borderId="4" xfId="0" applyNumberFormat="1" applyFont="1" applyFill="1" applyBorder="1" applyAlignment="1" applyProtection="1">
      <alignment horizontal="center"/>
      <protection locked="0"/>
    </xf>
    <xf numFmtId="0" fontId="17" fillId="0" borderId="0" xfId="0" applyFont="1"/>
    <xf numFmtId="0" fontId="17" fillId="6" borderId="4" xfId="0" applyNumberFormat="1" applyFont="1" applyFill="1" applyBorder="1" applyAlignment="1" applyProtection="1">
      <alignment horizontal="left"/>
      <protection locked="0"/>
    </xf>
    <xf numFmtId="0" fontId="17" fillId="6" borderId="4" xfId="0" applyNumberFormat="1" applyFont="1" applyFill="1" applyBorder="1" applyAlignment="1" applyProtection="1">
      <alignment horizontal="center"/>
      <protection locked="0"/>
    </xf>
    <xf numFmtId="1" fontId="18" fillId="6" borderId="4" xfId="0" applyNumberFormat="1" applyFont="1" applyFill="1" applyBorder="1" applyAlignment="1" applyProtection="1">
      <alignment horizontal="center"/>
      <protection locked="0"/>
    </xf>
    <xf numFmtId="0" fontId="17" fillId="0" borderId="4" xfId="0" applyNumberFormat="1" applyFont="1" applyFill="1" applyBorder="1" applyAlignment="1" applyProtection="1">
      <alignment horizontal="center"/>
      <protection locked="0"/>
    </xf>
    <xf numFmtId="0" fontId="17" fillId="6" borderId="7" xfId="0" applyNumberFormat="1" applyFont="1" applyFill="1" applyBorder="1" applyAlignment="1" applyProtection="1">
      <alignment horizontal="left"/>
      <protection locked="0"/>
    </xf>
    <xf numFmtId="0" fontId="17" fillId="6" borderId="7" xfId="0" applyNumberFormat="1" applyFont="1" applyFill="1" applyBorder="1" applyAlignment="1" applyProtection="1">
      <alignment horizontal="center"/>
      <protection locked="0"/>
    </xf>
    <xf numFmtId="1" fontId="18" fillId="6" borderId="7" xfId="0" applyNumberFormat="1" applyFont="1" applyFill="1" applyBorder="1" applyAlignment="1" applyProtection="1">
      <alignment horizontal="center"/>
      <protection locked="0"/>
    </xf>
    <xf numFmtId="0" fontId="17" fillId="2" borderId="0" xfId="0" applyNumberFormat="1" applyFont="1" applyFill="1" applyBorder="1" applyAlignment="1"/>
    <xf numFmtId="0" fontId="17" fillId="2" borderId="0" xfId="0" applyNumberFormat="1" applyFont="1" applyFill="1" applyBorder="1" applyAlignment="1">
      <alignment horizontal="center"/>
    </xf>
    <xf numFmtId="1" fontId="18" fillId="2" borderId="0" xfId="0" applyNumberFormat="1" applyFont="1" applyFill="1" applyBorder="1" applyAlignment="1" applyProtection="1">
      <alignment horizontal="center"/>
      <protection locked="0"/>
    </xf>
    <xf numFmtId="0" fontId="5" fillId="0" borderId="0" xfId="0" applyFont="1"/>
    <xf numFmtId="1" fontId="19" fillId="3" borderId="4" xfId="0" applyNumberFormat="1" applyFont="1" applyFill="1" applyBorder="1" applyAlignment="1" applyProtection="1">
      <alignment horizontal="center"/>
      <protection locked="0"/>
    </xf>
    <xf numFmtId="1" fontId="19" fillId="4" borderId="4" xfId="0" applyNumberFormat="1" applyFont="1" applyFill="1" applyBorder="1" applyAlignment="1" applyProtection="1">
      <alignment horizontal="center"/>
      <protection locked="0"/>
    </xf>
    <xf numFmtId="1" fontId="19" fillId="3" borderId="7" xfId="0" applyNumberFormat="1" applyFont="1" applyFill="1" applyBorder="1" applyAlignment="1" applyProtection="1">
      <alignment horizontal="center"/>
      <protection locked="0"/>
    </xf>
    <xf numFmtId="0" fontId="12" fillId="0" borderId="0" xfId="0" applyNumberFormat="1" applyFont="1" applyFill="1" applyBorder="1" applyAlignment="1" applyProtection="1">
      <alignment horizontal="left"/>
    </xf>
    <xf numFmtId="0" fontId="12" fillId="2" borderId="0" xfId="0" applyNumberFormat="1" applyFont="1" applyFill="1" applyBorder="1" applyAlignment="1" applyProtection="1">
      <alignment horizontal="left"/>
    </xf>
    <xf numFmtId="0" fontId="14" fillId="0" borderId="0" xfId="0" applyFont="1" applyAlignment="1">
      <alignment horizontal="center"/>
    </xf>
    <xf numFmtId="0" fontId="21" fillId="2" borderId="11" xfId="0" applyFont="1" applyFill="1" applyBorder="1" applyAlignment="1">
      <alignment horizontal="right"/>
    </xf>
    <xf numFmtId="0" fontId="21" fillId="2" borderId="13" xfId="0" applyFont="1" applyFill="1" applyBorder="1" applyAlignment="1">
      <alignment horizontal="right"/>
    </xf>
    <xf numFmtId="0" fontId="20" fillId="2" borderId="14" xfId="0" applyFont="1" applyFill="1" applyBorder="1" applyAlignment="1">
      <alignment horizontal="center"/>
    </xf>
    <xf numFmtId="0" fontId="20" fillId="2" borderId="14" xfId="0" applyNumberFormat="1" applyFont="1" applyFill="1" applyBorder="1" applyAlignment="1">
      <alignment horizontal="center"/>
    </xf>
    <xf numFmtId="0" fontId="20" fillId="2" borderId="13" xfId="0" applyFont="1" applyFill="1" applyBorder="1" applyAlignment="1">
      <alignment horizontal="center"/>
    </xf>
    <xf numFmtId="0" fontId="0" fillId="0" borderId="15" xfId="0" applyBorder="1"/>
    <xf numFmtId="0" fontId="21" fillId="2" borderId="16" xfId="0" applyFont="1" applyFill="1" applyBorder="1"/>
    <xf numFmtId="0" fontId="21" fillId="2" borderId="17" xfId="0" applyFont="1" applyFill="1" applyBorder="1"/>
    <xf numFmtId="0" fontId="22" fillId="0" borderId="0" xfId="0" applyFont="1" applyBorder="1" applyAlignment="1">
      <alignment horizontal="right"/>
    </xf>
    <xf numFmtId="9" fontId="12" fillId="2" borderId="11" xfId="0" applyNumberFormat="1" applyFont="1" applyFill="1" applyBorder="1" applyAlignment="1">
      <alignment horizontal="center"/>
    </xf>
    <xf numFmtId="9" fontId="12" fillId="2" borderId="10" xfId="0" applyNumberFormat="1" applyFont="1" applyFill="1" applyBorder="1" applyAlignment="1">
      <alignment horizontal="center"/>
    </xf>
    <xf numFmtId="0" fontId="0" fillId="0" borderId="16" xfId="0" applyBorder="1"/>
    <xf numFmtId="0" fontId="9" fillId="2" borderId="18" xfId="0" quotePrefix="1" applyNumberFormat="1" applyFont="1" applyFill="1" applyBorder="1" applyAlignment="1"/>
    <xf numFmtId="0" fontId="0" fillId="0" borderId="17" xfId="0" applyBorder="1"/>
    <xf numFmtId="2" fontId="17" fillId="0" borderId="4" xfId="0" applyNumberFormat="1" applyFont="1" applyFill="1" applyBorder="1" applyAlignment="1" applyProtection="1">
      <alignment horizontal="center"/>
    </xf>
    <xf numFmtId="2" fontId="5" fillId="3" borderId="4" xfId="0" applyNumberFormat="1" applyFont="1" applyFill="1" applyBorder="1" applyAlignment="1" applyProtection="1">
      <alignment horizontal="center"/>
      <protection locked="0"/>
    </xf>
    <xf numFmtId="2" fontId="5" fillId="4" borderId="4" xfId="0" applyNumberFormat="1" applyFont="1" applyFill="1" applyBorder="1" applyAlignment="1" applyProtection="1">
      <alignment horizontal="center"/>
      <protection locked="0"/>
    </xf>
    <xf numFmtId="2" fontId="5" fillId="3" borderId="7" xfId="0" applyNumberFormat="1" applyFont="1" applyFill="1" applyBorder="1" applyAlignment="1" applyProtection="1">
      <alignment horizontal="center"/>
      <protection locked="0"/>
    </xf>
    <xf numFmtId="2" fontId="17" fillId="6" borderId="4" xfId="0" applyNumberFormat="1" applyFont="1" applyFill="1" applyBorder="1" applyAlignment="1" applyProtection="1">
      <alignment horizontal="center"/>
      <protection locked="0"/>
    </xf>
    <xf numFmtId="2" fontId="17" fillId="0" borderId="4" xfId="0" applyNumberFormat="1" applyFont="1" applyFill="1" applyBorder="1" applyAlignment="1" applyProtection="1">
      <alignment horizontal="center"/>
      <protection locked="0"/>
    </xf>
    <xf numFmtId="2" fontId="17" fillId="6" borderId="7" xfId="0" applyNumberFormat="1"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69850</xdr:rowOff>
    </xdr:from>
    <xdr:to>
      <xdr:col>9</xdr:col>
      <xdr:colOff>165100</xdr:colOff>
      <xdr:row>8</xdr:row>
      <xdr:rowOff>101600</xdr:rowOff>
    </xdr:to>
    <xdr:sp macro="" textlink="">
      <xdr:nvSpPr>
        <xdr:cNvPr id="1036" name="Text Box 12">
          <a:extLst>
            <a:ext uri="{FF2B5EF4-FFF2-40B4-BE49-F238E27FC236}">
              <a16:creationId xmlns:a16="http://schemas.microsoft.com/office/drawing/2014/main" id="{4B9223B2-CCEB-47AA-A070-BB152C6E6122}"/>
            </a:ext>
          </a:extLst>
        </xdr:cNvPr>
        <xdr:cNvSpPr txBox="1">
          <a:spLocks noChangeArrowheads="1"/>
        </xdr:cNvSpPr>
      </xdr:nvSpPr>
      <xdr:spPr bwMode="auto">
        <a:xfrm>
          <a:off x="38100" y="266700"/>
          <a:ext cx="6769100" cy="920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Instructions:</a:t>
          </a:r>
          <a:r>
            <a:rPr lang="en-GB" sz="800" b="0" i="0" u="none" strike="noStrike" baseline="0">
              <a:solidFill>
                <a:srgbClr val="000000"/>
              </a:solidFill>
              <a:latin typeface="Arial"/>
              <a:cs typeface="Arial"/>
            </a:rPr>
            <a:t>   </a:t>
          </a:r>
          <a:r>
            <a:rPr lang="en-GB" sz="800" b="0" i="0" u="none" strike="noStrike" baseline="0">
              <a:solidFill>
                <a:srgbClr val="FF0000"/>
              </a:solidFill>
              <a:latin typeface="Arial"/>
              <a:cs typeface="Arial"/>
            </a:rPr>
            <a:t>Be sure to save backup copies of your grades, just in case.</a:t>
          </a:r>
          <a:endParaRPr lang="en-GB" sz="8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1. Fill in your school name, class info, student names, and student IDs (optional).   </a:t>
          </a:r>
        </a:p>
        <a:p>
          <a:pPr algn="l" rtl="0">
            <a:lnSpc>
              <a:spcPts val="800"/>
            </a:lnSpc>
            <a:defRPr sz="1000"/>
          </a:pPr>
          <a:r>
            <a:rPr lang="en-GB" sz="800" b="0" i="0" u="none" strike="noStrike" baseline="0">
              <a:solidFill>
                <a:srgbClr val="000000"/>
              </a:solidFill>
              <a:latin typeface="Arial"/>
              <a:cs typeface="Arial"/>
            </a:rPr>
            <a:t>2. Adjust the Grade &amp; GPA table below to match the typical scoring system you use.</a:t>
          </a:r>
        </a:p>
        <a:p>
          <a:pPr algn="l" rtl="0">
            <a:defRPr sz="1000"/>
          </a:pPr>
          <a:r>
            <a:rPr lang="en-GB" sz="800" b="0" i="0" u="none" strike="noStrike" baseline="0">
              <a:solidFill>
                <a:srgbClr val="000000"/>
              </a:solidFill>
              <a:latin typeface="Arial"/>
              <a:cs typeface="Arial"/>
            </a:rPr>
            <a:t>3. Fill in the assignment or test names starting in cell F16, along with the percentage that each is worth (e.g. "Final" and "50%"). </a:t>
          </a:r>
        </a:p>
        <a:p>
          <a:pPr algn="l" rtl="0">
            <a:lnSpc>
              <a:spcPts val="800"/>
            </a:lnSpc>
            <a:defRPr sz="1000"/>
          </a:pPr>
          <a:r>
            <a:rPr lang="en-GB" sz="800" b="0" i="0" u="none" strike="noStrike" baseline="0">
              <a:solidFill>
                <a:srgbClr val="000000"/>
              </a:solidFill>
              <a:latin typeface="Arial"/>
              <a:cs typeface="Arial"/>
            </a:rPr>
            <a:t>4. Fill in the scores for each student on each assignment or test. The "Score", "Ltr Grade" and "GPA" columns are automatically calculated, but you can override them if you wish. The way the grades are computed, the average and final grade are incomplete until all scores (adding up to 100%) are in.</a:t>
          </a:r>
        </a:p>
        <a:p>
          <a:pPr algn="l" rtl="0">
            <a:lnSpc>
              <a:spcPts val="1000"/>
            </a:lnSpc>
            <a:defRPr sz="1000"/>
          </a:pPr>
          <a:r>
            <a:rPr lang="en-GB" sz="800" b="0" i="0" u="none" strike="noStrike" baseline="0">
              <a:solidFill>
                <a:srgbClr val="000000"/>
              </a:solidFill>
              <a:latin typeface="Arial"/>
              <a:cs typeface="Arial"/>
            </a:rPr>
            <a:t>Note: Use the "Print Area" command on the File menu if you want to change what area prints.</a:t>
          </a:r>
        </a:p>
      </xdr:txBody>
    </xdr:sp>
    <xdr:clientData fPrintsWithSheet="0"/>
  </xdr:twoCellAnchor>
  <xdr:twoCellAnchor>
    <xdr:from>
      <xdr:col>1</xdr:col>
      <xdr:colOff>0</xdr:colOff>
      <xdr:row>13</xdr:row>
      <xdr:rowOff>234950</xdr:rowOff>
    </xdr:from>
    <xdr:to>
      <xdr:col>7</xdr:col>
      <xdr:colOff>444500</xdr:colOff>
      <xdr:row>14</xdr:row>
      <xdr:rowOff>107950</xdr:rowOff>
    </xdr:to>
    <xdr:sp macro="" textlink="">
      <xdr:nvSpPr>
        <xdr:cNvPr id="1042" name="Text Box 18">
          <a:extLst>
            <a:ext uri="{FF2B5EF4-FFF2-40B4-BE49-F238E27FC236}">
              <a16:creationId xmlns:a16="http://schemas.microsoft.com/office/drawing/2014/main" id="{EBDEE93A-4E62-456F-8256-F84896509F4A}"/>
            </a:ext>
          </a:extLst>
        </xdr:cNvPr>
        <xdr:cNvSpPr txBox="1">
          <a:spLocks noChangeArrowheads="1"/>
        </xdr:cNvSpPr>
      </xdr:nvSpPr>
      <xdr:spPr bwMode="auto">
        <a:xfrm>
          <a:off x="2057400" y="2000250"/>
          <a:ext cx="3911600" cy="165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Enter each assignment or test and its percentage of the total grade into the table below.</a:t>
          </a:r>
        </a:p>
      </xdr:txBody>
    </xdr:sp>
    <xdr:clientData fPrintsWithSheet="0"/>
  </xdr:twoCellAnchor>
  <xdr:twoCellAnchor>
    <xdr:from>
      <xdr:col>1</xdr:col>
      <xdr:colOff>0</xdr:colOff>
      <xdr:row>17</xdr:row>
      <xdr:rowOff>88900</xdr:rowOff>
    </xdr:from>
    <xdr:to>
      <xdr:col>7</xdr:col>
      <xdr:colOff>444500</xdr:colOff>
      <xdr:row>18</xdr:row>
      <xdr:rowOff>101600</xdr:rowOff>
    </xdr:to>
    <xdr:sp macro="" textlink="">
      <xdr:nvSpPr>
        <xdr:cNvPr id="1043" name="Text Box 19">
          <a:extLst>
            <a:ext uri="{FF2B5EF4-FFF2-40B4-BE49-F238E27FC236}">
              <a16:creationId xmlns:a16="http://schemas.microsoft.com/office/drawing/2014/main" id="{C48EB0DD-B78A-415E-BC7B-44D5B1276EB4}"/>
            </a:ext>
          </a:extLst>
        </xdr:cNvPr>
        <xdr:cNvSpPr txBox="1">
          <a:spLocks noChangeArrowheads="1"/>
        </xdr:cNvSpPr>
      </xdr:nvSpPr>
      <xdr:spPr bwMode="auto">
        <a:xfrm>
          <a:off x="2057400" y="2641600"/>
          <a:ext cx="3911600" cy="158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Score, Ltr Grade and GPA are not valid until 100% of tests &amp; assignments are complete.</a:t>
          </a: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66"/>
  <sheetViews>
    <sheetView showGridLines="0" tabSelected="1" zoomScaleNormal="100" workbookViewId="0">
      <selection activeCell="F20" sqref="F20"/>
    </sheetView>
  </sheetViews>
  <sheetFormatPr defaultRowHeight="11.5" x14ac:dyDescent="0.25"/>
  <cols>
    <col min="1" max="1" width="32.3984375" customWidth="1"/>
    <col min="2" max="2" width="11.3984375" customWidth="1"/>
    <col min="3" max="6" width="8.59765625" customWidth="1"/>
  </cols>
  <sheetData>
    <row r="1" spans="1:34" ht="15.5" x14ac:dyDescent="0.35">
      <c r="A1" s="10" t="s">
        <v>26</v>
      </c>
    </row>
    <row r="2" spans="1:34" s="26" customFormat="1" ht="10" x14ac:dyDescent="0.2">
      <c r="A2" s="25"/>
      <c r="B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row>
    <row r="3" spans="1:34" s="26" customFormat="1" ht="10" x14ac:dyDescent="0.2">
      <c r="A3" s="25"/>
      <c r="B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row>
    <row r="4" spans="1:34" s="26" customFormat="1" ht="10" x14ac:dyDescent="0.2">
      <c r="A4" s="25"/>
      <c r="B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row>
    <row r="5" spans="1:34" s="26" customFormat="1" ht="10" x14ac:dyDescent="0.2">
      <c r="A5" s="25"/>
      <c r="B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row>
    <row r="6" spans="1:34" s="26" customFormat="1" ht="10" x14ac:dyDescent="0.2">
      <c r="A6" s="25"/>
      <c r="B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row>
    <row r="7" spans="1:34" s="26" customFormat="1" ht="10" x14ac:dyDescent="0.2">
      <c r="A7" s="25"/>
      <c r="B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row>
    <row r="8" spans="1:34" s="26" customFormat="1" ht="10" x14ac:dyDescent="0.2">
      <c r="A8" s="25"/>
      <c r="B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row>
    <row r="9" spans="1:34" x14ac:dyDescent="0.25">
      <c r="C9" s="1"/>
      <c r="D9" s="1"/>
      <c r="E9" s="1"/>
      <c r="F9" s="1"/>
      <c r="G9" s="1"/>
      <c r="H9" s="1"/>
      <c r="I9" s="1"/>
      <c r="J9" s="1"/>
      <c r="K9" s="1"/>
      <c r="L9" s="1"/>
      <c r="M9" s="1"/>
      <c r="N9" s="1"/>
    </row>
    <row r="10" spans="1:34" s="37" customFormat="1" ht="10.5" x14ac:dyDescent="0.25">
      <c r="A10" s="33"/>
      <c r="B10" s="33"/>
      <c r="C10" s="34" t="s">
        <v>0</v>
      </c>
      <c r="D10" s="35"/>
      <c r="E10" s="35"/>
      <c r="F10" s="35"/>
      <c r="G10" s="35"/>
      <c r="H10" s="35"/>
      <c r="I10" s="35"/>
      <c r="J10" s="35"/>
      <c r="K10" s="35"/>
      <c r="L10" s="35"/>
      <c r="M10" s="35"/>
      <c r="N10" s="35"/>
      <c r="O10" s="36"/>
      <c r="P10" s="33"/>
      <c r="Q10" s="33"/>
      <c r="R10" s="33"/>
      <c r="S10" s="33"/>
      <c r="T10" s="33"/>
      <c r="U10" s="33"/>
      <c r="V10" s="33"/>
      <c r="W10" s="33"/>
      <c r="X10" s="33"/>
      <c r="Y10" s="33"/>
      <c r="Z10" s="33"/>
      <c r="AA10" s="33"/>
      <c r="AB10" s="33"/>
      <c r="AC10" s="33"/>
      <c r="AD10" s="33"/>
      <c r="AE10" s="33"/>
      <c r="AF10" s="33"/>
      <c r="AG10" s="33"/>
      <c r="AH10" s="33"/>
    </row>
    <row r="11" spans="1:34" s="26" customFormat="1" ht="10.5" x14ac:dyDescent="0.25">
      <c r="A11" s="25"/>
      <c r="B11" s="9" t="s">
        <v>27</v>
      </c>
      <c r="C11" s="27">
        <v>0</v>
      </c>
      <c r="D11" s="28">
        <v>0.6</v>
      </c>
      <c r="E11" s="28">
        <v>0.63</v>
      </c>
      <c r="F11" s="28">
        <v>0.67</v>
      </c>
      <c r="G11" s="28">
        <v>0.7</v>
      </c>
      <c r="H11" s="28">
        <v>0.73</v>
      </c>
      <c r="I11" s="28">
        <v>0.77</v>
      </c>
      <c r="J11" s="28">
        <v>0.8</v>
      </c>
      <c r="K11" s="28">
        <v>0.83</v>
      </c>
      <c r="L11" s="28">
        <v>0.87</v>
      </c>
      <c r="M11" s="28">
        <v>0.9</v>
      </c>
      <c r="N11" s="28">
        <v>0.93</v>
      </c>
      <c r="O11" s="28">
        <v>0.97</v>
      </c>
      <c r="P11" s="25"/>
      <c r="Q11" s="25"/>
      <c r="R11" s="25"/>
      <c r="S11" s="25"/>
      <c r="T11" s="25"/>
      <c r="U11" s="25"/>
      <c r="V11" s="25"/>
      <c r="W11" s="25"/>
      <c r="X11" s="25"/>
      <c r="Y11" s="25"/>
      <c r="Z11" s="25"/>
      <c r="AA11" s="25"/>
      <c r="AB11" s="25"/>
      <c r="AC11" s="25"/>
      <c r="AD11" s="25"/>
      <c r="AE11" s="25"/>
      <c r="AF11" s="25"/>
      <c r="AG11" s="25"/>
      <c r="AH11" s="25"/>
    </row>
    <row r="12" spans="1:34" s="26" customFormat="1" ht="10.5" x14ac:dyDescent="0.25">
      <c r="A12" s="25"/>
      <c r="B12" s="9" t="s">
        <v>17</v>
      </c>
      <c r="C12" s="29" t="s">
        <v>1</v>
      </c>
      <c r="D12" s="30" t="s">
        <v>2</v>
      </c>
      <c r="E12" s="30" t="s">
        <v>3</v>
      </c>
      <c r="F12" s="30" t="s">
        <v>4</v>
      </c>
      <c r="G12" s="30" t="s">
        <v>5</v>
      </c>
      <c r="H12" s="30" t="s">
        <v>6</v>
      </c>
      <c r="I12" s="30" t="s">
        <v>7</v>
      </c>
      <c r="J12" s="30" t="s">
        <v>8</v>
      </c>
      <c r="K12" s="30" t="s">
        <v>9</v>
      </c>
      <c r="L12" s="30" t="s">
        <v>10</v>
      </c>
      <c r="M12" s="30" t="s">
        <v>11</v>
      </c>
      <c r="N12" s="30" t="s">
        <v>12</v>
      </c>
      <c r="O12" s="30" t="s">
        <v>28</v>
      </c>
      <c r="P12" s="25"/>
      <c r="Q12" s="25"/>
      <c r="R12" s="25"/>
      <c r="S12" s="25"/>
      <c r="T12" s="25"/>
      <c r="U12" s="25"/>
      <c r="V12" s="25"/>
      <c r="W12" s="25"/>
      <c r="X12" s="25"/>
      <c r="Y12" s="25"/>
      <c r="Z12" s="25"/>
      <c r="AA12" s="25"/>
      <c r="AB12" s="25"/>
      <c r="AC12" s="25"/>
      <c r="AD12" s="25"/>
      <c r="AE12" s="25"/>
      <c r="AF12" s="25"/>
      <c r="AG12" s="25"/>
      <c r="AH12" s="25"/>
    </row>
    <row r="13" spans="1:34" s="26" customFormat="1" ht="10.5" x14ac:dyDescent="0.25">
      <c r="A13" s="25"/>
      <c r="B13" s="9" t="s">
        <v>18</v>
      </c>
      <c r="C13" s="31">
        <v>0</v>
      </c>
      <c r="D13" s="32">
        <v>0.67</v>
      </c>
      <c r="E13" s="32">
        <v>1</v>
      </c>
      <c r="F13" s="32">
        <v>1.33</v>
      </c>
      <c r="G13" s="32">
        <v>1.67</v>
      </c>
      <c r="H13" s="32">
        <v>2</v>
      </c>
      <c r="I13" s="32">
        <v>2.33</v>
      </c>
      <c r="J13" s="32">
        <v>2.67</v>
      </c>
      <c r="K13" s="32">
        <v>3</v>
      </c>
      <c r="L13" s="32">
        <v>3.33</v>
      </c>
      <c r="M13" s="32">
        <v>3.67</v>
      </c>
      <c r="N13" s="32">
        <v>4</v>
      </c>
      <c r="O13" s="32">
        <v>4</v>
      </c>
      <c r="P13" s="25"/>
      <c r="Q13" s="25"/>
      <c r="R13" s="25"/>
      <c r="S13" s="25"/>
      <c r="T13" s="25"/>
      <c r="U13" s="25"/>
      <c r="V13" s="25"/>
      <c r="W13" s="25"/>
      <c r="X13" s="25"/>
      <c r="Y13" s="25"/>
      <c r="Z13" s="25"/>
      <c r="AA13" s="25"/>
      <c r="AB13" s="25"/>
      <c r="AC13" s="25"/>
      <c r="AD13" s="25"/>
      <c r="AE13" s="25"/>
      <c r="AF13" s="25"/>
      <c r="AG13" s="25"/>
      <c r="AH13" s="25"/>
    </row>
    <row r="14" spans="1:34" ht="23" x14ac:dyDescent="0.5">
      <c r="A14" s="8" t="s">
        <v>23</v>
      </c>
      <c r="B14" s="6"/>
      <c r="D14" s="2"/>
      <c r="E14" s="67"/>
      <c r="F14" s="2"/>
      <c r="G14" s="2"/>
      <c r="H14" s="2"/>
      <c r="I14" s="2"/>
      <c r="J14" s="2"/>
      <c r="K14" s="2"/>
      <c r="L14" s="2"/>
      <c r="M14" s="2"/>
      <c r="N14" s="2"/>
      <c r="O14" s="1"/>
      <c r="P14" s="1"/>
      <c r="Q14" s="1"/>
      <c r="R14" s="1"/>
      <c r="S14" s="1"/>
      <c r="T14" s="1"/>
      <c r="U14" s="1"/>
      <c r="V14" s="1"/>
      <c r="W14" s="1"/>
      <c r="X14" s="1"/>
      <c r="Y14" s="1"/>
      <c r="Z14" s="1"/>
      <c r="AA14" s="1"/>
      <c r="AB14" s="1"/>
      <c r="AC14" s="1"/>
      <c r="AD14" s="1"/>
      <c r="AE14" s="1"/>
      <c r="AF14" s="1"/>
      <c r="AG14" s="1"/>
    </row>
    <row r="15" spans="1:34" ht="13" x14ac:dyDescent="0.3">
      <c r="A15" s="5" t="s">
        <v>20</v>
      </c>
      <c r="AG15" s="1"/>
    </row>
    <row r="16" spans="1:34" ht="13" x14ac:dyDescent="0.3">
      <c r="A16" s="5" t="s">
        <v>21</v>
      </c>
      <c r="B16" s="64"/>
      <c r="C16" s="70"/>
      <c r="D16" s="65"/>
      <c r="E16" s="60" t="s">
        <v>25</v>
      </c>
      <c r="F16" s="63"/>
      <c r="G16" s="61"/>
      <c r="H16" s="61"/>
      <c r="I16" s="61"/>
      <c r="J16" s="61"/>
      <c r="K16" s="61"/>
      <c r="L16" s="61"/>
      <c r="M16" s="61"/>
      <c r="N16" s="62"/>
      <c r="O16" s="62"/>
      <c r="P16" s="62"/>
      <c r="Q16" s="62"/>
      <c r="R16" s="62"/>
      <c r="S16" s="62"/>
      <c r="T16" s="62"/>
      <c r="U16" s="62"/>
      <c r="V16" s="62"/>
      <c r="W16" s="62"/>
      <c r="X16" s="62"/>
      <c r="Y16" s="62"/>
      <c r="Z16" s="62"/>
      <c r="AA16" s="62"/>
      <c r="AB16" s="62"/>
      <c r="AC16" s="62"/>
      <c r="AD16" s="62"/>
      <c r="AE16" s="62"/>
      <c r="AF16" s="62"/>
      <c r="AG16" s="1"/>
    </row>
    <row r="17" spans="1:33" ht="13" x14ac:dyDescent="0.3">
      <c r="A17" s="5" t="s">
        <v>22</v>
      </c>
      <c r="B17" s="71"/>
      <c r="C17" s="72"/>
      <c r="D17" s="66"/>
      <c r="E17" s="59" t="str">
        <f>"Percentage "&amp;IF(SUM(F17:AF17)=1,"(100% total)","(must add up to 100%)")</f>
        <v>Percentage (must add up to 100%)</v>
      </c>
      <c r="F17" s="68"/>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1"/>
    </row>
    <row r="18" spans="1:33" x14ac:dyDescent="0.25">
      <c r="A18" s="3"/>
      <c r="B18" s="3"/>
      <c r="C18" s="3"/>
      <c r="D18" s="3"/>
      <c r="E18" s="3"/>
      <c r="F18" s="7"/>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3" x14ac:dyDescent="0.25">
      <c r="A19" s="3"/>
      <c r="B19" s="3"/>
      <c r="C19" s="3"/>
      <c r="D19" s="3"/>
      <c r="E19" s="3"/>
      <c r="F19" s="7"/>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3" s="58" customFormat="1" ht="10.5" x14ac:dyDescent="0.2">
      <c r="A20" s="11" t="s">
        <v>24</v>
      </c>
      <c r="B20" s="11" t="s">
        <v>19</v>
      </c>
      <c r="C20" s="11" t="s">
        <v>27</v>
      </c>
      <c r="D20" s="11" t="s">
        <v>17</v>
      </c>
      <c r="E20" s="11" t="s">
        <v>18</v>
      </c>
      <c r="F20" s="22" t="str">
        <f t="shared" ref="F20:AF20" si="0">IF(OR(F16,F16&gt;""),F16,"")</f>
        <v/>
      </c>
      <c r="G20" s="11" t="str">
        <f t="shared" si="0"/>
        <v/>
      </c>
      <c r="H20" s="11" t="str">
        <f t="shared" si="0"/>
        <v/>
      </c>
      <c r="I20" s="11" t="str">
        <f t="shared" si="0"/>
        <v/>
      </c>
      <c r="J20" s="11" t="str">
        <f t="shared" si="0"/>
        <v/>
      </c>
      <c r="K20" s="11" t="str">
        <f t="shared" si="0"/>
        <v/>
      </c>
      <c r="L20" s="11" t="str">
        <f t="shared" si="0"/>
        <v/>
      </c>
      <c r="M20" s="11" t="str">
        <f t="shared" si="0"/>
        <v/>
      </c>
      <c r="N20" s="11" t="str">
        <f t="shared" si="0"/>
        <v/>
      </c>
      <c r="O20" s="11" t="str">
        <f t="shared" si="0"/>
        <v/>
      </c>
      <c r="P20" s="11" t="str">
        <f t="shared" si="0"/>
        <v/>
      </c>
      <c r="Q20" s="11" t="str">
        <f t="shared" si="0"/>
        <v/>
      </c>
      <c r="R20" s="11" t="str">
        <f t="shared" si="0"/>
        <v/>
      </c>
      <c r="S20" s="11" t="str">
        <f t="shared" si="0"/>
        <v/>
      </c>
      <c r="T20" s="11" t="str">
        <f t="shared" si="0"/>
        <v/>
      </c>
      <c r="U20" s="11" t="str">
        <f t="shared" si="0"/>
        <v/>
      </c>
      <c r="V20" s="11" t="str">
        <f t="shared" si="0"/>
        <v/>
      </c>
      <c r="W20" s="11" t="str">
        <f t="shared" si="0"/>
        <v/>
      </c>
      <c r="X20" s="11" t="str">
        <f t="shared" si="0"/>
        <v/>
      </c>
      <c r="Y20" s="11" t="str">
        <f t="shared" si="0"/>
        <v/>
      </c>
      <c r="Z20" s="11" t="str">
        <f t="shared" si="0"/>
        <v/>
      </c>
      <c r="AA20" s="11" t="str">
        <f t="shared" si="0"/>
        <v/>
      </c>
      <c r="AB20" s="11" t="str">
        <f t="shared" si="0"/>
        <v/>
      </c>
      <c r="AC20" s="11" t="str">
        <f t="shared" si="0"/>
        <v/>
      </c>
      <c r="AD20" s="11" t="str">
        <f t="shared" si="0"/>
        <v/>
      </c>
      <c r="AE20" s="11" t="str">
        <f t="shared" si="0"/>
        <v/>
      </c>
      <c r="AF20" s="11" t="str">
        <f t="shared" si="0"/>
        <v/>
      </c>
    </row>
    <row r="21" spans="1:33" s="41" customFormat="1" x14ac:dyDescent="0.25">
      <c r="A21" s="38"/>
      <c r="B21" s="45"/>
      <c r="C21" s="73" t="str">
        <f>(IF(SUM(F21:AF21),ROUND(SUMPRODUCT($F$17:$AF$17,F21:AF21),2),""))</f>
        <v/>
      </c>
      <c r="D21" s="39" t="str">
        <f>IF(C21&lt;&gt;"",HLOOKUP(C21/100,GradeTable,2),"")</f>
        <v/>
      </c>
      <c r="E21" s="39" t="str">
        <f t="shared" ref="E21:E60" si="1">IF(C21&lt;&gt;"",HLOOKUP(C21/100,GradeTable,3),"")</f>
        <v/>
      </c>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row>
    <row r="22" spans="1:33" s="41" customFormat="1" x14ac:dyDescent="0.25">
      <c r="A22" s="42"/>
      <c r="B22" s="43"/>
      <c r="C22" s="77" t="str">
        <f t="shared" ref="C22:C60" si="2">(IF(SUM(F22:AF22),ROUND(SUMPRODUCT($F$17:$AF$17,F22:AF22),2),""))</f>
        <v/>
      </c>
      <c r="D22" s="43" t="str">
        <f t="shared" ref="D22:D60" si="3">IF(C22&lt;&gt;"",HLOOKUP(C22/100,GradeTable,2),"")</f>
        <v/>
      </c>
      <c r="E22" s="43" t="str">
        <f t="shared" si="1"/>
        <v/>
      </c>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row>
    <row r="23" spans="1:33" s="41" customFormat="1" x14ac:dyDescent="0.25">
      <c r="A23" s="38"/>
      <c r="B23" s="45"/>
      <c r="C23" s="78" t="str">
        <f t="shared" si="2"/>
        <v/>
      </c>
      <c r="D23" s="45" t="str">
        <f t="shared" si="3"/>
        <v/>
      </c>
      <c r="E23" s="45" t="str">
        <f t="shared" si="1"/>
        <v/>
      </c>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row>
    <row r="24" spans="1:33" s="41" customFormat="1" x14ac:dyDescent="0.25">
      <c r="A24" s="42"/>
      <c r="B24" s="43"/>
      <c r="C24" s="77" t="str">
        <f t="shared" si="2"/>
        <v/>
      </c>
      <c r="D24" s="43" t="str">
        <f t="shared" si="3"/>
        <v/>
      </c>
      <c r="E24" s="43" t="str">
        <f t="shared" si="1"/>
        <v/>
      </c>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row>
    <row r="25" spans="1:33" s="41" customFormat="1" x14ac:dyDescent="0.25">
      <c r="A25" s="38"/>
      <c r="B25" s="45"/>
      <c r="C25" s="78" t="str">
        <f t="shared" si="2"/>
        <v/>
      </c>
      <c r="D25" s="45" t="str">
        <f t="shared" si="3"/>
        <v/>
      </c>
      <c r="E25" s="45" t="str">
        <f t="shared" si="1"/>
        <v/>
      </c>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row>
    <row r="26" spans="1:33" s="41" customFormat="1" x14ac:dyDescent="0.25">
      <c r="A26" s="42"/>
      <c r="B26" s="43"/>
      <c r="C26" s="77" t="str">
        <f t="shared" si="2"/>
        <v/>
      </c>
      <c r="D26" s="43" t="str">
        <f t="shared" si="3"/>
        <v/>
      </c>
      <c r="E26" s="43" t="str">
        <f t="shared" si="1"/>
        <v/>
      </c>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row>
    <row r="27" spans="1:33" s="41" customFormat="1" x14ac:dyDescent="0.25">
      <c r="A27" s="38"/>
      <c r="B27" s="45"/>
      <c r="C27" s="78" t="str">
        <f t="shared" si="2"/>
        <v/>
      </c>
      <c r="D27" s="45" t="str">
        <f t="shared" si="3"/>
        <v/>
      </c>
      <c r="E27" s="45" t="str">
        <f t="shared" si="1"/>
        <v/>
      </c>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row>
    <row r="28" spans="1:33" s="41" customFormat="1" x14ac:dyDescent="0.25">
      <c r="A28" s="42"/>
      <c r="B28" s="43"/>
      <c r="C28" s="77" t="str">
        <f t="shared" si="2"/>
        <v/>
      </c>
      <c r="D28" s="43" t="str">
        <f t="shared" si="3"/>
        <v/>
      </c>
      <c r="E28" s="43" t="str">
        <f t="shared" si="1"/>
        <v/>
      </c>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row>
    <row r="29" spans="1:33" s="41" customFormat="1" x14ac:dyDescent="0.25">
      <c r="A29" s="38"/>
      <c r="B29" s="45"/>
      <c r="C29" s="78" t="str">
        <f t="shared" si="2"/>
        <v/>
      </c>
      <c r="D29" s="45" t="str">
        <f t="shared" si="3"/>
        <v/>
      </c>
      <c r="E29" s="45" t="str">
        <f t="shared" si="1"/>
        <v/>
      </c>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row>
    <row r="30" spans="1:33" s="41" customFormat="1" x14ac:dyDescent="0.25">
      <c r="A30" s="42"/>
      <c r="B30" s="43"/>
      <c r="C30" s="77" t="str">
        <f t="shared" si="2"/>
        <v/>
      </c>
      <c r="D30" s="43" t="str">
        <f t="shared" si="3"/>
        <v/>
      </c>
      <c r="E30" s="43" t="str">
        <f t="shared" si="1"/>
        <v/>
      </c>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row>
    <row r="31" spans="1:33" s="41" customFormat="1" x14ac:dyDescent="0.25">
      <c r="A31" s="38"/>
      <c r="B31" s="45"/>
      <c r="C31" s="78" t="str">
        <f t="shared" si="2"/>
        <v/>
      </c>
      <c r="D31" s="45" t="str">
        <f t="shared" si="3"/>
        <v/>
      </c>
      <c r="E31" s="45" t="str">
        <f t="shared" si="1"/>
        <v/>
      </c>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row>
    <row r="32" spans="1:33" s="41" customFormat="1" x14ac:dyDescent="0.25">
      <c r="A32" s="42"/>
      <c r="B32" s="43"/>
      <c r="C32" s="77" t="str">
        <f t="shared" si="2"/>
        <v/>
      </c>
      <c r="D32" s="43" t="str">
        <f t="shared" si="3"/>
        <v/>
      </c>
      <c r="E32" s="43" t="str">
        <f t="shared" si="1"/>
        <v/>
      </c>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row>
    <row r="33" spans="1:32" s="41" customFormat="1" x14ac:dyDescent="0.25">
      <c r="A33" s="38"/>
      <c r="B33" s="45"/>
      <c r="C33" s="78" t="str">
        <f t="shared" si="2"/>
        <v/>
      </c>
      <c r="D33" s="45" t="str">
        <f t="shared" si="3"/>
        <v/>
      </c>
      <c r="E33" s="45" t="str">
        <f t="shared" si="1"/>
        <v/>
      </c>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row>
    <row r="34" spans="1:32" s="41" customFormat="1" x14ac:dyDescent="0.25">
      <c r="A34" s="42"/>
      <c r="B34" s="43"/>
      <c r="C34" s="77" t="str">
        <f t="shared" si="2"/>
        <v/>
      </c>
      <c r="D34" s="43" t="str">
        <f t="shared" si="3"/>
        <v/>
      </c>
      <c r="E34" s="43" t="str">
        <f t="shared" si="1"/>
        <v/>
      </c>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row>
    <row r="35" spans="1:32" s="41" customFormat="1" x14ac:dyDescent="0.25">
      <c r="A35" s="38"/>
      <c r="B35" s="45"/>
      <c r="C35" s="78" t="str">
        <f t="shared" si="2"/>
        <v/>
      </c>
      <c r="D35" s="45" t="str">
        <f t="shared" si="3"/>
        <v/>
      </c>
      <c r="E35" s="45" t="str">
        <f t="shared" si="1"/>
        <v/>
      </c>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row>
    <row r="36" spans="1:32" s="41" customFormat="1" x14ac:dyDescent="0.25">
      <c r="A36" s="42"/>
      <c r="B36" s="43"/>
      <c r="C36" s="77" t="str">
        <f t="shared" si="2"/>
        <v/>
      </c>
      <c r="D36" s="43" t="str">
        <f t="shared" si="3"/>
        <v/>
      </c>
      <c r="E36" s="43" t="str">
        <f t="shared" si="1"/>
        <v/>
      </c>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row>
    <row r="37" spans="1:32" s="41" customFormat="1" x14ac:dyDescent="0.25">
      <c r="A37" s="38"/>
      <c r="B37" s="45"/>
      <c r="C37" s="78" t="str">
        <f t="shared" si="2"/>
        <v/>
      </c>
      <c r="D37" s="45" t="str">
        <f t="shared" si="3"/>
        <v/>
      </c>
      <c r="E37" s="45" t="str">
        <f t="shared" si="1"/>
        <v/>
      </c>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row>
    <row r="38" spans="1:32" s="41" customFormat="1" x14ac:dyDescent="0.25">
      <c r="A38" s="42"/>
      <c r="B38" s="43"/>
      <c r="C38" s="77" t="str">
        <f t="shared" si="2"/>
        <v/>
      </c>
      <c r="D38" s="43" t="str">
        <f t="shared" si="3"/>
        <v/>
      </c>
      <c r="E38" s="43" t="str">
        <f t="shared" si="1"/>
        <v/>
      </c>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row>
    <row r="39" spans="1:32" s="41" customFormat="1" x14ac:dyDescent="0.25">
      <c r="A39" s="38"/>
      <c r="B39" s="45"/>
      <c r="C39" s="78" t="str">
        <f t="shared" si="2"/>
        <v/>
      </c>
      <c r="D39" s="45" t="str">
        <f t="shared" si="3"/>
        <v/>
      </c>
      <c r="E39" s="45" t="str">
        <f t="shared" si="1"/>
        <v/>
      </c>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row>
    <row r="40" spans="1:32" s="41" customFormat="1" x14ac:dyDescent="0.25">
      <c r="A40" s="42"/>
      <c r="B40" s="43"/>
      <c r="C40" s="77" t="str">
        <f t="shared" si="2"/>
        <v/>
      </c>
      <c r="D40" s="43" t="str">
        <f t="shared" si="3"/>
        <v/>
      </c>
      <c r="E40" s="43" t="str">
        <f t="shared" si="1"/>
        <v/>
      </c>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row>
    <row r="41" spans="1:32" s="41" customFormat="1" x14ac:dyDescent="0.25">
      <c r="A41" s="38"/>
      <c r="B41" s="45"/>
      <c r="C41" s="78" t="str">
        <f t="shared" si="2"/>
        <v/>
      </c>
      <c r="D41" s="45" t="str">
        <f t="shared" si="3"/>
        <v/>
      </c>
      <c r="E41" s="45" t="str">
        <f t="shared" si="1"/>
        <v/>
      </c>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row>
    <row r="42" spans="1:32" s="41" customFormat="1" x14ac:dyDescent="0.25">
      <c r="A42" s="42"/>
      <c r="B42" s="43"/>
      <c r="C42" s="77" t="str">
        <f t="shared" si="2"/>
        <v/>
      </c>
      <c r="D42" s="43" t="str">
        <f t="shared" si="3"/>
        <v/>
      </c>
      <c r="E42" s="43" t="str">
        <f t="shared" si="1"/>
        <v/>
      </c>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row>
    <row r="43" spans="1:32" s="41" customFormat="1" x14ac:dyDescent="0.25">
      <c r="A43" s="38"/>
      <c r="B43" s="45"/>
      <c r="C43" s="78" t="str">
        <f t="shared" si="2"/>
        <v/>
      </c>
      <c r="D43" s="45" t="str">
        <f t="shared" si="3"/>
        <v/>
      </c>
      <c r="E43" s="45" t="str">
        <f t="shared" si="1"/>
        <v/>
      </c>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row>
    <row r="44" spans="1:32" s="41" customFormat="1" x14ac:dyDescent="0.25">
      <c r="A44" s="42"/>
      <c r="B44" s="43"/>
      <c r="C44" s="77" t="str">
        <f t="shared" si="2"/>
        <v/>
      </c>
      <c r="D44" s="43" t="str">
        <f t="shared" si="3"/>
        <v/>
      </c>
      <c r="E44" s="43" t="str">
        <f t="shared" si="1"/>
        <v/>
      </c>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row>
    <row r="45" spans="1:32" s="41" customFormat="1" x14ac:dyDescent="0.25">
      <c r="A45" s="38"/>
      <c r="B45" s="45"/>
      <c r="C45" s="78" t="str">
        <f t="shared" si="2"/>
        <v/>
      </c>
      <c r="D45" s="45" t="str">
        <f t="shared" si="3"/>
        <v/>
      </c>
      <c r="E45" s="45" t="str">
        <f t="shared" si="1"/>
        <v/>
      </c>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row>
    <row r="46" spans="1:32" s="41" customFormat="1" x14ac:dyDescent="0.25">
      <c r="A46" s="42"/>
      <c r="B46" s="43"/>
      <c r="C46" s="77" t="str">
        <f t="shared" si="2"/>
        <v/>
      </c>
      <c r="D46" s="43" t="str">
        <f t="shared" si="3"/>
        <v/>
      </c>
      <c r="E46" s="43" t="str">
        <f t="shared" si="1"/>
        <v/>
      </c>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row>
    <row r="47" spans="1:32" s="41" customFormat="1" x14ac:dyDescent="0.25">
      <c r="A47" s="38"/>
      <c r="B47" s="45"/>
      <c r="C47" s="78" t="str">
        <f t="shared" si="2"/>
        <v/>
      </c>
      <c r="D47" s="45" t="str">
        <f t="shared" si="3"/>
        <v/>
      </c>
      <c r="E47" s="45" t="str">
        <f t="shared" si="1"/>
        <v/>
      </c>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row>
    <row r="48" spans="1:32" s="41" customFormat="1" x14ac:dyDescent="0.25">
      <c r="A48" s="42"/>
      <c r="B48" s="43"/>
      <c r="C48" s="77" t="str">
        <f t="shared" si="2"/>
        <v/>
      </c>
      <c r="D48" s="43" t="str">
        <f t="shared" si="3"/>
        <v/>
      </c>
      <c r="E48" s="43" t="str">
        <f t="shared" si="1"/>
        <v/>
      </c>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row>
    <row r="49" spans="1:32" s="41" customFormat="1" x14ac:dyDescent="0.25">
      <c r="A49" s="38"/>
      <c r="B49" s="45"/>
      <c r="C49" s="78" t="str">
        <f t="shared" si="2"/>
        <v/>
      </c>
      <c r="D49" s="45" t="str">
        <f t="shared" si="3"/>
        <v/>
      </c>
      <c r="E49" s="45" t="str">
        <f t="shared" si="1"/>
        <v/>
      </c>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row>
    <row r="50" spans="1:32" s="41" customFormat="1" x14ac:dyDescent="0.25">
      <c r="A50" s="42"/>
      <c r="B50" s="43"/>
      <c r="C50" s="77" t="str">
        <f t="shared" si="2"/>
        <v/>
      </c>
      <c r="D50" s="43" t="str">
        <f t="shared" si="3"/>
        <v/>
      </c>
      <c r="E50" s="43" t="str">
        <f t="shared" si="1"/>
        <v/>
      </c>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row>
    <row r="51" spans="1:32" s="41" customFormat="1" x14ac:dyDescent="0.25">
      <c r="A51" s="38"/>
      <c r="B51" s="45"/>
      <c r="C51" s="78" t="str">
        <f t="shared" si="2"/>
        <v/>
      </c>
      <c r="D51" s="45" t="str">
        <f t="shared" si="3"/>
        <v/>
      </c>
      <c r="E51" s="45" t="str">
        <f t="shared" si="1"/>
        <v/>
      </c>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row>
    <row r="52" spans="1:32" s="41" customFormat="1" x14ac:dyDescent="0.25">
      <c r="A52" s="42"/>
      <c r="B52" s="43"/>
      <c r="C52" s="77" t="str">
        <f t="shared" si="2"/>
        <v/>
      </c>
      <c r="D52" s="43" t="str">
        <f t="shared" si="3"/>
        <v/>
      </c>
      <c r="E52" s="43" t="str">
        <f t="shared" si="1"/>
        <v/>
      </c>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row>
    <row r="53" spans="1:32" s="41" customFormat="1" x14ac:dyDescent="0.25">
      <c r="A53" s="38"/>
      <c r="B53" s="45"/>
      <c r="C53" s="78" t="str">
        <f t="shared" si="2"/>
        <v/>
      </c>
      <c r="D53" s="45" t="str">
        <f t="shared" si="3"/>
        <v/>
      </c>
      <c r="E53" s="45" t="str">
        <f t="shared" si="1"/>
        <v/>
      </c>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row>
    <row r="54" spans="1:32" s="41" customFormat="1" x14ac:dyDescent="0.25">
      <c r="A54" s="42"/>
      <c r="B54" s="43"/>
      <c r="C54" s="77" t="str">
        <f t="shared" si="2"/>
        <v/>
      </c>
      <c r="D54" s="43" t="str">
        <f t="shared" si="3"/>
        <v/>
      </c>
      <c r="E54" s="43" t="str">
        <f t="shared" si="1"/>
        <v/>
      </c>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row>
    <row r="55" spans="1:32" s="41" customFormat="1" x14ac:dyDescent="0.25">
      <c r="A55" s="38"/>
      <c r="B55" s="45"/>
      <c r="C55" s="78" t="str">
        <f t="shared" si="2"/>
        <v/>
      </c>
      <c r="D55" s="45" t="str">
        <f t="shared" si="3"/>
        <v/>
      </c>
      <c r="E55" s="45" t="str">
        <f t="shared" si="1"/>
        <v/>
      </c>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row>
    <row r="56" spans="1:32" s="41" customFormat="1" x14ac:dyDescent="0.25">
      <c r="A56" s="42"/>
      <c r="B56" s="43"/>
      <c r="C56" s="77" t="str">
        <f t="shared" si="2"/>
        <v/>
      </c>
      <c r="D56" s="43" t="str">
        <f t="shared" si="3"/>
        <v/>
      </c>
      <c r="E56" s="43" t="str">
        <f t="shared" si="1"/>
        <v/>
      </c>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row>
    <row r="57" spans="1:32" s="41" customFormat="1" x14ac:dyDescent="0.25">
      <c r="A57" s="38"/>
      <c r="B57" s="45"/>
      <c r="C57" s="78" t="str">
        <f t="shared" si="2"/>
        <v/>
      </c>
      <c r="D57" s="45" t="str">
        <f t="shared" si="3"/>
        <v/>
      </c>
      <c r="E57" s="45" t="str">
        <f t="shared" si="1"/>
        <v/>
      </c>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row>
    <row r="58" spans="1:32" s="41" customFormat="1" x14ac:dyDescent="0.25">
      <c r="A58" s="42"/>
      <c r="B58" s="43"/>
      <c r="C58" s="77" t="str">
        <f t="shared" si="2"/>
        <v/>
      </c>
      <c r="D58" s="43" t="str">
        <f t="shared" si="3"/>
        <v/>
      </c>
      <c r="E58" s="43" t="str">
        <f t="shared" si="1"/>
        <v/>
      </c>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row>
    <row r="59" spans="1:32" s="41" customFormat="1" x14ac:dyDescent="0.25">
      <c r="A59" s="38"/>
      <c r="B59" s="45"/>
      <c r="C59" s="78" t="str">
        <f t="shared" si="2"/>
        <v/>
      </c>
      <c r="D59" s="45" t="str">
        <f t="shared" si="3"/>
        <v/>
      </c>
      <c r="E59" s="45" t="str">
        <f t="shared" si="1"/>
        <v/>
      </c>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row>
    <row r="60" spans="1:32" s="41" customFormat="1" x14ac:dyDescent="0.25">
      <c r="A60" s="46"/>
      <c r="B60" s="47"/>
      <c r="C60" s="79" t="str">
        <f t="shared" si="2"/>
        <v/>
      </c>
      <c r="D60" s="47" t="str">
        <f t="shared" si="3"/>
        <v/>
      </c>
      <c r="E60" s="47" t="str">
        <f t="shared" si="1"/>
        <v/>
      </c>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row>
    <row r="61" spans="1:32" s="41" customFormat="1" x14ac:dyDescent="0.25">
      <c r="A61" s="49"/>
      <c r="B61" s="49"/>
      <c r="C61" s="50"/>
      <c r="D61" s="50"/>
      <c r="E61" s="50"/>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row>
    <row r="62" spans="1:32" s="37" customFormat="1" ht="10.5" x14ac:dyDescent="0.2">
      <c r="A62" s="23" t="s">
        <v>13</v>
      </c>
      <c r="B62" s="24"/>
      <c r="C62" s="21" t="str">
        <f t="shared" ref="C62:AF62" si="4">IF(OR(C20,C20&gt;""),C20,"")</f>
        <v>Score</v>
      </c>
      <c r="D62" s="21" t="str">
        <f t="shared" si="4"/>
        <v>Ltr Grade</v>
      </c>
      <c r="E62" s="21" t="str">
        <f t="shared" si="4"/>
        <v>GPA</v>
      </c>
      <c r="F62" s="22" t="str">
        <f t="shared" si="4"/>
        <v/>
      </c>
      <c r="G62" s="22" t="str">
        <f t="shared" si="4"/>
        <v/>
      </c>
      <c r="H62" s="22" t="str">
        <f t="shared" si="4"/>
        <v/>
      </c>
      <c r="I62" s="22" t="str">
        <f t="shared" si="4"/>
        <v/>
      </c>
      <c r="J62" s="22" t="str">
        <f t="shared" si="4"/>
        <v/>
      </c>
      <c r="K62" s="22" t="str">
        <f t="shared" si="4"/>
        <v/>
      </c>
      <c r="L62" s="22" t="str">
        <f t="shared" si="4"/>
        <v/>
      </c>
      <c r="M62" s="22" t="str">
        <f t="shared" si="4"/>
        <v/>
      </c>
      <c r="N62" s="22" t="str">
        <f t="shared" si="4"/>
        <v/>
      </c>
      <c r="O62" s="22" t="str">
        <f t="shared" si="4"/>
        <v/>
      </c>
      <c r="P62" s="22" t="str">
        <f t="shared" si="4"/>
        <v/>
      </c>
      <c r="Q62" s="22"/>
      <c r="R62" s="22"/>
      <c r="S62" s="22"/>
      <c r="T62" s="22"/>
      <c r="U62" s="22"/>
      <c r="V62" s="22"/>
      <c r="W62" s="22"/>
      <c r="X62" s="22"/>
      <c r="Y62" s="22" t="str">
        <f t="shared" si="4"/>
        <v/>
      </c>
      <c r="Z62" s="22" t="str">
        <f t="shared" si="4"/>
        <v/>
      </c>
      <c r="AA62" s="22" t="str">
        <f t="shared" si="4"/>
        <v/>
      </c>
      <c r="AB62" s="22" t="str">
        <f t="shared" si="4"/>
        <v/>
      </c>
      <c r="AC62" s="22" t="str">
        <f t="shared" si="4"/>
        <v/>
      </c>
      <c r="AD62" s="22" t="str">
        <f t="shared" si="4"/>
        <v/>
      </c>
      <c r="AE62" s="22" t="str">
        <f t="shared" si="4"/>
        <v/>
      </c>
      <c r="AF62" s="22" t="str">
        <f t="shared" si="4"/>
        <v/>
      </c>
    </row>
    <row r="63" spans="1:32" s="52" customFormat="1" x14ac:dyDescent="0.25">
      <c r="A63" s="12" t="s">
        <v>14</v>
      </c>
      <c r="B63" s="13"/>
      <c r="C63" s="74" t="str">
        <f>IF(SUM(C21:C61),AVERAGE(C21:C61),"")</f>
        <v/>
      </c>
      <c r="D63" s="14" t="str">
        <f>IF(C63&lt;&gt;"",HLOOKUP(C63/100,GradeTable,2),"")</f>
        <v/>
      </c>
      <c r="E63" s="74" t="str">
        <f>IF(SUM(E21:E61),AVERAGE(E21:E61),"")</f>
        <v/>
      </c>
      <c r="F63" s="53" t="str">
        <f>IF(SUM(F21:F61),AVERAGE(F21:F61),"")</f>
        <v/>
      </c>
      <c r="G63" s="53" t="str">
        <f>IF(SUM(G21:G61),AVERAGE(G21:G61),"")</f>
        <v/>
      </c>
      <c r="H63" s="53" t="str">
        <f>IF(SUM(H21:H61),AVERAGE(H21:H61),"")</f>
        <v/>
      </c>
      <c r="I63" s="53" t="str">
        <f>IF(SUM(I21:I61),AVERAGE(I21:I61),"")</f>
        <v/>
      </c>
      <c r="J63" s="53" t="str">
        <f t="shared" ref="J63:AF63" si="5">IF(SUM(J21:J61),AVERAGE(J21:J61),"")</f>
        <v/>
      </c>
      <c r="K63" s="53" t="str">
        <f t="shared" si="5"/>
        <v/>
      </c>
      <c r="L63" s="53" t="str">
        <f t="shared" si="5"/>
        <v/>
      </c>
      <c r="M63" s="53" t="str">
        <f t="shared" si="5"/>
        <v/>
      </c>
      <c r="N63" s="53" t="str">
        <f t="shared" si="5"/>
        <v/>
      </c>
      <c r="O63" s="53" t="str">
        <f t="shared" si="5"/>
        <v/>
      </c>
      <c r="P63" s="53" t="str">
        <f t="shared" si="5"/>
        <v/>
      </c>
      <c r="Q63" s="53" t="str">
        <f t="shared" si="5"/>
        <v/>
      </c>
      <c r="R63" s="53" t="str">
        <f t="shared" si="5"/>
        <v/>
      </c>
      <c r="S63" s="53" t="str">
        <f t="shared" si="5"/>
        <v/>
      </c>
      <c r="T63" s="53" t="str">
        <f t="shared" si="5"/>
        <v/>
      </c>
      <c r="U63" s="53" t="str">
        <f t="shared" si="5"/>
        <v/>
      </c>
      <c r="V63" s="53" t="str">
        <f t="shared" si="5"/>
        <v/>
      </c>
      <c r="W63" s="53" t="str">
        <f t="shared" si="5"/>
        <v/>
      </c>
      <c r="X63" s="53" t="str">
        <f t="shared" si="5"/>
        <v/>
      </c>
      <c r="Y63" s="53" t="str">
        <f t="shared" si="5"/>
        <v/>
      </c>
      <c r="Z63" s="53" t="str">
        <f t="shared" si="5"/>
        <v/>
      </c>
      <c r="AA63" s="53" t="str">
        <f t="shared" si="5"/>
        <v/>
      </c>
      <c r="AB63" s="53" t="str">
        <f t="shared" si="5"/>
        <v/>
      </c>
      <c r="AC63" s="53" t="str">
        <f t="shared" si="5"/>
        <v/>
      </c>
      <c r="AD63" s="53" t="str">
        <f t="shared" si="5"/>
        <v/>
      </c>
      <c r="AE63" s="53" t="str">
        <f t="shared" si="5"/>
        <v/>
      </c>
      <c r="AF63" s="53" t="str">
        <f t="shared" si="5"/>
        <v/>
      </c>
    </row>
    <row r="64" spans="1:32" s="52" customFormat="1" x14ac:dyDescent="0.25">
      <c r="A64" s="15" t="s">
        <v>15</v>
      </c>
      <c r="B64" s="16"/>
      <c r="C64" s="75" t="str">
        <f>IF(SUM(C21:C61),MAX(C21:C61),"")</f>
        <v/>
      </c>
      <c r="D64" s="17" t="str">
        <f>IF(C64&lt;&gt;"",HLOOKUP(C64/100,GradeTable,2),"")</f>
        <v/>
      </c>
      <c r="E64" s="75" t="str">
        <f>IF(SUM(E21:E61),MAX(E21:E61),"")</f>
        <v/>
      </c>
      <c r="F64" s="54" t="str">
        <f>IF(SUM(F21:F61),MAX(F21:F61),"")</f>
        <v/>
      </c>
      <c r="G64" s="54" t="str">
        <f>IF(SUM(G21:G61),MAX(G21:G61),"")</f>
        <v/>
      </c>
      <c r="H64" s="54" t="str">
        <f>IF(SUM(H21:H61),MAX(H21:H61),"")</f>
        <v/>
      </c>
      <c r="I64" s="54" t="str">
        <f>IF(SUM(I21:I61),MAX(I21:I61),"")</f>
        <v/>
      </c>
      <c r="J64" s="54" t="str">
        <f t="shared" ref="J64:AF64" si="6">IF(SUM(J21:J61),MAX(J21:J61),"")</f>
        <v/>
      </c>
      <c r="K64" s="54" t="str">
        <f t="shared" si="6"/>
        <v/>
      </c>
      <c r="L64" s="54" t="str">
        <f t="shared" si="6"/>
        <v/>
      </c>
      <c r="M64" s="54" t="str">
        <f t="shared" si="6"/>
        <v/>
      </c>
      <c r="N64" s="54" t="str">
        <f t="shared" si="6"/>
        <v/>
      </c>
      <c r="O64" s="54" t="str">
        <f t="shared" si="6"/>
        <v/>
      </c>
      <c r="P64" s="54" t="str">
        <f t="shared" si="6"/>
        <v/>
      </c>
      <c r="Q64" s="54" t="str">
        <f t="shared" si="6"/>
        <v/>
      </c>
      <c r="R64" s="54" t="str">
        <f t="shared" si="6"/>
        <v/>
      </c>
      <c r="S64" s="54" t="str">
        <f t="shared" si="6"/>
        <v/>
      </c>
      <c r="T64" s="54" t="str">
        <f t="shared" si="6"/>
        <v/>
      </c>
      <c r="U64" s="54" t="str">
        <f t="shared" si="6"/>
        <v/>
      </c>
      <c r="V64" s="54" t="str">
        <f t="shared" si="6"/>
        <v/>
      </c>
      <c r="W64" s="54" t="str">
        <f t="shared" si="6"/>
        <v/>
      </c>
      <c r="X64" s="54" t="str">
        <f t="shared" si="6"/>
        <v/>
      </c>
      <c r="Y64" s="54" t="str">
        <f t="shared" si="6"/>
        <v/>
      </c>
      <c r="Z64" s="54" t="str">
        <f t="shared" si="6"/>
        <v/>
      </c>
      <c r="AA64" s="54" t="str">
        <f t="shared" si="6"/>
        <v/>
      </c>
      <c r="AB64" s="54" t="str">
        <f t="shared" si="6"/>
        <v/>
      </c>
      <c r="AC64" s="54" t="str">
        <f t="shared" si="6"/>
        <v/>
      </c>
      <c r="AD64" s="54" t="str">
        <f t="shared" si="6"/>
        <v/>
      </c>
      <c r="AE64" s="54" t="str">
        <f t="shared" si="6"/>
        <v/>
      </c>
      <c r="AF64" s="54" t="str">
        <f t="shared" si="6"/>
        <v/>
      </c>
    </row>
    <row r="65" spans="1:32" s="52" customFormat="1" x14ac:dyDescent="0.25">
      <c r="A65" s="18" t="s">
        <v>16</v>
      </c>
      <c r="B65" s="19"/>
      <c r="C65" s="76" t="str">
        <f>IF(SUM(C21:C61),MIN(C21:C61),"")</f>
        <v/>
      </c>
      <c r="D65" s="20" t="str">
        <f>IF(C65&lt;&gt;"",HLOOKUP(C65/100,GradeTable,2),"")</f>
        <v/>
      </c>
      <c r="E65" s="76" t="str">
        <f>IF(SUM(E21:E61),MIN(E21:E61),"")</f>
        <v/>
      </c>
      <c r="F65" s="55" t="str">
        <f>IF(SUM(F21:F61),MIN(F21:F61),"")</f>
        <v/>
      </c>
      <c r="G65" s="55" t="str">
        <f>IF(SUM(G21:G61),MIN(G21:G61),"")</f>
        <v/>
      </c>
      <c r="H65" s="55" t="str">
        <f>IF(SUM(H21:H61),MIN(H21:H61),"")</f>
        <v/>
      </c>
      <c r="I65" s="55" t="str">
        <f>IF(SUM(I21:I61),MIN(I21:I61),"")</f>
        <v/>
      </c>
      <c r="J65" s="55" t="str">
        <f t="shared" ref="J65:AF65" si="7">IF(SUM(J21:J61),MIN(J21:J61),"")</f>
        <v/>
      </c>
      <c r="K65" s="55" t="str">
        <f t="shared" si="7"/>
        <v/>
      </c>
      <c r="L65" s="55" t="str">
        <f t="shared" si="7"/>
        <v/>
      </c>
      <c r="M65" s="55" t="str">
        <f t="shared" si="7"/>
        <v/>
      </c>
      <c r="N65" s="55" t="str">
        <f t="shared" si="7"/>
        <v/>
      </c>
      <c r="O65" s="55" t="str">
        <f t="shared" si="7"/>
        <v/>
      </c>
      <c r="P65" s="55" t="str">
        <f t="shared" si="7"/>
        <v/>
      </c>
      <c r="Q65" s="55" t="str">
        <f t="shared" si="7"/>
        <v/>
      </c>
      <c r="R65" s="55" t="str">
        <f t="shared" si="7"/>
        <v/>
      </c>
      <c r="S65" s="55" t="str">
        <f t="shared" si="7"/>
        <v/>
      </c>
      <c r="T65" s="55" t="str">
        <f t="shared" si="7"/>
        <v/>
      </c>
      <c r="U65" s="55" t="str">
        <f t="shared" si="7"/>
        <v/>
      </c>
      <c r="V65" s="55" t="str">
        <f t="shared" si="7"/>
        <v/>
      </c>
      <c r="W65" s="55" t="str">
        <f t="shared" si="7"/>
        <v/>
      </c>
      <c r="X65" s="55" t="str">
        <f t="shared" si="7"/>
        <v/>
      </c>
      <c r="Y65" s="55" t="str">
        <f t="shared" si="7"/>
        <v/>
      </c>
      <c r="Z65" s="55" t="str">
        <f t="shared" si="7"/>
        <v/>
      </c>
      <c r="AA65" s="55" t="str">
        <f t="shared" si="7"/>
        <v/>
      </c>
      <c r="AB65" s="55" t="str">
        <f t="shared" si="7"/>
        <v/>
      </c>
      <c r="AC65" s="55" t="str">
        <f t="shared" si="7"/>
        <v/>
      </c>
      <c r="AD65" s="55" t="str">
        <f t="shared" si="7"/>
        <v/>
      </c>
      <c r="AE65" s="55" t="str">
        <f t="shared" si="7"/>
        <v/>
      </c>
      <c r="AF65" s="55" t="str">
        <f t="shared" si="7"/>
        <v/>
      </c>
    </row>
    <row r="66" spans="1:32" s="26" customFormat="1" ht="10" x14ac:dyDescent="0.2">
      <c r="A66" s="56"/>
      <c r="B66" s="56"/>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sheetData>
  <phoneticPr fontId="0" type="noConversion"/>
  <pageMargins left="0.5" right="0.5" top="0.5" bottom="1" header="0.5" footer="0.5"/>
  <pageSetup orientation="portrait" r:id="rId1"/>
  <headerFooter alignWithMargins="0">
    <oddFooter>Page &amp;P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GradeTable</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dc:creator>
  <cp:lastModifiedBy>Carina Negreanu</cp:lastModifiedBy>
  <cp:lastPrinted>2000-09-06T07:06:48Z</cp:lastPrinted>
  <dcterms:created xsi:type="dcterms:W3CDTF">2000-08-31T02:37:50Z</dcterms:created>
  <dcterms:modified xsi:type="dcterms:W3CDTF">2020-01-27T11:39:12Z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-1228687063</vt:i4>
  </property>
  <property fmtid="{D5CDD505-2E9C-101B-9397-08002B2CF9AE}" pid="3" name="_EmailSubject">
    <vt:lpwstr>Gradebooks</vt:lpwstr>
  </property>
  <property fmtid="{D5CDD505-2E9C-101B-9397-08002B2CF9AE}" pid="4" name="_AuthorEmail">
    <vt:lpwstr>FEnfinger@sccd.ctc.edu</vt:lpwstr>
  </property>
  <property fmtid="{D5CDD505-2E9C-101B-9397-08002B2CF9AE}" pid="5" name="_AuthorEmailDisplayName">
    <vt:lpwstr>Enfinger, Frank</vt:lpwstr>
  </property>
  <property fmtid="{D5CDD505-2E9C-101B-9397-08002B2CF9AE}" pid="6" name="_ReviewingToolsShownOnce">
    <vt:lpwstr/>
  </property>
</Properties>
</file>