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4F17875-50F7-412E-8B0D-EB64CD3FAEE6}" xr6:coauthVersionLast="45" xr6:coauthVersionMax="45" xr10:uidLastSave="{00000000-0000-0000-0000-000000000000}"/>
  <bookViews>
    <workbookView xWindow="3040" yWindow="3040" windowWidth="28800" windowHeight="15460"/>
  </bookViews>
  <sheets>
    <sheet name="READ ME FIRST" sheetId="5" r:id="rId1"/>
    <sheet name="Year-by-Year Data" sheetId="6" r:id="rId2"/>
    <sheet name="Calculations" sheetId="7" r:id="rId3"/>
  </sheets>
  <definedNames>
    <definedName name="_xlnm.Print_Area" localSheetId="0">'READ ME FIRST'!$A$2:$A$21</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9" i="7" l="1"/>
  <c r="I9" i="7"/>
  <c r="J9" i="7"/>
  <c r="K9" i="7"/>
  <c r="L9" i="7"/>
  <c r="M9" i="7"/>
  <c r="H10" i="7"/>
  <c r="I10" i="7"/>
  <c r="J10" i="7"/>
  <c r="K10" i="7"/>
  <c r="L10" i="7"/>
  <c r="M10" i="7"/>
  <c r="H11" i="7"/>
  <c r="I11" i="7"/>
  <c r="J11" i="7"/>
  <c r="K11" i="7"/>
  <c r="L11" i="7"/>
  <c r="M11" i="7"/>
  <c r="H12" i="7"/>
  <c r="I12" i="7"/>
  <c r="J12" i="7"/>
  <c r="J20" i="7" s="1"/>
  <c r="K12" i="7"/>
  <c r="K20" i="7" s="1"/>
  <c r="L12" i="7"/>
  <c r="L20" i="7" s="1"/>
  <c r="M12" i="7"/>
  <c r="M20" i="7" s="1"/>
  <c r="L14" i="7"/>
  <c r="M14" i="7"/>
  <c r="H20" i="7"/>
  <c r="I20" i="7"/>
  <c r="C29" i="7"/>
  <c r="H29" i="7"/>
  <c r="I29" i="7"/>
  <c r="J29" i="7"/>
  <c r="K29" i="7"/>
  <c r="L29" i="7"/>
  <c r="M29" i="7"/>
  <c r="C30" i="7"/>
  <c r="H30" i="7"/>
  <c r="I30" i="7"/>
  <c r="J30" i="7"/>
  <c r="K30" i="7"/>
  <c r="L30" i="7"/>
  <c r="M30" i="7"/>
  <c r="C31" i="7"/>
  <c r="C48" i="7" s="1"/>
  <c r="H31" i="7"/>
  <c r="I31" i="7"/>
  <c r="J31" i="7"/>
  <c r="K31" i="7"/>
  <c r="L31" i="7"/>
  <c r="M31" i="7"/>
  <c r="C32" i="7"/>
  <c r="H32" i="7"/>
  <c r="I32" i="7"/>
  <c r="J32" i="7"/>
  <c r="K32" i="7"/>
  <c r="L32" i="7"/>
  <c r="M32" i="7"/>
  <c r="C33" i="7"/>
  <c r="C50" i="7" s="1"/>
  <c r="H33" i="7"/>
  <c r="I33" i="7"/>
  <c r="J33" i="7"/>
  <c r="K33" i="7"/>
  <c r="L33" i="7"/>
  <c r="M33" i="7"/>
  <c r="C34" i="7"/>
  <c r="C51" i="7" s="1"/>
  <c r="H34" i="7"/>
  <c r="I34" i="7"/>
  <c r="J34" i="7"/>
  <c r="K34" i="7"/>
  <c r="L34" i="7"/>
  <c r="M34" i="7"/>
  <c r="C35" i="7"/>
  <c r="H35" i="7"/>
  <c r="I35" i="7"/>
  <c r="J35" i="7"/>
  <c r="K35" i="7"/>
  <c r="L35" i="7"/>
  <c r="M35" i="7"/>
  <c r="C36" i="7"/>
  <c r="H36" i="7"/>
  <c r="I36" i="7"/>
  <c r="J36" i="7"/>
  <c r="K36" i="7"/>
  <c r="L36" i="7"/>
  <c r="M36" i="7"/>
  <c r="C37" i="7"/>
  <c r="C54" i="7" s="1"/>
  <c r="H37" i="7"/>
  <c r="I37" i="7"/>
  <c r="J37" i="7"/>
  <c r="K37" i="7"/>
  <c r="L37" i="7"/>
  <c r="M37" i="7"/>
  <c r="C38" i="7"/>
  <c r="H38" i="7"/>
  <c r="I38" i="7"/>
  <c r="J38" i="7"/>
  <c r="K38" i="7"/>
  <c r="L38" i="7"/>
  <c r="M38" i="7"/>
  <c r="C39" i="7"/>
  <c r="C56" i="7" s="1"/>
  <c r="H39" i="7"/>
  <c r="I39" i="7"/>
  <c r="J39" i="7"/>
  <c r="K39" i="7"/>
  <c r="L39" i="7"/>
  <c r="M39" i="7"/>
  <c r="C40" i="7"/>
  <c r="C57" i="7" s="1"/>
  <c r="H40" i="7"/>
  <c r="I40" i="7"/>
  <c r="J40" i="7"/>
  <c r="K40" i="7"/>
  <c r="L40" i="7"/>
  <c r="M40" i="7"/>
  <c r="C41" i="7"/>
  <c r="H41" i="7"/>
  <c r="I41" i="7"/>
  <c r="J41" i="7"/>
  <c r="K41" i="7"/>
  <c r="L41" i="7"/>
  <c r="M41" i="7"/>
  <c r="C42" i="7"/>
  <c r="H42" i="7"/>
  <c r="I42" i="7"/>
  <c r="J42" i="7"/>
  <c r="K42" i="7"/>
  <c r="L42" i="7"/>
  <c r="M42" i="7"/>
  <c r="C43" i="7"/>
  <c r="H43" i="7"/>
  <c r="I43" i="7"/>
  <c r="J43" i="7"/>
  <c r="K43" i="7"/>
  <c r="L43" i="7"/>
  <c r="M43" i="7"/>
  <c r="C46" i="7"/>
  <c r="C47" i="7"/>
  <c r="C49" i="7"/>
  <c r="C52" i="7"/>
  <c r="C53" i="7"/>
  <c r="C55" i="7"/>
  <c r="C58" i="7"/>
  <c r="C59" i="7"/>
  <c r="C60" i="7"/>
  <c r="D5" i="6"/>
  <c r="D1" i="7" s="1"/>
  <c r="D5" i="7" s="1"/>
  <c r="D4" i="7" s="1"/>
  <c r="E5" i="6"/>
  <c r="F5" i="6" s="1"/>
  <c r="D13" i="6"/>
  <c r="H14" i="7" s="1"/>
  <c r="E13" i="6"/>
  <c r="I14" i="7" s="1"/>
  <c r="F13" i="6"/>
  <c r="F14" i="6" s="1"/>
  <c r="G13" i="6"/>
  <c r="G14" i="6" s="1"/>
  <c r="H13" i="6"/>
  <c r="H14" i="6" s="1"/>
  <c r="I13" i="6"/>
  <c r="I14" i="6" s="1"/>
  <c r="J13" i="6"/>
  <c r="J14" i="6" s="1"/>
  <c r="K13" i="6"/>
  <c r="K14" i="6" s="1"/>
  <c r="L13" i="6"/>
  <c r="L14" i="6" s="1"/>
  <c r="M13" i="6"/>
  <c r="M14" i="6" s="1"/>
  <c r="D14" i="6"/>
  <c r="H15" i="7" s="1"/>
  <c r="E14" i="6"/>
  <c r="I15" i="7" s="1"/>
  <c r="D33" i="6"/>
  <c r="E33" i="6"/>
  <c r="F33" i="6"/>
  <c r="G33" i="6"/>
  <c r="H33" i="6"/>
  <c r="I33" i="6"/>
  <c r="J33" i="6"/>
  <c r="K33" i="6"/>
  <c r="L33" i="6"/>
  <c r="M33" i="6"/>
  <c r="I51" i="6"/>
  <c r="F63" i="6" s="1"/>
  <c r="J51" i="6"/>
  <c r="J56" i="6" s="1"/>
  <c r="D56" i="6"/>
  <c r="E56" i="6"/>
  <c r="F56" i="6"/>
  <c r="G56" i="6"/>
  <c r="H56" i="6"/>
  <c r="K56" i="6"/>
  <c r="L56" i="6"/>
  <c r="M56" i="6"/>
  <c r="M57" i="6" s="1"/>
  <c r="N56" i="6"/>
  <c r="N57" i="6" s="1"/>
  <c r="N69" i="6" s="1"/>
  <c r="D57" i="6"/>
  <c r="D69" i="6" s="1"/>
  <c r="E57" i="6"/>
  <c r="E69" i="6" s="1"/>
  <c r="F57" i="6"/>
  <c r="G57" i="6"/>
  <c r="H57" i="6"/>
  <c r="K57" i="6"/>
  <c r="L57" i="6"/>
  <c r="D63" i="6"/>
  <c r="E63" i="6"/>
  <c r="K63" i="6"/>
  <c r="L63" i="6"/>
  <c r="M63" i="6"/>
  <c r="N63" i="6"/>
  <c r="D64" i="6"/>
  <c r="E64" i="6"/>
  <c r="F64" i="6"/>
  <c r="G64" i="6"/>
  <c r="H64" i="6"/>
  <c r="I64" i="6"/>
  <c r="J64" i="6"/>
  <c r="K64" i="6"/>
  <c r="L64" i="6"/>
  <c r="M64" i="6"/>
  <c r="N64" i="6"/>
  <c r="D65" i="6"/>
  <c r="E65" i="6"/>
  <c r="F65" i="6"/>
  <c r="G65" i="6"/>
  <c r="H65" i="6"/>
  <c r="I65" i="6"/>
  <c r="J65" i="6"/>
  <c r="K65" i="6"/>
  <c r="L65" i="6"/>
  <c r="M65" i="6"/>
  <c r="N65" i="6"/>
  <c r="D66" i="6"/>
  <c r="E66" i="6"/>
  <c r="E74" i="6" s="1"/>
  <c r="E76" i="6" s="1"/>
  <c r="F66" i="6"/>
  <c r="F74" i="6" s="1"/>
  <c r="F76" i="6" s="1"/>
  <c r="G66" i="6"/>
  <c r="G74" i="6" s="1"/>
  <c r="G76" i="6" s="1"/>
  <c r="H66" i="6"/>
  <c r="H74" i="6" s="1"/>
  <c r="H76" i="6" s="1"/>
  <c r="I66" i="6"/>
  <c r="J66" i="6"/>
  <c r="K66" i="6"/>
  <c r="K74" i="6" s="1"/>
  <c r="K76" i="6" s="1"/>
  <c r="L66" i="6"/>
  <c r="L74" i="6" s="1"/>
  <c r="L76" i="6" s="1"/>
  <c r="M66" i="6"/>
  <c r="N66" i="6"/>
  <c r="L67" i="6"/>
  <c r="M67" i="6"/>
  <c r="N67" i="6"/>
  <c r="D68" i="6"/>
  <c r="E68" i="6"/>
  <c r="K68" i="6"/>
  <c r="M68" i="6"/>
  <c r="N68" i="6"/>
  <c r="D73" i="6"/>
  <c r="E73" i="6"/>
  <c r="F73" i="6"/>
  <c r="G73" i="6"/>
  <c r="H73" i="6"/>
  <c r="I73" i="6"/>
  <c r="J73" i="6"/>
  <c r="K73" i="6"/>
  <c r="L73" i="6"/>
  <c r="M73" i="6"/>
  <c r="N73" i="6"/>
  <c r="N76" i="6" s="1"/>
  <c r="D74" i="6"/>
  <c r="D76" i="6" s="1"/>
  <c r="I74" i="6"/>
  <c r="I76" i="6" s="1"/>
  <c r="J74" i="6"/>
  <c r="J76" i="6" s="1"/>
  <c r="M74" i="6"/>
  <c r="N74" i="6"/>
  <c r="M76" i="6"/>
  <c r="D71" i="6" l="1"/>
  <c r="D78" i="6"/>
  <c r="D80" i="6" s="1"/>
  <c r="M69" i="6"/>
  <c r="H17" i="7"/>
  <c r="H47" i="7" s="1"/>
  <c r="L15" i="7"/>
  <c r="H51" i="7"/>
  <c r="I48" i="7"/>
  <c r="H53" i="7"/>
  <c r="N71" i="6"/>
  <c r="N78" i="6"/>
  <c r="N80" i="6" s="1"/>
  <c r="J68" i="6"/>
  <c r="J57" i="6"/>
  <c r="J69" i="6" s="1"/>
  <c r="L69" i="6"/>
  <c r="E71" i="6"/>
  <c r="E78" i="6"/>
  <c r="E80" i="6" s="1"/>
  <c r="I17" i="7"/>
  <c r="K15" i="7"/>
  <c r="J15" i="7"/>
  <c r="K69" i="6"/>
  <c r="M15" i="7"/>
  <c r="G5" i="6"/>
  <c r="F1" i="7"/>
  <c r="F5" i="7" s="1"/>
  <c r="F4" i="7" s="1"/>
  <c r="H48" i="7"/>
  <c r="L68" i="6"/>
  <c r="K14" i="7"/>
  <c r="J14" i="7"/>
  <c r="J63" i="6"/>
  <c r="I63" i="6"/>
  <c r="H63" i="6"/>
  <c r="G63" i="6"/>
  <c r="I56" i="6"/>
  <c r="E1" i="7"/>
  <c r="E5" i="7" s="1"/>
  <c r="E4" i="7" s="1"/>
  <c r="M17" i="7" l="1"/>
  <c r="L17" i="7"/>
  <c r="K17" i="7"/>
  <c r="I49" i="7"/>
  <c r="I55" i="7"/>
  <c r="I56" i="7"/>
  <c r="I54" i="7"/>
  <c r="I57" i="7"/>
  <c r="I60" i="7"/>
  <c r="I46" i="7"/>
  <c r="I52" i="7"/>
  <c r="I47" i="7"/>
  <c r="I53" i="7"/>
  <c r="I51" i="7"/>
  <c r="H5" i="6"/>
  <c r="G1" i="7"/>
  <c r="G5" i="7" s="1"/>
  <c r="G4" i="7" s="1"/>
  <c r="L78" i="6"/>
  <c r="L80" i="6" s="1"/>
  <c r="L71" i="6"/>
  <c r="I59" i="7"/>
  <c r="I50" i="7"/>
  <c r="J78" i="6"/>
  <c r="J80" i="6" s="1"/>
  <c r="J71" i="6"/>
  <c r="M71" i="6"/>
  <c r="M78" i="6"/>
  <c r="M80" i="6" s="1"/>
  <c r="H54" i="7"/>
  <c r="F68" i="6"/>
  <c r="G68" i="6"/>
  <c r="H68" i="6"/>
  <c r="I68" i="6"/>
  <c r="I57" i="6"/>
  <c r="K78" i="6"/>
  <c r="K80" i="6" s="1"/>
  <c r="K71" i="6"/>
  <c r="I58" i="7"/>
  <c r="H46" i="7"/>
  <c r="H56" i="7"/>
  <c r="H52" i="7"/>
  <c r="H57" i="7"/>
  <c r="H60" i="7"/>
  <c r="H49" i="7"/>
  <c r="H55" i="7"/>
  <c r="H58" i="7"/>
  <c r="H50" i="7"/>
  <c r="H59" i="7"/>
  <c r="J17" i="7"/>
  <c r="I5" i="6" l="1"/>
  <c r="H1" i="7"/>
  <c r="H5" i="7" s="1"/>
  <c r="H4" i="7" s="1"/>
  <c r="H62" i="7"/>
  <c r="H19" i="7" s="1"/>
  <c r="H22" i="7" s="1"/>
  <c r="H23" i="7" s="1"/>
  <c r="H25" i="7" s="1"/>
  <c r="G69" i="6"/>
  <c r="I69" i="6"/>
  <c r="F69" i="6"/>
  <c r="H69" i="6"/>
  <c r="J60" i="7"/>
  <c r="J51" i="7"/>
  <c r="J54" i="7"/>
  <c r="J57" i="7"/>
  <c r="J52" i="7"/>
  <c r="J46" i="7"/>
  <c r="J50" i="7"/>
  <c r="J49" i="7"/>
  <c r="J53" i="7"/>
  <c r="J55" i="7"/>
  <c r="J58" i="7"/>
  <c r="J48" i="7"/>
  <c r="J59" i="7"/>
  <c r="J47" i="7"/>
  <c r="J56" i="7"/>
  <c r="L47" i="7"/>
  <c r="L48" i="7"/>
  <c r="L54" i="7"/>
  <c r="L46" i="7"/>
  <c r="L51" i="7"/>
  <c r="L57" i="7"/>
  <c r="L60" i="7"/>
  <c r="L52" i="7"/>
  <c r="L58" i="7"/>
  <c r="L49" i="7"/>
  <c r="L59" i="7"/>
  <c r="L56" i="7"/>
  <c r="L53" i="7"/>
  <c r="L55" i="7"/>
  <c r="L50" i="7"/>
  <c r="K57" i="7"/>
  <c r="K48" i="7"/>
  <c r="K51" i="7"/>
  <c r="K54" i="7"/>
  <c r="K50" i="7"/>
  <c r="K60" i="7"/>
  <c r="K46" i="7"/>
  <c r="K49" i="7"/>
  <c r="K55" i="7"/>
  <c r="K47" i="7"/>
  <c r="K52" i="7"/>
  <c r="K58" i="7"/>
  <c r="K59" i="7"/>
  <c r="K53" i="7"/>
  <c r="K56" i="7"/>
  <c r="I62" i="7"/>
  <c r="I19" i="7" s="1"/>
  <c r="I22" i="7" s="1"/>
  <c r="I23" i="7" s="1"/>
  <c r="I25" i="7" s="1"/>
  <c r="M57" i="7"/>
  <c r="M48" i="7"/>
  <c r="M51" i="7"/>
  <c r="M54" i="7"/>
  <c r="M60" i="7"/>
  <c r="M49" i="7"/>
  <c r="M55" i="7"/>
  <c r="M52" i="7"/>
  <c r="M59" i="7"/>
  <c r="M46" i="7"/>
  <c r="M56" i="7"/>
  <c r="M58" i="7"/>
  <c r="M53" i="7"/>
  <c r="M47" i="7"/>
  <c r="M50" i="7"/>
  <c r="H71" i="6" l="1"/>
  <c r="H78" i="6"/>
  <c r="H80" i="6" s="1"/>
  <c r="L62" i="7"/>
  <c r="L19" i="7" s="1"/>
  <c r="L22" i="7" s="1"/>
  <c r="L23" i="7" s="1"/>
  <c r="L25" i="7" s="1"/>
  <c r="F71" i="6"/>
  <c r="F78" i="6"/>
  <c r="F80" i="6" s="1"/>
  <c r="J62" i="7"/>
  <c r="J19" i="7" s="1"/>
  <c r="J22" i="7" s="1"/>
  <c r="J23" i="7" s="1"/>
  <c r="J25" i="7" s="1"/>
  <c r="I78" i="6"/>
  <c r="I80" i="6" s="1"/>
  <c r="I71" i="6"/>
  <c r="K62" i="7"/>
  <c r="K19" i="7" s="1"/>
  <c r="K22" i="7" s="1"/>
  <c r="K23" i="7" s="1"/>
  <c r="K25" i="7" s="1"/>
  <c r="G71" i="6"/>
  <c r="G78" i="6"/>
  <c r="G80" i="6" s="1"/>
  <c r="M62" i="7"/>
  <c r="M19" i="7" s="1"/>
  <c r="M22" i="7" s="1"/>
  <c r="M23" i="7" s="1"/>
  <c r="M25" i="7" s="1"/>
  <c r="J5" i="6"/>
  <c r="I1" i="7"/>
  <c r="I5" i="7" s="1"/>
  <c r="I4" i="7" s="1"/>
  <c r="K5" i="6" l="1"/>
  <c r="J1" i="7"/>
  <c r="J5" i="7" s="1"/>
  <c r="J4" i="7" s="1"/>
  <c r="L5" i="6" l="1"/>
  <c r="K1" i="7"/>
  <c r="K5" i="7" s="1"/>
  <c r="K4" i="7" s="1"/>
  <c r="M5" i="6" l="1"/>
  <c r="M1" i="7" s="1"/>
  <c r="M5" i="7" s="1"/>
  <c r="M4" i="7" s="1"/>
  <c r="L1" i="7"/>
  <c r="L5" i="7" s="1"/>
  <c r="L4" i="7" s="1"/>
</calcChain>
</file>

<file path=xl/sharedStrings.xml><?xml version="1.0" encoding="utf-8"?>
<sst xmlns="http://schemas.openxmlformats.org/spreadsheetml/2006/main" count="275" uniqueCount="71">
  <si>
    <t>Total</t>
  </si>
  <si>
    <t>Contributions Received</t>
  </si>
  <si>
    <t>Membership Fees</t>
  </si>
  <si>
    <t>Registration Fees</t>
  </si>
  <si>
    <t>Interest income</t>
  </si>
  <si>
    <t>Total less registration fees</t>
  </si>
  <si>
    <t>Calendar Year Info</t>
  </si>
  <si>
    <t>1998       (94-97)</t>
  </si>
  <si>
    <t>1999       (95-98)</t>
  </si>
  <si>
    <t>2000       (96-99)</t>
  </si>
  <si>
    <t>Total less registration fees (TLRF)</t>
  </si>
  <si>
    <t>Totals                            (preceding four years)</t>
  </si>
  <si>
    <t>Non-qualified interest income</t>
  </si>
  <si>
    <t>Amount of non-qualified donations</t>
  </si>
  <si>
    <t>Public Support Amount</t>
  </si>
  <si>
    <t>Total Non-Qualified Amount</t>
  </si>
  <si>
    <t>Public Support Percentage</t>
  </si>
  <si>
    <t>Introduction</t>
  </si>
  <si>
    <t>2% of TLRF (Threshold Amount)</t>
  </si>
  <si>
    <t>Using this Spreadsheet</t>
  </si>
  <si>
    <t>This workbook consists of four sheets (excluding this one), which will help you calculate your Public Support Percentage.  Throughout the workbook, cells that require you to enter information have text in the color RED.   Cells that contain formulas, which should not be altered, have numbers in the color BLUE.  Other text is in BLACK.</t>
  </si>
  <si>
    <t>2001       (97-00)</t>
  </si>
  <si>
    <t>Actual</t>
  </si>
  <si>
    <t>Estimated</t>
  </si>
  <si>
    <t>2002               (98-01)</t>
  </si>
  <si>
    <t>2003              (99-02)</t>
  </si>
  <si>
    <t>2004              (00-03)</t>
  </si>
  <si>
    <t>2005            (01-04)</t>
  </si>
  <si>
    <t>2006            (02-05)</t>
  </si>
  <si>
    <t>2007                (03-06)</t>
  </si>
  <si>
    <t>2008                     (04-07)</t>
  </si>
  <si>
    <t>Required Information</t>
  </si>
  <si>
    <t>Overall Financial Information</t>
  </si>
  <si>
    <t>Major Donor Lists</t>
  </si>
  <si>
    <t>Big Donor #1</t>
  </si>
  <si>
    <t>Big Donor #2</t>
  </si>
  <si>
    <t>Big Donor #3</t>
  </si>
  <si>
    <t>Big Donor #4</t>
  </si>
  <si>
    <t>Big Donor #5</t>
  </si>
  <si>
    <t>Big Donor #6</t>
  </si>
  <si>
    <t>Big Donor #7</t>
  </si>
  <si>
    <t>Big Donor #8</t>
  </si>
  <si>
    <t>Big Donor #9</t>
  </si>
  <si>
    <t>Big Donor #10</t>
  </si>
  <si>
    <t>Big Donor #11</t>
  </si>
  <si>
    <t>Big Donor #12</t>
  </si>
  <si>
    <t>Big Donor #13</t>
  </si>
  <si>
    <t>Big Donor #14</t>
  </si>
  <si>
    <t>Big Donor #15</t>
  </si>
  <si>
    <t>Four Year Term</t>
  </si>
  <si>
    <t>First year included</t>
  </si>
  <si>
    <t>Last year included</t>
  </si>
  <si>
    <t>Amounts in Excess of Threshold Amount</t>
  </si>
  <si>
    <t>Big Donor Total</t>
  </si>
  <si>
    <t>Total Non Qualified Amount</t>
  </si>
  <si>
    <t>Total Qualified Amount</t>
  </si>
  <si>
    <t>Instructions</t>
  </si>
  <si>
    <t>Input all relevant historical data on this page in cells that have red font.  For future years, use different estimates to do a sensitivity analysis of likely results in regard to your public support test.</t>
  </si>
  <si>
    <t>N/A</t>
  </si>
  <si>
    <t>Public Support Percentage (PS%)</t>
  </si>
  <si>
    <t xml:space="preserve">Is PS% above 33.0% </t>
  </si>
  <si>
    <r>
      <t>Important Disclaimer!</t>
    </r>
    <r>
      <rPr>
        <sz val="10"/>
        <rFont val="Arial"/>
      </rPr>
      <t xml:space="preserve">  Please understand that this workbook has been developed for informational and educational use only.  Atlas Economic Research Foundation does not assume responsibility for the accuracy of results calculated or forecast using this model, and we recommend consulting a lawyer or tax specialist to address the particular circumstances of your institute.  </t>
    </r>
  </si>
  <si>
    <t>Public Support Percentage Calculation Model</t>
  </si>
  <si>
    <t>Organizations in the U.S. that are registered as tax-exempt charities -- such as under Section 501(c)(3) -- must show that they are broadly supported by the public (i.e., not reliant on a few major donors or investment income).   Because these rules are rather cumbersome to use for planning purposes, we have developed this spreadsheet to help institutes work through the ramifications of different funding scenarios.</t>
  </si>
  <si>
    <t>This workbook simply is meant to help organizations identify how different funding scenarios will affect their Public Support Percentage (PS%) calculations.  The basic idea is the IRS differentiates between modest contributions from unrelated supporters (e.g., "public support") and large contributions or investment income (i.e., "unqualified support").  The first "X" number of dollars that you receive from any donor is considered public support.  Above the "X" threshold, funds from a large supporter are registered as "non-qualified" amounts, which count against your organization's  PS%.  If your PS% drops below 33.3%, your organization would fail the test for retaining tax-exempt status.  What makes this difficult is the fact that "X" is a moving target, based upon the preceding four years of activity.</t>
  </si>
  <si>
    <t>First Step</t>
  </si>
  <si>
    <t>Enter the first year for which you want to input financial information:</t>
  </si>
  <si>
    <r>
      <t>Year-by-Year Data</t>
    </r>
    <r>
      <rPr>
        <sz val="10"/>
        <rFont val="Arial"/>
      </rPr>
      <t xml:space="preserve">:  Identify which years you are concerned with.  (This sets up the columns appropriately.  If you change this number, you will need to re-enter data for the individual columns.)  Then enter in summary financial data direct from your IRS Form 990 for past years, and enter your best predictions for these numbers on your future Form 990s.  Also enter historical donation numbers for large donors (replacing "Big Donor #1" with the appropriate name, etc.), and your predictions for coming years.  To play it safe, it is best to input realistic-to-aggressive estimates of amounts that you will receive from major donors, investment income and through selling products or services.  Then be somewhat conservative in your estimate of overall contributions.  </t>
    </r>
  </si>
  <si>
    <r>
      <t>Calculations</t>
    </r>
    <r>
      <rPr>
        <sz val="10"/>
        <rFont val="Arial"/>
      </rPr>
      <t>:  Turning to the next page, you can see the public support percentage calculated for the years for which there was information (inputed into the Year-by-Year Data page) for the preceding four-year period.  the four-year totals that will used in the calculation for the given tax year.   Lower on the page, you can see how the calculation was made (based upon how much of each major donor's support is to be classified as non-qualified).</t>
    </r>
  </si>
  <si>
    <r>
      <t xml:space="preserve">Also note that there </t>
    </r>
    <r>
      <rPr>
        <i/>
        <sz val="10"/>
        <rFont val="Arial"/>
        <family val="2"/>
      </rPr>
      <t xml:space="preserve">are </t>
    </r>
    <r>
      <rPr>
        <sz val="10"/>
        <rFont val="Arial"/>
        <family val="2"/>
      </rPr>
      <t xml:space="preserve">special siuations not contemplated in this workbook.  For example, some "one-time" gifts may be omitted from your public support calculations.  Contributions from other public (non-private) charities count as public support in their entirety.  Gifts that are pledges in one year, but paid out over several also require special treatment.  Further, some organizations that fail the public support test are able to appeal and demonstrate their compliance with the rules regarding 501(c)(3) organizations.  Again, please discuss these matters with an attorney or other quailfied advisor.  </t>
    </r>
  </si>
  <si>
    <t xml:space="preserve">Create more lines for your major donors if necessary.  But be very careful!!  You must also add additional donor lines for "Calculations" worksheet and verify each cell in that row pulling information from appropriate cells.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</si>
</sst>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_(* #,##0.00_);_(* \(#,##0.00\);_(* &quot;-&quot;??_);_(@_)"/>
    <numFmt numFmtId="172" formatCode="0.0%"/>
    <numFmt numFmtId="174" formatCode="_(* #,##0_);_(* \(#,##0\);_(* &quot;-&quot;??_);_(@_)"/>
  </numFmts>
  <fonts count="17" x14ac:knownFonts="1">
    <font>
      <sz val="10"/>
      <name val="Arial"/>
    </font>
    <font>
      <sz val="10"/>
      <name val="Arial"/>
    </font>
    <font>
      <b/>
      <sz val="10"/>
      <name val="Arial"/>
      <family val="2"/>
    </font>
    <font>
      <sz val="10"/>
      <color indexed="10"/>
      <name val="Arial"/>
      <family val="2"/>
    </font>
    <font>
      <sz val="10"/>
      <color indexed="48"/>
      <name val="Arial"/>
      <family val="2"/>
    </font>
    <font>
      <sz val="10"/>
      <color indexed="12"/>
      <name val="Arial"/>
      <family val="2"/>
    </font>
    <font>
      <b/>
      <i/>
      <u/>
      <sz val="10"/>
      <name val="Arial"/>
      <family val="2"/>
    </font>
    <font>
      <b/>
      <sz val="10"/>
      <color indexed="48"/>
      <name val="Arial"/>
      <family val="2"/>
    </font>
    <font>
      <sz val="10"/>
      <name val="Arial"/>
      <family val="2"/>
    </font>
    <font>
      <i/>
      <sz val="10"/>
      <name val="Arial"/>
      <family val="2"/>
    </font>
    <font>
      <b/>
      <sz val="10"/>
      <color indexed="8"/>
      <name val="Arial"/>
      <family val="2"/>
    </font>
    <font>
      <sz val="10"/>
      <color indexed="8"/>
      <name val="Arial"/>
      <family val="2"/>
    </font>
    <font>
      <i/>
      <sz val="10"/>
      <color indexed="8"/>
      <name val="Arial"/>
      <family val="2"/>
    </font>
    <font>
      <u/>
      <sz val="10"/>
      <name val="Arial"/>
      <family val="2"/>
    </font>
    <font>
      <b/>
      <i/>
      <sz val="12"/>
      <name val="Arial"/>
      <family val="2"/>
    </font>
    <font>
      <sz val="10"/>
      <color indexed="23"/>
      <name val="Arial"/>
      <family val="2"/>
    </font>
    <font>
      <b/>
      <sz val="10"/>
      <color indexed="12"/>
      <name val="Arial"/>
      <family val="2"/>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26"/>
        <bgColor indexed="64"/>
      </patternFill>
    </fill>
  </fills>
  <borders count="13">
    <border>
      <left/>
      <right/>
      <top/>
      <bottom/>
      <diagonal/>
    </border>
    <border>
      <left/>
      <right style="medium">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2" fillId="0" borderId="0" xfId="0" applyFont="1"/>
    <xf numFmtId="0" fontId="2" fillId="0" borderId="0" xfId="0" applyFont="1" applyAlignment="1">
      <alignment wrapText="1"/>
    </xf>
    <xf numFmtId="174" fontId="0" fillId="0" borderId="0" xfId="1" applyNumberFormat="1" applyFont="1"/>
    <xf numFmtId="0" fontId="0" fillId="0" borderId="0" xfId="0" applyAlignment="1">
      <alignment wrapText="1"/>
    </xf>
    <xf numFmtId="0" fontId="0" fillId="0" borderId="0" xfId="0" applyBorder="1"/>
    <xf numFmtId="0" fontId="0" fillId="0" borderId="1" xfId="0" applyBorder="1"/>
    <xf numFmtId="0" fontId="2" fillId="2" borderId="2" xfId="0" applyFont="1" applyFill="1" applyBorder="1"/>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xf numFmtId="0" fontId="0" fillId="2" borderId="6" xfId="0" applyFill="1" applyBorder="1"/>
    <xf numFmtId="174" fontId="0" fillId="0" borderId="0" xfId="1" applyNumberFormat="1" applyFont="1" applyBorder="1"/>
    <xf numFmtId="174" fontId="3" fillId="0" borderId="0" xfId="1" applyNumberFormat="1" applyFont="1" applyBorder="1"/>
    <xf numFmtId="0" fontId="2" fillId="0" borderId="0" xfId="0" quotePrefix="1" applyFont="1" applyAlignment="1">
      <alignment wrapText="1"/>
    </xf>
    <xf numFmtId="0" fontId="6" fillId="0" borderId="0" xfId="0" applyFont="1"/>
    <xf numFmtId="174" fontId="4" fillId="0" borderId="0" xfId="1" applyNumberFormat="1" applyFont="1" applyBorder="1"/>
    <xf numFmtId="0" fontId="0" fillId="0" borderId="3" xfId="0" applyBorder="1"/>
    <xf numFmtId="0" fontId="0" fillId="0" borderId="4" xfId="0" applyBorder="1"/>
    <xf numFmtId="0" fontId="2" fillId="3" borderId="2" xfId="0" applyFont="1" applyFill="1" applyBorder="1"/>
    <xf numFmtId="174" fontId="7" fillId="3" borderId="0" xfId="1" applyNumberFormat="1" applyFont="1" applyFill="1" applyBorder="1"/>
    <xf numFmtId="0" fontId="2" fillId="3" borderId="1" xfId="0" applyFont="1" applyFill="1" applyBorder="1"/>
    <xf numFmtId="0" fontId="2" fillId="2" borderId="7" xfId="0" applyFont="1" applyFill="1" applyBorder="1"/>
    <xf numFmtId="10" fontId="7" fillId="3" borderId="0" xfId="2" applyNumberFormat="1" applyFont="1" applyFill="1" applyBorder="1"/>
    <xf numFmtId="0" fontId="0" fillId="2" borderId="8" xfId="0" applyFill="1" applyBorder="1" applyAlignment="1">
      <alignment horizontal="center" wrapText="1"/>
    </xf>
    <xf numFmtId="0" fontId="0" fillId="2" borderId="9" xfId="0" applyFill="1" applyBorder="1" applyAlignment="1">
      <alignment horizontal="center" wrapText="1"/>
    </xf>
    <xf numFmtId="0" fontId="2" fillId="2" borderId="2" xfId="0" applyFont="1" applyFill="1" applyBorder="1" applyAlignment="1">
      <alignment wrapText="1"/>
    </xf>
    <xf numFmtId="0" fontId="0" fillId="2" borderId="10" xfId="0" applyFill="1" applyBorder="1" applyAlignment="1">
      <alignment horizontal="center"/>
    </xf>
    <xf numFmtId="0" fontId="0" fillId="2" borderId="11" xfId="0" applyFill="1" applyBorder="1" applyAlignment="1">
      <alignment horizontal="center"/>
    </xf>
    <xf numFmtId="0" fontId="2" fillId="0" borderId="0" xfId="0" applyFont="1" applyAlignment="1">
      <alignment horizontal="center"/>
    </xf>
    <xf numFmtId="0" fontId="9" fillId="0" borderId="0" xfId="0" applyFont="1"/>
    <xf numFmtId="174" fontId="5" fillId="0" borderId="0" xfId="1" applyNumberFormat="1" applyFont="1"/>
    <xf numFmtId="0" fontId="10" fillId="0" borderId="0" xfId="0" applyFont="1"/>
    <xf numFmtId="0" fontId="10" fillId="0" borderId="0" xfId="0" applyFont="1" applyAlignment="1">
      <alignment horizontal="center"/>
    </xf>
    <xf numFmtId="0" fontId="11" fillId="0" borderId="0" xfId="0" applyFont="1"/>
    <xf numFmtId="0" fontId="12" fillId="0" borderId="0" xfId="0" applyFont="1"/>
    <xf numFmtId="174" fontId="11" fillId="0" borderId="0" xfId="1" applyNumberFormat="1" applyFont="1"/>
    <xf numFmtId="0" fontId="13" fillId="0" borderId="0" xfId="0" applyFont="1" applyAlignment="1">
      <alignment wrapText="1"/>
    </xf>
    <xf numFmtId="0" fontId="14" fillId="0" borderId="0" xfId="0" applyFont="1"/>
    <xf numFmtId="0" fontId="3" fillId="0" borderId="12" xfId="0" applyFont="1" applyBorder="1" applyAlignment="1">
      <alignment horizontal="center"/>
    </xf>
    <xf numFmtId="0" fontId="5" fillId="0" borderId="0" xfId="0" applyFont="1" applyAlignment="1">
      <alignment horizontal="center"/>
    </xf>
    <xf numFmtId="0" fontId="5" fillId="0" borderId="0" xfId="0" applyFont="1"/>
    <xf numFmtId="174" fontId="15" fillId="0" borderId="0" xfId="1" quotePrefix="1" applyNumberFormat="1" applyFont="1" applyAlignment="1">
      <alignment horizontal="center"/>
    </xf>
    <xf numFmtId="174" fontId="15" fillId="0" borderId="0" xfId="1" applyNumberFormat="1" applyFont="1"/>
    <xf numFmtId="0" fontId="11" fillId="4" borderId="0" xfId="0" applyFont="1" applyFill="1"/>
    <xf numFmtId="174" fontId="15" fillId="4" borderId="0" xfId="1" quotePrefix="1" applyNumberFormat="1" applyFont="1" applyFill="1" applyAlignment="1">
      <alignment horizontal="center"/>
    </xf>
    <xf numFmtId="172" fontId="16" fillId="4" borderId="0" xfId="2" applyNumberFormat="1" applyFont="1"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21"/>
  <sheetViews>
    <sheetView tabSelected="1" workbookViewId="0">
      <selection activeCell="A3" sqref="A3"/>
    </sheetView>
  </sheetViews>
  <sheetFormatPr defaultRowHeight="12.5" x14ac:dyDescent="0.25"/>
  <cols>
    <col min="1" max="1" width="100.26953125" customWidth="1"/>
  </cols>
  <sheetData>
    <row r="2" spans="1:1" ht="15.5" x14ac:dyDescent="0.35">
      <c r="A2" s="38" t="s">
        <v>62</v>
      </c>
    </row>
    <row r="3" spans="1:1" ht="13" x14ac:dyDescent="0.3">
      <c r="A3" s="1"/>
    </row>
    <row r="4" spans="1:1" ht="13" x14ac:dyDescent="0.3">
      <c r="A4" s="1" t="s">
        <v>17</v>
      </c>
    </row>
    <row r="6" spans="1:1" ht="50" x14ac:dyDescent="0.25">
      <c r="A6" s="4" t="s">
        <v>63</v>
      </c>
    </row>
    <row r="7" spans="1:1" x14ac:dyDescent="0.25">
      <c r="A7" s="4"/>
    </row>
    <row r="8" spans="1:1" ht="50" x14ac:dyDescent="0.25">
      <c r="A8" s="37" t="s">
        <v>61</v>
      </c>
    </row>
    <row r="10" spans="1:1" ht="63" x14ac:dyDescent="0.25">
      <c r="A10" s="4" t="s">
        <v>69</v>
      </c>
    </row>
    <row r="11" spans="1:1" x14ac:dyDescent="0.25">
      <c r="A11" s="4"/>
    </row>
    <row r="12" spans="1:1" ht="78.75" customHeight="1" x14ac:dyDescent="0.25">
      <c r="A12" s="4" t="s">
        <v>64</v>
      </c>
    </row>
    <row r="13" spans="1:1" x14ac:dyDescent="0.25">
      <c r="A13" s="4"/>
    </row>
    <row r="14" spans="1:1" ht="13" x14ac:dyDescent="0.3">
      <c r="A14" s="15" t="s">
        <v>19</v>
      </c>
    </row>
    <row r="15" spans="1:1" x14ac:dyDescent="0.25">
      <c r="A15" s="4"/>
    </row>
    <row r="16" spans="1:1" ht="37.5" x14ac:dyDescent="0.25">
      <c r="A16" s="4" t="s">
        <v>20</v>
      </c>
    </row>
    <row r="17" spans="1:1" x14ac:dyDescent="0.25">
      <c r="A17" s="4"/>
    </row>
    <row r="18" spans="1:1" ht="88" x14ac:dyDescent="0.25">
      <c r="A18" s="2" t="s">
        <v>67</v>
      </c>
    </row>
    <row r="19" spans="1:1" x14ac:dyDescent="0.25">
      <c r="A19" s="4"/>
    </row>
    <row r="20" spans="1:1" ht="50.5" x14ac:dyDescent="0.25">
      <c r="A20" s="14" t="s">
        <v>68</v>
      </c>
    </row>
    <row r="21" spans="1:1" x14ac:dyDescent="0.25">
      <c r="A21" s="4"/>
    </row>
  </sheetData>
  <phoneticPr fontId="0" type="noConversion"/>
  <pageMargins left="0.75" right="0.75" top="1" bottom="1" header="0.5" footer="0.5"/>
  <pageSetup scale="85"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81"/>
  <sheetViews>
    <sheetView zoomScale="75" workbookViewId="0">
      <selection activeCell="D8" sqref="D8"/>
    </sheetView>
  </sheetViews>
  <sheetFormatPr defaultRowHeight="12.5" x14ac:dyDescent="0.25"/>
  <cols>
    <col min="1" max="1" width="4.1796875" customWidth="1"/>
    <col min="2" max="2" width="3.54296875" customWidth="1"/>
    <col min="3" max="3" width="30.26953125" customWidth="1"/>
    <col min="4" max="7" width="10.81640625" customWidth="1"/>
    <col min="8" max="14" width="13.453125" customWidth="1"/>
    <col min="15" max="15" width="0.7265625" customWidth="1"/>
  </cols>
  <sheetData>
    <row r="2" spans="1:13" ht="13" x14ac:dyDescent="0.3">
      <c r="A2" s="1" t="s">
        <v>65</v>
      </c>
    </row>
    <row r="3" spans="1:13" x14ac:dyDescent="0.25">
      <c r="B3" t="s">
        <v>66</v>
      </c>
      <c r="F3" s="39">
        <v>1995</v>
      </c>
    </row>
    <row r="5" spans="1:13" s="1" customFormat="1" ht="13" x14ac:dyDescent="0.3">
      <c r="A5" s="1" t="s">
        <v>31</v>
      </c>
      <c r="D5" s="29">
        <f>F3</f>
        <v>1995</v>
      </c>
      <c r="E5" s="29">
        <f>D5+1</f>
        <v>1996</v>
      </c>
      <c r="F5" s="29">
        <f t="shared" ref="F5:M5" si="0">E5+1</f>
        <v>1997</v>
      </c>
      <c r="G5" s="29">
        <f t="shared" si="0"/>
        <v>1998</v>
      </c>
      <c r="H5" s="29">
        <f t="shared" si="0"/>
        <v>1999</v>
      </c>
      <c r="I5" s="29">
        <f t="shared" si="0"/>
        <v>2000</v>
      </c>
      <c r="J5" s="29">
        <f t="shared" si="0"/>
        <v>2001</v>
      </c>
      <c r="K5" s="29">
        <f t="shared" si="0"/>
        <v>2002</v>
      </c>
      <c r="L5" s="29">
        <f t="shared" si="0"/>
        <v>2003</v>
      </c>
      <c r="M5" s="29">
        <f t="shared" si="0"/>
        <v>2004</v>
      </c>
    </row>
    <row r="7" spans="1:13" ht="13" x14ac:dyDescent="0.3">
      <c r="B7" s="30" t="s">
        <v>32</v>
      </c>
    </row>
    <row r="8" spans="1:13" x14ac:dyDescent="0.25">
      <c r="C8" t="s">
        <v>1</v>
      </c>
      <c r="D8" s="13">
        <v>0</v>
      </c>
      <c r="E8" s="13">
        <v>0</v>
      </c>
      <c r="F8" s="13">
        <v>0</v>
      </c>
      <c r="G8" s="13">
        <v>0</v>
      </c>
      <c r="H8" s="13">
        <v>0</v>
      </c>
      <c r="I8" s="13">
        <v>0</v>
      </c>
      <c r="J8" s="13">
        <v>0</v>
      </c>
      <c r="K8" s="13">
        <v>0</v>
      </c>
      <c r="L8" s="13">
        <v>0</v>
      </c>
      <c r="M8" s="13">
        <v>0</v>
      </c>
    </row>
    <row r="9" spans="1:13" x14ac:dyDescent="0.25">
      <c r="C9" t="s">
        <v>2</v>
      </c>
      <c r="D9" s="13">
        <v>0</v>
      </c>
      <c r="E9" s="13">
        <v>0</v>
      </c>
      <c r="F9" s="13">
        <v>0</v>
      </c>
      <c r="G9" s="13">
        <v>0</v>
      </c>
      <c r="H9" s="13">
        <v>0</v>
      </c>
      <c r="I9" s="13">
        <v>0</v>
      </c>
      <c r="J9" s="13">
        <v>0</v>
      </c>
      <c r="K9" s="13">
        <v>0</v>
      </c>
      <c r="L9" s="13">
        <v>0</v>
      </c>
      <c r="M9" s="13">
        <v>0</v>
      </c>
    </row>
    <row r="10" spans="1:13" x14ac:dyDescent="0.25">
      <c r="C10" t="s">
        <v>3</v>
      </c>
      <c r="D10" s="13">
        <v>0</v>
      </c>
      <c r="E10" s="13">
        <v>0</v>
      </c>
      <c r="F10" s="13">
        <v>0</v>
      </c>
      <c r="G10" s="13">
        <v>0</v>
      </c>
      <c r="H10" s="13">
        <v>0</v>
      </c>
      <c r="I10" s="13">
        <v>0</v>
      </c>
      <c r="J10" s="13">
        <v>0</v>
      </c>
      <c r="K10" s="13">
        <v>0</v>
      </c>
      <c r="L10" s="13">
        <v>0</v>
      </c>
      <c r="M10" s="13">
        <v>0</v>
      </c>
    </row>
    <row r="11" spans="1:13" x14ac:dyDescent="0.25">
      <c r="C11" t="s">
        <v>4</v>
      </c>
      <c r="D11" s="13">
        <v>0</v>
      </c>
      <c r="E11" s="13">
        <v>0</v>
      </c>
      <c r="F11" s="13">
        <v>0</v>
      </c>
      <c r="G11" s="13">
        <v>0</v>
      </c>
      <c r="H11" s="13">
        <v>0</v>
      </c>
      <c r="I11" s="13">
        <v>0</v>
      </c>
      <c r="J11" s="13">
        <v>0</v>
      </c>
      <c r="K11" s="13">
        <v>0</v>
      </c>
      <c r="L11" s="13">
        <v>0</v>
      </c>
      <c r="M11" s="13">
        <v>0</v>
      </c>
    </row>
    <row r="12" spans="1:13" x14ac:dyDescent="0.25">
      <c r="D12" s="3"/>
      <c r="E12" s="3"/>
      <c r="F12" s="3"/>
      <c r="G12" s="3"/>
      <c r="H12" s="3"/>
      <c r="I12" s="3"/>
      <c r="J12" s="3"/>
      <c r="K12" s="3"/>
      <c r="L12" s="3"/>
      <c r="M12" s="3"/>
    </row>
    <row r="13" spans="1:13" x14ac:dyDescent="0.25">
      <c r="C13" t="s">
        <v>0</v>
      </c>
      <c r="D13" s="31">
        <f>SUM(D8:D11)</f>
        <v>0</v>
      </c>
      <c r="E13" s="31">
        <f t="shared" ref="E13:M13" si="1">SUM(E8:E11)</f>
        <v>0</v>
      </c>
      <c r="F13" s="31">
        <f t="shared" si="1"/>
        <v>0</v>
      </c>
      <c r="G13" s="31">
        <f t="shared" si="1"/>
        <v>0</v>
      </c>
      <c r="H13" s="31">
        <f t="shared" si="1"/>
        <v>0</v>
      </c>
      <c r="I13" s="31">
        <f>SUM(I8:I11)</f>
        <v>0</v>
      </c>
      <c r="J13" s="31">
        <f>SUM(J8:J11)</f>
        <v>0</v>
      </c>
      <c r="K13" s="31">
        <f>SUM(K8:K11)</f>
        <v>0</v>
      </c>
      <c r="L13" s="31">
        <f t="shared" si="1"/>
        <v>0</v>
      </c>
      <c r="M13" s="31">
        <f t="shared" si="1"/>
        <v>0</v>
      </c>
    </row>
    <row r="14" spans="1:13" x14ac:dyDescent="0.25">
      <c r="C14" t="s">
        <v>5</v>
      </c>
      <c r="D14" s="31">
        <f>D13-D10</f>
        <v>0</v>
      </c>
      <c r="E14" s="31">
        <f t="shared" ref="E14:M14" si="2">E13-E10</f>
        <v>0</v>
      </c>
      <c r="F14" s="31">
        <f t="shared" si="2"/>
        <v>0</v>
      </c>
      <c r="G14" s="31">
        <f t="shared" si="2"/>
        <v>0</v>
      </c>
      <c r="H14" s="31">
        <f t="shared" si="2"/>
        <v>0</v>
      </c>
      <c r="I14" s="31">
        <f t="shared" si="2"/>
        <v>0</v>
      </c>
      <c r="J14" s="31">
        <f t="shared" si="2"/>
        <v>0</v>
      </c>
      <c r="K14" s="31">
        <f t="shared" si="2"/>
        <v>0</v>
      </c>
      <c r="L14" s="31">
        <f t="shared" si="2"/>
        <v>0</v>
      </c>
      <c r="M14" s="31">
        <f t="shared" si="2"/>
        <v>0</v>
      </c>
    </row>
    <row r="15" spans="1:13" x14ac:dyDescent="0.25">
      <c r="D15" s="3"/>
      <c r="E15" s="3"/>
      <c r="F15" s="3"/>
      <c r="G15" s="3"/>
      <c r="H15" s="3"/>
      <c r="I15" s="3"/>
      <c r="J15" s="3"/>
      <c r="K15" s="3"/>
      <c r="L15" s="3"/>
      <c r="M15" s="3"/>
    </row>
    <row r="16" spans="1:13" ht="13" x14ac:dyDescent="0.3">
      <c r="B16" s="30" t="s">
        <v>33</v>
      </c>
      <c r="D16" s="3"/>
      <c r="E16" s="3"/>
      <c r="F16" s="3"/>
      <c r="G16" s="3"/>
      <c r="H16" s="3"/>
      <c r="I16" s="3"/>
      <c r="J16" s="3"/>
      <c r="K16" s="3"/>
      <c r="L16" s="3"/>
      <c r="M16" s="3"/>
    </row>
    <row r="17" spans="3:13" x14ac:dyDescent="0.25">
      <c r="C17" t="s">
        <v>34</v>
      </c>
      <c r="D17" s="13">
        <v>0</v>
      </c>
      <c r="E17" s="13">
        <v>0</v>
      </c>
      <c r="F17" s="13">
        <v>0</v>
      </c>
      <c r="G17" s="13">
        <v>0</v>
      </c>
      <c r="H17" s="13">
        <v>0</v>
      </c>
      <c r="I17" s="13">
        <v>0</v>
      </c>
      <c r="J17" s="13">
        <v>0</v>
      </c>
      <c r="K17" s="13">
        <v>0</v>
      </c>
      <c r="L17" s="13">
        <v>0</v>
      </c>
      <c r="M17" s="13">
        <v>0</v>
      </c>
    </row>
    <row r="18" spans="3:13" x14ac:dyDescent="0.25">
      <c r="C18" t="s">
        <v>35</v>
      </c>
      <c r="D18" s="13">
        <v>0</v>
      </c>
      <c r="E18" s="13">
        <v>0</v>
      </c>
      <c r="F18" s="13">
        <v>0</v>
      </c>
      <c r="G18" s="13">
        <v>0</v>
      </c>
      <c r="H18" s="13">
        <v>0</v>
      </c>
      <c r="I18" s="13">
        <v>0</v>
      </c>
      <c r="J18" s="13">
        <v>0</v>
      </c>
      <c r="K18" s="13">
        <v>0</v>
      </c>
      <c r="L18" s="13">
        <v>0</v>
      </c>
      <c r="M18" s="13">
        <v>0</v>
      </c>
    </row>
    <row r="19" spans="3:13" x14ac:dyDescent="0.25">
      <c r="C19" t="s">
        <v>36</v>
      </c>
      <c r="D19" s="13">
        <v>0</v>
      </c>
      <c r="E19" s="13">
        <v>0</v>
      </c>
      <c r="F19" s="13">
        <v>0</v>
      </c>
      <c r="G19" s="13">
        <v>0</v>
      </c>
      <c r="H19" s="13">
        <v>0</v>
      </c>
      <c r="I19" s="13">
        <v>0</v>
      </c>
      <c r="J19" s="13">
        <v>0</v>
      </c>
      <c r="K19" s="13">
        <v>0</v>
      </c>
      <c r="L19" s="13">
        <v>0</v>
      </c>
      <c r="M19" s="13">
        <v>0</v>
      </c>
    </row>
    <row r="20" spans="3:13" x14ac:dyDescent="0.25">
      <c r="C20" t="s">
        <v>37</v>
      </c>
      <c r="D20" s="13">
        <v>0</v>
      </c>
      <c r="E20" s="13">
        <v>0</v>
      </c>
      <c r="F20" s="13">
        <v>0</v>
      </c>
      <c r="G20" s="13">
        <v>0</v>
      </c>
      <c r="H20" s="13">
        <v>0</v>
      </c>
      <c r="I20" s="13">
        <v>0</v>
      </c>
      <c r="J20" s="13">
        <v>0</v>
      </c>
      <c r="K20" s="13">
        <v>0</v>
      </c>
      <c r="L20" s="13">
        <v>0</v>
      </c>
      <c r="M20" s="13">
        <v>0</v>
      </c>
    </row>
    <row r="21" spans="3:13" x14ac:dyDescent="0.25">
      <c r="C21" t="s">
        <v>38</v>
      </c>
      <c r="D21" s="13">
        <v>0</v>
      </c>
      <c r="E21" s="13">
        <v>0</v>
      </c>
      <c r="F21" s="13">
        <v>0</v>
      </c>
      <c r="G21" s="13">
        <v>0</v>
      </c>
      <c r="H21" s="13">
        <v>0</v>
      </c>
      <c r="I21" s="13">
        <v>0</v>
      </c>
      <c r="J21" s="13">
        <v>0</v>
      </c>
      <c r="K21" s="13">
        <v>0</v>
      </c>
      <c r="L21" s="13">
        <v>0</v>
      </c>
      <c r="M21" s="13">
        <v>0</v>
      </c>
    </row>
    <row r="22" spans="3:13" x14ac:dyDescent="0.25">
      <c r="C22" t="s">
        <v>39</v>
      </c>
      <c r="D22" s="13">
        <v>0</v>
      </c>
      <c r="E22" s="13">
        <v>0</v>
      </c>
      <c r="F22" s="13">
        <v>0</v>
      </c>
      <c r="G22" s="13">
        <v>0</v>
      </c>
      <c r="H22" s="13">
        <v>0</v>
      </c>
      <c r="I22" s="13">
        <v>0</v>
      </c>
      <c r="J22" s="13">
        <v>0</v>
      </c>
      <c r="K22" s="13">
        <v>0</v>
      </c>
      <c r="L22" s="13">
        <v>0</v>
      </c>
      <c r="M22" s="13">
        <v>0</v>
      </c>
    </row>
    <row r="23" spans="3:13" x14ac:dyDescent="0.25">
      <c r="C23" t="s">
        <v>40</v>
      </c>
      <c r="D23" s="13">
        <v>0</v>
      </c>
      <c r="E23" s="13">
        <v>0</v>
      </c>
      <c r="F23" s="13">
        <v>0</v>
      </c>
      <c r="G23" s="13">
        <v>0</v>
      </c>
      <c r="H23" s="13">
        <v>0</v>
      </c>
      <c r="I23" s="13">
        <v>0</v>
      </c>
      <c r="J23" s="13">
        <v>0</v>
      </c>
      <c r="K23" s="13">
        <v>0</v>
      </c>
      <c r="L23" s="13">
        <v>0</v>
      </c>
      <c r="M23" s="13">
        <v>0</v>
      </c>
    </row>
    <row r="24" spans="3:13" x14ac:dyDescent="0.25">
      <c r="C24" t="s">
        <v>41</v>
      </c>
      <c r="D24" s="13">
        <v>0</v>
      </c>
      <c r="E24" s="13">
        <v>0</v>
      </c>
      <c r="F24" s="13">
        <v>0</v>
      </c>
      <c r="G24" s="13">
        <v>0</v>
      </c>
      <c r="H24" s="13">
        <v>0</v>
      </c>
      <c r="I24" s="13">
        <v>0</v>
      </c>
      <c r="J24" s="13">
        <v>0</v>
      </c>
      <c r="K24" s="13">
        <v>0</v>
      </c>
      <c r="L24" s="13">
        <v>0</v>
      </c>
      <c r="M24" s="13">
        <v>0</v>
      </c>
    </row>
    <row r="25" spans="3:13" x14ac:dyDescent="0.25">
      <c r="C25" t="s">
        <v>42</v>
      </c>
      <c r="D25" s="13">
        <v>0</v>
      </c>
      <c r="E25" s="13">
        <v>0</v>
      </c>
      <c r="F25" s="13">
        <v>0</v>
      </c>
      <c r="G25" s="13">
        <v>0</v>
      </c>
      <c r="H25" s="13">
        <v>0</v>
      </c>
      <c r="I25" s="13">
        <v>0</v>
      </c>
      <c r="J25" s="13">
        <v>0</v>
      </c>
      <c r="K25" s="13">
        <v>0</v>
      </c>
      <c r="L25" s="13">
        <v>0</v>
      </c>
      <c r="M25" s="13">
        <v>0</v>
      </c>
    </row>
    <row r="26" spans="3:13" x14ac:dyDescent="0.25">
      <c r="C26" t="s">
        <v>43</v>
      </c>
      <c r="D26" s="13">
        <v>0</v>
      </c>
      <c r="E26" s="13">
        <v>0</v>
      </c>
      <c r="F26" s="13">
        <v>0</v>
      </c>
      <c r="G26" s="13">
        <v>0</v>
      </c>
      <c r="H26" s="13">
        <v>0</v>
      </c>
      <c r="I26" s="13">
        <v>0</v>
      </c>
      <c r="J26" s="13">
        <v>0</v>
      </c>
      <c r="K26" s="13">
        <v>0</v>
      </c>
      <c r="L26" s="13">
        <v>0</v>
      </c>
      <c r="M26" s="13">
        <v>0</v>
      </c>
    </row>
    <row r="27" spans="3:13" x14ac:dyDescent="0.25">
      <c r="C27" t="s">
        <v>44</v>
      </c>
      <c r="D27" s="13">
        <v>0</v>
      </c>
      <c r="E27" s="13">
        <v>0</v>
      </c>
      <c r="F27" s="13">
        <v>0</v>
      </c>
      <c r="G27" s="13">
        <v>0</v>
      </c>
      <c r="H27" s="13">
        <v>0</v>
      </c>
      <c r="I27" s="13">
        <v>0</v>
      </c>
      <c r="J27" s="13">
        <v>0</v>
      </c>
      <c r="K27" s="13">
        <v>0</v>
      </c>
      <c r="L27" s="13">
        <v>0</v>
      </c>
      <c r="M27" s="13">
        <v>0</v>
      </c>
    </row>
    <row r="28" spans="3:13" x14ac:dyDescent="0.25">
      <c r="C28" t="s">
        <v>45</v>
      </c>
      <c r="D28" s="13">
        <v>0</v>
      </c>
      <c r="E28" s="13">
        <v>0</v>
      </c>
      <c r="F28" s="13">
        <v>0</v>
      </c>
      <c r="G28" s="13">
        <v>0</v>
      </c>
      <c r="H28" s="13">
        <v>0</v>
      </c>
      <c r="I28" s="13">
        <v>0</v>
      </c>
      <c r="J28" s="13">
        <v>0</v>
      </c>
      <c r="K28" s="13">
        <v>0</v>
      </c>
      <c r="L28" s="13">
        <v>0</v>
      </c>
      <c r="M28" s="13">
        <v>0</v>
      </c>
    </row>
    <row r="29" spans="3:13" x14ac:dyDescent="0.25">
      <c r="C29" t="s">
        <v>46</v>
      </c>
      <c r="D29" s="13">
        <v>0</v>
      </c>
      <c r="E29" s="13">
        <v>0</v>
      </c>
      <c r="F29" s="13">
        <v>0</v>
      </c>
      <c r="G29" s="13">
        <v>0</v>
      </c>
      <c r="H29" s="13">
        <v>0</v>
      </c>
      <c r="I29" s="13">
        <v>0</v>
      </c>
      <c r="J29" s="13">
        <v>0</v>
      </c>
      <c r="K29" s="13">
        <v>0</v>
      </c>
      <c r="L29" s="13">
        <v>0</v>
      </c>
      <c r="M29" s="13">
        <v>0</v>
      </c>
    </row>
    <row r="30" spans="3:13" x14ac:dyDescent="0.25">
      <c r="C30" t="s">
        <v>47</v>
      </c>
      <c r="D30" s="13">
        <v>0</v>
      </c>
      <c r="E30" s="13">
        <v>0</v>
      </c>
      <c r="F30" s="13">
        <v>0</v>
      </c>
      <c r="G30" s="13">
        <v>0</v>
      </c>
      <c r="H30" s="13">
        <v>0</v>
      </c>
      <c r="I30" s="13">
        <v>0</v>
      </c>
      <c r="J30" s="13">
        <v>0</v>
      </c>
      <c r="K30" s="13">
        <v>0</v>
      </c>
      <c r="L30" s="13">
        <v>0</v>
      </c>
      <c r="M30" s="13">
        <v>0</v>
      </c>
    </row>
    <row r="31" spans="3:13" x14ac:dyDescent="0.25">
      <c r="C31" t="s">
        <v>48</v>
      </c>
      <c r="D31" s="13">
        <v>0</v>
      </c>
      <c r="E31" s="13">
        <v>0</v>
      </c>
      <c r="F31" s="13">
        <v>0</v>
      </c>
      <c r="G31" s="13">
        <v>0</v>
      </c>
      <c r="H31" s="13">
        <v>0</v>
      </c>
      <c r="I31" s="13">
        <v>0</v>
      </c>
      <c r="J31" s="13">
        <v>0</v>
      </c>
      <c r="K31" s="13">
        <v>0</v>
      </c>
      <c r="L31" s="13">
        <v>0</v>
      </c>
      <c r="M31" s="13">
        <v>0</v>
      </c>
    </row>
    <row r="32" spans="3:13" x14ac:dyDescent="0.25">
      <c r="D32" s="3"/>
      <c r="E32" s="3"/>
      <c r="F32" s="3"/>
      <c r="G32" s="3"/>
      <c r="H32" s="3"/>
      <c r="I32" s="3"/>
      <c r="J32" s="3"/>
      <c r="K32" s="3"/>
      <c r="L32" s="3"/>
      <c r="M32" s="3"/>
    </row>
    <row r="33" spans="1:16" x14ac:dyDescent="0.25">
      <c r="C33" t="s">
        <v>53</v>
      </c>
      <c r="D33" s="31">
        <f t="shared" ref="D33:M33" si="3">SUM(D17:D31)</f>
        <v>0</v>
      </c>
      <c r="E33" s="31">
        <f t="shared" si="3"/>
        <v>0</v>
      </c>
      <c r="F33" s="31">
        <f t="shared" si="3"/>
        <v>0</v>
      </c>
      <c r="G33" s="31">
        <f t="shared" si="3"/>
        <v>0</v>
      </c>
      <c r="H33" s="31">
        <f t="shared" si="3"/>
        <v>0</v>
      </c>
      <c r="I33" s="31">
        <f t="shared" si="3"/>
        <v>0</v>
      </c>
      <c r="J33" s="31">
        <f t="shared" si="3"/>
        <v>0</v>
      </c>
      <c r="K33" s="31">
        <f t="shared" si="3"/>
        <v>0</v>
      </c>
      <c r="L33" s="31">
        <f t="shared" si="3"/>
        <v>0</v>
      </c>
      <c r="M33" s="31">
        <f t="shared" si="3"/>
        <v>0</v>
      </c>
    </row>
    <row r="35" spans="1:16" ht="13" x14ac:dyDescent="0.3">
      <c r="A35" s="1" t="s">
        <v>56</v>
      </c>
    </row>
    <row r="36" spans="1:16" ht="13" x14ac:dyDescent="0.3">
      <c r="A36" s="1"/>
    </row>
    <row r="37" spans="1:16" x14ac:dyDescent="0.25">
      <c r="B37" t="s">
        <v>57</v>
      </c>
    </row>
    <row r="38" spans="1:16" x14ac:dyDescent="0.25">
      <c r="B38" t="s">
        <v>70</v>
      </c>
    </row>
    <row r="47" spans="1:16" ht="13" thickBot="1" x14ac:dyDescent="0.3"/>
    <row r="48" spans="1:16" ht="13" x14ac:dyDescent="0.3">
      <c r="C48" s="22" t="s">
        <v>6</v>
      </c>
      <c r="D48" s="27">
        <v>1994</v>
      </c>
      <c r="E48" s="27">
        <v>1995</v>
      </c>
      <c r="F48" s="27">
        <v>1996</v>
      </c>
      <c r="G48" s="27">
        <v>1997</v>
      </c>
      <c r="H48" s="27">
        <v>1998</v>
      </c>
      <c r="I48" s="27">
        <v>1999</v>
      </c>
      <c r="J48" s="27">
        <v>2000</v>
      </c>
      <c r="K48" s="27">
        <v>2001</v>
      </c>
      <c r="L48" s="27">
        <v>2002</v>
      </c>
      <c r="M48" s="27">
        <v>2003</v>
      </c>
      <c r="N48" s="27">
        <v>2004</v>
      </c>
      <c r="O48" s="28"/>
      <c r="P48" s="5"/>
    </row>
    <row r="49" spans="3:15" ht="13.5" thickBot="1" x14ac:dyDescent="0.35">
      <c r="C49" s="7"/>
      <c r="D49" s="8" t="s">
        <v>22</v>
      </c>
      <c r="E49" s="8" t="s">
        <v>22</v>
      </c>
      <c r="F49" s="8" t="s">
        <v>22</v>
      </c>
      <c r="G49" s="8" t="s">
        <v>22</v>
      </c>
      <c r="H49" s="8" t="s">
        <v>22</v>
      </c>
      <c r="I49" s="8" t="s">
        <v>22</v>
      </c>
      <c r="J49" s="8" t="s">
        <v>23</v>
      </c>
      <c r="K49" s="8" t="s">
        <v>23</v>
      </c>
      <c r="L49" s="8" t="s">
        <v>23</v>
      </c>
      <c r="M49" s="8" t="s">
        <v>23</v>
      </c>
      <c r="N49" s="8" t="s">
        <v>23</v>
      </c>
      <c r="O49" s="9"/>
    </row>
    <row r="50" spans="3:15" x14ac:dyDescent="0.25">
      <c r="C50" s="10"/>
      <c r="D50" s="5"/>
      <c r="E50" s="5"/>
      <c r="F50" s="5"/>
      <c r="G50" s="5"/>
      <c r="H50" s="5"/>
      <c r="I50" s="5"/>
      <c r="J50" s="5"/>
      <c r="K50" s="5"/>
      <c r="L50" s="5"/>
      <c r="M50" s="5"/>
      <c r="N50" s="5"/>
      <c r="O50" s="6"/>
    </row>
    <row r="51" spans="3:15" x14ac:dyDescent="0.25">
      <c r="C51" s="10" t="s">
        <v>1</v>
      </c>
      <c r="D51" s="13">
        <v>1982639</v>
      </c>
      <c r="E51" s="13">
        <v>1783529</v>
      </c>
      <c r="F51" s="13">
        <v>2484847</v>
      </c>
      <c r="G51" s="13">
        <v>1170306</v>
      </c>
      <c r="H51" s="13">
        <v>1605129</v>
      </c>
      <c r="I51" s="13">
        <f>3347433-1292663</f>
        <v>2054770</v>
      </c>
      <c r="J51" s="13">
        <f>3048594.05+1292663/2</f>
        <v>3694925.55</v>
      </c>
      <c r="K51" s="13">
        <v>2800000</v>
      </c>
      <c r="L51" s="13">
        <v>2800000</v>
      </c>
      <c r="M51" s="13">
        <v>2800000</v>
      </c>
      <c r="N51" s="13">
        <v>2800000</v>
      </c>
      <c r="O51" s="6"/>
    </row>
    <row r="52" spans="3:15" x14ac:dyDescent="0.25">
      <c r="C52" s="10" t="s">
        <v>2</v>
      </c>
      <c r="D52" s="13">
        <v>0</v>
      </c>
      <c r="E52" s="13">
        <v>0</v>
      </c>
      <c r="F52" s="13">
        <v>0</v>
      </c>
      <c r="G52" s="13">
        <v>0</v>
      </c>
      <c r="H52" s="13">
        <v>0</v>
      </c>
      <c r="I52" s="13">
        <v>0</v>
      </c>
      <c r="J52" s="13">
        <v>0</v>
      </c>
      <c r="K52" s="13">
        <v>0</v>
      </c>
      <c r="L52" s="13">
        <v>0</v>
      </c>
      <c r="M52" s="13">
        <v>0</v>
      </c>
      <c r="N52" s="13">
        <v>0</v>
      </c>
      <c r="O52" s="6"/>
    </row>
    <row r="53" spans="3:15" x14ac:dyDescent="0.25">
      <c r="C53" s="10" t="s">
        <v>3</v>
      </c>
      <c r="D53" s="13">
        <v>14662</v>
      </c>
      <c r="E53" s="13">
        <v>4989</v>
      </c>
      <c r="F53" s="13">
        <v>7348</v>
      </c>
      <c r="G53" s="13">
        <v>6929</v>
      </c>
      <c r="H53" s="13">
        <v>27604</v>
      </c>
      <c r="I53" s="13">
        <v>12750</v>
      </c>
      <c r="J53" s="13">
        <v>27604</v>
      </c>
      <c r="K53" s="13">
        <v>27604</v>
      </c>
      <c r="L53" s="13">
        <v>27604</v>
      </c>
      <c r="M53" s="13">
        <v>27604</v>
      </c>
      <c r="N53" s="13">
        <v>27604</v>
      </c>
      <c r="O53" s="6"/>
    </row>
    <row r="54" spans="3:15" x14ac:dyDescent="0.25">
      <c r="C54" s="10" t="s">
        <v>4</v>
      </c>
      <c r="D54" s="13">
        <v>81418</v>
      </c>
      <c r="E54" s="13">
        <v>90095</v>
      </c>
      <c r="F54" s="13">
        <v>94018</v>
      </c>
      <c r="G54" s="13">
        <v>82334</v>
      </c>
      <c r="H54" s="13">
        <v>63409</v>
      </c>
      <c r="I54" s="13">
        <v>59959</v>
      </c>
      <c r="J54" s="13">
        <v>63409</v>
      </c>
      <c r="K54" s="13">
        <v>63409</v>
      </c>
      <c r="L54" s="13">
        <v>63409</v>
      </c>
      <c r="M54" s="13">
        <v>63409</v>
      </c>
      <c r="N54" s="13">
        <v>63409</v>
      </c>
      <c r="O54" s="6"/>
    </row>
    <row r="55" spans="3:15" x14ac:dyDescent="0.25">
      <c r="C55" s="10"/>
      <c r="D55" s="12"/>
      <c r="E55" s="12"/>
      <c r="F55" s="12"/>
      <c r="G55" s="12"/>
      <c r="H55" s="12"/>
      <c r="I55" s="12"/>
      <c r="J55" s="12"/>
      <c r="K55" s="12"/>
      <c r="L55" s="12"/>
      <c r="M55" s="12"/>
      <c r="N55" s="12"/>
      <c r="O55" s="6"/>
    </row>
    <row r="56" spans="3:15" x14ac:dyDescent="0.25">
      <c r="C56" s="10" t="s">
        <v>0</v>
      </c>
      <c r="D56" s="16">
        <f t="shared" ref="D56:N56" si="4">SUM(D51:D54)</f>
        <v>2078719</v>
      </c>
      <c r="E56" s="16">
        <f t="shared" si="4"/>
        <v>1878613</v>
      </c>
      <c r="F56" s="16">
        <f t="shared" si="4"/>
        <v>2586213</v>
      </c>
      <c r="G56" s="16">
        <f t="shared" si="4"/>
        <v>1259569</v>
      </c>
      <c r="H56" s="16">
        <f t="shared" si="4"/>
        <v>1696142</v>
      </c>
      <c r="I56" s="16">
        <f t="shared" si="4"/>
        <v>2127479</v>
      </c>
      <c r="J56" s="16">
        <f t="shared" si="4"/>
        <v>3785938.55</v>
      </c>
      <c r="K56" s="16">
        <f>SUM(K51:K54)</f>
        <v>2891013</v>
      </c>
      <c r="L56" s="16">
        <f>SUM(L51:L54)</f>
        <v>2891013</v>
      </c>
      <c r="M56" s="16">
        <f>SUM(M51:M54)</f>
        <v>2891013</v>
      </c>
      <c r="N56" s="16">
        <f t="shared" si="4"/>
        <v>2891013</v>
      </c>
      <c r="O56" s="6"/>
    </row>
    <row r="57" spans="3:15" x14ac:dyDescent="0.25">
      <c r="C57" s="10" t="s">
        <v>5</v>
      </c>
      <c r="D57" s="16">
        <f t="shared" ref="D57:N57" si="5">D56-D53</f>
        <v>2064057</v>
      </c>
      <c r="E57" s="16">
        <f t="shared" si="5"/>
        <v>1873624</v>
      </c>
      <c r="F57" s="16">
        <f t="shared" si="5"/>
        <v>2578865</v>
      </c>
      <c r="G57" s="16">
        <f t="shared" si="5"/>
        <v>1252640</v>
      </c>
      <c r="H57" s="16">
        <f t="shared" si="5"/>
        <v>1668538</v>
      </c>
      <c r="I57" s="16">
        <f t="shared" si="5"/>
        <v>2114729</v>
      </c>
      <c r="J57" s="16">
        <f t="shared" si="5"/>
        <v>3758334.55</v>
      </c>
      <c r="K57" s="16">
        <f>K56-K53</f>
        <v>2863409</v>
      </c>
      <c r="L57" s="16">
        <f>L56-L53</f>
        <v>2863409</v>
      </c>
      <c r="M57" s="16">
        <f>M56-M53</f>
        <v>2863409</v>
      </c>
      <c r="N57" s="16">
        <f t="shared" si="5"/>
        <v>2863409</v>
      </c>
      <c r="O57" s="6"/>
    </row>
    <row r="58" spans="3:15" x14ac:dyDescent="0.25">
      <c r="C58" s="10"/>
      <c r="D58" s="5"/>
      <c r="E58" s="5"/>
      <c r="F58" s="5"/>
      <c r="G58" s="5"/>
      <c r="H58" s="12"/>
      <c r="I58" s="12"/>
      <c r="J58" s="12"/>
      <c r="K58" s="12"/>
      <c r="L58" s="12"/>
      <c r="M58" s="12"/>
      <c r="N58" s="12"/>
      <c r="O58" s="6"/>
    </row>
    <row r="59" spans="3:15" x14ac:dyDescent="0.25">
      <c r="C59" s="10"/>
      <c r="D59" s="5"/>
      <c r="E59" s="5"/>
      <c r="F59" s="5"/>
      <c r="G59" s="5"/>
      <c r="H59" s="12"/>
      <c r="I59" s="12"/>
      <c r="J59" s="12"/>
      <c r="K59" s="12"/>
      <c r="L59" s="12"/>
      <c r="M59" s="12"/>
      <c r="N59" s="12"/>
      <c r="O59" s="6"/>
    </row>
    <row r="60" spans="3:15" ht="13" thickBot="1" x14ac:dyDescent="0.3">
      <c r="C60" s="10"/>
      <c r="D60" s="5"/>
      <c r="E60" s="5"/>
      <c r="F60" s="5"/>
      <c r="G60" s="12"/>
      <c r="H60" s="12"/>
      <c r="I60" s="12"/>
      <c r="J60" s="12"/>
      <c r="K60" s="12"/>
      <c r="L60" s="12"/>
      <c r="M60" s="12"/>
      <c r="N60" s="12"/>
      <c r="O60" s="6"/>
    </row>
    <row r="61" spans="3:15" ht="26.5" thickBot="1" x14ac:dyDescent="0.35">
      <c r="C61" s="26" t="s">
        <v>11</v>
      </c>
      <c r="D61" s="24" t="s">
        <v>7</v>
      </c>
      <c r="E61" s="24" t="s">
        <v>8</v>
      </c>
      <c r="F61" s="24" t="s">
        <v>9</v>
      </c>
      <c r="G61" s="24" t="s">
        <v>21</v>
      </c>
      <c r="H61" s="24" t="s">
        <v>24</v>
      </c>
      <c r="I61" s="24" t="s">
        <v>25</v>
      </c>
      <c r="J61" s="24" t="s">
        <v>26</v>
      </c>
      <c r="K61" s="24" t="s">
        <v>27</v>
      </c>
      <c r="L61" s="24" t="s">
        <v>28</v>
      </c>
      <c r="M61" s="24" t="s">
        <v>29</v>
      </c>
      <c r="N61" s="24" t="s">
        <v>30</v>
      </c>
      <c r="O61" s="25"/>
    </row>
    <row r="62" spans="3:15" x14ac:dyDescent="0.25">
      <c r="C62" s="10"/>
      <c r="D62" s="5"/>
      <c r="E62" s="5"/>
      <c r="F62" s="5"/>
      <c r="G62" s="12"/>
      <c r="H62" s="12"/>
      <c r="I62" s="12"/>
      <c r="J62" s="12"/>
      <c r="K62" s="12"/>
      <c r="L62" s="12"/>
      <c r="M62" s="12"/>
      <c r="N62" s="12"/>
      <c r="O62" s="6"/>
    </row>
    <row r="63" spans="3:15" x14ac:dyDescent="0.25">
      <c r="C63" s="10" t="s">
        <v>1</v>
      </c>
      <c r="D63" s="16">
        <f t="shared" ref="D63:K66" si="6">SUM(D51:G51)</f>
        <v>7421321</v>
      </c>
      <c r="E63" s="16">
        <f t="shared" si="6"/>
        <v>7043811</v>
      </c>
      <c r="F63" s="16">
        <f t="shared" si="6"/>
        <v>7315052</v>
      </c>
      <c r="G63" s="16">
        <f t="shared" si="6"/>
        <v>8525130.5500000007</v>
      </c>
      <c r="H63" s="16">
        <f t="shared" si="6"/>
        <v>10154824.550000001</v>
      </c>
      <c r="I63" s="16">
        <f t="shared" si="6"/>
        <v>11349695.550000001</v>
      </c>
      <c r="J63" s="16">
        <f t="shared" si="6"/>
        <v>12094925.550000001</v>
      </c>
      <c r="K63" s="16">
        <f t="shared" si="6"/>
        <v>11200000</v>
      </c>
      <c r="L63" s="16">
        <f>SUM(L51:N51)*4/3</f>
        <v>11200000</v>
      </c>
      <c r="M63" s="16">
        <f>SUM(M51:O51)*4/2</f>
        <v>11200000</v>
      </c>
      <c r="N63" s="16">
        <f>SUM(N51:P51)*4/1</f>
        <v>11200000</v>
      </c>
      <c r="O63" s="6"/>
    </row>
    <row r="64" spans="3:15" x14ac:dyDescent="0.25">
      <c r="C64" s="10" t="s">
        <v>2</v>
      </c>
      <c r="D64" s="16">
        <f t="shared" si="6"/>
        <v>0</v>
      </c>
      <c r="E64" s="16">
        <f t="shared" si="6"/>
        <v>0</v>
      </c>
      <c r="F64" s="16">
        <f t="shared" si="6"/>
        <v>0</v>
      </c>
      <c r="G64" s="16">
        <f t="shared" si="6"/>
        <v>0</v>
      </c>
      <c r="H64" s="16">
        <f t="shared" si="6"/>
        <v>0</v>
      </c>
      <c r="I64" s="16">
        <f t="shared" si="6"/>
        <v>0</v>
      </c>
      <c r="J64" s="16">
        <f t="shared" si="6"/>
        <v>0</v>
      </c>
      <c r="K64" s="16">
        <f t="shared" si="6"/>
        <v>0</v>
      </c>
      <c r="L64" s="16">
        <f t="shared" ref="L64:L69" si="7">SUM(L52:N52)*4/3</f>
        <v>0</v>
      </c>
      <c r="M64" s="16">
        <f t="shared" ref="M64:M69" si="8">SUM(M52:O52)*4/2</f>
        <v>0</v>
      </c>
      <c r="N64" s="16">
        <f t="shared" ref="N64:N69" si="9">SUM(N52:P52)*4/1</f>
        <v>0</v>
      </c>
      <c r="O64" s="6"/>
    </row>
    <row r="65" spans="3:15" x14ac:dyDescent="0.25">
      <c r="C65" s="10" t="s">
        <v>3</v>
      </c>
      <c r="D65" s="16">
        <f t="shared" si="6"/>
        <v>33928</v>
      </c>
      <c r="E65" s="16">
        <f t="shared" si="6"/>
        <v>46870</v>
      </c>
      <c r="F65" s="16">
        <f t="shared" si="6"/>
        <v>54631</v>
      </c>
      <c r="G65" s="16">
        <f t="shared" si="6"/>
        <v>74887</v>
      </c>
      <c r="H65" s="16">
        <f t="shared" si="6"/>
        <v>95562</v>
      </c>
      <c r="I65" s="16">
        <f t="shared" si="6"/>
        <v>95562</v>
      </c>
      <c r="J65" s="16">
        <f t="shared" si="6"/>
        <v>110416</v>
      </c>
      <c r="K65" s="16">
        <f t="shared" si="6"/>
        <v>110416</v>
      </c>
      <c r="L65" s="16">
        <f t="shared" si="7"/>
        <v>110416</v>
      </c>
      <c r="M65" s="16">
        <f t="shared" si="8"/>
        <v>110416</v>
      </c>
      <c r="N65" s="16">
        <f t="shared" si="9"/>
        <v>110416</v>
      </c>
      <c r="O65" s="6"/>
    </row>
    <row r="66" spans="3:15" x14ac:dyDescent="0.25">
      <c r="C66" s="10" t="s">
        <v>4</v>
      </c>
      <c r="D66" s="16">
        <f t="shared" si="6"/>
        <v>347865</v>
      </c>
      <c r="E66" s="16">
        <f t="shared" si="6"/>
        <v>329856</v>
      </c>
      <c r="F66" s="16">
        <f t="shared" si="6"/>
        <v>299720</v>
      </c>
      <c r="G66" s="16">
        <f t="shared" si="6"/>
        <v>269111</v>
      </c>
      <c r="H66" s="16">
        <f t="shared" si="6"/>
        <v>250186</v>
      </c>
      <c r="I66" s="16">
        <f t="shared" si="6"/>
        <v>250186</v>
      </c>
      <c r="J66" s="16">
        <f t="shared" si="6"/>
        <v>253636</v>
      </c>
      <c r="K66" s="16">
        <f t="shared" si="6"/>
        <v>253636</v>
      </c>
      <c r="L66" s="16">
        <f t="shared" si="7"/>
        <v>253636</v>
      </c>
      <c r="M66" s="16">
        <f t="shared" si="8"/>
        <v>253636</v>
      </c>
      <c r="N66" s="16">
        <f t="shared" si="9"/>
        <v>253636</v>
      </c>
      <c r="O66" s="6"/>
    </row>
    <row r="67" spans="3:15" x14ac:dyDescent="0.25">
      <c r="C67" s="10"/>
      <c r="D67" s="16"/>
      <c r="E67" s="16"/>
      <c r="F67" s="16"/>
      <c r="G67" s="16"/>
      <c r="H67" s="16"/>
      <c r="I67" s="16"/>
      <c r="J67" s="16"/>
      <c r="K67" s="16"/>
      <c r="L67" s="16">
        <f t="shared" si="7"/>
        <v>0</v>
      </c>
      <c r="M67" s="16">
        <f t="shared" si="8"/>
        <v>0</v>
      </c>
      <c r="N67" s="16">
        <f t="shared" si="9"/>
        <v>0</v>
      </c>
      <c r="O67" s="6"/>
    </row>
    <row r="68" spans="3:15" x14ac:dyDescent="0.25">
      <c r="C68" s="10" t="s">
        <v>0</v>
      </c>
      <c r="D68" s="16">
        <f t="shared" ref="D68:K69" si="10">SUM(D56:G56)</f>
        <v>7803114</v>
      </c>
      <c r="E68" s="16">
        <f t="shared" si="10"/>
        <v>7420537</v>
      </c>
      <c r="F68" s="16">
        <f t="shared" si="10"/>
        <v>7669403</v>
      </c>
      <c r="G68" s="16">
        <f t="shared" si="10"/>
        <v>8869128.5500000007</v>
      </c>
      <c r="H68" s="16">
        <f t="shared" si="10"/>
        <v>10500572.550000001</v>
      </c>
      <c r="I68" s="16">
        <f t="shared" si="10"/>
        <v>11695443.550000001</v>
      </c>
      <c r="J68" s="16">
        <f t="shared" si="10"/>
        <v>12458977.550000001</v>
      </c>
      <c r="K68" s="16">
        <f t="shared" si="10"/>
        <v>11564052</v>
      </c>
      <c r="L68" s="16">
        <f t="shared" si="7"/>
        <v>11564052</v>
      </c>
      <c r="M68" s="16">
        <f t="shared" si="8"/>
        <v>11564052</v>
      </c>
      <c r="N68" s="16">
        <f t="shared" si="9"/>
        <v>11564052</v>
      </c>
      <c r="O68" s="6"/>
    </row>
    <row r="69" spans="3:15" x14ac:dyDescent="0.25">
      <c r="C69" s="10" t="s">
        <v>10</v>
      </c>
      <c r="D69" s="16">
        <f t="shared" si="10"/>
        <v>7769186</v>
      </c>
      <c r="E69" s="16">
        <f t="shared" si="10"/>
        <v>7373667</v>
      </c>
      <c r="F69" s="16">
        <f t="shared" si="10"/>
        <v>7614772</v>
      </c>
      <c r="G69" s="16">
        <f t="shared" si="10"/>
        <v>8794241.5500000007</v>
      </c>
      <c r="H69" s="16">
        <f t="shared" si="10"/>
        <v>10405010.550000001</v>
      </c>
      <c r="I69" s="16">
        <f t="shared" si="10"/>
        <v>11599881.550000001</v>
      </c>
      <c r="J69" s="16">
        <f t="shared" si="10"/>
        <v>12348561.550000001</v>
      </c>
      <c r="K69" s="16">
        <f t="shared" si="10"/>
        <v>11453636</v>
      </c>
      <c r="L69" s="16">
        <f t="shared" si="7"/>
        <v>11453636</v>
      </c>
      <c r="M69" s="16">
        <f t="shared" si="8"/>
        <v>11453636</v>
      </c>
      <c r="N69" s="16">
        <f t="shared" si="9"/>
        <v>11453636</v>
      </c>
      <c r="O69" s="6"/>
    </row>
    <row r="70" spans="3:15" x14ac:dyDescent="0.25">
      <c r="C70" s="10"/>
      <c r="D70" s="16"/>
      <c r="E70" s="16"/>
      <c r="F70" s="16"/>
      <c r="G70" s="16"/>
      <c r="H70" s="16"/>
      <c r="I70" s="16"/>
      <c r="J70" s="16"/>
      <c r="K70" s="16"/>
      <c r="L70" s="16"/>
      <c r="M70" s="16"/>
      <c r="N70" s="16"/>
      <c r="O70" s="6"/>
    </row>
    <row r="71" spans="3:15" ht="13" x14ac:dyDescent="0.3">
      <c r="C71" s="19" t="s">
        <v>18</v>
      </c>
      <c r="D71" s="20">
        <f>0.02*D69</f>
        <v>155383.72</v>
      </c>
      <c r="E71" s="20">
        <f>0.02*E69</f>
        <v>147473.34</v>
      </c>
      <c r="F71" s="20">
        <f>0.02*F69</f>
        <v>152295.44</v>
      </c>
      <c r="G71" s="20">
        <f>0.02*G69</f>
        <v>175884.83100000001</v>
      </c>
      <c r="H71" s="20">
        <f>0.02*H69</f>
        <v>208100.21100000001</v>
      </c>
      <c r="I71" s="20">
        <f t="shared" ref="I71:N71" si="11">0.02*I69</f>
        <v>231997.63100000002</v>
      </c>
      <c r="J71" s="20">
        <f t="shared" si="11"/>
        <v>246971.23100000003</v>
      </c>
      <c r="K71" s="20">
        <f t="shared" si="11"/>
        <v>229072.72</v>
      </c>
      <c r="L71" s="20">
        <f t="shared" si="11"/>
        <v>229072.72</v>
      </c>
      <c r="M71" s="20">
        <f t="shared" si="11"/>
        <v>229072.72</v>
      </c>
      <c r="N71" s="20">
        <f t="shared" si="11"/>
        <v>229072.72</v>
      </c>
      <c r="O71" s="21"/>
    </row>
    <row r="72" spans="3:15" x14ac:dyDescent="0.25">
      <c r="C72" s="10"/>
      <c r="D72" s="16"/>
      <c r="E72" s="16"/>
      <c r="F72" s="16"/>
      <c r="G72" s="12"/>
      <c r="H72" s="12"/>
      <c r="I72" s="12"/>
      <c r="J72" s="12"/>
      <c r="K72" s="12"/>
      <c r="L72" s="12"/>
      <c r="M72" s="12"/>
      <c r="N72" s="12"/>
      <c r="O72" s="6"/>
    </row>
    <row r="73" spans="3:15" x14ac:dyDescent="0.25">
      <c r="C73" s="10" t="s">
        <v>13</v>
      </c>
      <c r="D73" s="16" t="e">
        <f>#REF!</f>
        <v>#REF!</v>
      </c>
      <c r="E73" s="16" t="e">
        <f>#REF!</f>
        <v>#REF!</v>
      </c>
      <c r="F73" s="16" t="e">
        <f>#REF!</f>
        <v>#REF!</v>
      </c>
      <c r="G73" s="16" t="e">
        <f>#REF!</f>
        <v>#REF!</v>
      </c>
      <c r="H73" s="16" t="e">
        <f>#REF!</f>
        <v>#REF!</v>
      </c>
      <c r="I73" s="16" t="e">
        <f>#REF!</f>
        <v>#REF!</v>
      </c>
      <c r="J73" s="16" t="e">
        <f>#REF!</f>
        <v>#REF!</v>
      </c>
      <c r="K73" s="16" t="e">
        <f>#REF!</f>
        <v>#REF!</v>
      </c>
      <c r="L73" s="16" t="e">
        <f>#REF!</f>
        <v>#REF!</v>
      </c>
      <c r="M73" s="16" t="e">
        <f>#REF!</f>
        <v>#REF!</v>
      </c>
      <c r="N73" s="16" t="e">
        <f>#REF!</f>
        <v>#REF!</v>
      </c>
      <c r="O73" s="6"/>
    </row>
    <row r="74" spans="3:15" x14ac:dyDescent="0.25">
      <c r="C74" s="10" t="s">
        <v>12</v>
      </c>
      <c r="D74" s="16">
        <f t="shared" ref="D74:N74" si="12">D66</f>
        <v>347865</v>
      </c>
      <c r="E74" s="16">
        <f t="shared" si="12"/>
        <v>329856</v>
      </c>
      <c r="F74" s="16">
        <f t="shared" si="12"/>
        <v>299720</v>
      </c>
      <c r="G74" s="16">
        <f t="shared" si="12"/>
        <v>269111</v>
      </c>
      <c r="H74" s="16">
        <f t="shared" si="12"/>
        <v>250186</v>
      </c>
      <c r="I74" s="16">
        <f t="shared" si="12"/>
        <v>250186</v>
      </c>
      <c r="J74" s="16">
        <f t="shared" si="12"/>
        <v>253636</v>
      </c>
      <c r="K74" s="16">
        <f t="shared" si="12"/>
        <v>253636</v>
      </c>
      <c r="L74" s="16">
        <f t="shared" si="12"/>
        <v>253636</v>
      </c>
      <c r="M74" s="16">
        <f t="shared" si="12"/>
        <v>253636</v>
      </c>
      <c r="N74" s="16">
        <f t="shared" si="12"/>
        <v>253636</v>
      </c>
      <c r="O74" s="6"/>
    </row>
    <row r="75" spans="3:15" x14ac:dyDescent="0.25">
      <c r="C75" s="10"/>
      <c r="D75" s="16"/>
      <c r="E75" s="16"/>
      <c r="F75" s="16"/>
      <c r="G75" s="16"/>
      <c r="H75" s="16"/>
      <c r="I75" s="16"/>
      <c r="J75" s="16"/>
      <c r="K75" s="16"/>
      <c r="L75" s="16"/>
      <c r="M75" s="16"/>
      <c r="N75" s="16"/>
      <c r="O75" s="6"/>
    </row>
    <row r="76" spans="3:15" x14ac:dyDescent="0.25">
      <c r="C76" s="10" t="s">
        <v>15</v>
      </c>
      <c r="D76" s="16" t="e">
        <f t="shared" ref="D76:N76" si="13">D74+D73</f>
        <v>#REF!</v>
      </c>
      <c r="E76" s="16" t="e">
        <f t="shared" si="13"/>
        <v>#REF!</v>
      </c>
      <c r="F76" s="16" t="e">
        <f t="shared" si="13"/>
        <v>#REF!</v>
      </c>
      <c r="G76" s="16" t="e">
        <f t="shared" si="13"/>
        <v>#REF!</v>
      </c>
      <c r="H76" s="16" t="e">
        <f t="shared" si="13"/>
        <v>#REF!</v>
      </c>
      <c r="I76" s="16" t="e">
        <f t="shared" si="13"/>
        <v>#REF!</v>
      </c>
      <c r="J76" s="16" t="e">
        <f t="shared" si="13"/>
        <v>#REF!</v>
      </c>
      <c r="K76" s="16" t="e">
        <f t="shared" si="13"/>
        <v>#REF!</v>
      </c>
      <c r="L76" s="16" t="e">
        <f t="shared" si="13"/>
        <v>#REF!</v>
      </c>
      <c r="M76" s="16" t="e">
        <f t="shared" si="13"/>
        <v>#REF!</v>
      </c>
      <c r="N76" s="16" t="e">
        <f t="shared" si="13"/>
        <v>#REF!</v>
      </c>
      <c r="O76" s="6"/>
    </row>
    <row r="77" spans="3:15" x14ac:dyDescent="0.25">
      <c r="C77" s="10"/>
      <c r="D77" s="16"/>
      <c r="E77" s="16"/>
      <c r="F77" s="16"/>
      <c r="G77" s="16"/>
      <c r="H77" s="16"/>
      <c r="I77" s="16"/>
      <c r="J77" s="16"/>
      <c r="K77" s="16"/>
      <c r="L77" s="16"/>
      <c r="M77" s="16"/>
      <c r="N77" s="16"/>
      <c r="O77" s="6"/>
    </row>
    <row r="78" spans="3:15" x14ac:dyDescent="0.25">
      <c r="C78" s="10" t="s">
        <v>14</v>
      </c>
      <c r="D78" s="16" t="e">
        <f t="shared" ref="D78:N78" si="14">D69-D76</f>
        <v>#REF!</v>
      </c>
      <c r="E78" s="16" t="e">
        <f t="shared" si="14"/>
        <v>#REF!</v>
      </c>
      <c r="F78" s="16" t="e">
        <f t="shared" si="14"/>
        <v>#REF!</v>
      </c>
      <c r="G78" s="16" t="e">
        <f t="shared" si="14"/>
        <v>#REF!</v>
      </c>
      <c r="H78" s="16" t="e">
        <f t="shared" si="14"/>
        <v>#REF!</v>
      </c>
      <c r="I78" s="16" t="e">
        <f t="shared" si="14"/>
        <v>#REF!</v>
      </c>
      <c r="J78" s="16" t="e">
        <f t="shared" si="14"/>
        <v>#REF!</v>
      </c>
      <c r="K78" s="16" t="e">
        <f t="shared" si="14"/>
        <v>#REF!</v>
      </c>
      <c r="L78" s="16" t="e">
        <f t="shared" si="14"/>
        <v>#REF!</v>
      </c>
      <c r="M78" s="16" t="e">
        <f t="shared" si="14"/>
        <v>#REF!</v>
      </c>
      <c r="N78" s="16" t="e">
        <f t="shared" si="14"/>
        <v>#REF!</v>
      </c>
      <c r="O78" s="6"/>
    </row>
    <row r="79" spans="3:15" x14ac:dyDescent="0.25">
      <c r="C79" s="10"/>
      <c r="D79" s="16"/>
      <c r="E79" s="16"/>
      <c r="F79" s="16"/>
      <c r="G79" s="16"/>
      <c r="H79" s="16"/>
      <c r="I79" s="16"/>
      <c r="J79" s="16"/>
      <c r="K79" s="16"/>
      <c r="L79" s="16"/>
      <c r="M79" s="16"/>
      <c r="N79" s="16"/>
      <c r="O79" s="6"/>
    </row>
    <row r="80" spans="3:15" ht="13" x14ac:dyDescent="0.3">
      <c r="C80" s="19" t="s">
        <v>16</v>
      </c>
      <c r="D80" s="23" t="e">
        <f t="shared" ref="D80:N80" si="15">D78/D69</f>
        <v>#REF!</v>
      </c>
      <c r="E80" s="23" t="e">
        <f t="shared" si="15"/>
        <v>#REF!</v>
      </c>
      <c r="F80" s="23" t="e">
        <f t="shared" si="15"/>
        <v>#REF!</v>
      </c>
      <c r="G80" s="23" t="e">
        <f t="shared" si="15"/>
        <v>#REF!</v>
      </c>
      <c r="H80" s="23" t="e">
        <f t="shared" si="15"/>
        <v>#REF!</v>
      </c>
      <c r="I80" s="23" t="e">
        <f t="shared" si="15"/>
        <v>#REF!</v>
      </c>
      <c r="J80" s="23" t="e">
        <f t="shared" si="15"/>
        <v>#REF!</v>
      </c>
      <c r="K80" s="23" t="e">
        <f t="shared" si="15"/>
        <v>#REF!</v>
      </c>
      <c r="L80" s="23" t="e">
        <f t="shared" si="15"/>
        <v>#REF!</v>
      </c>
      <c r="M80" s="23" t="e">
        <f t="shared" si="15"/>
        <v>#REF!</v>
      </c>
      <c r="N80" s="23" t="e">
        <f t="shared" si="15"/>
        <v>#REF!</v>
      </c>
      <c r="O80" s="21"/>
    </row>
    <row r="81" spans="3:15" ht="13" thickBot="1" x14ac:dyDescent="0.3">
      <c r="C81" s="11"/>
      <c r="D81" s="17"/>
      <c r="E81" s="17"/>
      <c r="F81" s="17"/>
      <c r="G81" s="17"/>
      <c r="H81" s="17"/>
      <c r="I81" s="17"/>
      <c r="J81" s="17"/>
      <c r="K81" s="17"/>
      <c r="L81" s="17"/>
      <c r="M81" s="17"/>
      <c r="N81" s="17"/>
      <c r="O81" s="18"/>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zoomScale="75" workbookViewId="0">
      <selection activeCell="H25" sqref="H25"/>
    </sheetView>
  </sheetViews>
  <sheetFormatPr defaultColWidth="9.1796875" defaultRowHeight="12.5" x14ac:dyDescent="0.25"/>
  <cols>
    <col min="1" max="1" width="4.1796875" style="34" customWidth="1"/>
    <col min="2" max="2" width="3.54296875" style="34" customWidth="1"/>
    <col min="3" max="3" width="30.26953125" style="34" customWidth="1"/>
    <col min="4" max="7" width="10.81640625" style="34" customWidth="1"/>
    <col min="8" max="14" width="13.453125" style="34" customWidth="1"/>
    <col min="15" max="15" width="0.7265625" style="34" customWidth="1"/>
    <col min="16" max="16384" width="9.1796875" style="34"/>
  </cols>
  <sheetData>
    <row r="1" spans="1:13" s="32" customFormat="1" ht="13" x14ac:dyDescent="0.3">
      <c r="A1" s="32" t="s">
        <v>31</v>
      </c>
      <c r="D1" s="33">
        <f>'Year-by-Year Data'!D5</f>
        <v>1995</v>
      </c>
      <c r="E1" s="33">
        <f>'Year-by-Year Data'!E5</f>
        <v>1996</v>
      </c>
      <c r="F1" s="33">
        <f>'Year-by-Year Data'!F5</f>
        <v>1997</v>
      </c>
      <c r="G1" s="33">
        <f>'Year-by-Year Data'!G5</f>
        <v>1998</v>
      </c>
      <c r="H1" s="33">
        <f>'Year-by-Year Data'!H5</f>
        <v>1999</v>
      </c>
      <c r="I1" s="33">
        <f>'Year-by-Year Data'!I5</f>
        <v>2000</v>
      </c>
      <c r="J1" s="33">
        <f>'Year-by-Year Data'!J5</f>
        <v>2001</v>
      </c>
      <c r="K1" s="33">
        <f>'Year-by-Year Data'!K5</f>
        <v>2002</v>
      </c>
      <c r="L1" s="33">
        <f>'Year-by-Year Data'!L5</f>
        <v>2003</v>
      </c>
      <c r="M1" s="33">
        <f>'Year-by-Year Data'!M5</f>
        <v>2004</v>
      </c>
    </row>
    <row r="3" spans="1:13" x14ac:dyDescent="0.25">
      <c r="B3" s="34" t="s">
        <v>49</v>
      </c>
    </row>
    <row r="4" spans="1:13" x14ac:dyDescent="0.25">
      <c r="C4" s="34" t="s">
        <v>50</v>
      </c>
      <c r="D4" s="40">
        <f>D5-3</f>
        <v>1991</v>
      </c>
      <c r="E4" s="40">
        <f t="shared" ref="E4:M4" si="0">E5-3</f>
        <v>1992</v>
      </c>
      <c r="F4" s="40">
        <f t="shared" si="0"/>
        <v>1993</v>
      </c>
      <c r="G4" s="40">
        <f t="shared" si="0"/>
        <v>1994</v>
      </c>
      <c r="H4" s="40">
        <f t="shared" si="0"/>
        <v>1995</v>
      </c>
      <c r="I4" s="40">
        <f t="shared" si="0"/>
        <v>1996</v>
      </c>
      <c r="J4" s="40">
        <f t="shared" si="0"/>
        <v>1997</v>
      </c>
      <c r="K4" s="40">
        <f t="shared" si="0"/>
        <v>1998</v>
      </c>
      <c r="L4" s="40">
        <f t="shared" si="0"/>
        <v>1999</v>
      </c>
      <c r="M4" s="40">
        <f t="shared" si="0"/>
        <v>2000</v>
      </c>
    </row>
    <row r="5" spans="1:13" x14ac:dyDescent="0.25">
      <c r="C5" s="34" t="s">
        <v>51</v>
      </c>
      <c r="D5" s="40">
        <f>D1-1</f>
        <v>1994</v>
      </c>
      <c r="E5" s="40">
        <f t="shared" ref="E5:L5" si="1">E1-1</f>
        <v>1995</v>
      </c>
      <c r="F5" s="40">
        <f t="shared" si="1"/>
        <v>1996</v>
      </c>
      <c r="G5" s="40">
        <f t="shared" si="1"/>
        <v>1997</v>
      </c>
      <c r="H5" s="40">
        <f t="shared" si="1"/>
        <v>1998</v>
      </c>
      <c r="I5" s="40">
        <f t="shared" si="1"/>
        <v>1999</v>
      </c>
      <c r="J5" s="40">
        <f t="shared" si="1"/>
        <v>2000</v>
      </c>
      <c r="K5" s="40">
        <f t="shared" si="1"/>
        <v>2001</v>
      </c>
      <c r="L5" s="40">
        <f t="shared" si="1"/>
        <v>2002</v>
      </c>
      <c r="M5" s="40">
        <f>M1-1</f>
        <v>2003</v>
      </c>
    </row>
    <row r="6" spans="1:13" x14ac:dyDescent="0.25">
      <c r="D6" s="41"/>
      <c r="E6" s="41"/>
      <c r="F6" s="41"/>
      <c r="G6" s="41"/>
      <c r="H6" s="41"/>
      <c r="I6" s="41"/>
      <c r="J6" s="41"/>
      <c r="K6" s="41"/>
      <c r="L6" s="41"/>
      <c r="M6" s="41"/>
    </row>
    <row r="7" spans="1:13" x14ac:dyDescent="0.25">
      <c r="D7" s="41"/>
      <c r="E7" s="41"/>
      <c r="F7" s="41"/>
      <c r="G7" s="41"/>
      <c r="H7" s="41"/>
      <c r="I7" s="41"/>
      <c r="J7" s="41"/>
      <c r="K7" s="41"/>
      <c r="L7" s="41"/>
      <c r="M7" s="41"/>
    </row>
    <row r="8" spans="1:13" ht="13" x14ac:dyDescent="0.3">
      <c r="B8" s="35" t="s">
        <v>32</v>
      </c>
      <c r="D8" s="41"/>
      <c r="E8" s="41"/>
      <c r="F8" s="41"/>
      <c r="G8" s="41"/>
      <c r="H8" s="41"/>
      <c r="I8" s="41"/>
      <c r="J8" s="41"/>
      <c r="K8" s="41"/>
      <c r="L8" s="41"/>
      <c r="M8" s="41"/>
    </row>
    <row r="9" spans="1:13" x14ac:dyDescent="0.25">
      <c r="C9" s="34" t="s">
        <v>1</v>
      </c>
      <c r="D9" s="42" t="s">
        <v>58</v>
      </c>
      <c r="E9" s="42" t="s">
        <v>58</v>
      </c>
      <c r="F9" s="42" t="s">
        <v>58</v>
      </c>
      <c r="G9" s="42" t="s">
        <v>58</v>
      </c>
      <c r="H9" s="31">
        <f>SUM('Year-by-Year Data'!D8:G8)</f>
        <v>0</v>
      </c>
      <c r="I9" s="31">
        <f>SUM('Year-by-Year Data'!E8:H8)</f>
        <v>0</v>
      </c>
      <c r="J9" s="31">
        <f>SUM('Year-by-Year Data'!F8:I8)</f>
        <v>0</v>
      </c>
      <c r="K9" s="31">
        <f>SUM('Year-by-Year Data'!G8:J8)</f>
        <v>0</v>
      </c>
      <c r="L9" s="31">
        <f>SUM('Year-by-Year Data'!H8:K8)</f>
        <v>0</v>
      </c>
      <c r="M9" s="31">
        <f>SUM('Year-by-Year Data'!I8:L8)</f>
        <v>0</v>
      </c>
    </row>
    <row r="10" spans="1:13" x14ac:dyDescent="0.25">
      <c r="C10" s="34" t="s">
        <v>2</v>
      </c>
      <c r="D10" s="42" t="s">
        <v>58</v>
      </c>
      <c r="E10" s="42" t="s">
        <v>58</v>
      </c>
      <c r="F10" s="42" t="s">
        <v>58</v>
      </c>
      <c r="G10" s="42" t="s">
        <v>58</v>
      </c>
      <c r="H10" s="31">
        <f>SUM('Year-by-Year Data'!D9:G9)</f>
        <v>0</v>
      </c>
      <c r="I10" s="31">
        <f>SUM('Year-by-Year Data'!E9:H9)</f>
        <v>0</v>
      </c>
      <c r="J10" s="31">
        <f>SUM('Year-by-Year Data'!F9:I9)</f>
        <v>0</v>
      </c>
      <c r="K10" s="31">
        <f>SUM('Year-by-Year Data'!G9:J9)</f>
        <v>0</v>
      </c>
      <c r="L10" s="31">
        <f>SUM('Year-by-Year Data'!H9:K9)</f>
        <v>0</v>
      </c>
      <c r="M10" s="31">
        <f>SUM('Year-by-Year Data'!I9:L9)</f>
        <v>0</v>
      </c>
    </row>
    <row r="11" spans="1:13" x14ac:dyDescent="0.25">
      <c r="C11" s="34" t="s">
        <v>3</v>
      </c>
      <c r="D11" s="42" t="s">
        <v>58</v>
      </c>
      <c r="E11" s="42" t="s">
        <v>58</v>
      </c>
      <c r="F11" s="42" t="s">
        <v>58</v>
      </c>
      <c r="G11" s="42" t="s">
        <v>58</v>
      </c>
      <c r="H11" s="31">
        <f>SUM('Year-by-Year Data'!D10:G10)</f>
        <v>0</v>
      </c>
      <c r="I11" s="31">
        <f>SUM('Year-by-Year Data'!E10:H10)</f>
        <v>0</v>
      </c>
      <c r="J11" s="31">
        <f>SUM('Year-by-Year Data'!F10:I10)</f>
        <v>0</v>
      </c>
      <c r="K11" s="31">
        <f>SUM('Year-by-Year Data'!G10:J10)</f>
        <v>0</v>
      </c>
      <c r="L11" s="31">
        <f>SUM('Year-by-Year Data'!H10:K10)</f>
        <v>0</v>
      </c>
      <c r="M11" s="31">
        <f>SUM('Year-by-Year Data'!I10:L10)</f>
        <v>0</v>
      </c>
    </row>
    <row r="12" spans="1:13" x14ac:dyDescent="0.25">
      <c r="C12" s="34" t="s">
        <v>4</v>
      </c>
      <c r="D12" s="42" t="s">
        <v>58</v>
      </c>
      <c r="E12" s="42" t="s">
        <v>58</v>
      </c>
      <c r="F12" s="42" t="s">
        <v>58</v>
      </c>
      <c r="G12" s="42" t="s">
        <v>58</v>
      </c>
      <c r="H12" s="31">
        <f>SUM('Year-by-Year Data'!D11:G11)</f>
        <v>0</v>
      </c>
      <c r="I12" s="31">
        <f>SUM('Year-by-Year Data'!E11:H11)</f>
        <v>0</v>
      </c>
      <c r="J12" s="31">
        <f>SUM('Year-by-Year Data'!F11:I11)</f>
        <v>0</v>
      </c>
      <c r="K12" s="31">
        <f>SUM('Year-by-Year Data'!G11:J11)</f>
        <v>0</v>
      </c>
      <c r="L12" s="31">
        <f>SUM('Year-by-Year Data'!H11:K11)</f>
        <v>0</v>
      </c>
      <c r="M12" s="31">
        <f>SUM('Year-by-Year Data'!I11:L11)</f>
        <v>0</v>
      </c>
    </row>
    <row r="13" spans="1:13" x14ac:dyDescent="0.25">
      <c r="D13" s="43"/>
      <c r="E13" s="43"/>
      <c r="F13" s="43"/>
      <c r="G13" s="43"/>
      <c r="H13" s="31"/>
      <c r="I13" s="31"/>
      <c r="J13" s="31"/>
      <c r="K13" s="31"/>
      <c r="L13" s="31"/>
      <c r="M13" s="31"/>
    </row>
    <row r="14" spans="1:13" x14ac:dyDescent="0.25">
      <c r="C14" s="34" t="s">
        <v>0</v>
      </c>
      <c r="D14" s="42" t="s">
        <v>58</v>
      </c>
      <c r="E14" s="42" t="s">
        <v>58</v>
      </c>
      <c r="F14" s="42" t="s">
        <v>58</v>
      </c>
      <c r="G14" s="42" t="s">
        <v>58</v>
      </c>
      <c r="H14" s="31">
        <f>SUM('Year-by-Year Data'!D13:G13)</f>
        <v>0</v>
      </c>
      <c r="I14" s="31">
        <f>SUM('Year-by-Year Data'!E13:H13)</f>
        <v>0</v>
      </c>
      <c r="J14" s="31">
        <f>SUM('Year-by-Year Data'!F13:I13)</f>
        <v>0</v>
      </c>
      <c r="K14" s="31">
        <f>SUM('Year-by-Year Data'!G13:J13)</f>
        <v>0</v>
      </c>
      <c r="L14" s="31">
        <f>SUM('Year-by-Year Data'!H13:K13)</f>
        <v>0</v>
      </c>
      <c r="M14" s="31">
        <f>SUM('Year-by-Year Data'!I13:L13)</f>
        <v>0</v>
      </c>
    </row>
    <row r="15" spans="1:13" x14ac:dyDescent="0.25">
      <c r="C15" s="34" t="s">
        <v>5</v>
      </c>
      <c r="D15" s="42" t="s">
        <v>58</v>
      </c>
      <c r="E15" s="42" t="s">
        <v>58</v>
      </c>
      <c r="F15" s="42" t="s">
        <v>58</v>
      </c>
      <c r="G15" s="42" t="s">
        <v>58</v>
      </c>
      <c r="H15" s="31">
        <f>SUM('Year-by-Year Data'!D14:G14)</f>
        <v>0</v>
      </c>
      <c r="I15" s="31">
        <f>SUM('Year-by-Year Data'!E14:H14)</f>
        <v>0</v>
      </c>
      <c r="J15" s="31">
        <f>SUM('Year-by-Year Data'!F14:I14)</f>
        <v>0</v>
      </c>
      <c r="K15" s="31">
        <f>SUM('Year-by-Year Data'!G14:J14)</f>
        <v>0</v>
      </c>
      <c r="L15" s="31">
        <f>SUM('Year-by-Year Data'!H14:K14)</f>
        <v>0</v>
      </c>
      <c r="M15" s="31">
        <f>SUM('Year-by-Year Data'!I14:L14)</f>
        <v>0</v>
      </c>
    </row>
    <row r="16" spans="1:13" x14ac:dyDescent="0.25">
      <c r="D16" s="43"/>
      <c r="E16" s="43"/>
      <c r="F16" s="43"/>
      <c r="G16" s="43"/>
      <c r="H16" s="31"/>
      <c r="I16" s="31"/>
      <c r="J16" s="31"/>
      <c r="K16" s="31"/>
      <c r="L16" s="31"/>
      <c r="M16" s="31"/>
    </row>
    <row r="17" spans="2:13" x14ac:dyDescent="0.25">
      <c r="B17" s="34" t="s">
        <v>18</v>
      </c>
      <c r="D17" s="42" t="s">
        <v>58</v>
      </c>
      <c r="E17" s="42" t="s">
        <v>58</v>
      </c>
      <c r="F17" s="42" t="s">
        <v>58</v>
      </c>
      <c r="G17" s="42" t="s">
        <v>58</v>
      </c>
      <c r="H17" s="31">
        <f t="shared" ref="H17:M17" si="2">0.02*H15</f>
        <v>0</v>
      </c>
      <c r="I17" s="31">
        <f t="shared" si="2"/>
        <v>0</v>
      </c>
      <c r="J17" s="31">
        <f t="shared" si="2"/>
        <v>0</v>
      </c>
      <c r="K17" s="31">
        <f t="shared" si="2"/>
        <v>0</v>
      </c>
      <c r="L17" s="31">
        <f t="shared" si="2"/>
        <v>0</v>
      </c>
      <c r="M17" s="31">
        <f t="shared" si="2"/>
        <v>0</v>
      </c>
    </row>
    <row r="18" spans="2:13" x14ac:dyDescent="0.25">
      <c r="D18" s="43"/>
      <c r="E18" s="43"/>
      <c r="F18" s="43"/>
      <c r="G18" s="43"/>
      <c r="H18" s="31"/>
      <c r="I18" s="31"/>
      <c r="J18" s="31"/>
      <c r="K18" s="31"/>
      <c r="L18" s="31"/>
      <c r="M18" s="31"/>
    </row>
    <row r="19" spans="2:13" x14ac:dyDescent="0.25">
      <c r="B19" s="34" t="s">
        <v>13</v>
      </c>
      <c r="D19" s="42" t="s">
        <v>58</v>
      </c>
      <c r="E19" s="42" t="s">
        <v>58</v>
      </c>
      <c r="F19" s="42" t="s">
        <v>58</v>
      </c>
      <c r="G19" s="42" t="s">
        <v>58</v>
      </c>
      <c r="H19" s="31">
        <f t="shared" ref="H19:M19" si="3">H62</f>
        <v>0</v>
      </c>
      <c r="I19" s="31">
        <f t="shared" si="3"/>
        <v>0</v>
      </c>
      <c r="J19" s="31">
        <f t="shared" si="3"/>
        <v>0</v>
      </c>
      <c r="K19" s="31">
        <f t="shared" si="3"/>
        <v>0</v>
      </c>
      <c r="L19" s="31">
        <f t="shared" si="3"/>
        <v>0</v>
      </c>
      <c r="M19" s="31">
        <f t="shared" si="3"/>
        <v>0</v>
      </c>
    </row>
    <row r="20" spans="2:13" x14ac:dyDescent="0.25">
      <c r="B20" s="34" t="s">
        <v>12</v>
      </c>
      <c r="D20" s="42" t="s">
        <v>58</v>
      </c>
      <c r="E20" s="42" t="s">
        <v>58</v>
      </c>
      <c r="F20" s="42" t="s">
        <v>58</v>
      </c>
      <c r="G20" s="42" t="s">
        <v>58</v>
      </c>
      <c r="H20" s="31">
        <f t="shared" ref="H20:M20" si="4">H12</f>
        <v>0</v>
      </c>
      <c r="I20" s="31">
        <f t="shared" si="4"/>
        <v>0</v>
      </c>
      <c r="J20" s="31">
        <f t="shared" si="4"/>
        <v>0</v>
      </c>
      <c r="K20" s="31">
        <f t="shared" si="4"/>
        <v>0</v>
      </c>
      <c r="L20" s="31">
        <f t="shared" si="4"/>
        <v>0</v>
      </c>
      <c r="M20" s="31">
        <f t="shared" si="4"/>
        <v>0</v>
      </c>
    </row>
    <row r="21" spans="2:13" x14ac:dyDescent="0.25">
      <c r="D21" s="43"/>
      <c r="E21" s="43"/>
      <c r="F21" s="43"/>
      <c r="G21" s="43"/>
      <c r="H21" s="31"/>
      <c r="I21" s="31"/>
      <c r="J21" s="31"/>
      <c r="K21" s="31"/>
      <c r="L21" s="31"/>
      <c r="M21" s="31"/>
    </row>
    <row r="22" spans="2:13" x14ac:dyDescent="0.25">
      <c r="C22" s="34" t="s">
        <v>54</v>
      </c>
      <c r="D22" s="42" t="s">
        <v>58</v>
      </c>
      <c r="E22" s="42" t="s">
        <v>58</v>
      </c>
      <c r="F22" s="42" t="s">
        <v>58</v>
      </c>
      <c r="G22" s="42" t="s">
        <v>58</v>
      </c>
      <c r="H22" s="31">
        <f t="shared" ref="H22:M22" si="5">SUM(H19:H20)</f>
        <v>0</v>
      </c>
      <c r="I22" s="31">
        <f t="shared" si="5"/>
        <v>0</v>
      </c>
      <c r="J22" s="31">
        <f t="shared" si="5"/>
        <v>0</v>
      </c>
      <c r="K22" s="31">
        <f t="shared" si="5"/>
        <v>0</v>
      </c>
      <c r="L22" s="31">
        <f t="shared" si="5"/>
        <v>0</v>
      </c>
      <c r="M22" s="31">
        <f t="shared" si="5"/>
        <v>0</v>
      </c>
    </row>
    <row r="23" spans="2:13" x14ac:dyDescent="0.25">
      <c r="C23" s="34" t="s">
        <v>55</v>
      </c>
      <c r="D23" s="42" t="s">
        <v>58</v>
      </c>
      <c r="E23" s="42" t="s">
        <v>58</v>
      </c>
      <c r="F23" s="42" t="s">
        <v>58</v>
      </c>
      <c r="G23" s="42" t="s">
        <v>58</v>
      </c>
      <c r="H23" s="31">
        <f t="shared" ref="H23:M23" si="6">H15-H22</f>
        <v>0</v>
      </c>
      <c r="I23" s="31">
        <f t="shared" si="6"/>
        <v>0</v>
      </c>
      <c r="J23" s="31">
        <f t="shared" si="6"/>
        <v>0</v>
      </c>
      <c r="K23" s="31">
        <f t="shared" si="6"/>
        <v>0</v>
      </c>
      <c r="L23" s="31">
        <f t="shared" si="6"/>
        <v>0</v>
      </c>
      <c r="M23" s="31">
        <f t="shared" si="6"/>
        <v>0</v>
      </c>
    </row>
    <row r="24" spans="2:13" x14ac:dyDescent="0.25">
      <c r="D24" s="43"/>
      <c r="E24" s="43"/>
      <c r="F24" s="43"/>
      <c r="G24" s="43"/>
      <c r="H24" s="31"/>
      <c r="I24" s="31"/>
      <c r="J24" s="31"/>
      <c r="K24" s="31"/>
      <c r="L24" s="31"/>
      <c r="M24" s="31"/>
    </row>
    <row r="25" spans="2:13" ht="13" x14ac:dyDescent="0.3">
      <c r="C25" s="44" t="s">
        <v>59</v>
      </c>
      <c r="D25" s="45" t="s">
        <v>58</v>
      </c>
      <c r="E25" s="45" t="s">
        <v>58</v>
      </c>
      <c r="F25" s="45" t="s">
        <v>58</v>
      </c>
      <c r="G25" s="45" t="s">
        <v>58</v>
      </c>
      <c r="H25" s="46" t="e">
        <f t="shared" ref="H25:M25" si="7">H23/H15</f>
        <v>#DIV/0!</v>
      </c>
      <c r="I25" s="46" t="e">
        <f t="shared" si="7"/>
        <v>#DIV/0!</v>
      </c>
      <c r="J25" s="46" t="e">
        <f t="shared" si="7"/>
        <v>#DIV/0!</v>
      </c>
      <c r="K25" s="46" t="e">
        <f t="shared" si="7"/>
        <v>#DIV/0!</v>
      </c>
      <c r="L25" s="46" t="e">
        <f t="shared" si="7"/>
        <v>#DIV/0!</v>
      </c>
      <c r="M25" s="46" t="e">
        <f t="shared" si="7"/>
        <v>#DIV/0!</v>
      </c>
    </row>
    <row r="26" spans="2:13" ht="13" x14ac:dyDescent="0.3">
      <c r="C26" s="44" t="s">
        <v>60</v>
      </c>
      <c r="D26" s="45"/>
      <c r="E26" s="45"/>
      <c r="F26" s="45"/>
      <c r="G26" s="45"/>
      <c r="H26" s="46"/>
      <c r="I26" s="46"/>
      <c r="J26" s="46"/>
      <c r="K26" s="46"/>
      <c r="L26" s="46"/>
      <c r="M26" s="46"/>
    </row>
    <row r="27" spans="2:13" x14ac:dyDescent="0.25">
      <c r="D27" s="43"/>
      <c r="E27" s="43"/>
      <c r="F27" s="43"/>
      <c r="G27" s="43"/>
      <c r="H27" s="31"/>
      <c r="I27" s="31"/>
      <c r="J27" s="31"/>
      <c r="K27" s="31"/>
      <c r="L27" s="31"/>
      <c r="M27" s="31"/>
    </row>
    <row r="28" spans="2:13" ht="13" x14ac:dyDescent="0.3">
      <c r="B28" s="35" t="s">
        <v>33</v>
      </c>
      <c r="D28" s="43"/>
      <c r="E28" s="43"/>
      <c r="F28" s="43"/>
      <c r="G28" s="43"/>
      <c r="H28" s="31"/>
      <c r="I28" s="31"/>
      <c r="J28" s="31"/>
      <c r="K28" s="31"/>
      <c r="L28" s="31"/>
      <c r="M28" s="31"/>
    </row>
    <row r="29" spans="2:13" x14ac:dyDescent="0.25">
      <c r="C29" s="34" t="str">
        <f>'Year-by-Year Data'!C17</f>
        <v>Big Donor #1</v>
      </c>
      <c r="D29" s="42" t="s">
        <v>58</v>
      </c>
      <c r="E29" s="42" t="s">
        <v>58</v>
      </c>
      <c r="F29" s="42" t="s">
        <v>58</v>
      </c>
      <c r="G29" s="42" t="s">
        <v>58</v>
      </c>
      <c r="H29" s="31">
        <f>SUM('Year-by-Year Data'!D17:G17)</f>
        <v>0</v>
      </c>
      <c r="I29" s="31">
        <f>SUM('Year-by-Year Data'!E17:H17)</f>
        <v>0</v>
      </c>
      <c r="J29" s="31">
        <f>SUM('Year-by-Year Data'!F17:I17)</f>
        <v>0</v>
      </c>
      <c r="K29" s="31">
        <f>SUM('Year-by-Year Data'!G17:J17)</f>
        <v>0</v>
      </c>
      <c r="L29" s="31">
        <f>SUM('Year-by-Year Data'!H17:K17)</f>
        <v>0</v>
      </c>
      <c r="M29" s="31">
        <f>SUM('Year-by-Year Data'!I17:L17)</f>
        <v>0</v>
      </c>
    </row>
    <row r="30" spans="2:13" x14ac:dyDescent="0.25">
      <c r="C30" s="34" t="str">
        <f>'Year-by-Year Data'!C18</f>
        <v>Big Donor #2</v>
      </c>
      <c r="D30" s="42" t="s">
        <v>58</v>
      </c>
      <c r="E30" s="42" t="s">
        <v>58</v>
      </c>
      <c r="F30" s="42" t="s">
        <v>58</v>
      </c>
      <c r="G30" s="42" t="s">
        <v>58</v>
      </c>
      <c r="H30" s="31">
        <f>SUM('Year-by-Year Data'!D18:G18)</f>
        <v>0</v>
      </c>
      <c r="I30" s="31">
        <f>SUM('Year-by-Year Data'!E18:H18)</f>
        <v>0</v>
      </c>
      <c r="J30" s="31">
        <f>SUM('Year-by-Year Data'!F18:I18)</f>
        <v>0</v>
      </c>
      <c r="K30" s="31">
        <f>SUM('Year-by-Year Data'!G18:J18)</f>
        <v>0</v>
      </c>
      <c r="L30" s="31">
        <f>SUM('Year-by-Year Data'!H18:K18)</f>
        <v>0</v>
      </c>
      <c r="M30" s="31">
        <f>SUM('Year-by-Year Data'!I18:L18)</f>
        <v>0</v>
      </c>
    </row>
    <row r="31" spans="2:13" x14ac:dyDescent="0.25">
      <c r="C31" s="34" t="str">
        <f>'Year-by-Year Data'!C19</f>
        <v>Big Donor #3</v>
      </c>
      <c r="D31" s="42" t="s">
        <v>58</v>
      </c>
      <c r="E31" s="42" t="s">
        <v>58</v>
      </c>
      <c r="F31" s="42" t="s">
        <v>58</v>
      </c>
      <c r="G31" s="42" t="s">
        <v>58</v>
      </c>
      <c r="H31" s="31">
        <f>SUM('Year-by-Year Data'!D19:G19)</f>
        <v>0</v>
      </c>
      <c r="I31" s="31">
        <f>SUM('Year-by-Year Data'!E19:H19)</f>
        <v>0</v>
      </c>
      <c r="J31" s="31">
        <f>SUM('Year-by-Year Data'!F19:I19)</f>
        <v>0</v>
      </c>
      <c r="K31" s="31">
        <f>SUM('Year-by-Year Data'!G19:J19)</f>
        <v>0</v>
      </c>
      <c r="L31" s="31">
        <f>SUM('Year-by-Year Data'!H19:K19)</f>
        <v>0</v>
      </c>
      <c r="M31" s="31">
        <f>SUM('Year-by-Year Data'!I19:L19)</f>
        <v>0</v>
      </c>
    </row>
    <row r="32" spans="2:13" x14ac:dyDescent="0.25">
      <c r="C32" s="34" t="str">
        <f>'Year-by-Year Data'!C20</f>
        <v>Big Donor #4</v>
      </c>
      <c r="D32" s="42" t="s">
        <v>58</v>
      </c>
      <c r="E32" s="42" t="s">
        <v>58</v>
      </c>
      <c r="F32" s="42" t="s">
        <v>58</v>
      </c>
      <c r="G32" s="42" t="s">
        <v>58</v>
      </c>
      <c r="H32" s="31">
        <f>SUM('Year-by-Year Data'!D20:G20)</f>
        <v>0</v>
      </c>
      <c r="I32" s="31">
        <f>SUM('Year-by-Year Data'!E20:H20)</f>
        <v>0</v>
      </c>
      <c r="J32" s="31">
        <f>SUM('Year-by-Year Data'!F20:I20)</f>
        <v>0</v>
      </c>
      <c r="K32" s="31">
        <f>SUM('Year-by-Year Data'!G20:J20)</f>
        <v>0</v>
      </c>
      <c r="L32" s="31">
        <f>SUM('Year-by-Year Data'!H20:K20)</f>
        <v>0</v>
      </c>
      <c r="M32" s="31">
        <f>SUM('Year-by-Year Data'!I20:L20)</f>
        <v>0</v>
      </c>
    </row>
    <row r="33" spans="2:13" x14ac:dyDescent="0.25">
      <c r="C33" s="34" t="str">
        <f>'Year-by-Year Data'!C21</f>
        <v>Big Donor #5</v>
      </c>
      <c r="D33" s="42" t="s">
        <v>58</v>
      </c>
      <c r="E33" s="42" t="s">
        <v>58</v>
      </c>
      <c r="F33" s="42" t="s">
        <v>58</v>
      </c>
      <c r="G33" s="42" t="s">
        <v>58</v>
      </c>
      <c r="H33" s="31">
        <f>SUM('Year-by-Year Data'!D21:G21)</f>
        <v>0</v>
      </c>
      <c r="I33" s="31">
        <f>SUM('Year-by-Year Data'!E21:H21)</f>
        <v>0</v>
      </c>
      <c r="J33" s="31">
        <f>SUM('Year-by-Year Data'!F21:I21)</f>
        <v>0</v>
      </c>
      <c r="K33" s="31">
        <f>SUM('Year-by-Year Data'!G21:J21)</f>
        <v>0</v>
      </c>
      <c r="L33" s="31">
        <f>SUM('Year-by-Year Data'!H21:K21)</f>
        <v>0</v>
      </c>
      <c r="M33" s="31">
        <f>SUM('Year-by-Year Data'!I21:L21)</f>
        <v>0</v>
      </c>
    </row>
    <row r="34" spans="2:13" x14ac:dyDescent="0.25">
      <c r="C34" s="34" t="str">
        <f>'Year-by-Year Data'!C22</f>
        <v>Big Donor #6</v>
      </c>
      <c r="D34" s="42" t="s">
        <v>58</v>
      </c>
      <c r="E34" s="42" t="s">
        <v>58</v>
      </c>
      <c r="F34" s="42" t="s">
        <v>58</v>
      </c>
      <c r="G34" s="42" t="s">
        <v>58</v>
      </c>
      <c r="H34" s="31">
        <f>SUM('Year-by-Year Data'!D22:G22)</f>
        <v>0</v>
      </c>
      <c r="I34" s="31">
        <f>SUM('Year-by-Year Data'!E22:H22)</f>
        <v>0</v>
      </c>
      <c r="J34" s="31">
        <f>SUM('Year-by-Year Data'!F22:I22)</f>
        <v>0</v>
      </c>
      <c r="K34" s="31">
        <f>SUM('Year-by-Year Data'!G22:J22)</f>
        <v>0</v>
      </c>
      <c r="L34" s="31">
        <f>SUM('Year-by-Year Data'!H22:K22)</f>
        <v>0</v>
      </c>
      <c r="M34" s="31">
        <f>SUM('Year-by-Year Data'!I22:L22)</f>
        <v>0</v>
      </c>
    </row>
    <row r="35" spans="2:13" x14ac:dyDescent="0.25">
      <c r="C35" s="34" t="str">
        <f>'Year-by-Year Data'!C23</f>
        <v>Big Donor #7</v>
      </c>
      <c r="D35" s="42" t="s">
        <v>58</v>
      </c>
      <c r="E35" s="42" t="s">
        <v>58</v>
      </c>
      <c r="F35" s="42" t="s">
        <v>58</v>
      </c>
      <c r="G35" s="42" t="s">
        <v>58</v>
      </c>
      <c r="H35" s="31">
        <f>SUM('Year-by-Year Data'!D23:G23)</f>
        <v>0</v>
      </c>
      <c r="I35" s="31">
        <f>SUM('Year-by-Year Data'!E23:H23)</f>
        <v>0</v>
      </c>
      <c r="J35" s="31">
        <f>SUM('Year-by-Year Data'!F23:I23)</f>
        <v>0</v>
      </c>
      <c r="K35" s="31">
        <f>SUM('Year-by-Year Data'!G23:J23)</f>
        <v>0</v>
      </c>
      <c r="L35" s="31">
        <f>SUM('Year-by-Year Data'!H23:K23)</f>
        <v>0</v>
      </c>
      <c r="M35" s="31">
        <f>SUM('Year-by-Year Data'!I23:L23)</f>
        <v>0</v>
      </c>
    </row>
    <row r="36" spans="2:13" x14ac:dyDescent="0.25">
      <c r="C36" s="34" t="str">
        <f>'Year-by-Year Data'!C24</f>
        <v>Big Donor #8</v>
      </c>
      <c r="D36" s="42" t="s">
        <v>58</v>
      </c>
      <c r="E36" s="42" t="s">
        <v>58</v>
      </c>
      <c r="F36" s="42" t="s">
        <v>58</v>
      </c>
      <c r="G36" s="42" t="s">
        <v>58</v>
      </c>
      <c r="H36" s="31">
        <f>SUM('Year-by-Year Data'!D24:G24)</f>
        <v>0</v>
      </c>
      <c r="I36" s="31">
        <f>SUM('Year-by-Year Data'!E24:H24)</f>
        <v>0</v>
      </c>
      <c r="J36" s="31">
        <f>SUM('Year-by-Year Data'!F24:I24)</f>
        <v>0</v>
      </c>
      <c r="K36" s="31">
        <f>SUM('Year-by-Year Data'!G24:J24)</f>
        <v>0</v>
      </c>
      <c r="L36" s="31">
        <f>SUM('Year-by-Year Data'!H24:K24)</f>
        <v>0</v>
      </c>
      <c r="M36" s="31">
        <f>SUM('Year-by-Year Data'!I24:L24)</f>
        <v>0</v>
      </c>
    </row>
    <row r="37" spans="2:13" x14ac:dyDescent="0.25">
      <c r="C37" s="34" t="str">
        <f>'Year-by-Year Data'!C25</f>
        <v>Big Donor #9</v>
      </c>
      <c r="D37" s="42" t="s">
        <v>58</v>
      </c>
      <c r="E37" s="42" t="s">
        <v>58</v>
      </c>
      <c r="F37" s="42" t="s">
        <v>58</v>
      </c>
      <c r="G37" s="42" t="s">
        <v>58</v>
      </c>
      <c r="H37" s="31">
        <f>SUM('Year-by-Year Data'!D25:G25)</f>
        <v>0</v>
      </c>
      <c r="I37" s="31">
        <f>SUM('Year-by-Year Data'!E25:H25)</f>
        <v>0</v>
      </c>
      <c r="J37" s="31">
        <f>SUM('Year-by-Year Data'!F25:I25)</f>
        <v>0</v>
      </c>
      <c r="K37" s="31">
        <f>SUM('Year-by-Year Data'!G25:J25)</f>
        <v>0</v>
      </c>
      <c r="L37" s="31">
        <f>SUM('Year-by-Year Data'!H25:K25)</f>
        <v>0</v>
      </c>
      <c r="M37" s="31">
        <f>SUM('Year-by-Year Data'!I25:L25)</f>
        <v>0</v>
      </c>
    </row>
    <row r="38" spans="2:13" x14ac:dyDescent="0.25">
      <c r="C38" s="34" t="str">
        <f>'Year-by-Year Data'!C26</f>
        <v>Big Donor #10</v>
      </c>
      <c r="D38" s="42" t="s">
        <v>58</v>
      </c>
      <c r="E38" s="42" t="s">
        <v>58</v>
      </c>
      <c r="F38" s="42" t="s">
        <v>58</v>
      </c>
      <c r="G38" s="42" t="s">
        <v>58</v>
      </c>
      <c r="H38" s="31">
        <f>SUM('Year-by-Year Data'!D26:G26)</f>
        <v>0</v>
      </c>
      <c r="I38" s="31">
        <f>SUM('Year-by-Year Data'!E26:H26)</f>
        <v>0</v>
      </c>
      <c r="J38" s="31">
        <f>SUM('Year-by-Year Data'!F26:I26)</f>
        <v>0</v>
      </c>
      <c r="K38" s="31">
        <f>SUM('Year-by-Year Data'!G26:J26)</f>
        <v>0</v>
      </c>
      <c r="L38" s="31">
        <f>SUM('Year-by-Year Data'!H26:K26)</f>
        <v>0</v>
      </c>
      <c r="M38" s="31">
        <f>SUM('Year-by-Year Data'!I26:L26)</f>
        <v>0</v>
      </c>
    </row>
    <row r="39" spans="2:13" x14ac:dyDescent="0.25">
      <c r="C39" s="34" t="str">
        <f>'Year-by-Year Data'!C27</f>
        <v>Big Donor #11</v>
      </c>
      <c r="D39" s="42" t="s">
        <v>58</v>
      </c>
      <c r="E39" s="42" t="s">
        <v>58</v>
      </c>
      <c r="F39" s="42" t="s">
        <v>58</v>
      </c>
      <c r="G39" s="42" t="s">
        <v>58</v>
      </c>
      <c r="H39" s="31">
        <f>SUM('Year-by-Year Data'!D27:G27)</f>
        <v>0</v>
      </c>
      <c r="I39" s="31">
        <f>SUM('Year-by-Year Data'!E27:H27)</f>
        <v>0</v>
      </c>
      <c r="J39" s="31">
        <f>SUM('Year-by-Year Data'!F27:I27)</f>
        <v>0</v>
      </c>
      <c r="K39" s="31">
        <f>SUM('Year-by-Year Data'!G27:J27)</f>
        <v>0</v>
      </c>
      <c r="L39" s="31">
        <f>SUM('Year-by-Year Data'!H27:K27)</f>
        <v>0</v>
      </c>
      <c r="M39" s="31">
        <f>SUM('Year-by-Year Data'!I27:L27)</f>
        <v>0</v>
      </c>
    </row>
    <row r="40" spans="2:13" x14ac:dyDescent="0.25">
      <c r="C40" s="34" t="str">
        <f>'Year-by-Year Data'!C28</f>
        <v>Big Donor #12</v>
      </c>
      <c r="D40" s="42" t="s">
        <v>58</v>
      </c>
      <c r="E40" s="42" t="s">
        <v>58</v>
      </c>
      <c r="F40" s="42" t="s">
        <v>58</v>
      </c>
      <c r="G40" s="42" t="s">
        <v>58</v>
      </c>
      <c r="H40" s="31">
        <f>SUM('Year-by-Year Data'!D28:G28)</f>
        <v>0</v>
      </c>
      <c r="I40" s="31">
        <f>SUM('Year-by-Year Data'!E28:H28)</f>
        <v>0</v>
      </c>
      <c r="J40" s="31">
        <f>SUM('Year-by-Year Data'!F28:I28)</f>
        <v>0</v>
      </c>
      <c r="K40" s="31">
        <f>SUM('Year-by-Year Data'!G28:J28)</f>
        <v>0</v>
      </c>
      <c r="L40" s="31">
        <f>SUM('Year-by-Year Data'!H28:K28)</f>
        <v>0</v>
      </c>
      <c r="M40" s="31">
        <f>SUM('Year-by-Year Data'!I28:L28)</f>
        <v>0</v>
      </c>
    </row>
    <row r="41" spans="2:13" x14ac:dyDescent="0.25">
      <c r="C41" s="34" t="str">
        <f>'Year-by-Year Data'!C29</f>
        <v>Big Donor #13</v>
      </c>
      <c r="D41" s="42" t="s">
        <v>58</v>
      </c>
      <c r="E41" s="42" t="s">
        <v>58</v>
      </c>
      <c r="F41" s="42" t="s">
        <v>58</v>
      </c>
      <c r="G41" s="42" t="s">
        <v>58</v>
      </c>
      <c r="H41" s="31">
        <f>SUM('Year-by-Year Data'!D29:G29)</f>
        <v>0</v>
      </c>
      <c r="I41" s="31">
        <f>SUM('Year-by-Year Data'!E29:H29)</f>
        <v>0</v>
      </c>
      <c r="J41" s="31">
        <f>SUM('Year-by-Year Data'!F29:I29)</f>
        <v>0</v>
      </c>
      <c r="K41" s="31">
        <f>SUM('Year-by-Year Data'!G29:J29)</f>
        <v>0</v>
      </c>
      <c r="L41" s="31">
        <f>SUM('Year-by-Year Data'!H29:K29)</f>
        <v>0</v>
      </c>
      <c r="M41" s="31">
        <f>SUM('Year-by-Year Data'!I29:L29)</f>
        <v>0</v>
      </c>
    </row>
    <row r="42" spans="2:13" x14ac:dyDescent="0.25">
      <c r="C42" s="34" t="str">
        <f>'Year-by-Year Data'!C30</f>
        <v>Big Donor #14</v>
      </c>
      <c r="D42" s="42" t="s">
        <v>58</v>
      </c>
      <c r="E42" s="42" t="s">
        <v>58</v>
      </c>
      <c r="F42" s="42" t="s">
        <v>58</v>
      </c>
      <c r="G42" s="42" t="s">
        <v>58</v>
      </c>
      <c r="H42" s="31">
        <f>SUM('Year-by-Year Data'!D30:G30)</f>
        <v>0</v>
      </c>
      <c r="I42" s="31">
        <f>SUM('Year-by-Year Data'!E30:H30)</f>
        <v>0</v>
      </c>
      <c r="J42" s="31">
        <f>SUM('Year-by-Year Data'!F30:I30)</f>
        <v>0</v>
      </c>
      <c r="K42" s="31">
        <f>SUM('Year-by-Year Data'!G30:J30)</f>
        <v>0</v>
      </c>
      <c r="L42" s="31">
        <f>SUM('Year-by-Year Data'!H30:K30)</f>
        <v>0</v>
      </c>
      <c r="M42" s="31">
        <f>SUM('Year-by-Year Data'!I30:L30)</f>
        <v>0</v>
      </c>
    </row>
    <row r="43" spans="2:13" x14ac:dyDescent="0.25">
      <c r="C43" s="34" t="str">
        <f>'Year-by-Year Data'!C31</f>
        <v>Big Donor #15</v>
      </c>
      <c r="D43" s="42" t="s">
        <v>58</v>
      </c>
      <c r="E43" s="42" t="s">
        <v>58</v>
      </c>
      <c r="F43" s="42" t="s">
        <v>58</v>
      </c>
      <c r="G43" s="42" t="s">
        <v>58</v>
      </c>
      <c r="H43" s="31">
        <f>SUM('Year-by-Year Data'!D31:G31)</f>
        <v>0</v>
      </c>
      <c r="I43" s="31">
        <f>SUM('Year-by-Year Data'!E31:H31)</f>
        <v>0</v>
      </c>
      <c r="J43" s="31">
        <f>SUM('Year-by-Year Data'!F31:I31)</f>
        <v>0</v>
      </c>
      <c r="K43" s="31">
        <f>SUM('Year-by-Year Data'!G31:J31)</f>
        <v>0</v>
      </c>
      <c r="L43" s="31">
        <f>SUM('Year-by-Year Data'!H31:K31)</f>
        <v>0</v>
      </c>
      <c r="M43" s="31">
        <f>SUM('Year-by-Year Data'!I31:L31)</f>
        <v>0</v>
      </c>
    </row>
    <row r="44" spans="2:13" x14ac:dyDescent="0.25">
      <c r="D44" s="43"/>
      <c r="E44" s="43"/>
      <c r="F44" s="43"/>
      <c r="G44" s="43"/>
      <c r="H44" s="31"/>
      <c r="I44" s="31"/>
      <c r="J44" s="31"/>
      <c r="K44" s="31"/>
      <c r="L44" s="31"/>
      <c r="M44" s="31"/>
    </row>
    <row r="45" spans="2:13" ht="13" x14ac:dyDescent="0.3">
      <c r="B45" s="35" t="s">
        <v>52</v>
      </c>
      <c r="D45" s="43"/>
      <c r="E45" s="43"/>
      <c r="F45" s="43"/>
      <c r="G45" s="43"/>
      <c r="H45" s="31"/>
      <c r="I45" s="31"/>
      <c r="J45" s="31"/>
      <c r="K45" s="31"/>
      <c r="L45" s="31"/>
      <c r="M45" s="31"/>
    </row>
    <row r="46" spans="2:13" x14ac:dyDescent="0.25">
      <c r="C46" s="34" t="str">
        <f>C29</f>
        <v>Big Donor #1</v>
      </c>
      <c r="D46" s="42" t="s">
        <v>58</v>
      </c>
      <c r="E46" s="42" t="s">
        <v>58</v>
      </c>
      <c r="F46" s="42" t="s">
        <v>58</v>
      </c>
      <c r="G46" s="42" t="s">
        <v>58</v>
      </c>
      <c r="H46" s="31">
        <f t="shared" ref="H46:M47" si="8">IF(H29-H$17&lt;0.01,0,H29-H$17)</f>
        <v>0</v>
      </c>
      <c r="I46" s="31">
        <f t="shared" si="8"/>
        <v>0</v>
      </c>
      <c r="J46" s="31">
        <f t="shared" si="8"/>
        <v>0</v>
      </c>
      <c r="K46" s="31">
        <f t="shared" si="8"/>
        <v>0</v>
      </c>
      <c r="L46" s="31">
        <f t="shared" si="8"/>
        <v>0</v>
      </c>
      <c r="M46" s="31">
        <f t="shared" si="8"/>
        <v>0</v>
      </c>
    </row>
    <row r="47" spans="2:13" x14ac:dyDescent="0.25">
      <c r="C47" s="34" t="str">
        <f t="shared" ref="C47:C60" si="9">C30</f>
        <v>Big Donor #2</v>
      </c>
      <c r="D47" s="42" t="s">
        <v>58</v>
      </c>
      <c r="E47" s="42" t="s">
        <v>58</v>
      </c>
      <c r="F47" s="42" t="s">
        <v>58</v>
      </c>
      <c r="G47" s="42" t="s">
        <v>58</v>
      </c>
      <c r="H47" s="31">
        <f t="shared" si="8"/>
        <v>0</v>
      </c>
      <c r="I47" s="31">
        <f t="shared" si="8"/>
        <v>0</v>
      </c>
      <c r="J47" s="31">
        <f t="shared" si="8"/>
        <v>0</v>
      </c>
      <c r="K47" s="31">
        <f t="shared" si="8"/>
        <v>0</v>
      </c>
      <c r="L47" s="31">
        <f t="shared" si="8"/>
        <v>0</v>
      </c>
      <c r="M47" s="31">
        <f t="shared" si="8"/>
        <v>0</v>
      </c>
    </row>
    <row r="48" spans="2:13" x14ac:dyDescent="0.25">
      <c r="C48" s="34" t="str">
        <f t="shared" si="9"/>
        <v>Big Donor #3</v>
      </c>
      <c r="D48" s="42" t="s">
        <v>58</v>
      </c>
      <c r="E48" s="42" t="s">
        <v>58</v>
      </c>
      <c r="F48" s="42" t="s">
        <v>58</v>
      </c>
      <c r="G48" s="42" t="s">
        <v>58</v>
      </c>
      <c r="H48" s="31">
        <f t="shared" ref="H48:J60" si="10">IF(H31-H$17&lt;0.01,0,H31-H$17)</f>
        <v>0</v>
      </c>
      <c r="I48" s="31">
        <f t="shared" si="10"/>
        <v>0</v>
      </c>
      <c r="J48" s="31">
        <f t="shared" si="10"/>
        <v>0</v>
      </c>
      <c r="K48" s="31">
        <f t="shared" ref="K48:L60" si="11">IF(K31-K$17&lt;0.01,0,K31-K$17)</f>
        <v>0</v>
      </c>
      <c r="L48" s="31">
        <f t="shared" si="11"/>
        <v>0</v>
      </c>
      <c r="M48" s="31">
        <f t="shared" ref="M48:M60" si="12">IF(M31-M$17&lt;0.01,0,M31-M$17)</f>
        <v>0</v>
      </c>
    </row>
    <row r="49" spans="3:13" x14ac:dyDescent="0.25">
      <c r="C49" s="34" t="str">
        <f t="shared" si="9"/>
        <v>Big Donor #4</v>
      </c>
      <c r="D49" s="42" t="s">
        <v>58</v>
      </c>
      <c r="E49" s="42" t="s">
        <v>58</v>
      </c>
      <c r="F49" s="42" t="s">
        <v>58</v>
      </c>
      <c r="G49" s="42" t="s">
        <v>58</v>
      </c>
      <c r="H49" s="31">
        <f t="shared" si="10"/>
        <v>0</v>
      </c>
      <c r="I49" s="31">
        <f t="shared" si="10"/>
        <v>0</v>
      </c>
      <c r="J49" s="31">
        <f t="shared" si="10"/>
        <v>0</v>
      </c>
      <c r="K49" s="31">
        <f t="shared" si="11"/>
        <v>0</v>
      </c>
      <c r="L49" s="31">
        <f t="shared" si="11"/>
        <v>0</v>
      </c>
      <c r="M49" s="31">
        <f t="shared" si="12"/>
        <v>0</v>
      </c>
    </row>
    <row r="50" spans="3:13" x14ac:dyDescent="0.25">
      <c r="C50" s="34" t="str">
        <f t="shared" si="9"/>
        <v>Big Donor #5</v>
      </c>
      <c r="D50" s="42" t="s">
        <v>58</v>
      </c>
      <c r="E50" s="42" t="s">
        <v>58</v>
      </c>
      <c r="F50" s="42" t="s">
        <v>58</v>
      </c>
      <c r="G50" s="42" t="s">
        <v>58</v>
      </c>
      <c r="H50" s="31">
        <f t="shared" si="10"/>
        <v>0</v>
      </c>
      <c r="I50" s="31">
        <f t="shared" si="10"/>
        <v>0</v>
      </c>
      <c r="J50" s="31">
        <f t="shared" si="10"/>
        <v>0</v>
      </c>
      <c r="K50" s="31">
        <f t="shared" si="11"/>
        <v>0</v>
      </c>
      <c r="L50" s="31">
        <f t="shared" si="11"/>
        <v>0</v>
      </c>
      <c r="M50" s="31">
        <f t="shared" si="12"/>
        <v>0</v>
      </c>
    </row>
    <row r="51" spans="3:13" x14ac:dyDescent="0.25">
      <c r="C51" s="34" t="str">
        <f t="shared" si="9"/>
        <v>Big Donor #6</v>
      </c>
      <c r="D51" s="42" t="s">
        <v>58</v>
      </c>
      <c r="E51" s="42" t="s">
        <v>58</v>
      </c>
      <c r="F51" s="42" t="s">
        <v>58</v>
      </c>
      <c r="G51" s="42" t="s">
        <v>58</v>
      </c>
      <c r="H51" s="31">
        <f t="shared" si="10"/>
        <v>0</v>
      </c>
      <c r="I51" s="31">
        <f t="shared" si="10"/>
        <v>0</v>
      </c>
      <c r="J51" s="31">
        <f t="shared" si="10"/>
        <v>0</v>
      </c>
      <c r="K51" s="31">
        <f t="shared" si="11"/>
        <v>0</v>
      </c>
      <c r="L51" s="31">
        <f t="shared" si="11"/>
        <v>0</v>
      </c>
      <c r="M51" s="31">
        <f t="shared" si="12"/>
        <v>0</v>
      </c>
    </row>
    <row r="52" spans="3:13" x14ac:dyDescent="0.25">
      <c r="C52" s="34" t="str">
        <f t="shared" si="9"/>
        <v>Big Donor #7</v>
      </c>
      <c r="D52" s="42" t="s">
        <v>58</v>
      </c>
      <c r="E52" s="42" t="s">
        <v>58</v>
      </c>
      <c r="F52" s="42" t="s">
        <v>58</v>
      </c>
      <c r="G52" s="42" t="s">
        <v>58</v>
      </c>
      <c r="H52" s="31">
        <f t="shared" si="10"/>
        <v>0</v>
      </c>
      <c r="I52" s="31">
        <f t="shared" si="10"/>
        <v>0</v>
      </c>
      <c r="J52" s="31">
        <f t="shared" si="10"/>
        <v>0</v>
      </c>
      <c r="K52" s="31">
        <f t="shared" si="11"/>
        <v>0</v>
      </c>
      <c r="L52" s="31">
        <f t="shared" si="11"/>
        <v>0</v>
      </c>
      <c r="M52" s="31">
        <f t="shared" si="12"/>
        <v>0</v>
      </c>
    </row>
    <row r="53" spans="3:13" x14ac:dyDescent="0.25">
      <c r="C53" s="34" t="str">
        <f t="shared" si="9"/>
        <v>Big Donor #8</v>
      </c>
      <c r="D53" s="42" t="s">
        <v>58</v>
      </c>
      <c r="E53" s="42" t="s">
        <v>58</v>
      </c>
      <c r="F53" s="42" t="s">
        <v>58</v>
      </c>
      <c r="G53" s="42" t="s">
        <v>58</v>
      </c>
      <c r="H53" s="31">
        <f t="shared" si="10"/>
        <v>0</v>
      </c>
      <c r="I53" s="31">
        <f t="shared" si="10"/>
        <v>0</v>
      </c>
      <c r="J53" s="31">
        <f t="shared" si="10"/>
        <v>0</v>
      </c>
      <c r="K53" s="31">
        <f t="shared" si="11"/>
        <v>0</v>
      </c>
      <c r="L53" s="31">
        <f t="shared" si="11"/>
        <v>0</v>
      </c>
      <c r="M53" s="31">
        <f t="shared" si="12"/>
        <v>0</v>
      </c>
    </row>
    <row r="54" spans="3:13" x14ac:dyDescent="0.25">
      <c r="C54" s="34" t="str">
        <f t="shared" si="9"/>
        <v>Big Donor #9</v>
      </c>
      <c r="D54" s="42" t="s">
        <v>58</v>
      </c>
      <c r="E54" s="42" t="s">
        <v>58</v>
      </c>
      <c r="F54" s="42" t="s">
        <v>58</v>
      </c>
      <c r="G54" s="42" t="s">
        <v>58</v>
      </c>
      <c r="H54" s="31">
        <f t="shared" si="10"/>
        <v>0</v>
      </c>
      <c r="I54" s="31">
        <f t="shared" si="10"/>
        <v>0</v>
      </c>
      <c r="J54" s="31">
        <f t="shared" si="10"/>
        <v>0</v>
      </c>
      <c r="K54" s="31">
        <f t="shared" si="11"/>
        <v>0</v>
      </c>
      <c r="L54" s="31">
        <f t="shared" si="11"/>
        <v>0</v>
      </c>
      <c r="M54" s="31">
        <f t="shared" si="12"/>
        <v>0</v>
      </c>
    </row>
    <row r="55" spans="3:13" x14ac:dyDescent="0.25">
      <c r="C55" s="34" t="str">
        <f t="shared" si="9"/>
        <v>Big Donor #10</v>
      </c>
      <c r="D55" s="42" t="s">
        <v>58</v>
      </c>
      <c r="E55" s="42" t="s">
        <v>58</v>
      </c>
      <c r="F55" s="42" t="s">
        <v>58</v>
      </c>
      <c r="G55" s="42" t="s">
        <v>58</v>
      </c>
      <c r="H55" s="31">
        <f t="shared" si="10"/>
        <v>0</v>
      </c>
      <c r="I55" s="31">
        <f t="shared" si="10"/>
        <v>0</v>
      </c>
      <c r="J55" s="31">
        <f t="shared" si="10"/>
        <v>0</v>
      </c>
      <c r="K55" s="31">
        <f t="shared" si="11"/>
        <v>0</v>
      </c>
      <c r="L55" s="31">
        <f t="shared" si="11"/>
        <v>0</v>
      </c>
      <c r="M55" s="31">
        <f t="shared" si="12"/>
        <v>0</v>
      </c>
    </row>
    <row r="56" spans="3:13" x14ac:dyDescent="0.25">
      <c r="C56" s="34" t="str">
        <f t="shared" si="9"/>
        <v>Big Donor #11</v>
      </c>
      <c r="D56" s="42" t="s">
        <v>58</v>
      </c>
      <c r="E56" s="42" t="s">
        <v>58</v>
      </c>
      <c r="F56" s="42" t="s">
        <v>58</v>
      </c>
      <c r="G56" s="42" t="s">
        <v>58</v>
      </c>
      <c r="H56" s="31">
        <f t="shared" si="10"/>
        <v>0</v>
      </c>
      <c r="I56" s="31">
        <f t="shared" si="10"/>
        <v>0</v>
      </c>
      <c r="J56" s="31">
        <f t="shared" si="10"/>
        <v>0</v>
      </c>
      <c r="K56" s="31">
        <f t="shared" si="11"/>
        <v>0</v>
      </c>
      <c r="L56" s="31">
        <f t="shared" si="11"/>
        <v>0</v>
      </c>
      <c r="M56" s="31">
        <f t="shared" si="12"/>
        <v>0</v>
      </c>
    </row>
    <row r="57" spans="3:13" x14ac:dyDescent="0.25">
      <c r="C57" s="34" t="str">
        <f t="shared" si="9"/>
        <v>Big Donor #12</v>
      </c>
      <c r="D57" s="42" t="s">
        <v>58</v>
      </c>
      <c r="E57" s="42" t="s">
        <v>58</v>
      </c>
      <c r="F57" s="42" t="s">
        <v>58</v>
      </c>
      <c r="G57" s="42" t="s">
        <v>58</v>
      </c>
      <c r="H57" s="31">
        <f t="shared" si="10"/>
        <v>0</v>
      </c>
      <c r="I57" s="31">
        <f t="shared" si="10"/>
        <v>0</v>
      </c>
      <c r="J57" s="31">
        <f t="shared" si="10"/>
        <v>0</v>
      </c>
      <c r="K57" s="31">
        <f t="shared" si="11"/>
        <v>0</v>
      </c>
      <c r="L57" s="31">
        <f t="shared" si="11"/>
        <v>0</v>
      </c>
      <c r="M57" s="31">
        <f t="shared" si="12"/>
        <v>0</v>
      </c>
    </row>
    <row r="58" spans="3:13" x14ac:dyDescent="0.25">
      <c r="C58" s="34" t="str">
        <f t="shared" si="9"/>
        <v>Big Donor #13</v>
      </c>
      <c r="D58" s="42" t="s">
        <v>58</v>
      </c>
      <c r="E58" s="42" t="s">
        <v>58</v>
      </c>
      <c r="F58" s="42" t="s">
        <v>58</v>
      </c>
      <c r="G58" s="42" t="s">
        <v>58</v>
      </c>
      <c r="H58" s="31">
        <f t="shared" si="10"/>
        <v>0</v>
      </c>
      <c r="I58" s="31">
        <f t="shared" si="10"/>
        <v>0</v>
      </c>
      <c r="J58" s="31">
        <f t="shared" si="10"/>
        <v>0</v>
      </c>
      <c r="K58" s="31">
        <f t="shared" si="11"/>
        <v>0</v>
      </c>
      <c r="L58" s="31">
        <f t="shared" si="11"/>
        <v>0</v>
      </c>
      <c r="M58" s="31">
        <f t="shared" si="12"/>
        <v>0</v>
      </c>
    </row>
    <row r="59" spans="3:13" x14ac:dyDescent="0.25">
      <c r="C59" s="34" t="str">
        <f t="shared" si="9"/>
        <v>Big Donor #14</v>
      </c>
      <c r="D59" s="42" t="s">
        <v>58</v>
      </c>
      <c r="E59" s="42" t="s">
        <v>58</v>
      </c>
      <c r="F59" s="42" t="s">
        <v>58</v>
      </c>
      <c r="G59" s="42" t="s">
        <v>58</v>
      </c>
      <c r="H59" s="31">
        <f t="shared" si="10"/>
        <v>0</v>
      </c>
      <c r="I59" s="31">
        <f t="shared" si="10"/>
        <v>0</v>
      </c>
      <c r="J59" s="31">
        <f t="shared" si="10"/>
        <v>0</v>
      </c>
      <c r="K59" s="31">
        <f t="shared" si="11"/>
        <v>0</v>
      </c>
      <c r="L59" s="31">
        <f t="shared" si="11"/>
        <v>0</v>
      </c>
      <c r="M59" s="31">
        <f t="shared" si="12"/>
        <v>0</v>
      </c>
    </row>
    <row r="60" spans="3:13" x14ac:dyDescent="0.25">
      <c r="C60" s="34" t="str">
        <f t="shared" si="9"/>
        <v>Big Donor #15</v>
      </c>
      <c r="D60" s="42" t="s">
        <v>58</v>
      </c>
      <c r="E60" s="42" t="s">
        <v>58</v>
      </c>
      <c r="F60" s="42" t="s">
        <v>58</v>
      </c>
      <c r="G60" s="42" t="s">
        <v>58</v>
      </c>
      <c r="H60" s="31">
        <f t="shared" si="10"/>
        <v>0</v>
      </c>
      <c r="I60" s="31">
        <f t="shared" si="10"/>
        <v>0</v>
      </c>
      <c r="J60" s="31">
        <f t="shared" si="10"/>
        <v>0</v>
      </c>
      <c r="K60" s="31">
        <f t="shared" si="11"/>
        <v>0</v>
      </c>
      <c r="L60" s="31">
        <f t="shared" si="11"/>
        <v>0</v>
      </c>
      <c r="M60" s="31">
        <f t="shared" si="12"/>
        <v>0</v>
      </c>
    </row>
    <row r="61" spans="3:13" x14ac:dyDescent="0.25">
      <c r="D61" s="43"/>
      <c r="E61" s="43"/>
      <c r="F61" s="43"/>
      <c r="G61" s="43"/>
      <c r="H61" s="31"/>
      <c r="I61" s="31"/>
      <c r="J61" s="31"/>
      <c r="K61" s="31"/>
      <c r="L61" s="31"/>
      <c r="M61" s="31"/>
    </row>
    <row r="62" spans="3:13" x14ac:dyDescent="0.25">
      <c r="C62" s="34" t="s">
        <v>0</v>
      </c>
      <c r="D62" s="42" t="s">
        <v>58</v>
      </c>
      <c r="E62" s="42" t="s">
        <v>58</v>
      </c>
      <c r="F62" s="42" t="s">
        <v>58</v>
      </c>
      <c r="G62" s="42" t="s">
        <v>58</v>
      </c>
      <c r="H62" s="31">
        <f t="shared" ref="H62:M62" si="13">SUM(H46:H60)</f>
        <v>0</v>
      </c>
      <c r="I62" s="31">
        <f t="shared" si="13"/>
        <v>0</v>
      </c>
      <c r="J62" s="31">
        <f t="shared" si="13"/>
        <v>0</v>
      </c>
      <c r="K62" s="31">
        <f t="shared" si="13"/>
        <v>0</v>
      </c>
      <c r="L62" s="31">
        <f t="shared" si="13"/>
        <v>0</v>
      </c>
      <c r="M62" s="31">
        <f t="shared" si="13"/>
        <v>0</v>
      </c>
    </row>
    <row r="63" spans="3:13" x14ac:dyDescent="0.25">
      <c r="D63" s="36"/>
      <c r="E63" s="36"/>
      <c r="F63" s="36"/>
      <c r="G63" s="36"/>
      <c r="H63" s="36"/>
      <c r="I63" s="36"/>
      <c r="J63" s="36"/>
      <c r="K63" s="36"/>
      <c r="L63" s="36"/>
      <c r="M63" s="36"/>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READ ME FIRST</vt:lpstr>
      <vt:lpstr>Year-by-Year Data</vt:lpstr>
      <vt:lpstr>Calculations</vt:lpstr>
      <vt:lpstr>'READ ME FIRST'!Print_Area</vt:lpstr>
    </vt:vector>
  </TitlesOfParts>
  <Company>Atlas Economic Research Fdn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 Lips</dc:creator>
  <cp:lastModifiedBy>Carina Negreanu</cp:lastModifiedBy>
  <cp:lastPrinted>2000-08-25T03:40:29Z</cp:lastPrinted>
  <dcterms:created xsi:type="dcterms:W3CDTF">2000-08-24T20:05:28Z</dcterms:created>
  <dcterms:modified xsi:type="dcterms:W3CDTF">2020-01-27T12:00:07Z</dcterms:modified>
</cp:coreProperties>
</file>