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BB92814-AE7C-4E8D-AB23-13E88E7A95A8}" xr6:coauthVersionLast="45" xr6:coauthVersionMax="45" xr10:uidLastSave="{00000000-0000-0000-0000-000000000000}"/>
  <bookViews>
    <workbookView xWindow="1900" yWindow="1900" windowWidth="28800" windowHeight="15460"/>
  </bookViews>
  <sheets>
    <sheet name="D-Cleavage" sheetId="1" r:id="rId1"/>
    <sheet name="P-Cleavage" sheetId="2" r:id="rId2"/>
    <sheet name="ReeGraph" sheetId="3" r:id="rId3"/>
    <sheet name="D-Permeability" sheetId="5" r:id="rId4"/>
    <sheet name="P-Permeability" sheetId="6" r:id="rId5"/>
    <sheet name="D-Palaeocurrent" sheetId="7" r:id="rId6"/>
    <sheet name="P-Palaeocurrent" sheetId="8" r:id="rId7"/>
    <sheet name="D-Untilt" sheetId="9" r:id="rId8"/>
    <sheet name="P-Untilt" sheetId="10" r:id="rId9"/>
    <sheet name="D-Pebbles" sheetId="11" r:id="rId10"/>
    <sheet name="P-Pebbles" sheetId="12" r:id="rId11"/>
    <sheet name="D-Anova" sheetId="13" r:id="rId12"/>
    <sheet name="P-Anova" sheetId="14" r:id="rId13"/>
    <sheet name="D-Chi-square" sheetId="15" r:id="rId14"/>
    <sheet name="P-Chi-square" sheetId="16" r:id="rId15"/>
    <sheet name="D-Geostatistics" sheetId="17" r:id="rId16"/>
    <sheet name="P-Geostatistics" sheetId="18" r:id="rId17"/>
    <sheet name="D-Finance" sheetId="19" r:id="rId18"/>
    <sheet name="P-Finance" sheetId="20" r:id="rId19"/>
    <sheet name="D-Variogram" sheetId="21" r:id="rId20"/>
    <sheet name="P-Variogram" sheetId="22" r:id="rId21"/>
  </sheets>
  <definedNames>
    <definedName name="\0" localSheetId="17">'D-Finance'!$AA$105</definedName>
    <definedName name="\0" localSheetId="18">'P-Finance'!$AA$105</definedName>
    <definedName name="\A" localSheetId="17">'D-Finance'!$AA$105</definedName>
    <definedName name="\A" localSheetId="18">'P-Finance'!$AA$105</definedName>
    <definedName name="\M" localSheetId="17">'D-Finance'!$AA$101</definedName>
    <definedName name="\M" localSheetId="18">'P-Finance'!$AA$101</definedName>
    <definedName name="__123Graph_A" localSheetId="9" hidden="1">'D-Pebbles'!$C$4:$C$23</definedName>
    <definedName name="__123Graph_A" localSheetId="19" hidden="1">'D-Variogram'!$B$14:$B$17</definedName>
    <definedName name="__123Graph_A" localSheetId="10" hidden="1">'P-Pebbles'!$C$4:$C$23</definedName>
    <definedName name="__123Graph_A" localSheetId="20" hidden="1">'P-Variogram'!$D$14:$D$17</definedName>
    <definedName name="__123Graph_B" localSheetId="19" hidden="1">'D-Variogram'!$C$14:$C$17</definedName>
    <definedName name="__123Graph_B" localSheetId="20" hidden="1">'P-Variogram'!$E$14:$E$17</definedName>
    <definedName name="__123Graph_X" localSheetId="9" hidden="1">'D-Pebbles'!$A$4:$A$23</definedName>
    <definedName name="__123Graph_X" localSheetId="19" hidden="1">'D-Variogram'!$A$14:$A$17</definedName>
    <definedName name="__123Graph_X" localSheetId="10" hidden="1">'P-Pebbles'!$A$4:$A$23</definedName>
    <definedName name="__123Graph_X" localSheetId="20" hidden="1">'P-Variogram'!$A$14:$A$17</definedName>
    <definedName name="_Dist_Bin" localSheetId="5" hidden="1">'D-Palaeocurrent'!$B$4:$B$38</definedName>
    <definedName name="_Dist_Bin" localSheetId="6" hidden="1">'P-Palaeocurrent'!$B$4:$B$38</definedName>
    <definedName name="_Dist_Values" localSheetId="5" hidden="1">'D-Palaeocurrent'!$A$4:$A$41</definedName>
    <definedName name="_Dist_Values" localSheetId="6" hidden="1">'P-Palaeocurrent'!$A$4:$A$40</definedName>
    <definedName name="_xlnm._FilterDatabase" localSheetId="1" hidden="1">'P-Cleavage'!$A$3:$C$83</definedName>
    <definedName name="_Regression_Out" localSheetId="9" hidden="1">'D-Pebbles'!$A$27</definedName>
    <definedName name="_Regression_Out" localSheetId="10" hidden="1">'P-Pebbles'!#REF!</definedName>
    <definedName name="_Regression_X" localSheetId="9" hidden="1">'D-Pebbles'!$A$4:$A$23</definedName>
    <definedName name="_Regression_X" localSheetId="10" hidden="1">'P-Pebbles'!$A$4:$A$23</definedName>
    <definedName name="_Regression_Y" localSheetId="9" hidden="1">'D-Pebbles'!$C$4:$C$23</definedName>
    <definedName name="_Regression_Y" localSheetId="10" hidden="1">'P-Pebbles'!$C$4:$C$23</definedName>
    <definedName name="MAKROS" localSheetId="17">'D-Finance'!$AA$100</definedName>
    <definedName name="MAKROS" localSheetId="18">'P-Finance'!$AA$100</definedName>
    <definedName name="MENU" localSheetId="17">'D-Finance'!$AA$112</definedName>
    <definedName name="MENU" localSheetId="18">'P-Finance'!$AA$112</definedName>
    <definedName name="_xlnm.Print_Area" localSheetId="5">'D-Palaeocurrent'!$A$3:$J$40</definedName>
    <definedName name="_xlnm.Print_Area" localSheetId="7">'D-Untilt'!$A$1:$D$9</definedName>
    <definedName name="_xlnm.Print_Area" localSheetId="6">'P-Palaeocurrent'!$A$3:$J$40</definedName>
    <definedName name="_xlnm.Print_Area" localSheetId="4">'P-Permeability'!$A$9:$B$10</definedName>
    <definedName name="_xlnm.Print_Area" localSheetId="8">'P-Untilt'!$A$3:$D$11</definedName>
    <definedName name="Print_Area_MI" localSheetId="5">'D-Palaeocurrent'!$A$3:$J$40</definedName>
    <definedName name="Print_Area_MI" localSheetId="3">'D-Permeability'!$A$9:$B$10</definedName>
    <definedName name="Print_Area_MI" localSheetId="7">'D-Untilt'!$A$1:$D$9</definedName>
    <definedName name="Print_Area_MI" localSheetId="6">'P-Palaeocurrent'!$A$3:$J$40</definedName>
    <definedName name="Print_Area_MI" localSheetId="4">'P-Permeability'!$A$9:$B$10</definedName>
    <definedName name="Print_Area_MI" localSheetId="8">'P-Untilt'!$A$3:$D$11</definedName>
    <definedName name="solver_adj" localSheetId="20" hidden="1">'P-Variogram'!$B$19,'P-Variogram'!$B$20</definedName>
    <definedName name="solver_drv" localSheetId="20" hidden="1">1</definedName>
    <definedName name="solver_est" localSheetId="20" hidden="1">2</definedName>
    <definedName name="solver_itr" localSheetId="20" hidden="1">100</definedName>
    <definedName name="solver_lhs1" localSheetId="20" hidden="1">'P-Variogram'!$B$19</definedName>
    <definedName name="solver_lhs2" localSheetId="20" hidden="1">'P-Variogram'!$B$19</definedName>
    <definedName name="solver_lhs3" localSheetId="20" hidden="1">'P-Variogram'!$B$20</definedName>
    <definedName name="solver_lhs4" localSheetId="20" hidden="1">'P-Variogram'!$B$20</definedName>
    <definedName name="solver_lhs5" localSheetId="20" hidden="1">'P-Variogram'!$B$19</definedName>
    <definedName name="solver_lin" localSheetId="20" hidden="1">0</definedName>
    <definedName name="solver_num" localSheetId="20" hidden="1">5</definedName>
    <definedName name="solver_nwt" localSheetId="20" hidden="1">1</definedName>
    <definedName name="solver_opt" localSheetId="20" hidden="1">'P-Variogram'!$B$21</definedName>
    <definedName name="solver_pre" localSheetId="20" hidden="1">0.000001</definedName>
    <definedName name="solver_rel1" localSheetId="20" hidden="1">3</definedName>
    <definedName name="solver_rel2" localSheetId="20" hidden="1">1</definedName>
    <definedName name="solver_rel3" localSheetId="20" hidden="1">3</definedName>
    <definedName name="solver_rel4" localSheetId="20" hidden="1">1</definedName>
    <definedName name="solver_rel5" localSheetId="20" hidden="1">3</definedName>
    <definedName name="solver_rhs1" localSheetId="20" hidden="1">300</definedName>
    <definedName name="solver_rhs2" localSheetId="20" hidden="1">400</definedName>
    <definedName name="solver_rhs3" localSheetId="20" hidden="1">10</definedName>
    <definedName name="solver_rhs4" localSheetId="20" hidden="1">11.5</definedName>
    <definedName name="solver_rhs5" localSheetId="20" hidden="1">0</definedName>
    <definedName name="solver_scl" localSheetId="20" hidden="1">0</definedName>
    <definedName name="solver_sho" localSheetId="20" hidden="1">0</definedName>
    <definedName name="solver_tim" localSheetId="20" hidden="1">100</definedName>
    <definedName name="solver_tmp" localSheetId="20" hidden="1">0</definedName>
    <definedName name="solver_tol" localSheetId="20" hidden="1">0.05</definedName>
    <definedName name="solver_typ" localSheetId="20" hidden="1">2</definedName>
    <definedName name="solver_val" localSheetId="20" hidden="1">0</definedName>
  </definedNames>
  <calcPr calcId="0"/>
</workbook>
</file>

<file path=xl/calcChain.xml><?xml version="1.0" encoding="utf-8"?>
<calcChain xmlns="http://schemas.openxmlformats.org/spreadsheetml/2006/main">
  <c r="I4" i="7" l="1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E5" i="16"/>
  <c r="E5" i="16" a="1"/>
  <c r="E6" i="16"/>
  <c r="E6" i="16" a="1"/>
  <c r="E7" i="16"/>
  <c r="E7" i="16" a="1"/>
  <c r="B8" i="16"/>
  <c r="B8" i="16" a="1"/>
  <c r="C8" i="16"/>
  <c r="C8" i="16" a="1"/>
  <c r="D8" i="16"/>
  <c r="D8" i="16" a="1"/>
  <c r="E8" i="16"/>
  <c r="E8" i="16" a="1"/>
  <c r="B9" i="16"/>
  <c r="B9" i="16" a="1"/>
  <c r="C9" i="16"/>
  <c r="C9" i="16" a="1"/>
  <c r="D9" i="16"/>
  <c r="D9" i="16" a="1"/>
  <c r="E9" i="16"/>
  <c r="E9" i="16" a="1"/>
  <c r="B13" i="16"/>
  <c r="C13" i="16"/>
  <c r="D13" i="16"/>
  <c r="B14" i="16"/>
  <c r="C14" i="16"/>
  <c r="D14" i="16"/>
  <c r="B15" i="16"/>
  <c r="C15" i="16"/>
  <c r="D15" i="16"/>
  <c r="B19" i="16"/>
  <c r="C19" i="16"/>
  <c r="D19" i="16"/>
  <c r="B20" i="16"/>
  <c r="C20" i="16"/>
  <c r="D20" i="16"/>
  <c r="B21" i="16"/>
  <c r="C21" i="16"/>
  <c r="D21" i="16"/>
  <c r="B23" i="16"/>
  <c r="B24" i="16"/>
  <c r="B25" i="16"/>
  <c r="H4" i="2"/>
  <c r="H4" i="2" a="1"/>
  <c r="I4" i="2"/>
  <c r="I4" i="2" a="1"/>
  <c r="H5" i="2"/>
  <c r="I5" i="2"/>
  <c r="I5" i="2" a="1"/>
  <c r="H6" i="2"/>
  <c r="I6" i="2"/>
  <c r="I6" i="2" a="1"/>
  <c r="H7" i="2"/>
  <c r="I7" i="2"/>
  <c r="I7" i="2" a="1"/>
  <c r="H8" i="2"/>
  <c r="I8" i="2"/>
  <c r="I8" i="2" a="1"/>
  <c r="H9" i="2"/>
  <c r="I9" i="2"/>
  <c r="I9" i="2" a="1"/>
  <c r="H10" i="2"/>
  <c r="H10" i="2" a="1"/>
  <c r="I10" i="2"/>
  <c r="I10" i="2" a="1"/>
  <c r="C7" i="20"/>
  <c r="D7" i="20"/>
  <c r="F7" i="20"/>
  <c r="G7" i="20"/>
  <c r="C8" i="20"/>
  <c r="D8" i="20"/>
  <c r="F8" i="20"/>
  <c r="G8" i="20"/>
  <c r="C9" i="20"/>
  <c r="D9" i="20"/>
  <c r="F9" i="20"/>
  <c r="G9" i="20"/>
  <c r="C10" i="20"/>
  <c r="D10" i="20"/>
  <c r="F10" i="20"/>
  <c r="G10" i="20"/>
  <c r="C11" i="20"/>
  <c r="D11" i="20"/>
  <c r="F11" i="20"/>
  <c r="G11" i="20"/>
  <c r="C14" i="20"/>
  <c r="D14" i="20"/>
  <c r="F14" i="20"/>
  <c r="G14" i="20"/>
  <c r="C15" i="20"/>
  <c r="D15" i="20"/>
  <c r="F15" i="20"/>
  <c r="G15" i="20"/>
  <c r="C16" i="20"/>
  <c r="D16" i="20"/>
  <c r="F16" i="20"/>
  <c r="G16" i="20"/>
  <c r="C17" i="20"/>
  <c r="D17" i="20"/>
  <c r="F17" i="20"/>
  <c r="G17" i="20"/>
  <c r="C18" i="20"/>
  <c r="D18" i="20"/>
  <c r="F18" i="20"/>
  <c r="G18" i="20"/>
  <c r="C19" i="20"/>
  <c r="D19" i="20"/>
  <c r="F19" i="20"/>
  <c r="G19" i="20"/>
  <c r="C20" i="20"/>
  <c r="F20" i="20"/>
  <c r="C21" i="20"/>
  <c r="F21" i="20"/>
  <c r="C22" i="20"/>
  <c r="F22" i="20"/>
  <c r="D4" i="18"/>
  <c r="D5" i="18"/>
  <c r="D6" i="18"/>
  <c r="D7" i="18"/>
  <c r="D8" i="18"/>
  <c r="D9" i="18"/>
  <c r="D10" i="18"/>
  <c r="D11" i="18"/>
  <c r="D12" i="18"/>
  <c r="D13" i="18"/>
  <c r="D14" i="18"/>
  <c r="B16" i="18"/>
  <c r="C4" i="8"/>
  <c r="C4" i="8" a="1"/>
  <c r="D4" i="8"/>
  <c r="E4" i="8"/>
  <c r="F4" i="8"/>
  <c r="G4" i="8"/>
  <c r="I4" i="8"/>
  <c r="J4" i="8"/>
  <c r="C5" i="8"/>
  <c r="D5" i="8"/>
  <c r="E5" i="8"/>
  <c r="F5" i="8"/>
  <c r="G5" i="8"/>
  <c r="I5" i="8"/>
  <c r="C6" i="8"/>
  <c r="D6" i="8"/>
  <c r="E6" i="8"/>
  <c r="F6" i="8"/>
  <c r="G6" i="8"/>
  <c r="I6" i="8"/>
  <c r="J6" i="8"/>
  <c r="C7" i="8"/>
  <c r="D7" i="8"/>
  <c r="E7" i="8"/>
  <c r="F7" i="8"/>
  <c r="G7" i="8"/>
  <c r="I7" i="8"/>
  <c r="C8" i="8"/>
  <c r="D8" i="8"/>
  <c r="E8" i="8"/>
  <c r="F8" i="8"/>
  <c r="G8" i="8"/>
  <c r="I8" i="8"/>
  <c r="J8" i="8"/>
  <c r="C9" i="8"/>
  <c r="D9" i="8"/>
  <c r="E9" i="8"/>
  <c r="F9" i="8"/>
  <c r="G9" i="8"/>
  <c r="I9" i="8"/>
  <c r="C10" i="8"/>
  <c r="D10" i="8"/>
  <c r="E10" i="8"/>
  <c r="F10" i="8"/>
  <c r="G10" i="8"/>
  <c r="I10" i="8"/>
  <c r="J10" i="8"/>
  <c r="C11" i="8"/>
  <c r="D11" i="8"/>
  <c r="E11" i="8"/>
  <c r="F11" i="8"/>
  <c r="G11" i="8"/>
  <c r="I11" i="8"/>
  <c r="C12" i="8"/>
  <c r="D12" i="8"/>
  <c r="E12" i="8"/>
  <c r="F12" i="8"/>
  <c r="G12" i="8"/>
  <c r="I12" i="8"/>
  <c r="C13" i="8"/>
  <c r="D13" i="8"/>
  <c r="E13" i="8"/>
  <c r="F13" i="8"/>
  <c r="G13" i="8"/>
  <c r="I13" i="8"/>
  <c r="C14" i="8"/>
  <c r="D14" i="8"/>
  <c r="E14" i="8"/>
  <c r="F14" i="8"/>
  <c r="G14" i="8"/>
  <c r="I14" i="8"/>
  <c r="C15" i="8"/>
  <c r="D15" i="8"/>
  <c r="E15" i="8"/>
  <c r="F15" i="8"/>
  <c r="G15" i="8"/>
  <c r="I15" i="8"/>
  <c r="C16" i="8"/>
  <c r="D16" i="8"/>
  <c r="E16" i="8"/>
  <c r="F16" i="8"/>
  <c r="G16" i="8"/>
  <c r="I16" i="8"/>
  <c r="C17" i="8"/>
  <c r="D17" i="8"/>
  <c r="E17" i="8"/>
  <c r="F17" i="8"/>
  <c r="G17" i="8"/>
  <c r="I17" i="8"/>
  <c r="C18" i="8"/>
  <c r="D18" i="8"/>
  <c r="E18" i="8"/>
  <c r="F18" i="8"/>
  <c r="G18" i="8"/>
  <c r="I18" i="8"/>
  <c r="C19" i="8"/>
  <c r="D19" i="8"/>
  <c r="E19" i="8"/>
  <c r="F19" i="8"/>
  <c r="G19" i="8"/>
  <c r="I19" i="8"/>
  <c r="C20" i="8"/>
  <c r="D20" i="8"/>
  <c r="E20" i="8"/>
  <c r="F20" i="8"/>
  <c r="G20" i="8"/>
  <c r="I20" i="8"/>
  <c r="C21" i="8"/>
  <c r="D21" i="8"/>
  <c r="E21" i="8"/>
  <c r="F21" i="8"/>
  <c r="G21" i="8"/>
  <c r="I21" i="8"/>
  <c r="C22" i="8"/>
  <c r="D22" i="8"/>
  <c r="E22" i="8"/>
  <c r="F22" i="8"/>
  <c r="G22" i="8"/>
  <c r="I22" i="8"/>
  <c r="C23" i="8"/>
  <c r="D23" i="8"/>
  <c r="E23" i="8"/>
  <c r="F23" i="8"/>
  <c r="G23" i="8"/>
  <c r="I23" i="8"/>
  <c r="C24" i="8"/>
  <c r="D24" i="8"/>
  <c r="E24" i="8"/>
  <c r="F24" i="8"/>
  <c r="G24" i="8"/>
  <c r="I24" i="8"/>
  <c r="C25" i="8"/>
  <c r="D25" i="8"/>
  <c r="E25" i="8"/>
  <c r="F25" i="8"/>
  <c r="G25" i="8"/>
  <c r="I25" i="8"/>
  <c r="C26" i="8"/>
  <c r="D26" i="8"/>
  <c r="E26" i="8"/>
  <c r="F26" i="8"/>
  <c r="G26" i="8"/>
  <c r="I26" i="8"/>
  <c r="C27" i="8"/>
  <c r="D27" i="8"/>
  <c r="E27" i="8"/>
  <c r="F27" i="8"/>
  <c r="G27" i="8"/>
  <c r="I27" i="8"/>
  <c r="C28" i="8"/>
  <c r="D28" i="8"/>
  <c r="E28" i="8"/>
  <c r="F28" i="8"/>
  <c r="G28" i="8"/>
  <c r="I28" i="8"/>
  <c r="C29" i="8"/>
  <c r="D29" i="8"/>
  <c r="E29" i="8"/>
  <c r="F29" i="8"/>
  <c r="G29" i="8"/>
  <c r="I29" i="8"/>
  <c r="C30" i="8"/>
  <c r="D30" i="8"/>
  <c r="E30" i="8"/>
  <c r="F30" i="8"/>
  <c r="G30" i="8"/>
  <c r="I30" i="8"/>
  <c r="C31" i="8"/>
  <c r="D31" i="8"/>
  <c r="E31" i="8"/>
  <c r="F31" i="8"/>
  <c r="G31" i="8"/>
  <c r="I31" i="8"/>
  <c r="C32" i="8"/>
  <c r="D32" i="8"/>
  <c r="E32" i="8"/>
  <c r="F32" i="8"/>
  <c r="G32" i="8"/>
  <c r="I32" i="8"/>
  <c r="C33" i="8"/>
  <c r="D33" i="8"/>
  <c r="E33" i="8"/>
  <c r="F33" i="8"/>
  <c r="G33" i="8"/>
  <c r="I33" i="8"/>
  <c r="C34" i="8"/>
  <c r="D34" i="8"/>
  <c r="E34" i="8"/>
  <c r="F34" i="8"/>
  <c r="G34" i="8"/>
  <c r="I34" i="8"/>
  <c r="C35" i="8"/>
  <c r="D35" i="8"/>
  <c r="E35" i="8"/>
  <c r="F35" i="8"/>
  <c r="G35" i="8"/>
  <c r="I35" i="8"/>
  <c r="C36" i="8"/>
  <c r="D36" i="8"/>
  <c r="E36" i="8"/>
  <c r="F36" i="8"/>
  <c r="G36" i="8"/>
  <c r="I36" i="8"/>
  <c r="C37" i="8"/>
  <c r="D37" i="8"/>
  <c r="E37" i="8"/>
  <c r="F37" i="8"/>
  <c r="G37" i="8"/>
  <c r="I37" i="8"/>
  <c r="C38" i="8"/>
  <c r="D38" i="8"/>
  <c r="E38" i="8"/>
  <c r="F38" i="8"/>
  <c r="G38" i="8"/>
  <c r="I38" i="8"/>
  <c r="C39" i="8"/>
  <c r="D39" i="8"/>
  <c r="E39" i="8"/>
  <c r="F39" i="8"/>
  <c r="G39" i="8"/>
  <c r="I39" i="8"/>
  <c r="C40" i="8"/>
  <c r="E40" i="8"/>
  <c r="F40" i="8"/>
  <c r="G40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B24" i="12"/>
  <c r="B25" i="12"/>
  <c r="B26" i="12"/>
  <c r="B26" i="12" a="1"/>
  <c r="B27" i="12"/>
  <c r="B27" i="12" a="1"/>
  <c r="B28" i="12"/>
  <c r="B30" i="12"/>
  <c r="B30" i="12" a="1"/>
  <c r="B32" i="12"/>
  <c r="B32" i="12" a="1"/>
  <c r="B9" i="6"/>
  <c r="B10" i="6"/>
  <c r="H2" i="10"/>
  <c r="I2" i="10"/>
  <c r="J2" i="10"/>
  <c r="J2" i="10" a="1"/>
  <c r="K2" i="10"/>
  <c r="L2" i="10"/>
  <c r="L2" i="10" a="1"/>
  <c r="M2" i="10"/>
  <c r="M2" i="10" a="1"/>
  <c r="N2" i="10"/>
  <c r="N2" i="10" a="1"/>
  <c r="O2" i="10"/>
  <c r="O2" i="10" a="1"/>
  <c r="P2" i="10"/>
  <c r="Q2" i="10"/>
  <c r="Q2" i="10" a="1"/>
  <c r="R2" i="10"/>
  <c r="R2" i="10" a="1"/>
  <c r="S2" i="10"/>
  <c r="S2" i="10" a="1"/>
  <c r="T2" i="10"/>
  <c r="T2" i="10" a="1"/>
  <c r="D3" i="10"/>
  <c r="H3" i="10"/>
  <c r="I3" i="10"/>
  <c r="J3" i="10"/>
  <c r="J3" i="10" a="1"/>
  <c r="K3" i="10"/>
  <c r="L3" i="10"/>
  <c r="L3" i="10" a="1"/>
  <c r="M3" i="10"/>
  <c r="M3" i="10" a="1"/>
  <c r="N3" i="10"/>
  <c r="N3" i="10" a="1"/>
  <c r="O3" i="10"/>
  <c r="O3" i="10" a="1"/>
  <c r="P3" i="10"/>
  <c r="Q3" i="10"/>
  <c r="Q3" i="10" a="1"/>
  <c r="R3" i="10"/>
  <c r="R3" i="10" a="1"/>
  <c r="S3" i="10"/>
  <c r="S3" i="10" a="1"/>
  <c r="T3" i="10"/>
  <c r="T3" i="10" a="1"/>
  <c r="D4" i="10"/>
  <c r="H4" i="10"/>
  <c r="I4" i="10"/>
  <c r="J4" i="10"/>
  <c r="J4" i="10" a="1"/>
  <c r="K4" i="10"/>
  <c r="L4" i="10"/>
  <c r="L4" i="10" a="1"/>
  <c r="M4" i="10"/>
  <c r="M4" i="10" a="1"/>
  <c r="N4" i="10"/>
  <c r="N4" i="10" a="1"/>
  <c r="O4" i="10"/>
  <c r="O4" i="10" a="1"/>
  <c r="P4" i="10"/>
  <c r="Q4" i="10"/>
  <c r="Q4" i="10" a="1"/>
  <c r="R4" i="10"/>
  <c r="R4" i="10" a="1"/>
  <c r="S4" i="10"/>
  <c r="S4" i="10" a="1"/>
  <c r="T4" i="10"/>
  <c r="T4" i="10" a="1"/>
  <c r="D5" i="10"/>
  <c r="D6" i="10"/>
  <c r="D7" i="10"/>
  <c r="D8" i="10"/>
  <c r="D9" i="10"/>
  <c r="D10" i="10"/>
  <c r="D11" i="10"/>
  <c r="K1" i="22"/>
  <c r="K1" i="22" a="1"/>
  <c r="L1" i="22"/>
  <c r="L1" i="22" a="1"/>
  <c r="M1" i="22"/>
  <c r="M1" i="22" a="1"/>
  <c r="N1" i="22"/>
  <c r="N1" i="22" a="1"/>
  <c r="O1" i="22"/>
  <c r="O1" i="22" a="1"/>
  <c r="P1" i="22"/>
  <c r="P1" i="22" a="1"/>
  <c r="Q1" i="22"/>
  <c r="Q1" i="22" a="1"/>
  <c r="R1" i="22"/>
  <c r="R1" i="22" a="1"/>
  <c r="S1" i="22"/>
  <c r="S1" i="22" a="1"/>
  <c r="T1" i="22"/>
  <c r="T1" i="22" a="1"/>
  <c r="U1" i="22"/>
  <c r="U1" i="22" a="1"/>
  <c r="V1" i="22"/>
  <c r="V1" i="22" a="1"/>
  <c r="W1" i="22"/>
  <c r="W1" i="22" a="1"/>
  <c r="X1" i="22"/>
  <c r="X1" i="22" a="1"/>
  <c r="Y1" i="22"/>
  <c r="Y1" i="22" a="1"/>
  <c r="Z1" i="22"/>
  <c r="Z1" i="22" a="1"/>
  <c r="AA1" i="22"/>
  <c r="AA1" i="22" a="1"/>
  <c r="AB1" i="22"/>
  <c r="AB1" i="22" a="1"/>
  <c r="AC1" i="22"/>
  <c r="AC1" i="22" a="1"/>
  <c r="AD1" i="22"/>
  <c r="AD1" i="22" a="1"/>
  <c r="AE1" i="22"/>
  <c r="AE1" i="22" a="1"/>
  <c r="AF1" i="22"/>
  <c r="AF1" i="22" a="1"/>
  <c r="AG1" i="22"/>
  <c r="AG1" i="22" a="1"/>
  <c r="AH1" i="22"/>
  <c r="AH1" i="22" a="1"/>
  <c r="AI1" i="22"/>
  <c r="AI1" i="22" a="1"/>
  <c r="AJ1" i="22"/>
  <c r="AJ1" i="22" a="1"/>
  <c r="AK1" i="22"/>
  <c r="AK1" i="22" a="1"/>
  <c r="AL1" i="22"/>
  <c r="AL1" i="22" a="1"/>
  <c r="AM1" i="22"/>
  <c r="AM1" i="22" a="1"/>
  <c r="AN1" i="22"/>
  <c r="AN1" i="22" a="1"/>
  <c r="AO1" i="22"/>
  <c r="AO1" i="22" a="1"/>
  <c r="AP1" i="22"/>
  <c r="AP1" i="22" a="1"/>
  <c r="AQ1" i="22"/>
  <c r="AQ1" i="22" a="1"/>
  <c r="AR1" i="22"/>
  <c r="AR1" i="22" a="1"/>
  <c r="AS1" i="22"/>
  <c r="AS1" i="22" a="1"/>
  <c r="AT1" i="22"/>
  <c r="AT1" i="22" a="1"/>
  <c r="AU1" i="22"/>
  <c r="AU1" i="22" a="1"/>
  <c r="AV1" i="22"/>
  <c r="AV1" i="22" a="1"/>
  <c r="AW1" i="22"/>
  <c r="AW1" i="22" a="1"/>
  <c r="AX1" i="22"/>
  <c r="AX1" i="22" a="1"/>
  <c r="AY1" i="22"/>
  <c r="AY1" i="22" a="1"/>
  <c r="AZ1" i="22"/>
  <c r="AZ1" i="22" a="1"/>
  <c r="BA1" i="22"/>
  <c r="BA1" i="22" a="1"/>
  <c r="BB1" i="22"/>
  <c r="BB1" i="22" a="1"/>
  <c r="BC1" i="22"/>
  <c r="BC1" i="22" a="1"/>
  <c r="BD1" i="22"/>
  <c r="BD1" i="22" a="1"/>
  <c r="BE1" i="22"/>
  <c r="BE1" i="22" a="1"/>
  <c r="BF1" i="22"/>
  <c r="BF1" i="22" a="1"/>
  <c r="BG1" i="22"/>
  <c r="BG1" i="22" a="1"/>
  <c r="BH1" i="22"/>
  <c r="BH1" i="22" a="1"/>
  <c r="BI1" i="22"/>
  <c r="BI1" i="22" a="1"/>
  <c r="BJ1" i="22"/>
  <c r="BJ1" i="22" a="1"/>
  <c r="BK1" i="22"/>
  <c r="BK1" i="22" a="1"/>
  <c r="BL1" i="22"/>
  <c r="BL1" i="22" a="1"/>
  <c r="BM1" i="22"/>
  <c r="BM1" i="22" a="1"/>
  <c r="BN1" i="22"/>
  <c r="BN1" i="22" a="1"/>
  <c r="BO1" i="22"/>
  <c r="BO1" i="22" a="1"/>
  <c r="BP1" i="22"/>
  <c r="BP1" i="22" a="1"/>
  <c r="BQ1" i="22"/>
  <c r="BQ1" i="22" a="1"/>
  <c r="BR1" i="22"/>
  <c r="BR1" i="22" a="1"/>
  <c r="K2" i="22"/>
  <c r="K2" i="22" a="1"/>
  <c r="L2" i="22"/>
  <c r="L2" i="22" a="1"/>
  <c r="M2" i="22"/>
  <c r="M2" i="22" a="1"/>
  <c r="N2" i="22"/>
  <c r="N2" i="22" a="1"/>
  <c r="O2" i="22"/>
  <c r="O2" i="22" a="1"/>
  <c r="P2" i="22"/>
  <c r="P2" i="22" a="1"/>
  <c r="Q2" i="22"/>
  <c r="Q2" i="22" a="1"/>
  <c r="R2" i="22"/>
  <c r="R2" i="22" a="1"/>
  <c r="S2" i="22"/>
  <c r="S2" i="22" a="1"/>
  <c r="T2" i="22"/>
  <c r="T2" i="22" a="1"/>
  <c r="U2" i="22"/>
  <c r="U2" i="22" a="1"/>
  <c r="V2" i="22"/>
  <c r="V2" i="22" a="1"/>
  <c r="W2" i="22"/>
  <c r="W2" i="22" a="1"/>
  <c r="X2" i="22"/>
  <c r="X2" i="22" a="1"/>
  <c r="Y2" i="22"/>
  <c r="Y2" i="22" a="1"/>
  <c r="Z2" i="22"/>
  <c r="Z2" i="22" a="1"/>
  <c r="AA2" i="22"/>
  <c r="AA2" i="22" a="1"/>
  <c r="AB2" i="22"/>
  <c r="AB2" i="22" a="1"/>
  <c r="AC2" i="22"/>
  <c r="AC2" i="22" a="1"/>
  <c r="AD2" i="22"/>
  <c r="AD2" i="22" a="1"/>
  <c r="AE2" i="22"/>
  <c r="AE2" i="22" a="1"/>
  <c r="AF2" i="22"/>
  <c r="AF2" i="22" a="1"/>
  <c r="AG2" i="22"/>
  <c r="AG2" i="22" a="1"/>
  <c r="AH2" i="22"/>
  <c r="AH2" i="22" a="1"/>
  <c r="AI2" i="22"/>
  <c r="AI2" i="22" a="1"/>
  <c r="AJ2" i="22"/>
  <c r="AJ2" i="22" a="1"/>
  <c r="AK2" i="22"/>
  <c r="AK2" i="22" a="1"/>
  <c r="AL2" i="22"/>
  <c r="AL2" i="22" a="1"/>
  <c r="AM2" i="22"/>
  <c r="AM2" i="22" a="1"/>
  <c r="AN2" i="22"/>
  <c r="AN2" i="22" a="1"/>
  <c r="AO2" i="22"/>
  <c r="AO2" i="22" a="1"/>
  <c r="AP2" i="22"/>
  <c r="AP2" i="22" a="1"/>
  <c r="AQ2" i="22"/>
  <c r="AQ2" i="22" a="1"/>
  <c r="AR2" i="22"/>
  <c r="AR2" i="22" a="1"/>
  <c r="AS2" i="22"/>
  <c r="AS2" i="22" a="1"/>
  <c r="AT2" i="22"/>
  <c r="AT2" i="22" a="1"/>
  <c r="AU2" i="22"/>
  <c r="AU2" i="22" a="1"/>
  <c r="AV2" i="22"/>
  <c r="AV2" i="22" a="1"/>
  <c r="AW2" i="22"/>
  <c r="AW2" i="22" a="1"/>
  <c r="AX2" i="22"/>
  <c r="AX2" i="22" a="1"/>
  <c r="AY2" i="22"/>
  <c r="AY2" i="22" a="1"/>
  <c r="AZ2" i="22"/>
  <c r="AZ2" i="22" a="1"/>
  <c r="BA2" i="22"/>
  <c r="BA2" i="22" a="1"/>
  <c r="BB2" i="22"/>
  <c r="BB2" i="22" a="1"/>
  <c r="BC2" i="22"/>
  <c r="BC2" i="22" a="1"/>
  <c r="BD2" i="22"/>
  <c r="BD2" i="22" a="1"/>
  <c r="BE2" i="22"/>
  <c r="BE2" i="22" a="1"/>
  <c r="BF2" i="22"/>
  <c r="BF2" i="22" a="1"/>
  <c r="BG2" i="22"/>
  <c r="BG2" i="22" a="1"/>
  <c r="BH2" i="22"/>
  <c r="BH2" i="22" a="1"/>
  <c r="BI2" i="22"/>
  <c r="BI2" i="22" a="1"/>
  <c r="BJ2" i="22"/>
  <c r="BJ2" i="22" a="1"/>
  <c r="BK2" i="22"/>
  <c r="BK2" i="22" a="1"/>
  <c r="BL2" i="22"/>
  <c r="BL2" i="22" a="1"/>
  <c r="BM2" i="22"/>
  <c r="BM2" i="22" a="1"/>
  <c r="BN2" i="22"/>
  <c r="BN2" i="22" a="1"/>
  <c r="BO2" i="22"/>
  <c r="BO2" i="22" a="1"/>
  <c r="BP2" i="22"/>
  <c r="BP2" i="22" a="1"/>
  <c r="BQ2" i="22"/>
  <c r="BQ2" i="22" a="1"/>
  <c r="BR2" i="22"/>
  <c r="BR2" i="22" a="1"/>
  <c r="K3" i="22"/>
  <c r="K3" i="22" a="1"/>
  <c r="L3" i="22"/>
  <c r="L3" i="22" a="1"/>
  <c r="M3" i="22"/>
  <c r="M3" i="22" a="1"/>
  <c r="N3" i="22"/>
  <c r="N3" i="22" a="1"/>
  <c r="O3" i="22"/>
  <c r="O3" i="22" a="1"/>
  <c r="P3" i="22"/>
  <c r="P3" i="22" a="1"/>
  <c r="Q3" i="22"/>
  <c r="Q3" i="22" a="1"/>
  <c r="R3" i="22"/>
  <c r="R3" i="22" a="1"/>
  <c r="S3" i="22"/>
  <c r="S3" i="22" a="1"/>
  <c r="T3" i="22"/>
  <c r="T3" i="22" a="1"/>
  <c r="U3" i="22"/>
  <c r="U3" i="22" a="1"/>
  <c r="V3" i="22"/>
  <c r="V3" i="22" a="1"/>
  <c r="W3" i="22"/>
  <c r="W3" i="22" a="1"/>
  <c r="X3" i="22"/>
  <c r="X3" i="22" a="1"/>
  <c r="Y3" i="22"/>
  <c r="Y3" i="22" a="1"/>
  <c r="Z3" i="22"/>
  <c r="Z3" i="22" a="1"/>
  <c r="AA3" i="22"/>
  <c r="AA3" i="22" a="1"/>
  <c r="AB3" i="22"/>
  <c r="AB3" i="22" a="1"/>
  <c r="AC3" i="22"/>
  <c r="AC3" i="22" a="1"/>
  <c r="AD3" i="22"/>
  <c r="AD3" i="22" a="1"/>
  <c r="AE3" i="22"/>
  <c r="AE3" i="22" a="1"/>
  <c r="AF3" i="22"/>
  <c r="AF3" i="22" a="1"/>
  <c r="AG3" i="22"/>
  <c r="AG3" i="22" a="1"/>
  <c r="AH3" i="22"/>
  <c r="AH3" i="22" a="1"/>
  <c r="AI3" i="22"/>
  <c r="AI3" i="22" a="1"/>
  <c r="AJ3" i="22"/>
  <c r="AJ3" i="22" a="1"/>
  <c r="AK3" i="22"/>
  <c r="AK3" i="22" a="1"/>
  <c r="AL3" i="22"/>
  <c r="AL3" i="22" a="1"/>
  <c r="AM3" i="22"/>
  <c r="AM3" i="22" a="1"/>
  <c r="AN3" i="22"/>
  <c r="AN3" i="22" a="1"/>
  <c r="AO3" i="22"/>
  <c r="AO3" i="22" a="1"/>
  <c r="AP3" i="22"/>
  <c r="AP3" i="22" a="1"/>
  <c r="AQ3" i="22"/>
  <c r="AQ3" i="22" a="1"/>
  <c r="AR3" i="22"/>
  <c r="AR3" i="22" a="1"/>
  <c r="AS3" i="22"/>
  <c r="AS3" i="22" a="1"/>
  <c r="AT3" i="22"/>
  <c r="AT3" i="22" a="1"/>
  <c r="AU3" i="22"/>
  <c r="AU3" i="22" a="1"/>
  <c r="AV3" i="22"/>
  <c r="AV3" i="22" a="1"/>
  <c r="AW3" i="22"/>
  <c r="AW3" i="22" a="1"/>
  <c r="AX3" i="22"/>
  <c r="AX3" i="22" a="1"/>
  <c r="AY3" i="22"/>
  <c r="AY3" i="22" a="1"/>
  <c r="AZ3" i="22"/>
  <c r="AZ3" i="22" a="1"/>
  <c r="BA3" i="22"/>
  <c r="BA3" i="22" a="1"/>
  <c r="BB3" i="22"/>
  <c r="BB3" i="22" a="1"/>
  <c r="BC3" i="22"/>
  <c r="BC3" i="22" a="1"/>
  <c r="BD3" i="22"/>
  <c r="BD3" i="22" a="1"/>
  <c r="BE3" i="22"/>
  <c r="BE3" i="22" a="1"/>
  <c r="BF3" i="22"/>
  <c r="BF3" i="22" a="1"/>
  <c r="BG3" i="22"/>
  <c r="BG3" i="22" a="1"/>
  <c r="BH3" i="22"/>
  <c r="BH3" i="22" a="1"/>
  <c r="BI3" i="22"/>
  <c r="BI3" i="22" a="1"/>
  <c r="BJ3" i="22"/>
  <c r="BJ3" i="22" a="1"/>
  <c r="BK3" i="22"/>
  <c r="BK3" i="22" a="1"/>
  <c r="BL3" i="22"/>
  <c r="BL3" i="22" a="1"/>
  <c r="BM3" i="22"/>
  <c r="BM3" i="22" a="1"/>
  <c r="BN3" i="22"/>
  <c r="BN3" i="22" a="1"/>
  <c r="BO3" i="22"/>
  <c r="BO3" i="22" a="1"/>
  <c r="BP3" i="22"/>
  <c r="BP3" i="22" a="1"/>
  <c r="BQ3" i="22"/>
  <c r="BQ3" i="22" a="1"/>
  <c r="BR3" i="22"/>
  <c r="BR3" i="22" a="1"/>
  <c r="K4" i="22"/>
  <c r="K4" i="22" a="1"/>
  <c r="L4" i="22"/>
  <c r="L4" i="22" a="1"/>
  <c r="M4" i="22"/>
  <c r="M4" i="22" a="1"/>
  <c r="N4" i="22"/>
  <c r="N4" i="22" a="1"/>
  <c r="O4" i="22"/>
  <c r="O4" i="22" a="1"/>
  <c r="P4" i="22"/>
  <c r="P4" i="22" a="1"/>
  <c r="Q4" i="22"/>
  <c r="Q4" i="22" a="1"/>
  <c r="R4" i="22"/>
  <c r="R4" i="22" a="1"/>
  <c r="S4" i="22"/>
  <c r="S4" i="22" a="1"/>
  <c r="T4" i="22"/>
  <c r="T4" i="22" a="1"/>
  <c r="U4" i="22"/>
  <c r="U4" i="22" a="1"/>
  <c r="V4" i="22"/>
  <c r="V4" i="22" a="1"/>
  <c r="W4" i="22"/>
  <c r="W4" i="22" a="1"/>
  <c r="X4" i="22"/>
  <c r="X4" i="22" a="1"/>
  <c r="Y4" i="22"/>
  <c r="Y4" i="22" a="1"/>
  <c r="Z4" i="22"/>
  <c r="Z4" i="22" a="1"/>
  <c r="AA4" i="22"/>
  <c r="AA4" i="22" a="1"/>
  <c r="AB4" i="22"/>
  <c r="AB4" i="22" a="1"/>
  <c r="AC4" i="22"/>
  <c r="AC4" i="22" a="1"/>
  <c r="AD4" i="22"/>
  <c r="AD4" i="22" a="1"/>
  <c r="AE4" i="22"/>
  <c r="AE4" i="22" a="1"/>
  <c r="AF4" i="22"/>
  <c r="AF4" i="22" a="1"/>
  <c r="AG4" i="22"/>
  <c r="AG4" i="22" a="1"/>
  <c r="AH4" i="22"/>
  <c r="AH4" i="22" a="1"/>
  <c r="AI4" i="22"/>
  <c r="AI4" i="22" a="1"/>
  <c r="AJ4" i="22"/>
  <c r="AJ4" i="22" a="1"/>
  <c r="AK4" i="22"/>
  <c r="AK4" i="22" a="1"/>
  <c r="AL4" i="22"/>
  <c r="AL4" i="22" a="1"/>
  <c r="AM4" i="22"/>
  <c r="AM4" i="22" a="1"/>
  <c r="AN4" i="22"/>
  <c r="AN4" i="22" a="1"/>
  <c r="AO4" i="22"/>
  <c r="AO4" i="22" a="1"/>
  <c r="AP4" i="22"/>
  <c r="AP4" i="22" a="1"/>
  <c r="AQ4" i="22"/>
  <c r="AQ4" i="22" a="1"/>
  <c r="AR4" i="22"/>
  <c r="AR4" i="22" a="1"/>
  <c r="AS4" i="22"/>
  <c r="AS4" i="22" a="1"/>
  <c r="AT4" i="22"/>
  <c r="AT4" i="22" a="1"/>
  <c r="AU4" i="22"/>
  <c r="AU4" i="22" a="1"/>
  <c r="AV4" i="22"/>
  <c r="AV4" i="22" a="1"/>
  <c r="AW4" i="22"/>
  <c r="AW4" i="22" a="1"/>
  <c r="AX4" i="22"/>
  <c r="AX4" i="22" a="1"/>
  <c r="AY4" i="22"/>
  <c r="AY4" i="22" a="1"/>
  <c r="AZ4" i="22"/>
  <c r="AZ4" i="22" a="1"/>
  <c r="BA4" i="22"/>
  <c r="BA4" i="22" a="1"/>
  <c r="BB4" i="22"/>
  <c r="BB4" i="22" a="1"/>
  <c r="BC4" i="22"/>
  <c r="BC4" i="22" a="1"/>
  <c r="BD4" i="22"/>
  <c r="BD4" i="22" a="1"/>
  <c r="BE4" i="22"/>
  <c r="BE4" i="22" a="1"/>
  <c r="BF4" i="22"/>
  <c r="BF4" i="22" a="1"/>
  <c r="BG4" i="22"/>
  <c r="BG4" i="22" a="1"/>
  <c r="BH4" i="22"/>
  <c r="BH4" i="22" a="1"/>
  <c r="BI4" i="22"/>
  <c r="BI4" i="22" a="1"/>
  <c r="BJ4" i="22"/>
  <c r="BJ4" i="22" a="1"/>
  <c r="BK4" i="22"/>
  <c r="BK4" i="22" a="1"/>
  <c r="BL4" i="22"/>
  <c r="BL4" i="22" a="1"/>
  <c r="BM4" i="22"/>
  <c r="BM4" i="22" a="1"/>
  <c r="BN4" i="22"/>
  <c r="BN4" i="22" a="1"/>
  <c r="BO4" i="22"/>
  <c r="BO4" i="22" a="1"/>
  <c r="BP4" i="22"/>
  <c r="BP4" i="22" a="1"/>
  <c r="BQ4" i="22"/>
  <c r="BQ4" i="22" a="1"/>
  <c r="BR4" i="22"/>
  <c r="BR4" i="22" a="1"/>
  <c r="K5" i="22"/>
  <c r="K5" i="22" a="1"/>
  <c r="L5" i="22"/>
  <c r="L5" i="22" a="1"/>
  <c r="M5" i="22"/>
  <c r="M5" i="22" a="1"/>
  <c r="N5" i="22"/>
  <c r="N5" i="22" a="1"/>
  <c r="O5" i="22"/>
  <c r="O5" i="22" a="1"/>
  <c r="P5" i="22"/>
  <c r="P5" i="22" a="1"/>
  <c r="Q5" i="22"/>
  <c r="Q5" i="22" a="1"/>
  <c r="R5" i="22"/>
  <c r="R5" i="22" a="1"/>
  <c r="S5" i="22"/>
  <c r="S5" i="22" a="1"/>
  <c r="T5" i="22"/>
  <c r="T5" i="22" a="1"/>
  <c r="U5" i="22"/>
  <c r="U5" i="22" a="1"/>
  <c r="V5" i="22"/>
  <c r="V5" i="22" a="1"/>
  <c r="W5" i="22"/>
  <c r="W5" i="22" a="1"/>
  <c r="X5" i="22"/>
  <c r="X5" i="22" a="1"/>
  <c r="Y5" i="22"/>
  <c r="Y5" i="22" a="1"/>
  <c r="Z5" i="22"/>
  <c r="Z5" i="22" a="1"/>
  <c r="AA5" i="22"/>
  <c r="AA5" i="22" a="1"/>
  <c r="AB5" i="22"/>
  <c r="AB5" i="22" a="1"/>
  <c r="AC5" i="22"/>
  <c r="AC5" i="22" a="1"/>
  <c r="AD5" i="22"/>
  <c r="AD5" i="22" a="1"/>
  <c r="AE5" i="22"/>
  <c r="AE5" i="22" a="1"/>
  <c r="AF5" i="22"/>
  <c r="AF5" i="22" a="1"/>
  <c r="AG5" i="22"/>
  <c r="AG5" i="22" a="1"/>
  <c r="AH5" i="22"/>
  <c r="AH5" i="22" a="1"/>
  <c r="AI5" i="22"/>
  <c r="AI5" i="22" a="1"/>
  <c r="AJ5" i="22"/>
  <c r="AJ5" i="22" a="1"/>
  <c r="AK5" i="22"/>
  <c r="AK5" i="22" a="1"/>
  <c r="AL5" i="22"/>
  <c r="AL5" i="22" a="1"/>
  <c r="AM5" i="22"/>
  <c r="AM5" i="22" a="1"/>
  <c r="AN5" i="22"/>
  <c r="AN5" i="22" a="1"/>
  <c r="AO5" i="22"/>
  <c r="AO5" i="22" a="1"/>
  <c r="AP5" i="22"/>
  <c r="AP5" i="22" a="1"/>
  <c r="AQ5" i="22"/>
  <c r="AQ5" i="22" a="1"/>
  <c r="AR5" i="22"/>
  <c r="AR5" i="22" a="1"/>
  <c r="AS5" i="22"/>
  <c r="AS5" i="22" a="1"/>
  <c r="AT5" i="22"/>
  <c r="AT5" i="22" a="1"/>
  <c r="AU5" i="22"/>
  <c r="AU5" i="22" a="1"/>
  <c r="AV5" i="22"/>
  <c r="AV5" i="22" a="1"/>
  <c r="AW5" i="22"/>
  <c r="AW5" i="22" a="1"/>
  <c r="AX5" i="22"/>
  <c r="AX5" i="22" a="1"/>
  <c r="AY5" i="22"/>
  <c r="AY5" i="22" a="1"/>
  <c r="AZ5" i="22"/>
  <c r="AZ5" i="22" a="1"/>
  <c r="BA5" i="22"/>
  <c r="BA5" i="22" a="1"/>
  <c r="BB5" i="22"/>
  <c r="BB5" i="22" a="1"/>
  <c r="BC5" i="22"/>
  <c r="BC5" i="22" a="1"/>
  <c r="BD5" i="22"/>
  <c r="BD5" i="22" a="1"/>
  <c r="BE5" i="22"/>
  <c r="BE5" i="22" a="1"/>
  <c r="BF5" i="22"/>
  <c r="BF5" i="22" a="1"/>
  <c r="BG5" i="22"/>
  <c r="BG5" i="22" a="1"/>
  <c r="BH5" i="22"/>
  <c r="BH5" i="22" a="1"/>
  <c r="BI5" i="22"/>
  <c r="BI5" i="22" a="1"/>
  <c r="BJ5" i="22"/>
  <c r="BJ5" i="22" a="1"/>
  <c r="BK5" i="22"/>
  <c r="BK5" i="22" a="1"/>
  <c r="BL5" i="22"/>
  <c r="BL5" i="22" a="1"/>
  <c r="BM5" i="22"/>
  <c r="BM5" i="22" a="1"/>
  <c r="BN5" i="22"/>
  <c r="BN5" i="22" a="1"/>
  <c r="BO5" i="22"/>
  <c r="BO5" i="22" a="1"/>
  <c r="BP5" i="22"/>
  <c r="BP5" i="22" a="1"/>
  <c r="BQ5" i="22"/>
  <c r="BQ5" i="22" a="1"/>
  <c r="BR5" i="22"/>
  <c r="BR5" i="22" a="1"/>
  <c r="K6" i="22"/>
  <c r="K6" i="22" a="1"/>
  <c r="L6" i="22"/>
  <c r="L6" i="22" a="1"/>
  <c r="M6" i="22"/>
  <c r="M6" i="22" a="1"/>
  <c r="N6" i="22"/>
  <c r="N6" i="22" a="1"/>
  <c r="O6" i="22"/>
  <c r="O6" i="22" a="1"/>
  <c r="P6" i="22"/>
  <c r="P6" i="22" a="1"/>
  <c r="Q6" i="22"/>
  <c r="Q6" i="22" a="1"/>
  <c r="R6" i="22"/>
  <c r="R6" i="22" a="1"/>
  <c r="S6" i="22"/>
  <c r="S6" i="22" a="1"/>
  <c r="T6" i="22"/>
  <c r="T6" i="22" a="1"/>
  <c r="U6" i="22"/>
  <c r="U6" i="22" a="1"/>
  <c r="V6" i="22"/>
  <c r="V6" i="22" a="1"/>
  <c r="W6" i="22"/>
  <c r="W6" i="22" a="1"/>
  <c r="X6" i="22"/>
  <c r="X6" i="22" a="1"/>
  <c r="Y6" i="22"/>
  <c r="Y6" i="22" a="1"/>
  <c r="Z6" i="22"/>
  <c r="Z6" i="22" a="1"/>
  <c r="AA6" i="22"/>
  <c r="AA6" i="22" a="1"/>
  <c r="AB6" i="22"/>
  <c r="AB6" i="22" a="1"/>
  <c r="AC6" i="22"/>
  <c r="AC6" i="22" a="1"/>
  <c r="AD6" i="22"/>
  <c r="AD6" i="22" a="1"/>
  <c r="AE6" i="22"/>
  <c r="AE6" i="22" a="1"/>
  <c r="AF6" i="22"/>
  <c r="AF6" i="22" a="1"/>
  <c r="AG6" i="22"/>
  <c r="AG6" i="22" a="1"/>
  <c r="AH6" i="22"/>
  <c r="AH6" i="22" a="1"/>
  <c r="AI6" i="22"/>
  <c r="AI6" i="22" a="1"/>
  <c r="AJ6" i="22"/>
  <c r="AJ6" i="22" a="1"/>
  <c r="AK6" i="22"/>
  <c r="AK6" i="22" a="1"/>
  <c r="AL6" i="22"/>
  <c r="AL6" i="22" a="1"/>
  <c r="AM6" i="22"/>
  <c r="AM6" i="22" a="1"/>
  <c r="AN6" i="22"/>
  <c r="AN6" i="22" a="1"/>
  <c r="AO6" i="22"/>
  <c r="AO6" i="22" a="1"/>
  <c r="AP6" i="22"/>
  <c r="AP6" i="22" a="1"/>
  <c r="AQ6" i="22"/>
  <c r="AQ6" i="22" a="1"/>
  <c r="AR6" i="22"/>
  <c r="AR6" i="22" a="1"/>
  <c r="AS6" i="22"/>
  <c r="AS6" i="22" a="1"/>
  <c r="AT6" i="22"/>
  <c r="AT6" i="22" a="1"/>
  <c r="AU6" i="22"/>
  <c r="AU6" i="22" a="1"/>
  <c r="AV6" i="22"/>
  <c r="AV6" i="22" a="1"/>
  <c r="AW6" i="22"/>
  <c r="AW6" i="22" a="1"/>
  <c r="AX6" i="22"/>
  <c r="AX6" i="22" a="1"/>
  <c r="AY6" i="22"/>
  <c r="AY6" i="22" a="1"/>
  <c r="AZ6" i="22"/>
  <c r="AZ6" i="22" a="1"/>
  <c r="BA6" i="22"/>
  <c r="BA6" i="22" a="1"/>
  <c r="BB6" i="22"/>
  <c r="BB6" i="22" a="1"/>
  <c r="BC6" i="22"/>
  <c r="BC6" i="22" a="1"/>
  <c r="BD6" i="22"/>
  <c r="BD6" i="22" a="1"/>
  <c r="BE6" i="22"/>
  <c r="BE6" i="22" a="1"/>
  <c r="BF6" i="22"/>
  <c r="BF6" i="22" a="1"/>
  <c r="BG6" i="22"/>
  <c r="BG6" i="22" a="1"/>
  <c r="BH6" i="22"/>
  <c r="BH6" i="22" a="1"/>
  <c r="BI6" i="22"/>
  <c r="BI6" i="22" a="1"/>
  <c r="BJ6" i="22"/>
  <c r="BJ6" i="22" a="1"/>
  <c r="BK6" i="22"/>
  <c r="BK6" i="22" a="1"/>
  <c r="BL6" i="22"/>
  <c r="BL6" i="22" a="1"/>
  <c r="BM6" i="22"/>
  <c r="BM6" i="22" a="1"/>
  <c r="BN6" i="22"/>
  <c r="BN6" i="22" a="1"/>
  <c r="BO6" i="22"/>
  <c r="BO6" i="22" a="1"/>
  <c r="BP6" i="22"/>
  <c r="BP6" i="22" a="1"/>
  <c r="BQ6" i="22"/>
  <c r="BQ6" i="22" a="1"/>
  <c r="BR6" i="22"/>
  <c r="BR6" i="22" a="1"/>
  <c r="K7" i="22"/>
  <c r="K7" i="22" a="1"/>
  <c r="L7" i="22"/>
  <c r="L7" i="22" a="1"/>
  <c r="M7" i="22"/>
  <c r="M7" i="22" a="1"/>
  <c r="N7" i="22"/>
  <c r="N7" i="22" a="1"/>
  <c r="O7" i="22"/>
  <c r="O7" i="22" a="1"/>
  <c r="P7" i="22"/>
  <c r="P7" i="22" a="1"/>
  <c r="Q7" i="22"/>
  <c r="Q7" i="22" a="1"/>
  <c r="R7" i="22"/>
  <c r="R7" i="22" a="1"/>
  <c r="S7" i="22"/>
  <c r="S7" i="22" a="1"/>
  <c r="T7" i="22"/>
  <c r="T7" i="22" a="1"/>
  <c r="U7" i="22"/>
  <c r="U7" i="22" a="1"/>
  <c r="V7" i="22"/>
  <c r="V7" i="22" a="1"/>
  <c r="W7" i="22"/>
  <c r="W7" i="22" a="1"/>
  <c r="X7" i="22"/>
  <c r="X7" i="22" a="1"/>
  <c r="Y7" i="22"/>
  <c r="Y7" i="22" a="1"/>
  <c r="Z7" i="22"/>
  <c r="Z7" i="22" a="1"/>
  <c r="AA7" i="22"/>
  <c r="AA7" i="22" a="1"/>
  <c r="AB7" i="22"/>
  <c r="AB7" i="22" a="1"/>
  <c r="AC7" i="22"/>
  <c r="AC7" i="22" a="1"/>
  <c r="AD7" i="22"/>
  <c r="AD7" i="22" a="1"/>
  <c r="AE7" i="22"/>
  <c r="AE7" i="22" a="1"/>
  <c r="AF7" i="22"/>
  <c r="AF7" i="22" a="1"/>
  <c r="AG7" i="22"/>
  <c r="AG7" i="22" a="1"/>
  <c r="AH7" i="22"/>
  <c r="AH7" i="22" a="1"/>
  <c r="AI7" i="22"/>
  <c r="AI7" i="22" a="1"/>
  <c r="AJ7" i="22"/>
  <c r="AJ7" i="22" a="1"/>
  <c r="AK7" i="22"/>
  <c r="AK7" i="22" a="1"/>
  <c r="AL7" i="22"/>
  <c r="AL7" i="22" a="1"/>
  <c r="AM7" i="22"/>
  <c r="AM7" i="22" a="1"/>
  <c r="AN7" i="22"/>
  <c r="AN7" i="22" a="1"/>
  <c r="AO7" i="22"/>
  <c r="AO7" i="22" a="1"/>
  <c r="AP7" i="22"/>
  <c r="AP7" i="22" a="1"/>
  <c r="AQ7" i="22"/>
  <c r="AQ7" i="22" a="1"/>
  <c r="AR7" i="22"/>
  <c r="AR7" i="22" a="1"/>
  <c r="AS7" i="22"/>
  <c r="AS7" i="22" a="1"/>
  <c r="AT7" i="22"/>
  <c r="AT7" i="22" a="1"/>
  <c r="AU7" i="22"/>
  <c r="AU7" i="22" a="1"/>
  <c r="AV7" i="22"/>
  <c r="AV7" i="22" a="1"/>
  <c r="AW7" i="22"/>
  <c r="AW7" i="22" a="1"/>
  <c r="AX7" i="22"/>
  <c r="AX7" i="22" a="1"/>
  <c r="AY7" i="22"/>
  <c r="AY7" i="22" a="1"/>
  <c r="AZ7" i="22"/>
  <c r="AZ7" i="22" a="1"/>
  <c r="BA7" i="22"/>
  <c r="BA7" i="22" a="1"/>
  <c r="BB7" i="22"/>
  <c r="BB7" i="22" a="1"/>
  <c r="BC7" i="22"/>
  <c r="BC7" i="22" a="1"/>
  <c r="BD7" i="22"/>
  <c r="BD7" i="22" a="1"/>
  <c r="BE7" i="22"/>
  <c r="BE7" i="22" a="1"/>
  <c r="BF7" i="22"/>
  <c r="BF7" i="22" a="1"/>
  <c r="BG7" i="22"/>
  <c r="BG7" i="22" a="1"/>
  <c r="BH7" i="22"/>
  <c r="BH7" i="22" a="1"/>
  <c r="BI7" i="22"/>
  <c r="BI7" i="22" a="1"/>
  <c r="BJ7" i="22"/>
  <c r="BJ7" i="22" a="1"/>
  <c r="BK7" i="22"/>
  <c r="BK7" i="22" a="1"/>
  <c r="BL7" i="22"/>
  <c r="BL7" i="22" a="1"/>
  <c r="BM7" i="22"/>
  <c r="BM7" i="22" a="1"/>
  <c r="BN7" i="22"/>
  <c r="BN7" i="22" a="1"/>
  <c r="BO7" i="22"/>
  <c r="BO7" i="22" a="1"/>
  <c r="BP7" i="22"/>
  <c r="BP7" i="22" a="1"/>
  <c r="BQ7" i="22"/>
  <c r="BQ7" i="22" a="1"/>
  <c r="BR7" i="22"/>
  <c r="BR7" i="22" a="1"/>
  <c r="K8" i="22"/>
  <c r="K8" i="22" a="1"/>
  <c r="L8" i="22"/>
  <c r="L8" i="22" a="1"/>
  <c r="M8" i="22"/>
  <c r="M8" i="22" a="1"/>
  <c r="N8" i="22"/>
  <c r="N8" i="22" a="1"/>
  <c r="O8" i="22"/>
  <c r="O8" i="22" a="1"/>
  <c r="P8" i="22"/>
  <c r="P8" i="22" a="1"/>
  <c r="Q8" i="22"/>
  <c r="Q8" i="22" a="1"/>
  <c r="R8" i="22"/>
  <c r="R8" i="22" a="1"/>
  <c r="S8" i="22"/>
  <c r="S8" i="22" a="1"/>
  <c r="T8" i="22"/>
  <c r="T8" i="22" a="1"/>
  <c r="U8" i="22"/>
  <c r="U8" i="22" a="1"/>
  <c r="V8" i="22"/>
  <c r="V8" i="22" a="1"/>
  <c r="W8" i="22"/>
  <c r="W8" i="22" a="1"/>
  <c r="X8" i="22"/>
  <c r="X8" i="22" a="1"/>
  <c r="Y8" i="22"/>
  <c r="Y8" i="22" a="1"/>
  <c r="Z8" i="22"/>
  <c r="Z8" i="22" a="1"/>
  <c r="AA8" i="22"/>
  <c r="AA8" i="22" a="1"/>
  <c r="AB8" i="22"/>
  <c r="AB8" i="22" a="1"/>
  <c r="AC8" i="22"/>
  <c r="AC8" i="22" a="1"/>
  <c r="AD8" i="22"/>
  <c r="AD8" i="22" a="1"/>
  <c r="AE8" i="22"/>
  <c r="AE8" i="22" a="1"/>
  <c r="AF8" i="22"/>
  <c r="AF8" i="22" a="1"/>
  <c r="AG8" i="22"/>
  <c r="AG8" i="22" a="1"/>
  <c r="AH8" i="22"/>
  <c r="AH8" i="22" a="1"/>
  <c r="AI8" i="22"/>
  <c r="AI8" i="22" a="1"/>
  <c r="AJ8" i="22"/>
  <c r="AJ8" i="22" a="1"/>
  <c r="AK8" i="22"/>
  <c r="AK8" i="22" a="1"/>
  <c r="AL8" i="22"/>
  <c r="AL8" i="22" a="1"/>
  <c r="AM8" i="22"/>
  <c r="AM8" i="22" a="1"/>
  <c r="AN8" i="22"/>
  <c r="AN8" i="22" a="1"/>
  <c r="AO8" i="22"/>
  <c r="AO8" i="22" a="1"/>
  <c r="AP8" i="22"/>
  <c r="AP8" i="22" a="1"/>
  <c r="AQ8" i="22"/>
  <c r="AQ8" i="22" a="1"/>
  <c r="AR8" i="22"/>
  <c r="AR8" i="22" a="1"/>
  <c r="AS8" i="22"/>
  <c r="AS8" i="22" a="1"/>
  <c r="AT8" i="22"/>
  <c r="AT8" i="22" a="1"/>
  <c r="AU8" i="22"/>
  <c r="AU8" i="22" a="1"/>
  <c r="AV8" i="22"/>
  <c r="AV8" i="22" a="1"/>
  <c r="AW8" i="22"/>
  <c r="AW8" i="22" a="1"/>
  <c r="AX8" i="22"/>
  <c r="AX8" i="22" a="1"/>
  <c r="AY8" i="22"/>
  <c r="AY8" i="22" a="1"/>
  <c r="AZ8" i="22"/>
  <c r="AZ8" i="22" a="1"/>
  <c r="BA8" i="22"/>
  <c r="BA8" i="22" a="1"/>
  <c r="BB8" i="22"/>
  <c r="BB8" i="22" a="1"/>
  <c r="BC8" i="22"/>
  <c r="BC8" i="22" a="1"/>
  <c r="BD8" i="22"/>
  <c r="BD8" i="22" a="1"/>
  <c r="BE8" i="22"/>
  <c r="BE8" i="22" a="1"/>
  <c r="BF8" i="22"/>
  <c r="BF8" i="22" a="1"/>
  <c r="BG8" i="22"/>
  <c r="BG8" i="22" a="1"/>
  <c r="BH8" i="22"/>
  <c r="BH8" i="22" a="1"/>
  <c r="BI8" i="22"/>
  <c r="BI8" i="22" a="1"/>
  <c r="BJ8" i="22"/>
  <c r="BJ8" i="22" a="1"/>
  <c r="BK8" i="22"/>
  <c r="BK8" i="22" a="1"/>
  <c r="BL8" i="22"/>
  <c r="BL8" i="22" a="1"/>
  <c r="BM8" i="22"/>
  <c r="BM8" i="22" a="1"/>
  <c r="BN8" i="22"/>
  <c r="BN8" i="22" a="1"/>
  <c r="BO8" i="22"/>
  <c r="BO8" i="22" a="1"/>
  <c r="BP8" i="22"/>
  <c r="BP8" i="22" a="1"/>
  <c r="BQ8" i="22"/>
  <c r="BQ8" i="22" a="1"/>
  <c r="BR8" i="22"/>
  <c r="BR8" i="22" a="1"/>
  <c r="K9" i="22"/>
  <c r="L9" i="22"/>
  <c r="M9" i="22"/>
  <c r="N9" i="22"/>
  <c r="O9" i="22"/>
  <c r="P9" i="22"/>
  <c r="Q9" i="22"/>
  <c r="R9" i="22"/>
  <c r="S9" i="22"/>
  <c r="T9" i="22"/>
  <c r="U9" i="22"/>
  <c r="U9" i="22" a="1"/>
  <c r="V9" i="22"/>
  <c r="V9" i="22" a="1"/>
  <c r="W9" i="22"/>
  <c r="W9" i="22" a="1"/>
  <c r="X9" i="22"/>
  <c r="X9" i="22" a="1"/>
  <c r="Y9" i="22"/>
  <c r="Y9" i="22" a="1"/>
  <c r="Z9" i="22"/>
  <c r="Z9" i="22" a="1"/>
  <c r="AA9" i="22"/>
  <c r="AA9" i="22" a="1"/>
  <c r="AB9" i="22"/>
  <c r="AB9" i="22" a="1"/>
  <c r="AC9" i="22"/>
  <c r="AC9" i="22" a="1"/>
  <c r="AD9" i="22"/>
  <c r="AD9" i="22" a="1"/>
  <c r="AE9" i="22"/>
  <c r="AF9" i="22"/>
  <c r="AG9" i="22"/>
  <c r="AH9" i="22"/>
  <c r="AI9" i="22"/>
  <c r="AJ9" i="22"/>
  <c r="AK9" i="22"/>
  <c r="AL9" i="22"/>
  <c r="AM9" i="22"/>
  <c r="AN9" i="22"/>
  <c r="AO9" i="22"/>
  <c r="AP9" i="22"/>
  <c r="AQ9" i="22"/>
  <c r="AR9" i="22"/>
  <c r="AS9" i="22"/>
  <c r="AT9" i="22"/>
  <c r="AU9" i="22"/>
  <c r="AV9" i="22"/>
  <c r="AW9" i="22"/>
  <c r="AX9" i="22"/>
  <c r="AY9" i="22"/>
  <c r="AZ9" i="22"/>
  <c r="BA9" i="22"/>
  <c r="BB9" i="22"/>
  <c r="BC9" i="22"/>
  <c r="BD9" i="22"/>
  <c r="BE9" i="22"/>
  <c r="BF9" i="22"/>
  <c r="BG9" i="22"/>
  <c r="BH9" i="22"/>
  <c r="BI9" i="22"/>
  <c r="BJ9" i="22"/>
  <c r="BK9" i="22"/>
  <c r="BL9" i="22"/>
  <c r="BM9" i="22"/>
  <c r="BN9" i="22"/>
  <c r="BO9" i="22"/>
  <c r="BP9" i="22"/>
  <c r="BQ9" i="22"/>
  <c r="BR9" i="22"/>
  <c r="BS9" i="22"/>
  <c r="BT9" i="22"/>
  <c r="BU9" i="22"/>
  <c r="BV9" i="22"/>
  <c r="BW9" i="22"/>
  <c r="BX9" i="22"/>
  <c r="BY9" i="22"/>
  <c r="BZ9" i="22"/>
  <c r="CA9" i="22"/>
  <c r="CB9" i="22"/>
  <c r="CC9" i="22"/>
  <c r="CD9" i="22"/>
  <c r="CE9" i="22"/>
  <c r="CF9" i="22"/>
  <c r="CG9" i="22"/>
  <c r="CH9" i="22"/>
  <c r="CI9" i="22"/>
  <c r="CJ9" i="22"/>
  <c r="CK9" i="22"/>
  <c r="CL9" i="22"/>
  <c r="K10" i="22"/>
  <c r="L10" i="22"/>
  <c r="M10" i="22"/>
  <c r="N10" i="22"/>
  <c r="O10" i="22"/>
  <c r="P10" i="22"/>
  <c r="Q10" i="22"/>
  <c r="R10" i="22"/>
  <c r="S10" i="22"/>
  <c r="T10" i="22"/>
  <c r="U10" i="22"/>
  <c r="U10" i="22" a="1"/>
  <c r="V10" i="22"/>
  <c r="V10" i="22" a="1"/>
  <c r="W10" i="22"/>
  <c r="W10" i="22" a="1"/>
  <c r="X10" i="22"/>
  <c r="X10" i="22" a="1"/>
  <c r="Y10" i="22"/>
  <c r="Y10" i="22" a="1"/>
  <c r="Z10" i="22"/>
  <c r="Z10" i="22" a="1"/>
  <c r="AA10" i="22"/>
  <c r="AA10" i="22" a="1"/>
  <c r="AB10" i="22"/>
  <c r="AB10" i="22" a="1"/>
  <c r="AC10" i="22"/>
  <c r="AC10" i="22" a="1"/>
  <c r="AD10" i="22"/>
  <c r="AD10" i="22" a="1"/>
  <c r="AE10" i="22"/>
  <c r="AF10" i="22"/>
  <c r="AG10" i="22"/>
  <c r="AH10" i="22"/>
  <c r="AI10" i="22"/>
  <c r="AJ10" i="22"/>
  <c r="AK10" i="22"/>
  <c r="AL10" i="22"/>
  <c r="AM10" i="22"/>
  <c r="AN10" i="22"/>
  <c r="AO10" i="22"/>
  <c r="AP10" i="22"/>
  <c r="AQ10" i="22"/>
  <c r="AR10" i="22"/>
  <c r="AS10" i="22"/>
  <c r="AT10" i="22"/>
  <c r="AU10" i="22"/>
  <c r="AV10" i="22"/>
  <c r="AW10" i="22"/>
  <c r="AX10" i="22"/>
  <c r="AY10" i="22"/>
  <c r="AZ10" i="22"/>
  <c r="BA10" i="22"/>
  <c r="BB10" i="22"/>
  <c r="BC10" i="22"/>
  <c r="BD10" i="22"/>
  <c r="BE10" i="22"/>
  <c r="BF10" i="22"/>
  <c r="BG10" i="22"/>
  <c r="BH10" i="22"/>
  <c r="BI10" i="22"/>
  <c r="BJ10" i="22"/>
  <c r="BK10" i="22"/>
  <c r="BL10" i="22"/>
  <c r="BM10" i="22"/>
  <c r="BN10" i="22"/>
  <c r="BO10" i="22"/>
  <c r="BP10" i="22"/>
  <c r="BQ10" i="22"/>
  <c r="BR10" i="22"/>
  <c r="BS10" i="22"/>
  <c r="BT10" i="22"/>
  <c r="BU10" i="22"/>
  <c r="BV10" i="22"/>
  <c r="BW10" i="22"/>
  <c r="BX10" i="22"/>
  <c r="BY10" i="22"/>
  <c r="BZ10" i="22"/>
  <c r="CA10" i="22"/>
  <c r="CB10" i="22"/>
  <c r="CC10" i="22"/>
  <c r="CD10" i="22"/>
  <c r="CE10" i="22"/>
  <c r="CF10" i="22"/>
  <c r="CG10" i="22"/>
  <c r="CH10" i="22"/>
  <c r="CI10" i="22"/>
  <c r="CJ10" i="22"/>
  <c r="CK10" i="22"/>
  <c r="CL10" i="22"/>
  <c r="K11" i="22"/>
  <c r="L11" i="22"/>
  <c r="M11" i="22"/>
  <c r="N11" i="22"/>
  <c r="O11" i="22"/>
  <c r="P11" i="22"/>
  <c r="Q11" i="22"/>
  <c r="R11" i="22"/>
  <c r="S11" i="22"/>
  <c r="T11" i="22"/>
  <c r="U11" i="22"/>
  <c r="U11" i="22" a="1"/>
  <c r="V11" i="22"/>
  <c r="V11" i="22" a="1"/>
  <c r="W11" i="22"/>
  <c r="W11" i="22" a="1"/>
  <c r="X11" i="22"/>
  <c r="X11" i="22" a="1"/>
  <c r="Y11" i="22"/>
  <c r="Y11" i="22" a="1"/>
  <c r="Z11" i="22"/>
  <c r="Z11" i="22" a="1"/>
  <c r="AA11" i="22"/>
  <c r="AA11" i="22" a="1"/>
  <c r="AB11" i="22"/>
  <c r="AB11" i="22" a="1"/>
  <c r="AC11" i="22"/>
  <c r="AC11" i="22" a="1"/>
  <c r="AD11" i="22"/>
  <c r="AD11" i="22" a="1"/>
  <c r="AE11" i="22"/>
  <c r="AF11" i="22"/>
  <c r="AG11" i="22"/>
  <c r="AH11" i="22"/>
  <c r="AI11" i="22"/>
  <c r="AJ11" i="22"/>
  <c r="AK11" i="22"/>
  <c r="AL11" i="22"/>
  <c r="AM11" i="22"/>
  <c r="AN11" i="22"/>
  <c r="AO11" i="22"/>
  <c r="AP11" i="22"/>
  <c r="AQ11" i="22"/>
  <c r="AR11" i="22"/>
  <c r="AS11" i="22"/>
  <c r="AT11" i="22"/>
  <c r="AU11" i="22"/>
  <c r="AV11" i="22"/>
  <c r="AW11" i="22"/>
  <c r="AX11" i="22"/>
  <c r="AY11" i="22"/>
  <c r="AZ11" i="22"/>
  <c r="BA11" i="22"/>
  <c r="BB11" i="22"/>
  <c r="BC11" i="22"/>
  <c r="BD11" i="22"/>
  <c r="BE11" i="22"/>
  <c r="BF11" i="22"/>
  <c r="BG11" i="22"/>
  <c r="BH11" i="22"/>
  <c r="BI11" i="22"/>
  <c r="BJ11" i="22"/>
  <c r="BK11" i="22"/>
  <c r="BL11" i="22"/>
  <c r="BM11" i="22"/>
  <c r="BN11" i="22"/>
  <c r="BO11" i="22"/>
  <c r="BP11" i="22"/>
  <c r="BQ11" i="22"/>
  <c r="BR11" i="22"/>
  <c r="BS11" i="22"/>
  <c r="BT11" i="22"/>
  <c r="BU11" i="22"/>
  <c r="BV11" i="22"/>
  <c r="BW11" i="22"/>
  <c r="BX11" i="22"/>
  <c r="BY11" i="22"/>
  <c r="BZ11" i="22"/>
  <c r="CA11" i="22"/>
  <c r="CB11" i="22"/>
  <c r="CC11" i="22"/>
  <c r="CD11" i="22"/>
  <c r="CE11" i="22"/>
  <c r="CF11" i="22"/>
  <c r="CG11" i="22"/>
  <c r="CH11" i="22"/>
  <c r="CI11" i="22"/>
  <c r="CJ11" i="22"/>
  <c r="CK11" i="22"/>
  <c r="CL11" i="22"/>
  <c r="K12" i="22"/>
  <c r="L12" i="22"/>
  <c r="M12" i="22"/>
  <c r="N12" i="22"/>
  <c r="O12" i="22"/>
  <c r="P12" i="22"/>
  <c r="Q12" i="22"/>
  <c r="R12" i="22"/>
  <c r="S12" i="22"/>
  <c r="T12" i="22"/>
  <c r="U12" i="22"/>
  <c r="U12" i="22" a="1"/>
  <c r="V12" i="22"/>
  <c r="V12" i="22" a="1"/>
  <c r="W12" i="22"/>
  <c r="W12" i="22" a="1"/>
  <c r="X12" i="22"/>
  <c r="X12" i="22" a="1"/>
  <c r="Y12" i="22"/>
  <c r="Y12" i="22" a="1"/>
  <c r="Z12" i="22"/>
  <c r="Z12" i="22" a="1"/>
  <c r="AA12" i="22"/>
  <c r="AA12" i="22" a="1"/>
  <c r="AB12" i="22"/>
  <c r="AB12" i="22" a="1"/>
  <c r="AC12" i="22"/>
  <c r="AC12" i="22" a="1"/>
  <c r="AD12" i="22"/>
  <c r="AD12" i="22" a="1"/>
  <c r="AE12" i="22"/>
  <c r="AF12" i="22"/>
  <c r="AG12" i="22"/>
  <c r="AH12" i="22"/>
  <c r="AI12" i="22"/>
  <c r="AJ12" i="22"/>
  <c r="AK12" i="22"/>
  <c r="AL12" i="22"/>
  <c r="AM12" i="22"/>
  <c r="AN12" i="22"/>
  <c r="AO12" i="22"/>
  <c r="AP12" i="22"/>
  <c r="AQ12" i="22"/>
  <c r="AR12" i="22"/>
  <c r="AS12" i="22"/>
  <c r="AT12" i="22"/>
  <c r="AU12" i="22"/>
  <c r="AV12" i="22"/>
  <c r="AW12" i="22"/>
  <c r="AX12" i="22"/>
  <c r="AY12" i="22"/>
  <c r="AZ12" i="22"/>
  <c r="BA12" i="22"/>
  <c r="BB12" i="22"/>
  <c r="BC12" i="22"/>
  <c r="BD12" i="22"/>
  <c r="BE12" i="22"/>
  <c r="BF12" i="22"/>
  <c r="BG12" i="22"/>
  <c r="BH12" i="22"/>
  <c r="BI12" i="22"/>
  <c r="BJ12" i="22"/>
  <c r="BK12" i="22"/>
  <c r="BL12" i="22"/>
  <c r="BM12" i="22"/>
  <c r="BN12" i="22"/>
  <c r="BO12" i="22"/>
  <c r="BP12" i="22"/>
  <c r="BQ12" i="22"/>
  <c r="BR12" i="22"/>
  <c r="BS12" i="22"/>
  <c r="BT12" i="22"/>
  <c r="BU12" i="22"/>
  <c r="BV12" i="22"/>
  <c r="BW12" i="22"/>
  <c r="BX12" i="22"/>
  <c r="BY12" i="22"/>
  <c r="BZ12" i="22"/>
  <c r="CA12" i="22"/>
  <c r="CB12" i="22"/>
  <c r="CC12" i="22"/>
  <c r="CD12" i="22"/>
  <c r="CE12" i="22"/>
  <c r="CF12" i="22"/>
  <c r="CG12" i="22"/>
  <c r="CH12" i="22"/>
  <c r="CI12" i="22"/>
  <c r="CJ12" i="22"/>
  <c r="CK12" i="22"/>
  <c r="CL12" i="22"/>
  <c r="K13" i="22"/>
  <c r="L13" i="22"/>
  <c r="M13" i="22"/>
  <c r="N13" i="22"/>
  <c r="O13" i="22"/>
  <c r="P13" i="22"/>
  <c r="Q13" i="22"/>
  <c r="R13" i="22"/>
  <c r="S13" i="22"/>
  <c r="T13" i="22"/>
  <c r="U13" i="22"/>
  <c r="U13" i="22" a="1"/>
  <c r="V13" i="22"/>
  <c r="V13" i="22" a="1"/>
  <c r="W13" i="22"/>
  <c r="W13" i="22" a="1"/>
  <c r="X13" i="22"/>
  <c r="X13" i="22" a="1"/>
  <c r="Y13" i="22"/>
  <c r="Y13" i="22" a="1"/>
  <c r="Z13" i="22"/>
  <c r="Z13" i="22" a="1"/>
  <c r="AA13" i="22"/>
  <c r="AA13" i="22" a="1"/>
  <c r="AB13" i="22"/>
  <c r="AB13" i="22" a="1"/>
  <c r="AC13" i="22"/>
  <c r="AC13" i="22" a="1"/>
  <c r="AD13" i="22"/>
  <c r="AD13" i="22" a="1"/>
  <c r="AE13" i="22"/>
  <c r="AF13" i="22"/>
  <c r="AG13" i="22"/>
  <c r="AH13" i="22"/>
  <c r="AI13" i="22"/>
  <c r="AJ13" i="22"/>
  <c r="AK13" i="22"/>
  <c r="AL13" i="22"/>
  <c r="AM13" i="22"/>
  <c r="AN13" i="22"/>
  <c r="AO13" i="22"/>
  <c r="AP13" i="22"/>
  <c r="AQ13" i="22"/>
  <c r="AR13" i="22"/>
  <c r="AS13" i="22"/>
  <c r="AT13" i="22"/>
  <c r="AU13" i="22"/>
  <c r="AV13" i="22"/>
  <c r="AW13" i="22"/>
  <c r="AX13" i="22"/>
  <c r="AY13" i="22"/>
  <c r="AZ13" i="22"/>
  <c r="BA13" i="22"/>
  <c r="BB13" i="22"/>
  <c r="BC13" i="22"/>
  <c r="BD13" i="22"/>
  <c r="BE13" i="22"/>
  <c r="BF13" i="22"/>
  <c r="BG13" i="22"/>
  <c r="BH13" i="22"/>
  <c r="BI13" i="22"/>
  <c r="BJ13" i="22"/>
  <c r="BK13" i="22"/>
  <c r="BL13" i="22"/>
  <c r="BM13" i="22"/>
  <c r="BN13" i="22"/>
  <c r="BO13" i="22"/>
  <c r="BP13" i="22"/>
  <c r="BQ13" i="22"/>
  <c r="BR13" i="22"/>
  <c r="B14" i="22"/>
  <c r="C14" i="22"/>
  <c r="D14" i="22"/>
  <c r="E14" i="22"/>
  <c r="K14" i="22"/>
  <c r="L14" i="22"/>
  <c r="M14" i="22"/>
  <c r="N14" i="22"/>
  <c r="O14" i="22"/>
  <c r="P14" i="22"/>
  <c r="Q14" i="22"/>
  <c r="R14" i="22"/>
  <c r="S14" i="22"/>
  <c r="T14" i="22"/>
  <c r="U14" i="22"/>
  <c r="U14" i="22" a="1"/>
  <c r="V14" i="22"/>
  <c r="V14" i="22" a="1"/>
  <c r="W14" i="22"/>
  <c r="W14" i="22" a="1"/>
  <c r="X14" i="22"/>
  <c r="X14" i="22" a="1"/>
  <c r="Y14" i="22"/>
  <c r="Y14" i="22" a="1"/>
  <c r="Z14" i="22"/>
  <c r="Z14" i="22" a="1"/>
  <c r="AA14" i="22"/>
  <c r="AA14" i="22" a="1"/>
  <c r="AB14" i="22"/>
  <c r="AB14" i="22" a="1"/>
  <c r="AC14" i="22"/>
  <c r="AC14" i="22" a="1"/>
  <c r="AD14" i="22"/>
  <c r="AD14" i="22" a="1"/>
  <c r="AE14" i="22"/>
  <c r="AF14" i="22"/>
  <c r="AG14" i="22"/>
  <c r="AH14" i="22"/>
  <c r="AI14" i="22"/>
  <c r="AJ14" i="22"/>
  <c r="AK14" i="22"/>
  <c r="AL14" i="22"/>
  <c r="AM14" i="22"/>
  <c r="AN14" i="22"/>
  <c r="AO14" i="22"/>
  <c r="AP14" i="22"/>
  <c r="AQ14" i="22"/>
  <c r="AR14" i="22"/>
  <c r="AS14" i="22"/>
  <c r="AT14" i="22"/>
  <c r="AU14" i="22"/>
  <c r="AV14" i="22"/>
  <c r="AW14" i="22"/>
  <c r="AX14" i="22"/>
  <c r="B15" i="22"/>
  <c r="C15" i="22"/>
  <c r="D15" i="22"/>
  <c r="E15" i="22"/>
  <c r="K15" i="22"/>
  <c r="L15" i="22"/>
  <c r="M15" i="22"/>
  <c r="N15" i="22"/>
  <c r="O15" i="22"/>
  <c r="P15" i="22"/>
  <c r="Q15" i="22"/>
  <c r="R15" i="22"/>
  <c r="S15" i="22"/>
  <c r="T15" i="22"/>
  <c r="U15" i="22"/>
  <c r="U15" i="22" a="1"/>
  <c r="V15" i="22"/>
  <c r="V15" i="22" a="1"/>
  <c r="W15" i="22"/>
  <c r="W15" i="22" a="1"/>
  <c r="X15" i="22"/>
  <c r="X15" i="22" a="1"/>
  <c r="Y15" i="22"/>
  <c r="Y15" i="22" a="1"/>
  <c r="Z15" i="22"/>
  <c r="Z15" i="22" a="1"/>
  <c r="AA15" i="22"/>
  <c r="AA15" i="22" a="1"/>
  <c r="AB15" i="22"/>
  <c r="AB15" i="22" a="1"/>
  <c r="AC15" i="22"/>
  <c r="AC15" i="22" a="1"/>
  <c r="AD15" i="22"/>
  <c r="AD15" i="22" a="1"/>
  <c r="B16" i="22"/>
  <c r="C16" i="22"/>
  <c r="D16" i="22"/>
  <c r="E16" i="22"/>
  <c r="B17" i="22"/>
  <c r="C17" i="22"/>
  <c r="D17" i="22"/>
  <c r="E17" i="22"/>
  <c r="B21" i="22"/>
  <c r="B21" i="22" a="1"/>
</calcChain>
</file>

<file path=xl/sharedStrings.xml><?xml version="1.0" encoding="utf-8"?>
<sst xmlns="http://schemas.openxmlformats.org/spreadsheetml/2006/main" count="1623" uniqueCount="226">
  <si>
    <t>D-CLEAVAGE</t>
  </si>
  <si>
    <t>FORMATION</t>
  </si>
  <si>
    <t>STRIKE</t>
  </si>
  <si>
    <t>DIP</t>
  </si>
  <si>
    <t>Angel</t>
  </si>
  <si>
    <t xml:space="preserve">Angel </t>
  </si>
  <si>
    <t>Butte</t>
  </si>
  <si>
    <t>Coyote</t>
  </si>
  <si>
    <t>P-CLEAVAGE</t>
  </si>
  <si>
    <t>CLASS INT</t>
  </si>
  <si>
    <t>FREQUENCY</t>
  </si>
  <si>
    <t>REL %</t>
  </si>
  <si>
    <t>REE Graph</t>
  </si>
  <si>
    <t>Sample</t>
  </si>
  <si>
    <t>La</t>
  </si>
  <si>
    <t>Ce</t>
  </si>
  <si>
    <t>Pr</t>
  </si>
  <si>
    <t>Nd</t>
  </si>
  <si>
    <t>Sm</t>
  </si>
  <si>
    <t>Eu</t>
  </si>
  <si>
    <t>Gd</t>
  </si>
  <si>
    <t>Dy</t>
  </si>
  <si>
    <t>Ho</t>
  </si>
  <si>
    <t>Er</t>
  </si>
  <si>
    <t>Yb</t>
  </si>
  <si>
    <t>SpV01</t>
  </si>
  <si>
    <t>SpV02</t>
  </si>
  <si>
    <t>D-PERMEABILITY</t>
  </si>
  <si>
    <t>TIME (sec)</t>
  </si>
  <si>
    <t xml:space="preserve">  Y (cm)</t>
  </si>
  <si>
    <t>HOLE DIAM</t>
  </si>
  <si>
    <t>HOLE DEPTH</t>
  </si>
  <si>
    <t>WATER TABLE</t>
  </si>
  <si>
    <t>PERMEABILITY</t>
  </si>
  <si>
    <t xml:space="preserve"> COEFFICIENT</t>
  </si>
  <si>
    <t>HOOGHOUDT</t>
  </si>
  <si>
    <t xml:space="preserve"> </t>
  </si>
  <si>
    <t>m/sec</t>
  </si>
  <si>
    <t>ERNST</t>
  </si>
  <si>
    <t>P-PERMEABILITY</t>
  </si>
  <si>
    <t>D-PALAEOCURRENT</t>
  </si>
  <si>
    <t>PALDIR</t>
  </si>
  <si>
    <t>SECTOR</t>
  </si>
  <si>
    <t>FREQ</t>
  </si>
  <si>
    <t>PROP</t>
  </si>
  <si>
    <t>PERC</t>
  </si>
  <si>
    <t>%(SIN)</t>
  </si>
  <si>
    <t>%(COS)</t>
  </si>
  <si>
    <t>VMT</t>
  </si>
  <si>
    <t>RANGE</t>
  </si>
  <si>
    <t>VMEAN</t>
  </si>
  <si>
    <t>VMAG</t>
  </si>
  <si>
    <t>OPRANGE</t>
  </si>
  <si>
    <t>SINVAL</t>
  </si>
  <si>
    <t>P-PALAEOCURRENT</t>
  </si>
  <si>
    <t>D-UNTILT</t>
  </si>
  <si>
    <t>STRIKE YB</t>
  </si>
  <si>
    <t>STRIKE ROB</t>
  </si>
  <si>
    <t>DIP YB</t>
  </si>
  <si>
    <t>DIP ROB</t>
  </si>
  <si>
    <t>STRIKE OB</t>
  </si>
  <si>
    <t>DIP DIR ROB</t>
  </si>
  <si>
    <t>DIP OB</t>
  </si>
  <si>
    <t>STRIKE RJN</t>
  </si>
  <si>
    <t>STRIKE JN</t>
  </si>
  <si>
    <t>DIP RJN</t>
  </si>
  <si>
    <t>DIP JN</t>
  </si>
  <si>
    <t>DIP DIR RJN</t>
  </si>
  <si>
    <t>STRIKE CV</t>
  </si>
  <si>
    <t>STRIKE RCV</t>
  </si>
  <si>
    <t>DIP CV</t>
  </si>
  <si>
    <t>DIP RCV</t>
  </si>
  <si>
    <t>DIP DIR RCV</t>
  </si>
  <si>
    <t>P-UNTILT</t>
  </si>
  <si>
    <t>APY</t>
  </si>
  <si>
    <t>APX</t>
  </si>
  <si>
    <t>DIFFS</t>
  </si>
  <si>
    <t>COSDIP</t>
  </si>
  <si>
    <t>XYZ</t>
  </si>
  <si>
    <t>RDA1</t>
  </si>
  <si>
    <t>RDA2</t>
  </si>
  <si>
    <t>RDA3</t>
  </si>
  <si>
    <t>RDA4</t>
  </si>
  <si>
    <t>RDA5</t>
  </si>
  <si>
    <t>RDA6</t>
  </si>
  <si>
    <t>RDA7</t>
  </si>
  <si>
    <t>RDA8</t>
  </si>
  <si>
    <t>D-PEBBLES</t>
  </si>
  <si>
    <t>STATION</t>
  </si>
  <si>
    <t>% QUARTZ</t>
  </si>
  <si>
    <t>MEAN DIAM.</t>
  </si>
  <si>
    <t>P-PEBBLES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</si>
  <si>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</si>
  <si>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</si>
  <si>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</si>
  <si>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</si>
  <si>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</si>
  <si>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</si>
  <si>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</si>
  <si>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MEAN</t>
  </si>
  <si>
    <t>STD</t>
  </si>
  <si>
    <t>VARIANCE</t>
  </si>
  <si>
    <t>n</t>
  </si>
  <si>
    <t>DISTANCE</t>
  </si>
  <si>
    <t>%QUARTZ</t>
  </si>
  <si>
    <t>MEAN SIZE</t>
  </si>
  <si>
    <t>r</t>
  </si>
  <si>
    <t>D-ANOVA</t>
  </si>
  <si>
    <t>n1</t>
  </si>
  <si>
    <t>Group 1</t>
  </si>
  <si>
    <t>Group 2</t>
  </si>
  <si>
    <t>Group 3</t>
  </si>
  <si>
    <t>Group 4</t>
  </si>
  <si>
    <t>n2</t>
  </si>
  <si>
    <t xml:space="preserve">       X</t>
  </si>
  <si>
    <t>n3</t>
  </si>
  <si>
    <t>n4</t>
  </si>
  <si>
    <t>N</t>
  </si>
  <si>
    <t>g</t>
  </si>
  <si>
    <t>Sum XT</t>
  </si>
  <si>
    <t>Sum XT²</t>
  </si>
  <si>
    <t>TSS</t>
  </si>
  <si>
    <t>BGSS</t>
  </si>
  <si>
    <t>WGSS</t>
  </si>
  <si>
    <t>D.F.1</t>
  </si>
  <si>
    <t>D.F.2</t>
  </si>
  <si>
    <t>P-ANOVA</t>
  </si>
  <si>
    <t>Anova: Single Factor</t>
  </si>
  <si>
    <t>SUMMARY</t>
  </si>
  <si>
    <t>Groups</t>
  </si>
  <si>
    <t>Count</t>
  </si>
  <si>
    <t>Sum</t>
  </si>
  <si>
    <t>Average</t>
  </si>
  <si>
    <t>Variance</t>
  </si>
  <si>
    <t>Column 1</t>
  </si>
  <si>
    <t>Column 2</t>
  </si>
  <si>
    <t>Column 3</t>
  </si>
  <si>
    <t>Column 4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</si>
  <si>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</si>
  <si>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</si>
  <si>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</si>
  <si>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</si>
  <si>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</si>
  <si>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</si>
  <si>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</si>
  <si>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</si>
  <si>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</si>
  <si>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</si>
  <si>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Total</t>
  </si>
  <si>
    <t>D-CHI-SQUARE</t>
  </si>
  <si>
    <t>OBSERVED</t>
  </si>
  <si>
    <t>FREQUENCIES</t>
  </si>
  <si>
    <t>SANDSTONE</t>
  </si>
  <si>
    <t xml:space="preserve"> SILTSTONE</t>
  </si>
  <si>
    <t xml:space="preserve">  MUDSTONE</t>
  </si>
  <si>
    <t>ROW TOTALS</t>
  </si>
  <si>
    <t>BRACHIOPOD</t>
  </si>
  <si>
    <t>PELECYPOD</t>
  </si>
  <si>
    <t>GASTROPOD</t>
  </si>
  <si>
    <t>COLUMN TOTALS</t>
  </si>
  <si>
    <t>REL. FREQUENCY</t>
  </si>
  <si>
    <t>P-CHI-SQUARE</t>
  </si>
  <si>
    <t>SILTSTONE</t>
  </si>
  <si>
    <t>MUDSTONE</t>
  </si>
  <si>
    <t>PREDICTED</t>
  </si>
  <si>
    <t xml:space="preserve">CHI-SQUARE </t>
  </si>
  <si>
    <t>MATRIX</t>
  </si>
  <si>
    <t>BRACHIPOD</t>
  </si>
  <si>
    <t>CHI-SQUARE</t>
  </si>
  <si>
    <t>D.F.</t>
  </si>
  <si>
    <t>P. RANDOM</t>
  </si>
  <si>
    <t>D-GEOSTATISTICS</t>
  </si>
  <si>
    <t>INPUT VALUES</t>
  </si>
  <si>
    <t>WORK AREA</t>
  </si>
  <si>
    <t>T*</t>
  </si>
  <si>
    <t>F(l, )</t>
  </si>
  <si>
    <t>S</t>
  </si>
  <si>
    <t>F( ,b)</t>
  </si>
  <si>
    <t>l</t>
  </si>
  <si>
    <t>X1(l, )</t>
  </si>
  <si>
    <t>b</t>
  </si>
  <si>
    <t>X1( ,b)</t>
  </si>
  <si>
    <t>d</t>
  </si>
  <si>
    <t>X2(l, )</t>
  </si>
  <si>
    <t>C</t>
  </si>
  <si>
    <t>X2( ,b)</t>
  </si>
  <si>
    <t>a</t>
  </si>
  <si>
    <t>FrX1</t>
  </si>
  <si>
    <t>INPUT FROM TABLES</t>
  </si>
  <si>
    <t>FrX2</t>
  </si>
  <si>
    <t>F-VALUE</t>
  </si>
  <si>
    <t>Y(A,A)</t>
  </si>
  <si>
    <t>X1-VALUE</t>
  </si>
  <si>
    <t>Y(S,S)</t>
  </si>
  <si>
    <t>X2-VALUE</t>
  </si>
  <si>
    <t>Y(S,A)</t>
  </si>
  <si>
    <t>ESTDx2</t>
  </si>
  <si>
    <t>P-GEOSTATISTICS</t>
  </si>
  <si>
    <t>D-FINANCE</t>
  </si>
  <si>
    <t xml:space="preserve">      </t>
  </si>
  <si>
    <t>PROJECT 1</t>
  </si>
  <si>
    <t>PROJECT 2</t>
  </si>
  <si>
    <t>YEAR</t>
  </si>
  <si>
    <t>CASH FLOW</t>
  </si>
  <si>
    <t>DCF</t>
  </si>
  <si>
    <t>NPV</t>
  </si>
  <si>
    <t>RCF</t>
  </si>
  <si>
    <t>GROR 8%</t>
  </si>
  <si>
    <t>GROR 15%</t>
  </si>
  <si>
    <t>IRR 8%</t>
  </si>
  <si>
    <t>P-FINANCE</t>
  </si>
  <si>
    <t>GROR 12%</t>
  </si>
  <si>
    <t>D-VARIOGRAM</t>
  </si>
  <si>
    <t xml:space="preserve">  E-W</t>
  </si>
  <si>
    <t>Theoret</t>
  </si>
  <si>
    <t xml:space="preserve">    h</t>
  </si>
  <si>
    <t>Y*(h)</t>
  </si>
  <si>
    <t xml:space="preserve"> Y(h)</t>
  </si>
  <si>
    <t xml:space="preserve">   a</t>
  </si>
  <si>
    <t xml:space="preserve">   C</t>
  </si>
  <si>
    <t>P-VARIOGRAM</t>
  </si>
  <si>
    <t>E-W</t>
  </si>
  <si>
    <t>N-S</t>
  </si>
  <si>
    <t>Mean</t>
  </si>
  <si>
    <t>h</t>
  </si>
  <si>
    <t>Y(h)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</si>
</sst>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88" formatCode="0.0000"/>
    <numFmt numFmtId="189" formatCode="0.000"/>
    <numFmt numFmtId="190" formatCode="0.0"/>
    <numFmt numFmtId="194" formatCode="0.000000"/>
  </numFmts>
  <fonts count="8" x14ac:knownFonts="1">
    <font>
      <sz val="10"/>
      <name val="Arial"/>
    </font>
    <font>
      <i/>
      <sz val="10"/>
      <name val="Arial"/>
    </font>
    <font>
      <sz val="10"/>
      <name val="Courier"/>
    </font>
    <font>
      <i/>
      <sz val="10"/>
      <name val="Courier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MS Sans Serif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1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82">
    <xf numFmtId="0" fontId="0" fillId="0" borderId="0" xfId="0"/>
    <xf numFmtId="0" fontId="2" fillId="0" borderId="0" xfId="3"/>
    <xf numFmtId="0" fontId="2" fillId="0" borderId="0" xfId="3" applyProtection="1"/>
    <xf numFmtId="0" fontId="2" fillId="0" borderId="0" xfId="13"/>
    <xf numFmtId="0" fontId="2" fillId="0" borderId="0" xfId="13" applyProtection="1"/>
    <xf numFmtId="0" fontId="2" fillId="0" borderId="0" xfId="8"/>
    <xf numFmtId="0" fontId="2" fillId="0" borderId="0" xfId="18"/>
    <xf numFmtId="0" fontId="2" fillId="0" borderId="0" xfId="6"/>
    <xf numFmtId="0" fontId="2" fillId="0" borderId="0" xfId="16"/>
    <xf numFmtId="0" fontId="2" fillId="0" borderId="0" xfId="9"/>
    <xf numFmtId="0" fontId="2" fillId="0" borderId="0" xfId="19"/>
    <xf numFmtId="0" fontId="2" fillId="0" borderId="0" xfId="7"/>
    <xf numFmtId="0" fontId="2" fillId="0" borderId="0" xfId="17"/>
    <xf numFmtId="0" fontId="2" fillId="0" borderId="0" xfId="1"/>
    <xf numFmtId="0" fontId="2" fillId="0" borderId="0" xfId="1" applyProtection="1"/>
    <xf numFmtId="0" fontId="2" fillId="0" borderId="0" xfId="11"/>
    <xf numFmtId="0" fontId="2" fillId="0" borderId="0" xfId="11" applyProtection="1"/>
    <xf numFmtId="0" fontId="3" fillId="0" borderId="1" xfId="11" applyFont="1" applyFill="1" applyBorder="1" applyAlignment="1">
      <alignment horizontal="center"/>
    </xf>
    <xf numFmtId="0" fontId="2" fillId="0" borderId="0" xfId="11" applyFill="1" applyBorder="1" applyAlignment="1"/>
    <xf numFmtId="0" fontId="2" fillId="0" borderId="2" xfId="11" applyFill="1" applyBorder="1" applyAlignment="1"/>
    <xf numFmtId="0" fontId="2" fillId="0" borderId="0" xfId="2"/>
    <xf numFmtId="0" fontId="2" fillId="0" borderId="0" xfId="2" applyProtection="1"/>
    <xf numFmtId="0" fontId="2" fillId="0" borderId="0" xfId="12"/>
    <xf numFmtId="0" fontId="2" fillId="0" borderId="0" xfId="12" applyProtection="1"/>
    <xf numFmtId="0" fontId="2" fillId="0" borderId="0" xfId="5"/>
    <xf numFmtId="0" fontId="2" fillId="0" borderId="0" xfId="15"/>
    <xf numFmtId="0" fontId="2" fillId="0" borderId="0" xfId="4"/>
    <xf numFmtId="0" fontId="2" fillId="0" borderId="0" xfId="4" applyProtection="1"/>
    <xf numFmtId="0" fontId="2" fillId="0" borderId="0" xfId="14"/>
    <xf numFmtId="0" fontId="2" fillId="0" borderId="0" xfId="14" applyProtection="1"/>
    <xf numFmtId="0" fontId="2" fillId="0" borderId="0" xfId="10"/>
    <xf numFmtId="0" fontId="2" fillId="0" borderId="0" xfId="20"/>
    <xf numFmtId="0" fontId="2" fillId="0" borderId="0" xfId="3" applyFont="1"/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1" xfId="0" applyFont="1" applyFill="1" applyBorder="1" applyAlignment="1">
      <alignment horizontal="centerContinuous"/>
    </xf>
    <xf numFmtId="0" fontId="0" fillId="0" borderId="0" xfId="0" applyBorder="1"/>
    <xf numFmtId="0" fontId="1" fillId="0" borderId="0" xfId="0" applyFont="1" applyFill="1" applyBorder="1" applyAlignment="1">
      <alignment horizontal="center"/>
    </xf>
    <xf numFmtId="1" fontId="2" fillId="0" borderId="0" xfId="14" applyNumberFormat="1" applyProtection="1"/>
    <xf numFmtId="0" fontId="2" fillId="0" borderId="0" xfId="14" quotePrefix="1" applyFont="1" applyAlignment="1" applyProtection="1">
      <alignment horizontal="left"/>
    </xf>
    <xf numFmtId="1" fontId="2" fillId="0" borderId="0" xfId="4" applyNumberFormat="1" applyProtection="1"/>
    <xf numFmtId="0" fontId="2" fillId="0" borderId="0" xfId="4" quotePrefix="1" applyFont="1" applyAlignment="1" applyProtection="1">
      <alignment horizontal="left"/>
    </xf>
    <xf numFmtId="188" fontId="2" fillId="0" borderId="0" xfId="20" applyNumberFormat="1"/>
    <xf numFmtId="0" fontId="2" fillId="0" borderId="0" xfId="20" quotePrefix="1" applyFont="1" applyAlignment="1">
      <alignment horizontal="center"/>
    </xf>
    <xf numFmtId="0" fontId="2" fillId="0" borderId="0" xfId="20" applyAlignment="1">
      <alignment horizontal="center"/>
    </xf>
    <xf numFmtId="189" fontId="2" fillId="0" borderId="0" xfId="20" applyNumberFormat="1"/>
    <xf numFmtId="0" fontId="4" fillId="0" borderId="0" xfId="0" applyNumberFormat="1" applyFont="1" applyFill="1" applyBorder="1" applyAlignment="1" applyProtection="1">
      <alignment horizontal="center"/>
      <protection locked="0"/>
    </xf>
    <xf numFmtId="0" fontId="5" fillId="0" borderId="0" xfId="0" applyNumberFormat="1" applyFont="1" applyFill="1" applyBorder="1" applyAlignment="1" applyProtection="1"/>
    <xf numFmtId="0" fontId="6" fillId="0" borderId="0" xfId="0" quotePrefix="1" applyNumberFormat="1" applyFont="1" applyFill="1" applyBorder="1" applyAlignment="1" applyProtection="1">
      <alignment horizontal="left" vertical="top" wrapText="1"/>
      <protection locked="0"/>
    </xf>
    <xf numFmtId="0" fontId="7" fillId="0" borderId="0" xfId="0" applyNumberFormat="1" applyFont="1" applyFill="1" applyBorder="1" applyAlignment="1" applyProtection="1"/>
    <xf numFmtId="0" fontId="7" fillId="0" borderId="0" xfId="0" applyFont="1"/>
    <xf numFmtId="0" fontId="4" fillId="0" borderId="0" xfId="0" quotePrefix="1" applyNumberFormat="1" applyFont="1" applyFill="1" applyBorder="1" applyAlignment="1" applyProtection="1">
      <alignment horizontal="left"/>
      <protection locked="0"/>
    </xf>
    <xf numFmtId="190" fontId="7" fillId="0" borderId="0" xfId="0" applyNumberFormat="1" applyFont="1" applyFill="1" applyBorder="1" applyAlignment="1" applyProtection="1"/>
    <xf numFmtId="0" fontId="7" fillId="0" borderId="0" xfId="0" quotePrefix="1" applyFont="1" applyAlignment="1">
      <alignment horizontal="left"/>
    </xf>
    <xf numFmtId="2" fontId="2" fillId="0" borderId="0" xfId="16" applyNumberFormat="1"/>
    <xf numFmtId="0" fontId="2" fillId="0" borderId="0" xfId="13" applyAlignment="1" applyProtection="1">
      <alignment horizontal="center"/>
    </xf>
    <xf numFmtId="0" fontId="2" fillId="0" borderId="0" xfId="13" applyAlignment="1">
      <alignment horizontal="center"/>
    </xf>
    <xf numFmtId="0" fontId="2" fillId="0" borderId="0" xfId="13" applyFont="1" applyAlignment="1" applyProtection="1">
      <alignment horizontal="center"/>
    </xf>
    <xf numFmtId="0" fontId="2" fillId="0" borderId="0" xfId="13" quotePrefix="1" applyFont="1" applyAlignment="1" applyProtection="1">
      <alignment horizontal="center"/>
    </xf>
    <xf numFmtId="0" fontId="2" fillId="0" borderId="0" xfId="13" quotePrefix="1" applyFont="1" applyAlignment="1">
      <alignment horizontal="center"/>
    </xf>
    <xf numFmtId="0" fontId="2" fillId="0" borderId="0" xfId="3" applyAlignment="1" applyProtection="1">
      <alignment horizontal="center"/>
    </xf>
    <xf numFmtId="0" fontId="2" fillId="0" borderId="0" xfId="3" quotePrefix="1" applyFont="1" applyAlignment="1" applyProtection="1">
      <alignment horizontal="center"/>
    </xf>
    <xf numFmtId="0" fontId="2" fillId="0" borderId="0" xfId="8" quotePrefix="1" applyFont="1" applyAlignment="1">
      <alignment horizontal="left"/>
    </xf>
    <xf numFmtId="0" fontId="2" fillId="0" borderId="0" xfId="8" applyAlignment="1">
      <alignment horizontal="centerContinuous"/>
    </xf>
    <xf numFmtId="0" fontId="0" fillId="0" borderId="0" xfId="0" applyAlignment="1">
      <alignment horizontal="centerContinuous"/>
    </xf>
    <xf numFmtId="0" fontId="2" fillId="0" borderId="0" xfId="18" applyAlignment="1">
      <alignment horizontal="centerContinuous"/>
    </xf>
    <xf numFmtId="0" fontId="2" fillId="0" borderId="0" xfId="6" applyAlignment="1">
      <alignment horizontal="center"/>
    </xf>
    <xf numFmtId="0" fontId="2" fillId="0" borderId="0" xfId="6" applyAlignment="1">
      <alignment horizontal="left"/>
    </xf>
    <xf numFmtId="190" fontId="2" fillId="0" borderId="0" xfId="6" applyNumberFormat="1"/>
    <xf numFmtId="0" fontId="2" fillId="0" borderId="0" xfId="16" applyAlignment="1">
      <alignment horizontal="center"/>
    </xf>
    <xf numFmtId="190" fontId="2" fillId="0" borderId="0" xfId="16" applyNumberFormat="1"/>
    <xf numFmtId="0" fontId="2" fillId="0" borderId="0" xfId="19" applyAlignment="1">
      <alignment horizontal="center"/>
    </xf>
    <xf numFmtId="188" fontId="2" fillId="0" borderId="0" xfId="19" applyNumberFormat="1"/>
    <xf numFmtId="0" fontId="2" fillId="0" borderId="0" xfId="17" quotePrefix="1" applyFont="1" applyAlignment="1">
      <alignment horizontal="left"/>
    </xf>
    <xf numFmtId="194" fontId="2" fillId="0" borderId="0" xfId="17" applyNumberFormat="1"/>
    <xf numFmtId="0" fontId="2" fillId="0" borderId="0" xfId="2" applyAlignment="1" applyProtection="1">
      <alignment horizontal="center"/>
    </xf>
    <xf numFmtId="0" fontId="2" fillId="0" borderId="0" xfId="12" applyAlignment="1" applyProtection="1">
      <alignment horizontal="center"/>
    </xf>
    <xf numFmtId="0" fontId="2" fillId="0" borderId="0" xfId="12" quotePrefix="1" applyFont="1" applyAlignment="1" applyProtection="1">
      <alignment horizontal="center"/>
    </xf>
    <xf numFmtId="0" fontId="2" fillId="0" borderId="0" xfId="4" quotePrefix="1" applyFont="1" applyAlignment="1" applyProtection="1">
      <alignment horizontal="center"/>
    </xf>
    <xf numFmtId="0" fontId="2" fillId="0" borderId="0" xfId="4" applyAlignment="1" applyProtection="1">
      <alignment horizontal="center"/>
    </xf>
    <xf numFmtId="0" fontId="2" fillId="0" borderId="0" xfId="19" quotePrefix="1" applyFont="1" applyAlignment="1"/>
    <xf numFmtId="0" fontId="2" fillId="0" borderId="0" xfId="16" applyAlignment="1">
      <alignment horizontal="left"/>
    </xf>
  </cellXfs>
  <cellStyles count="21">
    <cellStyle name="Normal" xfId="0" builtinId="0"/>
    <cellStyle name="Normal_D-Anova" xfId="1"/>
    <cellStyle name="Normal_D-Chi-square" xfId="2"/>
    <cellStyle name="Normal_D-Cleavage" xfId="3"/>
    <cellStyle name="Normal_D-Finance" xfId="4"/>
    <cellStyle name="Normal_D-Geostatistics" xfId="5"/>
    <cellStyle name="Normal_D-Palaeocurrent" xfId="6"/>
    <cellStyle name="Normal_D-Pebbles" xfId="7"/>
    <cellStyle name="Normal_D-Permeability" xfId="8"/>
    <cellStyle name="Normal_D-Untilt" xfId="9"/>
    <cellStyle name="Normal_D-Variogram" xfId="10"/>
    <cellStyle name="Normal_P-Anova" xfId="11"/>
    <cellStyle name="Normal_P-Chi-square" xfId="12"/>
    <cellStyle name="Normal_P-Cleavage" xfId="13"/>
    <cellStyle name="Normal_P-Finance" xfId="14"/>
    <cellStyle name="Normal_P-Geostatistics" xfId="15"/>
    <cellStyle name="Normal_P-Palaeocurrent" xfId="16"/>
    <cellStyle name="Normal_P-Pebbles" xfId="17"/>
    <cellStyle name="Normal_P-Permeability" xfId="18"/>
    <cellStyle name="Normal_P-Untilt" xfId="19"/>
    <cellStyle name="Normal_P-Variogram" xfId="2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STRIKE DIRECTIONS: ANGEL FORMATION</a:t>
            </a:r>
          </a:p>
        </c:rich>
      </c:tx>
      <c:layout>
        <c:manualLayout>
          <c:xMode val="edge"/>
          <c:yMode val="edge"/>
          <c:x val="0.12839488349373809"/>
          <c:y val="2.66675537404452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07758252314185"/>
          <c:y val="0.1900063204006725"/>
          <c:w val="0.87163850484481353"/>
          <c:h val="0.593353070724907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'P-Cleavage'!$H$3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'P-Cleavage'!$G$4:$G$9</c:f>
              <c:numCache>
                <c:formatCode>General</c:formatCode>
                <c:ptCount val="6"/>
                <c:pt idx="0">
                  <c:v>160</c:v>
                </c:pt>
                <c:pt idx="1">
                  <c:v>170</c:v>
                </c:pt>
                <c:pt idx="2">
                  <c:v>180</c:v>
                </c:pt>
                <c:pt idx="3">
                  <c:v>190</c:v>
                </c:pt>
                <c:pt idx="4">
                  <c:v>200</c:v>
                </c:pt>
                <c:pt idx="5">
                  <c:v>210</c:v>
                </c:pt>
              </c:numCache>
            </c:numRef>
          </c:cat>
          <c:val>
            <c:numRef>
              <c:f>'P-Cleavage'!$H$4:$H$9</c:f>
              <c:numCache>
                <c:formatCode>General</c:formatCode>
                <c:ptCount val="6"/>
                <c:pt idx="0">
                  <c:v>2</c:v>
                </c:pt>
                <c:pt idx="1">
                  <c:v>4</c:v>
                </c:pt>
                <c:pt idx="2">
                  <c:v>7</c:v>
                </c:pt>
                <c:pt idx="3">
                  <c:v>5</c:v>
                </c:pt>
                <c:pt idx="4">
                  <c:v>2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D9-4D25-A283-44CFD77BF97A}"/>
            </c:ext>
          </c:extLst>
        </c:ser>
        <c:ser>
          <c:idx val="1"/>
          <c:order val="1"/>
          <c:tx>
            <c:strRef>
              <c:f>'P-Cleavage'!$I$3</c:f>
              <c:strCache>
                <c:ptCount val="1"/>
                <c:pt idx="0">
                  <c:v>REL %</c:v>
                </c:pt>
              </c:strCache>
            </c:strRef>
          </c:tx>
          <c:spPr>
            <a:solidFill>
              <a:srgbClr val="00FF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'P-Cleavage'!$G$4:$G$9</c:f>
              <c:numCache>
                <c:formatCode>General</c:formatCode>
                <c:ptCount val="6"/>
                <c:pt idx="0">
                  <c:v>160</c:v>
                </c:pt>
                <c:pt idx="1">
                  <c:v>170</c:v>
                </c:pt>
                <c:pt idx="2">
                  <c:v>180</c:v>
                </c:pt>
                <c:pt idx="3">
                  <c:v>190</c:v>
                </c:pt>
                <c:pt idx="4">
                  <c:v>200</c:v>
                </c:pt>
                <c:pt idx="5">
                  <c:v>210</c:v>
                </c:pt>
              </c:numCache>
            </c:numRef>
          </c:cat>
          <c:val>
            <c:numRef>
              <c:f>'P-Cleavage'!$I$4:$I$9</c:f>
              <c:numCache>
                <c:formatCode>General</c:formatCode>
                <c:ptCount val="6"/>
                <c:pt idx="0">
                  <c:v>9.5239999999999991</c:v>
                </c:pt>
                <c:pt idx="1">
                  <c:v>19.047999999999998</c:v>
                </c:pt>
                <c:pt idx="2">
                  <c:v>33.332999999999998</c:v>
                </c:pt>
                <c:pt idx="3">
                  <c:v>23.81</c:v>
                </c:pt>
                <c:pt idx="4">
                  <c:v>9.5239999999999991</c:v>
                </c:pt>
                <c:pt idx="5">
                  <c:v>4.7619999999999996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D9-4D25-A283-44CFD77BF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5744991"/>
        <c:axId val="1"/>
      </c:barChart>
      <c:catAx>
        <c:axId val="7057449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DIRECTIONS</a:t>
                </a:r>
              </a:p>
            </c:rich>
          </c:tx>
          <c:layout>
            <c:manualLayout>
              <c:xMode val="edge"/>
              <c:yMode val="edge"/>
              <c:x val="0.41954384465559486"/>
              <c:y val="0.880029273434693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05744991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42135222329635175"/>
          <c:y val="0.22000731835867343"/>
          <c:w val="0.36348410679213178"/>
          <c:h val="9.333643809155842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HISTOGRAM: CLEAVAGE IN ANGEL FORMATION</a:t>
            </a:r>
          </a:p>
        </c:rich>
      </c:tx>
      <c:layout>
        <c:manualLayout>
          <c:xMode val="edge"/>
          <c:yMode val="edge"/>
          <c:x val="0.18264624271644431"/>
          <c:y val="2.57151646505774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541272815341682"/>
          <c:y val="0.27429508960615984"/>
          <c:w val="0.78483633008848352"/>
          <c:h val="0.5057315714613571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'P-Cleavage'!$G$4:$G$9</c:f>
              <c:numCache>
                <c:formatCode>General</c:formatCode>
                <c:ptCount val="6"/>
                <c:pt idx="0">
                  <c:v>160</c:v>
                </c:pt>
                <c:pt idx="1">
                  <c:v>170</c:v>
                </c:pt>
                <c:pt idx="2">
                  <c:v>180</c:v>
                </c:pt>
                <c:pt idx="3">
                  <c:v>190</c:v>
                </c:pt>
                <c:pt idx="4">
                  <c:v>200</c:v>
                </c:pt>
                <c:pt idx="5">
                  <c:v>210</c:v>
                </c:pt>
              </c:numCache>
            </c:numRef>
          </c:cat>
          <c:val>
            <c:numRef>
              <c:f>'P-Cleavage'!$I$4:$I$9</c:f>
              <c:numCache>
                <c:formatCode>General</c:formatCode>
                <c:ptCount val="6"/>
                <c:pt idx="0">
                  <c:v>9.5239999999999991</c:v>
                </c:pt>
                <c:pt idx="1">
                  <c:v>19.047999999999998</c:v>
                </c:pt>
                <c:pt idx="2">
                  <c:v>33.332999999999998</c:v>
                </c:pt>
                <c:pt idx="3">
                  <c:v>23.81</c:v>
                </c:pt>
                <c:pt idx="4">
                  <c:v>9.5239999999999991</c:v>
                </c:pt>
                <c:pt idx="5">
                  <c:v>4.7619999999999996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37-435E-A581-B88EE9187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860870895"/>
        <c:axId val="1"/>
      </c:barChart>
      <c:catAx>
        <c:axId val="8608708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STRIKE OF CLEAVAGE</a:t>
                </a:r>
              </a:p>
            </c:rich>
          </c:tx>
          <c:layout>
            <c:manualLayout>
              <c:xMode val="edge"/>
              <c:yMode val="edge"/>
              <c:x val="0.40146005824802611"/>
              <c:y val="0.897173522253481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PERCENTAGE</a:t>
                </a:r>
              </a:p>
            </c:rich>
          </c:tx>
          <c:layout>
            <c:manualLayout>
              <c:xMode val="edge"/>
              <c:yMode val="edge"/>
              <c:x val="6.148487378573373E-2"/>
              <c:y val="0.3571550645913539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0870895"/>
        <c:crosses val="autoZero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PEBBLE DATA</a:t>
            </a:r>
          </a:p>
        </c:rich>
      </c:tx>
      <c:layout>
        <c:manualLayout>
          <c:xMode val="edge"/>
          <c:yMode val="edge"/>
          <c:x val="0.41177798198485688"/>
          <c:y val="1.900305164896112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941593719524075"/>
          <c:y val="0.14489826882332862"/>
          <c:w val="0.81532040433001662"/>
          <c:h val="0.67935909645036041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trendline>
            <c:name>Regression</c:nam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Mode val="edge"/>
                  <c:yMode val="edge"/>
                  <c:x val="0.19177088875294765"/>
                  <c:y val="0.18765513503349115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'P-Pebbles'!$A$4:$A$23</c:f>
              <c:numCache>
                <c:formatCode>General</c:formatCode>
                <c:ptCount val="20"/>
                <c:pt idx="0">
                  <c:v>0</c:v>
                </c:pt>
                <c:pt idx="1">
                  <c:v>1.6</c:v>
                </c:pt>
                <c:pt idx="2">
                  <c:v>2.1</c:v>
                </c:pt>
                <c:pt idx="3">
                  <c:v>2.7</c:v>
                </c:pt>
                <c:pt idx="4">
                  <c:v>3.6</c:v>
                </c:pt>
                <c:pt idx="5">
                  <c:v>4.2</c:v>
                </c:pt>
                <c:pt idx="6">
                  <c:v>4.8</c:v>
                </c:pt>
                <c:pt idx="7">
                  <c:v>5.4</c:v>
                </c:pt>
                <c:pt idx="8">
                  <c:v>6.3</c:v>
                </c:pt>
                <c:pt idx="9">
                  <c:v>6.9</c:v>
                </c:pt>
                <c:pt idx="10">
                  <c:v>7.5</c:v>
                </c:pt>
                <c:pt idx="11">
                  <c:v>8.4</c:v>
                </c:pt>
                <c:pt idx="12">
                  <c:v>9.1</c:v>
                </c:pt>
                <c:pt idx="13">
                  <c:v>9.8000000000000007</c:v>
                </c:pt>
                <c:pt idx="14">
                  <c:v>10.199999999999999</c:v>
                </c:pt>
                <c:pt idx="15">
                  <c:v>11.3</c:v>
                </c:pt>
                <c:pt idx="16">
                  <c:v>12.1</c:v>
                </c:pt>
                <c:pt idx="17">
                  <c:v>12.7</c:v>
                </c:pt>
                <c:pt idx="18">
                  <c:v>13.5</c:v>
                </c:pt>
                <c:pt idx="19">
                  <c:v>14.6</c:v>
                </c:pt>
              </c:numCache>
            </c:numRef>
          </c:xVal>
          <c:yVal>
            <c:numRef>
              <c:f>'P-Pebbles'!$B$4:$B$23</c:f>
              <c:numCache>
                <c:formatCode>General</c:formatCode>
                <c:ptCount val="20"/>
                <c:pt idx="0">
                  <c:v>23.2</c:v>
                </c:pt>
                <c:pt idx="1">
                  <c:v>23.7</c:v>
                </c:pt>
                <c:pt idx="2">
                  <c:v>22.9</c:v>
                </c:pt>
                <c:pt idx="3">
                  <c:v>23.8</c:v>
                </c:pt>
                <c:pt idx="4">
                  <c:v>24.2</c:v>
                </c:pt>
                <c:pt idx="5">
                  <c:v>24.1</c:v>
                </c:pt>
                <c:pt idx="6">
                  <c:v>24.3</c:v>
                </c:pt>
                <c:pt idx="7">
                  <c:v>23.9</c:v>
                </c:pt>
                <c:pt idx="8">
                  <c:v>24.6</c:v>
                </c:pt>
                <c:pt idx="9">
                  <c:v>24.4</c:v>
                </c:pt>
                <c:pt idx="10">
                  <c:v>25.5</c:v>
                </c:pt>
                <c:pt idx="11">
                  <c:v>24.7</c:v>
                </c:pt>
                <c:pt idx="12">
                  <c:v>25.6</c:v>
                </c:pt>
                <c:pt idx="13">
                  <c:v>25.9</c:v>
                </c:pt>
                <c:pt idx="14">
                  <c:v>26.2</c:v>
                </c:pt>
                <c:pt idx="15">
                  <c:v>26.7</c:v>
                </c:pt>
                <c:pt idx="16">
                  <c:v>26.5</c:v>
                </c:pt>
                <c:pt idx="17">
                  <c:v>27.1</c:v>
                </c:pt>
                <c:pt idx="18">
                  <c:v>26.8</c:v>
                </c:pt>
                <c:pt idx="19">
                  <c:v>27.3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62-4387-9858-3B128501E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918847"/>
        <c:axId val="1"/>
      </c:scatterChart>
      <c:valAx>
        <c:axId val="9909188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Distance</a:t>
                </a:r>
              </a:p>
            </c:rich>
          </c:tx>
          <c:layout>
            <c:manualLayout>
              <c:xMode val="edge"/>
              <c:yMode val="edge"/>
              <c:x val="0.49413357838182831"/>
              <c:y val="0.914521860606254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% Quartz</a:t>
                </a:r>
              </a:p>
            </c:rich>
          </c:tx>
          <c:layout>
            <c:manualLayout>
              <c:xMode val="edge"/>
              <c:yMode val="edge"/>
              <c:x val="4.0001289678528958E-2"/>
              <c:y val="0.39431332171594341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0918847"/>
        <c:crosses val="autoZero"/>
        <c:crossBetween val="midCat"/>
        <c:majorUnit val="1"/>
        <c:minorUnit val="0.5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EXP. SEMI-VARIOGRAM</a:t>
            </a:r>
          </a:p>
        </c:rich>
      </c:tx>
      <c:layout>
        <c:manualLayout>
          <c:xMode val="edge"/>
          <c:yMode val="edge"/>
          <c:x val="0.25214548285403754"/>
          <c:y val="2.571516465057748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3505087384698414"/>
          <c:y val="0.15714822842019571"/>
          <c:w val="0.69446849091154406"/>
          <c:h val="0.63430739471424458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'P-Variogram'!$A$14:$A$17</c:f>
              <c:numCache>
                <c:formatCode>General</c:formatCode>
                <c:ptCount val="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</c:numCache>
            </c:numRef>
          </c:cat>
          <c:val>
            <c:numRef>
              <c:f>'P-Variogram'!$B$14:$B$17</c:f>
              <c:numCache>
                <c:formatCode>0.0000</c:formatCode>
                <c:ptCount val="4"/>
                <c:pt idx="0">
                  <c:v>4.416666666666667</c:v>
                </c:pt>
                <c:pt idx="1">
                  <c:v>8.5681818181818183</c:v>
                </c:pt>
                <c:pt idx="2">
                  <c:v>10.527777777777779</c:v>
                </c:pt>
                <c:pt idx="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8A-41A2-A1E2-D40A4C952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0871295"/>
        <c:axId val="1"/>
      </c:lineChart>
      <c:catAx>
        <c:axId val="860871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Distance</a:t>
                </a:r>
              </a:p>
            </c:rich>
          </c:tx>
          <c:layout>
            <c:manualLayout>
              <c:xMode val="edge"/>
              <c:yMode val="edge"/>
              <c:x val="0.50429096570807508"/>
              <c:y val="0.897173522253481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Semi-variogram</a:t>
                </a:r>
              </a:p>
            </c:rich>
          </c:tx>
          <c:layout>
            <c:manualLayout>
              <c:xMode val="edge"/>
              <c:yMode val="edge"/>
              <c:x val="4.2736522517633477E-2"/>
              <c:y val="0.294295773223275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0871295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300" verticalDpi="3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Experimental and theoretical semi-variograms</a:t>
            </a:r>
          </a:p>
        </c:rich>
      </c:tx>
      <c:layout>
        <c:manualLayout>
          <c:xMode val="edge"/>
          <c:yMode val="edge"/>
          <c:x val="0.21983477216797975"/>
          <c:y val="2.857240516730831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8966137206649233"/>
          <c:y val="0.27143784908942897"/>
          <c:w val="0.7608007311303614"/>
          <c:h val="0.51716053352828051"/>
        </c:manualLayout>
      </c:layout>
      <c:lineChart>
        <c:grouping val="standard"/>
        <c:varyColors val="0"/>
        <c:ser>
          <c:idx val="0"/>
          <c:order val="0"/>
          <c:tx>
            <c:v>Exp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'P-Variogram'!$A$14:$A$17</c:f>
              <c:numCache>
                <c:formatCode>General</c:formatCode>
                <c:ptCount val="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</c:numCache>
            </c:numRef>
          </c:cat>
          <c:val>
            <c:numRef>
              <c:f>'P-Variogram'!$B$14:$B$17</c:f>
              <c:numCache>
                <c:formatCode>0.0000</c:formatCode>
                <c:ptCount val="4"/>
                <c:pt idx="0">
                  <c:v>4.416666666666667</c:v>
                </c:pt>
                <c:pt idx="1">
                  <c:v>8.5681818181818183</c:v>
                </c:pt>
                <c:pt idx="2">
                  <c:v>10.527777777777779</c:v>
                </c:pt>
                <c:pt idx="3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D8-4B26-909A-DC9484C0E158}"/>
            </c:ext>
          </c:extLst>
        </c:ser>
        <c:ser>
          <c:idx val="1"/>
          <c:order val="1"/>
          <c:tx>
            <c:v>Thero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00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numRef>
              <c:f>'P-Variogram'!$A$14:$A$17</c:f>
              <c:numCache>
                <c:formatCode>General</c:formatCode>
                <c:ptCount val="4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</c:numCache>
            </c:numRef>
          </c:cat>
          <c:val>
            <c:numRef>
              <c:f>'P-Variogram'!$E$14:$E$17</c:f>
              <c:numCache>
                <c:formatCode>0.0000</c:formatCode>
                <c:ptCount val="4"/>
                <c:pt idx="0">
                  <c:v>4.4266734566692216</c:v>
                </c:pt>
                <c:pt idx="1">
                  <c:v>8.1653023704370185</c:v>
                </c:pt>
                <c:pt idx="2">
                  <c:v>10.527842198401965</c:v>
                </c:pt>
                <c:pt idx="3">
                  <c:v>10.999997101491299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D8-4B26-909A-DC9484C0E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0871695"/>
        <c:axId val="1"/>
      </c:lineChart>
      <c:catAx>
        <c:axId val="8608716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Distance</a:t>
                </a:r>
              </a:p>
            </c:rich>
          </c:tx>
          <c:layout>
            <c:manualLayout>
              <c:xMode val="edge"/>
              <c:yMode val="edge"/>
              <c:x val="0.49139537308136655"/>
              <c:y val="0.897173522253481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Semi-variograms</a:t>
                </a:r>
              </a:p>
            </c:rich>
          </c:tx>
          <c:layout>
            <c:manualLayout>
              <c:xMode val="edge"/>
              <c:yMode val="edge"/>
              <c:x val="1.7241942915135668E-2"/>
              <c:y val="0.3285826594240456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0871695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1985111670691415"/>
          <c:y val="0.61430671109712875"/>
          <c:w val="0.21121380071041193"/>
          <c:h val="0.145719266353272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127000</xdr:colOff>
      <xdr:row>11</xdr:row>
      <xdr:rowOff>0</xdr:rowOff>
    </xdr:from>
    <xdr:to>
      <xdr:col>11</xdr:col>
      <xdr:colOff>0</xdr:colOff>
      <xdr:row>23</xdr:row>
      <xdr:rowOff>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21E4F949-C0A6-4E04-A247-98B466CA6E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127000</xdr:colOff>
      <xdr:row>23</xdr:row>
      <xdr:rowOff>0</xdr:rowOff>
    </xdr:from>
    <xdr:to>
      <xdr:col>11</xdr:col>
      <xdr:colOff>0</xdr:colOff>
      <xdr:row>37</xdr:row>
      <xdr:rowOff>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FF2B1A46-F4C1-4DC2-97F8-B01A14318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139700</xdr:rowOff>
    </xdr:from>
    <xdr:to>
      <xdr:col>11</xdr:col>
      <xdr:colOff>101600</xdr:colOff>
      <xdr:row>25</xdr:row>
      <xdr:rowOff>101600</xdr:rowOff>
    </xdr:to>
    <xdr:graphicFrame macro="">
      <xdr:nvGraphicFramePr>
        <xdr:cNvPr id="2051" name="Chart 3">
          <a:extLst>
            <a:ext uri="{FF2B5EF4-FFF2-40B4-BE49-F238E27FC236}">
              <a16:creationId xmlns:a16="http://schemas.microsoft.com/office/drawing/2014/main" id="{5CB9CD8A-9283-480E-83A3-D004BE9670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0</xdr:rowOff>
    </xdr:from>
    <xdr:to>
      <xdr:col>5</xdr:col>
      <xdr:colOff>0</xdr:colOff>
      <xdr:row>36</xdr:row>
      <xdr:rowOff>0</xdr:rowOff>
    </xdr:to>
    <xdr:graphicFrame macro="">
      <xdr:nvGraphicFramePr>
        <xdr:cNvPr id="3073" name="Chart 1">
          <a:extLst>
            <a:ext uri="{FF2B5EF4-FFF2-40B4-BE49-F238E27FC236}">
              <a16:creationId xmlns:a16="http://schemas.microsoft.com/office/drawing/2014/main" id="{AB608AF3-1F4B-4257-95A6-07F0F09320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10</xdr:col>
      <xdr:colOff>279400</xdr:colOff>
      <xdr:row>36</xdr:row>
      <xdr:rowOff>0</xdr:rowOff>
    </xdr:to>
    <xdr:graphicFrame macro="">
      <xdr:nvGraphicFramePr>
        <xdr:cNvPr id="3074" name="Chart 2">
          <a:extLst>
            <a:ext uri="{FF2B5EF4-FFF2-40B4-BE49-F238E27FC236}">
              <a16:creationId xmlns:a16="http://schemas.microsoft.com/office/drawing/2014/main" id="{9A854044-C621-4F7F-9D3E-264913FAB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I83"/>
  <sheetViews>
    <sheetView tabSelected="1" workbookViewId="0"/>
  </sheetViews>
  <sheetFormatPr defaultColWidth="9.6328125" defaultRowHeight="12.5" x14ac:dyDescent="0.25"/>
  <cols>
    <col min="1" max="3" width="11.36328125" style="1" customWidth="1"/>
    <col min="4" max="16384" width="9.6328125" style="1"/>
  </cols>
  <sheetData>
    <row r="1" spans="1:9" x14ac:dyDescent="0.25">
      <c r="B1" s="1" t="s">
        <v>0</v>
      </c>
    </row>
    <row r="3" spans="1:9" x14ac:dyDescent="0.25">
      <c r="A3" s="60" t="s">
        <v>1</v>
      </c>
      <c r="B3" s="61" t="s">
        <v>2</v>
      </c>
      <c r="C3" s="61" t="s">
        <v>3</v>
      </c>
      <c r="D3" s="2"/>
      <c r="E3" s="2"/>
      <c r="F3" s="2"/>
      <c r="G3" s="32"/>
      <c r="H3" s="32"/>
      <c r="I3" s="32"/>
    </row>
    <row r="4" spans="1:9" x14ac:dyDescent="0.25">
      <c r="A4" s="2" t="s">
        <v>4</v>
      </c>
      <c r="B4" s="2">
        <v>151</v>
      </c>
      <c r="C4" s="2">
        <v>84</v>
      </c>
      <c r="D4" s="2"/>
      <c r="E4" s="2"/>
      <c r="F4" s="2"/>
    </row>
    <row r="5" spans="1:9" x14ac:dyDescent="0.25">
      <c r="A5" s="2" t="s">
        <v>4</v>
      </c>
      <c r="B5" s="2">
        <v>157</v>
      </c>
      <c r="C5" s="2">
        <v>89</v>
      </c>
      <c r="D5" s="2"/>
      <c r="E5" s="2"/>
      <c r="F5" s="2"/>
    </row>
    <row r="6" spans="1:9" x14ac:dyDescent="0.25">
      <c r="A6" s="2" t="s">
        <v>4</v>
      </c>
      <c r="B6" s="2">
        <v>163</v>
      </c>
      <c r="C6" s="2">
        <v>82</v>
      </c>
      <c r="D6" s="2"/>
      <c r="E6" s="2"/>
      <c r="F6" s="2"/>
    </row>
    <row r="7" spans="1:9" x14ac:dyDescent="0.25">
      <c r="A7" s="2" t="s">
        <v>4</v>
      </c>
      <c r="B7" s="2">
        <v>164</v>
      </c>
      <c r="C7" s="2">
        <v>73</v>
      </c>
      <c r="D7" s="2"/>
      <c r="E7" s="2"/>
      <c r="F7" s="2"/>
    </row>
    <row r="8" spans="1:9" x14ac:dyDescent="0.25">
      <c r="A8" s="2" t="s">
        <v>4</v>
      </c>
      <c r="B8" s="2">
        <v>164</v>
      </c>
      <c r="C8" s="2">
        <v>78</v>
      </c>
      <c r="D8" s="2"/>
      <c r="E8" s="2"/>
      <c r="F8" s="2"/>
    </row>
    <row r="9" spans="1:9" x14ac:dyDescent="0.25">
      <c r="A9" s="2" t="s">
        <v>4</v>
      </c>
      <c r="B9" s="2">
        <v>167</v>
      </c>
      <c r="C9" s="2">
        <v>76</v>
      </c>
      <c r="D9" s="2"/>
      <c r="E9" s="2"/>
      <c r="F9" s="2"/>
    </row>
    <row r="10" spans="1:9" x14ac:dyDescent="0.25">
      <c r="A10" s="2" t="s">
        <v>4</v>
      </c>
      <c r="B10" s="2">
        <v>173</v>
      </c>
      <c r="C10" s="2">
        <v>68</v>
      </c>
      <c r="D10" s="2"/>
      <c r="E10" s="2"/>
      <c r="F10" s="2"/>
      <c r="H10" s="32"/>
    </row>
    <row r="11" spans="1:9" x14ac:dyDescent="0.25">
      <c r="A11" s="2" t="s">
        <v>4</v>
      </c>
      <c r="B11" s="2">
        <v>175</v>
      </c>
      <c r="C11" s="2">
        <v>76</v>
      </c>
      <c r="D11" s="2"/>
      <c r="E11" s="2"/>
      <c r="F11" s="2"/>
    </row>
    <row r="12" spans="1:9" x14ac:dyDescent="0.25">
      <c r="A12" s="2" t="s">
        <v>4</v>
      </c>
      <c r="B12" s="2">
        <v>176</v>
      </c>
      <c r="C12" s="2">
        <v>87</v>
      </c>
      <c r="D12" s="2"/>
      <c r="E12" s="2"/>
      <c r="F12" s="2"/>
    </row>
    <row r="13" spans="1:9" x14ac:dyDescent="0.25">
      <c r="A13" s="2" t="s">
        <v>4</v>
      </c>
      <c r="B13" s="2">
        <v>178</v>
      </c>
      <c r="C13" s="2">
        <v>85</v>
      </c>
      <c r="D13" s="2"/>
      <c r="E13" s="2"/>
      <c r="F13" s="2"/>
    </row>
    <row r="14" spans="1:9" x14ac:dyDescent="0.25">
      <c r="A14" s="2" t="s">
        <v>4</v>
      </c>
      <c r="B14" s="2">
        <v>178</v>
      </c>
      <c r="C14" s="2">
        <v>69</v>
      </c>
      <c r="D14" s="2"/>
      <c r="E14" s="2"/>
      <c r="F14" s="2"/>
    </row>
    <row r="15" spans="1:9" x14ac:dyDescent="0.25">
      <c r="A15" s="2" t="s">
        <v>4</v>
      </c>
      <c r="B15" s="2">
        <v>179</v>
      </c>
      <c r="C15" s="2">
        <v>79</v>
      </c>
      <c r="D15" s="2"/>
      <c r="E15" s="2"/>
      <c r="F15" s="2"/>
    </row>
    <row r="16" spans="1:9" x14ac:dyDescent="0.25">
      <c r="A16" s="2" t="s">
        <v>4</v>
      </c>
      <c r="B16" s="2">
        <v>179</v>
      </c>
      <c r="C16" s="2">
        <v>85</v>
      </c>
      <c r="D16" s="2"/>
      <c r="E16" s="2"/>
      <c r="F16" s="2"/>
    </row>
    <row r="17" spans="1:6" x14ac:dyDescent="0.25">
      <c r="A17" s="2" t="s">
        <v>4</v>
      </c>
      <c r="B17" s="2">
        <v>182</v>
      </c>
      <c r="C17" s="2">
        <v>83</v>
      </c>
      <c r="D17" s="2"/>
      <c r="E17" s="2"/>
      <c r="F17" s="2"/>
    </row>
    <row r="18" spans="1:6" x14ac:dyDescent="0.25">
      <c r="A18" s="2" t="s">
        <v>4</v>
      </c>
      <c r="B18" s="2">
        <v>183</v>
      </c>
      <c r="C18" s="2">
        <v>77</v>
      </c>
      <c r="D18" s="2"/>
      <c r="E18" s="2"/>
      <c r="F18" s="2"/>
    </row>
    <row r="19" spans="1:6" x14ac:dyDescent="0.25">
      <c r="A19" s="2" t="s">
        <v>4</v>
      </c>
      <c r="B19" s="2">
        <v>187</v>
      </c>
      <c r="C19" s="2">
        <v>81</v>
      </c>
      <c r="D19" s="2"/>
      <c r="E19" s="2"/>
      <c r="F19" s="2"/>
    </row>
    <row r="20" spans="1:6" x14ac:dyDescent="0.25">
      <c r="A20" s="2" t="s">
        <v>4</v>
      </c>
      <c r="B20" s="2">
        <v>188</v>
      </c>
      <c r="C20" s="2">
        <v>81</v>
      </c>
    </row>
    <row r="21" spans="1:6" x14ac:dyDescent="0.25">
      <c r="A21" s="2" t="s">
        <v>4</v>
      </c>
      <c r="B21" s="2">
        <v>189</v>
      </c>
      <c r="C21" s="2">
        <v>76</v>
      </c>
    </row>
    <row r="22" spans="1:6" x14ac:dyDescent="0.25">
      <c r="A22" s="2" t="s">
        <v>4</v>
      </c>
      <c r="B22" s="2">
        <v>191</v>
      </c>
      <c r="C22" s="2">
        <v>75</v>
      </c>
    </row>
    <row r="23" spans="1:6" x14ac:dyDescent="0.25">
      <c r="A23" s="2" t="s">
        <v>4</v>
      </c>
      <c r="B23" s="2">
        <v>194</v>
      </c>
      <c r="C23" s="2">
        <v>73</v>
      </c>
    </row>
    <row r="24" spans="1:6" x14ac:dyDescent="0.25">
      <c r="A24" s="2" t="s">
        <v>4</v>
      </c>
      <c r="B24" s="2">
        <v>202</v>
      </c>
      <c r="C24" s="2">
        <v>76</v>
      </c>
    </row>
    <row r="25" spans="1:6" x14ac:dyDescent="0.25">
      <c r="A25" s="2" t="s">
        <v>5</v>
      </c>
      <c r="B25" s="2">
        <v>193</v>
      </c>
      <c r="C25" s="2">
        <v>67</v>
      </c>
    </row>
    <row r="26" spans="1:6" x14ac:dyDescent="0.25">
      <c r="A26" s="2" t="s">
        <v>6</v>
      </c>
      <c r="B26" s="2">
        <v>158</v>
      </c>
      <c r="C26" s="2">
        <v>67</v>
      </c>
    </row>
    <row r="27" spans="1:6" x14ac:dyDescent="0.25">
      <c r="A27" s="2" t="s">
        <v>6</v>
      </c>
      <c r="B27" s="2">
        <v>163</v>
      </c>
      <c r="C27" s="2">
        <v>72</v>
      </c>
    </row>
    <row r="28" spans="1:6" x14ac:dyDescent="0.25">
      <c r="A28" s="2" t="s">
        <v>6</v>
      </c>
      <c r="B28" s="2">
        <v>165</v>
      </c>
      <c r="C28" s="2">
        <v>63</v>
      </c>
    </row>
    <row r="29" spans="1:6" x14ac:dyDescent="0.25">
      <c r="A29" s="2" t="s">
        <v>6</v>
      </c>
      <c r="B29" s="2">
        <v>167</v>
      </c>
      <c r="C29" s="2">
        <v>58</v>
      </c>
    </row>
    <row r="30" spans="1:6" x14ac:dyDescent="0.25">
      <c r="A30" s="2" t="s">
        <v>6</v>
      </c>
      <c r="B30" s="2">
        <v>167</v>
      </c>
      <c r="C30" s="2">
        <v>67</v>
      </c>
    </row>
    <row r="31" spans="1:6" x14ac:dyDescent="0.25">
      <c r="A31" s="2" t="s">
        <v>6</v>
      </c>
      <c r="B31" s="2">
        <v>173</v>
      </c>
      <c r="C31" s="2">
        <v>49</v>
      </c>
    </row>
    <row r="32" spans="1:6" x14ac:dyDescent="0.25">
      <c r="A32" s="2" t="s">
        <v>6</v>
      </c>
      <c r="B32" s="2">
        <v>175</v>
      </c>
      <c r="C32" s="2">
        <v>53</v>
      </c>
    </row>
    <row r="33" spans="1:6" x14ac:dyDescent="0.25">
      <c r="A33" s="2" t="s">
        <v>6</v>
      </c>
      <c r="B33" s="2">
        <v>176</v>
      </c>
      <c r="C33" s="2">
        <v>67</v>
      </c>
    </row>
    <row r="34" spans="1:6" x14ac:dyDescent="0.25">
      <c r="A34" s="2" t="s">
        <v>6</v>
      </c>
      <c r="B34" s="2">
        <v>177</v>
      </c>
      <c r="C34" s="2">
        <v>58</v>
      </c>
    </row>
    <row r="35" spans="1:6" x14ac:dyDescent="0.25">
      <c r="A35" s="2" t="s">
        <v>6</v>
      </c>
      <c r="B35" s="2">
        <v>177</v>
      </c>
      <c r="C35" s="2">
        <v>57</v>
      </c>
    </row>
    <row r="36" spans="1:6" x14ac:dyDescent="0.25">
      <c r="A36" s="2" t="s">
        <v>6</v>
      </c>
      <c r="B36" s="2">
        <v>178</v>
      </c>
      <c r="C36" s="2">
        <v>71</v>
      </c>
    </row>
    <row r="37" spans="1:6" x14ac:dyDescent="0.25">
      <c r="A37" s="2" t="s">
        <v>6</v>
      </c>
      <c r="B37" s="2">
        <v>182</v>
      </c>
      <c r="C37" s="2">
        <v>73</v>
      </c>
    </row>
    <row r="38" spans="1:6" x14ac:dyDescent="0.25">
      <c r="A38" s="2" t="s">
        <v>6</v>
      </c>
      <c r="B38" s="2">
        <v>183</v>
      </c>
      <c r="C38" s="2">
        <v>52</v>
      </c>
    </row>
    <row r="39" spans="1:6" x14ac:dyDescent="0.25">
      <c r="A39" s="2" t="s">
        <v>6</v>
      </c>
      <c r="B39" s="2">
        <v>189</v>
      </c>
      <c r="C39" s="2">
        <v>57</v>
      </c>
    </row>
    <row r="40" spans="1:6" x14ac:dyDescent="0.25">
      <c r="A40" s="2" t="s">
        <v>6</v>
      </c>
      <c r="B40" s="2">
        <v>191</v>
      </c>
      <c r="C40" s="2">
        <v>59</v>
      </c>
    </row>
    <row r="41" spans="1:6" x14ac:dyDescent="0.25">
      <c r="A41" s="2" t="s">
        <v>6</v>
      </c>
      <c r="B41" s="2">
        <v>193</v>
      </c>
      <c r="C41" s="2">
        <v>41</v>
      </c>
    </row>
    <row r="42" spans="1:6" x14ac:dyDescent="0.25">
      <c r="A42" s="2" t="s">
        <v>6</v>
      </c>
      <c r="B42" s="2">
        <v>247</v>
      </c>
      <c r="C42" s="2">
        <v>57</v>
      </c>
      <c r="D42" s="2"/>
      <c r="E42" s="2"/>
      <c r="F42" s="2"/>
    </row>
    <row r="43" spans="1:6" x14ac:dyDescent="0.25">
      <c r="A43" s="2" t="s">
        <v>6</v>
      </c>
      <c r="B43" s="2">
        <v>254</v>
      </c>
      <c r="C43" s="2">
        <v>73</v>
      </c>
      <c r="D43" s="2"/>
      <c r="E43" s="2"/>
      <c r="F43" s="2"/>
    </row>
    <row r="44" spans="1:6" x14ac:dyDescent="0.25">
      <c r="A44" s="2" t="s">
        <v>6</v>
      </c>
      <c r="B44" s="2">
        <v>257</v>
      </c>
      <c r="C44" s="2">
        <v>68</v>
      </c>
      <c r="D44" s="2"/>
      <c r="E44" s="2"/>
      <c r="F44" s="2"/>
    </row>
    <row r="45" spans="1:6" x14ac:dyDescent="0.25">
      <c r="A45" s="2" t="s">
        <v>6</v>
      </c>
      <c r="B45" s="2">
        <v>259</v>
      </c>
      <c r="C45" s="2">
        <v>57</v>
      </c>
      <c r="D45" s="2"/>
      <c r="E45" s="2"/>
      <c r="F45" s="2"/>
    </row>
    <row r="46" spans="1:6" x14ac:dyDescent="0.25">
      <c r="A46" s="2" t="s">
        <v>6</v>
      </c>
      <c r="B46" s="2">
        <v>261</v>
      </c>
      <c r="C46" s="2">
        <v>66</v>
      </c>
      <c r="D46" s="2"/>
      <c r="E46" s="2"/>
      <c r="F46" s="2"/>
    </row>
    <row r="47" spans="1:6" x14ac:dyDescent="0.25">
      <c r="A47" s="2" t="s">
        <v>6</v>
      </c>
      <c r="B47" s="2">
        <v>263</v>
      </c>
      <c r="C47" s="2">
        <v>62</v>
      </c>
      <c r="D47" s="2"/>
      <c r="E47" s="2"/>
      <c r="F47" s="2"/>
    </row>
    <row r="48" spans="1:6" x14ac:dyDescent="0.25">
      <c r="A48" s="2" t="s">
        <v>6</v>
      </c>
      <c r="B48" s="2">
        <v>267</v>
      </c>
      <c r="C48" s="2">
        <v>54</v>
      </c>
      <c r="D48" s="2"/>
      <c r="E48" s="2"/>
      <c r="F48" s="2"/>
    </row>
    <row r="49" spans="1:6" x14ac:dyDescent="0.25">
      <c r="A49" s="2" t="s">
        <v>6</v>
      </c>
      <c r="B49" s="2">
        <v>268</v>
      </c>
      <c r="C49" s="2">
        <v>72</v>
      </c>
      <c r="D49" s="2"/>
      <c r="E49" s="2"/>
      <c r="F49" s="2"/>
    </row>
    <row r="50" spans="1:6" x14ac:dyDescent="0.25">
      <c r="A50" s="2" t="s">
        <v>6</v>
      </c>
      <c r="B50" s="2">
        <v>268</v>
      </c>
      <c r="C50" s="2">
        <v>61</v>
      </c>
      <c r="D50" s="2"/>
      <c r="E50" s="2"/>
      <c r="F50" s="2"/>
    </row>
    <row r="51" spans="1:6" x14ac:dyDescent="0.25">
      <c r="A51" s="2" t="s">
        <v>6</v>
      </c>
      <c r="B51" s="2">
        <v>269</v>
      </c>
      <c r="C51" s="2">
        <v>48</v>
      </c>
      <c r="D51" s="2"/>
      <c r="E51" s="2"/>
      <c r="F51" s="2"/>
    </row>
    <row r="52" spans="1:6" x14ac:dyDescent="0.25">
      <c r="A52" s="2" t="s">
        <v>6</v>
      </c>
      <c r="B52" s="2">
        <v>272</v>
      </c>
      <c r="C52" s="2">
        <v>57</v>
      </c>
      <c r="D52" s="2"/>
      <c r="E52" s="2"/>
      <c r="F52" s="2"/>
    </row>
    <row r="53" spans="1:6" x14ac:dyDescent="0.25">
      <c r="A53" s="2" t="s">
        <v>6</v>
      </c>
      <c r="B53" s="2">
        <v>275</v>
      </c>
      <c r="C53" s="2">
        <v>58</v>
      </c>
      <c r="D53" s="2"/>
      <c r="E53" s="2"/>
      <c r="F53" s="2"/>
    </row>
    <row r="54" spans="1:6" x14ac:dyDescent="0.25">
      <c r="A54" s="2" t="s">
        <v>6</v>
      </c>
      <c r="B54" s="2">
        <v>276</v>
      </c>
      <c r="C54" s="2">
        <v>63</v>
      </c>
      <c r="D54" s="2"/>
      <c r="E54" s="2"/>
      <c r="F54" s="2"/>
    </row>
    <row r="55" spans="1:6" x14ac:dyDescent="0.25">
      <c r="A55" s="2" t="s">
        <v>6</v>
      </c>
      <c r="B55" s="2">
        <v>279</v>
      </c>
      <c r="C55" s="2">
        <v>52</v>
      </c>
      <c r="D55" s="2"/>
      <c r="E55" s="2"/>
      <c r="F55" s="2"/>
    </row>
    <row r="56" spans="1:6" x14ac:dyDescent="0.25">
      <c r="A56" s="2" t="s">
        <v>6</v>
      </c>
      <c r="B56" s="2">
        <v>281</v>
      </c>
      <c r="C56" s="2">
        <v>62</v>
      </c>
      <c r="D56" s="2"/>
      <c r="E56" s="2"/>
      <c r="F56" s="2"/>
    </row>
    <row r="57" spans="1:6" x14ac:dyDescent="0.25">
      <c r="A57" s="2" t="s">
        <v>6</v>
      </c>
      <c r="B57" s="2">
        <v>283</v>
      </c>
      <c r="C57" s="2">
        <v>71</v>
      </c>
      <c r="D57" s="2"/>
      <c r="E57" s="2"/>
      <c r="F57" s="2"/>
    </row>
    <row r="58" spans="1:6" x14ac:dyDescent="0.25">
      <c r="A58" s="2" t="s">
        <v>7</v>
      </c>
      <c r="B58" s="2">
        <v>153</v>
      </c>
      <c r="C58" s="2">
        <v>72</v>
      </c>
    </row>
    <row r="59" spans="1:6" x14ac:dyDescent="0.25">
      <c r="A59" s="2" t="s">
        <v>7</v>
      </c>
      <c r="B59" s="2">
        <v>157</v>
      </c>
      <c r="C59" s="2">
        <v>74</v>
      </c>
    </row>
    <row r="60" spans="1:6" x14ac:dyDescent="0.25">
      <c r="A60" s="2" t="s">
        <v>7</v>
      </c>
      <c r="B60" s="2">
        <v>159</v>
      </c>
      <c r="C60" s="2">
        <v>75</v>
      </c>
    </row>
    <row r="61" spans="1:6" x14ac:dyDescent="0.25">
      <c r="A61" s="2" t="s">
        <v>7</v>
      </c>
      <c r="B61" s="2">
        <v>163</v>
      </c>
      <c r="C61" s="2">
        <v>82</v>
      </c>
    </row>
    <row r="62" spans="1:6" x14ac:dyDescent="0.25">
      <c r="A62" s="2" t="s">
        <v>7</v>
      </c>
      <c r="B62" s="2">
        <v>164</v>
      </c>
      <c r="C62" s="2">
        <v>78</v>
      </c>
    </row>
    <row r="63" spans="1:6" x14ac:dyDescent="0.25">
      <c r="A63" s="2" t="s">
        <v>7</v>
      </c>
      <c r="B63" s="2">
        <v>164</v>
      </c>
      <c r="C63" s="2">
        <v>73</v>
      </c>
    </row>
    <row r="64" spans="1:6" x14ac:dyDescent="0.25">
      <c r="A64" s="2" t="s">
        <v>7</v>
      </c>
      <c r="B64" s="2">
        <v>165</v>
      </c>
      <c r="C64" s="2">
        <v>79</v>
      </c>
    </row>
    <row r="65" spans="1:3" x14ac:dyDescent="0.25">
      <c r="A65" s="2" t="s">
        <v>7</v>
      </c>
      <c r="B65" s="2">
        <v>167</v>
      </c>
      <c r="C65" s="2">
        <v>74</v>
      </c>
    </row>
    <row r="66" spans="1:3" x14ac:dyDescent="0.25">
      <c r="A66" s="2" t="s">
        <v>7</v>
      </c>
      <c r="B66" s="2">
        <v>168</v>
      </c>
      <c r="C66" s="2">
        <v>73</v>
      </c>
    </row>
    <row r="67" spans="1:3" x14ac:dyDescent="0.25">
      <c r="A67" s="2" t="s">
        <v>7</v>
      </c>
      <c r="B67" s="2">
        <v>172</v>
      </c>
      <c r="C67" s="2">
        <v>67</v>
      </c>
    </row>
    <row r="68" spans="1:3" x14ac:dyDescent="0.25">
      <c r="A68" s="2" t="s">
        <v>7</v>
      </c>
      <c r="B68" s="2">
        <v>173</v>
      </c>
      <c r="C68" s="2">
        <v>73</v>
      </c>
    </row>
    <row r="69" spans="1:3" x14ac:dyDescent="0.25">
      <c r="A69" s="2" t="s">
        <v>7</v>
      </c>
      <c r="B69" s="2">
        <v>173</v>
      </c>
      <c r="C69" s="2">
        <v>68</v>
      </c>
    </row>
    <row r="70" spans="1:3" x14ac:dyDescent="0.25">
      <c r="A70" s="2" t="s">
        <v>7</v>
      </c>
      <c r="B70" s="2">
        <v>174</v>
      </c>
      <c r="C70" s="2">
        <v>65</v>
      </c>
    </row>
    <row r="71" spans="1:3" x14ac:dyDescent="0.25">
      <c r="A71" s="2" t="s">
        <v>7</v>
      </c>
      <c r="B71" s="2">
        <v>176</v>
      </c>
      <c r="C71" s="2">
        <v>68</v>
      </c>
    </row>
    <row r="72" spans="1:3" x14ac:dyDescent="0.25">
      <c r="A72" s="2" t="s">
        <v>7</v>
      </c>
      <c r="B72" s="2">
        <v>177</v>
      </c>
      <c r="C72" s="2">
        <v>67</v>
      </c>
    </row>
    <row r="73" spans="1:3" x14ac:dyDescent="0.25">
      <c r="A73" s="2" t="s">
        <v>7</v>
      </c>
      <c r="B73" s="2">
        <v>177</v>
      </c>
      <c r="C73" s="2">
        <v>69</v>
      </c>
    </row>
    <row r="74" spans="1:3" x14ac:dyDescent="0.25">
      <c r="A74" s="2" t="s">
        <v>7</v>
      </c>
      <c r="B74" s="2">
        <v>178</v>
      </c>
      <c r="C74" s="2">
        <v>82</v>
      </c>
    </row>
    <row r="75" spans="1:3" x14ac:dyDescent="0.25">
      <c r="A75" s="2" t="s">
        <v>7</v>
      </c>
      <c r="B75" s="2">
        <v>179</v>
      </c>
      <c r="C75" s="2">
        <v>77</v>
      </c>
    </row>
    <row r="76" spans="1:3" x14ac:dyDescent="0.25">
      <c r="A76" s="2" t="s">
        <v>7</v>
      </c>
      <c r="B76" s="2">
        <v>181</v>
      </c>
      <c r="C76" s="2">
        <v>69</v>
      </c>
    </row>
    <row r="77" spans="1:3" x14ac:dyDescent="0.25">
      <c r="A77" s="2" t="s">
        <v>7</v>
      </c>
      <c r="B77" s="2">
        <v>184</v>
      </c>
      <c r="C77" s="2">
        <v>79</v>
      </c>
    </row>
    <row r="78" spans="1:3" x14ac:dyDescent="0.25">
      <c r="A78" s="2" t="s">
        <v>7</v>
      </c>
      <c r="B78" s="2">
        <v>186</v>
      </c>
      <c r="C78" s="2">
        <v>56</v>
      </c>
    </row>
    <row r="79" spans="1:3" x14ac:dyDescent="0.25">
      <c r="A79" s="2" t="s">
        <v>7</v>
      </c>
      <c r="B79" s="2">
        <v>187</v>
      </c>
      <c r="C79" s="2">
        <v>87</v>
      </c>
    </row>
    <row r="80" spans="1:3" x14ac:dyDescent="0.25">
      <c r="A80" s="2" t="s">
        <v>7</v>
      </c>
      <c r="B80" s="2">
        <v>190</v>
      </c>
      <c r="C80" s="2">
        <v>69</v>
      </c>
    </row>
    <row r="81" spans="1:3" x14ac:dyDescent="0.25">
      <c r="A81" s="2" t="s">
        <v>7</v>
      </c>
      <c r="B81" s="2">
        <v>192</v>
      </c>
      <c r="C81" s="2">
        <v>71</v>
      </c>
    </row>
    <row r="82" spans="1:3" x14ac:dyDescent="0.25">
      <c r="A82" s="2" t="s">
        <v>7</v>
      </c>
      <c r="B82" s="2">
        <v>207</v>
      </c>
      <c r="C82" s="2">
        <v>73</v>
      </c>
    </row>
    <row r="83" spans="1:3" x14ac:dyDescent="0.25">
      <c r="A83" s="2" t="s">
        <v>7</v>
      </c>
      <c r="B83" s="2">
        <v>208</v>
      </c>
      <c r="C83" s="2">
        <v>75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I83"/>
  <sheetViews>
    <sheetView workbookViewId="0"/>
  </sheetViews>
  <sheetFormatPr defaultColWidth="9.6328125" defaultRowHeight="12.5" x14ac:dyDescent="0.25"/>
  <cols>
    <col min="1" max="1" width="11.36328125" style="3" customWidth="1"/>
    <col min="2" max="2" width="10.08984375" style="3" customWidth="1"/>
    <col min="3" max="3" width="7.90625" style="3" customWidth="1"/>
    <col min="4" max="4" width="12.453125" style="3" customWidth="1"/>
    <col min="5" max="5" width="10.08984375" style="3" customWidth="1"/>
    <col min="6" max="6" width="7.90625" style="3" customWidth="1"/>
    <col min="7" max="8" width="11.36328125" style="3" customWidth="1"/>
    <col min="9" max="9" width="10.08984375" style="3" customWidth="1"/>
    <col min="10" max="16384" width="9.6328125" style="3"/>
  </cols>
  <sheetData>
    <row r="1" spans="1:9" x14ac:dyDescent="0.25">
      <c r="D1" s="3" t="s">
        <v>8</v>
      </c>
    </row>
    <row r="3" spans="1:9" x14ac:dyDescent="0.25">
      <c r="A3" s="55" t="s">
        <v>1</v>
      </c>
      <c r="B3" s="58" t="s">
        <v>2</v>
      </c>
      <c r="C3" s="57" t="s">
        <v>3</v>
      </c>
      <c r="D3" s="58" t="s">
        <v>1</v>
      </c>
      <c r="E3" s="58" t="s">
        <v>2</v>
      </c>
      <c r="F3" s="58" t="s">
        <v>3</v>
      </c>
      <c r="G3" s="56" t="s">
        <v>9</v>
      </c>
      <c r="H3" s="56" t="s">
        <v>10</v>
      </c>
      <c r="I3" s="59" t="s">
        <v>11</v>
      </c>
    </row>
    <row r="4" spans="1:9" x14ac:dyDescent="0.25">
      <c r="A4" s="4" t="s">
        <v>4</v>
      </c>
      <c r="B4" s="4">
        <v>151</v>
      </c>
      <c r="C4" s="4">
        <v>84</v>
      </c>
      <c r="D4" s="4" t="s">
        <v>6</v>
      </c>
      <c r="E4" s="4">
        <v>247</v>
      </c>
      <c r="F4" s="4">
        <v>57</v>
      </c>
      <c r="G4" s="3">
        <v>160</v>
      </c>
      <c r="H4" s="3">
        <f t="array" ref="H4:H9">FREQUENCY(B4:B24,G4:G10)</f>
        <v>2</v>
      </c>
      <c r="I4" s="3">
        <f t="array" ref="I4">ROUND(H4*100/$H$10,3)</f>
        <v>9.5239999999999991</v>
      </c>
    </row>
    <row r="5" spans="1:9" x14ac:dyDescent="0.25">
      <c r="A5" s="4" t="s">
        <v>4</v>
      </c>
      <c r="B5" s="4">
        <v>157</v>
      </c>
      <c r="C5" s="4">
        <v>89</v>
      </c>
      <c r="D5" s="4" t="s">
        <v>6</v>
      </c>
      <c r="E5" s="4">
        <v>254</v>
      </c>
      <c r="F5" s="4">
        <v>73</v>
      </c>
      <c r="G5" s="3">
        <v>170</v>
      </c>
      <c r="H5" s="3">
        <v>4</v>
      </c>
      <c r="I5" s="3">
        <f t="array" ref="I5">ROUND(H5*100/$H$10,3)</f>
        <v>19.047999999999998</v>
      </c>
    </row>
    <row r="6" spans="1:9" x14ac:dyDescent="0.25">
      <c r="A6" s="4" t="s">
        <v>4</v>
      </c>
      <c r="B6" s="4">
        <v>163</v>
      </c>
      <c r="C6" s="4">
        <v>82</v>
      </c>
      <c r="D6" s="4" t="s">
        <v>6</v>
      </c>
      <c r="E6" s="4">
        <v>257</v>
      </c>
      <c r="F6" s="4">
        <v>68</v>
      </c>
      <c r="G6" s="3">
        <v>180</v>
      </c>
      <c r="H6" s="3">
        <v>7</v>
      </c>
      <c r="I6" s="3">
        <f t="array" ref="I6">ROUND(H6*100/$H$10,3)</f>
        <v>33.332999999999998</v>
      </c>
    </row>
    <row r="7" spans="1:9" x14ac:dyDescent="0.25">
      <c r="A7" s="4" t="s">
        <v>4</v>
      </c>
      <c r="B7" s="4">
        <v>164</v>
      </c>
      <c r="C7" s="4">
        <v>73</v>
      </c>
      <c r="D7" s="4" t="s">
        <v>6</v>
      </c>
      <c r="E7" s="4">
        <v>259</v>
      </c>
      <c r="F7" s="4">
        <v>57</v>
      </c>
      <c r="G7" s="3">
        <v>190</v>
      </c>
      <c r="H7" s="3">
        <v>5</v>
      </c>
      <c r="I7" s="3">
        <f t="array" ref="I7">ROUND(H7*100/$H$10,3)</f>
        <v>23.81</v>
      </c>
    </row>
    <row r="8" spans="1:9" x14ac:dyDescent="0.25">
      <c r="A8" s="4" t="s">
        <v>4</v>
      </c>
      <c r="B8" s="4">
        <v>164</v>
      </c>
      <c r="C8" s="4">
        <v>78</v>
      </c>
      <c r="D8" s="4" t="s">
        <v>6</v>
      </c>
      <c r="E8" s="4">
        <v>261</v>
      </c>
      <c r="F8" s="4">
        <v>66</v>
      </c>
      <c r="G8" s="3">
        <v>200</v>
      </c>
      <c r="H8" s="3">
        <v>2</v>
      </c>
      <c r="I8" s="3">
        <f t="array" ref="I8">ROUND(H8*100/$H$10,3)</f>
        <v>9.5239999999999991</v>
      </c>
    </row>
    <row r="9" spans="1:9" x14ac:dyDescent="0.25">
      <c r="A9" s="4" t="s">
        <v>4</v>
      </c>
      <c r="B9" s="4">
        <v>167</v>
      </c>
      <c r="C9" s="4">
        <v>76</v>
      </c>
      <c r="D9" s="4" t="s">
        <v>6</v>
      </c>
      <c r="E9" s="4">
        <v>263</v>
      </c>
      <c r="F9" s="4">
        <v>62</v>
      </c>
      <c r="G9" s="3">
        <v>210</v>
      </c>
      <c r="H9" s="3">
        <v>1</v>
      </c>
      <c r="I9" s="3">
        <f t="array" ref="I9">ROUND(H9*100/$H$10,3)</f>
        <v>4.7619999999999996</v>
      </c>
    </row>
    <row r="10" spans="1:9" x14ac:dyDescent="0.25">
      <c r="A10" s="4" t="s">
        <v>4</v>
      </c>
      <c r="B10" s="4">
        <v>173</v>
      </c>
      <c r="C10" s="4">
        <v>68</v>
      </c>
      <c r="D10" s="4" t="s">
        <v>6</v>
      </c>
      <c r="E10" s="4">
        <v>267</v>
      </c>
      <c r="F10" s="4">
        <v>54</v>
      </c>
      <c r="H10" s="3">
        <f t="array" ref="H10">SUM(H4:H9)</f>
        <v>21</v>
      </c>
      <c r="I10" s="3">
        <f t="array" ref="I10">ROUND(H10*100/$H$10,3)</f>
        <v>100</v>
      </c>
    </row>
    <row r="11" spans="1:9" x14ac:dyDescent="0.25">
      <c r="A11" s="4" t="s">
        <v>4</v>
      </c>
      <c r="B11" s="4">
        <v>175</v>
      </c>
      <c r="C11" s="4">
        <v>76</v>
      </c>
      <c r="D11" s="4" t="s">
        <v>6</v>
      </c>
      <c r="E11" s="4">
        <v>268</v>
      </c>
      <c r="F11" s="4">
        <v>72</v>
      </c>
    </row>
    <row r="12" spans="1:9" x14ac:dyDescent="0.25">
      <c r="A12" s="4" t="s">
        <v>4</v>
      </c>
      <c r="B12" s="4">
        <v>176</v>
      </c>
      <c r="C12" s="4">
        <v>87</v>
      </c>
      <c r="D12" s="4" t="s">
        <v>6</v>
      </c>
      <c r="E12" s="4">
        <v>268</v>
      </c>
      <c r="F12" s="4">
        <v>61</v>
      </c>
    </row>
    <row r="13" spans="1:9" x14ac:dyDescent="0.25">
      <c r="A13" s="4" t="s">
        <v>4</v>
      </c>
      <c r="B13" s="4">
        <v>178</v>
      </c>
      <c r="C13" s="4">
        <v>85</v>
      </c>
      <c r="D13" s="4" t="s">
        <v>6</v>
      </c>
      <c r="E13" s="4">
        <v>269</v>
      </c>
      <c r="F13" s="4">
        <v>48</v>
      </c>
    </row>
    <row r="14" spans="1:9" x14ac:dyDescent="0.25">
      <c r="A14" s="4" t="s">
        <v>4</v>
      </c>
      <c r="B14" s="4">
        <v>178</v>
      </c>
      <c r="C14" s="4">
        <v>69</v>
      </c>
      <c r="D14" s="4" t="s">
        <v>6</v>
      </c>
      <c r="E14" s="4">
        <v>272</v>
      </c>
      <c r="F14" s="4">
        <v>57</v>
      </c>
    </row>
    <row r="15" spans="1:9" x14ac:dyDescent="0.25">
      <c r="A15" s="4" t="s">
        <v>4</v>
      </c>
      <c r="B15" s="4">
        <v>179</v>
      </c>
      <c r="C15" s="4">
        <v>79</v>
      </c>
      <c r="D15" s="4" t="s">
        <v>6</v>
      </c>
      <c r="E15" s="4">
        <v>275</v>
      </c>
      <c r="F15" s="4">
        <v>58</v>
      </c>
    </row>
    <row r="16" spans="1:9" x14ac:dyDescent="0.25">
      <c r="A16" s="4" t="s">
        <v>4</v>
      </c>
      <c r="B16" s="4">
        <v>179</v>
      </c>
      <c r="C16" s="4">
        <v>85</v>
      </c>
      <c r="D16" s="4" t="s">
        <v>6</v>
      </c>
      <c r="E16" s="4">
        <v>276</v>
      </c>
      <c r="F16" s="4">
        <v>63</v>
      </c>
    </row>
    <row r="17" spans="1:6" x14ac:dyDescent="0.25">
      <c r="A17" s="4" t="s">
        <v>4</v>
      </c>
      <c r="B17" s="4">
        <v>182</v>
      </c>
      <c r="C17" s="4">
        <v>83</v>
      </c>
      <c r="D17" s="4" t="s">
        <v>6</v>
      </c>
      <c r="E17" s="4">
        <v>279</v>
      </c>
      <c r="F17" s="4">
        <v>52</v>
      </c>
    </row>
    <row r="18" spans="1:6" x14ac:dyDescent="0.25">
      <c r="A18" s="4" t="s">
        <v>4</v>
      </c>
      <c r="B18" s="4">
        <v>183</v>
      </c>
      <c r="C18" s="4">
        <v>77</v>
      </c>
      <c r="D18" s="4" t="s">
        <v>6</v>
      </c>
      <c r="E18" s="4">
        <v>281</v>
      </c>
      <c r="F18" s="4">
        <v>62</v>
      </c>
    </row>
    <row r="19" spans="1:6" x14ac:dyDescent="0.25">
      <c r="A19" s="4" t="s">
        <v>4</v>
      </c>
      <c r="B19" s="4">
        <v>187</v>
      </c>
      <c r="C19" s="4">
        <v>81</v>
      </c>
      <c r="D19" s="4" t="s">
        <v>6</v>
      </c>
      <c r="E19" s="4">
        <v>283</v>
      </c>
      <c r="F19" s="4">
        <v>71</v>
      </c>
    </row>
    <row r="20" spans="1:6" x14ac:dyDescent="0.25">
      <c r="A20" s="4" t="s">
        <v>4</v>
      </c>
      <c r="B20" s="4">
        <v>188</v>
      </c>
      <c r="C20" s="4">
        <v>81</v>
      </c>
    </row>
    <row r="21" spans="1:6" x14ac:dyDescent="0.25">
      <c r="A21" s="4" t="s">
        <v>4</v>
      </c>
      <c r="B21" s="4">
        <v>189</v>
      </c>
      <c r="C21" s="4">
        <v>76</v>
      </c>
    </row>
    <row r="22" spans="1:6" x14ac:dyDescent="0.25">
      <c r="A22" s="4" t="s">
        <v>4</v>
      </c>
      <c r="B22" s="4">
        <v>191</v>
      </c>
      <c r="C22" s="4">
        <v>75</v>
      </c>
    </row>
    <row r="23" spans="1:6" x14ac:dyDescent="0.25">
      <c r="A23" s="4" t="s">
        <v>4</v>
      </c>
      <c r="B23" s="4">
        <v>194</v>
      </c>
      <c r="C23" s="4">
        <v>73</v>
      </c>
    </row>
    <row r="24" spans="1:6" x14ac:dyDescent="0.25">
      <c r="A24" s="4" t="s">
        <v>4</v>
      </c>
      <c r="B24" s="4">
        <v>202</v>
      </c>
      <c r="C24" s="4">
        <v>76</v>
      </c>
    </row>
    <row r="25" spans="1:6" x14ac:dyDescent="0.25">
      <c r="A25" s="4" t="s">
        <v>5</v>
      </c>
      <c r="B25" s="4">
        <v>193</v>
      </c>
      <c r="C25" s="4">
        <v>67</v>
      </c>
    </row>
    <row r="26" spans="1:6" x14ac:dyDescent="0.25">
      <c r="A26" s="4" t="s">
        <v>6</v>
      </c>
      <c r="B26" s="4">
        <v>158</v>
      </c>
      <c r="C26" s="4">
        <v>67</v>
      </c>
    </row>
    <row r="27" spans="1:6" x14ac:dyDescent="0.25">
      <c r="A27" s="4" t="s">
        <v>6</v>
      </c>
      <c r="B27" s="4">
        <v>163</v>
      </c>
      <c r="C27" s="4">
        <v>72</v>
      </c>
    </row>
    <row r="28" spans="1:6" x14ac:dyDescent="0.25">
      <c r="A28" s="4" t="s">
        <v>6</v>
      </c>
      <c r="B28" s="4">
        <v>165</v>
      </c>
      <c r="C28" s="4">
        <v>63</v>
      </c>
    </row>
    <row r="29" spans="1:6" x14ac:dyDescent="0.25">
      <c r="A29" s="4" t="s">
        <v>6</v>
      </c>
      <c r="B29" s="4">
        <v>167</v>
      </c>
      <c r="C29" s="4">
        <v>58</v>
      </c>
    </row>
    <row r="30" spans="1:6" x14ac:dyDescent="0.25">
      <c r="A30" s="4" t="s">
        <v>6</v>
      </c>
      <c r="B30" s="4">
        <v>167</v>
      </c>
      <c r="C30" s="4">
        <v>67</v>
      </c>
    </row>
    <row r="31" spans="1:6" x14ac:dyDescent="0.25">
      <c r="A31" s="4" t="s">
        <v>6</v>
      </c>
      <c r="B31" s="4">
        <v>173</v>
      </c>
      <c r="C31" s="4">
        <v>49</v>
      </c>
    </row>
    <row r="32" spans="1:6" x14ac:dyDescent="0.25">
      <c r="A32" s="4" t="s">
        <v>6</v>
      </c>
      <c r="B32" s="4">
        <v>175</v>
      </c>
      <c r="C32" s="4">
        <v>53</v>
      </c>
    </row>
    <row r="33" spans="1:6" x14ac:dyDescent="0.25">
      <c r="A33" s="4" t="s">
        <v>6</v>
      </c>
      <c r="B33" s="4">
        <v>176</v>
      </c>
      <c r="C33" s="4">
        <v>67</v>
      </c>
    </row>
    <row r="34" spans="1:6" x14ac:dyDescent="0.25">
      <c r="A34" s="4" t="s">
        <v>6</v>
      </c>
      <c r="B34" s="4">
        <v>177</v>
      </c>
      <c r="C34" s="4">
        <v>58</v>
      </c>
    </row>
    <row r="35" spans="1:6" x14ac:dyDescent="0.25">
      <c r="A35" s="4" t="s">
        <v>6</v>
      </c>
      <c r="B35" s="4">
        <v>177</v>
      </c>
      <c r="C35" s="4">
        <v>57</v>
      </c>
    </row>
    <row r="36" spans="1:6" x14ac:dyDescent="0.25">
      <c r="A36" s="4" t="s">
        <v>6</v>
      </c>
      <c r="B36" s="4">
        <v>178</v>
      </c>
      <c r="C36" s="4">
        <v>71</v>
      </c>
    </row>
    <row r="37" spans="1:6" x14ac:dyDescent="0.25">
      <c r="A37" s="4" t="s">
        <v>6</v>
      </c>
      <c r="B37" s="4">
        <v>182</v>
      </c>
      <c r="C37" s="4">
        <v>73</v>
      </c>
    </row>
    <row r="38" spans="1:6" x14ac:dyDescent="0.25">
      <c r="A38" s="4" t="s">
        <v>6</v>
      </c>
      <c r="B38" s="4">
        <v>183</v>
      </c>
      <c r="C38" s="4">
        <v>52</v>
      </c>
    </row>
    <row r="39" spans="1:6" x14ac:dyDescent="0.25">
      <c r="A39" s="4" t="s">
        <v>6</v>
      </c>
      <c r="B39" s="4">
        <v>189</v>
      </c>
      <c r="C39" s="4">
        <v>57</v>
      </c>
    </row>
    <row r="40" spans="1:6" x14ac:dyDescent="0.25">
      <c r="A40" s="4" t="s">
        <v>6</v>
      </c>
      <c r="B40" s="4">
        <v>191</v>
      </c>
      <c r="C40" s="4">
        <v>59</v>
      </c>
    </row>
    <row r="41" spans="1:6" x14ac:dyDescent="0.25">
      <c r="A41" s="4" t="s">
        <v>6</v>
      </c>
      <c r="B41" s="4">
        <v>193</v>
      </c>
      <c r="C41" s="4">
        <v>41</v>
      </c>
    </row>
    <row r="42" spans="1:6" x14ac:dyDescent="0.25">
      <c r="A42" s="4" t="s">
        <v>6</v>
      </c>
      <c r="B42" s="4">
        <v>247</v>
      </c>
      <c r="C42" s="4">
        <v>57</v>
      </c>
      <c r="D42" s="4" t="s">
        <v>6</v>
      </c>
      <c r="E42" s="4">
        <v>247</v>
      </c>
      <c r="F42" s="4">
        <v>57</v>
      </c>
    </row>
    <row r="43" spans="1:6" x14ac:dyDescent="0.25">
      <c r="A43" s="4" t="s">
        <v>6</v>
      </c>
      <c r="B43" s="4">
        <v>254</v>
      </c>
      <c r="C43" s="4">
        <v>73</v>
      </c>
      <c r="D43" s="4" t="s">
        <v>6</v>
      </c>
      <c r="E43" s="4">
        <v>254</v>
      </c>
      <c r="F43" s="4">
        <v>73</v>
      </c>
    </row>
    <row r="44" spans="1:6" x14ac:dyDescent="0.25">
      <c r="A44" s="4" t="s">
        <v>6</v>
      </c>
      <c r="B44" s="4">
        <v>257</v>
      </c>
      <c r="C44" s="4">
        <v>68</v>
      </c>
      <c r="D44" s="4" t="s">
        <v>6</v>
      </c>
      <c r="E44" s="4">
        <v>257</v>
      </c>
      <c r="F44" s="4">
        <v>68</v>
      </c>
    </row>
    <row r="45" spans="1:6" x14ac:dyDescent="0.25">
      <c r="A45" s="4" t="s">
        <v>6</v>
      </c>
      <c r="B45" s="4">
        <v>259</v>
      </c>
      <c r="C45" s="4">
        <v>57</v>
      </c>
      <c r="D45" s="4" t="s">
        <v>6</v>
      </c>
      <c r="E45" s="4">
        <v>259</v>
      </c>
      <c r="F45" s="4">
        <v>57</v>
      </c>
    </row>
    <row r="46" spans="1:6" x14ac:dyDescent="0.25">
      <c r="A46" s="4" t="s">
        <v>6</v>
      </c>
      <c r="B46" s="4">
        <v>261</v>
      </c>
      <c r="C46" s="4">
        <v>66</v>
      </c>
      <c r="D46" s="4" t="s">
        <v>6</v>
      </c>
      <c r="E46" s="4">
        <v>261</v>
      </c>
      <c r="F46" s="4">
        <v>66</v>
      </c>
    </row>
    <row r="47" spans="1:6" x14ac:dyDescent="0.25">
      <c r="A47" s="4" t="s">
        <v>6</v>
      </c>
      <c r="B47" s="4">
        <v>263</v>
      </c>
      <c r="C47" s="4">
        <v>62</v>
      </c>
      <c r="D47" s="4" t="s">
        <v>6</v>
      </c>
      <c r="E47" s="4">
        <v>263</v>
      </c>
      <c r="F47" s="4">
        <v>62</v>
      </c>
    </row>
    <row r="48" spans="1:6" x14ac:dyDescent="0.25">
      <c r="A48" s="4" t="s">
        <v>6</v>
      </c>
      <c r="B48" s="4">
        <v>267</v>
      </c>
      <c r="C48" s="4">
        <v>54</v>
      </c>
      <c r="D48" s="4" t="s">
        <v>6</v>
      </c>
      <c r="E48" s="4">
        <v>267</v>
      </c>
      <c r="F48" s="4">
        <v>54</v>
      </c>
    </row>
    <row r="49" spans="1:6" x14ac:dyDescent="0.25">
      <c r="A49" s="4" t="s">
        <v>6</v>
      </c>
      <c r="B49" s="4">
        <v>268</v>
      </c>
      <c r="C49" s="4">
        <v>72</v>
      </c>
      <c r="D49" s="4" t="s">
        <v>6</v>
      </c>
      <c r="E49" s="4">
        <v>268</v>
      </c>
      <c r="F49" s="4">
        <v>72</v>
      </c>
    </row>
    <row r="50" spans="1:6" x14ac:dyDescent="0.25">
      <c r="A50" s="4" t="s">
        <v>6</v>
      </c>
      <c r="B50" s="4">
        <v>268</v>
      </c>
      <c r="C50" s="4">
        <v>61</v>
      </c>
      <c r="D50" s="4" t="s">
        <v>6</v>
      </c>
      <c r="E50" s="4">
        <v>268</v>
      </c>
      <c r="F50" s="4">
        <v>61</v>
      </c>
    </row>
    <row r="51" spans="1:6" x14ac:dyDescent="0.25">
      <c r="A51" s="4" t="s">
        <v>6</v>
      </c>
      <c r="B51" s="4">
        <v>269</v>
      </c>
      <c r="C51" s="4">
        <v>48</v>
      </c>
      <c r="D51" s="4" t="s">
        <v>6</v>
      </c>
      <c r="E51" s="4">
        <v>269</v>
      </c>
      <c r="F51" s="4">
        <v>48</v>
      </c>
    </row>
    <row r="52" spans="1:6" x14ac:dyDescent="0.25">
      <c r="A52" s="4" t="s">
        <v>6</v>
      </c>
      <c r="B52" s="4">
        <v>272</v>
      </c>
      <c r="C52" s="4">
        <v>57</v>
      </c>
      <c r="D52" s="4" t="s">
        <v>6</v>
      </c>
      <c r="E52" s="4">
        <v>272</v>
      </c>
      <c r="F52" s="4">
        <v>57</v>
      </c>
    </row>
    <row r="53" spans="1:6" x14ac:dyDescent="0.25">
      <c r="A53" s="4" t="s">
        <v>6</v>
      </c>
      <c r="B53" s="4">
        <v>275</v>
      </c>
      <c r="C53" s="4">
        <v>58</v>
      </c>
      <c r="D53" s="4" t="s">
        <v>6</v>
      </c>
      <c r="E53" s="4">
        <v>275</v>
      </c>
      <c r="F53" s="4">
        <v>58</v>
      </c>
    </row>
    <row r="54" spans="1:6" x14ac:dyDescent="0.25">
      <c r="A54" s="4" t="s">
        <v>6</v>
      </c>
      <c r="B54" s="4">
        <v>276</v>
      </c>
      <c r="C54" s="4">
        <v>63</v>
      </c>
      <c r="D54" s="4" t="s">
        <v>6</v>
      </c>
      <c r="E54" s="4">
        <v>276</v>
      </c>
      <c r="F54" s="4">
        <v>63</v>
      </c>
    </row>
    <row r="55" spans="1:6" x14ac:dyDescent="0.25">
      <c r="A55" s="4" t="s">
        <v>6</v>
      </c>
      <c r="B55" s="4">
        <v>279</v>
      </c>
      <c r="C55" s="4">
        <v>52</v>
      </c>
      <c r="D55" s="4" t="s">
        <v>6</v>
      </c>
      <c r="E55" s="4">
        <v>279</v>
      </c>
      <c r="F55" s="4">
        <v>52</v>
      </c>
    </row>
    <row r="56" spans="1:6" x14ac:dyDescent="0.25">
      <c r="A56" s="4" t="s">
        <v>6</v>
      </c>
      <c r="B56" s="4">
        <v>281</v>
      </c>
      <c r="C56" s="4">
        <v>62</v>
      </c>
      <c r="D56" s="4" t="s">
        <v>6</v>
      </c>
      <c r="E56" s="4">
        <v>281</v>
      </c>
      <c r="F56" s="4">
        <v>62</v>
      </c>
    </row>
    <row r="57" spans="1:6" x14ac:dyDescent="0.25">
      <c r="A57" s="4" t="s">
        <v>6</v>
      </c>
      <c r="B57" s="4">
        <v>283</v>
      </c>
      <c r="C57" s="4">
        <v>71</v>
      </c>
      <c r="D57" s="4" t="s">
        <v>6</v>
      </c>
      <c r="E57" s="4">
        <v>283</v>
      </c>
      <c r="F57" s="4">
        <v>71</v>
      </c>
    </row>
    <row r="58" spans="1:6" x14ac:dyDescent="0.25">
      <c r="A58" s="4" t="s">
        <v>7</v>
      </c>
      <c r="B58" s="4">
        <v>153</v>
      </c>
      <c r="C58" s="4">
        <v>72</v>
      </c>
    </row>
    <row r="59" spans="1:6" x14ac:dyDescent="0.25">
      <c r="A59" s="4" t="s">
        <v>7</v>
      </c>
      <c r="B59" s="4">
        <v>157</v>
      </c>
      <c r="C59" s="4">
        <v>74</v>
      </c>
    </row>
    <row r="60" spans="1:6" x14ac:dyDescent="0.25">
      <c r="A60" s="4" t="s">
        <v>7</v>
      </c>
      <c r="B60" s="4">
        <v>159</v>
      </c>
      <c r="C60" s="4">
        <v>75</v>
      </c>
    </row>
    <row r="61" spans="1:6" x14ac:dyDescent="0.25">
      <c r="A61" s="4" t="s">
        <v>7</v>
      </c>
      <c r="B61" s="4">
        <v>163</v>
      </c>
      <c r="C61" s="4">
        <v>82</v>
      </c>
    </row>
    <row r="62" spans="1:6" x14ac:dyDescent="0.25">
      <c r="A62" s="4" t="s">
        <v>7</v>
      </c>
      <c r="B62" s="4">
        <v>164</v>
      </c>
      <c r="C62" s="4">
        <v>78</v>
      </c>
    </row>
    <row r="63" spans="1:6" x14ac:dyDescent="0.25">
      <c r="A63" s="4" t="s">
        <v>7</v>
      </c>
      <c r="B63" s="4">
        <v>164</v>
      </c>
      <c r="C63" s="4">
        <v>73</v>
      </c>
    </row>
    <row r="64" spans="1:6" x14ac:dyDescent="0.25">
      <c r="A64" s="4" t="s">
        <v>7</v>
      </c>
      <c r="B64" s="4">
        <v>165</v>
      </c>
      <c r="C64" s="4">
        <v>79</v>
      </c>
    </row>
    <row r="65" spans="1:3" x14ac:dyDescent="0.25">
      <c r="A65" s="4" t="s">
        <v>7</v>
      </c>
      <c r="B65" s="4">
        <v>167</v>
      </c>
      <c r="C65" s="4">
        <v>74</v>
      </c>
    </row>
    <row r="66" spans="1:3" x14ac:dyDescent="0.25">
      <c r="A66" s="4" t="s">
        <v>7</v>
      </c>
      <c r="B66" s="4">
        <v>168</v>
      </c>
      <c r="C66" s="4">
        <v>73</v>
      </c>
    </row>
    <row r="67" spans="1:3" x14ac:dyDescent="0.25">
      <c r="A67" s="4" t="s">
        <v>7</v>
      </c>
      <c r="B67" s="4">
        <v>172</v>
      </c>
      <c r="C67" s="4">
        <v>67</v>
      </c>
    </row>
    <row r="68" spans="1:3" x14ac:dyDescent="0.25">
      <c r="A68" s="4" t="s">
        <v>7</v>
      </c>
      <c r="B68" s="4">
        <v>173</v>
      </c>
      <c r="C68" s="4">
        <v>73</v>
      </c>
    </row>
    <row r="69" spans="1:3" x14ac:dyDescent="0.25">
      <c r="A69" s="4" t="s">
        <v>7</v>
      </c>
      <c r="B69" s="4">
        <v>173</v>
      </c>
      <c r="C69" s="4">
        <v>68</v>
      </c>
    </row>
    <row r="70" spans="1:3" x14ac:dyDescent="0.25">
      <c r="A70" s="4" t="s">
        <v>7</v>
      </c>
      <c r="B70" s="4">
        <v>174</v>
      </c>
      <c r="C70" s="4">
        <v>65</v>
      </c>
    </row>
    <row r="71" spans="1:3" x14ac:dyDescent="0.25">
      <c r="A71" s="4" t="s">
        <v>7</v>
      </c>
      <c r="B71" s="4">
        <v>176</v>
      </c>
      <c r="C71" s="4">
        <v>68</v>
      </c>
    </row>
    <row r="72" spans="1:3" x14ac:dyDescent="0.25">
      <c r="A72" s="4" t="s">
        <v>7</v>
      </c>
      <c r="B72" s="4">
        <v>177</v>
      </c>
      <c r="C72" s="4">
        <v>67</v>
      </c>
    </row>
    <row r="73" spans="1:3" x14ac:dyDescent="0.25">
      <c r="A73" s="4" t="s">
        <v>7</v>
      </c>
      <c r="B73" s="4">
        <v>177</v>
      </c>
      <c r="C73" s="4">
        <v>69</v>
      </c>
    </row>
    <row r="74" spans="1:3" x14ac:dyDescent="0.25">
      <c r="A74" s="4" t="s">
        <v>7</v>
      </c>
      <c r="B74" s="4">
        <v>178</v>
      </c>
      <c r="C74" s="4">
        <v>82</v>
      </c>
    </row>
    <row r="75" spans="1:3" x14ac:dyDescent="0.25">
      <c r="A75" s="4" t="s">
        <v>7</v>
      </c>
      <c r="B75" s="4">
        <v>179</v>
      </c>
      <c r="C75" s="4">
        <v>77</v>
      </c>
    </row>
    <row r="76" spans="1:3" x14ac:dyDescent="0.25">
      <c r="A76" s="4" t="s">
        <v>7</v>
      </c>
      <c r="B76" s="4">
        <v>181</v>
      </c>
      <c r="C76" s="4">
        <v>69</v>
      </c>
    </row>
    <row r="77" spans="1:3" x14ac:dyDescent="0.25">
      <c r="A77" s="4" t="s">
        <v>7</v>
      </c>
      <c r="B77" s="4">
        <v>184</v>
      </c>
      <c r="C77" s="4">
        <v>79</v>
      </c>
    </row>
    <row r="78" spans="1:3" x14ac:dyDescent="0.25">
      <c r="A78" s="4" t="s">
        <v>7</v>
      </c>
      <c r="B78" s="4">
        <v>186</v>
      </c>
      <c r="C78" s="4">
        <v>56</v>
      </c>
    </row>
    <row r="79" spans="1:3" x14ac:dyDescent="0.25">
      <c r="A79" s="4" t="s">
        <v>7</v>
      </c>
      <c r="B79" s="4">
        <v>187</v>
      </c>
      <c r="C79" s="4">
        <v>87</v>
      </c>
    </row>
    <row r="80" spans="1:3" x14ac:dyDescent="0.25">
      <c r="A80" s="4" t="s">
        <v>7</v>
      </c>
      <c r="B80" s="4">
        <v>190</v>
      </c>
      <c r="C80" s="4">
        <v>69</v>
      </c>
    </row>
    <row r="81" spans="1:3" x14ac:dyDescent="0.25">
      <c r="A81" s="4" t="s">
        <v>7</v>
      </c>
      <c r="B81" s="4">
        <v>192</v>
      </c>
      <c r="C81" s="4">
        <v>71</v>
      </c>
    </row>
    <row r="82" spans="1:3" x14ac:dyDescent="0.25">
      <c r="A82" s="4" t="s">
        <v>7</v>
      </c>
      <c r="B82" s="4">
        <v>207</v>
      </c>
      <c r="C82" s="4">
        <v>73</v>
      </c>
    </row>
    <row r="83" spans="1:3" x14ac:dyDescent="0.25">
      <c r="A83" s="4" t="s">
        <v>7</v>
      </c>
      <c r="B83" s="4">
        <v>208</v>
      </c>
      <c r="C83" s="4">
        <v>75</v>
      </c>
    </row>
  </sheetData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/>
  </sheetViews>
  <sheetFormatPr defaultColWidth="9.08984375" defaultRowHeight="12.5" x14ac:dyDescent="0.25"/>
  <cols>
    <col min="1" max="16384" width="9.08984375" style="50"/>
  </cols>
  <sheetData>
    <row r="1" spans="1:12" x14ac:dyDescent="0.25">
      <c r="B1" s="53" t="s">
        <v>12</v>
      </c>
    </row>
    <row r="3" spans="1:12" s="47" customFormat="1" ht="12.75" customHeight="1" x14ac:dyDescent="0.25">
      <c r="A3" s="51" t="s">
        <v>13</v>
      </c>
      <c r="B3" s="46" t="s">
        <v>14</v>
      </c>
      <c r="C3" s="46" t="s">
        <v>15</v>
      </c>
      <c r="D3" s="46" t="s">
        <v>16</v>
      </c>
      <c r="E3" s="46" t="s">
        <v>17</v>
      </c>
      <c r="F3" s="46" t="s">
        <v>18</v>
      </c>
      <c r="G3" s="46" t="s">
        <v>19</v>
      </c>
      <c r="H3" s="46" t="s">
        <v>20</v>
      </c>
      <c r="I3" s="46" t="s">
        <v>21</v>
      </c>
      <c r="J3" s="46" t="s">
        <v>22</v>
      </c>
      <c r="K3" s="46" t="s">
        <v>23</v>
      </c>
      <c r="L3" s="46" t="s">
        <v>24</v>
      </c>
    </row>
    <row r="4" spans="1:12" s="49" customFormat="1" ht="13" x14ac:dyDescent="0.25">
      <c r="A4" s="48" t="s">
        <v>25</v>
      </c>
      <c r="B4" s="52">
        <v>169.50122649223221</v>
      </c>
      <c r="C4" s="52">
        <v>124.92553691801221</v>
      </c>
      <c r="D4" s="52">
        <v>129.60464874961087</v>
      </c>
      <c r="E4" s="52">
        <v>105.29759392148586</v>
      </c>
      <c r="F4" s="52">
        <v>86.428571428571431</v>
      </c>
      <c r="G4" s="52">
        <v>6.8941744226128918</v>
      </c>
      <c r="H4" s="52">
        <v>71.61037689672051</v>
      </c>
      <c r="I4" s="52">
        <v>89.492325855962221</v>
      </c>
      <c r="J4" s="52">
        <v>81.657848324514987</v>
      </c>
      <c r="K4" s="52">
        <v>83.493975903614455</v>
      </c>
      <c r="L4" s="52">
        <v>63.840096910963048</v>
      </c>
    </row>
    <row r="5" spans="1:12" s="49" customFormat="1" ht="13" x14ac:dyDescent="0.25">
      <c r="A5" s="48" t="s">
        <v>26</v>
      </c>
      <c r="B5" s="52">
        <v>219.95094031071133</v>
      </c>
      <c r="C5" s="52">
        <v>190.04546167110831</v>
      </c>
      <c r="D5" s="52">
        <v>207.84476496835117</v>
      </c>
      <c r="E5" s="52">
        <v>182.96749683410721</v>
      </c>
      <c r="F5" s="52">
        <v>152.66233766233768</v>
      </c>
      <c r="G5" s="52">
        <v>32.574974146845911</v>
      </c>
      <c r="H5" s="52">
        <v>109.49583945178659</v>
      </c>
      <c r="I5" s="52">
        <v>116.84376229830777</v>
      </c>
      <c r="J5" s="52">
        <v>106.87830687830687</v>
      </c>
      <c r="K5" s="52">
        <v>113.0722891566265</v>
      </c>
      <c r="L5" s="52">
        <v>102.78619018776499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E10"/>
  <sheetViews>
    <sheetView workbookViewId="0">
      <selection activeCell="B10" sqref="B10"/>
    </sheetView>
  </sheetViews>
  <sheetFormatPr defaultColWidth="9.6328125" defaultRowHeight="12.5" x14ac:dyDescent="0.25"/>
  <cols>
    <col min="1" max="1" width="14.6328125" style="5" customWidth="1"/>
    <col min="2" max="2" width="9.6328125" style="5"/>
    <col min="3" max="3" width="10.6328125" style="5" customWidth="1"/>
    <col min="4" max="4" width="12.453125" style="5" customWidth="1"/>
    <col min="5" max="5" width="10.08984375" style="5" customWidth="1"/>
    <col min="6" max="16384" width="9.6328125" style="5"/>
  </cols>
  <sheetData>
    <row r="1" spans="1:5" x14ac:dyDescent="0.25">
      <c r="A1" s="63" t="s">
        <v>27</v>
      </c>
      <c r="B1" s="63"/>
      <c r="C1" s="64"/>
      <c r="D1" s="63"/>
      <c r="E1" s="63"/>
    </row>
    <row r="3" spans="1:5" x14ac:dyDescent="0.25">
      <c r="D3" s="5" t="s">
        <v>28</v>
      </c>
      <c r="E3" s="5" t="s">
        <v>29</v>
      </c>
    </row>
    <row r="4" spans="1:5" x14ac:dyDescent="0.25">
      <c r="A4" s="5" t="s">
        <v>30</v>
      </c>
      <c r="B4" s="5">
        <v>0.25</v>
      </c>
      <c r="D4" s="5">
        <v>0</v>
      </c>
      <c r="E4" s="5">
        <v>4.9000000000000004</v>
      </c>
    </row>
    <row r="5" spans="1:5" x14ac:dyDescent="0.25">
      <c r="A5" s="5" t="s">
        <v>31</v>
      </c>
      <c r="B5" s="5">
        <v>4.9000000000000004</v>
      </c>
      <c r="D5" s="5">
        <v>900</v>
      </c>
      <c r="E5" s="5">
        <v>4</v>
      </c>
    </row>
    <row r="6" spans="1:5" x14ac:dyDescent="0.25">
      <c r="A6" s="5" t="s">
        <v>32</v>
      </c>
      <c r="B6" s="5">
        <v>0.8</v>
      </c>
      <c r="D6" s="5">
        <v>1800</v>
      </c>
      <c r="E6" s="5">
        <v>3.1</v>
      </c>
    </row>
    <row r="7" spans="1:5" x14ac:dyDescent="0.25">
      <c r="D7" s="5">
        <v>2700</v>
      </c>
      <c r="E7" s="5">
        <v>0.9</v>
      </c>
    </row>
    <row r="8" spans="1:5" x14ac:dyDescent="0.25">
      <c r="A8" s="5" t="s">
        <v>33</v>
      </c>
      <c r="B8" s="62" t="s">
        <v>34</v>
      </c>
    </row>
    <row r="9" spans="1:5" x14ac:dyDescent="0.25">
      <c r="A9" s="5" t="s">
        <v>35</v>
      </c>
      <c r="B9" s="5" t="s">
        <v>36</v>
      </c>
      <c r="C9" s="5" t="s">
        <v>37</v>
      </c>
    </row>
    <row r="10" spans="1:5" x14ac:dyDescent="0.25">
      <c r="A10" s="5" t="s">
        <v>38</v>
      </c>
      <c r="B10" s="5" t="s">
        <v>36</v>
      </c>
      <c r="C10" s="5" t="s">
        <v>37</v>
      </c>
    </row>
  </sheetData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E10"/>
  <sheetViews>
    <sheetView workbookViewId="0"/>
  </sheetViews>
  <sheetFormatPr defaultColWidth="9.6328125" defaultRowHeight="12.5" x14ac:dyDescent="0.25"/>
  <cols>
    <col min="1" max="1" width="14.6328125" style="6" customWidth="1"/>
    <col min="2" max="2" width="9.6328125" style="6"/>
    <col min="3" max="3" width="10.6328125" style="6" customWidth="1"/>
    <col min="4" max="4" width="12.453125" style="6" customWidth="1"/>
    <col min="5" max="5" width="10.08984375" style="6" customWidth="1"/>
    <col min="6" max="16384" width="9.6328125" style="6"/>
  </cols>
  <sheetData>
    <row r="1" spans="1:5" x14ac:dyDescent="0.25">
      <c r="A1" s="65" t="s">
        <v>39</v>
      </c>
      <c r="B1" s="65"/>
      <c r="C1" s="64"/>
      <c r="D1" s="65"/>
      <c r="E1" s="65"/>
    </row>
    <row r="3" spans="1:5" x14ac:dyDescent="0.25">
      <c r="D3" s="6" t="s">
        <v>28</v>
      </c>
      <c r="E3" s="6" t="s">
        <v>29</v>
      </c>
    </row>
    <row r="4" spans="1:5" x14ac:dyDescent="0.25">
      <c r="A4" s="6" t="s">
        <v>30</v>
      </c>
      <c r="B4" s="6">
        <v>0.25</v>
      </c>
      <c r="D4" s="6">
        <v>0</v>
      </c>
      <c r="E4" s="6">
        <v>4.9000000000000004</v>
      </c>
    </row>
    <row r="5" spans="1:5" x14ac:dyDescent="0.25">
      <c r="A5" s="6" t="s">
        <v>31</v>
      </c>
      <c r="B5" s="6">
        <v>4.9000000000000004</v>
      </c>
      <c r="D5" s="6">
        <v>900</v>
      </c>
      <c r="E5" s="6">
        <v>4</v>
      </c>
    </row>
    <row r="6" spans="1:5" x14ac:dyDescent="0.25">
      <c r="A6" s="6" t="s">
        <v>32</v>
      </c>
      <c r="B6" s="6">
        <v>0.8</v>
      </c>
      <c r="D6" s="6">
        <v>1800</v>
      </c>
      <c r="E6" s="6">
        <v>3.1</v>
      </c>
    </row>
    <row r="7" spans="1:5" x14ac:dyDescent="0.25">
      <c r="D7" s="6">
        <v>2700</v>
      </c>
      <c r="E7" s="6">
        <v>0.9</v>
      </c>
    </row>
    <row r="8" spans="1:5" x14ac:dyDescent="0.25">
      <c r="A8" s="6" t="s">
        <v>33</v>
      </c>
      <c r="B8" s="6" t="s">
        <v>34</v>
      </c>
    </row>
    <row r="9" spans="1:5" x14ac:dyDescent="0.25">
      <c r="A9" s="6" t="s">
        <v>35</v>
      </c>
      <c r="B9" s="6">
        <f>(((B4/2)*((B4/2)*(B5-B6)/0.19))/(2*((B5-B6)+(B4/2))*D7))*LN((B5-B6)/E7)</f>
        <v>2.2409313133705473E-5</v>
      </c>
      <c r="C9" s="6" t="s">
        <v>37</v>
      </c>
    </row>
    <row r="10" spans="1:5" x14ac:dyDescent="0.25">
      <c r="A10" s="6" t="s">
        <v>38</v>
      </c>
      <c r="B10" s="6">
        <f>(40/((20+(B5-B6)/(B4/2))*(2-((E5+E6)/2)/(B5-B6))))*((B4/2)/((E5+E6)/2))*((E5-E6)/(D6-D5))</f>
        <v>2.3520071225659585E-5</v>
      </c>
      <c r="C10" s="6" t="s">
        <v>37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J103"/>
  <sheetViews>
    <sheetView workbookViewId="0"/>
  </sheetViews>
  <sheetFormatPr defaultColWidth="9.6328125" defaultRowHeight="12.5" x14ac:dyDescent="0.25"/>
  <cols>
    <col min="1" max="16384" width="9.6328125" style="7"/>
  </cols>
  <sheetData>
    <row r="1" spans="1:10" x14ac:dyDescent="0.25">
      <c r="B1" s="7" t="s">
        <v>40</v>
      </c>
      <c r="E1"/>
    </row>
    <row r="3" spans="1:10" s="66" customFormat="1" x14ac:dyDescent="0.25">
      <c r="A3" s="66" t="s">
        <v>41</v>
      </c>
      <c r="B3" s="66" t="s">
        <v>42</v>
      </c>
      <c r="C3" s="66" t="s">
        <v>43</v>
      </c>
      <c r="D3" s="66" t="s">
        <v>44</v>
      </c>
      <c r="E3" s="66" t="s">
        <v>45</v>
      </c>
      <c r="F3" s="66" t="s">
        <v>46</v>
      </c>
      <c r="G3" s="66" t="s">
        <v>47</v>
      </c>
      <c r="H3" s="66" t="s">
        <v>48</v>
      </c>
      <c r="I3" s="66" t="s">
        <v>49</v>
      </c>
      <c r="J3" s="67" t="s">
        <v>50</v>
      </c>
    </row>
    <row r="4" spans="1:10" x14ac:dyDescent="0.25">
      <c r="A4" s="7">
        <v>342</v>
      </c>
      <c r="B4" s="7">
        <v>10</v>
      </c>
      <c r="C4" s="7" t="s">
        <v>36</v>
      </c>
      <c r="D4" s="7" t="s">
        <v>36</v>
      </c>
      <c r="E4" s="7" t="s">
        <v>36</v>
      </c>
      <c r="F4" s="7" t="s">
        <v>36</v>
      </c>
      <c r="G4" s="7" t="s">
        <v>36</v>
      </c>
      <c r="H4" s="7">
        <v>1</v>
      </c>
      <c r="I4" s="68">
        <f>178.3*2</f>
        <v>356.6</v>
      </c>
      <c r="J4" s="7" t="s">
        <v>36</v>
      </c>
    </row>
    <row r="5" spans="1:10" x14ac:dyDescent="0.25">
      <c r="A5" s="7">
        <v>259</v>
      </c>
      <c r="B5" s="7">
        <v>20</v>
      </c>
      <c r="C5" s="7" t="s">
        <v>36</v>
      </c>
      <c r="D5" s="7" t="s">
        <v>36</v>
      </c>
      <c r="E5" s="7" t="s">
        <v>36</v>
      </c>
      <c r="F5" s="7" t="s">
        <v>36</v>
      </c>
      <c r="G5" s="7" t="s">
        <v>36</v>
      </c>
      <c r="H5" s="7">
        <v>2</v>
      </c>
      <c r="I5" s="68">
        <f>176.7*2</f>
        <v>353.4</v>
      </c>
      <c r="J5" s="7" t="s">
        <v>51</v>
      </c>
    </row>
    <row r="6" spans="1:10" x14ac:dyDescent="0.25">
      <c r="A6" s="7">
        <v>265</v>
      </c>
      <c r="B6" s="7">
        <v>30</v>
      </c>
      <c r="C6" s="7" t="s">
        <v>36</v>
      </c>
      <c r="D6" s="7" t="s">
        <v>36</v>
      </c>
      <c r="E6" s="7" t="s">
        <v>36</v>
      </c>
      <c r="F6" s="7" t="s">
        <v>36</v>
      </c>
      <c r="G6" s="7" t="s">
        <v>36</v>
      </c>
      <c r="H6" s="7">
        <v>3</v>
      </c>
      <c r="I6" s="68">
        <f>175*2</f>
        <v>350</v>
      </c>
      <c r="J6" s="7" t="s">
        <v>36</v>
      </c>
    </row>
    <row r="7" spans="1:10" x14ac:dyDescent="0.25">
      <c r="A7" s="7">
        <v>265</v>
      </c>
      <c r="B7" s="7">
        <v>40</v>
      </c>
      <c r="C7" s="7" t="s">
        <v>36</v>
      </c>
      <c r="D7" s="7" t="s">
        <v>36</v>
      </c>
      <c r="E7" s="7" t="s">
        <v>36</v>
      </c>
      <c r="F7" s="7" t="s">
        <v>36</v>
      </c>
      <c r="G7" s="7" t="s">
        <v>36</v>
      </c>
      <c r="H7" s="7">
        <v>4</v>
      </c>
      <c r="I7" s="68">
        <f>173.3*2</f>
        <v>346.6</v>
      </c>
      <c r="J7" s="7" t="s">
        <v>52</v>
      </c>
    </row>
    <row r="8" spans="1:10" x14ac:dyDescent="0.25">
      <c r="A8" s="7">
        <v>274</v>
      </c>
      <c r="B8" s="7">
        <v>50</v>
      </c>
      <c r="C8" s="7" t="s">
        <v>36</v>
      </c>
      <c r="D8" s="7" t="s">
        <v>36</v>
      </c>
      <c r="E8" s="7" t="s">
        <v>36</v>
      </c>
      <c r="F8" s="7" t="s">
        <v>36</v>
      </c>
      <c r="G8" s="7" t="s">
        <v>36</v>
      </c>
      <c r="H8" s="7">
        <v>5</v>
      </c>
      <c r="I8" s="68">
        <f>171.6*2</f>
        <v>343.2</v>
      </c>
      <c r="J8" s="7" t="s">
        <v>36</v>
      </c>
    </row>
    <row r="9" spans="1:10" x14ac:dyDescent="0.25">
      <c r="A9" s="7">
        <v>268</v>
      </c>
      <c r="B9" s="7">
        <v>60</v>
      </c>
      <c r="C9" s="7" t="s">
        <v>36</v>
      </c>
      <c r="D9" s="7" t="s">
        <v>36</v>
      </c>
      <c r="E9" s="7" t="s">
        <v>36</v>
      </c>
      <c r="F9" s="7" t="s">
        <v>36</v>
      </c>
      <c r="G9" s="7" t="s">
        <v>36</v>
      </c>
      <c r="H9" s="7">
        <v>6</v>
      </c>
      <c r="I9" s="68">
        <f>170*2</f>
        <v>340</v>
      </c>
      <c r="J9" s="7" t="s">
        <v>53</v>
      </c>
    </row>
    <row r="10" spans="1:10" x14ac:dyDescent="0.25">
      <c r="A10" s="7">
        <v>301</v>
      </c>
      <c r="B10" s="7">
        <v>70</v>
      </c>
      <c r="C10" s="7" t="s">
        <v>36</v>
      </c>
      <c r="D10" s="7" t="s">
        <v>36</v>
      </c>
      <c r="E10" s="7" t="s">
        <v>36</v>
      </c>
      <c r="F10" s="7" t="s">
        <v>36</v>
      </c>
      <c r="G10" s="7" t="s">
        <v>36</v>
      </c>
      <c r="H10" s="7">
        <v>7</v>
      </c>
      <c r="I10" s="68">
        <f>168.4*2</f>
        <v>336.8</v>
      </c>
      <c r="J10" s="7" t="s">
        <v>36</v>
      </c>
    </row>
    <row r="11" spans="1:10" x14ac:dyDescent="0.25">
      <c r="A11" s="7">
        <v>256</v>
      </c>
      <c r="B11" s="7">
        <v>80</v>
      </c>
      <c r="C11" s="7" t="s">
        <v>36</v>
      </c>
      <c r="D11" s="7" t="s">
        <v>36</v>
      </c>
      <c r="E11" s="7" t="s">
        <v>36</v>
      </c>
      <c r="F11" s="7" t="s">
        <v>36</v>
      </c>
      <c r="G11" s="7" t="s">
        <v>36</v>
      </c>
      <c r="H11" s="7">
        <v>8</v>
      </c>
      <c r="I11" s="68">
        <f>166.7*2</f>
        <v>333.4</v>
      </c>
      <c r="J11" s="7" t="s">
        <v>36</v>
      </c>
    </row>
    <row r="12" spans="1:10" x14ac:dyDescent="0.25">
      <c r="A12" s="7">
        <v>334</v>
      </c>
      <c r="B12" s="7">
        <v>90</v>
      </c>
      <c r="C12" s="7" t="s">
        <v>36</v>
      </c>
      <c r="D12" s="7" t="s">
        <v>36</v>
      </c>
      <c r="E12" s="7" t="s">
        <v>36</v>
      </c>
      <c r="F12" s="7" t="s">
        <v>36</v>
      </c>
      <c r="G12" s="7" t="s">
        <v>36</v>
      </c>
      <c r="H12" s="7">
        <v>9</v>
      </c>
      <c r="I12" s="68">
        <f>165.1*2</f>
        <v>330.2</v>
      </c>
    </row>
    <row r="13" spans="1:10" x14ac:dyDescent="0.25">
      <c r="A13" s="7">
        <v>265</v>
      </c>
      <c r="B13" s="7">
        <v>100</v>
      </c>
      <c r="C13" s="7" t="s">
        <v>36</v>
      </c>
      <c r="D13" s="7" t="s">
        <v>36</v>
      </c>
      <c r="E13" s="7" t="s">
        <v>36</v>
      </c>
      <c r="F13" s="7" t="s">
        <v>36</v>
      </c>
      <c r="G13" s="7" t="s">
        <v>36</v>
      </c>
      <c r="H13" s="7">
        <v>10</v>
      </c>
      <c r="I13" s="68">
        <f>163.5*2</f>
        <v>327</v>
      </c>
    </row>
    <row r="14" spans="1:10" x14ac:dyDescent="0.25">
      <c r="A14" s="7">
        <v>310</v>
      </c>
      <c r="B14" s="7">
        <v>110</v>
      </c>
      <c r="C14" s="7" t="s">
        <v>36</v>
      </c>
      <c r="D14" s="7" t="s">
        <v>36</v>
      </c>
      <c r="E14" s="7" t="s">
        <v>36</v>
      </c>
      <c r="F14" s="7" t="s">
        <v>36</v>
      </c>
      <c r="G14" s="7" t="s">
        <v>36</v>
      </c>
      <c r="H14" s="7">
        <v>11</v>
      </c>
      <c r="I14" s="68">
        <f>162*2</f>
        <v>324</v>
      </c>
    </row>
    <row r="15" spans="1:10" x14ac:dyDescent="0.25">
      <c r="A15" s="7">
        <v>270</v>
      </c>
      <c r="B15" s="7">
        <v>120</v>
      </c>
      <c r="C15" s="7" t="s">
        <v>36</v>
      </c>
      <c r="D15" s="7" t="s">
        <v>36</v>
      </c>
      <c r="E15" s="7" t="s">
        <v>36</v>
      </c>
      <c r="F15" s="7" t="s">
        <v>36</v>
      </c>
      <c r="G15" s="7" t="s">
        <v>36</v>
      </c>
      <c r="H15" s="7">
        <v>12</v>
      </c>
      <c r="I15" s="68">
        <f>160.5*2</f>
        <v>321</v>
      </c>
    </row>
    <row r="16" spans="1:10" x14ac:dyDescent="0.25">
      <c r="A16" s="7">
        <v>267</v>
      </c>
      <c r="B16" s="7">
        <v>130</v>
      </c>
      <c r="C16" s="7" t="s">
        <v>36</v>
      </c>
      <c r="D16" s="7" t="s">
        <v>36</v>
      </c>
      <c r="E16" s="7" t="s">
        <v>36</v>
      </c>
      <c r="F16" s="7" t="s">
        <v>36</v>
      </c>
      <c r="G16" s="7" t="s">
        <v>36</v>
      </c>
      <c r="H16" s="7">
        <v>13</v>
      </c>
      <c r="I16" s="68">
        <f>159*2</f>
        <v>318</v>
      </c>
    </row>
    <row r="17" spans="1:9" x14ac:dyDescent="0.25">
      <c r="A17" s="7">
        <v>253</v>
      </c>
      <c r="B17" s="7">
        <v>140</v>
      </c>
      <c r="C17" s="7" t="s">
        <v>36</v>
      </c>
      <c r="D17" s="7" t="s">
        <v>36</v>
      </c>
      <c r="E17" s="7" t="s">
        <v>36</v>
      </c>
      <c r="F17" s="7" t="s">
        <v>36</v>
      </c>
      <c r="G17" s="7" t="s">
        <v>36</v>
      </c>
      <c r="H17" s="7">
        <v>14</v>
      </c>
      <c r="I17" s="68">
        <f>157.5*2</f>
        <v>315</v>
      </c>
    </row>
    <row r="18" spans="1:9" x14ac:dyDescent="0.25">
      <c r="A18" s="7">
        <v>241</v>
      </c>
      <c r="B18" s="7">
        <v>150</v>
      </c>
      <c r="C18" s="7" t="s">
        <v>36</v>
      </c>
      <c r="D18" s="7" t="s">
        <v>36</v>
      </c>
      <c r="E18" s="7" t="s">
        <v>36</v>
      </c>
      <c r="F18" s="7" t="s">
        <v>36</v>
      </c>
      <c r="G18" s="7" t="s">
        <v>36</v>
      </c>
      <c r="H18" s="7">
        <v>15</v>
      </c>
      <c r="I18" s="68">
        <f>156*2</f>
        <v>312</v>
      </c>
    </row>
    <row r="19" spans="1:9" x14ac:dyDescent="0.25">
      <c r="A19" s="7">
        <v>287</v>
      </c>
      <c r="B19" s="7">
        <v>160</v>
      </c>
      <c r="C19" s="7" t="s">
        <v>36</v>
      </c>
      <c r="D19" s="7" t="s">
        <v>36</v>
      </c>
      <c r="E19" s="7" t="s">
        <v>36</v>
      </c>
      <c r="F19" s="7" t="s">
        <v>36</v>
      </c>
      <c r="G19" s="7" t="s">
        <v>36</v>
      </c>
      <c r="H19" s="7">
        <v>16</v>
      </c>
      <c r="I19" s="68">
        <f>154.5*2</f>
        <v>309</v>
      </c>
    </row>
    <row r="20" spans="1:9" x14ac:dyDescent="0.25">
      <c r="A20" s="7">
        <v>256</v>
      </c>
      <c r="B20" s="7">
        <v>170</v>
      </c>
      <c r="C20" s="7" t="s">
        <v>36</v>
      </c>
      <c r="D20" s="7" t="s">
        <v>36</v>
      </c>
      <c r="E20" s="7" t="s">
        <v>36</v>
      </c>
      <c r="F20" s="7" t="s">
        <v>36</v>
      </c>
      <c r="G20" s="7" t="s">
        <v>36</v>
      </c>
      <c r="H20" s="7">
        <v>17</v>
      </c>
      <c r="I20" s="68">
        <f>153*2</f>
        <v>306</v>
      </c>
    </row>
    <row r="21" spans="1:9" x14ac:dyDescent="0.25">
      <c r="A21" s="7">
        <v>274</v>
      </c>
      <c r="B21" s="7">
        <v>180</v>
      </c>
      <c r="C21" s="7" t="s">
        <v>36</v>
      </c>
      <c r="D21" s="7" t="s">
        <v>36</v>
      </c>
      <c r="E21" s="7" t="s">
        <v>36</v>
      </c>
      <c r="F21" s="7" t="s">
        <v>36</v>
      </c>
      <c r="G21" s="7" t="s">
        <v>36</v>
      </c>
      <c r="H21" s="7">
        <v>18</v>
      </c>
      <c r="I21" s="68">
        <f>151.5*2</f>
        <v>303</v>
      </c>
    </row>
    <row r="22" spans="1:9" x14ac:dyDescent="0.25">
      <c r="A22" s="7">
        <v>286</v>
      </c>
      <c r="B22" s="7">
        <v>190</v>
      </c>
      <c r="C22" s="7" t="s">
        <v>36</v>
      </c>
      <c r="D22" s="7" t="s">
        <v>36</v>
      </c>
      <c r="E22" s="7" t="s">
        <v>36</v>
      </c>
      <c r="F22" s="7" t="s">
        <v>36</v>
      </c>
      <c r="G22" s="7" t="s">
        <v>36</v>
      </c>
      <c r="H22" s="7">
        <v>19</v>
      </c>
      <c r="I22" s="68">
        <f>150*2</f>
        <v>300</v>
      </c>
    </row>
    <row r="23" spans="1:9" x14ac:dyDescent="0.25">
      <c r="A23" s="7">
        <v>272</v>
      </c>
      <c r="B23" s="7">
        <v>200</v>
      </c>
      <c r="C23" s="7" t="s">
        <v>36</v>
      </c>
      <c r="D23" s="7" t="s">
        <v>36</v>
      </c>
      <c r="E23" s="7" t="s">
        <v>36</v>
      </c>
      <c r="F23" s="7" t="s">
        <v>36</v>
      </c>
      <c r="G23" s="7" t="s">
        <v>36</v>
      </c>
      <c r="H23" s="7">
        <v>20</v>
      </c>
      <c r="I23" s="68">
        <f>148.5*2</f>
        <v>297</v>
      </c>
    </row>
    <row r="24" spans="1:9" x14ac:dyDescent="0.25">
      <c r="A24" s="7">
        <v>263</v>
      </c>
      <c r="B24" s="7">
        <v>210</v>
      </c>
      <c r="C24" s="7" t="s">
        <v>36</v>
      </c>
      <c r="D24" s="7" t="s">
        <v>36</v>
      </c>
      <c r="E24" s="7" t="s">
        <v>36</v>
      </c>
      <c r="F24" s="7" t="s">
        <v>36</v>
      </c>
      <c r="G24" s="7" t="s">
        <v>36</v>
      </c>
      <c r="H24" s="7">
        <v>21</v>
      </c>
      <c r="I24" s="68">
        <f>147.1*2</f>
        <v>294.2</v>
      </c>
    </row>
    <row r="25" spans="1:9" x14ac:dyDescent="0.25">
      <c r="A25" s="7">
        <v>303</v>
      </c>
      <c r="B25" s="7">
        <v>220</v>
      </c>
      <c r="C25" s="7" t="s">
        <v>36</v>
      </c>
      <c r="D25" s="7" t="s">
        <v>36</v>
      </c>
      <c r="E25" s="7" t="s">
        <v>36</v>
      </c>
      <c r="F25" s="7" t="s">
        <v>36</v>
      </c>
      <c r="G25" s="7" t="s">
        <v>36</v>
      </c>
      <c r="H25" s="7">
        <v>22</v>
      </c>
      <c r="I25" s="68">
        <f>145.7*2</f>
        <v>291.39999999999998</v>
      </c>
    </row>
    <row r="26" spans="1:9" x14ac:dyDescent="0.25">
      <c r="A26" s="7">
        <v>293</v>
      </c>
      <c r="B26" s="7">
        <v>230</v>
      </c>
      <c r="C26" s="7" t="s">
        <v>36</v>
      </c>
      <c r="D26" s="7" t="s">
        <v>36</v>
      </c>
      <c r="E26" s="7" t="s">
        <v>36</v>
      </c>
      <c r="F26" s="7" t="s">
        <v>36</v>
      </c>
      <c r="G26" s="7" t="s">
        <v>36</v>
      </c>
      <c r="H26" s="7">
        <v>23</v>
      </c>
      <c r="I26" s="68">
        <f>144.3*2</f>
        <v>288.60000000000002</v>
      </c>
    </row>
    <row r="27" spans="1:9" x14ac:dyDescent="0.25">
      <c r="A27" s="7">
        <v>307</v>
      </c>
      <c r="B27" s="7">
        <v>240</v>
      </c>
      <c r="C27" s="7" t="s">
        <v>36</v>
      </c>
      <c r="D27" s="7" t="s">
        <v>36</v>
      </c>
      <c r="E27" s="7" t="s">
        <v>36</v>
      </c>
      <c r="F27" s="7" t="s">
        <v>36</v>
      </c>
      <c r="G27" s="7" t="s">
        <v>36</v>
      </c>
      <c r="H27" s="7">
        <v>24</v>
      </c>
      <c r="I27" s="68">
        <f>142.9*2</f>
        <v>285.8</v>
      </c>
    </row>
    <row r="28" spans="1:9" x14ac:dyDescent="0.25">
      <c r="A28" s="7">
        <v>297</v>
      </c>
      <c r="B28" s="7">
        <v>250</v>
      </c>
      <c r="C28" s="7" t="s">
        <v>36</v>
      </c>
      <c r="D28" s="7" t="s">
        <v>36</v>
      </c>
      <c r="E28" s="7" t="s">
        <v>36</v>
      </c>
      <c r="F28" s="7" t="s">
        <v>36</v>
      </c>
      <c r="G28" s="7" t="s">
        <v>36</v>
      </c>
      <c r="H28" s="7">
        <v>25</v>
      </c>
      <c r="I28" s="68">
        <f>141.5*2</f>
        <v>283</v>
      </c>
    </row>
    <row r="29" spans="1:9" x14ac:dyDescent="0.25">
      <c r="A29" s="7">
        <v>304</v>
      </c>
      <c r="B29" s="7">
        <v>260</v>
      </c>
      <c r="C29" s="7" t="s">
        <v>36</v>
      </c>
      <c r="D29" s="7" t="s">
        <v>36</v>
      </c>
      <c r="E29" s="7" t="s">
        <v>36</v>
      </c>
      <c r="F29" s="7" t="s">
        <v>36</v>
      </c>
      <c r="G29" s="7" t="s">
        <v>36</v>
      </c>
      <c r="H29" s="7">
        <v>26</v>
      </c>
      <c r="I29" s="68">
        <f>140.1*2</f>
        <v>280.2</v>
      </c>
    </row>
    <row r="30" spans="1:9" x14ac:dyDescent="0.25">
      <c r="A30" s="7">
        <v>310</v>
      </c>
      <c r="B30" s="7">
        <v>270</v>
      </c>
      <c r="C30" s="7" t="s">
        <v>36</v>
      </c>
      <c r="D30" s="7" t="s">
        <v>36</v>
      </c>
      <c r="E30" s="7" t="s">
        <v>36</v>
      </c>
      <c r="F30" s="7" t="s">
        <v>36</v>
      </c>
      <c r="G30" s="7" t="s">
        <v>36</v>
      </c>
      <c r="H30" s="7">
        <v>27</v>
      </c>
      <c r="I30" s="68">
        <f>138.7*2</f>
        <v>277.39999999999998</v>
      </c>
    </row>
    <row r="31" spans="1:9" x14ac:dyDescent="0.25">
      <c r="A31" s="7">
        <v>329</v>
      </c>
      <c r="B31" s="7">
        <v>280</v>
      </c>
      <c r="C31" s="7" t="s">
        <v>36</v>
      </c>
      <c r="D31" s="7" t="s">
        <v>36</v>
      </c>
      <c r="E31" s="7" t="s">
        <v>36</v>
      </c>
      <c r="F31" s="7" t="s">
        <v>36</v>
      </c>
      <c r="G31" s="7" t="s">
        <v>36</v>
      </c>
      <c r="H31" s="7">
        <v>28</v>
      </c>
      <c r="I31" s="68">
        <f>137.3*2</f>
        <v>274.60000000000002</v>
      </c>
    </row>
    <row r="32" spans="1:9" x14ac:dyDescent="0.25">
      <c r="A32" s="7">
        <v>305</v>
      </c>
      <c r="B32" s="7">
        <v>290</v>
      </c>
      <c r="C32" s="7" t="s">
        <v>36</v>
      </c>
      <c r="D32" s="7" t="s">
        <v>36</v>
      </c>
      <c r="E32" s="7" t="s">
        <v>36</v>
      </c>
      <c r="F32" s="7" t="s">
        <v>36</v>
      </c>
      <c r="G32" s="7" t="s">
        <v>36</v>
      </c>
      <c r="H32" s="7">
        <v>29</v>
      </c>
      <c r="I32" s="68">
        <f>135.9*2</f>
        <v>271.8</v>
      </c>
    </row>
    <row r="33" spans="1:9" x14ac:dyDescent="0.25">
      <c r="A33" s="7">
        <v>301</v>
      </c>
      <c r="B33" s="7">
        <v>300</v>
      </c>
      <c r="C33" s="7" t="s">
        <v>36</v>
      </c>
      <c r="D33" s="7" t="s">
        <v>36</v>
      </c>
      <c r="E33" s="7" t="s">
        <v>36</v>
      </c>
      <c r="F33" s="7" t="s">
        <v>36</v>
      </c>
      <c r="G33" s="7" t="s">
        <v>36</v>
      </c>
      <c r="H33" s="7">
        <v>30</v>
      </c>
      <c r="I33" s="68">
        <f>134.5*2</f>
        <v>269</v>
      </c>
    </row>
    <row r="34" spans="1:9" x14ac:dyDescent="0.25">
      <c r="A34" s="7">
        <v>312</v>
      </c>
      <c r="B34" s="7">
        <v>310</v>
      </c>
      <c r="C34" s="7" t="s">
        <v>36</v>
      </c>
      <c r="D34" s="7" t="s">
        <v>36</v>
      </c>
      <c r="E34" s="7" t="s">
        <v>36</v>
      </c>
      <c r="F34" s="7" t="s">
        <v>36</v>
      </c>
      <c r="G34" s="7" t="s">
        <v>36</v>
      </c>
      <c r="H34" s="7">
        <v>31</v>
      </c>
      <c r="I34" s="68">
        <f>133.2*2</f>
        <v>266.39999999999998</v>
      </c>
    </row>
    <row r="35" spans="1:9" x14ac:dyDescent="0.25">
      <c r="A35" s="7">
        <v>317</v>
      </c>
      <c r="B35" s="7">
        <v>320</v>
      </c>
      <c r="C35" s="7" t="s">
        <v>36</v>
      </c>
      <c r="D35" s="7" t="s">
        <v>36</v>
      </c>
      <c r="E35" s="7" t="s">
        <v>36</v>
      </c>
      <c r="F35" s="7" t="s">
        <v>36</v>
      </c>
      <c r="G35" s="7" t="s">
        <v>36</v>
      </c>
      <c r="H35" s="7">
        <v>32</v>
      </c>
      <c r="I35" s="68">
        <f>131.9*2</f>
        <v>263.8</v>
      </c>
    </row>
    <row r="36" spans="1:9" x14ac:dyDescent="0.25">
      <c r="A36" s="7">
        <v>295</v>
      </c>
      <c r="B36" s="7">
        <v>330</v>
      </c>
      <c r="C36" s="7" t="s">
        <v>36</v>
      </c>
      <c r="D36" s="7" t="s">
        <v>36</v>
      </c>
      <c r="E36" s="7" t="s">
        <v>36</v>
      </c>
      <c r="F36" s="7" t="s">
        <v>36</v>
      </c>
      <c r="G36" s="7" t="s">
        <v>36</v>
      </c>
      <c r="H36" s="7">
        <v>33</v>
      </c>
      <c r="I36" s="68">
        <f>130.6*2</f>
        <v>261.2</v>
      </c>
    </row>
    <row r="37" spans="1:9" x14ac:dyDescent="0.25">
      <c r="A37" s="7">
        <v>332</v>
      </c>
      <c r="B37" s="7">
        <v>340</v>
      </c>
      <c r="C37" s="7" t="s">
        <v>36</v>
      </c>
      <c r="D37" s="7" t="s">
        <v>36</v>
      </c>
      <c r="E37" s="7" t="s">
        <v>36</v>
      </c>
      <c r="F37" s="7" t="s">
        <v>36</v>
      </c>
      <c r="G37" s="7" t="s">
        <v>36</v>
      </c>
      <c r="H37" s="7">
        <v>34</v>
      </c>
      <c r="I37" s="68">
        <f>129.3*2</f>
        <v>258.60000000000002</v>
      </c>
    </row>
    <row r="38" spans="1:9" x14ac:dyDescent="0.25">
      <c r="A38" s="7">
        <v>286</v>
      </c>
      <c r="B38" s="7">
        <v>350</v>
      </c>
      <c r="C38" s="7" t="s">
        <v>36</v>
      </c>
      <c r="D38" s="7" t="s">
        <v>36</v>
      </c>
      <c r="E38" s="7" t="s">
        <v>36</v>
      </c>
      <c r="F38" s="7" t="s">
        <v>36</v>
      </c>
      <c r="G38" s="7" t="s">
        <v>36</v>
      </c>
      <c r="H38" s="7">
        <v>35</v>
      </c>
      <c r="I38" s="68">
        <f>128*2</f>
        <v>256</v>
      </c>
    </row>
    <row r="39" spans="1:9" x14ac:dyDescent="0.25">
      <c r="A39" s="7">
        <v>294</v>
      </c>
      <c r="B39" s="7">
        <v>360</v>
      </c>
      <c r="C39" s="7" t="s">
        <v>36</v>
      </c>
      <c r="D39" s="7" t="s">
        <v>36</v>
      </c>
      <c r="E39" s="7" t="s">
        <v>36</v>
      </c>
      <c r="F39" s="7" t="s">
        <v>36</v>
      </c>
      <c r="G39" s="7" t="s">
        <v>36</v>
      </c>
      <c r="H39" s="7">
        <v>36</v>
      </c>
      <c r="I39" s="68">
        <f>126.7*2</f>
        <v>253.4</v>
      </c>
    </row>
    <row r="40" spans="1:9" x14ac:dyDescent="0.25">
      <c r="A40" s="7">
        <v>297</v>
      </c>
      <c r="C40" s="7" t="s">
        <v>36</v>
      </c>
      <c r="D40" s="7" t="s">
        <v>36</v>
      </c>
      <c r="E40" s="7" t="s">
        <v>36</v>
      </c>
      <c r="F40" s="7" t="s">
        <v>36</v>
      </c>
      <c r="G40" s="7" t="s">
        <v>36</v>
      </c>
      <c r="H40" s="7">
        <v>37</v>
      </c>
      <c r="I40" s="68">
        <f>125.4*2</f>
        <v>250.8</v>
      </c>
    </row>
    <row r="41" spans="1:9" x14ac:dyDescent="0.25">
      <c r="A41" s="7">
        <v>281</v>
      </c>
      <c r="C41" s="7" t="s">
        <v>36</v>
      </c>
      <c r="E41" s="7" t="s">
        <v>36</v>
      </c>
      <c r="F41" s="7" t="s">
        <v>36</v>
      </c>
      <c r="G41" s="7" t="s">
        <v>36</v>
      </c>
      <c r="H41" s="7">
        <v>38</v>
      </c>
      <c r="I41" s="68">
        <f>124.1*2</f>
        <v>248.2</v>
      </c>
    </row>
    <row r="42" spans="1:9" x14ac:dyDescent="0.25">
      <c r="F42" s="7" t="s">
        <v>36</v>
      </c>
      <c r="H42" s="7">
        <v>39</v>
      </c>
      <c r="I42" s="68">
        <f>122.8*2</f>
        <v>245.6</v>
      </c>
    </row>
    <row r="43" spans="1:9" x14ac:dyDescent="0.25">
      <c r="H43" s="7">
        <v>40</v>
      </c>
      <c r="I43" s="68">
        <f>121.5*2</f>
        <v>243</v>
      </c>
    </row>
    <row r="44" spans="1:9" x14ac:dyDescent="0.25">
      <c r="H44" s="7">
        <v>41</v>
      </c>
      <c r="I44" s="68">
        <f>120.2*2</f>
        <v>240.4</v>
      </c>
    </row>
    <row r="45" spans="1:9" x14ac:dyDescent="0.25">
      <c r="H45" s="7">
        <v>42</v>
      </c>
      <c r="I45" s="68">
        <f>119*2</f>
        <v>238</v>
      </c>
    </row>
    <row r="46" spans="1:9" x14ac:dyDescent="0.25">
      <c r="H46" s="7">
        <v>43</v>
      </c>
      <c r="I46" s="68">
        <f>117.7*2</f>
        <v>235.4</v>
      </c>
    </row>
    <row r="47" spans="1:9" x14ac:dyDescent="0.25">
      <c r="H47" s="7">
        <v>44</v>
      </c>
      <c r="I47" s="68">
        <f>116.4*2</f>
        <v>232.8</v>
      </c>
    </row>
    <row r="48" spans="1:9" x14ac:dyDescent="0.25">
      <c r="H48" s="7">
        <v>45</v>
      </c>
      <c r="I48" s="68">
        <f>115.2*2</f>
        <v>230.4</v>
      </c>
    </row>
    <row r="49" spans="8:9" x14ac:dyDescent="0.25">
      <c r="H49" s="7">
        <v>46</v>
      </c>
      <c r="I49" s="68">
        <f>114*2</f>
        <v>228</v>
      </c>
    </row>
    <row r="50" spans="8:9" x14ac:dyDescent="0.25">
      <c r="H50" s="7">
        <v>47</v>
      </c>
      <c r="I50" s="68">
        <f>112.7*2</f>
        <v>225.4</v>
      </c>
    </row>
    <row r="51" spans="8:9" x14ac:dyDescent="0.25">
      <c r="H51" s="7">
        <v>48</v>
      </c>
      <c r="I51" s="68">
        <f>111.5*2</f>
        <v>223</v>
      </c>
    </row>
    <row r="52" spans="8:9" x14ac:dyDescent="0.25">
      <c r="H52" s="7">
        <v>49</v>
      </c>
      <c r="I52" s="68">
        <f>110.2*2</f>
        <v>220.4</v>
      </c>
    </row>
    <row r="53" spans="8:9" x14ac:dyDescent="0.25">
      <c r="H53" s="7">
        <v>50</v>
      </c>
      <c r="I53" s="68">
        <f>109*2</f>
        <v>218</v>
      </c>
    </row>
    <row r="54" spans="8:9" x14ac:dyDescent="0.25">
      <c r="H54" s="7">
        <v>51</v>
      </c>
      <c r="I54" s="68">
        <f>107.7*2</f>
        <v>215.4</v>
      </c>
    </row>
    <row r="55" spans="8:9" x14ac:dyDescent="0.25">
      <c r="H55" s="7">
        <v>52</v>
      </c>
      <c r="I55" s="68">
        <f>106.5*2</f>
        <v>213</v>
      </c>
    </row>
    <row r="56" spans="8:9" x14ac:dyDescent="0.25">
      <c r="H56" s="7">
        <v>53</v>
      </c>
      <c r="I56" s="68">
        <f>105.2*2</f>
        <v>210.4</v>
      </c>
    </row>
    <row r="57" spans="8:9" x14ac:dyDescent="0.25">
      <c r="H57" s="7">
        <v>54</v>
      </c>
      <c r="I57" s="68">
        <f>104*2</f>
        <v>208</v>
      </c>
    </row>
    <row r="58" spans="8:9" x14ac:dyDescent="0.25">
      <c r="H58" s="7">
        <v>55</v>
      </c>
      <c r="I58" s="68">
        <f>102.7*2</f>
        <v>205.4</v>
      </c>
    </row>
    <row r="59" spans="8:9" x14ac:dyDescent="0.25">
      <c r="H59" s="7">
        <v>56</v>
      </c>
      <c r="I59" s="68">
        <f>101.4*2</f>
        <v>202.8</v>
      </c>
    </row>
    <row r="60" spans="8:9" x14ac:dyDescent="0.25">
      <c r="H60" s="7">
        <v>57</v>
      </c>
      <c r="I60" s="68">
        <f>100*2</f>
        <v>200</v>
      </c>
    </row>
    <row r="61" spans="8:9" x14ac:dyDescent="0.25">
      <c r="H61" s="7">
        <v>58</v>
      </c>
      <c r="I61" s="68">
        <f>98.7*2</f>
        <v>197.4</v>
      </c>
    </row>
    <row r="62" spans="8:9" x14ac:dyDescent="0.25">
      <c r="H62" s="7">
        <v>59</v>
      </c>
      <c r="I62" s="68">
        <f>97.3*2</f>
        <v>194.60000000000002</v>
      </c>
    </row>
    <row r="63" spans="8:9" x14ac:dyDescent="0.25">
      <c r="H63" s="7">
        <v>60</v>
      </c>
      <c r="I63" s="68">
        <f>96*2</f>
        <v>192</v>
      </c>
    </row>
    <row r="64" spans="8:9" x14ac:dyDescent="0.25">
      <c r="H64" s="7">
        <v>61</v>
      </c>
      <c r="I64" s="68">
        <f>94.6*2</f>
        <v>189.20000000000002</v>
      </c>
    </row>
    <row r="65" spans="8:9" x14ac:dyDescent="0.25">
      <c r="H65" s="7">
        <v>62</v>
      </c>
      <c r="I65" s="68">
        <f>93.2*2</f>
        <v>186.4</v>
      </c>
    </row>
    <row r="66" spans="8:9" x14ac:dyDescent="0.25">
      <c r="H66" s="7">
        <v>63</v>
      </c>
      <c r="I66" s="68">
        <f>91.8*2</f>
        <v>183.60000000000002</v>
      </c>
    </row>
    <row r="67" spans="8:9" x14ac:dyDescent="0.25">
      <c r="H67" s="7">
        <v>64</v>
      </c>
      <c r="I67" s="68">
        <f>90.4*2</f>
        <v>180.8</v>
      </c>
    </row>
    <row r="68" spans="8:9" x14ac:dyDescent="0.25">
      <c r="H68" s="7">
        <v>65</v>
      </c>
      <c r="I68" s="68">
        <f>89*2</f>
        <v>178</v>
      </c>
    </row>
    <row r="69" spans="8:9" x14ac:dyDescent="0.25">
      <c r="H69" s="7">
        <v>66</v>
      </c>
      <c r="I69" s="68">
        <f>87.6*2</f>
        <v>175.20000000000002</v>
      </c>
    </row>
    <row r="70" spans="8:9" x14ac:dyDescent="0.25">
      <c r="H70" s="7">
        <v>67</v>
      </c>
      <c r="I70" s="68">
        <f>86.1*2</f>
        <v>172.20000000000002</v>
      </c>
    </row>
    <row r="71" spans="8:9" x14ac:dyDescent="0.25">
      <c r="H71" s="7">
        <v>68</v>
      </c>
      <c r="I71" s="68">
        <f>84.7*2</f>
        <v>169.4</v>
      </c>
    </row>
    <row r="72" spans="8:9" x14ac:dyDescent="0.25">
      <c r="H72" s="7">
        <v>69</v>
      </c>
      <c r="I72" s="68">
        <f>83.2*2</f>
        <v>166.4</v>
      </c>
    </row>
    <row r="73" spans="8:9" x14ac:dyDescent="0.25">
      <c r="H73" s="7">
        <v>70</v>
      </c>
      <c r="I73" s="68">
        <f>81.8*2</f>
        <v>163.60000000000002</v>
      </c>
    </row>
    <row r="74" spans="8:9" x14ac:dyDescent="0.25">
      <c r="H74" s="7">
        <v>71</v>
      </c>
      <c r="I74" s="68">
        <f>80.2*2</f>
        <v>160.4</v>
      </c>
    </row>
    <row r="75" spans="8:9" x14ac:dyDescent="0.25">
      <c r="H75" s="7">
        <v>72</v>
      </c>
      <c r="I75" s="68">
        <f>78.7*2</f>
        <v>157.4</v>
      </c>
    </row>
    <row r="76" spans="8:9" x14ac:dyDescent="0.25">
      <c r="H76" s="7">
        <v>73</v>
      </c>
      <c r="I76" s="68">
        <f>77.1*2</f>
        <v>154.20000000000002</v>
      </c>
    </row>
    <row r="77" spans="8:9" x14ac:dyDescent="0.25">
      <c r="H77" s="7">
        <v>74</v>
      </c>
      <c r="I77" s="68">
        <f>75.6*2</f>
        <v>151.20000000000002</v>
      </c>
    </row>
    <row r="78" spans="8:9" x14ac:dyDescent="0.25">
      <c r="H78" s="7">
        <v>75</v>
      </c>
      <c r="I78" s="68">
        <f>74*2</f>
        <v>148</v>
      </c>
    </row>
    <row r="79" spans="8:9" x14ac:dyDescent="0.25">
      <c r="H79" s="7">
        <v>76</v>
      </c>
      <c r="I79" s="68">
        <f>72.2*2</f>
        <v>144.4</v>
      </c>
    </row>
    <row r="80" spans="8:9" x14ac:dyDescent="0.25">
      <c r="H80" s="7">
        <v>77</v>
      </c>
      <c r="I80" s="68">
        <f>70.5*2</f>
        <v>141</v>
      </c>
    </row>
    <row r="81" spans="8:9" x14ac:dyDescent="0.25">
      <c r="H81" s="7">
        <v>78</v>
      </c>
      <c r="I81" s="68">
        <f>68.7*2</f>
        <v>137.4</v>
      </c>
    </row>
    <row r="82" spans="8:9" x14ac:dyDescent="0.25">
      <c r="H82" s="7">
        <v>79</v>
      </c>
      <c r="I82" s="68">
        <f>67*2</f>
        <v>134</v>
      </c>
    </row>
    <row r="83" spans="8:9" x14ac:dyDescent="0.25">
      <c r="H83" s="7">
        <v>80</v>
      </c>
      <c r="I83" s="68">
        <f>65.2*2</f>
        <v>130.4</v>
      </c>
    </row>
    <row r="84" spans="8:9" x14ac:dyDescent="0.25">
      <c r="H84" s="7">
        <v>81</v>
      </c>
      <c r="I84" s="68">
        <f>63.4*2</f>
        <v>126.80000000000001</v>
      </c>
    </row>
    <row r="85" spans="8:9" x14ac:dyDescent="0.25">
      <c r="H85" s="7">
        <v>82</v>
      </c>
      <c r="I85" s="68">
        <f>61.5*2</f>
        <v>123</v>
      </c>
    </row>
    <row r="86" spans="8:9" x14ac:dyDescent="0.25">
      <c r="H86" s="7">
        <v>83</v>
      </c>
      <c r="I86" s="68">
        <f>59.7*2</f>
        <v>119.4</v>
      </c>
    </row>
    <row r="87" spans="8:9" x14ac:dyDescent="0.25">
      <c r="H87" s="7">
        <v>84</v>
      </c>
      <c r="I87" s="68">
        <f>57.8*2</f>
        <v>115.60000000000001</v>
      </c>
    </row>
    <row r="88" spans="8:9" x14ac:dyDescent="0.25">
      <c r="H88" s="7">
        <v>85</v>
      </c>
      <c r="I88" s="68">
        <f>56*2</f>
        <v>112</v>
      </c>
    </row>
    <row r="89" spans="8:9" x14ac:dyDescent="0.25">
      <c r="H89" s="7">
        <v>86</v>
      </c>
      <c r="I89" s="68">
        <f>53.9*2</f>
        <v>107.80000000000001</v>
      </c>
    </row>
    <row r="90" spans="8:9" x14ac:dyDescent="0.25">
      <c r="H90" s="7">
        <v>87</v>
      </c>
      <c r="I90" s="68">
        <f>51.9*2</f>
        <v>103.80000000000001</v>
      </c>
    </row>
    <row r="91" spans="8:9" x14ac:dyDescent="0.25">
      <c r="H91" s="7">
        <v>88</v>
      </c>
      <c r="I91" s="68">
        <f>49.8*2</f>
        <v>99.600000000000009</v>
      </c>
    </row>
    <row r="92" spans="8:9" x14ac:dyDescent="0.25">
      <c r="H92" s="7">
        <v>89</v>
      </c>
      <c r="I92" s="68">
        <f>47.8*2</f>
        <v>95.600000000000009</v>
      </c>
    </row>
    <row r="93" spans="8:9" x14ac:dyDescent="0.25">
      <c r="H93" s="7">
        <v>90</v>
      </c>
      <c r="I93" s="68">
        <f>45.7*2</f>
        <v>91.4</v>
      </c>
    </row>
    <row r="94" spans="8:9" x14ac:dyDescent="0.25">
      <c r="H94" s="7">
        <v>91</v>
      </c>
      <c r="I94" s="68">
        <f>43.5*2</f>
        <v>87</v>
      </c>
    </row>
    <row r="95" spans="8:9" x14ac:dyDescent="0.25">
      <c r="H95" s="7">
        <v>92</v>
      </c>
      <c r="I95" s="68">
        <f>41*2</f>
        <v>82</v>
      </c>
    </row>
    <row r="96" spans="8:9" x14ac:dyDescent="0.25">
      <c r="H96" s="7">
        <v>93</v>
      </c>
      <c r="I96" s="68">
        <f>38.5*2</f>
        <v>77</v>
      </c>
    </row>
    <row r="97" spans="8:9" x14ac:dyDescent="0.25">
      <c r="H97" s="7">
        <v>94</v>
      </c>
      <c r="I97" s="68">
        <f>36*2</f>
        <v>72</v>
      </c>
    </row>
    <row r="98" spans="8:9" x14ac:dyDescent="0.25">
      <c r="H98" s="7">
        <v>95</v>
      </c>
      <c r="I98" s="68">
        <f>32.7*2</f>
        <v>65.400000000000006</v>
      </c>
    </row>
    <row r="99" spans="8:9" x14ac:dyDescent="0.25">
      <c r="H99" s="7">
        <v>96</v>
      </c>
      <c r="I99" s="68">
        <f>30*2</f>
        <v>60</v>
      </c>
    </row>
    <row r="100" spans="8:9" x14ac:dyDescent="0.25">
      <c r="H100" s="7">
        <v>97</v>
      </c>
      <c r="I100" s="68">
        <f>25.5*2</f>
        <v>51</v>
      </c>
    </row>
    <row r="101" spans="8:9" x14ac:dyDescent="0.25">
      <c r="H101" s="7">
        <v>98</v>
      </c>
      <c r="I101" s="68">
        <f>20*2</f>
        <v>40</v>
      </c>
    </row>
    <row r="102" spans="8:9" x14ac:dyDescent="0.25">
      <c r="H102" s="7">
        <v>99</v>
      </c>
      <c r="I102" s="68">
        <f>13*2</f>
        <v>26</v>
      </c>
    </row>
    <row r="103" spans="8:9" x14ac:dyDescent="0.25">
      <c r="H103" s="7">
        <v>100</v>
      </c>
      <c r="I103" s="68">
        <v>0</v>
      </c>
    </row>
  </sheetData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J103"/>
  <sheetViews>
    <sheetView workbookViewId="0"/>
  </sheetViews>
  <sheetFormatPr defaultColWidth="9.6328125" defaultRowHeight="12.5" x14ac:dyDescent="0.25"/>
  <cols>
    <col min="1" max="16384" width="9.6328125" style="8"/>
  </cols>
  <sheetData>
    <row r="1" spans="1:10" x14ac:dyDescent="0.25">
      <c r="B1" s="8" t="s">
        <v>54</v>
      </c>
      <c r="E1"/>
    </row>
    <row r="3" spans="1:10" s="69" customFormat="1" x14ac:dyDescent="0.25">
      <c r="A3" s="69" t="s">
        <v>41</v>
      </c>
      <c r="B3" s="69" t="s">
        <v>42</v>
      </c>
      <c r="C3" s="69" t="s">
        <v>43</v>
      </c>
      <c r="D3" s="69" t="s">
        <v>44</v>
      </c>
      <c r="E3" s="69" t="s">
        <v>45</v>
      </c>
      <c r="F3" s="69" t="s">
        <v>46</v>
      </c>
      <c r="G3" s="69" t="s">
        <v>47</v>
      </c>
      <c r="H3" s="69" t="s">
        <v>48</v>
      </c>
      <c r="I3" s="69" t="s">
        <v>49</v>
      </c>
      <c r="J3" s="81" t="s">
        <v>50</v>
      </c>
    </row>
    <row r="4" spans="1:10" x14ac:dyDescent="0.25">
      <c r="A4" s="8">
        <v>342</v>
      </c>
      <c r="B4" s="8">
        <v>10</v>
      </c>
      <c r="C4" s="8">
        <f t="array" ref="C4:C39">FREQUENCY(A4:A41,B4:B39)</f>
        <v>0</v>
      </c>
      <c r="D4" s="8">
        <f t="shared" ref="D4:D39" si="0">C4/$C$40</f>
        <v>0</v>
      </c>
      <c r="E4" s="8">
        <f t="shared" ref="E4:E39" si="1">D4*100</f>
        <v>0</v>
      </c>
      <c r="F4" s="8">
        <f>E4*(0.087)</f>
        <v>0</v>
      </c>
      <c r="G4" s="8">
        <f>E4*(0.996)</f>
        <v>0</v>
      </c>
      <c r="H4" s="8">
        <v>1</v>
      </c>
      <c r="I4" s="70">
        <f>178.3*2</f>
        <v>356.6</v>
      </c>
      <c r="J4" s="8">
        <f>ROUND(IF(ATAN2(G40,F40)*57.29577&gt;0,ATAN2(G40,F40)*57.29577,ATAN2(G40,F40)*57.29577+360),0)</f>
        <v>288</v>
      </c>
    </row>
    <row r="5" spans="1:10" x14ac:dyDescent="0.25">
      <c r="A5" s="8">
        <v>259</v>
      </c>
      <c r="B5" s="8">
        <v>20</v>
      </c>
      <c r="C5" s="8">
        <v>0</v>
      </c>
      <c r="D5" s="8">
        <f t="shared" si="0"/>
        <v>0</v>
      </c>
      <c r="E5" s="8">
        <f t="shared" si="1"/>
        <v>0</v>
      </c>
      <c r="F5" s="8">
        <f>E5*(0.259)</f>
        <v>0</v>
      </c>
      <c r="G5" s="8">
        <f>E5*(0.966)</f>
        <v>0</v>
      </c>
      <c r="H5" s="8">
        <v>2</v>
      </c>
      <c r="I5" s="70">
        <f>176.7*2</f>
        <v>353.4</v>
      </c>
      <c r="J5" s="8" t="s">
        <v>51</v>
      </c>
    </row>
    <row r="6" spans="1:10" x14ac:dyDescent="0.25">
      <c r="A6" s="8">
        <v>265</v>
      </c>
      <c r="B6" s="8">
        <v>30</v>
      </c>
      <c r="C6" s="8">
        <v>0</v>
      </c>
      <c r="D6" s="8">
        <f t="shared" si="0"/>
        <v>0</v>
      </c>
      <c r="E6" s="8">
        <f t="shared" si="1"/>
        <v>0</v>
      </c>
      <c r="F6" s="8">
        <f>E6*(0.423)</f>
        <v>0</v>
      </c>
      <c r="G6" s="8">
        <f>E6*(0.906)</f>
        <v>0</v>
      </c>
      <c r="H6" s="8">
        <v>3</v>
      </c>
      <c r="I6" s="70">
        <f>175*2</f>
        <v>350</v>
      </c>
      <c r="J6" s="8">
        <f>ROUND(SQRT(F40^2+G40^2),0)</f>
        <v>91</v>
      </c>
    </row>
    <row r="7" spans="1:10" x14ac:dyDescent="0.25">
      <c r="A7" s="8">
        <v>265</v>
      </c>
      <c r="B7" s="8">
        <v>40</v>
      </c>
      <c r="C7" s="8">
        <v>0</v>
      </c>
      <c r="D7" s="8">
        <f t="shared" si="0"/>
        <v>0</v>
      </c>
      <c r="E7" s="8">
        <f t="shared" si="1"/>
        <v>0</v>
      </c>
      <c r="F7" s="8">
        <f>E7*(0.574)</f>
        <v>0</v>
      </c>
      <c r="G7" s="8">
        <f>E7*(0.819)</f>
        <v>0</v>
      </c>
      <c r="H7" s="8">
        <v>4</v>
      </c>
      <c r="I7" s="70">
        <f>173.3*2</f>
        <v>346.6</v>
      </c>
      <c r="J7" s="8" t="s">
        <v>52</v>
      </c>
    </row>
    <row r="8" spans="1:10" x14ac:dyDescent="0.25">
      <c r="A8" s="8">
        <v>274</v>
      </c>
      <c r="B8" s="8">
        <v>50</v>
      </c>
      <c r="C8" s="8">
        <v>0</v>
      </c>
      <c r="D8" s="8">
        <f t="shared" si="0"/>
        <v>0</v>
      </c>
      <c r="E8" s="8">
        <f t="shared" si="1"/>
        <v>0</v>
      </c>
      <c r="F8" s="8">
        <f>E8*(0.707)</f>
        <v>0</v>
      </c>
      <c r="G8" s="8">
        <f>E8*(0.707)</f>
        <v>0</v>
      </c>
      <c r="H8" s="8">
        <v>5</v>
      </c>
      <c r="I8" s="70">
        <f>171.6*2</f>
        <v>343.2</v>
      </c>
      <c r="J8" s="8">
        <f>ROUND(VLOOKUP(J6,H4:I103,2),0)</f>
        <v>87</v>
      </c>
    </row>
    <row r="9" spans="1:10" x14ac:dyDescent="0.25">
      <c r="A9" s="8">
        <v>268</v>
      </c>
      <c r="B9" s="8">
        <v>60</v>
      </c>
      <c r="C9" s="8">
        <v>0</v>
      </c>
      <c r="D9" s="8">
        <f t="shared" si="0"/>
        <v>0</v>
      </c>
      <c r="E9" s="8">
        <f t="shared" si="1"/>
        <v>0</v>
      </c>
      <c r="F9" s="8">
        <f>E9*(0.819)</f>
        <v>0</v>
      </c>
      <c r="G9" s="8">
        <f>E9*(0.574)</f>
        <v>0</v>
      </c>
      <c r="H9" s="8">
        <v>6</v>
      </c>
      <c r="I9" s="70">
        <f>170*2</f>
        <v>340</v>
      </c>
      <c r="J9" s="8" t="s">
        <v>53</v>
      </c>
    </row>
    <row r="10" spans="1:10" x14ac:dyDescent="0.25">
      <c r="A10" s="8">
        <v>301</v>
      </c>
      <c r="B10" s="8">
        <v>70</v>
      </c>
      <c r="C10" s="8">
        <v>0</v>
      </c>
      <c r="D10" s="8">
        <f t="shared" si="0"/>
        <v>0</v>
      </c>
      <c r="E10" s="8">
        <f t="shared" si="1"/>
        <v>0</v>
      </c>
      <c r="F10" s="8">
        <f>E10*(0.906)</f>
        <v>0</v>
      </c>
      <c r="G10" s="8">
        <f>E10*(0.423)</f>
        <v>0</v>
      </c>
      <c r="H10" s="8">
        <v>7</v>
      </c>
      <c r="I10" s="70">
        <f>168.4*2</f>
        <v>336.8</v>
      </c>
      <c r="J10" s="54">
        <f>ROUND(J8*0.00873/SIN(J8*0.00873),2)</f>
        <v>1.1000000000000001</v>
      </c>
    </row>
    <row r="11" spans="1:10" x14ac:dyDescent="0.25">
      <c r="A11" s="8">
        <v>256</v>
      </c>
      <c r="B11" s="8">
        <v>80</v>
      </c>
      <c r="C11" s="8">
        <v>0</v>
      </c>
      <c r="D11" s="8">
        <f t="shared" si="0"/>
        <v>0</v>
      </c>
      <c r="E11" s="8">
        <f t="shared" si="1"/>
        <v>0</v>
      </c>
      <c r="F11" s="8">
        <f t="shared" ref="F11:F12" si="2">E11*(0.996)</f>
        <v>0</v>
      </c>
      <c r="G11" s="8">
        <f>E11*(0.259)</f>
        <v>0</v>
      </c>
      <c r="H11" s="8">
        <v>8</v>
      </c>
      <c r="I11" s="70">
        <f>166.7*2</f>
        <v>333.4</v>
      </c>
      <c r="J11" s="8" t="s">
        <v>36</v>
      </c>
    </row>
    <row r="12" spans="1:10" x14ac:dyDescent="0.25">
      <c r="A12" s="8">
        <v>334</v>
      </c>
      <c r="B12" s="8">
        <v>90</v>
      </c>
      <c r="C12" s="8">
        <v>0</v>
      </c>
      <c r="D12" s="8">
        <f t="shared" si="0"/>
        <v>0</v>
      </c>
      <c r="E12" s="8">
        <f t="shared" si="1"/>
        <v>0</v>
      </c>
      <c r="F12" s="8">
        <f t="shared" si="2"/>
        <v>0</v>
      </c>
      <c r="G12" s="8">
        <f>E12*(0.087)</f>
        <v>0</v>
      </c>
      <c r="H12" s="8">
        <v>9</v>
      </c>
      <c r="I12" s="70">
        <f>165.1*2</f>
        <v>330.2</v>
      </c>
    </row>
    <row r="13" spans="1:10" x14ac:dyDescent="0.25">
      <c r="A13" s="8">
        <v>265</v>
      </c>
      <c r="B13" s="8">
        <v>100</v>
      </c>
      <c r="C13" s="8">
        <v>0</v>
      </c>
      <c r="D13" s="8">
        <f t="shared" si="0"/>
        <v>0</v>
      </c>
      <c r="E13" s="8">
        <f t="shared" si="1"/>
        <v>0</v>
      </c>
      <c r="F13" s="8">
        <f t="shared" ref="F13:F14" si="3">E13*(0.966)</f>
        <v>0</v>
      </c>
      <c r="G13" s="8">
        <f>E13*(-0.087)</f>
        <v>0</v>
      </c>
      <c r="H13" s="8">
        <v>10</v>
      </c>
      <c r="I13" s="70">
        <f>163.5*2</f>
        <v>327</v>
      </c>
    </row>
    <row r="14" spans="1:10" x14ac:dyDescent="0.25">
      <c r="A14" s="8">
        <v>310</v>
      </c>
      <c r="B14" s="8">
        <v>110</v>
      </c>
      <c r="C14" s="8">
        <v>0</v>
      </c>
      <c r="D14" s="8">
        <f t="shared" si="0"/>
        <v>0</v>
      </c>
      <c r="E14" s="8">
        <f t="shared" si="1"/>
        <v>0</v>
      </c>
      <c r="F14" s="8">
        <f t="shared" si="3"/>
        <v>0</v>
      </c>
      <c r="G14" s="8">
        <f>E14*(-0.259)</f>
        <v>0</v>
      </c>
      <c r="H14" s="8">
        <v>11</v>
      </c>
      <c r="I14" s="70">
        <f>162*2</f>
        <v>324</v>
      </c>
    </row>
    <row r="15" spans="1:10" x14ac:dyDescent="0.25">
      <c r="A15" s="8">
        <v>270</v>
      </c>
      <c r="B15" s="8">
        <v>120</v>
      </c>
      <c r="C15" s="8">
        <v>0</v>
      </c>
      <c r="D15" s="8">
        <f t="shared" si="0"/>
        <v>0</v>
      </c>
      <c r="E15" s="8">
        <f t="shared" si="1"/>
        <v>0</v>
      </c>
      <c r="F15" s="8">
        <f>E15*(0.906)</f>
        <v>0</v>
      </c>
      <c r="G15" s="8">
        <f>E15*(-0.423)</f>
        <v>0</v>
      </c>
      <c r="H15" s="8">
        <v>12</v>
      </c>
      <c r="I15" s="70">
        <f>160.5*2</f>
        <v>321</v>
      </c>
    </row>
    <row r="16" spans="1:10" x14ac:dyDescent="0.25">
      <c r="A16" s="8">
        <v>267</v>
      </c>
      <c r="B16" s="8">
        <v>130</v>
      </c>
      <c r="C16" s="8">
        <v>0</v>
      </c>
      <c r="D16" s="8">
        <f t="shared" si="0"/>
        <v>0</v>
      </c>
      <c r="E16" s="8">
        <f t="shared" si="1"/>
        <v>0</v>
      </c>
      <c r="F16" s="8">
        <f>E16*(0.819)</f>
        <v>0</v>
      </c>
      <c r="G16" s="8">
        <f>E16*(-0.574)</f>
        <v>0</v>
      </c>
      <c r="H16" s="8">
        <v>13</v>
      </c>
      <c r="I16" s="70">
        <f>159*2</f>
        <v>318</v>
      </c>
    </row>
    <row r="17" spans="1:9" x14ac:dyDescent="0.25">
      <c r="A17" s="8">
        <v>253</v>
      </c>
      <c r="B17" s="8">
        <v>140</v>
      </c>
      <c r="C17" s="8">
        <v>0</v>
      </c>
      <c r="D17" s="8">
        <f t="shared" si="0"/>
        <v>0</v>
      </c>
      <c r="E17" s="8">
        <f t="shared" si="1"/>
        <v>0</v>
      </c>
      <c r="F17" s="8">
        <f>E17*(0.707)</f>
        <v>0</v>
      </c>
      <c r="G17" s="8">
        <f>E17*(-0.707)</f>
        <v>0</v>
      </c>
      <c r="H17" s="8">
        <v>14</v>
      </c>
      <c r="I17" s="70">
        <f>157.5*2</f>
        <v>315</v>
      </c>
    </row>
    <row r="18" spans="1:9" x14ac:dyDescent="0.25">
      <c r="A18" s="8">
        <v>241</v>
      </c>
      <c r="B18" s="8">
        <v>150</v>
      </c>
      <c r="C18" s="8">
        <v>0</v>
      </c>
      <c r="D18" s="8">
        <f t="shared" si="0"/>
        <v>0</v>
      </c>
      <c r="E18" s="8">
        <f t="shared" si="1"/>
        <v>0</v>
      </c>
      <c r="F18" s="8">
        <f>E18*(0.574)</f>
        <v>0</v>
      </c>
      <c r="G18" s="8">
        <f>E18*(-0.819)</f>
        <v>0</v>
      </c>
      <c r="H18" s="8">
        <v>15</v>
      </c>
      <c r="I18" s="70">
        <f>156*2</f>
        <v>312</v>
      </c>
    </row>
    <row r="19" spans="1:9" x14ac:dyDescent="0.25">
      <c r="A19" s="8">
        <v>287</v>
      </c>
      <c r="B19" s="8">
        <v>160</v>
      </c>
      <c r="C19" s="8">
        <v>0</v>
      </c>
      <c r="D19" s="8">
        <f t="shared" si="0"/>
        <v>0</v>
      </c>
      <c r="E19" s="8">
        <f t="shared" si="1"/>
        <v>0</v>
      </c>
      <c r="F19" s="8">
        <f>E19*(0.423)</f>
        <v>0</v>
      </c>
      <c r="G19" s="8">
        <f>E19*(-0.906)</f>
        <v>0</v>
      </c>
      <c r="H19" s="8">
        <v>16</v>
      </c>
      <c r="I19" s="70">
        <f>154.5*2</f>
        <v>309</v>
      </c>
    </row>
    <row r="20" spans="1:9" x14ac:dyDescent="0.25">
      <c r="A20" s="8">
        <v>256</v>
      </c>
      <c r="B20" s="8">
        <v>170</v>
      </c>
      <c r="C20" s="8">
        <v>0</v>
      </c>
      <c r="D20" s="8">
        <f t="shared" si="0"/>
        <v>0</v>
      </c>
      <c r="E20" s="8">
        <f t="shared" si="1"/>
        <v>0</v>
      </c>
      <c r="F20" s="8">
        <f>E20*(0.259)</f>
        <v>0</v>
      </c>
      <c r="G20" s="8">
        <f>E20*(-0.966)</f>
        <v>0</v>
      </c>
      <c r="H20" s="8">
        <v>17</v>
      </c>
      <c r="I20" s="70">
        <f>153*2</f>
        <v>306</v>
      </c>
    </row>
    <row r="21" spans="1:9" x14ac:dyDescent="0.25">
      <c r="A21" s="8">
        <v>274</v>
      </c>
      <c r="B21" s="8">
        <v>180</v>
      </c>
      <c r="C21" s="8">
        <v>0</v>
      </c>
      <c r="D21" s="8">
        <f t="shared" si="0"/>
        <v>0</v>
      </c>
      <c r="E21" s="8">
        <f t="shared" si="1"/>
        <v>0</v>
      </c>
      <c r="F21" s="8">
        <f>E21*(0.087)</f>
        <v>0</v>
      </c>
      <c r="G21" s="8">
        <f t="shared" ref="G21:G22" si="4">E21*(-0.996)</f>
        <v>0</v>
      </c>
      <c r="H21" s="8">
        <v>18</v>
      </c>
      <c r="I21" s="70">
        <f>151.5*2</f>
        <v>303</v>
      </c>
    </row>
    <row r="22" spans="1:9" x14ac:dyDescent="0.25">
      <c r="A22" s="8">
        <v>286</v>
      </c>
      <c r="B22" s="8">
        <v>190</v>
      </c>
      <c r="C22" s="8">
        <v>0</v>
      </c>
      <c r="D22" s="8">
        <f t="shared" si="0"/>
        <v>0</v>
      </c>
      <c r="E22" s="8">
        <f t="shared" si="1"/>
        <v>0</v>
      </c>
      <c r="F22" s="8">
        <f>E22*(-0.087)</f>
        <v>0</v>
      </c>
      <c r="G22" s="8">
        <f t="shared" si="4"/>
        <v>0</v>
      </c>
      <c r="H22" s="8">
        <v>19</v>
      </c>
      <c r="I22" s="70">
        <f>150*2</f>
        <v>300</v>
      </c>
    </row>
    <row r="23" spans="1:9" x14ac:dyDescent="0.25">
      <c r="A23" s="8">
        <v>272</v>
      </c>
      <c r="B23" s="8">
        <v>200</v>
      </c>
      <c r="C23" s="8">
        <v>0</v>
      </c>
      <c r="D23" s="8">
        <f t="shared" si="0"/>
        <v>0</v>
      </c>
      <c r="E23" s="8">
        <f t="shared" si="1"/>
        <v>0</v>
      </c>
      <c r="F23" s="8">
        <f>E23*(-0.259)</f>
        <v>0</v>
      </c>
      <c r="G23" s="8">
        <f>E23*(-0.966)</f>
        <v>0</v>
      </c>
      <c r="H23" s="8">
        <v>20</v>
      </c>
      <c r="I23" s="70">
        <f>148.5*2</f>
        <v>297</v>
      </c>
    </row>
    <row r="24" spans="1:9" x14ac:dyDescent="0.25">
      <c r="A24" s="8">
        <v>263</v>
      </c>
      <c r="B24" s="8">
        <v>210</v>
      </c>
      <c r="C24" s="8">
        <v>0</v>
      </c>
      <c r="D24" s="8">
        <f t="shared" si="0"/>
        <v>0</v>
      </c>
      <c r="E24" s="8">
        <f t="shared" si="1"/>
        <v>0</v>
      </c>
      <c r="F24" s="8">
        <f>E24*(-0.423)</f>
        <v>0</v>
      </c>
      <c r="G24" s="8">
        <f>E24*(-0.906)</f>
        <v>0</v>
      </c>
      <c r="H24" s="8">
        <v>21</v>
      </c>
      <c r="I24" s="70">
        <f>147.1*2</f>
        <v>294.2</v>
      </c>
    </row>
    <row r="25" spans="1:9" x14ac:dyDescent="0.25">
      <c r="A25" s="8">
        <v>303</v>
      </c>
      <c r="B25" s="8">
        <v>220</v>
      </c>
      <c r="C25" s="8">
        <v>0</v>
      </c>
      <c r="D25" s="8">
        <f t="shared" si="0"/>
        <v>0</v>
      </c>
      <c r="E25" s="8">
        <f t="shared" si="1"/>
        <v>0</v>
      </c>
      <c r="F25" s="8">
        <f>E25*(-0.574)</f>
        <v>0</v>
      </c>
      <c r="G25" s="8">
        <f>E25*(-0.819)</f>
        <v>0</v>
      </c>
      <c r="H25" s="8">
        <v>22</v>
      </c>
      <c r="I25" s="70">
        <f>145.7*2</f>
        <v>291.39999999999998</v>
      </c>
    </row>
    <row r="26" spans="1:9" x14ac:dyDescent="0.25">
      <c r="A26" s="8">
        <v>293</v>
      </c>
      <c r="B26" s="8">
        <v>230</v>
      </c>
      <c r="C26" s="8">
        <v>0</v>
      </c>
      <c r="D26" s="8">
        <f t="shared" si="0"/>
        <v>0</v>
      </c>
      <c r="E26" s="8">
        <f t="shared" si="1"/>
        <v>0</v>
      </c>
      <c r="F26" s="8">
        <f>E26*(-0.707)</f>
        <v>0</v>
      </c>
      <c r="G26" s="8">
        <f>E26*(-0.707)</f>
        <v>0</v>
      </c>
      <c r="H26" s="8">
        <v>23</v>
      </c>
      <c r="I26" s="70">
        <f>144.3*2</f>
        <v>288.60000000000002</v>
      </c>
    </row>
    <row r="27" spans="1:9" x14ac:dyDescent="0.25">
      <c r="A27" s="8">
        <v>307</v>
      </c>
      <c r="B27" s="8">
        <v>240</v>
      </c>
      <c r="C27" s="8">
        <v>0</v>
      </c>
      <c r="D27" s="8">
        <f t="shared" si="0"/>
        <v>0</v>
      </c>
      <c r="E27" s="8">
        <f t="shared" si="1"/>
        <v>0</v>
      </c>
      <c r="F27" s="8">
        <f>E27*(-0.819)</f>
        <v>0</v>
      </c>
      <c r="G27" s="8">
        <f>E27*(-0.574)</f>
        <v>0</v>
      </c>
      <c r="H27" s="8">
        <v>24</v>
      </c>
      <c r="I27" s="70">
        <f>142.9*2</f>
        <v>285.8</v>
      </c>
    </row>
    <row r="28" spans="1:9" x14ac:dyDescent="0.25">
      <c r="A28" s="8">
        <v>297</v>
      </c>
      <c r="B28" s="8">
        <v>250</v>
      </c>
      <c r="C28" s="8">
        <v>1</v>
      </c>
      <c r="D28" s="8">
        <f t="shared" si="0"/>
        <v>2.6315789473684209E-2</v>
      </c>
      <c r="E28" s="8">
        <f t="shared" si="1"/>
        <v>2.6315789473684208</v>
      </c>
      <c r="F28" s="8">
        <f>E28*(-0.906)</f>
        <v>-2.3842105263157891</v>
      </c>
      <c r="G28" s="8">
        <f>E28*(-0.423)</f>
        <v>-1.1131578947368419</v>
      </c>
      <c r="H28" s="8">
        <v>25</v>
      </c>
      <c r="I28" s="70">
        <f>141.5*2</f>
        <v>283</v>
      </c>
    </row>
    <row r="29" spans="1:9" x14ac:dyDescent="0.25">
      <c r="A29" s="8">
        <v>304</v>
      </c>
      <c r="B29" s="8">
        <v>260</v>
      </c>
      <c r="C29" s="8">
        <v>4</v>
      </c>
      <c r="D29" s="8">
        <f t="shared" si="0"/>
        <v>0.10526315789473684</v>
      </c>
      <c r="E29" s="8">
        <f t="shared" si="1"/>
        <v>10.526315789473683</v>
      </c>
      <c r="F29" s="8">
        <f>E29*(-0.966)</f>
        <v>-10.168421052631578</v>
      </c>
      <c r="G29" s="8">
        <f>E29*(-0.259)</f>
        <v>-2.7263157894736842</v>
      </c>
      <c r="H29" s="8">
        <v>26</v>
      </c>
      <c r="I29" s="70">
        <f>140.1*2</f>
        <v>280.2</v>
      </c>
    </row>
    <row r="30" spans="1:9" x14ac:dyDescent="0.25">
      <c r="A30" s="8">
        <v>310</v>
      </c>
      <c r="B30" s="8">
        <v>270</v>
      </c>
      <c r="C30" s="8">
        <v>7</v>
      </c>
      <c r="D30" s="8">
        <f t="shared" si="0"/>
        <v>0.18421052631578946</v>
      </c>
      <c r="E30" s="8">
        <f t="shared" si="1"/>
        <v>18.421052631578945</v>
      </c>
      <c r="F30" s="8">
        <f t="shared" ref="F30:F31" si="5">E30*(-0.996)</f>
        <v>-18.347368421052629</v>
      </c>
      <c r="G30" s="8">
        <f>E30*(-0.087)</f>
        <v>-1.6026315789473684</v>
      </c>
      <c r="H30" s="8">
        <v>27</v>
      </c>
      <c r="I30" s="70">
        <f>138.7*2</f>
        <v>277.39999999999998</v>
      </c>
    </row>
    <row r="31" spans="1:9" x14ac:dyDescent="0.25">
      <c r="A31" s="8">
        <v>329</v>
      </c>
      <c r="B31" s="8">
        <v>280</v>
      </c>
      <c r="C31" s="8">
        <v>3</v>
      </c>
      <c r="D31" s="8">
        <f t="shared" si="0"/>
        <v>7.8947368421052627E-2</v>
      </c>
      <c r="E31" s="8">
        <f t="shared" si="1"/>
        <v>7.8947368421052628</v>
      </c>
      <c r="F31" s="8">
        <f t="shared" si="5"/>
        <v>-7.8631578947368421</v>
      </c>
      <c r="G31" s="8">
        <f>E31*(0.087)</f>
        <v>0.68684210526315792</v>
      </c>
      <c r="H31" s="8">
        <v>28</v>
      </c>
      <c r="I31" s="70">
        <f>137.3*2</f>
        <v>274.60000000000002</v>
      </c>
    </row>
    <row r="32" spans="1:9" x14ac:dyDescent="0.25">
      <c r="A32" s="8">
        <v>305</v>
      </c>
      <c r="B32" s="8">
        <v>290</v>
      </c>
      <c r="C32" s="8">
        <v>4</v>
      </c>
      <c r="D32" s="8">
        <f t="shared" si="0"/>
        <v>0.10526315789473684</v>
      </c>
      <c r="E32" s="8">
        <f t="shared" si="1"/>
        <v>10.526315789473683</v>
      </c>
      <c r="F32" s="8">
        <f>E32*(-0.966)</f>
        <v>-10.168421052631578</v>
      </c>
      <c r="G32" s="8">
        <f>E32*(0.259)</f>
        <v>2.7263157894736842</v>
      </c>
      <c r="H32" s="8">
        <v>29</v>
      </c>
      <c r="I32" s="70">
        <f>135.9*2</f>
        <v>271.8</v>
      </c>
    </row>
    <row r="33" spans="1:9" x14ac:dyDescent="0.25">
      <c r="A33" s="8">
        <v>301</v>
      </c>
      <c r="B33" s="8">
        <v>300</v>
      </c>
      <c r="C33" s="8">
        <v>5</v>
      </c>
      <c r="D33" s="8">
        <f t="shared" si="0"/>
        <v>0.13157894736842105</v>
      </c>
      <c r="E33" s="8">
        <f t="shared" si="1"/>
        <v>13.157894736842104</v>
      </c>
      <c r="F33" s="8">
        <f>E33*(-0.906)</f>
        <v>-11.921052631578947</v>
      </c>
      <c r="G33" s="8">
        <f>E33*(0.423)</f>
        <v>5.5657894736842097</v>
      </c>
      <c r="H33" s="8">
        <v>30</v>
      </c>
      <c r="I33" s="70">
        <f>134.5*2</f>
        <v>269</v>
      </c>
    </row>
    <row r="34" spans="1:9" x14ac:dyDescent="0.25">
      <c r="A34" s="8">
        <v>312</v>
      </c>
      <c r="B34" s="8">
        <v>310</v>
      </c>
      <c r="C34" s="8">
        <v>8</v>
      </c>
      <c r="D34" s="8">
        <f t="shared" si="0"/>
        <v>0.21052631578947367</v>
      </c>
      <c r="E34" s="8">
        <f t="shared" si="1"/>
        <v>21.052631578947366</v>
      </c>
      <c r="F34" s="8">
        <f>E34*(-0.819)</f>
        <v>-17.242105263157892</v>
      </c>
      <c r="G34" s="8">
        <f>E34*(0.574)</f>
        <v>12.08421052631579</v>
      </c>
      <c r="H34" s="8">
        <v>31</v>
      </c>
      <c r="I34" s="70">
        <f>133.2*2</f>
        <v>266.39999999999998</v>
      </c>
    </row>
    <row r="35" spans="1:9" x14ac:dyDescent="0.25">
      <c r="A35" s="8">
        <v>317</v>
      </c>
      <c r="B35" s="8">
        <v>320</v>
      </c>
      <c r="C35" s="8">
        <v>2</v>
      </c>
      <c r="D35" s="8">
        <f t="shared" si="0"/>
        <v>5.2631578947368418E-2</v>
      </c>
      <c r="E35" s="8">
        <f t="shared" si="1"/>
        <v>5.2631578947368416</v>
      </c>
      <c r="F35" s="8">
        <f>E35*(-0.707)</f>
        <v>-3.7210526315789467</v>
      </c>
      <c r="G35" s="8">
        <f>E35*(0.707)</f>
        <v>3.7210526315789467</v>
      </c>
      <c r="H35" s="8">
        <v>32</v>
      </c>
      <c r="I35" s="70">
        <f>131.9*2</f>
        <v>263.8</v>
      </c>
    </row>
    <row r="36" spans="1:9" x14ac:dyDescent="0.25">
      <c r="A36" s="8">
        <v>295</v>
      </c>
      <c r="B36" s="8">
        <v>330</v>
      </c>
      <c r="C36" s="8">
        <v>1</v>
      </c>
      <c r="D36" s="8">
        <f t="shared" si="0"/>
        <v>2.6315789473684209E-2</v>
      </c>
      <c r="E36" s="8">
        <f t="shared" si="1"/>
        <v>2.6315789473684208</v>
      </c>
      <c r="F36" s="8">
        <f>E36*(-0.574)</f>
        <v>-1.5105263157894735</v>
      </c>
      <c r="G36" s="8">
        <f>E36*(0.819)</f>
        <v>2.155263157894737</v>
      </c>
      <c r="H36" s="8">
        <v>33</v>
      </c>
      <c r="I36" s="70">
        <f>130.6*2</f>
        <v>261.2</v>
      </c>
    </row>
    <row r="37" spans="1:9" x14ac:dyDescent="0.25">
      <c r="A37" s="8">
        <v>332</v>
      </c>
      <c r="B37" s="8">
        <v>340</v>
      </c>
      <c r="C37" s="8">
        <v>2</v>
      </c>
      <c r="D37" s="8">
        <f t="shared" si="0"/>
        <v>5.2631578947368418E-2</v>
      </c>
      <c r="E37" s="8">
        <f t="shared" si="1"/>
        <v>5.2631578947368416</v>
      </c>
      <c r="F37" s="8">
        <f>E37*(-0.423)</f>
        <v>-2.2263157894736838</v>
      </c>
      <c r="G37" s="8">
        <f>E37*(0.906)</f>
        <v>4.7684210526315782</v>
      </c>
      <c r="H37" s="8">
        <v>34</v>
      </c>
      <c r="I37" s="70">
        <f>129.3*2</f>
        <v>258.60000000000002</v>
      </c>
    </row>
    <row r="38" spans="1:9" x14ac:dyDescent="0.25">
      <c r="A38" s="8">
        <v>286</v>
      </c>
      <c r="B38" s="8">
        <v>350</v>
      </c>
      <c r="C38" s="8">
        <v>1</v>
      </c>
      <c r="D38" s="8">
        <f t="shared" si="0"/>
        <v>2.6315789473684209E-2</v>
      </c>
      <c r="E38" s="8">
        <f t="shared" si="1"/>
        <v>2.6315789473684208</v>
      </c>
      <c r="F38" s="8">
        <f>E38*(-0.259)</f>
        <v>-0.68157894736842106</v>
      </c>
      <c r="G38" s="8">
        <f>E38*(0.966)</f>
        <v>2.5421052631578944</v>
      </c>
      <c r="H38" s="8">
        <v>35</v>
      </c>
      <c r="I38" s="70">
        <f>128*2</f>
        <v>256</v>
      </c>
    </row>
    <row r="39" spans="1:9" x14ac:dyDescent="0.25">
      <c r="A39" s="8">
        <v>294</v>
      </c>
      <c r="B39" s="8">
        <v>360</v>
      </c>
      <c r="C39" s="8">
        <v>0</v>
      </c>
      <c r="D39" s="8">
        <f t="shared" si="0"/>
        <v>0</v>
      </c>
      <c r="E39" s="8">
        <f t="shared" si="1"/>
        <v>0</v>
      </c>
      <c r="F39" s="8">
        <f>E39*(-0.087)</f>
        <v>0</v>
      </c>
      <c r="G39" s="8">
        <f>E39*(0.996)</f>
        <v>0</v>
      </c>
      <c r="H39" s="8">
        <v>36</v>
      </c>
      <c r="I39" s="70">
        <f>126.7*2</f>
        <v>253.4</v>
      </c>
    </row>
    <row r="40" spans="1:9" x14ac:dyDescent="0.25">
      <c r="A40" s="8">
        <v>297</v>
      </c>
      <c r="C40" s="8">
        <f>SUM(C4:C39)</f>
        <v>38</v>
      </c>
      <c r="D40" s="8" t="s">
        <v>36</v>
      </c>
      <c r="E40" s="8">
        <f>SUM(E4:E39)</f>
        <v>99.999999999999986</v>
      </c>
      <c r="F40" s="8">
        <f t="shared" ref="F40:G40" si="6">SUM(F4:F39)</f>
        <v>-86.234210526315778</v>
      </c>
      <c r="G40" s="8">
        <f t="shared" si="6"/>
        <v>28.807894736842101</v>
      </c>
      <c r="H40" s="8">
        <v>37</v>
      </c>
      <c r="I40" s="70">
        <f>125.4*2</f>
        <v>250.8</v>
      </c>
    </row>
    <row r="41" spans="1:9" x14ac:dyDescent="0.25">
      <c r="A41" s="8">
        <v>281</v>
      </c>
      <c r="C41" s="8" t="s">
        <v>36</v>
      </c>
      <c r="E41" s="8" t="s">
        <v>36</v>
      </c>
      <c r="F41"/>
      <c r="G41" s="8" t="s">
        <v>36</v>
      </c>
      <c r="H41" s="8">
        <v>38</v>
      </c>
      <c r="I41" s="70">
        <f>124.1*2</f>
        <v>248.2</v>
      </c>
    </row>
    <row r="42" spans="1:9" x14ac:dyDescent="0.25">
      <c r="A42" s="8" t="s">
        <v>36</v>
      </c>
      <c r="F42" s="8" t="s">
        <v>36</v>
      </c>
      <c r="H42" s="8">
        <v>39</v>
      </c>
      <c r="I42" s="70">
        <f>122.8*2</f>
        <v>245.6</v>
      </c>
    </row>
    <row r="43" spans="1:9" x14ac:dyDescent="0.25">
      <c r="F43" s="8" t="s">
        <v>36</v>
      </c>
      <c r="H43" s="8">
        <v>40</v>
      </c>
      <c r="I43" s="70">
        <f>121.5*2</f>
        <v>243</v>
      </c>
    </row>
    <row r="44" spans="1:9" x14ac:dyDescent="0.25">
      <c r="H44" s="8">
        <v>41</v>
      </c>
      <c r="I44" s="70">
        <f>120.2*2</f>
        <v>240.4</v>
      </c>
    </row>
    <row r="45" spans="1:9" x14ac:dyDescent="0.25">
      <c r="H45" s="8">
        <v>42</v>
      </c>
      <c r="I45" s="70">
        <f>119*2</f>
        <v>238</v>
      </c>
    </row>
    <row r="46" spans="1:9" x14ac:dyDescent="0.25">
      <c r="H46" s="8">
        <v>43</v>
      </c>
      <c r="I46" s="70">
        <f>117.7*2</f>
        <v>235.4</v>
      </c>
    </row>
    <row r="47" spans="1:9" x14ac:dyDescent="0.25">
      <c r="H47" s="8">
        <v>44</v>
      </c>
      <c r="I47" s="70">
        <f>116.4*2</f>
        <v>232.8</v>
      </c>
    </row>
    <row r="48" spans="1:9" x14ac:dyDescent="0.25">
      <c r="H48" s="8">
        <v>45</v>
      </c>
      <c r="I48" s="70">
        <f>115.2*2</f>
        <v>230.4</v>
      </c>
    </row>
    <row r="49" spans="8:9" x14ac:dyDescent="0.25">
      <c r="H49" s="8">
        <v>46</v>
      </c>
      <c r="I49" s="70">
        <f>114*2</f>
        <v>228</v>
      </c>
    </row>
    <row r="50" spans="8:9" x14ac:dyDescent="0.25">
      <c r="H50" s="8">
        <v>47</v>
      </c>
      <c r="I50" s="70">
        <f>112.7*2</f>
        <v>225.4</v>
      </c>
    </row>
    <row r="51" spans="8:9" x14ac:dyDescent="0.25">
      <c r="H51" s="8">
        <v>48</v>
      </c>
      <c r="I51" s="70">
        <f>111.5*2</f>
        <v>223</v>
      </c>
    </row>
    <row r="52" spans="8:9" x14ac:dyDescent="0.25">
      <c r="H52" s="8">
        <v>49</v>
      </c>
      <c r="I52" s="70">
        <f>110.2*2</f>
        <v>220.4</v>
      </c>
    </row>
    <row r="53" spans="8:9" x14ac:dyDescent="0.25">
      <c r="H53" s="8">
        <v>50</v>
      </c>
      <c r="I53" s="70">
        <f>109*2</f>
        <v>218</v>
      </c>
    </row>
    <row r="54" spans="8:9" x14ac:dyDescent="0.25">
      <c r="H54" s="8">
        <v>51</v>
      </c>
      <c r="I54" s="70">
        <f>107.7*2</f>
        <v>215.4</v>
      </c>
    </row>
    <row r="55" spans="8:9" x14ac:dyDescent="0.25">
      <c r="H55" s="8">
        <v>52</v>
      </c>
      <c r="I55" s="70">
        <f>106.5*2</f>
        <v>213</v>
      </c>
    </row>
    <row r="56" spans="8:9" x14ac:dyDescent="0.25">
      <c r="H56" s="8">
        <v>53</v>
      </c>
      <c r="I56" s="70">
        <f>105.2*2</f>
        <v>210.4</v>
      </c>
    </row>
    <row r="57" spans="8:9" x14ac:dyDescent="0.25">
      <c r="H57" s="8">
        <v>54</v>
      </c>
      <c r="I57" s="70">
        <f>104*2</f>
        <v>208</v>
      </c>
    </row>
    <row r="58" spans="8:9" x14ac:dyDescent="0.25">
      <c r="H58" s="8">
        <v>55</v>
      </c>
      <c r="I58" s="70">
        <f>102.7*2</f>
        <v>205.4</v>
      </c>
    </row>
    <row r="59" spans="8:9" x14ac:dyDescent="0.25">
      <c r="H59" s="8">
        <v>56</v>
      </c>
      <c r="I59" s="70">
        <f>101.4*2</f>
        <v>202.8</v>
      </c>
    </row>
    <row r="60" spans="8:9" x14ac:dyDescent="0.25">
      <c r="H60" s="8">
        <v>57</v>
      </c>
      <c r="I60" s="70">
        <f>100*2</f>
        <v>200</v>
      </c>
    </row>
    <row r="61" spans="8:9" x14ac:dyDescent="0.25">
      <c r="H61" s="8">
        <v>58</v>
      </c>
      <c r="I61" s="70">
        <f>98.7*2</f>
        <v>197.4</v>
      </c>
    </row>
    <row r="62" spans="8:9" x14ac:dyDescent="0.25">
      <c r="H62" s="8">
        <v>59</v>
      </c>
      <c r="I62" s="70">
        <f>97.3*2</f>
        <v>194.60000000000002</v>
      </c>
    </row>
    <row r="63" spans="8:9" x14ac:dyDescent="0.25">
      <c r="H63" s="8">
        <v>60</v>
      </c>
      <c r="I63" s="70">
        <f>96*2</f>
        <v>192</v>
      </c>
    </row>
    <row r="64" spans="8:9" x14ac:dyDescent="0.25">
      <c r="H64" s="8">
        <v>61</v>
      </c>
      <c r="I64" s="70">
        <f>94.6*2</f>
        <v>189.20000000000002</v>
      </c>
    </row>
    <row r="65" spans="8:9" x14ac:dyDescent="0.25">
      <c r="H65" s="8">
        <v>62</v>
      </c>
      <c r="I65" s="70">
        <f>93.2*2</f>
        <v>186.4</v>
      </c>
    </row>
    <row r="66" spans="8:9" x14ac:dyDescent="0.25">
      <c r="H66" s="8">
        <v>63</v>
      </c>
      <c r="I66" s="70">
        <f>91.8*2</f>
        <v>183.60000000000002</v>
      </c>
    </row>
    <row r="67" spans="8:9" x14ac:dyDescent="0.25">
      <c r="H67" s="8">
        <v>64</v>
      </c>
      <c r="I67" s="70">
        <f>90.4*2</f>
        <v>180.8</v>
      </c>
    </row>
    <row r="68" spans="8:9" x14ac:dyDescent="0.25">
      <c r="H68" s="8">
        <v>65</v>
      </c>
      <c r="I68" s="70">
        <f>89*2</f>
        <v>178</v>
      </c>
    </row>
    <row r="69" spans="8:9" x14ac:dyDescent="0.25">
      <c r="H69" s="8">
        <v>66</v>
      </c>
      <c r="I69" s="70">
        <f>87.6*2</f>
        <v>175.20000000000002</v>
      </c>
    </row>
    <row r="70" spans="8:9" x14ac:dyDescent="0.25">
      <c r="H70" s="8">
        <v>67</v>
      </c>
      <c r="I70" s="70">
        <f>86.1*2</f>
        <v>172.20000000000002</v>
      </c>
    </row>
    <row r="71" spans="8:9" x14ac:dyDescent="0.25">
      <c r="H71" s="8">
        <v>68</v>
      </c>
      <c r="I71" s="70">
        <f>84.7*2</f>
        <v>169.4</v>
      </c>
    </row>
    <row r="72" spans="8:9" x14ac:dyDescent="0.25">
      <c r="H72" s="8">
        <v>69</v>
      </c>
      <c r="I72" s="70">
        <f>83.2*2</f>
        <v>166.4</v>
      </c>
    </row>
    <row r="73" spans="8:9" x14ac:dyDescent="0.25">
      <c r="H73" s="8">
        <v>70</v>
      </c>
      <c r="I73" s="70">
        <f>81.8*2</f>
        <v>163.60000000000002</v>
      </c>
    </row>
    <row r="74" spans="8:9" x14ac:dyDescent="0.25">
      <c r="H74" s="8">
        <v>71</v>
      </c>
      <c r="I74" s="70">
        <f>80.2*2</f>
        <v>160.4</v>
      </c>
    </row>
    <row r="75" spans="8:9" x14ac:dyDescent="0.25">
      <c r="H75" s="8">
        <v>72</v>
      </c>
      <c r="I75" s="70">
        <f>78.7*2</f>
        <v>157.4</v>
      </c>
    </row>
    <row r="76" spans="8:9" x14ac:dyDescent="0.25">
      <c r="H76" s="8">
        <v>73</v>
      </c>
      <c r="I76" s="70">
        <f>77.1*2</f>
        <v>154.20000000000002</v>
      </c>
    </row>
    <row r="77" spans="8:9" x14ac:dyDescent="0.25">
      <c r="H77" s="8">
        <v>74</v>
      </c>
      <c r="I77" s="70">
        <f>75.6*2</f>
        <v>151.20000000000002</v>
      </c>
    </row>
    <row r="78" spans="8:9" x14ac:dyDescent="0.25">
      <c r="H78" s="8">
        <v>75</v>
      </c>
      <c r="I78" s="70">
        <f>74*2</f>
        <v>148</v>
      </c>
    </row>
    <row r="79" spans="8:9" x14ac:dyDescent="0.25">
      <c r="H79" s="8">
        <v>76</v>
      </c>
      <c r="I79" s="70">
        <f>72.2*2</f>
        <v>144.4</v>
      </c>
    </row>
    <row r="80" spans="8:9" x14ac:dyDescent="0.25">
      <c r="H80" s="8">
        <v>77</v>
      </c>
      <c r="I80" s="70">
        <f>70.5*2</f>
        <v>141</v>
      </c>
    </row>
    <row r="81" spans="8:9" x14ac:dyDescent="0.25">
      <c r="H81" s="8">
        <v>78</v>
      </c>
      <c r="I81" s="70">
        <f>68.7*2</f>
        <v>137.4</v>
      </c>
    </row>
    <row r="82" spans="8:9" x14ac:dyDescent="0.25">
      <c r="H82" s="8">
        <v>79</v>
      </c>
      <c r="I82" s="70">
        <f>67*2</f>
        <v>134</v>
      </c>
    </row>
    <row r="83" spans="8:9" x14ac:dyDescent="0.25">
      <c r="H83" s="8">
        <v>80</v>
      </c>
      <c r="I83" s="70">
        <f>65.2*2</f>
        <v>130.4</v>
      </c>
    </row>
    <row r="84" spans="8:9" x14ac:dyDescent="0.25">
      <c r="H84" s="8">
        <v>81</v>
      </c>
      <c r="I84" s="70">
        <f>63.4*2</f>
        <v>126.80000000000001</v>
      </c>
    </row>
    <row r="85" spans="8:9" x14ac:dyDescent="0.25">
      <c r="H85" s="8">
        <v>82</v>
      </c>
      <c r="I85" s="70">
        <f>61.5*2</f>
        <v>123</v>
      </c>
    </row>
    <row r="86" spans="8:9" x14ac:dyDescent="0.25">
      <c r="H86" s="8">
        <v>83</v>
      </c>
      <c r="I86" s="70">
        <f>59.7*2</f>
        <v>119.4</v>
      </c>
    </row>
    <row r="87" spans="8:9" x14ac:dyDescent="0.25">
      <c r="H87" s="8">
        <v>84</v>
      </c>
      <c r="I87" s="70">
        <f>57.8*2</f>
        <v>115.60000000000001</v>
      </c>
    </row>
    <row r="88" spans="8:9" x14ac:dyDescent="0.25">
      <c r="H88" s="8">
        <v>85</v>
      </c>
      <c r="I88" s="70">
        <f>56*2</f>
        <v>112</v>
      </c>
    </row>
    <row r="89" spans="8:9" x14ac:dyDescent="0.25">
      <c r="H89" s="8">
        <v>86</v>
      </c>
      <c r="I89" s="70">
        <f>53.9*2</f>
        <v>107.80000000000001</v>
      </c>
    </row>
    <row r="90" spans="8:9" x14ac:dyDescent="0.25">
      <c r="H90" s="8">
        <v>87</v>
      </c>
      <c r="I90" s="70">
        <f>51.9*2</f>
        <v>103.80000000000001</v>
      </c>
    </row>
    <row r="91" spans="8:9" x14ac:dyDescent="0.25">
      <c r="H91" s="8">
        <v>88</v>
      </c>
      <c r="I91" s="70">
        <f>49.8*2</f>
        <v>99.600000000000009</v>
      </c>
    </row>
    <row r="92" spans="8:9" x14ac:dyDescent="0.25">
      <c r="H92" s="8">
        <v>89</v>
      </c>
      <c r="I92" s="70">
        <f>47.8*2</f>
        <v>95.600000000000009</v>
      </c>
    </row>
    <row r="93" spans="8:9" x14ac:dyDescent="0.25">
      <c r="H93" s="8">
        <v>90</v>
      </c>
      <c r="I93" s="70">
        <f>45.7*2</f>
        <v>91.4</v>
      </c>
    </row>
    <row r="94" spans="8:9" x14ac:dyDescent="0.25">
      <c r="H94" s="8">
        <v>91</v>
      </c>
      <c r="I94" s="70">
        <f>43.5*2</f>
        <v>87</v>
      </c>
    </row>
    <row r="95" spans="8:9" x14ac:dyDescent="0.25">
      <c r="H95" s="8">
        <v>92</v>
      </c>
      <c r="I95" s="70">
        <f>41*2</f>
        <v>82</v>
      </c>
    </row>
    <row r="96" spans="8:9" x14ac:dyDescent="0.25">
      <c r="H96" s="8">
        <v>93</v>
      </c>
      <c r="I96" s="70">
        <f>38.5*2</f>
        <v>77</v>
      </c>
    </row>
    <row r="97" spans="8:9" x14ac:dyDescent="0.25">
      <c r="H97" s="8">
        <v>94</v>
      </c>
      <c r="I97" s="70">
        <f>36*2</f>
        <v>72</v>
      </c>
    </row>
    <row r="98" spans="8:9" x14ac:dyDescent="0.25">
      <c r="H98" s="8">
        <v>95</v>
      </c>
      <c r="I98" s="70">
        <f>32.7*2</f>
        <v>65.400000000000006</v>
      </c>
    </row>
    <row r="99" spans="8:9" x14ac:dyDescent="0.25">
      <c r="H99" s="8">
        <v>96</v>
      </c>
      <c r="I99" s="70">
        <f>30*2</f>
        <v>60</v>
      </c>
    </row>
    <row r="100" spans="8:9" x14ac:dyDescent="0.25">
      <c r="H100" s="8">
        <v>97</v>
      </c>
      <c r="I100" s="70">
        <f>25.5*2</f>
        <v>51</v>
      </c>
    </row>
    <row r="101" spans="8:9" x14ac:dyDescent="0.25">
      <c r="H101" s="8">
        <v>98</v>
      </c>
      <c r="I101" s="70">
        <f>20*2</f>
        <v>40</v>
      </c>
    </row>
    <row r="102" spans="8:9" x14ac:dyDescent="0.25">
      <c r="H102" s="8">
        <v>99</v>
      </c>
      <c r="I102" s="70">
        <f>13*2</f>
        <v>26</v>
      </c>
    </row>
    <row r="103" spans="8:9" x14ac:dyDescent="0.25">
      <c r="H103" s="8">
        <v>100</v>
      </c>
      <c r="I103" s="70">
        <v>0</v>
      </c>
    </row>
  </sheetData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U11"/>
  <sheetViews>
    <sheetView workbookViewId="0"/>
  </sheetViews>
  <sheetFormatPr defaultColWidth="9.6328125" defaultRowHeight="12.5" x14ac:dyDescent="0.25"/>
  <cols>
    <col min="1" max="1" width="12.6328125" style="9" customWidth="1"/>
    <col min="2" max="2" width="5.6328125" style="9" customWidth="1"/>
    <col min="3" max="3" width="15.6328125" style="9" customWidth="1"/>
    <col min="4" max="4" width="5.6328125" style="9" customWidth="1"/>
    <col min="5" max="16384" width="9.6328125" style="9"/>
  </cols>
  <sheetData>
    <row r="1" spans="1:21" x14ac:dyDescent="0.25">
      <c r="B1" s="9" t="s">
        <v>55</v>
      </c>
      <c r="D1" s="9" t="s">
        <v>36</v>
      </c>
      <c r="H1" s="9" t="s">
        <v>36</v>
      </c>
      <c r="I1" s="9" t="s">
        <v>36</v>
      </c>
      <c r="J1" s="9" t="s">
        <v>36</v>
      </c>
      <c r="K1" s="9" t="s">
        <v>36</v>
      </c>
      <c r="L1" s="9" t="s">
        <v>36</v>
      </c>
      <c r="M1" s="9" t="s">
        <v>36</v>
      </c>
      <c r="N1" s="9" t="s">
        <v>36</v>
      </c>
      <c r="O1" s="9" t="s">
        <v>36</v>
      </c>
      <c r="P1" s="9" t="s">
        <v>36</v>
      </c>
      <c r="Q1" s="9" t="s">
        <v>36</v>
      </c>
      <c r="R1" s="9" t="s">
        <v>36</v>
      </c>
      <c r="S1" s="9" t="s">
        <v>36</v>
      </c>
      <c r="T1" s="9" t="s">
        <v>36</v>
      </c>
      <c r="U1" s="9" t="s">
        <v>36</v>
      </c>
    </row>
    <row r="2" spans="1:21" x14ac:dyDescent="0.25">
      <c r="D2" s="9" t="s">
        <v>36</v>
      </c>
      <c r="H2" s="9" t="s">
        <v>36</v>
      </c>
      <c r="I2" s="9" t="s">
        <v>36</v>
      </c>
      <c r="J2" s="9" t="s">
        <v>36</v>
      </c>
      <c r="K2" s="9" t="s">
        <v>36</v>
      </c>
      <c r="L2" s="9" t="s">
        <v>36</v>
      </c>
      <c r="M2" s="9" t="s">
        <v>36</v>
      </c>
      <c r="N2" s="9" t="s">
        <v>36</v>
      </c>
      <c r="O2" s="9" t="s">
        <v>36</v>
      </c>
      <c r="P2" s="9" t="s">
        <v>36</v>
      </c>
      <c r="Q2" s="9" t="s">
        <v>36</v>
      </c>
      <c r="R2" s="9" t="s">
        <v>36</v>
      </c>
      <c r="S2" s="9" t="s">
        <v>36</v>
      </c>
      <c r="T2" s="9" t="s">
        <v>36</v>
      </c>
      <c r="U2" s="9" t="s">
        <v>36</v>
      </c>
    </row>
    <row r="3" spans="1:21" x14ac:dyDescent="0.25">
      <c r="A3" s="9" t="s">
        <v>56</v>
      </c>
      <c r="B3" s="9">
        <v>130</v>
      </c>
      <c r="C3" s="9" t="s">
        <v>57</v>
      </c>
      <c r="D3" s="9" t="s">
        <v>36</v>
      </c>
      <c r="H3" s="9" t="s">
        <v>36</v>
      </c>
      <c r="I3" s="9" t="s">
        <v>36</v>
      </c>
      <c r="J3" s="9" t="s">
        <v>36</v>
      </c>
      <c r="K3" s="9" t="s">
        <v>36</v>
      </c>
      <c r="L3" s="9" t="s">
        <v>36</v>
      </c>
      <c r="M3" s="9" t="s">
        <v>36</v>
      </c>
      <c r="N3" s="9" t="s">
        <v>36</v>
      </c>
      <c r="O3" s="9" t="s">
        <v>36</v>
      </c>
      <c r="P3" s="9" t="s">
        <v>36</v>
      </c>
      <c r="Q3" s="9" t="s">
        <v>36</v>
      </c>
      <c r="R3" s="9" t="s">
        <v>36</v>
      </c>
      <c r="S3" s="9" t="s">
        <v>36</v>
      </c>
      <c r="T3" s="9" t="s">
        <v>36</v>
      </c>
      <c r="U3" s="9" t="s">
        <v>36</v>
      </c>
    </row>
    <row r="4" spans="1:21" x14ac:dyDescent="0.25">
      <c r="A4" s="9" t="s">
        <v>58</v>
      </c>
      <c r="B4" s="9">
        <v>22</v>
      </c>
      <c r="C4" s="9" t="s">
        <v>59</v>
      </c>
      <c r="D4" s="9" t="s">
        <v>36</v>
      </c>
      <c r="H4" s="9" t="s">
        <v>36</v>
      </c>
      <c r="I4" s="9" t="s">
        <v>36</v>
      </c>
      <c r="J4" s="9" t="s">
        <v>36</v>
      </c>
      <c r="K4" s="9" t="s">
        <v>36</v>
      </c>
      <c r="L4" s="9" t="s">
        <v>36</v>
      </c>
      <c r="M4" s="9" t="s">
        <v>36</v>
      </c>
      <c r="N4" s="9" t="s">
        <v>36</v>
      </c>
      <c r="O4" s="9" t="s">
        <v>36</v>
      </c>
      <c r="P4" s="9" t="s">
        <v>36</v>
      </c>
      <c r="Q4" s="9" t="s">
        <v>36</v>
      </c>
      <c r="R4" s="9" t="s">
        <v>36</v>
      </c>
      <c r="S4" s="9" t="s">
        <v>36</v>
      </c>
      <c r="T4" s="9" t="s">
        <v>36</v>
      </c>
    </row>
    <row r="5" spans="1:21" x14ac:dyDescent="0.25">
      <c r="A5" s="9" t="s">
        <v>60</v>
      </c>
      <c r="B5" s="9">
        <v>160</v>
      </c>
      <c r="C5" s="9" t="s">
        <v>61</v>
      </c>
      <c r="D5" s="9" t="s">
        <v>36</v>
      </c>
    </row>
    <row r="6" spans="1:21" x14ac:dyDescent="0.25">
      <c r="A6" s="9" t="s">
        <v>62</v>
      </c>
      <c r="B6" s="9">
        <v>46</v>
      </c>
      <c r="C6" s="9" t="s">
        <v>63</v>
      </c>
      <c r="D6" s="9" t="s">
        <v>36</v>
      </c>
    </row>
    <row r="7" spans="1:21" x14ac:dyDescent="0.25">
      <c r="A7" s="9" t="s">
        <v>64</v>
      </c>
      <c r="B7" s="9">
        <v>293</v>
      </c>
      <c r="C7" s="9" t="s">
        <v>65</v>
      </c>
      <c r="D7" s="9" t="s">
        <v>36</v>
      </c>
    </row>
    <row r="8" spans="1:21" x14ac:dyDescent="0.25">
      <c r="A8" s="9" t="s">
        <v>66</v>
      </c>
      <c r="B8" s="9">
        <v>48</v>
      </c>
      <c r="C8" s="9" t="s">
        <v>67</v>
      </c>
      <c r="D8" s="9" t="s">
        <v>36</v>
      </c>
    </row>
    <row r="9" spans="1:21" x14ac:dyDescent="0.25">
      <c r="A9" s="9" t="s">
        <v>68</v>
      </c>
      <c r="B9" s="9">
        <v>293</v>
      </c>
      <c r="C9" s="9" t="s">
        <v>69</v>
      </c>
      <c r="D9" s="9" t="s">
        <v>36</v>
      </c>
    </row>
    <row r="10" spans="1:21" x14ac:dyDescent="0.25">
      <c r="A10" s="9" t="s">
        <v>70</v>
      </c>
      <c r="B10" s="9">
        <v>48</v>
      </c>
      <c r="C10" s="9" t="s">
        <v>71</v>
      </c>
    </row>
    <row r="11" spans="1:21" x14ac:dyDescent="0.25">
      <c r="C11" s="9" t="s">
        <v>72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U11"/>
  <sheetViews>
    <sheetView workbookViewId="0"/>
  </sheetViews>
  <sheetFormatPr defaultColWidth="9.6328125" defaultRowHeight="12.5" x14ac:dyDescent="0.25"/>
  <cols>
    <col min="1" max="1" width="15.6328125" style="10" customWidth="1"/>
    <col min="2" max="2" width="5.6328125" style="10" customWidth="1"/>
    <col min="3" max="3" width="15.6328125" style="10" customWidth="1"/>
    <col min="4" max="4" width="5.6328125" style="10" customWidth="1"/>
    <col min="5" max="10" width="9.6328125" style="10"/>
    <col min="11" max="12" width="10.08984375" style="10" customWidth="1"/>
    <col min="13" max="16384" width="9.6328125" style="10"/>
  </cols>
  <sheetData>
    <row r="1" spans="1:21" x14ac:dyDescent="0.25">
      <c r="B1" s="10" t="s">
        <v>73</v>
      </c>
      <c r="H1" s="71" t="s">
        <v>74</v>
      </c>
      <c r="I1" s="71" t="s">
        <v>75</v>
      </c>
      <c r="J1" s="71" t="s">
        <v>76</v>
      </c>
      <c r="K1" s="71" t="s">
        <v>77</v>
      </c>
      <c r="L1" s="71" t="s">
        <v>78</v>
      </c>
      <c r="M1" s="71" t="s">
        <v>79</v>
      </c>
      <c r="N1" s="71" t="s">
        <v>80</v>
      </c>
      <c r="O1" s="71" t="s">
        <v>81</v>
      </c>
      <c r="P1" s="71" t="s">
        <v>82</v>
      </c>
      <c r="Q1" s="71" t="s">
        <v>83</v>
      </c>
      <c r="R1" s="71" t="s">
        <v>84</v>
      </c>
      <c r="S1" s="71" t="s">
        <v>85</v>
      </c>
      <c r="T1" s="71" t="s">
        <v>86</v>
      </c>
      <c r="U1" s="10" t="s">
        <v>36</v>
      </c>
    </row>
    <row r="2" spans="1:21" x14ac:dyDescent="0.25">
      <c r="H2" s="10">
        <f>IF(B3&gt;0,IF(B3&lt;=90,B3+270,B3-90),0)</f>
        <v>40</v>
      </c>
      <c r="I2" s="10">
        <f>IF(B5&gt;0,IF(B5&lt;=90,B5+270,B5-90),0)</f>
        <v>70</v>
      </c>
      <c r="J2" s="10">
        <f t="array" ref="J2">ABS(B3-B5)</f>
        <v>30</v>
      </c>
      <c r="K2" s="72">
        <f>IF(B3&gt;0,COS(B6*0.01745)*COS(B4*0.01745)+SIN(B6*0.01745)*SIN(B4*0.01745)*COS(J2*0.01745),0)</f>
        <v>0.87750059233108246</v>
      </c>
      <c r="L2" s="72">
        <f t="array" ref="L2">IF(H2&lt;&gt;I2,ACOS((COS(B6*0.01745)-K2*COS($B$4*0.01745))/(SIN((ACOS(K2)*57.29577)*0.01745)*SIN($B$4*0.01745)))*57.29577,0)</f>
        <v>131.44107666423449</v>
      </c>
      <c r="M2" s="10">
        <f t="array" ref="M2">IF(K2&gt;0,IF(AND(H2&lt;I2,ABS(H2-I2)&lt;180),H2-L2,IF(AND(H2&gt;I2,ABS(H2-I2)&lt;180),H2+L2,0)),0)</f>
        <v>-91.441076664234487</v>
      </c>
      <c r="N2" s="10">
        <f t="array" ref="N2">IF(K2&gt;0,IF(AND(H2&lt;I2,ABS(H2-I2)&gt;180),H2+L2,IF(AND(H2&gt;I2,ABS(H2-I2)&gt;180),H2-L2,0)),0)</f>
        <v>0</v>
      </c>
      <c r="O2" s="10">
        <f t="array" ref="O2">IF(K2&lt;0,IF(H2&lt;I2,H2-L2-180,IF(H2&gt;I2,H2+L2-180,0)),0)</f>
        <v>0</v>
      </c>
      <c r="P2" s="10">
        <f>IF(B3&gt;0,IF(AND(H2=I2,B4&lt;B6),H2-180,IF(AND(H2=I2,B4&gt;B6),H2,0)),0)</f>
        <v>0</v>
      </c>
      <c r="Q2" s="10">
        <f t="array" ref="Q2">IF(AND(M2&gt;0,M2&lt;360),M2,IF(M2&lt;0,M2+360,IF(M2&gt;360,M2-360,0)))</f>
        <v>268.55892333576548</v>
      </c>
      <c r="R2" s="10">
        <f t="array" ref="R2">IF(AND(N2&gt;0,N2&lt;360),N2,IF(N2&lt;0,N2+360,IF(N2&gt;360,N2-360,0)))</f>
        <v>0</v>
      </c>
      <c r="S2" s="10">
        <f t="array" ref="S2">IF(AND(O2&gt;0,O2&lt;360),O2,IF(O2&lt;0,O2+360,IF(O2&gt;360,O2-360,0)))</f>
        <v>0</v>
      </c>
      <c r="T2" s="10">
        <f t="array" ref="T2">IF(AND(P2&gt;0,P2&lt;360),P2,IF(P2&lt;0,P2+360,IF(P2&gt;360,P2-360,0)))</f>
        <v>0</v>
      </c>
      <c r="U2" s="10" t="s">
        <v>36</v>
      </c>
    </row>
    <row r="3" spans="1:21" x14ac:dyDescent="0.25">
      <c r="A3" s="10" t="s">
        <v>56</v>
      </c>
      <c r="B3" s="80">
        <v>130</v>
      </c>
      <c r="C3" s="9" t="s">
        <v>57</v>
      </c>
      <c r="D3" s="10">
        <f>ROUND(IF(MAXA(Q2:T2)&gt;=90,MAXA(Q2:T2)-90,270+MAXA(Q2:T2)),0)</f>
        <v>179</v>
      </c>
      <c r="H3" s="10">
        <f>IF(B3&gt;0,IF(B3&lt;=90,B3+270,B3-90),0)</f>
        <v>40</v>
      </c>
      <c r="I3" s="10">
        <f>IF(B7&gt;0,IF(B7&lt;=90,B7+270,B7-90),0)</f>
        <v>203</v>
      </c>
      <c r="J3" s="10">
        <f t="array" ref="J3">ABS(B3-B7)</f>
        <v>163</v>
      </c>
      <c r="K3" s="72">
        <f>IF(B3&gt;0,COS(B8*0.01745)*COS(B4*0.01745)+SIN(B8*0.01745)*SIN(B4*0.01745)*COS(J3*0.01745),0)</f>
        <v>0.35444069134943623</v>
      </c>
      <c r="L3" s="72">
        <f t="array" ref="L3">IF(H3&lt;&gt;I3,ACOS((COS(B8*0.01745)-K3*COS($B$4*0.01745))/(SIN((ACOS(K3)*57.29577)*0.01745)*SIN($B$4*0.01745)))*57.29577,0)</f>
        <v>13.437376038404237</v>
      </c>
      <c r="M3" s="10">
        <f t="array" ref="M3">IF(K3&gt;0,IF(AND(H3&lt;I3,ABS(H3-I3)&lt;180),H3-L3,IF(AND(H3&gt;I3,ABS(H3-I3)&lt;180),H3+L3,0)),0)</f>
        <v>26.562623961595762</v>
      </c>
      <c r="N3" s="10">
        <f t="array" ref="N3">IF(K3&gt;0,IF(AND(H3&lt;I3,ABS(H3-I3)&gt;180),H3+L3,IF(AND(H3&gt;I3,ABS(H3-I3)&gt;180),H3-L3,0)),0)</f>
        <v>0</v>
      </c>
      <c r="O3" s="10">
        <f t="array" ref="O3">IF(K3&lt;0,IF(H3&lt;I3,H3-L3-180,IF(H3&gt;I3,H3+L3-180,0)),0)</f>
        <v>0</v>
      </c>
      <c r="P3" s="10">
        <f>IF(B4&gt;0,IF(AND(H3=I3,B4&lt;B8),H3-180,IF(AND(H3=I3,B4&gt;B8),H3,0)),0)</f>
        <v>0</v>
      </c>
      <c r="Q3" s="10">
        <f t="array" ref="Q3">IF(AND(M3&gt;0,M3&lt;360),M3,IF(M3&lt;0,M3+360,IF(M3&gt;360,M3-360,0)))</f>
        <v>26.562623961595762</v>
      </c>
      <c r="R3" s="10">
        <f t="array" ref="R3">IF(AND(N3&gt;0,N3&lt;360),N3,IF(N3&lt;0,N3+360,IF(N3&gt;360,N3-360,0)))</f>
        <v>0</v>
      </c>
      <c r="S3" s="10">
        <f t="array" ref="S3">IF(AND(O3&gt;0,O3&lt;360),O3,IF(O3&lt;0,O3+360,IF(O3&gt;360,O3-360,0)))</f>
        <v>0</v>
      </c>
      <c r="T3" s="10">
        <f t="array" ref="T3">IF(AND(P3&gt;0,P3&lt;360),P3,IF(P3&lt;0,P3+360,IF(P3&gt;360,P3-360,0)))</f>
        <v>0</v>
      </c>
      <c r="U3" s="10" t="s">
        <v>36</v>
      </c>
    </row>
    <row r="4" spans="1:21" x14ac:dyDescent="0.25">
      <c r="A4" s="10" t="s">
        <v>58</v>
      </c>
      <c r="B4" s="10">
        <v>22</v>
      </c>
      <c r="C4" s="9" t="s">
        <v>59</v>
      </c>
      <c r="D4" s="10">
        <f>ROUND(ACOS(K2)*57.29577,0)</f>
        <v>29</v>
      </c>
      <c r="H4" s="10">
        <f>IF(B3&gt;0,IF(B3&lt;=90,B3+270,B3-90),0)</f>
        <v>40</v>
      </c>
      <c r="I4" s="10">
        <f>IF(B9&gt;0,IF(B9&lt;=90,B9+270,B9-90),0)</f>
        <v>203</v>
      </c>
      <c r="J4" s="10">
        <f t="array" ref="J4">ABS(B3-B9)</f>
        <v>163</v>
      </c>
      <c r="K4" s="72">
        <f>IF(B3&gt;0,COS(B10*0.01745)*COS(B4*0.01745)+SIN(B10*0.01745)*SIN(B4*0.01745)*COS(J4*0.01745),0)</f>
        <v>0.35444069134943623</v>
      </c>
      <c r="L4" s="72">
        <f t="array" ref="L4">IF(H4&lt;&gt;I4,ACOS((COS(B10*0.01745)-K4*COS($B$4*0.01745))/(SIN((ACOS(K4)*57.29577)*0.01745)*SIN($B$4*0.01745)))*57.29577,0)</f>
        <v>13.437376038404237</v>
      </c>
      <c r="M4" s="10">
        <f t="array" ref="M4">IF(K4&gt;0,IF(AND(H4&lt;I4,ABS(H4-I4)&lt;180),H4-L4,IF(AND(H4&gt;I4,ABS(H4-I4)&lt;180),H4+L4,0)),0)</f>
        <v>26.562623961595762</v>
      </c>
      <c r="N4" s="10">
        <f t="array" ref="N4">IF(K4&gt;0,IF(AND(H4&lt;I4,ABS(H4-I4)&gt;180),H4+L4,IF(AND(H4&gt;I4,ABS(H4-I4)&gt;180),H4-L4,0)),0)</f>
        <v>0</v>
      </c>
      <c r="O4" s="10">
        <f t="array" ref="O4">IF(K4&lt;0,IF(H4&lt;I4,H4-L4-180,IF(H4&gt;I4,H4+L4-180,0)),0)</f>
        <v>0</v>
      </c>
      <c r="P4" s="10">
        <f>IF(B5&gt;0,IF(AND(H4=I4,B4&lt;B10),H4-180,IF(AND(H4=I4,B4&gt;B10),H4,0)),0)</f>
        <v>0</v>
      </c>
      <c r="Q4" s="10">
        <f t="array" ref="Q4">IF(AND(M4&gt;0,M4&lt;360),M4,IF(M4&lt;0,M4+360,IF(M4&gt;360,M4-360,0)))</f>
        <v>26.562623961595762</v>
      </c>
      <c r="R4" s="10">
        <f t="array" ref="R4">IF(AND(N4&gt;0,N4&lt;360),N4,IF(N4&lt;0,N4+360,IF(N4&gt;360,N4-360,0)))</f>
        <v>0</v>
      </c>
      <c r="S4" s="10">
        <f t="array" ref="S4">IF(AND(O4&gt;0,O4&lt;360),O4,IF(O4&lt;0,O4+360,IF(O4&gt;360,O4-360,0)))</f>
        <v>0</v>
      </c>
      <c r="T4" s="10">
        <f t="array" ref="T4">IF(AND(P4&gt;0,P4&lt;360),P4,IF(P4&lt;0,P4+360,IF(P4&gt;360,P4-360,0)))</f>
        <v>0</v>
      </c>
    </row>
    <row r="5" spans="1:21" x14ac:dyDescent="0.25">
      <c r="A5" s="10" t="s">
        <v>60</v>
      </c>
      <c r="B5" s="10">
        <v>160</v>
      </c>
      <c r="C5" s="9" t="s">
        <v>61</v>
      </c>
      <c r="D5" s="10">
        <f>IF(D3&lt;=270,D3+90,D3-270)</f>
        <v>269</v>
      </c>
    </row>
    <row r="6" spans="1:21" x14ac:dyDescent="0.25">
      <c r="A6" s="10" t="s">
        <v>62</v>
      </c>
      <c r="B6" s="10">
        <v>46</v>
      </c>
      <c r="C6" s="9" t="s">
        <v>63</v>
      </c>
      <c r="D6" s="10">
        <f>ROUND(IF(MAXA(Q3:T3)&gt;=90,MAXA(Q3:T3)-90,270+MAXA(Q3:T3)),0)</f>
        <v>297</v>
      </c>
    </row>
    <row r="7" spans="1:21" x14ac:dyDescent="0.25">
      <c r="A7" s="10" t="s">
        <v>64</v>
      </c>
      <c r="B7" s="10">
        <v>293</v>
      </c>
      <c r="C7" s="9" t="s">
        <v>65</v>
      </c>
      <c r="D7" s="10">
        <f>ROUND(ACOS(K3)*57.29577,0)</f>
        <v>69</v>
      </c>
    </row>
    <row r="8" spans="1:21" x14ac:dyDescent="0.25">
      <c r="A8" s="10" t="s">
        <v>66</v>
      </c>
      <c r="B8" s="10">
        <v>48</v>
      </c>
      <c r="C8" s="9" t="s">
        <v>67</v>
      </c>
      <c r="D8" s="10">
        <f>IF(D6&lt;=270,D6+90,D6-270)</f>
        <v>27</v>
      </c>
    </row>
    <row r="9" spans="1:21" x14ac:dyDescent="0.25">
      <c r="A9" s="10" t="s">
        <v>68</v>
      </c>
      <c r="B9" s="10">
        <v>293</v>
      </c>
      <c r="C9" s="9" t="s">
        <v>69</v>
      </c>
      <c r="D9" s="10">
        <f>ROUND(IF(MAXA(Q4:T4)&gt;=90,MAXA(Q4:T4)-90,270+MAXA(Q4:T4)),0)</f>
        <v>297</v>
      </c>
    </row>
    <row r="10" spans="1:21" x14ac:dyDescent="0.25">
      <c r="A10" s="10" t="s">
        <v>70</v>
      </c>
      <c r="B10" s="10">
        <v>48</v>
      </c>
      <c r="C10" s="9" t="s">
        <v>71</v>
      </c>
      <c r="D10" s="10">
        <f>ROUND(ACOS(K4)*57.29577,0)</f>
        <v>69</v>
      </c>
    </row>
    <row r="11" spans="1:21" x14ac:dyDescent="0.25">
      <c r="C11" s="9" t="s">
        <v>72</v>
      </c>
      <c r="D11" s="10">
        <f>IF(D9&lt;=270,D9+90,D9-270)</f>
        <v>27</v>
      </c>
    </row>
  </sheetData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D39"/>
  <sheetViews>
    <sheetView workbookViewId="0"/>
  </sheetViews>
  <sheetFormatPr defaultColWidth="9.6328125" defaultRowHeight="12.5" x14ac:dyDescent="0.25"/>
  <cols>
    <col min="1" max="1" width="9" style="11" customWidth="1"/>
    <col min="2" max="2" width="11.36328125" style="11" customWidth="1"/>
    <col min="3" max="3" width="12.453125" style="11" customWidth="1"/>
    <col min="4" max="16384" width="9.6328125" style="11"/>
  </cols>
  <sheetData>
    <row r="1" spans="1:3" x14ac:dyDescent="0.25">
      <c r="B1" s="11" t="s">
        <v>87</v>
      </c>
    </row>
    <row r="3" spans="1:3" x14ac:dyDescent="0.25">
      <c r="A3" s="11" t="s">
        <v>88</v>
      </c>
      <c r="B3" s="11" t="s">
        <v>89</v>
      </c>
      <c r="C3" s="11" t="s">
        <v>90</v>
      </c>
    </row>
    <row r="4" spans="1:3" x14ac:dyDescent="0.25">
      <c r="A4" s="11">
        <v>0</v>
      </c>
      <c r="B4" s="11">
        <v>23.2</v>
      </c>
      <c r="C4" s="11">
        <v>4.3</v>
      </c>
    </row>
    <row r="5" spans="1:3" x14ac:dyDescent="0.25">
      <c r="A5" s="11">
        <v>1.6</v>
      </c>
      <c r="B5" s="11">
        <v>23.7</v>
      </c>
      <c r="C5" s="11">
        <v>4.4000000000000004</v>
      </c>
    </row>
    <row r="6" spans="1:3" x14ac:dyDescent="0.25">
      <c r="A6" s="11">
        <v>2.1</v>
      </c>
      <c r="B6" s="11">
        <v>22.9</v>
      </c>
      <c r="C6" s="11">
        <v>4.2</v>
      </c>
    </row>
    <row r="7" spans="1:3" x14ac:dyDescent="0.25">
      <c r="A7" s="11">
        <v>2.7</v>
      </c>
      <c r="B7" s="11">
        <v>23.8</v>
      </c>
      <c r="C7" s="11">
        <v>4.3</v>
      </c>
    </row>
    <row r="8" spans="1:3" x14ac:dyDescent="0.25">
      <c r="A8" s="11">
        <v>3.6</v>
      </c>
      <c r="B8" s="11">
        <v>24.2</v>
      </c>
      <c r="C8" s="11">
        <v>4.0999999999999996</v>
      </c>
    </row>
    <row r="9" spans="1:3" x14ac:dyDescent="0.25">
      <c r="A9" s="11">
        <v>4.2</v>
      </c>
      <c r="B9" s="11">
        <v>24.1</v>
      </c>
      <c r="C9" s="11">
        <v>4.0999999999999996</v>
      </c>
    </row>
    <row r="10" spans="1:3" x14ac:dyDescent="0.25">
      <c r="A10" s="11">
        <v>4.8</v>
      </c>
      <c r="B10" s="11">
        <v>24.3</v>
      </c>
      <c r="C10" s="11">
        <v>3.9</v>
      </c>
    </row>
    <row r="11" spans="1:3" x14ac:dyDescent="0.25">
      <c r="A11" s="11">
        <v>5.4</v>
      </c>
      <c r="B11" s="11">
        <v>23.9</v>
      </c>
      <c r="C11" s="11">
        <v>4.2</v>
      </c>
    </row>
    <row r="12" spans="1:3" x14ac:dyDescent="0.25">
      <c r="A12" s="11">
        <v>6.3</v>
      </c>
      <c r="B12" s="11">
        <v>24.6</v>
      </c>
      <c r="C12" s="11">
        <v>3.8</v>
      </c>
    </row>
    <row r="13" spans="1:3" x14ac:dyDescent="0.25">
      <c r="A13" s="11">
        <v>6.9</v>
      </c>
      <c r="B13" s="11">
        <v>24.4</v>
      </c>
      <c r="C13" s="11">
        <v>3.9</v>
      </c>
    </row>
    <row r="14" spans="1:3" x14ac:dyDescent="0.25">
      <c r="A14" s="11">
        <v>7.5</v>
      </c>
      <c r="B14" s="11">
        <v>25.5</v>
      </c>
      <c r="C14" s="11">
        <v>3.7</v>
      </c>
    </row>
    <row r="15" spans="1:3" x14ac:dyDescent="0.25">
      <c r="A15" s="11">
        <v>8.4</v>
      </c>
      <c r="B15" s="11">
        <v>24.7</v>
      </c>
      <c r="C15" s="11">
        <v>3.6</v>
      </c>
    </row>
    <row r="16" spans="1:3" x14ac:dyDescent="0.25">
      <c r="A16" s="11">
        <v>9.1</v>
      </c>
      <c r="B16" s="11">
        <v>25.6</v>
      </c>
      <c r="C16" s="11">
        <v>3.5</v>
      </c>
    </row>
    <row r="17" spans="1:4" x14ac:dyDescent="0.25">
      <c r="A17" s="11">
        <v>9.8000000000000007</v>
      </c>
      <c r="B17" s="11">
        <v>25.9</v>
      </c>
      <c r="C17" s="11">
        <v>3.7</v>
      </c>
    </row>
    <row r="18" spans="1:4" x14ac:dyDescent="0.25">
      <c r="A18" s="11">
        <v>10.199999999999999</v>
      </c>
      <c r="B18" s="11">
        <v>26.2</v>
      </c>
      <c r="C18" s="11">
        <v>3.3</v>
      </c>
    </row>
    <row r="19" spans="1:4" x14ac:dyDescent="0.25">
      <c r="A19" s="11">
        <v>11.3</v>
      </c>
      <c r="B19" s="11">
        <v>26.7</v>
      </c>
      <c r="C19" s="11">
        <v>3.4</v>
      </c>
    </row>
    <row r="20" spans="1:4" x14ac:dyDescent="0.25">
      <c r="A20" s="11">
        <v>12.1</v>
      </c>
      <c r="B20" s="11">
        <v>26.5</v>
      </c>
      <c r="C20" s="11">
        <v>3.5</v>
      </c>
    </row>
    <row r="21" spans="1:4" x14ac:dyDescent="0.25">
      <c r="A21" s="11">
        <v>12.7</v>
      </c>
      <c r="B21" s="11">
        <v>27.1</v>
      </c>
      <c r="C21" s="11">
        <v>3.2</v>
      </c>
    </row>
    <row r="22" spans="1:4" x14ac:dyDescent="0.25">
      <c r="A22" s="11">
        <v>13.5</v>
      </c>
      <c r="B22" s="11">
        <v>26.8</v>
      </c>
      <c r="C22" s="11">
        <v>3.3</v>
      </c>
      <c r="D22" s="11" t="s">
        <v>36</v>
      </c>
    </row>
    <row r="23" spans="1:4" x14ac:dyDescent="0.25">
      <c r="A23" s="11">
        <v>14.6</v>
      </c>
      <c r="B23" s="11">
        <v>27.3</v>
      </c>
      <c r="C23" s="11">
        <v>3.1</v>
      </c>
      <c r="D23" s="11" t="s">
        <v>36</v>
      </c>
    </row>
    <row r="24" spans="1:4" x14ac:dyDescent="0.25">
      <c r="A24" s="11" t="s">
        <v>36</v>
      </c>
      <c r="B24" s="11" t="s">
        <v>36</v>
      </c>
      <c r="C24" s="11" t="s">
        <v>36</v>
      </c>
      <c r="D24" s="11" t="s">
        <v>36</v>
      </c>
    </row>
    <row r="25" spans="1:4" x14ac:dyDescent="0.25">
      <c r="A25" s="11" t="s">
        <v>36</v>
      </c>
      <c r="B25" s="11" t="s">
        <v>36</v>
      </c>
      <c r="C25" s="11" t="s">
        <v>36</v>
      </c>
      <c r="D25" s="11" t="s">
        <v>36</v>
      </c>
    </row>
    <row r="26" spans="1:4" x14ac:dyDescent="0.25">
      <c r="A26" s="11" t="s">
        <v>36</v>
      </c>
      <c r="B26" s="11" t="s">
        <v>36</v>
      </c>
      <c r="C26" s="11" t="s">
        <v>36</v>
      </c>
      <c r="D26" s="11" t="s">
        <v>36</v>
      </c>
    </row>
    <row r="27" spans="1:4" x14ac:dyDescent="0.25">
      <c r="A27" s="11" t="s">
        <v>36</v>
      </c>
      <c r="B27" s="11" t="s">
        <v>36</v>
      </c>
      <c r="C27" s="11" t="s">
        <v>36</v>
      </c>
      <c r="D27" s="11" t="s">
        <v>36</v>
      </c>
    </row>
    <row r="28" spans="1:4" x14ac:dyDescent="0.25">
      <c r="A28" s="11" t="s">
        <v>36</v>
      </c>
      <c r="B28" s="11" t="s">
        <v>36</v>
      </c>
      <c r="C28" s="11" t="s">
        <v>36</v>
      </c>
      <c r="D28" s="11" t="s">
        <v>36</v>
      </c>
    </row>
    <row r="29" spans="1:4" x14ac:dyDescent="0.25">
      <c r="A29" s="11" t="s">
        <v>36</v>
      </c>
      <c r="B29" s="11" t="s">
        <v>36</v>
      </c>
      <c r="C29" s="11" t="s">
        <v>36</v>
      </c>
      <c r="D29" s="11" t="s">
        <v>36</v>
      </c>
    </row>
    <row r="30" spans="1:4" x14ac:dyDescent="0.25">
      <c r="A30" s="11" t="s">
        <v>36</v>
      </c>
      <c r="B30" s="11" t="s">
        <v>36</v>
      </c>
      <c r="C30" s="11" t="s">
        <v>36</v>
      </c>
      <c r="D30" s="11" t="s">
        <v>36</v>
      </c>
    </row>
    <row r="31" spans="1:4" x14ac:dyDescent="0.25">
      <c r="A31" s="11" t="s">
        <v>36</v>
      </c>
      <c r="B31" s="11" t="s">
        <v>36</v>
      </c>
      <c r="C31" s="11" t="s">
        <v>36</v>
      </c>
      <c r="D31" s="11" t="s">
        <v>36</v>
      </c>
    </row>
    <row r="32" spans="1:4" x14ac:dyDescent="0.25">
      <c r="A32" s="11" t="s">
        <v>36</v>
      </c>
      <c r="B32" s="11" t="s">
        <v>36</v>
      </c>
      <c r="C32" s="11" t="s">
        <v>36</v>
      </c>
      <c r="D32" s="11" t="s">
        <v>36</v>
      </c>
    </row>
    <row r="33" spans="1:4" x14ac:dyDescent="0.25">
      <c r="A33" s="11" t="s">
        <v>36</v>
      </c>
      <c r="B33" s="11" t="s">
        <v>36</v>
      </c>
      <c r="C33" s="11" t="s">
        <v>36</v>
      </c>
      <c r="D33" s="11" t="s">
        <v>36</v>
      </c>
    </row>
    <row r="34" spans="1:4" x14ac:dyDescent="0.25">
      <c r="A34" s="11" t="s">
        <v>36</v>
      </c>
      <c r="B34" s="11" t="s">
        <v>36</v>
      </c>
      <c r="C34" s="11" t="s">
        <v>36</v>
      </c>
      <c r="D34" s="11" t="s">
        <v>36</v>
      </c>
    </row>
    <row r="35" spans="1:4" x14ac:dyDescent="0.25">
      <c r="A35" s="11" t="s">
        <v>36</v>
      </c>
      <c r="B35" s="11" t="s">
        <v>36</v>
      </c>
      <c r="C35" s="11" t="s">
        <v>36</v>
      </c>
      <c r="D35" s="11" t="s">
        <v>36</v>
      </c>
    </row>
    <row r="36" spans="1:4" x14ac:dyDescent="0.25">
      <c r="A36" s="11" t="s">
        <v>36</v>
      </c>
      <c r="B36" s="11" t="s">
        <v>36</v>
      </c>
      <c r="D36" s="11" t="s">
        <v>36</v>
      </c>
    </row>
    <row r="37" spans="1:4" x14ac:dyDescent="0.25">
      <c r="A37" s="11" t="s">
        <v>36</v>
      </c>
      <c r="B37" s="11" t="s">
        <v>36</v>
      </c>
    </row>
    <row r="38" spans="1:4" x14ac:dyDescent="0.25">
      <c r="A38" s="11" t="s">
        <v>36</v>
      </c>
      <c r="B38" s="11" t="s">
        <v>36</v>
      </c>
    </row>
    <row r="39" spans="1:4" x14ac:dyDescent="0.25">
      <c r="B39" s="11" t="s">
        <v>36</v>
      </c>
    </row>
  </sheetData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M32"/>
  <sheetViews>
    <sheetView workbookViewId="0"/>
  </sheetViews>
  <sheetFormatPr defaultColWidth="9.6328125" defaultRowHeight="12.5" x14ac:dyDescent="0.25"/>
  <cols>
    <col min="1" max="2" width="11.36328125" style="12" customWidth="1"/>
    <col min="3" max="3" width="12.453125" style="12" customWidth="1"/>
    <col min="4" max="4" width="9.6328125" style="12"/>
    <col min="5" max="5" width="18" style="12" customWidth="1"/>
    <col min="6" max="16384" width="9.6328125" style="12"/>
  </cols>
  <sheetData>
    <row r="1" spans="1:13" x14ac:dyDescent="0.25">
      <c r="B1" s="12" t="s">
        <v>91</v>
      </c>
      <c r="E1" t="s">
        <v>92</v>
      </c>
      <c r="F1"/>
      <c r="G1"/>
      <c r="H1"/>
      <c r="I1"/>
      <c r="J1"/>
      <c r="K1"/>
      <c r="L1"/>
      <c r="M1"/>
    </row>
    <row r="2" spans="1:13" ht="13" thickBot="1" x14ac:dyDescent="0.3">
      <c r="E2"/>
      <c r="F2"/>
      <c r="G2"/>
      <c r="H2"/>
      <c r="I2"/>
      <c r="J2"/>
      <c r="K2"/>
      <c r="L2"/>
      <c r="M2"/>
    </row>
    <row r="3" spans="1:13" ht="13" x14ac:dyDescent="0.3">
      <c r="A3" s="12" t="s">
        <v>88</v>
      </c>
      <c r="B3" s="12" t="s">
        <v>89</v>
      </c>
      <c r="C3" s="12" t="s">
        <v>90</v>
      </c>
      <c r="E3" s="35" t="s">
        <v>93</v>
      </c>
      <c r="F3" s="35"/>
      <c r="G3"/>
      <c r="H3"/>
      <c r="I3"/>
      <c r="J3"/>
      <c r="K3"/>
      <c r="L3"/>
      <c r="M3"/>
    </row>
    <row r="4" spans="1:13" x14ac:dyDescent="0.25">
      <c r="A4" s="12">
        <v>0</v>
      </c>
      <c r="B4" s="12">
        <v>23.2</v>
      </c>
      <c r="C4" s="12">
        <v>4.3</v>
      </c>
      <c r="E4" s="33" t="s">
        <v>94</v>
      </c>
      <c r="F4" s="33">
        <v>0.96549085711256633</v>
      </c>
      <c r="G4"/>
      <c r="H4"/>
      <c r="I4"/>
      <c r="J4"/>
      <c r="K4"/>
      <c r="L4"/>
      <c r="M4"/>
    </row>
    <row r="5" spans="1:13" x14ac:dyDescent="0.25">
      <c r="A5" s="12">
        <v>1.6</v>
      </c>
      <c r="B5" s="12">
        <v>23.7</v>
      </c>
      <c r="C5" s="12">
        <v>4.4000000000000004</v>
      </c>
      <c r="E5" s="33" t="s">
        <v>95</v>
      </c>
      <c r="F5" s="33">
        <v>0.93217259516795792</v>
      </c>
      <c r="G5"/>
      <c r="H5"/>
      <c r="I5"/>
      <c r="J5"/>
      <c r="K5"/>
      <c r="L5"/>
      <c r="M5"/>
    </row>
    <row r="6" spans="1:13" x14ac:dyDescent="0.25">
      <c r="A6" s="12">
        <v>2.1</v>
      </c>
      <c r="B6" s="12">
        <v>22.9</v>
      </c>
      <c r="C6" s="12">
        <v>4.2</v>
      </c>
      <c r="E6" s="33" t="s">
        <v>96</v>
      </c>
      <c r="F6" s="33">
        <v>0.92840440601062224</v>
      </c>
      <c r="G6"/>
      <c r="H6"/>
      <c r="I6"/>
      <c r="J6"/>
      <c r="K6"/>
      <c r="L6"/>
      <c r="M6"/>
    </row>
    <row r="7" spans="1:13" x14ac:dyDescent="0.25">
      <c r="A7" s="12">
        <v>2.7</v>
      </c>
      <c r="B7" s="12">
        <v>23.8</v>
      </c>
      <c r="C7" s="12">
        <v>4.3</v>
      </c>
      <c r="E7" s="33" t="s">
        <v>97</v>
      </c>
      <c r="F7" s="33">
        <v>0.36513842411454162</v>
      </c>
      <c r="G7"/>
      <c r="H7"/>
      <c r="I7"/>
      <c r="J7"/>
      <c r="K7"/>
      <c r="L7"/>
      <c r="M7"/>
    </row>
    <row r="8" spans="1:13" ht="13" thickBot="1" x14ac:dyDescent="0.3">
      <c r="A8" s="12">
        <v>3.6</v>
      </c>
      <c r="B8" s="12">
        <v>24.2</v>
      </c>
      <c r="C8" s="12">
        <v>4.0999999999999996</v>
      </c>
      <c r="E8" s="34" t="s">
        <v>98</v>
      </c>
      <c r="F8" s="34">
        <v>20</v>
      </c>
      <c r="G8"/>
      <c r="H8"/>
      <c r="I8"/>
      <c r="J8"/>
      <c r="K8"/>
      <c r="L8"/>
      <c r="M8"/>
    </row>
    <row r="9" spans="1:13" x14ac:dyDescent="0.25">
      <c r="A9" s="12">
        <v>4.2</v>
      </c>
      <c r="B9" s="12">
        <v>24.1</v>
      </c>
      <c r="C9" s="12">
        <v>4.0999999999999996</v>
      </c>
      <c r="E9"/>
      <c r="F9"/>
      <c r="G9"/>
      <c r="H9"/>
      <c r="I9"/>
      <c r="J9"/>
      <c r="K9"/>
      <c r="L9"/>
      <c r="M9"/>
    </row>
    <row r="10" spans="1:13" x14ac:dyDescent="0.25">
      <c r="A10" s="12">
        <v>4.8</v>
      </c>
      <c r="B10" s="12">
        <v>24.3</v>
      </c>
      <c r="C10" s="12">
        <v>3.9</v>
      </c>
      <c r="E10" s="36"/>
      <c r="F10" s="36"/>
      <c r="G10" s="36"/>
      <c r="H10" s="36"/>
      <c r="I10" s="36"/>
      <c r="J10" s="36"/>
      <c r="K10" s="36"/>
      <c r="L10" s="36"/>
      <c r="M10" s="36"/>
    </row>
    <row r="11" spans="1:13" ht="13" x14ac:dyDescent="0.3">
      <c r="A11" s="12">
        <v>5.4</v>
      </c>
      <c r="B11" s="12">
        <v>23.9</v>
      </c>
      <c r="C11" s="12">
        <v>4.2</v>
      </c>
      <c r="E11" s="37"/>
      <c r="F11" s="37"/>
      <c r="G11" s="37"/>
      <c r="H11" s="37"/>
      <c r="I11" s="37"/>
      <c r="J11" s="37"/>
      <c r="K11" s="36"/>
      <c r="L11" s="36"/>
      <c r="M11" s="36"/>
    </row>
    <row r="12" spans="1:13" x14ac:dyDescent="0.25">
      <c r="A12" s="12">
        <v>6.3</v>
      </c>
      <c r="B12" s="12">
        <v>24.6</v>
      </c>
      <c r="C12" s="12">
        <v>3.8</v>
      </c>
      <c r="E12" s="33"/>
      <c r="F12" s="33"/>
      <c r="G12" s="33"/>
      <c r="H12" s="33"/>
      <c r="I12" s="33"/>
      <c r="J12" s="33"/>
      <c r="K12" s="36"/>
      <c r="L12" s="36"/>
      <c r="M12" s="36"/>
    </row>
    <row r="13" spans="1:13" x14ac:dyDescent="0.25">
      <c r="A13" s="12">
        <v>6.9</v>
      </c>
      <c r="B13" s="12">
        <v>24.4</v>
      </c>
      <c r="C13" s="12">
        <v>3.9</v>
      </c>
      <c r="E13" s="33"/>
      <c r="F13" s="33"/>
      <c r="G13" s="33"/>
      <c r="H13" s="33"/>
      <c r="I13" s="33"/>
      <c r="J13" s="33"/>
      <c r="K13" s="36"/>
      <c r="L13" s="36"/>
      <c r="M13" s="36"/>
    </row>
    <row r="14" spans="1:13" x14ac:dyDescent="0.25">
      <c r="A14" s="12">
        <v>7.5</v>
      </c>
      <c r="B14" s="12">
        <v>25.5</v>
      </c>
      <c r="C14" s="12">
        <v>3.7</v>
      </c>
      <c r="E14" s="33"/>
      <c r="F14" s="33"/>
      <c r="G14" s="33"/>
      <c r="H14" s="33"/>
      <c r="I14" s="33"/>
      <c r="J14" s="33"/>
      <c r="K14" s="36"/>
      <c r="L14" s="36"/>
      <c r="M14" s="36"/>
    </row>
    <row r="15" spans="1:13" x14ac:dyDescent="0.25">
      <c r="A15" s="12">
        <v>8.4</v>
      </c>
      <c r="B15" s="12">
        <v>24.7</v>
      </c>
      <c r="C15" s="12">
        <v>3.6</v>
      </c>
      <c r="E15" s="36"/>
      <c r="F15" s="36"/>
      <c r="G15" s="36"/>
      <c r="H15" s="36"/>
      <c r="I15" s="36"/>
      <c r="J15" s="36"/>
      <c r="K15" s="36"/>
      <c r="L15" s="36"/>
      <c r="M15" s="36"/>
    </row>
    <row r="16" spans="1:13" ht="13" x14ac:dyDescent="0.3">
      <c r="A16" s="12">
        <v>9.1</v>
      </c>
      <c r="B16" s="12">
        <v>25.6</v>
      </c>
      <c r="C16" s="12">
        <v>3.5</v>
      </c>
      <c r="E16" s="37"/>
      <c r="F16" s="37"/>
      <c r="G16" s="37"/>
      <c r="H16" s="37"/>
      <c r="I16" s="37"/>
      <c r="J16" s="37"/>
      <c r="K16" s="37"/>
      <c r="L16" s="37"/>
      <c r="M16" s="37"/>
    </row>
    <row r="17" spans="1:13" x14ac:dyDescent="0.25">
      <c r="A17" s="12">
        <v>9.8000000000000007</v>
      </c>
      <c r="B17" s="12">
        <v>25.9</v>
      </c>
      <c r="C17" s="12">
        <v>3.7</v>
      </c>
      <c r="E17" s="33"/>
      <c r="F17" s="33"/>
      <c r="G17" s="33"/>
      <c r="H17" s="33"/>
      <c r="I17" s="33"/>
      <c r="J17" s="33"/>
      <c r="K17" s="33"/>
      <c r="L17" s="33"/>
      <c r="M17" s="33"/>
    </row>
    <row r="18" spans="1:13" x14ac:dyDescent="0.25">
      <c r="A18" s="12">
        <v>10.199999999999999</v>
      </c>
      <c r="B18" s="12">
        <v>26.2</v>
      </c>
      <c r="C18" s="12">
        <v>3.3</v>
      </c>
      <c r="E18" s="33"/>
      <c r="F18" s="33"/>
      <c r="G18" s="33"/>
      <c r="H18" s="33"/>
      <c r="I18" s="33"/>
      <c r="J18" s="33"/>
      <c r="K18" s="33"/>
      <c r="L18" s="33"/>
      <c r="M18" s="33"/>
    </row>
    <row r="19" spans="1:13" x14ac:dyDescent="0.25">
      <c r="A19" s="12">
        <v>11.3</v>
      </c>
      <c r="B19" s="12">
        <v>26.7</v>
      </c>
      <c r="C19" s="12">
        <v>3.4</v>
      </c>
      <c r="E19"/>
      <c r="F19"/>
      <c r="G19"/>
      <c r="H19"/>
      <c r="I19"/>
      <c r="J19"/>
      <c r="K19"/>
      <c r="L19"/>
      <c r="M19"/>
    </row>
    <row r="20" spans="1:13" x14ac:dyDescent="0.25">
      <c r="A20" s="12">
        <v>12.1</v>
      </c>
      <c r="B20" s="12">
        <v>26.5</v>
      </c>
      <c r="C20" s="12">
        <v>3.5</v>
      </c>
      <c r="E20"/>
      <c r="F20"/>
      <c r="G20"/>
      <c r="H20"/>
      <c r="I20"/>
      <c r="J20"/>
      <c r="K20"/>
      <c r="L20"/>
      <c r="M20"/>
    </row>
    <row r="21" spans="1:13" x14ac:dyDescent="0.25">
      <c r="A21" s="12">
        <v>12.7</v>
      </c>
      <c r="B21" s="12">
        <v>27.1</v>
      </c>
      <c r="C21" s="12">
        <v>3.2</v>
      </c>
      <c r="E21"/>
      <c r="F21"/>
      <c r="G21"/>
      <c r="H21"/>
      <c r="I21"/>
      <c r="J21"/>
      <c r="K21"/>
      <c r="L21"/>
      <c r="M21"/>
    </row>
    <row r="22" spans="1:13" x14ac:dyDescent="0.25">
      <c r="A22" s="12">
        <v>13.5</v>
      </c>
      <c r="B22" s="12">
        <v>26.8</v>
      </c>
      <c r="C22" s="12">
        <v>3.3</v>
      </c>
    </row>
    <row r="23" spans="1:13" x14ac:dyDescent="0.25">
      <c r="A23" s="12">
        <v>14.6</v>
      </c>
      <c r="B23" s="12">
        <v>27.3</v>
      </c>
      <c r="C23" s="12">
        <v>3.1</v>
      </c>
    </row>
    <row r="24" spans="1:13" x14ac:dyDescent="0.25">
      <c r="A24" s="73" t="s">
        <v>99</v>
      </c>
      <c r="B24" s="12">
        <f>ROUND(AVERAGEA(B4:B23),2)</f>
        <v>25.07</v>
      </c>
      <c r="C24" s="12" t="s">
        <v>36</v>
      </c>
      <c r="D24" s="12" t="s">
        <v>36</v>
      </c>
    </row>
    <row r="25" spans="1:13" x14ac:dyDescent="0.25">
      <c r="A25" s="73" t="s">
        <v>49</v>
      </c>
      <c r="B25" s="12">
        <f>MAXA(B4:B23)-MINA(B4:B23)</f>
        <v>4.4000000000000021</v>
      </c>
      <c r="C25" s="12" t="s">
        <v>36</v>
      </c>
      <c r="D25" s="12" t="s">
        <v>36</v>
      </c>
    </row>
    <row r="26" spans="1:13" x14ac:dyDescent="0.25">
      <c r="A26" s="73" t="s">
        <v>100</v>
      </c>
      <c r="B26" s="12">
        <f t="array" ref="B26">ROUND(STDEVA(B4:B23),3)</f>
        <v>1.365</v>
      </c>
      <c r="C26" s="12" t="s">
        <v>36</v>
      </c>
      <c r="D26" s="12" t="s">
        <v>36</v>
      </c>
    </row>
    <row r="27" spans="1:13" x14ac:dyDescent="0.25">
      <c r="A27" s="73" t="s">
        <v>101</v>
      </c>
      <c r="B27" s="12">
        <f t="array" ref="B27">ROUND(VARA(B4:B23),3)</f>
        <v>1.8620000000000001</v>
      </c>
      <c r="C27" s="12" t="s">
        <v>36</v>
      </c>
      <c r="D27" s="12" t="s">
        <v>36</v>
      </c>
    </row>
    <row r="28" spans="1:13" x14ac:dyDescent="0.25">
      <c r="A28" s="73" t="s">
        <v>102</v>
      </c>
      <c r="B28" s="12">
        <f>COUNTA(B4:B23)</f>
        <v>20</v>
      </c>
      <c r="C28" s="12" t="s">
        <v>36</v>
      </c>
      <c r="D28" s="12" t="s">
        <v>36</v>
      </c>
    </row>
    <row r="29" spans="1:13" x14ac:dyDescent="0.25">
      <c r="A29" s="12" t="s">
        <v>103</v>
      </c>
      <c r="B29" s="12">
        <v>10</v>
      </c>
    </row>
    <row r="30" spans="1:13" x14ac:dyDescent="0.25">
      <c r="A30" s="12" t="s">
        <v>104</v>
      </c>
      <c r="B30" s="12">
        <f t="array" ref="B30">ROUND((0.2227*B29+22.732),1)</f>
        <v>25</v>
      </c>
    </row>
    <row r="31" spans="1:13" x14ac:dyDescent="0.25">
      <c r="A31" s="12" t="s">
        <v>105</v>
      </c>
    </row>
    <row r="32" spans="1:13" x14ac:dyDescent="0.25">
      <c r="A32" s="12" t="s">
        <v>106</v>
      </c>
      <c r="B32" s="74">
        <f t="array" ref="B32">SQRT(0.9322)</f>
        <v>0.96550504918410451</v>
      </c>
    </row>
  </sheetData>
  <pageMargins left="0.75" right="0.75" top="1" bottom="1" header="0.5" footer="0.5"/>
  <pageSetup paperSize="9" orientation="landscape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Y32"/>
  <sheetViews>
    <sheetView workbookViewId="0"/>
  </sheetViews>
  <sheetFormatPr defaultColWidth="9.6328125" defaultRowHeight="12.5" x14ac:dyDescent="0.25"/>
  <cols>
    <col min="1" max="16384" width="9.6328125" style="13"/>
  </cols>
  <sheetData>
    <row r="1" spans="1:25" x14ac:dyDescent="0.25">
      <c r="C1" s="13" t="s">
        <v>107</v>
      </c>
      <c r="E1" s="14"/>
      <c r="F1" s="14" t="s">
        <v>36</v>
      </c>
      <c r="G1" s="14"/>
      <c r="H1" s="14" t="s">
        <v>36</v>
      </c>
      <c r="I1" s="14"/>
      <c r="J1" s="14" t="s">
        <v>36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</row>
    <row r="2" spans="1:25" x14ac:dyDescent="0.25">
      <c r="E2" s="14"/>
      <c r="F2" s="14" t="s">
        <v>36</v>
      </c>
      <c r="G2" s="14"/>
      <c r="H2" s="14" t="s">
        <v>36</v>
      </c>
      <c r="I2" s="14"/>
      <c r="J2" s="14" t="s">
        <v>108</v>
      </c>
      <c r="K2" s="14" t="s">
        <v>36</v>
      </c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5" x14ac:dyDescent="0.25">
      <c r="A3" s="14" t="s">
        <v>109</v>
      </c>
      <c r="B3" s="14" t="s">
        <v>110</v>
      </c>
      <c r="C3" s="14" t="s">
        <v>111</v>
      </c>
      <c r="D3" s="14" t="s">
        <v>112</v>
      </c>
      <c r="E3" s="14"/>
      <c r="F3" s="14" t="s">
        <v>36</v>
      </c>
      <c r="G3" s="14"/>
      <c r="H3" s="14" t="s">
        <v>36</v>
      </c>
      <c r="I3" s="14"/>
      <c r="J3" s="14" t="s">
        <v>113</v>
      </c>
      <c r="K3" s="14" t="s">
        <v>36</v>
      </c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</row>
    <row r="4" spans="1:25" x14ac:dyDescent="0.25">
      <c r="A4" s="14" t="s">
        <v>114</v>
      </c>
      <c r="B4" s="14" t="s">
        <v>114</v>
      </c>
      <c r="C4" s="14" t="s">
        <v>114</v>
      </c>
      <c r="D4" s="14" t="s">
        <v>114</v>
      </c>
      <c r="E4" s="14"/>
      <c r="F4" s="14" t="s">
        <v>36</v>
      </c>
      <c r="G4" s="14"/>
      <c r="H4" s="14" t="s">
        <v>36</v>
      </c>
      <c r="I4" s="14"/>
      <c r="J4" s="14" t="s">
        <v>115</v>
      </c>
      <c r="K4" s="14" t="s">
        <v>36</v>
      </c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</row>
    <row r="5" spans="1:25" x14ac:dyDescent="0.25">
      <c r="A5" s="14">
        <v>1</v>
      </c>
      <c r="B5" s="14">
        <v>3</v>
      </c>
      <c r="C5" s="14">
        <v>2</v>
      </c>
      <c r="D5" s="14">
        <v>5</v>
      </c>
      <c r="E5" s="14"/>
      <c r="F5" s="14" t="s">
        <v>36</v>
      </c>
      <c r="G5" s="14"/>
      <c r="H5" s="14" t="s">
        <v>36</v>
      </c>
      <c r="I5" s="14"/>
      <c r="J5" s="14" t="s">
        <v>116</v>
      </c>
      <c r="K5" s="14" t="s">
        <v>36</v>
      </c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</row>
    <row r="6" spans="1:25" x14ac:dyDescent="0.25">
      <c r="A6" s="14">
        <v>2</v>
      </c>
      <c r="B6" s="14">
        <v>2</v>
      </c>
      <c r="C6" s="14">
        <v>4</v>
      </c>
      <c r="D6" s="14">
        <v>3</v>
      </c>
      <c r="E6" s="14"/>
      <c r="F6" s="14" t="s">
        <v>36</v>
      </c>
      <c r="G6" s="14"/>
      <c r="H6" s="14" t="s">
        <v>36</v>
      </c>
      <c r="I6" s="14"/>
      <c r="J6" s="14" t="s">
        <v>117</v>
      </c>
      <c r="K6" s="14" t="s">
        <v>36</v>
      </c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  <row r="7" spans="1:25" x14ac:dyDescent="0.25">
      <c r="A7" s="14">
        <v>5</v>
      </c>
      <c r="B7" s="14">
        <v>6</v>
      </c>
      <c r="C7" s="14">
        <v>2</v>
      </c>
      <c r="D7" s="14">
        <v>1</v>
      </c>
      <c r="E7" s="14"/>
      <c r="F7" s="14" t="s">
        <v>36</v>
      </c>
      <c r="G7" s="14"/>
      <c r="H7" s="14" t="s">
        <v>36</v>
      </c>
      <c r="I7" s="14"/>
      <c r="J7" s="14" t="s">
        <v>118</v>
      </c>
      <c r="K7" s="14" t="s">
        <v>36</v>
      </c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 t="s">
        <v>36</v>
      </c>
      <c r="Y7" s="14"/>
    </row>
    <row r="8" spans="1:25" x14ac:dyDescent="0.25">
      <c r="A8" s="14">
        <v>7</v>
      </c>
      <c r="B8" s="14">
        <v>3</v>
      </c>
      <c r="C8" s="14">
        <v>1</v>
      </c>
      <c r="D8" s="14">
        <v>2</v>
      </c>
      <c r="E8" s="14"/>
      <c r="F8" s="14" t="s">
        <v>36</v>
      </c>
      <c r="G8" s="14"/>
      <c r="H8" s="14" t="s">
        <v>36</v>
      </c>
      <c r="I8" s="14"/>
      <c r="J8" s="14" t="s">
        <v>119</v>
      </c>
      <c r="K8" s="14" t="s">
        <v>36</v>
      </c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 t="s">
        <v>36</v>
      </c>
      <c r="X8" s="14" t="s">
        <v>36</v>
      </c>
      <c r="Y8" s="14"/>
    </row>
    <row r="9" spans="1:25" x14ac:dyDescent="0.25">
      <c r="A9" s="14">
        <v>6</v>
      </c>
      <c r="B9" s="14">
        <v>2</v>
      </c>
      <c r="C9" s="14">
        <v>2</v>
      </c>
      <c r="D9" s="14">
        <v>1</v>
      </c>
      <c r="E9" s="14"/>
      <c r="F9" s="14" t="s">
        <v>36</v>
      </c>
      <c r="G9" s="14"/>
      <c r="H9" s="14" t="s">
        <v>36</v>
      </c>
      <c r="I9" s="14"/>
      <c r="J9" s="14" t="s">
        <v>120</v>
      </c>
      <c r="K9" s="14" t="s">
        <v>36</v>
      </c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 t="s">
        <v>36</v>
      </c>
      <c r="X9" s="14" t="s">
        <v>36</v>
      </c>
      <c r="Y9" s="14" t="s">
        <v>36</v>
      </c>
    </row>
    <row r="10" spans="1:25" x14ac:dyDescent="0.25">
      <c r="A10" s="14">
        <v>1</v>
      </c>
      <c r="B10" s="14">
        <v>8</v>
      </c>
      <c r="C10" s="14">
        <v>3</v>
      </c>
      <c r="D10" s="14">
        <v>3</v>
      </c>
      <c r="E10" s="14"/>
      <c r="F10" s="14" t="s">
        <v>36</v>
      </c>
      <c r="G10" s="14"/>
      <c r="H10" s="14" t="s">
        <v>36</v>
      </c>
      <c r="I10" s="14"/>
      <c r="J10" s="14" t="s">
        <v>121</v>
      </c>
      <c r="K10" s="14" t="s">
        <v>36</v>
      </c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 t="s">
        <v>36</v>
      </c>
      <c r="X10" s="14" t="s">
        <v>36</v>
      </c>
      <c r="Y10" s="14" t="s">
        <v>36</v>
      </c>
    </row>
    <row r="11" spans="1:25" x14ac:dyDescent="0.25">
      <c r="A11" s="14">
        <v>2</v>
      </c>
      <c r="B11" s="14">
        <v>7</v>
      </c>
      <c r="C11" s="14">
        <v>4</v>
      </c>
      <c r="D11" s="14">
        <v>4</v>
      </c>
      <c r="E11" s="14"/>
      <c r="F11" s="14" t="s">
        <v>36</v>
      </c>
      <c r="G11" s="14"/>
      <c r="H11" s="14" t="s">
        <v>36</v>
      </c>
      <c r="I11" s="14"/>
      <c r="J11" s="14" t="s">
        <v>122</v>
      </c>
      <c r="K11" s="14" t="s">
        <v>36</v>
      </c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 t="s">
        <v>36</v>
      </c>
      <c r="X11" s="14" t="s">
        <v>36</v>
      </c>
      <c r="Y11" s="14" t="s">
        <v>36</v>
      </c>
    </row>
    <row r="12" spans="1:25" x14ac:dyDescent="0.25">
      <c r="A12" s="14">
        <v>2</v>
      </c>
      <c r="B12" s="14">
        <v>5</v>
      </c>
      <c r="C12" s="14">
        <v>1</v>
      </c>
      <c r="D12" s="14">
        <v>2</v>
      </c>
      <c r="E12" s="14"/>
      <c r="F12" s="14" t="s">
        <v>36</v>
      </c>
      <c r="G12" s="14"/>
      <c r="H12" s="14" t="s">
        <v>36</v>
      </c>
      <c r="I12" s="14"/>
      <c r="J12" s="14" t="s">
        <v>123</v>
      </c>
      <c r="K12" s="14" t="s">
        <v>36</v>
      </c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 t="s">
        <v>36</v>
      </c>
      <c r="X12" s="14" t="s">
        <v>36</v>
      </c>
      <c r="Y12" s="14" t="s">
        <v>36</v>
      </c>
    </row>
    <row r="13" spans="1:25" x14ac:dyDescent="0.25">
      <c r="A13" s="14">
        <v>4</v>
      </c>
      <c r="B13" s="14">
        <v>6</v>
      </c>
      <c r="C13" s="14">
        <v>3</v>
      </c>
      <c r="D13" s="14">
        <v>3</v>
      </c>
      <c r="E13" s="14"/>
      <c r="F13" s="14" t="s">
        <v>36</v>
      </c>
      <c r="G13" s="14"/>
      <c r="H13" s="14"/>
      <c r="I13" s="14"/>
      <c r="J13" s="14" t="s">
        <v>124</v>
      </c>
      <c r="K13" s="14" t="s">
        <v>36</v>
      </c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</row>
    <row r="14" spans="1:25" x14ac:dyDescent="0.25">
      <c r="A14" s="14">
        <v>4</v>
      </c>
      <c r="B14" s="14">
        <v>8</v>
      </c>
      <c r="C14" s="14">
        <v>2</v>
      </c>
      <c r="D14" s="14">
        <v>1</v>
      </c>
      <c r="E14" s="14"/>
      <c r="F14" s="14" t="s">
        <v>36</v>
      </c>
      <c r="G14" s="14"/>
      <c r="H14" s="14"/>
      <c r="I14" s="14"/>
      <c r="J14" s="14" t="s">
        <v>125</v>
      </c>
      <c r="K14" s="14" t="s">
        <v>36</v>
      </c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</row>
    <row r="15" spans="1:25" x14ac:dyDescent="0.25">
      <c r="A15" s="14">
        <v>4</v>
      </c>
      <c r="B15" s="14"/>
      <c r="C15" s="14">
        <v>3</v>
      </c>
      <c r="D15" s="14"/>
      <c r="E15" s="14" t="s">
        <v>36</v>
      </c>
      <c r="F15" s="14" t="s">
        <v>36</v>
      </c>
      <c r="G15" s="14" t="s">
        <v>36</v>
      </c>
      <c r="H15" s="14" t="s">
        <v>36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</row>
    <row r="16" spans="1:25" x14ac:dyDescent="0.25">
      <c r="A16" s="14"/>
      <c r="B16" s="14"/>
      <c r="C16" s="14">
        <v>1</v>
      </c>
      <c r="D16" s="14"/>
    </row>
    <row r="17" spans="1:17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</row>
    <row r="18" spans="1:17" x14ac:dyDescent="0.25"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 x14ac:dyDescent="0.25"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x14ac:dyDescent="0.25"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  <row r="21" spans="1:17" x14ac:dyDescent="0.25"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</row>
    <row r="30" spans="1:17" x14ac:dyDescent="0.25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 t="s">
        <v>36</v>
      </c>
    </row>
    <row r="31" spans="1:17" x14ac:dyDescent="0.25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 t="s">
        <v>36</v>
      </c>
    </row>
    <row r="32" spans="1:17" x14ac:dyDescent="0.25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 t="s">
        <v>36</v>
      </c>
    </row>
  </sheetData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Y32"/>
  <sheetViews>
    <sheetView workbookViewId="0"/>
  </sheetViews>
  <sheetFormatPr defaultColWidth="9.6328125" defaultRowHeight="12.5" x14ac:dyDescent="0.25"/>
  <cols>
    <col min="1" max="5" width="9.6328125" style="15"/>
    <col min="6" max="6" width="21" style="15" customWidth="1"/>
    <col min="7" max="16384" width="9.6328125" style="15"/>
  </cols>
  <sheetData>
    <row r="1" spans="1:25" x14ac:dyDescent="0.25">
      <c r="C1" s="15" t="s">
        <v>126</v>
      </c>
      <c r="E1" s="16"/>
      <c r="F1" s="15" t="s">
        <v>127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x14ac:dyDescent="0.25">
      <c r="E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ht="13" thickBot="1" x14ac:dyDescent="0.3">
      <c r="A3" s="16" t="s">
        <v>109</v>
      </c>
      <c r="B3" s="16" t="s">
        <v>110</v>
      </c>
      <c r="C3" s="16" t="s">
        <v>111</v>
      </c>
      <c r="D3" s="16" t="s">
        <v>112</v>
      </c>
      <c r="E3" s="16"/>
      <c r="F3" s="15" t="s">
        <v>128</v>
      </c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5" x14ac:dyDescent="0.25">
      <c r="A4" s="16" t="s">
        <v>114</v>
      </c>
      <c r="B4" s="16" t="s">
        <v>114</v>
      </c>
      <c r="C4" s="16" t="s">
        <v>114</v>
      </c>
      <c r="D4" s="16" t="s">
        <v>114</v>
      </c>
      <c r="E4" s="16"/>
      <c r="F4" s="17" t="s">
        <v>129</v>
      </c>
      <c r="G4" s="17" t="s">
        <v>130</v>
      </c>
      <c r="H4" s="17" t="s">
        <v>131</v>
      </c>
      <c r="I4" s="17" t="s">
        <v>132</v>
      </c>
      <c r="J4" s="17" t="s">
        <v>133</v>
      </c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x14ac:dyDescent="0.25">
      <c r="A5" s="16">
        <v>1</v>
      </c>
      <c r="B5" s="16">
        <v>3</v>
      </c>
      <c r="C5" s="16">
        <v>2</v>
      </c>
      <c r="D5" s="16">
        <v>5</v>
      </c>
      <c r="E5" s="16"/>
      <c r="F5" s="18" t="s">
        <v>134</v>
      </c>
      <c r="G5" s="18">
        <v>11</v>
      </c>
      <c r="H5" s="18">
        <v>38</v>
      </c>
      <c r="I5" s="18">
        <v>3.4545454545454546</v>
      </c>
      <c r="J5" s="18">
        <v>4.0727272727272723</v>
      </c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</row>
    <row r="6" spans="1:25" x14ac:dyDescent="0.25">
      <c r="A6" s="16">
        <v>2</v>
      </c>
      <c r="B6" s="16">
        <v>2</v>
      </c>
      <c r="C6" s="16">
        <v>4</v>
      </c>
      <c r="D6" s="16">
        <v>3</v>
      </c>
      <c r="E6" s="16"/>
      <c r="F6" s="18" t="s">
        <v>135</v>
      </c>
      <c r="G6" s="18">
        <v>10</v>
      </c>
      <c r="H6" s="18">
        <v>50</v>
      </c>
      <c r="I6" s="18">
        <v>5</v>
      </c>
      <c r="J6" s="18">
        <v>5.5555555555555554</v>
      </c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x14ac:dyDescent="0.25">
      <c r="A7" s="16">
        <v>5</v>
      </c>
      <c r="B7" s="16">
        <v>6</v>
      </c>
      <c r="C7" s="16">
        <v>2</v>
      </c>
      <c r="D7" s="16">
        <v>1</v>
      </c>
      <c r="E7" s="16"/>
      <c r="F7" s="18" t="s">
        <v>136</v>
      </c>
      <c r="G7" s="18">
        <v>12</v>
      </c>
      <c r="H7" s="18">
        <v>28</v>
      </c>
      <c r="I7" s="18">
        <v>2.3333333333333335</v>
      </c>
      <c r="J7" s="18">
        <v>1.151515151515152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ht="13" thickBot="1" x14ac:dyDescent="0.3">
      <c r="A8" s="16">
        <v>7</v>
      </c>
      <c r="B8" s="16">
        <v>3</v>
      </c>
      <c r="C8" s="16">
        <v>1</v>
      </c>
      <c r="D8" s="16">
        <v>2</v>
      </c>
      <c r="E8" s="16"/>
      <c r="F8" s="19" t="s">
        <v>137</v>
      </c>
      <c r="G8" s="19">
        <v>10</v>
      </c>
      <c r="H8" s="19">
        <v>25</v>
      </c>
      <c r="I8" s="19">
        <v>2.5</v>
      </c>
      <c r="J8" s="19">
        <v>1.8333333333333333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spans="1:25" x14ac:dyDescent="0.25">
      <c r="A9" s="16">
        <v>6</v>
      </c>
      <c r="B9" s="16">
        <v>2</v>
      </c>
      <c r="C9" s="16">
        <v>2</v>
      </c>
      <c r="D9" s="16">
        <v>1</v>
      </c>
      <c r="E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</row>
    <row r="10" spans="1:25" x14ac:dyDescent="0.25">
      <c r="A10" s="16">
        <v>1</v>
      </c>
      <c r="B10" s="16">
        <v>8</v>
      </c>
      <c r="C10" s="16">
        <v>3</v>
      </c>
      <c r="D10" s="16">
        <v>3</v>
      </c>
      <c r="E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</row>
    <row r="11" spans="1:25" ht="13" thickBot="1" x14ac:dyDescent="0.3">
      <c r="A11" s="16">
        <v>2</v>
      </c>
      <c r="B11" s="16">
        <v>7</v>
      </c>
      <c r="C11" s="16">
        <v>4</v>
      </c>
      <c r="D11" s="16">
        <v>4</v>
      </c>
      <c r="E11" s="16"/>
      <c r="F11" s="15" t="s">
        <v>138</v>
      </c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</row>
    <row r="12" spans="1:25" x14ac:dyDescent="0.25">
      <c r="A12" s="16">
        <v>2</v>
      </c>
      <c r="B12" s="16">
        <v>5</v>
      </c>
      <c r="C12" s="16">
        <v>1</v>
      </c>
      <c r="D12" s="16">
        <v>2</v>
      </c>
      <c r="E12" s="16"/>
      <c r="F12" s="17" t="s">
        <v>139</v>
      </c>
      <c r="G12" s="17" t="s">
        <v>140</v>
      </c>
      <c r="H12" s="17" t="s">
        <v>141</v>
      </c>
      <c r="I12" s="17" t="s">
        <v>142</v>
      </c>
      <c r="J12" s="17" t="s">
        <v>143</v>
      </c>
      <c r="K12" s="17" t="s">
        <v>144</v>
      </c>
      <c r="L12" s="17" t="s">
        <v>145</v>
      </c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</row>
    <row r="13" spans="1:25" x14ac:dyDescent="0.25">
      <c r="A13" s="16">
        <v>4</v>
      </c>
      <c r="B13" s="16">
        <v>6</v>
      </c>
      <c r="C13" s="16">
        <v>3</v>
      </c>
      <c r="D13" s="16">
        <v>3</v>
      </c>
      <c r="E13" s="16"/>
      <c r="F13" s="18" t="s">
        <v>146</v>
      </c>
      <c r="G13" s="18">
        <v>46.757223396758263</v>
      </c>
      <c r="H13" s="18">
        <v>3</v>
      </c>
      <c r="I13" s="18">
        <v>15.585741132252755</v>
      </c>
      <c r="J13" s="18">
        <v>5.0698467931781348</v>
      </c>
      <c r="K13" s="18">
        <v>4.6346245558525736E-3</v>
      </c>
      <c r="L13" s="18">
        <v>2.845069957402302</v>
      </c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</row>
    <row r="14" spans="1:25" x14ac:dyDescent="0.25">
      <c r="A14" s="16">
        <v>4</v>
      </c>
      <c r="B14" s="16">
        <v>8</v>
      </c>
      <c r="C14" s="16">
        <v>2</v>
      </c>
      <c r="D14" s="16">
        <v>1</v>
      </c>
      <c r="E14" s="16"/>
      <c r="F14" s="18" t="s">
        <v>147</v>
      </c>
      <c r="G14" s="18">
        <v>119.89393939393943</v>
      </c>
      <c r="H14" s="18">
        <v>39</v>
      </c>
      <c r="I14" s="18">
        <v>3.0742035742035752</v>
      </c>
      <c r="J14" s="18"/>
      <c r="K14" s="18"/>
      <c r="L14" s="18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</row>
    <row r="15" spans="1:25" x14ac:dyDescent="0.25">
      <c r="A15" s="16">
        <v>4</v>
      </c>
      <c r="B15" s="16"/>
      <c r="C15" s="16">
        <v>3</v>
      </c>
      <c r="D15" s="16"/>
      <c r="E15" s="16" t="s">
        <v>36</v>
      </c>
      <c r="F15" s="18"/>
      <c r="G15" s="18"/>
      <c r="H15" s="18"/>
      <c r="I15" s="18"/>
      <c r="J15" s="18"/>
      <c r="K15" s="18"/>
      <c r="L15" s="18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25" ht="13" thickBot="1" x14ac:dyDescent="0.3">
      <c r="A16" s="16"/>
      <c r="B16" s="16"/>
      <c r="C16" s="16">
        <v>1</v>
      </c>
      <c r="D16" s="16"/>
      <c r="F16" s="19" t="s">
        <v>148</v>
      </c>
      <c r="G16" s="19">
        <v>166.6511627906977</v>
      </c>
      <c r="H16" s="19">
        <v>42</v>
      </c>
      <c r="I16" s="19"/>
      <c r="J16" s="19"/>
      <c r="K16" s="19"/>
      <c r="L16" s="19"/>
    </row>
    <row r="17" spans="1:17" x14ac:dyDescent="0.25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</row>
    <row r="18" spans="1:17" x14ac:dyDescent="0.25"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</row>
    <row r="19" spans="1:17" x14ac:dyDescent="0.25"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</row>
    <row r="20" spans="1:17" x14ac:dyDescent="0.25"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</row>
    <row r="21" spans="1:17" x14ac:dyDescent="0.25"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</row>
    <row r="30" spans="1:17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</row>
    <row r="31" spans="1:17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</row>
    <row r="32" spans="1:17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</row>
  </sheetData>
  <pageMargins left="0.75" right="0.75" top="1" bottom="1" header="0.5" footer="0.5"/>
  <pageSetup paperSize="9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E18"/>
  <sheetViews>
    <sheetView workbookViewId="0"/>
  </sheetViews>
  <sheetFormatPr defaultColWidth="15.6328125" defaultRowHeight="12.5" x14ac:dyDescent="0.25"/>
  <cols>
    <col min="1" max="1" width="17" style="20" customWidth="1"/>
    <col min="2" max="2" width="11.36328125" style="20" customWidth="1"/>
    <col min="3" max="3" width="14.6328125" style="20" customWidth="1"/>
    <col min="4" max="5" width="12.453125" style="20" customWidth="1"/>
    <col min="6" max="16384" width="15.6328125" style="20"/>
  </cols>
  <sheetData>
    <row r="1" spans="1:5" x14ac:dyDescent="0.25">
      <c r="C1" s="20" t="s">
        <v>149</v>
      </c>
    </row>
    <row r="3" spans="1:5" x14ac:dyDescent="0.25">
      <c r="A3" s="21"/>
      <c r="B3" s="21" t="s">
        <v>150</v>
      </c>
      <c r="C3" s="21" t="s">
        <v>151</v>
      </c>
      <c r="D3" s="21"/>
      <c r="E3" s="21"/>
    </row>
    <row r="4" spans="1:5" x14ac:dyDescent="0.25">
      <c r="A4" s="21"/>
      <c r="B4" s="75" t="s">
        <v>152</v>
      </c>
      <c r="C4" s="75" t="s">
        <v>153</v>
      </c>
      <c r="D4" s="75" t="s">
        <v>154</v>
      </c>
      <c r="E4" s="75" t="s">
        <v>155</v>
      </c>
    </row>
    <row r="5" spans="1:5" x14ac:dyDescent="0.25">
      <c r="A5" s="21" t="s">
        <v>156</v>
      </c>
      <c r="B5" s="21">
        <v>35</v>
      </c>
      <c r="C5" s="21">
        <v>75</v>
      </c>
      <c r="D5" s="21">
        <v>40</v>
      </c>
      <c r="E5" s="21" t="s">
        <v>36</v>
      </c>
    </row>
    <row r="6" spans="1:5" x14ac:dyDescent="0.25">
      <c r="A6" s="21" t="s">
        <v>157</v>
      </c>
      <c r="B6" s="21">
        <v>70</v>
      </c>
      <c r="C6" s="21">
        <v>23</v>
      </c>
      <c r="D6" s="21">
        <v>46</v>
      </c>
      <c r="E6" s="21" t="s">
        <v>36</v>
      </c>
    </row>
    <row r="7" spans="1:5" x14ac:dyDescent="0.25">
      <c r="A7" s="21" t="s">
        <v>158</v>
      </c>
      <c r="B7" s="21">
        <v>15</v>
      </c>
      <c r="C7" s="21">
        <v>182</v>
      </c>
      <c r="D7" s="21">
        <v>14</v>
      </c>
      <c r="E7" s="21" t="s">
        <v>36</v>
      </c>
    </row>
    <row r="8" spans="1:5" x14ac:dyDescent="0.25">
      <c r="A8" s="21" t="s">
        <v>159</v>
      </c>
      <c r="B8" s="21" t="s">
        <v>36</v>
      </c>
      <c r="C8" s="21" t="s">
        <v>36</v>
      </c>
      <c r="D8" s="21" t="s">
        <v>36</v>
      </c>
      <c r="E8" s="21" t="s">
        <v>36</v>
      </c>
    </row>
    <row r="9" spans="1:5" x14ac:dyDescent="0.25">
      <c r="A9" s="21" t="s">
        <v>160</v>
      </c>
      <c r="B9" s="21" t="s">
        <v>36</v>
      </c>
      <c r="C9" s="21" t="s">
        <v>36</v>
      </c>
      <c r="D9" s="21" t="s">
        <v>36</v>
      </c>
      <c r="E9" s="21" t="s">
        <v>36</v>
      </c>
    </row>
    <row r="11" spans="1:5" x14ac:dyDescent="0.25">
      <c r="E11" s="21"/>
    </row>
    <row r="12" spans="1:5" x14ac:dyDescent="0.25">
      <c r="E12" s="21"/>
    </row>
    <row r="13" spans="1:5" x14ac:dyDescent="0.25">
      <c r="E13" s="21"/>
    </row>
    <row r="14" spans="1:5" x14ac:dyDescent="0.25">
      <c r="E14" s="21"/>
    </row>
    <row r="15" spans="1:5" x14ac:dyDescent="0.25">
      <c r="E15" s="21"/>
    </row>
    <row r="17" spans="5:5" x14ac:dyDescent="0.25">
      <c r="E17" s="21"/>
    </row>
    <row r="18" spans="5:5" x14ac:dyDescent="0.25">
      <c r="E18" s="21"/>
    </row>
  </sheetData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E25"/>
  <sheetViews>
    <sheetView workbookViewId="0"/>
  </sheetViews>
  <sheetFormatPr defaultColWidth="15.6328125" defaultRowHeight="12.5" x14ac:dyDescent="0.25"/>
  <cols>
    <col min="1" max="1" width="17" style="22" customWidth="1"/>
    <col min="2" max="2" width="13.54296875" style="22" customWidth="1"/>
    <col min="3" max="3" width="14.6328125" style="22" customWidth="1"/>
    <col min="4" max="4" width="10.08984375" style="22" customWidth="1"/>
    <col min="5" max="5" width="12.453125" style="22" customWidth="1"/>
    <col min="6" max="16384" width="15.6328125" style="22"/>
  </cols>
  <sheetData>
    <row r="1" spans="1:5" x14ac:dyDescent="0.25">
      <c r="C1" s="22" t="s">
        <v>161</v>
      </c>
    </row>
    <row r="3" spans="1:5" x14ac:dyDescent="0.25">
      <c r="A3" s="23"/>
      <c r="B3" s="23" t="s">
        <v>150</v>
      </c>
      <c r="C3" s="23" t="s">
        <v>151</v>
      </c>
      <c r="D3" s="23"/>
      <c r="E3" s="23"/>
    </row>
    <row r="4" spans="1:5" x14ac:dyDescent="0.25">
      <c r="A4" s="23"/>
      <c r="B4" s="76" t="s">
        <v>152</v>
      </c>
      <c r="C4" s="77" t="s">
        <v>162</v>
      </c>
      <c r="D4" s="77" t="s">
        <v>163</v>
      </c>
      <c r="E4" s="76" t="s">
        <v>155</v>
      </c>
    </row>
    <row r="5" spans="1:5" x14ac:dyDescent="0.25">
      <c r="A5" s="23" t="s">
        <v>156</v>
      </c>
      <c r="B5" s="23">
        <v>35</v>
      </c>
      <c r="C5" s="23">
        <v>75</v>
      </c>
      <c r="D5" s="23">
        <v>40</v>
      </c>
      <c r="E5" s="23">
        <f t="array" ref="E5">SUM(B5:D5)</f>
        <v>150</v>
      </c>
    </row>
    <row r="6" spans="1:5" x14ac:dyDescent="0.25">
      <c r="A6" s="23" t="s">
        <v>157</v>
      </c>
      <c r="B6" s="23">
        <v>70</v>
      </c>
      <c r="C6" s="23">
        <v>23</v>
      </c>
      <c r="D6" s="23">
        <v>46</v>
      </c>
      <c r="E6" s="23">
        <f t="array" ref="E6">SUM(B6:D6)</f>
        <v>139</v>
      </c>
    </row>
    <row r="7" spans="1:5" x14ac:dyDescent="0.25">
      <c r="A7" s="23" t="s">
        <v>158</v>
      </c>
      <c r="B7" s="23">
        <v>15</v>
      </c>
      <c r="C7" s="23">
        <v>182</v>
      </c>
      <c r="D7" s="23">
        <v>14</v>
      </c>
      <c r="E7" s="23">
        <f t="array" ref="E7">SUM(B7:D7)</f>
        <v>211</v>
      </c>
    </row>
    <row r="8" spans="1:5" x14ac:dyDescent="0.25">
      <c r="A8" s="23" t="s">
        <v>159</v>
      </c>
      <c r="B8" s="23">
        <f t="array" ref="B8">SUM(B5:B7)</f>
        <v>120</v>
      </c>
      <c r="C8" s="23">
        <f t="array" ref="C8">SUM(C5:C7)</f>
        <v>280</v>
      </c>
      <c r="D8" s="23">
        <f t="array" ref="D8">SUM(D5:D7)</f>
        <v>100</v>
      </c>
      <c r="E8" s="23">
        <f t="array" ref="E8">SUM(E5:E7)</f>
        <v>500</v>
      </c>
    </row>
    <row r="9" spans="1:5" x14ac:dyDescent="0.25">
      <c r="A9" s="23" t="s">
        <v>160</v>
      </c>
      <c r="B9" s="22">
        <f t="array" ref="B9">(B8/$E$8)</f>
        <v>0.24</v>
      </c>
      <c r="C9" s="22">
        <f t="array" ref="C9">(C8/$E$8)</f>
        <v>0.56000000000000005</v>
      </c>
      <c r="D9" s="22">
        <f t="array" ref="D9">(D8/$E$8)</f>
        <v>0.2</v>
      </c>
      <c r="E9" s="22">
        <f t="array" ref="E9">(E8/$E$8)</f>
        <v>1</v>
      </c>
    </row>
    <row r="11" spans="1:5" x14ac:dyDescent="0.25">
      <c r="A11" s="23"/>
      <c r="B11" s="23" t="s">
        <v>164</v>
      </c>
      <c r="C11" s="23" t="s">
        <v>151</v>
      </c>
      <c r="D11" s="23"/>
      <c r="E11" s="23"/>
    </row>
    <row r="12" spans="1:5" x14ac:dyDescent="0.25">
      <c r="A12" s="23"/>
      <c r="B12" s="76" t="s">
        <v>152</v>
      </c>
      <c r="C12" s="77" t="s">
        <v>162</v>
      </c>
      <c r="D12" s="77" t="s">
        <v>163</v>
      </c>
      <c r="E12" s="23"/>
    </row>
    <row r="13" spans="1:5" x14ac:dyDescent="0.25">
      <c r="A13" s="23" t="s">
        <v>156</v>
      </c>
      <c r="B13" s="23">
        <f t="shared" ref="B13:D13" si="0">B9*$E$5</f>
        <v>36</v>
      </c>
      <c r="C13" s="23">
        <f t="shared" si="0"/>
        <v>84.000000000000014</v>
      </c>
      <c r="D13" s="23">
        <f t="shared" si="0"/>
        <v>30</v>
      </c>
      <c r="E13" s="23"/>
    </row>
    <row r="14" spans="1:5" x14ac:dyDescent="0.25">
      <c r="A14" s="23" t="s">
        <v>157</v>
      </c>
      <c r="B14" s="22">
        <f t="shared" ref="B14:D14" si="1">B9*$E$6</f>
        <v>33.36</v>
      </c>
      <c r="C14" s="22">
        <f t="shared" si="1"/>
        <v>77.84</v>
      </c>
      <c r="D14" s="22">
        <f t="shared" si="1"/>
        <v>27.8</v>
      </c>
      <c r="E14" s="23"/>
    </row>
    <row r="15" spans="1:5" x14ac:dyDescent="0.25">
      <c r="A15" s="23" t="s">
        <v>158</v>
      </c>
      <c r="B15" s="22">
        <f t="shared" ref="B15:D15" si="2">B9*$E$7</f>
        <v>50.64</v>
      </c>
      <c r="C15" s="22">
        <f t="shared" si="2"/>
        <v>118.16000000000001</v>
      </c>
      <c r="D15" s="22">
        <f t="shared" si="2"/>
        <v>42.2</v>
      </c>
      <c r="E15" s="23"/>
    </row>
    <row r="17" spans="1:5" x14ac:dyDescent="0.25">
      <c r="A17" s="23"/>
      <c r="B17" s="23" t="s">
        <v>165</v>
      </c>
      <c r="C17" s="23" t="s">
        <v>166</v>
      </c>
      <c r="D17" s="23"/>
      <c r="E17" s="23"/>
    </row>
    <row r="18" spans="1:5" x14ac:dyDescent="0.25">
      <c r="A18" s="23"/>
      <c r="B18" s="76" t="s">
        <v>152</v>
      </c>
      <c r="C18" s="77" t="s">
        <v>162</v>
      </c>
      <c r="D18" s="77" t="s">
        <v>163</v>
      </c>
      <c r="E18" s="23"/>
    </row>
    <row r="19" spans="1:5" x14ac:dyDescent="0.25">
      <c r="A19" s="23" t="s">
        <v>167</v>
      </c>
      <c r="B19" s="23">
        <f t="shared" ref="B19:D21" si="3">ROUND(((B5-B13)^2/B13),2)</f>
        <v>0.03</v>
      </c>
      <c r="C19" s="23">
        <f t="shared" si="3"/>
        <v>0.96</v>
      </c>
      <c r="D19" s="23">
        <f t="shared" si="3"/>
        <v>3.33</v>
      </c>
    </row>
    <row r="20" spans="1:5" x14ac:dyDescent="0.25">
      <c r="A20" s="23" t="s">
        <v>157</v>
      </c>
      <c r="B20" s="23">
        <f t="shared" si="3"/>
        <v>40.24</v>
      </c>
      <c r="C20" s="23">
        <f t="shared" si="3"/>
        <v>38.64</v>
      </c>
      <c r="D20" s="23">
        <f t="shared" si="3"/>
        <v>11.92</v>
      </c>
    </row>
    <row r="21" spans="1:5" x14ac:dyDescent="0.25">
      <c r="A21" s="23" t="s">
        <v>158</v>
      </c>
      <c r="B21" s="23">
        <f t="shared" si="3"/>
        <v>25.08</v>
      </c>
      <c r="C21" s="23">
        <f t="shared" si="3"/>
        <v>34.49</v>
      </c>
      <c r="D21" s="23">
        <f t="shared" si="3"/>
        <v>18.84</v>
      </c>
    </row>
    <row r="23" spans="1:5" x14ac:dyDescent="0.25">
      <c r="A23" s="23" t="s">
        <v>168</v>
      </c>
      <c r="B23" s="23">
        <f>ROUND(SUM(B19:D21),2)</f>
        <v>173.53</v>
      </c>
      <c r="C23" s="23"/>
      <c r="D23" s="23"/>
    </row>
    <row r="24" spans="1:5" x14ac:dyDescent="0.25">
      <c r="A24" s="23" t="s">
        <v>169</v>
      </c>
      <c r="B24" s="23">
        <f>(COUNTA(B13:D13)-1)*(COUNTA(B13:B15)-1)</f>
        <v>4</v>
      </c>
      <c r="C24" s="23"/>
      <c r="D24" s="23"/>
    </row>
    <row r="25" spans="1:5" x14ac:dyDescent="0.25">
      <c r="A25" s="22" t="s">
        <v>170</v>
      </c>
      <c r="B25" s="22">
        <f>CHIDIST(B23,B24)</f>
        <v>1.8270929206301683E-36</v>
      </c>
    </row>
  </sheetData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F16"/>
  <sheetViews>
    <sheetView workbookViewId="0"/>
  </sheetViews>
  <sheetFormatPr defaultColWidth="9.6328125" defaultRowHeight="12.5" x14ac:dyDescent="0.25"/>
  <cols>
    <col min="1" max="1" width="14.36328125" style="24" customWidth="1"/>
    <col min="2" max="16384" width="9.6328125" style="24"/>
  </cols>
  <sheetData>
    <row r="1" spans="1:6" x14ac:dyDescent="0.25">
      <c r="B1" s="24" t="s">
        <v>171</v>
      </c>
      <c r="E1" s="24" t="s">
        <v>36</v>
      </c>
      <c r="F1" s="24" t="s">
        <v>36</v>
      </c>
    </row>
    <row r="3" spans="1:6" x14ac:dyDescent="0.25">
      <c r="A3" s="24" t="s">
        <v>172</v>
      </c>
      <c r="C3" s="24" t="s">
        <v>173</v>
      </c>
    </row>
    <row r="4" spans="1:6" x14ac:dyDescent="0.25">
      <c r="A4" s="24" t="s">
        <v>174</v>
      </c>
      <c r="B4" s="24">
        <v>125</v>
      </c>
      <c r="C4" s="24" t="s">
        <v>175</v>
      </c>
      <c r="D4" s="24" t="s">
        <v>36</v>
      </c>
    </row>
    <row r="5" spans="1:6" x14ac:dyDescent="0.25">
      <c r="A5" s="24" t="s">
        <v>176</v>
      </c>
      <c r="B5" s="24">
        <v>235</v>
      </c>
      <c r="C5" s="24" t="s">
        <v>177</v>
      </c>
      <c r="D5" s="24" t="s">
        <v>36</v>
      </c>
    </row>
    <row r="6" spans="1:6" x14ac:dyDescent="0.25">
      <c r="A6" s="24" t="s">
        <v>178</v>
      </c>
      <c r="B6" s="24">
        <v>235</v>
      </c>
      <c r="C6" s="24" t="s">
        <v>179</v>
      </c>
      <c r="D6" s="24" t="s">
        <v>36</v>
      </c>
    </row>
    <row r="7" spans="1:6" x14ac:dyDescent="0.25">
      <c r="A7" s="24" t="s">
        <v>180</v>
      </c>
      <c r="B7" s="24">
        <v>180</v>
      </c>
      <c r="C7" s="24" t="s">
        <v>181</v>
      </c>
      <c r="D7" s="24" t="s">
        <v>36</v>
      </c>
    </row>
    <row r="8" spans="1:6" x14ac:dyDescent="0.25">
      <c r="A8" s="24" t="s">
        <v>182</v>
      </c>
      <c r="B8" s="24">
        <v>45</v>
      </c>
      <c r="C8" s="24" t="s">
        <v>183</v>
      </c>
      <c r="D8" s="24" t="s">
        <v>36</v>
      </c>
    </row>
    <row r="9" spans="1:6" x14ac:dyDescent="0.25">
      <c r="A9" s="24" t="s">
        <v>184</v>
      </c>
      <c r="B9" s="24">
        <v>420</v>
      </c>
      <c r="C9" s="24" t="s">
        <v>185</v>
      </c>
      <c r="D9" s="24" t="s">
        <v>36</v>
      </c>
    </row>
    <row r="10" spans="1:6" x14ac:dyDescent="0.25">
      <c r="A10" s="24" t="s">
        <v>186</v>
      </c>
      <c r="B10" s="24">
        <v>72</v>
      </c>
      <c r="C10" s="24" t="s">
        <v>187</v>
      </c>
      <c r="D10" s="24" t="s">
        <v>36</v>
      </c>
    </row>
    <row r="11" spans="1:6" x14ac:dyDescent="0.25">
      <c r="A11" s="24" t="s">
        <v>188</v>
      </c>
      <c r="C11" s="24" t="s">
        <v>189</v>
      </c>
      <c r="D11" s="24" t="s">
        <v>36</v>
      </c>
    </row>
    <row r="12" spans="1:6" x14ac:dyDescent="0.25">
      <c r="A12" s="24" t="s">
        <v>190</v>
      </c>
      <c r="B12" s="24" t="s">
        <v>36</v>
      </c>
      <c r="C12" s="24" t="s">
        <v>191</v>
      </c>
      <c r="D12" s="24" t="s">
        <v>36</v>
      </c>
    </row>
    <row r="13" spans="1:6" x14ac:dyDescent="0.25">
      <c r="A13" s="24" t="s">
        <v>192</v>
      </c>
      <c r="B13" s="24" t="s">
        <v>36</v>
      </c>
      <c r="C13" s="24" t="s">
        <v>193</v>
      </c>
      <c r="D13" s="24" t="s">
        <v>36</v>
      </c>
    </row>
    <row r="14" spans="1:6" x14ac:dyDescent="0.25">
      <c r="A14" s="24" t="s">
        <v>194</v>
      </c>
      <c r="B14" s="24" t="s">
        <v>36</v>
      </c>
      <c r="C14" s="24" t="s">
        <v>195</v>
      </c>
      <c r="D14" s="24" t="s">
        <v>36</v>
      </c>
    </row>
    <row r="16" spans="1:6" x14ac:dyDescent="0.25">
      <c r="A16" s="24" t="s">
        <v>196</v>
      </c>
      <c r="B16" s="24" t="s">
        <v>36</v>
      </c>
    </row>
  </sheetData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F16"/>
  <sheetViews>
    <sheetView workbookViewId="0"/>
  </sheetViews>
  <sheetFormatPr defaultColWidth="9.6328125" defaultRowHeight="12.5" x14ac:dyDescent="0.25"/>
  <cols>
    <col min="1" max="1" width="9.6328125" style="25"/>
    <col min="2" max="2" width="10.54296875" style="25" customWidth="1"/>
    <col min="3" max="16384" width="9.6328125" style="25"/>
  </cols>
  <sheetData>
    <row r="1" spans="1:6" x14ac:dyDescent="0.25">
      <c r="B1" s="25" t="s">
        <v>197</v>
      </c>
      <c r="E1" s="25" t="s">
        <v>36</v>
      </c>
      <c r="F1" s="25" t="s">
        <v>36</v>
      </c>
    </row>
    <row r="3" spans="1:6" x14ac:dyDescent="0.25">
      <c r="A3" s="25" t="s">
        <v>172</v>
      </c>
      <c r="C3" s="25" t="s">
        <v>173</v>
      </c>
    </row>
    <row r="4" spans="1:6" x14ac:dyDescent="0.25">
      <c r="A4" s="25" t="s">
        <v>174</v>
      </c>
      <c r="B4" s="25">
        <v>125</v>
      </c>
      <c r="C4" s="25" t="s">
        <v>175</v>
      </c>
      <c r="D4" s="25">
        <f>ROUND(B6/B10,2)</f>
        <v>3.26</v>
      </c>
    </row>
    <row r="5" spans="1:6" x14ac:dyDescent="0.25">
      <c r="A5" s="25" t="s">
        <v>176</v>
      </c>
      <c r="B5" s="25">
        <v>235</v>
      </c>
      <c r="C5" s="25" t="s">
        <v>177</v>
      </c>
      <c r="D5" s="25">
        <f>ROUND(B7/B10,2)</f>
        <v>2.5</v>
      </c>
    </row>
    <row r="6" spans="1:6" x14ac:dyDescent="0.25">
      <c r="A6" s="25" t="s">
        <v>178</v>
      </c>
      <c r="B6" s="25">
        <v>235</v>
      </c>
      <c r="C6" s="25" t="s">
        <v>179</v>
      </c>
      <c r="D6" s="25">
        <f>ROUND(B8/B10,2)</f>
        <v>0.63</v>
      </c>
    </row>
    <row r="7" spans="1:6" x14ac:dyDescent="0.25">
      <c r="A7" s="25" t="s">
        <v>180</v>
      </c>
      <c r="B7" s="25">
        <v>180</v>
      </c>
      <c r="C7" s="25" t="s">
        <v>181</v>
      </c>
      <c r="D7" s="25">
        <f>ROUND(B5/B10,2)</f>
        <v>3.26</v>
      </c>
    </row>
    <row r="8" spans="1:6" x14ac:dyDescent="0.25">
      <c r="A8" s="25" t="s">
        <v>182</v>
      </c>
      <c r="B8" s="25">
        <v>45</v>
      </c>
      <c r="C8" s="25" t="s">
        <v>183</v>
      </c>
      <c r="D8" s="25">
        <f>ROUND(((B7-B8)/B10),2)</f>
        <v>1.88</v>
      </c>
    </row>
    <row r="9" spans="1:6" x14ac:dyDescent="0.25">
      <c r="A9" s="25" t="s">
        <v>184</v>
      </c>
      <c r="B9" s="25">
        <v>420</v>
      </c>
      <c r="C9" s="25" t="s">
        <v>185</v>
      </c>
      <c r="D9" s="25">
        <f>ROUND(B5/B10,2)</f>
        <v>3.26</v>
      </c>
    </row>
    <row r="10" spans="1:6" x14ac:dyDescent="0.25">
      <c r="A10" s="25" t="s">
        <v>186</v>
      </c>
      <c r="B10" s="25">
        <v>72</v>
      </c>
      <c r="C10" s="25" t="s">
        <v>187</v>
      </c>
      <c r="D10" s="25">
        <f>(B7-B8)*B6/(B7*B6)</f>
        <v>0.75</v>
      </c>
    </row>
    <row r="11" spans="1:6" x14ac:dyDescent="0.25">
      <c r="A11" s="25" t="s">
        <v>188</v>
      </c>
      <c r="C11" s="25" t="s">
        <v>189</v>
      </c>
      <c r="D11" s="25">
        <f>(B8*B6)/(B7*B6)</f>
        <v>0.25</v>
      </c>
    </row>
    <row r="12" spans="1:6" x14ac:dyDescent="0.25">
      <c r="A12" s="25" t="s">
        <v>190</v>
      </c>
      <c r="B12" s="25">
        <v>0.93669999999999998</v>
      </c>
      <c r="C12" s="25" t="s">
        <v>191</v>
      </c>
      <c r="D12" s="25">
        <f>(B12*B9)</f>
        <v>393.41399999999999</v>
      </c>
    </row>
    <row r="13" spans="1:6" x14ac:dyDescent="0.25">
      <c r="A13" s="25" t="s">
        <v>192</v>
      </c>
      <c r="B13" s="25">
        <v>0.95760000000000001</v>
      </c>
      <c r="C13" s="25" t="s">
        <v>193</v>
      </c>
      <c r="D13" s="25">
        <f>(B9/20)*(20-15*(B10/B6)+4*(B10^2/B6^2))</f>
        <v>331.37448619284743</v>
      </c>
    </row>
    <row r="14" spans="1:6" x14ac:dyDescent="0.25">
      <c r="A14" s="25" t="s">
        <v>194</v>
      </c>
      <c r="B14" s="25">
        <v>0.86619999999999997</v>
      </c>
      <c r="C14" s="25" t="s">
        <v>195</v>
      </c>
      <c r="D14" s="25">
        <f>(B13*B9*D11)+(B14*B9*D10)</f>
        <v>373.40099999999995</v>
      </c>
    </row>
    <row r="16" spans="1:6" x14ac:dyDescent="0.25">
      <c r="A16" s="25" t="s">
        <v>196</v>
      </c>
      <c r="B16" s="25">
        <f>ROUND(SQRT(2*D14-D12-D13)*2,2)</f>
        <v>9.3800000000000008</v>
      </c>
    </row>
  </sheetData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/>
  <dimension ref="A1:AD115"/>
  <sheetViews>
    <sheetView workbookViewId="0"/>
  </sheetViews>
  <sheetFormatPr defaultColWidth="9.6328125" defaultRowHeight="12.5" x14ac:dyDescent="0.25"/>
  <cols>
    <col min="1" max="1" width="9.6328125" style="26"/>
    <col min="2" max="2" width="11.36328125" style="26" customWidth="1"/>
    <col min="3" max="4" width="9.6328125" style="26"/>
    <col min="5" max="5" width="10.6328125" style="26" customWidth="1"/>
    <col min="6" max="6" width="11.36328125" style="26" customWidth="1"/>
    <col min="7" max="16384" width="9.6328125" style="26"/>
  </cols>
  <sheetData>
    <row r="1" spans="1:9" x14ac:dyDescent="0.25">
      <c r="B1" s="26" t="s">
        <v>198</v>
      </c>
      <c r="D1"/>
      <c r="H1" s="27"/>
    </row>
    <row r="2" spans="1:9" x14ac:dyDescent="0.25">
      <c r="H2" s="27"/>
    </row>
    <row r="3" spans="1:9" x14ac:dyDescent="0.25">
      <c r="A3" s="27" t="s">
        <v>199</v>
      </c>
      <c r="B3" s="41" t="s">
        <v>200</v>
      </c>
      <c r="C3" s="27"/>
      <c r="D3" s="27"/>
      <c r="E3" s="27"/>
      <c r="F3" s="78" t="s">
        <v>201</v>
      </c>
      <c r="G3" s="27" t="s">
        <v>36</v>
      </c>
      <c r="H3" s="27"/>
    </row>
    <row r="4" spans="1:9" x14ac:dyDescent="0.25">
      <c r="A4" s="78" t="s">
        <v>202</v>
      </c>
      <c r="B4" s="79" t="s">
        <v>203</v>
      </c>
      <c r="C4" s="78" t="s">
        <v>204</v>
      </c>
      <c r="D4" s="78" t="s">
        <v>204</v>
      </c>
      <c r="E4" s="79" t="s">
        <v>203</v>
      </c>
      <c r="F4" s="78" t="s">
        <v>204</v>
      </c>
      <c r="G4" s="78" t="s">
        <v>204</v>
      </c>
      <c r="H4" s="27"/>
    </row>
    <row r="5" spans="1:9" x14ac:dyDescent="0.25">
      <c r="A5" s="27"/>
      <c r="B5" s="27"/>
      <c r="C5" s="27">
        <v>0.08</v>
      </c>
      <c r="D5" s="27">
        <v>0.12</v>
      </c>
      <c r="E5" s="27"/>
      <c r="F5" s="27">
        <v>0.08</v>
      </c>
      <c r="G5" s="27">
        <v>0.12</v>
      </c>
      <c r="H5" s="27"/>
    </row>
    <row r="6" spans="1:9" x14ac:dyDescent="0.25">
      <c r="A6" s="27">
        <v>0</v>
      </c>
      <c r="B6" s="40">
        <v>-1100000</v>
      </c>
      <c r="C6" s="78" t="s">
        <v>205</v>
      </c>
      <c r="D6" s="78" t="s">
        <v>205</v>
      </c>
      <c r="E6" s="27">
        <v>-1100000</v>
      </c>
      <c r="F6" s="78" t="s">
        <v>205</v>
      </c>
      <c r="G6" s="78" t="s">
        <v>205</v>
      </c>
    </row>
    <row r="7" spans="1:9" x14ac:dyDescent="0.25">
      <c r="A7" s="27">
        <v>1</v>
      </c>
      <c r="B7" s="27">
        <v>600000</v>
      </c>
      <c r="C7" s="27" t="s">
        <v>36</v>
      </c>
      <c r="D7" s="27" t="s">
        <v>36</v>
      </c>
      <c r="E7" s="27">
        <v>170000</v>
      </c>
      <c r="F7" s="27" t="s">
        <v>36</v>
      </c>
      <c r="G7" s="27" t="s">
        <v>36</v>
      </c>
      <c r="H7" s="27"/>
      <c r="I7" s="27"/>
    </row>
    <row r="8" spans="1:9" x14ac:dyDescent="0.25">
      <c r="A8" s="27">
        <v>2</v>
      </c>
      <c r="B8" s="27">
        <v>400000</v>
      </c>
      <c r="C8" s="27" t="s">
        <v>36</v>
      </c>
      <c r="D8" s="27" t="s">
        <v>36</v>
      </c>
      <c r="E8" s="27">
        <v>250000</v>
      </c>
      <c r="F8" s="27" t="s">
        <v>36</v>
      </c>
      <c r="G8" s="27" t="s">
        <v>36</v>
      </c>
      <c r="H8" s="27"/>
    </row>
    <row r="9" spans="1:9" x14ac:dyDescent="0.25">
      <c r="A9" s="27">
        <v>3</v>
      </c>
      <c r="B9" s="27">
        <v>300000</v>
      </c>
      <c r="C9" s="27" t="s">
        <v>36</v>
      </c>
      <c r="D9" s="27" t="s">
        <v>36</v>
      </c>
      <c r="E9" s="27">
        <v>300000</v>
      </c>
      <c r="F9" s="27" t="s">
        <v>36</v>
      </c>
      <c r="G9" s="27" t="s">
        <v>36</v>
      </c>
      <c r="H9" s="27"/>
    </row>
    <row r="10" spans="1:9" x14ac:dyDescent="0.25">
      <c r="A10" s="27">
        <v>4</v>
      </c>
      <c r="B10" s="27">
        <v>150000</v>
      </c>
      <c r="C10" s="27" t="s">
        <v>36</v>
      </c>
      <c r="D10" s="27" t="s">
        <v>36</v>
      </c>
      <c r="E10" s="27">
        <v>400000</v>
      </c>
      <c r="F10" s="27" t="s">
        <v>36</v>
      </c>
      <c r="G10" s="27" t="s">
        <v>36</v>
      </c>
      <c r="H10" s="27" t="s">
        <v>36</v>
      </c>
    </row>
    <row r="11" spans="1:9" x14ac:dyDescent="0.25">
      <c r="A11" s="27">
        <v>5</v>
      </c>
      <c r="B11" s="27">
        <v>100000</v>
      </c>
      <c r="C11" s="27" t="s">
        <v>36</v>
      </c>
      <c r="D11" s="27" t="s">
        <v>36</v>
      </c>
      <c r="E11" s="27">
        <v>600000</v>
      </c>
      <c r="F11" s="27" t="s">
        <v>36</v>
      </c>
      <c r="G11" s="27" t="s">
        <v>36</v>
      </c>
      <c r="H11" s="27"/>
    </row>
    <row r="12" spans="1:9" x14ac:dyDescent="0.25">
      <c r="A12" s="27" t="s">
        <v>36</v>
      </c>
      <c r="B12" s="27" t="s">
        <v>36</v>
      </c>
      <c r="C12" s="27" t="s">
        <v>36</v>
      </c>
      <c r="D12" s="27" t="s">
        <v>36</v>
      </c>
      <c r="E12" s="27" t="s">
        <v>36</v>
      </c>
      <c r="F12" s="27"/>
      <c r="G12" s="27" t="s">
        <v>36</v>
      </c>
      <c r="H12" s="27"/>
    </row>
    <row r="13" spans="1:9" x14ac:dyDescent="0.25">
      <c r="A13" s="27" t="s">
        <v>36</v>
      </c>
      <c r="B13" s="27"/>
      <c r="C13" s="78" t="s">
        <v>206</v>
      </c>
      <c r="D13" s="78" t="s">
        <v>206</v>
      </c>
      <c r="E13" s="79" t="s">
        <v>36</v>
      </c>
      <c r="F13" s="78" t="s">
        <v>206</v>
      </c>
      <c r="G13" s="78" t="s">
        <v>206</v>
      </c>
      <c r="H13" s="27"/>
    </row>
    <row r="14" spans="1:9" x14ac:dyDescent="0.25">
      <c r="A14" s="27">
        <v>1</v>
      </c>
      <c r="B14" s="27"/>
      <c r="C14" s="27" t="s">
        <v>36</v>
      </c>
      <c r="D14" s="27" t="s">
        <v>36</v>
      </c>
      <c r="E14" s="27"/>
      <c r="F14" s="27" t="s">
        <v>36</v>
      </c>
      <c r="G14" s="27" t="s">
        <v>36</v>
      </c>
      <c r="H14" s="27"/>
    </row>
    <row r="15" spans="1:9" x14ac:dyDescent="0.25">
      <c r="A15" s="27">
        <v>2</v>
      </c>
      <c r="B15" s="27"/>
      <c r="C15" s="27" t="s">
        <v>36</v>
      </c>
      <c r="D15" s="27" t="s">
        <v>36</v>
      </c>
      <c r="E15" s="27"/>
      <c r="F15" s="27" t="s">
        <v>36</v>
      </c>
      <c r="G15" s="27" t="s">
        <v>36</v>
      </c>
      <c r="H15" s="27"/>
    </row>
    <row r="16" spans="1:9" x14ac:dyDescent="0.25">
      <c r="A16" s="27">
        <v>3</v>
      </c>
      <c r="B16" s="27"/>
      <c r="C16" s="27" t="s">
        <v>36</v>
      </c>
      <c r="D16" s="27" t="s">
        <v>36</v>
      </c>
      <c r="E16" s="27"/>
      <c r="F16" s="27" t="s">
        <v>36</v>
      </c>
      <c r="G16" s="27" t="s">
        <v>36</v>
      </c>
      <c r="H16" s="27"/>
    </row>
    <row r="17" spans="1:7" x14ac:dyDescent="0.25">
      <c r="A17" s="27">
        <v>4</v>
      </c>
      <c r="B17" s="27"/>
      <c r="C17" s="27" t="s">
        <v>36</v>
      </c>
      <c r="D17" s="27" t="s">
        <v>36</v>
      </c>
      <c r="E17" s="27"/>
      <c r="F17" s="27" t="s">
        <v>36</v>
      </c>
      <c r="G17" s="27" t="s">
        <v>36</v>
      </c>
    </row>
    <row r="18" spans="1:7" x14ac:dyDescent="0.25">
      <c r="A18" s="27">
        <v>5</v>
      </c>
      <c r="B18" s="27"/>
      <c r="C18" s="27" t="s">
        <v>36</v>
      </c>
      <c r="D18" s="27" t="s">
        <v>36</v>
      </c>
      <c r="E18" s="27"/>
      <c r="F18" s="27" t="s">
        <v>36</v>
      </c>
      <c r="G18" s="27" t="s">
        <v>36</v>
      </c>
    </row>
    <row r="19" spans="1:7" x14ac:dyDescent="0.25">
      <c r="A19" s="27" t="s">
        <v>36</v>
      </c>
      <c r="B19" s="27"/>
      <c r="C19" s="27" t="s">
        <v>36</v>
      </c>
      <c r="D19" s="27" t="s">
        <v>36</v>
      </c>
      <c r="E19" s="27"/>
      <c r="F19" s="27" t="s">
        <v>36</v>
      </c>
      <c r="G19" s="27" t="s">
        <v>36</v>
      </c>
    </row>
    <row r="20" spans="1:7" x14ac:dyDescent="0.25">
      <c r="A20" s="27" t="s">
        <v>36</v>
      </c>
      <c r="B20" s="27" t="s">
        <v>207</v>
      </c>
      <c r="C20" s="27" t="s">
        <v>36</v>
      </c>
      <c r="D20" s="27"/>
      <c r="E20" s="27"/>
      <c r="F20" s="27" t="s">
        <v>36</v>
      </c>
      <c r="G20" s="27"/>
    </row>
    <row r="21" spans="1:7" x14ac:dyDescent="0.25">
      <c r="A21" s="27" t="s">
        <v>36</v>
      </c>
      <c r="B21" s="27" t="s">
        <v>208</v>
      </c>
      <c r="C21" s="27" t="s">
        <v>36</v>
      </c>
      <c r="D21" s="27" t="s">
        <v>36</v>
      </c>
      <c r="E21" s="27" t="s">
        <v>36</v>
      </c>
      <c r="F21" s="27" t="s">
        <v>36</v>
      </c>
      <c r="G21" s="27"/>
    </row>
    <row r="22" spans="1:7" x14ac:dyDescent="0.25">
      <c r="A22" s="27" t="s">
        <v>36</v>
      </c>
      <c r="B22" s="27" t="s">
        <v>209</v>
      </c>
      <c r="C22" s="27" t="s">
        <v>36</v>
      </c>
      <c r="D22" s="27" t="s">
        <v>36</v>
      </c>
      <c r="E22" s="27" t="s">
        <v>36</v>
      </c>
      <c r="F22" s="27" t="s">
        <v>36</v>
      </c>
      <c r="G22" s="27"/>
    </row>
    <row r="100" spans="26:30" x14ac:dyDescent="0.25">
      <c r="Z100" s="27" t="s">
        <v>36</v>
      </c>
      <c r="AA100" s="27" t="s">
        <v>36</v>
      </c>
      <c r="AB100" s="27"/>
      <c r="AC100" s="27"/>
      <c r="AD100" s="27"/>
    </row>
    <row r="101" spans="26:30" x14ac:dyDescent="0.25">
      <c r="Z101" s="27"/>
      <c r="AA101" s="27" t="s">
        <v>36</v>
      </c>
      <c r="AB101" s="27"/>
      <c r="AC101" s="27"/>
      <c r="AD101" s="27"/>
    </row>
    <row r="105" spans="26:30" x14ac:dyDescent="0.25">
      <c r="Z105" s="27" t="s">
        <v>36</v>
      </c>
      <c r="AA105" s="27" t="s">
        <v>36</v>
      </c>
      <c r="AB105" s="27"/>
      <c r="AC105" s="27"/>
      <c r="AD105" s="27"/>
    </row>
    <row r="106" spans="26:30" x14ac:dyDescent="0.25">
      <c r="Z106" s="27"/>
      <c r="AA106" s="27" t="s">
        <v>36</v>
      </c>
      <c r="AB106" s="27"/>
      <c r="AC106" s="27"/>
      <c r="AD106" s="27"/>
    </row>
    <row r="107" spans="26:30" x14ac:dyDescent="0.25">
      <c r="Z107" s="27"/>
      <c r="AA107" s="27" t="s">
        <v>36</v>
      </c>
      <c r="AB107" s="27"/>
      <c r="AC107" s="27"/>
      <c r="AD107" s="27"/>
    </row>
    <row r="108" spans="26:30" x14ac:dyDescent="0.25">
      <c r="Z108" s="27"/>
      <c r="AA108" s="27" t="s">
        <v>36</v>
      </c>
      <c r="AB108" s="27"/>
      <c r="AC108" s="27"/>
      <c r="AD108" s="27"/>
    </row>
    <row r="109" spans="26:30" x14ac:dyDescent="0.25">
      <c r="Z109" s="27"/>
      <c r="AA109" s="27" t="s">
        <v>36</v>
      </c>
      <c r="AB109" s="27"/>
      <c r="AC109" s="27"/>
      <c r="AD109" s="27"/>
    </row>
    <row r="110" spans="26:30" x14ac:dyDescent="0.25">
      <c r="Z110" s="27"/>
      <c r="AA110" s="27" t="s">
        <v>36</v>
      </c>
      <c r="AB110" s="27"/>
      <c r="AC110" s="27"/>
      <c r="AD110" s="27"/>
    </row>
    <row r="112" spans="26:30" x14ac:dyDescent="0.25">
      <c r="Z112" s="27" t="s">
        <v>36</v>
      </c>
      <c r="AA112" s="27" t="s">
        <v>36</v>
      </c>
      <c r="AB112" s="27" t="s">
        <v>36</v>
      </c>
      <c r="AC112" s="27" t="s">
        <v>36</v>
      </c>
      <c r="AD112" s="27" t="s">
        <v>36</v>
      </c>
    </row>
    <row r="113" spans="27:30" x14ac:dyDescent="0.25">
      <c r="AA113" s="27" t="s">
        <v>36</v>
      </c>
      <c r="AB113" s="27" t="s">
        <v>36</v>
      </c>
      <c r="AC113" s="27" t="s">
        <v>36</v>
      </c>
      <c r="AD113" s="27" t="s">
        <v>36</v>
      </c>
    </row>
    <row r="114" spans="27:30" x14ac:dyDescent="0.25">
      <c r="AA114" s="27" t="s">
        <v>36</v>
      </c>
      <c r="AB114" s="27" t="s">
        <v>36</v>
      </c>
      <c r="AC114" s="27" t="s">
        <v>36</v>
      </c>
      <c r="AD114" s="27" t="s">
        <v>36</v>
      </c>
    </row>
    <row r="115" spans="27:30" x14ac:dyDescent="0.25">
      <c r="AA115" s="27" t="s">
        <v>36</v>
      </c>
      <c r="AB115" s="27" t="s">
        <v>36</v>
      </c>
      <c r="AC115" s="27" t="s">
        <v>36</v>
      </c>
      <c r="AD115" s="27" t="s">
        <v>36</v>
      </c>
    </row>
  </sheetData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 transitionEntry="1"/>
  <dimension ref="A1:AD115"/>
  <sheetViews>
    <sheetView workbookViewId="0"/>
  </sheetViews>
  <sheetFormatPr defaultColWidth="9.6328125" defaultRowHeight="12.5" x14ac:dyDescent="0.25"/>
  <cols>
    <col min="1" max="1" width="9.6328125" style="28"/>
    <col min="2" max="7" width="11.36328125" style="28" customWidth="1"/>
    <col min="8" max="16384" width="9.6328125" style="28"/>
  </cols>
  <sheetData>
    <row r="1" spans="1:8" x14ac:dyDescent="0.25">
      <c r="B1" s="28" t="s">
        <v>210</v>
      </c>
      <c r="C1" s="28" t="s">
        <v>199</v>
      </c>
      <c r="D1"/>
      <c r="H1" s="29"/>
    </row>
    <row r="2" spans="1:8" x14ac:dyDescent="0.25">
      <c r="H2" s="29"/>
    </row>
    <row r="3" spans="1:8" x14ac:dyDescent="0.25">
      <c r="A3" s="29"/>
      <c r="B3" s="39" t="s">
        <v>200</v>
      </c>
      <c r="C3" s="29"/>
      <c r="D3" s="29"/>
      <c r="E3" s="29" t="s">
        <v>201</v>
      </c>
      <c r="F3"/>
      <c r="G3" s="29" t="s">
        <v>36</v>
      </c>
      <c r="H3" s="29"/>
    </row>
    <row r="4" spans="1:8" s="26" customFormat="1" x14ac:dyDescent="0.25">
      <c r="A4" s="78" t="s">
        <v>202</v>
      </c>
      <c r="B4" s="79" t="s">
        <v>203</v>
      </c>
      <c r="C4" s="78" t="s">
        <v>204</v>
      </c>
      <c r="D4" s="78" t="s">
        <v>204</v>
      </c>
      <c r="E4" s="79" t="s">
        <v>203</v>
      </c>
      <c r="F4" s="78" t="s">
        <v>204</v>
      </c>
      <c r="G4" s="78" t="s">
        <v>204</v>
      </c>
      <c r="H4" s="27"/>
    </row>
    <row r="5" spans="1:8" x14ac:dyDescent="0.25">
      <c r="A5" s="29"/>
      <c r="B5" s="29"/>
      <c r="C5" s="29">
        <v>0.08</v>
      </c>
      <c r="D5" s="29">
        <v>0.12</v>
      </c>
      <c r="E5" s="29"/>
      <c r="F5" s="29">
        <v>0.08</v>
      </c>
      <c r="G5" s="29">
        <v>0.12</v>
      </c>
      <c r="H5" s="29"/>
    </row>
    <row r="6" spans="1:8" x14ac:dyDescent="0.25">
      <c r="A6" s="29">
        <v>0</v>
      </c>
      <c r="B6" s="38">
        <v>-1100000</v>
      </c>
      <c r="C6" s="78" t="s">
        <v>205</v>
      </c>
      <c r="D6" s="78" t="s">
        <v>205</v>
      </c>
      <c r="E6" s="29">
        <v>-1100000</v>
      </c>
      <c r="F6" s="78" t="s">
        <v>205</v>
      </c>
      <c r="G6" s="78" t="s">
        <v>205</v>
      </c>
      <c r="H6" s="29"/>
    </row>
    <row r="7" spans="1:8" x14ac:dyDescent="0.25">
      <c r="A7" s="29">
        <v>1</v>
      </c>
      <c r="B7" s="29">
        <v>600000</v>
      </c>
      <c r="C7" s="38">
        <f t="shared" ref="C7:D7" si="0">ROUND($B$6+NPV(C$5,$B7),0)</f>
        <v>-544444</v>
      </c>
      <c r="D7" s="38">
        <f t="shared" si="0"/>
        <v>-564286</v>
      </c>
      <c r="E7" s="29">
        <v>170000</v>
      </c>
      <c r="F7" s="38">
        <f t="shared" ref="F7:G7" si="1">ROUND($E$6+NPV(F$5,$E7),0)</f>
        <v>-942593</v>
      </c>
      <c r="G7" s="38">
        <f t="shared" si="1"/>
        <v>-948214</v>
      </c>
      <c r="H7" s="29"/>
    </row>
    <row r="8" spans="1:8" x14ac:dyDescent="0.25">
      <c r="A8" s="29">
        <v>2</v>
      </c>
      <c r="B8" s="29">
        <v>400000</v>
      </c>
      <c r="C8" s="38">
        <f>ROUND($B$6+NPV(C$5,$B$7:$B8),0)</f>
        <v>-201509</v>
      </c>
      <c r="D8" s="38">
        <f>ROUND($B$6+NPV(D$5,$B$7:$B8),0)</f>
        <v>-245408</v>
      </c>
      <c r="E8" s="29">
        <v>250000</v>
      </c>
      <c r="F8" s="38">
        <f>ROUND($E$6+NPV(F$5,$E$7:$E8),0)</f>
        <v>-728258</v>
      </c>
      <c r="G8" s="38">
        <f>ROUND($E$6+NPV(G$5,$E$7:$E8),0)</f>
        <v>-748916</v>
      </c>
      <c r="H8" s="29"/>
    </row>
    <row r="9" spans="1:8" x14ac:dyDescent="0.25">
      <c r="A9" s="29">
        <v>3</v>
      </c>
      <c r="B9" s="29">
        <v>300000</v>
      </c>
      <c r="C9" s="38">
        <f>ROUND($B$6+NPV(C$5,$B$7:$B9),0)</f>
        <v>36641</v>
      </c>
      <c r="D9" s="38">
        <f>ROUND($B$6+NPV(D$5,$B$7:$B9),0)</f>
        <v>-31874</v>
      </c>
      <c r="E9" s="29">
        <v>300000</v>
      </c>
      <c r="F9" s="38">
        <f>ROUND($E$6+NPV(F$5,$E$7:$E9),0)</f>
        <v>-490108</v>
      </c>
      <c r="G9" s="38">
        <f>ROUND($E$6+NPV(G$5,$E$7:$E9),0)</f>
        <v>-535382</v>
      </c>
      <c r="H9" s="29"/>
    </row>
    <row r="10" spans="1:8" x14ac:dyDescent="0.25">
      <c r="A10" s="29">
        <v>4</v>
      </c>
      <c r="B10" s="29">
        <v>150000</v>
      </c>
      <c r="C10" s="38">
        <f>ROUND($B$6+NPV(C$5,$B$7:$B10),0)</f>
        <v>146895</v>
      </c>
      <c r="D10" s="38">
        <f>ROUND($B$6+NPV(D$5,$B$7:$B10),0)</f>
        <v>63454</v>
      </c>
      <c r="E10" s="29">
        <v>400000</v>
      </c>
      <c r="F10" s="38">
        <f>ROUND($E$6+NPV(F$5,$E$7:$E10),0)</f>
        <v>-196096</v>
      </c>
      <c r="G10" s="38">
        <f>ROUND($E$6+NPV(G$5,$E$7:$E10),0)</f>
        <v>-281175</v>
      </c>
      <c r="H10" s="29" t="s">
        <v>36</v>
      </c>
    </row>
    <row r="11" spans="1:8" x14ac:dyDescent="0.25">
      <c r="A11" s="29">
        <v>5</v>
      </c>
      <c r="B11" s="29">
        <v>100000</v>
      </c>
      <c r="C11" s="38">
        <f>ROUND($B$6+NPV(C$5,$B$7:$B11),0)</f>
        <v>214954</v>
      </c>
      <c r="D11" s="38">
        <f>ROUND($B$6+NPV(D$5,$B$7:$B11),0)</f>
        <v>120196</v>
      </c>
      <c r="E11" s="29">
        <v>600000</v>
      </c>
      <c r="F11" s="38">
        <f>ROUND($E$6+NPV(F$5,$E$7:$E11),0)</f>
        <v>212254</v>
      </c>
      <c r="G11" s="38">
        <f>ROUND($E$6+NPV(G$5,$E$7:$E11),0)</f>
        <v>59282</v>
      </c>
      <c r="H11" s="29"/>
    </row>
    <row r="12" spans="1:8" x14ac:dyDescent="0.25">
      <c r="A12" s="29" t="s">
        <v>36</v>
      </c>
      <c r="B12" s="29" t="s">
        <v>36</v>
      </c>
      <c r="C12" s="29" t="s">
        <v>36</v>
      </c>
      <c r="D12" s="29" t="s">
        <v>36</v>
      </c>
      <c r="E12" s="29" t="s">
        <v>36</v>
      </c>
      <c r="F12" s="29"/>
      <c r="G12" s="29" t="s">
        <v>36</v>
      </c>
      <c r="H12" s="29"/>
    </row>
    <row r="13" spans="1:8" s="26" customFormat="1" x14ac:dyDescent="0.25">
      <c r="A13" s="27" t="s">
        <v>36</v>
      </c>
      <c r="B13" s="27"/>
      <c r="C13" s="78" t="s">
        <v>206</v>
      </c>
      <c r="D13" s="78" t="s">
        <v>206</v>
      </c>
      <c r="E13" s="79" t="s">
        <v>36</v>
      </c>
      <c r="F13" s="78" t="s">
        <v>206</v>
      </c>
      <c r="G13" s="78" t="s">
        <v>206</v>
      </c>
      <c r="H13" s="27"/>
    </row>
    <row r="14" spans="1:8" x14ac:dyDescent="0.25">
      <c r="A14" s="29">
        <v>1</v>
      </c>
      <c r="B14" s="29"/>
      <c r="C14" s="29">
        <f t="shared" ref="C14:D14" si="2">ROUND($B7*(1+C$5)^4,0)</f>
        <v>816293</v>
      </c>
      <c r="D14" s="29">
        <f t="shared" si="2"/>
        <v>944112</v>
      </c>
      <c r="E14" s="29"/>
      <c r="F14" s="29">
        <f t="shared" ref="F14:G14" si="3">ROUND($E7*(1+F$5)^4,0)</f>
        <v>231283</v>
      </c>
      <c r="G14" s="29">
        <f t="shared" si="3"/>
        <v>267498</v>
      </c>
      <c r="H14" s="29"/>
    </row>
    <row r="15" spans="1:8" x14ac:dyDescent="0.25">
      <c r="A15" s="29">
        <v>2</v>
      </c>
      <c r="B15" s="29"/>
      <c r="C15" s="29">
        <f t="shared" ref="C15:D15" si="4">ROUND($B8*(1+C$5)^3,0)</f>
        <v>503885</v>
      </c>
      <c r="D15" s="29">
        <f t="shared" si="4"/>
        <v>561971</v>
      </c>
      <c r="E15" s="29"/>
      <c r="F15" s="29">
        <f t="shared" ref="F15:G15" si="5">ROUND($E8*(1+F$5)^3,0)</f>
        <v>314928</v>
      </c>
      <c r="G15" s="29">
        <f t="shared" si="5"/>
        <v>351232</v>
      </c>
      <c r="H15" s="29"/>
    </row>
    <row r="16" spans="1:8" x14ac:dyDescent="0.25">
      <c r="A16" s="29">
        <v>3</v>
      </c>
      <c r="B16" s="29"/>
      <c r="C16" s="29">
        <f t="shared" ref="C16:D16" si="6">ROUND($B9*(1+C$5)^2,0)</f>
        <v>349920</v>
      </c>
      <c r="D16" s="29">
        <f t="shared" si="6"/>
        <v>376320</v>
      </c>
      <c r="E16" s="29"/>
      <c r="F16" s="29">
        <f t="shared" ref="F16:G16" si="7">ROUND($E9*(1+F$5)^2,0)</f>
        <v>349920</v>
      </c>
      <c r="G16" s="29">
        <f t="shared" si="7"/>
        <v>376320</v>
      </c>
      <c r="H16" s="29"/>
    </row>
    <row r="17" spans="1:7" x14ac:dyDescent="0.25">
      <c r="A17" s="29">
        <v>4</v>
      </c>
      <c r="B17" s="29"/>
      <c r="C17" s="29">
        <f t="shared" ref="C17:D17" si="8">ROUND($B10*(1+C$5),0)</f>
        <v>162000</v>
      </c>
      <c r="D17" s="29">
        <f t="shared" si="8"/>
        <v>168000</v>
      </c>
      <c r="E17" s="29"/>
      <c r="F17" s="29">
        <f t="shared" ref="F17:G17" si="9">ROUND($E10*(1+F$5),0)</f>
        <v>432000</v>
      </c>
      <c r="G17" s="29">
        <f t="shared" si="9"/>
        <v>448000</v>
      </c>
    </row>
    <row r="18" spans="1:7" x14ac:dyDescent="0.25">
      <c r="A18" s="29">
        <v>5</v>
      </c>
      <c r="B18" s="29"/>
      <c r="C18" s="29">
        <f>$B$11</f>
        <v>100000</v>
      </c>
      <c r="D18" s="29">
        <f>$B$11</f>
        <v>100000</v>
      </c>
      <c r="E18" s="29"/>
      <c r="F18" s="29">
        <f>$E$11</f>
        <v>600000</v>
      </c>
      <c r="G18" s="29">
        <f>$E$11</f>
        <v>600000</v>
      </c>
    </row>
    <row r="19" spans="1:7" x14ac:dyDescent="0.25">
      <c r="A19" s="29" t="s">
        <v>36</v>
      </c>
      <c r="B19" s="29"/>
      <c r="C19" s="29">
        <f t="shared" ref="C19:D19" si="10">SUM(C14:C18)</f>
        <v>1932098</v>
      </c>
      <c r="D19" s="29">
        <f t="shared" si="10"/>
        <v>2150403</v>
      </c>
      <c r="E19" s="29"/>
      <c r="F19" s="29">
        <f t="shared" ref="F19:G19" si="11">SUM(F14:F18)</f>
        <v>1928131</v>
      </c>
      <c r="G19" s="29">
        <f t="shared" si="11"/>
        <v>2043050</v>
      </c>
    </row>
    <row r="20" spans="1:7" x14ac:dyDescent="0.25">
      <c r="A20" s="29" t="s">
        <v>36</v>
      </c>
      <c r="B20" s="29" t="s">
        <v>207</v>
      </c>
      <c r="C20" s="29">
        <f>ROUND(((C19/ABS(B6))^(1/5)-1)*100,2)</f>
        <v>11.93</v>
      </c>
      <c r="D20" s="29"/>
      <c r="E20" s="29"/>
      <c r="F20" s="29">
        <f>ROUND(((F19/ABS(E6))^(1/5)-1)*100,2)</f>
        <v>11.88</v>
      </c>
      <c r="G20" s="29"/>
    </row>
    <row r="21" spans="1:7" x14ac:dyDescent="0.25">
      <c r="A21" s="29" t="s">
        <v>36</v>
      </c>
      <c r="B21" s="29" t="s">
        <v>211</v>
      </c>
      <c r="C21" s="29">
        <f>ROUND(((D19/ABS(B6))^(1/5)-1)*100,2)</f>
        <v>14.35</v>
      </c>
      <c r="D21" s="29" t="s">
        <v>36</v>
      </c>
      <c r="E21" s="29" t="s">
        <v>36</v>
      </c>
      <c r="F21" s="29">
        <f>ROUND(((G19/ABS(E6))^(1/5)-1)*100,2)</f>
        <v>13.18</v>
      </c>
      <c r="G21" s="29"/>
    </row>
    <row r="22" spans="1:7" x14ac:dyDescent="0.25">
      <c r="A22" s="29" t="s">
        <v>36</v>
      </c>
      <c r="B22" s="29" t="s">
        <v>209</v>
      </c>
      <c r="C22" s="29">
        <f>ROUND(100*IRR(B6:B11,C5),2)</f>
        <v>17.97</v>
      </c>
      <c r="D22" s="29" t="s">
        <v>36</v>
      </c>
      <c r="E22" s="29" t="s">
        <v>36</v>
      </c>
      <c r="F22" s="29">
        <f>ROUND(100*IRR(E6:E11,F5),2)</f>
        <v>13.76</v>
      </c>
      <c r="G22" s="29"/>
    </row>
    <row r="100" spans="26:30" x14ac:dyDescent="0.25">
      <c r="Z100" s="29" t="s">
        <v>36</v>
      </c>
      <c r="AA100" s="29" t="s">
        <v>36</v>
      </c>
      <c r="AB100" s="29"/>
      <c r="AC100" s="29"/>
      <c r="AD100" s="29"/>
    </row>
    <row r="101" spans="26:30" x14ac:dyDescent="0.25">
      <c r="Z101" s="29"/>
      <c r="AA101" s="29" t="s">
        <v>36</v>
      </c>
      <c r="AB101" s="29"/>
      <c r="AC101" s="29"/>
      <c r="AD101" s="29"/>
    </row>
    <row r="105" spans="26:30" x14ac:dyDescent="0.25">
      <c r="Z105" s="29" t="s">
        <v>36</v>
      </c>
      <c r="AA105" s="29" t="s">
        <v>36</v>
      </c>
      <c r="AB105" s="29"/>
      <c r="AC105" s="29"/>
      <c r="AD105" s="29"/>
    </row>
    <row r="106" spans="26:30" x14ac:dyDescent="0.25">
      <c r="Z106" s="29"/>
      <c r="AA106" s="29" t="s">
        <v>36</v>
      </c>
      <c r="AB106" s="29"/>
      <c r="AC106" s="29"/>
      <c r="AD106" s="29"/>
    </row>
    <row r="107" spans="26:30" x14ac:dyDescent="0.25">
      <c r="Z107" s="29"/>
      <c r="AA107" s="29" t="s">
        <v>36</v>
      </c>
      <c r="AB107" s="29"/>
      <c r="AC107" s="29"/>
      <c r="AD107" s="29"/>
    </row>
    <row r="108" spans="26:30" x14ac:dyDescent="0.25">
      <c r="Z108" s="29"/>
      <c r="AA108" s="29" t="s">
        <v>36</v>
      </c>
      <c r="AB108" s="29"/>
      <c r="AC108" s="29"/>
      <c r="AD108" s="29"/>
    </row>
    <row r="109" spans="26:30" x14ac:dyDescent="0.25">
      <c r="Z109" s="29"/>
      <c r="AA109" s="29" t="s">
        <v>36</v>
      </c>
      <c r="AB109" s="29"/>
      <c r="AC109" s="29"/>
      <c r="AD109" s="29"/>
    </row>
    <row r="110" spans="26:30" x14ac:dyDescent="0.25">
      <c r="Z110" s="29"/>
      <c r="AA110" s="29" t="s">
        <v>36</v>
      </c>
      <c r="AB110" s="29"/>
      <c r="AC110" s="29"/>
      <c r="AD110" s="29"/>
    </row>
    <row r="111" spans="26:30" x14ac:dyDescent="0.25">
      <c r="Z111" s="29"/>
      <c r="AA111" s="29"/>
      <c r="AB111" s="29"/>
      <c r="AC111" s="29"/>
      <c r="AD111" s="29" t="s">
        <v>36</v>
      </c>
    </row>
    <row r="112" spans="26:30" x14ac:dyDescent="0.25">
      <c r="Z112" s="29" t="s">
        <v>36</v>
      </c>
      <c r="AA112" s="29" t="s">
        <v>36</v>
      </c>
      <c r="AB112" s="29" t="s">
        <v>36</v>
      </c>
      <c r="AC112" s="29" t="s">
        <v>36</v>
      </c>
      <c r="AD112" s="29" t="s">
        <v>36</v>
      </c>
    </row>
    <row r="113" spans="27:30" x14ac:dyDescent="0.25">
      <c r="AA113" s="29" t="s">
        <v>36</v>
      </c>
      <c r="AB113" s="29" t="s">
        <v>36</v>
      </c>
      <c r="AC113" s="29" t="s">
        <v>36</v>
      </c>
      <c r="AD113" s="29" t="s">
        <v>36</v>
      </c>
    </row>
    <row r="114" spans="27:30" x14ac:dyDescent="0.25">
      <c r="AA114" s="29" t="s">
        <v>36</v>
      </c>
      <c r="AB114" s="29" t="s">
        <v>36</v>
      </c>
      <c r="AC114" s="29" t="s">
        <v>36</v>
      </c>
      <c r="AD114" s="29" t="s">
        <v>36</v>
      </c>
    </row>
    <row r="115" spans="27:30" x14ac:dyDescent="0.25">
      <c r="AA115" s="29" t="s">
        <v>36</v>
      </c>
      <c r="AB115" s="29" t="s">
        <v>36</v>
      </c>
      <c r="AC115" s="29" t="s">
        <v>36</v>
      </c>
      <c r="AD115" s="29" t="s">
        <v>36</v>
      </c>
    </row>
  </sheetData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BR20"/>
  <sheetViews>
    <sheetView workbookViewId="0"/>
  </sheetViews>
  <sheetFormatPr defaultColWidth="9.6328125" defaultRowHeight="12.5" x14ac:dyDescent="0.25"/>
  <cols>
    <col min="1" max="4" width="7.6328125" style="30" customWidth="1"/>
    <col min="5" max="5" width="9" style="30" customWidth="1"/>
    <col min="6" max="10" width="7.6328125" style="30" customWidth="1"/>
    <col min="11" max="16384" width="9.6328125" style="30"/>
  </cols>
  <sheetData>
    <row r="1" spans="1:70" x14ac:dyDescent="0.25">
      <c r="B1" s="30" t="s">
        <v>212</v>
      </c>
      <c r="F1"/>
      <c r="K1" s="30" t="s">
        <v>36</v>
      </c>
      <c r="L1" s="30" t="s">
        <v>36</v>
      </c>
      <c r="M1" s="30" t="s">
        <v>36</v>
      </c>
      <c r="N1" s="30" t="s">
        <v>36</v>
      </c>
      <c r="O1" s="30" t="s">
        <v>36</v>
      </c>
      <c r="P1" s="30" t="s">
        <v>36</v>
      </c>
      <c r="Q1" s="30" t="s">
        <v>36</v>
      </c>
      <c r="R1" s="30" t="s">
        <v>36</v>
      </c>
      <c r="S1" s="30" t="s">
        <v>36</v>
      </c>
      <c r="T1" s="30" t="s">
        <v>36</v>
      </c>
      <c r="U1" s="30" t="s">
        <v>36</v>
      </c>
      <c r="V1" s="30" t="s">
        <v>36</v>
      </c>
      <c r="W1" s="30" t="s">
        <v>36</v>
      </c>
      <c r="X1" s="30" t="s">
        <v>36</v>
      </c>
      <c r="Y1" s="30" t="s">
        <v>36</v>
      </c>
      <c r="Z1" s="30" t="s">
        <v>36</v>
      </c>
      <c r="AA1" s="30" t="s">
        <v>36</v>
      </c>
      <c r="AB1" s="30" t="s">
        <v>36</v>
      </c>
      <c r="AC1" s="30" t="s">
        <v>36</v>
      </c>
      <c r="AD1" s="30" t="s">
        <v>36</v>
      </c>
      <c r="AE1" s="30" t="s">
        <v>36</v>
      </c>
      <c r="AF1" s="30" t="s">
        <v>36</v>
      </c>
      <c r="AG1" s="30" t="s">
        <v>36</v>
      </c>
      <c r="AH1" s="30" t="s">
        <v>36</v>
      </c>
      <c r="AI1" s="30" t="s">
        <v>36</v>
      </c>
      <c r="AJ1" s="30" t="s">
        <v>36</v>
      </c>
      <c r="AK1" s="30" t="s">
        <v>36</v>
      </c>
      <c r="AL1" s="30" t="s">
        <v>36</v>
      </c>
      <c r="AM1" s="30" t="s">
        <v>36</v>
      </c>
      <c r="AN1" s="30" t="s">
        <v>36</v>
      </c>
      <c r="AO1" s="30" t="s">
        <v>36</v>
      </c>
      <c r="AP1" s="30" t="s">
        <v>36</v>
      </c>
      <c r="AQ1" s="30" t="s">
        <v>36</v>
      </c>
      <c r="AR1" s="30" t="s">
        <v>36</v>
      </c>
      <c r="AS1" s="30" t="s">
        <v>36</v>
      </c>
      <c r="AT1" s="30" t="s">
        <v>36</v>
      </c>
      <c r="AU1" s="30" t="s">
        <v>36</v>
      </c>
      <c r="AV1" s="30" t="s">
        <v>36</v>
      </c>
      <c r="AW1" s="30" t="s">
        <v>36</v>
      </c>
      <c r="AX1" s="30" t="s">
        <v>36</v>
      </c>
      <c r="AY1" s="30" t="s">
        <v>36</v>
      </c>
      <c r="AZ1" s="30" t="s">
        <v>36</v>
      </c>
      <c r="BA1" s="30" t="s">
        <v>36</v>
      </c>
      <c r="BB1" s="30" t="s">
        <v>36</v>
      </c>
      <c r="BC1" s="30" t="s">
        <v>36</v>
      </c>
      <c r="BD1" s="30" t="s">
        <v>36</v>
      </c>
      <c r="BE1" s="30" t="s">
        <v>36</v>
      </c>
      <c r="BF1" s="30" t="s">
        <v>36</v>
      </c>
      <c r="BG1" s="30" t="s">
        <v>36</v>
      </c>
      <c r="BH1" s="30" t="s">
        <v>36</v>
      </c>
      <c r="BI1" s="30" t="s">
        <v>36</v>
      </c>
      <c r="BJ1" s="30" t="s">
        <v>36</v>
      </c>
      <c r="BK1" s="30" t="s">
        <v>36</v>
      </c>
      <c r="BL1" s="30" t="s">
        <v>36</v>
      </c>
      <c r="BM1" s="30" t="s">
        <v>36</v>
      </c>
      <c r="BN1" s="30" t="s">
        <v>36</v>
      </c>
      <c r="BO1" s="30" t="s">
        <v>36</v>
      </c>
      <c r="BP1" s="30" t="s">
        <v>36</v>
      </c>
      <c r="BQ1" s="30" t="s">
        <v>36</v>
      </c>
      <c r="BR1" s="30" t="s">
        <v>36</v>
      </c>
    </row>
    <row r="2" spans="1:70" x14ac:dyDescent="0.25">
      <c r="K2" s="30" t="s">
        <v>36</v>
      </c>
      <c r="L2" s="30" t="s">
        <v>36</v>
      </c>
      <c r="M2" s="30" t="s">
        <v>36</v>
      </c>
      <c r="N2" s="30" t="s">
        <v>36</v>
      </c>
      <c r="O2" s="30" t="s">
        <v>36</v>
      </c>
      <c r="P2" s="30" t="s">
        <v>36</v>
      </c>
      <c r="Q2" s="30" t="s">
        <v>36</v>
      </c>
      <c r="R2" s="30" t="s">
        <v>36</v>
      </c>
      <c r="S2" s="30" t="s">
        <v>36</v>
      </c>
      <c r="T2" s="30" t="s">
        <v>36</v>
      </c>
      <c r="U2" s="30" t="s">
        <v>36</v>
      </c>
      <c r="V2" s="30" t="s">
        <v>36</v>
      </c>
      <c r="W2" s="30" t="s">
        <v>36</v>
      </c>
      <c r="X2" s="30" t="s">
        <v>36</v>
      </c>
      <c r="Y2" s="30" t="s">
        <v>36</v>
      </c>
      <c r="Z2" s="30" t="s">
        <v>36</v>
      </c>
      <c r="AA2" s="30" t="s">
        <v>36</v>
      </c>
      <c r="AB2" s="30" t="s">
        <v>36</v>
      </c>
      <c r="AC2" s="30" t="s">
        <v>36</v>
      </c>
      <c r="AD2" s="30" t="s">
        <v>36</v>
      </c>
      <c r="AE2" s="30" t="s">
        <v>36</v>
      </c>
      <c r="AF2" s="30" t="s">
        <v>36</v>
      </c>
      <c r="AG2" s="30" t="s">
        <v>36</v>
      </c>
      <c r="AH2" s="30" t="s">
        <v>36</v>
      </c>
      <c r="AI2" s="30" t="s">
        <v>36</v>
      </c>
      <c r="AJ2" s="30" t="s">
        <v>36</v>
      </c>
      <c r="AK2" s="30" t="s">
        <v>36</v>
      </c>
      <c r="AL2" s="30" t="s">
        <v>36</v>
      </c>
      <c r="AM2" s="30" t="s">
        <v>36</v>
      </c>
      <c r="AN2" s="30" t="s">
        <v>36</v>
      </c>
      <c r="AO2" s="30" t="s">
        <v>36</v>
      </c>
      <c r="AP2" s="30" t="s">
        <v>36</v>
      </c>
      <c r="AQ2" s="30" t="s">
        <v>36</v>
      </c>
      <c r="AR2" s="30" t="s">
        <v>36</v>
      </c>
      <c r="AS2" s="30" t="s">
        <v>36</v>
      </c>
      <c r="AT2" s="30" t="s">
        <v>36</v>
      </c>
      <c r="AU2" s="30" t="s">
        <v>36</v>
      </c>
      <c r="AV2" s="30" t="s">
        <v>36</v>
      </c>
      <c r="AW2" s="30" t="s">
        <v>36</v>
      </c>
      <c r="AX2" s="30" t="s">
        <v>36</v>
      </c>
      <c r="AY2" s="30" t="s">
        <v>36</v>
      </c>
      <c r="AZ2" s="30" t="s">
        <v>36</v>
      </c>
      <c r="BA2" s="30" t="s">
        <v>36</v>
      </c>
      <c r="BB2" s="30" t="s">
        <v>36</v>
      </c>
      <c r="BC2" s="30" t="s">
        <v>36</v>
      </c>
      <c r="BD2" s="30" t="s">
        <v>36</v>
      </c>
      <c r="BE2" s="30" t="s">
        <v>36</v>
      </c>
      <c r="BF2" s="30" t="s">
        <v>36</v>
      </c>
      <c r="BG2" s="30" t="s">
        <v>36</v>
      </c>
      <c r="BH2" s="30" t="s">
        <v>36</v>
      </c>
      <c r="BI2" s="30" t="s">
        <v>36</v>
      </c>
      <c r="BJ2" s="30" t="s">
        <v>36</v>
      </c>
      <c r="BK2" s="30" t="s">
        <v>36</v>
      </c>
      <c r="BL2" s="30" t="s">
        <v>36</v>
      </c>
      <c r="BM2" s="30" t="s">
        <v>36</v>
      </c>
      <c r="BN2" s="30" t="s">
        <v>36</v>
      </c>
      <c r="BO2" s="30" t="s">
        <v>36</v>
      </c>
      <c r="BP2" s="30" t="s">
        <v>36</v>
      </c>
      <c r="BQ2" s="30" t="s">
        <v>36</v>
      </c>
      <c r="BR2" s="30" t="s">
        <v>36</v>
      </c>
    </row>
    <row r="3" spans="1:70" x14ac:dyDescent="0.25">
      <c r="A3" s="30">
        <v>32</v>
      </c>
      <c r="B3" s="30">
        <v>35</v>
      </c>
      <c r="C3" s="30">
        <v>35</v>
      </c>
      <c r="D3" s="30">
        <v>33</v>
      </c>
      <c r="E3" s="30">
        <v>34</v>
      </c>
      <c r="F3" s="30">
        <v>31</v>
      </c>
      <c r="G3" s="30">
        <v>35</v>
      </c>
      <c r="H3" s="30">
        <v>37</v>
      </c>
      <c r="I3" s="30">
        <v>41</v>
      </c>
      <c r="J3" s="30">
        <v>41</v>
      </c>
      <c r="K3" s="30" t="s">
        <v>36</v>
      </c>
      <c r="L3" s="30" t="s">
        <v>36</v>
      </c>
      <c r="M3" s="30" t="s">
        <v>36</v>
      </c>
      <c r="N3" s="30" t="s">
        <v>36</v>
      </c>
      <c r="O3" s="30" t="s">
        <v>36</v>
      </c>
      <c r="P3" s="30" t="s">
        <v>36</v>
      </c>
      <c r="Q3" s="30" t="s">
        <v>36</v>
      </c>
      <c r="R3" s="30" t="s">
        <v>36</v>
      </c>
      <c r="S3" s="30" t="s">
        <v>36</v>
      </c>
      <c r="T3" s="30" t="s">
        <v>36</v>
      </c>
      <c r="U3" s="30" t="s">
        <v>36</v>
      </c>
      <c r="V3" s="30" t="s">
        <v>36</v>
      </c>
      <c r="W3" s="30" t="s">
        <v>36</v>
      </c>
      <c r="X3" s="30" t="s">
        <v>36</v>
      </c>
      <c r="Y3" s="30" t="s">
        <v>36</v>
      </c>
      <c r="Z3" s="30" t="s">
        <v>36</v>
      </c>
      <c r="AA3" s="30" t="s">
        <v>36</v>
      </c>
      <c r="AB3" s="30" t="s">
        <v>36</v>
      </c>
      <c r="AC3" s="30" t="s">
        <v>36</v>
      </c>
      <c r="AD3" s="30" t="s">
        <v>36</v>
      </c>
      <c r="AE3" s="30" t="s">
        <v>36</v>
      </c>
      <c r="AF3" s="30" t="s">
        <v>36</v>
      </c>
      <c r="AG3" s="30" t="s">
        <v>36</v>
      </c>
      <c r="AH3" s="30" t="s">
        <v>36</v>
      </c>
      <c r="AI3" s="30" t="s">
        <v>36</v>
      </c>
      <c r="AJ3" s="30" t="s">
        <v>36</v>
      </c>
      <c r="AK3" s="30" t="s">
        <v>36</v>
      </c>
      <c r="AL3" s="30" t="s">
        <v>36</v>
      </c>
      <c r="AM3" s="30" t="s">
        <v>36</v>
      </c>
      <c r="AN3" s="30" t="s">
        <v>36</v>
      </c>
      <c r="AO3" s="30" t="s">
        <v>36</v>
      </c>
      <c r="AP3" s="30" t="s">
        <v>36</v>
      </c>
      <c r="AQ3" s="30" t="s">
        <v>36</v>
      </c>
      <c r="AR3" s="30" t="s">
        <v>36</v>
      </c>
      <c r="AS3" s="30" t="s">
        <v>36</v>
      </c>
      <c r="AT3" s="30" t="s">
        <v>36</v>
      </c>
      <c r="AU3" s="30" t="s">
        <v>36</v>
      </c>
      <c r="AV3" s="30" t="s">
        <v>36</v>
      </c>
      <c r="AW3" s="30" t="s">
        <v>36</v>
      </c>
      <c r="AX3" s="30" t="s">
        <v>36</v>
      </c>
      <c r="AY3" s="30" t="s">
        <v>36</v>
      </c>
      <c r="AZ3" s="30" t="s">
        <v>36</v>
      </c>
      <c r="BA3" s="30" t="s">
        <v>36</v>
      </c>
      <c r="BB3" s="30" t="s">
        <v>36</v>
      </c>
      <c r="BC3" s="30" t="s">
        <v>36</v>
      </c>
      <c r="BD3" s="30" t="s">
        <v>36</v>
      </c>
      <c r="BE3" s="30" t="s">
        <v>36</v>
      </c>
      <c r="BF3" s="30" t="s">
        <v>36</v>
      </c>
      <c r="BG3" s="30" t="s">
        <v>36</v>
      </c>
      <c r="BH3" s="30" t="s">
        <v>36</v>
      </c>
      <c r="BI3" s="30" t="s">
        <v>36</v>
      </c>
      <c r="BJ3" s="30" t="s">
        <v>36</v>
      </c>
      <c r="BK3" s="30" t="s">
        <v>36</v>
      </c>
      <c r="BL3" s="30" t="s">
        <v>36</v>
      </c>
      <c r="BM3" s="30" t="s">
        <v>36</v>
      </c>
      <c r="BN3" s="30" t="s">
        <v>36</v>
      </c>
      <c r="BO3" s="30" t="s">
        <v>36</v>
      </c>
      <c r="BP3" s="30" t="s">
        <v>36</v>
      </c>
      <c r="BQ3" s="30" t="s">
        <v>36</v>
      </c>
      <c r="BR3" s="30" t="s">
        <v>36</v>
      </c>
    </row>
    <row r="4" spans="1:70" x14ac:dyDescent="0.25">
      <c r="A4" s="30">
        <v>35</v>
      </c>
      <c r="B4" s="30">
        <v>35</v>
      </c>
      <c r="C4" s="30">
        <v>35</v>
      </c>
      <c r="F4" s="30">
        <v>35</v>
      </c>
      <c r="G4" s="30">
        <v>33</v>
      </c>
      <c r="J4" s="30">
        <v>41</v>
      </c>
      <c r="K4" s="30" t="s">
        <v>36</v>
      </c>
      <c r="L4" s="30" t="s">
        <v>36</v>
      </c>
      <c r="M4" s="30" t="s">
        <v>36</v>
      </c>
      <c r="N4" s="30" t="s">
        <v>36</v>
      </c>
      <c r="O4" s="30" t="s">
        <v>36</v>
      </c>
      <c r="P4" s="30" t="s">
        <v>36</v>
      </c>
      <c r="Q4" s="30" t="s">
        <v>36</v>
      </c>
      <c r="R4" s="30" t="s">
        <v>36</v>
      </c>
      <c r="S4" s="30" t="s">
        <v>36</v>
      </c>
      <c r="T4" s="30" t="s">
        <v>36</v>
      </c>
      <c r="U4" s="30" t="s">
        <v>36</v>
      </c>
      <c r="V4" s="30" t="s">
        <v>36</v>
      </c>
      <c r="W4" s="30" t="s">
        <v>36</v>
      </c>
      <c r="X4" s="30" t="s">
        <v>36</v>
      </c>
      <c r="Y4" s="30" t="s">
        <v>36</v>
      </c>
      <c r="Z4" s="30" t="s">
        <v>36</v>
      </c>
      <c r="AA4" s="30" t="s">
        <v>36</v>
      </c>
      <c r="AB4" s="30" t="s">
        <v>36</v>
      </c>
      <c r="AC4" s="30" t="s">
        <v>36</v>
      </c>
      <c r="AD4" s="30" t="s">
        <v>36</v>
      </c>
      <c r="AE4" s="30" t="s">
        <v>36</v>
      </c>
      <c r="AF4" s="30" t="s">
        <v>36</v>
      </c>
      <c r="AG4" s="30" t="s">
        <v>36</v>
      </c>
      <c r="AH4" s="30" t="s">
        <v>36</v>
      </c>
      <c r="AI4" s="30" t="s">
        <v>36</v>
      </c>
      <c r="AJ4" s="30" t="s">
        <v>36</v>
      </c>
      <c r="AK4" s="30" t="s">
        <v>36</v>
      </c>
      <c r="AL4" s="30" t="s">
        <v>36</v>
      </c>
      <c r="AM4" s="30" t="s">
        <v>36</v>
      </c>
      <c r="AN4" s="30" t="s">
        <v>36</v>
      </c>
      <c r="AO4" s="30" t="s">
        <v>36</v>
      </c>
      <c r="AP4" s="30" t="s">
        <v>36</v>
      </c>
      <c r="AQ4" s="30" t="s">
        <v>36</v>
      </c>
      <c r="AR4" s="30" t="s">
        <v>36</v>
      </c>
      <c r="AS4" s="30" t="s">
        <v>36</v>
      </c>
      <c r="AT4" s="30" t="s">
        <v>36</v>
      </c>
      <c r="AU4" s="30" t="s">
        <v>36</v>
      </c>
      <c r="AV4" s="30" t="s">
        <v>36</v>
      </c>
      <c r="AW4" s="30" t="s">
        <v>36</v>
      </c>
      <c r="AX4" s="30" t="s">
        <v>36</v>
      </c>
      <c r="AY4" s="30" t="s">
        <v>36</v>
      </c>
      <c r="AZ4" s="30" t="s">
        <v>36</v>
      </c>
      <c r="BA4" s="30" t="s">
        <v>36</v>
      </c>
      <c r="BB4" s="30" t="s">
        <v>36</v>
      </c>
      <c r="BC4" s="30" t="s">
        <v>36</v>
      </c>
      <c r="BD4" s="30" t="s">
        <v>36</v>
      </c>
      <c r="BE4" s="30" t="s">
        <v>36</v>
      </c>
      <c r="BF4" s="30" t="s">
        <v>36</v>
      </c>
      <c r="BG4" s="30" t="s">
        <v>36</v>
      </c>
      <c r="BH4" s="30" t="s">
        <v>36</v>
      </c>
      <c r="BI4" s="30" t="s">
        <v>36</v>
      </c>
      <c r="BJ4" s="30" t="s">
        <v>36</v>
      </c>
      <c r="BK4" s="30" t="s">
        <v>36</v>
      </c>
      <c r="BL4" s="30" t="s">
        <v>36</v>
      </c>
      <c r="BM4" s="30" t="s">
        <v>36</v>
      </c>
      <c r="BN4" s="30" t="s">
        <v>36</v>
      </c>
      <c r="BO4" s="30" t="s">
        <v>36</v>
      </c>
      <c r="BP4" s="30" t="s">
        <v>36</v>
      </c>
      <c r="BQ4" s="30" t="s">
        <v>36</v>
      </c>
      <c r="BR4" s="30" t="s">
        <v>36</v>
      </c>
    </row>
    <row r="5" spans="1:70" x14ac:dyDescent="0.25">
      <c r="A5" s="30">
        <v>37</v>
      </c>
      <c r="B5" s="30">
        <v>35</v>
      </c>
      <c r="C5" s="30">
        <v>37</v>
      </c>
      <c r="D5" s="30">
        <v>35</v>
      </c>
      <c r="F5" s="30">
        <v>37</v>
      </c>
      <c r="G5" s="30">
        <v>40</v>
      </c>
      <c r="H5" s="30">
        <v>39</v>
      </c>
      <c r="I5" s="30">
        <v>39</v>
      </c>
      <c r="J5" s="30">
        <v>41</v>
      </c>
      <c r="K5" s="30" t="s">
        <v>36</v>
      </c>
      <c r="L5" s="30" t="s">
        <v>36</v>
      </c>
      <c r="M5" s="30" t="s">
        <v>36</v>
      </c>
      <c r="N5" s="30" t="s">
        <v>36</v>
      </c>
      <c r="O5" s="30" t="s">
        <v>36</v>
      </c>
      <c r="P5" s="30" t="s">
        <v>36</v>
      </c>
      <c r="Q5" s="30" t="s">
        <v>36</v>
      </c>
      <c r="R5" s="30" t="s">
        <v>36</v>
      </c>
      <c r="S5" s="30" t="s">
        <v>36</v>
      </c>
      <c r="T5" s="30" t="s">
        <v>36</v>
      </c>
      <c r="U5" s="30" t="s">
        <v>36</v>
      </c>
      <c r="V5" s="30" t="s">
        <v>36</v>
      </c>
      <c r="W5" s="30" t="s">
        <v>36</v>
      </c>
      <c r="X5" s="30" t="s">
        <v>36</v>
      </c>
      <c r="Y5" s="30" t="s">
        <v>36</v>
      </c>
      <c r="Z5" s="30" t="s">
        <v>36</v>
      </c>
      <c r="AA5" s="30" t="s">
        <v>36</v>
      </c>
      <c r="AB5" s="30" t="s">
        <v>36</v>
      </c>
      <c r="AC5" s="30" t="s">
        <v>36</v>
      </c>
      <c r="AD5" s="30" t="s">
        <v>36</v>
      </c>
      <c r="AE5" s="30" t="s">
        <v>36</v>
      </c>
      <c r="AF5" s="30" t="s">
        <v>36</v>
      </c>
      <c r="AG5" s="30" t="s">
        <v>36</v>
      </c>
      <c r="AH5" s="30" t="s">
        <v>36</v>
      </c>
      <c r="AI5" s="30" t="s">
        <v>36</v>
      </c>
      <c r="AJ5" s="30" t="s">
        <v>36</v>
      </c>
      <c r="AK5" s="30" t="s">
        <v>36</v>
      </c>
      <c r="AL5" s="30" t="s">
        <v>36</v>
      </c>
      <c r="AM5" s="30" t="s">
        <v>36</v>
      </c>
      <c r="AN5" s="30" t="s">
        <v>36</v>
      </c>
      <c r="AO5" s="30" t="s">
        <v>36</v>
      </c>
      <c r="AP5" s="30" t="s">
        <v>36</v>
      </c>
      <c r="AQ5" s="30" t="s">
        <v>36</v>
      </c>
      <c r="AR5" s="30" t="s">
        <v>36</v>
      </c>
      <c r="AS5" s="30" t="s">
        <v>36</v>
      </c>
      <c r="AT5" s="30" t="s">
        <v>36</v>
      </c>
      <c r="AU5" s="30" t="s">
        <v>36</v>
      </c>
      <c r="AV5" s="30" t="s">
        <v>36</v>
      </c>
      <c r="AW5" s="30" t="s">
        <v>36</v>
      </c>
      <c r="AX5" s="30" t="s">
        <v>36</v>
      </c>
      <c r="AY5" s="30" t="s">
        <v>36</v>
      </c>
      <c r="AZ5" s="30" t="s">
        <v>36</v>
      </c>
      <c r="BA5" s="30" t="s">
        <v>36</v>
      </c>
      <c r="BB5" s="30" t="s">
        <v>36</v>
      </c>
      <c r="BC5" s="30" t="s">
        <v>36</v>
      </c>
      <c r="BD5" s="30" t="s">
        <v>36</v>
      </c>
      <c r="BE5" s="30" t="s">
        <v>36</v>
      </c>
      <c r="BF5" s="30" t="s">
        <v>36</v>
      </c>
      <c r="BG5" s="30" t="s">
        <v>36</v>
      </c>
      <c r="BH5" s="30" t="s">
        <v>36</v>
      </c>
      <c r="BI5" s="30" t="s">
        <v>36</v>
      </c>
      <c r="BJ5" s="30" t="s">
        <v>36</v>
      </c>
      <c r="BK5" s="30" t="s">
        <v>36</v>
      </c>
      <c r="BL5" s="30" t="s">
        <v>36</v>
      </c>
      <c r="BM5" s="30" t="s">
        <v>36</v>
      </c>
      <c r="BN5" s="30" t="s">
        <v>36</v>
      </c>
      <c r="BO5" s="30" t="s">
        <v>36</v>
      </c>
      <c r="BP5" s="30" t="s">
        <v>36</v>
      </c>
      <c r="BQ5" s="30" t="s">
        <v>36</v>
      </c>
      <c r="BR5" s="30" t="s">
        <v>36</v>
      </c>
    </row>
    <row r="6" spans="1:70" x14ac:dyDescent="0.25">
      <c r="A6" s="30">
        <v>37</v>
      </c>
      <c r="B6" s="30">
        <v>39</v>
      </c>
      <c r="C6" s="30">
        <v>42</v>
      </c>
      <c r="E6" s="30">
        <v>34</v>
      </c>
      <c r="F6" s="30">
        <v>36</v>
      </c>
      <c r="G6" s="30">
        <v>41</v>
      </c>
      <c r="J6" s="30">
        <v>43</v>
      </c>
      <c r="K6" s="30" t="s">
        <v>36</v>
      </c>
      <c r="L6" s="30" t="s">
        <v>36</v>
      </c>
      <c r="M6" s="30" t="s">
        <v>36</v>
      </c>
      <c r="N6" s="30" t="s">
        <v>36</v>
      </c>
      <c r="O6" s="30" t="s">
        <v>36</v>
      </c>
      <c r="P6" s="30" t="s">
        <v>36</v>
      </c>
      <c r="Q6" s="30" t="s">
        <v>36</v>
      </c>
      <c r="R6" s="30" t="s">
        <v>36</v>
      </c>
      <c r="S6" s="30" t="s">
        <v>36</v>
      </c>
      <c r="T6" s="30" t="s">
        <v>36</v>
      </c>
      <c r="U6" s="30" t="s">
        <v>36</v>
      </c>
      <c r="V6" s="30" t="s">
        <v>36</v>
      </c>
      <c r="W6" s="30" t="s">
        <v>36</v>
      </c>
      <c r="X6" s="30" t="s">
        <v>36</v>
      </c>
      <c r="Y6" s="30" t="s">
        <v>36</v>
      </c>
      <c r="Z6" s="30" t="s">
        <v>36</v>
      </c>
      <c r="AA6" s="30" t="s">
        <v>36</v>
      </c>
      <c r="AB6" s="30" t="s">
        <v>36</v>
      </c>
      <c r="AC6" s="30" t="s">
        <v>36</v>
      </c>
      <c r="AD6" s="30" t="s">
        <v>36</v>
      </c>
      <c r="AE6" s="30" t="s">
        <v>36</v>
      </c>
      <c r="AF6" s="30" t="s">
        <v>36</v>
      </c>
      <c r="AG6" s="30" t="s">
        <v>36</v>
      </c>
      <c r="AH6" s="30" t="s">
        <v>36</v>
      </c>
      <c r="AI6" s="30" t="s">
        <v>36</v>
      </c>
      <c r="AJ6" s="30" t="s">
        <v>36</v>
      </c>
      <c r="AK6" s="30" t="s">
        <v>36</v>
      </c>
      <c r="AL6" s="30" t="s">
        <v>36</v>
      </c>
      <c r="AM6" s="30" t="s">
        <v>36</v>
      </c>
      <c r="AN6" s="30" t="s">
        <v>36</v>
      </c>
      <c r="AO6" s="30" t="s">
        <v>36</v>
      </c>
      <c r="AP6" s="30" t="s">
        <v>36</v>
      </c>
      <c r="AQ6" s="30" t="s">
        <v>36</v>
      </c>
      <c r="AR6" s="30" t="s">
        <v>36</v>
      </c>
      <c r="AS6" s="30" t="s">
        <v>36</v>
      </c>
      <c r="AT6" s="30" t="s">
        <v>36</v>
      </c>
      <c r="AU6" s="30" t="s">
        <v>36</v>
      </c>
      <c r="AV6" s="30" t="s">
        <v>36</v>
      </c>
      <c r="AW6" s="30" t="s">
        <v>36</v>
      </c>
      <c r="AX6" s="30" t="s">
        <v>36</v>
      </c>
      <c r="AY6" s="30" t="s">
        <v>36</v>
      </c>
      <c r="AZ6" s="30" t="s">
        <v>36</v>
      </c>
      <c r="BA6" s="30" t="s">
        <v>36</v>
      </c>
      <c r="BB6" s="30" t="s">
        <v>36</v>
      </c>
      <c r="BC6" s="30" t="s">
        <v>36</v>
      </c>
      <c r="BD6" s="30" t="s">
        <v>36</v>
      </c>
      <c r="BE6" s="30" t="s">
        <v>36</v>
      </c>
      <c r="BF6" s="30" t="s">
        <v>36</v>
      </c>
      <c r="BG6" s="30" t="s">
        <v>36</v>
      </c>
      <c r="BH6" s="30" t="s">
        <v>36</v>
      </c>
      <c r="BI6" s="30" t="s">
        <v>36</v>
      </c>
      <c r="BJ6" s="30" t="s">
        <v>36</v>
      </c>
      <c r="BK6" s="30" t="s">
        <v>36</v>
      </c>
      <c r="BL6" s="30" t="s">
        <v>36</v>
      </c>
      <c r="BM6" s="30" t="s">
        <v>36</v>
      </c>
      <c r="BN6" s="30" t="s">
        <v>36</v>
      </c>
      <c r="BO6" s="30" t="s">
        <v>36</v>
      </c>
      <c r="BP6" s="30" t="s">
        <v>36</v>
      </c>
      <c r="BQ6" s="30" t="s">
        <v>36</v>
      </c>
      <c r="BR6" s="30" t="s">
        <v>36</v>
      </c>
    </row>
    <row r="7" spans="1:70" x14ac:dyDescent="0.25">
      <c r="C7" s="30">
        <v>40</v>
      </c>
      <c r="F7" s="30">
        <v>33</v>
      </c>
      <c r="K7" s="30" t="s">
        <v>36</v>
      </c>
      <c r="L7" s="30" t="s">
        <v>36</v>
      </c>
      <c r="M7" s="30" t="s">
        <v>36</v>
      </c>
      <c r="N7" s="30" t="s">
        <v>36</v>
      </c>
      <c r="O7" s="30" t="s">
        <v>36</v>
      </c>
      <c r="P7" s="30" t="s">
        <v>36</v>
      </c>
      <c r="Q7" s="30" t="s">
        <v>36</v>
      </c>
      <c r="R7" s="30" t="s">
        <v>36</v>
      </c>
      <c r="S7" s="30" t="s">
        <v>36</v>
      </c>
      <c r="T7" s="30" t="s">
        <v>36</v>
      </c>
      <c r="U7" s="30" t="s">
        <v>36</v>
      </c>
      <c r="V7" s="30" t="s">
        <v>36</v>
      </c>
      <c r="W7" s="30" t="s">
        <v>36</v>
      </c>
      <c r="X7" s="30" t="s">
        <v>36</v>
      </c>
      <c r="Y7" s="30" t="s">
        <v>36</v>
      </c>
      <c r="Z7" s="30" t="s">
        <v>36</v>
      </c>
      <c r="AA7" s="30" t="s">
        <v>36</v>
      </c>
      <c r="AB7" s="30" t="s">
        <v>36</v>
      </c>
      <c r="AC7" s="30" t="s">
        <v>36</v>
      </c>
      <c r="AD7" s="30" t="s">
        <v>36</v>
      </c>
      <c r="AE7" s="30" t="s">
        <v>36</v>
      </c>
      <c r="AF7" s="30" t="s">
        <v>36</v>
      </c>
      <c r="AG7" s="30" t="s">
        <v>36</v>
      </c>
      <c r="AH7" s="30" t="s">
        <v>36</v>
      </c>
      <c r="AI7" s="30" t="s">
        <v>36</v>
      </c>
      <c r="AJ7" s="30" t="s">
        <v>36</v>
      </c>
      <c r="AK7" s="30" t="s">
        <v>36</v>
      </c>
      <c r="AL7" s="30" t="s">
        <v>36</v>
      </c>
      <c r="AM7" s="30" t="s">
        <v>36</v>
      </c>
      <c r="AN7" s="30" t="s">
        <v>36</v>
      </c>
      <c r="AO7" s="30" t="s">
        <v>36</v>
      </c>
      <c r="AP7" s="30" t="s">
        <v>36</v>
      </c>
      <c r="AQ7" s="30" t="s">
        <v>36</v>
      </c>
      <c r="AR7" s="30" t="s">
        <v>36</v>
      </c>
      <c r="AS7" s="30" t="s">
        <v>36</v>
      </c>
      <c r="AT7" s="30" t="s">
        <v>36</v>
      </c>
      <c r="AU7" s="30" t="s">
        <v>36</v>
      </c>
      <c r="AV7" s="30" t="s">
        <v>36</v>
      </c>
      <c r="AW7" s="30" t="s">
        <v>36</v>
      </c>
      <c r="AX7" s="30" t="s">
        <v>36</v>
      </c>
      <c r="AY7" s="30" t="s">
        <v>36</v>
      </c>
      <c r="AZ7" s="30" t="s">
        <v>36</v>
      </c>
      <c r="BA7" s="30" t="s">
        <v>36</v>
      </c>
      <c r="BB7" s="30" t="s">
        <v>36</v>
      </c>
      <c r="BC7" s="30" t="s">
        <v>36</v>
      </c>
      <c r="BD7" s="30" t="s">
        <v>36</v>
      </c>
      <c r="BE7" s="30" t="s">
        <v>36</v>
      </c>
      <c r="BF7" s="30" t="s">
        <v>36</v>
      </c>
      <c r="BG7" s="30" t="s">
        <v>36</v>
      </c>
      <c r="BH7" s="30" t="s">
        <v>36</v>
      </c>
      <c r="BI7" s="30" t="s">
        <v>36</v>
      </c>
      <c r="BJ7" s="30" t="s">
        <v>36</v>
      </c>
      <c r="BK7" s="30" t="s">
        <v>36</v>
      </c>
      <c r="BL7" s="30" t="s">
        <v>36</v>
      </c>
      <c r="BM7" s="30" t="s">
        <v>36</v>
      </c>
      <c r="BN7" s="30" t="s">
        <v>36</v>
      </c>
      <c r="BO7" s="30" t="s">
        <v>36</v>
      </c>
      <c r="BP7" s="30" t="s">
        <v>36</v>
      </c>
      <c r="BQ7" s="30" t="s">
        <v>36</v>
      </c>
      <c r="BR7" s="30" t="s">
        <v>36</v>
      </c>
    </row>
    <row r="8" spans="1:70" x14ac:dyDescent="0.25">
      <c r="B8" s="30">
        <v>31</v>
      </c>
      <c r="D8" s="30">
        <v>34</v>
      </c>
      <c r="H8" s="30">
        <v>42</v>
      </c>
      <c r="I8" s="30">
        <v>33</v>
      </c>
      <c r="K8" s="30" t="s">
        <v>36</v>
      </c>
      <c r="L8" s="30" t="s">
        <v>36</v>
      </c>
      <c r="M8" s="30" t="s">
        <v>36</v>
      </c>
      <c r="N8" s="30" t="s">
        <v>36</v>
      </c>
      <c r="O8" s="30" t="s">
        <v>36</v>
      </c>
      <c r="P8" s="30" t="s">
        <v>36</v>
      </c>
      <c r="Q8" s="30" t="s">
        <v>36</v>
      </c>
      <c r="R8" s="30" t="s">
        <v>36</v>
      </c>
      <c r="S8" s="30" t="s">
        <v>36</v>
      </c>
      <c r="T8" s="30" t="s">
        <v>36</v>
      </c>
      <c r="U8" s="30" t="s">
        <v>36</v>
      </c>
      <c r="V8" s="30" t="s">
        <v>36</v>
      </c>
      <c r="W8" s="30" t="s">
        <v>36</v>
      </c>
      <c r="X8" s="30" t="s">
        <v>36</v>
      </c>
      <c r="Y8" s="30" t="s">
        <v>36</v>
      </c>
      <c r="Z8" s="30" t="s">
        <v>36</v>
      </c>
      <c r="AA8" s="30" t="s">
        <v>36</v>
      </c>
      <c r="AB8" s="30" t="s">
        <v>36</v>
      </c>
      <c r="AC8" s="30" t="s">
        <v>36</v>
      </c>
      <c r="AD8" s="30" t="s">
        <v>36</v>
      </c>
      <c r="AE8" s="30" t="s">
        <v>36</v>
      </c>
      <c r="AF8" s="30" t="s">
        <v>36</v>
      </c>
      <c r="AG8" s="30" t="s">
        <v>36</v>
      </c>
      <c r="AH8" s="30" t="s">
        <v>36</v>
      </c>
      <c r="AI8" s="30" t="s">
        <v>36</v>
      </c>
      <c r="AJ8" s="30" t="s">
        <v>36</v>
      </c>
      <c r="AK8" s="30" t="s">
        <v>36</v>
      </c>
      <c r="AL8" s="30" t="s">
        <v>36</v>
      </c>
      <c r="AM8" s="30" t="s">
        <v>36</v>
      </c>
      <c r="AN8" s="30" t="s">
        <v>36</v>
      </c>
      <c r="AO8" s="30" t="s">
        <v>36</v>
      </c>
      <c r="AP8" s="30" t="s">
        <v>36</v>
      </c>
      <c r="AQ8" s="30" t="s">
        <v>36</v>
      </c>
      <c r="AR8" s="30" t="s">
        <v>36</v>
      </c>
      <c r="AS8" s="30" t="s">
        <v>36</v>
      </c>
      <c r="AT8" s="30" t="s">
        <v>36</v>
      </c>
      <c r="AU8" s="30" t="s">
        <v>36</v>
      </c>
      <c r="AV8" s="30" t="s">
        <v>36</v>
      </c>
      <c r="AW8" s="30" t="s">
        <v>36</v>
      </c>
      <c r="AX8" s="30" t="s">
        <v>36</v>
      </c>
      <c r="AY8" s="30" t="s">
        <v>36</v>
      </c>
      <c r="AZ8" s="30" t="s">
        <v>36</v>
      </c>
      <c r="BA8" s="30" t="s">
        <v>36</v>
      </c>
      <c r="BB8" s="30" t="s">
        <v>36</v>
      </c>
      <c r="BC8" s="30" t="s">
        <v>36</v>
      </c>
      <c r="BD8" s="30" t="s">
        <v>36</v>
      </c>
      <c r="BE8" s="30" t="s">
        <v>36</v>
      </c>
      <c r="BF8" s="30" t="s">
        <v>36</v>
      </c>
      <c r="BG8" s="30" t="s">
        <v>36</v>
      </c>
      <c r="BH8" s="30" t="s">
        <v>36</v>
      </c>
      <c r="BI8" s="30" t="s">
        <v>36</v>
      </c>
      <c r="BJ8" s="30" t="s">
        <v>36</v>
      </c>
      <c r="BK8" s="30" t="s">
        <v>36</v>
      </c>
      <c r="BL8" s="30" t="s">
        <v>36</v>
      </c>
      <c r="BM8" s="30" t="s">
        <v>36</v>
      </c>
      <c r="BN8" s="30" t="s">
        <v>36</v>
      </c>
      <c r="BO8" s="30" t="s">
        <v>36</v>
      </c>
      <c r="BP8" s="30" t="s">
        <v>36</v>
      </c>
      <c r="BQ8" s="30" t="s">
        <v>36</v>
      </c>
      <c r="BR8" s="30" t="s">
        <v>36</v>
      </c>
    </row>
    <row r="9" spans="1:70" x14ac:dyDescent="0.25">
      <c r="H9" s="30">
        <v>39</v>
      </c>
      <c r="J9" s="30">
        <v>37</v>
      </c>
      <c r="T9" s="30" t="s">
        <v>36</v>
      </c>
    </row>
    <row r="10" spans="1:70" x14ac:dyDescent="0.25">
      <c r="A10" s="30">
        <v>34</v>
      </c>
      <c r="C10" s="30">
        <v>39</v>
      </c>
      <c r="E10" s="30">
        <v>30</v>
      </c>
    </row>
    <row r="12" spans="1:70" x14ac:dyDescent="0.25">
      <c r="B12" s="30" t="s">
        <v>213</v>
      </c>
      <c r="E12" s="30" t="s">
        <v>214</v>
      </c>
    </row>
    <row r="13" spans="1:70" x14ac:dyDescent="0.25">
      <c r="A13" s="30" t="s">
        <v>215</v>
      </c>
      <c r="B13" s="30" t="s">
        <v>216</v>
      </c>
      <c r="E13" s="30" t="s">
        <v>217</v>
      </c>
    </row>
    <row r="14" spans="1:70" x14ac:dyDescent="0.25">
      <c r="A14" s="30">
        <v>100</v>
      </c>
      <c r="B14" s="30" t="s">
        <v>36</v>
      </c>
      <c r="C14" s="30" t="s">
        <v>36</v>
      </c>
    </row>
    <row r="15" spans="1:70" x14ac:dyDescent="0.25">
      <c r="A15" s="30">
        <v>200</v>
      </c>
      <c r="B15" s="30" t="s">
        <v>36</v>
      </c>
      <c r="C15" s="30" t="s">
        <v>36</v>
      </c>
    </row>
    <row r="16" spans="1:70" x14ac:dyDescent="0.25">
      <c r="A16" s="30">
        <v>300</v>
      </c>
      <c r="B16" s="30" t="s">
        <v>36</v>
      </c>
      <c r="C16" s="30" t="s">
        <v>36</v>
      </c>
    </row>
    <row r="17" spans="1:3" x14ac:dyDescent="0.25">
      <c r="A17" s="30">
        <v>400</v>
      </c>
      <c r="B17" s="30" t="s">
        <v>36</v>
      </c>
      <c r="C17" s="30" t="s">
        <v>36</v>
      </c>
    </row>
    <row r="19" spans="1:3" x14ac:dyDescent="0.25">
      <c r="A19" s="30" t="s">
        <v>218</v>
      </c>
      <c r="B19" s="30" t="s">
        <v>36</v>
      </c>
    </row>
    <row r="20" spans="1:3" x14ac:dyDescent="0.25">
      <c r="A20" s="30" t="s">
        <v>219</v>
      </c>
      <c r="B20" s="30" t="s">
        <v>36</v>
      </c>
    </row>
  </sheetData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transitionEvaluation="1"/>
  <dimension ref="A1:CL21"/>
  <sheetViews>
    <sheetView workbookViewId="0"/>
  </sheetViews>
  <sheetFormatPr defaultColWidth="9.6328125" defaultRowHeight="12.5" x14ac:dyDescent="0.25"/>
  <cols>
    <col min="1" max="1" width="7.6328125" style="31" customWidth="1"/>
    <col min="2" max="4" width="8.6328125" style="31" customWidth="1"/>
    <col min="5" max="5" width="9" style="31" customWidth="1"/>
    <col min="6" max="10" width="7.6328125" style="31" customWidth="1"/>
    <col min="11" max="16384" width="9.6328125" style="31"/>
  </cols>
  <sheetData>
    <row r="1" spans="1:90" x14ac:dyDescent="0.25">
      <c r="B1" s="31" t="s">
        <v>220</v>
      </c>
      <c r="E1"/>
      <c r="K1" s="31">
        <f t="array" ref="K1">IF(AND(A3&gt;0.001,B3&gt;0.001),(A3-B3)^2,0)</f>
        <v>9</v>
      </c>
      <c r="L1" s="31">
        <f t="array" ref="L1">IF(AND(B3&gt;0.001,C3&gt;0.001),(B3-C3)^2,0)</f>
        <v>0</v>
      </c>
      <c r="M1" s="31">
        <f t="array" ref="M1">IF(AND(C3&gt;0.001,D3&gt;0.001),(C3-D3)^2,0)</f>
        <v>4</v>
      </c>
      <c r="N1" s="31">
        <f t="array" ref="N1">IF(AND(D3&gt;0.001,E3&gt;0.001),(D3-E3)^2,0)</f>
        <v>1</v>
      </c>
      <c r="O1" s="31">
        <f t="array" ref="O1">IF(AND(E3&gt;0.001,F3&gt;0.001),(E3-F3)^2,0)</f>
        <v>9</v>
      </c>
      <c r="P1" s="31">
        <f t="array" ref="P1">IF(AND(F3&gt;0.001,G3&gt;0.001),(F3-G3)^2,0)</f>
        <v>16</v>
      </c>
      <c r="Q1" s="31">
        <f t="array" ref="Q1">IF(AND(G3&gt;0.001,H3&gt;0.001),(G3-H3)^2,0)</f>
        <v>4</v>
      </c>
      <c r="R1" s="31">
        <f t="array" ref="R1">IF(AND(H3&gt;0.001,I3&gt;0.001),(H3-I3)^2,0)</f>
        <v>16</v>
      </c>
      <c r="S1" s="31">
        <f t="array" ref="S1">IF(AND(I3&gt;0.001,J3&gt;0.001),(I3-J3)^2,0)</f>
        <v>0</v>
      </c>
      <c r="T1" s="31">
        <f t="array" ref="T1">IF(OR(AND(AND(A3&gt;0,B3&gt;0),A3=B3),K1&gt;0),1,0)</f>
        <v>1</v>
      </c>
      <c r="U1" s="31">
        <f t="array" ref="U1">IF(OR(AND(AND(B3&gt;0,C3&gt;0),B3=C3),L1&gt;0),1,0)</f>
        <v>1</v>
      </c>
      <c r="V1" s="31">
        <f t="array" ref="V1">IF(OR(AND(AND(C3&gt;0,D3&gt;0),C3=D3),M1&gt;0),1,0)</f>
        <v>1</v>
      </c>
      <c r="W1" s="31">
        <f t="array" ref="W1">IF(OR(AND(AND(D3&gt;0,E3&gt;0),D3=E3),N1&gt;0),1,0)</f>
        <v>1</v>
      </c>
      <c r="X1" s="31">
        <f t="array" ref="X1">IF(OR(AND(AND(E3&gt;0,F3&gt;0),E3=F3),O1&gt;0),1,0)</f>
        <v>1</v>
      </c>
      <c r="Y1" s="31">
        <f t="array" ref="Y1">IF(OR(AND(AND(F3&gt;0,G3&gt;0),F3=G3),P1&gt;0),1,0)</f>
        <v>1</v>
      </c>
      <c r="Z1" s="31">
        <f t="array" ref="Z1">IF(OR(AND(AND(G3&gt;0,H3&gt;0),G3=H3),Q1&gt;0),1,0)</f>
        <v>1</v>
      </c>
      <c r="AA1" s="31">
        <f t="array" ref="AA1">IF(OR(AND(AND(H3&gt;0,I3&gt;0),H3=I3),R1&gt;0),1,0)</f>
        <v>1</v>
      </c>
      <c r="AB1" s="31">
        <f t="array" ref="AB1">IF(OR(AND(AND(I3&gt;0,J3&gt;0),I3=J3),S1&gt;0),1,0)</f>
        <v>1</v>
      </c>
      <c r="AC1" s="31">
        <f t="array" ref="AC1">IF(AND(A3&gt;0.001,C3&gt;0.001),(A3-C3)^2,0)</f>
        <v>9</v>
      </c>
      <c r="AD1" s="31">
        <f t="array" ref="AD1">IF(AND(B3&gt;0.001,D3&gt;0.001),(B3-D3)^2,0)</f>
        <v>4</v>
      </c>
      <c r="AE1" s="31">
        <f t="array" ref="AE1">IF(AND(C3&gt;0.001,E3&gt;0.001),(C3-E3)^2,0)</f>
        <v>1</v>
      </c>
      <c r="AF1" s="31">
        <f t="array" ref="AF1">IF(AND(D3&gt;0.001,F3&gt;0.001),(D3-F3)^2,0)</f>
        <v>4</v>
      </c>
      <c r="AG1" s="31">
        <f t="array" ref="AG1">IF(AND(E3&gt;0.001,G3&gt;0.001),(E3-G3)^2,0)</f>
        <v>1</v>
      </c>
      <c r="AH1" s="31">
        <f t="array" ref="AH1">IF(AND(F3&gt;0.001,H3&gt;0.001),(F3-H3)^2,0)</f>
        <v>36</v>
      </c>
      <c r="AI1" s="31">
        <f t="array" ref="AI1">IF(AND(G3&gt;0.001,I3&gt;0.001),(G3-I3)^2,0)</f>
        <v>36</v>
      </c>
      <c r="AJ1" s="31">
        <f t="array" ref="AJ1">IF(AND(H3&gt;0.001,J3&gt;0.001),(H3-J3)^2,0)</f>
        <v>16</v>
      </c>
      <c r="AK1" s="31">
        <f t="array" ref="AK1">IF(OR(AND(AND(A3&gt;0,C3&gt;0),A3=C3),AC1&gt;0),1,0)</f>
        <v>1</v>
      </c>
      <c r="AL1" s="31">
        <f t="array" ref="AL1">IF(OR(AND(AND(B3&gt;0,D3&gt;0),B3=D3),AD1&gt;0),1,0)</f>
        <v>1</v>
      </c>
      <c r="AM1" s="31">
        <f t="array" ref="AM1">IF(OR(AND(AND(C3&gt;0,E3&gt;0),C3=E3),AE1&gt;0),1,0)</f>
        <v>1</v>
      </c>
      <c r="AN1" s="31">
        <f t="array" ref="AN1">IF(OR(AND(AND(D3&gt;0,F3&gt;0),D3=F3),AF1&gt;0),1,0)</f>
        <v>1</v>
      </c>
      <c r="AO1" s="31">
        <f t="array" ref="AO1">IF(OR(AND(AND(E3&gt;0,G3&gt;0),E3=G3),AG1&gt;0),1,0)</f>
        <v>1</v>
      </c>
      <c r="AP1" s="31">
        <f t="array" ref="AP1">IF(OR(AND(AND(F3&gt;0,H3&gt;0),F3=H3),AH1&gt;0),1,0)</f>
        <v>1</v>
      </c>
      <c r="AQ1" s="31">
        <f t="array" ref="AQ1">IF(OR(AND(AND(G3&gt;0,I3&gt;0),G3=I3),AI1&gt;0),1,0)</f>
        <v>1</v>
      </c>
      <c r="AR1" s="31">
        <f t="array" ref="AR1">IF(OR(AND(AND(H3&gt;0,J3&gt;0),H3=J3),AJ1&gt;0),1,0)</f>
        <v>1</v>
      </c>
      <c r="AS1" s="31">
        <f t="array" ref="AS1">IF(AND(A3&gt;0.001,D3&gt;0.001),(A3-D3)^2,0)</f>
        <v>1</v>
      </c>
      <c r="AT1" s="31">
        <f t="array" ref="AT1">IF(AND(B3&gt;0.001,E3&gt;0.001),(B3-E3)^2,0)</f>
        <v>1</v>
      </c>
      <c r="AU1" s="31">
        <f t="array" ref="AU1">IF(AND(C3&gt;0.001,F3&gt;0.001),(C3-F3)^2,0)</f>
        <v>16</v>
      </c>
      <c r="AV1" s="31">
        <f t="array" ref="AV1">IF(AND(D3&gt;0.001,G3&gt;0.001),(D3-G3)^2,0)</f>
        <v>4</v>
      </c>
      <c r="AW1" s="31">
        <f t="array" ref="AW1">IF(AND(E3&gt;0.001,H3&gt;0.001),(E3-H3)^2,0)</f>
        <v>9</v>
      </c>
      <c r="AX1" s="31">
        <f t="array" ref="AX1">IF(AND(F3&gt;0.001,I3&gt;0.001),(F3-I3)^2,0)</f>
        <v>100</v>
      </c>
      <c r="AY1" s="31">
        <f t="array" ref="AY1">IF(AND(G3&gt;0.001,J3&gt;0.001),(G3-J3)^2,0)</f>
        <v>36</v>
      </c>
      <c r="AZ1" s="31">
        <f t="array" ref="AZ1">IF(OR(AND(AND(A3&gt;0,D3&gt;0),A3=D3),AS1&gt;0),1,0)</f>
        <v>1</v>
      </c>
      <c r="BA1" s="31">
        <f t="array" ref="BA1">IF(OR(AND(AND(B3&gt;0,E3&gt;0),B3=E3),AT1&gt;0),1,0)</f>
        <v>1</v>
      </c>
      <c r="BB1" s="31">
        <f t="array" ref="BB1">IF(OR(AND(AND(C3&gt;0,F3&gt;0),C3=F3),AU1&gt;0),1,0)</f>
        <v>1</v>
      </c>
      <c r="BC1" s="31">
        <f t="array" ref="BC1">IF(OR(AND(AND(D3&gt;0,G3&gt;0),D3=G3),AV1&gt;0),1,0)</f>
        <v>1</v>
      </c>
      <c r="BD1" s="31">
        <f t="array" ref="BD1">IF(OR(AND(AND(E3&gt;0,H3&gt;0),E3=H3),AW1&gt;0),1,0)</f>
        <v>1</v>
      </c>
      <c r="BE1" s="31">
        <f t="array" ref="BE1">IF(OR(AND(AND(F3&gt;0,I3&gt;0),F3=I3),AX1&gt;0),1,0)</f>
        <v>1</v>
      </c>
      <c r="BF1" s="31">
        <f t="array" ref="BF1">IF(OR(AND(AND(G3&gt;0,J3&gt;0),G3=J3),AY1&gt;0),1,0)</f>
        <v>1</v>
      </c>
      <c r="BG1" s="31">
        <f t="array" ref="BG1">IF(AND(A3&gt;0.001,E3&gt;0.001),(A3-E3)^2,0)</f>
        <v>4</v>
      </c>
      <c r="BH1" s="31">
        <f t="array" ref="BH1">IF(AND(B3&gt;0.001,F3&gt;0.001),(B3-F3)^2,0)</f>
        <v>16</v>
      </c>
      <c r="BI1" s="31">
        <f t="array" ref="BI1">IF(AND(C3&gt;0.001,G3&gt;0.001),(C3-G3)^2,0)</f>
        <v>0</v>
      </c>
      <c r="BJ1" s="31">
        <f t="array" ref="BJ1">IF(AND(D3&gt;0.001,H3&gt;0.001),(D3-H3)^2,0)</f>
        <v>16</v>
      </c>
      <c r="BK1" s="31">
        <f t="array" ref="BK1">IF(AND(E3&gt;0.001,I3&gt;0.001),(E3-I3)^2,0)</f>
        <v>49</v>
      </c>
      <c r="BL1" s="31">
        <f t="array" ref="BL1">IF(AND(F3&gt;0.001,J3&gt;0.001),(F3-J3)^2,0)</f>
        <v>100</v>
      </c>
      <c r="BM1" s="31">
        <f t="array" ref="BM1">IF(OR(AND(AND(A3&gt;0,E3&gt;0),A3=E3),BG1&gt;0),1,0)</f>
        <v>1</v>
      </c>
      <c r="BN1" s="31">
        <f t="array" ref="BN1">IF(OR(AND(AND(B3&gt;0,F3&gt;0),B3=F3),BH1&gt;0),1,0)</f>
        <v>1</v>
      </c>
      <c r="BO1" s="31">
        <f t="array" ref="BO1">IF(OR(AND(AND(C3&gt;0,G3&gt;0),C3=G3),BI1&gt;0),1,0)</f>
        <v>1</v>
      </c>
      <c r="BP1" s="31">
        <f t="array" ref="BP1">IF(OR(AND(AND(D3&gt;0,H3&gt;0),D3=H3),BJ1&gt;0),1,0)</f>
        <v>1</v>
      </c>
      <c r="BQ1" s="31">
        <f t="array" ref="BQ1">IF(OR(AND(AND(E3&gt;0,I3&gt;0),E3=I3),BK1&gt;0),1,0)</f>
        <v>1</v>
      </c>
      <c r="BR1" s="31">
        <f t="array" ref="BR1">IF(OR(AND(AND(F3&gt;0,J3&gt;0),F3=J3),BL1&gt;0),1,0)</f>
        <v>1</v>
      </c>
    </row>
    <row r="2" spans="1:90" x14ac:dyDescent="0.25">
      <c r="K2" s="31">
        <f t="array" ref="K2">IF(AND(A4&gt;0.001,B4&gt;0.001),(A4-B4)^2,0)</f>
        <v>0</v>
      </c>
      <c r="L2" s="31">
        <f t="array" ref="L2">IF(AND(B4&gt;0.001,C4&gt;0.001),(B4-C4)^2,0)</f>
        <v>0</v>
      </c>
      <c r="M2" s="31">
        <f t="array" ref="M2">IF(AND(C4&gt;0.001,D4&gt;0.001),(C4-D4)^2,0)</f>
        <v>0</v>
      </c>
      <c r="N2" s="31">
        <f t="array" ref="N2">IF(AND(D4&gt;0.001,E4&gt;0.001),(D4-E4)^2,0)</f>
        <v>0</v>
      </c>
      <c r="O2" s="31">
        <f t="array" ref="O2">IF(AND(E4&gt;0.001,F4&gt;0.001),(E4-F4)^2,0)</f>
        <v>0</v>
      </c>
      <c r="P2" s="31">
        <f t="array" ref="P2">IF(AND(F4&gt;0.001,G4&gt;0.001),(F4-G4)^2,0)</f>
        <v>4</v>
      </c>
      <c r="Q2" s="31">
        <f t="array" ref="Q2">IF(AND(G4&gt;0.001,H4&gt;0.001),(G4-H4)^2,0)</f>
        <v>0</v>
      </c>
      <c r="R2" s="31">
        <f t="array" ref="R2">IF(AND(H4&gt;0.001,I4&gt;0.001),(H4-I4)^2,0)</f>
        <v>0</v>
      </c>
      <c r="S2" s="31">
        <f t="array" ref="S2">IF(AND(I4&gt;0.001,J4&gt;0.001),(I4-J4)^2,0)</f>
        <v>0</v>
      </c>
      <c r="T2" s="31">
        <f t="array" ref="T2">IF(OR(AND(AND(A4&gt;0,B4&gt;0),A4=B4),K2&gt;0),1,0)</f>
        <v>1</v>
      </c>
      <c r="U2" s="31">
        <f t="array" ref="U2">IF(OR(AND(AND(B4&gt;0,C4&gt;0),B4=C4),L2&gt;0),1,0)</f>
        <v>1</v>
      </c>
      <c r="V2" s="31">
        <f t="array" ref="V2">IF(OR(AND(AND(C4&gt;0,D4&gt;0),C4=D4),M2&gt;0),1,0)</f>
        <v>0</v>
      </c>
      <c r="W2" s="31">
        <f t="array" ref="W2">IF(OR(AND(AND(D4&gt;0,E4&gt;0),D4=E4),N2&gt;0),1,0)</f>
        <v>0</v>
      </c>
      <c r="X2" s="31">
        <f t="array" ref="X2">IF(OR(AND(AND(E4&gt;0,F4&gt;0),E4=F4),O2&gt;0),1,0)</f>
        <v>0</v>
      </c>
      <c r="Y2" s="31">
        <f t="array" ref="Y2">IF(OR(AND(AND(F4&gt;0,G4&gt;0),F4=G4),P2&gt;0),1,0)</f>
        <v>1</v>
      </c>
      <c r="Z2" s="31">
        <f t="array" ref="Z2">IF(OR(AND(AND(G4&gt;0,H4&gt;0),G4=H4),Q2&gt;0),1,0)</f>
        <v>0</v>
      </c>
      <c r="AA2" s="31">
        <f t="array" ref="AA2">IF(OR(AND(AND(H4&gt;0,I4&gt;0),H4=I4),R2&gt;0),1,0)</f>
        <v>0</v>
      </c>
      <c r="AB2" s="31">
        <f t="array" ref="AB2">IF(OR(AND(AND(I4&gt;0,J4&gt;0),I4=J4),S2&gt;0),1,0)</f>
        <v>0</v>
      </c>
      <c r="AC2" s="31">
        <f t="array" ref="AC2">IF(AND(A4&gt;0.001,C4&gt;0.001),(A4-C4)^2,0)</f>
        <v>0</v>
      </c>
      <c r="AD2" s="31">
        <f t="array" ref="AD2">IF(AND(B4&gt;0.001,D4&gt;0.001),(B4-D4)^2,0)</f>
        <v>0</v>
      </c>
      <c r="AE2" s="31">
        <f t="array" ref="AE2">IF(AND(C4&gt;0.001,E4&gt;0.001),(C4-E4)^2,0)</f>
        <v>0</v>
      </c>
      <c r="AF2" s="31">
        <f t="array" ref="AF2">IF(AND(D4&gt;0.001,F4&gt;0.001),(D4-F4)^2,0)</f>
        <v>0</v>
      </c>
      <c r="AG2" s="31">
        <f t="array" ref="AG2">IF(AND(E4&gt;0.001,G4&gt;0.001),(E4-G4)^2,0)</f>
        <v>0</v>
      </c>
      <c r="AH2" s="31">
        <f t="array" ref="AH2">IF(AND(F4&gt;0.001,H4&gt;0.001),(F4-H4)^2,0)</f>
        <v>0</v>
      </c>
      <c r="AI2" s="31">
        <f t="array" ref="AI2">IF(AND(G4&gt;0.001,I4&gt;0.001),(G4-I4)^2,0)</f>
        <v>0</v>
      </c>
      <c r="AJ2" s="31">
        <f t="array" ref="AJ2">IF(AND(H4&gt;0.001,J4&gt;0.001),(H4-J4)^2,0)</f>
        <v>0</v>
      </c>
      <c r="AK2" s="31">
        <f t="array" ref="AK2">IF(OR(AND(AND(A4&gt;0,C4&gt;0),A4=C4),AC2&gt;0),1,0)</f>
        <v>1</v>
      </c>
      <c r="AL2" s="31">
        <f t="array" ref="AL2">IF(OR(AND(AND(B4&gt;0,D4&gt;0),B4=D4),AD2&gt;0),1,0)</f>
        <v>0</v>
      </c>
      <c r="AM2" s="31">
        <f t="array" ref="AM2">IF(OR(AND(AND(C4&gt;0,E4&gt;0),C4=E4),AE2&gt;0),1,0)</f>
        <v>0</v>
      </c>
      <c r="AN2" s="31">
        <f t="array" ref="AN2">IF(OR(AND(AND(D4&gt;0,F4&gt;0),D4=F4),AF2&gt;0),1,0)</f>
        <v>0</v>
      </c>
      <c r="AO2" s="31">
        <f t="array" ref="AO2">IF(OR(AND(AND(E4&gt;0,G4&gt;0),E4=G4),AG2&gt;0),1,0)</f>
        <v>0</v>
      </c>
      <c r="AP2" s="31">
        <f t="array" ref="AP2">IF(OR(AND(AND(F4&gt;0,H4&gt;0),F4=H4),AH2&gt;0),1,0)</f>
        <v>0</v>
      </c>
      <c r="AQ2" s="31">
        <f t="array" ref="AQ2">IF(OR(AND(AND(G4&gt;0,I4&gt;0),G4=I4),AI2&gt;0),1,0)</f>
        <v>0</v>
      </c>
      <c r="AR2" s="31">
        <f t="array" ref="AR2">IF(OR(AND(AND(H4&gt;0,J4&gt;0),H4=J4),AJ2&gt;0),1,0)</f>
        <v>0</v>
      </c>
      <c r="AS2" s="31">
        <f t="array" ref="AS2">IF(AND(A4&gt;0.001,D4&gt;0.001),(A4-D4)^2,0)</f>
        <v>0</v>
      </c>
      <c r="AT2" s="31">
        <f t="array" ref="AT2">IF(AND(B4&gt;0.001,E4&gt;0.001),(B4-E4)^2,0)</f>
        <v>0</v>
      </c>
      <c r="AU2" s="31">
        <f t="array" ref="AU2">IF(AND(C4&gt;0.001,F4&gt;0.001),(C4-F4)^2,0)</f>
        <v>0</v>
      </c>
      <c r="AV2" s="31">
        <f t="array" ref="AV2">IF(AND(D4&gt;0.001,G4&gt;0.001),(D4-G4)^2,0)</f>
        <v>0</v>
      </c>
      <c r="AW2" s="31">
        <f t="array" ref="AW2">IF(AND(E4&gt;0.001,H4&gt;0.001),(E4-H4)^2,0)</f>
        <v>0</v>
      </c>
      <c r="AX2" s="31">
        <f t="array" ref="AX2">IF(AND(F4&gt;0.001,I4&gt;0.001),(F4-I4)^2,0)</f>
        <v>0</v>
      </c>
      <c r="AY2" s="31">
        <f t="array" ref="AY2">IF(AND(G4&gt;0.001,J4&gt;0.001),(G4-J4)^2,0)</f>
        <v>64</v>
      </c>
      <c r="AZ2" s="31">
        <f t="array" ref="AZ2">IF(OR(AND(AND(A4&gt;0,D4&gt;0),A4=D4),AS2&gt;0),1,0)</f>
        <v>0</v>
      </c>
      <c r="BA2" s="31">
        <f t="array" ref="BA2">IF(OR(AND(AND(B4&gt;0,E4&gt;0),B4=E4),AT2&gt;0),1,0)</f>
        <v>0</v>
      </c>
      <c r="BB2" s="31">
        <f t="array" ref="BB2">IF(OR(AND(AND(C4&gt;0,F4&gt;0),C4=F4),AU2&gt;0),1,0)</f>
        <v>1</v>
      </c>
      <c r="BC2" s="31">
        <f t="array" ref="BC2">IF(OR(AND(AND(D4&gt;0,G4&gt;0),D4=G4),AV2&gt;0),1,0)</f>
        <v>0</v>
      </c>
      <c r="BD2" s="31">
        <f t="array" ref="BD2">IF(OR(AND(AND(E4&gt;0,H4&gt;0),E4=H4),AW2&gt;0),1,0)</f>
        <v>0</v>
      </c>
      <c r="BE2" s="31">
        <f t="array" ref="BE2">IF(OR(AND(AND(F4&gt;0,I4&gt;0),F4=I4),AX2&gt;0),1,0)</f>
        <v>0</v>
      </c>
      <c r="BF2" s="31">
        <f t="array" ref="BF2">IF(OR(AND(AND(G4&gt;0,J4&gt;0),G4=J4),AY2&gt;0),1,0)</f>
        <v>1</v>
      </c>
      <c r="BG2" s="31">
        <f t="array" ref="BG2">IF(AND(A4&gt;0.001,E4&gt;0.001),(A4-E4)^2,0)</f>
        <v>0</v>
      </c>
      <c r="BH2" s="31">
        <f t="array" ref="BH2">IF(AND(B4&gt;0.001,F4&gt;0.001),(B4-F4)^2,0)</f>
        <v>0</v>
      </c>
      <c r="BI2" s="31">
        <f t="array" ref="BI2">IF(AND(C4&gt;0.001,G4&gt;0.001),(C4-G4)^2,0)</f>
        <v>4</v>
      </c>
      <c r="BJ2" s="31">
        <f t="array" ref="BJ2">IF(AND(D4&gt;0.001,H4&gt;0.001),(D4-H4)^2,0)</f>
        <v>0</v>
      </c>
      <c r="BK2" s="31">
        <f t="array" ref="BK2">IF(AND(E4&gt;0.001,I4&gt;0.001),(E4-I4)^2,0)</f>
        <v>0</v>
      </c>
      <c r="BL2" s="31">
        <f t="array" ref="BL2">IF(AND(F4&gt;0.001,J4&gt;0.001),(F4-J4)^2,0)</f>
        <v>36</v>
      </c>
      <c r="BM2" s="31">
        <f t="array" ref="BM2">IF(OR(AND(AND(A4&gt;0,E4&gt;0),A4=E4),BG2&gt;0),1,0)</f>
        <v>0</v>
      </c>
      <c r="BN2" s="31">
        <f t="array" ref="BN2">IF(OR(AND(AND(B4&gt;0,F4&gt;0),B4=F4),BH2&gt;0),1,0)</f>
        <v>1</v>
      </c>
      <c r="BO2" s="31">
        <f t="array" ref="BO2">IF(OR(AND(AND(C4&gt;0,G4&gt;0),C4=G4),BI2&gt;0),1,0)</f>
        <v>1</v>
      </c>
      <c r="BP2" s="31">
        <f t="array" ref="BP2">IF(OR(AND(AND(D4&gt;0,H4&gt;0),D4=H4),BJ2&gt;0),1,0)</f>
        <v>0</v>
      </c>
      <c r="BQ2" s="31">
        <f t="array" ref="BQ2">IF(OR(AND(AND(E4&gt;0,I4&gt;0),E4=I4),BK2&gt;0),1,0)</f>
        <v>0</v>
      </c>
      <c r="BR2" s="31">
        <f t="array" ref="BR2">IF(OR(AND(AND(F4&gt;0,J4&gt;0),F4=J4),BL2&gt;0),1,0)</f>
        <v>1</v>
      </c>
    </row>
    <row r="3" spans="1:90" x14ac:dyDescent="0.25">
      <c r="A3" s="31">
        <v>32</v>
      </c>
      <c r="B3" s="31">
        <v>35</v>
      </c>
      <c r="C3" s="31">
        <v>35</v>
      </c>
      <c r="D3" s="31">
        <v>33</v>
      </c>
      <c r="E3" s="31">
        <v>34</v>
      </c>
      <c r="F3" s="31">
        <v>31</v>
      </c>
      <c r="G3" s="31">
        <v>35</v>
      </c>
      <c r="H3" s="31">
        <v>37</v>
      </c>
      <c r="I3" s="31">
        <v>41</v>
      </c>
      <c r="J3" s="31">
        <v>41</v>
      </c>
      <c r="K3" s="31">
        <f t="array" ref="K3">IF(AND(A5&gt;0.001,B5&gt;0.001),(A5-B5)^2,0)</f>
        <v>4</v>
      </c>
      <c r="L3" s="31">
        <f t="array" ref="L3">IF(AND(B5&gt;0.001,C5&gt;0.001),(B5-C5)^2,0)</f>
        <v>4</v>
      </c>
      <c r="M3" s="31">
        <f t="array" ref="M3">IF(AND(C5&gt;0.001,D5&gt;0.001),(C5-D5)^2,0)</f>
        <v>4</v>
      </c>
      <c r="N3" s="31">
        <f t="array" ref="N3">IF(AND(D5&gt;0.001,E5&gt;0.001),(D5-E5)^2,0)</f>
        <v>0</v>
      </c>
      <c r="O3" s="31">
        <f t="array" ref="O3">IF(AND(E5&gt;0.001,F5&gt;0.001),(E5-F5)^2,0)</f>
        <v>0</v>
      </c>
      <c r="P3" s="31">
        <f t="array" ref="P3">IF(AND(F5&gt;0.001,G5&gt;0.001),(F5-G5)^2,0)</f>
        <v>9</v>
      </c>
      <c r="Q3" s="31">
        <f t="array" ref="Q3">IF(AND(G5&gt;0.001,H5&gt;0.001),(G5-H5)^2,0)</f>
        <v>1</v>
      </c>
      <c r="R3" s="31">
        <f t="array" ref="R3">IF(AND(H5&gt;0.001,I5&gt;0.001),(H5-I5)^2,0)</f>
        <v>0</v>
      </c>
      <c r="S3" s="31">
        <f t="array" ref="S3">IF(AND(I5&gt;0.001,J5&gt;0.001),(I5-J5)^2,0)</f>
        <v>4</v>
      </c>
      <c r="T3" s="31">
        <f t="array" ref="T3">IF(OR(AND(AND(A5&gt;0,B5&gt;0),A5=B5),K3&gt;0),1,0)</f>
        <v>1</v>
      </c>
      <c r="U3" s="31">
        <f t="array" ref="U3">IF(OR(AND(AND(B5&gt;0,C5&gt;0),B5=C5),L3&gt;0),1,0)</f>
        <v>1</v>
      </c>
      <c r="V3" s="31">
        <f t="array" ref="V3">IF(OR(AND(AND(C5&gt;0,D5&gt;0),C5=D5),M3&gt;0),1,0)</f>
        <v>1</v>
      </c>
      <c r="W3" s="31">
        <f t="array" ref="W3">IF(OR(AND(AND(D5&gt;0,E5&gt;0),D5=E5),N3&gt;0),1,0)</f>
        <v>0</v>
      </c>
      <c r="X3" s="31">
        <f t="array" ref="X3">IF(OR(AND(AND(E5&gt;0,F5&gt;0),E5=F5),O3&gt;0),1,0)</f>
        <v>0</v>
      </c>
      <c r="Y3" s="31">
        <f t="array" ref="Y3">IF(OR(AND(AND(F5&gt;0,G5&gt;0),F5=G5),P3&gt;0),1,0)</f>
        <v>1</v>
      </c>
      <c r="Z3" s="31">
        <f t="array" ref="Z3">IF(OR(AND(AND(G5&gt;0,H5&gt;0),G5=H5),Q3&gt;0),1,0)</f>
        <v>1</v>
      </c>
      <c r="AA3" s="31">
        <f t="array" ref="AA3">IF(OR(AND(AND(H5&gt;0,I5&gt;0),H5=I5),R3&gt;0),1,0)</f>
        <v>1</v>
      </c>
      <c r="AB3" s="31">
        <f t="array" ref="AB3">IF(OR(AND(AND(I5&gt;0,J5&gt;0),I5=J5),S3&gt;0),1,0)</f>
        <v>1</v>
      </c>
      <c r="AC3" s="31">
        <f t="array" ref="AC3">IF(AND(A5&gt;0.001,C5&gt;0.001),(A5-C5)^2,0)</f>
        <v>0</v>
      </c>
      <c r="AD3" s="31">
        <f t="array" ref="AD3">IF(AND(B5&gt;0.001,D5&gt;0.001),(B5-D5)^2,0)</f>
        <v>0</v>
      </c>
      <c r="AE3" s="31">
        <f t="array" ref="AE3">IF(AND(C5&gt;0.001,E5&gt;0.001),(C5-E5)^2,0)</f>
        <v>0</v>
      </c>
      <c r="AF3" s="31">
        <f t="array" ref="AF3">IF(AND(D5&gt;0.001,F5&gt;0.001),(D5-F5)^2,0)</f>
        <v>4</v>
      </c>
      <c r="AG3" s="31">
        <f t="array" ref="AG3">IF(AND(E5&gt;0.001,G5&gt;0.001),(E5-G5)^2,0)</f>
        <v>0</v>
      </c>
      <c r="AH3" s="31">
        <f t="array" ref="AH3">IF(AND(F5&gt;0.001,H5&gt;0.001),(F5-H5)^2,0)</f>
        <v>4</v>
      </c>
      <c r="AI3" s="31">
        <f t="array" ref="AI3">IF(AND(G5&gt;0.001,I5&gt;0.001),(G5-I5)^2,0)</f>
        <v>1</v>
      </c>
      <c r="AJ3" s="31">
        <f t="array" ref="AJ3">IF(AND(H5&gt;0.001,J5&gt;0.001),(H5-J5)^2,0)</f>
        <v>4</v>
      </c>
      <c r="AK3" s="31">
        <f t="array" ref="AK3">IF(OR(AND(AND(A5&gt;0,C5&gt;0),A5=C5),AC3&gt;0),1,0)</f>
        <v>1</v>
      </c>
      <c r="AL3" s="31">
        <f t="array" ref="AL3">IF(OR(AND(AND(B5&gt;0,D5&gt;0),B5=D5),AD3&gt;0),1,0)</f>
        <v>1</v>
      </c>
      <c r="AM3" s="31">
        <f t="array" ref="AM3">IF(OR(AND(AND(C5&gt;0,E5&gt;0),C5=E5),AE3&gt;0),1,0)</f>
        <v>0</v>
      </c>
      <c r="AN3" s="31">
        <f t="array" ref="AN3">IF(OR(AND(AND(D5&gt;0,F5&gt;0),D5=F5),AF3&gt;0),1,0)</f>
        <v>1</v>
      </c>
      <c r="AO3" s="31">
        <f t="array" ref="AO3">IF(OR(AND(AND(E5&gt;0,G5&gt;0),E5=G5),AG3&gt;0),1,0)</f>
        <v>0</v>
      </c>
      <c r="AP3" s="31">
        <f t="array" ref="AP3">IF(OR(AND(AND(F5&gt;0,H5&gt;0),F5=H5),AH3&gt;0),1,0)</f>
        <v>1</v>
      </c>
      <c r="AQ3" s="31">
        <f t="array" ref="AQ3">IF(OR(AND(AND(G5&gt;0,I5&gt;0),G5=I5),AI3&gt;0),1,0)</f>
        <v>1</v>
      </c>
      <c r="AR3" s="31">
        <f t="array" ref="AR3">IF(OR(AND(AND(H5&gt;0,J5&gt;0),H5=J5),AJ3&gt;0),1,0)</f>
        <v>1</v>
      </c>
      <c r="AS3" s="31">
        <f t="array" ref="AS3">IF(AND(A5&gt;0.001,D5&gt;0.001),(A5-D5)^2,0)</f>
        <v>4</v>
      </c>
      <c r="AT3" s="31">
        <f t="array" ref="AT3">IF(AND(B5&gt;0.001,E5&gt;0.001),(B5-E5)^2,0)</f>
        <v>0</v>
      </c>
      <c r="AU3" s="31">
        <f t="array" ref="AU3">IF(AND(C5&gt;0.001,F5&gt;0.001),(C5-F5)^2,0)</f>
        <v>0</v>
      </c>
      <c r="AV3" s="31">
        <f t="array" ref="AV3">IF(AND(D5&gt;0.001,G5&gt;0.001),(D5-G5)^2,0)</f>
        <v>25</v>
      </c>
      <c r="AW3" s="31">
        <f t="array" ref="AW3">IF(AND(E5&gt;0.001,H5&gt;0.001),(E5-H5)^2,0)</f>
        <v>0</v>
      </c>
      <c r="AX3" s="31">
        <f t="array" ref="AX3">IF(AND(F5&gt;0.001,I5&gt;0.001),(F5-I5)^2,0)</f>
        <v>4</v>
      </c>
      <c r="AY3" s="31">
        <f t="array" ref="AY3">IF(AND(G5&gt;0.001,J5&gt;0.001),(G5-J5)^2,0)</f>
        <v>1</v>
      </c>
      <c r="AZ3" s="31">
        <f t="array" ref="AZ3">IF(OR(AND(AND(A5&gt;0,D5&gt;0),A5=D5),AS3&gt;0),1,0)</f>
        <v>1</v>
      </c>
      <c r="BA3" s="31">
        <f t="array" ref="BA3">IF(OR(AND(AND(B5&gt;0,E5&gt;0),B5=E5),AT3&gt;0),1,0)</f>
        <v>0</v>
      </c>
      <c r="BB3" s="31">
        <f t="array" ref="BB3">IF(OR(AND(AND(C5&gt;0,F5&gt;0),C5=F5),AU3&gt;0),1,0)</f>
        <v>1</v>
      </c>
      <c r="BC3" s="31">
        <f t="array" ref="BC3">IF(OR(AND(AND(D5&gt;0,G5&gt;0),D5=G5),AV3&gt;0),1,0)</f>
        <v>1</v>
      </c>
      <c r="BD3" s="31">
        <f t="array" ref="BD3">IF(OR(AND(AND(E5&gt;0,H5&gt;0),E5=H5),AW3&gt;0),1,0)</f>
        <v>0</v>
      </c>
      <c r="BE3" s="31">
        <f t="array" ref="BE3">IF(OR(AND(AND(F5&gt;0,I5&gt;0),F5=I5),AX3&gt;0),1,0)</f>
        <v>1</v>
      </c>
      <c r="BF3" s="31">
        <f t="array" ref="BF3">IF(OR(AND(AND(G5&gt;0,J5&gt;0),G5=J5),AY3&gt;0),1,0)</f>
        <v>1</v>
      </c>
      <c r="BG3" s="31">
        <f t="array" ref="BG3">IF(AND(A5&gt;0.001,E5&gt;0.001),(A5-E5)^2,0)</f>
        <v>0</v>
      </c>
      <c r="BH3" s="31">
        <f t="array" ref="BH3">IF(AND(B5&gt;0.001,F5&gt;0.001),(B5-F5)^2,0)</f>
        <v>4</v>
      </c>
      <c r="BI3" s="31">
        <f t="array" ref="BI3">IF(AND(C5&gt;0.001,G5&gt;0.001),(C5-G5)^2,0)</f>
        <v>9</v>
      </c>
      <c r="BJ3" s="31">
        <f t="array" ref="BJ3">IF(AND(D5&gt;0.001,H5&gt;0.001),(D5-H5)^2,0)</f>
        <v>16</v>
      </c>
      <c r="BK3" s="31">
        <f t="array" ref="BK3">IF(AND(E5&gt;0.001,I5&gt;0.001),(E5-I5)^2,0)</f>
        <v>0</v>
      </c>
      <c r="BL3" s="31">
        <f t="array" ref="BL3">IF(AND(F5&gt;0.001,J5&gt;0.001),(F5-J5)^2,0)</f>
        <v>16</v>
      </c>
      <c r="BM3" s="31">
        <f t="array" ref="BM3">IF(OR(AND(AND(A5&gt;0,E5&gt;0),A5=E5),BG3&gt;0),1,0)</f>
        <v>0</v>
      </c>
      <c r="BN3" s="31">
        <f t="array" ref="BN3">IF(OR(AND(AND(B5&gt;0,F5&gt;0),B5=F5),BH3&gt;0),1,0)</f>
        <v>1</v>
      </c>
      <c r="BO3" s="31">
        <f t="array" ref="BO3">IF(OR(AND(AND(C5&gt;0,G5&gt;0),C5=G5),BI3&gt;0),1,0)</f>
        <v>1</v>
      </c>
      <c r="BP3" s="31">
        <f t="array" ref="BP3">IF(OR(AND(AND(D5&gt;0,H5&gt;0),D5=H5),BJ3&gt;0),1,0)</f>
        <v>1</v>
      </c>
      <c r="BQ3" s="31">
        <f t="array" ref="BQ3">IF(OR(AND(AND(E5&gt;0,I5&gt;0),E5=I5),BK3&gt;0),1,0)</f>
        <v>0</v>
      </c>
      <c r="BR3" s="31">
        <f t="array" ref="BR3">IF(OR(AND(AND(F5&gt;0,J5&gt;0),F5=J5),BL3&gt;0),1,0)</f>
        <v>1</v>
      </c>
    </row>
    <row r="4" spans="1:90" x14ac:dyDescent="0.25">
      <c r="A4" s="31">
        <v>35</v>
      </c>
      <c r="B4" s="31">
        <v>35</v>
      </c>
      <c r="C4" s="31">
        <v>35</v>
      </c>
      <c r="F4" s="31">
        <v>35</v>
      </c>
      <c r="G4" s="31">
        <v>33</v>
      </c>
      <c r="J4" s="31">
        <v>41</v>
      </c>
      <c r="K4" s="31">
        <f t="array" ref="K4">IF(AND(A6&gt;0.001,B6&gt;0.001),(A6-B6)^2,0)</f>
        <v>4</v>
      </c>
      <c r="L4" s="31">
        <f t="array" ref="L4">IF(AND(B6&gt;0.001,C6&gt;0.001),(B6-C6)^2,0)</f>
        <v>9</v>
      </c>
      <c r="M4" s="31">
        <f t="array" ref="M4">IF(AND(C6&gt;0.001,D6&gt;0.001),(C6-D6)^2,0)</f>
        <v>0</v>
      </c>
      <c r="N4" s="31">
        <f t="array" ref="N4">IF(AND(D6&gt;0.001,E6&gt;0.001),(D6-E6)^2,0)</f>
        <v>0</v>
      </c>
      <c r="O4" s="31">
        <f t="array" ref="O4">IF(AND(E6&gt;0.001,F6&gt;0.001),(E6-F6)^2,0)</f>
        <v>4</v>
      </c>
      <c r="P4" s="31">
        <f t="array" ref="P4">IF(AND(F6&gt;0.001,G6&gt;0.001),(F6-G6)^2,0)</f>
        <v>25</v>
      </c>
      <c r="Q4" s="31">
        <f t="array" ref="Q4">IF(AND(G6&gt;0.001,H6&gt;0.001),(G6-H6)^2,0)</f>
        <v>0</v>
      </c>
      <c r="R4" s="31">
        <f t="array" ref="R4">IF(AND(H6&gt;0.001,I6&gt;0.001),(H6-I6)^2,0)</f>
        <v>0</v>
      </c>
      <c r="S4" s="31">
        <f t="array" ref="S4">IF(AND(I6&gt;0.001,J6&gt;0.001),(I6-J6)^2,0)</f>
        <v>0</v>
      </c>
      <c r="T4" s="31">
        <f t="array" ref="T4">IF(OR(AND(AND(A6&gt;0,B6&gt;0),A6=B6),K4&gt;0),1,0)</f>
        <v>1</v>
      </c>
      <c r="U4" s="31">
        <f t="array" ref="U4">IF(OR(AND(AND(B6&gt;0,C6&gt;0),B6=C6),L4&gt;0),1,0)</f>
        <v>1</v>
      </c>
      <c r="V4" s="31">
        <f t="array" ref="V4">IF(OR(AND(AND(C6&gt;0,D6&gt;0),C6=D6),M4&gt;0),1,0)</f>
        <v>0</v>
      </c>
      <c r="W4" s="31">
        <f t="array" ref="W4">IF(OR(AND(AND(D6&gt;0,E6&gt;0),D6=E6),N4&gt;0),1,0)</f>
        <v>0</v>
      </c>
      <c r="X4" s="31">
        <f t="array" ref="X4">IF(OR(AND(AND(E6&gt;0,F6&gt;0),E6=F6),O4&gt;0),1,0)</f>
        <v>1</v>
      </c>
      <c r="Y4" s="31">
        <f t="array" ref="Y4">IF(OR(AND(AND(F6&gt;0,G6&gt;0),F6=G6),P4&gt;0),1,0)</f>
        <v>1</v>
      </c>
      <c r="Z4" s="31">
        <f t="array" ref="Z4">IF(OR(AND(AND(G6&gt;0,H6&gt;0),G6=H6),Q4&gt;0),1,0)</f>
        <v>0</v>
      </c>
      <c r="AA4" s="31">
        <f t="array" ref="AA4">IF(OR(AND(AND(H6&gt;0,I6&gt;0),H6=I6),R4&gt;0),1,0)</f>
        <v>0</v>
      </c>
      <c r="AB4" s="31">
        <f t="array" ref="AB4">IF(OR(AND(AND(I6&gt;0,J6&gt;0),I6=J6),S4&gt;0),1,0)</f>
        <v>0</v>
      </c>
      <c r="AC4" s="31">
        <f t="array" ref="AC4">IF(AND(A6&gt;0.001,C6&gt;0.001),(A6-C6)^2,0)</f>
        <v>25</v>
      </c>
      <c r="AD4" s="31">
        <f t="array" ref="AD4">IF(AND(B6&gt;0.001,D6&gt;0.001),(B6-D6)^2,0)</f>
        <v>0</v>
      </c>
      <c r="AE4" s="31">
        <f t="array" ref="AE4">IF(AND(C6&gt;0.001,E6&gt;0.001),(C6-E6)^2,0)</f>
        <v>64</v>
      </c>
      <c r="AF4" s="31">
        <f t="array" ref="AF4">IF(AND(D6&gt;0.001,F6&gt;0.001),(D6-F6)^2,0)</f>
        <v>0</v>
      </c>
      <c r="AG4" s="31">
        <f t="array" ref="AG4">IF(AND(E6&gt;0.001,G6&gt;0.001),(E6-G6)^2,0)</f>
        <v>49</v>
      </c>
      <c r="AH4" s="31">
        <f t="array" ref="AH4">IF(AND(F6&gt;0.001,H6&gt;0.001),(F6-H6)^2,0)</f>
        <v>0</v>
      </c>
      <c r="AI4" s="31">
        <f t="array" ref="AI4">IF(AND(G6&gt;0.001,I6&gt;0.001),(G6-I6)^2,0)</f>
        <v>0</v>
      </c>
      <c r="AJ4" s="31">
        <f t="array" ref="AJ4">IF(AND(H6&gt;0.001,J6&gt;0.001),(H6-J6)^2,0)</f>
        <v>0</v>
      </c>
      <c r="AK4" s="31">
        <f t="array" ref="AK4">IF(OR(AND(AND(A6&gt;0,C6&gt;0),A6=C6),AC4&gt;0),1,0)</f>
        <v>1</v>
      </c>
      <c r="AL4" s="31">
        <f t="array" ref="AL4">IF(OR(AND(AND(B6&gt;0,D6&gt;0),B6=D6),AD4&gt;0),1,0)</f>
        <v>0</v>
      </c>
      <c r="AM4" s="31">
        <f t="array" ref="AM4">IF(OR(AND(AND(C6&gt;0,E6&gt;0),C6=E6),AE4&gt;0),1,0)</f>
        <v>1</v>
      </c>
      <c r="AN4" s="31">
        <f t="array" ref="AN4">IF(OR(AND(AND(D6&gt;0,F6&gt;0),D6=F6),AF4&gt;0),1,0)</f>
        <v>0</v>
      </c>
      <c r="AO4" s="31">
        <f t="array" ref="AO4">IF(OR(AND(AND(E6&gt;0,G6&gt;0),E6=G6),AG4&gt;0),1,0)</f>
        <v>1</v>
      </c>
      <c r="AP4" s="31">
        <f t="array" ref="AP4">IF(OR(AND(AND(F6&gt;0,H6&gt;0),F6=H6),AH4&gt;0),1,0)</f>
        <v>0</v>
      </c>
      <c r="AQ4" s="31">
        <f t="array" ref="AQ4">IF(OR(AND(AND(G6&gt;0,I6&gt;0),G6=I6),AI4&gt;0),1,0)</f>
        <v>0</v>
      </c>
      <c r="AR4" s="31">
        <f t="array" ref="AR4">IF(OR(AND(AND(H6&gt;0,J6&gt;0),H6=J6),AJ4&gt;0),1,0)</f>
        <v>0</v>
      </c>
      <c r="AS4" s="31">
        <f t="array" ref="AS4">IF(AND(A6&gt;0.001,D6&gt;0.001),(A6-D6)^2,0)</f>
        <v>0</v>
      </c>
      <c r="AT4" s="31">
        <f t="array" ref="AT4">IF(AND(B6&gt;0.001,E6&gt;0.001),(B6-E6)^2,0)</f>
        <v>25</v>
      </c>
      <c r="AU4" s="31">
        <f t="array" ref="AU4">IF(AND(C6&gt;0.001,F6&gt;0.001),(C6-F6)^2,0)</f>
        <v>36</v>
      </c>
      <c r="AV4" s="31">
        <f t="array" ref="AV4">IF(AND(D6&gt;0.001,G6&gt;0.001),(D6-G6)^2,0)</f>
        <v>0</v>
      </c>
      <c r="AW4" s="31">
        <f t="array" ref="AW4">IF(AND(E6&gt;0.001,H6&gt;0.001),(E6-H6)^2,0)</f>
        <v>0</v>
      </c>
      <c r="AX4" s="31">
        <f t="array" ref="AX4">IF(AND(F6&gt;0.001,I6&gt;0.001),(F6-I6)^2,0)</f>
        <v>0</v>
      </c>
      <c r="AY4" s="31">
        <f t="array" ref="AY4">IF(AND(G6&gt;0.001,J6&gt;0.001),(G6-J6)^2,0)</f>
        <v>4</v>
      </c>
      <c r="AZ4" s="31">
        <f t="array" ref="AZ4">IF(OR(AND(AND(A6&gt;0,D6&gt;0),A6=D6),AS4&gt;0),1,0)</f>
        <v>0</v>
      </c>
      <c r="BA4" s="31">
        <f t="array" ref="BA4">IF(OR(AND(AND(B6&gt;0,E6&gt;0),B6=E6),AT4&gt;0),1,0)</f>
        <v>1</v>
      </c>
      <c r="BB4" s="31">
        <f t="array" ref="BB4">IF(OR(AND(AND(C6&gt;0,F6&gt;0),C6=F6),AU4&gt;0),1,0)</f>
        <v>1</v>
      </c>
      <c r="BC4" s="31">
        <f t="array" ref="BC4">IF(OR(AND(AND(D6&gt;0,G6&gt;0),D6=G6),AV4&gt;0),1,0)</f>
        <v>0</v>
      </c>
      <c r="BD4" s="31">
        <f t="array" ref="BD4">IF(OR(AND(AND(E6&gt;0,H6&gt;0),E6=H6),AW4&gt;0),1,0)</f>
        <v>0</v>
      </c>
      <c r="BE4" s="31">
        <f t="array" ref="BE4">IF(OR(AND(AND(F6&gt;0,I6&gt;0),F6=I6),AX4&gt;0),1,0)</f>
        <v>0</v>
      </c>
      <c r="BF4" s="31">
        <f t="array" ref="BF4">IF(OR(AND(AND(G6&gt;0,J6&gt;0),G6=J6),AY4&gt;0),1,0)</f>
        <v>1</v>
      </c>
      <c r="BG4" s="31">
        <f t="array" ref="BG4">IF(AND(A6&gt;0.001,E6&gt;0.001),(A6-E6)^2,0)</f>
        <v>9</v>
      </c>
      <c r="BH4" s="31">
        <f t="array" ref="BH4">IF(AND(B6&gt;0.001,F6&gt;0.001),(B6-F6)^2,0)</f>
        <v>9</v>
      </c>
      <c r="BI4" s="31">
        <f t="array" ref="BI4">IF(AND(C6&gt;0.001,G6&gt;0.001),(C6-G6)^2,0)</f>
        <v>1</v>
      </c>
      <c r="BJ4" s="31">
        <f t="array" ref="BJ4">IF(AND(D6&gt;0.001,H6&gt;0.001),(D6-H6)^2,0)</f>
        <v>0</v>
      </c>
      <c r="BK4" s="31">
        <f t="array" ref="BK4">IF(AND(E6&gt;0.001,I6&gt;0.001),(E6-I6)^2,0)</f>
        <v>0</v>
      </c>
      <c r="BL4" s="31">
        <f t="array" ref="BL4">IF(AND(F6&gt;0.001,J6&gt;0.001),(F6-J6)^2,0)</f>
        <v>49</v>
      </c>
      <c r="BM4" s="31">
        <f t="array" ref="BM4">IF(OR(AND(AND(A6&gt;0,E6&gt;0),A6=E6),BG4&gt;0),1,0)</f>
        <v>1</v>
      </c>
      <c r="BN4" s="31">
        <f t="array" ref="BN4">IF(OR(AND(AND(B6&gt;0,F6&gt;0),B6=F6),BH4&gt;0),1,0)</f>
        <v>1</v>
      </c>
      <c r="BO4" s="31">
        <f t="array" ref="BO4">IF(OR(AND(AND(C6&gt;0,G6&gt;0),C6=G6),BI4&gt;0),1,0)</f>
        <v>1</v>
      </c>
      <c r="BP4" s="31">
        <f t="array" ref="BP4">IF(OR(AND(AND(D6&gt;0,H6&gt;0),D6=H6),BJ4&gt;0),1,0)</f>
        <v>0</v>
      </c>
      <c r="BQ4" s="31">
        <f t="array" ref="BQ4">IF(OR(AND(AND(E6&gt;0,I6&gt;0),E6=I6),BK4&gt;0),1,0)</f>
        <v>0</v>
      </c>
      <c r="BR4" s="31">
        <f t="array" ref="BR4">IF(OR(AND(AND(F6&gt;0,J6&gt;0),F6=J6),BL4&gt;0),1,0)</f>
        <v>1</v>
      </c>
    </row>
    <row r="5" spans="1:90" x14ac:dyDescent="0.25">
      <c r="A5" s="31">
        <v>37</v>
      </c>
      <c r="B5" s="31">
        <v>35</v>
      </c>
      <c r="C5" s="31">
        <v>37</v>
      </c>
      <c r="D5" s="31">
        <v>35</v>
      </c>
      <c r="F5" s="31">
        <v>37</v>
      </c>
      <c r="G5" s="31">
        <v>40</v>
      </c>
      <c r="H5" s="31">
        <v>39</v>
      </c>
      <c r="I5" s="31">
        <v>39</v>
      </c>
      <c r="J5" s="31">
        <v>41</v>
      </c>
      <c r="K5" s="31">
        <f t="array" ref="K5">IF(AND(A7&gt;0.001,B7&gt;0.001),(A7-B7)^2,0)</f>
        <v>0</v>
      </c>
      <c r="L5" s="31">
        <f t="array" ref="L5">IF(AND(B7&gt;0.001,C7&gt;0.001),(B7-C7)^2,0)</f>
        <v>0</v>
      </c>
      <c r="M5" s="31">
        <f t="array" ref="M5">IF(AND(C7&gt;0.001,D7&gt;0.001),(C7-D7)^2,0)</f>
        <v>0</v>
      </c>
      <c r="N5" s="31">
        <f t="array" ref="N5">IF(AND(D7&gt;0.001,E7&gt;0.001),(D7-E7)^2,0)</f>
        <v>0</v>
      </c>
      <c r="O5" s="31">
        <f t="array" ref="O5">IF(AND(E7&gt;0.001,F7&gt;0.001),(E7-F7)^2,0)</f>
        <v>0</v>
      </c>
      <c r="P5" s="31">
        <f t="array" ref="P5">IF(AND(F7&gt;0.001,G7&gt;0.001),(F7-G7)^2,0)</f>
        <v>0</v>
      </c>
      <c r="Q5" s="31">
        <f t="array" ref="Q5">IF(AND(G7&gt;0.001,H7&gt;0.001),(G7-H7)^2,0)</f>
        <v>0</v>
      </c>
      <c r="R5" s="31">
        <f t="array" ref="R5">IF(AND(H7&gt;0.001,I7&gt;0.001),(H7-I7)^2,0)</f>
        <v>0</v>
      </c>
      <c r="S5" s="31">
        <f t="array" ref="S5">IF(AND(I7&gt;0.001,J7&gt;0.001),(I7-J7)^2,0)</f>
        <v>0</v>
      </c>
      <c r="T5" s="31">
        <f t="array" ref="T5">IF(OR(AND(AND(A7&gt;0,B7&gt;0),A7=B7),K5&gt;0),1,0)</f>
        <v>0</v>
      </c>
      <c r="U5" s="31">
        <f t="array" ref="U5">IF(OR(AND(AND(B7&gt;0,C7&gt;0),B7=C7),L5&gt;0),1,0)</f>
        <v>0</v>
      </c>
      <c r="V5" s="31">
        <f t="array" ref="V5">IF(OR(AND(AND(C7&gt;0,D7&gt;0),C7=D7),M5&gt;0),1,0)</f>
        <v>0</v>
      </c>
      <c r="W5" s="31">
        <f t="array" ref="W5">IF(OR(AND(AND(D7&gt;0,E7&gt;0),D7=E7),N5&gt;0),1,0)</f>
        <v>0</v>
      </c>
      <c r="X5" s="31">
        <f t="array" ref="X5">IF(OR(AND(AND(E7&gt;0,F7&gt;0),E7=F7),O5&gt;0),1,0)</f>
        <v>0</v>
      </c>
      <c r="Y5" s="31">
        <f t="array" ref="Y5">IF(OR(AND(AND(F7&gt;0,G7&gt;0),F7=G7),P5&gt;0),1,0)</f>
        <v>0</v>
      </c>
      <c r="Z5" s="31">
        <f t="array" ref="Z5">IF(OR(AND(AND(G7&gt;0,H7&gt;0),G7=H7),Q5&gt;0),1,0)</f>
        <v>0</v>
      </c>
      <c r="AA5" s="31">
        <f t="array" ref="AA5">IF(OR(AND(AND(H7&gt;0,I7&gt;0),H7=I7),R5&gt;0),1,0)</f>
        <v>0</v>
      </c>
      <c r="AB5" s="31">
        <f t="array" ref="AB5">IF(OR(AND(AND(I7&gt;0,J7&gt;0),I7=J7),S5&gt;0),1,0)</f>
        <v>0</v>
      </c>
      <c r="AC5" s="31">
        <f t="array" ref="AC5">IF(AND(A7&gt;0.001,C7&gt;0.001),(A7-C7)^2,0)</f>
        <v>0</v>
      </c>
      <c r="AD5" s="31">
        <f t="array" ref="AD5">IF(AND(B7&gt;0.001,D7&gt;0.001),(B7-D7)^2,0)</f>
        <v>0</v>
      </c>
      <c r="AE5" s="31">
        <f t="array" ref="AE5">IF(AND(C7&gt;0.001,E7&gt;0.001),(C7-E7)^2,0)</f>
        <v>0</v>
      </c>
      <c r="AF5" s="31">
        <f t="array" ref="AF5">IF(AND(D7&gt;0.001,F7&gt;0.001),(D7-F7)^2,0)</f>
        <v>0</v>
      </c>
      <c r="AG5" s="31">
        <f t="array" ref="AG5">IF(AND(E7&gt;0.001,G7&gt;0.001),(E7-G7)^2,0)</f>
        <v>0</v>
      </c>
      <c r="AH5" s="31">
        <f t="array" ref="AH5">IF(AND(F7&gt;0.001,H7&gt;0.001),(F7-H7)^2,0)</f>
        <v>0</v>
      </c>
      <c r="AI5" s="31">
        <f t="array" ref="AI5">IF(AND(G7&gt;0.001,I7&gt;0.001),(G7-I7)^2,0)</f>
        <v>0</v>
      </c>
      <c r="AJ5" s="31">
        <f t="array" ref="AJ5">IF(AND(H7&gt;0.001,J7&gt;0.001),(H7-J7)^2,0)</f>
        <v>0</v>
      </c>
      <c r="AK5" s="31">
        <f t="array" ref="AK5">IF(OR(AND(AND(A7&gt;0,C7&gt;0),A7=C7),AC5&gt;0),1,0)</f>
        <v>0</v>
      </c>
      <c r="AL5" s="31">
        <f t="array" ref="AL5">IF(OR(AND(AND(B7&gt;0,D7&gt;0),B7=D7),AD5&gt;0),1,0)</f>
        <v>0</v>
      </c>
      <c r="AM5" s="31">
        <f t="array" ref="AM5">IF(OR(AND(AND(C7&gt;0,E7&gt;0),C7=E7),AE5&gt;0),1,0)</f>
        <v>0</v>
      </c>
      <c r="AN5" s="31">
        <f t="array" ref="AN5">IF(OR(AND(AND(D7&gt;0,F7&gt;0),D7=F7),AF5&gt;0),1,0)</f>
        <v>0</v>
      </c>
      <c r="AO5" s="31">
        <f t="array" ref="AO5">IF(OR(AND(AND(E7&gt;0,G7&gt;0),E7=G7),AG5&gt;0),1,0)</f>
        <v>0</v>
      </c>
      <c r="AP5" s="31">
        <f t="array" ref="AP5">IF(OR(AND(AND(F7&gt;0,H7&gt;0),F7=H7),AH5&gt;0),1,0)</f>
        <v>0</v>
      </c>
      <c r="AQ5" s="31">
        <f t="array" ref="AQ5">IF(OR(AND(AND(G7&gt;0,I7&gt;0),G7=I7),AI5&gt;0),1,0)</f>
        <v>0</v>
      </c>
      <c r="AR5" s="31">
        <f t="array" ref="AR5">IF(OR(AND(AND(H7&gt;0,J7&gt;0),H7=J7),AJ5&gt;0),1,0)</f>
        <v>0</v>
      </c>
      <c r="AS5" s="31">
        <f t="array" ref="AS5">IF(AND(A7&gt;0.001,D7&gt;0.001),(A7-D7)^2,0)</f>
        <v>0</v>
      </c>
      <c r="AT5" s="31">
        <f t="array" ref="AT5">IF(AND(B7&gt;0.001,E7&gt;0.001),(B7-E7)^2,0)</f>
        <v>0</v>
      </c>
      <c r="AU5" s="31">
        <f t="array" ref="AU5">IF(AND(C7&gt;0.001,F7&gt;0.001),(C7-F7)^2,0)</f>
        <v>49</v>
      </c>
      <c r="AV5" s="31">
        <f t="array" ref="AV5">IF(AND(D7&gt;0.001,G7&gt;0.001),(D7-G7)^2,0)</f>
        <v>0</v>
      </c>
      <c r="AW5" s="31">
        <f t="array" ref="AW5">IF(AND(E7&gt;0.001,H7&gt;0.001),(E7-H7)^2,0)</f>
        <v>0</v>
      </c>
      <c r="AX5" s="31">
        <f t="array" ref="AX5">IF(AND(F7&gt;0.001,I7&gt;0.001),(F7-I7)^2,0)</f>
        <v>0</v>
      </c>
      <c r="AY5" s="31">
        <f t="array" ref="AY5">IF(AND(G7&gt;0.001,J7&gt;0.001),(G7-J7)^2,0)</f>
        <v>0</v>
      </c>
      <c r="AZ5" s="31">
        <f t="array" ref="AZ5">IF(OR(AND(AND(A7&gt;0,D7&gt;0),A7=D7),AS5&gt;0),1,0)</f>
        <v>0</v>
      </c>
      <c r="BA5" s="31">
        <f t="array" ref="BA5">IF(OR(AND(AND(B7&gt;0,E7&gt;0),B7=E7),AT5&gt;0),1,0)</f>
        <v>0</v>
      </c>
      <c r="BB5" s="31">
        <f t="array" ref="BB5">IF(OR(AND(AND(C7&gt;0,F7&gt;0),C7=F7),AU5&gt;0),1,0)</f>
        <v>1</v>
      </c>
      <c r="BC5" s="31">
        <f t="array" ref="BC5">IF(OR(AND(AND(D7&gt;0,G7&gt;0),D7=G7),AV5&gt;0),1,0)</f>
        <v>0</v>
      </c>
      <c r="BD5" s="31">
        <f t="array" ref="BD5">IF(OR(AND(AND(E7&gt;0,H7&gt;0),E7=H7),AW5&gt;0),1,0)</f>
        <v>0</v>
      </c>
      <c r="BE5" s="31">
        <f t="array" ref="BE5">IF(OR(AND(AND(F7&gt;0,I7&gt;0),F7=I7),AX5&gt;0),1,0)</f>
        <v>0</v>
      </c>
      <c r="BF5" s="31">
        <f t="array" ref="BF5">IF(OR(AND(AND(G7&gt;0,J7&gt;0),G7=J7),AY5&gt;0),1,0)</f>
        <v>0</v>
      </c>
      <c r="BG5" s="31">
        <f t="array" ref="BG5">IF(AND(A7&gt;0.001,E7&gt;0.001),(A7-E7)^2,0)</f>
        <v>0</v>
      </c>
      <c r="BH5" s="31">
        <f t="array" ref="BH5">IF(AND(B7&gt;0.001,F7&gt;0.001),(B7-F7)^2,0)</f>
        <v>0</v>
      </c>
      <c r="BI5" s="31">
        <f t="array" ref="BI5">IF(AND(C7&gt;0.001,G7&gt;0.001),(C7-G7)^2,0)</f>
        <v>0</v>
      </c>
      <c r="BJ5" s="31">
        <f t="array" ref="BJ5">IF(AND(D7&gt;0.001,H7&gt;0.001),(D7-H7)^2,0)</f>
        <v>0</v>
      </c>
      <c r="BK5" s="31">
        <f t="array" ref="BK5">IF(AND(E7&gt;0.001,I7&gt;0.001),(E7-I7)^2,0)</f>
        <v>0</v>
      </c>
      <c r="BL5" s="31">
        <f t="array" ref="BL5">IF(AND(F7&gt;0.001,J7&gt;0.001),(F7-J7)^2,0)</f>
        <v>0</v>
      </c>
      <c r="BM5" s="31">
        <f t="array" ref="BM5">IF(OR(AND(AND(A7&gt;0,E7&gt;0),A7=E7),BG5&gt;0),1,0)</f>
        <v>0</v>
      </c>
      <c r="BN5" s="31">
        <f t="array" ref="BN5">IF(OR(AND(AND(B7&gt;0,F7&gt;0),B7=F7),BH5&gt;0),1,0)</f>
        <v>0</v>
      </c>
      <c r="BO5" s="31">
        <f t="array" ref="BO5">IF(OR(AND(AND(C7&gt;0,G7&gt;0),C7=G7),BI5&gt;0),1,0)</f>
        <v>0</v>
      </c>
      <c r="BP5" s="31">
        <f t="array" ref="BP5">IF(OR(AND(AND(D7&gt;0,H7&gt;0),D7=H7),BJ5&gt;0),1,0)</f>
        <v>0</v>
      </c>
      <c r="BQ5" s="31">
        <f t="array" ref="BQ5">IF(OR(AND(AND(E7&gt;0,I7&gt;0),E7=I7),BK5&gt;0),1,0)</f>
        <v>0</v>
      </c>
      <c r="BR5" s="31">
        <f t="array" ref="BR5">IF(OR(AND(AND(F7&gt;0,J7&gt;0),F7=J7),BL5&gt;0),1,0)</f>
        <v>0</v>
      </c>
    </row>
    <row r="6" spans="1:90" x14ac:dyDescent="0.25">
      <c r="A6" s="31">
        <v>37</v>
      </c>
      <c r="B6" s="31">
        <v>39</v>
      </c>
      <c r="C6" s="31">
        <v>42</v>
      </c>
      <c r="E6" s="31">
        <v>34</v>
      </c>
      <c r="F6" s="31">
        <v>36</v>
      </c>
      <c r="G6" s="31">
        <v>41</v>
      </c>
      <c r="J6" s="31">
        <v>43</v>
      </c>
      <c r="K6" s="31">
        <f t="array" ref="K6">IF(AND(A8&gt;0.001,B8&gt;0.001),(A8-B8)^2,0)</f>
        <v>0</v>
      </c>
      <c r="L6" s="31">
        <f t="array" ref="L6">IF(AND(B8&gt;0.001,C8&gt;0.001),(B8-C8)^2,0)</f>
        <v>0</v>
      </c>
      <c r="M6" s="31">
        <f t="array" ref="M6">IF(AND(C8&gt;0.001,D8&gt;0.001),(C8-D8)^2,0)</f>
        <v>0</v>
      </c>
      <c r="N6" s="31">
        <f t="array" ref="N6">IF(AND(D8&gt;0.001,E8&gt;0.001),(D8-E8)^2,0)</f>
        <v>0</v>
      </c>
      <c r="O6" s="31">
        <f t="array" ref="O6">IF(AND(E8&gt;0.001,F8&gt;0.001),(E8-F8)^2,0)</f>
        <v>0</v>
      </c>
      <c r="P6" s="31">
        <f t="array" ref="P6">IF(AND(F8&gt;0.001,G8&gt;0.001),(F8-G8)^2,0)</f>
        <v>0</v>
      </c>
      <c r="Q6" s="31">
        <f t="array" ref="Q6">IF(AND(G8&gt;0.001,H8&gt;0.001),(G8-H8)^2,0)</f>
        <v>0</v>
      </c>
      <c r="R6" s="31">
        <f t="array" ref="R6">IF(AND(H8&gt;0.001,I8&gt;0.001),(H8-I8)^2,0)</f>
        <v>81</v>
      </c>
      <c r="S6" s="31">
        <f t="array" ref="S6">IF(AND(I8&gt;0.001,J8&gt;0.001),(I8-J8)^2,0)</f>
        <v>0</v>
      </c>
      <c r="T6" s="31">
        <f t="array" ref="T6">IF(OR(AND(AND(A8&gt;0,B8&gt;0),A8=B8),K6&gt;0),1,0)</f>
        <v>0</v>
      </c>
      <c r="U6" s="31">
        <f t="array" ref="U6">IF(OR(AND(AND(B8&gt;0,C8&gt;0),B8=C8),L6&gt;0),1,0)</f>
        <v>0</v>
      </c>
      <c r="V6" s="31">
        <f t="array" ref="V6">IF(OR(AND(AND(C8&gt;0,D8&gt;0),C8=D8),M6&gt;0),1,0)</f>
        <v>0</v>
      </c>
      <c r="W6" s="31">
        <f t="array" ref="W6">IF(OR(AND(AND(D8&gt;0,E8&gt;0),D8=E8),N6&gt;0),1,0)</f>
        <v>0</v>
      </c>
      <c r="X6" s="31">
        <f t="array" ref="X6">IF(OR(AND(AND(E8&gt;0,F8&gt;0),E8=F8),O6&gt;0),1,0)</f>
        <v>0</v>
      </c>
      <c r="Y6" s="31">
        <f t="array" ref="Y6">IF(OR(AND(AND(F8&gt;0,G8&gt;0),F8=G8),P6&gt;0),1,0)</f>
        <v>0</v>
      </c>
      <c r="Z6" s="31">
        <f t="array" ref="Z6">IF(OR(AND(AND(G8&gt;0,H8&gt;0),G8=H8),Q6&gt;0),1,0)</f>
        <v>0</v>
      </c>
      <c r="AA6" s="31">
        <f t="array" ref="AA6">IF(OR(AND(AND(H8&gt;0,I8&gt;0),H8=I8),R6&gt;0),1,0)</f>
        <v>1</v>
      </c>
      <c r="AB6" s="31">
        <f t="array" ref="AB6">IF(OR(AND(AND(I8&gt;0,J8&gt;0),I8=J8),S6&gt;0),1,0)</f>
        <v>0</v>
      </c>
      <c r="AC6" s="31">
        <f t="array" ref="AC6">IF(AND(A8&gt;0.001,C8&gt;0.001),(A8-C8)^2,0)</f>
        <v>0</v>
      </c>
      <c r="AD6" s="31">
        <f t="array" ref="AD6">IF(AND(B8&gt;0.001,D8&gt;0.001),(B8-D8)^2,0)</f>
        <v>9</v>
      </c>
      <c r="AE6" s="31">
        <f t="array" ref="AE6">IF(AND(C8&gt;0.001,E8&gt;0.001),(C8-E8)^2,0)</f>
        <v>0</v>
      </c>
      <c r="AF6" s="31">
        <f t="array" ref="AF6">IF(AND(D8&gt;0.001,F8&gt;0.001),(D8-F8)^2,0)</f>
        <v>0</v>
      </c>
      <c r="AG6" s="31">
        <f t="array" ref="AG6">IF(AND(E8&gt;0.001,G8&gt;0.001),(E8-G8)^2,0)</f>
        <v>0</v>
      </c>
      <c r="AH6" s="31">
        <f t="array" ref="AH6">IF(AND(F8&gt;0.001,H8&gt;0.001),(F8-H8)^2,0)</f>
        <v>0</v>
      </c>
      <c r="AI6" s="31">
        <f t="array" ref="AI6">IF(AND(G8&gt;0.001,I8&gt;0.001),(G8-I8)^2,0)</f>
        <v>0</v>
      </c>
      <c r="AJ6" s="31">
        <f t="array" ref="AJ6">IF(AND(H8&gt;0.001,J8&gt;0.001),(H8-J8)^2,0)</f>
        <v>0</v>
      </c>
      <c r="AK6" s="31">
        <f t="array" ref="AK6">IF(OR(AND(AND(A8&gt;0,C8&gt;0),A8=C8),AC6&gt;0),1,0)</f>
        <v>0</v>
      </c>
      <c r="AL6" s="31">
        <f t="array" ref="AL6">IF(OR(AND(AND(B8&gt;0,D8&gt;0),B8=D8),AD6&gt;0),1,0)</f>
        <v>1</v>
      </c>
      <c r="AM6" s="31">
        <f t="array" ref="AM6">IF(OR(AND(AND(C8&gt;0,E8&gt;0),C8=E8),AE6&gt;0),1,0)</f>
        <v>0</v>
      </c>
      <c r="AN6" s="31">
        <f t="array" ref="AN6">IF(OR(AND(AND(D8&gt;0,F8&gt;0),D8=F8),AF6&gt;0),1,0)</f>
        <v>0</v>
      </c>
      <c r="AO6" s="31">
        <f t="array" ref="AO6">IF(OR(AND(AND(E8&gt;0,G8&gt;0),E8=G8),AG6&gt;0),1,0)</f>
        <v>0</v>
      </c>
      <c r="AP6" s="31">
        <f t="array" ref="AP6">IF(OR(AND(AND(F8&gt;0,H8&gt;0),F8=H8),AH6&gt;0),1,0)</f>
        <v>0</v>
      </c>
      <c r="AQ6" s="31">
        <f t="array" ref="AQ6">IF(OR(AND(AND(G8&gt;0,I8&gt;0),G8=I8),AI6&gt;0),1,0)</f>
        <v>0</v>
      </c>
      <c r="AR6" s="31">
        <f t="array" ref="AR6">IF(OR(AND(AND(H8&gt;0,J8&gt;0),H8=J8),AJ6&gt;0),1,0)</f>
        <v>0</v>
      </c>
      <c r="AS6" s="31">
        <f t="array" ref="AS6">IF(AND(A8&gt;0.001,D8&gt;0.001),(A8-D8)^2,0)</f>
        <v>0</v>
      </c>
      <c r="AT6" s="31">
        <f t="array" ref="AT6">IF(AND(B8&gt;0.001,E8&gt;0.001),(B8-E8)^2,0)</f>
        <v>0</v>
      </c>
      <c r="AU6" s="31">
        <f t="array" ref="AU6">IF(AND(C8&gt;0.001,F8&gt;0.001),(C8-F8)^2,0)</f>
        <v>0</v>
      </c>
      <c r="AV6" s="31">
        <f t="array" ref="AV6">IF(AND(D8&gt;0.001,G8&gt;0.001),(D8-G8)^2,0)</f>
        <v>0</v>
      </c>
      <c r="AW6" s="31">
        <f t="array" ref="AW6">IF(AND(E8&gt;0.001,H8&gt;0.001),(E8-H8)^2,0)</f>
        <v>0</v>
      </c>
      <c r="AX6" s="31">
        <f t="array" ref="AX6">IF(AND(F8&gt;0.001,I8&gt;0.001),(F8-I8)^2,0)</f>
        <v>0</v>
      </c>
      <c r="AY6" s="31">
        <f t="array" ref="AY6">IF(AND(G8&gt;0.001,J8&gt;0.001),(G8-J8)^2,0)</f>
        <v>0</v>
      </c>
      <c r="AZ6" s="31">
        <f t="array" ref="AZ6">IF(OR(AND(AND(A8&gt;0,D8&gt;0),A8=D8),AS6&gt;0),1,0)</f>
        <v>0</v>
      </c>
      <c r="BA6" s="31">
        <f t="array" ref="BA6">IF(OR(AND(AND(B8&gt;0,E8&gt;0),B8=E8),AT6&gt;0),1,0)</f>
        <v>0</v>
      </c>
      <c r="BB6" s="31">
        <f t="array" ref="BB6">IF(OR(AND(AND(C8&gt;0,F8&gt;0),C8=F8),AU6&gt;0),1,0)</f>
        <v>0</v>
      </c>
      <c r="BC6" s="31">
        <f t="array" ref="BC6">IF(OR(AND(AND(D8&gt;0,G8&gt;0),D8=G8),AV6&gt;0),1,0)</f>
        <v>0</v>
      </c>
      <c r="BD6" s="31">
        <f t="array" ref="BD6">IF(OR(AND(AND(E8&gt;0,H8&gt;0),E8=H8),AW6&gt;0),1,0)</f>
        <v>0</v>
      </c>
      <c r="BE6" s="31">
        <f t="array" ref="BE6">IF(OR(AND(AND(F8&gt;0,I8&gt;0),F8=I8),AX6&gt;0),1,0)</f>
        <v>0</v>
      </c>
      <c r="BF6" s="31">
        <f t="array" ref="BF6">IF(OR(AND(AND(G8&gt;0,J8&gt;0),G8=J8),AY6&gt;0),1,0)</f>
        <v>0</v>
      </c>
      <c r="BG6" s="31">
        <f t="array" ref="BG6">IF(AND(A8&gt;0.001,E8&gt;0.001),(A8-E8)^2,0)</f>
        <v>0</v>
      </c>
      <c r="BH6" s="31">
        <f t="array" ref="BH6">IF(AND(B8&gt;0.001,F8&gt;0.001),(B8-F8)^2,0)</f>
        <v>0</v>
      </c>
      <c r="BI6" s="31">
        <f t="array" ref="BI6">IF(AND(C8&gt;0.001,G8&gt;0.001),(C8-G8)^2,0)</f>
        <v>0</v>
      </c>
      <c r="BJ6" s="31">
        <f t="array" ref="BJ6">IF(AND(D8&gt;0.001,H8&gt;0.001),(D8-H8)^2,0)</f>
        <v>64</v>
      </c>
      <c r="BK6" s="31">
        <f t="array" ref="BK6">IF(AND(E8&gt;0.001,I8&gt;0.001),(E8-I8)^2,0)</f>
        <v>0</v>
      </c>
      <c r="BL6" s="31">
        <f t="array" ref="BL6">IF(AND(F8&gt;0.001,J8&gt;0.001),(F8-J8)^2,0)</f>
        <v>0</v>
      </c>
      <c r="BM6" s="31">
        <f t="array" ref="BM6">IF(OR(AND(AND(A8&gt;0,E8&gt;0),A8=E8),BG6&gt;0),1,0)</f>
        <v>0</v>
      </c>
      <c r="BN6" s="31">
        <f t="array" ref="BN6">IF(OR(AND(AND(B8&gt;0,F8&gt;0),B8=F8),BH6&gt;0),1,0)</f>
        <v>0</v>
      </c>
      <c r="BO6" s="31">
        <f t="array" ref="BO6">IF(OR(AND(AND(C8&gt;0,G8&gt;0),C8=G8),BI6&gt;0),1,0)</f>
        <v>0</v>
      </c>
      <c r="BP6" s="31">
        <f t="array" ref="BP6">IF(OR(AND(AND(D8&gt;0,H8&gt;0),D8=H8),BJ6&gt;0),1,0)</f>
        <v>1</v>
      </c>
      <c r="BQ6" s="31">
        <f t="array" ref="BQ6">IF(OR(AND(AND(E8&gt;0,I8&gt;0),E8=I8),BK6&gt;0),1,0)</f>
        <v>0</v>
      </c>
      <c r="BR6" s="31">
        <f t="array" ref="BR6">IF(OR(AND(AND(F8&gt;0,J8&gt;0),F8=J8),BL6&gt;0),1,0)</f>
        <v>0</v>
      </c>
    </row>
    <row r="7" spans="1:90" x14ac:dyDescent="0.25">
      <c r="C7" s="31">
        <v>40</v>
      </c>
      <c r="F7" s="31">
        <v>33</v>
      </c>
      <c r="K7" s="31">
        <f t="array" ref="K7">IF(AND(A9&gt;0.001,B9&gt;0.001),(A9-B9)^2,0)</f>
        <v>0</v>
      </c>
      <c r="L7" s="31">
        <f t="array" ref="L7">IF(AND(B9&gt;0.001,C9&gt;0.001),(B9-C9)^2,0)</f>
        <v>0</v>
      </c>
      <c r="M7" s="31">
        <f t="array" ref="M7">IF(AND(C9&gt;0.001,D9&gt;0.001),(C9-D9)^2,0)</f>
        <v>0</v>
      </c>
      <c r="N7" s="31">
        <f t="array" ref="N7">IF(AND(D9&gt;0.001,E9&gt;0.001),(D9-E9)^2,0)</f>
        <v>0</v>
      </c>
      <c r="O7" s="31">
        <f t="array" ref="O7">IF(AND(E9&gt;0.001,F9&gt;0.001),(E9-F9)^2,0)</f>
        <v>0</v>
      </c>
      <c r="P7" s="31">
        <f t="array" ref="P7">IF(AND(F9&gt;0.001,G9&gt;0.001),(F9-G9)^2,0)</f>
        <v>0</v>
      </c>
      <c r="Q7" s="31">
        <f t="array" ref="Q7">IF(AND(G9&gt;0.001,H9&gt;0.001),(G9-H9)^2,0)</f>
        <v>0</v>
      </c>
      <c r="R7" s="31">
        <f t="array" ref="R7">IF(AND(H9&gt;0.001,I9&gt;0.001),(H9-I9)^2,0)</f>
        <v>0</v>
      </c>
      <c r="S7" s="31">
        <f t="array" ref="S7">IF(AND(I9&gt;0.001,J9&gt;0.001),(I9-J9)^2,0)</f>
        <v>0</v>
      </c>
      <c r="T7" s="31">
        <f t="array" ref="T7">IF(OR(AND(AND(A9&gt;0,B9&gt;0),A9=B9),K7&gt;0),1,0)</f>
        <v>0</v>
      </c>
      <c r="U7" s="31">
        <f t="array" ref="U7">IF(OR(AND(AND(B9&gt;0,C9&gt;0),B9=C9),L7&gt;0),1,0)</f>
        <v>0</v>
      </c>
      <c r="V7" s="31">
        <f t="array" ref="V7">IF(OR(AND(AND(C9&gt;0,D9&gt;0),C9=D9),M7&gt;0),1,0)</f>
        <v>0</v>
      </c>
      <c r="W7" s="31">
        <f t="array" ref="W7">IF(OR(AND(AND(D9&gt;0,E9&gt;0),D9=E9),N7&gt;0),1,0)</f>
        <v>0</v>
      </c>
      <c r="X7" s="31">
        <f t="array" ref="X7">IF(OR(AND(AND(E9&gt;0,F9&gt;0),E9=F9),O7&gt;0),1,0)</f>
        <v>0</v>
      </c>
      <c r="Y7" s="31">
        <f t="array" ref="Y7">IF(OR(AND(AND(F9&gt;0,G9&gt;0),F9=G9),P7&gt;0),1,0)</f>
        <v>0</v>
      </c>
      <c r="Z7" s="31">
        <f t="array" ref="Z7">IF(OR(AND(AND(G9&gt;0,H9&gt;0),G9=H9),Q7&gt;0),1,0)</f>
        <v>0</v>
      </c>
      <c r="AA7" s="31">
        <f t="array" ref="AA7">IF(OR(AND(AND(H9&gt;0,I9&gt;0),H9=I9),R7&gt;0),1,0)</f>
        <v>0</v>
      </c>
      <c r="AB7" s="31">
        <f t="array" ref="AB7">IF(OR(AND(AND(I9&gt;0,J9&gt;0),I9=J9),S7&gt;0),1,0)</f>
        <v>0</v>
      </c>
      <c r="AC7" s="31">
        <f t="array" ref="AC7">IF(AND(A9&gt;0.001,C9&gt;0.001),(A9-C9)^2,0)</f>
        <v>0</v>
      </c>
      <c r="AD7" s="31">
        <f t="array" ref="AD7">IF(AND(B9&gt;0.001,D9&gt;0.001),(B9-D9)^2,0)</f>
        <v>0</v>
      </c>
      <c r="AE7" s="31">
        <f t="array" ref="AE7">IF(AND(C9&gt;0.001,E9&gt;0.001),(C9-E9)^2,0)</f>
        <v>0</v>
      </c>
      <c r="AF7" s="31">
        <f t="array" ref="AF7">IF(AND(D9&gt;0.001,F9&gt;0.001),(D9-F9)^2,0)</f>
        <v>0</v>
      </c>
      <c r="AG7" s="31">
        <f t="array" ref="AG7">IF(AND(E9&gt;0.001,G9&gt;0.001),(E9-G9)^2,0)</f>
        <v>0</v>
      </c>
      <c r="AH7" s="31">
        <f t="array" ref="AH7">IF(AND(F9&gt;0.001,H9&gt;0.001),(F9-H9)^2,0)</f>
        <v>0</v>
      </c>
      <c r="AI7" s="31">
        <f t="array" ref="AI7">IF(AND(G9&gt;0.001,I9&gt;0.001),(G9-I9)^2,0)</f>
        <v>0</v>
      </c>
      <c r="AJ7" s="31">
        <f t="array" ref="AJ7">IF(AND(H9&gt;0.001,J9&gt;0.001),(H9-J9)^2,0)</f>
        <v>4</v>
      </c>
      <c r="AK7" s="31">
        <f t="array" ref="AK7">IF(OR(AND(AND(A9&gt;0,C9&gt;0),A9=C9),AC7&gt;0),1,0)</f>
        <v>0</v>
      </c>
      <c r="AL7" s="31">
        <f t="array" ref="AL7">IF(OR(AND(AND(B9&gt;0,D9&gt;0),B9=D9),AD7&gt;0),1,0)</f>
        <v>0</v>
      </c>
      <c r="AM7" s="31">
        <f t="array" ref="AM7">IF(OR(AND(AND(C9&gt;0,E9&gt;0),C9=E9),AE7&gt;0),1,0)</f>
        <v>0</v>
      </c>
      <c r="AN7" s="31">
        <f t="array" ref="AN7">IF(OR(AND(AND(D9&gt;0,F9&gt;0),D9=F9),AF7&gt;0),1,0)</f>
        <v>0</v>
      </c>
      <c r="AO7" s="31">
        <f t="array" ref="AO7">IF(OR(AND(AND(E9&gt;0,G9&gt;0),E9=G9),AG7&gt;0),1,0)</f>
        <v>0</v>
      </c>
      <c r="AP7" s="31">
        <f t="array" ref="AP7">IF(OR(AND(AND(F9&gt;0,H9&gt;0),F9=H9),AH7&gt;0),1,0)</f>
        <v>0</v>
      </c>
      <c r="AQ7" s="31">
        <f t="array" ref="AQ7">IF(OR(AND(AND(G9&gt;0,I9&gt;0),G9=I9),AI7&gt;0),1,0)</f>
        <v>0</v>
      </c>
      <c r="AR7" s="31">
        <f t="array" ref="AR7">IF(OR(AND(AND(H9&gt;0,J9&gt;0),H9=J9),AJ7&gt;0),1,0)</f>
        <v>1</v>
      </c>
      <c r="AS7" s="31">
        <f t="array" ref="AS7">IF(AND(A9&gt;0.001,D9&gt;0.001),(A9-D9)^2,0)</f>
        <v>0</v>
      </c>
      <c r="AT7" s="31">
        <f t="array" ref="AT7">IF(AND(B9&gt;0.001,E9&gt;0.001),(B9-E9)^2,0)</f>
        <v>0</v>
      </c>
      <c r="AU7" s="31">
        <f t="array" ref="AU7">IF(AND(C9&gt;0.001,F9&gt;0.001),(C9-F9)^2,0)</f>
        <v>0</v>
      </c>
      <c r="AV7" s="31">
        <f t="array" ref="AV7">IF(AND(D9&gt;0.001,G9&gt;0.001),(D9-G9)^2,0)</f>
        <v>0</v>
      </c>
      <c r="AW7" s="31">
        <f t="array" ref="AW7">IF(AND(E9&gt;0.001,H9&gt;0.001),(E9-H9)^2,0)</f>
        <v>0</v>
      </c>
      <c r="AX7" s="31">
        <f t="array" ref="AX7">IF(AND(F9&gt;0.001,I9&gt;0.001),(F9-I9)^2,0)</f>
        <v>0</v>
      </c>
      <c r="AY7" s="31">
        <f t="array" ref="AY7">IF(AND(G9&gt;0.001,J9&gt;0.001),(G9-J9)^2,0)</f>
        <v>0</v>
      </c>
      <c r="AZ7" s="31">
        <f t="array" ref="AZ7">IF(OR(AND(AND(A9&gt;0,D9&gt;0),A9=D9),AS7&gt;0),1,0)</f>
        <v>0</v>
      </c>
      <c r="BA7" s="31">
        <f t="array" ref="BA7">IF(OR(AND(AND(B9&gt;0,E9&gt;0),B9=E9),AT7&gt;0),1,0)</f>
        <v>0</v>
      </c>
      <c r="BB7" s="31">
        <f t="array" ref="BB7">IF(OR(AND(AND(C9&gt;0,F9&gt;0),C9=F9),AU7&gt;0),1,0)</f>
        <v>0</v>
      </c>
      <c r="BC7" s="31">
        <f t="array" ref="BC7">IF(OR(AND(AND(D9&gt;0,G9&gt;0),D9=G9),AV7&gt;0),1,0)</f>
        <v>0</v>
      </c>
      <c r="BD7" s="31">
        <f t="array" ref="BD7">IF(OR(AND(AND(E9&gt;0,H9&gt;0),E9=H9),AW7&gt;0),1,0)</f>
        <v>0</v>
      </c>
      <c r="BE7" s="31">
        <f t="array" ref="BE7">IF(OR(AND(AND(F9&gt;0,I9&gt;0),F9=I9),AX7&gt;0),1,0)</f>
        <v>0</v>
      </c>
      <c r="BF7" s="31">
        <f t="array" ref="BF7">IF(OR(AND(AND(G9&gt;0,J9&gt;0),G9=J9),AY7&gt;0),1,0)</f>
        <v>0</v>
      </c>
      <c r="BG7" s="31">
        <f t="array" ref="BG7">IF(AND(A9&gt;0.001,E9&gt;0.001),(A9-E9)^2,0)</f>
        <v>0</v>
      </c>
      <c r="BH7" s="31">
        <f t="array" ref="BH7">IF(AND(B9&gt;0.001,F9&gt;0.001),(B9-F9)^2,0)</f>
        <v>0</v>
      </c>
      <c r="BI7" s="31">
        <f t="array" ref="BI7">IF(AND(C9&gt;0.001,G9&gt;0.001),(C9-G9)^2,0)</f>
        <v>0</v>
      </c>
      <c r="BJ7" s="31">
        <f t="array" ref="BJ7">IF(AND(D9&gt;0.001,H9&gt;0.001),(D9-H9)^2,0)</f>
        <v>0</v>
      </c>
      <c r="BK7" s="31">
        <f t="array" ref="BK7">IF(AND(E9&gt;0.001,I9&gt;0.001),(E9-I9)^2,0)</f>
        <v>0</v>
      </c>
      <c r="BL7" s="31">
        <f t="array" ref="BL7">IF(AND(F9&gt;0.001,J9&gt;0.001),(F9-J9)^2,0)</f>
        <v>0</v>
      </c>
      <c r="BM7" s="31">
        <f t="array" ref="BM7">IF(OR(AND(AND(A9&gt;0,E9&gt;0),A9=E9),BG7&gt;0),1,0)</f>
        <v>0</v>
      </c>
      <c r="BN7" s="31">
        <f t="array" ref="BN7">IF(OR(AND(AND(B9&gt;0,F9&gt;0),B9=F9),BH7&gt;0),1,0)</f>
        <v>0</v>
      </c>
      <c r="BO7" s="31">
        <f t="array" ref="BO7">IF(OR(AND(AND(C9&gt;0,G9&gt;0),C9=G9),BI7&gt;0),1,0)</f>
        <v>0</v>
      </c>
      <c r="BP7" s="31">
        <f t="array" ref="BP7">IF(OR(AND(AND(D9&gt;0,H9&gt;0),D9=H9),BJ7&gt;0),1,0)</f>
        <v>0</v>
      </c>
      <c r="BQ7" s="31">
        <f t="array" ref="BQ7">IF(OR(AND(AND(E9&gt;0,I9&gt;0),E9=I9),BK7&gt;0),1,0)</f>
        <v>0</v>
      </c>
      <c r="BR7" s="31">
        <f t="array" ref="BR7">IF(OR(AND(AND(F9&gt;0,J9&gt;0),F9=J9),BL7&gt;0),1,0)</f>
        <v>0</v>
      </c>
    </row>
    <row r="8" spans="1:90" x14ac:dyDescent="0.25">
      <c r="B8" s="31">
        <v>31</v>
      </c>
      <c r="D8" s="31">
        <v>34</v>
      </c>
      <c r="H8" s="31">
        <v>42</v>
      </c>
      <c r="I8" s="31">
        <v>33</v>
      </c>
      <c r="K8" s="31">
        <f t="array" ref="K8">IF(AND(A10&gt;0.001,B10&gt;0.001),(A10-B10)^2,0)</f>
        <v>0</v>
      </c>
      <c r="L8" s="31">
        <f t="array" ref="L8">IF(AND(B10&gt;0.001,C10&gt;0.001),(B10-C10)^2,0)</f>
        <v>0</v>
      </c>
      <c r="M8" s="31">
        <f t="array" ref="M8">IF(AND(C10&gt;0.001,D10&gt;0.001),(C10-D10)^2,0)</f>
        <v>0</v>
      </c>
      <c r="N8" s="31">
        <f t="array" ref="N8">IF(AND(D10&gt;0.001,E10&gt;0.001),(D10-E10)^2,0)</f>
        <v>0</v>
      </c>
      <c r="O8" s="31">
        <f t="array" ref="O8">IF(AND(E10&gt;0.001,F10&gt;0.001),(E10-F10)^2,0)</f>
        <v>0</v>
      </c>
      <c r="P8" s="31">
        <f t="array" ref="P8">IF(AND(F10&gt;0.001,G10&gt;0.001),(F10-G10)^2,0)</f>
        <v>0</v>
      </c>
      <c r="Q8" s="31">
        <f t="array" ref="Q8">IF(AND(G10&gt;0.001,H10&gt;0.001),(G10-H10)^2,0)</f>
        <v>0</v>
      </c>
      <c r="R8" s="31">
        <f t="array" ref="R8">IF(AND(H10&gt;0.001,I10&gt;0.001),(H10-I10)^2,0)</f>
        <v>0</v>
      </c>
      <c r="S8" s="31">
        <f t="array" ref="S8">IF(AND(I10&gt;0.001,J10&gt;0.001),(I10-J10)^2,0)</f>
        <v>0</v>
      </c>
      <c r="T8" s="31">
        <f t="array" ref="T8">IF(OR(AND(AND(A10&gt;0,B10&gt;0),A10=B10),K8&gt;0),1,0)</f>
        <v>0</v>
      </c>
      <c r="U8" s="31">
        <f t="array" ref="U8">IF(OR(AND(AND(B10&gt;0,C10&gt;0),B10=C10),L8&gt;0),1,0)</f>
        <v>0</v>
      </c>
      <c r="V8" s="31">
        <f t="array" ref="V8">IF(OR(AND(AND(C10&gt;0,D10&gt;0),C10=D10),M8&gt;0),1,0)</f>
        <v>0</v>
      </c>
      <c r="W8" s="31">
        <f t="array" ref="W8">IF(OR(AND(AND(D10&gt;0,E10&gt;0),D10=E10),N8&gt;0),1,0)</f>
        <v>0</v>
      </c>
      <c r="X8" s="31">
        <f t="array" ref="X8">IF(OR(AND(AND(E10&gt;0,F10&gt;0),E10=F10),O8&gt;0),1,0)</f>
        <v>0</v>
      </c>
      <c r="Y8" s="31">
        <f t="array" ref="Y8">IF(OR(AND(AND(F10&gt;0,G10&gt;0),F10=G10),P8&gt;0),1,0)</f>
        <v>0</v>
      </c>
      <c r="Z8" s="31">
        <f t="array" ref="Z8">IF(OR(AND(AND(G10&gt;0,H10&gt;0),G10=H10),Q8&gt;0),1,0)</f>
        <v>0</v>
      </c>
      <c r="AA8" s="31">
        <f t="array" ref="AA8">IF(OR(AND(AND(H10&gt;0,I10&gt;0),H10=I10),R8&gt;0),1,0)</f>
        <v>0</v>
      </c>
      <c r="AB8" s="31">
        <f t="array" ref="AB8">IF(OR(AND(AND(I10&gt;0,J10&gt;0),I10=J10),S8&gt;0),1,0)</f>
        <v>0</v>
      </c>
      <c r="AC8" s="31">
        <f t="array" ref="AC8">IF(AND(A10&gt;0.001,C10&gt;0.001),(A10-C10)^2,0)</f>
        <v>25</v>
      </c>
      <c r="AD8" s="31">
        <f t="array" ref="AD8">IF(AND(B10&gt;0.001,D10&gt;0.001),(B10-D10)^2,0)</f>
        <v>0</v>
      </c>
      <c r="AE8" s="31">
        <f t="array" ref="AE8">IF(AND(C10&gt;0.001,E10&gt;0.001),(C10-E10)^2,0)</f>
        <v>81</v>
      </c>
      <c r="AF8" s="31">
        <f t="array" ref="AF8">IF(AND(D10&gt;0.001,F10&gt;0.001),(D10-F10)^2,0)</f>
        <v>0</v>
      </c>
      <c r="AG8" s="31">
        <f t="array" ref="AG8">IF(AND(E10&gt;0.001,G10&gt;0.001),(E10-G10)^2,0)</f>
        <v>0</v>
      </c>
      <c r="AH8" s="31">
        <f t="array" ref="AH8">IF(AND(F10&gt;0.001,H10&gt;0.001),(F10-H10)^2,0)</f>
        <v>0</v>
      </c>
      <c r="AI8" s="31">
        <f t="array" ref="AI8">IF(AND(G10&gt;0.001,I10&gt;0.001),(G10-I10)^2,0)</f>
        <v>0</v>
      </c>
      <c r="AJ8" s="31">
        <f t="array" ref="AJ8">IF(AND(H10&gt;0.001,J10&gt;0.001),(H10-J10)^2,0)</f>
        <v>0</v>
      </c>
      <c r="AK8" s="31">
        <f t="array" ref="AK8">IF(OR(AND(AND(A10&gt;0,C10&gt;0),A10=C10),AC8&gt;0),1,0)</f>
        <v>1</v>
      </c>
      <c r="AL8" s="31">
        <f t="array" ref="AL8">IF(OR(AND(AND(B10&gt;0,D10&gt;0),B10=D10),AD8&gt;0),1,0)</f>
        <v>0</v>
      </c>
      <c r="AM8" s="31">
        <f t="array" ref="AM8">IF(OR(AND(AND(C10&gt;0,E10&gt;0),C10=E10),AE8&gt;0),1,0)</f>
        <v>1</v>
      </c>
      <c r="AN8" s="31">
        <f t="array" ref="AN8">IF(OR(AND(AND(D10&gt;0,F10&gt;0),D10=F10),AF8&gt;0),1,0)</f>
        <v>0</v>
      </c>
      <c r="AO8" s="31">
        <f t="array" ref="AO8">IF(OR(AND(AND(E10&gt;0,G10&gt;0),E10=G10),AG8&gt;0),1,0)</f>
        <v>0</v>
      </c>
      <c r="AP8" s="31">
        <f t="array" ref="AP8">IF(OR(AND(AND(F10&gt;0,H10&gt;0),F10=H10),AH8&gt;0),1,0)</f>
        <v>0</v>
      </c>
      <c r="AQ8" s="31">
        <f t="array" ref="AQ8">IF(OR(AND(AND(G10&gt;0,I10&gt;0),G10=I10),AI8&gt;0),1,0)</f>
        <v>0</v>
      </c>
      <c r="AR8" s="31">
        <f t="array" ref="AR8">IF(OR(AND(AND(H10&gt;0,J10&gt;0),H10=J10),AJ8&gt;0),1,0)</f>
        <v>0</v>
      </c>
      <c r="AS8" s="31">
        <f t="array" ref="AS8">IF(AND(A10&gt;0.001,D10&gt;0.001),(A10-D10)^2,0)</f>
        <v>0</v>
      </c>
      <c r="AT8" s="31">
        <f t="array" ref="AT8">IF(AND(B10&gt;0.001,E10&gt;0.001),(B10-E10)^2,0)</f>
        <v>0</v>
      </c>
      <c r="AU8" s="31">
        <f t="array" ref="AU8">IF(AND(C10&gt;0.001,F10&gt;0.001),(C10-F10)^2,0)</f>
        <v>0</v>
      </c>
      <c r="AV8" s="31">
        <f t="array" ref="AV8">IF(AND(D10&gt;0.001,G10&gt;0.001),(D10-G10)^2,0)</f>
        <v>0</v>
      </c>
      <c r="AW8" s="31">
        <f t="array" ref="AW8">IF(AND(E10&gt;0.001,H10&gt;0.001),(E10-H10)^2,0)</f>
        <v>0</v>
      </c>
      <c r="AX8" s="31">
        <f t="array" ref="AX8">IF(AND(F10&gt;0.001,I10&gt;0.001),(F10-I10)^2,0)</f>
        <v>0</v>
      </c>
      <c r="AY8" s="31">
        <f t="array" ref="AY8">IF(AND(G10&gt;0.001,J10&gt;0.001),(G10-J10)^2,0)</f>
        <v>0</v>
      </c>
      <c r="AZ8" s="31">
        <f t="array" ref="AZ8">IF(OR(AND(AND(A10&gt;0,D10&gt;0),A10=D10),AS8&gt;0),1,0)</f>
        <v>0</v>
      </c>
      <c r="BA8" s="31">
        <f t="array" ref="BA8">IF(OR(AND(AND(B10&gt;0,E10&gt;0),B10=E10),AT8&gt;0),1,0)</f>
        <v>0</v>
      </c>
      <c r="BB8" s="31">
        <f t="array" ref="BB8">IF(OR(AND(AND(C10&gt;0,F10&gt;0),C10=F10),AU8&gt;0),1,0)</f>
        <v>0</v>
      </c>
      <c r="BC8" s="31">
        <f t="array" ref="BC8">IF(OR(AND(AND(D10&gt;0,G10&gt;0),D10=G10),AV8&gt;0),1,0)</f>
        <v>0</v>
      </c>
      <c r="BD8" s="31">
        <f t="array" ref="BD8">IF(OR(AND(AND(E10&gt;0,H10&gt;0),E10=H10),AW8&gt;0),1,0)</f>
        <v>0</v>
      </c>
      <c r="BE8" s="31">
        <f t="array" ref="BE8">IF(OR(AND(AND(F10&gt;0,I10&gt;0),F10=I10),AX8&gt;0),1,0)</f>
        <v>0</v>
      </c>
      <c r="BF8" s="31">
        <f t="array" ref="BF8">IF(OR(AND(AND(G10&gt;0,J10&gt;0),G10=J10),AY8&gt;0),1,0)</f>
        <v>0</v>
      </c>
      <c r="BG8" s="31">
        <f t="array" ref="BG8">IF(AND(A10&gt;0.001,E10&gt;0.001),(A10-E10)^2,0)</f>
        <v>16</v>
      </c>
      <c r="BH8" s="31">
        <f t="array" ref="BH8">IF(AND(B10&gt;0.001,F10&gt;0.001),(B10-F10)^2,0)</f>
        <v>0</v>
      </c>
      <c r="BI8" s="31">
        <f t="array" ref="BI8">IF(AND(C10&gt;0.001,G10&gt;0.001),(C10-G10)^2,0)</f>
        <v>0</v>
      </c>
      <c r="BJ8" s="31">
        <f t="array" ref="BJ8">IF(AND(D10&gt;0.001,H10&gt;0.001),(D10-H10)^2,0)</f>
        <v>0</v>
      </c>
      <c r="BK8" s="31">
        <f t="array" ref="BK8">IF(AND(E10&gt;0.001,I10&gt;0.001),(E10-I10)^2,0)</f>
        <v>0</v>
      </c>
      <c r="BL8" s="31">
        <f t="array" ref="BL8">IF(AND(F10&gt;0.001,J10&gt;0.001),(F10-J10)^2,0)</f>
        <v>0</v>
      </c>
      <c r="BM8" s="31">
        <f t="array" ref="BM8">IF(OR(AND(AND(A10&gt;0,E10&gt;0),A10=E10),BG8&gt;0),1,0)</f>
        <v>1</v>
      </c>
      <c r="BN8" s="31">
        <f t="array" ref="BN8">IF(OR(AND(AND(B10&gt;0,F10&gt;0),B10=F10),BH8&gt;0),1,0)</f>
        <v>0</v>
      </c>
      <c r="BO8" s="31">
        <f t="array" ref="BO8">IF(OR(AND(AND(C10&gt;0,G10&gt;0),C10=G10),BI8&gt;0),1,0)</f>
        <v>0</v>
      </c>
      <c r="BP8" s="31">
        <f t="array" ref="BP8">IF(OR(AND(AND(D10&gt;0,H10&gt;0),D10=H10),BJ8&gt;0),1,0)</f>
        <v>0</v>
      </c>
      <c r="BQ8" s="31">
        <f t="array" ref="BQ8">IF(OR(AND(AND(E10&gt;0,I10&gt;0),E10=I10),BK8&gt;0),1,0)</f>
        <v>0</v>
      </c>
      <c r="BR8" s="31">
        <f t="array" ref="BR8">IF(OR(AND(AND(F10&gt;0,J10&gt;0),F10=J10),BL8&gt;0),1,0)</f>
        <v>0</v>
      </c>
    </row>
    <row r="9" spans="1:90" x14ac:dyDescent="0.25">
      <c r="H9" s="31">
        <v>39</v>
      </c>
      <c r="J9" s="31">
        <v>37</v>
      </c>
      <c r="K9" s="31">
        <f t="shared" ref="K9:T15" si="0">IF(AND(A3&gt;0.001,A4&gt;0.001),(A3-A4)^2,0)</f>
        <v>9</v>
      </c>
      <c r="L9" s="31">
        <f t="shared" si="0"/>
        <v>0</v>
      </c>
      <c r="M9" s="31">
        <f t="shared" si="0"/>
        <v>0</v>
      </c>
      <c r="N9" s="31">
        <f t="shared" si="0"/>
        <v>0</v>
      </c>
      <c r="O9" s="31">
        <f t="shared" si="0"/>
        <v>0</v>
      </c>
      <c r="P9" s="31">
        <f t="shared" si="0"/>
        <v>16</v>
      </c>
      <c r="Q9" s="31">
        <f t="shared" si="0"/>
        <v>4</v>
      </c>
      <c r="R9" s="31">
        <f t="shared" si="0"/>
        <v>0</v>
      </c>
      <c r="S9" s="31">
        <f t="shared" si="0"/>
        <v>0</v>
      </c>
      <c r="T9" s="31">
        <f t="shared" si="0"/>
        <v>0</v>
      </c>
      <c r="U9" s="31">
        <f t="array" ref="U9">IF(OR(AND(AND(A3&gt;0,A4&gt;0),A3=A4),K9&gt;0),1,0)</f>
        <v>1</v>
      </c>
      <c r="V9" s="31">
        <f t="array" ref="V9">IF(OR(AND(AND(B3&gt;0,B4&gt;0),B3=B4),L9&gt;0),1,0)</f>
        <v>1</v>
      </c>
      <c r="W9" s="31">
        <f t="array" ref="W9">IF(OR(AND(AND(C3&gt;0,C4&gt;0),C3=C4),M9&gt;0),1,0)</f>
        <v>1</v>
      </c>
      <c r="X9" s="31">
        <f t="array" ref="X9">IF(OR(AND(AND(D3&gt;0,D4&gt;0),D3=D4),N9&gt;0),1,0)</f>
        <v>0</v>
      </c>
      <c r="Y9" s="31">
        <f t="array" ref="Y9">IF(OR(AND(AND(E3&gt;0,E4&gt;0),E3=E4),O9&gt;0),1,0)</f>
        <v>0</v>
      </c>
      <c r="Z9" s="31">
        <f t="array" ref="Z9">IF(OR(AND(AND(F3&gt;0,F4&gt;0),F3=F4),P9&gt;0),1,0)</f>
        <v>1</v>
      </c>
      <c r="AA9" s="31">
        <f t="array" ref="AA9">IF(OR(AND(AND(G3&gt;0,G4&gt;0),G3=G4),Q9&gt;0),1,0)</f>
        <v>1</v>
      </c>
      <c r="AB9" s="31">
        <f t="array" ref="AB9">IF(OR(AND(AND(H3&gt;0,H4&gt;0),H3=H4),R9&gt;0),1,0)</f>
        <v>0</v>
      </c>
      <c r="AC9" s="31">
        <f t="array" ref="AC9">IF(OR(AND(AND(I3&gt;0,I4&gt;0),I3=I4),S9&gt;0),1,0)</f>
        <v>0</v>
      </c>
      <c r="AD9" s="31">
        <f t="array" ref="AD9">IF(OR(AND(AND(J3&gt;0,J4&gt;0),J3=J4),T9&gt;0),1,0)</f>
        <v>1</v>
      </c>
      <c r="AE9" s="31">
        <f t="shared" ref="AE9:AN14" si="1">IF(AND(A3&gt;0.001,A5&gt;0.001),(A3-A5)^2,0)</f>
        <v>25</v>
      </c>
      <c r="AF9" s="31">
        <f t="shared" si="1"/>
        <v>0</v>
      </c>
      <c r="AG9" s="31">
        <f t="shared" si="1"/>
        <v>4</v>
      </c>
      <c r="AH9" s="31">
        <f t="shared" si="1"/>
        <v>4</v>
      </c>
      <c r="AI9" s="31">
        <f t="shared" si="1"/>
        <v>0</v>
      </c>
      <c r="AJ9" s="31">
        <f t="shared" si="1"/>
        <v>36</v>
      </c>
      <c r="AK9" s="31">
        <f t="shared" si="1"/>
        <v>25</v>
      </c>
      <c r="AL9" s="31">
        <f t="shared" si="1"/>
        <v>4</v>
      </c>
      <c r="AM9" s="31">
        <f t="shared" si="1"/>
        <v>4</v>
      </c>
      <c r="AN9" s="31">
        <f t="shared" si="1"/>
        <v>0</v>
      </c>
      <c r="AO9" s="31">
        <f t="shared" ref="AO9:AX14" si="2">IF(OR(AND(AND(A3&gt;0,A5&gt;0),A3=A5),AE9&gt;0),1,0)</f>
        <v>1</v>
      </c>
      <c r="AP9" s="31">
        <f t="shared" si="2"/>
        <v>1</v>
      </c>
      <c r="AQ9" s="31">
        <f t="shared" si="2"/>
        <v>1</v>
      </c>
      <c r="AR9" s="31">
        <f t="shared" si="2"/>
        <v>1</v>
      </c>
      <c r="AS9" s="31">
        <f t="shared" si="2"/>
        <v>0</v>
      </c>
      <c r="AT9" s="31">
        <f t="shared" si="2"/>
        <v>1</v>
      </c>
      <c r="AU9" s="31">
        <f t="shared" si="2"/>
        <v>1</v>
      </c>
      <c r="AV9" s="31">
        <f t="shared" si="2"/>
        <v>1</v>
      </c>
      <c r="AW9" s="31">
        <f t="shared" si="2"/>
        <v>1</v>
      </c>
      <c r="AX9" s="31">
        <f t="shared" si="2"/>
        <v>1</v>
      </c>
      <c r="AY9" s="31">
        <f t="shared" ref="AY9:BH13" si="3">IF(AND(A3&gt;0.001,A6&gt;0.001),(A3-A6)^2,0)</f>
        <v>25</v>
      </c>
      <c r="AZ9" s="31">
        <f t="shared" si="3"/>
        <v>16</v>
      </c>
      <c r="BA9" s="31">
        <f t="shared" si="3"/>
        <v>49</v>
      </c>
      <c r="BB9" s="31">
        <f t="shared" si="3"/>
        <v>0</v>
      </c>
      <c r="BC9" s="31">
        <f t="shared" si="3"/>
        <v>0</v>
      </c>
      <c r="BD9" s="31">
        <f t="shared" si="3"/>
        <v>25</v>
      </c>
      <c r="BE9" s="31">
        <f t="shared" si="3"/>
        <v>36</v>
      </c>
      <c r="BF9" s="31">
        <f t="shared" si="3"/>
        <v>0</v>
      </c>
      <c r="BG9" s="31">
        <f t="shared" si="3"/>
        <v>0</v>
      </c>
      <c r="BH9" s="31">
        <f t="shared" si="3"/>
        <v>4</v>
      </c>
      <c r="BI9" s="31">
        <f t="shared" ref="BI9:BR13" si="4">IF(OR(AND(AND(A3&gt;0,A6&gt;0),A3=A6),AY9&gt;0),1,0)</f>
        <v>1</v>
      </c>
      <c r="BJ9" s="31">
        <f t="shared" si="4"/>
        <v>1</v>
      </c>
      <c r="BK9" s="31">
        <f t="shared" si="4"/>
        <v>1</v>
      </c>
      <c r="BL9" s="31">
        <f t="shared" si="4"/>
        <v>0</v>
      </c>
      <c r="BM9" s="31">
        <f t="shared" si="4"/>
        <v>1</v>
      </c>
      <c r="BN9" s="31">
        <f t="shared" si="4"/>
        <v>1</v>
      </c>
      <c r="BO9" s="31">
        <f t="shared" si="4"/>
        <v>1</v>
      </c>
      <c r="BP9" s="31">
        <f t="shared" si="4"/>
        <v>0</v>
      </c>
      <c r="BQ9" s="31">
        <f t="shared" si="4"/>
        <v>0</v>
      </c>
      <c r="BR9" s="31">
        <f t="shared" si="4"/>
        <v>1</v>
      </c>
      <c r="BS9" s="31">
        <f t="shared" ref="BS9:CB12" si="5">IF(AND(A3&gt;0.001,A7&gt;0.001),(A3-A7)^2,0)</f>
        <v>0</v>
      </c>
      <c r="BT9" s="31">
        <f t="shared" si="5"/>
        <v>0</v>
      </c>
      <c r="BU9" s="31">
        <f t="shared" si="5"/>
        <v>25</v>
      </c>
      <c r="BV9" s="31">
        <f t="shared" si="5"/>
        <v>0</v>
      </c>
      <c r="BW9" s="31">
        <f t="shared" si="5"/>
        <v>0</v>
      </c>
      <c r="BX9" s="31">
        <f t="shared" si="5"/>
        <v>4</v>
      </c>
      <c r="BY9" s="31">
        <f t="shared" si="5"/>
        <v>0</v>
      </c>
      <c r="BZ9" s="31">
        <f t="shared" si="5"/>
        <v>0</v>
      </c>
      <c r="CA9" s="31">
        <f t="shared" si="5"/>
        <v>0</v>
      </c>
      <c r="CB9" s="31">
        <f t="shared" si="5"/>
        <v>0</v>
      </c>
      <c r="CC9" s="31">
        <f t="shared" ref="CC9:CL12" si="6">IF(OR(AND(AND(A3&gt;0,A7&gt;0),A3=A7),BS9&gt;0),1,0)</f>
        <v>0</v>
      </c>
      <c r="CD9" s="31">
        <f t="shared" si="6"/>
        <v>0</v>
      </c>
      <c r="CE9" s="31">
        <f t="shared" si="6"/>
        <v>1</v>
      </c>
      <c r="CF9" s="31">
        <f t="shared" si="6"/>
        <v>0</v>
      </c>
      <c r="CG9" s="31">
        <f t="shared" si="6"/>
        <v>0</v>
      </c>
      <c r="CH9" s="31">
        <f t="shared" si="6"/>
        <v>1</v>
      </c>
      <c r="CI9" s="31">
        <f t="shared" si="6"/>
        <v>0</v>
      </c>
      <c r="CJ9" s="31">
        <f t="shared" si="6"/>
        <v>0</v>
      </c>
      <c r="CK9" s="31">
        <f t="shared" si="6"/>
        <v>0</v>
      </c>
      <c r="CL9" s="31">
        <f t="shared" si="6"/>
        <v>0</v>
      </c>
    </row>
    <row r="10" spans="1:90" x14ac:dyDescent="0.25">
      <c r="A10" s="31">
        <v>34</v>
      </c>
      <c r="C10" s="31">
        <v>39</v>
      </c>
      <c r="E10" s="31">
        <v>30</v>
      </c>
      <c r="K10" s="31">
        <f t="shared" si="0"/>
        <v>4</v>
      </c>
      <c r="L10" s="31">
        <f t="shared" si="0"/>
        <v>0</v>
      </c>
      <c r="M10" s="31">
        <f t="shared" si="0"/>
        <v>4</v>
      </c>
      <c r="N10" s="31">
        <f t="shared" si="0"/>
        <v>0</v>
      </c>
      <c r="O10" s="31">
        <f t="shared" si="0"/>
        <v>0</v>
      </c>
      <c r="P10" s="31">
        <f t="shared" si="0"/>
        <v>4</v>
      </c>
      <c r="Q10" s="31">
        <f t="shared" si="0"/>
        <v>49</v>
      </c>
      <c r="R10" s="31">
        <f t="shared" si="0"/>
        <v>0</v>
      </c>
      <c r="S10" s="31">
        <f t="shared" si="0"/>
        <v>0</v>
      </c>
      <c r="T10" s="31">
        <f t="shared" si="0"/>
        <v>0</v>
      </c>
      <c r="U10" s="31">
        <f t="array" ref="U10">IF(OR(AND(AND(A4&gt;0,A5&gt;0),A4=A5),K10&gt;0),1,0)</f>
        <v>1</v>
      </c>
      <c r="V10" s="31">
        <f t="array" ref="V10">IF(OR(AND(AND(B4&gt;0,B5&gt;0),B4=B5),L10&gt;0),1,0)</f>
        <v>1</v>
      </c>
      <c r="W10" s="31">
        <f t="array" ref="W10">IF(OR(AND(AND(C4&gt;0,C5&gt;0),C4=C5),M10&gt;0),1,0)</f>
        <v>1</v>
      </c>
      <c r="X10" s="31">
        <f t="array" ref="X10">IF(OR(AND(AND(D4&gt;0,D5&gt;0),D4=D5),N10&gt;0),1,0)</f>
        <v>0</v>
      </c>
      <c r="Y10" s="31">
        <f t="array" ref="Y10">IF(OR(AND(AND(E4&gt;0,E5&gt;0),E4=E5),O10&gt;0),1,0)</f>
        <v>0</v>
      </c>
      <c r="Z10" s="31">
        <f t="array" ref="Z10">IF(OR(AND(AND(F4&gt;0,F5&gt;0),F4=F5),P10&gt;0),1,0)</f>
        <v>1</v>
      </c>
      <c r="AA10" s="31">
        <f t="array" ref="AA10">IF(OR(AND(AND(G4&gt;0,G5&gt;0),G4=G5),Q10&gt;0),1,0)</f>
        <v>1</v>
      </c>
      <c r="AB10" s="31">
        <f t="array" ref="AB10">IF(OR(AND(AND(H4&gt;0,H5&gt;0),H4=H5),R10&gt;0),1,0)</f>
        <v>0</v>
      </c>
      <c r="AC10" s="31">
        <f t="array" ref="AC10">IF(OR(AND(AND(I4&gt;0,I5&gt;0),I4=I5),S10&gt;0),1,0)</f>
        <v>0</v>
      </c>
      <c r="AD10" s="31">
        <f t="array" ref="AD10">IF(OR(AND(AND(J4&gt;0,J5&gt;0),J4=J5),T10&gt;0),1,0)</f>
        <v>1</v>
      </c>
      <c r="AE10" s="31">
        <f t="shared" si="1"/>
        <v>4</v>
      </c>
      <c r="AF10" s="31">
        <f t="shared" si="1"/>
        <v>16</v>
      </c>
      <c r="AG10" s="31">
        <f t="shared" si="1"/>
        <v>49</v>
      </c>
      <c r="AH10" s="31">
        <f t="shared" si="1"/>
        <v>0</v>
      </c>
      <c r="AI10" s="31">
        <f t="shared" si="1"/>
        <v>0</v>
      </c>
      <c r="AJ10" s="31">
        <f t="shared" si="1"/>
        <v>1</v>
      </c>
      <c r="AK10" s="31">
        <f t="shared" si="1"/>
        <v>64</v>
      </c>
      <c r="AL10" s="31">
        <f t="shared" si="1"/>
        <v>0</v>
      </c>
      <c r="AM10" s="31">
        <f t="shared" si="1"/>
        <v>0</v>
      </c>
      <c r="AN10" s="31">
        <f t="shared" si="1"/>
        <v>4</v>
      </c>
      <c r="AO10" s="31">
        <f t="shared" si="2"/>
        <v>1</v>
      </c>
      <c r="AP10" s="31">
        <f t="shared" si="2"/>
        <v>1</v>
      </c>
      <c r="AQ10" s="31">
        <f t="shared" si="2"/>
        <v>1</v>
      </c>
      <c r="AR10" s="31">
        <f t="shared" si="2"/>
        <v>0</v>
      </c>
      <c r="AS10" s="31">
        <f t="shared" si="2"/>
        <v>0</v>
      </c>
      <c r="AT10" s="31">
        <f t="shared" si="2"/>
        <v>1</v>
      </c>
      <c r="AU10" s="31">
        <f t="shared" si="2"/>
        <v>1</v>
      </c>
      <c r="AV10" s="31">
        <f t="shared" si="2"/>
        <v>0</v>
      </c>
      <c r="AW10" s="31">
        <f t="shared" si="2"/>
        <v>0</v>
      </c>
      <c r="AX10" s="31">
        <f t="shared" si="2"/>
        <v>1</v>
      </c>
      <c r="AY10" s="31">
        <f t="shared" si="3"/>
        <v>0</v>
      </c>
      <c r="AZ10" s="31">
        <f t="shared" si="3"/>
        <v>0</v>
      </c>
      <c r="BA10" s="31">
        <f t="shared" si="3"/>
        <v>25</v>
      </c>
      <c r="BB10" s="31">
        <f t="shared" si="3"/>
        <v>0</v>
      </c>
      <c r="BC10" s="31">
        <f t="shared" si="3"/>
        <v>0</v>
      </c>
      <c r="BD10" s="31">
        <f t="shared" si="3"/>
        <v>4</v>
      </c>
      <c r="BE10" s="31">
        <f t="shared" si="3"/>
        <v>0</v>
      </c>
      <c r="BF10" s="31">
        <f t="shared" si="3"/>
        <v>0</v>
      </c>
      <c r="BG10" s="31">
        <f t="shared" si="3"/>
        <v>0</v>
      </c>
      <c r="BH10" s="31">
        <f t="shared" si="3"/>
        <v>0</v>
      </c>
      <c r="BI10" s="31">
        <f t="shared" si="4"/>
        <v>0</v>
      </c>
      <c r="BJ10" s="31">
        <f t="shared" si="4"/>
        <v>0</v>
      </c>
      <c r="BK10" s="31">
        <f t="shared" si="4"/>
        <v>1</v>
      </c>
      <c r="BL10" s="31">
        <f t="shared" si="4"/>
        <v>0</v>
      </c>
      <c r="BM10" s="31">
        <f t="shared" si="4"/>
        <v>0</v>
      </c>
      <c r="BN10" s="31">
        <f t="shared" si="4"/>
        <v>1</v>
      </c>
      <c r="BO10" s="31">
        <f t="shared" si="4"/>
        <v>0</v>
      </c>
      <c r="BP10" s="31">
        <f t="shared" si="4"/>
        <v>0</v>
      </c>
      <c r="BQ10" s="31">
        <f t="shared" si="4"/>
        <v>0</v>
      </c>
      <c r="BR10" s="31">
        <f t="shared" si="4"/>
        <v>0</v>
      </c>
      <c r="BS10" s="31">
        <f t="shared" si="5"/>
        <v>0</v>
      </c>
      <c r="BT10" s="31">
        <f t="shared" si="5"/>
        <v>16</v>
      </c>
      <c r="BU10" s="31">
        <f t="shared" si="5"/>
        <v>0</v>
      </c>
      <c r="BV10" s="31">
        <f t="shared" si="5"/>
        <v>0</v>
      </c>
      <c r="BW10" s="31">
        <f t="shared" si="5"/>
        <v>0</v>
      </c>
      <c r="BX10" s="31">
        <f t="shared" si="5"/>
        <v>0</v>
      </c>
      <c r="BY10" s="31">
        <f t="shared" si="5"/>
        <v>0</v>
      </c>
      <c r="BZ10" s="31">
        <f t="shared" si="5"/>
        <v>0</v>
      </c>
      <c r="CA10" s="31">
        <f t="shared" si="5"/>
        <v>0</v>
      </c>
      <c r="CB10" s="31">
        <f t="shared" si="5"/>
        <v>0</v>
      </c>
      <c r="CC10" s="31">
        <f t="shared" si="6"/>
        <v>0</v>
      </c>
      <c r="CD10" s="31">
        <f t="shared" si="6"/>
        <v>1</v>
      </c>
      <c r="CE10" s="31">
        <f t="shared" si="6"/>
        <v>0</v>
      </c>
      <c r="CF10" s="31">
        <f t="shared" si="6"/>
        <v>0</v>
      </c>
      <c r="CG10" s="31">
        <f t="shared" si="6"/>
        <v>0</v>
      </c>
      <c r="CH10" s="31">
        <f t="shared" si="6"/>
        <v>0</v>
      </c>
      <c r="CI10" s="31">
        <f t="shared" si="6"/>
        <v>0</v>
      </c>
      <c r="CJ10" s="31">
        <f t="shared" si="6"/>
        <v>0</v>
      </c>
      <c r="CK10" s="31">
        <f t="shared" si="6"/>
        <v>0</v>
      </c>
      <c r="CL10" s="31">
        <f t="shared" si="6"/>
        <v>0</v>
      </c>
    </row>
    <row r="11" spans="1:90" x14ac:dyDescent="0.25">
      <c r="K11" s="31">
        <f t="shared" si="0"/>
        <v>0</v>
      </c>
      <c r="L11" s="31">
        <f t="shared" si="0"/>
        <v>16</v>
      </c>
      <c r="M11" s="31">
        <f t="shared" si="0"/>
        <v>25</v>
      </c>
      <c r="N11" s="31">
        <f t="shared" si="0"/>
        <v>0</v>
      </c>
      <c r="O11" s="31">
        <f t="shared" si="0"/>
        <v>0</v>
      </c>
      <c r="P11" s="31">
        <f t="shared" si="0"/>
        <v>1</v>
      </c>
      <c r="Q11" s="31">
        <f t="shared" si="0"/>
        <v>1</v>
      </c>
      <c r="R11" s="31">
        <f t="shared" si="0"/>
        <v>0</v>
      </c>
      <c r="S11" s="31">
        <f t="shared" si="0"/>
        <v>0</v>
      </c>
      <c r="T11" s="31">
        <f t="shared" si="0"/>
        <v>4</v>
      </c>
      <c r="U11" s="31">
        <f t="array" ref="U11">IF(OR(AND(AND(A5&gt;0,A6&gt;0),A5=A6),K11&gt;0),1,0)</f>
        <v>1</v>
      </c>
      <c r="V11" s="31">
        <f t="array" ref="V11">IF(OR(AND(AND(B5&gt;0,B6&gt;0),B5=B6),L11&gt;0),1,0)</f>
        <v>1</v>
      </c>
      <c r="W11" s="31">
        <f t="array" ref="W11">IF(OR(AND(AND(C5&gt;0,C6&gt;0),C5=C6),M11&gt;0),1,0)</f>
        <v>1</v>
      </c>
      <c r="X11" s="31">
        <f t="array" ref="X11">IF(OR(AND(AND(D5&gt;0,D6&gt;0),D5=D6),N11&gt;0),1,0)</f>
        <v>0</v>
      </c>
      <c r="Y11" s="31">
        <f t="array" ref="Y11">IF(OR(AND(AND(E5&gt;0,E6&gt;0),E5=E6),O11&gt;0),1,0)</f>
        <v>0</v>
      </c>
      <c r="Z11" s="31">
        <f t="array" ref="Z11">IF(OR(AND(AND(F5&gt;0,F6&gt;0),F5=F6),P11&gt;0),1,0)</f>
        <v>1</v>
      </c>
      <c r="AA11" s="31">
        <f t="array" ref="AA11">IF(OR(AND(AND(G5&gt;0,G6&gt;0),G5=G6),Q11&gt;0),1,0)</f>
        <v>1</v>
      </c>
      <c r="AB11" s="31">
        <f t="array" ref="AB11">IF(OR(AND(AND(H5&gt;0,H6&gt;0),H5=H6),R11&gt;0),1,0)</f>
        <v>0</v>
      </c>
      <c r="AC11" s="31">
        <f t="array" ref="AC11">IF(OR(AND(AND(I5&gt;0,I6&gt;0),I5=I6),S11&gt;0),1,0)</f>
        <v>0</v>
      </c>
      <c r="AD11" s="31">
        <f t="array" ref="AD11">IF(OR(AND(AND(J5&gt;0,J6&gt;0),J5=J6),T11&gt;0),1,0)</f>
        <v>1</v>
      </c>
      <c r="AE11" s="31">
        <f t="shared" si="1"/>
        <v>0</v>
      </c>
      <c r="AF11" s="31">
        <f t="shared" si="1"/>
        <v>0</v>
      </c>
      <c r="AG11" s="31">
        <f t="shared" si="1"/>
        <v>9</v>
      </c>
      <c r="AH11" s="31">
        <f t="shared" si="1"/>
        <v>0</v>
      </c>
      <c r="AI11" s="31">
        <f t="shared" si="1"/>
        <v>0</v>
      </c>
      <c r="AJ11" s="31">
        <f t="shared" si="1"/>
        <v>16</v>
      </c>
      <c r="AK11" s="31">
        <f t="shared" si="1"/>
        <v>0</v>
      </c>
      <c r="AL11" s="31">
        <f t="shared" si="1"/>
        <v>0</v>
      </c>
      <c r="AM11" s="31">
        <f t="shared" si="1"/>
        <v>0</v>
      </c>
      <c r="AN11" s="31">
        <f t="shared" si="1"/>
        <v>0</v>
      </c>
      <c r="AO11" s="31">
        <f t="shared" si="2"/>
        <v>0</v>
      </c>
      <c r="AP11" s="31">
        <f t="shared" si="2"/>
        <v>0</v>
      </c>
      <c r="AQ11" s="31">
        <f t="shared" si="2"/>
        <v>1</v>
      </c>
      <c r="AR11" s="31">
        <f t="shared" si="2"/>
        <v>0</v>
      </c>
      <c r="AS11" s="31">
        <f t="shared" si="2"/>
        <v>0</v>
      </c>
      <c r="AT11" s="31">
        <f t="shared" si="2"/>
        <v>1</v>
      </c>
      <c r="AU11" s="31">
        <f t="shared" si="2"/>
        <v>0</v>
      </c>
      <c r="AV11" s="31">
        <f t="shared" si="2"/>
        <v>0</v>
      </c>
      <c r="AW11" s="31">
        <f t="shared" si="2"/>
        <v>0</v>
      </c>
      <c r="AX11" s="31">
        <f t="shared" si="2"/>
        <v>0</v>
      </c>
      <c r="AY11" s="31">
        <f t="shared" si="3"/>
        <v>0</v>
      </c>
      <c r="AZ11" s="31">
        <f t="shared" si="3"/>
        <v>16</v>
      </c>
      <c r="BA11" s="31">
        <f t="shared" si="3"/>
        <v>0</v>
      </c>
      <c r="BB11" s="31">
        <f t="shared" si="3"/>
        <v>1</v>
      </c>
      <c r="BC11" s="31">
        <f t="shared" si="3"/>
        <v>0</v>
      </c>
      <c r="BD11" s="31">
        <f t="shared" si="3"/>
        <v>0</v>
      </c>
      <c r="BE11" s="31">
        <f t="shared" si="3"/>
        <v>0</v>
      </c>
      <c r="BF11" s="31">
        <f t="shared" si="3"/>
        <v>9</v>
      </c>
      <c r="BG11" s="31">
        <f t="shared" si="3"/>
        <v>36</v>
      </c>
      <c r="BH11" s="31">
        <f t="shared" si="3"/>
        <v>0</v>
      </c>
      <c r="BI11" s="31">
        <f t="shared" si="4"/>
        <v>0</v>
      </c>
      <c r="BJ11" s="31">
        <f t="shared" si="4"/>
        <v>1</v>
      </c>
      <c r="BK11" s="31">
        <f t="shared" si="4"/>
        <v>0</v>
      </c>
      <c r="BL11" s="31">
        <f t="shared" si="4"/>
        <v>1</v>
      </c>
      <c r="BM11" s="31">
        <f t="shared" si="4"/>
        <v>0</v>
      </c>
      <c r="BN11" s="31">
        <f t="shared" si="4"/>
        <v>0</v>
      </c>
      <c r="BO11" s="31">
        <f t="shared" si="4"/>
        <v>0</v>
      </c>
      <c r="BP11" s="31">
        <f t="shared" si="4"/>
        <v>1</v>
      </c>
      <c r="BQ11" s="31">
        <f t="shared" si="4"/>
        <v>1</v>
      </c>
      <c r="BR11" s="31">
        <f t="shared" si="4"/>
        <v>0</v>
      </c>
      <c r="BS11" s="31">
        <f t="shared" si="5"/>
        <v>0</v>
      </c>
      <c r="BT11" s="31">
        <f t="shared" si="5"/>
        <v>0</v>
      </c>
      <c r="BU11" s="31">
        <f t="shared" si="5"/>
        <v>0</v>
      </c>
      <c r="BV11" s="31">
        <f t="shared" si="5"/>
        <v>0</v>
      </c>
      <c r="BW11" s="31">
        <f t="shared" si="5"/>
        <v>0</v>
      </c>
      <c r="BX11" s="31">
        <f t="shared" si="5"/>
        <v>0</v>
      </c>
      <c r="BY11" s="31">
        <f t="shared" si="5"/>
        <v>0</v>
      </c>
      <c r="BZ11" s="31">
        <f t="shared" si="5"/>
        <v>0</v>
      </c>
      <c r="CA11" s="31">
        <f t="shared" si="5"/>
        <v>0</v>
      </c>
      <c r="CB11" s="31">
        <f t="shared" si="5"/>
        <v>16</v>
      </c>
      <c r="CC11" s="31">
        <f t="shared" si="6"/>
        <v>0</v>
      </c>
      <c r="CD11" s="31">
        <f t="shared" si="6"/>
        <v>0</v>
      </c>
      <c r="CE11" s="31">
        <f t="shared" si="6"/>
        <v>0</v>
      </c>
      <c r="CF11" s="31">
        <f t="shared" si="6"/>
        <v>0</v>
      </c>
      <c r="CG11" s="31">
        <f t="shared" si="6"/>
        <v>0</v>
      </c>
      <c r="CH11" s="31">
        <f t="shared" si="6"/>
        <v>0</v>
      </c>
      <c r="CI11" s="31">
        <f t="shared" si="6"/>
        <v>0</v>
      </c>
      <c r="CJ11" s="31">
        <f t="shared" si="6"/>
        <v>1</v>
      </c>
      <c r="CK11" s="31">
        <f t="shared" si="6"/>
        <v>0</v>
      </c>
      <c r="CL11" s="31">
        <f t="shared" si="6"/>
        <v>1</v>
      </c>
    </row>
    <row r="12" spans="1:90" x14ac:dyDescent="0.25">
      <c r="B12" s="43" t="s">
        <v>221</v>
      </c>
      <c r="C12" s="43" t="s">
        <v>222</v>
      </c>
      <c r="D12" s="43" t="s">
        <v>223</v>
      </c>
      <c r="E12" s="44" t="s">
        <v>214</v>
      </c>
      <c r="K12" s="31">
        <f t="shared" si="0"/>
        <v>0</v>
      </c>
      <c r="L12" s="31">
        <f t="shared" si="0"/>
        <v>0</v>
      </c>
      <c r="M12" s="31">
        <f t="shared" si="0"/>
        <v>4</v>
      </c>
      <c r="N12" s="31">
        <f t="shared" si="0"/>
        <v>0</v>
      </c>
      <c r="O12" s="31">
        <f t="shared" si="0"/>
        <v>0</v>
      </c>
      <c r="P12" s="31">
        <f t="shared" si="0"/>
        <v>9</v>
      </c>
      <c r="Q12" s="31">
        <f t="shared" si="0"/>
        <v>0</v>
      </c>
      <c r="R12" s="31">
        <f t="shared" si="0"/>
        <v>0</v>
      </c>
      <c r="S12" s="31">
        <f t="shared" si="0"/>
        <v>0</v>
      </c>
      <c r="T12" s="31">
        <f t="shared" si="0"/>
        <v>0</v>
      </c>
      <c r="U12" s="31">
        <f t="array" ref="U12">IF(OR(AND(AND(A6&gt;0,A7&gt;0),A6=A7),K12&gt;0),1,0)</f>
        <v>0</v>
      </c>
      <c r="V12" s="31">
        <f t="array" ref="V12">IF(OR(AND(AND(B6&gt;0,B7&gt;0),B6=B7),L12&gt;0),1,0)</f>
        <v>0</v>
      </c>
      <c r="W12" s="31">
        <f t="array" ref="W12">IF(OR(AND(AND(C6&gt;0,C7&gt;0),C6=C7),M12&gt;0),1,0)</f>
        <v>1</v>
      </c>
      <c r="X12" s="31">
        <f t="array" ref="X12">IF(OR(AND(AND(D6&gt;0,D7&gt;0),D6=D7),N12&gt;0),1,0)</f>
        <v>0</v>
      </c>
      <c r="Y12" s="31">
        <f t="array" ref="Y12">IF(OR(AND(AND(E6&gt;0,E7&gt;0),E6=E7),O12&gt;0),1,0)</f>
        <v>0</v>
      </c>
      <c r="Z12" s="31">
        <f t="array" ref="Z12">IF(OR(AND(AND(F6&gt;0,F7&gt;0),F6=F7),P12&gt;0),1,0)</f>
        <v>1</v>
      </c>
      <c r="AA12" s="31">
        <f t="array" ref="AA12">IF(OR(AND(AND(G6&gt;0,G7&gt;0),G6=G7),Q12&gt;0),1,0)</f>
        <v>0</v>
      </c>
      <c r="AB12" s="31">
        <f t="array" ref="AB12">IF(OR(AND(AND(H6&gt;0,H7&gt;0),H6=H7),R12&gt;0),1,0)</f>
        <v>0</v>
      </c>
      <c r="AC12" s="31">
        <f t="array" ref="AC12">IF(OR(AND(AND(I6&gt;0,I7&gt;0),I6=I7),S12&gt;0),1,0)</f>
        <v>0</v>
      </c>
      <c r="AD12" s="31">
        <f t="array" ref="AD12">IF(OR(AND(AND(J6&gt;0,J7&gt;0),J6=J7),T12&gt;0),1,0)</f>
        <v>0</v>
      </c>
      <c r="AE12" s="31">
        <f t="shared" si="1"/>
        <v>0</v>
      </c>
      <c r="AF12" s="31">
        <f t="shared" si="1"/>
        <v>64</v>
      </c>
      <c r="AG12" s="31">
        <f t="shared" si="1"/>
        <v>0</v>
      </c>
      <c r="AH12" s="31">
        <f t="shared" si="1"/>
        <v>0</v>
      </c>
      <c r="AI12" s="31">
        <f t="shared" si="1"/>
        <v>0</v>
      </c>
      <c r="AJ12" s="31">
        <f t="shared" si="1"/>
        <v>0</v>
      </c>
      <c r="AK12" s="31">
        <f t="shared" si="1"/>
        <v>0</v>
      </c>
      <c r="AL12" s="31">
        <f t="shared" si="1"/>
        <v>0</v>
      </c>
      <c r="AM12" s="31">
        <f t="shared" si="1"/>
        <v>0</v>
      </c>
      <c r="AN12" s="31">
        <f t="shared" si="1"/>
        <v>0</v>
      </c>
      <c r="AO12" s="31">
        <f t="shared" si="2"/>
        <v>0</v>
      </c>
      <c r="AP12" s="31">
        <f t="shared" si="2"/>
        <v>1</v>
      </c>
      <c r="AQ12" s="31">
        <f t="shared" si="2"/>
        <v>0</v>
      </c>
      <c r="AR12" s="31">
        <f t="shared" si="2"/>
        <v>0</v>
      </c>
      <c r="AS12" s="31">
        <f t="shared" si="2"/>
        <v>0</v>
      </c>
      <c r="AT12" s="31">
        <f t="shared" si="2"/>
        <v>0</v>
      </c>
      <c r="AU12" s="31">
        <f t="shared" si="2"/>
        <v>0</v>
      </c>
      <c r="AV12" s="31">
        <f t="shared" si="2"/>
        <v>0</v>
      </c>
      <c r="AW12" s="31">
        <f t="shared" si="2"/>
        <v>0</v>
      </c>
      <c r="AX12" s="31">
        <f t="shared" si="2"/>
        <v>0</v>
      </c>
      <c r="AY12" s="31">
        <f t="shared" si="3"/>
        <v>0</v>
      </c>
      <c r="AZ12" s="31">
        <f t="shared" si="3"/>
        <v>0</v>
      </c>
      <c r="BA12" s="31">
        <f t="shared" si="3"/>
        <v>0</v>
      </c>
      <c r="BB12" s="31">
        <f t="shared" si="3"/>
        <v>0</v>
      </c>
      <c r="BC12" s="31">
        <f t="shared" si="3"/>
        <v>0</v>
      </c>
      <c r="BD12" s="31">
        <f t="shared" si="3"/>
        <v>0</v>
      </c>
      <c r="BE12" s="31">
        <f t="shared" si="3"/>
        <v>0</v>
      </c>
      <c r="BF12" s="31">
        <f t="shared" si="3"/>
        <v>0</v>
      </c>
      <c r="BG12" s="31">
        <f t="shared" si="3"/>
        <v>0</v>
      </c>
      <c r="BH12" s="31">
        <f t="shared" si="3"/>
        <v>36</v>
      </c>
      <c r="BI12" s="31">
        <f t="shared" si="4"/>
        <v>0</v>
      </c>
      <c r="BJ12" s="31">
        <f t="shared" si="4"/>
        <v>0</v>
      </c>
      <c r="BK12" s="31">
        <f t="shared" si="4"/>
        <v>0</v>
      </c>
      <c r="BL12" s="31">
        <f t="shared" si="4"/>
        <v>0</v>
      </c>
      <c r="BM12" s="31">
        <f t="shared" si="4"/>
        <v>0</v>
      </c>
      <c r="BN12" s="31">
        <f t="shared" si="4"/>
        <v>0</v>
      </c>
      <c r="BO12" s="31">
        <f t="shared" si="4"/>
        <v>0</v>
      </c>
      <c r="BP12" s="31">
        <f t="shared" si="4"/>
        <v>0</v>
      </c>
      <c r="BQ12" s="31">
        <f t="shared" si="4"/>
        <v>0</v>
      </c>
      <c r="BR12" s="31">
        <f t="shared" si="4"/>
        <v>1</v>
      </c>
      <c r="BS12" s="31">
        <f t="shared" si="5"/>
        <v>9</v>
      </c>
      <c r="BT12" s="31">
        <f t="shared" si="5"/>
        <v>0</v>
      </c>
      <c r="BU12" s="31">
        <f t="shared" si="5"/>
        <v>9</v>
      </c>
      <c r="BV12" s="31">
        <f t="shared" si="5"/>
        <v>0</v>
      </c>
      <c r="BW12" s="31">
        <f t="shared" si="5"/>
        <v>16</v>
      </c>
      <c r="BX12" s="31">
        <f t="shared" si="5"/>
        <v>0</v>
      </c>
      <c r="BY12" s="31">
        <f t="shared" si="5"/>
        <v>0</v>
      </c>
      <c r="BZ12" s="31">
        <f t="shared" si="5"/>
        <v>0</v>
      </c>
      <c r="CA12" s="31">
        <f t="shared" si="5"/>
        <v>0</v>
      </c>
      <c r="CB12" s="31">
        <f t="shared" si="5"/>
        <v>0</v>
      </c>
      <c r="CC12" s="31">
        <f t="shared" si="6"/>
        <v>1</v>
      </c>
      <c r="CD12" s="31">
        <f t="shared" si="6"/>
        <v>0</v>
      </c>
      <c r="CE12" s="31">
        <f t="shared" si="6"/>
        <v>1</v>
      </c>
      <c r="CF12" s="31">
        <f t="shared" si="6"/>
        <v>0</v>
      </c>
      <c r="CG12" s="31">
        <f t="shared" si="6"/>
        <v>1</v>
      </c>
      <c r="CH12" s="31">
        <f t="shared" si="6"/>
        <v>0</v>
      </c>
      <c r="CI12" s="31">
        <f t="shared" si="6"/>
        <v>0</v>
      </c>
      <c r="CJ12" s="31">
        <f t="shared" si="6"/>
        <v>0</v>
      </c>
      <c r="CK12" s="31">
        <f t="shared" si="6"/>
        <v>0</v>
      </c>
      <c r="CL12" s="31">
        <f t="shared" si="6"/>
        <v>0</v>
      </c>
    </row>
    <row r="13" spans="1:90" x14ac:dyDescent="0.25">
      <c r="A13" s="43" t="s">
        <v>224</v>
      </c>
      <c r="B13" s="44" t="s">
        <v>216</v>
      </c>
      <c r="C13" s="43" t="s">
        <v>216</v>
      </c>
      <c r="D13" s="43" t="s">
        <v>216</v>
      </c>
      <c r="E13" s="43" t="s">
        <v>225</v>
      </c>
      <c r="K13" s="31">
        <f t="shared" si="0"/>
        <v>0</v>
      </c>
      <c r="L13" s="31">
        <f t="shared" si="0"/>
        <v>0</v>
      </c>
      <c r="M13" s="31">
        <f t="shared" si="0"/>
        <v>0</v>
      </c>
      <c r="N13" s="31">
        <f t="shared" si="0"/>
        <v>0</v>
      </c>
      <c r="O13" s="31">
        <f t="shared" si="0"/>
        <v>0</v>
      </c>
      <c r="P13" s="31">
        <f t="shared" si="0"/>
        <v>0</v>
      </c>
      <c r="Q13" s="31">
        <f t="shared" si="0"/>
        <v>0</v>
      </c>
      <c r="R13" s="31">
        <f t="shared" si="0"/>
        <v>0</v>
      </c>
      <c r="S13" s="31">
        <f t="shared" si="0"/>
        <v>0</v>
      </c>
      <c r="T13" s="31">
        <f t="shared" si="0"/>
        <v>0</v>
      </c>
      <c r="U13" s="31">
        <f t="array" ref="U13">IF(OR(AND(AND(A7&gt;0,A8&gt;0),A7=A8),K13&gt;0),1,0)</f>
        <v>0</v>
      </c>
      <c r="V13" s="31">
        <f t="array" ref="V13">IF(OR(AND(AND(B7&gt;0,B8&gt;0),B7=B8),L13&gt;0),1,0)</f>
        <v>0</v>
      </c>
      <c r="W13" s="31">
        <f t="array" ref="W13">IF(OR(AND(AND(C7&gt;0,C8&gt;0),C7=C8),M13&gt;0),1,0)</f>
        <v>0</v>
      </c>
      <c r="X13" s="31">
        <f t="array" ref="X13">IF(OR(AND(AND(D7&gt;0,D8&gt;0),D7=D8),N13&gt;0),1,0)</f>
        <v>0</v>
      </c>
      <c r="Y13" s="31">
        <f t="array" ref="Y13">IF(OR(AND(AND(E7&gt;0,E8&gt;0),E7=E8),O13&gt;0),1,0)</f>
        <v>0</v>
      </c>
      <c r="Z13" s="31">
        <f t="array" ref="Z13">IF(OR(AND(AND(F7&gt;0,F8&gt;0),F7=F8),P13&gt;0),1,0)</f>
        <v>0</v>
      </c>
      <c r="AA13" s="31">
        <f t="array" ref="AA13">IF(OR(AND(AND(G7&gt;0,G8&gt;0),G7=G8),Q13&gt;0),1,0)</f>
        <v>0</v>
      </c>
      <c r="AB13" s="31">
        <f t="array" ref="AB13">IF(OR(AND(AND(H7&gt;0,H8&gt;0),H7=H8),R13&gt;0),1,0)</f>
        <v>0</v>
      </c>
      <c r="AC13" s="31">
        <f t="array" ref="AC13">IF(OR(AND(AND(I7&gt;0,I8&gt;0),I7=I8),S13&gt;0),1,0)</f>
        <v>0</v>
      </c>
      <c r="AD13" s="31">
        <f t="array" ref="AD13">IF(OR(AND(AND(J7&gt;0,J8&gt;0),J7=J8),T13&gt;0),1,0)</f>
        <v>0</v>
      </c>
      <c r="AE13" s="31">
        <f t="shared" si="1"/>
        <v>0</v>
      </c>
      <c r="AF13" s="31">
        <f t="shared" si="1"/>
        <v>0</v>
      </c>
      <c r="AG13" s="31">
        <f t="shared" si="1"/>
        <v>0</v>
      </c>
      <c r="AH13" s="31">
        <f t="shared" si="1"/>
        <v>0</v>
      </c>
      <c r="AI13" s="31">
        <f t="shared" si="1"/>
        <v>0</v>
      </c>
      <c r="AJ13" s="31">
        <f t="shared" si="1"/>
        <v>0</v>
      </c>
      <c r="AK13" s="31">
        <f t="shared" si="1"/>
        <v>0</v>
      </c>
      <c r="AL13" s="31">
        <f t="shared" si="1"/>
        <v>0</v>
      </c>
      <c r="AM13" s="31">
        <f t="shared" si="1"/>
        <v>0</v>
      </c>
      <c r="AN13" s="31">
        <f t="shared" si="1"/>
        <v>0</v>
      </c>
      <c r="AO13" s="31">
        <f t="shared" si="2"/>
        <v>0</v>
      </c>
      <c r="AP13" s="31">
        <f t="shared" si="2"/>
        <v>0</v>
      </c>
      <c r="AQ13" s="31">
        <f t="shared" si="2"/>
        <v>0</v>
      </c>
      <c r="AR13" s="31">
        <f t="shared" si="2"/>
        <v>0</v>
      </c>
      <c r="AS13" s="31">
        <f t="shared" si="2"/>
        <v>0</v>
      </c>
      <c r="AT13" s="31">
        <f t="shared" si="2"/>
        <v>0</v>
      </c>
      <c r="AU13" s="31">
        <f t="shared" si="2"/>
        <v>0</v>
      </c>
      <c r="AV13" s="31">
        <f t="shared" si="2"/>
        <v>0</v>
      </c>
      <c r="AW13" s="31">
        <f t="shared" si="2"/>
        <v>0</v>
      </c>
      <c r="AX13" s="31">
        <f t="shared" si="2"/>
        <v>0</v>
      </c>
      <c r="AY13" s="31">
        <f t="shared" si="3"/>
        <v>0</v>
      </c>
      <c r="AZ13" s="31">
        <f t="shared" si="3"/>
        <v>0</v>
      </c>
      <c r="BA13" s="31">
        <f t="shared" si="3"/>
        <v>1</v>
      </c>
      <c r="BB13" s="31">
        <f t="shared" si="3"/>
        <v>0</v>
      </c>
      <c r="BC13" s="31">
        <f t="shared" si="3"/>
        <v>0</v>
      </c>
      <c r="BD13" s="31">
        <f t="shared" si="3"/>
        <v>0</v>
      </c>
      <c r="BE13" s="31">
        <f t="shared" si="3"/>
        <v>0</v>
      </c>
      <c r="BF13" s="31">
        <f t="shared" si="3"/>
        <v>0</v>
      </c>
      <c r="BG13" s="31">
        <f t="shared" si="3"/>
        <v>0</v>
      </c>
      <c r="BH13" s="31">
        <f t="shared" si="3"/>
        <v>0</v>
      </c>
      <c r="BI13" s="31">
        <f t="shared" si="4"/>
        <v>0</v>
      </c>
      <c r="BJ13" s="31">
        <f t="shared" si="4"/>
        <v>0</v>
      </c>
      <c r="BK13" s="31">
        <f t="shared" si="4"/>
        <v>1</v>
      </c>
      <c r="BL13" s="31">
        <f t="shared" si="4"/>
        <v>0</v>
      </c>
      <c r="BM13" s="31">
        <f t="shared" si="4"/>
        <v>0</v>
      </c>
      <c r="BN13" s="31">
        <f t="shared" si="4"/>
        <v>0</v>
      </c>
      <c r="BO13" s="31">
        <f t="shared" si="4"/>
        <v>0</v>
      </c>
      <c r="BP13" s="31">
        <f t="shared" si="4"/>
        <v>0</v>
      </c>
      <c r="BQ13" s="31">
        <f t="shared" si="4"/>
        <v>0</v>
      </c>
      <c r="BR13" s="31">
        <f t="shared" si="4"/>
        <v>0</v>
      </c>
    </row>
    <row r="14" spans="1:90" x14ac:dyDescent="0.25">
      <c r="A14" s="31">
        <v>100</v>
      </c>
      <c r="B14" s="42">
        <f>SUM(K1:S8)/(2*SUM(T1:AB8))</f>
        <v>4.416666666666667</v>
      </c>
      <c r="C14" s="42">
        <f>SUM(K9:T15)/(2*SUM(U9:AD15))</f>
        <v>3.7857142857142856</v>
      </c>
      <c r="D14" s="42">
        <f>(SUM(T1:AB8)*B14+SUM(U9:AD15)*C14)/(SUM(T1:AB8)+SUM(U9:AD15))</f>
        <v>4.1222222222222218</v>
      </c>
      <c r="E14" s="42">
        <f t="shared" ref="E14:E17" si="7">IF(A14&lt;$B$19,$B$20*(((3*A14)/(2*$B$19))-(A14^3/(2*$B$19^3))),$B$20)</f>
        <v>4.4266734566692216</v>
      </c>
      <c r="K14" s="31">
        <f t="shared" si="0"/>
        <v>0</v>
      </c>
      <c r="L14" s="31">
        <f t="shared" si="0"/>
        <v>0</v>
      </c>
      <c r="M14" s="31">
        <f t="shared" si="0"/>
        <v>0</v>
      </c>
      <c r="N14" s="31">
        <f t="shared" si="0"/>
        <v>0</v>
      </c>
      <c r="O14" s="31">
        <f t="shared" si="0"/>
        <v>0</v>
      </c>
      <c r="P14" s="31">
        <f t="shared" si="0"/>
        <v>0</v>
      </c>
      <c r="Q14" s="31">
        <f t="shared" si="0"/>
        <v>0</v>
      </c>
      <c r="R14" s="31">
        <f t="shared" si="0"/>
        <v>9</v>
      </c>
      <c r="S14" s="31">
        <f t="shared" si="0"/>
        <v>0</v>
      </c>
      <c r="T14" s="31">
        <f t="shared" si="0"/>
        <v>0</v>
      </c>
      <c r="U14" s="31">
        <f t="array" ref="U14">IF(OR(AND(AND(A8&gt;0,A9&gt;0),A8=A9),K14&gt;0),1,0)</f>
        <v>0</v>
      </c>
      <c r="V14" s="31">
        <f t="array" ref="V14">IF(OR(AND(AND(B8&gt;0,B9&gt;0),B8=B9),L14&gt;0),1,0)</f>
        <v>0</v>
      </c>
      <c r="W14" s="31">
        <f t="array" ref="W14">IF(OR(AND(AND(C8&gt;0,C9&gt;0),C8=C9),M14&gt;0),1,0)</f>
        <v>0</v>
      </c>
      <c r="X14" s="31">
        <f t="array" ref="X14">IF(OR(AND(AND(D8&gt;0,D9&gt;0),D8=D9),N14&gt;0),1,0)</f>
        <v>0</v>
      </c>
      <c r="Y14" s="31">
        <f t="array" ref="Y14">IF(OR(AND(AND(E8&gt;0,E9&gt;0),E8=E9),O14&gt;0),1,0)</f>
        <v>0</v>
      </c>
      <c r="Z14" s="31">
        <f t="array" ref="Z14">IF(OR(AND(AND(F8&gt;0,F9&gt;0),F8=F9),P14&gt;0),1,0)</f>
        <v>0</v>
      </c>
      <c r="AA14" s="31">
        <f t="array" ref="AA14">IF(OR(AND(AND(G8&gt;0,G9&gt;0),G8=G9),Q14&gt;0),1,0)</f>
        <v>0</v>
      </c>
      <c r="AB14" s="31">
        <f t="array" ref="AB14">IF(OR(AND(AND(H8&gt;0,H9&gt;0),H8=H9),R14&gt;0),1,0)</f>
        <v>1</v>
      </c>
      <c r="AC14" s="31">
        <f t="array" ref="AC14">IF(OR(AND(AND(I8&gt;0,I9&gt;0),I8=I9),S14&gt;0),1,0)</f>
        <v>0</v>
      </c>
      <c r="AD14" s="31">
        <f t="array" ref="AD14">IF(OR(AND(AND(J8&gt;0,J9&gt;0),J8=J9),T14&gt;0),1,0)</f>
        <v>0</v>
      </c>
      <c r="AE14" s="31">
        <f t="shared" si="1"/>
        <v>0</v>
      </c>
      <c r="AF14" s="31">
        <f t="shared" si="1"/>
        <v>0</v>
      </c>
      <c r="AG14" s="31">
        <f t="shared" si="1"/>
        <v>0</v>
      </c>
      <c r="AH14" s="31">
        <f t="shared" si="1"/>
        <v>0</v>
      </c>
      <c r="AI14" s="31">
        <f t="shared" si="1"/>
        <v>0</v>
      </c>
      <c r="AJ14" s="31">
        <f t="shared" si="1"/>
        <v>0</v>
      </c>
      <c r="AK14" s="31">
        <f t="shared" si="1"/>
        <v>0</v>
      </c>
      <c r="AL14" s="31">
        <f t="shared" si="1"/>
        <v>0</v>
      </c>
      <c r="AM14" s="31">
        <f t="shared" si="1"/>
        <v>0</v>
      </c>
      <c r="AN14" s="31">
        <f t="shared" si="1"/>
        <v>0</v>
      </c>
      <c r="AO14" s="31">
        <f t="shared" si="2"/>
        <v>0</v>
      </c>
      <c r="AP14" s="31">
        <f t="shared" si="2"/>
        <v>0</v>
      </c>
      <c r="AQ14" s="31">
        <f t="shared" si="2"/>
        <v>0</v>
      </c>
      <c r="AR14" s="31">
        <f t="shared" si="2"/>
        <v>0</v>
      </c>
      <c r="AS14" s="31">
        <f t="shared" si="2"/>
        <v>0</v>
      </c>
      <c r="AT14" s="31">
        <f t="shared" si="2"/>
        <v>0</v>
      </c>
      <c r="AU14" s="31">
        <f t="shared" si="2"/>
        <v>0</v>
      </c>
      <c r="AV14" s="31">
        <f t="shared" si="2"/>
        <v>0</v>
      </c>
      <c r="AW14" s="31">
        <f t="shared" si="2"/>
        <v>0</v>
      </c>
      <c r="AX14" s="31">
        <f t="shared" si="2"/>
        <v>0</v>
      </c>
    </row>
    <row r="15" spans="1:90" x14ac:dyDescent="0.25">
      <c r="A15" s="31">
        <v>200</v>
      </c>
      <c r="B15" s="42">
        <f>SUM(AC1:AJ8)/(2*SUM(AK1:AR8))</f>
        <v>8.5681818181818183</v>
      </c>
      <c r="C15" s="42">
        <f>SUM(AE9:AN14)/(2*SUM(AO9:AX14))</f>
        <v>9.1388888888888893</v>
      </c>
      <c r="D15" s="42">
        <f>(SUM(AK1:AR8)*B15+SUM(AO9:AX14)*C15)/(SUM(AK1:AR8)+SUM(AO9:AX14))</f>
        <v>8.8249999999999993</v>
      </c>
      <c r="E15" s="42">
        <f t="shared" si="7"/>
        <v>8.1653023704370185</v>
      </c>
      <c r="K15" s="31">
        <f t="shared" si="0"/>
        <v>0</v>
      </c>
      <c r="L15" s="31">
        <f t="shared" si="0"/>
        <v>0</v>
      </c>
      <c r="M15" s="31">
        <f t="shared" si="0"/>
        <v>0</v>
      </c>
      <c r="N15" s="31">
        <f t="shared" si="0"/>
        <v>0</v>
      </c>
      <c r="O15" s="31">
        <f t="shared" si="0"/>
        <v>0</v>
      </c>
      <c r="P15" s="31">
        <f t="shared" si="0"/>
        <v>0</v>
      </c>
      <c r="Q15" s="31">
        <f t="shared" si="0"/>
        <v>0</v>
      </c>
      <c r="R15" s="31">
        <f t="shared" si="0"/>
        <v>0</v>
      </c>
      <c r="S15" s="31">
        <f t="shared" si="0"/>
        <v>0</v>
      </c>
      <c r="T15" s="31">
        <f t="shared" si="0"/>
        <v>0</v>
      </c>
      <c r="U15" s="31">
        <f t="array" ref="U15">IF(OR(AND(AND(A9&gt;0,A10&gt;0),A9=A10),K15&gt;0),1,0)</f>
        <v>0</v>
      </c>
      <c r="V15" s="31">
        <f t="array" ref="V15">IF(OR(AND(AND(B9&gt;0,B10&gt;0),B9=B10),L15&gt;0),1,0)</f>
        <v>0</v>
      </c>
      <c r="W15" s="31">
        <f t="array" ref="W15">IF(OR(AND(AND(C9&gt;0,C10&gt;0),C9=C10),M15&gt;0),1,0)</f>
        <v>0</v>
      </c>
      <c r="X15" s="31">
        <f t="array" ref="X15">IF(OR(AND(AND(D9&gt;0,D10&gt;0),D9=D10),N15&gt;0),1,0)</f>
        <v>0</v>
      </c>
      <c r="Y15" s="31">
        <f t="array" ref="Y15">IF(OR(AND(AND(E9&gt;0,E10&gt;0),E9=E10),O15&gt;0),1,0)</f>
        <v>0</v>
      </c>
      <c r="Z15" s="31">
        <f t="array" ref="Z15">IF(OR(AND(AND(F9&gt;0,F10&gt;0),F9=F10),P15&gt;0),1,0)</f>
        <v>0</v>
      </c>
      <c r="AA15" s="31">
        <f t="array" ref="AA15">IF(OR(AND(AND(G9&gt;0,G10&gt;0),G9=G10),Q15&gt;0),1,0)</f>
        <v>0</v>
      </c>
      <c r="AB15" s="31">
        <f t="array" ref="AB15">IF(OR(AND(AND(H9&gt;0,H10&gt;0),H9=H10),R15&gt;0),1,0)</f>
        <v>0</v>
      </c>
      <c r="AC15" s="31">
        <f t="array" ref="AC15">IF(OR(AND(AND(I9&gt;0,I10&gt;0),I9=I10),S15&gt;0),1,0)</f>
        <v>0</v>
      </c>
      <c r="AD15" s="31">
        <f t="array" ref="AD15">IF(OR(AND(AND(J9&gt;0,J10&gt;0),J9=J10),T15&gt;0),1,0)</f>
        <v>0</v>
      </c>
    </row>
    <row r="16" spans="1:90" x14ac:dyDescent="0.25">
      <c r="A16" s="31">
        <v>300</v>
      </c>
      <c r="B16" s="42">
        <f>SUM(AS1:AY8)/(2*SUM(AZ1:BF8))</f>
        <v>10.527777777777779</v>
      </c>
      <c r="C16" s="42">
        <f>SUM(AY9:BH13)/(2*SUM(BI9:BR13))</f>
        <v>9.4333333333333336</v>
      </c>
      <c r="D16" s="42">
        <f>(SUM(AZ1:BF8)*B16+SUM(BI9:BR13)*C16)/(SUM(AZ1:BF8)+SUM(BI9:BR13))</f>
        <v>10.030303030303031</v>
      </c>
      <c r="E16" s="42">
        <f t="shared" si="7"/>
        <v>10.527842198401965</v>
      </c>
    </row>
    <row r="17" spans="1:5" x14ac:dyDescent="0.25">
      <c r="A17" s="31">
        <v>400</v>
      </c>
      <c r="B17" s="42">
        <f>SUM(BG1:BL8)/(2*SUM(BM1:BR8))</f>
        <v>11</v>
      </c>
      <c r="C17" s="42">
        <f>SUM(BS9:CB12)/(2*SUM(CC9:CL12))</f>
        <v>5.9375</v>
      </c>
      <c r="D17" s="42">
        <f>(SUM(BM1:BR8)*B17+SUM(CC9:CL12)*C17)/(SUM(BM1:BR8)+SUM(CC9:CL12))</f>
        <v>9.5</v>
      </c>
      <c r="E17" s="42">
        <f t="shared" si="7"/>
        <v>10.999997101491299</v>
      </c>
    </row>
    <row r="19" spans="1:5" x14ac:dyDescent="0.25">
      <c r="A19" s="31" t="s">
        <v>218</v>
      </c>
      <c r="B19" s="45">
        <v>363.32818576243199</v>
      </c>
    </row>
    <row r="20" spans="1:5" x14ac:dyDescent="0.25">
      <c r="A20" s="31" t="s">
        <v>219</v>
      </c>
      <c r="B20" s="45">
        <v>10.999997101491299</v>
      </c>
    </row>
    <row r="21" spans="1:5" x14ac:dyDescent="0.25">
      <c r="B21" s="31">
        <f t="array" ref="B21">ABS(B14-E14)+ABS(B15-E15)+ABS(B16-E16)+ABS(B17-E17)</f>
        <v>0.41295355688024138</v>
      </c>
    </row>
  </sheetData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21</vt:i4>
      </vt:variant>
    </vt:vector>
  </HeadingPairs>
  <TitlesOfParts>
    <vt:vector size="42" baseType="lpstr">
      <vt:lpstr>D-Cleavage</vt:lpstr>
      <vt:lpstr>P-Cleavage</vt:lpstr>
      <vt:lpstr>ReeGraph</vt:lpstr>
      <vt:lpstr>D-Permeability</vt:lpstr>
      <vt:lpstr>P-Permeability</vt:lpstr>
      <vt:lpstr>D-Palaeocurrent</vt:lpstr>
      <vt:lpstr>P-Palaeocurrent</vt:lpstr>
      <vt:lpstr>D-Untilt</vt:lpstr>
      <vt:lpstr>P-Untilt</vt:lpstr>
      <vt:lpstr>D-Pebbles</vt:lpstr>
      <vt:lpstr>P-Pebbles</vt:lpstr>
      <vt:lpstr>D-Anova</vt:lpstr>
      <vt:lpstr>P-Anova</vt:lpstr>
      <vt:lpstr>D-Chi-square</vt:lpstr>
      <vt:lpstr>P-Chi-square</vt:lpstr>
      <vt:lpstr>D-Geostatistics</vt:lpstr>
      <vt:lpstr>P-Geostatistics</vt:lpstr>
      <vt:lpstr>D-Finance</vt:lpstr>
      <vt:lpstr>P-Finance</vt:lpstr>
      <vt:lpstr>D-Variogram</vt:lpstr>
      <vt:lpstr>P-Variogram</vt:lpstr>
      <vt:lpstr>'D-Finance'!\0</vt:lpstr>
      <vt:lpstr>'P-Finance'!\0</vt:lpstr>
      <vt:lpstr>'D-Finance'!\A</vt:lpstr>
      <vt:lpstr>'P-Finance'!\A</vt:lpstr>
      <vt:lpstr>'D-Finance'!\M</vt:lpstr>
      <vt:lpstr>'P-Finance'!\M</vt:lpstr>
      <vt:lpstr>'D-Finance'!MAKROS</vt:lpstr>
      <vt:lpstr>'P-Finance'!MAKROS</vt:lpstr>
      <vt:lpstr>'D-Finance'!MENU</vt:lpstr>
      <vt:lpstr>'P-Finance'!MENU</vt:lpstr>
      <vt:lpstr>'D-Palaeocurrent'!Print_Area</vt:lpstr>
      <vt:lpstr>'D-Untilt'!Print_Area</vt:lpstr>
      <vt:lpstr>'P-Palaeocurrent'!Print_Area</vt:lpstr>
      <vt:lpstr>'P-Permeability'!Print_Area</vt:lpstr>
      <vt:lpstr>'P-Untilt'!Print_Area</vt:lpstr>
      <vt:lpstr>'D-Palaeocurrent'!Print_Area_MI</vt:lpstr>
      <vt:lpstr>'D-Permeability'!Print_Area_MI</vt:lpstr>
      <vt:lpstr>'D-Untilt'!Print_Area_MI</vt:lpstr>
      <vt:lpstr>'P-Palaeocurrent'!Print_Area_MI</vt:lpstr>
      <vt:lpstr>'P-Permeability'!Print_Area_MI</vt:lpstr>
      <vt:lpstr>'P-Untilt'!Print_Area_MI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Springer verlag</dc:title>
  <dc:subject>Spreadsheets</dc:subject>
  <dc:creator>J.P. Le Roux R.D. O'Brien</dc:creator>
  <cp:keywords/>
  <dc:description/>
  <cp:lastModifiedBy>Carina Negreanu</cp:lastModifiedBy>
  <dcterms:created xsi:type="dcterms:W3CDTF">2020-01-27T11:31:43Z</dcterms:created>
  <dcterms:modified xsi:type="dcterms:W3CDTF">2020-01-27T11:31:43Z</dcterms:modified>
</cp:coreProperties>
</file>