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E85C77-3D90-4DE7-869E-7C6E54970E12}" xr6:coauthVersionLast="45" xr6:coauthVersionMax="45" xr10:uidLastSave="{00000000-0000-0000-0000-000000000000}"/>
  <bookViews>
    <workbookView xWindow="380" yWindow="380" windowWidth="28800" windowHeight="15460"/>
  </bookViews>
  <sheets>
    <sheet name="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" i="1" l="1"/>
  <c r="T4" i="1" s="1"/>
  <c r="P3" i="1"/>
  <c r="K8" i="1"/>
  <c r="T8" i="1"/>
  <c r="K7" i="1"/>
  <c r="T7" i="1" s="1"/>
  <c r="K6" i="1"/>
  <c r="T6" i="1"/>
  <c r="K5" i="1"/>
  <c r="T5" i="1"/>
  <c r="K11" i="1"/>
  <c r="K10" i="1"/>
  <c r="P10" i="1"/>
  <c r="T11" i="1"/>
  <c r="K15" i="1"/>
  <c r="T15" i="1"/>
  <c r="K14" i="1"/>
  <c r="T14" i="1"/>
  <c r="K13" i="1"/>
  <c r="T13" i="1" s="1"/>
  <c r="K12" i="1"/>
  <c r="T12" i="1" s="1"/>
  <c r="K3" i="1"/>
  <c r="Q18" i="1"/>
  <c r="P18" i="1"/>
  <c r="O18" i="1"/>
  <c r="N18" i="1"/>
  <c r="M18" i="1"/>
  <c r="L18" i="1"/>
  <c r="J18" i="1"/>
  <c r="I18" i="1"/>
  <c r="H18" i="1"/>
  <c r="G18" i="1"/>
  <c r="F18" i="1"/>
  <c r="E18" i="1"/>
  <c r="D18" i="1"/>
  <c r="C18" i="1"/>
  <c r="B18" i="1"/>
  <c r="S18" i="1"/>
  <c r="R18" i="1"/>
  <c r="S17" i="1"/>
  <c r="R17" i="1"/>
  <c r="Q17" i="1"/>
  <c r="P17" i="1"/>
  <c r="O17" i="1"/>
  <c r="N17" i="1"/>
  <c r="M17" i="1"/>
  <c r="L17" i="1"/>
  <c r="J17" i="1"/>
  <c r="I17" i="1"/>
  <c r="H17" i="1"/>
  <c r="G17" i="1"/>
  <c r="F17" i="1"/>
  <c r="E17" i="1"/>
  <c r="D17" i="1"/>
  <c r="C17" i="1"/>
  <c r="B17" i="1"/>
  <c r="T17" i="1" l="1"/>
  <c r="T18" i="1"/>
</calcChain>
</file>

<file path=xl/sharedStrings.xml><?xml version="1.0" encoding="utf-8"?>
<sst xmlns="http://schemas.openxmlformats.org/spreadsheetml/2006/main" count="48" uniqueCount="34">
  <si>
    <t>7351</t>
  </si>
  <si>
    <t>1730</t>
  </si>
  <si>
    <t>0809</t>
  </si>
  <si>
    <t>9693</t>
  </si>
  <si>
    <t>5952</t>
  </si>
  <si>
    <t>0366</t>
  </si>
  <si>
    <t>9121</t>
  </si>
  <si>
    <t>8228</t>
  </si>
  <si>
    <t>6297</t>
  </si>
  <si>
    <t>5818</t>
  </si>
  <si>
    <t>Student</t>
  </si>
  <si>
    <t>D1</t>
  </si>
  <si>
    <t>D2</t>
  </si>
  <si>
    <t>D3</t>
  </si>
  <si>
    <t>D4</t>
  </si>
  <si>
    <t>D5a</t>
  </si>
  <si>
    <t>D5b</t>
  </si>
  <si>
    <t>D6</t>
  </si>
  <si>
    <t>D7</t>
  </si>
  <si>
    <t>Exam I</t>
  </si>
  <si>
    <t>Exam II</t>
  </si>
  <si>
    <t>Status Reports</t>
  </si>
  <si>
    <t>Project Deliverables</t>
  </si>
  <si>
    <t>Final Delivery</t>
  </si>
  <si>
    <t>Grade</t>
  </si>
  <si>
    <t>Letter</t>
  </si>
  <si>
    <t>Team I</t>
  </si>
  <si>
    <t>Team II</t>
  </si>
  <si>
    <t>Avg</t>
  </si>
  <si>
    <t>A</t>
  </si>
  <si>
    <t>B</t>
  </si>
  <si>
    <t>F</t>
  </si>
  <si>
    <t>(Grades based on D2, D3, D4, D6, D7)</t>
  </si>
  <si>
    <t>(Grades based on D2, D3, D4, D5, D6, D7)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</si>
</sst>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0" xfId="0" applyNumberFormat="1"/>
    <xf numFmtId="2" fontId="0" fillId="0" borderId="2" xfId="0" applyNumberFormat="1" applyBorder="1"/>
    <xf numFmtId="0" fontId="0" fillId="0" borderId="0" xfId="0" applyFill="1" applyBorder="1"/>
    <xf numFmtId="0" fontId="0" fillId="0" borderId="4" xfId="0" applyBorder="1"/>
    <xf numFmtId="0" fontId="0" fillId="0" borderId="5" xfId="0" applyBorder="1"/>
    <xf numFmtId="2" fontId="0" fillId="0" borderId="0" xfId="0" applyNumberFormat="1" applyBorder="1"/>
    <xf numFmtId="2" fontId="0" fillId="0" borderId="6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workbookViewId="0"/>
  </sheetViews>
  <sheetFormatPr defaultRowHeight="12.5" x14ac:dyDescent="0.25"/>
  <cols>
    <col min="1" max="1" width="7.453125" bestFit="1" customWidth="1"/>
    <col min="2" max="3" width="6.26953125" style="2" customWidth="1"/>
    <col min="4" max="11" width="6.26953125" customWidth="1"/>
    <col min="12" max="12" width="6.26953125" style="2" customWidth="1"/>
    <col min="13" max="15" width="6.26953125" customWidth="1"/>
    <col min="16" max="16" width="6.26953125" style="2" customWidth="1"/>
    <col min="17" max="17" width="6.26953125" customWidth="1"/>
    <col min="18" max="18" width="8.453125" style="2" bestFit="1" customWidth="1"/>
    <col min="19" max="20" width="8.453125" bestFit="1" customWidth="1"/>
    <col min="21" max="21" width="8.453125" style="12" bestFit="1" customWidth="1"/>
  </cols>
  <sheetData>
    <row r="1" spans="1:22" x14ac:dyDescent="0.25">
      <c r="C1" s="15" t="s">
        <v>21</v>
      </c>
      <c r="D1" s="16"/>
      <c r="E1" s="16"/>
      <c r="F1" s="16"/>
      <c r="G1" s="16"/>
      <c r="H1" s="16"/>
      <c r="I1" s="16"/>
      <c r="J1" s="16"/>
      <c r="K1" s="17"/>
      <c r="L1" s="15" t="s">
        <v>22</v>
      </c>
      <c r="M1" s="16"/>
      <c r="N1" s="16"/>
      <c r="O1" s="16"/>
      <c r="P1" s="15" t="s">
        <v>23</v>
      </c>
      <c r="Q1" s="16"/>
    </row>
    <row r="2" spans="1:22" x14ac:dyDescent="0.25">
      <c r="A2" s="1" t="s">
        <v>10</v>
      </c>
      <c r="B2" s="3" t="s">
        <v>11</v>
      </c>
      <c r="C2" s="3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28</v>
      </c>
      <c r="L2" s="3" t="s">
        <v>13</v>
      </c>
      <c r="M2" s="4" t="s">
        <v>14</v>
      </c>
      <c r="N2" s="4" t="s">
        <v>15</v>
      </c>
      <c r="O2" s="4" t="s">
        <v>16</v>
      </c>
      <c r="P2" s="3" t="s">
        <v>17</v>
      </c>
      <c r="Q2" s="4" t="s">
        <v>18</v>
      </c>
      <c r="R2" s="3" t="s">
        <v>19</v>
      </c>
      <c r="S2" s="4" t="s">
        <v>20</v>
      </c>
      <c r="T2" s="4" t="s">
        <v>24</v>
      </c>
      <c r="U2" s="13" t="s">
        <v>25</v>
      </c>
    </row>
    <row r="3" spans="1:22" x14ac:dyDescent="0.25">
      <c r="A3" t="s">
        <v>26</v>
      </c>
      <c r="B3" s="8">
        <v>100</v>
      </c>
      <c r="C3" s="2">
        <v>100</v>
      </c>
      <c r="D3">
        <v>100</v>
      </c>
      <c r="E3">
        <v>100</v>
      </c>
      <c r="F3">
        <v>90</v>
      </c>
      <c r="G3">
        <v>100</v>
      </c>
      <c r="H3">
        <v>100</v>
      </c>
      <c r="I3">
        <v>100</v>
      </c>
      <c r="J3">
        <v>90</v>
      </c>
      <c r="K3">
        <f>AVERAGE(C3:J3)</f>
        <v>97.5</v>
      </c>
      <c r="L3" s="2">
        <v>80</v>
      </c>
      <c r="M3" s="7">
        <v>80</v>
      </c>
      <c r="P3" s="2">
        <f>AVERAGE(L3:M3)</f>
        <v>80</v>
      </c>
    </row>
    <row r="4" spans="1:22" x14ac:dyDescent="0.25">
      <c r="A4" t="s">
        <v>8</v>
      </c>
      <c r="B4" s="9"/>
      <c r="C4">
        <v>100</v>
      </c>
      <c r="D4">
        <v>100</v>
      </c>
      <c r="E4">
        <v>100</v>
      </c>
      <c r="F4">
        <v>90</v>
      </c>
      <c r="G4">
        <v>100</v>
      </c>
      <c r="H4">
        <v>100</v>
      </c>
      <c r="I4">
        <v>100</v>
      </c>
      <c r="J4">
        <v>90</v>
      </c>
      <c r="K4">
        <f t="shared" ref="K4:K15" si="0">AVERAGE(C4:J4)</f>
        <v>97.5</v>
      </c>
      <c r="Q4">
        <v>90</v>
      </c>
      <c r="R4" s="2">
        <v>71</v>
      </c>
      <c r="S4">
        <v>52.5</v>
      </c>
      <c r="T4">
        <f>K4*0.1+R4*0.15+S4*0.15+$P$3*0.3+Q4*0.3</f>
        <v>79.275000000000006</v>
      </c>
      <c r="U4" s="12" t="s">
        <v>30</v>
      </c>
      <c r="V4" t="s">
        <v>32</v>
      </c>
    </row>
    <row r="5" spans="1:22" x14ac:dyDescent="0.25">
      <c r="A5" t="s">
        <v>7</v>
      </c>
      <c r="C5" s="2">
        <v>100</v>
      </c>
      <c r="D5">
        <v>100</v>
      </c>
      <c r="E5">
        <v>100</v>
      </c>
      <c r="F5">
        <v>0</v>
      </c>
      <c r="G5">
        <v>100</v>
      </c>
      <c r="H5">
        <v>100</v>
      </c>
      <c r="I5">
        <v>100</v>
      </c>
      <c r="J5">
        <v>90</v>
      </c>
      <c r="K5">
        <f t="shared" si="0"/>
        <v>86.25</v>
      </c>
      <c r="Q5">
        <v>95</v>
      </c>
      <c r="R5" s="2">
        <v>65</v>
      </c>
      <c r="S5">
        <v>55</v>
      </c>
      <c r="T5">
        <f>K5*0.1+R5*0.15+S5*0.15+$P$3*0.3+Q5*0.3</f>
        <v>79.125</v>
      </c>
      <c r="U5" s="12" t="s">
        <v>30</v>
      </c>
    </row>
    <row r="6" spans="1:22" x14ac:dyDescent="0.25">
      <c r="A6" t="s">
        <v>0</v>
      </c>
      <c r="C6" s="2">
        <v>100</v>
      </c>
      <c r="D6">
        <v>100</v>
      </c>
      <c r="E6">
        <v>0</v>
      </c>
      <c r="F6">
        <v>100</v>
      </c>
      <c r="G6">
        <v>0</v>
      </c>
      <c r="H6">
        <v>100</v>
      </c>
      <c r="I6">
        <v>100</v>
      </c>
      <c r="J6">
        <v>0</v>
      </c>
      <c r="K6">
        <f t="shared" si="0"/>
        <v>62.5</v>
      </c>
      <c r="Q6">
        <v>0</v>
      </c>
      <c r="R6" s="2">
        <v>81</v>
      </c>
      <c r="S6">
        <v>47.5</v>
      </c>
      <c r="T6">
        <f>K6*0.1+R6*0.15+S6*0.15+$P$3*0.3+Q6*0.3</f>
        <v>49.524999999999999</v>
      </c>
      <c r="U6" s="12" t="s">
        <v>31</v>
      </c>
    </row>
    <row r="7" spans="1:22" x14ac:dyDescent="0.25">
      <c r="A7" t="s">
        <v>2</v>
      </c>
      <c r="C7" s="2">
        <v>100</v>
      </c>
      <c r="D7" s="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0"/>
        <v>25</v>
      </c>
      <c r="M7" s="7"/>
      <c r="Q7">
        <v>0</v>
      </c>
      <c r="R7" s="2">
        <v>61</v>
      </c>
      <c r="S7">
        <v>37.5</v>
      </c>
      <c r="T7">
        <f>K7*0.1+R7*0.15+S7*0.15+$P$3*0.3+Q7*0.3</f>
        <v>41.274999999999999</v>
      </c>
      <c r="U7" s="12" t="s">
        <v>31</v>
      </c>
    </row>
    <row r="8" spans="1:22" x14ac:dyDescent="0.25">
      <c r="A8" t="s">
        <v>6</v>
      </c>
      <c r="C8" s="2">
        <v>100</v>
      </c>
      <c r="D8" s="7">
        <v>100</v>
      </c>
      <c r="E8">
        <v>100</v>
      </c>
      <c r="F8">
        <v>100</v>
      </c>
      <c r="G8">
        <v>0</v>
      </c>
      <c r="H8">
        <v>0</v>
      </c>
      <c r="I8">
        <v>0</v>
      </c>
      <c r="J8">
        <v>0</v>
      </c>
      <c r="K8">
        <f t="shared" si="0"/>
        <v>50</v>
      </c>
      <c r="Q8">
        <v>0</v>
      </c>
      <c r="R8" s="2">
        <v>71</v>
      </c>
      <c r="T8">
        <f>K8*0.1+R8*0.15+S8*0.15+$P$3*0.3+Q8*0.3</f>
        <v>39.65</v>
      </c>
      <c r="U8" s="12" t="s">
        <v>31</v>
      </c>
    </row>
    <row r="10" spans="1:22" x14ac:dyDescent="0.25">
      <c r="A10" t="s">
        <v>27</v>
      </c>
      <c r="B10" s="2">
        <v>100</v>
      </c>
      <c r="C10" s="2">
        <v>100</v>
      </c>
      <c r="D10">
        <v>100</v>
      </c>
      <c r="E10">
        <v>100</v>
      </c>
      <c r="F10">
        <v>100</v>
      </c>
      <c r="G10">
        <v>0</v>
      </c>
      <c r="H10">
        <v>0</v>
      </c>
      <c r="I10">
        <v>100</v>
      </c>
      <c r="J10">
        <v>100</v>
      </c>
      <c r="K10">
        <f t="shared" si="0"/>
        <v>75</v>
      </c>
      <c r="L10" s="2">
        <v>95</v>
      </c>
      <c r="M10" s="7">
        <v>95</v>
      </c>
      <c r="N10" s="7">
        <v>85</v>
      </c>
      <c r="O10" s="7">
        <v>85</v>
      </c>
      <c r="P10" s="2">
        <f>AVERAGE(L10:O10)</f>
        <v>90</v>
      </c>
      <c r="Q10">
        <v>94</v>
      </c>
    </row>
    <row r="11" spans="1:22" x14ac:dyDescent="0.25">
      <c r="A11" t="s">
        <v>1</v>
      </c>
      <c r="C11" s="2">
        <v>100</v>
      </c>
      <c r="D11">
        <v>100</v>
      </c>
      <c r="E11">
        <v>100</v>
      </c>
      <c r="F11">
        <v>100</v>
      </c>
      <c r="G11">
        <v>0</v>
      </c>
      <c r="H11">
        <v>0</v>
      </c>
      <c r="I11">
        <v>100</v>
      </c>
      <c r="J11">
        <v>100</v>
      </c>
      <c r="K11">
        <f t="shared" si="0"/>
        <v>75</v>
      </c>
      <c r="Q11">
        <v>100</v>
      </c>
      <c r="R11" s="2">
        <v>91</v>
      </c>
      <c r="S11">
        <v>60</v>
      </c>
      <c r="T11">
        <f>K11*0.1+R11*0.15+S11*0.15+$P$10*0.3+$Q$10*0.15+Q11*0.15</f>
        <v>86.25</v>
      </c>
      <c r="U11" s="12" t="s">
        <v>30</v>
      </c>
      <c r="V11" t="s">
        <v>33</v>
      </c>
    </row>
    <row r="12" spans="1:22" x14ac:dyDescent="0.25">
      <c r="A12" t="s">
        <v>3</v>
      </c>
      <c r="C12" s="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f t="shared" si="0"/>
        <v>100</v>
      </c>
      <c r="Q12">
        <v>100</v>
      </c>
      <c r="R12" s="2">
        <v>89</v>
      </c>
      <c r="S12">
        <v>77.5</v>
      </c>
      <c r="T12">
        <f>K12*0.1+R12*0.15+S12*0.15+$P$10*0.3+$Q$10*0.15+Q12*0.15</f>
        <v>91.075000000000003</v>
      </c>
      <c r="U12" s="12" t="s">
        <v>29</v>
      </c>
    </row>
    <row r="13" spans="1:22" x14ac:dyDescent="0.25">
      <c r="A13" t="s">
        <v>4</v>
      </c>
      <c r="C13" s="2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f t="shared" si="0"/>
        <v>100</v>
      </c>
      <c r="Q13">
        <v>100</v>
      </c>
      <c r="R13" s="2">
        <v>69</v>
      </c>
      <c r="S13">
        <v>80</v>
      </c>
      <c r="T13">
        <f>K13*0.1+R13*0.15+S13*0.15+$P$10*0.3+$Q$10*0.15+Q13*0.15</f>
        <v>88.45</v>
      </c>
      <c r="U13" s="12" t="s">
        <v>30</v>
      </c>
    </row>
    <row r="14" spans="1:22" x14ac:dyDescent="0.25">
      <c r="A14" t="s">
        <v>5</v>
      </c>
      <c r="C14" s="2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0</v>
      </c>
      <c r="J14">
        <v>100</v>
      </c>
      <c r="K14">
        <f t="shared" si="0"/>
        <v>87.5</v>
      </c>
      <c r="Q14">
        <v>100</v>
      </c>
      <c r="R14" s="2">
        <v>87</v>
      </c>
      <c r="S14">
        <v>85</v>
      </c>
      <c r="T14">
        <f>K14*0.1+R14*0.15+S14*0.15+$P$10*0.3+$Q$10*0.15+Q14*0.15</f>
        <v>90.649999999999991</v>
      </c>
      <c r="U14" s="12" t="s">
        <v>29</v>
      </c>
    </row>
    <row r="15" spans="1:22" x14ac:dyDescent="0.25">
      <c r="A15" t="s">
        <v>9</v>
      </c>
      <c r="C15" s="2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f t="shared" si="0"/>
        <v>100</v>
      </c>
      <c r="Q15">
        <v>100</v>
      </c>
      <c r="R15" s="2">
        <v>99</v>
      </c>
      <c r="S15">
        <v>97.5</v>
      </c>
      <c r="T15">
        <f>K15*0.1+R15*0.15+S15*0.15+$P$10*0.3+$Q$10*0.15+Q15*0.15</f>
        <v>95.574999999999989</v>
      </c>
      <c r="U15" s="12" t="s">
        <v>29</v>
      </c>
    </row>
    <row r="17" spans="2:21" s="5" customFormat="1" x14ac:dyDescent="0.25">
      <c r="B17" s="6" t="e">
        <f t="shared" ref="B17:J17" si="1">AVERAGE(B4:B8,B11:B15)</f>
        <v>#DIV/0!</v>
      </c>
      <c r="C17" s="6">
        <f t="shared" si="1"/>
        <v>100</v>
      </c>
      <c r="D17" s="6">
        <f t="shared" si="1"/>
        <v>90</v>
      </c>
      <c r="E17" s="10">
        <f t="shared" si="1"/>
        <v>90</v>
      </c>
      <c r="F17" s="10">
        <f t="shared" si="1"/>
        <v>79</v>
      </c>
      <c r="G17" s="10">
        <f t="shared" si="1"/>
        <v>60</v>
      </c>
      <c r="H17" s="10">
        <f t="shared" si="1"/>
        <v>70</v>
      </c>
      <c r="I17" s="10">
        <f t="shared" si="1"/>
        <v>70</v>
      </c>
      <c r="J17" s="10">
        <f t="shared" si="1"/>
        <v>68</v>
      </c>
      <c r="K17" s="10"/>
      <c r="L17" s="6" t="e">
        <f t="shared" ref="L17:T17" si="2">AVERAGE(L4:L8,L11:L15)</f>
        <v>#DIV/0!</v>
      </c>
      <c r="M17" s="10" t="e">
        <f t="shared" si="2"/>
        <v>#DIV/0!</v>
      </c>
      <c r="N17" s="10" t="e">
        <f t="shared" si="2"/>
        <v>#DIV/0!</v>
      </c>
      <c r="O17" s="11" t="e">
        <f t="shared" si="2"/>
        <v>#DIV/0!</v>
      </c>
      <c r="P17" s="10" t="e">
        <f t="shared" si="2"/>
        <v>#DIV/0!</v>
      </c>
      <c r="Q17" s="11">
        <f t="shared" si="2"/>
        <v>68.5</v>
      </c>
      <c r="R17" s="10">
        <f t="shared" si="2"/>
        <v>78.400000000000006</v>
      </c>
      <c r="S17" s="10">
        <f t="shared" si="2"/>
        <v>65.833333333333329</v>
      </c>
      <c r="T17" s="10">
        <f t="shared" si="2"/>
        <v>74.084999999999994</v>
      </c>
      <c r="U17" s="14"/>
    </row>
    <row r="18" spans="2:21" s="5" customFormat="1" ht="12" customHeight="1" x14ac:dyDescent="0.25">
      <c r="B18" s="6" t="e">
        <f t="shared" ref="B18:J18" si="3">STDEV(B4:B8,B11:B15)</f>
        <v>#DIV/0!</v>
      </c>
      <c r="C18" s="6">
        <f t="shared" si="3"/>
        <v>0</v>
      </c>
      <c r="D18" s="6">
        <f t="shared" si="3"/>
        <v>31.622776601683793</v>
      </c>
      <c r="E18" s="10">
        <f t="shared" si="3"/>
        <v>31.622776601683793</v>
      </c>
      <c r="F18" s="10">
        <f t="shared" si="3"/>
        <v>41.753243386991308</v>
      </c>
      <c r="G18" s="10">
        <f t="shared" si="3"/>
        <v>51.639777949432222</v>
      </c>
      <c r="H18" s="10">
        <f t="shared" si="3"/>
        <v>48.304589153964798</v>
      </c>
      <c r="I18" s="10">
        <f t="shared" si="3"/>
        <v>48.304589153964798</v>
      </c>
      <c r="J18" s="10">
        <f t="shared" si="3"/>
        <v>47.093288033198299</v>
      </c>
      <c r="K18" s="10"/>
      <c r="L18" s="6" t="e">
        <f t="shared" ref="L18:T18" si="4">STDEV(L4:L8,L11:L15)</f>
        <v>#DIV/0!</v>
      </c>
      <c r="M18" s="10" t="e">
        <f t="shared" si="4"/>
        <v>#DIV/0!</v>
      </c>
      <c r="N18" s="10" t="e">
        <f t="shared" si="4"/>
        <v>#DIV/0!</v>
      </c>
      <c r="O18" s="11" t="e">
        <f t="shared" si="4"/>
        <v>#DIV/0!</v>
      </c>
      <c r="P18" s="10" t="e">
        <f t="shared" si="4"/>
        <v>#DIV/0!</v>
      </c>
      <c r="Q18" s="11">
        <f t="shared" si="4"/>
        <v>47.378499577574445</v>
      </c>
      <c r="R18" s="10">
        <f t="shared" si="4"/>
        <v>12.72093637364099</v>
      </c>
      <c r="S18" s="10">
        <f t="shared" si="4"/>
        <v>19.921721813136536</v>
      </c>
      <c r="T18" s="10">
        <f t="shared" si="4"/>
        <v>21.850544107133349</v>
      </c>
      <c r="U18" s="14"/>
    </row>
    <row r="20" spans="2:21" x14ac:dyDescent="0.25">
      <c r="R20" s="2">
        <v>17</v>
      </c>
    </row>
  </sheetData>
  <mergeCells count="3">
    <mergeCell ref="L1:O1"/>
    <mergeCell ref="P1:Q1"/>
    <mergeCell ref="C1:K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Carina Negreanu</cp:lastModifiedBy>
  <dcterms:created xsi:type="dcterms:W3CDTF">2002-06-08T23:13:34Z</dcterms:created>
  <dcterms:modified xsi:type="dcterms:W3CDTF">2020-01-27T11:40:08Z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1991545192</vt:i4>
  </property>
  <property fmtid="{D5CDD505-2E9C-101B-9397-08002B2CF9AE}" pid="3" name="_EmailSubject">
    <vt:lpwstr>Exam I</vt:lpwstr>
  </property>
  <property fmtid="{D5CDD505-2E9C-101B-9397-08002B2CF9AE}" pid="4" name="_AuthorEmail">
    <vt:lpwstr>qxu1@umbc.edu</vt:lpwstr>
  </property>
  <property fmtid="{D5CDD505-2E9C-101B-9397-08002B2CF9AE}" pid="5" name="_AuthorEmailDisplayName">
    <vt:lpwstr>Qianjun </vt:lpwstr>
  </property>
  <property fmtid="{D5CDD505-2E9C-101B-9397-08002B2CF9AE}" pid="6" name="_PreviousAdHocReviewCycleID">
    <vt:i4>-344537400</vt:i4>
  </property>
  <property fmtid="{D5CDD505-2E9C-101B-9397-08002B2CF9AE}" pid="7" name="_ReviewingToolsShownOnce">
    <vt:lpwstr/>
  </property>
</Properties>
</file>