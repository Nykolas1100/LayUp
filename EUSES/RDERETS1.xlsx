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F05B60-D222-458D-A444-F2030ECF4258}" xr6:coauthVersionLast="45" xr6:coauthVersionMax="45" xr10:uidLastSave="{00000000-0000-0000-0000-000000000000}"/>
  <bookViews>
    <workbookView xWindow="3040" yWindow="3040" windowWidth="28800" windowHeight="15460" activeTab="1"/>
  </bookViews>
  <sheets>
    <sheet name="Ret vs. Risk" sheetId="1" r:id="rId1"/>
    <sheet name="RDERets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</sheets>
  <externalReferences>
    <externalReference r:id="rId18"/>
  </externalReferences>
  <definedNames>
    <definedName name="Correlations">RDERets1!$C$110:$Q$124</definedName>
    <definedName name="Covariances">RDERets1!$C$92:$Q$106</definedName>
    <definedName name="_xlnm.Print_Area" localSheetId="1">RDERets1!$C$1:$R$247</definedName>
    <definedName name="_xlnm.Print_Titles" localSheetId="1">RDERets1!$A:$B</definedName>
    <definedName name="Returns">RDERets1!$C$5:$Q$17</definedName>
  </definedNames>
  <calcPr calcId="0" fullCalcOnLoad="1" iterate="1"/>
</workbook>
</file>

<file path=xl/calcChain.xml><?xml version="1.0" encoding="utf-8"?>
<calcChain xmlns="http://schemas.openxmlformats.org/spreadsheetml/2006/main">
  <c r="C20" i="2" l="1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F29" i="2"/>
  <c r="G29" i="2"/>
  <c r="H29" i="2"/>
  <c r="I29" i="2"/>
  <c r="J29" i="2"/>
  <c r="K29" i="2"/>
  <c r="L29" i="2"/>
  <c r="M29" i="2"/>
  <c r="N29" i="2"/>
  <c r="O29" i="2"/>
  <c r="P29" i="2"/>
  <c r="Q29" i="2"/>
  <c r="G30" i="2"/>
  <c r="H30" i="2"/>
  <c r="I30" i="2"/>
  <c r="J30" i="2"/>
  <c r="K30" i="2"/>
  <c r="L30" i="2"/>
  <c r="M30" i="2"/>
  <c r="N30" i="2"/>
  <c r="O30" i="2"/>
  <c r="P30" i="2"/>
  <c r="Q30" i="2"/>
  <c r="H31" i="2"/>
  <c r="I31" i="2"/>
  <c r="J31" i="2"/>
  <c r="K31" i="2"/>
  <c r="L31" i="2"/>
  <c r="M31" i="2"/>
  <c r="N31" i="2"/>
  <c r="O31" i="2"/>
  <c r="P31" i="2"/>
  <c r="Q31" i="2"/>
  <c r="I32" i="2"/>
  <c r="J32" i="2"/>
  <c r="K32" i="2"/>
  <c r="L32" i="2"/>
  <c r="M32" i="2"/>
  <c r="N32" i="2"/>
  <c r="O32" i="2"/>
  <c r="P32" i="2"/>
  <c r="Q32" i="2"/>
  <c r="J33" i="2"/>
  <c r="K33" i="2"/>
  <c r="L33" i="2"/>
  <c r="M33" i="2"/>
  <c r="N33" i="2"/>
  <c r="O33" i="2"/>
  <c r="P33" i="2"/>
  <c r="Q33" i="2"/>
  <c r="K34" i="2"/>
  <c r="L34" i="2"/>
  <c r="M34" i="2"/>
  <c r="N34" i="2"/>
  <c r="O34" i="2"/>
  <c r="P34" i="2"/>
  <c r="Q34" i="2"/>
  <c r="L35" i="2"/>
  <c r="M35" i="2"/>
  <c r="N35" i="2"/>
  <c r="O35" i="2"/>
  <c r="P35" i="2"/>
  <c r="Q35" i="2"/>
  <c r="M36" i="2"/>
  <c r="N36" i="2"/>
  <c r="O36" i="2"/>
  <c r="P36" i="2"/>
  <c r="Q36" i="2"/>
  <c r="N37" i="2"/>
  <c r="O37" i="2"/>
  <c r="P37" i="2"/>
  <c r="Q37" i="2"/>
  <c r="O38" i="2"/>
  <c r="P38" i="2"/>
  <c r="Q38" i="2"/>
  <c r="P39" i="2"/>
  <c r="Q39" i="2"/>
  <c r="Q40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F47" i="2"/>
  <c r="G47" i="2"/>
  <c r="H47" i="2"/>
  <c r="I47" i="2"/>
  <c r="J47" i="2"/>
  <c r="K47" i="2"/>
  <c r="L47" i="2"/>
  <c r="M47" i="2"/>
  <c r="N47" i="2"/>
  <c r="O47" i="2"/>
  <c r="P47" i="2"/>
  <c r="Q47" i="2"/>
  <c r="G48" i="2"/>
  <c r="H48" i="2"/>
  <c r="I48" i="2"/>
  <c r="J48" i="2"/>
  <c r="K48" i="2"/>
  <c r="L48" i="2"/>
  <c r="M48" i="2"/>
  <c r="N48" i="2"/>
  <c r="O48" i="2"/>
  <c r="P48" i="2"/>
  <c r="Q48" i="2"/>
  <c r="H49" i="2"/>
  <c r="I49" i="2"/>
  <c r="J49" i="2"/>
  <c r="K49" i="2"/>
  <c r="L49" i="2"/>
  <c r="M49" i="2"/>
  <c r="N49" i="2"/>
  <c r="O49" i="2"/>
  <c r="P49" i="2"/>
  <c r="Q49" i="2"/>
  <c r="I50" i="2"/>
  <c r="J50" i="2"/>
  <c r="K50" i="2"/>
  <c r="L50" i="2"/>
  <c r="M50" i="2"/>
  <c r="N50" i="2"/>
  <c r="O50" i="2"/>
  <c r="P50" i="2"/>
  <c r="Q50" i="2"/>
  <c r="J51" i="2"/>
  <c r="K51" i="2"/>
  <c r="L51" i="2"/>
  <c r="M51" i="2"/>
  <c r="N51" i="2"/>
  <c r="O51" i="2"/>
  <c r="P51" i="2"/>
  <c r="Q51" i="2"/>
  <c r="K52" i="2"/>
  <c r="L52" i="2"/>
  <c r="M52" i="2"/>
  <c r="N52" i="2"/>
  <c r="O52" i="2"/>
  <c r="P52" i="2"/>
  <c r="Q52" i="2"/>
  <c r="L53" i="2"/>
  <c r="M53" i="2"/>
  <c r="N53" i="2"/>
  <c r="O53" i="2"/>
  <c r="P53" i="2"/>
  <c r="Q53" i="2"/>
  <c r="M54" i="2"/>
  <c r="N54" i="2"/>
  <c r="O54" i="2"/>
  <c r="P54" i="2"/>
  <c r="Q54" i="2"/>
  <c r="N55" i="2"/>
  <c r="O55" i="2"/>
  <c r="P55" i="2"/>
  <c r="Q55" i="2"/>
  <c r="O56" i="2"/>
  <c r="P56" i="2"/>
  <c r="Q56" i="2"/>
  <c r="P57" i="2"/>
  <c r="Q57" i="2"/>
  <c r="Q58" i="2"/>
  <c r="B62" i="2"/>
  <c r="R80" i="2"/>
  <c r="R81" i="2"/>
  <c r="R82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C92" i="2"/>
  <c r="D93" i="2"/>
  <c r="E94" i="2"/>
  <c r="F95" i="2"/>
  <c r="G96" i="2"/>
  <c r="H97" i="2"/>
  <c r="I98" i="2"/>
  <c r="J99" i="2"/>
  <c r="K100" i="2"/>
  <c r="L101" i="2"/>
  <c r="M102" i="2"/>
  <c r="N103" i="2"/>
  <c r="O104" i="2"/>
  <c r="P105" i="2"/>
  <c r="Q106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C129" i="2"/>
  <c r="C132" i="2"/>
  <c r="D132" i="2"/>
  <c r="C133" i="2"/>
  <c r="D133" i="2"/>
  <c r="C136" i="2"/>
  <c r="D136" i="2"/>
  <c r="C137" i="2"/>
  <c r="D137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C155" i="2"/>
  <c r="D155" i="2"/>
  <c r="C156" i="2"/>
  <c r="D156" i="2"/>
  <c r="C159" i="2"/>
  <c r="D159" i="2"/>
  <c r="C160" i="2"/>
  <c r="D160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C178" i="2"/>
  <c r="D178" i="2"/>
  <c r="C179" i="2"/>
  <c r="D179" i="2"/>
  <c r="C182" i="2"/>
  <c r="D182" i="2"/>
  <c r="C183" i="2"/>
  <c r="D183" i="2"/>
  <c r="A187" i="2"/>
  <c r="B187" i="2"/>
  <c r="C187" i="2"/>
  <c r="D187" i="2"/>
  <c r="C209" i="2"/>
  <c r="C209" i="2" a="1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C228" i="2"/>
  <c r="C228" i="2" a="1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D245" i="2"/>
  <c r="D246" i="2"/>
  <c r="D247" i="2"/>
  <c r="B21" i="5"/>
  <c r="C22" i="5"/>
  <c r="D23" i="5"/>
  <c r="E24" i="5"/>
  <c r="F25" i="5"/>
  <c r="G26" i="5"/>
  <c r="H27" i="5"/>
  <c r="I28" i="5"/>
  <c r="J29" i="5"/>
  <c r="K30" i="5"/>
  <c r="L31" i="5"/>
  <c r="M32" i="5"/>
  <c r="N33" i="5"/>
  <c r="O34" i="5"/>
  <c r="P35" i="5"/>
</calcChain>
</file>

<file path=xl/sharedStrings.xml><?xml version="1.0" encoding="utf-8"?>
<sst xmlns="http://schemas.openxmlformats.org/spreadsheetml/2006/main" count="382" uniqueCount="89">
  <si>
    <t>Homework 7</t>
  </si>
  <si>
    <t>Financial Management</t>
  </si>
  <si>
    <t>Returns (with dividends)</t>
  </si>
  <si>
    <t>Prob</t>
  </si>
  <si>
    <t>CMB</t>
  </si>
  <si>
    <t>COL</t>
  </si>
  <si>
    <t>F</t>
  </si>
  <si>
    <t>GLD</t>
  </si>
  <si>
    <t>HWP</t>
  </si>
  <si>
    <t>INTC</t>
  </si>
  <si>
    <t>KO</t>
  </si>
  <si>
    <t>LPX</t>
  </si>
  <si>
    <t>LUV</t>
  </si>
  <si>
    <t>MO</t>
  </si>
  <si>
    <t>MOB</t>
  </si>
  <si>
    <t>MSFT</t>
  </si>
  <si>
    <t>PCG</t>
  </si>
  <si>
    <t>PG</t>
  </si>
  <si>
    <t>X</t>
  </si>
  <si>
    <t>Portfolio</t>
  </si>
  <si>
    <t>Jan '96</t>
  </si>
  <si>
    <t>Feb '96</t>
  </si>
  <si>
    <t>Mar '96</t>
  </si>
  <si>
    <t>Apr '96</t>
  </si>
  <si>
    <t>May '96</t>
  </si>
  <si>
    <t>Jun '96</t>
  </si>
  <si>
    <t>Jul '96</t>
  </si>
  <si>
    <t>Aug '96</t>
  </si>
  <si>
    <t>Sep '96</t>
  </si>
  <si>
    <t>Oct '96</t>
  </si>
  <si>
    <t>Nov '96</t>
  </si>
  <si>
    <t>Dec '96</t>
  </si>
  <si>
    <t>Problem 1</t>
  </si>
  <si>
    <r>
      <t>E (R</t>
    </r>
    <r>
      <rPr>
        <b/>
        <vertAlign val="subscript"/>
        <sz val="10"/>
        <rFont val="Arial Narrow"/>
        <family val="2"/>
      </rPr>
      <t>j</t>
    </r>
    <r>
      <rPr>
        <b/>
        <sz val="10"/>
        <rFont val="Arial Narrow"/>
      </rPr>
      <t>)</t>
    </r>
  </si>
  <si>
    <r>
      <t xml:space="preserve">s </t>
    </r>
    <r>
      <rPr>
        <vertAlign val="superscript"/>
        <sz val="10"/>
        <rFont val="Arial Narrow"/>
        <family val="2"/>
      </rPr>
      <t xml:space="preserve">2 </t>
    </r>
    <r>
      <rPr>
        <sz val="10"/>
        <rFont val="Symbol"/>
        <family val="1"/>
        <charset val="2"/>
      </rPr>
      <t>(</t>
    </r>
    <r>
      <rPr>
        <sz val="10"/>
        <rFont val="Arial Narrow"/>
        <family val="2"/>
      </rPr>
      <t>R</t>
    </r>
    <r>
      <rPr>
        <vertAlign val="subscript"/>
        <sz val="10"/>
        <rFont val="Arial Narrow"/>
        <family val="2"/>
      </rPr>
      <t>j</t>
    </r>
    <r>
      <rPr>
        <sz val="10"/>
        <rFont val="Arial Narrow"/>
        <family val="2"/>
      </rPr>
      <t>)</t>
    </r>
  </si>
  <si>
    <r>
      <t xml:space="preserve">s </t>
    </r>
    <r>
      <rPr>
        <b/>
        <sz val="10"/>
        <rFont val="Symbol"/>
        <family val="1"/>
        <charset val="2"/>
      </rPr>
      <t>(</t>
    </r>
    <r>
      <rPr>
        <b/>
        <sz val="10"/>
        <rFont val="Arial Narrow"/>
      </rPr>
      <t>R</t>
    </r>
    <r>
      <rPr>
        <b/>
        <vertAlign val="subscript"/>
        <sz val="10"/>
        <rFont val="Arial Narrow"/>
        <family val="2"/>
      </rPr>
      <t>j</t>
    </r>
    <r>
      <rPr>
        <b/>
        <sz val="10"/>
        <rFont val="Arial Narrow"/>
      </rPr>
      <t>)</t>
    </r>
  </si>
  <si>
    <t>Covariance Matrix using Probabilities</t>
  </si>
  <si>
    <t>Correlation Matrix using Probabilities</t>
  </si>
  <si>
    <t>Problem 2</t>
  </si>
  <si>
    <t>Total</t>
  </si>
  <si>
    <t>Weight</t>
  </si>
  <si>
    <t>Full Covariance Matrix using Probabilities</t>
  </si>
  <si>
    <r>
      <t>E (R</t>
    </r>
    <r>
      <rPr>
        <b/>
        <vertAlign val="subscript"/>
        <sz val="10"/>
        <rFont val="Arial Narrow"/>
        <family val="2"/>
      </rPr>
      <t>p</t>
    </r>
    <r>
      <rPr>
        <b/>
        <sz val="10"/>
        <rFont val="Arial Narrow"/>
      </rPr>
      <t>)</t>
    </r>
  </si>
  <si>
    <r>
      <t xml:space="preserve">s </t>
    </r>
    <r>
      <rPr>
        <vertAlign val="superscript"/>
        <sz val="10"/>
        <rFont val="Arial Narrow"/>
        <family val="2"/>
      </rPr>
      <t xml:space="preserve">2 </t>
    </r>
    <r>
      <rPr>
        <sz val="10"/>
        <rFont val="Symbol"/>
        <family val="1"/>
        <charset val="2"/>
      </rPr>
      <t>(</t>
    </r>
    <r>
      <rPr>
        <sz val="10"/>
        <rFont val="Arial Narrow"/>
        <family val="2"/>
      </rPr>
      <t>R</t>
    </r>
    <r>
      <rPr>
        <vertAlign val="subscript"/>
        <sz val="10"/>
        <rFont val="Arial Narrow"/>
        <family val="2"/>
      </rPr>
      <t>p</t>
    </r>
    <r>
      <rPr>
        <sz val="10"/>
        <rFont val="Arial Narrow"/>
        <family val="2"/>
      </rPr>
      <t>)</t>
    </r>
  </si>
  <si>
    <r>
      <t xml:space="preserve">s </t>
    </r>
    <r>
      <rPr>
        <b/>
        <sz val="10"/>
        <rFont val="Symbol"/>
        <family val="1"/>
        <charset val="2"/>
      </rPr>
      <t>(</t>
    </r>
    <r>
      <rPr>
        <b/>
        <sz val="10"/>
        <rFont val="Arial Narrow"/>
      </rPr>
      <t>R</t>
    </r>
    <r>
      <rPr>
        <b/>
        <vertAlign val="subscript"/>
        <sz val="10"/>
        <rFont val="Arial Narrow"/>
        <family val="2"/>
      </rPr>
      <t>p</t>
    </r>
    <r>
      <rPr>
        <b/>
        <sz val="10"/>
        <rFont val="Arial Narrow"/>
      </rPr>
      <t>)</t>
    </r>
  </si>
  <si>
    <t>Problem 4</t>
  </si>
  <si>
    <t>Mean</t>
  </si>
  <si>
    <r>
      <t>Var (R</t>
    </r>
    <r>
      <rPr>
        <vertAlign val="subscript"/>
        <sz val="10"/>
        <rFont val="Arial Narrow"/>
        <family val="2"/>
      </rPr>
      <t>j</t>
    </r>
    <r>
      <rPr>
        <sz val="10"/>
        <rFont val="Arial Narrow"/>
        <family val="2"/>
      </rPr>
      <t>)</t>
    </r>
  </si>
  <si>
    <r>
      <t>Std Dev (R</t>
    </r>
    <r>
      <rPr>
        <b/>
        <vertAlign val="subscript"/>
        <sz val="10"/>
        <rFont val="Arial Narrow"/>
        <family val="2"/>
      </rPr>
      <t>j</t>
    </r>
    <r>
      <rPr>
        <b/>
        <sz val="10"/>
        <rFont val="Arial Narrow"/>
      </rPr>
      <t>)</t>
    </r>
  </si>
  <si>
    <t>Covariance Matrix Historical</t>
  </si>
  <si>
    <t>Correlation Matrix Historical</t>
  </si>
  <si>
    <t>Problem 5</t>
  </si>
  <si>
    <r>
      <t xml:space="preserve">Max </t>
    </r>
    <r>
      <rPr>
        <sz val="10"/>
        <rFont val="Symbol"/>
        <family val="1"/>
        <charset val="2"/>
      </rPr>
      <t>r</t>
    </r>
  </si>
  <si>
    <t>Columnar</t>
  </si>
  <si>
    <t>Matrix</t>
  </si>
  <si>
    <r>
      <t>Std Dev (R</t>
    </r>
    <r>
      <rPr>
        <vertAlign val="subscript"/>
        <sz val="10"/>
        <rFont val="Arial Narrow"/>
        <family val="2"/>
      </rPr>
      <t>j</t>
    </r>
    <r>
      <rPr>
        <sz val="10"/>
        <rFont val="Arial Narrow"/>
        <family val="2"/>
      </rPr>
      <t>)</t>
    </r>
  </si>
  <si>
    <r>
      <t xml:space="preserve">Covariance Matrix (when correlation is </t>
    </r>
    <r>
      <rPr>
        <b/>
        <sz val="10"/>
        <rFont val="Arial Narrow"/>
      </rPr>
      <t>positive</t>
    </r>
    <r>
      <rPr>
        <sz val="10"/>
        <rFont val="Arial Narrow"/>
      </rPr>
      <t>)</t>
    </r>
  </si>
  <si>
    <t>Return</t>
  </si>
  <si>
    <t>Std Dev</t>
  </si>
  <si>
    <t>Problem 6</t>
  </si>
  <si>
    <r>
      <t xml:space="preserve">Covariance Matrix (when correlation is </t>
    </r>
    <r>
      <rPr>
        <b/>
        <sz val="10"/>
        <rFont val="Arial Narrow"/>
      </rPr>
      <t>negative</t>
    </r>
    <r>
      <rPr>
        <sz val="10"/>
        <rFont val="Arial Narrow"/>
      </rPr>
      <t>)</t>
    </r>
  </si>
  <si>
    <t>Problem 7</t>
  </si>
  <si>
    <t>Optimal Weight</t>
  </si>
  <si>
    <t>Optimal Portfolio</t>
  </si>
  <si>
    <t>The coordinates of the optimal portfolio are plotted above in both graphs.</t>
  </si>
  <si>
    <t>=SQRT(($A$187^2)*$C$182+($B$187^2)*$D$183+2*$A$187*$B$187*$C$183)</t>
  </si>
  <si>
    <t>=$A$187*$C$178+$B$187*$D$178</t>
  </si>
  <si>
    <t>Problem 8</t>
  </si>
  <si>
    <t>Full Covariance Matrix Historical</t>
  </si>
  <si>
    <t>Inverted Covariance Matrix</t>
  </si>
  <si>
    <t>Multiplication of Inverted Matrix and Returns Vector</t>
  </si>
  <si>
    <t>Optimal Weights</t>
  </si>
  <si>
    <t>Raw</t>
  </si>
  <si>
    <t>Scaled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</si>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</sst>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2" formatCode="0.000000%"/>
    <numFmt numFmtId="173" formatCode="0.000000"/>
    <numFmt numFmtId="175" formatCode="0.0000%"/>
    <numFmt numFmtId="176" formatCode="0.00000"/>
    <numFmt numFmtId="177" formatCode="0.0000"/>
    <numFmt numFmtId="178" formatCode="#,##0.000000"/>
    <numFmt numFmtId="179" formatCode="0.0"/>
  </numFmts>
  <fonts count="12">
    <font>
      <sz val="10"/>
      <name val="Arial Narrow"/>
    </font>
    <font>
      <b/>
      <sz val="10"/>
      <name val="Arial Narrow"/>
    </font>
    <font>
      <i/>
      <sz val="10"/>
      <name val="Arial Narrow"/>
    </font>
    <font>
      <sz val="10"/>
      <name val="Arial Narrow"/>
      <family val="2"/>
    </font>
    <font>
      <vertAlign val="subscript"/>
      <sz val="10"/>
      <name val="Arial Narrow"/>
      <family val="2"/>
    </font>
    <font>
      <sz val="10"/>
      <name val="Symbol"/>
      <family val="1"/>
      <charset val="2"/>
    </font>
    <font>
      <vertAlign val="superscript"/>
      <sz val="10"/>
      <name val="Arial Narrow"/>
      <family val="2"/>
    </font>
    <font>
      <b/>
      <vertAlign val="subscript"/>
      <sz val="10"/>
      <name val="Arial Narrow"/>
      <family val="2"/>
    </font>
    <font>
      <b/>
      <sz val="10"/>
      <name val="Symbol"/>
      <family val="1"/>
      <charset val="2"/>
    </font>
    <font>
      <b/>
      <vertAlign val="subscript"/>
      <sz val="10"/>
      <name val="Arial Narrow"/>
      <family val="2"/>
    </font>
    <font>
      <sz val="10"/>
      <name val="Helvetica-Narrow"/>
    </font>
    <font>
      <vertAlign val="subscript"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173" fontId="0" fillId="0" borderId="0" xfId="0" applyNumberFormat="1" applyFill="1" applyBorder="1" applyAlignment="1"/>
    <xf numFmtId="173" fontId="0" fillId="0" borderId="1" xfId="0" applyNumberFormat="1" applyFill="1" applyBorder="1" applyAlignment="1"/>
    <xf numFmtId="173" fontId="0" fillId="0" borderId="0" xfId="0" applyNumberFormat="1"/>
    <xf numFmtId="175" fontId="1" fillId="0" borderId="0" xfId="0" applyNumberFormat="1" applyFont="1"/>
    <xf numFmtId="176" fontId="1" fillId="0" borderId="0" xfId="0" applyNumberFormat="1" applyFont="1"/>
    <xf numFmtId="0" fontId="0" fillId="0" borderId="0" xfId="0" quotePrefix="1" applyAlignment="1">
      <alignment horizontal="left"/>
    </xf>
    <xf numFmtId="2" fontId="0" fillId="0" borderId="0" xfId="0" applyNumberFormat="1"/>
    <xf numFmtId="177" fontId="0" fillId="0" borderId="0" xfId="0" applyNumberFormat="1"/>
    <xf numFmtId="172" fontId="1" fillId="0" borderId="0" xfId="0" applyNumberFormat="1" applyFont="1"/>
    <xf numFmtId="176" fontId="3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3" fillId="0" borderId="0" xfId="0" applyFont="1"/>
    <xf numFmtId="0" fontId="0" fillId="0" borderId="1" xfId="0" quotePrefix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right"/>
    </xf>
    <xf numFmtId="173" fontId="1" fillId="0" borderId="0" xfId="0" applyNumberFormat="1" applyFont="1"/>
    <xf numFmtId="173" fontId="1" fillId="0" borderId="0" xfId="0" applyNumberFormat="1" applyFont="1" applyFill="1" applyBorder="1" applyAlignment="1"/>
    <xf numFmtId="0" fontId="3" fillId="0" borderId="0" xfId="0" applyFont="1" applyAlignment="1"/>
    <xf numFmtId="0" fontId="3" fillId="0" borderId="1" xfId="0" applyFont="1" applyBorder="1" applyAlignment="1"/>
    <xf numFmtId="173" fontId="0" fillId="0" borderId="3" xfId="0" applyNumberFormat="1" applyBorder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172" fontId="0" fillId="0" borderId="0" xfId="0" applyNumberFormat="1"/>
    <xf numFmtId="173" fontId="3" fillId="0" borderId="0" xfId="0" applyNumberFormat="1" applyFont="1"/>
    <xf numFmtId="172" fontId="3" fillId="0" borderId="0" xfId="0" applyNumberFormat="1" applyFont="1"/>
    <xf numFmtId="0" fontId="0" fillId="0" borderId="0" xfId="0" quotePrefix="1" applyBorder="1" applyAlignment="1">
      <alignment horizontal="left"/>
    </xf>
    <xf numFmtId="178" fontId="3" fillId="0" borderId="0" xfId="0" applyNumberFormat="1" applyFont="1"/>
    <xf numFmtId="0" fontId="0" fillId="0" borderId="0" xfId="0" applyBorder="1"/>
    <xf numFmtId="0" fontId="0" fillId="0" borderId="0" xfId="0" applyAlignment="1">
      <alignment horizontal="centerContinuous"/>
    </xf>
    <xf numFmtId="179" fontId="0" fillId="0" borderId="0" xfId="0" applyNumberFormat="1"/>
    <xf numFmtId="172" fontId="0" fillId="0" borderId="0" xfId="0" applyNumberFormat="1" applyBorder="1"/>
    <xf numFmtId="179" fontId="3" fillId="0" borderId="0" xfId="0" applyNumberFormat="1" applyFont="1" applyBorder="1" applyAlignment="1">
      <alignment horizontal="right"/>
    </xf>
    <xf numFmtId="173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quotePrefix="1" applyFont="1" applyAlignment="1">
      <alignment horizontal="centerContinuous"/>
    </xf>
    <xf numFmtId="0" fontId="0" fillId="0" borderId="3" xfId="0" applyBorder="1"/>
    <xf numFmtId="173" fontId="3" fillId="0" borderId="0" xfId="0" applyNumberFormat="1" applyFont="1" applyBorder="1" applyAlignment="1">
      <alignment horizontal="right"/>
    </xf>
    <xf numFmtId="172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2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r>
              <a:rPr lang="en-GB"/>
              <a:t>Return vs. Risk</a:t>
            </a:r>
          </a:p>
        </c:rich>
      </c:tx>
      <c:layout>
        <c:manualLayout>
          <c:xMode val="edge"/>
          <c:yMode val="edge"/>
          <c:x val="0.43259259259259258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518518518518519E-2"/>
          <c:y val="0.1202020202020202"/>
          <c:w val="0.86296296296296293"/>
          <c:h val="0.8111111111111111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5"/>
            <c:marker>
              <c:symbol val="x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1-8002-4F4C-8E2B-0E8BFCA38A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CMB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002-4F4C-8E2B-0E8BFCA38A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COL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02-4F4C-8E2B-0E8BFCA38A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F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002-4F4C-8E2B-0E8BFCA38A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GLD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02-4F4C-8E2B-0E8BFCA38A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HWP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02-4F4C-8E2B-0E8BFCA38A87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962962962962963"/>
                  <c:y val="0.1464646464646464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INTC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02-4F4C-8E2B-0E8BFCA38A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KO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002-4F4C-8E2B-0E8BFCA38A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LPX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02-4F4C-8E2B-0E8BFCA38A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LUV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02-4F4C-8E2B-0E8BFCA38A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MO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02-4F4C-8E2B-0E8BFCA38A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MOB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002-4F4C-8E2B-0E8BFCA38A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MSFT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002-4F4C-8E2B-0E8BFCA38A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PCG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02-4F4C-8E2B-0E8BFCA38A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PG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002-4F4C-8E2B-0E8BFCA38A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X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02-4F4C-8E2B-0E8BFCA38A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Helvetica-Narrow"/>
                        <a:ea typeface="Helvetica-Narrow"/>
                        <a:cs typeface="Helvetica-Narrow"/>
                      </a:defRPr>
                    </a:pPr>
                    <a:r>
                      <a:rPr lang="en-GB"/>
                      <a:t>Portfolio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02-4F4C-8E2B-0E8BFCA38A8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RDERets1!$C$22:$R$22</c:f>
              <c:numCache>
                <c:formatCode>0.000000%</c:formatCode>
                <c:ptCount val="16"/>
                <c:pt idx="0">
                  <c:v>5.3715644685696555E-2</c:v>
                </c:pt>
                <c:pt idx="1">
                  <c:v>5.8781344863825635E-2</c:v>
                </c:pt>
                <c:pt idx="2">
                  <c:v>6.1463887047598934E-2</c:v>
                </c:pt>
                <c:pt idx="3">
                  <c:v>0.11103451445383998</c:v>
                </c:pt>
                <c:pt idx="4">
                  <c:v>0.1037014102893495</c:v>
                </c:pt>
                <c:pt idx="5">
                  <c:v>8.2569887798155564E-2</c:v>
                </c:pt>
                <c:pt idx="6">
                  <c:v>4.9209347435218043E-2</c:v>
                </c:pt>
                <c:pt idx="7">
                  <c:v>6.567986945023567E-2</c:v>
                </c:pt>
                <c:pt idx="8">
                  <c:v>9.1902572733302726E-2</c:v>
                </c:pt>
                <c:pt idx="9">
                  <c:v>7.3635191423666452E-2</c:v>
                </c:pt>
                <c:pt idx="10">
                  <c:v>2.0357662218437558E-2</c:v>
                </c:pt>
                <c:pt idx="11">
                  <c:v>4.0713072532050441E-2</c:v>
                </c:pt>
                <c:pt idx="12">
                  <c:v>8.5945872245268423E-2</c:v>
                </c:pt>
                <c:pt idx="13">
                  <c:v>3.6227177905544895E-2</c:v>
                </c:pt>
                <c:pt idx="14">
                  <c:v>7.6728110989389017E-2</c:v>
                </c:pt>
                <c:pt idx="15">
                  <c:v>3.5359757341047723E-2</c:v>
                </c:pt>
              </c:numCache>
            </c:numRef>
          </c:xVal>
          <c:yVal>
            <c:numRef>
              <c:f>RDERets1!$C$20:$R$20</c:f>
              <c:numCache>
                <c:formatCode>0.0000%</c:formatCode>
                <c:ptCount val="16"/>
                <c:pt idx="0">
                  <c:v>2.7754000000000001E-2</c:v>
                </c:pt>
                <c:pt idx="1">
                  <c:v>6.7640000000000026E-3</c:v>
                </c:pt>
                <c:pt idx="2">
                  <c:v>1.3829999999999984E-3</c:v>
                </c:pt>
                <c:pt idx="3">
                  <c:v>-9.1400000000000006E-3</c:v>
                </c:pt>
                <c:pt idx="4">
                  <c:v>6.2480000000000036E-3</c:v>
                </c:pt>
                <c:pt idx="5">
                  <c:v>7.4272999999999992E-2</c:v>
                </c:pt>
                <c:pt idx="6">
                  <c:v>3.1025E-2</c:v>
                </c:pt>
                <c:pt idx="7">
                  <c:v>-1.5107000000000001E-2</c:v>
                </c:pt>
                <c:pt idx="8">
                  <c:v>-1.6365000000000001E-2</c:v>
                </c:pt>
                <c:pt idx="9">
                  <c:v>1.9527999999999997E-2</c:v>
                </c:pt>
                <c:pt idx="10">
                  <c:v>7.1169999999999992E-3</c:v>
                </c:pt>
                <c:pt idx="11">
                  <c:v>5.5395E-2</c:v>
                </c:pt>
                <c:pt idx="12">
                  <c:v>-1.2038E-2</c:v>
                </c:pt>
                <c:pt idx="13">
                  <c:v>2.3758999999999999E-2</c:v>
                </c:pt>
                <c:pt idx="14">
                  <c:v>-1.4371999999999998E-2</c:v>
                </c:pt>
                <c:pt idx="15" formatCode="0.000000%">
                  <c:v>1.2414933333333333E-2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002-4F4C-8E2B-0E8BFCA38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27695"/>
        <c:axId val="1"/>
      </c:scatterChart>
      <c:valAx>
        <c:axId val="106712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Risk (Std Dev)</a:t>
                </a:r>
              </a:p>
            </c:rich>
          </c:tx>
          <c:layout>
            <c:manualLayout>
              <c:xMode val="edge"/>
              <c:yMode val="edge"/>
              <c:x val="0.4777777777777778"/>
              <c:y val="0.947474747474747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Return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489898989898989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106712769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Helvetica-Narrow"/>
          <a:ea typeface="Helvetica-Narrow"/>
          <a:cs typeface="Helvetica-Narrow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r>
              <a:rPr lang="en-GB"/>
              <a:t>Two-Asset Portfolio (with Positive Correlation)</a:t>
            </a:r>
          </a:p>
        </c:rich>
      </c:tx>
      <c:layout>
        <c:manualLayout>
          <c:xMode val="edge"/>
          <c:yMode val="edge"/>
          <c:x val="0.20914553676855699"/>
          <c:y val="3.84627441189333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08533261604896"/>
          <c:y val="0.2669766944725962"/>
          <c:w val="0.71531288625884615"/>
          <c:h val="0.54074093202500417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1"/>
            <c:marker>
              <c:symbol val="circle"/>
              <c:size val="5"/>
            </c:marker>
            <c:bubble3D val="0"/>
            <c:spPr>
              <a:ln w="19050">
                <a:noFill/>
              </a:ln>
            </c:spPr>
            <c:extLst>
              <c:ext xmlns:c16="http://schemas.microsoft.com/office/drawing/2014/chart" uri="{C3380CC4-5D6E-409C-BE32-E72D297353CC}">
                <c16:uniqueId val="{00000001-DAB8-406F-85AC-A307A184C23F}"/>
              </c:ext>
            </c:extLst>
          </c:dPt>
          <c:xVal>
            <c:numRef>
              <c:f>(RDERets1!$D$141:$D$151,RDERets1!$D$187)</c:f>
              <c:numCache>
                <c:formatCode>0.000000%</c:formatCode>
                <c:ptCount val="12"/>
                <c:pt idx="0">
                  <c:v>8.4669067014411514E-2</c:v>
                </c:pt>
                <c:pt idx="1">
                  <c:v>8.1687237885322894E-2</c:v>
                </c:pt>
                <c:pt idx="2">
                  <c:v>7.8875985898847256E-2</c:v>
                </c:pt>
                <c:pt idx="3">
                  <c:v>7.6254179319145271E-2</c:v>
                </c:pt>
                <c:pt idx="4">
                  <c:v>7.3842000038575412E-2</c:v>
                </c:pt>
                <c:pt idx="5">
                  <c:v>7.166062007614063E-2</c:v>
                </c:pt>
                <c:pt idx="6">
                  <c:v>6.9731702715740168E-2</c:v>
                </c:pt>
                <c:pt idx="7">
                  <c:v>6.8076711521012467E-2</c:v>
                </c:pt>
                <c:pt idx="8">
                  <c:v>6.6716035054050798E-2</c:v>
                </c:pt>
                <c:pt idx="9">
                  <c:v>6.5667970953052213E-2</c:v>
                </c:pt>
                <c:pt idx="10">
                  <c:v>6.4947654913690908E-2</c:v>
                </c:pt>
                <c:pt idx="11">
                  <c:v>6.4502398756215953E-2</c:v>
                </c:pt>
              </c:numCache>
            </c:numRef>
          </c:xVal>
          <c:yVal>
            <c:numRef>
              <c:f>(RDERets1!$C$141:$C$151,RDERets1!$C$187)</c:f>
              <c:numCache>
                <c:formatCode>0.000000%</c:formatCode>
                <c:ptCount val="12"/>
                <c:pt idx="0">
                  <c:v>7.700000000000002E-3</c:v>
                </c:pt>
                <c:pt idx="1">
                  <c:v>8.7016666666666683E-3</c:v>
                </c:pt>
                <c:pt idx="2">
                  <c:v>9.7033333333333346E-3</c:v>
                </c:pt>
                <c:pt idx="3">
                  <c:v>1.0704999999999999E-2</c:v>
                </c:pt>
                <c:pt idx="4">
                  <c:v>1.1706666666666667E-2</c:v>
                </c:pt>
                <c:pt idx="5">
                  <c:v>1.2708333333333334E-2</c:v>
                </c:pt>
                <c:pt idx="6">
                  <c:v>1.371E-2</c:v>
                </c:pt>
                <c:pt idx="7">
                  <c:v>1.4711666666666666E-2</c:v>
                </c:pt>
                <c:pt idx="8">
                  <c:v>1.5713333333333333E-2</c:v>
                </c:pt>
                <c:pt idx="9">
                  <c:v>1.6715000000000001E-2</c:v>
                </c:pt>
                <c:pt idx="10">
                  <c:v>1.7716666666666665E-2</c:v>
                </c:pt>
                <c:pt idx="11">
                  <c:v>1.9325915877977478E-2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B8-406F-85AC-A307A184C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190047"/>
        <c:axId val="1"/>
      </c:scatterChart>
      <c:valAx>
        <c:axId val="86119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Risk (Std Dev)</a:t>
                </a:r>
              </a:p>
            </c:rich>
          </c:tx>
          <c:layout>
            <c:manualLayout>
              <c:xMode val="edge"/>
              <c:yMode val="edge"/>
              <c:x val="0.45168405839932052"/>
              <c:y val="0.889168143455341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000000000000001E-2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Return</a:t>
                </a:r>
              </a:p>
            </c:rich>
          </c:tx>
          <c:layout>
            <c:manualLayout>
              <c:xMode val="edge"/>
              <c:yMode val="edge"/>
              <c:x val="3.6908035900333584E-2"/>
              <c:y val="0.470602986866949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8611900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Helvetica-Narrow"/>
          <a:ea typeface="Helvetica-Narrow"/>
          <a:cs typeface="Helvetica-Narrow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r>
              <a:rPr lang="en-GB"/>
              <a:t>Two-Asset Portfolio (with Negative Correlation)</a:t>
            </a:r>
          </a:p>
        </c:rich>
      </c:tx>
      <c:layout>
        <c:manualLayout>
          <c:xMode val="edge"/>
          <c:yMode val="edge"/>
          <c:x val="0.20387296021136647"/>
          <c:y val="3.85499399560270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08533261604896"/>
          <c:y val="0.26758193616536413"/>
          <c:w val="0.71531288625884615"/>
          <c:h val="0.53969915938437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1"/>
            <c:marker>
              <c:symbol val="circle"/>
              <c:size val="5"/>
            </c:marker>
            <c:bubble3D val="0"/>
            <c:spPr>
              <a:ln w="19050">
                <a:noFill/>
              </a:ln>
            </c:spPr>
            <c:extLst>
              <c:ext xmlns:c16="http://schemas.microsoft.com/office/drawing/2014/chart" uri="{C3380CC4-5D6E-409C-BE32-E72D297353CC}">
                <c16:uniqueId val="{00000001-63E9-4DBC-8CA3-46CDA6920887}"/>
              </c:ext>
            </c:extLst>
          </c:dPt>
          <c:xVal>
            <c:numRef>
              <c:f>(RDERets1!$D$164:$D$174,RDERets1!$D$187)</c:f>
              <c:numCache>
                <c:formatCode>0.000000%</c:formatCode>
                <c:ptCount val="12"/>
                <c:pt idx="0">
                  <c:v>8.4669067014411514E-2</c:v>
                </c:pt>
                <c:pt idx="1">
                  <c:v>7.0887922786393567E-2</c:v>
                </c:pt>
                <c:pt idx="2">
                  <c:v>5.7377380930330388E-2</c:v>
                </c:pt>
                <c:pt idx="3">
                  <c:v>4.4385241302200264E-2</c:v>
                </c:pt>
                <c:pt idx="4">
                  <c:v>3.2538515732291863E-2</c:v>
                </c:pt>
                <c:pt idx="5">
                  <c:v>2.3627947948191005E-2</c:v>
                </c:pt>
                <c:pt idx="6">
                  <c:v>2.164773429253047E-2</c:v>
                </c:pt>
                <c:pt idx="7">
                  <c:v>2.8103174790997061E-2</c:v>
                </c:pt>
                <c:pt idx="8">
                  <c:v>3.9009896491049863E-2</c:v>
                </c:pt>
                <c:pt idx="9">
                  <c:v>5.1619523174156433E-2</c:v>
                </c:pt>
                <c:pt idx="10">
                  <c:v>6.4947654913690908E-2</c:v>
                </c:pt>
                <c:pt idx="11">
                  <c:v>6.4502398756215953E-2</c:v>
                </c:pt>
              </c:numCache>
            </c:numRef>
          </c:xVal>
          <c:yVal>
            <c:numRef>
              <c:f>(RDERets1!$C$164:$C$174,RDERets1!$C$187)</c:f>
              <c:numCache>
                <c:formatCode>0.000000%</c:formatCode>
                <c:ptCount val="12"/>
                <c:pt idx="0">
                  <c:v>7.700000000000002E-3</c:v>
                </c:pt>
                <c:pt idx="1">
                  <c:v>8.7016666666666683E-3</c:v>
                </c:pt>
                <c:pt idx="2">
                  <c:v>9.7033333333333346E-3</c:v>
                </c:pt>
                <c:pt idx="3">
                  <c:v>1.0704999999999999E-2</c:v>
                </c:pt>
                <c:pt idx="4">
                  <c:v>1.1706666666666667E-2</c:v>
                </c:pt>
                <c:pt idx="5">
                  <c:v>1.2708333333333334E-2</c:v>
                </c:pt>
                <c:pt idx="6">
                  <c:v>1.371E-2</c:v>
                </c:pt>
                <c:pt idx="7">
                  <c:v>1.4711666666666666E-2</c:v>
                </c:pt>
                <c:pt idx="8">
                  <c:v>1.5713333333333333E-2</c:v>
                </c:pt>
                <c:pt idx="9">
                  <c:v>1.6715000000000001E-2</c:v>
                </c:pt>
                <c:pt idx="10">
                  <c:v>1.7716666666666665E-2</c:v>
                </c:pt>
                <c:pt idx="11">
                  <c:v>1.9325915877977478E-2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E9-4DBC-8CA3-46CDA6920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32271"/>
        <c:axId val="1"/>
      </c:scatterChart>
      <c:valAx>
        <c:axId val="1067132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Risk (Std Dev)</a:t>
                </a:r>
              </a:p>
            </c:rich>
          </c:tx>
          <c:layout>
            <c:manualLayout>
              <c:xMode val="edge"/>
              <c:yMode val="edge"/>
              <c:x val="0.45168405839932052"/>
              <c:y val="0.888916262515446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000000000000001E-2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Helvetica-Narrow"/>
                    <a:ea typeface="Helvetica-Narrow"/>
                    <a:cs typeface="Helvetica-Narrow"/>
                  </a:defRPr>
                </a:pPr>
                <a:r>
                  <a:rPr lang="en-GB"/>
                  <a:t>Return</a:t>
                </a:r>
              </a:p>
            </c:rich>
          </c:tx>
          <c:layout>
            <c:manualLayout>
              <c:xMode val="edge"/>
              <c:yMode val="edge"/>
              <c:x val="3.6908035900333584E-2"/>
              <c:y val="0.47166985357962493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-Narrow"/>
                <a:ea typeface="Helvetica-Narrow"/>
                <a:cs typeface="Helvetica-Narrow"/>
              </a:defRPr>
            </a:pPr>
            <a:endParaRPr lang="en-US"/>
          </a:p>
        </c:txPr>
        <c:crossAx val="10671322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Helvetica-Narrow"/>
          <a:ea typeface="Helvetica-Narrow"/>
          <a:cs typeface="Helvetica-Narrow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verticalDpi="0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75" bottom="0.75" header="0.25" footer="0.25"/>
  <pageSetup orientation="landscape" verticalDpi="300" r:id="rId1"/>
  <headerFooter alignWithMargins="0">
    <oddHeader>&amp;LFinancial Management&amp;CRisk and Diversification&amp;RHomework No. 7</oddHeader>
    <oddFooter>&amp;L&amp;F: &amp;A&amp;CPage 15 of 15&amp;RProblem 3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F9F01-B00A-4C86-B5E8-1AE9AFB715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134</xdr:row>
      <xdr:rowOff>0</xdr:rowOff>
    </xdr:from>
    <xdr:to>
      <xdr:col>10</xdr:col>
      <xdr:colOff>0</xdr:colOff>
      <xdr:row>150</xdr:row>
      <xdr:rowOff>158750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A51F43D-19E5-417F-8EAE-DDE20498B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157</xdr:row>
      <xdr:rowOff>6350</xdr:rowOff>
    </xdr:from>
    <xdr:to>
      <xdr:col>10</xdr:col>
      <xdr:colOff>0</xdr:colOff>
      <xdr:row>173</xdr:row>
      <xdr:rowOff>158750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2B5BDCF-04FB-4442-94F4-50FEADC3F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0.63971</cdr:x>
      <cdr:y>0.32987</cdr:y>
    </cdr:from>
    <cdr:to>
      <cdr:x>0.81855</cdr:x>
      <cdr:y>0.38626</cdr:y>
    </cdr:to>
    <cdr:sp macro="" textlink="">
      <cdr:nvSpPr>
        <cdr:cNvPr id="2049" name="Text 1">
          <a:extLst xmlns:a="http://schemas.openxmlformats.org/drawingml/2006/main">
            <a:ext uri="{FF2B5EF4-FFF2-40B4-BE49-F238E27FC236}">
              <a16:creationId xmlns:a16="http://schemas.microsoft.com/office/drawing/2014/main" id="{EECFE7D9-B61A-4B7F-A84E-3B4E1175ED1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15448" y="927954"/>
          <a:ext cx="647294" cy="158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-Narrow"/>
            </a:rPr>
            <a:t>Optimal Portfolio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0.63753</cdr:x>
      <cdr:y>0.32893</cdr:y>
    </cdr:from>
    <cdr:to>
      <cdr:x>0.81636</cdr:x>
      <cdr:y>0.38555</cdr:y>
    </cdr:to>
    <cdr:sp macro="" textlink="">
      <cdr:nvSpPr>
        <cdr:cNvPr id="3073" name="Text 1">
          <a:extLst xmlns:a="http://schemas.openxmlformats.org/drawingml/2006/main">
            <a:ext uri="{FF2B5EF4-FFF2-40B4-BE49-F238E27FC236}">
              <a16:creationId xmlns:a16="http://schemas.microsoft.com/office/drawing/2014/main" id="{134D6503-88C5-4609-9EC2-248914C1E44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07533" y="923195"/>
          <a:ext cx="647293" cy="158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-Narrow"/>
            </a:rPr>
            <a:t>Optimal Portfolio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MIS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ExpValue"/>
      <definedName name="PCorr"/>
      <definedName name="PCovar"/>
      <definedName name="PortRet"/>
      <definedName name="PortStDev1"/>
      <definedName name="PortVar1"/>
      <definedName name="PStDev"/>
      <definedName name="PVar"/>
      <definedName name="WOpt1Cov"/>
      <definedName name="WOpt2Cov"/>
    </defined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167" workbookViewId="0">
      <selection activeCell="F189" sqref="F189"/>
    </sheetView>
  </sheetViews>
  <sheetFormatPr defaultRowHeight="13"/>
  <cols>
    <col min="3" max="18" width="12.6640625" customWidth="1"/>
  </cols>
  <sheetData>
    <row r="1" spans="1:18">
      <c r="A1" t="s">
        <v>0</v>
      </c>
    </row>
    <row r="2" spans="1:18">
      <c r="A2" t="s">
        <v>1</v>
      </c>
    </row>
    <row r="4" spans="1:18">
      <c r="A4" s="2" t="s">
        <v>2</v>
      </c>
    </row>
    <row r="5" spans="1:18" ht="13.5" thickBot="1"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1" t="s">
        <v>10</v>
      </c>
      <c r="J5" s="21" t="s">
        <v>11</v>
      </c>
      <c r="K5" s="21" t="s">
        <v>12</v>
      </c>
      <c r="L5" s="21" t="s">
        <v>13</v>
      </c>
      <c r="M5" s="21" t="s">
        <v>14</v>
      </c>
      <c r="N5" s="21" t="s">
        <v>15</v>
      </c>
      <c r="O5" s="21" t="s">
        <v>16</v>
      </c>
      <c r="P5" s="21" t="s">
        <v>17</v>
      </c>
      <c r="Q5" s="21" t="s">
        <v>18</v>
      </c>
      <c r="R5" s="21" t="s">
        <v>19</v>
      </c>
    </row>
    <row r="6" spans="1:18">
      <c r="A6" t="s">
        <v>20</v>
      </c>
      <c r="B6" s="12">
        <v>0.04</v>
      </c>
      <c r="C6" s="1">
        <v>0.15110000000000001</v>
      </c>
      <c r="D6" s="1">
        <v>9.6699999999999994E-2</v>
      </c>
      <c r="E6" s="1">
        <v>3.3799999999999997E-2</v>
      </c>
      <c r="F6" s="1">
        <v>0.35049999999999998</v>
      </c>
      <c r="G6" s="1">
        <v>1.1900000000000001E-2</v>
      </c>
      <c r="H6" s="1">
        <v>-2.5999999999999999E-2</v>
      </c>
      <c r="I6" s="1">
        <v>1.8100000000000002E-2</v>
      </c>
      <c r="J6" s="1">
        <v>5.7299999999999997E-2</v>
      </c>
      <c r="K6" s="1">
        <v>0.14169999999999999</v>
      </c>
      <c r="L6" s="1">
        <v>3.8800000000000001E-2</v>
      </c>
      <c r="M6" s="1">
        <v>-6.9999999999999999E-4</v>
      </c>
      <c r="N6" s="1">
        <v>8.7099999999999997E-2</v>
      </c>
      <c r="O6" s="1">
        <v>-4.7999999999999996E-3</v>
      </c>
      <c r="P6" s="1">
        <v>1.3899999999999999E-2</v>
      </c>
      <c r="Q6" s="1">
        <v>0.1585</v>
      </c>
    </row>
    <row r="7" spans="1:18">
      <c r="A7" t="s">
        <v>21</v>
      </c>
      <c r="B7" s="12">
        <v>0.05</v>
      </c>
      <c r="C7" s="1">
        <v>7.9699999999999993E-2</v>
      </c>
      <c r="D7" s="1">
        <v>-1.5699999999999999E-2</v>
      </c>
      <c r="E7" s="1">
        <v>5.9299999999999999E-2</v>
      </c>
      <c r="F7" s="1">
        <v>-4.58E-2</v>
      </c>
      <c r="G7" s="1">
        <v>0.19120000000000001</v>
      </c>
      <c r="H7" s="1">
        <v>6.4799999999999996E-2</v>
      </c>
      <c r="I7" s="1">
        <v>7.1300000000000002E-2</v>
      </c>
      <c r="J7" s="1">
        <v>-9.3100000000000002E-2</v>
      </c>
      <c r="K7" s="1">
        <v>0.1714</v>
      </c>
      <c r="L7" s="1">
        <v>6.7400000000000002E-2</v>
      </c>
      <c r="M7" s="1">
        <v>-1.0200000000000001E-2</v>
      </c>
      <c r="N7" s="1">
        <v>6.6900000000000001E-2</v>
      </c>
      <c r="O7" s="1">
        <v>-7.6600000000000001E-2</v>
      </c>
      <c r="P7" s="1">
        <v>-2.0899999999999998E-2</v>
      </c>
      <c r="Q7" s="1">
        <v>-7.4200000000000002E-2</v>
      </c>
    </row>
    <row r="8" spans="1:18">
      <c r="A8" t="s">
        <v>22</v>
      </c>
      <c r="B8" s="12">
        <v>0.06</v>
      </c>
      <c r="C8" s="1">
        <v>-1.34E-2</v>
      </c>
      <c r="D8" s="1">
        <v>5.4800000000000001E-2</v>
      </c>
      <c r="E8" s="1">
        <v>0.1</v>
      </c>
      <c r="F8" s="1">
        <v>2.4E-2</v>
      </c>
      <c r="G8" s="1">
        <v>-6.5699999999999995E-2</v>
      </c>
      <c r="H8" s="1">
        <v>-3.3000000000000002E-2</v>
      </c>
      <c r="I8" s="1">
        <v>2.4799999999999999E-2</v>
      </c>
      <c r="J8" s="1">
        <v>5.4100000000000002E-2</v>
      </c>
      <c r="K8" s="1">
        <v>-3.2500000000000001E-2</v>
      </c>
      <c r="L8" s="1">
        <v>-0.11360000000000001</v>
      </c>
      <c r="M8" s="1">
        <v>5.7000000000000002E-2</v>
      </c>
      <c r="N8" s="1">
        <v>4.4999999999999998E-2</v>
      </c>
      <c r="O8" s="1">
        <v>-0.1268</v>
      </c>
      <c r="P8" s="1">
        <v>3.3500000000000002E-2</v>
      </c>
      <c r="Q8" s="1">
        <v>5.7299999999999997E-2</v>
      </c>
    </row>
    <row r="9" spans="1:18">
      <c r="A9" t="s">
        <v>23</v>
      </c>
      <c r="B9" s="12">
        <v>0.1</v>
      </c>
      <c r="C9" s="1">
        <v>-5.3600000000000002E-2</v>
      </c>
      <c r="D9" s="1">
        <v>-7.9600000000000004E-2</v>
      </c>
      <c r="E9" s="1">
        <v>5.3800000000000001E-2</v>
      </c>
      <c r="F9" s="1">
        <v>-7.0300000000000001E-2</v>
      </c>
      <c r="G9" s="1">
        <v>0.12479999999999999</v>
      </c>
      <c r="H9" s="1">
        <v>0.19189999999999999</v>
      </c>
      <c r="I9" s="1">
        <v>-1.21E-2</v>
      </c>
      <c r="J9" s="1">
        <v>3.1399999999999997E-2</v>
      </c>
      <c r="K9" s="1">
        <v>4.0000000000000002E-4</v>
      </c>
      <c r="L9" s="1">
        <v>3.85E-2</v>
      </c>
      <c r="M9" s="1">
        <v>4.0000000000000002E-4</v>
      </c>
      <c r="N9" s="1">
        <v>0.12859999999999999</v>
      </c>
      <c r="O9" s="1">
        <v>3.8699999999999998E-2</v>
      </c>
      <c r="P9" s="1">
        <v>1.8E-3</v>
      </c>
      <c r="Q9" s="1">
        <v>-3.9699999999999999E-2</v>
      </c>
    </row>
    <row r="10" spans="1:18">
      <c r="A10" t="s">
        <v>24</v>
      </c>
      <c r="B10" s="12">
        <v>0.1</v>
      </c>
      <c r="C10" s="1">
        <v>1.4500000000000001E-2</v>
      </c>
      <c r="D10" s="1">
        <v>1.41E-2</v>
      </c>
      <c r="E10" s="1">
        <v>1.7399999999999999E-2</v>
      </c>
      <c r="F10" s="1">
        <v>2.52E-2</v>
      </c>
      <c r="G10" s="1">
        <v>7.7999999999999996E-3</v>
      </c>
      <c r="H10" s="1">
        <v>0.1144</v>
      </c>
      <c r="I10" s="1">
        <v>0.1288</v>
      </c>
      <c r="J10" s="1">
        <v>-1.4999999999999999E-2</v>
      </c>
      <c r="K10" s="1">
        <v>-7.9799999999999996E-2</v>
      </c>
      <c r="L10" s="1">
        <v>0.1026</v>
      </c>
      <c r="M10" s="1">
        <v>-1.8499999999999999E-2</v>
      </c>
      <c r="N10" s="1">
        <v>4.8599999999999997E-2</v>
      </c>
      <c r="O10" s="1">
        <v>2.1999999999999999E-2</v>
      </c>
      <c r="P10" s="1">
        <v>3.9899999999999998E-2</v>
      </c>
      <c r="Q10" s="1">
        <v>-6.0600000000000001E-2</v>
      </c>
    </row>
    <row r="11" spans="1:18">
      <c r="A11" t="s">
        <v>25</v>
      </c>
      <c r="B11" s="12">
        <v>0.15</v>
      </c>
      <c r="C11" s="1">
        <v>8.8999999999999999E-3</v>
      </c>
      <c r="D11" s="1">
        <v>-4.5999999999999999E-3</v>
      </c>
      <c r="E11" s="1">
        <v>-0.113</v>
      </c>
      <c r="F11" s="1">
        <v>-7.3800000000000004E-2</v>
      </c>
      <c r="G11" s="1">
        <v>-6.4500000000000002E-2</v>
      </c>
      <c r="H11" s="1">
        <v>-2.7300000000000001E-2</v>
      </c>
      <c r="I11" s="1">
        <v>6.5199999999999994E-2</v>
      </c>
      <c r="J11" s="1">
        <v>-0.10150000000000001</v>
      </c>
      <c r="K11" s="1">
        <v>6.3899999999999998E-2</v>
      </c>
      <c r="L11" s="1">
        <v>4.65E-2</v>
      </c>
      <c r="M11" s="1">
        <v>-4.4000000000000003E-3</v>
      </c>
      <c r="N11" s="1">
        <v>1.1599999999999999E-2</v>
      </c>
      <c r="O11" s="1">
        <v>0</v>
      </c>
      <c r="P11" s="1">
        <v>3.1300000000000001E-2</v>
      </c>
      <c r="Q11" s="1">
        <v>-8.4699999999999998E-2</v>
      </c>
    </row>
    <row r="12" spans="1:18">
      <c r="A12" t="s">
        <v>26</v>
      </c>
      <c r="B12" s="12">
        <v>0.15</v>
      </c>
      <c r="C12" s="1">
        <v>-8.0000000000000002E-3</v>
      </c>
      <c r="D12" s="1">
        <v>-4.3700000000000003E-2</v>
      </c>
      <c r="E12" s="1">
        <v>1.0800000000000001E-2</v>
      </c>
      <c r="F12" s="1">
        <v>-8.5000000000000006E-2</v>
      </c>
      <c r="G12" s="1">
        <v>-0.1167</v>
      </c>
      <c r="H12" s="1">
        <v>2.3699999999999999E-2</v>
      </c>
      <c r="I12" s="1">
        <v>-4.0800000000000003E-2</v>
      </c>
      <c r="J12" s="1">
        <v>-6.7100000000000007E-2</v>
      </c>
      <c r="K12" s="1">
        <v>-0.14979999999999999</v>
      </c>
      <c r="L12" s="1">
        <v>1.5599999999999999E-2</v>
      </c>
      <c r="M12" s="1">
        <v>-0.01</v>
      </c>
      <c r="N12" s="1">
        <v>9.7999999999999997E-3</v>
      </c>
      <c r="O12" s="1">
        <v>-0.1295</v>
      </c>
      <c r="P12" s="1">
        <v>-1.0800000000000001E-2</v>
      </c>
      <c r="Q12" s="1">
        <v>-9.69E-2</v>
      </c>
    </row>
    <row r="13" spans="1:18">
      <c r="A13" t="s">
        <v>27</v>
      </c>
      <c r="B13" s="12">
        <v>0.1</v>
      </c>
      <c r="C13" s="1">
        <v>7.0099999999999996E-2</v>
      </c>
      <c r="D13" s="1">
        <v>0.1</v>
      </c>
      <c r="E13" s="1">
        <v>3.4700000000000002E-2</v>
      </c>
      <c r="F13" s="1">
        <v>9.7000000000000003E-3</v>
      </c>
      <c r="G13" s="1">
        <v>-2.0000000000000001E-4</v>
      </c>
      <c r="H13" s="1">
        <v>6.2399999999999997E-2</v>
      </c>
      <c r="I13" s="1">
        <v>6.6699999999999995E-2</v>
      </c>
      <c r="J13" s="1">
        <v>6.0999999999999999E-2</v>
      </c>
      <c r="K13" s="1">
        <v>-8.0799999999999997E-2</v>
      </c>
      <c r="L13" s="1">
        <v>-0.14219999999999999</v>
      </c>
      <c r="M13" s="1">
        <v>2.4899999999999999E-2</v>
      </c>
      <c r="N13" s="1">
        <v>3.9199999999999999E-2</v>
      </c>
      <c r="O13" s="1">
        <v>0.14560000000000001</v>
      </c>
      <c r="P13" s="1">
        <v>-4.1999999999999997E-3</v>
      </c>
      <c r="Q13" s="1">
        <v>8.3699999999999997E-2</v>
      </c>
    </row>
    <row r="14" spans="1:18">
      <c r="A14" t="s">
        <v>28</v>
      </c>
      <c r="B14" s="12">
        <v>0.1</v>
      </c>
      <c r="C14" s="1">
        <v>7.7299999999999994E-2</v>
      </c>
      <c r="D14" s="1">
        <v>8.8999999999999999E-3</v>
      </c>
      <c r="E14" s="1">
        <v>-6.7199999999999996E-2</v>
      </c>
      <c r="F14" s="1">
        <v>-3.85E-2</v>
      </c>
      <c r="G14" s="1">
        <v>0.1143</v>
      </c>
      <c r="H14" s="1">
        <v>0.1958</v>
      </c>
      <c r="I14" s="1">
        <v>1.7500000000000002E-2</v>
      </c>
      <c r="J14" s="1">
        <v>4.5999999999999999E-2</v>
      </c>
      <c r="K14" s="1">
        <v>5.4999999999999997E-3</v>
      </c>
      <c r="L14" s="1">
        <v>0</v>
      </c>
      <c r="M14" s="1">
        <v>2.4299999999999999E-2</v>
      </c>
      <c r="N14" s="1">
        <v>7.6499999999999999E-2</v>
      </c>
      <c r="O14" s="1">
        <v>-3.8699999999999998E-2</v>
      </c>
      <c r="P14" s="1">
        <v>9.7000000000000003E-2</v>
      </c>
      <c r="Q14" s="1">
        <v>3.6400000000000002E-2</v>
      </c>
    </row>
    <row r="15" spans="1:18">
      <c r="A15" t="s">
        <v>29</v>
      </c>
      <c r="B15" s="12">
        <v>0.06</v>
      </c>
      <c r="C15" s="1">
        <v>7.7200000000000005E-2</v>
      </c>
      <c r="D15" s="1">
        <v>-5.9900000000000002E-2</v>
      </c>
      <c r="E15" s="1">
        <v>1.23E-2</v>
      </c>
      <c r="F15" s="1">
        <v>-0.05</v>
      </c>
      <c r="G15" s="1">
        <v>-9.4899999999999998E-2</v>
      </c>
      <c r="H15" s="1">
        <v>0.15179999999999999</v>
      </c>
      <c r="I15" s="1">
        <v>-4.8999999999999998E-3</v>
      </c>
      <c r="J15" s="1">
        <v>-7.6300000000000007E-2</v>
      </c>
      <c r="K15" s="1">
        <v>-1.5900000000000001E-2</v>
      </c>
      <c r="L15" s="1">
        <v>4.2599999999999999E-2</v>
      </c>
      <c r="M15" s="1">
        <v>1.7299999999999999E-2</v>
      </c>
      <c r="N15" s="1">
        <v>6.8000000000000005E-2</v>
      </c>
      <c r="O15" s="1">
        <v>9.7199999999999995E-2</v>
      </c>
      <c r="P15" s="1">
        <v>0.02</v>
      </c>
      <c r="Q15" s="1">
        <v>-3.95E-2</v>
      </c>
    </row>
    <row r="16" spans="1:18">
      <c r="A16" t="s">
        <v>30</v>
      </c>
      <c r="B16" s="12">
        <v>0.05</v>
      </c>
      <c r="C16" s="1">
        <v>0.10199999999999999</v>
      </c>
      <c r="D16" s="1">
        <v>0.12280000000000001</v>
      </c>
      <c r="E16" s="1">
        <v>4.8000000000000001E-2</v>
      </c>
      <c r="F16" s="1">
        <v>-3.1600000000000003E-2</v>
      </c>
      <c r="G16" s="1">
        <v>0.221</v>
      </c>
      <c r="H16" s="1">
        <v>0.1547</v>
      </c>
      <c r="I16" s="1">
        <v>1.24E-2</v>
      </c>
      <c r="J16" s="1">
        <v>8.3799999999999999E-2</v>
      </c>
      <c r="K16" s="1">
        <v>0.1056</v>
      </c>
      <c r="L16" s="1">
        <v>0.1177</v>
      </c>
      <c r="M16" s="1">
        <v>3.7499999999999999E-2</v>
      </c>
      <c r="N16" s="1">
        <v>0.14299999999999999</v>
      </c>
      <c r="O16" s="1">
        <v>3.2099999999999997E-2</v>
      </c>
      <c r="P16" s="1">
        <v>9.8500000000000004E-2</v>
      </c>
      <c r="Q16" s="1">
        <v>0.1106</v>
      </c>
    </row>
    <row r="17" spans="1:18">
      <c r="A17" t="s">
        <v>31</v>
      </c>
      <c r="B17" s="12">
        <v>0.04</v>
      </c>
      <c r="C17" s="1">
        <v>-5.4199999999999998E-2</v>
      </c>
      <c r="D17" s="1">
        <v>1.8800000000000001E-2</v>
      </c>
      <c r="E17" s="1">
        <v>-1.5299999999999999E-2</v>
      </c>
      <c r="F17" s="1">
        <v>0.33700000000000002</v>
      </c>
      <c r="G17" s="1">
        <v>-6.7299999999999999E-2</v>
      </c>
      <c r="H17" s="1">
        <v>3.2500000000000001E-2</v>
      </c>
      <c r="I17" s="1">
        <v>2.93E-2</v>
      </c>
      <c r="J17" s="1">
        <v>-6.6299999999999998E-2</v>
      </c>
      <c r="K17" s="1">
        <v>-0.11559999999999999</v>
      </c>
      <c r="L17" s="1">
        <v>9.4399999999999998E-2</v>
      </c>
      <c r="M17" s="1">
        <v>9.2999999999999992E-3</v>
      </c>
      <c r="N17" s="1">
        <v>5.3400000000000003E-2</v>
      </c>
      <c r="O17" s="1">
        <v>-0.1295</v>
      </c>
      <c r="P17" s="1">
        <v>-1.03E-2</v>
      </c>
      <c r="Q17" s="1">
        <v>4.1500000000000002E-2</v>
      </c>
    </row>
    <row r="18" spans="1:18">
      <c r="B18" s="1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ht="13.5" thickBot="1">
      <c r="A19" s="20" t="s">
        <v>32</v>
      </c>
      <c r="B19" s="1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8" ht="15">
      <c r="A20" s="17" t="s">
        <v>33</v>
      </c>
      <c r="C20" s="9">
        <f>[1]!ExpValue($B$6:$B$17,C6:C17)</f>
        <v>2.7754000000000001E-2</v>
      </c>
      <c r="D20" s="9">
        <f>[1]!ExpValue($B$6:$B$17,D6:D17)</f>
        <v>6.7640000000000026E-3</v>
      </c>
      <c r="E20" s="9">
        <f>[1]!ExpValue($B$6:$B$17,E6:E17)</f>
        <v>1.3829999999999984E-3</v>
      </c>
      <c r="F20" s="9">
        <f>[1]!ExpValue($B$6:$B$17,F6:F17)</f>
        <v>-9.1400000000000006E-3</v>
      </c>
      <c r="G20" s="9">
        <f>[1]!ExpValue($B$6:$B$17,G6:G17)</f>
        <v>6.2480000000000036E-3</v>
      </c>
      <c r="H20" s="9">
        <f>[1]!ExpValue($B$6:$B$17,H6:H17)</f>
        <v>7.4272999999999992E-2</v>
      </c>
      <c r="I20" s="9">
        <f>[1]!ExpValue($B$6:$B$17,I6:I17)</f>
        <v>3.1025E-2</v>
      </c>
      <c r="J20" s="9">
        <f>[1]!ExpValue($B$6:$B$17,J6:J17)</f>
        <v>-1.5107000000000001E-2</v>
      </c>
      <c r="K20" s="9">
        <f>[1]!ExpValue($B$6:$B$17,K6:K17)</f>
        <v>-1.6365000000000001E-2</v>
      </c>
      <c r="L20" s="9">
        <f>[1]!ExpValue($B$6:$B$17,L6:L17)</f>
        <v>1.9527999999999997E-2</v>
      </c>
      <c r="M20" s="9">
        <f>[1]!ExpValue($B$6:$B$17,M6:M17)</f>
        <v>7.1169999999999992E-3</v>
      </c>
      <c r="N20" s="9">
        <f>[1]!ExpValue($B$6:$B$17,N6:N17)</f>
        <v>5.5395E-2</v>
      </c>
      <c r="O20" s="9">
        <f>[1]!ExpValue($B$6:$B$17,O6:O17)</f>
        <v>-1.2038E-2</v>
      </c>
      <c r="P20" s="9">
        <f>[1]!ExpValue($B$6:$B$17,P6:P17)</f>
        <v>2.3758999999999999E-2</v>
      </c>
      <c r="Q20" s="9">
        <f>[1]!ExpValue($B$6:$B$17,Q6:Q17)</f>
        <v>-1.4371999999999998E-2</v>
      </c>
      <c r="R20" s="31">
        <f>R80</f>
        <v>1.2414933333333333E-2</v>
      </c>
    </row>
    <row r="21" spans="1:18" ht="16">
      <c r="A21" s="29" t="s">
        <v>34</v>
      </c>
      <c r="C21" s="35">
        <f>[1]!PVar($B$6:$B$17,C6:C17)</f>
        <v>2.8853704840000002E-3</v>
      </c>
      <c r="D21" s="35">
        <f>[1]!PVar($B$6:$B$17,D6:D17)</f>
        <v>3.4552465040000005E-3</v>
      </c>
      <c r="E21" s="35">
        <f>[1]!PVar($B$6:$B$17,E6:E17)</f>
        <v>3.7778094109999997E-3</v>
      </c>
      <c r="F21" s="35">
        <f>[1]!PVar($B$6:$B$17,F6:F17)</f>
        <v>1.23286634E-2</v>
      </c>
      <c r="G21" s="35">
        <f>[1]!PVar($B$6:$B$17,G6:G17)</f>
        <v>1.0753982496E-2</v>
      </c>
      <c r="H21" s="35">
        <f>[1]!PVar($B$6:$B$17,H6:H17)</f>
        <v>6.817786371E-3</v>
      </c>
      <c r="I21" s="35">
        <f>[1]!PVar($B$6:$B$17,I6:I17)</f>
        <v>2.4215598750000006E-3</v>
      </c>
      <c r="J21" s="35">
        <f>[1]!PVar($B$6:$B$17,J6:J17)</f>
        <v>4.3138452510000005E-3</v>
      </c>
      <c r="K21" s="35">
        <f>[1]!PVar($B$6:$B$17,K6:K17)</f>
        <v>8.4460828749999984E-3</v>
      </c>
      <c r="L21" s="35">
        <f>[1]!PVar($B$6:$B$17,L6:L17)</f>
        <v>5.4221414160000011E-3</v>
      </c>
      <c r="M21" s="35">
        <f>[1]!PVar($B$6:$B$17,M6:M17)</f>
        <v>4.1443441100000002E-4</v>
      </c>
      <c r="N21" s="35">
        <f>[1]!PVar($B$6:$B$17,N6:N17)</f>
        <v>1.6575542749999999E-3</v>
      </c>
      <c r="O21" s="35">
        <f>[1]!PVar($B$6:$B$17,O6:O17)</f>
        <v>7.3866929560000016E-3</v>
      </c>
      <c r="P21" s="35">
        <f>[1]!PVar($B$6:$B$17,P6:P17)</f>
        <v>1.3124084190000002E-3</v>
      </c>
      <c r="Q21" s="35">
        <f>[1]!PVar($B$6:$B$17,Q6:Q17)</f>
        <v>5.8872030160000005E-3</v>
      </c>
      <c r="R21" s="32">
        <f>R81</f>
        <v>1.2503124392177784E-3</v>
      </c>
    </row>
    <row r="22" spans="1:18" ht="15">
      <c r="A22" s="30" t="s">
        <v>35</v>
      </c>
      <c r="C22" s="14">
        <f>[1]!PStDev($B$6:$B$17,C6:C17)</f>
        <v>5.3715644685696555E-2</v>
      </c>
      <c r="D22" s="14">
        <f>[1]!PStDev($B$6:$B$17,D6:D17)</f>
        <v>5.8781344863825635E-2</v>
      </c>
      <c r="E22" s="14">
        <f>[1]!PStDev($B$6:$B$17,E6:E17)</f>
        <v>6.1463887047598934E-2</v>
      </c>
      <c r="F22" s="14">
        <f>[1]!PStDev($B$6:$B$17,F6:F17)</f>
        <v>0.11103451445383998</v>
      </c>
      <c r="G22" s="14">
        <f>[1]!PStDev($B$6:$B$17,G6:G17)</f>
        <v>0.1037014102893495</v>
      </c>
      <c r="H22" s="14">
        <f>[1]!PStDev($B$6:$B$17,H6:H17)</f>
        <v>8.2569887798155564E-2</v>
      </c>
      <c r="I22" s="14">
        <f>[1]!PStDev($B$6:$B$17,I6:I17)</f>
        <v>4.9209347435218043E-2</v>
      </c>
      <c r="J22" s="14">
        <f>[1]!PStDev($B$6:$B$17,J6:J17)</f>
        <v>6.567986945023567E-2</v>
      </c>
      <c r="K22" s="14">
        <f>[1]!PStDev($B$6:$B$17,K6:K17)</f>
        <v>9.1902572733302726E-2</v>
      </c>
      <c r="L22" s="14">
        <f>[1]!PStDev($B$6:$B$17,L6:L17)</f>
        <v>7.3635191423666452E-2</v>
      </c>
      <c r="M22" s="14">
        <f>[1]!PStDev($B$6:$B$17,M6:M17)</f>
        <v>2.0357662218437558E-2</v>
      </c>
      <c r="N22" s="14">
        <f>[1]!PStDev($B$6:$B$17,N6:N17)</f>
        <v>4.0713072532050441E-2</v>
      </c>
      <c r="O22" s="14">
        <f>[1]!PStDev($B$6:$B$17,O6:O17)</f>
        <v>8.5945872245268423E-2</v>
      </c>
      <c r="P22" s="14">
        <f>[1]!PStDev($B$6:$B$17,P6:P17)</f>
        <v>3.6227177905544895E-2</v>
      </c>
      <c r="Q22" s="14">
        <f>[1]!PStDev($B$6:$B$17,Q6:Q17)</f>
        <v>7.6728110989389017E-2</v>
      </c>
      <c r="R22" s="31">
        <f>R82</f>
        <v>3.5359757341047723E-2</v>
      </c>
    </row>
    <row r="23" spans="1:18">
      <c r="A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8">
      <c r="A24" s="16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8" ht="13.5" thickBot="1">
      <c r="A25" s="34"/>
      <c r="B25" s="36"/>
      <c r="C25" s="21" t="s">
        <v>4</v>
      </c>
      <c r="D25" s="21" t="s">
        <v>5</v>
      </c>
      <c r="E25" s="21" t="s">
        <v>6</v>
      </c>
      <c r="F25" s="21" t="s">
        <v>7</v>
      </c>
      <c r="G25" s="21" t="s">
        <v>8</v>
      </c>
      <c r="H25" s="21" t="s">
        <v>9</v>
      </c>
      <c r="I25" s="21" t="s">
        <v>10</v>
      </c>
      <c r="J25" s="21" t="s">
        <v>11</v>
      </c>
      <c r="K25" s="21" t="s">
        <v>12</v>
      </c>
      <c r="L25" s="21" t="s">
        <v>13</v>
      </c>
      <c r="M25" s="21" t="s">
        <v>14</v>
      </c>
      <c r="N25" s="21" t="s">
        <v>15</v>
      </c>
      <c r="O25" s="21" t="s">
        <v>16</v>
      </c>
      <c r="P25" s="21" t="s">
        <v>17</v>
      </c>
      <c r="Q25" s="21" t="s">
        <v>18</v>
      </c>
    </row>
    <row r="26" spans="1:18">
      <c r="A26" s="16" t="s">
        <v>4</v>
      </c>
      <c r="C26" s="32">
        <f>[1]!PCovar($B$6:$B$17,$C$6:$C$17,C$6:C$17)</f>
        <v>2.8853704840000002E-3</v>
      </c>
      <c r="D26" s="32">
        <f>[1]!PCovar($B$6:$B$17,$C$6:$C$17,D$6:D$17)</f>
        <v>1.8613648440000002E-3</v>
      </c>
      <c r="E26" s="32">
        <f>[1]!PCovar($B$6:$B$17,$C$6:$C$17,E$6:E$17)</f>
        <v>-4.6404082000000064E-5</v>
      </c>
      <c r="F26" s="32">
        <f>[1]!PCovar($B$6:$B$17,$C$6:$C$17,F$6:F$17)</f>
        <v>1.2341255599999999E-3</v>
      </c>
      <c r="G26" s="32">
        <f>[1]!PCovar($B$6:$B$17,$C$6:$C$17,G$6:G$17)</f>
        <v>1.8251525079999999E-3</v>
      </c>
      <c r="H26" s="32">
        <f>[1]!PCovar($B$6:$B$17,$C$6:$C$17,H$6:H$17)</f>
        <v>5.1125925799999975E-4</v>
      </c>
      <c r="I26" s="32">
        <f>[1]!PCovar($B$6:$B$17,$C$6:$C$17,I$6:I$17)</f>
        <v>4.8000064999999991E-4</v>
      </c>
      <c r="J26" s="32">
        <f>[1]!PCovar($B$6:$B$17,$C$6:$C$17,J$6:J$17)</f>
        <v>1.1069512779999999E-3</v>
      </c>
      <c r="K26" s="32">
        <f>[1]!PCovar($B$6:$B$17,$C$6:$C$17,K$6:K$17)</f>
        <v>2.3586395100000002E-3</v>
      </c>
      <c r="L26" s="32">
        <f>[1]!PCovar($B$6:$B$17,$C$6:$C$17,L$6:L$17)</f>
        <v>-3.656700119999998E-4</v>
      </c>
      <c r="M26" s="32">
        <f>[1]!PCovar($B$6:$B$17,$C$6:$C$17,M$6:M$17)</f>
        <v>3.0253518200000002E-4</v>
      </c>
      <c r="N26" s="32">
        <f>[1]!PCovar($B$6:$B$17,$C$6:$C$17,N$6:N$17)</f>
        <v>3.9895786999999991E-4</v>
      </c>
      <c r="O26" s="32">
        <f>[1]!PCovar($B$6:$B$17,$C$6:$C$17,O$6:O$17)</f>
        <v>1.6978570519999999E-3</v>
      </c>
      <c r="P26" s="32">
        <f>[1]!PCovar($B$6:$B$17,$C$6:$C$17,P$6:P$17)</f>
        <v>7.5502471400000005E-4</v>
      </c>
      <c r="Q26" s="32">
        <f>[1]!PCovar($B$6:$B$17,$C$6:$C$17,Q$6:Q$17)</f>
        <v>2.3024587880000002E-3</v>
      </c>
    </row>
    <row r="27" spans="1:18">
      <c r="A27" s="16" t="s">
        <v>5</v>
      </c>
      <c r="C27" s="32"/>
      <c r="D27" s="32">
        <f>[1]!PCovar($B$6:$B$17,$D$6:$D$17,D$6:D$17)</f>
        <v>3.4552465040000005E-3</v>
      </c>
      <c r="E27" s="32">
        <f>[1]!PCovar($B$6:$B$17,$D$6:$D$17,E$6:E$17)</f>
        <v>5.3329548800000004E-4</v>
      </c>
      <c r="F27" s="32">
        <f>[1]!PCovar($B$6:$B$17,$D$6:$D$17,F$6:F$17)</f>
        <v>3.0374739599999994E-3</v>
      </c>
      <c r="G27" s="32">
        <f>[1]!PCovar($B$6:$B$17,$D$6:$D$17,G$6:G$17)</f>
        <v>1.2118456280000001E-3</v>
      </c>
      <c r="H27" s="32">
        <f>[1]!PCovar($B$6:$B$17,$D$6:$D$17,H$6:H$17)</f>
        <v>-1.0380682720000001E-3</v>
      </c>
      <c r="I27" s="32">
        <f>[1]!PCovar($B$6:$B$17,$D$6:$D$17,I$6:I$17)</f>
        <v>1.1844648000000001E-3</v>
      </c>
      <c r="J27" s="32">
        <f>[1]!PCovar($B$6:$B$17,$D$6:$D$17,J$6:J$17)</f>
        <v>2.2034025479999997E-3</v>
      </c>
      <c r="K27" s="32">
        <f>[1]!PCovar($B$6:$B$17,$D$6:$D$17,K$6:K$17)</f>
        <v>1.0550178599999999E-3</v>
      </c>
      <c r="L27" s="32">
        <f>[1]!PCovar($B$6:$B$17,$D$6:$D$17,L$6:L$17)</f>
        <v>-1.4860093919999999E-3</v>
      </c>
      <c r="M27" s="32">
        <f>[1]!PCovar($B$6:$B$17,$D$6:$D$17,M$6:M$17)</f>
        <v>6.2958741200000001E-4</v>
      </c>
      <c r="N27" s="32">
        <f>[1]!PCovar($B$6:$B$17,$D$6:$D$17,N$6:N$17)</f>
        <v>1.6415131999999999E-4</v>
      </c>
      <c r="O27" s="32">
        <f>[1]!PCovar($B$6:$B$17,$D$6:$D$17,O$6:O$17)</f>
        <v>1.4498419320000003E-3</v>
      </c>
      <c r="P27" s="32">
        <f>[1]!PCovar($B$6:$B$17,$D$6:$D$17,P$6:P$17)</f>
        <v>6.8023622400000005E-4</v>
      </c>
      <c r="Q27" s="32">
        <f>[1]!PCovar($B$6:$B$17,$D$6:$D$17,Q$6:Q$17)</f>
        <v>3.6027791080000004E-3</v>
      </c>
    </row>
    <row r="28" spans="1:18">
      <c r="A28" s="16" t="s">
        <v>6</v>
      </c>
      <c r="C28" s="32"/>
      <c r="D28" s="32"/>
      <c r="E28" s="32">
        <f>[1]!PCovar($B$6:$B$17,$E$6:$E$17,E$6:E$17)</f>
        <v>3.7778094109999997E-3</v>
      </c>
      <c r="F28" s="32">
        <f>[1]!PCovar($B$6:$B$17,$E$6:$E$17,F$6:F$17)</f>
        <v>1.2469586200000002E-3</v>
      </c>
      <c r="G28" s="32">
        <f>[1]!PCovar($B$6:$B$17,$E$6:$E$17,G$6:G$17)</f>
        <v>1.5021342160000005E-3</v>
      </c>
      <c r="H28" s="32">
        <f>[1]!PCovar($B$6:$B$17,$E$6:$E$17,H$6:H$17)</f>
        <v>9.53037841E-4</v>
      </c>
      <c r="I28" s="32">
        <f>[1]!PCovar($B$6:$B$17,$E$6:$E$17,I$6:I$17)</f>
        <v>-5.4839267499999999E-4</v>
      </c>
      <c r="J28" s="32">
        <f>[1]!PCovar($B$6:$B$17,$E$6:$E$17,J$6:J$17)</f>
        <v>1.9894122810000005E-3</v>
      </c>
      <c r="K28" s="32">
        <f>[1]!PCovar($B$6:$B$17,$E$6:$E$17,K$6:K$17)</f>
        <v>-9.39951805E-4</v>
      </c>
      <c r="L28" s="32">
        <f>[1]!PCovar($B$6:$B$17,$E$6:$E$17,L$6:L$17)</f>
        <v>-1.0708456239999998E-3</v>
      </c>
      <c r="M28" s="32">
        <f>[1]!PCovar($B$6:$B$17,$E$6:$E$17,M$6:M$17)</f>
        <v>3.4949258899999994E-4</v>
      </c>
      <c r="N28" s="32">
        <f>[1]!PCovar($B$6:$B$17,$E$6:$E$17,N$6:N$17)</f>
        <v>1.0878416150000003E-3</v>
      </c>
      <c r="O28" s="32">
        <f>[1]!PCovar($B$6:$B$17,$E$6:$E$17,O$6:O$17)</f>
        <v>5.2259554000000065E-5</v>
      </c>
      <c r="P28" s="32">
        <f>[1]!PCovar($B$6:$B$17,$E$6:$E$17,P$6:P$17)</f>
        <v>-7.5290579699999996E-4</v>
      </c>
      <c r="Q28" s="32">
        <f>[1]!PCovar($B$6:$B$17,$E$6:$E$17,Q$6:Q$17)</f>
        <v>1.5743444760000001E-3</v>
      </c>
    </row>
    <row r="29" spans="1:18">
      <c r="A29" s="16" t="s">
        <v>7</v>
      </c>
      <c r="C29" s="32"/>
      <c r="D29" s="32"/>
      <c r="E29" s="32"/>
      <c r="F29" s="32">
        <f>[1]!PCovar($B$6:$B$17,$F$6:$F$17,F$6:F$17)</f>
        <v>1.23286634E-2</v>
      </c>
      <c r="G29" s="32">
        <f>[1]!PCovar($B$6:$B$17,$F$6:$F$17,G$6:G$17)</f>
        <v>-3.7619227999999977E-4</v>
      </c>
      <c r="H29" s="32">
        <f>[1]!PCovar($B$6:$B$17,$F$6:$F$17,H$6:H$17)</f>
        <v>-1.8973377799999995E-3</v>
      </c>
      <c r="I29" s="32">
        <f>[1]!PCovar($B$6:$B$17,$F$6:$F$17,I$6:I$17)</f>
        <v>1.0052365E-3</v>
      </c>
      <c r="J29" s="32">
        <f>[1]!PCovar($B$6:$B$17,$F$6:$F$17,J$6:J$17)</f>
        <v>1.7618010200000007E-3</v>
      </c>
      <c r="K29" s="32">
        <f>[1]!PCovar($B$6:$B$17,$F$6:$F$17,K$6:K$17)</f>
        <v>6.1943390000000027E-4</v>
      </c>
      <c r="L29" s="32">
        <f>[1]!PCovar($B$6:$B$17,$F$6:$F$17,L$6:L$17)</f>
        <v>4.9958591999999988E-4</v>
      </c>
      <c r="M29" s="32">
        <f>[1]!PCovar($B$6:$B$17,$F$6:$F$17,M$6:M$17)</f>
        <v>2.3226138000000002E-4</v>
      </c>
      <c r="N29" s="32">
        <f>[1]!PCovar($B$6:$B$17,$F$6:$F$17,N$6:N$17)</f>
        <v>6.3749430000000005E-4</v>
      </c>
      <c r="O29" s="32">
        <f>[1]!PCovar($B$6:$B$17,$F$6:$F$17,O$6:O$17)</f>
        <v>-5.4774831999999983E-4</v>
      </c>
      <c r="P29" s="32">
        <f>[1]!PCovar($B$6:$B$17,$F$6:$F$17,P$6:P$17)</f>
        <v>-3.4475873999999994E-4</v>
      </c>
      <c r="Q29" s="32">
        <f>[1]!PCovar($B$6:$B$17,$F$6:$F$17,Q$6:Q$17)</f>
        <v>5.0869439200000007E-3</v>
      </c>
    </row>
    <row r="30" spans="1:18">
      <c r="A30" s="16" t="s">
        <v>8</v>
      </c>
      <c r="C30" s="32"/>
      <c r="D30" s="32"/>
      <c r="E30" s="32"/>
      <c r="F30" s="32"/>
      <c r="G30" s="32">
        <f>[1]!PCovar($B$6:$B$17,$G$6:$G$17,G$6:G$17)</f>
        <v>1.0753982496E-2</v>
      </c>
      <c r="H30" s="32">
        <f>[1]!PCovar($B$6:$B$17,$G$6:$G$17,H$6:H$17)</f>
        <v>5.6008850960000012E-3</v>
      </c>
      <c r="I30" s="32">
        <f>[1]!PCovar($B$6:$B$17,$G$6:$G$17,I$6:I$17)</f>
        <v>7.1622379999999994E-4</v>
      </c>
      <c r="J30" s="32">
        <f>[1]!PCovar($B$6:$B$17,$G$6:$G$17,J$6:J$17)</f>
        <v>3.618616936E-3</v>
      </c>
      <c r="K30" s="32">
        <f>[1]!PCovar($B$6:$B$17,$G$6:$G$17,K$6:K$17)</f>
        <v>5.5162520200000001E-3</v>
      </c>
      <c r="L30" s="32">
        <f>[1]!PCovar($B$6:$B$17,$G$6:$G$17,L$6:L$17)</f>
        <v>1.6328953560000002E-3</v>
      </c>
      <c r="M30" s="32">
        <f>[1]!PCovar($B$6:$B$17,$G$6:$G$17,M$6:M$17)</f>
        <v>4.09259984E-4</v>
      </c>
      <c r="N30" s="32">
        <f>[1]!PCovar($B$6:$B$17,$G$6:$G$17,N$6:N$17)</f>
        <v>3.4393988399999994E-3</v>
      </c>
      <c r="O30" s="32">
        <f>[1]!PCovar($B$6:$B$17,$G$6:$G$17,O$6:O$17)</f>
        <v>2.3121209240000002E-3</v>
      </c>
      <c r="P30" s="32">
        <f>[1]!PCovar($B$6:$B$17,$G$6:$G$17,P$6:P$17)</f>
        <v>1.577188268E-3</v>
      </c>
      <c r="Q30" s="32">
        <f>[1]!PCovar($B$6:$B$17,$G$6:$G$17,Q$6:Q$17)</f>
        <v>2.9526996560000004E-3</v>
      </c>
    </row>
    <row r="31" spans="1:18">
      <c r="A31" s="16" t="s">
        <v>9</v>
      </c>
      <c r="C31" s="32"/>
      <c r="D31" s="32"/>
      <c r="E31" s="32"/>
      <c r="F31" s="32"/>
      <c r="G31" s="32"/>
      <c r="H31" s="32">
        <f>[1]!PCovar($B$6:$B$17,$H$6:$H$17,H$6:H$17)</f>
        <v>6.817786371E-3</v>
      </c>
      <c r="I31" s="32">
        <f>[1]!PCovar($B$6:$B$17,$H$6:$H$17,I$6:I$17)</f>
        <v>-4.6376802499999972E-4</v>
      </c>
      <c r="J31" s="32">
        <f>[1]!PCovar($B$6:$B$17,$H$6:$H$17,J$6:J$17)</f>
        <v>2.4101388110000003E-3</v>
      </c>
      <c r="K31" s="32">
        <f>[1]!PCovar($B$6:$B$17,$H$6:$H$17,K$6:K$17)</f>
        <v>1.1356694500000013E-4</v>
      </c>
      <c r="L31" s="32">
        <f>[1]!PCovar($B$6:$B$17,$H$6:$H$17,L$6:L$17)</f>
        <v>1.263950656E-3</v>
      </c>
      <c r="M31" s="32">
        <f>[1]!PCovar($B$6:$B$17,$H$6:$H$17,M$6:M$17)</f>
        <v>1.9561395900000004E-4</v>
      </c>
      <c r="N31" s="32">
        <f>[1]!PCovar($B$6:$B$17,$H$6:$H$17,N$6:N$17)</f>
        <v>2.4712211649999998E-3</v>
      </c>
      <c r="O31" s="32">
        <f>[1]!PCovar($B$6:$B$17,$H$6:$H$17,O$6:O$17)</f>
        <v>2.5519699739999994E-3</v>
      </c>
      <c r="P31" s="32">
        <f>[1]!PCovar($B$6:$B$17,$H$6:$H$17,P$6:P$17)</f>
        <v>1.2149957929999998E-3</v>
      </c>
      <c r="Q31" s="32">
        <f>[1]!PCovar($B$6:$B$17,$H$6:$H$17,Q$6:Q$17)</f>
        <v>8.806845559999998E-4</v>
      </c>
    </row>
    <row r="32" spans="1:18">
      <c r="A32" s="16" t="s">
        <v>10</v>
      </c>
      <c r="C32" s="32"/>
      <c r="D32" s="32"/>
      <c r="E32" s="32"/>
      <c r="F32" s="32"/>
      <c r="G32" s="32"/>
      <c r="H32" s="32"/>
      <c r="I32" s="32">
        <f>[1]!PCovar($B$6:$B$17,$I$6:$I$17,I$6:I$17)</f>
        <v>2.4215598750000006E-3</v>
      </c>
      <c r="J32" s="32">
        <f>[1]!PCovar($B$6:$B$17,$I$6:$I$17,J$6:J$17)</f>
        <v>-7.0378225000000019E-5</v>
      </c>
      <c r="K32" s="32">
        <f>[1]!PCovar($B$6:$B$17,$I$6:$I$17,K$6:K$17)</f>
        <v>1.091758325E-3</v>
      </c>
      <c r="L32" s="32">
        <f>[1]!PCovar($B$6:$B$17,$I$6:$I$17,L$6:L$17)</f>
        <v>3.5029260000000019E-4</v>
      </c>
      <c r="M32" s="32">
        <f>[1]!PCovar($B$6:$B$17,$I$6:$I$17,M$6:M$17)</f>
        <v>-1.55783325E-4</v>
      </c>
      <c r="N32" s="32">
        <f>[1]!PCovar($B$6:$B$17,$I$6:$I$17,N$6:N$17)</f>
        <v>-2.9968517500000012E-4</v>
      </c>
      <c r="O32" s="32">
        <f>[1]!PCovar($B$6:$B$17,$I$6:$I$17,O$6:O$17)</f>
        <v>1.6802975500000003E-3</v>
      </c>
      <c r="P32" s="32">
        <f>[1]!PCovar($B$6:$B$17,$I$6:$I$17,P$6:P$17)</f>
        <v>3.1707852499999995E-4</v>
      </c>
      <c r="Q32" s="32">
        <f>[1]!PCovar($B$6:$B$17,$I$6:$I$17,Q$6:Q$17)</f>
        <v>1.6435769999999979E-4</v>
      </c>
    </row>
    <row r="33" spans="1:17">
      <c r="A33" s="16" t="s">
        <v>11</v>
      </c>
      <c r="C33" s="32"/>
      <c r="D33" s="32"/>
      <c r="E33" s="32"/>
      <c r="F33" s="32"/>
      <c r="G33" s="32"/>
      <c r="H33" s="32"/>
      <c r="I33" s="32"/>
      <c r="J33" s="32">
        <f>[1]!PCovar($B$6:$B$17,$J$6:$J$17,J$6:J$17)</f>
        <v>4.3138452510000005E-3</v>
      </c>
      <c r="K33" s="32">
        <f>[1]!PCovar($B$6:$B$17,$J$6:$J$17,K$6:K$17)</f>
        <v>1.8424924499999972E-4</v>
      </c>
      <c r="L33" s="32">
        <f>[1]!PCovar($B$6:$B$17,$J$6:$J$17,L$6:L$17)</f>
        <v>-2.0161686040000002E-3</v>
      </c>
      <c r="M33" s="32">
        <f>[1]!PCovar($B$6:$B$17,$J$6:$J$17,M$6:M$17)</f>
        <v>8.5199311900000017E-4</v>
      </c>
      <c r="N33" s="32">
        <f>[1]!PCovar($B$6:$B$17,$J$6:$J$17,N$6:N$17)</f>
        <v>1.6640621650000002E-3</v>
      </c>
      <c r="O33" s="32">
        <f>[1]!PCovar($B$6:$B$17,$J$6:$J$17,O$6:O$17)</f>
        <v>1.887147434E-3</v>
      </c>
      <c r="P33" s="32">
        <f>[1]!PCovar($B$6:$B$17,$J$6:$J$17,P$6:P$17)</f>
        <v>9.4382861300000001E-4</v>
      </c>
      <c r="Q33" s="32">
        <f>[1]!PCovar($B$6:$B$17,$J$6:$J$17,Q$6:Q$17)</f>
        <v>4.1208559960000009E-3</v>
      </c>
    </row>
    <row r="34" spans="1:17">
      <c r="A34" s="16" t="s">
        <v>12</v>
      </c>
      <c r="C34" s="32"/>
      <c r="D34" s="32"/>
      <c r="E34" s="32"/>
      <c r="F34" s="32"/>
      <c r="G34" s="32"/>
      <c r="H34" s="32"/>
      <c r="I34" s="32"/>
      <c r="J34" s="32"/>
      <c r="K34" s="32">
        <f>[1]!PCovar($B$6:$B$17,$K$6:$K$17,K$6:K$17)</f>
        <v>8.4460828749999984E-3</v>
      </c>
      <c r="L34" s="32">
        <f>[1]!PCovar($B$6:$B$17,$K$6:$K$17,L$6:L$17)</f>
        <v>1.9098806200000002E-3</v>
      </c>
      <c r="M34" s="32">
        <f>[1]!PCovar($B$6:$B$17,$K$6:$K$17,M$6:M$17)</f>
        <v>1.9477570500000006E-4</v>
      </c>
      <c r="N34" s="32">
        <f>[1]!PCovar($B$6:$B$17,$K$6:$K$17,N$6:N$17)</f>
        <v>1.562686375E-3</v>
      </c>
      <c r="O34" s="32">
        <f>[1]!PCovar($B$6:$B$17,$K$6:$K$17,O$6:O$17)</f>
        <v>1.5802769299999998E-3</v>
      </c>
      <c r="P34" s="32">
        <f>[1]!PCovar($B$6:$B$17,$K$6:$K$17,P$6:P$17)</f>
        <v>1.0834329350000002E-3</v>
      </c>
      <c r="Q34" s="32">
        <f>[1]!PCovar($B$6:$B$17,$K$6:$K$17,Q$6:Q$17)</f>
        <v>1.5365237200000001E-3</v>
      </c>
    </row>
    <row r="35" spans="1:17">
      <c r="A35" s="16" t="s">
        <v>13</v>
      </c>
      <c r="C35" s="32"/>
      <c r="D35" s="32"/>
      <c r="E35" s="32"/>
      <c r="F35" s="32"/>
      <c r="G35" s="32"/>
      <c r="H35" s="32"/>
      <c r="I35" s="32"/>
      <c r="J35" s="32"/>
      <c r="K35" s="32"/>
      <c r="L35" s="32">
        <f>[1]!PCovar($B$6:$B$17,$L$6:$L$17,L$6:L$17)</f>
        <v>5.4221414160000011E-3</v>
      </c>
      <c r="M35" s="32">
        <f>[1]!PCovar($B$6:$B$17,$L$6:$L$17,M$6:M$17)</f>
        <v>-8.5936807600000002E-4</v>
      </c>
      <c r="N35" s="32">
        <f>[1]!PCovar($B$6:$B$17,$L$6:$L$17,N$6:N$17)</f>
        <v>7.2932404000000011E-4</v>
      </c>
      <c r="O35" s="32">
        <f>[1]!PCovar($B$6:$B$17,$L$6:$L$17,O$6:O$17)</f>
        <v>-1.2166320359999999E-3</v>
      </c>
      <c r="P35" s="32">
        <f>[1]!PCovar($B$6:$B$17,$L$6:$L$17,P$6:P$17)</f>
        <v>5.1981124799999989E-4</v>
      </c>
      <c r="Q35" s="32">
        <f>[1]!PCovar($B$6:$B$17,$L$6:$L$17,Q$6:Q$17)</f>
        <v>-2.189682884E-3</v>
      </c>
    </row>
    <row r="36" spans="1:17">
      <c r="A36" s="16" t="s">
        <v>14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>
        <f>[1]!PCovar($B$6:$B$17,$M$6:$M$17,M$6:M$17)</f>
        <v>4.1443441100000002E-4</v>
      </c>
      <c r="N36" s="32">
        <f>[1]!PCovar($B$6:$B$17,$M$6:$M$17,N$6:N$17)</f>
        <v>2.5805078500000002E-4</v>
      </c>
      <c r="O36" s="32">
        <f>[1]!PCovar($B$6:$B$17,$M$6:$M$17,O$6:O$17)</f>
        <v>2.2772694599999994E-4</v>
      </c>
      <c r="P36" s="32">
        <f>[1]!PCovar($B$6:$B$17,$M$6:$M$17,P$6:P$17)</f>
        <v>3.0441389700000006E-4</v>
      </c>
      <c r="Q36" s="32">
        <f>[1]!PCovar($B$6:$B$17,$M$6:$M$17,Q$6:Q$17)</f>
        <v>1.1221065240000002E-3</v>
      </c>
    </row>
    <row r="37" spans="1:17">
      <c r="A37" s="16" t="s">
        <v>15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f>[1]!PCovar($B$6:$B$17,$N$6:$N$17,N$6:N$17)</f>
        <v>1.6575542749999999E-3</v>
      </c>
      <c r="O37" s="32">
        <f>[1]!PCovar($B$6:$B$17,$N$6:$N$17,O$6:O$17)</f>
        <v>1.08994781E-3</v>
      </c>
      <c r="P37" s="32">
        <f>[1]!PCovar($B$6:$B$17,$N$6:$N$17,P$6:P$17)</f>
        <v>4.9794549499999994E-4</v>
      </c>
      <c r="Q37" s="32">
        <f>[1]!PCovar($B$6:$B$17,$N$6:$N$17,Q$6:Q$17)</f>
        <v>1.4848209399999997E-3</v>
      </c>
    </row>
    <row r="38" spans="1:17">
      <c r="A38" s="16" t="s">
        <v>16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>
        <f>[1]!PCovar($B$6:$B$17,$O$6:$O$17,O$6:O$17)</f>
        <v>7.3866929560000016E-3</v>
      </c>
      <c r="P38" s="32">
        <f>[1]!PCovar($B$6:$B$17,$O$6:$O$17,P$6:P$17)</f>
        <v>3.04601542E-4</v>
      </c>
      <c r="Q38" s="32">
        <f>[1]!PCovar($B$6:$B$17,$O$6:$O$17,Q$6:Q$17)</f>
        <v>2.0501119640000003E-3</v>
      </c>
    </row>
    <row r="39" spans="1:17">
      <c r="A39" s="16" t="s">
        <v>17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>
        <f>[1]!PCovar($B$6:$B$17,$P$6:$P$17,P$6:P$17)</f>
        <v>1.3124084190000002E-3</v>
      </c>
      <c r="Q39" s="32">
        <f>[1]!PCovar($B$6:$B$17,$P$6:$P$17,Q$6:Q$17)</f>
        <v>9.3080684800000003E-4</v>
      </c>
    </row>
    <row r="40" spans="1:17">
      <c r="A40" s="16" t="s">
        <v>18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>
        <f>[1]!PCovar($B$6:$B$17,$Q$6:$Q$17,Q$6:Q$17)</f>
        <v>5.8872030160000005E-3</v>
      </c>
    </row>
    <row r="41" spans="1:17">
      <c r="A41" s="11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>
      <c r="A42" s="17" t="s">
        <v>37</v>
      </c>
      <c r="C42" s="9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3.5" thickBot="1">
      <c r="A43" s="34"/>
      <c r="B43" s="36"/>
      <c r="C43" s="21" t="s">
        <v>4</v>
      </c>
      <c r="D43" s="21" t="s">
        <v>5</v>
      </c>
      <c r="E43" s="21" t="s">
        <v>6</v>
      </c>
      <c r="F43" s="21" t="s">
        <v>7</v>
      </c>
      <c r="G43" s="21" t="s">
        <v>8</v>
      </c>
      <c r="H43" s="21" t="s">
        <v>9</v>
      </c>
      <c r="I43" s="21" t="s">
        <v>10</v>
      </c>
      <c r="J43" s="21" t="s">
        <v>11</v>
      </c>
      <c r="K43" s="21" t="s">
        <v>12</v>
      </c>
      <c r="L43" s="21" t="s">
        <v>13</v>
      </c>
      <c r="M43" s="21" t="s">
        <v>14</v>
      </c>
      <c r="N43" s="21" t="s">
        <v>15</v>
      </c>
      <c r="O43" s="21" t="s">
        <v>16</v>
      </c>
      <c r="P43" s="21" t="s">
        <v>17</v>
      </c>
      <c r="Q43" s="21" t="s">
        <v>18</v>
      </c>
    </row>
    <row r="44" spans="1:17">
      <c r="A44" s="16" t="s">
        <v>4</v>
      </c>
      <c r="C44" s="32">
        <f>[1]!PCorr($B$6:$B$17,$C$6:$C$17,C$6:C$17)</f>
        <v>0.99999999999999989</v>
      </c>
      <c r="D44" s="32">
        <f>[1]!PCorr($B$6:$B$17,$C$6:$C$17,D$6:D$17)</f>
        <v>0.58951002710264899</v>
      </c>
      <c r="E44" s="32">
        <f>[1]!PCorr($B$6:$B$17,$C$6:$C$17,E$6:E$17)</f>
        <v>-1.4055146316777052E-2</v>
      </c>
      <c r="F44" s="32">
        <f>[1]!PCorr($B$6:$B$17,$C$6:$C$17,F$6:F$17)</f>
        <v>0.20691908862723962</v>
      </c>
      <c r="G44" s="32">
        <f>[1]!PCorr($B$6:$B$17,$C$6:$C$17,G$6:G$17)</f>
        <v>0.32765266484972949</v>
      </c>
      <c r="H44" s="32">
        <f>[1]!PCorr($B$6:$B$17,$C$6:$C$17,H$6:H$17)</f>
        <v>0.11527063843002043</v>
      </c>
      <c r="I44" s="32">
        <f>[1]!PCorr($B$6:$B$17,$C$6:$C$17,I$6:I$17)</f>
        <v>0.1815906265756482</v>
      </c>
      <c r="J44" s="32">
        <f>[1]!PCorr($B$6:$B$17,$C$6:$C$17,J$6:J$17)</f>
        <v>0.31375845132676983</v>
      </c>
      <c r="K44" s="32">
        <f>[1]!PCorr($B$6:$B$17,$C$6:$C$17,K$6:K$17)</f>
        <v>0.47778565625940689</v>
      </c>
      <c r="L44" s="32">
        <f>[1]!PCorr($B$6:$B$17,$C$6:$C$17,L$6:L$17)</f>
        <v>-9.2449194901162213E-2</v>
      </c>
      <c r="M44" s="32">
        <f>[1]!PCorr($B$6:$B$17,$C$6:$C$17,M$6:M$17)</f>
        <v>0.27666052054982965</v>
      </c>
      <c r="N44" s="32">
        <f>[1]!PCorr($B$6:$B$17,$C$6:$C$17,N$6:N$17)</f>
        <v>0.18242836474117607</v>
      </c>
      <c r="O44" s="32">
        <f>[1]!PCorr($B$6:$B$17,$C$6:$C$17,O$6:O$17)</f>
        <v>0.36776915920998177</v>
      </c>
      <c r="P44" s="32">
        <f>[1]!PCorr($B$6:$B$17,$C$6:$C$17,P$6:P$17)</f>
        <v>0.38799476972429231</v>
      </c>
      <c r="Q44" s="32">
        <f>[1]!PCorr($B$6:$B$17,$C$6:$C$17,Q$6:Q$17)</f>
        <v>0.55864583705802573</v>
      </c>
    </row>
    <row r="45" spans="1:17">
      <c r="A45" s="16" t="s">
        <v>5</v>
      </c>
      <c r="C45" s="32"/>
      <c r="D45" s="32">
        <f>[1]!PCorr($B$6:$B$17,$D$6:$D$17,D$6:D$17)</f>
        <v>1</v>
      </c>
      <c r="E45" s="32">
        <f>[1]!PCorr($B$6:$B$17,$D$6:$D$17,E$6:E$17)</f>
        <v>0.14760748109621216</v>
      </c>
      <c r="F45" s="32">
        <f>[1]!PCorr($B$6:$B$17,$D$6:$D$17,F$6:F$17)</f>
        <v>0.46538785719094139</v>
      </c>
      <c r="G45" s="32">
        <f>[1]!PCorr($B$6:$B$17,$D$6:$D$17,G$6:G$17)</f>
        <v>0.19880308509126754</v>
      </c>
      <c r="H45" s="32">
        <f>[1]!PCorr($B$6:$B$17,$D$6:$D$17,H$6:H$17)</f>
        <v>-0.21387730581342382</v>
      </c>
      <c r="I45" s="32">
        <f>[1]!PCorr($B$6:$B$17,$D$6:$D$17,I$6:I$17)</f>
        <v>0.40948220652544609</v>
      </c>
      <c r="J45" s="32">
        <f>[1]!PCorr($B$6:$B$17,$D$6:$D$17,J$6:J$17)</f>
        <v>0.57071862847486343</v>
      </c>
      <c r="K45" s="32">
        <f>[1]!PCorr($B$6:$B$17,$D$6:$D$17,K$6:K$17)</f>
        <v>0.19529567445363846</v>
      </c>
      <c r="L45" s="32">
        <f>[1]!PCorr($B$6:$B$17,$D$6:$D$17,L$6:L$17)</f>
        <v>-0.34331803331909955</v>
      </c>
      <c r="M45" s="32">
        <f>[1]!PCorr($B$6:$B$17,$D$6:$D$17,M$6:M$17)</f>
        <v>0.5261246064535785</v>
      </c>
      <c r="N45" s="32">
        <f>[1]!PCorr($B$6:$B$17,$D$6:$D$17,N$6:N$17)</f>
        <v>6.8591607710533783E-2</v>
      </c>
      <c r="O45" s="32">
        <f>[1]!PCorr($B$6:$B$17,$D$6:$D$17,O$6:O$17)</f>
        <v>0.28698296255844763</v>
      </c>
      <c r="P45" s="32">
        <f>[1]!PCorr($B$6:$B$17,$D$6:$D$17,P$6:P$17)</f>
        <v>0.31943737866907213</v>
      </c>
      <c r="Q45" s="32">
        <f>[1]!PCorr($B$6:$B$17,$D$6:$D$17,Q$6:Q$17)</f>
        <v>0.79881021768394667</v>
      </c>
    </row>
    <row r="46" spans="1:17">
      <c r="A46" s="16" t="s">
        <v>6</v>
      </c>
      <c r="C46" s="32"/>
      <c r="D46" s="32"/>
      <c r="E46" s="32">
        <f>[1]!PCorr($B$6:$B$17,$E$6:$E$17,E$6:E$17)</f>
        <v>0.99999999999999989</v>
      </c>
      <c r="F46" s="32">
        <f>[1]!PCorr($B$6:$B$17,$E$6:$E$17,F$6:F$17)</f>
        <v>0.18271492413337237</v>
      </c>
      <c r="G46" s="32">
        <f>[1]!PCorr($B$6:$B$17,$E$6:$E$17,G$6:G$17)</f>
        <v>0.23566986552488434</v>
      </c>
      <c r="H46" s="32">
        <f>[1]!PCorr($B$6:$B$17,$E$6:$E$17,H$6:H$17)</f>
        <v>0.18778825589826942</v>
      </c>
      <c r="I46" s="32">
        <f>[1]!PCorr($B$6:$B$17,$E$6:$E$17,I$6:I$17)</f>
        <v>-0.18131094322562524</v>
      </c>
      <c r="J46" s="32">
        <f>[1]!PCorr($B$6:$B$17,$E$6:$E$17,J$6:J$17)</f>
        <v>0.49280203395652383</v>
      </c>
      <c r="K46" s="32">
        <f>[1]!PCorr($B$6:$B$17,$E$6:$E$17,K$6:K$17)</f>
        <v>-0.16640175212020106</v>
      </c>
      <c r="L46" s="32">
        <f>[1]!PCorr($B$6:$B$17,$E$6:$E$17,L$6:L$17)</f>
        <v>-0.23660364127969943</v>
      </c>
      <c r="M46" s="32">
        <f>[1]!PCorr($B$6:$B$17,$E$6:$E$17,M$6:M$17)</f>
        <v>0.27931228953348125</v>
      </c>
      <c r="N46" s="32">
        <f>[1]!PCorr($B$6:$B$17,$E$6:$E$17,N$6:N$17)</f>
        <v>0.43472214860890329</v>
      </c>
      <c r="O46" s="32">
        <f>[1]!PCorr($B$6:$B$17,$E$6:$E$17,O$6:O$17)</f>
        <v>9.8928324434380509E-3</v>
      </c>
      <c r="P46" s="32">
        <f>[1]!PCorr($B$6:$B$17,$E$6:$E$17,P$6:P$17)</f>
        <v>-0.33813187681910428</v>
      </c>
      <c r="Q46" s="32">
        <f>[1]!PCorr($B$6:$B$17,$E$6:$E$17,Q$6:Q$17)</f>
        <v>0.33382990309114369</v>
      </c>
    </row>
    <row r="47" spans="1:17">
      <c r="A47" s="16" t="s">
        <v>7</v>
      </c>
      <c r="C47" s="32"/>
      <c r="D47" s="32"/>
      <c r="E47" s="32"/>
      <c r="F47" s="32">
        <f>[1]!PCorr($B$6:$B$17,$F$6:$F$17,F$6:F$17)</f>
        <v>1</v>
      </c>
      <c r="G47" s="32">
        <f>[1]!PCorr($B$6:$B$17,$F$6:$F$17,G$6:G$17)</f>
        <v>-3.2671360412770578E-2</v>
      </c>
      <c r="H47" s="32">
        <f>[1]!PCorr($B$6:$B$17,$F$6:$F$17,H$6:H$17)</f>
        <v>-0.20694977678419482</v>
      </c>
      <c r="I47" s="32">
        <f>[1]!PCorr($B$6:$B$17,$F$6:$F$17,I$6:I$17)</f>
        <v>0.18397662420880914</v>
      </c>
      <c r="J47" s="32">
        <f>[1]!PCorr($B$6:$B$17,$F$6:$F$17,J$6:J$17)</f>
        <v>0.24158311590680503</v>
      </c>
      <c r="K47" s="32">
        <f>[1]!PCorr($B$6:$B$17,$F$6:$F$17,K$6:K$17)</f>
        <v>6.0702880856680491E-2</v>
      </c>
      <c r="L47" s="32">
        <f>[1]!PCorr($B$6:$B$17,$F$6:$F$17,L$6:L$17)</f>
        <v>6.1103596348181306E-2</v>
      </c>
      <c r="M47" s="32">
        <f>[1]!PCorr($B$6:$B$17,$F$6:$F$17,M$6:M$17)</f>
        <v>0.1027521931404201</v>
      </c>
      <c r="N47" s="32">
        <f>[1]!PCorr($B$6:$B$17,$F$6:$F$17,N$6:N$17)</f>
        <v>0.14102120758631292</v>
      </c>
      <c r="O47" s="32">
        <f>[1]!PCorr($B$6:$B$17,$F$6:$F$17,O$6:O$17)</f>
        <v>-5.7398168247310338E-2</v>
      </c>
      <c r="P47" s="32">
        <f>[1]!PCorr($B$6:$B$17,$F$6:$F$17,P$6:P$17)</f>
        <v>-8.5708280683738827E-2</v>
      </c>
      <c r="Q47" s="32">
        <f>[1]!PCorr($B$6:$B$17,$F$6:$F$17,Q$6:Q$17)</f>
        <v>0.59709639057190234</v>
      </c>
    </row>
    <row r="48" spans="1:17">
      <c r="A48" s="16" t="s">
        <v>8</v>
      </c>
      <c r="C48" s="32"/>
      <c r="D48" s="32"/>
      <c r="E48" s="32"/>
      <c r="F48" s="32"/>
      <c r="G48" s="32">
        <f>[1]!PCorr($B$6:$B$17,$G$6:$G$17,G$6:G$17)</f>
        <v>0.99999999999999989</v>
      </c>
      <c r="H48" s="32">
        <f>[1]!PCorr($B$6:$B$17,$G$6:$G$17,H$6:H$17)</f>
        <v>0.65410927304509703</v>
      </c>
      <c r="I48" s="32">
        <f>[1]!PCorr($B$6:$B$17,$G$6:$G$17,I$6:I$17)</f>
        <v>0.14035131302343185</v>
      </c>
      <c r="J48" s="32">
        <f>[1]!PCorr($B$6:$B$17,$G$6:$G$17,J$6:J$17)</f>
        <v>0.53128269219440682</v>
      </c>
      <c r="K48" s="32">
        <f>[1]!PCorr($B$6:$B$17,$G$6:$G$17,K$6:K$17)</f>
        <v>0.57880432496047007</v>
      </c>
      <c r="L48" s="32">
        <f>[1]!PCorr($B$6:$B$17,$G$6:$G$17,L$6:L$17)</f>
        <v>0.21383966781796673</v>
      </c>
      <c r="M48" s="32">
        <f>[1]!PCorr($B$6:$B$17,$G$6:$G$17,M$6:M$17)</f>
        <v>0.19385933390930452</v>
      </c>
      <c r="N48" s="32">
        <f>[1]!PCorr($B$6:$B$17,$G$6:$G$17,N$6:N$17)</f>
        <v>0.8146367514194871</v>
      </c>
      <c r="O48" s="32">
        <f>[1]!PCorr($B$6:$B$17,$G$6:$G$17,O$6:O$17)</f>
        <v>0.25941844862344821</v>
      </c>
      <c r="P48" s="32">
        <f>[1]!PCorr($B$6:$B$17,$G$6:$G$17,P$6:P$17)</f>
        <v>0.41982120556120067</v>
      </c>
      <c r="Q48" s="32">
        <f>[1]!PCorr($B$6:$B$17,$G$6:$G$17,Q$6:Q$17)</f>
        <v>0.37109072914379687</v>
      </c>
    </row>
    <row r="49" spans="1:17">
      <c r="A49" s="16" t="s">
        <v>9</v>
      </c>
      <c r="C49" s="32"/>
      <c r="D49" s="32"/>
      <c r="E49" s="32"/>
      <c r="F49" s="32"/>
      <c r="G49" s="32"/>
      <c r="H49" s="32">
        <f>[1]!PCorr($B$6:$B$17,$H$6:$H$17,H$6:H$17)</f>
        <v>1.0000000000000002</v>
      </c>
      <c r="I49" s="32">
        <f>[1]!PCorr($B$6:$B$17,$H$6:$H$17,I$6:I$17)</f>
        <v>-0.1141383268833057</v>
      </c>
      <c r="J49" s="32">
        <f>[1]!PCorr($B$6:$B$17,$H$6:$H$17,J$6:J$17)</f>
        <v>0.44441435743189445</v>
      </c>
      <c r="K49" s="32">
        <f>[1]!PCorr($B$6:$B$17,$H$6:$H$17,K$6:K$17)</f>
        <v>1.4965891058479222E-2</v>
      </c>
      <c r="L49" s="32">
        <f>[1]!PCorr($B$6:$B$17,$H$6:$H$17,L$6:L$17)</f>
        <v>0.20788492877877723</v>
      </c>
      <c r="M49" s="32">
        <f>[1]!PCorr($B$6:$B$17,$H$6:$H$17,M$6:M$17)</f>
        <v>0.11637246783536241</v>
      </c>
      <c r="N49" s="32">
        <f>[1]!PCorr($B$6:$B$17,$H$6:$H$17,N$6:N$17)</f>
        <v>0.73511628114916172</v>
      </c>
      <c r="O49" s="32">
        <f>[1]!PCorr($B$6:$B$17,$H$6:$H$17,O$6:O$17)</f>
        <v>0.35960758402279031</v>
      </c>
      <c r="P49" s="32">
        <f>[1]!PCorr($B$6:$B$17,$H$6:$H$17,P$6:P$17)</f>
        <v>0.40618003798582925</v>
      </c>
      <c r="Q49" s="32">
        <f>[1]!PCorr($B$6:$B$17,$H$6:$H$17,Q$6:Q$17)</f>
        <v>0.13900940352129998</v>
      </c>
    </row>
    <row r="50" spans="1:17">
      <c r="A50" s="16" t="s">
        <v>10</v>
      </c>
      <c r="C50" s="32"/>
      <c r="D50" s="32"/>
      <c r="E50" s="32"/>
      <c r="F50" s="32"/>
      <c r="G50" s="32"/>
      <c r="H50" s="32"/>
      <c r="I50" s="32">
        <f>[1]!PCorr($B$6:$B$17,$I$6:$I$17,I$6:I$17)</f>
        <v>1</v>
      </c>
      <c r="J50" s="32">
        <f>[1]!PCorr($B$6:$B$17,$I$6:$I$17,J$6:J$17)</f>
        <v>-2.1775012980826642E-2</v>
      </c>
      <c r="K50" s="32">
        <f>[1]!PCorr($B$6:$B$17,$I$6:$I$17,K$6:K$17)</f>
        <v>0.24140776600214767</v>
      </c>
      <c r="L50" s="32">
        <f>[1]!PCorr($B$6:$B$17,$I$6:$I$17,L$6:L$17)</f>
        <v>9.6671384126981827E-2</v>
      </c>
      <c r="M50" s="32">
        <f>[1]!PCorr($B$6:$B$17,$I$6:$I$17,M$6:M$17)</f>
        <v>-0.15550539439543895</v>
      </c>
      <c r="N50" s="32">
        <f>[1]!PCorr($B$6:$B$17,$I$6:$I$17,N$6:N$17)</f>
        <v>-0.149583528918111</v>
      </c>
      <c r="O50" s="32">
        <f>[1]!PCorr($B$6:$B$17,$I$6:$I$17,O$6:O$17)</f>
        <v>0.3972954256698788</v>
      </c>
      <c r="P50" s="32">
        <f>[1]!PCorr($B$6:$B$17,$I$6:$I$17,P$6:P$17)</f>
        <v>0.17786263397613422</v>
      </c>
      <c r="Q50" s="32">
        <f>[1]!PCorr($B$6:$B$17,$I$6:$I$17,Q$6:Q$17)</f>
        <v>4.3529927423985301E-2</v>
      </c>
    </row>
    <row r="51" spans="1:17">
      <c r="A51" s="16" t="s">
        <v>11</v>
      </c>
      <c r="C51" s="32"/>
      <c r="D51" s="32"/>
      <c r="E51" s="32"/>
      <c r="F51" s="32"/>
      <c r="G51" s="32"/>
      <c r="H51" s="32"/>
      <c r="I51" s="32"/>
      <c r="J51" s="32">
        <f>[1]!PCorr($B$6:$B$17,$J$6:$J$17,J$6:J$17)</f>
        <v>1</v>
      </c>
      <c r="K51" s="32">
        <f>[1]!PCorr($B$6:$B$17,$J$6:$J$17,K$6:K$17)</f>
        <v>3.0524303762705041E-2</v>
      </c>
      <c r="L51" s="32">
        <f>[1]!PCorr($B$6:$B$17,$J$6:$J$17,L$6:L$17)</f>
        <v>-0.41687816311823261</v>
      </c>
      <c r="M51" s="32">
        <f>[1]!PCorr($B$6:$B$17,$J$6:$J$17,M$6:M$17)</f>
        <v>0.63720019827179031</v>
      </c>
      <c r="N51" s="32">
        <f>[1]!PCorr($B$6:$B$17,$J$6:$J$17,N$6:N$17)</f>
        <v>0.62230513777671559</v>
      </c>
      <c r="O51" s="32">
        <f>[1]!PCorr($B$6:$B$17,$J$6:$J$17,O$6:O$17)</f>
        <v>0.33430935257907951</v>
      </c>
      <c r="P51" s="32">
        <f>[1]!PCorr($B$6:$B$17,$J$6:$J$17,P$6:P$17)</f>
        <v>0.39666725836995681</v>
      </c>
      <c r="Q51" s="32">
        <f>[1]!PCorr($B$6:$B$17,$J$6:$J$17,Q$6:Q$17)</f>
        <v>0.81771252739361844</v>
      </c>
    </row>
    <row r="52" spans="1:17">
      <c r="A52" s="16" t="s">
        <v>12</v>
      </c>
      <c r="C52" s="32"/>
      <c r="D52" s="32"/>
      <c r="E52" s="32"/>
      <c r="F52" s="32"/>
      <c r="G52" s="32"/>
      <c r="H52" s="32"/>
      <c r="I52" s="32"/>
      <c r="J52" s="32"/>
      <c r="K52" s="32">
        <f>[1]!PCorr($B$6:$B$17,$K$6:$K$17,K$6:K$17)</f>
        <v>1</v>
      </c>
      <c r="L52" s="32">
        <f>[1]!PCorr($B$6:$B$17,$K$6:$K$17,L$6:L$17)</f>
        <v>0.28222347333875791</v>
      </c>
      <c r="M52" s="32">
        <f>[1]!PCorr($B$6:$B$17,$K$6:$K$17,M$6:M$17)</f>
        <v>0.10410682735468549</v>
      </c>
      <c r="N52" s="32">
        <f>[1]!PCorr($B$6:$B$17,$K$6:$K$17,N$6:N$17)</f>
        <v>0.41764787628648836</v>
      </c>
      <c r="O52" s="32">
        <f>[1]!PCorr($B$6:$B$17,$K$6:$K$17,O$6:O$17)</f>
        <v>0.20006932516239839</v>
      </c>
      <c r="P52" s="32">
        <f>[1]!PCorr($B$6:$B$17,$K$6:$K$17,P$6:P$17)</f>
        <v>0.32541671776316194</v>
      </c>
      <c r="Q52" s="32">
        <f>[1]!PCorr($B$6:$B$17,$K$6:$K$17,Q$6:Q$17)</f>
        <v>0.21789993143111927</v>
      </c>
    </row>
    <row r="53" spans="1:17">
      <c r="A53" s="16" t="s">
        <v>13</v>
      </c>
      <c r="C53" s="32"/>
      <c r="D53" s="32"/>
      <c r="E53" s="32"/>
      <c r="F53" s="32"/>
      <c r="G53" s="32"/>
      <c r="H53" s="32"/>
      <c r="I53" s="32"/>
      <c r="J53" s="32"/>
      <c r="K53" s="32"/>
      <c r="L53" s="32">
        <f>[1]!PCorr($B$6:$B$17,$L$6:$L$17,L$6:L$17)</f>
        <v>1</v>
      </c>
      <c r="M53" s="32">
        <f>[1]!PCorr($B$6:$B$17,$L$6:$L$17,M$6:M$17)</f>
        <v>-0.57327881366341527</v>
      </c>
      <c r="N53" s="32">
        <f>[1]!PCorr($B$6:$B$17,$L$6:$L$17,N$6:N$17)</f>
        <v>0.24327709989118354</v>
      </c>
      <c r="O53" s="32">
        <f>[1]!PCorr($B$6:$B$17,$L$6:$L$17,O$6:O$17)</f>
        <v>-0.19224223385832007</v>
      </c>
      <c r="P53" s="32">
        <f>[1]!PCorr($B$6:$B$17,$L$6:$L$17,P$6:P$17)</f>
        <v>0.19486136874645296</v>
      </c>
      <c r="Q53" s="32">
        <f>[1]!PCorr($B$6:$B$17,$L$6:$L$17,Q$6:Q$17)</f>
        <v>-0.38756209717266915</v>
      </c>
    </row>
    <row r="54" spans="1:17">
      <c r="A54" s="16" t="s">
        <v>14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>
        <f>[1]!PCorr($B$6:$B$17,$M$6:$M$17,M$6:M$17)</f>
        <v>1</v>
      </c>
      <c r="N54" s="32">
        <f>[1]!PCorr($B$6:$B$17,$M$6:$M$17,N$6:N$17)</f>
        <v>0.31134607956038018</v>
      </c>
      <c r="O54" s="32">
        <f>[1]!PCorr($B$6:$B$17,$M$6:$M$17,O$6:O$17)</f>
        <v>0.13015519115084559</v>
      </c>
      <c r="P54" s="32">
        <f>[1]!PCorr($B$6:$B$17,$M$6:$M$17,P$6:P$17)</f>
        <v>0.41276424178991544</v>
      </c>
      <c r="Q54" s="32">
        <f>[1]!PCorr($B$6:$B$17,$M$6:$M$17,Q$6:Q$17)</f>
        <v>0.71837577235342831</v>
      </c>
    </row>
    <row r="55" spans="1:17">
      <c r="A55" s="16" t="s">
        <v>15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>
        <f>[1]!PCorr($B$6:$B$17,$N$6:$N$17,N$6:N$17)</f>
        <v>0.99999999999999989</v>
      </c>
      <c r="O55" s="32">
        <f>[1]!PCorr($B$6:$B$17,$N$6:$N$17,O$6:O$17)</f>
        <v>0.31149193075326009</v>
      </c>
      <c r="P55" s="32">
        <f>[1]!PCorr($B$6:$B$17,$N$6:$N$17,P$6:P$17)</f>
        <v>0.3376085407727033</v>
      </c>
      <c r="Q55" s="32">
        <f>[1]!PCorr($B$6:$B$17,$N$6:$N$17,Q$6:Q$17)</f>
        <v>0.47531957322759338</v>
      </c>
    </row>
    <row r="56" spans="1:17">
      <c r="A56" s="16" t="s">
        <v>16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>
        <f>[1]!PCorr($B$6:$B$17,$O$6:$O$17,O$6:O$17)</f>
        <v>1.0000000000000002</v>
      </c>
      <c r="P56" s="32">
        <f>[1]!PCorr($B$6:$B$17,$O$6:$O$17,P$6:P$17)</f>
        <v>9.7830116390010033E-2</v>
      </c>
      <c r="Q56" s="32">
        <f>[1]!PCorr($B$6:$B$17,$O$6:$O$17,Q$6:Q$17)</f>
        <v>0.31088377038119558</v>
      </c>
    </row>
    <row r="57" spans="1:17">
      <c r="A57" s="16" t="s">
        <v>17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>
        <f>[1]!PCorr($B$6:$B$17,$P$6:$P$17,P$6:P$17)</f>
        <v>1</v>
      </c>
      <c r="Q57" s="32">
        <f>[1]!PCorr($B$6:$B$17,$P$6:$P$17,Q$6:Q$17)</f>
        <v>0.33486561849438984</v>
      </c>
    </row>
    <row r="58" spans="1:17">
      <c r="A58" s="16" t="s">
        <v>18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f>[1]!PCorr($B$6:$B$17,$Q$6:$Q$17,Q$6:Q$17)</f>
        <v>1.0000000000000002</v>
      </c>
    </row>
    <row r="59" spans="1:17">
      <c r="A59" s="24"/>
      <c r="C59" s="15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3.5" thickBot="1">
      <c r="A60" s="25" t="s">
        <v>38</v>
      </c>
      <c r="C60" s="15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3.5" thickBot="1">
      <c r="B61" s="21" t="s">
        <v>39</v>
      </c>
      <c r="C61" s="21" t="s">
        <v>4</v>
      </c>
      <c r="D61" s="21" t="s">
        <v>5</v>
      </c>
      <c r="E61" s="21" t="s">
        <v>6</v>
      </c>
      <c r="F61" s="21" t="s">
        <v>7</v>
      </c>
      <c r="G61" s="21" t="s">
        <v>8</v>
      </c>
      <c r="H61" s="21" t="s">
        <v>9</v>
      </c>
      <c r="I61" s="21" t="s">
        <v>10</v>
      </c>
      <c r="J61" s="21" t="s">
        <v>11</v>
      </c>
      <c r="K61" s="21" t="s">
        <v>12</v>
      </c>
      <c r="L61" s="21" t="s">
        <v>13</v>
      </c>
      <c r="M61" s="21" t="s">
        <v>14</v>
      </c>
      <c r="N61" s="21" t="s">
        <v>15</v>
      </c>
      <c r="O61" s="21" t="s">
        <v>16</v>
      </c>
      <c r="P61" s="21" t="s">
        <v>17</v>
      </c>
      <c r="Q61" s="21" t="s">
        <v>18</v>
      </c>
    </row>
    <row r="62" spans="1:17" ht="13.5" thickBot="1">
      <c r="A62" t="s">
        <v>40</v>
      </c>
      <c r="B62" s="26">
        <f>SUM(C62:Q62)</f>
        <v>0.99999999999999989</v>
      </c>
      <c r="C62" s="8">
        <v>6.6666666666666666E-2</v>
      </c>
      <c r="D62" s="8">
        <v>6.6666666666666666E-2</v>
      </c>
      <c r="E62" s="8">
        <v>6.6666666666666666E-2</v>
      </c>
      <c r="F62" s="8">
        <v>6.6666666666666666E-2</v>
      </c>
      <c r="G62" s="8">
        <v>6.6666666666666666E-2</v>
      </c>
      <c r="H62" s="8">
        <v>6.6666666666666666E-2</v>
      </c>
      <c r="I62" s="8">
        <v>6.6666666666666666E-2</v>
      </c>
      <c r="J62" s="8">
        <v>6.6666666666666666E-2</v>
      </c>
      <c r="K62" s="8">
        <v>6.6666666666666666E-2</v>
      </c>
      <c r="L62" s="8">
        <v>6.6666666666666666E-2</v>
      </c>
      <c r="M62" s="8">
        <v>6.6666666666666666E-2</v>
      </c>
      <c r="N62" s="8">
        <v>6.6666666666666666E-2</v>
      </c>
      <c r="O62" s="8">
        <v>6.6666666666666666E-2</v>
      </c>
      <c r="P62" s="8">
        <v>6.6666666666666666E-2</v>
      </c>
      <c r="Q62" s="8">
        <v>6.6666666666666666E-2</v>
      </c>
    </row>
    <row r="63" spans="1:17" ht="13.5" thickTop="1">
      <c r="A63" s="17" t="s">
        <v>41</v>
      </c>
      <c r="B63" s="8"/>
      <c r="C63" s="15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>
      <c r="A64" s="16" t="s">
        <v>4</v>
      </c>
      <c r="B64" s="8"/>
      <c r="C64" s="32">
        <v>2.8853704840000002E-3</v>
      </c>
      <c r="D64" s="32">
        <v>1.861364844E-3</v>
      </c>
      <c r="E64" s="32">
        <v>-4.6404082000000097E-5</v>
      </c>
      <c r="F64" s="32">
        <v>1.2341255599999999E-3</v>
      </c>
      <c r="G64" s="32">
        <v>1.8251525079999999E-3</v>
      </c>
      <c r="H64" s="32">
        <v>5.1125925799999996E-4</v>
      </c>
      <c r="I64" s="32">
        <v>4.8000065000000002E-4</v>
      </c>
      <c r="J64" s="32">
        <v>1.1069512780000001E-3</v>
      </c>
      <c r="K64" s="32">
        <v>2.3586395100000002E-3</v>
      </c>
      <c r="L64" s="32">
        <v>-3.6567001200000002E-4</v>
      </c>
      <c r="M64" s="32">
        <v>3.0253518200000002E-4</v>
      </c>
      <c r="N64" s="32">
        <v>3.9895787000000002E-4</v>
      </c>
      <c r="O64" s="32">
        <v>1.6978570520000001E-3</v>
      </c>
      <c r="P64" s="32">
        <v>7.5502471400000005E-4</v>
      </c>
      <c r="Q64" s="32">
        <v>2.3024587880000002E-3</v>
      </c>
    </row>
    <row r="65" spans="1:18">
      <c r="A65" s="16" t="s">
        <v>5</v>
      </c>
      <c r="B65" s="8"/>
      <c r="C65" s="32">
        <v>1.861364844E-3</v>
      </c>
      <c r="D65" s="32">
        <v>3.4552465040000001E-3</v>
      </c>
      <c r="E65" s="32">
        <v>5.3329548800000004E-4</v>
      </c>
      <c r="F65" s="32">
        <v>3.0374739599999998E-3</v>
      </c>
      <c r="G65" s="32">
        <v>1.2118456279999999E-3</v>
      </c>
      <c r="H65" s="32">
        <v>-1.0380682720000001E-3</v>
      </c>
      <c r="I65" s="32">
        <v>1.1844647999999999E-3</v>
      </c>
      <c r="J65" s="32">
        <v>2.2034025480000001E-3</v>
      </c>
      <c r="K65" s="32">
        <v>1.0550178599999999E-3</v>
      </c>
      <c r="L65" s="32">
        <v>-1.4860093919999999E-3</v>
      </c>
      <c r="M65" s="32">
        <v>6.2958741200000001E-4</v>
      </c>
      <c r="N65" s="32">
        <v>1.6415131999999999E-4</v>
      </c>
      <c r="O65" s="32">
        <v>1.4498419320000001E-3</v>
      </c>
      <c r="P65" s="32">
        <v>6.8023622400000005E-4</v>
      </c>
      <c r="Q65" s="32">
        <v>3.602779108E-3</v>
      </c>
    </row>
    <row r="66" spans="1:18">
      <c r="A66" s="16" t="s">
        <v>6</v>
      </c>
      <c r="B66" s="8"/>
      <c r="C66" s="32">
        <v>-4.6404082000000097E-5</v>
      </c>
      <c r="D66" s="32">
        <v>5.3329548800000004E-4</v>
      </c>
      <c r="E66" s="32">
        <v>3.7778094110000001E-3</v>
      </c>
      <c r="F66" s="32">
        <v>1.24695862E-3</v>
      </c>
      <c r="G66" s="32">
        <v>1.502134216E-3</v>
      </c>
      <c r="H66" s="32">
        <v>9.53037841E-4</v>
      </c>
      <c r="I66" s="32">
        <v>-5.4839267499999999E-4</v>
      </c>
      <c r="J66" s="32">
        <v>1.989412281E-3</v>
      </c>
      <c r="K66" s="32">
        <v>-9.39951805E-4</v>
      </c>
      <c r="L66" s="32">
        <v>-1.0708456240000001E-3</v>
      </c>
      <c r="M66" s="32">
        <v>3.49492589E-4</v>
      </c>
      <c r="N66" s="32">
        <v>1.0878416149999999E-3</v>
      </c>
      <c r="O66" s="32">
        <v>5.2259554000000099E-5</v>
      </c>
      <c r="P66" s="32">
        <v>-7.5290579699999996E-4</v>
      </c>
      <c r="Q66" s="32">
        <v>1.5743444759999999E-3</v>
      </c>
    </row>
    <row r="67" spans="1:18">
      <c r="A67" s="16" t="s">
        <v>7</v>
      </c>
      <c r="B67" s="8"/>
      <c r="C67" s="32">
        <v>1.2341255599999999E-3</v>
      </c>
      <c r="D67" s="32">
        <v>3.0374739599999998E-3</v>
      </c>
      <c r="E67" s="32">
        <v>1.24695862E-3</v>
      </c>
      <c r="F67" s="32">
        <v>1.23286634E-2</v>
      </c>
      <c r="G67" s="32">
        <v>-3.7619227999999998E-4</v>
      </c>
      <c r="H67" s="32">
        <v>-1.8973377799999999E-3</v>
      </c>
      <c r="I67" s="32">
        <v>1.0052365E-3</v>
      </c>
      <c r="J67" s="32">
        <v>1.76180102E-3</v>
      </c>
      <c r="K67" s="32">
        <v>6.1943390000000005E-4</v>
      </c>
      <c r="L67" s="32">
        <v>4.9958591999999999E-4</v>
      </c>
      <c r="M67" s="32">
        <v>2.3226137999999999E-4</v>
      </c>
      <c r="N67" s="32">
        <v>6.3749430000000005E-4</v>
      </c>
      <c r="O67" s="32">
        <v>-5.4774832000000005E-4</v>
      </c>
      <c r="P67" s="32">
        <v>-3.4475873999999999E-4</v>
      </c>
      <c r="Q67" s="32">
        <v>5.0869439199999998E-3</v>
      </c>
    </row>
    <row r="68" spans="1:18">
      <c r="A68" s="16" t="s">
        <v>8</v>
      </c>
      <c r="B68" s="8"/>
      <c r="C68" s="32">
        <v>1.8251525079999999E-3</v>
      </c>
      <c r="D68" s="32">
        <v>1.2118456279999999E-3</v>
      </c>
      <c r="E68" s="32">
        <v>1.502134216E-3</v>
      </c>
      <c r="F68" s="32">
        <v>-3.7619227999999998E-4</v>
      </c>
      <c r="G68" s="32">
        <v>1.0753982496E-2</v>
      </c>
      <c r="H68" s="32">
        <v>5.6008850960000004E-3</v>
      </c>
      <c r="I68" s="32">
        <v>7.1622380000000005E-4</v>
      </c>
      <c r="J68" s="32">
        <v>3.618616936E-3</v>
      </c>
      <c r="K68" s="32">
        <v>5.5162520200000001E-3</v>
      </c>
      <c r="L68" s="32">
        <v>1.632895356E-3</v>
      </c>
      <c r="M68" s="32">
        <v>4.09259984E-4</v>
      </c>
      <c r="N68" s="32">
        <v>3.4393988399999999E-3</v>
      </c>
      <c r="O68" s="32">
        <v>2.3121209240000002E-3</v>
      </c>
      <c r="P68" s="32">
        <v>1.577188268E-3</v>
      </c>
      <c r="Q68" s="32">
        <v>2.952699656E-3</v>
      </c>
    </row>
    <row r="69" spans="1:18">
      <c r="A69" s="16" t="s">
        <v>9</v>
      </c>
      <c r="B69" s="8"/>
      <c r="C69" s="32">
        <v>5.1125925799999996E-4</v>
      </c>
      <c r="D69" s="32">
        <v>-1.0380682720000001E-3</v>
      </c>
      <c r="E69" s="32">
        <v>9.53037841E-4</v>
      </c>
      <c r="F69" s="32">
        <v>-1.8973377799999999E-3</v>
      </c>
      <c r="G69" s="32">
        <v>5.6008850960000004E-3</v>
      </c>
      <c r="H69" s="32">
        <v>6.817786371E-3</v>
      </c>
      <c r="I69" s="32">
        <v>-4.6376802499999999E-4</v>
      </c>
      <c r="J69" s="32">
        <v>2.4101388109999998E-3</v>
      </c>
      <c r="K69" s="32">
        <v>1.1356694499999999E-4</v>
      </c>
      <c r="L69" s="32">
        <v>1.263950656E-3</v>
      </c>
      <c r="M69" s="32">
        <v>1.9561395899999999E-4</v>
      </c>
      <c r="N69" s="32">
        <v>2.4712211650000002E-3</v>
      </c>
      <c r="O69" s="32">
        <v>2.5519699739999999E-3</v>
      </c>
      <c r="P69" s="32">
        <v>1.214995793E-3</v>
      </c>
      <c r="Q69" s="32">
        <v>8.8068455600000001E-4</v>
      </c>
    </row>
    <row r="70" spans="1:18">
      <c r="A70" s="16" t="s">
        <v>10</v>
      </c>
      <c r="B70" s="8"/>
      <c r="C70" s="32">
        <v>4.8000065000000002E-4</v>
      </c>
      <c r="D70" s="32">
        <v>1.1844647999999999E-3</v>
      </c>
      <c r="E70" s="32">
        <v>-5.4839267499999999E-4</v>
      </c>
      <c r="F70" s="32">
        <v>1.0052365E-3</v>
      </c>
      <c r="G70" s="32">
        <v>7.1622380000000005E-4</v>
      </c>
      <c r="H70" s="32">
        <v>-4.6376802499999999E-4</v>
      </c>
      <c r="I70" s="32">
        <v>2.4215598750000002E-3</v>
      </c>
      <c r="J70" s="32">
        <v>-7.0378225000000005E-5</v>
      </c>
      <c r="K70" s="32">
        <v>1.091758325E-3</v>
      </c>
      <c r="L70" s="32">
        <v>3.5029259999999997E-4</v>
      </c>
      <c r="M70" s="32">
        <v>-1.55783325E-4</v>
      </c>
      <c r="N70" s="32">
        <v>-2.9968517500000001E-4</v>
      </c>
      <c r="O70" s="32">
        <v>1.6802975500000001E-3</v>
      </c>
      <c r="P70" s="32">
        <v>3.1707852500000001E-4</v>
      </c>
      <c r="Q70" s="32">
        <v>1.6435770000000001E-4</v>
      </c>
    </row>
    <row r="71" spans="1:18">
      <c r="A71" s="16" t="s">
        <v>11</v>
      </c>
      <c r="B71" s="8"/>
      <c r="C71" s="32">
        <v>1.1069512780000001E-3</v>
      </c>
      <c r="D71" s="32">
        <v>2.2034025480000001E-3</v>
      </c>
      <c r="E71" s="32">
        <v>1.989412281E-3</v>
      </c>
      <c r="F71" s="32">
        <v>1.76180102E-3</v>
      </c>
      <c r="G71" s="32">
        <v>3.618616936E-3</v>
      </c>
      <c r="H71" s="32">
        <v>2.4101388109999998E-3</v>
      </c>
      <c r="I71" s="32">
        <v>-7.0378225000000005E-5</v>
      </c>
      <c r="J71" s="32">
        <v>4.3138452509999996E-3</v>
      </c>
      <c r="K71" s="32">
        <v>1.8424924499999999E-4</v>
      </c>
      <c r="L71" s="32">
        <v>-2.0161686039999998E-3</v>
      </c>
      <c r="M71" s="32">
        <v>8.5199311899999996E-4</v>
      </c>
      <c r="N71" s="32">
        <v>1.664062165E-3</v>
      </c>
      <c r="O71" s="32">
        <v>1.887147434E-3</v>
      </c>
      <c r="P71" s="32">
        <v>9.4382861300000001E-4</v>
      </c>
      <c r="Q71" s="32">
        <v>4.120855996E-3</v>
      </c>
    </row>
    <row r="72" spans="1:18">
      <c r="A72" s="16" t="s">
        <v>12</v>
      </c>
      <c r="B72" s="8"/>
      <c r="C72" s="32">
        <v>2.3586395100000002E-3</v>
      </c>
      <c r="D72" s="32">
        <v>1.0550178599999999E-3</v>
      </c>
      <c r="E72" s="32">
        <v>-9.39951805E-4</v>
      </c>
      <c r="F72" s="32">
        <v>6.1943390000000005E-4</v>
      </c>
      <c r="G72" s="32">
        <v>5.5162520200000001E-3</v>
      </c>
      <c r="H72" s="32">
        <v>1.1356694499999999E-4</v>
      </c>
      <c r="I72" s="32">
        <v>1.091758325E-3</v>
      </c>
      <c r="J72" s="32">
        <v>1.8424924499999999E-4</v>
      </c>
      <c r="K72" s="32">
        <v>8.4460828750000001E-3</v>
      </c>
      <c r="L72" s="32">
        <v>1.90988062E-3</v>
      </c>
      <c r="M72" s="32">
        <v>1.9477570500000001E-4</v>
      </c>
      <c r="N72" s="32">
        <v>1.562686375E-3</v>
      </c>
      <c r="O72" s="32">
        <v>1.58027693E-3</v>
      </c>
      <c r="P72" s="32">
        <v>1.083432935E-3</v>
      </c>
      <c r="Q72" s="32">
        <v>1.5365237200000001E-3</v>
      </c>
    </row>
    <row r="73" spans="1:18">
      <c r="A73" s="16" t="s">
        <v>13</v>
      </c>
      <c r="B73" s="8"/>
      <c r="C73" s="32">
        <v>-3.6567001200000002E-4</v>
      </c>
      <c r="D73" s="32">
        <v>-1.4860093919999999E-3</v>
      </c>
      <c r="E73" s="32">
        <v>-1.0708456240000001E-3</v>
      </c>
      <c r="F73" s="32">
        <v>4.9958591999999999E-4</v>
      </c>
      <c r="G73" s="32">
        <v>1.632895356E-3</v>
      </c>
      <c r="H73" s="32">
        <v>1.263950656E-3</v>
      </c>
      <c r="I73" s="32">
        <v>3.5029259999999997E-4</v>
      </c>
      <c r="J73" s="32">
        <v>-2.0161686039999998E-3</v>
      </c>
      <c r="K73" s="32">
        <v>1.90988062E-3</v>
      </c>
      <c r="L73" s="32">
        <v>5.4221414160000002E-3</v>
      </c>
      <c r="M73" s="32">
        <v>-8.5936807600000002E-4</v>
      </c>
      <c r="N73" s="32">
        <v>7.2932404E-4</v>
      </c>
      <c r="O73" s="32">
        <v>-1.2166320359999999E-3</v>
      </c>
      <c r="P73" s="32">
        <v>5.19811248E-4</v>
      </c>
      <c r="Q73" s="32">
        <v>-2.189682884E-3</v>
      </c>
    </row>
    <row r="74" spans="1:18">
      <c r="A74" s="16" t="s">
        <v>14</v>
      </c>
      <c r="B74" s="8"/>
      <c r="C74" s="32">
        <v>3.0253518200000002E-4</v>
      </c>
      <c r="D74" s="32">
        <v>6.2958741200000001E-4</v>
      </c>
      <c r="E74" s="32">
        <v>3.49492589E-4</v>
      </c>
      <c r="F74" s="32">
        <v>2.3226137999999999E-4</v>
      </c>
      <c r="G74" s="32">
        <v>4.09259984E-4</v>
      </c>
      <c r="H74" s="32">
        <v>1.9561395899999999E-4</v>
      </c>
      <c r="I74" s="32">
        <v>-1.55783325E-4</v>
      </c>
      <c r="J74" s="32">
        <v>8.5199311899999996E-4</v>
      </c>
      <c r="K74" s="32">
        <v>1.9477570500000001E-4</v>
      </c>
      <c r="L74" s="32">
        <v>-8.5936807600000002E-4</v>
      </c>
      <c r="M74" s="32">
        <v>4.1443441100000002E-4</v>
      </c>
      <c r="N74" s="32">
        <v>2.5805078500000002E-4</v>
      </c>
      <c r="O74" s="32">
        <v>2.27726946E-4</v>
      </c>
      <c r="P74" s="32">
        <v>3.0441389700000001E-4</v>
      </c>
      <c r="Q74" s="32">
        <v>1.122106524E-3</v>
      </c>
    </row>
    <row r="75" spans="1:18">
      <c r="A75" s="16" t="s">
        <v>15</v>
      </c>
      <c r="B75" s="8"/>
      <c r="C75" s="32">
        <v>3.9895787000000002E-4</v>
      </c>
      <c r="D75" s="32">
        <v>1.6415131999999999E-4</v>
      </c>
      <c r="E75" s="32">
        <v>1.0878416149999999E-3</v>
      </c>
      <c r="F75" s="32">
        <v>6.3749430000000005E-4</v>
      </c>
      <c r="G75" s="32">
        <v>3.4393988399999999E-3</v>
      </c>
      <c r="H75" s="32">
        <v>2.4712211650000002E-3</v>
      </c>
      <c r="I75" s="32">
        <v>-2.9968517500000001E-4</v>
      </c>
      <c r="J75" s="32">
        <v>1.664062165E-3</v>
      </c>
      <c r="K75" s="32">
        <v>1.562686375E-3</v>
      </c>
      <c r="L75" s="32">
        <v>7.2932404E-4</v>
      </c>
      <c r="M75" s="32">
        <v>2.5805078500000002E-4</v>
      </c>
      <c r="N75" s="32">
        <v>1.6575542750000001E-3</v>
      </c>
      <c r="O75" s="32">
        <v>1.08994781E-3</v>
      </c>
      <c r="P75" s="32">
        <v>4.9794549500000005E-4</v>
      </c>
      <c r="Q75" s="32">
        <v>1.4848209399999999E-3</v>
      </c>
    </row>
    <row r="76" spans="1:18">
      <c r="A76" s="16" t="s">
        <v>16</v>
      </c>
      <c r="B76" s="8"/>
      <c r="C76" s="32">
        <v>1.6978570520000001E-3</v>
      </c>
      <c r="D76" s="32">
        <v>1.4498419320000001E-3</v>
      </c>
      <c r="E76" s="32">
        <v>5.2259554000000099E-5</v>
      </c>
      <c r="F76" s="32">
        <v>-5.4774832000000005E-4</v>
      </c>
      <c r="G76" s="32">
        <v>2.3121209240000002E-3</v>
      </c>
      <c r="H76" s="32">
        <v>2.5519699739999999E-3</v>
      </c>
      <c r="I76" s="32">
        <v>1.6802975500000001E-3</v>
      </c>
      <c r="J76" s="32">
        <v>1.887147434E-3</v>
      </c>
      <c r="K76" s="32">
        <v>1.58027693E-3</v>
      </c>
      <c r="L76" s="32">
        <v>-1.2166320359999999E-3</v>
      </c>
      <c r="M76" s="32">
        <v>2.27726946E-4</v>
      </c>
      <c r="N76" s="32">
        <v>1.08994781E-3</v>
      </c>
      <c r="O76" s="32">
        <v>7.3866929559999999E-3</v>
      </c>
      <c r="P76" s="32">
        <v>3.04601542E-4</v>
      </c>
      <c r="Q76" s="32">
        <v>2.0501119639999999E-3</v>
      </c>
    </row>
    <row r="77" spans="1:18">
      <c r="A77" s="16" t="s">
        <v>17</v>
      </c>
      <c r="B77" s="8"/>
      <c r="C77" s="32">
        <v>7.5502471400000005E-4</v>
      </c>
      <c r="D77" s="32">
        <v>6.8023622400000005E-4</v>
      </c>
      <c r="E77" s="32">
        <v>-7.5290579699999996E-4</v>
      </c>
      <c r="F77" s="32">
        <v>-3.4475873999999999E-4</v>
      </c>
      <c r="G77" s="32">
        <v>1.577188268E-3</v>
      </c>
      <c r="H77" s="32">
        <v>1.214995793E-3</v>
      </c>
      <c r="I77" s="32">
        <v>3.1707852500000001E-4</v>
      </c>
      <c r="J77" s="32">
        <v>9.4382861300000001E-4</v>
      </c>
      <c r="K77" s="32">
        <v>1.083432935E-3</v>
      </c>
      <c r="L77" s="32">
        <v>5.19811248E-4</v>
      </c>
      <c r="M77" s="32">
        <v>3.0441389700000001E-4</v>
      </c>
      <c r="N77" s="32">
        <v>4.9794549500000005E-4</v>
      </c>
      <c r="O77" s="32">
        <v>3.04601542E-4</v>
      </c>
      <c r="P77" s="32">
        <v>1.312408419E-3</v>
      </c>
      <c r="Q77" s="32">
        <v>9.3080684800000003E-4</v>
      </c>
    </row>
    <row r="78" spans="1:18">
      <c r="A78" s="16" t="s">
        <v>18</v>
      </c>
      <c r="B78" s="8"/>
      <c r="C78" s="32">
        <v>2.3024587880000002E-3</v>
      </c>
      <c r="D78" s="32">
        <v>3.602779108E-3</v>
      </c>
      <c r="E78" s="32">
        <v>1.5743444759999999E-3</v>
      </c>
      <c r="F78" s="32">
        <v>5.0869439199999998E-3</v>
      </c>
      <c r="G78" s="32">
        <v>2.952699656E-3</v>
      </c>
      <c r="H78" s="32">
        <v>8.8068455600000001E-4</v>
      </c>
      <c r="I78" s="32">
        <v>1.6435770000000001E-4</v>
      </c>
      <c r="J78" s="32">
        <v>4.120855996E-3</v>
      </c>
      <c r="K78" s="32">
        <v>1.5365237200000001E-3</v>
      </c>
      <c r="L78" s="32">
        <v>-2.189682884E-3</v>
      </c>
      <c r="M78" s="32">
        <v>1.122106524E-3</v>
      </c>
      <c r="N78" s="32">
        <v>1.4848209399999999E-3</v>
      </c>
      <c r="O78" s="32">
        <v>2.0501119639999999E-3</v>
      </c>
      <c r="P78" s="32">
        <v>9.3080684800000003E-4</v>
      </c>
      <c r="Q78" s="32">
        <v>5.8872030159999996E-3</v>
      </c>
    </row>
    <row r="79" spans="1:18">
      <c r="A79" s="16"/>
      <c r="B79" s="8"/>
      <c r="C79" s="15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8" ht="15">
      <c r="A80" s="17" t="s">
        <v>42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31">
        <f>[1]!PortRet($C$62:$Q$62,$C$20:$Q$20)</f>
        <v>1.2414933333333333E-2</v>
      </c>
    </row>
    <row r="81" spans="1:18" ht="16">
      <c r="A81" s="29" t="s">
        <v>43</v>
      </c>
      <c r="B81" s="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32">
        <f>[1]!PortVar1($C$62:$Q$62,$C$64:$Q$78)</f>
        <v>1.2503124392177784E-3</v>
      </c>
    </row>
    <row r="82" spans="1:18" ht="15">
      <c r="A82" s="30" t="s">
        <v>44</v>
      </c>
      <c r="B82" s="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33">
        <f>[1]!PortStDev1($C$62:$Q$62,$C$64:$Q$78)</f>
        <v>3.5359757341047723E-2</v>
      </c>
    </row>
    <row r="83" spans="1:18">
      <c r="A83" s="27"/>
      <c r="B83" s="8"/>
      <c r="C83" s="15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8" ht="13.5" thickBot="1">
      <c r="A84" s="19" t="s">
        <v>45</v>
      </c>
      <c r="B84" s="8"/>
      <c r="C84" s="15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8" ht="13.5" thickBot="1">
      <c r="A85" s="34"/>
      <c r="B85" s="8"/>
      <c r="C85" s="21" t="s">
        <v>4</v>
      </c>
      <c r="D85" s="21" t="s">
        <v>5</v>
      </c>
      <c r="E85" s="21" t="s">
        <v>6</v>
      </c>
      <c r="F85" s="21" t="s">
        <v>7</v>
      </c>
      <c r="G85" s="21" t="s">
        <v>8</v>
      </c>
      <c r="H85" s="21" t="s">
        <v>9</v>
      </c>
      <c r="I85" s="21" t="s">
        <v>10</v>
      </c>
      <c r="J85" s="21" t="s">
        <v>11</v>
      </c>
      <c r="K85" s="21" t="s">
        <v>12</v>
      </c>
      <c r="L85" s="21" t="s">
        <v>13</v>
      </c>
      <c r="M85" s="21" t="s">
        <v>14</v>
      </c>
      <c r="N85" s="21" t="s">
        <v>15</v>
      </c>
      <c r="O85" s="21" t="s">
        <v>16</v>
      </c>
      <c r="P85" s="21" t="s">
        <v>17</v>
      </c>
      <c r="Q85" s="21" t="s">
        <v>18</v>
      </c>
    </row>
    <row r="86" spans="1:18">
      <c r="A86" s="2" t="s">
        <v>46</v>
      </c>
      <c r="B86" s="12"/>
      <c r="C86" s="14">
        <f>AVERAGE(C$6:C$17)</f>
        <v>3.7633333333333331E-2</v>
      </c>
      <c r="D86" s="14">
        <f t="shared" ref="D86:Q86" si="0">AVERAGE(D$6:D$17)</f>
        <v>1.7716666666666665E-2</v>
      </c>
      <c r="E86" s="14">
        <f t="shared" si="0"/>
        <v>1.455E-2</v>
      </c>
      <c r="F86" s="14">
        <f t="shared" si="0"/>
        <v>2.9283333333333328E-2</v>
      </c>
      <c r="G86" s="14">
        <f t="shared" si="0"/>
        <v>2.1808333333333329E-2</v>
      </c>
      <c r="H86" s="14">
        <f t="shared" si="0"/>
        <v>7.5475E-2</v>
      </c>
      <c r="I86" s="14">
        <f t="shared" si="0"/>
        <v>3.1358333333333328E-2</v>
      </c>
      <c r="J86" s="14">
        <f t="shared" si="0"/>
        <v>-7.1416666666666686E-3</v>
      </c>
      <c r="K86" s="14">
        <f t="shared" si="0"/>
        <v>1.1750000000000013E-3</v>
      </c>
      <c r="L86" s="14">
        <f t="shared" si="0"/>
        <v>2.5691666666666665E-2</v>
      </c>
      <c r="M86" s="14">
        <f t="shared" si="0"/>
        <v>1.0574999999999999E-2</v>
      </c>
      <c r="N86" s="14">
        <f t="shared" si="0"/>
        <v>6.4808333333333329E-2</v>
      </c>
      <c r="O86" s="14">
        <f t="shared" si="0"/>
        <v>-1.419166666666667E-2</v>
      </c>
      <c r="P86" s="14">
        <f t="shared" si="0"/>
        <v>2.4141666666666669E-2</v>
      </c>
      <c r="Q86" s="14">
        <f t="shared" si="0"/>
        <v>7.700000000000002E-3</v>
      </c>
    </row>
    <row r="87" spans="1:18" ht="15">
      <c r="A87" s="28" t="s">
        <v>47</v>
      </c>
      <c r="B87" s="8"/>
      <c r="C87" s="32">
        <f>VAR(C$6:C$17)</f>
        <v>4.1622587878787885E-3</v>
      </c>
      <c r="D87" s="32">
        <f t="shared" ref="D87:Q87" si="1">VAR(D$6:D$17)</f>
        <v>4.2181978787878792E-3</v>
      </c>
      <c r="E87" s="32">
        <f t="shared" si="1"/>
        <v>3.3282409090909086E-3</v>
      </c>
      <c r="F87" s="32">
        <f t="shared" si="1"/>
        <v>2.2920563333333335E-2</v>
      </c>
      <c r="G87" s="32">
        <f t="shared" si="1"/>
        <v>1.3105831742424244E-2</v>
      </c>
      <c r="H87" s="32">
        <f t="shared" si="1"/>
        <v>7.1899329545454535E-3</v>
      </c>
      <c r="I87" s="32">
        <f t="shared" si="1"/>
        <v>2.060829924242424E-3</v>
      </c>
      <c r="J87" s="32">
        <f t="shared" si="1"/>
        <v>4.8507371969696966E-3</v>
      </c>
      <c r="K87" s="32">
        <f t="shared" si="1"/>
        <v>1.0428582045454547E-2</v>
      </c>
      <c r="L87" s="32">
        <f t="shared" si="1"/>
        <v>6.3861171969696977E-3</v>
      </c>
      <c r="M87" s="32">
        <f t="shared" si="1"/>
        <v>4.978056818181817E-4</v>
      </c>
      <c r="N87" s="32">
        <f t="shared" si="1"/>
        <v>1.6481408333333322E-3</v>
      </c>
      <c r="O87" s="32">
        <f t="shared" si="1"/>
        <v>8.0226808333333319E-3</v>
      </c>
      <c r="P87" s="32">
        <f t="shared" si="1"/>
        <v>1.5531808333333333E-3</v>
      </c>
      <c r="Q87" s="32">
        <f t="shared" si="1"/>
        <v>7.1688509090909076E-3</v>
      </c>
    </row>
    <row r="88" spans="1:18" ht="15">
      <c r="A88" s="17" t="s">
        <v>48</v>
      </c>
      <c r="B88" s="8"/>
      <c r="C88" s="14">
        <f>STDEV(C$6:C$17)</f>
        <v>6.4515570119768675E-2</v>
      </c>
      <c r="D88" s="14">
        <f t="shared" ref="D88:Q88" si="2">STDEV(D$6:D$17)</f>
        <v>6.4947654913690908E-2</v>
      </c>
      <c r="E88" s="14">
        <f t="shared" si="2"/>
        <v>5.7690908374638271E-2</v>
      </c>
      <c r="F88" s="14">
        <f t="shared" si="2"/>
        <v>0.15139538742423209</v>
      </c>
      <c r="G88" s="14">
        <f t="shared" si="2"/>
        <v>0.11448070467298951</v>
      </c>
      <c r="H88" s="14">
        <f t="shared" si="2"/>
        <v>8.4793472358109342E-2</v>
      </c>
      <c r="I88" s="14">
        <f t="shared" si="2"/>
        <v>4.5396364658884573E-2</v>
      </c>
      <c r="J88" s="14">
        <f t="shared" si="2"/>
        <v>6.9647233950600629E-2</v>
      </c>
      <c r="K88" s="14">
        <f t="shared" si="2"/>
        <v>0.10212042912882097</v>
      </c>
      <c r="L88" s="14">
        <f t="shared" si="2"/>
        <v>7.9913185376192436E-2</v>
      </c>
      <c r="M88" s="14">
        <f t="shared" si="2"/>
        <v>2.2311559376659035E-2</v>
      </c>
      <c r="N88" s="14">
        <f t="shared" si="2"/>
        <v>4.0597300813395618E-2</v>
      </c>
      <c r="O88" s="14">
        <f t="shared" si="2"/>
        <v>8.9569419074443768E-2</v>
      </c>
      <c r="P88" s="14">
        <f t="shared" si="2"/>
        <v>3.9410415290038914E-2</v>
      </c>
      <c r="Q88" s="14">
        <f t="shared" si="2"/>
        <v>8.4669067014411514E-2</v>
      </c>
    </row>
    <row r="89" spans="1:18">
      <c r="A89" s="27"/>
      <c r="B89" s="8"/>
      <c r="C89" s="15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8">
      <c r="A90" s="17" t="s">
        <v>49</v>
      </c>
      <c r="B90" s="2"/>
    </row>
    <row r="91" spans="1:18" ht="13.5" thickBot="1">
      <c r="A91" s="34"/>
      <c r="B91" s="36"/>
      <c r="C91" s="21" t="s">
        <v>4</v>
      </c>
      <c r="D91" s="21" t="s">
        <v>5</v>
      </c>
      <c r="E91" s="21" t="s">
        <v>6</v>
      </c>
      <c r="F91" s="21" t="s">
        <v>7</v>
      </c>
      <c r="G91" s="21" t="s">
        <v>8</v>
      </c>
      <c r="H91" s="21" t="s">
        <v>9</v>
      </c>
      <c r="I91" s="21" t="s">
        <v>10</v>
      </c>
      <c r="J91" s="21" t="s">
        <v>11</v>
      </c>
      <c r="K91" s="21" t="s">
        <v>12</v>
      </c>
      <c r="L91" s="21" t="s">
        <v>13</v>
      </c>
      <c r="M91" s="21" t="s">
        <v>14</v>
      </c>
      <c r="N91" s="21" t="s">
        <v>15</v>
      </c>
      <c r="O91" s="21" t="s">
        <v>16</v>
      </c>
      <c r="P91" s="21" t="s">
        <v>17</v>
      </c>
      <c r="Q91" s="21" t="s">
        <v>18</v>
      </c>
    </row>
    <row r="92" spans="1:18">
      <c r="A92" s="16" t="s">
        <v>4</v>
      </c>
      <c r="B92" s="3"/>
      <c r="C92" s="6">
        <f>VAR(RDERets1!$C$6:$C$17)</f>
        <v>4.1622587878787885E-3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8">
      <c r="A93" s="16" t="s">
        <v>5</v>
      </c>
      <c r="B93" s="3"/>
      <c r="C93" s="6">
        <v>2.1804466666666667E-3</v>
      </c>
      <c r="D93" s="23">
        <f>VAR(RDERets1!$D$6:$D$17)</f>
        <v>4.2181978787878792E-3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8">
      <c r="A94" s="16" t="s">
        <v>6</v>
      </c>
      <c r="B94" s="3"/>
      <c r="C94" s="6">
        <v>1.9198727272727272E-4</v>
      </c>
      <c r="D94" s="6">
        <v>7.7061181818181802E-4</v>
      </c>
      <c r="E94" s="6">
        <f>VAR(RDERets1!$E$6:$E$17)</f>
        <v>3.3282409090909086E-3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8">
      <c r="A95" s="16" t="s">
        <v>7</v>
      </c>
      <c r="B95" s="3"/>
      <c r="C95" s="6">
        <v>1.1160287878787878E-3</v>
      </c>
      <c r="D95" s="6">
        <v>4.1622384848484855E-3</v>
      </c>
      <c r="E95" s="6">
        <v>5.5742909090909039E-4</v>
      </c>
      <c r="F95" s="6">
        <f>VAR(RDERets1!$F$6:$F$17)</f>
        <v>2.2920563333333335E-2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8">
      <c r="A96" s="16" t="s">
        <v>8</v>
      </c>
      <c r="B96" s="3"/>
      <c r="C96" s="6">
        <v>2.6851442424242421E-3</v>
      </c>
      <c r="D96" s="6">
        <v>1.6399825757575758E-3</v>
      </c>
      <c r="E96" s="6">
        <v>1.5475695454545458E-3</v>
      </c>
      <c r="F96" s="6">
        <v>-3.3677025757575768E-3</v>
      </c>
      <c r="G96" s="6">
        <f>VAR(RDERets1!$G$6:$G$17)</f>
        <v>1.3105831742424244E-2</v>
      </c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>
      <c r="A97" s="16" t="s">
        <v>9</v>
      </c>
      <c r="B97" s="3"/>
      <c r="C97" s="6">
        <v>3.4367999999999964E-4</v>
      </c>
      <c r="D97" s="6">
        <v>-1.5872995454545452E-3</v>
      </c>
      <c r="E97" s="6">
        <v>-5.0404545454543578E-6</v>
      </c>
      <c r="F97" s="6">
        <v>-5.3146586363636361E-3</v>
      </c>
      <c r="G97" s="6">
        <v>5.2996584090909092E-3</v>
      </c>
      <c r="H97" s="6">
        <f>VAR(RDERets1!$H$6:$H$17)</f>
        <v>7.1899329545454535E-3</v>
      </c>
      <c r="I97" s="6"/>
      <c r="J97" s="6"/>
      <c r="K97" s="6"/>
      <c r="L97" s="6"/>
      <c r="M97" s="6"/>
      <c r="N97" s="6"/>
      <c r="O97" s="6"/>
      <c r="P97" s="6"/>
      <c r="Q97" s="6"/>
    </row>
    <row r="98" spans="1:17">
      <c r="A98" s="16" t="s">
        <v>10</v>
      </c>
      <c r="B98" s="3"/>
      <c r="C98" s="6">
        <v>2.4304515151515145E-4</v>
      </c>
      <c r="D98" s="6">
        <v>7.9801984848484853E-4</v>
      </c>
      <c r="E98" s="6">
        <v>-2.8620590909090893E-4</v>
      </c>
      <c r="F98" s="6">
        <v>4.643201515151515E-4</v>
      </c>
      <c r="G98" s="6">
        <v>6.6209674242424267E-4</v>
      </c>
      <c r="H98" s="6">
        <v>-5.1717295454545449E-4</v>
      </c>
      <c r="I98" s="6">
        <f>VAR(RDERets1!$I$6:$I$17)</f>
        <v>2.060829924242424E-3</v>
      </c>
      <c r="J98" s="6"/>
      <c r="K98" s="6"/>
      <c r="L98" s="6"/>
      <c r="M98" s="6"/>
      <c r="N98" s="6"/>
      <c r="O98" s="6"/>
      <c r="P98" s="6"/>
      <c r="Q98" s="6"/>
    </row>
    <row r="99" spans="1:17">
      <c r="A99" s="16" t="s">
        <v>11</v>
      </c>
      <c r="B99" s="3"/>
      <c r="C99" s="6">
        <v>1.4139733333333332E-3</v>
      </c>
      <c r="D99" s="6">
        <v>2.9361616666666672E-3</v>
      </c>
      <c r="E99" s="6">
        <v>1.6699804545454546E-3</v>
      </c>
      <c r="F99" s="6">
        <v>1.4917192424242429E-3</v>
      </c>
      <c r="G99" s="6">
        <v>3.1675503787878785E-3</v>
      </c>
      <c r="H99" s="6">
        <v>1.335503409090909E-3</v>
      </c>
      <c r="I99" s="6">
        <v>-3.1088825757575743E-4</v>
      </c>
      <c r="J99" s="6">
        <f>VAR(RDERets1!$J$6:$J$17)</f>
        <v>4.8507371969696966E-3</v>
      </c>
      <c r="K99" s="6"/>
      <c r="L99" s="6"/>
      <c r="M99" s="6"/>
      <c r="N99" s="6"/>
      <c r="O99" s="6"/>
      <c r="P99" s="6"/>
      <c r="Q99" s="6"/>
    </row>
    <row r="100" spans="1:17">
      <c r="A100" s="16" t="s">
        <v>12</v>
      </c>
      <c r="B100" s="3"/>
      <c r="C100" s="6">
        <v>4.1941090909090907E-3</v>
      </c>
      <c r="D100" s="6">
        <v>1.6174240909090903E-3</v>
      </c>
      <c r="E100" s="6">
        <v>4.3284863636363621E-4</v>
      </c>
      <c r="F100" s="6">
        <v>3.7329681818181734E-4</v>
      </c>
      <c r="G100" s="6">
        <v>7.4858593181818187E-3</v>
      </c>
      <c r="H100" s="6">
        <v>-6.5053409090909086E-5</v>
      </c>
      <c r="I100" s="6">
        <v>5.6723977272727277E-4</v>
      </c>
      <c r="J100" s="6">
        <v>7.5733977272727246E-4</v>
      </c>
      <c r="K100" s="6">
        <f>VAR(RDERets1!$K$6:$K$17)</f>
        <v>1.0428582045454547E-2</v>
      </c>
      <c r="L100" s="6"/>
      <c r="M100" s="6"/>
      <c r="N100" s="6"/>
      <c r="O100" s="6"/>
      <c r="P100" s="6"/>
      <c r="Q100" s="6"/>
    </row>
    <row r="101" spans="1:17">
      <c r="A101" s="16" t="s">
        <v>13</v>
      </c>
      <c r="B101" s="3"/>
      <c r="C101" s="6">
        <v>9.7901212121212546E-5</v>
      </c>
      <c r="D101" s="6">
        <v>-1.0955062121212123E-3</v>
      </c>
      <c r="E101" s="6">
        <v>-1.0883695454545455E-3</v>
      </c>
      <c r="F101" s="6">
        <v>1.6784943939393941E-3</v>
      </c>
      <c r="G101" s="6">
        <v>2.7743818939393941E-3</v>
      </c>
      <c r="H101" s="6">
        <v>1.9030934090909092E-3</v>
      </c>
      <c r="I101" s="6">
        <v>2.4537416666666671E-4</v>
      </c>
      <c r="J101" s="6">
        <v>-2.0374849242424239E-3</v>
      </c>
      <c r="K101" s="6">
        <v>2.2883052272727276E-3</v>
      </c>
      <c r="L101" s="6">
        <f>VAR(RDERets1!$L$6:$L$17)</f>
        <v>6.3861171969696977E-3</v>
      </c>
      <c r="M101" s="6"/>
      <c r="N101" s="6"/>
      <c r="O101" s="6"/>
      <c r="P101" s="6"/>
      <c r="Q101" s="6"/>
    </row>
    <row r="102" spans="1:17">
      <c r="A102" s="16" t="s">
        <v>14</v>
      </c>
      <c r="B102" s="3"/>
      <c r="C102" s="6">
        <v>1.4303181818181809E-4</v>
      </c>
      <c r="D102" s="6">
        <v>6.8929045454545451E-4</v>
      </c>
      <c r="E102" s="6">
        <v>4.0140681818181823E-4</v>
      </c>
      <c r="F102" s="6">
        <v>-9.5978636363636328E-5</v>
      </c>
      <c r="G102" s="6">
        <v>1.5252931818181804E-4</v>
      </c>
      <c r="H102" s="6">
        <v>7.1207500000000019E-5</v>
      </c>
      <c r="I102" s="6">
        <v>-2.5758386363636357E-4</v>
      </c>
      <c r="J102" s="6">
        <v>9.2270613636363634E-4</v>
      </c>
      <c r="K102" s="6">
        <v>-3.8563409090909148E-5</v>
      </c>
      <c r="L102" s="6">
        <v>-9.2777659090909103E-4</v>
      </c>
      <c r="M102" s="6">
        <f>VAR(RDERets1!$M$6:$M$17)</f>
        <v>4.978056818181817E-4</v>
      </c>
      <c r="N102" s="6"/>
      <c r="O102" s="6"/>
      <c r="P102" s="6"/>
      <c r="Q102" s="6"/>
    </row>
    <row r="103" spans="1:17">
      <c r="A103" s="16" t="s">
        <v>15</v>
      </c>
      <c r="B103" s="3"/>
      <c r="C103" s="6">
        <v>7.3286969696969683E-4</v>
      </c>
      <c r="D103" s="6">
        <v>4.6536712121212113E-4</v>
      </c>
      <c r="E103" s="6">
        <v>8.8707227272727277E-4</v>
      </c>
      <c r="F103" s="6">
        <v>3.4344833333333326E-4</v>
      </c>
      <c r="G103" s="6">
        <v>3.5217744696969685E-3</v>
      </c>
      <c r="H103" s="6">
        <v>2.1497411363636362E-3</v>
      </c>
      <c r="I103" s="6">
        <v>-4.4607143939393934E-4</v>
      </c>
      <c r="J103" s="6">
        <v>1.5808958333333328E-3</v>
      </c>
      <c r="K103" s="6">
        <v>1.9980674999999994E-3</v>
      </c>
      <c r="L103" s="6">
        <v>1.1473173484848483E-3</v>
      </c>
      <c r="M103" s="6">
        <v>2.2466568181818175E-4</v>
      </c>
      <c r="N103" s="6">
        <f>VAR(RDERets1!$N$6:$N$17)</f>
        <v>1.6481408333333322E-3</v>
      </c>
      <c r="O103" s="6"/>
      <c r="P103" s="6"/>
      <c r="Q103" s="6"/>
    </row>
    <row r="104" spans="1:17">
      <c r="A104" s="16" t="s">
        <v>16</v>
      </c>
      <c r="B104" s="3"/>
      <c r="C104" s="6">
        <v>2.3245860606060601E-3</v>
      </c>
      <c r="D104" s="6">
        <v>8.7239712121212141E-4</v>
      </c>
      <c r="E104" s="6">
        <v>-1.3362045454545437E-4</v>
      </c>
      <c r="F104" s="6">
        <v>-3.0911516666666666E-3</v>
      </c>
      <c r="G104" s="6">
        <v>1.7807571969696971E-3</v>
      </c>
      <c r="H104" s="6">
        <v>3.2811956818181815E-3</v>
      </c>
      <c r="I104" s="6">
        <v>8.5980310606060585E-4</v>
      </c>
      <c r="J104" s="6">
        <v>1.7559831060606063E-3</v>
      </c>
      <c r="K104" s="6">
        <v>1.1825302272727275E-3</v>
      </c>
      <c r="L104" s="6">
        <v>-8.9568992424242432E-4</v>
      </c>
      <c r="M104" s="6">
        <v>5.7042954545454662E-5</v>
      </c>
      <c r="N104" s="6">
        <v>1.0542481060606056E-3</v>
      </c>
      <c r="O104" s="6">
        <f>VAR(RDERets1!$O$6:$O$17)</f>
        <v>8.0226808333333319E-3</v>
      </c>
      <c r="P104" s="6"/>
      <c r="Q104" s="6"/>
    </row>
    <row r="105" spans="1:17">
      <c r="A105" s="16" t="s">
        <v>17</v>
      </c>
      <c r="B105" s="3"/>
      <c r="C105" s="6">
        <v>8.439330303030301E-4</v>
      </c>
      <c r="D105" s="6">
        <v>9.3366287878787887E-4</v>
      </c>
      <c r="E105" s="6">
        <v>-5.4815227272727262E-4</v>
      </c>
      <c r="F105" s="6">
        <v>-1.2474683333333334E-3</v>
      </c>
      <c r="G105" s="6">
        <v>1.7345005303030304E-3</v>
      </c>
      <c r="H105" s="6">
        <v>1.4348111363636361E-3</v>
      </c>
      <c r="I105" s="6">
        <v>3.1401893939393985E-5</v>
      </c>
      <c r="J105" s="6">
        <v>1.3860264393939393E-3</v>
      </c>
      <c r="K105" s="6">
        <v>8.6727022727272729E-4</v>
      </c>
      <c r="L105" s="6">
        <v>4.9114219696969681E-4</v>
      </c>
      <c r="M105" s="6">
        <v>4.071547727272727E-4</v>
      </c>
      <c r="N105" s="6">
        <v>6.4765507575757569E-4</v>
      </c>
      <c r="O105" s="6">
        <v>5.2891689393939391E-4</v>
      </c>
      <c r="P105" s="6">
        <f>VAR(RDERets1!$P$6:$P$17)</f>
        <v>1.5531808333333333E-3</v>
      </c>
      <c r="Q105" s="6"/>
    </row>
    <row r="106" spans="1:17">
      <c r="A106" s="16" t="s">
        <v>18</v>
      </c>
      <c r="B106" s="3"/>
      <c r="C106" s="6">
        <v>2.7022409090909096E-3</v>
      </c>
      <c r="D106" s="23">
        <v>4.5769645454545463E-3</v>
      </c>
      <c r="E106" s="6">
        <v>1.3930372727272728E-3</v>
      </c>
      <c r="F106" s="6">
        <v>7.7499281818181826E-3</v>
      </c>
      <c r="G106" s="6">
        <v>2.0732299999999997E-3</v>
      </c>
      <c r="H106" s="6">
        <v>-6.8334272727272683E-4</v>
      </c>
      <c r="I106" s="6">
        <v>-3.4465272727272732E-4</v>
      </c>
      <c r="J106" s="6">
        <v>4.6201936363636361E-3</v>
      </c>
      <c r="K106" s="6">
        <v>2.0582990909090906E-3</v>
      </c>
      <c r="L106" s="6">
        <v>-1.5982081818181821E-3</v>
      </c>
      <c r="M106" s="6">
        <v>1.1091372727272727E-3</v>
      </c>
      <c r="N106" s="6">
        <v>1.5327636363636362E-3</v>
      </c>
      <c r="O106" s="6">
        <v>1.2511090909090913E-3</v>
      </c>
      <c r="P106" s="6">
        <v>1.1095190909090908E-3</v>
      </c>
      <c r="Q106" s="23">
        <f>VAR(RDERets1!$Q$6:$Q$17)</f>
        <v>7.1688509090909076E-3</v>
      </c>
    </row>
    <row r="108" spans="1:17">
      <c r="A108" s="17" t="s">
        <v>50</v>
      </c>
      <c r="B108" s="2"/>
    </row>
    <row r="109" spans="1:17" ht="13.5" thickBot="1">
      <c r="A109" s="34"/>
      <c r="B109" s="36"/>
      <c r="C109" s="21" t="s">
        <v>4</v>
      </c>
      <c r="D109" s="21" t="s">
        <v>5</v>
      </c>
      <c r="E109" s="21" t="s">
        <v>6</v>
      </c>
      <c r="F109" s="21" t="s">
        <v>7</v>
      </c>
      <c r="G109" s="21" t="s">
        <v>8</v>
      </c>
      <c r="H109" s="21" t="s">
        <v>9</v>
      </c>
      <c r="I109" s="21" t="s">
        <v>10</v>
      </c>
      <c r="J109" s="21" t="s">
        <v>11</v>
      </c>
      <c r="K109" s="21" t="s">
        <v>12</v>
      </c>
      <c r="L109" s="21" t="s">
        <v>13</v>
      </c>
      <c r="M109" s="21" t="s">
        <v>14</v>
      </c>
      <c r="N109" s="21" t="s">
        <v>15</v>
      </c>
      <c r="O109" s="21" t="s">
        <v>16</v>
      </c>
      <c r="P109" s="21" t="s">
        <v>17</v>
      </c>
      <c r="Q109" s="21" t="s">
        <v>18</v>
      </c>
    </row>
    <row r="110" spans="1:17">
      <c r="A110" s="16" t="s">
        <v>4</v>
      </c>
      <c r="B110" s="3"/>
      <c r="C110" s="6">
        <v>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>
      <c r="A111" s="16" t="s">
        <v>5</v>
      </c>
      <c r="B111" s="3"/>
      <c r="C111" s="6">
        <v>0.52037623480605422</v>
      </c>
      <c r="D111" s="6">
        <v>1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>
      <c r="A112" s="16" t="s">
        <v>6</v>
      </c>
      <c r="B112" s="3"/>
      <c r="C112" s="6">
        <v>5.1582278579801098E-2</v>
      </c>
      <c r="D112" s="6">
        <v>0.20566709482026449</v>
      </c>
      <c r="E112" s="6">
        <v>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>
      <c r="A113" s="16" t="s">
        <v>7</v>
      </c>
      <c r="B113" s="3"/>
      <c r="C113" s="6">
        <v>0.11426105092534693</v>
      </c>
      <c r="D113" s="6">
        <v>0.42330250868750607</v>
      </c>
      <c r="E113" s="6">
        <v>6.3821882326057261E-2</v>
      </c>
      <c r="F113" s="6">
        <v>1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>
      <c r="A114" s="16" t="s">
        <v>8</v>
      </c>
      <c r="B114" s="3"/>
      <c r="C114" s="6">
        <v>0.36355555669693579</v>
      </c>
      <c r="D114" s="6">
        <v>0.22056848762015219</v>
      </c>
      <c r="E114" s="6">
        <v>0.23432061765492276</v>
      </c>
      <c r="F114" s="6">
        <v>-0.19430715428925255</v>
      </c>
      <c r="G114" s="6">
        <v>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>
      <c r="A115" s="16" t="s">
        <v>9</v>
      </c>
      <c r="B115" s="3"/>
      <c r="C115" s="6">
        <v>6.2824248154554257E-2</v>
      </c>
      <c r="D115" s="6">
        <v>-0.28822589543330152</v>
      </c>
      <c r="E115" s="6">
        <v>-1.0303858953218793E-3</v>
      </c>
      <c r="F115" s="6">
        <v>-0.41399997106106673</v>
      </c>
      <c r="G115" s="6">
        <v>0.54595036867508584</v>
      </c>
      <c r="H115" s="6">
        <v>1</v>
      </c>
      <c r="I115" s="6"/>
      <c r="J115" s="6"/>
      <c r="K115" s="6"/>
      <c r="L115" s="6"/>
      <c r="M115" s="6"/>
      <c r="N115" s="6"/>
      <c r="O115" s="6"/>
      <c r="P115" s="6"/>
      <c r="Q115" s="6"/>
    </row>
    <row r="116" spans="1:17">
      <c r="A116" s="16" t="s">
        <v>10</v>
      </c>
      <c r="B116" s="3"/>
      <c r="C116" s="6">
        <v>8.2985334021090887E-2</v>
      </c>
      <c r="D116" s="6">
        <v>0.2706631568813242</v>
      </c>
      <c r="E116" s="6">
        <v>-0.10928237955465091</v>
      </c>
      <c r="F116" s="6">
        <v>6.7559093379342641E-2</v>
      </c>
      <c r="G116" s="6">
        <v>0.12739960490704524</v>
      </c>
      <c r="H116" s="6">
        <v>-0.1343545285062536</v>
      </c>
      <c r="I116" s="6">
        <v>1</v>
      </c>
      <c r="J116" s="6"/>
      <c r="K116" s="6"/>
      <c r="L116" s="6"/>
      <c r="M116" s="6"/>
      <c r="N116" s="6"/>
      <c r="O116" s="6"/>
      <c r="P116" s="6"/>
      <c r="Q116" s="6"/>
    </row>
    <row r="117" spans="1:17">
      <c r="A117" s="16" t="s">
        <v>11</v>
      </c>
      <c r="B117" s="3"/>
      <c r="C117" s="6">
        <v>0.31468265560113767</v>
      </c>
      <c r="D117" s="6">
        <v>0.64910150618750628</v>
      </c>
      <c r="E117" s="6">
        <v>0.41562354084138764</v>
      </c>
      <c r="F117" s="6">
        <v>0.14147202671176184</v>
      </c>
      <c r="G117" s="6">
        <v>0.39727145764411959</v>
      </c>
      <c r="H117" s="6">
        <v>0.22614068721517613</v>
      </c>
      <c r="I117" s="6">
        <v>-9.8328489985274922E-2</v>
      </c>
      <c r="J117" s="6">
        <v>1</v>
      </c>
      <c r="K117" s="6"/>
      <c r="L117" s="6"/>
      <c r="M117" s="6"/>
      <c r="N117" s="6"/>
      <c r="O117" s="6"/>
      <c r="P117" s="6"/>
      <c r="Q117" s="6"/>
    </row>
    <row r="118" spans="1:17">
      <c r="A118" s="16" t="s">
        <v>12</v>
      </c>
      <c r="B118" s="3"/>
      <c r="C118" s="6">
        <v>0.63659401598858201</v>
      </c>
      <c r="D118" s="6">
        <v>0.2438640610908869</v>
      </c>
      <c r="E118" s="6">
        <v>7.3471015960374655E-2</v>
      </c>
      <c r="F118" s="6">
        <v>2.4145100276847638E-2</v>
      </c>
      <c r="G118" s="6">
        <v>0.64031951207602511</v>
      </c>
      <c r="H118" s="6">
        <v>-7.5126820485120066E-3</v>
      </c>
      <c r="I118" s="6">
        <v>0.12235816838410721</v>
      </c>
      <c r="J118" s="6">
        <v>0.10648152462445198</v>
      </c>
      <c r="K118" s="6">
        <v>1</v>
      </c>
      <c r="L118" s="6"/>
      <c r="M118" s="6"/>
      <c r="N118" s="6"/>
      <c r="O118" s="6"/>
      <c r="P118" s="6"/>
      <c r="Q118" s="6"/>
    </row>
    <row r="119" spans="1:17">
      <c r="A119" s="16" t="s">
        <v>13</v>
      </c>
      <c r="B119" s="3"/>
      <c r="C119" s="6">
        <v>1.8989130853677153E-2</v>
      </c>
      <c r="D119" s="6">
        <v>-0.21107311910800811</v>
      </c>
      <c r="E119" s="6">
        <v>-0.23607530613126379</v>
      </c>
      <c r="F119" s="6">
        <v>0.13873588510096282</v>
      </c>
      <c r="G119" s="6">
        <v>0.30326026164189224</v>
      </c>
      <c r="H119" s="6">
        <v>0.28085311343798891</v>
      </c>
      <c r="I119" s="6">
        <v>6.7637776066692717E-2</v>
      </c>
      <c r="J119" s="6">
        <v>-0.36607670077614946</v>
      </c>
      <c r="K119" s="6">
        <v>0.28040314435232255</v>
      </c>
      <c r="L119" s="6">
        <v>1</v>
      </c>
      <c r="M119" s="6"/>
      <c r="N119" s="6"/>
      <c r="O119" s="6"/>
      <c r="P119" s="6"/>
      <c r="Q119" s="6"/>
    </row>
    <row r="120" spans="1:17">
      <c r="A120" s="16" t="s">
        <v>14</v>
      </c>
      <c r="B120" s="3"/>
      <c r="C120" s="6">
        <v>9.9366088702617969E-2</v>
      </c>
      <c r="D120" s="6">
        <v>0.47567339912215389</v>
      </c>
      <c r="E120" s="6">
        <v>0.31185121697629525</v>
      </c>
      <c r="F120" s="6">
        <v>-2.8413975851188249E-2</v>
      </c>
      <c r="G120" s="6">
        <v>5.9716055130826125E-2</v>
      </c>
      <c r="H120" s="6">
        <v>3.7638594150620819E-2</v>
      </c>
      <c r="I120" s="6">
        <v>-0.25431246801104157</v>
      </c>
      <c r="J120" s="6">
        <v>0.59378553159612757</v>
      </c>
      <c r="K120" s="6">
        <v>-1.6925163151411075E-2</v>
      </c>
      <c r="L120" s="6">
        <v>-0.52034938268028963</v>
      </c>
      <c r="M120" s="6">
        <v>1</v>
      </c>
      <c r="N120" s="6"/>
      <c r="O120" s="6"/>
      <c r="P120" s="6"/>
      <c r="Q120" s="6"/>
    </row>
    <row r="121" spans="1:17">
      <c r="A121" s="16" t="s">
        <v>15</v>
      </c>
      <c r="B121" s="3"/>
      <c r="C121" s="6">
        <v>0.27981118165726704</v>
      </c>
      <c r="D121" s="6">
        <v>0.17649607932068934</v>
      </c>
      <c r="E121" s="6">
        <v>0.37875159272584596</v>
      </c>
      <c r="F121" s="6">
        <v>5.5879383991645847E-2</v>
      </c>
      <c r="G121" s="6">
        <v>0.75776071670820333</v>
      </c>
      <c r="H121" s="6">
        <v>0.62449157973789438</v>
      </c>
      <c r="I121" s="6">
        <v>-0.24203946369245885</v>
      </c>
      <c r="J121" s="6">
        <v>0.55911638833995614</v>
      </c>
      <c r="K121" s="6">
        <v>0.48194820263773991</v>
      </c>
      <c r="L121" s="6">
        <v>0.35364535544732029</v>
      </c>
      <c r="M121" s="6">
        <v>0.24803310713974189</v>
      </c>
      <c r="N121" s="6">
        <v>1</v>
      </c>
      <c r="O121" s="6"/>
      <c r="P121" s="6"/>
      <c r="Q121" s="6"/>
    </row>
    <row r="122" spans="1:17">
      <c r="A122" s="16" t="s">
        <v>16</v>
      </c>
      <c r="B122" s="3"/>
      <c r="C122" s="6">
        <v>0.4022734149319987</v>
      </c>
      <c r="D122" s="6">
        <v>0.14996537292274675</v>
      </c>
      <c r="E122" s="6">
        <v>-2.5858647744108378E-2</v>
      </c>
      <c r="F122" s="6">
        <v>-0.22795436512474887</v>
      </c>
      <c r="G122" s="6">
        <v>0.17366514238046668</v>
      </c>
      <c r="H122" s="6">
        <v>0.43202606902825569</v>
      </c>
      <c r="I122" s="6">
        <v>0.21145510587270047</v>
      </c>
      <c r="J122" s="6">
        <v>0.28148593723857063</v>
      </c>
      <c r="K122" s="6">
        <v>0.12928253586603919</v>
      </c>
      <c r="L122" s="6">
        <v>-0.12513519914714413</v>
      </c>
      <c r="M122" s="6">
        <v>2.8543835487626103E-2</v>
      </c>
      <c r="N122" s="6">
        <v>0.28992516455126421</v>
      </c>
      <c r="O122" s="6">
        <v>1</v>
      </c>
      <c r="P122" s="6"/>
      <c r="Q122" s="6"/>
    </row>
    <row r="123" spans="1:17">
      <c r="A123" s="16" t="s">
        <v>17</v>
      </c>
      <c r="B123" s="3"/>
      <c r="C123" s="6">
        <v>0.3319192451198747</v>
      </c>
      <c r="D123" s="6">
        <v>0.36476705461220693</v>
      </c>
      <c r="E123" s="6">
        <v>-0.24109201714633655</v>
      </c>
      <c r="F123" s="6">
        <v>-0.20907681471582537</v>
      </c>
      <c r="G123" s="6">
        <v>0.38444226885171567</v>
      </c>
      <c r="H123" s="6">
        <v>0.42935972804192191</v>
      </c>
      <c r="I123" s="6">
        <v>1.7551884613604116E-2</v>
      </c>
      <c r="J123" s="6">
        <v>0.5049595968720223</v>
      </c>
      <c r="K123" s="6">
        <v>0.21549182302474892</v>
      </c>
      <c r="L123" s="6">
        <v>0.15594727669786002</v>
      </c>
      <c r="M123" s="6">
        <v>0.46304009027883503</v>
      </c>
      <c r="N123" s="6">
        <v>0.40479543159246678</v>
      </c>
      <c r="O123" s="6">
        <v>0.14983617230756283</v>
      </c>
      <c r="P123" s="6">
        <v>1</v>
      </c>
      <c r="Q123" s="6"/>
    </row>
    <row r="124" spans="1:17">
      <c r="A124" s="16" t="s">
        <v>18</v>
      </c>
      <c r="B124" s="3"/>
      <c r="C124" s="6">
        <v>0.49469184466611399</v>
      </c>
      <c r="D124" s="23">
        <v>0.83231802420112322</v>
      </c>
      <c r="E124" s="6">
        <v>0.28518756514574595</v>
      </c>
      <c r="F124" s="6">
        <v>0.60458902611484333</v>
      </c>
      <c r="G124" s="6">
        <v>0.21388996839420715</v>
      </c>
      <c r="H124" s="6">
        <v>-9.5181245195644443E-2</v>
      </c>
      <c r="I124" s="6">
        <v>-8.9667666792193984E-2</v>
      </c>
      <c r="J124" s="6">
        <v>0.78348652283929821</v>
      </c>
      <c r="K124" s="6">
        <v>0.23805158469394813</v>
      </c>
      <c r="L124" s="6">
        <v>-0.23620556928143058</v>
      </c>
      <c r="M124" s="6">
        <v>0.58712503792099191</v>
      </c>
      <c r="N124" s="6">
        <v>0.44591620436095691</v>
      </c>
      <c r="O124" s="6">
        <v>0.16497215520877176</v>
      </c>
      <c r="P124" s="6">
        <v>0.33250562279982926</v>
      </c>
      <c r="Q124" s="6">
        <v>1</v>
      </c>
    </row>
    <row r="126" spans="1:17" ht="13.5" thickBot="1">
      <c r="A126" s="20" t="s">
        <v>51</v>
      </c>
    </row>
    <row r="127" spans="1:17" ht="13.5" thickBot="1">
      <c r="C127" s="21" t="s">
        <v>4</v>
      </c>
      <c r="D127" s="21" t="s">
        <v>5</v>
      </c>
      <c r="E127" s="21" t="s">
        <v>6</v>
      </c>
      <c r="F127" s="21" t="s">
        <v>7</v>
      </c>
      <c r="G127" s="21" t="s">
        <v>8</v>
      </c>
      <c r="H127" s="21" t="s">
        <v>9</v>
      </c>
      <c r="I127" s="21" t="s">
        <v>10</v>
      </c>
      <c r="J127" s="21" t="s">
        <v>11</v>
      </c>
      <c r="K127" s="21" t="s">
        <v>12</v>
      </c>
      <c r="L127" s="21" t="s">
        <v>13</v>
      </c>
      <c r="M127" s="21" t="s">
        <v>14</v>
      </c>
      <c r="N127" s="21" t="s">
        <v>15</v>
      </c>
      <c r="O127" s="21" t="s">
        <v>16</v>
      </c>
      <c r="P127" s="21" t="s">
        <v>17</v>
      </c>
      <c r="Q127" s="21" t="s">
        <v>18</v>
      </c>
    </row>
    <row r="128" spans="1:17">
      <c r="A128" s="28" t="s">
        <v>52</v>
      </c>
      <c r="B128" t="s">
        <v>53</v>
      </c>
      <c r="C128" s="8">
        <f>MAX(C$111:C$124)</f>
        <v>0.63659401598858201</v>
      </c>
      <c r="D128" s="32">
        <f>MAX(D$112:D$124)</f>
        <v>0.83231802420112322</v>
      </c>
      <c r="E128" s="8">
        <f>MAX(E$113:E$124)</f>
        <v>0.41562354084138764</v>
      </c>
      <c r="F128" s="8">
        <f>MAX(F$114:F$124)</f>
        <v>0.60458902611484333</v>
      </c>
      <c r="G128" s="8">
        <f>MAX(G$115:G$124)</f>
        <v>0.75776071670820333</v>
      </c>
      <c r="H128" s="8">
        <f>MAX(H$116:H$124)</f>
        <v>0.62449157973789438</v>
      </c>
      <c r="I128" s="8">
        <f>MAX(I$117:I$124)</f>
        <v>0.21145510587270047</v>
      </c>
      <c r="J128" s="8">
        <f>MAX(J$118:J$124)</f>
        <v>0.78348652283929821</v>
      </c>
      <c r="K128" s="8">
        <f>MAX(K$119:K$124)</f>
        <v>0.48194820263773991</v>
      </c>
      <c r="L128" s="8">
        <f>MAX(L$120:L$124)</f>
        <v>0.35364535544732029</v>
      </c>
      <c r="M128" s="8">
        <f>MAX(M$121:M$124)</f>
        <v>0.58712503792099191</v>
      </c>
      <c r="N128" s="8">
        <f>MAX(N$122:N$124)</f>
        <v>0.44591620436095691</v>
      </c>
      <c r="O128" s="8">
        <f>MAX(O$123:O$124)</f>
        <v>0.16497215520877176</v>
      </c>
      <c r="P128" s="8">
        <f>MAX(P$124:P$124)</f>
        <v>0.33250562279982926</v>
      </c>
      <c r="Q128" s="8"/>
    </row>
    <row r="129" spans="1:4">
      <c r="A129" s="28" t="s">
        <v>52</v>
      </c>
      <c r="B129" t="s">
        <v>54</v>
      </c>
      <c r="C129" s="22">
        <f>MAX(C128:Q128)</f>
        <v>0.83231802420112322</v>
      </c>
    </row>
    <row r="131" spans="1:4" ht="13.5" thickBot="1">
      <c r="C131" s="21" t="s">
        <v>5</v>
      </c>
      <c r="D131" s="21" t="s">
        <v>18</v>
      </c>
    </row>
    <row r="132" spans="1:4">
      <c r="A132" s="18" t="s">
        <v>46</v>
      </c>
      <c r="C132" s="33">
        <f>$D$86</f>
        <v>1.7716666666666665E-2</v>
      </c>
      <c r="D132" s="33">
        <f>$Q$86</f>
        <v>7.700000000000002E-3</v>
      </c>
    </row>
    <row r="133" spans="1:4" ht="15">
      <c r="A133" s="28" t="s">
        <v>55</v>
      </c>
      <c r="C133" s="33">
        <f>$D$88</f>
        <v>6.4947654913690908E-2</v>
      </c>
      <c r="D133" s="33">
        <f>$Q$88</f>
        <v>8.4669067014411514E-2</v>
      </c>
    </row>
    <row r="134" spans="1:4">
      <c r="A134" s="28"/>
      <c r="C134" s="33"/>
      <c r="D134" s="33"/>
    </row>
    <row r="135" spans="1:4">
      <c r="A135" s="11" t="s">
        <v>56</v>
      </c>
    </row>
    <row r="136" spans="1:4">
      <c r="A136" s="2" t="s">
        <v>5</v>
      </c>
      <c r="C136" s="8">
        <f>$D$93</f>
        <v>4.2181978787878792E-3</v>
      </c>
      <c r="D136" s="32">
        <f>$D$106</f>
        <v>4.5769645454545463E-3</v>
      </c>
    </row>
    <row r="137" spans="1:4">
      <c r="A137" s="2" t="s">
        <v>18</v>
      </c>
      <c r="C137" s="32">
        <f>$D$106</f>
        <v>4.5769645454545463E-3</v>
      </c>
      <c r="D137" s="8">
        <f>$Q$106</f>
        <v>7.1688509090909076E-3</v>
      </c>
    </row>
    <row r="139" spans="1:4">
      <c r="A139" s="42" t="s">
        <v>40</v>
      </c>
      <c r="B139" s="37"/>
      <c r="C139" s="41" t="s">
        <v>19</v>
      </c>
      <c r="D139" s="37"/>
    </row>
    <row r="140" spans="1:4" ht="13.5" thickBot="1">
      <c r="A140" s="21" t="s">
        <v>5</v>
      </c>
      <c r="B140" s="21" t="s">
        <v>18</v>
      </c>
      <c r="C140" s="21" t="s">
        <v>57</v>
      </c>
      <c r="D140" s="21" t="s">
        <v>58</v>
      </c>
    </row>
    <row r="141" spans="1:4">
      <c r="A141" s="40">
        <v>0</v>
      </c>
      <c r="B141" s="40">
        <v>1</v>
      </c>
      <c r="C141" s="39">
        <f>[1]!PortRet($A141:$B141,$C$132:$D$132)</f>
        <v>7.700000000000002E-3</v>
      </c>
      <c r="D141" s="39">
        <f>[1]!PortStDev1($A141:$B141,$C$136:$D$137)</f>
        <v>8.4669067014411514E-2</v>
      </c>
    </row>
    <row r="142" spans="1:4">
      <c r="A142" s="38">
        <v>0.1</v>
      </c>
      <c r="B142" s="38">
        <f>1-$A142</f>
        <v>0.9</v>
      </c>
      <c r="C142" s="39">
        <f>[1]!PortRet($A142:$B142,$C$132:$D$132)</f>
        <v>8.7016666666666683E-3</v>
      </c>
      <c r="D142" s="39">
        <f>[1]!PortStDev1($A142:$B142,$C$136:$D$137)</f>
        <v>8.1687237885322894E-2</v>
      </c>
    </row>
    <row r="143" spans="1:4">
      <c r="A143" s="38">
        <v>0.2</v>
      </c>
      <c r="B143" s="38">
        <f t="shared" ref="B143:B151" si="3">1-$A143</f>
        <v>0.8</v>
      </c>
      <c r="C143" s="39">
        <f>[1]!PortRet($A143:$B143,$C$132:$D$132)</f>
        <v>9.7033333333333346E-3</v>
      </c>
      <c r="D143" s="39">
        <f>[1]!PortStDev1($A143:$B143,$C$136:$D$137)</f>
        <v>7.8875985898847256E-2</v>
      </c>
    </row>
    <row r="144" spans="1:4">
      <c r="A144" s="38">
        <v>0.3</v>
      </c>
      <c r="B144" s="38">
        <f t="shared" si="3"/>
        <v>0.7</v>
      </c>
      <c r="C144" s="39">
        <f>[1]!PortRet($A144:$B144,$C$132:$D$132)</f>
        <v>1.0704999999999999E-2</v>
      </c>
      <c r="D144" s="39">
        <f>[1]!PortStDev1($A144:$B144,$C$136:$D$137)</f>
        <v>7.6254179319145271E-2</v>
      </c>
    </row>
    <row r="145" spans="1:4">
      <c r="A145" s="38">
        <v>0.4</v>
      </c>
      <c r="B145" s="38">
        <f t="shared" si="3"/>
        <v>0.6</v>
      </c>
      <c r="C145" s="39">
        <f>[1]!PortRet($A145:$B145,$C$132:$D$132)</f>
        <v>1.1706666666666667E-2</v>
      </c>
      <c r="D145" s="39">
        <f>[1]!PortStDev1($A145:$B145,$C$136:$D$137)</f>
        <v>7.3842000038575412E-2</v>
      </c>
    </row>
    <row r="146" spans="1:4">
      <c r="A146" s="38">
        <v>0.5</v>
      </c>
      <c r="B146" s="38">
        <f t="shared" si="3"/>
        <v>0.5</v>
      </c>
      <c r="C146" s="39">
        <f>[1]!PortRet($A146:$B146,$C$132:$D$132)</f>
        <v>1.2708333333333334E-2</v>
      </c>
      <c r="D146" s="39">
        <f>[1]!PortStDev1($A146:$B146,$C$136:$D$137)</f>
        <v>7.166062007614063E-2</v>
      </c>
    </row>
    <row r="147" spans="1:4">
      <c r="A147" s="38">
        <v>0.6</v>
      </c>
      <c r="B147" s="38">
        <f t="shared" si="3"/>
        <v>0.4</v>
      </c>
      <c r="C147" s="39">
        <f>[1]!PortRet($A147:$B147,$C$132:$D$132)</f>
        <v>1.371E-2</v>
      </c>
      <c r="D147" s="39">
        <f>[1]!PortStDev1($A147:$B147,$C$136:$D$137)</f>
        <v>6.9731702715740168E-2</v>
      </c>
    </row>
    <row r="148" spans="1:4">
      <c r="A148" s="38">
        <v>0.7</v>
      </c>
      <c r="B148" s="38">
        <f t="shared" si="3"/>
        <v>0.30000000000000004</v>
      </c>
      <c r="C148" s="39">
        <f>[1]!PortRet($A148:$B148,$C$132:$D$132)</f>
        <v>1.4711666666666666E-2</v>
      </c>
      <c r="D148" s="39">
        <f>[1]!PortStDev1($A148:$B148,$C$136:$D$137)</f>
        <v>6.8076711521012467E-2</v>
      </c>
    </row>
    <row r="149" spans="1:4">
      <c r="A149" s="38">
        <v>0.8</v>
      </c>
      <c r="B149" s="38">
        <f t="shared" si="3"/>
        <v>0.19999999999999996</v>
      </c>
      <c r="C149" s="39">
        <f>[1]!PortRet($A149:$B149,$C$132:$D$132)</f>
        <v>1.5713333333333333E-2</v>
      </c>
      <c r="D149" s="39">
        <f>[1]!PortStDev1($A149:$B149,$C$136:$D$137)</f>
        <v>6.6716035054050798E-2</v>
      </c>
    </row>
    <row r="150" spans="1:4">
      <c r="A150" s="38">
        <v>0.9</v>
      </c>
      <c r="B150" s="38">
        <f t="shared" si="3"/>
        <v>9.9999999999999978E-2</v>
      </c>
      <c r="C150" s="39">
        <f>[1]!PortRet($A150:$B150,$C$132:$D$132)</f>
        <v>1.6715000000000001E-2</v>
      </c>
      <c r="D150" s="39">
        <f>[1]!PortStDev1($A150:$B150,$C$136:$D$137)</f>
        <v>6.5667970953052213E-2</v>
      </c>
    </row>
    <row r="151" spans="1:4">
      <c r="A151" s="38">
        <v>1</v>
      </c>
      <c r="B151" s="38">
        <f t="shared" si="3"/>
        <v>0</v>
      </c>
      <c r="C151" s="39">
        <f>[1]!PortRet($A151:$B151,$C$132:$D$132)</f>
        <v>1.7716666666666665E-2</v>
      </c>
      <c r="D151" s="39">
        <f>[1]!PortStDev1($A151:$B151,$C$136:$D$137)</f>
        <v>6.4947654913690908E-2</v>
      </c>
    </row>
    <row r="153" spans="1:4" ht="13.5" thickBot="1">
      <c r="A153" s="20" t="s">
        <v>59</v>
      </c>
    </row>
    <row r="154" spans="1:4" ht="13.5" thickBot="1">
      <c r="C154" s="21" t="s">
        <v>5</v>
      </c>
      <c r="D154" s="21" t="s">
        <v>18</v>
      </c>
    </row>
    <row r="155" spans="1:4">
      <c r="A155" s="18" t="s">
        <v>46</v>
      </c>
      <c r="C155" s="33">
        <f>$D$86</f>
        <v>1.7716666666666665E-2</v>
      </c>
      <c r="D155" s="33">
        <f>$Q$86</f>
        <v>7.700000000000002E-3</v>
      </c>
    </row>
    <row r="156" spans="1:4" ht="15">
      <c r="A156" s="28" t="s">
        <v>55</v>
      </c>
      <c r="C156" s="33">
        <f>$D$88</f>
        <v>6.4947654913690908E-2</v>
      </c>
      <c r="D156" s="33">
        <f>$Q$88</f>
        <v>8.4669067014411514E-2</v>
      </c>
    </row>
    <row r="157" spans="1:4">
      <c r="A157" s="28"/>
      <c r="C157" s="33"/>
      <c r="D157" s="33"/>
    </row>
    <row r="158" spans="1:4">
      <c r="A158" s="11" t="s">
        <v>60</v>
      </c>
    </row>
    <row r="159" spans="1:4">
      <c r="A159" s="2" t="s">
        <v>5</v>
      </c>
      <c r="C159" s="8">
        <f>$D$93</f>
        <v>4.2181978787878792E-3</v>
      </c>
      <c r="D159" s="32">
        <f>-$D$106</f>
        <v>-4.5769645454545463E-3</v>
      </c>
    </row>
    <row r="160" spans="1:4">
      <c r="A160" s="2" t="s">
        <v>18</v>
      </c>
      <c r="C160" s="32">
        <f>-$D$106</f>
        <v>-4.5769645454545463E-3</v>
      </c>
      <c r="D160" s="8">
        <f>$Q$106</f>
        <v>7.1688509090909076E-3</v>
      </c>
    </row>
    <row r="162" spans="1:4">
      <c r="A162" s="42" t="s">
        <v>40</v>
      </c>
      <c r="B162" s="37"/>
      <c r="C162" s="41" t="s">
        <v>19</v>
      </c>
      <c r="D162" s="37"/>
    </row>
    <row r="163" spans="1:4" ht="13.5" thickBot="1">
      <c r="A163" s="21" t="s">
        <v>5</v>
      </c>
      <c r="B163" s="21" t="s">
        <v>18</v>
      </c>
      <c r="C163" s="21" t="s">
        <v>57</v>
      </c>
      <c r="D163" s="21" t="s">
        <v>58</v>
      </c>
    </row>
    <row r="164" spans="1:4">
      <c r="A164" s="40">
        <v>0</v>
      </c>
      <c r="B164" s="40">
        <v>1</v>
      </c>
      <c r="C164" s="39">
        <f>[1]!PortRet($A164:$B164,$C$155:$D$155)</f>
        <v>7.700000000000002E-3</v>
      </c>
      <c r="D164" s="39">
        <f>[1]!PortStDev1($A164:$B164,$C$159:$D$160)</f>
        <v>8.4669067014411514E-2</v>
      </c>
    </row>
    <row r="165" spans="1:4">
      <c r="A165" s="38">
        <v>0.1</v>
      </c>
      <c r="B165" s="38">
        <f>1-$A165</f>
        <v>0.9</v>
      </c>
      <c r="C165" s="39">
        <f>[1]!PortRet($A165:$B165,$C$155:$D$155)</f>
        <v>8.7016666666666683E-3</v>
      </c>
      <c r="D165" s="39">
        <f>[1]!PortStDev1($A165:$B165,$C$159:$D$160)</f>
        <v>7.0887922786393567E-2</v>
      </c>
    </row>
    <row r="166" spans="1:4">
      <c r="A166" s="38">
        <v>0.2</v>
      </c>
      <c r="B166" s="38">
        <f t="shared" ref="B166:B174" si="4">1-$A166</f>
        <v>0.8</v>
      </c>
      <c r="C166" s="39">
        <f>[1]!PortRet($A166:$B166,$C$155:$D$155)</f>
        <v>9.7033333333333346E-3</v>
      </c>
      <c r="D166" s="39">
        <f>[1]!PortStDev1($A166:$B166,$C$159:$D$160)</f>
        <v>5.7377380930330388E-2</v>
      </c>
    </row>
    <row r="167" spans="1:4">
      <c r="A167" s="38">
        <v>0.3</v>
      </c>
      <c r="B167" s="38">
        <f t="shared" si="4"/>
        <v>0.7</v>
      </c>
      <c r="C167" s="39">
        <f>[1]!PortRet($A167:$B167,$C$155:$D$155)</f>
        <v>1.0704999999999999E-2</v>
      </c>
      <c r="D167" s="39">
        <f>[1]!PortStDev1($A167:$B167,$C$159:$D$160)</f>
        <v>4.4385241302200264E-2</v>
      </c>
    </row>
    <row r="168" spans="1:4">
      <c r="A168" s="38">
        <v>0.4</v>
      </c>
      <c r="B168" s="38">
        <f t="shared" si="4"/>
        <v>0.6</v>
      </c>
      <c r="C168" s="39">
        <f>[1]!PortRet($A168:$B168,$C$155:$D$155)</f>
        <v>1.1706666666666667E-2</v>
      </c>
      <c r="D168" s="39">
        <f>[1]!PortStDev1($A168:$B168,$C$159:$D$160)</f>
        <v>3.2538515732291863E-2</v>
      </c>
    </row>
    <row r="169" spans="1:4">
      <c r="A169" s="38">
        <v>0.5</v>
      </c>
      <c r="B169" s="38">
        <f t="shared" si="4"/>
        <v>0.5</v>
      </c>
      <c r="C169" s="39">
        <f>[1]!PortRet($A169:$B169,$C$155:$D$155)</f>
        <v>1.2708333333333334E-2</v>
      </c>
      <c r="D169" s="39">
        <f>[1]!PortStDev1($A169:$B169,$C$159:$D$160)</f>
        <v>2.3627947948191005E-2</v>
      </c>
    </row>
    <row r="170" spans="1:4">
      <c r="A170" s="38">
        <v>0.6</v>
      </c>
      <c r="B170" s="38">
        <f t="shared" si="4"/>
        <v>0.4</v>
      </c>
      <c r="C170" s="39">
        <f>[1]!PortRet($A170:$B170,$C$155:$D$155)</f>
        <v>1.371E-2</v>
      </c>
      <c r="D170" s="39">
        <f>[1]!PortStDev1($A170:$B170,$C$159:$D$160)</f>
        <v>2.164773429253047E-2</v>
      </c>
    </row>
    <row r="171" spans="1:4">
      <c r="A171" s="38">
        <v>0.7</v>
      </c>
      <c r="B171" s="38">
        <f t="shared" si="4"/>
        <v>0.30000000000000004</v>
      </c>
      <c r="C171" s="39">
        <f>[1]!PortRet($A171:$B171,$C$155:$D$155)</f>
        <v>1.4711666666666666E-2</v>
      </c>
      <c r="D171" s="39">
        <f>[1]!PortStDev1($A171:$B171,$C$159:$D$160)</f>
        <v>2.8103174790997061E-2</v>
      </c>
    </row>
    <row r="172" spans="1:4">
      <c r="A172" s="38">
        <v>0.8</v>
      </c>
      <c r="B172" s="38">
        <f t="shared" si="4"/>
        <v>0.19999999999999996</v>
      </c>
      <c r="C172" s="39">
        <f>[1]!PortRet($A172:$B172,$C$155:$D$155)</f>
        <v>1.5713333333333333E-2</v>
      </c>
      <c r="D172" s="39">
        <f>[1]!PortStDev1($A172:$B172,$C$159:$D$160)</f>
        <v>3.9009896491049863E-2</v>
      </c>
    </row>
    <row r="173" spans="1:4">
      <c r="A173" s="38">
        <v>0.9</v>
      </c>
      <c r="B173" s="38">
        <f t="shared" si="4"/>
        <v>9.9999999999999978E-2</v>
      </c>
      <c r="C173" s="39">
        <f>[1]!PortRet($A173:$B173,$C$155:$D$155)</f>
        <v>1.6715000000000001E-2</v>
      </c>
      <c r="D173" s="39">
        <f>[1]!PortStDev1($A173:$B173,$C$159:$D$160)</f>
        <v>5.1619523174156433E-2</v>
      </c>
    </row>
    <row r="174" spans="1:4">
      <c r="A174" s="38">
        <v>1</v>
      </c>
      <c r="B174" s="38">
        <f t="shared" si="4"/>
        <v>0</v>
      </c>
      <c r="C174" s="39">
        <f>[1]!PortRet($A174:$B174,$C$155:$D$155)</f>
        <v>1.7716666666666665E-2</v>
      </c>
      <c r="D174" s="39">
        <f>[1]!PortStDev1($A174:$B174,$C$159:$D$160)</f>
        <v>6.4947654913690908E-2</v>
      </c>
    </row>
    <row r="176" spans="1:4" ht="13.5" thickBot="1">
      <c r="A176" s="19" t="s">
        <v>61</v>
      </c>
    </row>
    <row r="177" spans="1:17" ht="13.5" thickBot="1">
      <c r="C177" s="21" t="s">
        <v>5</v>
      </c>
      <c r="D177" s="21" t="s">
        <v>18</v>
      </c>
    </row>
    <row r="178" spans="1:17">
      <c r="A178" s="18" t="s">
        <v>46</v>
      </c>
      <c r="C178" s="33">
        <f>$D$86</f>
        <v>1.7716666666666665E-2</v>
      </c>
      <c r="D178" s="33">
        <f>$Q$86</f>
        <v>7.700000000000002E-3</v>
      </c>
    </row>
    <row r="179" spans="1:17" ht="15">
      <c r="A179" s="28" t="s">
        <v>55</v>
      </c>
      <c r="C179" s="33">
        <f>$D$88</f>
        <v>6.4947654913690908E-2</v>
      </c>
      <c r="D179" s="33">
        <f>$Q$88</f>
        <v>8.4669067014411514E-2</v>
      </c>
    </row>
    <row r="180" spans="1:17">
      <c r="A180" s="28"/>
      <c r="C180" s="33"/>
      <c r="D180" s="33"/>
    </row>
    <row r="181" spans="1:17">
      <c r="A181" s="11" t="s">
        <v>56</v>
      </c>
    </row>
    <row r="182" spans="1:17">
      <c r="A182" s="2" t="s">
        <v>5</v>
      </c>
      <c r="C182" s="8">
        <f>$D$93</f>
        <v>4.2181978787878792E-3</v>
      </c>
      <c r="D182" s="32">
        <f>$D$106</f>
        <v>4.5769645454545463E-3</v>
      </c>
    </row>
    <row r="183" spans="1:17">
      <c r="A183" s="2" t="s">
        <v>18</v>
      </c>
      <c r="C183" s="32">
        <f>$D$106</f>
        <v>4.5769645454545463E-3</v>
      </c>
      <c r="D183" s="8">
        <f>$Q$106</f>
        <v>7.1688509090909076E-3</v>
      </c>
    </row>
    <row r="185" spans="1:17">
      <c r="A185" s="42" t="s">
        <v>62</v>
      </c>
      <c r="B185" s="37"/>
      <c r="C185" s="41" t="s">
        <v>63</v>
      </c>
      <c r="D185" s="37"/>
      <c r="F185" s="11" t="s">
        <v>64</v>
      </c>
    </row>
    <row r="186" spans="1:17" ht="13.5" thickBot="1">
      <c r="A186" s="21" t="s">
        <v>5</v>
      </c>
      <c r="B186" s="21" t="s">
        <v>18</v>
      </c>
      <c r="C186" s="21" t="s">
        <v>57</v>
      </c>
      <c r="D186" s="21" t="s">
        <v>58</v>
      </c>
    </row>
    <row r="187" spans="1:17">
      <c r="A187" s="45">
        <f>[1]!WOpt1Cov($C$178,$D$178,$C$179,$D$179,$D$182)</f>
        <v>1.1606571591990826</v>
      </c>
      <c r="B187" s="45">
        <f>[1]!WOpt2Cov($C$178,$D$178,$C$179,$D$179,$D$182)</f>
        <v>-0.16065715919908255</v>
      </c>
      <c r="C187" s="39">
        <f>[1]!PortRet($A187:$B187,$C$178:$D$178)</f>
        <v>1.9325915877977478E-2</v>
      </c>
      <c r="D187" s="39">
        <f>[1]!PortStDev1($A187:$B187,$C$182:$D$183)</f>
        <v>6.4502398756215953E-2</v>
      </c>
      <c r="E187" s="46" t="s">
        <v>65</v>
      </c>
    </row>
    <row r="188" spans="1:17">
      <c r="C188" s="11" t="s">
        <v>66</v>
      </c>
    </row>
    <row r="189" spans="1:17" ht="13.5" thickBot="1">
      <c r="A189" s="19" t="s">
        <v>67</v>
      </c>
    </row>
    <row r="190" spans="1:17">
      <c r="A190" s="17" t="s">
        <v>68</v>
      </c>
    </row>
    <row r="191" spans="1:17" ht="13.5" thickBot="1">
      <c r="C191" s="21" t="s">
        <v>4</v>
      </c>
      <c r="D191" s="21" t="s">
        <v>5</v>
      </c>
      <c r="E191" s="21" t="s">
        <v>6</v>
      </c>
      <c r="F191" s="21" t="s">
        <v>7</v>
      </c>
      <c r="G191" s="21" t="s">
        <v>8</v>
      </c>
      <c r="H191" s="21" t="s">
        <v>9</v>
      </c>
      <c r="I191" s="21" t="s">
        <v>10</v>
      </c>
      <c r="J191" s="21" t="s">
        <v>11</v>
      </c>
      <c r="K191" s="21" t="s">
        <v>12</v>
      </c>
      <c r="L191" s="21" t="s">
        <v>13</v>
      </c>
      <c r="M191" s="21" t="s">
        <v>14</v>
      </c>
      <c r="N191" s="21" t="s">
        <v>15</v>
      </c>
      <c r="O191" s="21" t="s">
        <v>16</v>
      </c>
      <c r="P191" s="21" t="s">
        <v>17</v>
      </c>
      <c r="Q191" s="21" t="s">
        <v>18</v>
      </c>
    </row>
    <row r="192" spans="1:17">
      <c r="A192" s="16" t="s">
        <v>4</v>
      </c>
      <c r="C192" s="8">
        <v>4.1622587878787903E-3</v>
      </c>
      <c r="D192" s="8">
        <v>2.1804466666666702E-3</v>
      </c>
      <c r="E192" s="8">
        <v>1.9198727272727299E-4</v>
      </c>
      <c r="F192" s="8">
        <v>1.11602878787879E-3</v>
      </c>
      <c r="G192" s="8">
        <v>2.68514424242424E-3</v>
      </c>
      <c r="H192" s="8">
        <v>3.4368000000000002E-4</v>
      </c>
      <c r="I192" s="8">
        <v>2.4304515151515101E-4</v>
      </c>
      <c r="J192" s="8">
        <v>1.4139733333333299E-3</v>
      </c>
      <c r="K192" s="8">
        <v>4.1941090909090898E-3</v>
      </c>
      <c r="L192" s="8">
        <v>9.7901212121212505E-5</v>
      </c>
      <c r="M192" s="8">
        <v>1.4303181818181801E-4</v>
      </c>
      <c r="N192" s="8">
        <v>7.3286969696969705E-4</v>
      </c>
      <c r="O192" s="8">
        <v>2.3245860606060601E-3</v>
      </c>
      <c r="P192" s="8">
        <v>8.4393303030303E-4</v>
      </c>
      <c r="Q192" s="8">
        <v>2.70224090909091E-3</v>
      </c>
    </row>
    <row r="193" spans="1:17">
      <c r="A193" s="16" t="s">
        <v>5</v>
      </c>
      <c r="C193" s="8">
        <v>2.1804466666666702E-3</v>
      </c>
      <c r="D193" s="8">
        <v>4.2181978787878801E-3</v>
      </c>
      <c r="E193" s="8">
        <v>7.7061181818181802E-4</v>
      </c>
      <c r="F193" s="8">
        <v>4.1622384848484899E-3</v>
      </c>
      <c r="G193" s="8">
        <v>1.63998257575758E-3</v>
      </c>
      <c r="H193" s="8">
        <v>-1.5872995454545499E-3</v>
      </c>
      <c r="I193" s="8">
        <v>7.9801984848484897E-4</v>
      </c>
      <c r="J193" s="8">
        <v>2.9361616666666699E-3</v>
      </c>
      <c r="K193" s="8">
        <v>1.6174240909090901E-3</v>
      </c>
      <c r="L193" s="8">
        <v>-1.0955062121212099E-3</v>
      </c>
      <c r="M193" s="8">
        <v>6.8929045454545505E-4</v>
      </c>
      <c r="N193" s="8">
        <v>4.6536712121212102E-4</v>
      </c>
      <c r="O193" s="8">
        <v>8.7239712121212098E-4</v>
      </c>
      <c r="P193" s="8">
        <v>9.3366287878787898E-4</v>
      </c>
      <c r="Q193" s="8">
        <v>4.5769645454545498E-3</v>
      </c>
    </row>
    <row r="194" spans="1:17">
      <c r="A194" s="16" t="s">
        <v>6</v>
      </c>
      <c r="C194" s="8">
        <v>1.9198727272727299E-4</v>
      </c>
      <c r="D194" s="8">
        <v>7.7061181818181802E-4</v>
      </c>
      <c r="E194" s="8">
        <v>3.3282409090909099E-3</v>
      </c>
      <c r="F194" s="8">
        <v>5.5742909090908995E-4</v>
      </c>
      <c r="G194" s="8">
        <v>1.54756954545455E-3</v>
      </c>
      <c r="H194" s="8">
        <v>-5.0404545454543604E-6</v>
      </c>
      <c r="I194" s="8">
        <v>-2.8620590909090898E-4</v>
      </c>
      <c r="J194" s="8">
        <v>1.6699804545454501E-3</v>
      </c>
      <c r="K194" s="8">
        <v>4.3284863636363599E-4</v>
      </c>
      <c r="L194" s="8">
        <v>-1.0883695454545501E-3</v>
      </c>
      <c r="M194" s="8">
        <v>4.0140681818181802E-4</v>
      </c>
      <c r="N194" s="8">
        <v>8.8707227272727298E-4</v>
      </c>
      <c r="O194" s="8">
        <v>-1.3362045454545399E-4</v>
      </c>
      <c r="P194" s="8">
        <v>-5.4815227272727305E-4</v>
      </c>
      <c r="Q194" s="8">
        <v>1.39303727272727E-3</v>
      </c>
    </row>
    <row r="195" spans="1:17">
      <c r="A195" s="16" t="s">
        <v>7</v>
      </c>
      <c r="C195" s="8">
        <v>1.11602878787879E-3</v>
      </c>
      <c r="D195" s="8">
        <v>4.1622384848484899E-3</v>
      </c>
      <c r="E195" s="8">
        <v>5.5742909090908995E-4</v>
      </c>
      <c r="F195" s="8">
        <v>2.29205633333333E-2</v>
      </c>
      <c r="G195" s="8">
        <v>-3.3677025757575798E-3</v>
      </c>
      <c r="H195" s="8">
        <v>-5.3146586363636396E-3</v>
      </c>
      <c r="I195" s="8">
        <v>4.6432015151515101E-4</v>
      </c>
      <c r="J195" s="8">
        <v>1.49171924242424E-3</v>
      </c>
      <c r="K195" s="8">
        <v>3.7329681818181701E-4</v>
      </c>
      <c r="L195" s="8">
        <v>1.67849439393939E-3</v>
      </c>
      <c r="M195" s="8">
        <v>-9.5978636363636301E-5</v>
      </c>
      <c r="N195" s="8">
        <v>3.4344833333333299E-4</v>
      </c>
      <c r="O195" s="8">
        <v>-3.0911516666666701E-3</v>
      </c>
      <c r="P195" s="8">
        <v>-1.24746833333333E-3</v>
      </c>
      <c r="Q195" s="8">
        <v>7.74992818181818E-3</v>
      </c>
    </row>
    <row r="196" spans="1:17">
      <c r="A196" s="16" t="s">
        <v>8</v>
      </c>
      <c r="C196" s="8">
        <v>2.68514424242424E-3</v>
      </c>
      <c r="D196" s="8">
        <v>1.63998257575758E-3</v>
      </c>
      <c r="E196" s="8">
        <v>1.54756954545455E-3</v>
      </c>
      <c r="F196" s="8">
        <v>-3.3677025757575798E-3</v>
      </c>
      <c r="G196" s="8">
        <v>1.31058317424242E-2</v>
      </c>
      <c r="H196" s="8">
        <v>5.2996584090909101E-3</v>
      </c>
      <c r="I196" s="8">
        <v>6.62096742424243E-4</v>
      </c>
      <c r="J196" s="8">
        <v>3.1675503787878798E-3</v>
      </c>
      <c r="K196" s="8">
        <v>7.4858593181818204E-3</v>
      </c>
      <c r="L196" s="8">
        <v>2.7743818939393902E-3</v>
      </c>
      <c r="M196" s="8">
        <v>1.5252931818181801E-4</v>
      </c>
      <c r="N196" s="8">
        <v>3.5217744696969702E-3</v>
      </c>
      <c r="O196" s="8">
        <v>1.7807571969697001E-3</v>
      </c>
      <c r="P196" s="8">
        <v>1.7345005303030299E-3</v>
      </c>
      <c r="Q196" s="8">
        <v>2.0732300000000001E-3</v>
      </c>
    </row>
    <row r="197" spans="1:17">
      <c r="A197" s="16" t="s">
        <v>9</v>
      </c>
      <c r="C197" s="8">
        <v>3.4368000000000002E-4</v>
      </c>
      <c r="D197" s="8">
        <v>-1.5872995454545499E-3</v>
      </c>
      <c r="E197" s="8">
        <v>-5.0404545454543604E-6</v>
      </c>
      <c r="F197" s="8">
        <v>-5.3146586363636396E-3</v>
      </c>
      <c r="G197" s="8">
        <v>5.2996584090909101E-3</v>
      </c>
      <c r="H197" s="8">
        <v>7.1899329545454501E-3</v>
      </c>
      <c r="I197" s="8">
        <v>-5.1717295454545395E-4</v>
      </c>
      <c r="J197" s="8">
        <v>1.3355034090909101E-3</v>
      </c>
      <c r="K197" s="8">
        <v>-6.5053409090909099E-5</v>
      </c>
      <c r="L197" s="8">
        <v>1.90309340909091E-3</v>
      </c>
      <c r="M197" s="8">
        <v>7.1207500000000006E-5</v>
      </c>
      <c r="N197" s="8">
        <v>2.1497411363636401E-3</v>
      </c>
      <c r="O197" s="8">
        <v>3.2811956818181798E-3</v>
      </c>
      <c r="P197" s="8">
        <v>1.43481113636364E-3</v>
      </c>
      <c r="Q197" s="8">
        <v>-6.8334272727272704E-4</v>
      </c>
    </row>
    <row r="198" spans="1:17">
      <c r="A198" s="16" t="s">
        <v>10</v>
      </c>
      <c r="C198" s="8">
        <v>2.4304515151515101E-4</v>
      </c>
      <c r="D198" s="8">
        <v>7.9801984848484897E-4</v>
      </c>
      <c r="E198" s="8">
        <v>-2.8620590909090898E-4</v>
      </c>
      <c r="F198" s="8">
        <v>4.6432015151515101E-4</v>
      </c>
      <c r="G198" s="8">
        <v>6.62096742424243E-4</v>
      </c>
      <c r="H198" s="8">
        <v>-5.1717295454545395E-4</v>
      </c>
      <c r="I198" s="8">
        <v>2.0608299242424201E-3</v>
      </c>
      <c r="J198" s="8">
        <v>-3.10888257575757E-4</v>
      </c>
      <c r="K198" s="8">
        <v>5.6723977272727299E-4</v>
      </c>
      <c r="L198" s="8">
        <v>2.4537416666666698E-4</v>
      </c>
      <c r="M198" s="8">
        <v>-2.5758386363636401E-4</v>
      </c>
      <c r="N198" s="8">
        <v>-4.4607143939393902E-4</v>
      </c>
      <c r="O198" s="8">
        <v>8.5980310606060596E-4</v>
      </c>
      <c r="P198" s="8">
        <v>3.1401893939393998E-5</v>
      </c>
      <c r="Q198" s="8">
        <v>-3.4465272727272699E-4</v>
      </c>
    </row>
    <row r="199" spans="1:17">
      <c r="A199" s="16" t="s">
        <v>11</v>
      </c>
      <c r="C199" s="8">
        <v>1.4139733333333299E-3</v>
      </c>
      <c r="D199" s="8">
        <v>2.9361616666666699E-3</v>
      </c>
      <c r="E199" s="8">
        <v>1.6699804545454501E-3</v>
      </c>
      <c r="F199" s="8">
        <v>1.49171924242424E-3</v>
      </c>
      <c r="G199" s="8">
        <v>3.1675503787878798E-3</v>
      </c>
      <c r="H199" s="8">
        <v>1.3355034090909101E-3</v>
      </c>
      <c r="I199" s="8">
        <v>-3.10888257575757E-4</v>
      </c>
      <c r="J199" s="8">
        <v>4.8507371969697E-3</v>
      </c>
      <c r="K199" s="8">
        <v>7.5733977272727203E-4</v>
      </c>
      <c r="L199" s="8">
        <v>-2.03748492424242E-3</v>
      </c>
      <c r="M199" s="8">
        <v>9.2270613636363601E-4</v>
      </c>
      <c r="N199" s="8">
        <v>1.58089583333333E-3</v>
      </c>
      <c r="O199" s="8">
        <v>1.75598310606061E-3</v>
      </c>
      <c r="P199" s="8">
        <v>1.3860264393939399E-3</v>
      </c>
      <c r="Q199" s="8">
        <v>4.6201936363636396E-3</v>
      </c>
    </row>
    <row r="200" spans="1:17">
      <c r="A200" s="16" t="s">
        <v>12</v>
      </c>
      <c r="C200" s="8">
        <v>4.1941090909090898E-3</v>
      </c>
      <c r="D200" s="8">
        <v>1.6174240909090901E-3</v>
      </c>
      <c r="E200" s="8">
        <v>4.3284863636363599E-4</v>
      </c>
      <c r="F200" s="8">
        <v>3.7329681818181701E-4</v>
      </c>
      <c r="G200" s="8">
        <v>7.4858593181818204E-3</v>
      </c>
      <c r="H200" s="8">
        <v>-6.5053409090909099E-5</v>
      </c>
      <c r="I200" s="8">
        <v>5.6723977272727299E-4</v>
      </c>
      <c r="J200" s="8">
        <v>7.5733977272727203E-4</v>
      </c>
      <c r="K200" s="8">
        <v>1.04285820454545E-2</v>
      </c>
      <c r="L200" s="8">
        <v>2.2883052272727302E-3</v>
      </c>
      <c r="M200" s="8">
        <v>-3.8563409090909101E-5</v>
      </c>
      <c r="N200" s="8">
        <v>1.9980674999999998E-3</v>
      </c>
      <c r="O200" s="8">
        <v>1.1825302272727299E-3</v>
      </c>
      <c r="P200" s="8">
        <v>8.6727022727272696E-4</v>
      </c>
      <c r="Q200" s="8">
        <v>2.0582990909090901E-3</v>
      </c>
    </row>
    <row r="201" spans="1:17">
      <c r="A201" s="16" t="s">
        <v>13</v>
      </c>
      <c r="C201" s="8">
        <v>9.7901212121212505E-5</v>
      </c>
      <c r="D201" s="8">
        <v>-1.0955062121212099E-3</v>
      </c>
      <c r="E201" s="8">
        <v>-1.0883695454545501E-3</v>
      </c>
      <c r="F201" s="8">
        <v>1.67849439393939E-3</v>
      </c>
      <c r="G201" s="8">
        <v>2.7743818939393902E-3</v>
      </c>
      <c r="H201" s="8">
        <v>1.90309340909091E-3</v>
      </c>
      <c r="I201" s="8">
        <v>2.4537416666666698E-4</v>
      </c>
      <c r="J201" s="8">
        <v>-2.03748492424242E-3</v>
      </c>
      <c r="K201" s="8">
        <v>2.2883052272727302E-3</v>
      </c>
      <c r="L201" s="8">
        <v>6.3861171969697003E-3</v>
      </c>
      <c r="M201" s="8">
        <v>-9.2777659090909103E-4</v>
      </c>
      <c r="N201" s="8">
        <v>1.14731734848485E-3</v>
      </c>
      <c r="O201" s="8">
        <v>-8.9568992424242399E-4</v>
      </c>
      <c r="P201" s="8">
        <v>4.9114219696969703E-4</v>
      </c>
      <c r="Q201" s="8">
        <v>-1.5982081818181799E-3</v>
      </c>
    </row>
    <row r="202" spans="1:17">
      <c r="A202" s="16" t="s">
        <v>14</v>
      </c>
      <c r="C202" s="8">
        <v>1.4303181818181801E-4</v>
      </c>
      <c r="D202" s="8">
        <v>6.8929045454545505E-4</v>
      </c>
      <c r="E202" s="8">
        <v>4.0140681818181802E-4</v>
      </c>
      <c r="F202" s="8">
        <v>-9.5978636363636301E-5</v>
      </c>
      <c r="G202" s="8">
        <v>1.5252931818181801E-4</v>
      </c>
      <c r="H202" s="8">
        <v>7.1207500000000006E-5</v>
      </c>
      <c r="I202" s="8">
        <v>-2.5758386363636401E-4</v>
      </c>
      <c r="J202" s="8">
        <v>9.2270613636363601E-4</v>
      </c>
      <c r="K202" s="8">
        <v>-3.8563409090909101E-5</v>
      </c>
      <c r="L202" s="8">
        <v>-9.2777659090909103E-4</v>
      </c>
      <c r="M202" s="8">
        <v>4.9780568181818203E-4</v>
      </c>
      <c r="N202" s="8">
        <v>2.24665681818182E-4</v>
      </c>
      <c r="O202" s="8">
        <v>5.7042954545454703E-5</v>
      </c>
      <c r="P202" s="8">
        <v>4.0715477272727302E-4</v>
      </c>
      <c r="Q202" s="8">
        <v>1.1091372727272701E-3</v>
      </c>
    </row>
    <row r="203" spans="1:17">
      <c r="A203" s="16" t="s">
        <v>15</v>
      </c>
      <c r="C203" s="8">
        <v>7.3286969696969705E-4</v>
      </c>
      <c r="D203" s="8">
        <v>4.6536712121212102E-4</v>
      </c>
      <c r="E203" s="8">
        <v>8.8707227272727298E-4</v>
      </c>
      <c r="F203" s="8">
        <v>3.4344833333333299E-4</v>
      </c>
      <c r="G203" s="8">
        <v>3.5217744696969702E-3</v>
      </c>
      <c r="H203" s="8">
        <v>2.1497411363636401E-3</v>
      </c>
      <c r="I203" s="8">
        <v>-4.4607143939393902E-4</v>
      </c>
      <c r="J203" s="8">
        <v>1.58089583333333E-3</v>
      </c>
      <c r="K203" s="8">
        <v>1.9980674999999998E-3</v>
      </c>
      <c r="L203" s="8">
        <v>1.14731734848485E-3</v>
      </c>
      <c r="M203" s="8">
        <v>2.24665681818182E-4</v>
      </c>
      <c r="N203" s="8">
        <v>1.6481408333333301E-3</v>
      </c>
      <c r="O203" s="8">
        <v>1.05424810606061E-3</v>
      </c>
      <c r="P203" s="8">
        <v>6.4765507575757601E-4</v>
      </c>
      <c r="Q203" s="8">
        <v>1.5327636363636401E-3</v>
      </c>
    </row>
    <row r="204" spans="1:17">
      <c r="A204" s="16" t="s">
        <v>16</v>
      </c>
      <c r="C204" s="8">
        <v>2.3245860606060601E-3</v>
      </c>
      <c r="D204" s="8">
        <v>8.7239712121212098E-4</v>
      </c>
      <c r="E204" s="8">
        <v>-1.3362045454545399E-4</v>
      </c>
      <c r="F204" s="8">
        <v>-3.0911516666666701E-3</v>
      </c>
      <c r="G204" s="8">
        <v>1.7807571969697001E-3</v>
      </c>
      <c r="H204" s="8">
        <v>3.2811956818181798E-3</v>
      </c>
      <c r="I204" s="8">
        <v>8.5980310606060596E-4</v>
      </c>
      <c r="J204" s="8">
        <v>1.75598310606061E-3</v>
      </c>
      <c r="K204" s="8">
        <v>1.1825302272727299E-3</v>
      </c>
      <c r="L204" s="8">
        <v>-8.9568992424242399E-4</v>
      </c>
      <c r="M204" s="8">
        <v>5.7042954545454703E-5</v>
      </c>
      <c r="N204" s="8">
        <v>1.05424810606061E-3</v>
      </c>
      <c r="O204" s="8">
        <v>8.0226808333333302E-3</v>
      </c>
      <c r="P204" s="8">
        <v>5.2891689393939401E-4</v>
      </c>
      <c r="Q204" s="8">
        <v>1.25110909090909E-3</v>
      </c>
    </row>
    <row r="205" spans="1:17">
      <c r="A205" s="16" t="s">
        <v>17</v>
      </c>
      <c r="C205" s="8">
        <v>8.4393303030303E-4</v>
      </c>
      <c r="D205" s="8">
        <v>9.3366287878787898E-4</v>
      </c>
      <c r="E205" s="8">
        <v>-5.4815227272727305E-4</v>
      </c>
      <c r="F205" s="8">
        <v>-1.24746833333333E-3</v>
      </c>
      <c r="G205" s="8">
        <v>1.7345005303030299E-3</v>
      </c>
      <c r="H205" s="8">
        <v>1.43481113636364E-3</v>
      </c>
      <c r="I205" s="8">
        <v>3.1401893939393998E-5</v>
      </c>
      <c r="J205" s="8">
        <v>1.3860264393939399E-3</v>
      </c>
      <c r="K205" s="8">
        <v>8.6727022727272696E-4</v>
      </c>
      <c r="L205" s="8">
        <v>4.9114219696969703E-4</v>
      </c>
      <c r="M205" s="8">
        <v>4.0715477272727302E-4</v>
      </c>
      <c r="N205" s="8">
        <v>6.4765507575757601E-4</v>
      </c>
      <c r="O205" s="8">
        <v>5.2891689393939401E-4</v>
      </c>
      <c r="P205" s="8">
        <v>1.55318083333333E-3</v>
      </c>
      <c r="Q205" s="8">
        <v>1.1095190909090899E-3</v>
      </c>
    </row>
    <row r="206" spans="1:17">
      <c r="A206" s="16" t="s">
        <v>18</v>
      </c>
      <c r="C206" s="8">
        <v>2.70224090909091E-3</v>
      </c>
      <c r="D206" s="8">
        <v>4.5769645454545498E-3</v>
      </c>
      <c r="E206" s="8">
        <v>1.39303727272727E-3</v>
      </c>
      <c r="F206" s="8">
        <v>7.74992818181818E-3</v>
      </c>
      <c r="G206" s="8">
        <v>2.0732300000000001E-3</v>
      </c>
      <c r="H206" s="8">
        <v>-6.8334272727272704E-4</v>
      </c>
      <c r="I206" s="8">
        <v>-3.4465272727272699E-4</v>
      </c>
      <c r="J206" s="8">
        <v>4.6201936363636396E-3</v>
      </c>
      <c r="K206" s="8">
        <v>2.0582990909090901E-3</v>
      </c>
      <c r="L206" s="8">
        <v>-1.5982081818181799E-3</v>
      </c>
      <c r="M206" s="8">
        <v>1.1091372727272701E-3</v>
      </c>
      <c r="N206" s="8">
        <v>1.5327636363636401E-3</v>
      </c>
      <c r="O206" s="8">
        <v>1.25110909090909E-3</v>
      </c>
      <c r="P206" s="8">
        <v>1.1095190909090899E-3</v>
      </c>
      <c r="Q206" s="8">
        <v>7.1688509090909102E-3</v>
      </c>
    </row>
    <row r="208" spans="1:17">
      <c r="B208" s="2" t="s">
        <v>46</v>
      </c>
      <c r="C208" s="2" t="s">
        <v>69</v>
      </c>
    </row>
    <row r="209" spans="1:17">
      <c r="A209" s="16" t="s">
        <v>4</v>
      </c>
      <c r="B209" s="8">
        <v>3.7633333333333331E-2</v>
      </c>
      <c r="C209">
        <f t="array" ref="C209:Q223">MINVERSE(C192:Q206)</f>
        <v>-1.2519366164659184E+17</v>
      </c>
      <c r="D209">
        <v>3.679517936260953E+17</v>
      </c>
      <c r="E209">
        <v>2.5567246563110374E+17</v>
      </c>
      <c r="F209">
        <v>2.9733225620623898E+17</v>
      </c>
      <c r="G209">
        <v>1.6973992064574378E+17</v>
      </c>
      <c r="H209">
        <v>-4.5801336702471424E+16</v>
      </c>
      <c r="I209">
        <v>-4.6581967578645754E+17</v>
      </c>
      <c r="J209">
        <v>-3.7081670728828774E+17</v>
      </c>
      <c r="K209">
        <v>-1.0838275239974288E+16</v>
      </c>
      <c r="L209">
        <v>-4.161450255130247E+17</v>
      </c>
      <c r="M209">
        <v>-4.7245948922737318E+17</v>
      </c>
      <c r="N209">
        <v>1.1747989598988774E+17</v>
      </c>
      <c r="O209">
        <v>2.0411769656697894E+17</v>
      </c>
      <c r="P209">
        <v>9.5549913417912973E+17</v>
      </c>
      <c r="Q209">
        <v>-6.2089660824240205E+17</v>
      </c>
    </row>
    <row r="210" spans="1:17">
      <c r="A210" s="16" t="s">
        <v>5</v>
      </c>
      <c r="B210" s="8">
        <v>1.7716666666666665E-2</v>
      </c>
      <c r="C210">
        <v>3.1870134684643622E+17</v>
      </c>
      <c r="D210">
        <v>-9.5013254661841152E+17</v>
      </c>
      <c r="E210">
        <v>-6.5199750956133005E+17</v>
      </c>
      <c r="F210">
        <v>-7.4089384812431552E+17</v>
      </c>
      <c r="G210">
        <v>-4.1672912277922701E+17</v>
      </c>
      <c r="H210">
        <v>1.2614961098731333E+17</v>
      </c>
      <c r="I210">
        <v>1.159706480659391E+18</v>
      </c>
      <c r="J210">
        <v>1.0157954194834115E+18</v>
      </c>
      <c r="K210">
        <v>4.2933939015645848E+16</v>
      </c>
      <c r="L210">
        <v>1.1059988689741827E+18</v>
      </c>
      <c r="M210">
        <v>1.3576988091723476E+18</v>
      </c>
      <c r="N210">
        <v>-4.449627072896425E+17</v>
      </c>
      <c r="O210">
        <v>-5.0148641520613907E+17</v>
      </c>
      <c r="P210">
        <v>-2.4806130148147809E+18</v>
      </c>
      <c r="Q210">
        <v>1.538523400970891E+18</v>
      </c>
    </row>
    <row r="211" spans="1:17">
      <c r="A211" s="16" t="s">
        <v>6</v>
      </c>
      <c r="B211" s="8">
        <v>1.455E-2</v>
      </c>
      <c r="C211">
        <v>2.4749120133911619E+17</v>
      </c>
      <c r="D211">
        <v>-7.3353828729730816E+17</v>
      </c>
      <c r="E211">
        <v>-5.1777748258433728E+17</v>
      </c>
      <c r="F211">
        <v>-5.952021765755831E+17</v>
      </c>
      <c r="G211">
        <v>-3.4521137161893158E+17</v>
      </c>
      <c r="H211">
        <v>1.0919774462794832E+17</v>
      </c>
      <c r="I211">
        <v>9.3002441833281357E+17</v>
      </c>
      <c r="J211">
        <v>7.7887551452016768E+17</v>
      </c>
      <c r="K211">
        <v>3.6038086527447024E+16</v>
      </c>
      <c r="L211">
        <v>8.5683301083759258E+17</v>
      </c>
      <c r="M211">
        <v>1.0046776828444238E+18</v>
      </c>
      <c r="N211">
        <v>-2.9444867908987712E+17</v>
      </c>
      <c r="O211">
        <v>-4.0967774523813133E+17</v>
      </c>
      <c r="P211">
        <v>-1.9577330046116047E+18</v>
      </c>
      <c r="Q211">
        <v>1.2347677598582612E+18</v>
      </c>
    </row>
    <row r="212" spans="1:17">
      <c r="A212" s="16" t="s">
        <v>7</v>
      </c>
      <c r="B212" s="8">
        <v>2.9283333333333328E-2</v>
      </c>
      <c r="C212">
        <v>2.5122688727807597E+17</v>
      </c>
      <c r="D212">
        <v>-7.2573115195107341E+17</v>
      </c>
      <c r="E212">
        <v>-5.1755468675059661E+17</v>
      </c>
      <c r="F212">
        <v>-5.7446952369605773E+17</v>
      </c>
      <c r="G212">
        <v>-3.3208066178885773E+17</v>
      </c>
      <c r="H212">
        <v>1.1100734589422762E+17</v>
      </c>
      <c r="I212">
        <v>9.025994046005312E+17</v>
      </c>
      <c r="J212">
        <v>8.1673400926228762E+17</v>
      </c>
      <c r="K212">
        <v>4.2139446812149344E+16</v>
      </c>
      <c r="L212">
        <v>8.7085912428852877E+17</v>
      </c>
      <c r="M212">
        <v>1.1012385793834355E+18</v>
      </c>
      <c r="N212">
        <v>-3.5827506363974016E+17</v>
      </c>
      <c r="O212">
        <v>-3.944034752359632E+17</v>
      </c>
      <c r="P212">
        <v>-1.9665973068620298E+18</v>
      </c>
      <c r="Q212">
        <v>1.1753646980812191E+18</v>
      </c>
    </row>
    <row r="213" spans="1:17">
      <c r="A213" s="16" t="s">
        <v>8</v>
      </c>
      <c r="B213" s="8">
        <v>2.1808333333333329E-2</v>
      </c>
      <c r="C213">
        <v>1.5074158379346682E+17</v>
      </c>
      <c r="D213">
        <v>-4.3273061568608736E+17</v>
      </c>
      <c r="E213">
        <v>-3.1725628053223315E+17</v>
      </c>
      <c r="F213">
        <v>-3.5225747991142899E+17</v>
      </c>
      <c r="G213">
        <v>-2.0914043977426669E+17</v>
      </c>
      <c r="H213">
        <v>7.5154025982697536E+16</v>
      </c>
      <c r="I213">
        <v>5.5272042531033414E+17</v>
      </c>
      <c r="J213">
        <v>4.9628204080118406E+17</v>
      </c>
      <c r="K213">
        <v>2.9701722292446572E+16</v>
      </c>
      <c r="L213">
        <v>5.278512412664528E+17</v>
      </c>
      <c r="M213">
        <v>6.5860366943369344E+17</v>
      </c>
      <c r="N213">
        <v>-2.084644060666792E+17</v>
      </c>
      <c r="O213">
        <v>-2.4497802045525491E+17</v>
      </c>
      <c r="P213">
        <v>-1.2048161929014093E+18</v>
      </c>
      <c r="Q213">
        <v>7.1733797520495578E+17</v>
      </c>
    </row>
    <row r="214" spans="1:17">
      <c r="A214" s="16" t="s">
        <v>9</v>
      </c>
      <c r="B214" s="8">
        <v>7.5475E-2</v>
      </c>
      <c r="C214">
        <v>-5.4189986373389712E+16</v>
      </c>
      <c r="D214">
        <v>1.7625401190541078E+17</v>
      </c>
      <c r="E214">
        <v>1.3082705075441659E+17</v>
      </c>
      <c r="F214">
        <v>1.5314808801222422E+17</v>
      </c>
      <c r="G214">
        <v>9.536942652584872E+16</v>
      </c>
      <c r="H214">
        <v>-4.4189628997767472E+16</v>
      </c>
      <c r="I214">
        <v>-2.3424596547517888E+17</v>
      </c>
      <c r="J214">
        <v>-2.0702902030383312E+17</v>
      </c>
      <c r="K214">
        <v>-2.1005061194094092E+16</v>
      </c>
      <c r="L214">
        <v>-2.2382892762697651E+17</v>
      </c>
      <c r="M214">
        <v>-2.5557350318631869E+17</v>
      </c>
      <c r="N214">
        <v>1.0153535335865237E+17</v>
      </c>
      <c r="O214">
        <v>1.0719616102408728E+17</v>
      </c>
      <c r="P214">
        <v>5.1354012632244045E+17</v>
      </c>
      <c r="Q214">
        <v>-3.169402170405319E+17</v>
      </c>
    </row>
    <row r="215" spans="1:17">
      <c r="A215" s="16" t="s">
        <v>10</v>
      </c>
      <c r="B215" s="8">
        <v>3.1358333333333328E-2</v>
      </c>
      <c r="C215">
        <v>-4.0382262361729613E+17</v>
      </c>
      <c r="D215">
        <v>1.1653563724986184E+18</v>
      </c>
      <c r="E215">
        <v>8.3013604393276006E+17</v>
      </c>
      <c r="F215">
        <v>9.2709072630009843E+17</v>
      </c>
      <c r="G215">
        <v>5.3582071183690694E+17</v>
      </c>
      <c r="H215">
        <v>-1.7344651520628678E+17</v>
      </c>
      <c r="I215">
        <v>-1.4567355144171674E+18</v>
      </c>
      <c r="J215">
        <v>-1.2913827161285158E+18</v>
      </c>
      <c r="K215">
        <v>-6.2211325245911872E+16</v>
      </c>
      <c r="L215">
        <v>-1.386604088663968E+18</v>
      </c>
      <c r="M215">
        <v>-1.7269208748688901E+18</v>
      </c>
      <c r="N215">
        <v>5.3776856933090611E+17</v>
      </c>
      <c r="O215">
        <v>6.3737092836216192E+17</v>
      </c>
      <c r="P215">
        <v>3.1430332821493801E+18</v>
      </c>
      <c r="Q215">
        <v>-1.901348888803926E+18</v>
      </c>
    </row>
    <row r="216" spans="1:17">
      <c r="A216" s="16" t="s">
        <v>11</v>
      </c>
      <c r="B216" s="8">
        <v>-7.1416666666666686E-3</v>
      </c>
      <c r="C216">
        <v>-4.0600429296525107E+17</v>
      </c>
      <c r="D216">
        <v>1.279275094757214E+18</v>
      </c>
      <c r="E216">
        <v>8.7724669786371226E+17</v>
      </c>
      <c r="F216">
        <v>1.0466768576695447E+18</v>
      </c>
      <c r="G216">
        <v>6.0327126454317632E+17</v>
      </c>
      <c r="H216">
        <v>-1.941736489952504E+17</v>
      </c>
      <c r="I216">
        <v>-1.618573389167745E+18</v>
      </c>
      <c r="J216">
        <v>-1.3002568600857242E+18</v>
      </c>
      <c r="K216">
        <v>-6.4756823160230424E+16</v>
      </c>
      <c r="L216">
        <v>-1.4690363375820206E+18</v>
      </c>
      <c r="M216">
        <v>-1.6162352736545434E+18</v>
      </c>
      <c r="N216">
        <v>5.0460966550975398E+17</v>
      </c>
      <c r="O216">
        <v>7.1430014262380966E+17</v>
      </c>
      <c r="P216">
        <v>3.3487115041785119E+18</v>
      </c>
      <c r="Q216">
        <v>-2.2081756416287017E+18</v>
      </c>
    </row>
    <row r="217" spans="1:17">
      <c r="A217" s="16" t="s">
        <v>12</v>
      </c>
      <c r="B217" s="8">
        <v>1.1750000000000013E-3</v>
      </c>
      <c r="C217">
        <v>-2.2608506100420812E+16</v>
      </c>
      <c r="D217">
        <v>8.7031994668507632E+16</v>
      </c>
      <c r="E217">
        <v>6.1998794965398376E+16</v>
      </c>
      <c r="F217">
        <v>7.796192775436128E+16</v>
      </c>
      <c r="G217">
        <v>4.8794313395987456E+16</v>
      </c>
      <c r="H217">
        <v>-2.4813346092922464E+16</v>
      </c>
      <c r="I217">
        <v>-1.1638495521214301E+17</v>
      </c>
      <c r="J217">
        <v>-9.7631206681847664E+16</v>
      </c>
      <c r="K217">
        <v>-1.240934603064188E+16</v>
      </c>
      <c r="L217">
        <v>-1.0983269769463181E+17</v>
      </c>
      <c r="M217">
        <v>-1.1105262302205864E+17</v>
      </c>
      <c r="N217">
        <v>5.413473132896616E+16</v>
      </c>
      <c r="O217">
        <v>5.3922061430178208E+16</v>
      </c>
      <c r="P217">
        <v>2.5084290556397674E+17</v>
      </c>
      <c r="Q217">
        <v>-1.6607176896391936E+17</v>
      </c>
    </row>
    <row r="218" spans="1:17">
      <c r="A218" s="16" t="s">
        <v>13</v>
      </c>
      <c r="B218" s="8">
        <v>2.5691666666666665E-2</v>
      </c>
      <c r="C218">
        <v>-4.071234031537808E+17</v>
      </c>
      <c r="D218">
        <v>1.253401510813792E+18</v>
      </c>
      <c r="E218">
        <v>8.6437623736908864E+17</v>
      </c>
      <c r="F218">
        <v>1.0078164860214473E+18</v>
      </c>
      <c r="G218">
        <v>5.7803587560059008E+17</v>
      </c>
      <c r="H218">
        <v>-1.8775371606483299E+17</v>
      </c>
      <c r="I218">
        <v>-1.5655663501307768E+18</v>
      </c>
      <c r="J218">
        <v>-1.3172277305062876E+18</v>
      </c>
      <c r="K218">
        <v>-6.6164481813661928E+16</v>
      </c>
      <c r="L218">
        <v>-1.4584826538147968E+18</v>
      </c>
      <c r="M218">
        <v>-1.6934662439652705E+18</v>
      </c>
      <c r="N218">
        <v>5.5221765879689632E+17</v>
      </c>
      <c r="O218">
        <v>6.8652326543915277E+17</v>
      </c>
      <c r="P218">
        <v>3.3016632047263903E+18</v>
      </c>
      <c r="Q218">
        <v>-2.1086716315083553E+18</v>
      </c>
    </row>
    <row r="219" spans="1:17">
      <c r="A219" s="16" t="s">
        <v>14</v>
      </c>
      <c r="B219" s="8">
        <v>1.0574999999999999E-2</v>
      </c>
      <c r="C219">
        <v>-5.7990691329378944E+17</v>
      </c>
      <c r="D219">
        <v>1.8786629158596019E+18</v>
      </c>
      <c r="E219">
        <v>1.2609600447309883E+18</v>
      </c>
      <c r="F219">
        <v>1.5457117397181929E+18</v>
      </c>
      <c r="G219">
        <v>8.8298478486931354E+17</v>
      </c>
      <c r="H219">
        <v>-2.6629447578904131E+17</v>
      </c>
      <c r="I219">
        <v>-2.3805222513495245E+18</v>
      </c>
      <c r="J219">
        <v>-1.8098456654206784E+18</v>
      </c>
      <c r="K219">
        <v>-7.7506786881254048E+16</v>
      </c>
      <c r="L219">
        <v>-2.1015906372082929E+18</v>
      </c>
      <c r="M219">
        <v>-2.1740868543069617E+18</v>
      </c>
      <c r="N219">
        <v>6.4058238046946534E+17</v>
      </c>
      <c r="O219">
        <v>1.0503016175954104E+18</v>
      </c>
      <c r="P219">
        <v>4.8054161968399299E+18</v>
      </c>
      <c r="Q219">
        <v>-3.2995458709398292E+18</v>
      </c>
    </row>
    <row r="220" spans="1:17">
      <c r="A220" s="16" t="s">
        <v>15</v>
      </c>
      <c r="B220" s="8">
        <v>6.4808333333333329E-2</v>
      </c>
      <c r="C220">
        <v>1.758203009864928E+17</v>
      </c>
      <c r="D220">
        <v>-6.7771220925916595E+17</v>
      </c>
      <c r="E220">
        <v>-4.2256310943438266E+17</v>
      </c>
      <c r="F220">
        <v>-5.4976009989011994E+17</v>
      </c>
      <c r="G220">
        <v>-3.0744832839782099E+17</v>
      </c>
      <c r="H220">
        <v>1.1239805689885643E+17</v>
      </c>
      <c r="I220">
        <v>8.2540040508333581E+17</v>
      </c>
      <c r="J220">
        <v>6.4119954885006477E+17</v>
      </c>
      <c r="K220">
        <v>4.5837313192781352E+16</v>
      </c>
      <c r="L220">
        <v>7.6093952081340851E+17</v>
      </c>
      <c r="M220">
        <v>7.4692109367987917E+17</v>
      </c>
      <c r="N220">
        <v>-3.413979004311479E+17</v>
      </c>
      <c r="O220">
        <v>-3.6191611534428134E+17</v>
      </c>
      <c r="P220">
        <v>-1.6868810438511903E+18</v>
      </c>
      <c r="Q220">
        <v>1.2070681646661901E+18</v>
      </c>
    </row>
    <row r="221" spans="1:17">
      <c r="A221" s="16" t="s">
        <v>16</v>
      </c>
      <c r="B221" s="8">
        <v>-1.419166666666667E-2</v>
      </c>
      <c r="C221">
        <v>1.7744820701831414E+17</v>
      </c>
      <c r="D221">
        <v>-5.0698881271989101E+17</v>
      </c>
      <c r="E221">
        <v>-3.6750169635489997E+17</v>
      </c>
      <c r="F221">
        <v>-4.0761975945311731E+17</v>
      </c>
      <c r="G221">
        <v>-2.3891016536426538E+17</v>
      </c>
      <c r="H221">
        <v>8.1125182673688992E+16</v>
      </c>
      <c r="I221">
        <v>6.4091670286001779E+17</v>
      </c>
      <c r="J221">
        <v>5.7332859439913677E+17</v>
      </c>
      <c r="K221">
        <v>3.045286674158554E+16</v>
      </c>
      <c r="L221">
        <v>6.1132059290206067E+17</v>
      </c>
      <c r="M221">
        <v>7.6613912817786074E+17</v>
      </c>
      <c r="N221">
        <v>-2.3768327573067786E+17</v>
      </c>
      <c r="O221">
        <v>-2.821697333925009E+17</v>
      </c>
      <c r="P221">
        <v>-1.3913453022704566E+18</v>
      </c>
      <c r="Q221">
        <v>8.3142063963126797E+17</v>
      </c>
    </row>
    <row r="222" spans="1:17">
      <c r="A222" s="16" t="s">
        <v>17</v>
      </c>
      <c r="B222" s="8">
        <v>2.4141666666666669E-2</v>
      </c>
      <c r="C222">
        <v>9.2673460457788237E+17</v>
      </c>
      <c r="D222">
        <v>-2.7964663840236462E+18</v>
      </c>
      <c r="E222">
        <v>-1.960600419270325E+18</v>
      </c>
      <c r="F222">
        <v>-2.2639046238614118E+18</v>
      </c>
      <c r="G222">
        <v>-1.3111930745890166E+18</v>
      </c>
      <c r="H222">
        <v>4.3039435429562451E+17</v>
      </c>
      <c r="I222">
        <v>3.5266138990718392E+18</v>
      </c>
      <c r="J222">
        <v>2.9814510093176704E+18</v>
      </c>
      <c r="K222">
        <v>1.5170298841448643E+17</v>
      </c>
      <c r="L222">
        <v>3.2792195880695649E+18</v>
      </c>
      <c r="M222">
        <v>3.8443466202717184E+18</v>
      </c>
      <c r="N222">
        <v>-1.2057942725031296E+18</v>
      </c>
      <c r="O222">
        <v>-1.5525389626911424E+18</v>
      </c>
      <c r="P222">
        <v>-7.4595964910320701E+18</v>
      </c>
      <c r="Q222">
        <v>4.7087487970071951E+18</v>
      </c>
    </row>
    <row r="223" spans="1:17">
      <c r="A223" s="16" t="s">
        <v>18</v>
      </c>
      <c r="B223" s="8">
        <v>7.700000000000002E-3</v>
      </c>
      <c r="C223">
        <v>-4.8902019041413779E+17</v>
      </c>
      <c r="D223">
        <v>1.3984867568357532E+18</v>
      </c>
      <c r="E223">
        <v>9.9651129025926912E+17</v>
      </c>
      <c r="F223">
        <v>1.0863324561549606E+18</v>
      </c>
      <c r="G223">
        <v>6.2330173146814656E+17</v>
      </c>
      <c r="H223">
        <v>-2.1197884104816963E+17</v>
      </c>
      <c r="I223">
        <v>-1.7118246606157489E+18</v>
      </c>
      <c r="J223">
        <v>-1.6146016053602419E+18</v>
      </c>
      <c r="K223">
        <v>-8.552218025171536E+16</v>
      </c>
      <c r="L223">
        <v>-1.6964680754923405E+18</v>
      </c>
      <c r="M223">
        <v>-2.2283608874460728E+18</v>
      </c>
      <c r="N223">
        <v>7.6449797086009344E+17</v>
      </c>
      <c r="O223">
        <v>7.4255119078813926E+17</v>
      </c>
      <c r="P223">
        <v>3.7988884486400573E+18</v>
      </c>
      <c r="Q223">
        <v>-2.2086290200401126E+18</v>
      </c>
    </row>
    <row r="225" spans="1:4">
      <c r="A225" s="2" t="s">
        <v>70</v>
      </c>
    </row>
    <row r="226" spans="1:4">
      <c r="C226" s="43" t="s">
        <v>71</v>
      </c>
      <c r="D226" s="37"/>
    </row>
    <row r="227" spans="1:4">
      <c r="A227" s="2"/>
      <c r="C227" s="2" t="s">
        <v>72</v>
      </c>
      <c r="D227" s="2" t="s">
        <v>73</v>
      </c>
    </row>
    <row r="228" spans="1:4">
      <c r="A228" s="16" t="s">
        <v>4</v>
      </c>
      <c r="C228">
        <f t="array" ref="C228:C242">MMULT(C209:Q223,B209:B223)</f>
        <v>9823038264972288</v>
      </c>
      <c r="D228" s="8">
        <f>C228/$C$243</f>
        <v>0.56957409945769777</v>
      </c>
    </row>
    <row r="229" spans="1:4">
      <c r="A229" s="16" t="s">
        <v>5</v>
      </c>
      <c r="C229">
        <v>-3.3413627706339928E+16</v>
      </c>
      <c r="D229" s="8">
        <f t="shared" ref="D229:D242" si="5">C229/$C$243</f>
        <v>-1.9374389467989144</v>
      </c>
    </row>
    <row r="230" spans="1:4">
      <c r="A230" s="16" t="s">
        <v>6</v>
      </c>
      <c r="C230">
        <v>-2.2674003683869024E+16</v>
      </c>
      <c r="D230" s="8">
        <f t="shared" si="5"/>
        <v>-1.3147180007830963</v>
      </c>
    </row>
    <row r="231" spans="1:4">
      <c r="A231" s="16" t="s">
        <v>7</v>
      </c>
      <c r="C231">
        <v>-2.6128171759417696E+16</v>
      </c>
      <c r="D231" s="8">
        <f t="shared" si="5"/>
        <v>-1.5150027414036924</v>
      </c>
    </row>
    <row r="232" spans="1:4">
      <c r="A232" s="16" t="s">
        <v>8</v>
      </c>
      <c r="C232">
        <v>-1.5060973129628008E+16</v>
      </c>
      <c r="D232" s="8">
        <f t="shared" si="5"/>
        <v>-0.87328787447094991</v>
      </c>
    </row>
    <row r="233" spans="1:4">
      <c r="A233" s="16" t="s">
        <v>9</v>
      </c>
      <c r="C233">
        <v>6887519813788320</v>
      </c>
      <c r="D233" s="8">
        <f t="shared" si="5"/>
        <v>0.39936247723113188</v>
      </c>
    </row>
    <row r="234" spans="1:4">
      <c r="A234" s="16" t="s">
        <v>10</v>
      </c>
      <c r="C234">
        <v>3.989688093019996E+16</v>
      </c>
      <c r="D234" s="8">
        <f t="shared" si="5"/>
        <v>2.3133606338500554</v>
      </c>
    </row>
    <row r="235" spans="1:4">
      <c r="A235" s="16" t="s">
        <v>11</v>
      </c>
      <c r="C235">
        <v>3.9327201334841616E+16</v>
      </c>
      <c r="D235" s="8">
        <f t="shared" si="5"/>
        <v>2.2803286193395662</v>
      </c>
    </row>
    <row r="236" spans="1:4">
      <c r="A236" s="16" t="s">
        <v>12</v>
      </c>
      <c r="C236">
        <v>3624501099491670.5</v>
      </c>
      <c r="D236" s="8">
        <f t="shared" si="5"/>
        <v>0.21016124482461515</v>
      </c>
    </row>
    <row r="237" spans="1:4">
      <c r="A237" s="16" t="s">
        <v>13</v>
      </c>
      <c r="C237">
        <v>4.1781802383194288E+16</v>
      </c>
      <c r="D237" s="8">
        <f t="shared" si="5"/>
        <v>2.422654969286584</v>
      </c>
    </row>
    <row r="238" spans="1:4">
      <c r="A238" s="16" t="s">
        <v>14</v>
      </c>
      <c r="C238">
        <v>5.2642724120297248E+16</v>
      </c>
      <c r="D238" s="8">
        <f t="shared" si="5"/>
        <v>3.0524091808475635</v>
      </c>
    </row>
    <row r="239" spans="1:4">
      <c r="A239" s="16" t="s">
        <v>15</v>
      </c>
      <c r="C239">
        <v>-2.5471520635297872E+16</v>
      </c>
      <c r="D239" s="8">
        <f t="shared" si="5"/>
        <v>-1.4769278136074613</v>
      </c>
    </row>
    <row r="240" spans="1:4">
      <c r="A240" s="16" t="s">
        <v>16</v>
      </c>
      <c r="C240">
        <v>-1.7414856154876156E+16</v>
      </c>
      <c r="D240" s="8">
        <f t="shared" si="5"/>
        <v>-1.0097742413331539</v>
      </c>
    </row>
    <row r="241" spans="1:17">
      <c r="A241" s="16" t="s">
        <v>17</v>
      </c>
      <c r="C241">
        <v>-9.1165371982890032E+16</v>
      </c>
      <c r="D241" s="8">
        <f t="shared" si="5"/>
        <v>-5.2860869771871046</v>
      </c>
    </row>
    <row r="242" spans="1:17">
      <c r="A242" s="16" t="s">
        <v>18</v>
      </c>
      <c r="C242">
        <v>5.459114389126496E+16</v>
      </c>
      <c r="D242" s="8">
        <f t="shared" si="5"/>
        <v>3.1653853707471593</v>
      </c>
    </row>
    <row r="243" spans="1:17" ht="13.5" thickBot="1">
      <c r="A243" t="s">
        <v>39</v>
      </c>
      <c r="C243" s="44">
        <f t="shared" ref="C243:D243" si="6">SUM(C228:C242)</f>
        <v>1.7246286785731632E+16</v>
      </c>
      <c r="D243" s="26">
        <f t="shared" si="6"/>
        <v>1.0000000000000004</v>
      </c>
    </row>
    <row r="244" spans="1:17" ht="13.5" thickTop="1"/>
    <row r="245" spans="1:17" ht="15">
      <c r="A245" s="17" t="s">
        <v>42</v>
      </c>
      <c r="D245" s="31">
        <f>[1]!PortRet($D$228:$D$242,$B$209:$B$223)</f>
        <v>-9.8888870922140965E-2</v>
      </c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</row>
    <row r="246" spans="1:17" ht="16">
      <c r="A246" s="29" t="s">
        <v>43</v>
      </c>
      <c r="B246" s="8"/>
      <c r="D246" s="32">
        <f>[1]!PortVar1($D$228:$D$242,$C$192:$Q$206)</f>
        <v>-2.7755575615628914E-17</v>
      </c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</row>
    <row r="247" spans="1:17" ht="15">
      <c r="A247" s="30" t="s">
        <v>44</v>
      </c>
      <c r="B247" s="8"/>
      <c r="D247" s="32">
        <f>[1]!PortStDev1($D$228:$D$242,$C$192:$Q$206)</f>
        <v>0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</row>
  </sheetData>
  <printOptions headings="1" gridLines="1"/>
  <pageMargins left="0.75" right="0.75" top="0.75" bottom="0.75" header="0.25" footer="0.25"/>
  <pageSetup orientation="landscape" r:id="rId1"/>
  <headerFooter alignWithMargins="0">
    <oddHeader>&amp;LFinancial Management&amp;CRisk and Diversification&amp;RHomework No. 7</oddHeader>
    <oddFooter>&amp;L&amp;F: &amp;A&amp;CPage &amp;P of 15</oddFooter>
  </headerFooter>
  <rowBreaks count="2" manualBreakCount="2">
    <brk id="152" max="65535" man="1"/>
    <brk id="188" max="655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3"/>
  <sheetData>
    <row r="1" spans="1:1">
      <c r="A1" s="8">
        <v>3.7633333333333301</v>
      </c>
    </row>
    <row r="2" spans="1:1">
      <c r="A2" s="8">
        <v>1.7716666666666701</v>
      </c>
    </row>
    <row r="3" spans="1:1">
      <c r="A3" s="8">
        <v>1.4550000000000001</v>
      </c>
    </row>
    <row r="4" spans="1:1">
      <c r="A4" s="8">
        <v>2.9283333333333301</v>
      </c>
    </row>
    <row r="5" spans="1:1">
      <c r="A5" s="8">
        <v>2.1808333333333301</v>
      </c>
    </row>
    <row r="6" spans="1:1">
      <c r="A6" s="8">
        <v>7.5475000000000003</v>
      </c>
    </row>
    <row r="7" spans="1:1">
      <c r="A7" s="8">
        <v>3.1358333333333301</v>
      </c>
    </row>
    <row r="8" spans="1:1">
      <c r="A8" s="8">
        <v>-0.71416666666666695</v>
      </c>
    </row>
    <row r="9" spans="1:1">
      <c r="A9" s="8">
        <v>0.11749999999999999</v>
      </c>
    </row>
    <row r="10" spans="1:1">
      <c r="A10" s="8">
        <v>2.5691666666666699</v>
      </c>
    </row>
    <row r="11" spans="1:1">
      <c r="A11" s="8">
        <v>1.0575000000000001</v>
      </c>
    </row>
    <row r="12" spans="1:1">
      <c r="A12" s="8">
        <v>6.4808333333333303</v>
      </c>
    </row>
    <row r="13" spans="1:1">
      <c r="A13" s="8">
        <v>-1.41916666666667</v>
      </c>
    </row>
    <row r="14" spans="1:1">
      <c r="A14" s="8">
        <v>2.4141666666666701</v>
      </c>
    </row>
    <row r="15" spans="1:1">
      <c r="A15" s="8">
        <v>0.77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24" sqref="B24"/>
    </sheetView>
  </sheetViews>
  <sheetFormatPr defaultRowHeight="13"/>
  <cols>
    <col min="1" max="15" width="12.6640625" customWidth="1"/>
  </cols>
  <sheetData>
    <row r="1" spans="1:15">
      <c r="A1" s="8">
        <v>41.622587878787897</v>
      </c>
      <c r="B1" s="8">
        <v>21.804466666666698</v>
      </c>
      <c r="C1" s="8">
        <v>1.9198727272727301</v>
      </c>
      <c r="D1" s="8">
        <v>11.1602878787879</v>
      </c>
      <c r="E1" s="8">
        <v>26.8514424242424</v>
      </c>
      <c r="F1" s="8">
        <v>3.4367999999999999</v>
      </c>
      <c r="G1" s="8">
        <v>2.43045151515151</v>
      </c>
      <c r="H1" s="8">
        <v>14.1397333333333</v>
      </c>
      <c r="I1" s="8">
        <v>41.941090909090903</v>
      </c>
      <c r="J1" s="8">
        <v>0.979012121212125</v>
      </c>
      <c r="K1" s="8">
        <v>1.43031818181818</v>
      </c>
      <c r="L1" s="8">
        <v>7.3286969696969697</v>
      </c>
      <c r="M1" s="8">
        <v>23.245860606060599</v>
      </c>
      <c r="N1" s="8">
        <v>8.4393303030302995</v>
      </c>
      <c r="O1" s="8">
        <v>27.0224090909091</v>
      </c>
    </row>
    <row r="2" spans="1:15">
      <c r="A2" s="8">
        <v>21.804466666666698</v>
      </c>
      <c r="B2" s="8">
        <v>42.181978787878798</v>
      </c>
      <c r="C2" s="8">
        <v>7.7061181818181801</v>
      </c>
      <c r="D2" s="8">
        <v>41.622384848484899</v>
      </c>
      <c r="E2" s="8">
        <v>16.399825757575801</v>
      </c>
      <c r="F2" s="8">
        <v>-15.872995454545499</v>
      </c>
      <c r="G2" s="8">
        <v>7.9801984848484899</v>
      </c>
      <c r="H2" s="8">
        <v>29.361616666666698</v>
      </c>
      <c r="I2" s="8">
        <v>16.174240909090901</v>
      </c>
      <c r="J2" s="8">
        <v>-10.9550621212121</v>
      </c>
      <c r="K2" s="8">
        <v>6.8929045454545497</v>
      </c>
      <c r="L2" s="8">
        <v>4.6536712121212096</v>
      </c>
      <c r="M2" s="8">
        <v>8.7239712121212101</v>
      </c>
      <c r="N2" s="8">
        <v>9.3366287878787908</v>
      </c>
      <c r="O2" s="8">
        <v>45.769645454545497</v>
      </c>
    </row>
    <row r="3" spans="1:15">
      <c r="A3" s="8">
        <v>1.9198727272727301</v>
      </c>
      <c r="B3" s="8">
        <v>7.7061181818181801</v>
      </c>
      <c r="C3" s="8">
        <v>33.282409090909098</v>
      </c>
      <c r="D3" s="8">
        <v>5.5742909090908999</v>
      </c>
      <c r="E3" s="8">
        <v>15.4756954545455</v>
      </c>
      <c r="F3" s="8">
        <v>-5.0404545454543599E-2</v>
      </c>
      <c r="G3" s="8">
        <v>-2.8620590909090899</v>
      </c>
      <c r="H3" s="8">
        <v>16.699804545454501</v>
      </c>
      <c r="I3" s="8">
        <v>4.32848636363636</v>
      </c>
      <c r="J3" s="8">
        <v>-10.883695454545499</v>
      </c>
      <c r="K3" s="8">
        <v>4.01406818181818</v>
      </c>
      <c r="L3" s="8">
        <v>8.8707227272727298</v>
      </c>
      <c r="M3" s="8">
        <v>-1.3362045454545399</v>
      </c>
      <c r="N3" s="8">
        <v>-5.48152272727273</v>
      </c>
      <c r="O3" s="8">
        <v>13.930372727272699</v>
      </c>
    </row>
    <row r="4" spans="1:15">
      <c r="A4" s="8">
        <v>11.1602878787879</v>
      </c>
      <c r="B4" s="8">
        <v>41.622384848484899</v>
      </c>
      <c r="C4" s="8">
        <v>5.5742909090908999</v>
      </c>
      <c r="D4" s="8">
        <v>229.205633333333</v>
      </c>
      <c r="E4" s="8">
        <v>-33.677025757575798</v>
      </c>
      <c r="F4" s="8">
        <v>-53.146586363636402</v>
      </c>
      <c r="G4" s="8">
        <v>4.6432015151515103</v>
      </c>
      <c r="H4" s="8">
        <v>14.917192424242399</v>
      </c>
      <c r="I4" s="8">
        <v>3.7329681818181699</v>
      </c>
      <c r="J4" s="8">
        <v>16.784943939393902</v>
      </c>
      <c r="K4" s="8">
        <v>-0.95978636363636305</v>
      </c>
      <c r="L4" s="8">
        <v>3.43448333333333</v>
      </c>
      <c r="M4" s="8">
        <v>-30.911516666666699</v>
      </c>
      <c r="N4" s="8">
        <v>-12.474683333333299</v>
      </c>
      <c r="O4" s="8">
        <v>77.4992818181818</v>
      </c>
    </row>
    <row r="5" spans="1:15">
      <c r="A5" s="8">
        <v>26.8514424242424</v>
      </c>
      <c r="B5" s="8">
        <v>16.399825757575801</v>
      </c>
      <c r="C5" s="8">
        <v>15.4756954545455</v>
      </c>
      <c r="D5" s="8">
        <v>-33.677025757575798</v>
      </c>
      <c r="E5" s="8">
        <v>131.05831742424201</v>
      </c>
      <c r="F5" s="8">
        <v>52.996584090909103</v>
      </c>
      <c r="G5" s="8">
        <v>6.6209674242424299</v>
      </c>
      <c r="H5" s="8">
        <v>31.675503787878799</v>
      </c>
      <c r="I5" s="8">
        <v>74.858593181818193</v>
      </c>
      <c r="J5" s="8">
        <v>27.743818939393901</v>
      </c>
      <c r="K5" s="8">
        <v>1.5252931818181801</v>
      </c>
      <c r="L5" s="8">
        <v>35.217744696969703</v>
      </c>
      <c r="M5" s="8">
        <v>17.807571969697001</v>
      </c>
      <c r="N5" s="8">
        <v>17.345005303030302</v>
      </c>
      <c r="O5" s="8">
        <v>20.732299999999999</v>
      </c>
    </row>
    <row r="6" spans="1:15">
      <c r="A6" s="8">
        <v>3.4367999999999999</v>
      </c>
      <c r="B6" s="8">
        <v>-15.872995454545499</v>
      </c>
      <c r="C6" s="8">
        <v>-5.0404545454543599E-2</v>
      </c>
      <c r="D6" s="8">
        <v>-53.146586363636402</v>
      </c>
      <c r="E6" s="8">
        <v>52.996584090909103</v>
      </c>
      <c r="F6" s="8">
        <v>71.899329545454506</v>
      </c>
      <c r="G6" s="8">
        <v>-5.1717295454545402</v>
      </c>
      <c r="H6" s="8">
        <v>13.355034090909101</v>
      </c>
      <c r="I6" s="8">
        <v>-0.65053409090909098</v>
      </c>
      <c r="J6" s="8">
        <v>19.030934090909099</v>
      </c>
      <c r="K6" s="8">
        <v>0.71207500000000001</v>
      </c>
      <c r="L6" s="8">
        <v>21.497411363636399</v>
      </c>
      <c r="M6" s="8">
        <v>32.811956818181798</v>
      </c>
      <c r="N6" s="8">
        <v>14.3481113636364</v>
      </c>
      <c r="O6" s="8">
        <v>-6.8334272727272696</v>
      </c>
    </row>
    <row r="7" spans="1:15">
      <c r="A7" s="8">
        <v>2.43045151515151</v>
      </c>
      <c r="B7" s="8">
        <v>7.9801984848484899</v>
      </c>
      <c r="C7" s="8">
        <v>-2.8620590909090899</v>
      </c>
      <c r="D7" s="8">
        <v>4.6432015151515103</v>
      </c>
      <c r="E7" s="8">
        <v>6.6209674242424299</v>
      </c>
      <c r="F7" s="8">
        <v>-5.1717295454545402</v>
      </c>
      <c r="G7" s="8">
        <v>20.608299242424199</v>
      </c>
      <c r="H7" s="8">
        <v>-3.10888257575757</v>
      </c>
      <c r="I7" s="8">
        <v>5.6723977272727302</v>
      </c>
      <c r="J7" s="8">
        <v>2.4537416666666698</v>
      </c>
      <c r="K7" s="8">
        <v>-2.5758386363636401</v>
      </c>
      <c r="L7" s="8">
        <v>-4.4607143939393898</v>
      </c>
      <c r="M7" s="8">
        <v>8.5980310606060595</v>
      </c>
      <c r="N7" s="8">
        <v>0.31401893939393999</v>
      </c>
      <c r="O7" s="8">
        <v>-3.4465272727272702</v>
      </c>
    </row>
    <row r="8" spans="1:15">
      <c r="A8" s="8">
        <v>14.1397333333333</v>
      </c>
      <c r="B8" s="8">
        <v>29.361616666666698</v>
      </c>
      <c r="C8" s="8">
        <v>16.699804545454501</v>
      </c>
      <c r="D8" s="8">
        <v>14.917192424242399</v>
      </c>
      <c r="E8" s="8">
        <v>31.675503787878799</v>
      </c>
      <c r="F8" s="8">
        <v>13.355034090909101</v>
      </c>
      <c r="G8" s="8">
        <v>-3.10888257575757</v>
      </c>
      <c r="H8" s="8">
        <v>48.507371969696997</v>
      </c>
      <c r="I8" s="8">
        <v>7.5733977272727202</v>
      </c>
      <c r="J8" s="8">
        <v>-20.374849242424201</v>
      </c>
      <c r="K8" s="8">
        <v>9.2270613636363592</v>
      </c>
      <c r="L8" s="8">
        <v>15.808958333333299</v>
      </c>
      <c r="M8" s="8">
        <v>17.559831060606101</v>
      </c>
      <c r="N8" s="8">
        <v>13.860264393939399</v>
      </c>
      <c r="O8" s="8">
        <v>46.201936363636399</v>
      </c>
    </row>
    <row r="9" spans="1:15">
      <c r="A9" s="8">
        <v>41.941090909090903</v>
      </c>
      <c r="B9" s="8">
        <v>16.174240909090901</v>
      </c>
      <c r="C9" s="8">
        <v>4.32848636363636</v>
      </c>
      <c r="D9" s="8">
        <v>3.7329681818181699</v>
      </c>
      <c r="E9" s="8">
        <v>74.858593181818193</v>
      </c>
      <c r="F9" s="8">
        <v>-0.65053409090909098</v>
      </c>
      <c r="G9" s="8">
        <v>5.6723977272727302</v>
      </c>
      <c r="H9" s="8">
        <v>7.5733977272727202</v>
      </c>
      <c r="I9" s="8">
        <v>104.285820454545</v>
      </c>
      <c r="J9" s="8">
        <v>22.883052272727301</v>
      </c>
      <c r="K9" s="8">
        <v>-0.38563409090909101</v>
      </c>
      <c r="L9" s="8">
        <v>19.980675000000002</v>
      </c>
      <c r="M9" s="8">
        <v>11.825302272727299</v>
      </c>
      <c r="N9" s="8">
        <v>8.6727022727272693</v>
      </c>
      <c r="O9" s="8">
        <v>20.582990909090899</v>
      </c>
    </row>
    <row r="10" spans="1:15">
      <c r="A10" s="8">
        <v>0.979012121212125</v>
      </c>
      <c r="B10" s="8">
        <v>-10.9550621212121</v>
      </c>
      <c r="C10" s="8">
        <v>-10.883695454545499</v>
      </c>
      <c r="D10" s="8">
        <v>16.784943939393902</v>
      </c>
      <c r="E10" s="8">
        <v>27.743818939393901</v>
      </c>
      <c r="F10" s="8">
        <v>19.030934090909099</v>
      </c>
      <c r="G10" s="8">
        <v>2.4537416666666698</v>
      </c>
      <c r="H10" s="8">
        <v>-20.374849242424201</v>
      </c>
      <c r="I10" s="8">
        <v>22.883052272727301</v>
      </c>
      <c r="J10" s="8">
        <v>63.861171969696997</v>
      </c>
      <c r="K10" s="8">
        <v>-9.2777659090909097</v>
      </c>
      <c r="L10" s="8">
        <v>11.4731734848485</v>
      </c>
      <c r="M10" s="8">
        <v>-8.9568992424242406</v>
      </c>
      <c r="N10" s="8">
        <v>4.9114219696969696</v>
      </c>
      <c r="O10" s="8">
        <v>-15.982081818181801</v>
      </c>
    </row>
    <row r="11" spans="1:15">
      <c r="A11" s="8">
        <v>1.43031818181818</v>
      </c>
      <c r="B11" s="8">
        <v>6.8929045454545497</v>
      </c>
      <c r="C11" s="8">
        <v>4.01406818181818</v>
      </c>
      <c r="D11" s="8">
        <v>-0.95978636363636305</v>
      </c>
      <c r="E11" s="8">
        <v>1.5252931818181801</v>
      </c>
      <c r="F11" s="8">
        <v>0.71207500000000001</v>
      </c>
      <c r="G11" s="8">
        <v>-2.5758386363636401</v>
      </c>
      <c r="H11" s="8">
        <v>9.2270613636363592</v>
      </c>
      <c r="I11" s="8">
        <v>-0.38563409090909101</v>
      </c>
      <c r="J11" s="8">
        <v>-9.2777659090909097</v>
      </c>
      <c r="K11" s="8">
        <v>4.9780568181818197</v>
      </c>
      <c r="L11" s="8">
        <v>2.2466568181818198</v>
      </c>
      <c r="M11" s="8">
        <v>0.57042954545454705</v>
      </c>
      <c r="N11" s="8">
        <v>4.0715477272727298</v>
      </c>
      <c r="O11" s="8">
        <v>11.091372727272701</v>
      </c>
    </row>
    <row r="12" spans="1:15">
      <c r="A12" s="8">
        <v>7.3286969696969697</v>
      </c>
      <c r="B12" s="8">
        <v>4.6536712121212096</v>
      </c>
      <c r="C12" s="8">
        <v>8.8707227272727298</v>
      </c>
      <c r="D12" s="8">
        <v>3.43448333333333</v>
      </c>
      <c r="E12" s="8">
        <v>35.217744696969703</v>
      </c>
      <c r="F12" s="8">
        <v>21.497411363636399</v>
      </c>
      <c r="G12" s="8">
        <v>-4.4607143939393898</v>
      </c>
      <c r="H12" s="8">
        <v>15.808958333333299</v>
      </c>
      <c r="I12" s="8">
        <v>19.980675000000002</v>
      </c>
      <c r="J12" s="8">
        <v>11.4731734848485</v>
      </c>
      <c r="K12" s="8">
        <v>2.2466568181818198</v>
      </c>
      <c r="L12" s="8">
        <v>16.481408333333299</v>
      </c>
      <c r="M12" s="8">
        <v>10.5424810606061</v>
      </c>
      <c r="N12" s="8">
        <v>6.4765507575757599</v>
      </c>
      <c r="O12" s="8">
        <v>15.327636363636399</v>
      </c>
    </row>
    <row r="13" spans="1:15">
      <c r="A13" s="8">
        <v>23.245860606060599</v>
      </c>
      <c r="B13" s="8">
        <v>8.7239712121212101</v>
      </c>
      <c r="C13" s="8">
        <v>-1.3362045454545399</v>
      </c>
      <c r="D13" s="8">
        <v>-30.911516666666699</v>
      </c>
      <c r="E13" s="8">
        <v>17.807571969697001</v>
      </c>
      <c r="F13" s="8">
        <v>32.811956818181798</v>
      </c>
      <c r="G13" s="8">
        <v>8.5980310606060595</v>
      </c>
      <c r="H13" s="8">
        <v>17.559831060606101</v>
      </c>
      <c r="I13" s="8">
        <v>11.825302272727299</v>
      </c>
      <c r="J13" s="8">
        <v>-8.9568992424242406</v>
      </c>
      <c r="K13" s="8">
        <v>0.57042954545454705</v>
      </c>
      <c r="L13" s="8">
        <v>10.5424810606061</v>
      </c>
      <c r="M13" s="8">
        <v>80.226808333333295</v>
      </c>
      <c r="N13" s="8">
        <v>5.2891689393939396</v>
      </c>
      <c r="O13" s="8">
        <v>12.5110909090909</v>
      </c>
    </row>
    <row r="14" spans="1:15">
      <c r="A14" s="8">
        <v>8.4393303030302995</v>
      </c>
      <c r="B14" s="8">
        <v>9.3366287878787908</v>
      </c>
      <c r="C14" s="8">
        <v>-5.48152272727273</v>
      </c>
      <c r="D14" s="8">
        <v>-12.474683333333299</v>
      </c>
      <c r="E14" s="8">
        <v>17.345005303030302</v>
      </c>
      <c r="F14" s="8">
        <v>14.3481113636364</v>
      </c>
      <c r="G14" s="8">
        <v>0.31401893939393999</v>
      </c>
      <c r="H14" s="8">
        <v>13.860264393939399</v>
      </c>
      <c r="I14" s="8">
        <v>8.6727022727272693</v>
      </c>
      <c r="J14" s="8">
        <v>4.9114219696969696</v>
      </c>
      <c r="K14" s="8">
        <v>4.0715477272727298</v>
      </c>
      <c r="L14" s="8">
        <v>6.4765507575757599</v>
      </c>
      <c r="M14" s="8">
        <v>5.2891689393939396</v>
      </c>
      <c r="N14" s="8">
        <v>15.5318083333333</v>
      </c>
      <c r="O14" s="8">
        <v>11.095190909090899</v>
      </c>
    </row>
    <row r="15" spans="1:15">
      <c r="A15" s="8">
        <v>27.0224090909091</v>
      </c>
      <c r="B15" s="8">
        <v>45.769645454545497</v>
      </c>
      <c r="C15" s="8">
        <v>13.930372727272699</v>
      </c>
      <c r="D15" s="8">
        <v>77.4992818181818</v>
      </c>
      <c r="E15" s="8">
        <v>20.732299999999999</v>
      </c>
      <c r="F15" s="8">
        <v>-6.8334272727272696</v>
      </c>
      <c r="G15" s="8">
        <v>-3.4465272727272702</v>
      </c>
      <c r="H15" s="8">
        <v>46.201936363636399</v>
      </c>
      <c r="I15" s="8">
        <v>20.582990909090899</v>
      </c>
      <c r="J15" s="8">
        <v>-15.982081818181801</v>
      </c>
      <c r="K15" s="8">
        <v>11.091372727272701</v>
      </c>
      <c r="L15" s="8">
        <v>15.327636363636399</v>
      </c>
      <c r="M15" s="8">
        <v>12.5110909090909</v>
      </c>
      <c r="N15" s="8">
        <v>11.095190909090899</v>
      </c>
      <c r="O15" s="8">
        <v>71.688509090909093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B1" sqref="B1"/>
    </sheetView>
  </sheetViews>
  <sheetFormatPr defaultRowHeight="13"/>
  <cols>
    <col min="2" max="16" width="10.6640625" customWidth="1"/>
  </cols>
  <sheetData>
    <row r="1" spans="2:16">
      <c r="B1" s="13">
        <v>15.11</v>
      </c>
      <c r="C1" s="13">
        <v>9.67</v>
      </c>
      <c r="D1" s="13">
        <v>3.38</v>
      </c>
      <c r="E1" s="13">
        <v>35.049999999999997</v>
      </c>
      <c r="F1" s="13">
        <v>1.19</v>
      </c>
      <c r="G1" s="13">
        <v>-2.6</v>
      </c>
      <c r="H1" s="13">
        <v>1.81</v>
      </c>
      <c r="I1" s="13">
        <v>5.73</v>
      </c>
      <c r="J1" s="13">
        <v>14.17</v>
      </c>
      <c r="K1" s="13">
        <v>3.88</v>
      </c>
      <c r="L1" s="13">
        <v>-7.0000000000000007E-2</v>
      </c>
      <c r="M1" s="13">
        <v>8.7100000000000009</v>
      </c>
      <c r="N1" s="13">
        <v>-0.48</v>
      </c>
      <c r="O1" s="13">
        <v>1.39</v>
      </c>
      <c r="P1" s="13">
        <v>15.85</v>
      </c>
    </row>
    <row r="2" spans="2:16">
      <c r="B2" s="13">
        <v>7.97</v>
      </c>
      <c r="C2" s="13">
        <v>-1.57</v>
      </c>
      <c r="D2" s="13">
        <v>5.93</v>
      </c>
      <c r="E2" s="13">
        <v>-4.58</v>
      </c>
      <c r="F2" s="13">
        <v>19.12</v>
      </c>
      <c r="G2" s="13">
        <v>6.48</v>
      </c>
      <c r="H2" s="13">
        <v>7.13</v>
      </c>
      <c r="I2" s="13">
        <v>-9.31</v>
      </c>
      <c r="J2" s="13">
        <v>17.14</v>
      </c>
      <c r="K2" s="13">
        <v>6.74</v>
      </c>
      <c r="L2" s="13">
        <v>-1.02</v>
      </c>
      <c r="M2" s="13">
        <v>6.69</v>
      </c>
      <c r="N2" s="13">
        <v>-7.66</v>
      </c>
      <c r="O2" s="13">
        <v>-2.09</v>
      </c>
      <c r="P2" s="13">
        <v>-7.42</v>
      </c>
    </row>
    <row r="3" spans="2:16">
      <c r="B3" s="13">
        <v>-1.34</v>
      </c>
      <c r="C3" s="13">
        <v>5.48</v>
      </c>
      <c r="D3" s="13">
        <v>10</v>
      </c>
      <c r="E3" s="13">
        <v>2.4</v>
      </c>
      <c r="F3" s="13">
        <v>-6.57</v>
      </c>
      <c r="G3" s="13">
        <v>-3.3</v>
      </c>
      <c r="H3" s="13">
        <v>2.48</v>
      </c>
      <c r="I3" s="13">
        <v>5.41</v>
      </c>
      <c r="J3" s="13">
        <v>-3.25</v>
      </c>
      <c r="K3" s="13">
        <v>-11.36</v>
      </c>
      <c r="L3" s="13">
        <v>5.7</v>
      </c>
      <c r="M3" s="13">
        <v>4.5</v>
      </c>
      <c r="N3" s="13">
        <v>-12.68</v>
      </c>
      <c r="O3" s="13">
        <v>3.35</v>
      </c>
      <c r="P3" s="13">
        <v>5.73</v>
      </c>
    </row>
    <row r="4" spans="2:16">
      <c r="B4" s="13">
        <v>-5.36</v>
      </c>
      <c r="C4" s="13">
        <v>-7.96</v>
      </c>
      <c r="D4" s="13">
        <v>5.38</v>
      </c>
      <c r="E4" s="13">
        <v>-7.03</v>
      </c>
      <c r="F4" s="13">
        <v>12.48</v>
      </c>
      <c r="G4" s="13">
        <v>19.190000000000001</v>
      </c>
      <c r="H4" s="13">
        <v>-1.21</v>
      </c>
      <c r="I4" s="13">
        <v>3.14</v>
      </c>
      <c r="J4" s="13">
        <v>0.04</v>
      </c>
      <c r="K4" s="13">
        <v>3.85</v>
      </c>
      <c r="L4" s="13">
        <v>0.04</v>
      </c>
      <c r="M4" s="13">
        <v>12.86</v>
      </c>
      <c r="N4" s="13">
        <v>3.87</v>
      </c>
      <c r="O4" s="13">
        <v>0.18</v>
      </c>
      <c r="P4" s="13">
        <v>-3.97</v>
      </c>
    </row>
    <row r="5" spans="2:16">
      <c r="B5" s="13">
        <v>1.45</v>
      </c>
      <c r="C5" s="13">
        <v>1.41</v>
      </c>
      <c r="D5" s="13">
        <v>1.74</v>
      </c>
      <c r="E5" s="13">
        <v>2.52</v>
      </c>
      <c r="F5" s="13">
        <v>0.78</v>
      </c>
      <c r="G5" s="13">
        <v>11.44</v>
      </c>
      <c r="H5" s="13">
        <v>12.88</v>
      </c>
      <c r="I5" s="13">
        <v>-1.5</v>
      </c>
      <c r="J5" s="13">
        <v>-7.98</v>
      </c>
      <c r="K5" s="13">
        <v>10.26</v>
      </c>
      <c r="L5" s="13">
        <v>-1.85</v>
      </c>
      <c r="M5" s="13">
        <v>4.8600000000000003</v>
      </c>
      <c r="N5" s="13">
        <v>2.2000000000000002</v>
      </c>
      <c r="O5" s="13">
        <v>3.99</v>
      </c>
      <c r="P5" s="13">
        <v>-6.06</v>
      </c>
    </row>
    <row r="6" spans="2:16">
      <c r="B6" s="13">
        <v>0.89</v>
      </c>
      <c r="C6" s="13">
        <v>-0.46</v>
      </c>
      <c r="D6" s="13">
        <v>-11.3</v>
      </c>
      <c r="E6" s="13">
        <v>-7.38</v>
      </c>
      <c r="F6" s="13">
        <v>-6.45</v>
      </c>
      <c r="G6" s="13">
        <v>-2.73</v>
      </c>
      <c r="H6" s="13">
        <v>6.52</v>
      </c>
      <c r="I6" s="13">
        <v>-10.15</v>
      </c>
      <c r="J6" s="13">
        <v>6.39</v>
      </c>
      <c r="K6" s="13">
        <v>4.6500000000000004</v>
      </c>
      <c r="L6" s="13">
        <v>-0.44</v>
      </c>
      <c r="M6" s="13">
        <v>1.1599999999999999</v>
      </c>
      <c r="N6" s="13">
        <v>0</v>
      </c>
      <c r="O6" s="13">
        <v>3.13</v>
      </c>
      <c r="P6" s="13">
        <v>-8.4700000000000006</v>
      </c>
    </row>
    <row r="7" spans="2:16">
      <c r="B7" s="13">
        <v>-0.8</v>
      </c>
      <c r="C7" s="13">
        <v>-4.37</v>
      </c>
      <c r="D7" s="13">
        <v>1.08</v>
      </c>
      <c r="E7" s="13">
        <v>-8.5</v>
      </c>
      <c r="F7" s="13">
        <v>-11.67</v>
      </c>
      <c r="G7" s="13">
        <v>2.37</v>
      </c>
      <c r="H7" s="13">
        <v>-4.08</v>
      </c>
      <c r="I7" s="13">
        <v>-6.71</v>
      </c>
      <c r="J7" s="13">
        <v>-14.98</v>
      </c>
      <c r="K7" s="13">
        <v>1.56</v>
      </c>
      <c r="L7" s="13">
        <v>-1</v>
      </c>
      <c r="M7" s="13">
        <v>0.98</v>
      </c>
      <c r="N7" s="13">
        <v>-12.95</v>
      </c>
      <c r="O7" s="13">
        <v>-1.08</v>
      </c>
      <c r="P7" s="13">
        <v>-9.69</v>
      </c>
    </row>
    <row r="8" spans="2:16">
      <c r="B8" s="13">
        <v>7.01</v>
      </c>
      <c r="C8" s="13">
        <v>10</v>
      </c>
      <c r="D8" s="13">
        <v>3.47</v>
      </c>
      <c r="E8" s="13">
        <v>0.97</v>
      </c>
      <c r="F8" s="13">
        <v>-0.02</v>
      </c>
      <c r="G8" s="13">
        <v>6.24</v>
      </c>
      <c r="H8" s="13">
        <v>6.67</v>
      </c>
      <c r="I8" s="13">
        <v>6.1</v>
      </c>
      <c r="J8" s="13">
        <v>-8.08</v>
      </c>
      <c r="K8" s="13">
        <v>-14.22</v>
      </c>
      <c r="L8" s="13">
        <v>2.4900000000000002</v>
      </c>
      <c r="M8" s="13">
        <v>3.92</v>
      </c>
      <c r="N8" s="13">
        <v>14.56</v>
      </c>
      <c r="O8" s="13">
        <v>-0.42</v>
      </c>
      <c r="P8" s="13">
        <v>8.3699999999999992</v>
      </c>
    </row>
    <row r="9" spans="2:16">
      <c r="B9" s="13">
        <v>7.73</v>
      </c>
      <c r="C9" s="13">
        <v>0.89</v>
      </c>
      <c r="D9" s="13">
        <v>-6.72</v>
      </c>
      <c r="E9" s="13">
        <v>-3.85</v>
      </c>
      <c r="F9" s="13">
        <v>11.43</v>
      </c>
      <c r="G9" s="13">
        <v>19.579999999999998</v>
      </c>
      <c r="H9" s="13">
        <v>1.75</v>
      </c>
      <c r="I9" s="13">
        <v>4.5999999999999996</v>
      </c>
      <c r="J9" s="13">
        <v>0.55000000000000004</v>
      </c>
      <c r="K9" s="13">
        <v>0</v>
      </c>
      <c r="L9" s="13">
        <v>2.4300000000000002</v>
      </c>
      <c r="M9" s="13">
        <v>7.65</v>
      </c>
      <c r="N9" s="13">
        <v>-3.87</v>
      </c>
      <c r="O9" s="13">
        <v>9.6999999999999993</v>
      </c>
      <c r="P9" s="13">
        <v>3.64</v>
      </c>
    </row>
    <row r="10" spans="2:16">
      <c r="B10" s="13">
        <v>7.72</v>
      </c>
      <c r="C10" s="13">
        <v>-5.99</v>
      </c>
      <c r="D10" s="13">
        <v>1.23</v>
      </c>
      <c r="E10" s="13">
        <v>-5</v>
      </c>
      <c r="F10" s="13">
        <v>-9.49</v>
      </c>
      <c r="G10" s="13">
        <v>15.18</v>
      </c>
      <c r="H10" s="13">
        <v>-0.49</v>
      </c>
      <c r="I10" s="13">
        <v>-7.63</v>
      </c>
      <c r="J10" s="13">
        <v>-1.59</v>
      </c>
      <c r="K10" s="13">
        <v>4.26</v>
      </c>
      <c r="L10" s="13">
        <v>1.73</v>
      </c>
      <c r="M10" s="13">
        <v>6.8</v>
      </c>
      <c r="N10" s="13">
        <v>9.7200000000000006</v>
      </c>
      <c r="O10" s="13">
        <v>2</v>
      </c>
      <c r="P10" s="13">
        <v>-3.95</v>
      </c>
    </row>
    <row r="11" spans="2:16">
      <c r="B11" s="13">
        <v>10.199999999999999</v>
      </c>
      <c r="C11" s="13">
        <v>12.28</v>
      </c>
      <c r="D11" s="13">
        <v>4.8</v>
      </c>
      <c r="E11" s="13">
        <v>-3.16</v>
      </c>
      <c r="F11" s="13">
        <v>22.1</v>
      </c>
      <c r="G11" s="13">
        <v>15.47</v>
      </c>
      <c r="H11" s="13">
        <v>1.24</v>
      </c>
      <c r="I11" s="13">
        <v>8.3800000000000008</v>
      </c>
      <c r="J11" s="13">
        <v>10.56</v>
      </c>
      <c r="K11" s="13">
        <v>11.77</v>
      </c>
      <c r="L11" s="13">
        <v>3.75</v>
      </c>
      <c r="M11" s="13">
        <v>14.3</v>
      </c>
      <c r="N11" s="13">
        <v>3.21</v>
      </c>
      <c r="O11" s="13">
        <v>9.85</v>
      </c>
      <c r="P11" s="13">
        <v>11.06</v>
      </c>
    </row>
    <row r="12" spans="2:16">
      <c r="B12" s="13">
        <v>-5.42</v>
      </c>
      <c r="C12" s="13">
        <v>1.88</v>
      </c>
      <c r="D12" s="13">
        <v>-1.53</v>
      </c>
      <c r="E12" s="13">
        <v>33.700000000000003</v>
      </c>
      <c r="F12" s="13">
        <v>-6.73</v>
      </c>
      <c r="G12" s="13">
        <v>3.25</v>
      </c>
      <c r="H12" s="13">
        <v>2.93</v>
      </c>
      <c r="I12" s="13">
        <v>-6.63</v>
      </c>
      <c r="J12" s="13">
        <v>-11.56</v>
      </c>
      <c r="K12" s="13">
        <v>9.44</v>
      </c>
      <c r="L12" s="13">
        <v>0.93</v>
      </c>
      <c r="M12" s="13">
        <v>5.34</v>
      </c>
      <c r="N12" s="13">
        <v>-12.95</v>
      </c>
      <c r="O12" s="13">
        <v>-1.03</v>
      </c>
      <c r="P12" s="13">
        <v>4.1500000000000004</v>
      </c>
    </row>
    <row r="19" spans="1:16" ht="13.5" thickBot="1"/>
    <row r="20" spans="1:16">
      <c r="A20" s="5"/>
      <c r="B20" s="5" t="s">
        <v>74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79</v>
      </c>
      <c r="H20" s="5" t="s">
        <v>80</v>
      </c>
      <c r="I20" s="5" t="s">
        <v>81</v>
      </c>
      <c r="J20" s="5" t="s">
        <v>82</v>
      </c>
      <c r="K20" s="5" t="s">
        <v>83</v>
      </c>
      <c r="L20" s="5" t="s">
        <v>84</v>
      </c>
      <c r="M20" s="5" t="s">
        <v>85</v>
      </c>
      <c r="N20" s="5" t="s">
        <v>86</v>
      </c>
      <c r="O20" s="5" t="s">
        <v>87</v>
      </c>
      <c r="P20" s="5" t="s">
        <v>88</v>
      </c>
    </row>
    <row r="21" spans="1:16">
      <c r="A21" s="3" t="s">
        <v>74</v>
      </c>
      <c r="B21" s="6">
        <f>VAR(Sheet4!$B$1:$B$12)</f>
        <v>41.622587878787868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 t="s">
        <v>75</v>
      </c>
      <c r="B22" s="6">
        <v>21.804466666666666</v>
      </c>
      <c r="C22" s="6">
        <f>VAR(Sheet4!$C$1:$C$12)</f>
        <v>42.181978787878791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76</v>
      </c>
      <c r="B23" s="6">
        <v>1.9198727272727265</v>
      </c>
      <c r="C23" s="6">
        <v>7.7061181818181828</v>
      </c>
      <c r="D23" s="6">
        <f>VAR(Sheet4!$D$1:$D$12)</f>
        <v>33.282409090909091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3" t="s">
        <v>77</v>
      </c>
      <c r="B24" s="6">
        <v>11.160287878787869</v>
      </c>
      <c r="C24" s="6">
        <v>41.622384848484849</v>
      </c>
      <c r="D24" s="6">
        <v>5.5742909090909105</v>
      </c>
      <c r="E24" s="6">
        <f>VAR(Sheet4!$E$1:$E$12)</f>
        <v>229.20563333333337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3" t="s">
        <v>78</v>
      </c>
      <c r="B25" s="6">
        <v>26.851442424242425</v>
      </c>
      <c r="C25" s="6">
        <v>16.399825757575758</v>
      </c>
      <c r="D25" s="6">
        <v>15.475695454545459</v>
      </c>
      <c r="E25" s="6">
        <v>-33.677025757575763</v>
      </c>
      <c r="F25" s="6">
        <f>VAR(Sheet4!$F$1:$F$12)</f>
        <v>131.0583174242424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 t="s">
        <v>79</v>
      </c>
      <c r="B26" s="6">
        <v>3.4368000000000007</v>
      </c>
      <c r="C26" s="6">
        <v>-15.872995454545455</v>
      </c>
      <c r="D26" s="6">
        <v>-5.0404545454541025E-2</v>
      </c>
      <c r="E26" s="6">
        <v>-53.146586363636359</v>
      </c>
      <c r="F26" s="6">
        <v>52.996584090909082</v>
      </c>
      <c r="G26" s="6">
        <f>VAR(Sheet4!$G$1:$G$12)</f>
        <v>71.899329545454549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3" t="s">
        <v>80</v>
      </c>
      <c r="B27" s="6">
        <v>2.4304515151515154</v>
      </c>
      <c r="C27" s="6">
        <v>7.9801984848484837</v>
      </c>
      <c r="D27" s="6">
        <v>-2.8620590909090908</v>
      </c>
      <c r="E27" s="6">
        <v>4.6432015151515165</v>
      </c>
      <c r="F27" s="6">
        <v>6.6209674242424237</v>
      </c>
      <c r="G27" s="6">
        <v>-5.1717295454545447</v>
      </c>
      <c r="H27" s="6">
        <f>VAR(Sheet4!$H$1:$H$12)</f>
        <v>20.608299242424234</v>
      </c>
      <c r="I27" s="6"/>
      <c r="J27" s="6"/>
      <c r="K27" s="6"/>
      <c r="L27" s="6"/>
      <c r="M27" s="6"/>
      <c r="N27" s="6"/>
      <c r="O27" s="6"/>
      <c r="P27" s="6"/>
    </row>
    <row r="28" spans="1:16">
      <c r="A28" s="3" t="s">
        <v>81</v>
      </c>
      <c r="B28" s="6">
        <v>14.13973333333333</v>
      </c>
      <c r="C28" s="6">
        <v>29.361616666666666</v>
      </c>
      <c r="D28" s="6">
        <v>16.699804545454548</v>
      </c>
      <c r="E28" s="6">
        <v>14.917192424242419</v>
      </c>
      <c r="F28" s="6">
        <v>31.675503787878792</v>
      </c>
      <c r="G28" s="6">
        <v>13.35503409090909</v>
      </c>
      <c r="H28" s="6">
        <v>-3.1088825757575766</v>
      </c>
      <c r="I28" s="6">
        <f>VAR(Sheet4!$I$1:$I$12)</f>
        <v>48.507371969696969</v>
      </c>
      <c r="J28" s="6"/>
      <c r="K28" s="6"/>
      <c r="L28" s="6"/>
      <c r="M28" s="6"/>
      <c r="N28" s="6"/>
      <c r="O28" s="6"/>
      <c r="P28" s="6"/>
    </row>
    <row r="29" spans="1:16">
      <c r="A29" s="3" t="s">
        <v>82</v>
      </c>
      <c r="B29" s="6">
        <v>41.94109090909091</v>
      </c>
      <c r="C29" s="6">
        <v>16.174240909090909</v>
      </c>
      <c r="D29" s="6">
        <v>4.3284863636363635</v>
      </c>
      <c r="E29" s="6">
        <v>3.732968181818173</v>
      </c>
      <c r="F29" s="6">
        <v>74.858593181818193</v>
      </c>
      <c r="G29" s="6">
        <v>-0.65053409090908654</v>
      </c>
      <c r="H29" s="6">
        <v>5.6723977272727275</v>
      </c>
      <c r="I29" s="6">
        <v>7.5733977272727317</v>
      </c>
      <c r="J29" s="6">
        <f>VAR(Sheet4!$J$1:$J$12)</f>
        <v>104.28582045454544</v>
      </c>
      <c r="K29" s="6"/>
      <c r="L29" s="6"/>
      <c r="M29" s="6"/>
      <c r="N29" s="6"/>
      <c r="O29" s="6"/>
      <c r="P29" s="6"/>
    </row>
    <row r="30" spans="1:16">
      <c r="A30" s="3" t="s">
        <v>83</v>
      </c>
      <c r="B30" s="6">
        <v>0.97901212121211822</v>
      </c>
      <c r="C30" s="6">
        <v>-10.955062121212125</v>
      </c>
      <c r="D30" s="6">
        <v>-10.883695454545453</v>
      </c>
      <c r="E30" s="6">
        <v>16.784943939393941</v>
      </c>
      <c r="F30" s="6">
        <v>27.743818939393943</v>
      </c>
      <c r="G30" s="6">
        <v>19.030934090909096</v>
      </c>
      <c r="H30" s="6">
        <v>2.4537416666666676</v>
      </c>
      <c r="I30" s="6">
        <v>-20.37484924242424</v>
      </c>
      <c r="J30" s="6">
        <v>22.883052272727269</v>
      </c>
      <c r="K30" s="6">
        <f>VAR(Sheet4!$K$1:$K$12)</f>
        <v>63.861171969696983</v>
      </c>
      <c r="L30" s="6"/>
      <c r="M30" s="6"/>
      <c r="N30" s="6"/>
      <c r="O30" s="6"/>
      <c r="P30" s="6"/>
    </row>
    <row r="31" spans="1:16">
      <c r="A31" s="3" t="s">
        <v>84</v>
      </c>
      <c r="B31" s="6">
        <v>1.4303181818181816</v>
      </c>
      <c r="C31" s="6">
        <v>6.8929045454545452</v>
      </c>
      <c r="D31" s="6">
        <v>4.0140681818181818</v>
      </c>
      <c r="E31" s="6">
        <v>-0.95978636363636372</v>
      </c>
      <c r="F31" s="6">
        <v>1.5252931818181834</v>
      </c>
      <c r="G31" s="6">
        <v>0.7120749999999989</v>
      </c>
      <c r="H31" s="6">
        <v>-2.5758386363636361</v>
      </c>
      <c r="I31" s="6">
        <v>9.2270613636363628</v>
      </c>
      <c r="J31" s="6">
        <v>-0.3856340909090914</v>
      </c>
      <c r="K31" s="6">
        <v>-9.2777659090909097</v>
      </c>
      <c r="L31" s="6">
        <f>VAR(Sheet4!$L$1:$L$12)</f>
        <v>4.9780568181818188</v>
      </c>
      <c r="M31" s="6"/>
      <c r="N31" s="6"/>
      <c r="O31" s="6"/>
      <c r="P31" s="6"/>
    </row>
    <row r="32" spans="1:16">
      <c r="A32" s="3" t="s">
        <v>85</v>
      </c>
      <c r="B32" s="6">
        <v>7.3286969696969706</v>
      </c>
      <c r="C32" s="6">
        <v>4.6536712121212132</v>
      </c>
      <c r="D32" s="6">
        <v>8.870722727272728</v>
      </c>
      <c r="E32" s="6">
        <v>3.4344833333333349</v>
      </c>
      <c r="F32" s="6">
        <v>35.217744696969703</v>
      </c>
      <c r="G32" s="6">
        <v>21.497411363636363</v>
      </c>
      <c r="H32" s="6">
        <v>-4.4607143939393934</v>
      </c>
      <c r="I32" s="6">
        <v>15.808958333333335</v>
      </c>
      <c r="J32" s="6">
        <v>19.980675000000002</v>
      </c>
      <c r="K32" s="6">
        <v>11.473173484848486</v>
      </c>
      <c r="L32" s="6">
        <v>2.2466568181818176</v>
      </c>
      <c r="M32" s="6">
        <f>VAR(Sheet4!$M$1:$M$12)</f>
        <v>16.481408333333334</v>
      </c>
      <c r="N32" s="6"/>
      <c r="O32" s="6"/>
      <c r="P32" s="6"/>
    </row>
    <row r="33" spans="1:16">
      <c r="A33" s="3" t="s">
        <v>86</v>
      </c>
      <c r="B33" s="6">
        <v>23.24586060606061</v>
      </c>
      <c r="C33" s="6">
        <v>8.7239712121212101</v>
      </c>
      <c r="D33" s="6">
        <v>-1.3362045454545444</v>
      </c>
      <c r="E33" s="6">
        <v>-30.911516666666671</v>
      </c>
      <c r="F33" s="6">
        <v>17.807571969696966</v>
      </c>
      <c r="G33" s="6">
        <v>32.811956818181812</v>
      </c>
      <c r="H33" s="6">
        <v>8.5980310606060595</v>
      </c>
      <c r="I33" s="6">
        <v>17.559831060606061</v>
      </c>
      <c r="J33" s="6">
        <v>11.825302272727271</v>
      </c>
      <c r="K33" s="6">
        <v>-8.9568992424242442</v>
      </c>
      <c r="L33" s="6">
        <v>0.57042954545454538</v>
      </c>
      <c r="M33" s="6">
        <v>10.542481060606061</v>
      </c>
      <c r="N33" s="6">
        <f>VAR(Sheet4!$N$1:$N$12)</f>
        <v>80.226808333333324</v>
      </c>
      <c r="O33" s="6"/>
      <c r="P33" s="6"/>
    </row>
    <row r="34" spans="1:16">
      <c r="A34" s="3" t="s">
        <v>87</v>
      </c>
      <c r="B34" s="6">
        <v>8.4393303030303013</v>
      </c>
      <c r="C34" s="6">
        <v>9.336628787878789</v>
      </c>
      <c r="D34" s="6">
        <v>-5.4815227272727265</v>
      </c>
      <c r="E34" s="6">
        <v>-12.474683333333333</v>
      </c>
      <c r="F34" s="6">
        <v>17.345005303030305</v>
      </c>
      <c r="G34" s="6">
        <v>14.348111363636361</v>
      </c>
      <c r="H34" s="6">
        <v>0.31401893939393982</v>
      </c>
      <c r="I34" s="6">
        <v>13.860264393939394</v>
      </c>
      <c r="J34" s="6">
        <v>8.6727022727272729</v>
      </c>
      <c r="K34" s="6">
        <v>4.9114219696969688</v>
      </c>
      <c r="L34" s="6">
        <v>4.0715477272727272</v>
      </c>
      <c r="M34" s="6">
        <v>6.4765507575757582</v>
      </c>
      <c r="N34" s="6">
        <v>5.2891689393939387</v>
      </c>
      <c r="O34" s="6">
        <f>VAR(Sheet4!$O$1:$O$12)</f>
        <v>15.531808333333334</v>
      </c>
      <c r="P34" s="6"/>
    </row>
    <row r="35" spans="1:16" ht="13.5" thickBot="1">
      <c r="A35" s="4" t="s">
        <v>88</v>
      </c>
      <c r="B35" s="7">
        <v>27.022409090909086</v>
      </c>
      <c r="C35" s="7">
        <v>45.769645454545454</v>
      </c>
      <c r="D35" s="7">
        <v>13.930372727272726</v>
      </c>
      <c r="E35" s="7">
        <v>77.499281818181814</v>
      </c>
      <c r="F35" s="7">
        <v>20.732299999999999</v>
      </c>
      <c r="G35" s="7">
        <v>-6.8334272727272722</v>
      </c>
      <c r="H35" s="7">
        <v>-3.4465272727272729</v>
      </c>
      <c r="I35" s="7">
        <v>46.201936363636356</v>
      </c>
      <c r="J35" s="7">
        <v>20.58299090909091</v>
      </c>
      <c r="K35" s="7">
        <v>-15.982081818181818</v>
      </c>
      <c r="L35" s="7">
        <v>11.091372727272729</v>
      </c>
      <c r="M35" s="7">
        <v>15.327636363636364</v>
      </c>
      <c r="N35" s="7">
        <v>12.51109090909091</v>
      </c>
      <c r="O35" s="7">
        <v>11.095190909090908</v>
      </c>
      <c r="P35" s="7">
        <f>VAR(Sheet4!$P$1:$P$12)</f>
        <v>71.688509090909079</v>
      </c>
    </row>
  </sheetData>
  <pageMargins left="0.75" right="0.75" top="1" bottom="1" header="0.5" footer="0.5"/>
  <pageSetup orientation="portrait" verticalDpi="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2" baseType="lpstr">
      <vt:lpstr>RDERets1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Ret vs. Risk</vt:lpstr>
      <vt:lpstr>Correlations</vt:lpstr>
      <vt:lpstr>Covariances</vt:lpstr>
      <vt:lpstr>RDERets1!Print_Area</vt:lpstr>
      <vt:lpstr>RDERets1!Print_Titles</vt:lpstr>
      <vt:lpstr>Returns</vt:lpstr>
    </vt:vector>
  </TitlesOfParts>
  <Company>Albuquerque, NM 87111-5604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Vora</dc:creator>
  <cp:lastModifiedBy>Carina Negreanu</cp:lastModifiedBy>
  <cp:lastPrinted>1997-04-20T19:28:06Z</cp:lastPrinted>
  <dcterms:created xsi:type="dcterms:W3CDTF">1997-03-03T23:28:52Z</dcterms:created>
  <dcterms:modified xsi:type="dcterms:W3CDTF">2020-01-27T12:01:24Z</dcterms:modified>
</cp:coreProperties>
</file>