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AFCEA5-010E-4B3A-8368-54C6C22CA907}" xr6:coauthVersionLast="45" xr6:coauthVersionMax="45" xr10:uidLastSave="{00000000-0000-0000-0000-000000000000}"/>
  <bookViews>
    <workbookView xWindow="3420" yWindow="3420" windowWidth="28800" windowHeight="15460"/>
  </bookViews>
  <sheets>
    <sheet name="Calculators" sheetId="1" r:id="rId1"/>
  </sheets>
  <definedNames>
    <definedName name="_xlnm.Print_Area" localSheetId="0">Calculators!$A$1:$J$41</definedName>
  </definedNames>
  <calcPr calcId="0"/>
</workbook>
</file>

<file path=xl/calcChain.xml><?xml version="1.0" encoding="utf-8"?>
<calcChain xmlns="http://schemas.openxmlformats.org/spreadsheetml/2006/main">
  <c r="I9" i="1" l="1"/>
  <c r="E11" i="1"/>
  <c r="I11" i="1"/>
  <c r="E18" i="1"/>
  <c r="E20" i="1"/>
  <c r="I20" i="1"/>
  <c r="E29" i="1"/>
  <c r="I29" i="1"/>
  <c r="E37" i="1"/>
  <c r="I37" i="1"/>
</calcChain>
</file>

<file path=xl/sharedStrings.xml><?xml version="1.0" encoding="utf-8"?>
<sst xmlns="http://schemas.openxmlformats.org/spreadsheetml/2006/main" count="47" uniqueCount="28">
  <si>
    <t>Marketing Calculators</t>
  </si>
  <si>
    <t>Sales Revenue</t>
  </si>
  <si>
    <t>Cost of Goods Sold</t>
  </si>
  <si>
    <t>Assumptions</t>
  </si>
  <si>
    <t>Gross Sales</t>
  </si>
  <si>
    <t>Beginning Inventory</t>
  </si>
  <si>
    <t>Returns and Allowances</t>
  </si>
  <si>
    <t>Purchases</t>
  </si>
  <si>
    <t>Discounts</t>
  </si>
  <si>
    <t>Goods Avaliable for Sale</t>
  </si>
  <si>
    <t>Ending Inventory</t>
  </si>
  <si>
    <t>Net Sales</t>
  </si>
  <si>
    <t>Gross Margin</t>
  </si>
  <si>
    <t>Selling Expense Ratio</t>
  </si>
  <si>
    <t>Total Selling Expenses</t>
  </si>
  <si>
    <t>Gross Margin %</t>
  </si>
  <si>
    <t>Inventory Turnover</t>
  </si>
  <si>
    <t>Markup Based on Cost</t>
  </si>
  <si>
    <t>Markup in Dollars</t>
  </si>
  <si>
    <t>Cost in Dollars</t>
  </si>
  <si>
    <t>Markup on Cost</t>
  </si>
  <si>
    <t>Markup Based on Selling Price</t>
  </si>
  <si>
    <t xml:space="preserve">Markdown </t>
  </si>
  <si>
    <t>Markdown in Dollars</t>
  </si>
  <si>
    <t>Selling Price in Dollars</t>
  </si>
  <si>
    <t>Original Price</t>
  </si>
  <si>
    <t>Markdown %</t>
  </si>
  <si>
    <t>© Copyright, Jaxworks, 2003,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</si>
</sst>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72" formatCode="0.0%"/>
  </numFmts>
  <fonts count="9" x14ac:knownFonts="1">
    <font>
      <sz val="10"/>
      <name val="Arial"/>
    </font>
    <font>
      <sz val="10"/>
      <name val="Arial"/>
    </font>
    <font>
      <b/>
      <sz val="10"/>
      <color indexed="9"/>
      <name val="Arial"/>
      <family val="2"/>
    </font>
    <font>
      <b/>
      <sz val="10"/>
      <color indexed="2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26"/>
      <color indexed="18"/>
      <name val="Arial"/>
      <family val="2"/>
    </font>
    <font>
      <sz val="26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Continuous" vertical="center"/>
    </xf>
    <xf numFmtId="0" fontId="2" fillId="2" borderId="2" xfId="0" applyFont="1" applyFill="1" applyBorder="1" applyAlignment="1" applyProtection="1">
      <alignment horizontal="centerContinuous" vertical="center"/>
    </xf>
    <xf numFmtId="0" fontId="2" fillId="2" borderId="3" xfId="0" applyFont="1" applyFill="1" applyBorder="1" applyAlignment="1" applyProtection="1">
      <alignment horizontal="centerContinuous" vertical="center"/>
    </xf>
    <xf numFmtId="39" fontId="3" fillId="3" borderId="4" xfId="0" applyNumberFormat="1" applyFont="1" applyFill="1" applyBorder="1" applyProtection="1"/>
    <xf numFmtId="0" fontId="4" fillId="3" borderId="0" xfId="0" applyFont="1" applyFill="1" applyBorder="1" applyProtection="1"/>
    <xf numFmtId="39" fontId="4" fillId="3" borderId="5" xfId="0" applyNumberFormat="1" applyFont="1" applyFill="1" applyBorder="1" applyProtection="1"/>
    <xf numFmtId="0" fontId="4" fillId="3" borderId="4" xfId="0" applyFont="1" applyFill="1" applyBorder="1" applyProtection="1"/>
    <xf numFmtId="0" fontId="4" fillId="3" borderId="0" xfId="0" applyFont="1" applyFill="1" applyProtection="1"/>
    <xf numFmtId="39" fontId="3" fillId="3" borderId="6" xfId="0" applyNumberFormat="1" applyFont="1" applyFill="1" applyBorder="1" applyAlignment="1" applyProtection="1">
      <alignment horizontal="left"/>
    </xf>
    <xf numFmtId="0" fontId="4" fillId="3" borderId="7" xfId="0" applyFont="1" applyFill="1" applyBorder="1" applyProtection="1"/>
    <xf numFmtId="165" fontId="4" fillId="3" borderId="0" xfId="0" applyNumberFormat="1" applyFont="1" applyFill="1" applyBorder="1" applyProtection="1"/>
    <xf numFmtId="0" fontId="5" fillId="3" borderId="8" xfId="0" applyFont="1" applyFill="1" applyBorder="1" applyAlignment="1" applyProtection="1">
      <alignment horizontal="centerContinuous"/>
    </xf>
    <xf numFmtId="0" fontId="5" fillId="4" borderId="9" xfId="0" applyFont="1" applyFill="1" applyBorder="1" applyAlignment="1" applyProtection="1">
      <alignment horizontal="centerContinuous"/>
    </xf>
    <xf numFmtId="0" fontId="5" fillId="3" borderId="0" xfId="0" applyFont="1" applyFill="1" applyBorder="1" applyAlignment="1" applyProtection="1">
      <alignment horizontal="centerContinuous"/>
    </xf>
    <xf numFmtId="0" fontId="5" fillId="4" borderId="5" xfId="0" applyFont="1" applyFill="1" applyBorder="1" applyAlignment="1" applyProtection="1">
      <alignment horizontal="centerContinuous"/>
    </xf>
    <xf numFmtId="164" fontId="4" fillId="0" borderId="5" xfId="0" applyNumberFormat="1" applyFont="1" applyFill="1" applyBorder="1" applyProtection="1">
      <protection locked="0"/>
    </xf>
    <xf numFmtId="165" fontId="4" fillId="0" borderId="5" xfId="0" applyNumberFormat="1" applyFont="1" applyFill="1" applyBorder="1" applyProtection="1">
      <protection locked="0"/>
    </xf>
    <xf numFmtId="0" fontId="4" fillId="3" borderId="8" xfId="0" applyFont="1" applyFill="1" applyBorder="1" applyProtection="1"/>
    <xf numFmtId="39" fontId="4" fillId="3" borderId="9" xfId="0" applyNumberFormat="1" applyFont="1" applyFill="1" applyBorder="1" applyProtection="1"/>
    <xf numFmtId="166" fontId="4" fillId="0" borderId="5" xfId="0" applyNumberFormat="1" applyFont="1" applyFill="1" applyBorder="1" applyProtection="1">
      <protection locked="0"/>
    </xf>
    <xf numFmtId="0" fontId="6" fillId="0" borderId="0" xfId="0" applyFont="1" applyAlignment="1" applyProtection="1">
      <alignment horizontal="centerContinuous"/>
    </xf>
    <xf numFmtId="0" fontId="4" fillId="0" borderId="0" xfId="0" applyFont="1"/>
    <xf numFmtId="0" fontId="4" fillId="0" borderId="0" xfId="0" applyFont="1" applyProtection="1"/>
    <xf numFmtId="0" fontId="7" fillId="0" borderId="0" xfId="0" applyFont="1" applyAlignment="1" applyProtection="1">
      <alignment horizontal="centerContinuous"/>
    </xf>
    <xf numFmtId="0" fontId="8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4" fillId="0" borderId="5" xfId="0" applyFont="1" applyBorder="1" applyProtection="1"/>
    <xf numFmtId="0" fontId="4" fillId="0" borderId="4" xfId="0" applyFont="1" applyBorder="1" applyProtection="1"/>
    <xf numFmtId="0" fontId="4" fillId="0" borderId="7" xfId="0" applyFont="1" applyBorder="1" applyProtection="1"/>
    <xf numFmtId="165" fontId="4" fillId="0" borderId="0" xfId="0" applyNumberFormat="1" applyFont="1" applyBorder="1" applyProtection="1"/>
    <xf numFmtId="0" fontId="4" fillId="0" borderId="0" xfId="0" quotePrefix="1" applyFont="1" applyProtection="1"/>
    <xf numFmtId="165" fontId="4" fillId="5" borderId="10" xfId="0" applyNumberFormat="1" applyFont="1" applyFill="1" applyBorder="1" applyProtection="1"/>
    <xf numFmtId="172" fontId="4" fillId="6" borderId="10" xfId="1" applyNumberFormat="1" applyFont="1" applyFill="1" applyBorder="1" applyProtection="1"/>
    <xf numFmtId="165" fontId="4" fillId="6" borderId="5" xfId="0" applyNumberFormat="1" applyFont="1" applyFill="1" applyBorder="1" applyProtection="1"/>
    <xf numFmtId="2" fontId="4" fillId="5" borderId="10" xfId="0" applyNumberFormat="1" applyFont="1" applyFill="1" applyBorder="1" applyProtection="1"/>
    <xf numFmtId="9" fontId="4" fillId="6" borderId="10" xfId="1" applyFont="1" applyFill="1" applyBorder="1" applyProtection="1"/>
    <xf numFmtId="0" fontId="4" fillId="0" borderId="0" xfId="0" applyFont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38100</xdr:colOff>
      <xdr:row>1</xdr:row>
      <xdr:rowOff>38100</xdr:rowOff>
    </xdr:to>
    <xdr:sp macro="" textlink="">
      <xdr:nvSpPr>
        <xdr:cNvPr id="1025" name="HideTemplatePointer">
          <a:extLst>
            <a:ext uri="{FF2B5EF4-FFF2-40B4-BE49-F238E27FC236}">
              <a16:creationId xmlns:a16="http://schemas.microsoft.com/office/drawing/2014/main" id="{067D060D-CA54-42F5-A477-09452E3E35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28600" cy="82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1</xdr:col>
      <xdr:colOff>50800</xdr:colOff>
      <xdr:row>1</xdr:row>
      <xdr:rowOff>82550</xdr:rowOff>
    </xdr:from>
    <xdr:to>
      <xdr:col>9</xdr:col>
      <xdr:colOff>450850</xdr:colOff>
      <xdr:row>1</xdr:row>
      <xdr:rowOff>1447800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C88766A8-1CC7-4737-9A32-82E1286B01D7}"/>
            </a:ext>
          </a:extLst>
        </xdr:cNvPr>
        <xdr:cNvSpPr txBox="1">
          <a:spLocks noChangeArrowheads="1"/>
        </xdr:cNvSpPr>
      </xdr:nvSpPr>
      <xdr:spPr bwMode="auto">
        <a:xfrm>
          <a:off x="241300" y="127000"/>
          <a:ext cx="5911850" cy="136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spreadsheet contains eight calculators you can use to make marketing decisions. It contains the following: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Sales Revenue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represents net revenue after sales returns and allowances and discounts.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Cost of Goods Sold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the cost of the sales.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Gross Margin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Net revenue less cost of goods sold.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Selling Expense Ratio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Total selling expenses divided by sales.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Inventory Turnover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On average, the number of times per year you "turnover" the inventory.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Mark-up based on Cost 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- Mark-up divided by cost.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Markup Based on Selling Price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Mark-up divided by selling price.</a:t>
          </a:r>
        </a:p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Markdown</a:t>
          </a: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- Markdown in dollars divided by the original price.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showGridLines="0" tabSelected="1" workbookViewId="0"/>
  </sheetViews>
  <sheetFormatPr defaultColWidth="9.1796875" defaultRowHeight="12.5" x14ac:dyDescent="0.25"/>
  <cols>
    <col min="1" max="1" width="2.7265625" style="22" customWidth="1"/>
    <col min="2" max="2" width="6.1796875" style="22" customWidth="1"/>
    <col min="3" max="3" width="9.1796875" style="22"/>
    <col min="4" max="4" width="12.1796875" style="22" customWidth="1"/>
    <col min="5" max="5" width="10.81640625" style="22" customWidth="1"/>
    <col min="6" max="7" width="9.1796875" style="22"/>
    <col min="8" max="8" width="13" style="22" customWidth="1"/>
    <col min="9" max="16384" width="9.1796875" style="22"/>
  </cols>
  <sheetData>
    <row r="1" spans="2:10" ht="3.75" customHeight="1" x14ac:dyDescent="0.25"/>
    <row r="2" spans="2:10" ht="130.5" customHeight="1" x14ac:dyDescent="0.25"/>
    <row r="3" spans="2:10" ht="32.5" x14ac:dyDescent="0.65">
      <c r="B3" s="23"/>
      <c r="C3" s="21" t="s">
        <v>0</v>
      </c>
      <c r="D3" s="24"/>
      <c r="E3" s="24"/>
      <c r="F3" s="24"/>
      <c r="G3" s="24"/>
      <c r="H3" s="24"/>
      <c r="I3" s="24"/>
      <c r="J3" s="23"/>
    </row>
    <row r="4" spans="2:10" x14ac:dyDescent="0.25">
      <c r="B4" s="23"/>
      <c r="C4" s="23"/>
      <c r="D4" s="23"/>
      <c r="E4" s="23"/>
      <c r="F4" s="23"/>
      <c r="G4" s="23"/>
      <c r="H4" s="23"/>
      <c r="I4" s="23"/>
      <c r="J4" s="23"/>
    </row>
    <row r="5" spans="2:10" ht="13" x14ac:dyDescent="0.25">
      <c r="B5" s="23"/>
      <c r="C5" s="1" t="s">
        <v>1</v>
      </c>
      <c r="D5" s="2"/>
      <c r="E5" s="3"/>
      <c r="F5" s="25"/>
      <c r="G5" s="1" t="s">
        <v>2</v>
      </c>
      <c r="H5" s="2"/>
      <c r="I5" s="3"/>
      <c r="J5" s="23"/>
    </row>
    <row r="6" spans="2:10" ht="13" x14ac:dyDescent="0.3">
      <c r="B6" s="23"/>
      <c r="C6" s="4" t="s">
        <v>3</v>
      </c>
      <c r="D6" s="5"/>
      <c r="E6" s="6"/>
      <c r="F6" s="23"/>
      <c r="G6" s="4" t="s">
        <v>3</v>
      </c>
      <c r="H6" s="26"/>
      <c r="I6" s="27"/>
      <c r="J6" s="23"/>
    </row>
    <row r="7" spans="2:10" x14ac:dyDescent="0.25">
      <c r="B7" s="23"/>
      <c r="C7" s="7" t="s">
        <v>4</v>
      </c>
      <c r="D7" s="5"/>
      <c r="E7" s="16">
        <v>244000</v>
      </c>
      <c r="F7" s="23"/>
      <c r="G7" s="28" t="s">
        <v>5</v>
      </c>
      <c r="H7" s="26"/>
      <c r="I7" s="16">
        <v>35000</v>
      </c>
      <c r="J7" s="23"/>
    </row>
    <row r="8" spans="2:10" x14ac:dyDescent="0.25">
      <c r="B8" s="23"/>
      <c r="C8" s="7" t="s">
        <v>6</v>
      </c>
      <c r="D8" s="5"/>
      <c r="E8" s="16">
        <v>1000</v>
      </c>
      <c r="F8" s="23"/>
      <c r="G8" s="7" t="s">
        <v>7</v>
      </c>
      <c r="H8" s="26"/>
      <c r="I8" s="16">
        <v>126000</v>
      </c>
      <c r="J8" s="23"/>
    </row>
    <row r="9" spans="2:10" x14ac:dyDescent="0.25">
      <c r="B9" s="23"/>
      <c r="C9" s="7" t="s">
        <v>8</v>
      </c>
      <c r="D9" s="5"/>
      <c r="E9" s="16">
        <v>2000</v>
      </c>
      <c r="F9" s="23"/>
      <c r="G9" s="28" t="s">
        <v>9</v>
      </c>
      <c r="H9" s="26"/>
      <c r="I9" s="32">
        <f>IF(SUM(I7:I8),I7+I8,"")</f>
        <v>161000</v>
      </c>
      <c r="J9" s="23"/>
    </row>
    <row r="10" spans="2:10" x14ac:dyDescent="0.25">
      <c r="B10" s="23"/>
      <c r="C10" s="28"/>
      <c r="D10" s="26"/>
      <c r="E10" s="27"/>
      <c r="F10" s="8"/>
      <c r="G10" s="28" t="s">
        <v>10</v>
      </c>
      <c r="H10" s="26"/>
      <c r="I10" s="16">
        <v>42000</v>
      </c>
      <c r="J10" s="23"/>
    </row>
    <row r="11" spans="2:10" ht="13" x14ac:dyDescent="0.3">
      <c r="B11" s="23"/>
      <c r="C11" s="9" t="s">
        <v>11</v>
      </c>
      <c r="D11" s="10"/>
      <c r="E11" s="32">
        <f>IF(SUM(E7:E9),E7-E8-E9,"")</f>
        <v>241000</v>
      </c>
      <c r="F11" s="23"/>
      <c r="G11" s="9" t="s">
        <v>2</v>
      </c>
      <c r="H11" s="29"/>
      <c r="I11" s="32">
        <f>IF(SUM(I9),I9-I10,"")</f>
        <v>119000</v>
      </c>
      <c r="J11" s="23"/>
    </row>
    <row r="12" spans="2:10" x14ac:dyDescent="0.25">
      <c r="B12" s="23"/>
      <c r="C12" s="5"/>
      <c r="D12" s="5"/>
      <c r="E12" s="11"/>
      <c r="F12" s="23"/>
      <c r="G12" s="8"/>
      <c r="H12" s="8"/>
      <c r="I12" s="8"/>
      <c r="J12" s="23"/>
    </row>
    <row r="13" spans="2:10" x14ac:dyDescent="0.25">
      <c r="B13" s="23"/>
      <c r="C13" s="8"/>
      <c r="D13" s="8"/>
      <c r="E13" s="23"/>
      <c r="F13" s="23"/>
      <c r="G13" s="8"/>
      <c r="H13" s="8"/>
      <c r="I13" s="8"/>
      <c r="J13" s="23"/>
    </row>
    <row r="14" spans="2:10" ht="13" x14ac:dyDescent="0.25">
      <c r="B14" s="23"/>
      <c r="C14" s="1" t="s">
        <v>12</v>
      </c>
      <c r="D14" s="2"/>
      <c r="E14" s="3"/>
      <c r="F14" s="23"/>
      <c r="G14" s="1" t="s">
        <v>13</v>
      </c>
      <c r="H14" s="2"/>
      <c r="I14" s="3"/>
      <c r="J14" s="23"/>
    </row>
    <row r="15" spans="2:10" ht="13" x14ac:dyDescent="0.3">
      <c r="B15" s="23"/>
      <c r="C15" s="4" t="s">
        <v>3</v>
      </c>
      <c r="D15" s="12"/>
      <c r="E15" s="13"/>
      <c r="F15" s="23"/>
      <c r="G15" s="4" t="s">
        <v>3</v>
      </c>
      <c r="H15" s="14"/>
      <c r="I15" s="15"/>
      <c r="J15" s="23"/>
    </row>
    <row r="16" spans="2:10" x14ac:dyDescent="0.25">
      <c r="B16" s="23"/>
      <c r="C16" s="7" t="s">
        <v>11</v>
      </c>
      <c r="D16" s="5"/>
      <c r="E16" s="16">
        <v>241000</v>
      </c>
      <c r="F16" s="23"/>
      <c r="G16" s="7" t="s">
        <v>14</v>
      </c>
      <c r="H16" s="5"/>
      <c r="I16" s="16">
        <v>47000</v>
      </c>
      <c r="J16" s="23"/>
    </row>
    <row r="17" spans="2:10" x14ac:dyDescent="0.25">
      <c r="B17" s="23"/>
      <c r="C17" s="7" t="s">
        <v>2</v>
      </c>
      <c r="D17" s="5"/>
      <c r="E17" s="17">
        <v>119000</v>
      </c>
      <c r="F17" s="23"/>
      <c r="G17" s="7" t="s">
        <v>11</v>
      </c>
      <c r="H17" s="5"/>
      <c r="I17" s="16">
        <v>232000</v>
      </c>
      <c r="J17" s="23"/>
    </row>
    <row r="18" spans="2:10" x14ac:dyDescent="0.25">
      <c r="B18" s="23"/>
      <c r="C18" s="7" t="s">
        <v>12</v>
      </c>
      <c r="D18" s="5"/>
      <c r="E18" s="34">
        <f>IF(E16,E16-E17,"")</f>
        <v>122000</v>
      </c>
      <c r="F18" s="23"/>
      <c r="G18" s="28"/>
      <c r="H18" s="26"/>
      <c r="I18" s="27"/>
      <c r="J18" s="23"/>
    </row>
    <row r="19" spans="2:10" x14ac:dyDescent="0.25">
      <c r="B19" s="23"/>
      <c r="C19" s="7"/>
      <c r="D19" s="5"/>
      <c r="E19" s="27"/>
      <c r="F19" s="23"/>
      <c r="G19" s="7"/>
      <c r="H19" s="5"/>
      <c r="I19" s="27"/>
      <c r="J19" s="23"/>
    </row>
    <row r="20" spans="2:10" ht="13" x14ac:dyDescent="0.3">
      <c r="B20" s="23"/>
      <c r="C20" s="9" t="s">
        <v>15</v>
      </c>
      <c r="D20" s="10"/>
      <c r="E20" s="33">
        <f>IF(E16,E18/E16,"")</f>
        <v>0.50622406639004147</v>
      </c>
      <c r="F20" s="23"/>
      <c r="G20" s="9" t="s">
        <v>13</v>
      </c>
      <c r="H20" s="10"/>
      <c r="I20" s="33">
        <f>IF(I17,I16/I17,"")</f>
        <v>0.20258620689655171</v>
      </c>
      <c r="J20" s="23"/>
    </row>
    <row r="21" spans="2:10" x14ac:dyDescent="0.25">
      <c r="B21" s="23"/>
      <c r="C21" s="5"/>
      <c r="D21" s="5"/>
      <c r="E21" s="30"/>
      <c r="F21" s="23"/>
      <c r="G21" s="5"/>
      <c r="H21" s="5"/>
      <c r="I21" s="5"/>
      <c r="J21" s="23"/>
    </row>
    <row r="22" spans="2:10" x14ac:dyDescent="0.25">
      <c r="B22" s="23"/>
      <c r="C22" s="23"/>
      <c r="D22" s="31"/>
      <c r="E22" s="23"/>
      <c r="F22" s="23"/>
      <c r="G22" s="8"/>
      <c r="H22" s="8"/>
      <c r="I22" s="8"/>
      <c r="J22" s="23"/>
    </row>
    <row r="23" spans="2:10" ht="13" x14ac:dyDescent="0.25">
      <c r="B23" s="23"/>
      <c r="C23" s="1" t="s">
        <v>16</v>
      </c>
      <c r="D23" s="2"/>
      <c r="E23" s="3"/>
      <c r="F23" s="23"/>
      <c r="G23" s="1" t="s">
        <v>17</v>
      </c>
      <c r="H23" s="2"/>
      <c r="I23" s="3"/>
      <c r="J23" s="23"/>
    </row>
    <row r="24" spans="2:10" ht="13" x14ac:dyDescent="0.3">
      <c r="B24" s="23"/>
      <c r="C24" s="4" t="s">
        <v>3</v>
      </c>
      <c r="D24" s="18"/>
      <c r="E24" s="19"/>
      <c r="F24" s="23"/>
      <c r="G24" s="4" t="s">
        <v>3</v>
      </c>
      <c r="H24" s="18"/>
      <c r="I24" s="19"/>
      <c r="J24" s="23"/>
    </row>
    <row r="25" spans="2:10" x14ac:dyDescent="0.25">
      <c r="B25" s="23"/>
      <c r="C25" s="7" t="s">
        <v>2</v>
      </c>
      <c r="D25" s="5"/>
      <c r="E25" s="16">
        <v>119000</v>
      </c>
      <c r="F25" s="23"/>
      <c r="G25" s="7" t="s">
        <v>18</v>
      </c>
      <c r="H25" s="5"/>
      <c r="I25" s="20">
        <v>25</v>
      </c>
      <c r="J25" s="23"/>
    </row>
    <row r="26" spans="2:10" x14ac:dyDescent="0.25">
      <c r="B26" s="23"/>
      <c r="C26" s="7" t="s">
        <v>5</v>
      </c>
      <c r="D26" s="5"/>
      <c r="E26" s="17">
        <v>35000</v>
      </c>
      <c r="F26" s="23"/>
      <c r="G26" s="7" t="s">
        <v>19</v>
      </c>
      <c r="H26" s="5"/>
      <c r="I26" s="20">
        <v>50</v>
      </c>
      <c r="J26" s="23"/>
    </row>
    <row r="27" spans="2:10" x14ac:dyDescent="0.25">
      <c r="B27" s="23"/>
      <c r="C27" s="7" t="s">
        <v>10</v>
      </c>
      <c r="D27" s="5"/>
      <c r="E27" s="17">
        <v>42000</v>
      </c>
      <c r="F27" s="23"/>
      <c r="G27" s="28"/>
      <c r="H27" s="26"/>
      <c r="I27" s="27"/>
      <c r="J27" s="23"/>
    </row>
    <row r="28" spans="2:10" x14ac:dyDescent="0.25">
      <c r="B28" s="23"/>
      <c r="C28" s="28"/>
      <c r="D28" s="26"/>
      <c r="E28" s="27"/>
      <c r="F28" s="23"/>
      <c r="G28" s="28"/>
      <c r="H28" s="26"/>
      <c r="I28" s="27"/>
      <c r="J28" s="23"/>
    </row>
    <row r="29" spans="2:10" ht="13" x14ac:dyDescent="0.3">
      <c r="B29" s="23"/>
      <c r="C29" s="9" t="s">
        <v>16</v>
      </c>
      <c r="D29" s="10"/>
      <c r="E29" s="35">
        <f>IF(SUM(E26:E27),E25/AVERAGE(E26:E27),"")</f>
        <v>3.0909090909090908</v>
      </c>
      <c r="F29" s="23"/>
      <c r="G29" s="9" t="s">
        <v>20</v>
      </c>
      <c r="H29" s="10"/>
      <c r="I29" s="36">
        <f>IF(I26,I25/I26,"")</f>
        <v>0.5</v>
      </c>
      <c r="J29" s="23"/>
    </row>
    <row r="30" spans="2:10" x14ac:dyDescent="0.25">
      <c r="B30" s="23"/>
      <c r="C30" s="23"/>
      <c r="D30" s="23"/>
      <c r="E30" s="23"/>
      <c r="F30" s="23"/>
      <c r="G30" s="23"/>
      <c r="H30" s="23"/>
      <c r="I30" s="23"/>
      <c r="J30" s="23"/>
    </row>
    <row r="31" spans="2:10" x14ac:dyDescent="0.25">
      <c r="B31" s="23"/>
      <c r="C31" s="23"/>
      <c r="D31" s="23"/>
      <c r="E31" s="23"/>
      <c r="F31" s="23"/>
      <c r="G31" s="8"/>
      <c r="H31" s="23"/>
      <c r="I31" s="23"/>
      <c r="J31" s="23"/>
    </row>
    <row r="32" spans="2:10" ht="13" x14ac:dyDescent="0.25">
      <c r="B32" s="23"/>
      <c r="C32" s="1" t="s">
        <v>21</v>
      </c>
      <c r="D32" s="2"/>
      <c r="E32" s="3"/>
      <c r="F32" s="23"/>
      <c r="G32" s="1" t="s">
        <v>22</v>
      </c>
      <c r="H32" s="2"/>
      <c r="I32" s="3"/>
      <c r="J32" s="23"/>
    </row>
    <row r="33" spans="2:10" ht="13" x14ac:dyDescent="0.3">
      <c r="B33" s="23"/>
      <c r="C33" s="4" t="s">
        <v>3</v>
      </c>
      <c r="D33" s="18"/>
      <c r="E33" s="19"/>
      <c r="F33" s="23"/>
      <c r="G33" s="4" t="s">
        <v>3</v>
      </c>
      <c r="H33" s="18"/>
      <c r="I33" s="19"/>
      <c r="J33" s="23"/>
    </row>
    <row r="34" spans="2:10" x14ac:dyDescent="0.25">
      <c r="B34" s="23"/>
      <c r="C34" s="7" t="s">
        <v>18</v>
      </c>
      <c r="D34" s="5"/>
      <c r="E34" s="20">
        <v>25</v>
      </c>
      <c r="F34" s="23"/>
      <c r="G34" s="7" t="s">
        <v>23</v>
      </c>
      <c r="H34" s="5"/>
      <c r="I34" s="16">
        <v>119</v>
      </c>
      <c r="J34" s="23"/>
    </row>
    <row r="35" spans="2:10" x14ac:dyDescent="0.25">
      <c r="B35" s="23"/>
      <c r="C35" s="7" t="s">
        <v>24</v>
      </c>
      <c r="D35" s="5"/>
      <c r="E35" s="20">
        <v>75</v>
      </c>
      <c r="F35" s="23"/>
      <c r="G35" s="7" t="s">
        <v>25</v>
      </c>
      <c r="H35" s="5"/>
      <c r="I35" s="16">
        <v>198</v>
      </c>
      <c r="J35" s="23"/>
    </row>
    <row r="36" spans="2:10" x14ac:dyDescent="0.25">
      <c r="B36" s="23"/>
      <c r="C36" s="28"/>
      <c r="D36" s="26"/>
      <c r="E36" s="27"/>
      <c r="F36" s="23"/>
      <c r="G36" s="28"/>
      <c r="H36" s="26"/>
      <c r="I36" s="27"/>
      <c r="J36" s="23"/>
    </row>
    <row r="37" spans="2:10" ht="13" x14ac:dyDescent="0.3">
      <c r="B37" s="23"/>
      <c r="C37" s="9" t="s">
        <v>20</v>
      </c>
      <c r="D37" s="10"/>
      <c r="E37" s="33">
        <f>IF(E35,E34/E35,"")</f>
        <v>0.33333333333333331</v>
      </c>
      <c r="F37" s="23"/>
      <c r="G37" s="9" t="s">
        <v>26</v>
      </c>
      <c r="H37" s="10"/>
      <c r="I37" s="33">
        <f>IF(I35,I34/I35,"")</f>
        <v>0.60101010101010099</v>
      </c>
      <c r="J37" s="23"/>
    </row>
    <row r="39" spans="2:10" x14ac:dyDescent="0.25">
      <c r="C39" s="37" t="s">
        <v>27</v>
      </c>
      <c r="D39" s="37"/>
      <c r="E39" s="37"/>
      <c r="F39" s="37"/>
      <c r="G39" s="37"/>
      <c r="H39" s="37"/>
      <c r="I39" s="37"/>
    </row>
  </sheetData>
  <printOptions verticalCentered="1"/>
  <pageMargins left="1" right="1" top="0.5" bottom="1" header="0.5" footer="0.5"/>
  <pageSetup scale="93" orientation="portrait" horizontalDpi="4294967294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Calculators</vt:lpstr>
      <vt:lpstr>Calculators!Print_Area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Vickers</dc:creator>
  <cp:lastModifiedBy>Carina Negreanu</cp:lastModifiedBy>
  <cp:lastPrinted>2001-08-14T07:30:49Z</cp:lastPrinted>
  <dcterms:created xsi:type="dcterms:W3CDTF">2001-08-14T07:03:02Z</dcterms:created>
  <dcterms:modified xsi:type="dcterms:W3CDTF">2020-01-27T10:32:07Z</dcterms:modified>
</cp:coreProperties>
</file>