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D457382-94E6-43FD-B9C5-9051FD4988ED}" xr6:coauthVersionLast="45" xr6:coauthVersionMax="45" xr10:uidLastSave="{00000000-0000-0000-0000-000000000000}"/>
  <bookViews>
    <workbookView xWindow="1140" yWindow="1140" windowWidth="28800" windowHeight="15460"/>
  </bookViews>
  <sheets>
    <sheet name="Table A2.1b" sheetId="1" r:id="rId1"/>
  </sheets>
  <definedNames>
    <definedName name="_xlnm.Print_Area" localSheetId="0">'Table A2.1b'!$A$1:$R$43</definedName>
    <definedName name="Z_2B5B3915_ACE0_11D5_8D1C_00C04F5A4B1C_.wvu.PrintArea" localSheetId="0" hidden="1">'Table A2.1b'!$A$1:$R$43</definedName>
    <definedName name="Z_C3553A02_B05F_11D5_8CB4_000102F7BA0D_.wvu.PrintArea" localSheetId="0" hidden="1">'Table A2.1b'!$A$1:$R$43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3" i="1" l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</calcChain>
</file>

<file path=xl/sharedStrings.xml><?xml version="1.0" encoding="utf-8"?>
<sst xmlns="http://schemas.openxmlformats.org/spreadsheetml/2006/main" count="95" uniqueCount="59">
  <si>
    <t>Table A2.1b</t>
  </si>
  <si>
    <t>Results are expressed as percentages</t>
  </si>
  <si>
    <t>Country</t>
  </si>
  <si>
    <t>Index of memorisation strategies</t>
  </si>
  <si>
    <t>Index of the principal's perception of teachers' morale and commitment</t>
  </si>
  <si>
    <t>Index of school autonomy</t>
  </si>
  <si>
    <t>Index of school selectivity</t>
  </si>
  <si>
    <t>Index of self-concept in mathematics</t>
  </si>
  <si>
    <t>Index of self-concept in reading</t>
  </si>
  <si>
    <t>Index of social communication</t>
  </si>
  <si>
    <t>Index of the principals' perceptions of student-related factors affecting school climate</t>
  </si>
  <si>
    <t>Index of teacher autonomy</t>
  </si>
  <si>
    <t>Index of teacher shortage</t>
  </si>
  <si>
    <t>Index of teacher support</t>
  </si>
  <si>
    <t>Index of the principals' perceptions of teacher-related factors affecting school climate</t>
  </si>
  <si>
    <t>Index of teacher-student relations</t>
  </si>
  <si>
    <t xml:space="preserve">Index of the quality of schools' educational resources </t>
  </si>
  <si>
    <t>Index of the quality of the schools' physical infrastructure</t>
  </si>
  <si>
    <t>Index of time spent on homework</t>
  </si>
  <si>
    <t>International Socio-Economic Index of Occupational Status (ISEI)</t>
  </si>
  <si>
    <t>OECD Countries</t>
  </si>
  <si>
    <t>Australia</t>
  </si>
  <si>
    <t>Austria</t>
  </si>
  <si>
    <t>Belgium</t>
  </si>
  <si>
    <t>Canada</t>
  </si>
  <si>
    <t>a</t>
  </si>
  <si>
    <t>Czech Republic</t>
  </si>
  <si>
    <t>Denmark</t>
  </si>
  <si>
    <t>Finland</t>
  </si>
  <si>
    <t>France</t>
  </si>
  <si>
    <t>m</t>
  </si>
  <si>
    <t>Germany</t>
  </si>
  <si>
    <t>Greece</t>
  </si>
  <si>
    <t>Hungary</t>
  </si>
  <si>
    <t>Iceland</t>
  </si>
  <si>
    <t>Ireland</t>
  </si>
  <si>
    <t>Italy</t>
  </si>
  <si>
    <t>Japan</t>
  </si>
  <si>
    <t>Korea</t>
  </si>
  <si>
    <t>Luxembourg</t>
  </si>
  <si>
    <t>Mexico</t>
  </si>
  <si>
    <t>New Zealand</t>
  </si>
  <si>
    <t>Norway</t>
  </si>
  <si>
    <t>Poland</t>
  </si>
  <si>
    <t>Portugal</t>
  </si>
  <si>
    <t>Spain</t>
  </si>
  <si>
    <t>Sweden</t>
  </si>
  <si>
    <t>Switzerland</t>
  </si>
  <si>
    <t>United Kingdom</t>
  </si>
  <si>
    <t>United States</t>
  </si>
  <si>
    <t>Country average</t>
  </si>
  <si>
    <t>Non-OECD Countries</t>
  </si>
  <si>
    <t>Brazil</t>
  </si>
  <si>
    <t>Latvia</t>
  </si>
  <si>
    <t>Liechtenstein</t>
  </si>
  <si>
    <t>Russian Federation</t>
  </si>
  <si>
    <t>1. Response rate is too low to ensure comparability (see Annex A3).</t>
  </si>
  <si>
    <r>
      <t>Explained variation in student performance (R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) </t>
    </r>
    <r>
      <rPr>
        <i/>
        <sz val="10"/>
        <rFont val="Arial"/>
        <family val="2"/>
      </rPr>
      <t>(Continuation TableA2.1a)</t>
    </r>
  </si>
  <si>
    <r>
      <t>Netherlands</t>
    </r>
    <r>
      <rPr>
        <vertAlign val="superscript"/>
        <sz val="10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</si>
</sst>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(* #,##0_);_(* \(#,##0\);_(* &quot;-&quot;_);_(@_)"/>
    <numFmt numFmtId="43" formatCode="_(* #,##0.00_);_(* \(#,##0.00\);_(* &quot;-&quot;??_);_(@_)"/>
    <numFmt numFmtId="168" formatCode="_(&quot;$&quot;* #,##0_);_(&quot;$&quot;* \(#,##0\);_(&quot;$&quot;* &quot;-&quot;_);_(@_)"/>
    <numFmt numFmtId="170" formatCode="_(&quot;$&quot;* #,##0.00_);_(&quot;$&quot;* \(#,##0.00\);_(&quot;$&quot;* &quot;-&quot;??_);_(@_)"/>
    <numFmt numFmtId="176" formatCode="_(&quot;€&quot;* #,##0_);_(&quot;€&quot;* \(#,##0\);_(&quot;€&quot;* &quot;-&quot;_);_(@_)"/>
    <numFmt numFmtId="177" formatCode="_(&quot;€&quot;* #,##0.00_);_(&quot;€&quot;* \(#,##0.00\);_(&quot;€&quot;* &quot;-&quot;??_);_(@_)"/>
    <numFmt numFmtId="181" formatCode="0.0"/>
    <numFmt numFmtId="190" formatCode="0.000"/>
    <numFmt numFmtId="208" formatCode="_-&quot;$&quot;* #,##0_-;\-&quot;$&quot;* #,##0_-;_-&quot;$&quot;* &quot;-&quot;_-;_-@_-"/>
    <numFmt numFmtId="209" formatCode="_-&quot;$&quot;* #,##0.00_-;\-&quot;$&quot;* #,##0.00_-;_-&quot;$&quot;* &quot;-&quot;??_-;_-@_-"/>
  </numFmts>
  <fonts count="9" x14ac:knownFonts="1">
    <font>
      <sz val="10"/>
      <name val="Arial"/>
    </font>
    <font>
      <sz val="10"/>
      <name val="Arial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22">
    <xf numFmtId="0" fontId="0" fillId="0" borderId="0" xfId="0"/>
    <xf numFmtId="190" fontId="0" fillId="2" borderId="0" xfId="0" applyNumberFormat="1" applyFill="1" applyAlignment="1">
      <alignment horizontal="left"/>
    </xf>
    <xf numFmtId="190" fontId="0" fillId="2" borderId="0" xfId="0" applyNumberFormat="1" applyFill="1" applyAlignment="1">
      <alignment horizontal="right"/>
    </xf>
    <xf numFmtId="181" fontId="0" fillId="2" borderId="0" xfId="0" applyNumberFormat="1" applyFill="1" applyAlignment="1">
      <alignment horizontal="right"/>
    </xf>
    <xf numFmtId="190" fontId="3" fillId="2" borderId="0" xfId="0" applyNumberFormat="1" applyFont="1" applyFill="1" applyAlignment="1">
      <alignment horizontal="left"/>
    </xf>
    <xf numFmtId="190" fontId="4" fillId="2" borderId="0" xfId="0" applyNumberFormat="1" applyFont="1" applyFill="1" applyAlignment="1">
      <alignment horizontal="left"/>
    </xf>
    <xf numFmtId="190" fontId="5" fillId="3" borderId="1" xfId="0" applyNumberFormat="1" applyFont="1" applyFill="1" applyBorder="1" applyAlignment="1">
      <alignment horizontal="center" vertical="center" wrapText="1"/>
    </xf>
    <xf numFmtId="181" fontId="5" fillId="3" borderId="1" xfId="0" applyNumberFormat="1" applyFont="1" applyFill="1" applyBorder="1" applyAlignment="1">
      <alignment horizontal="center" vertical="center" wrapText="1"/>
    </xf>
    <xf numFmtId="190" fontId="3" fillId="2" borderId="2" xfId="0" applyNumberFormat="1" applyFont="1" applyFill="1" applyBorder="1" applyAlignment="1">
      <alignment horizontal="left"/>
    </xf>
    <xf numFmtId="190" fontId="0" fillId="2" borderId="2" xfId="0" applyNumberFormat="1" applyFill="1" applyBorder="1" applyAlignment="1">
      <alignment horizontal="right"/>
    </xf>
    <xf numFmtId="181" fontId="0" fillId="2" borderId="3" xfId="0" applyNumberFormat="1" applyFill="1" applyBorder="1" applyAlignment="1">
      <alignment horizontal="right"/>
    </xf>
    <xf numFmtId="190" fontId="0" fillId="2" borderId="3" xfId="0" applyNumberFormat="1" applyFill="1" applyBorder="1" applyAlignment="1">
      <alignment horizontal="right"/>
    </xf>
    <xf numFmtId="190" fontId="0" fillId="2" borderId="2" xfId="0" applyNumberFormat="1" applyFill="1" applyBorder="1" applyAlignment="1">
      <alignment horizontal="left"/>
    </xf>
    <xf numFmtId="181" fontId="0" fillId="2" borderId="2" xfId="0" applyNumberFormat="1" applyFill="1" applyBorder="1" applyAlignment="1">
      <alignment horizontal="right"/>
    </xf>
    <xf numFmtId="190" fontId="6" fillId="4" borderId="4" xfId="0" applyNumberFormat="1" applyFont="1" applyFill="1" applyBorder="1" applyAlignment="1">
      <alignment horizontal="left"/>
    </xf>
    <xf numFmtId="181" fontId="6" fillId="4" borderId="4" xfId="0" applyNumberFormat="1" applyFont="1" applyFill="1" applyBorder="1" applyAlignment="1">
      <alignment horizontal="right"/>
    </xf>
    <xf numFmtId="0" fontId="3" fillId="2" borderId="2" xfId="1" applyFont="1" applyFill="1" applyBorder="1" applyAlignment="1">
      <alignment horizontal="left" wrapText="1"/>
    </xf>
    <xf numFmtId="190" fontId="0" fillId="2" borderId="4" xfId="0" applyNumberFormat="1" applyFill="1" applyBorder="1" applyAlignment="1">
      <alignment horizontal="left"/>
    </xf>
    <xf numFmtId="181" fontId="0" fillId="2" borderId="4" xfId="0" applyNumberFormat="1" applyFill="1" applyBorder="1" applyAlignment="1">
      <alignment horizontal="right"/>
    </xf>
    <xf numFmtId="190" fontId="0" fillId="2" borderId="1" xfId="0" applyNumberFormat="1" applyFill="1" applyBorder="1" applyAlignment="1">
      <alignment horizontal="left"/>
    </xf>
    <xf numFmtId="181" fontId="0" fillId="2" borderId="1" xfId="0" applyNumberFormat="1" applyFill="1" applyBorder="1" applyAlignment="1">
      <alignment horizontal="right"/>
    </xf>
    <xf numFmtId="0" fontId="8" fillId="0" borderId="0" xfId="0" applyFont="1" applyBorder="1" applyAlignment="1">
      <alignment horizontal="left"/>
    </xf>
  </cellXfs>
  <cellStyles count="2">
    <cellStyle name="Normal" xfId="0" builtinId="0"/>
    <cellStyle name="Normal_PISAPartIIStudents_Filled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2"/>
  <sheetViews>
    <sheetView tabSelected="1" view="pageBreakPreview" zoomScaleNormal="100" workbookViewId="0">
      <selection activeCell="A21" sqref="A21"/>
    </sheetView>
  </sheetViews>
  <sheetFormatPr defaultColWidth="9.1796875" defaultRowHeight="12.5" x14ac:dyDescent="0.25"/>
  <cols>
    <col min="1" max="1" width="22.1796875" style="2" customWidth="1"/>
    <col min="2" max="2" width="11.81640625" style="2" customWidth="1"/>
    <col min="3" max="3" width="12.7265625" style="2" customWidth="1"/>
    <col min="4" max="5" width="12.54296875" style="2" customWidth="1"/>
    <col min="6" max="6" width="11.453125" style="2" customWidth="1"/>
    <col min="7" max="7" width="12.81640625" style="3" customWidth="1"/>
    <col min="8" max="8" width="12.81640625" style="2" customWidth="1"/>
    <col min="9" max="9" width="13.1796875" style="2" customWidth="1"/>
    <col min="10" max="10" width="11.453125" style="2" customWidth="1"/>
    <col min="11" max="11" width="13.81640625" style="2" customWidth="1"/>
    <col min="12" max="12" width="13.1796875" style="2" customWidth="1"/>
    <col min="13" max="13" width="13.26953125" style="2" customWidth="1"/>
    <col min="14" max="14" width="14.26953125" style="2" customWidth="1"/>
    <col min="15" max="15" width="14.1796875" style="2" customWidth="1"/>
    <col min="16" max="16" width="12.453125" style="2" customWidth="1"/>
    <col min="17" max="17" width="13.54296875" style="2" customWidth="1"/>
    <col min="18" max="18" width="14" style="2" customWidth="1"/>
    <col min="19" max="16384" width="9.1796875" style="2"/>
  </cols>
  <sheetData>
    <row r="1" spans="1:18" x14ac:dyDescent="0.25">
      <c r="A1" s="1" t="s">
        <v>0</v>
      </c>
    </row>
    <row r="2" spans="1:18" ht="15" x14ac:dyDescent="0.3">
      <c r="A2" s="4" t="s">
        <v>57</v>
      </c>
    </row>
    <row r="3" spans="1:18" ht="13" x14ac:dyDescent="0.3">
      <c r="A3" s="5" t="s">
        <v>1</v>
      </c>
    </row>
    <row r="4" spans="1:18" ht="63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7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</row>
    <row r="5" spans="1:18" ht="13" x14ac:dyDescent="0.3">
      <c r="A5" s="8" t="s">
        <v>20</v>
      </c>
      <c r="B5" s="9"/>
      <c r="C5" s="9"/>
      <c r="D5" s="9"/>
      <c r="E5" s="9"/>
      <c r="F5" s="9"/>
      <c r="G5" s="10"/>
      <c r="H5" s="9"/>
      <c r="I5" s="9"/>
      <c r="J5" s="9"/>
      <c r="K5" s="9"/>
      <c r="L5" s="11"/>
      <c r="M5" s="11"/>
      <c r="N5" s="11"/>
      <c r="O5" s="11"/>
      <c r="P5" s="11"/>
      <c r="Q5" s="11"/>
      <c r="R5" s="11"/>
    </row>
    <row r="6" spans="1:18" x14ac:dyDescent="0.25">
      <c r="A6" s="12" t="s">
        <v>21</v>
      </c>
      <c r="B6" s="13">
        <v>0.82810000000000006</v>
      </c>
      <c r="C6" s="13">
        <v>2.7225000000000001</v>
      </c>
      <c r="D6" s="13">
        <v>2.4649000000000001</v>
      </c>
      <c r="E6" s="13">
        <v>0</v>
      </c>
      <c r="F6" s="13">
        <v>2.5281000000000002</v>
      </c>
      <c r="G6" s="13">
        <v>1.0815999999999999</v>
      </c>
      <c r="H6" s="13">
        <v>2.9241000000000001</v>
      </c>
      <c r="I6" s="13">
        <v>4.8841000000000001</v>
      </c>
      <c r="J6" s="13">
        <v>0.67240000000000011</v>
      </c>
      <c r="K6" s="13">
        <v>1.7956000000000003</v>
      </c>
      <c r="L6" s="13">
        <v>0.50409999999999999</v>
      </c>
      <c r="M6" s="13">
        <v>2.1025</v>
      </c>
      <c r="N6" s="13">
        <v>2.5921000000000003</v>
      </c>
      <c r="O6" s="13">
        <v>0.8649</v>
      </c>
      <c r="P6" s="13">
        <v>0</v>
      </c>
      <c r="Q6" s="13">
        <v>7.0225</v>
      </c>
      <c r="R6" s="13">
        <v>10.1761</v>
      </c>
    </row>
    <row r="7" spans="1:18" x14ac:dyDescent="0.25">
      <c r="A7" s="12" t="s">
        <v>22</v>
      </c>
      <c r="B7" s="13">
        <v>1.7424000000000002</v>
      </c>
      <c r="C7" s="13">
        <v>0.50409999999999999</v>
      </c>
      <c r="D7" s="13">
        <v>0.18489999999999998</v>
      </c>
      <c r="E7" s="13">
        <v>13.3956</v>
      </c>
      <c r="F7" s="13">
        <v>0.8649</v>
      </c>
      <c r="G7" s="13">
        <v>2.2801</v>
      </c>
      <c r="H7" s="13">
        <v>1.2544000000000002</v>
      </c>
      <c r="I7" s="13">
        <v>1.8225</v>
      </c>
      <c r="J7" s="13">
        <v>3.5721000000000003</v>
      </c>
      <c r="K7" s="13">
        <v>3.4596</v>
      </c>
      <c r="L7" s="13">
        <v>0</v>
      </c>
      <c r="M7" s="13">
        <v>1.5375999999999999</v>
      </c>
      <c r="N7" s="13">
        <v>0.11560000000000001</v>
      </c>
      <c r="O7" s="13">
        <v>7.8400000000000011E-2</v>
      </c>
      <c r="P7" s="13">
        <v>0.12959999999999999</v>
      </c>
      <c r="Q7" s="13">
        <v>7.2899999999999993E-2</v>
      </c>
      <c r="R7" s="13">
        <v>10.956100000000001</v>
      </c>
    </row>
    <row r="8" spans="1:18" x14ac:dyDescent="0.25">
      <c r="A8" s="12" t="s">
        <v>23</v>
      </c>
      <c r="B8" s="13">
        <v>0.88360000000000005</v>
      </c>
      <c r="C8" s="13">
        <v>8.0088999999999988</v>
      </c>
      <c r="D8" s="13">
        <v>0.72250000000000003</v>
      </c>
      <c r="E8" s="13">
        <v>0.51839999999999997</v>
      </c>
      <c r="F8" s="13">
        <v>0</v>
      </c>
      <c r="G8" s="13">
        <v>0</v>
      </c>
      <c r="H8" s="13">
        <v>0.94090000000000007</v>
      </c>
      <c r="I8" s="13">
        <v>18.4041</v>
      </c>
      <c r="J8" s="13">
        <v>0</v>
      </c>
      <c r="K8" s="13">
        <v>3.8025000000000002</v>
      </c>
      <c r="L8" s="13">
        <v>0.17640000000000003</v>
      </c>
      <c r="M8" s="13">
        <v>5.0625</v>
      </c>
      <c r="N8" s="13">
        <v>0</v>
      </c>
      <c r="O8" s="13">
        <v>0.68890000000000007</v>
      </c>
      <c r="P8" s="13">
        <v>1.3225</v>
      </c>
      <c r="Q8" s="13">
        <v>8.5848999999999993</v>
      </c>
      <c r="R8" s="13">
        <v>13.9876</v>
      </c>
    </row>
    <row r="9" spans="1:18" x14ac:dyDescent="0.25">
      <c r="A9" s="12" t="s">
        <v>24</v>
      </c>
      <c r="B9" s="13" t="s">
        <v>25</v>
      </c>
      <c r="C9" s="13">
        <v>0.31360000000000005</v>
      </c>
      <c r="D9" s="13">
        <v>0.17640000000000003</v>
      </c>
      <c r="E9" s="13">
        <v>0.1225</v>
      </c>
      <c r="F9" s="13" t="s">
        <v>25</v>
      </c>
      <c r="G9" s="13" t="s">
        <v>25</v>
      </c>
      <c r="H9" s="13">
        <v>1.96</v>
      </c>
      <c r="I9" s="13">
        <v>1.1448999999999998</v>
      </c>
      <c r="J9" s="13">
        <v>0.09</v>
      </c>
      <c r="K9" s="13">
        <v>5.2899999999999996E-2</v>
      </c>
      <c r="L9" s="13">
        <v>0.22090000000000001</v>
      </c>
      <c r="M9" s="13">
        <v>0.19359999999999997</v>
      </c>
      <c r="N9" s="13">
        <v>2.1315999999999997</v>
      </c>
      <c r="O9" s="13">
        <v>0.23039999999999999</v>
      </c>
      <c r="P9" s="13">
        <v>0</v>
      </c>
      <c r="Q9" s="13">
        <v>4.4520999999999997</v>
      </c>
      <c r="R9" s="13">
        <v>7.3984000000000005</v>
      </c>
    </row>
    <row r="10" spans="1:18" x14ac:dyDescent="0.25">
      <c r="A10" s="12" t="s">
        <v>26</v>
      </c>
      <c r="B10" s="13">
        <v>1.5876000000000001</v>
      </c>
      <c r="C10" s="13">
        <v>0.16810000000000003</v>
      </c>
      <c r="D10" s="13">
        <v>0</v>
      </c>
      <c r="E10" s="13">
        <v>1.3225</v>
      </c>
      <c r="F10" s="13">
        <v>2.3104</v>
      </c>
      <c r="G10" s="13">
        <v>1.9044000000000001</v>
      </c>
      <c r="H10" s="13">
        <v>1.1663999999999999</v>
      </c>
      <c r="I10" s="13">
        <v>8.4680999999999997</v>
      </c>
      <c r="J10" s="13">
        <v>0.5776</v>
      </c>
      <c r="K10" s="13">
        <v>7.2361000000000004</v>
      </c>
      <c r="L10" s="13">
        <v>0</v>
      </c>
      <c r="M10" s="13">
        <v>0</v>
      </c>
      <c r="N10" s="13">
        <v>0.26009999999999994</v>
      </c>
      <c r="O10" s="13">
        <v>0</v>
      </c>
      <c r="P10" s="13">
        <v>0.16810000000000003</v>
      </c>
      <c r="Q10" s="13">
        <v>1.96</v>
      </c>
      <c r="R10" s="13">
        <v>14.976900000000001</v>
      </c>
    </row>
    <row r="11" spans="1:18" x14ac:dyDescent="0.25">
      <c r="A11" s="12" t="s">
        <v>27</v>
      </c>
      <c r="B11" s="13">
        <v>0.20250000000000001</v>
      </c>
      <c r="C11" s="13">
        <v>0.60840000000000005</v>
      </c>
      <c r="D11" s="13">
        <v>0</v>
      </c>
      <c r="E11" s="13">
        <v>0</v>
      </c>
      <c r="F11" s="13">
        <v>7.1289000000000007</v>
      </c>
      <c r="G11" s="13">
        <v>1.7956000000000003</v>
      </c>
      <c r="H11" s="13">
        <v>4.0401000000000007</v>
      </c>
      <c r="I11" s="13">
        <v>1.7161000000000002</v>
      </c>
      <c r="J11" s="13">
        <v>0.50409999999999999</v>
      </c>
      <c r="K11" s="13">
        <v>0.44890000000000008</v>
      </c>
      <c r="L11" s="13">
        <v>1.0609</v>
      </c>
      <c r="M11" s="13">
        <v>0.33640000000000003</v>
      </c>
      <c r="N11" s="13">
        <v>2.9583999999999997</v>
      </c>
      <c r="O11" s="13">
        <v>0.25</v>
      </c>
      <c r="P11" s="13">
        <v>5.7599999999999998E-2</v>
      </c>
      <c r="Q11" s="13">
        <v>0.40959999999999996</v>
      </c>
      <c r="R11" s="13">
        <v>9.3025000000000002</v>
      </c>
    </row>
    <row r="12" spans="1:18" x14ac:dyDescent="0.25">
      <c r="A12" s="12" t="s">
        <v>28</v>
      </c>
      <c r="B12" s="13">
        <v>0.47610000000000002</v>
      </c>
      <c r="C12" s="13">
        <v>0.30249999999999999</v>
      </c>
      <c r="D12" s="13">
        <v>0</v>
      </c>
      <c r="E12" s="13">
        <v>0.1444</v>
      </c>
      <c r="F12" s="13">
        <v>8.9400999999999993</v>
      </c>
      <c r="G12" s="13">
        <v>5.4756000000000009</v>
      </c>
      <c r="H12" s="13">
        <v>0.43560000000000004</v>
      </c>
      <c r="I12" s="13">
        <v>7.8400000000000011E-2</v>
      </c>
      <c r="J12" s="13">
        <v>0</v>
      </c>
      <c r="K12" s="13">
        <v>0</v>
      </c>
      <c r="L12" s="13">
        <v>0.28089999999999998</v>
      </c>
      <c r="M12" s="13">
        <v>0.13689999999999997</v>
      </c>
      <c r="N12" s="13">
        <v>1.3923999999999999</v>
      </c>
      <c r="O12" s="13">
        <v>0.15210000000000001</v>
      </c>
      <c r="P12" s="13">
        <v>0.09</v>
      </c>
      <c r="Q12" s="13">
        <v>1.4641</v>
      </c>
      <c r="R12" s="13">
        <v>5.5225</v>
      </c>
    </row>
    <row r="13" spans="1:18" x14ac:dyDescent="0.25">
      <c r="A13" s="12" t="s">
        <v>29</v>
      </c>
      <c r="B13" s="13" t="s">
        <v>25</v>
      </c>
      <c r="C13" s="13" t="s">
        <v>30</v>
      </c>
      <c r="D13" s="13" t="s">
        <v>30</v>
      </c>
      <c r="E13" s="13" t="s">
        <v>30</v>
      </c>
      <c r="F13" s="13" t="s">
        <v>25</v>
      </c>
      <c r="G13" s="13" t="s">
        <v>25</v>
      </c>
      <c r="H13" s="13">
        <v>1.6</v>
      </c>
      <c r="I13" s="13" t="s">
        <v>30</v>
      </c>
      <c r="J13" s="13" t="s">
        <v>30</v>
      </c>
      <c r="K13" s="13" t="s">
        <v>30</v>
      </c>
      <c r="L13" s="13" t="s">
        <v>30</v>
      </c>
      <c r="M13" s="13" t="s">
        <v>30</v>
      </c>
      <c r="N13" s="13">
        <v>0.1</v>
      </c>
      <c r="O13" s="13" t="s">
        <v>30</v>
      </c>
      <c r="P13" s="13" t="s">
        <v>30</v>
      </c>
      <c r="Q13" s="13">
        <v>9</v>
      </c>
      <c r="R13" s="13">
        <v>12.8</v>
      </c>
    </row>
    <row r="14" spans="1:18" x14ac:dyDescent="0.25">
      <c r="A14" s="12" t="s">
        <v>31</v>
      </c>
      <c r="B14" s="13">
        <v>0</v>
      </c>
      <c r="C14" s="13">
        <v>1.1448999999999998</v>
      </c>
      <c r="D14" s="13">
        <v>0</v>
      </c>
      <c r="E14" s="13">
        <v>4.6224999999999996</v>
      </c>
      <c r="F14" s="13">
        <v>0.5776</v>
      </c>
      <c r="G14" s="13">
        <v>1.7161000000000002</v>
      </c>
      <c r="H14" s="13">
        <v>0.50409999999999999</v>
      </c>
      <c r="I14" s="13">
        <v>12.25</v>
      </c>
      <c r="J14" s="13">
        <v>2.8561000000000005</v>
      </c>
      <c r="K14" s="13">
        <v>11.9025</v>
      </c>
      <c r="L14" s="13">
        <v>1.4641</v>
      </c>
      <c r="M14" s="13">
        <v>1.21</v>
      </c>
      <c r="N14" s="13">
        <v>7.8400000000000011E-2</v>
      </c>
      <c r="O14" s="13">
        <v>4.0804000000000009</v>
      </c>
      <c r="P14" s="13">
        <v>1.1880999999999999</v>
      </c>
      <c r="Q14" s="13">
        <v>0.94090000000000007</v>
      </c>
      <c r="R14" s="13">
        <v>15.840400000000002</v>
      </c>
    </row>
    <row r="15" spans="1:18" x14ac:dyDescent="0.25">
      <c r="A15" s="12" t="s">
        <v>32</v>
      </c>
      <c r="B15" s="13" t="s">
        <v>25</v>
      </c>
      <c r="C15" s="13">
        <v>0.88360000000000005</v>
      </c>
      <c r="D15" s="13">
        <v>9.6099999999999991E-2</v>
      </c>
      <c r="E15" s="13">
        <v>3.9204000000000003</v>
      </c>
      <c r="F15" s="13" t="s">
        <v>25</v>
      </c>
      <c r="G15" s="13" t="s">
        <v>25</v>
      </c>
      <c r="H15" s="13">
        <v>0.90249999999999997</v>
      </c>
      <c r="I15" s="13">
        <v>0</v>
      </c>
      <c r="J15" s="13">
        <v>6.25E-2</v>
      </c>
      <c r="K15" s="13">
        <v>0.16810000000000003</v>
      </c>
      <c r="L15" s="13">
        <v>0</v>
      </c>
      <c r="M15" s="13">
        <v>0.11560000000000001</v>
      </c>
      <c r="N15" s="13">
        <v>0</v>
      </c>
      <c r="O15" s="13">
        <v>0.67240000000000011</v>
      </c>
      <c r="P15" s="13">
        <v>1.21</v>
      </c>
      <c r="Q15" s="13">
        <v>15.21</v>
      </c>
      <c r="R15" s="13">
        <v>10.3041</v>
      </c>
    </row>
    <row r="16" spans="1:18" x14ac:dyDescent="0.25">
      <c r="A16" s="12" t="s">
        <v>33</v>
      </c>
      <c r="B16" s="13">
        <v>2.1315999999999997</v>
      </c>
      <c r="C16" s="13">
        <v>2.7225000000000001</v>
      </c>
      <c r="D16" s="13">
        <v>0.42249999999999999</v>
      </c>
      <c r="E16" s="13">
        <v>3.5721000000000003</v>
      </c>
      <c r="F16" s="13">
        <v>2.6896000000000004</v>
      </c>
      <c r="G16" s="13">
        <v>2.25</v>
      </c>
      <c r="H16" s="13">
        <v>1.69</v>
      </c>
      <c r="I16" s="13">
        <v>13.4689</v>
      </c>
      <c r="J16" s="13">
        <v>7.8400000000000011E-2</v>
      </c>
      <c r="K16" s="13">
        <v>1.4641</v>
      </c>
      <c r="L16" s="13">
        <v>5.2899999999999996E-2</v>
      </c>
      <c r="M16" s="13">
        <v>1.3225</v>
      </c>
      <c r="N16" s="13">
        <v>1</v>
      </c>
      <c r="O16" s="13">
        <v>0.96040000000000014</v>
      </c>
      <c r="P16" s="13">
        <v>0.94090000000000007</v>
      </c>
      <c r="Q16" s="13">
        <v>7.7841000000000022</v>
      </c>
      <c r="R16" s="13">
        <v>16.809999999999999</v>
      </c>
    </row>
    <row r="17" spans="1:18" x14ac:dyDescent="0.25">
      <c r="A17" s="12" t="s">
        <v>34</v>
      </c>
      <c r="B17" s="13">
        <v>0</v>
      </c>
      <c r="C17" s="13">
        <v>8.4100000000000008E-2</v>
      </c>
      <c r="D17" s="13">
        <v>0</v>
      </c>
      <c r="E17" s="13">
        <v>0</v>
      </c>
      <c r="F17" s="13">
        <v>11.088900000000002</v>
      </c>
      <c r="G17" s="13">
        <v>4.3681000000000001</v>
      </c>
      <c r="H17" s="13">
        <v>1.5128999999999999</v>
      </c>
      <c r="I17" s="13">
        <v>0.44890000000000008</v>
      </c>
      <c r="J17" s="13">
        <v>0</v>
      </c>
      <c r="K17" s="13">
        <v>0.31360000000000005</v>
      </c>
      <c r="L17" s="13">
        <v>0.77439999999999987</v>
      </c>
      <c r="M17" s="13">
        <v>0.39690000000000003</v>
      </c>
      <c r="N17" s="13">
        <v>3.4224999999999999</v>
      </c>
      <c r="O17" s="13">
        <v>0.32490000000000002</v>
      </c>
      <c r="P17" s="13">
        <v>0</v>
      </c>
      <c r="Q17" s="13">
        <v>0.16</v>
      </c>
      <c r="R17" s="13">
        <v>4.6655999999999995</v>
      </c>
    </row>
    <row r="18" spans="1:18" x14ac:dyDescent="0.25">
      <c r="A18" s="12" t="s">
        <v>35</v>
      </c>
      <c r="B18" s="13">
        <v>0.42249999999999999</v>
      </c>
      <c r="C18" s="13">
        <v>0.64</v>
      </c>
      <c r="D18" s="13">
        <v>1.9044000000000001</v>
      </c>
      <c r="E18" s="13">
        <v>6.25E-2</v>
      </c>
      <c r="F18" s="13">
        <v>2.7225000000000001</v>
      </c>
      <c r="G18" s="13">
        <v>0.15210000000000001</v>
      </c>
      <c r="H18" s="13">
        <v>1.1025</v>
      </c>
      <c r="I18" s="13">
        <v>3.3124000000000002</v>
      </c>
      <c r="J18" s="13">
        <v>0</v>
      </c>
      <c r="K18" s="13">
        <v>8.4100000000000008E-2</v>
      </c>
      <c r="L18" s="13">
        <v>0</v>
      </c>
      <c r="M18" s="13">
        <v>0</v>
      </c>
      <c r="N18" s="13">
        <v>1.3923999999999999</v>
      </c>
      <c r="O18" s="13">
        <v>0</v>
      </c>
      <c r="P18" s="13">
        <v>0.19359999999999997</v>
      </c>
      <c r="Q18" s="13">
        <v>2.1903999999999995</v>
      </c>
      <c r="R18" s="13">
        <v>9.8596000000000004</v>
      </c>
    </row>
    <row r="19" spans="1:18" x14ac:dyDescent="0.25">
      <c r="A19" s="12" t="s">
        <v>36</v>
      </c>
      <c r="B19" s="13">
        <v>2.4024999999999999</v>
      </c>
      <c r="C19" s="13">
        <v>0.13689999999999997</v>
      </c>
      <c r="D19" s="13">
        <v>0.09</v>
      </c>
      <c r="E19" s="13" t="s">
        <v>25</v>
      </c>
      <c r="F19" s="13">
        <v>2.1903999999999995</v>
      </c>
      <c r="G19" s="13">
        <v>1.5375999999999999</v>
      </c>
      <c r="H19" s="13">
        <v>0.53289999999999993</v>
      </c>
      <c r="I19" s="13">
        <v>13.3225</v>
      </c>
      <c r="J19" s="13">
        <v>0.19359999999999997</v>
      </c>
      <c r="K19" s="13">
        <v>8.4100000000000008E-2</v>
      </c>
      <c r="L19" s="13">
        <v>1.1663999999999999</v>
      </c>
      <c r="M19" s="13">
        <v>0.77439999999999987</v>
      </c>
      <c r="N19" s="13">
        <v>0.20250000000000001</v>
      </c>
      <c r="O19" s="13">
        <v>1.5876000000000001</v>
      </c>
      <c r="P19" s="13">
        <v>0.51839999999999997</v>
      </c>
      <c r="Q19" s="13">
        <v>6.9696000000000007</v>
      </c>
      <c r="R19" s="13">
        <v>8.0655999999999999</v>
      </c>
    </row>
    <row r="20" spans="1:18" x14ac:dyDescent="0.25">
      <c r="A20" s="12" t="s">
        <v>37</v>
      </c>
      <c r="B20" s="13" t="s">
        <v>25</v>
      </c>
      <c r="C20" s="13">
        <v>7.5076000000000018</v>
      </c>
      <c r="D20" s="13">
        <v>0</v>
      </c>
      <c r="E20" s="13">
        <v>4.8841000000000001</v>
      </c>
      <c r="F20" s="13" t="s">
        <v>25</v>
      </c>
      <c r="G20" s="13" t="s">
        <v>25</v>
      </c>
      <c r="H20" s="13">
        <v>6.25</v>
      </c>
      <c r="I20" s="13">
        <v>16</v>
      </c>
      <c r="J20" s="13">
        <v>1.2769000000000001</v>
      </c>
      <c r="K20" s="13">
        <v>2.1315999999999997</v>
      </c>
      <c r="L20" s="13">
        <v>0.60840000000000005</v>
      </c>
      <c r="M20" s="13">
        <v>4</v>
      </c>
      <c r="N20" s="13">
        <v>3.8416000000000006</v>
      </c>
      <c r="O20" s="13">
        <v>1.8769000000000005</v>
      </c>
      <c r="P20" s="13">
        <v>0.22090000000000001</v>
      </c>
      <c r="Q20" s="13">
        <v>6.5025000000000004</v>
      </c>
      <c r="R20" s="13">
        <v>0.70560000000000012</v>
      </c>
    </row>
    <row r="21" spans="1:18" x14ac:dyDescent="0.25">
      <c r="A21" s="12" t="s">
        <v>38</v>
      </c>
      <c r="B21" s="13">
        <v>0.77439999999999987</v>
      </c>
      <c r="C21" s="13">
        <v>2.4024999999999999</v>
      </c>
      <c r="D21" s="13">
        <v>0</v>
      </c>
      <c r="E21" s="13">
        <v>1.0403999999999998</v>
      </c>
      <c r="F21" s="13">
        <v>4.2435999999999998</v>
      </c>
      <c r="G21" s="13">
        <v>4.5369000000000002</v>
      </c>
      <c r="H21" s="13">
        <v>9</v>
      </c>
      <c r="I21" s="13">
        <v>10.24</v>
      </c>
      <c r="J21" s="13">
        <v>6.7599999999999993E-2</v>
      </c>
      <c r="K21" s="13">
        <v>0.92159999999999997</v>
      </c>
      <c r="L21" s="13">
        <v>0.51839999999999997</v>
      </c>
      <c r="M21" s="13">
        <v>1.2996000000000001</v>
      </c>
      <c r="N21" s="13">
        <v>0.88360000000000005</v>
      </c>
      <c r="O21" s="13">
        <v>0</v>
      </c>
      <c r="P21" s="13">
        <v>0.16810000000000003</v>
      </c>
      <c r="Q21" s="13">
        <v>6.1503999999999994</v>
      </c>
      <c r="R21" s="13">
        <v>3.5344000000000002</v>
      </c>
    </row>
    <row r="22" spans="1:18" x14ac:dyDescent="0.25">
      <c r="A22" s="12" t="s">
        <v>39</v>
      </c>
      <c r="B22" s="13">
        <v>0.10239999999999999</v>
      </c>
      <c r="C22" s="13">
        <v>4</v>
      </c>
      <c r="D22" s="13" t="s">
        <v>25</v>
      </c>
      <c r="E22" s="13">
        <v>6.8644000000000007</v>
      </c>
      <c r="F22" s="13">
        <v>0</v>
      </c>
      <c r="G22" s="13">
        <v>1.2769000000000001</v>
      </c>
      <c r="H22" s="13">
        <v>1.3456000000000001</v>
      </c>
      <c r="I22" s="13">
        <v>0.5776</v>
      </c>
      <c r="J22" s="13" t="s">
        <v>25</v>
      </c>
      <c r="K22" s="13">
        <v>0.22090000000000001</v>
      </c>
      <c r="L22" s="13">
        <v>0.34809999999999997</v>
      </c>
      <c r="M22" s="13">
        <v>0.47610000000000002</v>
      </c>
      <c r="N22" s="13">
        <v>0.1225</v>
      </c>
      <c r="O22" s="13">
        <v>2.4964</v>
      </c>
      <c r="P22" s="13">
        <v>6.3001000000000005</v>
      </c>
      <c r="Q22" s="13">
        <v>6.25E-2</v>
      </c>
      <c r="R22" s="13">
        <v>16.240900000000003</v>
      </c>
    </row>
    <row r="23" spans="1:18" x14ac:dyDescent="0.25">
      <c r="A23" s="12" t="s">
        <v>40</v>
      </c>
      <c r="B23" s="13">
        <v>0</v>
      </c>
      <c r="C23" s="13">
        <v>0.49</v>
      </c>
      <c r="D23" s="13">
        <v>8.1795999999999971</v>
      </c>
      <c r="E23" s="13">
        <v>6.76</v>
      </c>
      <c r="F23" s="13">
        <v>0.29159999999999997</v>
      </c>
      <c r="G23" s="13">
        <v>5.7599999999999998E-2</v>
      </c>
      <c r="H23" s="13">
        <v>3.3855999999999997</v>
      </c>
      <c r="I23" s="13">
        <v>0.33640000000000003</v>
      </c>
      <c r="J23" s="13">
        <v>0.1444</v>
      </c>
      <c r="K23" s="13">
        <v>0.23039999999999999</v>
      </c>
      <c r="L23" s="13">
        <v>6.25E-2</v>
      </c>
      <c r="M23" s="13">
        <v>0</v>
      </c>
      <c r="N23" s="13">
        <v>9.6099999999999991E-2</v>
      </c>
      <c r="O23" s="13">
        <v>13.0321</v>
      </c>
      <c r="P23" s="13">
        <v>4.9283999999999999</v>
      </c>
      <c r="Q23" s="13">
        <v>1.4160999999999999</v>
      </c>
      <c r="R23" s="13">
        <v>14.899600000000001</v>
      </c>
    </row>
    <row r="24" spans="1:18" x14ac:dyDescent="0.25">
      <c r="A24" s="12" t="s">
        <v>41</v>
      </c>
      <c r="B24" s="13">
        <v>1.2544000000000002</v>
      </c>
      <c r="C24" s="13">
        <v>1.1448999999999998</v>
      </c>
      <c r="D24" s="13">
        <v>0.28089999999999998</v>
      </c>
      <c r="E24" s="13">
        <v>0.32490000000000002</v>
      </c>
      <c r="F24" s="13">
        <v>4.2848999999999995</v>
      </c>
      <c r="G24" s="13">
        <v>0.24010000000000004</v>
      </c>
      <c r="H24" s="13">
        <v>1.69</v>
      </c>
      <c r="I24" s="13">
        <v>3.4969000000000001</v>
      </c>
      <c r="J24" s="13">
        <v>0.28089999999999998</v>
      </c>
      <c r="K24" s="13">
        <v>1.3456000000000001</v>
      </c>
      <c r="L24" s="13">
        <v>0.22090000000000001</v>
      </c>
      <c r="M24" s="13">
        <v>1.8496000000000001</v>
      </c>
      <c r="N24" s="13">
        <v>1.5375999999999999</v>
      </c>
      <c r="O24" s="13">
        <v>1.0815999999999999</v>
      </c>
      <c r="P24" s="13">
        <v>5.2899999999999996E-2</v>
      </c>
      <c r="Q24" s="13">
        <v>3.3124000000000002</v>
      </c>
      <c r="R24" s="13">
        <v>9.7344000000000008</v>
      </c>
    </row>
    <row r="25" spans="1:18" x14ac:dyDescent="0.25">
      <c r="A25" s="12" t="s">
        <v>42</v>
      </c>
      <c r="B25" s="13">
        <v>6.7599999999999993E-2</v>
      </c>
      <c r="C25" s="13">
        <v>0</v>
      </c>
      <c r="D25" s="13" t="s">
        <v>25</v>
      </c>
      <c r="E25" s="13">
        <v>0</v>
      </c>
      <c r="F25" s="13">
        <v>9.1204000000000001</v>
      </c>
      <c r="G25" s="13">
        <v>5.0625</v>
      </c>
      <c r="H25" s="13">
        <v>2.4024999999999999</v>
      </c>
      <c r="I25" s="13">
        <v>0.13689999999999997</v>
      </c>
      <c r="J25" s="13" t="s">
        <v>25</v>
      </c>
      <c r="K25" s="13">
        <v>0.15210000000000001</v>
      </c>
      <c r="L25" s="13">
        <v>1.7689000000000004</v>
      </c>
      <c r="M25" s="13">
        <v>0.16810000000000003</v>
      </c>
      <c r="N25" s="13">
        <v>3.0975999999999995</v>
      </c>
      <c r="O25" s="13">
        <v>0.39690000000000003</v>
      </c>
      <c r="P25" s="13">
        <v>0</v>
      </c>
      <c r="Q25" s="13">
        <v>1.9044000000000001</v>
      </c>
      <c r="R25" s="13">
        <v>7.5625</v>
      </c>
    </row>
    <row r="26" spans="1:18" x14ac:dyDescent="0.25">
      <c r="A26" s="12" t="s">
        <v>43</v>
      </c>
      <c r="B26" s="13" t="s">
        <v>25</v>
      </c>
      <c r="C26" s="13">
        <v>6.4516</v>
      </c>
      <c r="D26" s="13" t="s">
        <v>25</v>
      </c>
      <c r="E26" s="13">
        <v>7.2899999999999993E-2</v>
      </c>
      <c r="F26" s="13" t="s">
        <v>25</v>
      </c>
      <c r="G26" s="13" t="s">
        <v>25</v>
      </c>
      <c r="H26" s="13">
        <v>2.3715999999999999</v>
      </c>
      <c r="I26" s="13">
        <v>16.728099999999998</v>
      </c>
      <c r="J26" s="13" t="s">
        <v>25</v>
      </c>
      <c r="K26" s="13">
        <v>0.5776</v>
      </c>
      <c r="L26" s="13">
        <v>0.73959999999999992</v>
      </c>
      <c r="M26" s="13">
        <v>1.2769000000000001</v>
      </c>
      <c r="N26" s="13">
        <v>0.19359999999999997</v>
      </c>
      <c r="O26" s="13">
        <v>0.62409999999999999</v>
      </c>
      <c r="P26" s="13">
        <v>2.9928999999999997</v>
      </c>
      <c r="Q26" s="13">
        <v>8.8209</v>
      </c>
      <c r="R26" s="13">
        <v>12.390399999999998</v>
      </c>
    </row>
    <row r="27" spans="1:18" x14ac:dyDescent="0.25">
      <c r="A27" s="12" t="s">
        <v>44</v>
      </c>
      <c r="B27" s="13">
        <v>0</v>
      </c>
      <c r="C27" s="13">
        <v>0.81</v>
      </c>
      <c r="D27" s="13">
        <v>0.96040000000000014</v>
      </c>
      <c r="E27" s="13">
        <v>2.0164</v>
      </c>
      <c r="F27" s="13">
        <v>1.69</v>
      </c>
      <c r="G27" s="13">
        <v>1.0201000000000002</v>
      </c>
      <c r="H27" s="13">
        <v>4.5795999999999992</v>
      </c>
      <c r="I27" s="13">
        <v>1.3456000000000001</v>
      </c>
      <c r="J27" s="13">
        <v>0.10239999999999999</v>
      </c>
      <c r="K27" s="13">
        <v>0</v>
      </c>
      <c r="L27" s="13">
        <v>0</v>
      </c>
      <c r="M27" s="13">
        <v>0.39690000000000003</v>
      </c>
      <c r="N27" s="13">
        <v>0.30249999999999999</v>
      </c>
      <c r="O27" s="13">
        <v>0.28089999999999998</v>
      </c>
      <c r="P27" s="13">
        <v>2.4024999999999999</v>
      </c>
      <c r="Q27" s="13">
        <v>1.5876000000000001</v>
      </c>
      <c r="R27" s="13">
        <v>15.444900000000001</v>
      </c>
    </row>
    <row r="28" spans="1:18" x14ac:dyDescent="0.25">
      <c r="A28" s="12" t="s">
        <v>45</v>
      </c>
      <c r="B28" s="13" t="s">
        <v>25</v>
      </c>
      <c r="C28" s="13">
        <v>2.89</v>
      </c>
      <c r="D28" s="13">
        <v>4.0804000000000009</v>
      </c>
      <c r="E28" s="13">
        <v>0.21159999999999998</v>
      </c>
      <c r="F28" s="13" t="s">
        <v>25</v>
      </c>
      <c r="G28" s="13" t="s">
        <v>25</v>
      </c>
      <c r="H28" s="13">
        <v>1.69</v>
      </c>
      <c r="I28" s="13">
        <v>4.84</v>
      </c>
      <c r="J28" s="13">
        <v>1.8496000000000001</v>
      </c>
      <c r="K28" s="13">
        <v>6.7599999999999993E-2</v>
      </c>
      <c r="L28" s="13">
        <v>0.10239999999999999</v>
      </c>
      <c r="M28" s="13">
        <v>1.2996000000000001</v>
      </c>
      <c r="N28" s="13">
        <v>0.5625</v>
      </c>
      <c r="O28" s="13">
        <v>1.5876000000000001</v>
      </c>
      <c r="P28" s="13">
        <v>1.2769000000000001</v>
      </c>
      <c r="Q28" s="13">
        <v>8.8209</v>
      </c>
      <c r="R28" s="13">
        <v>10.1761</v>
      </c>
    </row>
    <row r="29" spans="1:18" x14ac:dyDescent="0.25">
      <c r="A29" s="12" t="s">
        <v>46</v>
      </c>
      <c r="B29" s="13">
        <v>0.64</v>
      </c>
      <c r="C29" s="13">
        <v>0.38439999999999996</v>
      </c>
      <c r="D29" s="13">
        <v>0</v>
      </c>
      <c r="E29" s="13">
        <v>7.8400000000000011E-2</v>
      </c>
      <c r="F29" s="13">
        <v>5.336100000000001</v>
      </c>
      <c r="G29" s="13">
        <v>1.9044000000000001</v>
      </c>
      <c r="H29" s="13">
        <v>0.30249999999999999</v>
      </c>
      <c r="I29" s="13">
        <v>1.3689000000000002</v>
      </c>
      <c r="J29" s="13">
        <v>0.34809999999999997</v>
      </c>
      <c r="K29" s="13">
        <v>0.70560000000000012</v>
      </c>
      <c r="L29" s="13">
        <v>0.37209999999999999</v>
      </c>
      <c r="M29" s="13">
        <v>0.11560000000000001</v>
      </c>
      <c r="N29" s="13">
        <v>1.7424000000000002</v>
      </c>
      <c r="O29" s="13">
        <v>0.43560000000000004</v>
      </c>
      <c r="P29" s="13">
        <v>0.36</v>
      </c>
      <c r="Q29" s="13">
        <v>0</v>
      </c>
      <c r="R29" s="13">
        <v>8.7615999999999978</v>
      </c>
    </row>
    <row r="30" spans="1:18" x14ac:dyDescent="0.25">
      <c r="A30" s="12" t="s">
        <v>47</v>
      </c>
      <c r="B30" s="13">
        <v>0</v>
      </c>
      <c r="C30" s="13">
        <v>0.15210000000000001</v>
      </c>
      <c r="D30" s="13">
        <v>0</v>
      </c>
      <c r="E30" s="13">
        <v>2.4336000000000002</v>
      </c>
      <c r="F30" s="13">
        <v>0</v>
      </c>
      <c r="G30" s="13">
        <v>0</v>
      </c>
      <c r="H30" s="13">
        <v>1.6129</v>
      </c>
      <c r="I30" s="13">
        <v>2.4336000000000002</v>
      </c>
      <c r="J30" s="13">
        <v>0.1444</v>
      </c>
      <c r="K30" s="13">
        <v>1.96</v>
      </c>
      <c r="L30" s="13">
        <v>1.6129</v>
      </c>
      <c r="M30" s="13">
        <v>0.10890000000000001</v>
      </c>
      <c r="N30" s="13">
        <v>0.10239999999999999</v>
      </c>
      <c r="O30" s="13">
        <v>0.54759999999999986</v>
      </c>
      <c r="P30" s="13">
        <v>0.75689999999999991</v>
      </c>
      <c r="Q30" s="13">
        <v>7.8400000000000011E-2</v>
      </c>
      <c r="R30" s="13">
        <v>15.920100000000001</v>
      </c>
    </row>
    <row r="31" spans="1:18" x14ac:dyDescent="0.25">
      <c r="A31" s="12" t="s">
        <v>48</v>
      </c>
      <c r="B31" s="13" t="s">
        <v>25</v>
      </c>
      <c r="C31" s="13">
        <v>2.7889000000000004</v>
      </c>
      <c r="D31" s="13">
        <v>0.47610000000000002</v>
      </c>
      <c r="E31" s="13">
        <v>4.5369000000000002</v>
      </c>
      <c r="F31" s="13" t="s">
        <v>25</v>
      </c>
      <c r="G31" s="13" t="s">
        <v>25</v>
      </c>
      <c r="H31" s="13">
        <v>1.9321000000000006</v>
      </c>
      <c r="I31" s="13">
        <v>11.764900000000003</v>
      </c>
      <c r="J31" s="13">
        <v>0.20250000000000001</v>
      </c>
      <c r="K31" s="13">
        <v>3.7636000000000003</v>
      </c>
      <c r="L31" s="13">
        <v>0.42249999999999999</v>
      </c>
      <c r="M31" s="13">
        <v>4.9283999999999999</v>
      </c>
      <c r="N31" s="13">
        <v>2.8561000000000005</v>
      </c>
      <c r="O31" s="13">
        <v>2.8224000000000005</v>
      </c>
      <c r="P31" s="13">
        <v>0.79209999999999992</v>
      </c>
      <c r="Q31" s="13">
        <v>7.8961000000000015</v>
      </c>
      <c r="R31" s="13">
        <v>14.7456</v>
      </c>
    </row>
    <row r="32" spans="1:18" x14ac:dyDescent="0.25">
      <c r="A32" s="12" t="s">
        <v>49</v>
      </c>
      <c r="B32" s="13">
        <v>0</v>
      </c>
      <c r="C32" s="13">
        <v>1.4160999999999999</v>
      </c>
      <c r="D32" s="13">
        <v>0.42249999999999999</v>
      </c>
      <c r="E32" s="13">
        <v>0.1225</v>
      </c>
      <c r="F32" s="13">
        <v>3.5721000000000003</v>
      </c>
      <c r="G32" s="13">
        <v>1.96</v>
      </c>
      <c r="H32" s="13">
        <v>1.8225</v>
      </c>
      <c r="I32" s="13">
        <v>1.2996000000000001</v>
      </c>
      <c r="J32" s="13">
        <v>0.46240000000000003</v>
      </c>
      <c r="K32" s="13">
        <v>1.4641</v>
      </c>
      <c r="L32" s="13">
        <v>0.51839999999999997</v>
      </c>
      <c r="M32" s="13">
        <v>1.1025</v>
      </c>
      <c r="N32" s="13">
        <v>3.4596</v>
      </c>
      <c r="O32" s="13">
        <v>0</v>
      </c>
      <c r="P32" s="13">
        <v>0</v>
      </c>
      <c r="Q32" s="13">
        <v>7.6176000000000004</v>
      </c>
      <c r="R32" s="13">
        <v>11.289600000000002</v>
      </c>
    </row>
    <row r="33" spans="1:18" ht="13" x14ac:dyDescent="0.3">
      <c r="A33" s="14" t="s">
        <v>50</v>
      </c>
      <c r="B33" s="15">
        <f t="shared" ref="B33:Q33" si="0">AVERAGE(B6:B32)</f>
        <v>0.67578500000000008</v>
      </c>
      <c r="C33" s="15">
        <f t="shared" si="0"/>
        <v>1.8722384615384615</v>
      </c>
      <c r="D33" s="15">
        <f t="shared" si="0"/>
        <v>0.88963478260869555</v>
      </c>
      <c r="E33" s="15">
        <f t="shared" si="0"/>
        <v>2.2810799999999998</v>
      </c>
      <c r="F33" s="15">
        <f t="shared" si="0"/>
        <v>3.4790049999999999</v>
      </c>
      <c r="G33" s="15">
        <f t="shared" si="0"/>
        <v>1.9309850000000004</v>
      </c>
      <c r="H33" s="15">
        <f t="shared" si="0"/>
        <v>2.1833814814814811</v>
      </c>
      <c r="I33" s="15">
        <f t="shared" si="0"/>
        <v>5.7649769230769241</v>
      </c>
      <c r="J33" s="15">
        <f t="shared" si="0"/>
        <v>0.58634782608695668</v>
      </c>
      <c r="K33" s="15">
        <f t="shared" si="0"/>
        <v>1.7058769230769226</v>
      </c>
      <c r="L33" s="15">
        <f t="shared" si="0"/>
        <v>0.49984999999999996</v>
      </c>
      <c r="M33" s="15">
        <f t="shared" si="0"/>
        <v>1.1619653846153846</v>
      </c>
      <c r="N33" s="15">
        <f t="shared" si="0"/>
        <v>1.2757074074074073</v>
      </c>
      <c r="O33" s="15">
        <f t="shared" si="0"/>
        <v>1.3489423076923079</v>
      </c>
      <c r="P33" s="15">
        <f t="shared" si="0"/>
        <v>1.0027115384615386</v>
      </c>
      <c r="Q33" s="15">
        <f t="shared" si="0"/>
        <v>4.4589222222222213</v>
      </c>
      <c r="R33" s="15">
        <v>10.818055555555556</v>
      </c>
    </row>
    <row r="34" spans="1:18" ht="13" x14ac:dyDescent="0.3">
      <c r="A34" s="16" t="s">
        <v>51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 x14ac:dyDescent="0.25">
      <c r="A35" s="12" t="s">
        <v>52</v>
      </c>
      <c r="B35" s="13">
        <v>2.2201</v>
      </c>
      <c r="C35" s="13">
        <v>0.65610000000000002</v>
      </c>
      <c r="D35" s="13">
        <v>10.368400000000001</v>
      </c>
      <c r="E35" s="13">
        <v>4.3263999999999996</v>
      </c>
      <c r="F35" s="13">
        <v>1.0201000000000002</v>
      </c>
      <c r="G35" s="13">
        <v>0.29159999999999997</v>
      </c>
      <c r="H35" s="13">
        <v>2.9241000000000001</v>
      </c>
      <c r="I35" s="13">
        <v>2.8561000000000005</v>
      </c>
      <c r="J35" s="13">
        <v>6.7599999999999993E-2</v>
      </c>
      <c r="K35" s="13">
        <v>0.47610000000000002</v>
      </c>
      <c r="L35" s="13">
        <v>0.26009999999999994</v>
      </c>
      <c r="M35" s="13">
        <v>0.81</v>
      </c>
      <c r="N35" s="13">
        <v>9.6099999999999991E-2</v>
      </c>
      <c r="O35" s="13">
        <v>3.1328999999999994</v>
      </c>
      <c r="P35" s="13">
        <v>1.21</v>
      </c>
      <c r="Q35" s="13">
        <v>2.6244000000000001</v>
      </c>
      <c r="R35" s="13">
        <v>10.368400000000001</v>
      </c>
    </row>
    <row r="36" spans="1:18" x14ac:dyDescent="0.25">
      <c r="A36" s="12" t="s">
        <v>53</v>
      </c>
      <c r="B36" s="13">
        <v>0.70560000000000012</v>
      </c>
      <c r="C36" s="13">
        <v>0.27039999999999997</v>
      </c>
      <c r="D36" s="13">
        <v>0.16</v>
      </c>
      <c r="E36" s="13">
        <v>4.4520999999999997</v>
      </c>
      <c r="F36" s="13">
        <v>0.84639999999999993</v>
      </c>
      <c r="G36" s="13">
        <v>1.4641</v>
      </c>
      <c r="H36" s="13">
        <v>0.82810000000000006</v>
      </c>
      <c r="I36" s="13">
        <v>0.5625</v>
      </c>
      <c r="J36" s="13">
        <v>0.10239999999999999</v>
      </c>
      <c r="K36" s="13">
        <v>0.31360000000000005</v>
      </c>
      <c r="L36" s="13">
        <v>1.5625</v>
      </c>
      <c r="M36" s="13">
        <v>0.42249999999999999</v>
      </c>
      <c r="N36" s="13">
        <v>0.5625</v>
      </c>
      <c r="O36" s="13">
        <v>0.72250000000000003</v>
      </c>
      <c r="P36" s="13">
        <v>0</v>
      </c>
      <c r="Q36" s="13">
        <v>2.4336000000000002</v>
      </c>
      <c r="R36" s="13">
        <v>5.8080999999999996</v>
      </c>
    </row>
    <row r="37" spans="1:18" x14ac:dyDescent="0.25">
      <c r="A37" s="12" t="s">
        <v>54</v>
      </c>
      <c r="B37" s="13">
        <v>5.7599999999999998E-2</v>
      </c>
      <c r="C37" s="13">
        <v>0</v>
      </c>
      <c r="D37" s="13">
        <v>1.3456000000000001</v>
      </c>
      <c r="E37" s="13">
        <v>9.6721000000000004</v>
      </c>
      <c r="F37" s="13">
        <v>0.1225</v>
      </c>
      <c r="G37" s="13">
        <v>5.7599999999999998E-2</v>
      </c>
      <c r="H37" s="13">
        <v>1.5876000000000001</v>
      </c>
      <c r="I37" s="13">
        <v>1.8769000000000005</v>
      </c>
      <c r="J37" s="13">
        <v>13.0321</v>
      </c>
      <c r="K37" s="13">
        <v>22.657599999999999</v>
      </c>
      <c r="L37" s="13">
        <v>1.7424000000000002</v>
      </c>
      <c r="M37" s="13">
        <v>9.61</v>
      </c>
      <c r="N37" s="13">
        <v>0</v>
      </c>
      <c r="O37" s="13">
        <v>7.2899999999999993E-2</v>
      </c>
      <c r="P37" s="13">
        <v>5.29</v>
      </c>
      <c r="Q37" s="13">
        <v>0.16810000000000003</v>
      </c>
      <c r="R37" s="13">
        <v>11.088900000000002</v>
      </c>
    </row>
    <row r="38" spans="1:18" x14ac:dyDescent="0.25">
      <c r="A38" s="17" t="s">
        <v>55</v>
      </c>
      <c r="B38" s="18">
        <v>1.6383999999999999</v>
      </c>
      <c r="C38" s="18">
        <v>3.5344000000000002</v>
      </c>
      <c r="D38" s="18">
        <v>1.0609</v>
      </c>
      <c r="E38" s="18">
        <v>0</v>
      </c>
      <c r="F38" s="18">
        <v>4.7961</v>
      </c>
      <c r="G38" s="18">
        <v>4.3681000000000001</v>
      </c>
      <c r="H38" s="18">
        <v>1.8496000000000001</v>
      </c>
      <c r="I38" s="18">
        <v>1.0609</v>
      </c>
      <c r="J38" s="18">
        <v>8.4100000000000008E-2</v>
      </c>
      <c r="K38" s="18">
        <v>0</v>
      </c>
      <c r="L38" s="18">
        <v>0.40959999999999996</v>
      </c>
      <c r="M38" s="18">
        <v>0.51839999999999997</v>
      </c>
      <c r="N38" s="18">
        <v>6.7599999999999993E-2</v>
      </c>
      <c r="O38" s="18">
        <v>1.0403999999999998</v>
      </c>
      <c r="P38" s="18">
        <v>2.4649000000000001</v>
      </c>
      <c r="Q38" s="18">
        <v>9.8596000000000004</v>
      </c>
      <c r="R38" s="18">
        <v>9.1808999999999994</v>
      </c>
    </row>
    <row r="40" spans="1:18" ht="14.5" x14ac:dyDescent="0.25">
      <c r="A40" s="19" t="s">
        <v>58</v>
      </c>
      <c r="B40" s="20">
        <v>0.29159999999999997</v>
      </c>
      <c r="C40" s="20">
        <v>0.84639999999999993</v>
      </c>
      <c r="D40" s="20">
        <v>0.10890000000000001</v>
      </c>
      <c r="E40" s="20">
        <v>0</v>
      </c>
      <c r="F40" s="20">
        <v>0.18489999999999998</v>
      </c>
      <c r="G40" s="20">
        <v>0</v>
      </c>
      <c r="H40" s="20">
        <v>7.1289000000000007</v>
      </c>
      <c r="I40" s="20">
        <v>21.344400000000004</v>
      </c>
      <c r="J40" s="20">
        <v>1.6129</v>
      </c>
      <c r="K40" s="20">
        <v>2.8224000000000005</v>
      </c>
      <c r="L40" s="20">
        <v>0.25</v>
      </c>
      <c r="M40" s="20">
        <v>6.8121</v>
      </c>
      <c r="N40" s="20">
        <v>0.53289999999999993</v>
      </c>
      <c r="O40" s="20">
        <v>1.7689000000000004</v>
      </c>
      <c r="P40" s="20">
        <v>0.1225</v>
      </c>
      <c r="Q40" s="20">
        <v>1.0201000000000002</v>
      </c>
      <c r="R40" s="20">
        <v>11.56</v>
      </c>
    </row>
    <row r="42" spans="1:18" x14ac:dyDescent="0.25">
      <c r="A42" s="21" t="s">
        <v>56</v>
      </c>
    </row>
  </sheetData>
  <pageMargins left="0.75" right="0.75" top="1" bottom="1" header="0.5" footer="0.5"/>
  <pageSetup paperSize="9" scale="5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A2.1b</vt:lpstr>
      <vt:lpstr>'Table A2.1b'!Print_Area</vt:lpstr>
    </vt:vector>
  </TitlesOfParts>
  <Company>Telus Mobility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Telus Mobility</dc:creator>
  <cp:lastModifiedBy>Carina Negreanu</cp:lastModifiedBy>
  <dcterms:created xsi:type="dcterms:W3CDTF">2001-11-10T02:40:31Z</dcterms:created>
  <dcterms:modified xsi:type="dcterms:W3CDTF">2020-01-27T12:45:06Z</dcterms:modified>
</cp:coreProperties>
</file>