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0D07174-8EE5-4F26-ABFE-DA4C75790F74}" xr6:coauthVersionLast="45" xr6:coauthVersionMax="45" xr10:uidLastSave="{00000000-0000-0000-0000-000000000000}"/>
  <bookViews>
    <workbookView xWindow="3420" yWindow="3420" windowWidth="28800" windowHeight="15460"/>
  </bookViews>
  <sheets>
    <sheet name="frequen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1" l="1"/>
  <c r="G5" i="1"/>
  <c r="J5" i="1"/>
  <c r="G6" i="1"/>
  <c r="J6" i="1"/>
  <c r="G7" i="1"/>
  <c r="G8" i="1"/>
  <c r="E11" i="1" a="1"/>
  <c r="E11" i="1" s="1"/>
  <c r="E15" i="1" l="1"/>
  <c r="E14" i="1"/>
  <c r="E13" i="1"/>
  <c r="E12" i="1"/>
</calcChain>
</file>

<file path=xl/sharedStrings.xml><?xml version="1.0" encoding="utf-8"?>
<sst xmlns="http://schemas.openxmlformats.org/spreadsheetml/2006/main" count="18" uniqueCount="18">
  <si>
    <t>mean</t>
  </si>
  <si>
    <t>median</t>
  </si>
  <si>
    <t>variance</t>
  </si>
  <si>
    <t>st. dev.</t>
  </si>
  <si>
    <t xml:space="preserve">ECON 105 Grades </t>
  </si>
  <si>
    <t>1st Midterm</t>
  </si>
  <si>
    <t>Intervals</t>
  </si>
  <si>
    <t>mod</t>
  </si>
  <si>
    <t>maximum</t>
  </si>
  <si>
    <t>minimum</t>
  </si>
  <si>
    <t>2nd Midterm</t>
  </si>
  <si>
    <t>Analysis of Midterm 1</t>
  </si>
  <si>
    <t>F</t>
  </si>
  <si>
    <t>D</t>
  </si>
  <si>
    <t>C</t>
  </si>
  <si>
    <t>B</t>
  </si>
  <si>
    <t>A</t>
  </si>
  <si>
    <t>Frequencies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</si>
</sst>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0\-00"/>
  </numFmts>
  <fonts count="3" x14ac:knownFonts="1">
    <font>
      <sz val="10"/>
      <name val="Arial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1" fontId="2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Frequency Histogram</a:t>
            </a:r>
          </a:p>
        </c:rich>
      </c:tx>
      <c:layout>
        <c:manualLayout>
          <c:xMode val="edge"/>
          <c:yMode val="edge"/>
          <c:x val="0.2754715448274449"/>
          <c:y val="3.57864607210733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676538916246067"/>
          <c:y val="0.16899162007173504"/>
          <c:w val="0.75696802654264272"/>
          <c:h val="0.675966480286940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frequency!$D$11:$D$15</c:f>
              <c:strCache>
                <c:ptCount val="5"/>
                <c:pt idx="0">
                  <c:v>F</c:v>
                </c:pt>
                <c:pt idx="1">
                  <c:v>D</c:v>
                </c:pt>
                <c:pt idx="2">
                  <c:v>C</c:v>
                </c:pt>
                <c:pt idx="3">
                  <c:v>B</c:v>
                </c:pt>
                <c:pt idx="4">
                  <c:v>A</c:v>
                </c:pt>
              </c:strCache>
            </c:strRef>
          </c:cat>
          <c:val>
            <c:numRef>
              <c:f>frequency!$E$11:$E$15</c:f>
              <c:numCache>
                <c:formatCode>0</c:formatCode>
                <c:ptCount val="5"/>
                <c:pt idx="0">
                  <c:v>24</c:v>
                </c:pt>
                <c:pt idx="1">
                  <c:v>6</c:v>
                </c:pt>
                <c:pt idx="2">
                  <c:v>9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7-487A-92F4-039CAD85B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81262399"/>
        <c:axId val="1"/>
      </c:barChart>
      <c:catAx>
        <c:axId val="881262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grades</a:t>
                </a:r>
              </a:p>
            </c:rich>
          </c:tx>
          <c:layout>
            <c:manualLayout>
              <c:xMode val="edge"/>
              <c:yMode val="edge"/>
              <c:x val="0.50696023795975154"/>
              <c:y val="0.900625928147011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5.0927512489107464E-2"/>
              <c:y val="0.4254612552394270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623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8</xdr:row>
      <xdr:rowOff>139700</xdr:rowOff>
    </xdr:from>
    <xdr:to>
      <xdr:col>9</xdr:col>
      <xdr:colOff>590550</xdr:colOff>
      <xdr:row>29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32721AF8-103C-4410-B8FF-7DD99A63D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>
      <selection activeCell="F36" sqref="F36"/>
    </sheetView>
  </sheetViews>
  <sheetFormatPr defaultRowHeight="12.5" x14ac:dyDescent="0.25"/>
  <cols>
    <col min="1" max="1" width="11.26953125" customWidth="1"/>
    <col min="2" max="2" width="12.26953125" customWidth="1"/>
    <col min="3" max="3" width="3" customWidth="1"/>
    <col min="4" max="4" width="4.7265625" customWidth="1"/>
    <col min="5" max="5" width="7.81640625" style="2" customWidth="1"/>
    <col min="6" max="6" width="10.54296875" style="1" customWidth="1"/>
    <col min="8" max="8" width="5.453125" style="11" customWidth="1"/>
    <col min="9" max="9" width="8.81640625" customWidth="1"/>
  </cols>
  <sheetData>
    <row r="1" spans="1:10" s="7" customFormat="1" ht="20.25" customHeight="1" x14ac:dyDescent="0.3">
      <c r="A1" s="6" t="s">
        <v>4</v>
      </c>
      <c r="E1" s="8"/>
      <c r="F1" s="9"/>
      <c r="H1" s="12"/>
    </row>
    <row r="2" spans="1:10" ht="13" x14ac:dyDescent="0.3">
      <c r="A2" s="5" t="s">
        <v>5</v>
      </c>
      <c r="B2" s="5" t="s">
        <v>10</v>
      </c>
      <c r="D2" s="14" t="s">
        <v>11</v>
      </c>
      <c r="E2" s="14"/>
      <c r="F2" s="14"/>
      <c r="G2" s="14"/>
      <c r="H2" s="14"/>
      <c r="I2" s="14"/>
    </row>
    <row r="3" spans="1:10" x14ac:dyDescent="0.25">
      <c r="A3">
        <v>60</v>
      </c>
      <c r="B3">
        <v>43</v>
      </c>
    </row>
    <row r="4" spans="1:10" x14ac:dyDescent="0.25">
      <c r="A4">
        <v>88</v>
      </c>
      <c r="B4">
        <v>61</v>
      </c>
      <c r="F4" t="s">
        <v>0</v>
      </c>
      <c r="G4" s="11">
        <f>AVERAGE(A3:A52)</f>
        <v>56.76</v>
      </c>
      <c r="H4"/>
    </row>
    <row r="5" spans="1:10" x14ac:dyDescent="0.25">
      <c r="A5">
        <v>10</v>
      </c>
      <c r="B5">
        <v>84</v>
      </c>
      <c r="F5" t="s">
        <v>1</v>
      </c>
      <c r="G5" s="11">
        <f>MEDIAN(A3:A52)</f>
        <v>60.5</v>
      </c>
      <c r="I5" t="s">
        <v>8</v>
      </c>
      <c r="J5">
        <f>MAX(A3:A52)</f>
        <v>93</v>
      </c>
    </row>
    <row r="6" spans="1:10" x14ac:dyDescent="0.25">
      <c r="A6">
        <v>40</v>
      </c>
      <c r="B6">
        <v>62</v>
      </c>
      <c r="F6" t="s">
        <v>7</v>
      </c>
      <c r="G6" s="11">
        <f>MODE(A3:A52)</f>
        <v>88</v>
      </c>
      <c r="I6" t="s">
        <v>9</v>
      </c>
      <c r="J6">
        <f>MIN(A3:A52)</f>
        <v>2</v>
      </c>
    </row>
    <row r="7" spans="1:10" x14ac:dyDescent="0.25">
      <c r="A7">
        <v>34</v>
      </c>
      <c r="B7">
        <v>65</v>
      </c>
      <c r="F7" t="s">
        <v>2</v>
      </c>
      <c r="G7" s="11">
        <f>VAR(A3:A52)</f>
        <v>667.28816326530603</v>
      </c>
      <c r="H7"/>
    </row>
    <row r="8" spans="1:10" x14ac:dyDescent="0.25">
      <c r="A8">
        <v>59</v>
      </c>
      <c r="B8">
        <v>10</v>
      </c>
      <c r="F8" t="s">
        <v>3</v>
      </c>
      <c r="G8" s="11">
        <f>STDEV(A3:A52)</f>
        <v>25.83192140095866</v>
      </c>
      <c r="H8"/>
    </row>
    <row r="9" spans="1:10" x14ac:dyDescent="0.25">
      <c r="A9">
        <v>47</v>
      </c>
      <c r="B9">
        <v>19</v>
      </c>
      <c r="G9" s="1"/>
    </row>
    <row r="10" spans="1:10" x14ac:dyDescent="0.25">
      <c r="A10">
        <v>69</v>
      </c>
      <c r="B10">
        <v>54</v>
      </c>
      <c r="D10" s="13" t="s">
        <v>17</v>
      </c>
      <c r="E10" s="13"/>
      <c r="G10" s="1"/>
    </row>
    <row r="11" spans="1:10" x14ac:dyDescent="0.25">
      <c r="A11">
        <v>47</v>
      </c>
      <c r="B11">
        <v>16</v>
      </c>
      <c r="D11" s="3" t="s">
        <v>12</v>
      </c>
      <c r="E11" s="1">
        <f t="array" ref="E11:E15">FREQUENCY(A3:A52,E19:E22)</f>
        <v>24</v>
      </c>
      <c r="G11" s="1"/>
    </row>
    <row r="12" spans="1:10" x14ac:dyDescent="0.25">
      <c r="A12">
        <v>23</v>
      </c>
      <c r="B12">
        <v>34</v>
      </c>
      <c r="D12" s="4" t="s">
        <v>13</v>
      </c>
      <c r="E12" s="1">
        <v>6</v>
      </c>
    </row>
    <row r="13" spans="1:10" x14ac:dyDescent="0.25">
      <c r="A13">
        <v>76</v>
      </c>
      <c r="B13">
        <v>83</v>
      </c>
      <c r="D13" s="3" t="s">
        <v>14</v>
      </c>
      <c r="E13" s="1">
        <v>9</v>
      </c>
    </row>
    <row r="14" spans="1:10" x14ac:dyDescent="0.25">
      <c r="A14">
        <v>42</v>
      </c>
      <c r="B14">
        <v>77</v>
      </c>
      <c r="D14" s="3" t="s">
        <v>15</v>
      </c>
      <c r="E14" s="1">
        <v>7</v>
      </c>
    </row>
    <row r="15" spans="1:10" x14ac:dyDescent="0.25">
      <c r="A15">
        <v>24</v>
      </c>
      <c r="B15">
        <v>75</v>
      </c>
      <c r="D15" s="3" t="s">
        <v>16</v>
      </c>
      <c r="E15" s="1">
        <v>4</v>
      </c>
    </row>
    <row r="16" spans="1:10" x14ac:dyDescent="0.25">
      <c r="A16">
        <v>26</v>
      </c>
      <c r="B16">
        <v>63</v>
      </c>
      <c r="D16" s="3"/>
      <c r="E16" s="1"/>
    </row>
    <row r="17" spans="1:5" x14ac:dyDescent="0.25">
      <c r="A17">
        <v>17</v>
      </c>
      <c r="B17">
        <v>87</v>
      </c>
      <c r="D17" s="3"/>
      <c r="E17" s="1"/>
    </row>
    <row r="18" spans="1:5" x14ac:dyDescent="0.25">
      <c r="A18">
        <v>29</v>
      </c>
      <c r="B18">
        <v>83</v>
      </c>
      <c r="D18" s="3"/>
      <c r="E18" s="10" t="s">
        <v>6</v>
      </c>
    </row>
    <row r="19" spans="1:5" x14ac:dyDescent="0.25">
      <c r="A19">
        <v>52</v>
      </c>
      <c r="B19">
        <v>2</v>
      </c>
      <c r="D19" s="3"/>
      <c r="E19">
        <v>59</v>
      </c>
    </row>
    <row r="20" spans="1:5" x14ac:dyDescent="0.25">
      <c r="A20">
        <v>65</v>
      </c>
      <c r="B20">
        <v>44</v>
      </c>
      <c r="D20" s="3"/>
      <c r="E20">
        <v>69</v>
      </c>
    </row>
    <row r="21" spans="1:5" x14ac:dyDescent="0.25">
      <c r="A21">
        <v>91</v>
      </c>
      <c r="B21">
        <v>53</v>
      </c>
      <c r="E21">
        <v>79</v>
      </c>
    </row>
    <row r="22" spans="1:5" x14ac:dyDescent="0.25">
      <c r="A22">
        <v>93</v>
      </c>
      <c r="B22">
        <v>17</v>
      </c>
      <c r="E22">
        <v>89</v>
      </c>
    </row>
    <row r="23" spans="1:5" x14ac:dyDescent="0.25">
      <c r="A23">
        <v>88</v>
      </c>
      <c r="B23">
        <v>14</v>
      </c>
    </row>
    <row r="24" spans="1:5" x14ac:dyDescent="0.25">
      <c r="A24">
        <v>65</v>
      </c>
      <c r="B24">
        <v>7</v>
      </c>
    </row>
    <row r="25" spans="1:5" x14ac:dyDescent="0.25">
      <c r="A25">
        <v>70</v>
      </c>
      <c r="B25">
        <v>84</v>
      </c>
    </row>
    <row r="26" spans="1:5" x14ac:dyDescent="0.25">
      <c r="A26">
        <v>86</v>
      </c>
      <c r="B26">
        <v>52</v>
      </c>
    </row>
    <row r="27" spans="1:5" x14ac:dyDescent="0.25">
      <c r="A27">
        <v>45</v>
      </c>
      <c r="B27">
        <v>33</v>
      </c>
    </row>
    <row r="28" spans="1:5" x14ac:dyDescent="0.25">
      <c r="A28">
        <v>33</v>
      </c>
      <c r="B28">
        <v>9</v>
      </c>
    </row>
    <row r="29" spans="1:5" x14ac:dyDescent="0.25">
      <c r="A29">
        <v>71</v>
      </c>
      <c r="B29">
        <v>32</v>
      </c>
    </row>
    <row r="30" spans="1:5" x14ac:dyDescent="0.25">
      <c r="A30">
        <v>86</v>
      </c>
      <c r="B30">
        <v>55</v>
      </c>
    </row>
    <row r="31" spans="1:5" x14ac:dyDescent="0.25">
      <c r="A31">
        <v>2</v>
      </c>
      <c r="B31">
        <v>51</v>
      </c>
    </row>
    <row r="32" spans="1:5" x14ac:dyDescent="0.25">
      <c r="A32">
        <v>78</v>
      </c>
      <c r="B32">
        <v>31</v>
      </c>
    </row>
    <row r="33" spans="1:2" x14ac:dyDescent="0.25">
      <c r="A33">
        <v>88</v>
      </c>
      <c r="B33">
        <v>58</v>
      </c>
    </row>
    <row r="34" spans="1:2" x14ac:dyDescent="0.25">
      <c r="A34">
        <v>26</v>
      </c>
      <c r="B34">
        <v>2</v>
      </c>
    </row>
    <row r="35" spans="1:2" x14ac:dyDescent="0.25">
      <c r="A35">
        <v>67</v>
      </c>
      <c r="B35">
        <v>63</v>
      </c>
    </row>
    <row r="36" spans="1:2" x14ac:dyDescent="0.25">
      <c r="A36">
        <v>33</v>
      </c>
      <c r="B36">
        <v>28</v>
      </c>
    </row>
    <row r="37" spans="1:2" x14ac:dyDescent="0.25">
      <c r="A37">
        <v>44</v>
      </c>
      <c r="B37">
        <v>37</v>
      </c>
    </row>
    <row r="38" spans="1:2" x14ac:dyDescent="0.25">
      <c r="A38">
        <v>46</v>
      </c>
      <c r="B38">
        <v>20</v>
      </c>
    </row>
    <row r="39" spans="1:2" x14ac:dyDescent="0.25">
      <c r="A39">
        <v>86</v>
      </c>
      <c r="B39">
        <v>22</v>
      </c>
    </row>
    <row r="40" spans="1:2" x14ac:dyDescent="0.25">
      <c r="A40">
        <v>61</v>
      </c>
      <c r="B40">
        <v>68</v>
      </c>
    </row>
    <row r="41" spans="1:2" x14ac:dyDescent="0.25">
      <c r="A41">
        <v>77</v>
      </c>
      <c r="B41">
        <v>15</v>
      </c>
    </row>
    <row r="42" spans="1:2" x14ac:dyDescent="0.25">
      <c r="A42">
        <v>70</v>
      </c>
      <c r="B42">
        <v>38</v>
      </c>
    </row>
    <row r="43" spans="1:2" x14ac:dyDescent="0.25">
      <c r="A43">
        <v>78</v>
      </c>
      <c r="B43">
        <v>86</v>
      </c>
    </row>
    <row r="44" spans="1:2" x14ac:dyDescent="0.25">
      <c r="A44">
        <v>81</v>
      </c>
      <c r="B44">
        <v>88</v>
      </c>
    </row>
    <row r="45" spans="1:2" x14ac:dyDescent="0.25">
      <c r="A45">
        <v>90</v>
      </c>
      <c r="B45">
        <v>91</v>
      </c>
    </row>
    <row r="46" spans="1:2" x14ac:dyDescent="0.25">
      <c r="A46">
        <v>75</v>
      </c>
      <c r="B46">
        <v>33</v>
      </c>
    </row>
    <row r="47" spans="1:2" x14ac:dyDescent="0.25">
      <c r="A47">
        <v>45</v>
      </c>
      <c r="B47">
        <v>54</v>
      </c>
    </row>
    <row r="48" spans="1:2" x14ac:dyDescent="0.25">
      <c r="A48">
        <v>9</v>
      </c>
      <c r="B48">
        <v>91</v>
      </c>
    </row>
    <row r="49" spans="1:2" x14ac:dyDescent="0.25">
      <c r="A49">
        <v>58</v>
      </c>
      <c r="B49">
        <v>72</v>
      </c>
    </row>
    <row r="50" spans="1:2" x14ac:dyDescent="0.25">
      <c r="A50">
        <v>18</v>
      </c>
      <c r="B50">
        <v>28</v>
      </c>
    </row>
    <row r="51" spans="1:2" x14ac:dyDescent="0.25">
      <c r="A51">
        <v>92</v>
      </c>
      <c r="B51">
        <v>90</v>
      </c>
    </row>
    <row r="52" spans="1:2" x14ac:dyDescent="0.25">
      <c r="A52">
        <v>78</v>
      </c>
      <c r="B52">
        <v>7</v>
      </c>
    </row>
  </sheetData>
  <mergeCells count="2">
    <mergeCell ref="D10:E10"/>
    <mergeCell ref="D2:I2"/>
  </mergeCells>
  <pageMargins left="0.75" right="0.75" top="1" bottom="1" header="0.5" footer="0.5"/>
  <pageSetup paperSize="9" orientation="portrait" horizontalDpi="300" verticalDpi="300" r:id="rId1"/>
  <headerFooter alignWithMargins="0">
    <oddHeader>&amp;CECON 105
Lab Notes&amp;RUssal Şahbaz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frequency</vt:lpstr>
    </vt:vector>
  </TitlesOfParts>
  <Company>METU Economics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Ussal Sahbaz</dc:creator>
  <cp:lastModifiedBy>Carina Negreanu</cp:lastModifiedBy>
  <cp:lastPrinted>2001-10-25T19:29:25Z</cp:lastPrinted>
  <dcterms:created xsi:type="dcterms:W3CDTF">2001-10-16T14:15:51Z</dcterms:created>
  <dcterms:modified xsi:type="dcterms:W3CDTF">2020-01-27T11:28:27Z</dcterms:modified>
</cp:coreProperties>
</file>