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9A6DA8-22F0-4AAB-8743-7B7A49F184FB}" xr6:coauthVersionLast="45" xr6:coauthVersionMax="45" xr10:uidLastSave="{00000000-0000-0000-0000-000000000000}"/>
  <bookViews>
    <workbookView xWindow="4560" yWindow="4560" windowWidth="28800" windowHeight="15460" tabRatio="754"/>
  </bookViews>
  <sheets>
    <sheet name="Correlation Matrix" sheetId="1" r:id="rId1"/>
    <sheet name="Category Counts" sheetId="3" r:id="rId2"/>
    <sheet name="Sheet2" sheetId="2" r:id="rId3"/>
    <sheet name="Sheet4" sheetId="4" r:id="rId4"/>
  </sheets>
  <calcPr calcId="191029" iterate="1"/>
  <customWorkbookViews>
    <customWorkbookView name="NEW" guid="{7E394900-91E8-11D3-BF45-00050240E94D}" maximized="1" xWindow="5" yWindow="21" windowWidth="1013" windowHeight="63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3" l="1" a="1"/>
  <c r="D3" i="3" s="1"/>
  <c r="E3" i="3" a="1"/>
  <c r="E3" i="3" s="1"/>
  <c r="H3" i="3" a="1"/>
  <c r="H3" i="3" s="1"/>
  <c r="H16" i="3" s="1"/>
  <c r="H18" i="3" s="1"/>
  <c r="D4" i="3" a="1"/>
  <c r="D4" i="3" s="1"/>
  <c r="I4" i="3" s="1"/>
  <c r="K4" i="3" s="1"/>
  <c r="I5" i="3"/>
  <c r="K5" i="3" s="1"/>
  <c r="D6" i="3" a="1"/>
  <c r="D6" i="3" s="1"/>
  <c r="I6" i="3" s="1"/>
  <c r="K6" i="3" s="1"/>
  <c r="D7" i="3" a="1"/>
  <c r="D7" i="3" s="1"/>
  <c r="I7" i="3" s="1"/>
  <c r="K7" i="3" s="1"/>
  <c r="D8" i="3" a="1"/>
  <c r="D8" i="3" s="1"/>
  <c r="I8" i="3" s="1"/>
  <c r="K8" i="3" s="1"/>
  <c r="D9" i="3" a="1"/>
  <c r="D9" i="3" s="1"/>
  <c r="I9" i="3" s="1"/>
  <c r="K9" i="3" s="1"/>
  <c r="I10" i="3"/>
  <c r="K10" i="3"/>
  <c r="D11" i="3" a="1"/>
  <c r="D11" i="3" s="1"/>
  <c r="E11" i="3" a="1"/>
  <c r="E11" i="3" s="1"/>
  <c r="I12" i="3"/>
  <c r="K12" i="3"/>
  <c r="I13" i="3"/>
  <c r="K13" i="3"/>
  <c r="D14" i="3" a="1"/>
  <c r="D14" i="3" s="1"/>
  <c r="G14" i="3" a="1"/>
  <c r="G14" i="3" s="1"/>
  <c r="G16" i="3" s="1"/>
  <c r="G18" i="3" s="1"/>
  <c r="D15" i="3" a="1"/>
  <c r="D15" i="3" s="1"/>
  <c r="I15" i="3" s="1"/>
  <c r="K15" i="3" s="1"/>
  <c r="G15" i="3" a="1"/>
  <c r="G15" i="3" s="1"/>
  <c r="H15" i="3" a="1"/>
  <c r="H15" i="3" s="1"/>
  <c r="C16" i="3"/>
  <c r="F16" i="3"/>
  <c r="J16" i="3"/>
  <c r="I17" i="3"/>
  <c r="F18" i="3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3" i="1"/>
  <c r="E3" i="1"/>
  <c r="F3" i="1"/>
  <c r="G3" i="1"/>
  <c r="H3" i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5" i="1" a="1"/>
  <c r="DB5" i="1" s="1"/>
  <c r="DB6" i="1"/>
  <c r="DB6" i="1" a="1"/>
  <c r="DB7" i="1" a="1"/>
  <c r="DB7" i="1" s="1"/>
  <c r="DB8" i="1" a="1"/>
  <c r="DB8" i="1" s="1"/>
  <c r="DB9" i="1" a="1"/>
  <c r="DB9" i="1" s="1"/>
  <c r="DB10" i="1" a="1"/>
  <c r="DB10" i="1" s="1"/>
  <c r="DB11" i="1" a="1"/>
  <c r="DB11" i="1" s="1"/>
  <c r="DB12" i="1" a="1"/>
  <c r="DB12" i="1" s="1"/>
  <c r="DB13" i="1"/>
  <c r="DB13" i="1" a="1"/>
  <c r="DB14" i="1" a="1"/>
  <c r="DB14" i="1" s="1"/>
  <c r="DB15" i="1" a="1"/>
  <c r="DB15" i="1" s="1"/>
  <c r="DB16" i="1" a="1"/>
  <c r="DB16" i="1" s="1"/>
  <c r="DB17" i="1" a="1"/>
  <c r="DB17" i="1" s="1"/>
  <c r="DB18" i="1" a="1"/>
  <c r="DB18" i="1" s="1"/>
  <c r="DB19" i="1" a="1"/>
  <c r="DB19" i="1" s="1"/>
  <c r="DB20" i="1" a="1"/>
  <c r="DB20" i="1" s="1"/>
  <c r="DB21" i="1" a="1"/>
  <c r="DB21" i="1" s="1"/>
  <c r="DB22" i="1"/>
  <c r="DB22" i="1" a="1"/>
  <c r="DB23" i="1" a="1"/>
  <c r="DB23" i="1" s="1"/>
  <c r="DB24" i="1" a="1"/>
  <c r="DB24" i="1" s="1"/>
  <c r="DB25" i="1" a="1"/>
  <c r="DB25" i="1" s="1"/>
  <c r="DB26" i="1"/>
  <c r="DB26" i="1" a="1"/>
  <c r="DB27" i="1" a="1"/>
  <c r="DB27" i="1" s="1"/>
  <c r="DB28" i="1" a="1"/>
  <c r="DB28" i="1" s="1"/>
  <c r="DB29" i="1" a="1"/>
  <c r="DB29" i="1" s="1"/>
  <c r="DB30" i="1" a="1"/>
  <c r="DB30" i="1" s="1"/>
  <c r="DB31" i="1" a="1"/>
  <c r="DB31" i="1" s="1"/>
  <c r="DB32" i="1" a="1"/>
  <c r="DB32" i="1" s="1"/>
  <c r="DB33" i="1" a="1"/>
  <c r="DB33" i="1" s="1"/>
  <c r="DB34" i="1" a="1"/>
  <c r="DB34" i="1" s="1"/>
  <c r="DB35" i="1"/>
  <c r="DB35" i="1" a="1"/>
  <c r="DB36" i="1"/>
  <c r="DB36" i="1" a="1"/>
  <c r="DB37" i="1" a="1"/>
  <c r="DB37" i="1" s="1"/>
  <c r="DB38" i="1" a="1"/>
  <c r="DB38" i="1" s="1"/>
  <c r="DB39" i="1" a="1"/>
  <c r="DB39" i="1" s="1"/>
  <c r="DB40" i="1" a="1"/>
  <c r="DB40" i="1" s="1"/>
  <c r="DB41" i="1"/>
  <c r="DB41" i="1" a="1"/>
  <c r="DB42" i="1" a="1"/>
  <c r="DB42" i="1" s="1"/>
  <c r="DB43" i="1" a="1"/>
  <c r="DB43" i="1" s="1"/>
  <c r="DC46" i="1" s="1"/>
  <c r="DB44" i="1"/>
  <c r="DB44" i="1" a="1"/>
  <c r="DB45" i="1"/>
  <c r="DB45" i="1" a="1"/>
  <c r="DB46" i="1"/>
  <c r="DB46" i="1" a="1"/>
  <c r="DB47" i="1" a="1"/>
  <c r="DB47" i="1" s="1"/>
  <c r="DB48" i="1" a="1"/>
  <c r="DB48" i="1" s="1"/>
  <c r="DB49" i="1" a="1"/>
  <c r="DB49" i="1" s="1"/>
  <c r="DB50" i="1" a="1"/>
  <c r="DB50" i="1" s="1"/>
  <c r="DB51" i="1" a="1"/>
  <c r="DB51" i="1" s="1"/>
  <c r="DB52" i="1"/>
  <c r="DB52" i="1" a="1"/>
  <c r="DB53" i="1"/>
  <c r="DC57" i="1" s="1"/>
  <c r="DB53" i="1" a="1"/>
  <c r="DB54" i="1"/>
  <c r="DB54" i="1" a="1"/>
  <c r="DB55" i="1"/>
  <c r="DB55" i="1" a="1"/>
  <c r="DB56" i="1"/>
  <c r="DB56" i="1" a="1"/>
  <c r="DB57" i="1" a="1"/>
  <c r="DB57" i="1" s="1"/>
  <c r="DB58" i="1" a="1"/>
  <c r="DB58" i="1" s="1"/>
  <c r="DB59" i="1" a="1"/>
  <c r="DB59" i="1" s="1"/>
  <c r="DB60" i="1" a="1"/>
  <c r="DB60" i="1" s="1"/>
  <c r="DB61" i="1"/>
  <c r="DB61" i="1" a="1"/>
  <c r="DB62" i="1" a="1"/>
  <c r="DB62" i="1" s="1"/>
  <c r="DB63" i="1"/>
  <c r="DB63" i="1" a="1"/>
  <c r="DB64" i="1"/>
  <c r="DB64" i="1" a="1"/>
  <c r="DB65" i="1"/>
  <c r="DB65" i="1" a="1"/>
  <c r="DB66" i="1" a="1"/>
  <c r="DB66" i="1" s="1"/>
  <c r="DB67" i="1" a="1"/>
  <c r="DB67" i="1" s="1"/>
  <c r="DB68" i="1"/>
  <c r="DB68" i="1" a="1"/>
  <c r="DB69" i="1" a="1"/>
  <c r="DB69" i="1" s="1"/>
  <c r="DC75" i="1" s="1"/>
  <c r="DB70" i="1"/>
  <c r="DB70" i="1" a="1"/>
  <c r="DB71" i="1" a="1"/>
  <c r="DB71" i="1" s="1"/>
  <c r="DB72" i="1" a="1"/>
  <c r="DB72" i="1" s="1"/>
  <c r="DB73" i="1" a="1"/>
  <c r="DB73" i="1" s="1"/>
  <c r="DB74" i="1" a="1"/>
  <c r="DB74" i="1" s="1"/>
  <c r="DB75" i="1" a="1"/>
  <c r="DB75" i="1" s="1"/>
  <c r="C76" i="1" a="1"/>
  <c r="C76" i="1" s="1"/>
  <c r="D76" i="1"/>
  <c r="D76" i="1" a="1"/>
  <c r="E76" i="1" a="1"/>
  <c r="E76" i="1" s="1"/>
  <c r="F76" i="1" a="1"/>
  <c r="F76" i="1" s="1"/>
  <c r="G76" i="1" a="1"/>
  <c r="G76" i="1" s="1"/>
  <c r="H76" i="1"/>
  <c r="H76" i="1" a="1"/>
  <c r="I76" i="1"/>
  <c r="I76" i="1" a="1"/>
  <c r="J76" i="1"/>
  <c r="J76" i="1" a="1"/>
  <c r="K76" i="1"/>
  <c r="K76" i="1" a="1"/>
  <c r="L76" i="1" a="1"/>
  <c r="L76" i="1" s="1"/>
  <c r="M76" i="1" a="1"/>
  <c r="M76" i="1" s="1"/>
  <c r="N76" i="1"/>
  <c r="N76" i="1" a="1"/>
  <c r="O76" i="1" a="1"/>
  <c r="O76" i="1" s="1"/>
  <c r="P76" i="1" a="1"/>
  <c r="P76" i="1" s="1"/>
  <c r="Q76" i="1" a="1"/>
  <c r="Q76" i="1" s="1"/>
  <c r="R76" i="1"/>
  <c r="R76" i="1" a="1"/>
  <c r="S76" i="1"/>
  <c r="S76" i="1" a="1"/>
  <c r="T76" i="1"/>
  <c r="T76" i="1" a="1"/>
  <c r="U76" i="1"/>
  <c r="U76" i="1" a="1"/>
  <c r="V76" i="1" a="1"/>
  <c r="V76" i="1" s="1"/>
  <c r="W76" i="1" a="1"/>
  <c r="W76" i="1" s="1"/>
  <c r="X76" i="1"/>
  <c r="X76" i="1" a="1"/>
  <c r="Y76" i="1" a="1"/>
  <c r="Y76" i="1" s="1"/>
  <c r="Z76" i="1" a="1"/>
  <c r="Z76" i="1" s="1"/>
  <c r="AA76" i="1" a="1"/>
  <c r="AA76" i="1" s="1"/>
  <c r="AB76" i="1"/>
  <c r="AB76" i="1" a="1"/>
  <c r="AC76" i="1"/>
  <c r="AC76" i="1" a="1"/>
  <c r="AD76" i="1"/>
  <c r="AD76" i="1" a="1"/>
  <c r="AE76" i="1"/>
  <c r="AE76" i="1" a="1"/>
  <c r="AF76" i="1" a="1"/>
  <c r="AF76" i="1" s="1"/>
  <c r="AG76" i="1" a="1"/>
  <c r="AG76" i="1" s="1"/>
  <c r="AH76" i="1"/>
  <c r="AH76" i="1" a="1"/>
  <c r="AI76" i="1" a="1"/>
  <c r="AI76" i="1" s="1"/>
  <c r="AJ76" i="1" a="1"/>
  <c r="AJ76" i="1" s="1"/>
  <c r="AK76" i="1" a="1"/>
  <c r="AK76" i="1" s="1"/>
  <c r="AL76" i="1"/>
  <c r="AL76" i="1" a="1"/>
  <c r="AM76" i="1"/>
  <c r="AM76" i="1" a="1"/>
  <c r="AN76" i="1"/>
  <c r="AN76" i="1" a="1"/>
  <c r="AO76" i="1"/>
  <c r="AO76" i="1" a="1"/>
  <c r="AP76" i="1" a="1"/>
  <c r="AP76" i="1" s="1"/>
  <c r="AQ76" i="1" a="1"/>
  <c r="AQ76" i="1" s="1"/>
  <c r="AR76" i="1"/>
  <c r="AR76" i="1" a="1"/>
  <c r="AS76" i="1" a="1"/>
  <c r="AS76" i="1" s="1"/>
  <c r="AT76" i="1" a="1"/>
  <c r="AT76" i="1" s="1"/>
  <c r="AU76" i="1" a="1"/>
  <c r="AU76" i="1" s="1"/>
  <c r="AV76" i="1"/>
  <c r="AV76" i="1" a="1"/>
  <c r="AW76" i="1"/>
  <c r="AW76" i="1" a="1"/>
  <c r="AX76" i="1"/>
  <c r="AX76" i="1" a="1"/>
  <c r="AY76" i="1"/>
  <c r="AY76" i="1" a="1"/>
  <c r="AZ76" i="1" a="1"/>
  <c r="AZ76" i="1" s="1"/>
  <c r="BA76" i="1" a="1"/>
  <c r="BA76" i="1" s="1"/>
  <c r="BB76" i="1"/>
  <c r="BB76" i="1" a="1"/>
  <c r="BC76" i="1" a="1"/>
  <c r="BC76" i="1" s="1"/>
  <c r="BD76" i="1" a="1"/>
  <c r="BD76" i="1" s="1"/>
  <c r="BE76" i="1" a="1"/>
  <c r="BE76" i="1" s="1"/>
  <c r="BF76" i="1"/>
  <c r="BF76" i="1" a="1"/>
  <c r="BG76" i="1"/>
  <c r="BG76" i="1" a="1"/>
  <c r="BH76" i="1"/>
  <c r="BH76" i="1" a="1"/>
  <c r="BI76" i="1"/>
  <c r="BI76" i="1" a="1"/>
  <c r="BJ76" i="1" a="1"/>
  <c r="BJ76" i="1" s="1"/>
  <c r="BK76" i="1" a="1"/>
  <c r="BK76" i="1" s="1"/>
  <c r="BL76" i="1"/>
  <c r="BL76" i="1" a="1"/>
  <c r="BM76" i="1" a="1"/>
  <c r="BM76" i="1" s="1"/>
  <c r="BN76" i="1" a="1"/>
  <c r="BN76" i="1" s="1"/>
  <c r="BO76" i="1" a="1"/>
  <c r="BO76" i="1" s="1"/>
  <c r="BP76" i="1"/>
  <c r="BP76" i="1" a="1"/>
  <c r="BQ76" i="1"/>
  <c r="BQ76" i="1" a="1"/>
  <c r="BR76" i="1"/>
  <c r="BR76" i="1" a="1"/>
  <c r="BS76" i="1"/>
  <c r="BS76" i="1" a="1"/>
  <c r="BT76" i="1" a="1"/>
  <c r="BT76" i="1" s="1"/>
  <c r="BU76" i="1" a="1"/>
  <c r="BU76" i="1" s="1"/>
  <c r="BV76" i="1"/>
  <c r="BV76" i="1" a="1"/>
  <c r="BW76" i="1" a="1"/>
  <c r="BW76" i="1" s="1"/>
  <c r="BX76" i="1" a="1"/>
  <c r="BX76" i="1" s="1"/>
  <c r="BY76" i="1" a="1"/>
  <c r="BY76" i="1" s="1"/>
  <c r="BZ76" i="1"/>
  <c r="BZ76" i="1" a="1"/>
  <c r="CA76" i="1"/>
  <c r="CA76" i="1" a="1"/>
  <c r="CB76" i="1"/>
  <c r="CB76" i="1" a="1"/>
  <c r="CC76" i="1"/>
  <c r="CC76" i="1" a="1"/>
  <c r="CD76" i="1" a="1"/>
  <c r="CD76" i="1" s="1"/>
  <c r="CE76" i="1" a="1"/>
  <c r="CE76" i="1" s="1"/>
  <c r="CF76" i="1"/>
  <c r="CF76" i="1" a="1"/>
  <c r="CG76" i="1" a="1"/>
  <c r="CG76" i="1" s="1"/>
  <c r="CH76" i="1" a="1"/>
  <c r="CH76" i="1" s="1"/>
  <c r="CI76" i="1" a="1"/>
  <c r="CI76" i="1" s="1"/>
  <c r="CJ76" i="1"/>
  <c r="CJ76" i="1" a="1"/>
  <c r="CK76" i="1" a="1"/>
  <c r="CK76" i="1" s="1"/>
  <c r="CL76" i="1"/>
  <c r="CL76" i="1" a="1"/>
  <c r="CM76" i="1"/>
  <c r="CM76" i="1" a="1"/>
  <c r="CN76" i="1" a="1"/>
  <c r="CN76" i="1" s="1"/>
  <c r="CO76" i="1" a="1"/>
  <c r="CO76" i="1" s="1"/>
  <c r="CP76" i="1"/>
  <c r="CP76" i="1" a="1"/>
  <c r="CQ76" i="1" a="1"/>
  <c r="CQ76" i="1" s="1"/>
  <c r="CR76" i="1" a="1"/>
  <c r="CR76" i="1" s="1"/>
  <c r="CS76" i="1" a="1"/>
  <c r="CS76" i="1" s="1"/>
  <c r="CT76" i="1"/>
  <c r="CT76" i="1" a="1"/>
  <c r="CU76" i="1" a="1"/>
  <c r="CU76" i="1" s="1"/>
  <c r="CV76" i="1"/>
  <c r="CV76" i="1" a="1"/>
  <c r="CW76" i="1"/>
  <c r="CW76" i="1" a="1"/>
  <c r="CX76" i="1" a="1"/>
  <c r="CX76" i="1" s="1"/>
  <c r="CY76" i="1" a="1"/>
  <c r="CY76" i="1" s="1"/>
  <c r="CZ76" i="1"/>
  <c r="CZ76" i="1" a="1"/>
  <c r="DA76" i="1" a="1"/>
  <c r="DA76" i="1" s="1"/>
  <c r="DB79" i="1" l="1"/>
  <c r="DB80" i="1"/>
  <c r="DC42" i="1"/>
  <c r="I14" i="3"/>
  <c r="K14" i="3" s="1"/>
  <c r="DB81" i="1" a="1"/>
  <c r="DB81" i="1" s="1"/>
  <c r="DC10" i="1"/>
  <c r="DB82" i="1"/>
  <c r="DC26" i="1"/>
  <c r="DC68" i="1"/>
  <c r="CX79" i="1"/>
  <c r="CX80" i="1"/>
  <c r="CX82" i="1"/>
  <c r="CX85" i="1" s="1"/>
  <c r="CX81" i="1" a="1"/>
  <c r="CX81" i="1" s="1"/>
  <c r="T77" i="1"/>
  <c r="DA77" i="1"/>
  <c r="AF77" i="1"/>
  <c r="DC36" i="1"/>
  <c r="DC62" i="1"/>
  <c r="I11" i="3"/>
  <c r="K11" i="3" s="1"/>
  <c r="DC21" i="1"/>
  <c r="CG77" i="1"/>
  <c r="DC16" i="1"/>
  <c r="DC31" i="1"/>
  <c r="E16" i="3"/>
  <c r="E18" i="3" s="1"/>
  <c r="BO77" i="1"/>
  <c r="CV77" i="1"/>
  <c r="DC52" i="1"/>
  <c r="I3" i="3"/>
  <c r="K3" i="3" s="1"/>
  <c r="D16" i="3"/>
  <c r="D18" i="3" s="1"/>
  <c r="C18" i="3"/>
  <c r="I16" i="3" l="1"/>
  <c r="K16" i="3" l="1"/>
  <c r="I18" i="3"/>
</calcChain>
</file>

<file path=xl/sharedStrings.xml><?xml version="1.0" encoding="utf-8"?>
<sst xmlns="http://schemas.openxmlformats.org/spreadsheetml/2006/main" count="949" uniqueCount="155">
  <si>
    <t>K-05</t>
  </si>
  <si>
    <t>L-11</t>
  </si>
  <si>
    <t>N-16</t>
  </si>
  <si>
    <t>P-14</t>
  </si>
  <si>
    <t>S02a</t>
  </si>
  <si>
    <t>S02b</t>
  </si>
  <si>
    <t>U02a</t>
  </si>
  <si>
    <t>S02c</t>
  </si>
  <si>
    <t>X</t>
  </si>
  <si>
    <t>I-05</t>
  </si>
  <si>
    <t>R-11</t>
  </si>
  <si>
    <t>I-02</t>
  </si>
  <si>
    <t>I-04</t>
  </si>
  <si>
    <t>I-07</t>
  </si>
  <si>
    <t>J-13</t>
  </si>
  <si>
    <t>L-10</t>
  </si>
  <si>
    <t>O-01</t>
  </si>
  <si>
    <t>O-09</t>
  </si>
  <si>
    <t>Q-04</t>
  </si>
  <si>
    <t>Q-06</t>
  </si>
  <si>
    <t>R-08</t>
  </si>
  <si>
    <t>R-13</t>
  </si>
  <si>
    <t>R-14</t>
  </si>
  <si>
    <t>S01b</t>
  </si>
  <si>
    <t>T01a</t>
  </si>
  <si>
    <t>T01b</t>
  </si>
  <si>
    <t>V-02</t>
  </si>
  <si>
    <t>I-08</t>
  </si>
  <si>
    <t>J-18</t>
  </si>
  <si>
    <t>K-01</t>
  </si>
  <si>
    <t>M-04</t>
  </si>
  <si>
    <t>M-07</t>
  </si>
  <si>
    <t>P-10</t>
  </si>
  <si>
    <t>P-16</t>
  </si>
  <si>
    <t>Q-01</t>
  </si>
  <si>
    <t>L-09</t>
  </si>
  <si>
    <t>V-03</t>
  </si>
  <si>
    <t>N-18</t>
  </si>
  <si>
    <t>O-05</t>
  </si>
  <si>
    <t>I-03</t>
  </si>
  <si>
    <t>K-08</t>
  </si>
  <si>
    <t>K-06</t>
  </si>
  <si>
    <t>L-17</t>
  </si>
  <si>
    <t>N-14</t>
  </si>
  <si>
    <t>N-19</t>
  </si>
  <si>
    <t>O-06</t>
  </si>
  <si>
    <t>P-08</t>
  </si>
  <si>
    <t>P-09</t>
  </si>
  <si>
    <t>T02a</t>
  </si>
  <si>
    <t>P-15</t>
  </si>
  <si>
    <t>Q-08</t>
  </si>
  <si>
    <t>I-06</t>
  </si>
  <si>
    <t>L-14</t>
  </si>
  <si>
    <t>U02b</t>
  </si>
  <si>
    <t>N-12</t>
  </si>
  <si>
    <t>R-12</t>
  </si>
  <si>
    <t>J-12</t>
  </si>
  <si>
    <t>J-14</t>
  </si>
  <si>
    <t>K-02</t>
  </si>
  <si>
    <t>K-09</t>
  </si>
  <si>
    <t>L-08</t>
  </si>
  <si>
    <t>M-08</t>
  </si>
  <si>
    <t>Q-02</t>
  </si>
  <si>
    <t>Q-09</t>
  </si>
  <si>
    <t>R-07</t>
  </si>
  <si>
    <t>N-11</t>
  </si>
  <si>
    <t>P-12</t>
  </si>
  <si>
    <t>P-13</t>
  </si>
  <si>
    <t>V-01</t>
  </si>
  <si>
    <t>J-17</t>
  </si>
  <si>
    <t>L-13</t>
  </si>
  <si>
    <t>N-13</t>
  </si>
  <si>
    <t>J-16</t>
  </si>
  <si>
    <t>L-16</t>
  </si>
  <si>
    <t>O-07</t>
  </si>
  <si>
    <t>Q-07</t>
  </si>
  <si>
    <t>K-04</t>
  </si>
  <si>
    <t>I-09</t>
  </si>
  <si>
    <t>M-03</t>
  </si>
  <si>
    <t>K-07</t>
  </si>
  <si>
    <t>J-11</t>
  </si>
  <si>
    <t>J-15</t>
  </si>
  <si>
    <t>L-15</t>
  </si>
  <si>
    <t>M-02</t>
  </si>
  <si>
    <t>O-03</t>
  </si>
  <si>
    <t>Q-10</t>
  </si>
  <si>
    <t>S01a</t>
  </si>
  <si>
    <t>K-03</t>
  </si>
  <si>
    <t>O-08</t>
  </si>
  <si>
    <t>J-10</t>
  </si>
  <si>
    <t>P-11</t>
  </si>
  <si>
    <t>R-10</t>
  </si>
  <si>
    <t>V-04</t>
  </si>
  <si>
    <t>M-01</t>
  </si>
  <si>
    <t>N-15</t>
  </si>
  <si>
    <t>U-01a</t>
  </si>
  <si>
    <t>U-01b</t>
  </si>
  <si>
    <t>Q-03</t>
  </si>
  <si>
    <t>N-17</t>
  </si>
  <si>
    <t>TIMMS GRADES 5 -8</t>
  </si>
  <si>
    <t>I-01</t>
  </si>
  <si>
    <t>M-05</t>
  </si>
  <si>
    <t>T02b</t>
  </si>
  <si>
    <t>Max</t>
  </si>
  <si>
    <t>Avg</t>
  </si>
  <si>
    <t>ROWS:</t>
  </si>
  <si>
    <t>COLUMNS:</t>
  </si>
  <si>
    <t>0's</t>
  </si>
  <si>
    <t>Total</t>
  </si>
  <si>
    <t>Problem Solving</t>
  </si>
  <si>
    <t>Communication</t>
  </si>
  <si>
    <t>Reasoning</t>
  </si>
  <si>
    <t>Connections</t>
  </si>
  <si>
    <t>Number relations</t>
  </si>
  <si>
    <t>Number systems &amp; number theory</t>
  </si>
  <si>
    <t>Computation &amp; Estimation</t>
  </si>
  <si>
    <t>Patterns &amp; Functions</t>
  </si>
  <si>
    <t>Algebra</t>
  </si>
  <si>
    <t>Statistics</t>
  </si>
  <si>
    <t>Probability</t>
  </si>
  <si>
    <t>Geometry</t>
  </si>
  <si>
    <t>Measurement</t>
  </si>
  <si>
    <t>Fractions &amp; Number Sense</t>
  </si>
  <si>
    <t>Data Representation, Analysis &amp; Probability</t>
  </si>
  <si>
    <t>Proportionality</t>
  </si>
  <si>
    <t>O-02</t>
  </si>
  <si>
    <t>O-04</t>
  </si>
  <si>
    <t>P-17</t>
  </si>
  <si>
    <t>Q-05</t>
  </si>
  <si>
    <t>R-06</t>
  </si>
  <si>
    <t>R-09</t>
  </si>
  <si>
    <t>TOTAL</t>
  </si>
  <si>
    <t>True Avg</t>
  </si>
  <si>
    <t>True Total</t>
  </si>
  <si>
    <t>True 0's</t>
  </si>
  <si>
    <t>TIMSS Content Categories</t>
  </si>
  <si>
    <t>NCTM Standards</t>
  </si>
  <si>
    <t>NCTM Standards Categories</t>
  </si>
  <si>
    <t>1.Problem Solving</t>
  </si>
  <si>
    <t>2.Communication</t>
  </si>
  <si>
    <t>3.Reasoning</t>
  </si>
  <si>
    <t>4.Connections</t>
  </si>
  <si>
    <t>5.Number relations</t>
  </si>
  <si>
    <t>6.NumberSystems&amp;Theory</t>
  </si>
  <si>
    <t>7.Computation&amp;Estimation</t>
  </si>
  <si>
    <t>8.Patterns &amp; Functions</t>
  </si>
  <si>
    <t>9.Algebra</t>
  </si>
  <si>
    <t>10.Statistics</t>
  </si>
  <si>
    <t>11.Probability</t>
  </si>
  <si>
    <t>12.Geometry</t>
  </si>
  <si>
    <t>13.Measurement</t>
  </si>
  <si>
    <t>Correlations/Item</t>
  </si>
  <si>
    <t>Items/Content Category</t>
  </si>
  <si>
    <t>Standards/Category</t>
  </si>
  <si>
    <t>Correlations/Standard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</si>
</sst>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>
    <font>
      <sz val="9"/>
      <name val="Geneva"/>
    </font>
    <font>
      <b/>
      <sz val="12"/>
      <name val="Palatino"/>
    </font>
    <font>
      <b/>
      <u/>
      <sz val="24"/>
      <color indexed="13"/>
      <name val="Geneva"/>
    </font>
    <font>
      <sz val="24"/>
      <name val="Geneva"/>
    </font>
    <font>
      <sz val="18"/>
      <name val="Geneva"/>
    </font>
    <font>
      <b/>
      <sz val="18"/>
      <name val="Geneva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13"/>
        <bgColor indexed="64"/>
      </patternFill>
    </fill>
  </fills>
  <borders count="17">
    <border>
      <left/>
      <right/>
      <top/>
      <bottom/>
      <diagonal/>
    </border>
    <border>
      <left style="thin">
        <color indexed="21"/>
      </left>
      <right/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1"/>
      </left>
      <right/>
      <top style="thick">
        <color indexed="21"/>
      </top>
      <bottom/>
      <diagonal/>
    </border>
    <border>
      <left/>
      <right/>
      <top style="thick">
        <color indexed="21"/>
      </top>
      <bottom/>
      <diagonal/>
    </border>
    <border>
      <left/>
      <right style="thin">
        <color indexed="21"/>
      </right>
      <top style="thick">
        <color indexed="21"/>
      </top>
      <bottom/>
      <diagonal/>
    </border>
    <border>
      <left style="thin">
        <color indexed="21"/>
      </left>
      <right/>
      <top/>
      <bottom style="thick">
        <color indexed="21"/>
      </bottom>
      <diagonal/>
    </border>
    <border>
      <left/>
      <right/>
      <top/>
      <bottom style="thick">
        <color indexed="21"/>
      </bottom>
      <diagonal/>
    </border>
    <border>
      <left/>
      <right style="thin">
        <color indexed="21"/>
      </right>
      <top/>
      <bottom style="thick">
        <color indexed="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21"/>
      </bottom>
      <diagonal/>
    </border>
    <border>
      <left/>
      <right style="thin">
        <color indexed="21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" fontId="1" fillId="3" borderId="4" xfId="0" applyNumberFormat="1" applyFon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3" borderId="6" xfId="0" applyFont="1" applyFill="1" applyBorder="1"/>
    <xf numFmtId="0" fontId="0" fillId="3" borderId="0" xfId="0" applyFill="1" applyBorder="1"/>
    <xf numFmtId="0" fontId="1" fillId="3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3" borderId="0" xfId="0" applyFont="1" applyFill="1" applyBorder="1" applyAlignment="1">
      <alignment horizontal="center" textRotation="90"/>
    </xf>
    <xf numFmtId="0" fontId="1" fillId="3" borderId="11" xfId="0" applyFont="1" applyFill="1" applyBorder="1" applyAlignment="1">
      <alignment horizontal="center" textRotation="90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4" xfId="0" applyBorder="1"/>
    <xf numFmtId="0" fontId="1" fillId="3" borderId="1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15" xfId="0" applyFill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3" fillId="0" borderId="0" xfId="0" applyFont="1"/>
    <xf numFmtId="0" fontId="3" fillId="0" borderId="16" xfId="0" applyFont="1" applyBorder="1"/>
    <xf numFmtId="0" fontId="3" fillId="4" borderId="16" xfId="0" applyFont="1" applyFill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textRotation="90" wrapText="1"/>
    </xf>
    <xf numFmtId="0" fontId="5" fillId="0" borderId="0" xfId="0" applyFont="1"/>
    <xf numFmtId="0" fontId="0" fillId="0" borderId="0" xfId="0" applyAlignment="1">
      <alignment textRotation="90"/>
    </xf>
    <xf numFmtId="0" fontId="5" fillId="0" borderId="0" xfId="0" applyFont="1" applyAlignment="1">
      <alignment wrapText="1"/>
    </xf>
    <xf numFmtId="172" fontId="3" fillId="0" borderId="0" xfId="0" applyNumberFormat="1" applyFont="1"/>
    <xf numFmtId="172" fontId="3" fillId="4" borderId="0" xfId="0" applyNumberFormat="1" applyFont="1" applyFill="1"/>
    <xf numFmtId="0" fontId="3" fillId="0" borderId="16" xfId="0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H259"/>
  <sheetViews>
    <sheetView tabSelected="1" workbookViewId="0">
      <pane xSplit="8480" ySplit="5760" topLeftCell="CG68" activePane="bottomRight"/>
      <selection activeCell="CR1" sqref="CR1:CR65536"/>
      <selection pane="topRight" activeCell="AJ4" sqref="AJ1:AJ65536"/>
      <selection pane="bottomLeft" activeCell="A81" sqref="A81"/>
      <selection pane="bottomRight" activeCell="DC75" sqref="DC75"/>
    </sheetView>
  </sheetViews>
  <sheetFormatPr defaultColWidth="3.796875" defaultRowHeight="11.5"/>
  <cols>
    <col min="1" max="1" width="11.19921875" customWidth="1"/>
    <col min="2" max="2" width="5.5" customWidth="1"/>
    <col min="3" max="20" width="3.796875" customWidth="1"/>
    <col min="21" max="21" width="3.796875" style="44" customWidth="1"/>
    <col min="22" max="67" width="3.796875" customWidth="1"/>
    <col min="68" max="68" width="3.796875" style="44" customWidth="1"/>
    <col min="69" max="85" width="3.796875" customWidth="1"/>
    <col min="86" max="86" width="3.796875" style="44" customWidth="1"/>
    <col min="87" max="100" width="3.796875" customWidth="1"/>
    <col min="101" max="101" width="3.796875" style="44" customWidth="1"/>
  </cols>
  <sheetData>
    <row r="1" spans="1:216" ht="29" customHeight="1" thickTop="1">
      <c r="B1" s="11"/>
      <c r="C1" s="12"/>
      <c r="D1" s="20" t="s">
        <v>99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4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4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4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42"/>
      <c r="CX1" s="12"/>
      <c r="CY1" s="12"/>
      <c r="CZ1" s="21"/>
      <c r="DA1" s="13"/>
    </row>
    <row r="2" spans="1:216" ht="63" customHeight="1" thickBot="1">
      <c r="B2" s="21"/>
      <c r="C2" s="26" t="str">
        <f>VLOOKUP(C4,Sheet2!$A1:$B107,2,FALSE)</f>
        <v>Algebra</v>
      </c>
      <c r="D2" s="26" t="str">
        <f>VLOOKUP(D4,Sheet2!$A1:$B107,2,FALSE)</f>
        <v>Algebra</v>
      </c>
      <c r="E2" s="26" t="str">
        <f>VLOOKUP(E4,Sheet2!$A1:$B107,2,FALSE)</f>
        <v>Algebra</v>
      </c>
      <c r="F2" s="26" t="str">
        <f>VLOOKUP(F4,Sheet2!$A1:$B107,2,FALSE)</f>
        <v>Algebra</v>
      </c>
      <c r="G2" s="26" t="str">
        <f>VLOOKUP(G4,Sheet2!$A1:$B107,2,FALSE)</f>
        <v>Algebra</v>
      </c>
      <c r="H2" s="26" t="str">
        <f>VLOOKUP(H4,Sheet2!$A1:$B107,2,FALSE)</f>
        <v>Algebra</v>
      </c>
      <c r="I2" s="26" t="str">
        <f>VLOOKUP(I4,Sheet2!$A1:$B107,2,FALSE)</f>
        <v>Algebra</v>
      </c>
      <c r="J2" s="26" t="str">
        <f>VLOOKUP(J4,Sheet2!$A1:$B107,2,FALSE)</f>
        <v>Algebra</v>
      </c>
      <c r="K2" s="26" t="str">
        <f>VLOOKUP(K4,Sheet2!$A1:$B107,2,FALSE)</f>
        <v>Algebra</v>
      </c>
      <c r="L2" s="26" t="str">
        <f>VLOOKUP(L4,Sheet2!$A1:$B107,2,FALSE)</f>
        <v>Algebra</v>
      </c>
      <c r="M2" s="26" t="str">
        <f>VLOOKUP(M4,Sheet2!$A1:$B107,2,FALSE)</f>
        <v>Algebra</v>
      </c>
      <c r="N2" s="26" t="str">
        <f>VLOOKUP(N4,Sheet2!$A1:$B107,2,FALSE)</f>
        <v>Algebra</v>
      </c>
      <c r="O2" s="26" t="str">
        <f>VLOOKUP(O4,Sheet2!$A1:$B107,2,FALSE)</f>
        <v>Algebra</v>
      </c>
      <c r="P2" s="26" t="str">
        <f>VLOOKUP(P4,Sheet2!$A1:$B107,2,FALSE)</f>
        <v>Algebra</v>
      </c>
      <c r="Q2" s="26" t="str">
        <f>VLOOKUP(Q4,Sheet2!$A1:$B107,2,FALSE)</f>
        <v>Algebra</v>
      </c>
      <c r="R2" s="26" t="str">
        <f>VLOOKUP(R4,Sheet2!$A1:$B107,2,FALSE)</f>
        <v>Algebra</v>
      </c>
      <c r="S2" s="26" t="str">
        <f>VLOOKUP(S4,Sheet2!$A1:$B107,2,FALSE)</f>
        <v>Algebra</v>
      </c>
      <c r="T2" s="26" t="str">
        <f>VLOOKUP(T4,Sheet2!$A1:$B107,2,FALSE)</f>
        <v>Algebra</v>
      </c>
      <c r="U2" s="27" t="str">
        <f>VLOOKUP(U4,Sheet2!$A1:$B107,2,FALSE)</f>
        <v>Data Representation, Analysis &amp; Probability</v>
      </c>
      <c r="V2" s="26" t="str">
        <f>VLOOKUP(V4,Sheet2!$A1:$B107,2,FALSE)</f>
        <v>Data Representation, Analysis &amp; Probability</v>
      </c>
      <c r="W2" s="26" t="str">
        <f>VLOOKUP(W4,Sheet2!$A1:$B107,2,FALSE)</f>
        <v>Data Representation, Analysis &amp; Probability</v>
      </c>
      <c r="X2" s="26" t="str">
        <f>VLOOKUP(X4,Sheet2!$A1:$B107,2,FALSE)</f>
        <v>Data Representation, Analysis &amp; Probability</v>
      </c>
      <c r="Y2" s="26" t="str">
        <f>VLOOKUP(Y4,Sheet2!$A1:$B107,2,FALSE)</f>
        <v>Data Representation, Analysis &amp; Probability</v>
      </c>
      <c r="Z2" s="26" t="str">
        <f>VLOOKUP(Z4,Sheet2!$A1:$B107,2,FALSE)</f>
        <v>Data Representation, Analysis &amp; Probability</v>
      </c>
      <c r="AA2" s="26" t="str">
        <f>VLOOKUP(AA4,Sheet2!$A1:$B107,2,FALSE)</f>
        <v>Data Representation, Analysis &amp; Probability</v>
      </c>
      <c r="AB2" s="26" t="str">
        <f>VLOOKUP(AB4,Sheet2!$A1:$B107,2,FALSE)</f>
        <v>Data Representation, Analysis &amp; Probability</v>
      </c>
      <c r="AC2" s="26" t="str">
        <f>VLOOKUP(AC4,Sheet2!$A1:$B107,2,FALSE)</f>
        <v>Data Representation, Analysis &amp; Probability</v>
      </c>
      <c r="AD2" s="26" t="str">
        <f>VLOOKUP(AD4,Sheet2!$A1:$B107,2,FALSE)</f>
        <v>Data Representation, Analysis &amp; Probability</v>
      </c>
      <c r="AE2" s="26" t="str">
        <f>VLOOKUP(AE4,Sheet2!$A1:$B107,2,FALSE)</f>
        <v>Data Representation, Analysis &amp; Probability</v>
      </c>
      <c r="AF2" s="26" t="str">
        <f>VLOOKUP(AF4,Sheet2!$A1:$B107,2,FALSE)</f>
        <v>Data Representation, Analysis &amp; Probability</v>
      </c>
      <c r="AG2" s="27" t="str">
        <f>VLOOKUP(AG4,Sheet2!$A1:$B107,2,FALSE)</f>
        <v>Fractions &amp; Number Sense</v>
      </c>
      <c r="AH2" s="26" t="str">
        <f>VLOOKUP(AH4,Sheet2!$A1:$B107,2,FALSE)</f>
        <v>Fractions &amp; Number Sense</v>
      </c>
      <c r="AI2" s="26" t="str">
        <f>VLOOKUP(AI4,Sheet2!$A1:$B107,2,FALSE)</f>
        <v>Fractions &amp; Number Sense</v>
      </c>
      <c r="AJ2" s="26" t="str">
        <f>VLOOKUP(AJ4,Sheet2!$A1:$B107,2,FALSE)</f>
        <v>Fractions &amp; Number Sense</v>
      </c>
      <c r="AK2" s="26" t="str">
        <f>VLOOKUP(AK4,Sheet2!$A1:$B107,2,FALSE)</f>
        <v>Fractions &amp; Number Sense</v>
      </c>
      <c r="AL2" s="26" t="str">
        <f>VLOOKUP(AL4,Sheet2!$A1:$B107,2,FALSE)</f>
        <v>Fractions &amp; Number Sense</v>
      </c>
      <c r="AM2" s="26" t="str">
        <f>VLOOKUP(AM4,Sheet2!$A1:$B107,2,FALSE)</f>
        <v>Fractions &amp; Number Sense</v>
      </c>
      <c r="AN2" s="26" t="str">
        <f>VLOOKUP(AN4,Sheet2!$A1:$B107,2,FALSE)</f>
        <v>Fractions &amp; Number Sense</v>
      </c>
      <c r="AO2" s="26" t="str">
        <f>VLOOKUP(AO4,Sheet2!$A1:$B107,2,FALSE)</f>
        <v>Fractions &amp; Number Sense</v>
      </c>
      <c r="AP2" s="26" t="str">
        <f>VLOOKUP(AP4,Sheet2!$A1:$B107,2,FALSE)</f>
        <v>Fractions &amp; Number Sense</v>
      </c>
      <c r="AQ2" s="26" t="str">
        <f>VLOOKUP(AQ4,Sheet2!$A1:$B107,2,FALSE)</f>
        <v>Fractions &amp; Number Sense</v>
      </c>
      <c r="AR2" s="26" t="str">
        <f>VLOOKUP(AR4,Sheet2!$A1:$B107,2,FALSE)</f>
        <v>Fractions &amp; Number Sense</v>
      </c>
      <c r="AS2" s="26" t="str">
        <f>VLOOKUP(AS4,Sheet2!$A1:$B107,2,FALSE)</f>
        <v>Fractions &amp; Number Sense</v>
      </c>
      <c r="AT2" s="26" t="str">
        <f>VLOOKUP(AT4,Sheet2!$A1:$B107,2,FALSE)</f>
        <v>Fractions &amp; Number Sense</v>
      </c>
      <c r="AU2" s="26" t="str">
        <f>VLOOKUP(AU4,Sheet2!$A1:$B107,2,FALSE)</f>
        <v>Fractions &amp; Number Sense</v>
      </c>
      <c r="AV2" s="26" t="str">
        <f>VLOOKUP(AV4,Sheet2!$A1:$B107,2,FALSE)</f>
        <v>Fractions &amp; Number Sense</v>
      </c>
      <c r="AW2" s="26" t="str">
        <f>VLOOKUP(AW4,Sheet2!$A1:$B107,2,FALSE)</f>
        <v>Fractions &amp; Number Sense</v>
      </c>
      <c r="AX2" s="26" t="str">
        <f>VLOOKUP(AX4,Sheet2!$A1:$B107,2,FALSE)</f>
        <v>Fractions &amp; Number Sense</v>
      </c>
      <c r="AY2" s="26" t="str">
        <f>VLOOKUP(AY4,Sheet2!$A1:$B107,2,FALSE)</f>
        <v>Fractions &amp; Number Sense</v>
      </c>
      <c r="AZ2" s="26" t="str">
        <f>VLOOKUP(AZ4,Sheet2!$A1:$B107,2,FALSE)</f>
        <v>Fractions &amp; Number Sense</v>
      </c>
      <c r="BA2" s="26" t="str">
        <f>VLOOKUP(BA4,Sheet2!$A1:$B107,2,FALSE)</f>
        <v>Fractions &amp; Number Sense</v>
      </c>
      <c r="BB2" s="26" t="str">
        <f>VLOOKUP(BB4,Sheet2!$A1:$B107,2,FALSE)</f>
        <v>Fractions &amp; Number Sense</v>
      </c>
      <c r="BC2" s="26" t="str">
        <f>VLOOKUP(BC4,Sheet2!$A1:$B107,2,FALSE)</f>
        <v>Fractions &amp; Number Sense</v>
      </c>
      <c r="BD2" s="26" t="str">
        <f>VLOOKUP(BD4,Sheet2!$A1:$B107,2,FALSE)</f>
        <v>Fractions &amp; Number Sense</v>
      </c>
      <c r="BE2" s="26" t="str">
        <f>VLOOKUP(BE4,Sheet2!$A1:$B107,2,FALSE)</f>
        <v>Fractions &amp; Number Sense</v>
      </c>
      <c r="BF2" s="26" t="str">
        <f>VLOOKUP(BF4,Sheet2!$A1:$B107,2,FALSE)</f>
        <v>Fractions &amp; Number Sense</v>
      </c>
      <c r="BG2" s="26" t="str">
        <f>VLOOKUP(BG4,Sheet2!$A1:$B107,2,FALSE)</f>
        <v>Fractions &amp; Number Sense</v>
      </c>
      <c r="BH2" s="26" t="str">
        <f>VLOOKUP(BH4,Sheet2!$A1:$B107,2,FALSE)</f>
        <v>Fractions &amp; Number Sense</v>
      </c>
      <c r="BI2" s="26" t="str">
        <f>VLOOKUP(BI4,Sheet2!$A1:$B107,2,FALSE)</f>
        <v>Fractions &amp; Number Sense</v>
      </c>
      <c r="BJ2" s="26" t="str">
        <f>VLOOKUP(BJ4,Sheet2!$A1:$B107,2,FALSE)</f>
        <v>Fractions &amp; Number Sense</v>
      </c>
      <c r="BK2" s="26" t="str">
        <f>VLOOKUP(BK4,Sheet2!$A1:$B107,2,FALSE)</f>
        <v>Fractions &amp; Number Sense</v>
      </c>
      <c r="BL2" s="26" t="str">
        <f>VLOOKUP(BL4,Sheet2!$A1:$B107,2,FALSE)</f>
        <v>Fractions &amp; Number Sense</v>
      </c>
      <c r="BM2" s="26" t="str">
        <f>VLOOKUP(BM4,Sheet2!$A1:$B107,2,FALSE)</f>
        <v>Fractions &amp; Number Sense</v>
      </c>
      <c r="BN2" s="26" t="str">
        <f>VLOOKUP(BN4,Sheet2!$A1:$B107,2,FALSE)</f>
        <v>Fractions &amp; Number Sense</v>
      </c>
      <c r="BO2" s="26" t="str">
        <f>VLOOKUP(BO4,Sheet2!$A1:$B107,2,FALSE)</f>
        <v>Fractions &amp; Number Sense</v>
      </c>
      <c r="BP2" s="27" t="str">
        <f>VLOOKUP(BP4,Sheet2!$A1:$B107,2,FALSE)</f>
        <v>Geometry</v>
      </c>
      <c r="BQ2" s="26" t="str">
        <f>VLOOKUP(BQ4,Sheet2!$A1:$B107,2,FALSE)</f>
        <v>Geometry</v>
      </c>
      <c r="BR2" s="26" t="str">
        <f>VLOOKUP(BR4,Sheet2!$A1:$B107,2,FALSE)</f>
        <v>Geometry</v>
      </c>
      <c r="BS2" s="26" t="str">
        <f>VLOOKUP(BS4,Sheet2!$A1:$B107,2,FALSE)</f>
        <v>Geometry</v>
      </c>
      <c r="BT2" s="26" t="str">
        <f>VLOOKUP(BT4,Sheet2!$A1:$B107,2,FALSE)</f>
        <v>Geometry</v>
      </c>
      <c r="BU2" s="26" t="str">
        <f>VLOOKUP(BU4,Sheet2!$A1:$B107,2,FALSE)</f>
        <v>Geometry</v>
      </c>
      <c r="BV2" s="26" t="str">
        <f>VLOOKUP(BV4,Sheet2!$A1:$B107,2,FALSE)</f>
        <v>Geometry</v>
      </c>
      <c r="BW2" s="26" t="str">
        <f>VLOOKUP(BW4,Sheet2!$A1:$B107,2,FALSE)</f>
        <v>Geometry</v>
      </c>
      <c r="BX2" s="26" t="str">
        <f>VLOOKUP(BX4,Sheet2!$A1:$B107,2,FALSE)</f>
        <v>Geometry</v>
      </c>
      <c r="BY2" s="26" t="str">
        <f>VLOOKUP(BY4,Sheet2!$A1:$B107,2,FALSE)</f>
        <v>Geometry</v>
      </c>
      <c r="BZ2" s="26" t="str">
        <f>VLOOKUP(BZ4,Sheet2!$A1:$B107,2,FALSE)</f>
        <v>Geometry</v>
      </c>
      <c r="CA2" s="26" t="str">
        <f>VLOOKUP(CA4,Sheet2!$A1:$B107,2,FALSE)</f>
        <v>Geometry</v>
      </c>
      <c r="CB2" s="26" t="str">
        <f>VLOOKUP(CB4,Sheet2!$A1:$B107,2,FALSE)</f>
        <v>Geometry</v>
      </c>
      <c r="CC2" s="26" t="str">
        <f>VLOOKUP(CC4,Sheet2!$A1:$B107,2,FALSE)</f>
        <v>Geometry</v>
      </c>
      <c r="CD2" s="26" t="str">
        <f>VLOOKUP(CD4,Sheet2!$A1:$B107,2,FALSE)</f>
        <v>Geometry</v>
      </c>
      <c r="CE2" s="26" t="str">
        <f>VLOOKUP(CE4,Sheet2!$A1:$B107,2,FALSE)</f>
        <v>Geometry</v>
      </c>
      <c r="CF2" s="26" t="str">
        <f>VLOOKUP(CF4,Sheet2!$A1:$B107,2,FALSE)</f>
        <v>Geometry</v>
      </c>
      <c r="CG2" s="26" t="str">
        <f>VLOOKUP(CG4,Sheet2!$A1:$B107,2,FALSE)</f>
        <v>Geometry</v>
      </c>
      <c r="CH2" s="27" t="str">
        <f>VLOOKUP(CH4,Sheet2!$A1:$B107,2,FALSE)</f>
        <v>Measurement</v>
      </c>
      <c r="CI2" s="26" t="str">
        <f>VLOOKUP(CI4,Sheet2!$A1:$B107,2,FALSE)</f>
        <v>Measurement</v>
      </c>
      <c r="CJ2" s="26" t="str">
        <f>VLOOKUP(CJ4,Sheet2!$A1:$B107,2,FALSE)</f>
        <v>Measurement</v>
      </c>
      <c r="CK2" s="26" t="str">
        <f>VLOOKUP(CK4,Sheet2!$A1:$B107,2,FALSE)</f>
        <v>Measurement</v>
      </c>
      <c r="CL2" s="26" t="str">
        <f>VLOOKUP(CL4,Sheet2!$A1:$B107,2,FALSE)</f>
        <v>Measurement</v>
      </c>
      <c r="CM2" s="26" t="str">
        <f>VLOOKUP(CM4,Sheet2!$A1:$B107,2,FALSE)</f>
        <v>Measurement</v>
      </c>
      <c r="CN2" s="26" t="str">
        <f>VLOOKUP(CN4,Sheet2!$A1:$B107,2,FALSE)</f>
        <v>Measurement</v>
      </c>
      <c r="CO2" s="26" t="str">
        <f>VLOOKUP(CO4,Sheet2!$A1:$B107,2,FALSE)</f>
        <v>Measurement</v>
      </c>
      <c r="CP2" s="26" t="str">
        <f>VLOOKUP(CP4,Sheet2!$A1:$B107,2,FALSE)</f>
        <v>Measurement</v>
      </c>
      <c r="CQ2" s="26" t="str">
        <f>VLOOKUP(CQ4,Sheet2!$A1:$B107,2,FALSE)</f>
        <v>Measurement</v>
      </c>
      <c r="CR2" s="26" t="str">
        <f>VLOOKUP(CR4,Sheet2!$A1:$B107,2,FALSE)</f>
        <v>Measurement</v>
      </c>
      <c r="CS2" s="26" t="str">
        <f>VLOOKUP(CS4,Sheet2!$A1:$B107,2,FALSE)</f>
        <v>Measurement</v>
      </c>
      <c r="CT2" s="26" t="str">
        <f>VLOOKUP(CT4,Sheet2!$A1:$B107,2,FALSE)</f>
        <v>Measurement</v>
      </c>
      <c r="CU2" s="26" t="str">
        <f>VLOOKUP(CU4,Sheet2!$A1:$B107,2,FALSE)</f>
        <v>Measurement</v>
      </c>
      <c r="CV2" s="26" t="str">
        <f>VLOOKUP(CV4,Sheet2!$A1:$B107,2,FALSE)</f>
        <v>Measurement</v>
      </c>
      <c r="CW2" s="27" t="str">
        <f>VLOOKUP(CW4,Sheet2!$A1:$B107,2,FALSE)</f>
        <v>Proportionality</v>
      </c>
      <c r="CX2" s="26" t="str">
        <f>VLOOKUP(CX4,Sheet2!$A1:$B107,2,FALSE)</f>
        <v>Proportionality</v>
      </c>
      <c r="CY2" s="26" t="str">
        <f>VLOOKUP(CY4,Sheet2!$A1:$B107,2,FALSE)</f>
        <v>Proportionality</v>
      </c>
      <c r="CZ2" s="26" t="str">
        <f>VLOOKUP(CZ4,Sheet2!$A1:$B107,2,FALSE)</f>
        <v>Proportionality</v>
      </c>
      <c r="DA2" s="26" t="str">
        <f>VLOOKUP(DA4,Sheet2!$A1:$B107,2,FALSE)</f>
        <v>Proportionality</v>
      </c>
    </row>
    <row r="3" spans="1:216" ht="15.5" thickTop="1">
      <c r="B3" s="12"/>
      <c r="C3" s="15">
        <v>1</v>
      </c>
      <c r="D3" s="15">
        <f>C3+1</f>
        <v>2</v>
      </c>
      <c r="E3" s="15">
        <f t="shared" ref="E3:CQ3" si="0">D3+1</f>
        <v>3</v>
      </c>
      <c r="F3" s="15">
        <f t="shared" si="0"/>
        <v>4</v>
      </c>
      <c r="G3" s="15">
        <f t="shared" si="0"/>
        <v>5</v>
      </c>
      <c r="H3" s="15">
        <f t="shared" si="0"/>
        <v>6</v>
      </c>
      <c r="I3" s="15">
        <f t="shared" si="0"/>
        <v>7</v>
      </c>
      <c r="J3" s="15">
        <f t="shared" si="0"/>
        <v>8</v>
      </c>
      <c r="K3" s="15">
        <f t="shared" si="0"/>
        <v>9</v>
      </c>
      <c r="L3" s="15">
        <f t="shared" si="0"/>
        <v>10</v>
      </c>
      <c r="M3" s="15">
        <f t="shared" si="0"/>
        <v>11</v>
      </c>
      <c r="N3" s="15">
        <f t="shared" si="0"/>
        <v>12</v>
      </c>
      <c r="O3" s="15">
        <f t="shared" si="0"/>
        <v>13</v>
      </c>
      <c r="P3" s="15">
        <f t="shared" si="0"/>
        <v>14</v>
      </c>
      <c r="Q3" s="15">
        <f t="shared" si="0"/>
        <v>15</v>
      </c>
      <c r="R3" s="15">
        <f t="shared" si="0"/>
        <v>16</v>
      </c>
      <c r="S3" s="15">
        <f t="shared" si="0"/>
        <v>17</v>
      </c>
      <c r="T3" s="15">
        <f t="shared" si="0"/>
        <v>18</v>
      </c>
      <c r="U3" s="28">
        <f t="shared" si="0"/>
        <v>19</v>
      </c>
      <c r="V3" s="15">
        <f t="shared" si="0"/>
        <v>20</v>
      </c>
      <c r="W3" s="15">
        <f t="shared" si="0"/>
        <v>21</v>
      </c>
      <c r="X3" s="15">
        <f t="shared" si="0"/>
        <v>22</v>
      </c>
      <c r="Y3" s="15">
        <f t="shared" si="0"/>
        <v>23</v>
      </c>
      <c r="Z3" s="15">
        <f t="shared" si="0"/>
        <v>24</v>
      </c>
      <c r="AA3" s="15">
        <f t="shared" si="0"/>
        <v>25</v>
      </c>
      <c r="AB3" s="15">
        <f t="shared" si="0"/>
        <v>26</v>
      </c>
      <c r="AC3" s="15">
        <f t="shared" si="0"/>
        <v>27</v>
      </c>
      <c r="AD3" s="15">
        <f t="shared" si="0"/>
        <v>28</v>
      </c>
      <c r="AE3" s="15">
        <f t="shared" si="0"/>
        <v>29</v>
      </c>
      <c r="AF3" s="15">
        <f t="shared" si="0"/>
        <v>30</v>
      </c>
      <c r="AG3" s="28">
        <f>AF3+1</f>
        <v>31</v>
      </c>
      <c r="AH3" s="15">
        <f t="shared" si="0"/>
        <v>32</v>
      </c>
      <c r="AI3" s="15">
        <f t="shared" si="0"/>
        <v>33</v>
      </c>
      <c r="AJ3" s="15">
        <f t="shared" si="0"/>
        <v>34</v>
      </c>
      <c r="AK3" s="15">
        <f t="shared" si="0"/>
        <v>35</v>
      </c>
      <c r="AL3" s="15">
        <f t="shared" si="0"/>
        <v>36</v>
      </c>
      <c r="AM3" s="15">
        <f t="shared" si="0"/>
        <v>37</v>
      </c>
      <c r="AN3" s="15">
        <f t="shared" si="0"/>
        <v>38</v>
      </c>
      <c r="AO3" s="15">
        <f t="shared" si="0"/>
        <v>39</v>
      </c>
      <c r="AP3" s="15">
        <f t="shared" si="0"/>
        <v>40</v>
      </c>
      <c r="AQ3" s="15">
        <f t="shared" si="0"/>
        <v>41</v>
      </c>
      <c r="AR3" s="15">
        <f t="shared" si="0"/>
        <v>42</v>
      </c>
      <c r="AS3" s="15">
        <f t="shared" si="0"/>
        <v>43</v>
      </c>
      <c r="AT3" s="15">
        <f t="shared" si="0"/>
        <v>44</v>
      </c>
      <c r="AU3" s="15">
        <f t="shared" si="0"/>
        <v>45</v>
      </c>
      <c r="AV3" s="15">
        <f t="shared" si="0"/>
        <v>46</v>
      </c>
      <c r="AW3" s="15">
        <f t="shared" si="0"/>
        <v>47</v>
      </c>
      <c r="AX3" s="15">
        <f t="shared" si="0"/>
        <v>48</v>
      </c>
      <c r="AY3" s="15">
        <f t="shared" si="0"/>
        <v>49</v>
      </c>
      <c r="AZ3" s="15">
        <f t="shared" si="0"/>
        <v>50</v>
      </c>
      <c r="BA3" s="15">
        <f t="shared" si="0"/>
        <v>51</v>
      </c>
      <c r="BB3" s="15">
        <f t="shared" si="0"/>
        <v>52</v>
      </c>
      <c r="BC3" s="15">
        <f t="shared" si="0"/>
        <v>53</v>
      </c>
      <c r="BD3" s="15">
        <f t="shared" si="0"/>
        <v>54</v>
      </c>
      <c r="BE3" s="15">
        <f t="shared" si="0"/>
        <v>55</v>
      </c>
      <c r="BF3" s="15">
        <f t="shared" si="0"/>
        <v>56</v>
      </c>
      <c r="BG3" s="15">
        <f t="shared" si="0"/>
        <v>57</v>
      </c>
      <c r="BH3" s="15">
        <f t="shared" si="0"/>
        <v>58</v>
      </c>
      <c r="BI3" s="15">
        <f t="shared" si="0"/>
        <v>59</v>
      </c>
      <c r="BJ3" s="15">
        <f t="shared" si="0"/>
        <v>60</v>
      </c>
      <c r="BK3" s="15">
        <f t="shared" si="0"/>
        <v>61</v>
      </c>
      <c r="BL3" s="15">
        <f t="shared" si="0"/>
        <v>62</v>
      </c>
      <c r="BM3" s="15">
        <f t="shared" si="0"/>
        <v>63</v>
      </c>
      <c r="BN3" s="15">
        <f t="shared" si="0"/>
        <v>64</v>
      </c>
      <c r="BO3" s="15">
        <f t="shared" si="0"/>
        <v>65</v>
      </c>
      <c r="BP3" s="28">
        <f t="shared" si="0"/>
        <v>66</v>
      </c>
      <c r="BQ3" s="15">
        <f t="shared" ref="BQ3:CP3" si="1">BP3+1</f>
        <v>67</v>
      </c>
      <c r="BR3" s="15">
        <f t="shared" si="1"/>
        <v>68</v>
      </c>
      <c r="BS3" s="15">
        <f t="shared" si="1"/>
        <v>69</v>
      </c>
      <c r="BT3" s="15">
        <f t="shared" si="1"/>
        <v>70</v>
      </c>
      <c r="BU3" s="15">
        <f t="shared" si="1"/>
        <v>71</v>
      </c>
      <c r="BV3" s="15">
        <f t="shared" si="1"/>
        <v>72</v>
      </c>
      <c r="BW3" s="15">
        <f t="shared" si="1"/>
        <v>73</v>
      </c>
      <c r="BX3" s="15">
        <f t="shared" si="1"/>
        <v>74</v>
      </c>
      <c r="BY3" s="15">
        <f t="shared" si="1"/>
        <v>75</v>
      </c>
      <c r="BZ3" s="15">
        <f t="shared" si="1"/>
        <v>76</v>
      </c>
      <c r="CA3" s="15">
        <f t="shared" si="1"/>
        <v>77</v>
      </c>
      <c r="CB3" s="15">
        <f t="shared" si="1"/>
        <v>78</v>
      </c>
      <c r="CC3" s="15">
        <f t="shared" si="1"/>
        <v>79</v>
      </c>
      <c r="CD3" s="15">
        <f t="shared" si="1"/>
        <v>80</v>
      </c>
      <c r="CE3" s="15">
        <f t="shared" si="1"/>
        <v>81</v>
      </c>
      <c r="CF3" s="15">
        <f t="shared" si="1"/>
        <v>82</v>
      </c>
      <c r="CG3" s="15">
        <f t="shared" si="1"/>
        <v>83</v>
      </c>
      <c r="CH3" s="28">
        <f t="shared" si="1"/>
        <v>84</v>
      </c>
      <c r="CI3" s="15">
        <f t="shared" si="1"/>
        <v>85</v>
      </c>
      <c r="CJ3" s="15">
        <f t="shared" si="1"/>
        <v>86</v>
      </c>
      <c r="CK3" s="15">
        <f t="shared" si="1"/>
        <v>87</v>
      </c>
      <c r="CL3" s="15">
        <f t="shared" si="1"/>
        <v>88</v>
      </c>
      <c r="CM3" s="15">
        <f t="shared" si="1"/>
        <v>89</v>
      </c>
      <c r="CN3" s="15">
        <f t="shared" si="1"/>
        <v>90</v>
      </c>
      <c r="CO3" s="15">
        <f t="shared" si="1"/>
        <v>91</v>
      </c>
      <c r="CP3" s="15">
        <f t="shared" si="1"/>
        <v>92</v>
      </c>
      <c r="CQ3" s="15">
        <f t="shared" si="0"/>
        <v>93</v>
      </c>
      <c r="CR3" s="15">
        <f t="shared" ref="CR3:DA3" si="2">CQ3+1</f>
        <v>94</v>
      </c>
      <c r="CS3" s="15">
        <f t="shared" si="2"/>
        <v>95</v>
      </c>
      <c r="CT3" s="15">
        <f t="shared" si="2"/>
        <v>96</v>
      </c>
      <c r="CU3" s="15">
        <f t="shared" si="2"/>
        <v>97</v>
      </c>
      <c r="CV3" s="15">
        <f t="shared" si="2"/>
        <v>98</v>
      </c>
      <c r="CW3" s="28">
        <f t="shared" si="2"/>
        <v>99</v>
      </c>
      <c r="CX3" s="15">
        <f t="shared" si="2"/>
        <v>100</v>
      </c>
      <c r="CY3" s="15">
        <f t="shared" si="2"/>
        <v>101</v>
      </c>
      <c r="CZ3" s="15">
        <f t="shared" si="2"/>
        <v>102</v>
      </c>
      <c r="DA3" s="15">
        <f t="shared" si="2"/>
        <v>103</v>
      </c>
    </row>
    <row r="4" spans="1:216" ht="15">
      <c r="B4" s="7"/>
      <c r="C4" s="8" t="s">
        <v>100</v>
      </c>
      <c r="D4" s="9" t="s">
        <v>12</v>
      </c>
      <c r="E4" s="9" t="s">
        <v>28</v>
      </c>
      <c r="F4" s="9" t="s">
        <v>76</v>
      </c>
      <c r="G4" s="9" t="s">
        <v>1</v>
      </c>
      <c r="H4" s="9" t="s">
        <v>73</v>
      </c>
      <c r="I4" s="9" t="s">
        <v>71</v>
      </c>
      <c r="J4" s="9" t="s">
        <v>74</v>
      </c>
      <c r="K4" s="9" t="s">
        <v>32</v>
      </c>
      <c r="L4" s="9" t="s">
        <v>49</v>
      </c>
      <c r="M4" s="9" t="s">
        <v>34</v>
      </c>
      <c r="N4" s="9" t="s">
        <v>62</v>
      </c>
      <c r="O4" s="9" t="s">
        <v>75</v>
      </c>
      <c r="P4" s="9" t="s">
        <v>10</v>
      </c>
      <c r="Q4" s="9" t="s">
        <v>86</v>
      </c>
      <c r="R4" s="9" t="s">
        <v>23</v>
      </c>
      <c r="S4" s="9" t="s">
        <v>24</v>
      </c>
      <c r="T4" s="9" t="s">
        <v>25</v>
      </c>
      <c r="U4" s="29" t="s">
        <v>77</v>
      </c>
      <c r="V4" s="9" t="s">
        <v>14</v>
      </c>
      <c r="W4" s="9" t="s">
        <v>79</v>
      </c>
      <c r="X4" s="9" t="s">
        <v>15</v>
      </c>
      <c r="Y4" s="9" t="s">
        <v>78</v>
      </c>
      <c r="Z4" s="9" t="s">
        <v>37</v>
      </c>
      <c r="AA4" s="9" t="s">
        <v>16</v>
      </c>
      <c r="AB4" s="9" t="s">
        <v>38</v>
      </c>
      <c r="AC4" s="9" t="s">
        <v>18</v>
      </c>
      <c r="AD4" s="9" t="s">
        <v>20</v>
      </c>
      <c r="AE4" s="9" t="s">
        <v>26</v>
      </c>
      <c r="AF4" s="22" t="s">
        <v>127</v>
      </c>
      <c r="AG4" s="29" t="s">
        <v>11</v>
      </c>
      <c r="AH4" s="9" t="s">
        <v>9</v>
      </c>
      <c r="AI4" s="9" t="s">
        <v>51</v>
      </c>
      <c r="AJ4" s="9" t="s">
        <v>13</v>
      </c>
      <c r="AK4" s="9" t="s">
        <v>56</v>
      </c>
      <c r="AL4" s="9" t="s">
        <v>57</v>
      </c>
      <c r="AM4" s="9" t="s">
        <v>69</v>
      </c>
      <c r="AN4" s="9" t="s">
        <v>29</v>
      </c>
      <c r="AO4" s="9" t="s">
        <v>58</v>
      </c>
      <c r="AP4" s="9" t="s">
        <v>41</v>
      </c>
      <c r="AQ4" s="9" t="s">
        <v>59</v>
      </c>
      <c r="AR4" s="9" t="s">
        <v>60</v>
      </c>
      <c r="AS4" s="9" t="s">
        <v>35</v>
      </c>
      <c r="AT4" s="9" t="s">
        <v>42</v>
      </c>
      <c r="AU4" s="9" t="s">
        <v>30</v>
      </c>
      <c r="AV4" s="9" t="s">
        <v>61</v>
      </c>
      <c r="AW4" s="9" t="s">
        <v>65</v>
      </c>
      <c r="AX4" s="9" t="s">
        <v>43</v>
      </c>
      <c r="AY4" s="9" t="s">
        <v>2</v>
      </c>
      <c r="AZ4" s="9" t="s">
        <v>98</v>
      </c>
      <c r="BA4" s="9" t="s">
        <v>44</v>
      </c>
      <c r="BB4" s="9" t="s">
        <v>17</v>
      </c>
      <c r="BC4" s="9" t="s">
        <v>66</v>
      </c>
      <c r="BD4" s="9" t="s">
        <v>67</v>
      </c>
      <c r="BE4" s="9" t="s">
        <v>3</v>
      </c>
      <c r="BF4" s="9" t="s">
        <v>33</v>
      </c>
      <c r="BG4" s="9" t="s">
        <v>19</v>
      </c>
      <c r="BH4" s="9" t="s">
        <v>50</v>
      </c>
      <c r="BI4" s="9" t="s">
        <v>63</v>
      </c>
      <c r="BJ4" s="10" t="s">
        <v>64</v>
      </c>
      <c r="BK4" s="9" t="s">
        <v>55</v>
      </c>
      <c r="BL4" s="9" t="s">
        <v>21</v>
      </c>
      <c r="BM4" s="9" t="s">
        <v>95</v>
      </c>
      <c r="BN4" s="9" t="s">
        <v>96</v>
      </c>
      <c r="BO4" s="9" t="s">
        <v>68</v>
      </c>
      <c r="BP4" s="29" t="s">
        <v>27</v>
      </c>
      <c r="BQ4" s="9" t="s">
        <v>80</v>
      </c>
      <c r="BR4" s="9" t="s">
        <v>81</v>
      </c>
      <c r="BS4" s="9" t="s">
        <v>72</v>
      </c>
      <c r="BT4" s="9" t="s">
        <v>87</v>
      </c>
      <c r="BU4" s="9" t="s">
        <v>40</v>
      </c>
      <c r="BV4" s="9" t="s">
        <v>82</v>
      </c>
      <c r="BW4" s="9" t="s">
        <v>83</v>
      </c>
      <c r="BX4" s="9" t="s">
        <v>101</v>
      </c>
      <c r="BY4" s="9" t="s">
        <v>31</v>
      </c>
      <c r="BZ4" s="9" t="s">
        <v>54</v>
      </c>
      <c r="CA4" s="9" t="s">
        <v>84</v>
      </c>
      <c r="CB4" s="9" t="s">
        <v>88</v>
      </c>
      <c r="CC4" s="9" t="s">
        <v>46</v>
      </c>
      <c r="CD4" s="9" t="s">
        <v>47</v>
      </c>
      <c r="CE4" s="9" t="s">
        <v>85</v>
      </c>
      <c r="CF4" s="9" t="s">
        <v>91</v>
      </c>
      <c r="CG4" s="9" t="s">
        <v>84</v>
      </c>
      <c r="CH4" s="29" t="s">
        <v>39</v>
      </c>
      <c r="CI4" s="9" t="s">
        <v>89</v>
      </c>
      <c r="CJ4" s="9" t="s">
        <v>0</v>
      </c>
      <c r="CK4" s="9" t="s">
        <v>70</v>
      </c>
      <c r="CL4" s="9" t="s">
        <v>93</v>
      </c>
      <c r="CM4" s="9" t="s">
        <v>94</v>
      </c>
      <c r="CN4" s="9" t="s">
        <v>45</v>
      </c>
      <c r="CO4" s="9" t="s">
        <v>90</v>
      </c>
      <c r="CP4" s="9" t="s">
        <v>97</v>
      </c>
      <c r="CQ4" s="9" t="s">
        <v>4</v>
      </c>
      <c r="CR4" s="9" t="s">
        <v>5</v>
      </c>
      <c r="CS4" s="9" t="s">
        <v>7</v>
      </c>
      <c r="CT4" s="9" t="s">
        <v>6</v>
      </c>
      <c r="CU4" s="9" t="s">
        <v>53</v>
      </c>
      <c r="CV4" s="9" t="s">
        <v>92</v>
      </c>
      <c r="CW4" s="29" t="s">
        <v>52</v>
      </c>
      <c r="CX4" s="9" t="s">
        <v>22</v>
      </c>
      <c r="CY4" s="9" t="s">
        <v>48</v>
      </c>
      <c r="CZ4" s="9" t="s">
        <v>102</v>
      </c>
      <c r="DA4" s="9" t="s">
        <v>36</v>
      </c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1"/>
      <c r="HG4" s="1"/>
      <c r="HH4" s="1"/>
    </row>
    <row r="5" spans="1:216" ht="15">
      <c r="A5" t="s">
        <v>109</v>
      </c>
      <c r="B5" s="14">
        <v>1.1000000000000001</v>
      </c>
      <c r="C5" s="15"/>
      <c r="D5" s="15"/>
      <c r="E5" s="15"/>
      <c r="F5" s="15"/>
      <c r="G5" s="15" t="s">
        <v>8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8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28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 t="s">
        <v>8</v>
      </c>
      <c r="AZ5" s="15"/>
      <c r="BA5" s="15"/>
      <c r="BB5" s="15" t="s">
        <v>8</v>
      </c>
      <c r="BC5" s="15"/>
      <c r="BD5" s="15"/>
      <c r="BE5" s="15" t="s">
        <v>8</v>
      </c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28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28"/>
      <c r="CI5" s="15"/>
      <c r="CJ5" s="15" t="s">
        <v>8</v>
      </c>
      <c r="CK5" s="15"/>
      <c r="CL5" s="15"/>
      <c r="CM5" s="15"/>
      <c r="CN5" s="15"/>
      <c r="CO5" s="15"/>
      <c r="CP5" s="15"/>
      <c r="CQ5" s="15" t="s">
        <v>8</v>
      </c>
      <c r="CR5" s="15" t="s">
        <v>8</v>
      </c>
      <c r="CS5" s="15" t="s">
        <v>8</v>
      </c>
      <c r="CT5" s="15" t="s">
        <v>8</v>
      </c>
      <c r="CU5" s="15"/>
      <c r="CV5" s="15"/>
      <c r="CW5" s="28"/>
      <c r="CX5" s="15"/>
      <c r="CY5" s="15"/>
      <c r="CZ5" s="15"/>
      <c r="DA5" s="16"/>
      <c r="DB5" s="2">
        <f t="array" ref="DB5">SUM(IF(C5:DA5&lt;&gt;"",1,0))</f>
        <v>9</v>
      </c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1"/>
      <c r="HG5" s="1"/>
      <c r="HH5" s="1"/>
    </row>
    <row r="6" spans="1:216" ht="15">
      <c r="A6" t="s">
        <v>109</v>
      </c>
      <c r="B6" s="4">
        <v>1.2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8</v>
      </c>
      <c r="Q6" s="5"/>
      <c r="R6" s="5"/>
      <c r="S6" s="5"/>
      <c r="T6" s="5"/>
      <c r="U6" s="30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30"/>
      <c r="AH6" s="5" t="s">
        <v>8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30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30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30"/>
      <c r="CX6" s="5"/>
      <c r="CY6" s="5"/>
      <c r="CZ6" s="5"/>
      <c r="DA6" s="6"/>
      <c r="DB6" s="2">
        <f t="array" ref="DB6">SUM(IF(C6:DA6&lt;&gt;"",1,0))</f>
        <v>2</v>
      </c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1"/>
      <c r="HG6" s="1"/>
      <c r="HH6" s="1"/>
    </row>
    <row r="7" spans="1:216" ht="15">
      <c r="A7" t="s">
        <v>109</v>
      </c>
      <c r="B7" s="14">
        <v>1.3</v>
      </c>
      <c r="C7" s="15"/>
      <c r="D7" s="15" t="s">
        <v>8</v>
      </c>
      <c r="E7" s="15"/>
      <c r="F7" s="15"/>
      <c r="G7" s="15" t="s">
        <v>8</v>
      </c>
      <c r="H7" s="15"/>
      <c r="I7" s="15"/>
      <c r="J7" s="15"/>
      <c r="K7" s="15"/>
      <c r="L7" s="15"/>
      <c r="M7" s="15"/>
      <c r="N7" s="15"/>
      <c r="O7" s="15"/>
      <c r="P7" s="15" t="s">
        <v>8</v>
      </c>
      <c r="Q7" s="15"/>
      <c r="R7" s="15" t="s">
        <v>8</v>
      </c>
      <c r="S7" s="15" t="s">
        <v>8</v>
      </c>
      <c r="T7" s="15" t="s">
        <v>8</v>
      </c>
      <c r="U7" s="28"/>
      <c r="V7" s="15" t="s">
        <v>8</v>
      </c>
      <c r="W7" s="15"/>
      <c r="X7" s="15" t="s">
        <v>8</v>
      </c>
      <c r="Y7" s="15"/>
      <c r="Z7" s="15"/>
      <c r="AA7" s="15" t="s">
        <v>8</v>
      </c>
      <c r="AB7" s="15"/>
      <c r="AC7" s="15" t="s">
        <v>8</v>
      </c>
      <c r="AD7" s="15" t="s">
        <v>8</v>
      </c>
      <c r="AE7" s="15" t="s">
        <v>8</v>
      </c>
      <c r="AF7" s="15" t="s">
        <v>8</v>
      </c>
      <c r="AG7" s="28" t="s">
        <v>8</v>
      </c>
      <c r="AH7" s="15"/>
      <c r="AI7" s="15"/>
      <c r="AJ7" s="15" t="s">
        <v>8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 t="s">
        <v>8</v>
      </c>
      <c r="AZ7" s="15"/>
      <c r="BA7" s="15"/>
      <c r="BB7" s="15" t="s">
        <v>8</v>
      </c>
      <c r="BC7" s="15"/>
      <c r="BD7" s="15"/>
      <c r="BE7" s="15" t="s">
        <v>8</v>
      </c>
      <c r="BF7" s="15"/>
      <c r="BG7" s="15" t="s">
        <v>8</v>
      </c>
      <c r="BH7" s="15"/>
      <c r="BI7" s="15"/>
      <c r="BJ7" s="15"/>
      <c r="BK7" s="15"/>
      <c r="BL7" s="15" t="s">
        <v>8</v>
      </c>
      <c r="BM7" s="15"/>
      <c r="BN7" s="15"/>
      <c r="BO7" s="15"/>
      <c r="BP7" s="28"/>
      <c r="BQ7" s="15"/>
      <c r="BR7" s="15"/>
      <c r="BS7" s="15"/>
      <c r="BT7" s="15"/>
      <c r="BU7" s="15"/>
      <c r="BV7" s="15"/>
      <c r="BW7" s="15"/>
      <c r="BX7" s="15"/>
      <c r="BY7" s="15" t="s">
        <v>8</v>
      </c>
      <c r="BZ7" s="15"/>
      <c r="CA7" s="15"/>
      <c r="CB7" s="15"/>
      <c r="CC7" s="15"/>
      <c r="CD7" s="15"/>
      <c r="CE7" s="15"/>
      <c r="CF7" s="15"/>
      <c r="CG7" s="15"/>
      <c r="CH7" s="28"/>
      <c r="CI7" s="15"/>
      <c r="CJ7" s="15" t="s">
        <v>8</v>
      </c>
      <c r="CK7" s="15"/>
      <c r="CL7" s="15"/>
      <c r="CM7" s="15"/>
      <c r="CN7" s="15"/>
      <c r="CO7" s="15"/>
      <c r="CP7" s="15"/>
      <c r="CQ7" s="15" t="s">
        <v>8</v>
      </c>
      <c r="CR7" s="15" t="s">
        <v>8</v>
      </c>
      <c r="CS7" s="15" t="s">
        <v>8</v>
      </c>
      <c r="CT7" s="15" t="s">
        <v>8</v>
      </c>
      <c r="CU7" s="15"/>
      <c r="CV7" s="15"/>
      <c r="CW7" s="28"/>
      <c r="CX7" s="15" t="s">
        <v>8</v>
      </c>
      <c r="CY7" s="15" t="s">
        <v>8</v>
      </c>
      <c r="CZ7" s="15" t="s">
        <v>8</v>
      </c>
      <c r="DA7" s="16"/>
      <c r="DB7" s="2">
        <f t="array" ref="DB7">SUM(IF(C7:DA7&lt;&gt;"",1,0))</f>
        <v>29</v>
      </c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1"/>
      <c r="HG7" s="1"/>
      <c r="HH7" s="1"/>
    </row>
    <row r="8" spans="1:216" ht="15">
      <c r="A8" t="s">
        <v>109</v>
      </c>
      <c r="B8" s="4">
        <v>1.4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30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30" t="s">
        <v>8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30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30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30"/>
      <c r="CX8" s="5" t="s">
        <v>8</v>
      </c>
      <c r="CY8" s="5"/>
      <c r="CZ8" s="5"/>
      <c r="DA8" s="6"/>
      <c r="DB8" s="2">
        <f t="array" ref="DB8">SUM(IF(C8:DA8&lt;&gt;"",1,0))</f>
        <v>2</v>
      </c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1"/>
      <c r="HG8" s="1"/>
      <c r="HH8" s="1"/>
    </row>
    <row r="9" spans="1:216" ht="15">
      <c r="A9" t="s">
        <v>109</v>
      </c>
      <c r="B9" s="14">
        <v>1.5</v>
      </c>
      <c r="C9" s="15"/>
      <c r="D9" s="15"/>
      <c r="E9" s="15"/>
      <c r="F9" s="15"/>
      <c r="G9" s="15" t="s">
        <v>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 t="s">
        <v>8</v>
      </c>
      <c r="T9" s="15"/>
      <c r="U9" s="28"/>
      <c r="V9" s="15"/>
      <c r="W9" s="15"/>
      <c r="X9" s="15"/>
      <c r="Y9" s="15"/>
      <c r="Z9" s="15"/>
      <c r="AA9" s="15"/>
      <c r="AB9" s="15"/>
      <c r="AC9" s="15"/>
      <c r="AD9" s="15" t="s">
        <v>8</v>
      </c>
      <c r="AE9" s="15" t="s">
        <v>8</v>
      </c>
      <c r="AF9" s="15"/>
      <c r="AG9" s="28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 t="s">
        <v>8</v>
      </c>
      <c r="AZ9" s="15"/>
      <c r="BA9" s="15"/>
      <c r="BB9" s="15" t="s">
        <v>8</v>
      </c>
      <c r="BC9" s="15"/>
      <c r="BD9" s="15"/>
      <c r="BE9" s="15" t="s">
        <v>8</v>
      </c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28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28"/>
      <c r="CI9" s="15"/>
      <c r="CJ9" s="15" t="s">
        <v>8</v>
      </c>
      <c r="CK9" s="15"/>
      <c r="CL9" s="15"/>
      <c r="CM9" s="15"/>
      <c r="CN9" s="15"/>
      <c r="CO9" s="15"/>
      <c r="CP9" s="15"/>
      <c r="CQ9" s="15" t="s">
        <v>8</v>
      </c>
      <c r="CR9" s="15" t="s">
        <v>8</v>
      </c>
      <c r="CS9" s="15" t="s">
        <v>8</v>
      </c>
      <c r="CT9" s="15" t="s">
        <v>8</v>
      </c>
      <c r="CU9" s="15"/>
      <c r="CV9" s="15"/>
      <c r="CW9" s="28"/>
      <c r="CX9" s="15"/>
      <c r="CY9" s="15" t="s">
        <v>8</v>
      </c>
      <c r="CZ9" s="15" t="s">
        <v>8</v>
      </c>
      <c r="DA9" s="16"/>
      <c r="DB9" s="2">
        <f t="array" ref="DB9">SUM(IF(C9:DA9&lt;&gt;"",1,0))</f>
        <v>14</v>
      </c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1"/>
      <c r="HG9" s="1"/>
      <c r="HH9" s="1"/>
    </row>
    <row r="10" spans="1:216" s="37" customFormat="1" ht="15">
      <c r="A10" s="37" t="s">
        <v>109</v>
      </c>
      <c r="B10" s="38">
        <v>1.6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 t="s">
        <v>8</v>
      </c>
      <c r="Q10" s="39"/>
      <c r="R10" s="39"/>
      <c r="S10" s="39" t="s">
        <v>8</v>
      </c>
      <c r="T10" s="39"/>
      <c r="U10" s="40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40"/>
      <c r="AH10" s="39" t="s">
        <v>8</v>
      </c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40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40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40"/>
      <c r="CX10" s="39"/>
      <c r="CY10" s="39"/>
      <c r="CZ10" s="39"/>
      <c r="DA10" s="41"/>
      <c r="DB10" s="35">
        <f t="array" ref="DB10">SUM(IF(C10:DA10&lt;&gt;"",1,0))</f>
        <v>3</v>
      </c>
      <c r="DC10" s="35">
        <f>SUM(DB5:DB10)</f>
        <v>59</v>
      </c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6"/>
      <c r="HG10" s="36"/>
      <c r="HH10" s="36"/>
    </row>
    <row r="11" spans="1:216" ht="15">
      <c r="A11" t="s">
        <v>110</v>
      </c>
      <c r="B11" s="14">
        <v>2.1</v>
      </c>
      <c r="C11" s="15"/>
      <c r="D11" s="15"/>
      <c r="E11" s="15" t="s">
        <v>8</v>
      </c>
      <c r="F11" s="15"/>
      <c r="G11" s="15" t="s">
        <v>8</v>
      </c>
      <c r="H11" s="15"/>
      <c r="I11" s="15"/>
      <c r="J11" s="15"/>
      <c r="K11" s="15" t="s">
        <v>8</v>
      </c>
      <c r="L11" s="15"/>
      <c r="M11" s="15" t="s">
        <v>8</v>
      </c>
      <c r="N11" s="15"/>
      <c r="O11" s="15"/>
      <c r="P11" s="15"/>
      <c r="Q11" s="15"/>
      <c r="R11" s="15"/>
      <c r="S11" s="15" t="s">
        <v>8</v>
      </c>
      <c r="T11" s="15" t="s">
        <v>8</v>
      </c>
      <c r="U11" s="28"/>
      <c r="V11" s="15"/>
      <c r="W11" s="15"/>
      <c r="X11" s="15"/>
      <c r="Y11" s="15"/>
      <c r="Z11" s="15"/>
      <c r="AA11" s="15" t="s">
        <v>8</v>
      </c>
      <c r="AB11" s="15"/>
      <c r="AC11" s="15"/>
      <c r="AD11" s="15"/>
      <c r="AE11" s="15"/>
      <c r="AF11" s="15"/>
      <c r="AG11" s="28"/>
      <c r="AH11" s="15"/>
      <c r="AI11" s="15"/>
      <c r="AJ11" s="15"/>
      <c r="AK11" s="15"/>
      <c r="AL11" s="15"/>
      <c r="AM11" s="15"/>
      <c r="AN11" s="15" t="s">
        <v>8</v>
      </c>
      <c r="AO11" s="15"/>
      <c r="AP11" s="15"/>
      <c r="AQ11" s="15"/>
      <c r="AR11" s="15"/>
      <c r="AS11" s="15"/>
      <c r="AT11" s="15"/>
      <c r="AU11" s="15" t="s">
        <v>8</v>
      </c>
      <c r="AV11" s="15"/>
      <c r="AW11" s="15"/>
      <c r="AX11" s="15"/>
      <c r="AY11" s="15" t="s">
        <v>8</v>
      </c>
      <c r="AZ11" s="15"/>
      <c r="BA11" s="15"/>
      <c r="BB11" s="15" t="s">
        <v>8</v>
      </c>
      <c r="BC11" s="15"/>
      <c r="BD11" s="15"/>
      <c r="BE11" s="15" t="s">
        <v>8</v>
      </c>
      <c r="BF11" s="15" t="s">
        <v>8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28" t="s">
        <v>8</v>
      </c>
      <c r="BQ11" s="15"/>
      <c r="BR11" s="15"/>
      <c r="BS11" s="15"/>
      <c r="BT11" s="15"/>
      <c r="BU11" s="15"/>
      <c r="BV11" s="15"/>
      <c r="BW11" s="15"/>
      <c r="BX11" s="15"/>
      <c r="BY11" s="15" t="s">
        <v>8</v>
      </c>
      <c r="BZ11" s="15"/>
      <c r="CA11" s="15"/>
      <c r="CB11" s="15"/>
      <c r="CC11" s="15"/>
      <c r="CD11" s="15"/>
      <c r="CE11" s="15"/>
      <c r="CF11" s="15"/>
      <c r="CG11" s="15"/>
      <c r="CH11" s="28"/>
      <c r="CI11" s="15"/>
      <c r="CJ11" s="15" t="s">
        <v>8</v>
      </c>
      <c r="CK11" s="15"/>
      <c r="CL11" s="15"/>
      <c r="CM11" s="15"/>
      <c r="CN11" s="15"/>
      <c r="CO11" s="15"/>
      <c r="CP11" s="15"/>
      <c r="CQ11" s="15" t="s">
        <v>8</v>
      </c>
      <c r="CR11" s="15"/>
      <c r="CS11" s="15"/>
      <c r="CT11" s="15"/>
      <c r="CU11" s="15"/>
      <c r="CV11" s="15"/>
      <c r="CW11" s="28"/>
      <c r="CX11" s="15" t="s">
        <v>8</v>
      </c>
      <c r="CY11" s="15"/>
      <c r="CZ11" s="15"/>
      <c r="DA11" s="16"/>
      <c r="DB11" s="2">
        <f t="array" ref="DB11">SUM(IF(C11:DA11&lt;&gt;"",1,0))</f>
        <v>18</v>
      </c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1"/>
      <c r="HG11" s="1"/>
      <c r="HH11" s="1"/>
    </row>
    <row r="12" spans="1:216" ht="15">
      <c r="A12" t="s">
        <v>110</v>
      </c>
      <c r="B12" s="4">
        <v>2.2000000000000002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 t="s">
        <v>8</v>
      </c>
      <c r="U12" s="30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30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30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30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30"/>
      <c r="CX12" s="5"/>
      <c r="CY12" s="5"/>
      <c r="CZ12" s="5"/>
      <c r="DA12" s="6"/>
      <c r="DB12" s="2">
        <f t="array" ref="DB12">SUM(IF(C12:DA12&lt;&gt;"",1,0))</f>
        <v>1</v>
      </c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1"/>
      <c r="HG12" s="1"/>
      <c r="HH12" s="1"/>
    </row>
    <row r="13" spans="1:216" ht="15">
      <c r="A13" t="s">
        <v>110</v>
      </c>
      <c r="B13" s="14">
        <v>2.2999999999999998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28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28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28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28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28"/>
      <c r="CX13" s="15"/>
      <c r="CY13" s="15"/>
      <c r="CZ13" s="15"/>
      <c r="DA13" s="16"/>
      <c r="DB13" s="2">
        <f t="array" ref="DB13">SUM(IF(C13:DA13&lt;&gt;"",1,0))</f>
        <v>0</v>
      </c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1"/>
      <c r="HG13" s="1"/>
      <c r="HH13" s="1"/>
    </row>
    <row r="14" spans="1:216" ht="15">
      <c r="A14" t="s">
        <v>110</v>
      </c>
      <c r="B14" s="4">
        <v>2.4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30"/>
      <c r="V14" s="5" t="s">
        <v>8</v>
      </c>
      <c r="W14" s="5"/>
      <c r="X14" s="5"/>
      <c r="Y14" s="5"/>
      <c r="Z14" s="5"/>
      <c r="AA14" s="5"/>
      <c r="AB14" s="5"/>
      <c r="AC14" s="5" t="s">
        <v>8</v>
      </c>
      <c r="AD14" s="5"/>
      <c r="AE14" s="5"/>
      <c r="AF14" s="5"/>
      <c r="AG14" s="30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 t="s">
        <v>8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30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30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 t="s">
        <v>8</v>
      </c>
      <c r="CV14" s="5"/>
      <c r="CW14" s="30"/>
      <c r="CX14" s="5"/>
      <c r="CY14" s="5"/>
      <c r="CZ14" s="5"/>
      <c r="DA14" s="6" t="s">
        <v>8</v>
      </c>
      <c r="DB14" s="2">
        <f t="array" ref="DB14">SUM(IF(C14:DA14&lt;&gt;"",1,0))</f>
        <v>5</v>
      </c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1"/>
      <c r="HG14" s="1"/>
      <c r="HH14" s="1"/>
    </row>
    <row r="15" spans="1:216" ht="15">
      <c r="A15" t="s">
        <v>110</v>
      </c>
      <c r="B15" s="14">
        <v>2.5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 t="s">
        <v>8</v>
      </c>
      <c r="U15" s="28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28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28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28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28"/>
      <c r="CX15" s="15"/>
      <c r="CY15" s="15"/>
      <c r="CZ15" s="15"/>
      <c r="DA15" s="16"/>
      <c r="DB15" s="2">
        <f t="array" ref="DB15">SUM(IF(C15:DA15&lt;&gt;"",1,0))</f>
        <v>1</v>
      </c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1"/>
      <c r="HG15" s="1"/>
      <c r="HH15" s="1"/>
    </row>
    <row r="16" spans="1:216" s="37" customFormat="1" ht="15">
      <c r="A16" s="37" t="s">
        <v>110</v>
      </c>
      <c r="B16" s="38">
        <v>2.6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40"/>
      <c r="V16" s="39"/>
      <c r="W16" s="39"/>
      <c r="X16" s="39"/>
      <c r="Y16" s="39"/>
      <c r="Z16" s="39" t="s">
        <v>8</v>
      </c>
      <c r="AA16" s="39"/>
      <c r="AB16" s="39" t="s">
        <v>8</v>
      </c>
      <c r="AC16" s="39"/>
      <c r="AD16" s="39"/>
      <c r="AE16" s="39"/>
      <c r="AF16" s="39"/>
      <c r="AG16" s="40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40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40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40"/>
      <c r="CX16" s="39"/>
      <c r="CY16" s="39"/>
      <c r="CZ16" s="39"/>
      <c r="DA16" s="41"/>
      <c r="DB16" s="35">
        <f t="array" ref="DB16">SUM(IF(C16:DA16&lt;&gt;"",1,0))</f>
        <v>2</v>
      </c>
      <c r="DC16" s="35">
        <f>SUM(DB11:DB16)</f>
        <v>27</v>
      </c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6"/>
      <c r="HG16" s="36"/>
      <c r="HH16" s="36"/>
    </row>
    <row r="17" spans="1:216" ht="15">
      <c r="A17" t="s">
        <v>111</v>
      </c>
      <c r="B17" s="14">
        <v>3.1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28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8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28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28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28"/>
      <c r="CX17" s="15"/>
      <c r="CY17" s="15"/>
      <c r="CZ17" s="15"/>
      <c r="DA17" s="16"/>
      <c r="DB17" s="2">
        <f t="array" ref="DB17">SUM(IF(C17:DA17&lt;&gt;"",1,0))</f>
        <v>0</v>
      </c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1"/>
      <c r="HG17" s="1"/>
      <c r="HH17" s="1"/>
    </row>
    <row r="18" spans="1:216" ht="15">
      <c r="A18" t="s">
        <v>111</v>
      </c>
      <c r="B18" s="4">
        <v>3.2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 t="s">
        <v>8</v>
      </c>
      <c r="S18" s="5"/>
      <c r="T18" s="5"/>
      <c r="U18" s="30"/>
      <c r="V18" s="5"/>
      <c r="W18" s="5"/>
      <c r="X18" s="5"/>
      <c r="Y18" s="5"/>
      <c r="Z18" s="5"/>
      <c r="AA18" s="5"/>
      <c r="AB18" s="5"/>
      <c r="AC18" s="5" t="s">
        <v>8</v>
      </c>
      <c r="AD18" s="5"/>
      <c r="AE18" s="5"/>
      <c r="AF18" s="5"/>
      <c r="AG18" s="30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30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30"/>
      <c r="CI18" s="5"/>
      <c r="CJ18" s="5"/>
      <c r="CK18" s="5"/>
      <c r="CL18" s="5"/>
      <c r="CM18" s="5"/>
      <c r="CN18" s="5"/>
      <c r="CO18" s="5"/>
      <c r="CP18" s="5"/>
      <c r="CQ18" s="5" t="s">
        <v>8</v>
      </c>
      <c r="CR18" s="5" t="s">
        <v>8</v>
      </c>
      <c r="CS18" s="5" t="s">
        <v>8</v>
      </c>
      <c r="CT18" s="5" t="s">
        <v>8</v>
      </c>
      <c r="CU18" s="5"/>
      <c r="CV18" s="5"/>
      <c r="CW18" s="30"/>
      <c r="CX18" s="5" t="s">
        <v>8</v>
      </c>
      <c r="CY18" s="5" t="s">
        <v>8</v>
      </c>
      <c r="CZ18" s="5" t="s">
        <v>8</v>
      </c>
      <c r="DA18" s="6"/>
      <c r="DB18" s="2">
        <f t="array" ref="DB18">SUM(IF(C18:DA18&lt;&gt;"",1,0))</f>
        <v>9</v>
      </c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1"/>
      <c r="HG18" s="1"/>
      <c r="HH18" s="1"/>
    </row>
    <row r="19" spans="1:216" ht="15">
      <c r="A19" t="s">
        <v>111</v>
      </c>
      <c r="B19" s="14">
        <v>3.3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 t="s">
        <v>8</v>
      </c>
      <c r="U19" s="28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8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28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28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28"/>
      <c r="CX19" s="15"/>
      <c r="CY19" s="15"/>
      <c r="CZ19" s="15"/>
      <c r="DA19" s="16"/>
      <c r="DB19" s="2">
        <f t="array" ref="DB19">SUM(IF(C19:DA19&lt;&gt;"",1,0))</f>
        <v>1</v>
      </c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1"/>
      <c r="HG19" s="1"/>
      <c r="HH19" s="1"/>
    </row>
    <row r="20" spans="1:216" ht="15">
      <c r="A20" t="s">
        <v>111</v>
      </c>
      <c r="B20" s="4">
        <v>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 t="s">
        <v>8</v>
      </c>
      <c r="U20" s="30"/>
      <c r="V20" s="5"/>
      <c r="W20" s="5"/>
      <c r="X20" s="5"/>
      <c r="Y20" s="5"/>
      <c r="Z20" s="5"/>
      <c r="AA20" s="5"/>
      <c r="AB20" s="5"/>
      <c r="AC20" s="5" t="s">
        <v>8</v>
      </c>
      <c r="AD20" s="5"/>
      <c r="AE20" s="5"/>
      <c r="AF20" s="5"/>
      <c r="AG20" s="30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30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30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30"/>
      <c r="CX20" s="5" t="s">
        <v>8</v>
      </c>
      <c r="CY20" s="5"/>
      <c r="CZ20" s="5"/>
      <c r="DA20" s="6"/>
      <c r="DB20" s="2">
        <f t="array" ref="DB20">SUM(IF(C20:DA20&lt;&gt;"",1,0))</f>
        <v>3</v>
      </c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1"/>
      <c r="HG20" s="1"/>
      <c r="HH20" s="1"/>
    </row>
    <row r="21" spans="1:216" s="37" customFormat="1" ht="15">
      <c r="A21" s="37" t="s">
        <v>111</v>
      </c>
      <c r="B21" s="7">
        <v>3.5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 t="s">
        <v>8</v>
      </c>
      <c r="U21" s="29"/>
      <c r="V21" s="9"/>
      <c r="W21" s="9"/>
      <c r="X21" s="9"/>
      <c r="Y21" s="9"/>
      <c r="Z21" s="9"/>
      <c r="AA21" s="9"/>
      <c r="AB21" s="9"/>
      <c r="AC21" s="9" t="s">
        <v>8</v>
      </c>
      <c r="AD21" s="9"/>
      <c r="AE21" s="9"/>
      <c r="AF21" s="9"/>
      <c r="AG21" s="2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2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29"/>
      <c r="CI21" s="9"/>
      <c r="CJ21" s="9"/>
      <c r="CK21" s="9"/>
      <c r="CL21" s="9"/>
      <c r="CM21" s="9"/>
      <c r="CN21" s="9"/>
      <c r="CO21" s="9"/>
      <c r="CP21" s="9"/>
      <c r="CQ21" s="9" t="s">
        <v>8</v>
      </c>
      <c r="CR21" s="9" t="s">
        <v>8</v>
      </c>
      <c r="CS21" s="9" t="s">
        <v>8</v>
      </c>
      <c r="CT21" s="9" t="s">
        <v>8</v>
      </c>
      <c r="CU21" s="9"/>
      <c r="CV21" s="9"/>
      <c r="CW21" s="29"/>
      <c r="CX21" s="9"/>
      <c r="CY21" s="9"/>
      <c r="CZ21" s="9"/>
      <c r="DA21" s="34"/>
      <c r="DB21" s="35">
        <f t="array" ref="DB21">SUM(IF(C21:DA21&lt;&gt;"",1,0))</f>
        <v>6</v>
      </c>
      <c r="DC21" s="35">
        <f>SUM(DB17:DB21)</f>
        <v>19</v>
      </c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6"/>
      <c r="HG21" s="36"/>
      <c r="HH21" s="36"/>
    </row>
    <row r="22" spans="1:216" ht="15">
      <c r="A22" t="s">
        <v>112</v>
      </c>
      <c r="B22" s="4">
        <v>4.0999999999999996</v>
      </c>
      <c r="C22" s="5"/>
      <c r="D22" s="5"/>
      <c r="E22" s="5"/>
      <c r="F22" s="5"/>
      <c r="G22" s="5"/>
      <c r="H22" s="5"/>
      <c r="I22" s="5"/>
      <c r="J22" s="5"/>
      <c r="K22" s="5" t="s">
        <v>8</v>
      </c>
      <c r="L22" s="5"/>
      <c r="M22" s="5" t="s">
        <v>8</v>
      </c>
      <c r="N22" s="5"/>
      <c r="O22" s="5"/>
      <c r="P22" s="5"/>
      <c r="Q22" s="5"/>
      <c r="R22" s="5" t="s">
        <v>8</v>
      </c>
      <c r="S22" s="5"/>
      <c r="T22" s="5" t="s">
        <v>8</v>
      </c>
      <c r="U22" s="30"/>
      <c r="V22" s="5"/>
      <c r="W22" s="5"/>
      <c r="X22" s="5"/>
      <c r="Y22" s="5"/>
      <c r="Z22" s="5"/>
      <c r="AA22" s="5" t="s">
        <v>8</v>
      </c>
      <c r="AB22" s="5"/>
      <c r="AC22" s="5"/>
      <c r="AD22" s="5"/>
      <c r="AE22" s="5"/>
      <c r="AF22" s="5"/>
      <c r="AG22" s="30"/>
      <c r="AH22" s="5"/>
      <c r="AI22" s="5"/>
      <c r="AJ22" s="5" t="s">
        <v>8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30" t="s">
        <v>8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30"/>
      <c r="CI22" s="5"/>
      <c r="CJ22" s="5"/>
      <c r="CK22" s="5"/>
      <c r="CL22" s="5"/>
      <c r="CM22" s="5"/>
      <c r="CN22" s="5"/>
      <c r="CO22" s="5"/>
      <c r="CP22" s="5"/>
      <c r="CQ22" s="5" t="s">
        <v>8</v>
      </c>
      <c r="CR22" s="5" t="s">
        <v>8</v>
      </c>
      <c r="CS22" s="5" t="s">
        <v>8</v>
      </c>
      <c r="CT22" s="5" t="s">
        <v>8</v>
      </c>
      <c r="CU22" s="5"/>
      <c r="CV22" s="5"/>
      <c r="CW22" s="30"/>
      <c r="CX22" s="5"/>
      <c r="CY22" s="5"/>
      <c r="CZ22" s="5"/>
      <c r="DA22" s="6"/>
      <c r="DB22" s="2">
        <f t="array" ref="DB22">SUM(IF(C22:DA22&lt;&gt;"",1,0))</f>
        <v>11</v>
      </c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1"/>
      <c r="HG22" s="1"/>
      <c r="HH22" s="1"/>
    </row>
    <row r="23" spans="1:216" ht="15">
      <c r="A23" t="s">
        <v>112</v>
      </c>
      <c r="B23" s="14">
        <v>4.2</v>
      </c>
      <c r="C23" s="15"/>
      <c r="D23" s="15"/>
      <c r="E23" s="15" t="s">
        <v>8</v>
      </c>
      <c r="F23" s="15"/>
      <c r="G23" s="15" t="s">
        <v>8</v>
      </c>
      <c r="H23" s="15"/>
      <c r="I23" s="15"/>
      <c r="J23" s="15"/>
      <c r="K23" s="15" t="s">
        <v>8</v>
      </c>
      <c r="L23" s="15"/>
      <c r="M23" s="15" t="s">
        <v>8</v>
      </c>
      <c r="N23" s="15"/>
      <c r="O23" s="15"/>
      <c r="P23" s="15"/>
      <c r="Q23" s="15"/>
      <c r="R23" s="15"/>
      <c r="S23" s="15" t="s">
        <v>8</v>
      </c>
      <c r="T23" s="15" t="s">
        <v>8</v>
      </c>
      <c r="U23" s="28"/>
      <c r="V23" s="15"/>
      <c r="W23" s="15"/>
      <c r="X23" s="15"/>
      <c r="Y23" s="15"/>
      <c r="Z23" s="15"/>
      <c r="AA23" s="15" t="s">
        <v>8</v>
      </c>
      <c r="AB23" s="15"/>
      <c r="AC23" s="15"/>
      <c r="AD23" s="15"/>
      <c r="AE23" s="15"/>
      <c r="AF23" s="15"/>
      <c r="AG23" s="28" t="s">
        <v>8</v>
      </c>
      <c r="AH23" s="15"/>
      <c r="AI23" s="15"/>
      <c r="AJ23" s="15"/>
      <c r="AK23" s="15"/>
      <c r="AL23" s="15"/>
      <c r="AM23" s="15"/>
      <c r="AN23" s="15" t="s">
        <v>8</v>
      </c>
      <c r="AO23" s="15"/>
      <c r="AP23" s="15"/>
      <c r="AQ23" s="15"/>
      <c r="AR23" s="15"/>
      <c r="AS23" s="15"/>
      <c r="AT23" s="15"/>
      <c r="AU23" s="15" t="s">
        <v>8</v>
      </c>
      <c r="AV23" s="15"/>
      <c r="AW23" s="15"/>
      <c r="AX23" s="15"/>
      <c r="AY23" s="15" t="s">
        <v>8</v>
      </c>
      <c r="AZ23" s="15"/>
      <c r="BA23" s="15"/>
      <c r="BB23" s="15" t="s">
        <v>8</v>
      </c>
      <c r="BC23" s="15"/>
      <c r="BD23" s="15"/>
      <c r="BE23" s="15" t="s">
        <v>8</v>
      </c>
      <c r="BF23" s="15" t="s">
        <v>8</v>
      </c>
      <c r="BG23" s="15"/>
      <c r="BH23" s="15"/>
      <c r="BI23" s="15"/>
      <c r="BJ23" s="15"/>
      <c r="BK23" s="15"/>
      <c r="BL23" s="15"/>
      <c r="BM23" s="15"/>
      <c r="BN23" s="15"/>
      <c r="BO23" s="15"/>
      <c r="BP23" s="28" t="s">
        <v>8</v>
      </c>
      <c r="BQ23" s="15"/>
      <c r="BR23" s="15"/>
      <c r="BS23" s="15"/>
      <c r="BT23" s="15"/>
      <c r="BU23" s="15"/>
      <c r="BV23" s="15"/>
      <c r="BW23" s="15"/>
      <c r="BX23" s="15"/>
      <c r="BY23" s="15" t="s">
        <v>8</v>
      </c>
      <c r="BZ23" s="15"/>
      <c r="CA23" s="15"/>
      <c r="CB23" s="15"/>
      <c r="CC23" s="15"/>
      <c r="CD23" s="15"/>
      <c r="CE23" s="15"/>
      <c r="CF23" s="15"/>
      <c r="CG23" s="15"/>
      <c r="CH23" s="28"/>
      <c r="CI23" s="15"/>
      <c r="CJ23" s="15" t="s">
        <v>8</v>
      </c>
      <c r="CK23" s="15"/>
      <c r="CL23" s="15"/>
      <c r="CM23" s="15"/>
      <c r="CN23" s="15"/>
      <c r="CO23" s="15"/>
      <c r="CP23" s="15"/>
      <c r="CQ23" s="15" t="s">
        <v>8</v>
      </c>
      <c r="CR23" s="15"/>
      <c r="CS23" s="15"/>
      <c r="CT23" s="15"/>
      <c r="CU23" s="15"/>
      <c r="CV23" s="15"/>
      <c r="CW23" s="28"/>
      <c r="CX23" s="15" t="s">
        <v>8</v>
      </c>
      <c r="CY23" s="15"/>
      <c r="CZ23" s="15"/>
      <c r="DA23" s="16"/>
      <c r="DB23" s="2">
        <f t="array" ref="DB23">SUM(IF(C23:DA23&lt;&gt;"",1,0))</f>
        <v>19</v>
      </c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1"/>
      <c r="HG23" s="1"/>
      <c r="HH23" s="1"/>
    </row>
    <row r="24" spans="1:216" ht="15">
      <c r="A24" t="s">
        <v>112</v>
      </c>
      <c r="B24" s="4">
        <v>4.3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30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30"/>
      <c r="AH24" s="5"/>
      <c r="AI24" s="5"/>
      <c r="AJ24" s="5" t="s">
        <v>8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30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30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30"/>
      <c r="CX24" s="5"/>
      <c r="CY24" s="5"/>
      <c r="CZ24" s="5"/>
      <c r="DA24" s="6"/>
      <c r="DB24" s="2">
        <f t="array" ref="DB24">SUM(IF(C24:DA24&lt;&gt;"",1,0))</f>
        <v>1</v>
      </c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1"/>
      <c r="HG24" s="1"/>
      <c r="HH24" s="1"/>
    </row>
    <row r="25" spans="1:216" ht="15">
      <c r="A25" t="s">
        <v>112</v>
      </c>
      <c r="B25" s="14">
        <v>4.4000000000000004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28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8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28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28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28"/>
      <c r="CX25" s="15"/>
      <c r="CY25" s="15"/>
      <c r="CZ25" s="15"/>
      <c r="DA25" s="16"/>
      <c r="DB25" s="2">
        <f t="array" ref="DB25">SUM(IF(C25:DA25&lt;&gt;"",1,0))</f>
        <v>0</v>
      </c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1"/>
      <c r="HG25" s="1"/>
      <c r="HH25" s="1"/>
    </row>
    <row r="26" spans="1:216" s="37" customFormat="1" ht="15">
      <c r="A26" s="37" t="s">
        <v>112</v>
      </c>
      <c r="B26" s="38">
        <v>4.5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 t="s">
        <v>8</v>
      </c>
      <c r="N26" s="39"/>
      <c r="O26" s="39"/>
      <c r="P26" s="39" t="s">
        <v>8</v>
      </c>
      <c r="Q26" s="39"/>
      <c r="R26" s="39"/>
      <c r="S26" s="39"/>
      <c r="T26" s="39"/>
      <c r="U26" s="40"/>
      <c r="V26" s="39"/>
      <c r="W26" s="39"/>
      <c r="X26" s="39"/>
      <c r="Y26" s="39"/>
      <c r="Z26" s="39"/>
      <c r="AA26" s="39" t="s">
        <v>8</v>
      </c>
      <c r="AB26" s="39"/>
      <c r="AC26" s="39"/>
      <c r="AD26" s="39"/>
      <c r="AE26" s="39"/>
      <c r="AF26" s="39" t="s">
        <v>8</v>
      </c>
      <c r="AG26" s="40"/>
      <c r="AH26" s="39" t="s">
        <v>8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40"/>
      <c r="BQ26" s="39"/>
      <c r="BR26" s="39"/>
      <c r="BS26" s="39"/>
      <c r="BT26" s="39"/>
      <c r="BU26" s="39" t="s">
        <v>8</v>
      </c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40" t="s">
        <v>8</v>
      </c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40"/>
      <c r="CX26" s="39"/>
      <c r="CY26" s="39"/>
      <c r="CZ26" s="39"/>
      <c r="DA26" s="41"/>
      <c r="DB26" s="35">
        <f t="array" ref="DB26">SUM(IF(C26:DA26&lt;&gt;"",1,0))</f>
        <v>7</v>
      </c>
      <c r="DC26" s="35">
        <f>SUM(DB22:DB26)</f>
        <v>38</v>
      </c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6"/>
      <c r="HG26" s="36"/>
      <c r="HH26" s="36"/>
    </row>
    <row r="27" spans="1:216" ht="15">
      <c r="A27" t="s">
        <v>113</v>
      </c>
      <c r="B27" s="14">
        <v>5.0999999999999996</v>
      </c>
      <c r="C27" s="15"/>
      <c r="D27" s="15"/>
      <c r="E27" s="15"/>
      <c r="F27" s="15"/>
      <c r="G27" s="15"/>
      <c r="H27" s="15"/>
      <c r="I27" s="15"/>
      <c r="J27" s="15"/>
      <c r="K27" s="15"/>
      <c r="L27" s="15" t="s">
        <v>8</v>
      </c>
      <c r="M27" s="15"/>
      <c r="N27" s="15"/>
      <c r="O27" s="15"/>
      <c r="P27" s="15"/>
      <c r="Q27" s="15"/>
      <c r="R27" s="15"/>
      <c r="S27" s="15"/>
      <c r="T27" s="15"/>
      <c r="U27" s="28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8"/>
      <c r="AH27" s="15"/>
      <c r="AI27" s="15"/>
      <c r="AJ27" s="15"/>
      <c r="AK27" s="15"/>
      <c r="AL27" s="15"/>
      <c r="AM27" s="15"/>
      <c r="AN27" s="15" t="s">
        <v>8</v>
      </c>
      <c r="AO27" s="15"/>
      <c r="AP27" s="15" t="s">
        <v>8</v>
      </c>
      <c r="AQ27" s="15"/>
      <c r="AR27" s="15"/>
      <c r="AS27" s="15" t="s">
        <v>8</v>
      </c>
      <c r="AT27" s="15" t="s">
        <v>8</v>
      </c>
      <c r="AU27" s="15" t="s">
        <v>8</v>
      </c>
      <c r="AV27" s="15"/>
      <c r="AW27" s="15"/>
      <c r="AX27" s="15" t="s">
        <v>8</v>
      </c>
      <c r="AY27" s="15"/>
      <c r="AZ27" s="15"/>
      <c r="BA27" s="15" t="s">
        <v>8</v>
      </c>
      <c r="BB27" s="15"/>
      <c r="BC27" s="15"/>
      <c r="BD27" s="15"/>
      <c r="BE27" s="15"/>
      <c r="BF27" s="15" t="s">
        <v>8</v>
      </c>
      <c r="BG27" s="15"/>
      <c r="BH27" s="15" t="s">
        <v>8</v>
      </c>
      <c r="BI27" s="15"/>
      <c r="BJ27" s="15"/>
      <c r="BK27" s="15"/>
      <c r="BL27" s="15"/>
      <c r="BM27" s="15"/>
      <c r="BN27" s="15"/>
      <c r="BO27" s="15"/>
      <c r="BP27" s="28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 t="s">
        <v>8</v>
      </c>
      <c r="CD27" s="15"/>
      <c r="CE27" s="15"/>
      <c r="CF27" s="15"/>
      <c r="CG27" s="15" t="s">
        <v>8</v>
      </c>
      <c r="CH27" s="28"/>
      <c r="CI27" s="15"/>
      <c r="CJ27" s="15"/>
      <c r="CK27" s="15"/>
      <c r="CL27" s="15"/>
      <c r="CM27" s="15"/>
      <c r="CN27" s="15" t="s">
        <v>8</v>
      </c>
      <c r="CO27" s="15"/>
      <c r="CP27" s="15"/>
      <c r="CQ27" s="15"/>
      <c r="CR27" s="15"/>
      <c r="CS27" s="15"/>
      <c r="CT27" s="15"/>
      <c r="CU27" s="15"/>
      <c r="CV27" s="15"/>
      <c r="CW27" s="28"/>
      <c r="CX27" s="15"/>
      <c r="CY27" s="15" t="s">
        <v>8</v>
      </c>
      <c r="CZ27" s="15" t="s">
        <v>8</v>
      </c>
      <c r="DA27" s="16"/>
      <c r="DB27" s="2">
        <f t="array" ref="DB27">SUM(IF(C27:DA27&lt;&gt;"",1,0))</f>
        <v>15</v>
      </c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1"/>
      <c r="HG27" s="1"/>
      <c r="HH27" s="1"/>
    </row>
    <row r="28" spans="1:216" ht="15">
      <c r="A28" t="s">
        <v>113</v>
      </c>
      <c r="B28" s="4">
        <v>5.2</v>
      </c>
      <c r="C28" s="5"/>
      <c r="D28" s="5"/>
      <c r="E28" s="5"/>
      <c r="F28" s="5"/>
      <c r="G28" s="5" t="s">
        <v>8</v>
      </c>
      <c r="H28" s="5"/>
      <c r="I28" s="5"/>
      <c r="J28" s="5"/>
      <c r="K28" s="5"/>
      <c r="L28" s="5" t="s">
        <v>8</v>
      </c>
      <c r="M28" s="5"/>
      <c r="N28" s="5"/>
      <c r="O28" s="5"/>
      <c r="P28" s="5"/>
      <c r="Q28" s="5"/>
      <c r="R28" s="5" t="s">
        <v>8</v>
      </c>
      <c r="S28" s="5" t="s">
        <v>8</v>
      </c>
      <c r="T28" s="5"/>
      <c r="U28" s="30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30"/>
      <c r="AH28" s="5"/>
      <c r="AI28" s="5" t="s">
        <v>8</v>
      </c>
      <c r="AJ28" s="5"/>
      <c r="AK28" s="5"/>
      <c r="AL28" s="5"/>
      <c r="AM28" s="5"/>
      <c r="AN28" s="5" t="s">
        <v>8</v>
      </c>
      <c r="AO28" s="5"/>
      <c r="AP28" s="5"/>
      <c r="AQ28" s="5"/>
      <c r="AR28" s="5"/>
      <c r="AS28" s="5" t="s">
        <v>8</v>
      </c>
      <c r="AT28" s="5" t="s">
        <v>8</v>
      </c>
      <c r="AU28" s="5" t="s">
        <v>8</v>
      </c>
      <c r="AV28" s="5"/>
      <c r="AW28" s="5"/>
      <c r="AX28" s="5" t="s">
        <v>8</v>
      </c>
      <c r="AY28" s="5" t="s">
        <v>8</v>
      </c>
      <c r="AZ28" s="5"/>
      <c r="BA28" s="5" t="s">
        <v>8</v>
      </c>
      <c r="BB28" s="5" t="s">
        <v>8</v>
      </c>
      <c r="BC28" s="5"/>
      <c r="BD28" s="5"/>
      <c r="BE28" s="5" t="s">
        <v>8</v>
      </c>
      <c r="BF28" s="5" t="s">
        <v>8</v>
      </c>
      <c r="BG28" s="5"/>
      <c r="BH28" s="5" t="s">
        <v>8</v>
      </c>
      <c r="BI28" s="5"/>
      <c r="BJ28" s="5"/>
      <c r="BK28" s="5"/>
      <c r="BL28" s="5"/>
      <c r="BM28" s="5"/>
      <c r="BN28" s="5"/>
      <c r="BO28" s="5"/>
      <c r="BP28" s="30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 t="s">
        <v>8</v>
      </c>
      <c r="CD28" s="5"/>
      <c r="CE28" s="5"/>
      <c r="CF28" s="5"/>
      <c r="CG28" s="5"/>
      <c r="CH28" s="30"/>
      <c r="CI28" s="5"/>
      <c r="CJ28" s="5"/>
      <c r="CK28" s="5"/>
      <c r="CL28" s="5"/>
      <c r="CM28" s="5"/>
      <c r="CN28" s="5" t="s">
        <v>8</v>
      </c>
      <c r="CO28" s="5"/>
      <c r="CP28" s="5"/>
      <c r="CQ28" s="5"/>
      <c r="CR28" s="5"/>
      <c r="CS28" s="5"/>
      <c r="CT28" s="5"/>
      <c r="CU28" s="5"/>
      <c r="CV28" s="5"/>
      <c r="CW28" s="30"/>
      <c r="CX28" s="5"/>
      <c r="CY28" s="5" t="s">
        <v>8</v>
      </c>
      <c r="CZ28" s="5" t="s">
        <v>8</v>
      </c>
      <c r="DA28" s="6"/>
      <c r="DB28" s="2">
        <f t="array" ref="DB28">SUM(IF(C28:DA28&lt;&gt;"",1,0))</f>
        <v>20</v>
      </c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1"/>
      <c r="HG28" s="1"/>
      <c r="HH28" s="1"/>
    </row>
    <row r="29" spans="1:216" ht="15">
      <c r="A29" t="s">
        <v>113</v>
      </c>
      <c r="B29" s="14">
        <v>5.3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28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8"/>
      <c r="AH29" s="15"/>
      <c r="AI29" s="15"/>
      <c r="AJ29" s="15"/>
      <c r="AK29" s="15"/>
      <c r="AL29" s="15"/>
      <c r="AM29" s="15"/>
      <c r="AN29" s="15" t="s">
        <v>8</v>
      </c>
      <c r="AO29" s="15"/>
      <c r="AP29" s="15" t="s">
        <v>8</v>
      </c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28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 t="s">
        <v>8</v>
      </c>
      <c r="CD29" s="15" t="s">
        <v>8</v>
      </c>
      <c r="CE29" s="15"/>
      <c r="CF29" s="15"/>
      <c r="CG29" s="15" t="s">
        <v>8</v>
      </c>
      <c r="CH29" s="28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 t="s">
        <v>8</v>
      </c>
      <c r="CV29" s="15"/>
      <c r="CW29" s="28" t="s">
        <v>8</v>
      </c>
      <c r="CX29" s="15" t="s">
        <v>8</v>
      </c>
      <c r="CY29" s="15" t="s">
        <v>8</v>
      </c>
      <c r="CZ29" s="15" t="s">
        <v>8</v>
      </c>
      <c r="DA29" s="16" t="s">
        <v>8</v>
      </c>
      <c r="DB29" s="2">
        <f t="array" ref="DB29">SUM(IF(C29:DA29&lt;&gt;"",1,0))</f>
        <v>11</v>
      </c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1"/>
      <c r="HG29" s="1"/>
      <c r="HH29" s="1"/>
    </row>
    <row r="30" spans="1:216" ht="15">
      <c r="A30" t="s">
        <v>113</v>
      </c>
      <c r="B30" s="4">
        <v>5.4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30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30"/>
      <c r="AH30" s="5"/>
      <c r="AI30" s="5"/>
      <c r="AJ30" s="5"/>
      <c r="AK30" s="5"/>
      <c r="AL30" s="5"/>
      <c r="AM30" s="5"/>
      <c r="AN30" s="5" t="s">
        <v>8</v>
      </c>
      <c r="AO30" s="5"/>
      <c r="AP30" s="5" t="s">
        <v>8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 t="s">
        <v>8</v>
      </c>
      <c r="BG30" s="5"/>
      <c r="BH30" s="5" t="s">
        <v>8</v>
      </c>
      <c r="BI30" s="5"/>
      <c r="BJ30" s="5"/>
      <c r="BK30" s="5"/>
      <c r="BL30" s="5"/>
      <c r="BM30" s="5"/>
      <c r="BN30" s="5"/>
      <c r="BO30" s="5"/>
      <c r="BP30" s="30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 t="s">
        <v>8</v>
      </c>
      <c r="CH30" s="30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30"/>
      <c r="CX30" s="5"/>
      <c r="CY30" s="5" t="s">
        <v>8</v>
      </c>
      <c r="CZ30" s="5" t="s">
        <v>8</v>
      </c>
      <c r="DA30" s="6"/>
      <c r="DB30" s="2">
        <f t="array" ref="DB30">SUM(IF(C30:DA30&lt;&gt;"",1,0))</f>
        <v>7</v>
      </c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1"/>
      <c r="HG30" s="1"/>
      <c r="HH30" s="1"/>
    </row>
    <row r="31" spans="1:216" s="37" customFormat="1" ht="15">
      <c r="A31" s="37" t="s">
        <v>113</v>
      </c>
      <c r="B31" s="7">
        <v>5.5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2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29"/>
      <c r="AH31" s="9"/>
      <c r="AI31" s="9"/>
      <c r="AJ31" s="9"/>
      <c r="AK31" s="9"/>
      <c r="AL31" s="9"/>
      <c r="AM31" s="9"/>
      <c r="AN31" s="9" t="s">
        <v>8</v>
      </c>
      <c r="AO31" s="9"/>
      <c r="AP31" s="9"/>
      <c r="AQ31" s="9"/>
      <c r="AR31" s="9"/>
      <c r="AS31" s="9"/>
      <c r="AT31" s="9"/>
      <c r="AU31" s="9" t="s">
        <v>8</v>
      </c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 t="s">
        <v>8</v>
      </c>
      <c r="BG31" s="9"/>
      <c r="BH31" s="9"/>
      <c r="BI31" s="9"/>
      <c r="BJ31" s="9"/>
      <c r="BK31" s="9"/>
      <c r="BL31" s="9"/>
      <c r="BM31" s="9"/>
      <c r="BN31" s="9"/>
      <c r="BO31" s="9"/>
      <c r="BP31" s="29"/>
      <c r="BQ31" s="9"/>
      <c r="BR31" s="9"/>
      <c r="BS31" s="9"/>
      <c r="BT31" s="9"/>
      <c r="BU31" s="9"/>
      <c r="BV31" s="9"/>
      <c r="BW31" s="9"/>
      <c r="BX31" s="9"/>
      <c r="BY31" s="9"/>
      <c r="BZ31" s="9" t="s">
        <v>8</v>
      </c>
      <c r="CA31" s="9"/>
      <c r="CB31" s="9"/>
      <c r="CC31" s="9"/>
      <c r="CD31" s="9"/>
      <c r="CE31" s="9"/>
      <c r="CF31" s="9"/>
      <c r="CG31" s="9"/>
      <c r="CH31" s="2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29"/>
      <c r="CX31" s="9"/>
      <c r="CY31" s="9"/>
      <c r="CZ31" s="9"/>
      <c r="DA31" s="34"/>
      <c r="DB31" s="35">
        <f t="array" ref="DB31">SUM(IF(C31:DA31&lt;&gt;"",1,0))</f>
        <v>4</v>
      </c>
      <c r="DC31" s="35">
        <f>SUM(DB27:DB31)</f>
        <v>57</v>
      </c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6"/>
      <c r="HG31" s="36"/>
      <c r="HH31" s="36"/>
    </row>
    <row r="32" spans="1:216" ht="15">
      <c r="A32" t="s">
        <v>114</v>
      </c>
      <c r="B32" s="4">
        <v>6.1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30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30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30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30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30"/>
      <c r="CX32" s="5"/>
      <c r="CY32" s="5"/>
      <c r="CZ32" s="5"/>
      <c r="DA32" s="6"/>
      <c r="DB32" s="2">
        <f t="array" ref="DB32">SUM(IF(C32:DA32&lt;&gt;"",1,0))</f>
        <v>0</v>
      </c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1"/>
      <c r="HG32" s="1"/>
      <c r="HH32" s="1"/>
    </row>
    <row r="33" spans="1:216" ht="15">
      <c r="A33" t="s">
        <v>114</v>
      </c>
      <c r="B33" s="14">
        <v>6.2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28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8"/>
      <c r="AH33" s="15"/>
      <c r="AI33" s="15" t="s">
        <v>8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 t="s">
        <v>8</v>
      </c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 t="s">
        <v>8</v>
      </c>
      <c r="BI33" s="15"/>
      <c r="BJ33" s="15"/>
      <c r="BK33" s="15"/>
      <c r="BL33" s="15"/>
      <c r="BM33" s="15"/>
      <c r="BN33" s="15"/>
      <c r="BO33" s="15"/>
      <c r="BP33" s="28"/>
      <c r="BQ33" s="15"/>
      <c r="BR33" s="15"/>
      <c r="BS33" s="15"/>
      <c r="BT33" s="15"/>
      <c r="BU33" s="15"/>
      <c r="BV33" s="15"/>
      <c r="BW33" s="15"/>
      <c r="BX33" s="15"/>
      <c r="BY33" s="15"/>
      <c r="BZ33" s="15" t="s">
        <v>8</v>
      </c>
      <c r="CA33" s="15"/>
      <c r="CB33" s="15"/>
      <c r="CC33" s="15"/>
      <c r="CD33" s="15"/>
      <c r="CE33" s="15"/>
      <c r="CF33" s="15"/>
      <c r="CG33" s="15"/>
      <c r="CH33" s="28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28"/>
      <c r="CX33" s="15"/>
      <c r="CY33" s="15"/>
      <c r="CZ33" s="15"/>
      <c r="DA33" s="16"/>
      <c r="DB33" s="2">
        <f t="array" ref="DB33">SUM(IF(C33:DA33&lt;&gt;"",1,0))</f>
        <v>4</v>
      </c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1"/>
      <c r="HG33" s="1"/>
      <c r="HH33" s="1"/>
    </row>
    <row r="34" spans="1:216" ht="15">
      <c r="A34" t="s">
        <v>114</v>
      </c>
      <c r="B34" s="4">
        <v>6.3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30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30"/>
      <c r="AH34" s="5"/>
      <c r="AI34" s="5"/>
      <c r="AJ34" s="5" t="s">
        <v>8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30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30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30"/>
      <c r="CX34" s="5"/>
      <c r="CY34" s="5"/>
      <c r="CZ34" s="5"/>
      <c r="DA34" s="6"/>
      <c r="DB34" s="2">
        <f t="array" ref="DB34">SUM(IF(C34:DA34&lt;&gt;"",1,0))</f>
        <v>1</v>
      </c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1"/>
      <c r="HG34" s="1"/>
      <c r="HH34" s="1"/>
    </row>
    <row r="35" spans="1:216" ht="15">
      <c r="A35" t="s">
        <v>114</v>
      </c>
      <c r="B35" s="14">
        <v>6.4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28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8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 t="s">
        <v>8</v>
      </c>
      <c r="BH35" s="15"/>
      <c r="BI35" s="15"/>
      <c r="BJ35" s="15"/>
      <c r="BK35" s="15" t="s">
        <v>8</v>
      </c>
      <c r="BL35" s="15"/>
      <c r="BM35" s="15"/>
      <c r="BN35" s="15"/>
      <c r="BO35" s="15"/>
      <c r="BP35" s="28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28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28"/>
      <c r="CX35" s="15"/>
      <c r="CY35" s="15"/>
      <c r="CZ35" s="15"/>
      <c r="DA35" s="16"/>
      <c r="DB35" s="2">
        <f t="array" ref="DB35">SUM(IF(C35:DA35&lt;&gt;"",1,0))</f>
        <v>2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1"/>
      <c r="HG35" s="1"/>
      <c r="HH35" s="1"/>
    </row>
    <row r="36" spans="1:216" s="37" customFormat="1" ht="15">
      <c r="A36" s="37" t="s">
        <v>114</v>
      </c>
      <c r="B36" s="38">
        <v>6.5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 t="s">
        <v>8</v>
      </c>
      <c r="S36" s="39"/>
      <c r="T36" s="39"/>
      <c r="U36" s="40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40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 t="s">
        <v>8</v>
      </c>
      <c r="BG36" s="39"/>
      <c r="BH36" s="39"/>
      <c r="BI36" s="39"/>
      <c r="BJ36" s="39"/>
      <c r="BK36" s="39"/>
      <c r="BL36" s="39"/>
      <c r="BM36" s="39"/>
      <c r="BN36" s="39"/>
      <c r="BO36" s="39"/>
      <c r="BP36" s="40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40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40"/>
      <c r="CX36" s="39"/>
      <c r="CY36" s="39"/>
      <c r="CZ36" s="39"/>
      <c r="DA36" s="41"/>
      <c r="DB36" s="35">
        <f t="array" ref="DB36">SUM(IF(C36:DA36&lt;&gt;"",1,0))</f>
        <v>2</v>
      </c>
      <c r="DC36" s="35">
        <f>SUM(DB32:DB36)</f>
        <v>9</v>
      </c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6"/>
      <c r="HG36" s="36"/>
      <c r="HH36" s="36"/>
    </row>
    <row r="37" spans="1:216" ht="15">
      <c r="A37" t="s">
        <v>115</v>
      </c>
      <c r="B37" s="14">
        <v>7.1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 t="s">
        <v>8</v>
      </c>
      <c r="O37" s="15"/>
      <c r="P37" s="15"/>
      <c r="Q37" s="15"/>
      <c r="R37" s="15"/>
      <c r="S37" s="15"/>
      <c r="T37" s="15"/>
      <c r="U37" s="28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8" t="s">
        <v>8</v>
      </c>
      <c r="AH37" s="15" t="s">
        <v>8</v>
      </c>
      <c r="AI37" s="15"/>
      <c r="AJ37" s="15"/>
      <c r="AK37" s="15" t="s">
        <v>8</v>
      </c>
      <c r="AL37" s="15" t="s">
        <v>8</v>
      </c>
      <c r="AM37" s="15"/>
      <c r="AN37" s="15"/>
      <c r="AO37" s="15" t="s">
        <v>8</v>
      </c>
      <c r="AP37" s="15"/>
      <c r="AQ37" s="15" t="s">
        <v>8</v>
      </c>
      <c r="AR37" s="15" t="s">
        <v>8</v>
      </c>
      <c r="AS37" s="15"/>
      <c r="AT37" s="15" t="s">
        <v>8</v>
      </c>
      <c r="AU37" s="15"/>
      <c r="AV37" s="15" t="s">
        <v>8</v>
      </c>
      <c r="AW37" s="15"/>
      <c r="AX37" s="15" t="s">
        <v>8</v>
      </c>
      <c r="AY37" s="15"/>
      <c r="AZ37" s="15"/>
      <c r="BA37" s="15"/>
      <c r="BB37" s="15" t="s">
        <v>8</v>
      </c>
      <c r="BC37" s="15"/>
      <c r="BD37" s="15"/>
      <c r="BE37" s="15" t="s">
        <v>8</v>
      </c>
      <c r="BF37" s="15" t="s">
        <v>8</v>
      </c>
      <c r="BG37" s="15"/>
      <c r="BH37" s="15" t="s">
        <v>8</v>
      </c>
      <c r="BI37" s="15" t="s">
        <v>8</v>
      </c>
      <c r="BJ37" s="15" t="s">
        <v>8</v>
      </c>
      <c r="BK37" s="15" t="s">
        <v>8</v>
      </c>
      <c r="BL37" s="15" t="s">
        <v>8</v>
      </c>
      <c r="BM37" s="15"/>
      <c r="BN37" s="15"/>
      <c r="BO37" s="15"/>
      <c r="BP37" s="28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28"/>
      <c r="CI37" s="15"/>
      <c r="CJ37" s="15"/>
      <c r="CK37" s="15"/>
      <c r="CL37" s="15"/>
      <c r="CM37" s="15"/>
      <c r="CN37" s="15" t="s">
        <v>8</v>
      </c>
      <c r="CO37" s="15"/>
      <c r="CP37" s="15"/>
      <c r="CQ37" s="15"/>
      <c r="CR37" s="15"/>
      <c r="CS37" s="15"/>
      <c r="CT37" s="15" t="s">
        <v>8</v>
      </c>
      <c r="CU37" s="15"/>
      <c r="CV37" s="15"/>
      <c r="CW37" s="28"/>
      <c r="CX37" s="15"/>
      <c r="CY37" s="15"/>
      <c r="CZ37" s="15"/>
      <c r="DA37" s="16"/>
      <c r="DB37" s="2">
        <f t="array" ref="DB37">SUM(IF(C37:DA37&lt;&gt;"",1,0))</f>
        <v>21</v>
      </c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1"/>
      <c r="HG37" s="1"/>
      <c r="HH37" s="1"/>
    </row>
    <row r="38" spans="1:216" ht="15">
      <c r="A38" t="s">
        <v>115</v>
      </c>
      <c r="B38" s="4">
        <v>7.2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 t="s">
        <v>8</v>
      </c>
      <c r="O38" s="5"/>
      <c r="P38" s="5"/>
      <c r="Q38" s="5"/>
      <c r="R38" s="5"/>
      <c r="S38" s="5"/>
      <c r="T38" s="5"/>
      <c r="U38" s="30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30" t="s">
        <v>8</v>
      </c>
      <c r="AH38" s="5" t="s">
        <v>8</v>
      </c>
      <c r="AI38" s="5"/>
      <c r="AJ38" s="5" t="s">
        <v>8</v>
      </c>
      <c r="AK38" s="5" t="s">
        <v>8</v>
      </c>
      <c r="AL38" s="5" t="s">
        <v>8</v>
      </c>
      <c r="AM38" s="5"/>
      <c r="AN38" s="5"/>
      <c r="AO38" s="5" t="s">
        <v>8</v>
      </c>
      <c r="AP38" s="5"/>
      <c r="AQ38" s="5" t="s">
        <v>8</v>
      </c>
      <c r="AR38" s="5" t="s">
        <v>8</v>
      </c>
      <c r="AS38" s="5"/>
      <c r="AT38" s="5" t="s">
        <v>8</v>
      </c>
      <c r="AU38" s="5"/>
      <c r="AV38" s="5" t="s">
        <v>8</v>
      </c>
      <c r="AW38" s="5" t="s">
        <v>8</v>
      </c>
      <c r="AX38" s="5" t="s">
        <v>8</v>
      </c>
      <c r="AY38" s="5"/>
      <c r="AZ38" s="5"/>
      <c r="BA38" s="5"/>
      <c r="BB38" s="5" t="s">
        <v>8</v>
      </c>
      <c r="BC38" s="5" t="s">
        <v>8</v>
      </c>
      <c r="BD38" s="5" t="s">
        <v>8</v>
      </c>
      <c r="BE38" s="5"/>
      <c r="BF38" s="5" t="s">
        <v>8</v>
      </c>
      <c r="BG38" s="5"/>
      <c r="BH38" s="5" t="s">
        <v>8</v>
      </c>
      <c r="BI38" s="5" t="s">
        <v>8</v>
      </c>
      <c r="BJ38" s="5" t="s">
        <v>8</v>
      </c>
      <c r="BK38" s="5"/>
      <c r="BL38" s="5" t="s">
        <v>8</v>
      </c>
      <c r="BM38" s="5"/>
      <c r="BN38" s="5"/>
      <c r="BO38" s="5" t="s">
        <v>8</v>
      </c>
      <c r="BP38" s="30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30"/>
      <c r="CI38" s="5"/>
      <c r="CJ38" s="5"/>
      <c r="CK38" s="5"/>
      <c r="CL38" s="5"/>
      <c r="CM38" s="5"/>
      <c r="CN38" s="5" t="s">
        <v>8</v>
      </c>
      <c r="CO38" s="5"/>
      <c r="CP38" s="5"/>
      <c r="CQ38" s="5"/>
      <c r="CR38" s="5"/>
      <c r="CS38" s="5"/>
      <c r="CT38" s="5" t="s">
        <v>8</v>
      </c>
      <c r="CU38" s="5"/>
      <c r="CV38" s="5"/>
      <c r="CW38" s="30"/>
      <c r="CX38" s="5"/>
      <c r="CY38" s="5"/>
      <c r="CZ38" s="5"/>
      <c r="DA38" s="6"/>
      <c r="DB38" s="2">
        <f t="array" ref="DB38">SUM(IF(C38:DA38&lt;&gt;"",1,0))</f>
        <v>24</v>
      </c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1"/>
      <c r="HG38" s="1"/>
      <c r="HH38" s="1"/>
    </row>
    <row r="39" spans="1:216" ht="15">
      <c r="A39" t="s">
        <v>115</v>
      </c>
      <c r="B39" s="14">
        <v>7.3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28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8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 t="s">
        <v>8</v>
      </c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28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 t="s">
        <v>8</v>
      </c>
      <c r="CE39" s="15"/>
      <c r="CF39" s="15"/>
      <c r="CG39" s="15"/>
      <c r="CH39" s="28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28"/>
      <c r="CX39" s="15" t="s">
        <v>8</v>
      </c>
      <c r="CY39" s="15" t="s">
        <v>8</v>
      </c>
      <c r="CZ39" s="15" t="s">
        <v>8</v>
      </c>
      <c r="DA39" s="16"/>
      <c r="DB39" s="2">
        <f t="array" ref="DB39">SUM(IF(C39:DA39&lt;&gt;"",1,0))</f>
        <v>5</v>
      </c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1"/>
      <c r="HG39" s="1"/>
      <c r="HH39" s="1"/>
    </row>
    <row r="40" spans="1:216" ht="15">
      <c r="A40" t="s">
        <v>115</v>
      </c>
      <c r="B40" s="4">
        <v>7.4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30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30"/>
      <c r="AH40" s="5"/>
      <c r="AI40" s="5"/>
      <c r="AJ40" s="5" t="s">
        <v>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30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30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30"/>
      <c r="CX40" s="5"/>
      <c r="CY40" s="5"/>
      <c r="CZ40" s="5"/>
      <c r="DA40" s="6"/>
      <c r="DB40" s="2">
        <f t="array" ref="DB40">SUM(IF(C40:DA40&lt;&gt;"",1,0))</f>
        <v>1</v>
      </c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1"/>
      <c r="HG40" s="1"/>
      <c r="HH40" s="1"/>
    </row>
    <row r="41" spans="1:216" ht="15">
      <c r="A41" t="s">
        <v>115</v>
      </c>
      <c r="B41" s="14">
        <v>7.5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 t="s">
        <v>8</v>
      </c>
      <c r="O41" s="15"/>
      <c r="P41" s="15"/>
      <c r="Q41" s="15"/>
      <c r="R41" s="15"/>
      <c r="S41" s="15"/>
      <c r="T41" s="15"/>
      <c r="U41" s="28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8" t="s">
        <v>8</v>
      </c>
      <c r="AH41" s="15" t="s">
        <v>8</v>
      </c>
      <c r="AI41" s="15"/>
      <c r="AJ41" s="15" t="s">
        <v>8</v>
      </c>
      <c r="AK41" s="15" t="s">
        <v>8</v>
      </c>
      <c r="AL41" s="15" t="s">
        <v>8</v>
      </c>
      <c r="AM41" s="15" t="s">
        <v>8</v>
      </c>
      <c r="AN41" s="15"/>
      <c r="AO41" s="15" t="s">
        <v>8</v>
      </c>
      <c r="AP41" s="15"/>
      <c r="AQ41" s="15" t="s">
        <v>8</v>
      </c>
      <c r="AR41" s="15" t="s">
        <v>8</v>
      </c>
      <c r="AS41" s="15"/>
      <c r="AT41" s="15" t="s">
        <v>8</v>
      </c>
      <c r="AU41" s="15"/>
      <c r="AV41" s="15" t="s">
        <v>8</v>
      </c>
      <c r="AW41" s="15" t="s">
        <v>8</v>
      </c>
      <c r="AX41" s="15" t="s">
        <v>8</v>
      </c>
      <c r="AY41" s="15"/>
      <c r="AZ41" s="15"/>
      <c r="BA41" s="15"/>
      <c r="BB41" s="15" t="s">
        <v>8</v>
      </c>
      <c r="BC41" s="15" t="s">
        <v>8</v>
      </c>
      <c r="BD41" s="15" t="s">
        <v>8</v>
      </c>
      <c r="BE41" s="15" t="s">
        <v>8</v>
      </c>
      <c r="BF41" s="15" t="s">
        <v>8</v>
      </c>
      <c r="BG41" s="15"/>
      <c r="BH41" s="15" t="s">
        <v>8</v>
      </c>
      <c r="BI41" s="15" t="s">
        <v>8</v>
      </c>
      <c r="BJ41" s="15" t="s">
        <v>8</v>
      </c>
      <c r="BK41" s="15"/>
      <c r="BL41" s="15" t="s">
        <v>8</v>
      </c>
      <c r="BM41" s="15"/>
      <c r="BN41" s="15"/>
      <c r="BO41" s="15" t="s">
        <v>8</v>
      </c>
      <c r="BP41" s="28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 t="s">
        <v>8</v>
      </c>
      <c r="CE41" s="15"/>
      <c r="CF41" s="15"/>
      <c r="CG41" s="15"/>
      <c r="CH41" s="28"/>
      <c r="CI41" s="15"/>
      <c r="CJ41" s="15"/>
      <c r="CK41" s="15"/>
      <c r="CL41" s="15"/>
      <c r="CM41" s="15"/>
      <c r="CN41" s="15" t="s">
        <v>8</v>
      </c>
      <c r="CO41" s="15"/>
      <c r="CP41" s="15"/>
      <c r="CQ41" s="15"/>
      <c r="CR41" s="15"/>
      <c r="CS41" s="15"/>
      <c r="CT41" s="15" t="s">
        <v>8</v>
      </c>
      <c r="CU41" s="15"/>
      <c r="CV41" s="15"/>
      <c r="CW41" s="28" t="s">
        <v>8</v>
      </c>
      <c r="CX41" s="15" t="s">
        <v>8</v>
      </c>
      <c r="CY41" s="15" t="s">
        <v>8</v>
      </c>
      <c r="CZ41" s="15" t="s">
        <v>8</v>
      </c>
      <c r="DA41" s="16"/>
      <c r="DB41" s="2">
        <f t="array" ref="DB41">SUM(IF(C41:DA41&lt;&gt;"",1,0))</f>
        <v>31</v>
      </c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1"/>
      <c r="HG41" s="1"/>
      <c r="HH41" s="1"/>
    </row>
    <row r="42" spans="1:216" s="37" customFormat="1" ht="15">
      <c r="A42" s="37" t="s">
        <v>115</v>
      </c>
      <c r="B42" s="38">
        <v>7.6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40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40"/>
      <c r="AH42" s="39"/>
      <c r="AI42" s="39"/>
      <c r="AJ42" s="39" t="s">
        <v>8</v>
      </c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 t="s">
        <v>8</v>
      </c>
      <c r="BL42" s="39"/>
      <c r="BM42" s="39"/>
      <c r="BN42" s="39"/>
      <c r="BO42" s="39"/>
      <c r="BP42" s="40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40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40"/>
      <c r="CX42" s="39" t="s">
        <v>8</v>
      </c>
      <c r="CY42" s="39"/>
      <c r="CZ42" s="39"/>
      <c r="DA42" s="41"/>
      <c r="DB42" s="35">
        <f t="array" ref="DB42">SUM(IF(C42:DA42&lt;&gt;"",1,0))</f>
        <v>3</v>
      </c>
      <c r="DC42" s="35">
        <f>SUM(DB37:DB42)</f>
        <v>85</v>
      </c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6"/>
      <c r="HG42" s="36"/>
      <c r="HH42" s="36"/>
    </row>
    <row r="43" spans="1:216" ht="15">
      <c r="A43" t="s">
        <v>116</v>
      </c>
      <c r="B43" s="14">
        <v>8.1</v>
      </c>
      <c r="C43" s="15"/>
      <c r="D43" s="15"/>
      <c r="E43" s="15" t="s">
        <v>8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 t="s">
        <v>8</v>
      </c>
      <c r="S43" s="15"/>
      <c r="T43" s="15"/>
      <c r="U43" s="28"/>
      <c r="V43" s="15"/>
      <c r="W43" s="15"/>
      <c r="X43" s="15"/>
      <c r="Y43" s="15"/>
      <c r="Z43" s="15"/>
      <c r="AA43" s="15" t="s">
        <v>8</v>
      </c>
      <c r="AB43" s="15"/>
      <c r="AC43" s="15"/>
      <c r="AD43" s="15" t="s">
        <v>8</v>
      </c>
      <c r="AE43" s="15"/>
      <c r="AF43" s="15"/>
      <c r="AG43" s="28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28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28"/>
      <c r="CI43" s="15"/>
      <c r="CJ43" s="15"/>
      <c r="CK43" s="15" t="s">
        <v>8</v>
      </c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28"/>
      <c r="CX43" s="15"/>
      <c r="CY43" s="15"/>
      <c r="CZ43" s="15"/>
      <c r="DA43" s="16"/>
      <c r="DB43" s="2">
        <f t="array" ref="DB43">SUM(IF(C43:DA43&lt;&gt;"",1,0))</f>
        <v>5</v>
      </c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1"/>
      <c r="HG43" s="1"/>
      <c r="HH43" s="1"/>
    </row>
    <row r="44" spans="1:216" ht="15">
      <c r="A44" t="s">
        <v>116</v>
      </c>
      <c r="B44" s="4">
        <v>8.1999999999999993</v>
      </c>
      <c r="C44" s="5"/>
      <c r="D44" s="5"/>
      <c r="E44" s="5" t="s">
        <v>8</v>
      </c>
      <c r="F44" s="5"/>
      <c r="G44" s="5" t="s">
        <v>8</v>
      </c>
      <c r="H44" s="5"/>
      <c r="I44" s="5"/>
      <c r="J44" s="5"/>
      <c r="K44" s="5"/>
      <c r="L44" s="5"/>
      <c r="M44" s="5" t="s">
        <v>8</v>
      </c>
      <c r="N44" s="5"/>
      <c r="O44" s="5"/>
      <c r="P44" s="5"/>
      <c r="Q44" s="5"/>
      <c r="R44" s="5"/>
      <c r="S44" s="5"/>
      <c r="T44" s="5"/>
      <c r="U44" s="30"/>
      <c r="V44" s="5"/>
      <c r="W44" s="5"/>
      <c r="X44" s="5"/>
      <c r="Y44" s="5"/>
      <c r="Z44" s="5"/>
      <c r="AA44" s="5" t="s">
        <v>8</v>
      </c>
      <c r="AB44" s="5"/>
      <c r="AC44" s="5"/>
      <c r="AD44" s="5" t="s">
        <v>8</v>
      </c>
      <c r="AE44" s="5"/>
      <c r="AF44" s="5"/>
      <c r="AG44" s="30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30" t="s">
        <v>8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30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30"/>
      <c r="CX44" s="5"/>
      <c r="CY44" s="5"/>
      <c r="CZ44" s="5"/>
      <c r="DA44" s="6"/>
      <c r="DB44" s="2">
        <f t="array" ref="DB44">SUM(IF(C44:DA44&lt;&gt;"",1,0))</f>
        <v>6</v>
      </c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1"/>
      <c r="HG44" s="1"/>
      <c r="HH44" s="1"/>
    </row>
    <row r="45" spans="1:216" ht="15">
      <c r="A45" t="s">
        <v>116</v>
      </c>
      <c r="B45" s="14">
        <v>8.3000000000000007</v>
      </c>
      <c r="C45" s="15"/>
      <c r="D45" s="15"/>
      <c r="E45" s="15"/>
      <c r="F45" s="15"/>
      <c r="G45" s="15" t="s">
        <v>8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28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8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28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28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28"/>
      <c r="CX45" s="15"/>
      <c r="CY45" s="15"/>
      <c r="CZ45" s="15"/>
      <c r="DA45" s="16"/>
      <c r="DB45" s="2">
        <f t="array" ref="DB45">SUM(IF(C45:DA45&lt;&gt;"",1,0))</f>
        <v>1</v>
      </c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1"/>
      <c r="HG45" s="1"/>
      <c r="HH45" s="1"/>
    </row>
    <row r="46" spans="1:216" s="37" customFormat="1" ht="15">
      <c r="A46" s="37" t="s">
        <v>116</v>
      </c>
      <c r="B46" s="38">
        <v>8.4</v>
      </c>
      <c r="C46" s="39"/>
      <c r="D46" s="39"/>
      <c r="E46" s="39" t="s">
        <v>8</v>
      </c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 t="s">
        <v>8</v>
      </c>
      <c r="S46" s="39"/>
      <c r="T46" s="39"/>
      <c r="U46" s="40"/>
      <c r="V46" s="39"/>
      <c r="W46" s="39"/>
      <c r="X46" s="39"/>
      <c r="Y46" s="39"/>
      <c r="Z46" s="39"/>
      <c r="AA46" s="39" t="s">
        <v>8</v>
      </c>
      <c r="AB46" s="39"/>
      <c r="AC46" s="39"/>
      <c r="AD46" s="39" t="s">
        <v>8</v>
      </c>
      <c r="AE46" s="39"/>
      <c r="AF46" s="39"/>
      <c r="AG46" s="40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40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40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40"/>
      <c r="CX46" s="39"/>
      <c r="CY46" s="39"/>
      <c r="CZ46" s="39"/>
      <c r="DA46" s="41"/>
      <c r="DB46" s="35">
        <f t="array" ref="DB46">SUM(IF(C46:DA46&lt;&gt;"",1,0))</f>
        <v>4</v>
      </c>
      <c r="DC46" s="35">
        <f>SUM(DB43:DB46)</f>
        <v>16</v>
      </c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6"/>
      <c r="HG46" s="36"/>
      <c r="HH46" s="36"/>
    </row>
    <row r="47" spans="1:216" ht="15">
      <c r="A47" t="s">
        <v>117</v>
      </c>
      <c r="B47" s="14">
        <v>9.1</v>
      </c>
      <c r="C47" s="15" t="s">
        <v>8</v>
      </c>
      <c r="D47" s="15"/>
      <c r="E47" s="15"/>
      <c r="F47" s="15"/>
      <c r="G47" s="15"/>
      <c r="H47" s="15"/>
      <c r="I47" s="15" t="s">
        <v>8</v>
      </c>
      <c r="J47" s="15"/>
      <c r="K47" s="15" t="s">
        <v>8</v>
      </c>
      <c r="L47" s="15" t="s">
        <v>8</v>
      </c>
      <c r="M47" s="15" t="s">
        <v>8</v>
      </c>
      <c r="N47" s="15" t="s">
        <v>8</v>
      </c>
      <c r="O47" s="15"/>
      <c r="P47" s="15"/>
      <c r="Q47" s="15"/>
      <c r="R47" s="15"/>
      <c r="S47" s="15" t="s">
        <v>8</v>
      </c>
      <c r="T47" s="15" t="s">
        <v>8</v>
      </c>
      <c r="U47" s="28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8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28" t="s">
        <v>8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28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28"/>
      <c r="CX47" s="15" t="s">
        <v>8</v>
      </c>
      <c r="CY47" s="15"/>
      <c r="CZ47" s="15"/>
      <c r="DA47" s="16"/>
      <c r="DB47" s="2">
        <f t="array" ref="DB47">SUM(IF(C47:DA47&lt;&gt;"",1,0))</f>
        <v>10</v>
      </c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1"/>
      <c r="HG47" s="1"/>
      <c r="HH47" s="1"/>
    </row>
    <row r="48" spans="1:216" ht="15">
      <c r="A48" t="s">
        <v>117</v>
      </c>
      <c r="B48" s="4">
        <v>9.1999999999999993</v>
      </c>
      <c r="C48" s="5" t="s">
        <v>8</v>
      </c>
      <c r="D48" s="5"/>
      <c r="E48" s="5" t="s">
        <v>8</v>
      </c>
      <c r="F48" s="5"/>
      <c r="G48" s="5" t="s">
        <v>8</v>
      </c>
      <c r="H48" s="5"/>
      <c r="I48" s="5"/>
      <c r="J48" s="5"/>
      <c r="K48" s="5"/>
      <c r="L48" s="5"/>
      <c r="M48" s="5" t="s">
        <v>8</v>
      </c>
      <c r="N48" s="5"/>
      <c r="O48" s="5"/>
      <c r="P48" s="5"/>
      <c r="Q48" s="5"/>
      <c r="R48" s="5"/>
      <c r="S48" s="5" t="s">
        <v>8</v>
      </c>
      <c r="T48" s="5" t="s">
        <v>8</v>
      </c>
      <c r="U48" s="30"/>
      <c r="V48" s="5"/>
      <c r="W48" s="5"/>
      <c r="X48" s="5"/>
      <c r="Y48" s="5"/>
      <c r="Z48" s="5"/>
      <c r="AA48" s="5" t="s">
        <v>8</v>
      </c>
      <c r="AB48" s="5"/>
      <c r="AC48" s="5"/>
      <c r="AD48" s="5"/>
      <c r="AE48" s="5"/>
      <c r="AF48" s="5"/>
      <c r="AG48" s="30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30" t="s">
        <v>8</v>
      </c>
      <c r="BQ48" s="5"/>
      <c r="BR48" s="5"/>
      <c r="BS48" s="5" t="s">
        <v>8</v>
      </c>
      <c r="BT48" s="5"/>
      <c r="BU48" s="5"/>
      <c r="BV48" s="5"/>
      <c r="BW48" s="5"/>
      <c r="BX48" s="5"/>
      <c r="BY48" s="5" t="s">
        <v>8</v>
      </c>
      <c r="BZ48" s="5"/>
      <c r="CA48" s="5"/>
      <c r="CB48" s="5"/>
      <c r="CC48" s="5"/>
      <c r="CD48" s="5"/>
      <c r="CE48" s="5"/>
      <c r="CF48" s="5"/>
      <c r="CG48" s="5"/>
      <c r="CH48" s="30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30"/>
      <c r="CX48" s="5" t="s">
        <v>8</v>
      </c>
      <c r="CY48" s="5"/>
      <c r="CZ48" s="5"/>
      <c r="DA48" s="6"/>
      <c r="DB48" s="2">
        <f t="array" ref="DB48">SUM(IF(C48:DA48&lt;&gt;"",1,0))</f>
        <v>11</v>
      </c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1"/>
      <c r="HG48" s="1"/>
      <c r="HH48" s="1"/>
    </row>
    <row r="49" spans="1:216" ht="15">
      <c r="A49" t="s">
        <v>117</v>
      </c>
      <c r="B49" s="14">
        <v>9.3000000000000007</v>
      </c>
      <c r="C49" s="15"/>
      <c r="D49" s="15"/>
      <c r="E49" s="15" t="s">
        <v>8</v>
      </c>
      <c r="F49" s="15"/>
      <c r="G49" s="15" t="s">
        <v>8</v>
      </c>
      <c r="H49" s="15"/>
      <c r="I49" s="15"/>
      <c r="J49" s="15"/>
      <c r="K49" s="15"/>
      <c r="L49" s="15"/>
      <c r="M49" s="15" t="s">
        <v>8</v>
      </c>
      <c r="N49" s="15"/>
      <c r="O49" s="15"/>
      <c r="P49" s="15"/>
      <c r="Q49" s="15"/>
      <c r="R49" s="15"/>
      <c r="S49" s="15"/>
      <c r="T49" s="15"/>
      <c r="U49" s="28"/>
      <c r="V49" s="15"/>
      <c r="W49" s="15"/>
      <c r="X49" s="15"/>
      <c r="Y49" s="15"/>
      <c r="Z49" s="15"/>
      <c r="AA49" s="15" t="s">
        <v>8</v>
      </c>
      <c r="AB49" s="15"/>
      <c r="AC49" s="15"/>
      <c r="AD49" s="15" t="s">
        <v>8</v>
      </c>
      <c r="AE49" s="15"/>
      <c r="AF49" s="15"/>
      <c r="AG49" s="28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28" t="s">
        <v>8</v>
      </c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28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28"/>
      <c r="CX49" s="15"/>
      <c r="CY49" s="15"/>
      <c r="CZ49" s="15"/>
      <c r="DA49" s="16"/>
      <c r="DB49" s="2">
        <f t="array" ref="DB49">SUM(IF(C49:DA49&lt;&gt;"",1,0))</f>
        <v>6</v>
      </c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1"/>
      <c r="HG49" s="1"/>
      <c r="HH49" s="1"/>
    </row>
    <row r="50" spans="1:216" ht="15">
      <c r="A50" t="s">
        <v>117</v>
      </c>
      <c r="B50" s="4">
        <v>9.4</v>
      </c>
      <c r="C50" s="5"/>
      <c r="D50" s="5"/>
      <c r="E50" s="5"/>
      <c r="F50" s="5"/>
      <c r="G50" s="5"/>
      <c r="H50" s="5" t="s">
        <v>8</v>
      </c>
      <c r="I50" s="5"/>
      <c r="J50" s="5" t="s">
        <v>8</v>
      </c>
      <c r="K50" s="5" t="s">
        <v>8</v>
      </c>
      <c r="L50" s="5"/>
      <c r="M50" s="5"/>
      <c r="N50" s="5" t="s">
        <v>8</v>
      </c>
      <c r="O50" s="5" t="s">
        <v>8</v>
      </c>
      <c r="P50" s="5"/>
      <c r="Q50" s="5"/>
      <c r="R50" s="5"/>
      <c r="S50" s="5" t="s">
        <v>8</v>
      </c>
      <c r="T50" s="5" t="s">
        <v>8</v>
      </c>
      <c r="U50" s="30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30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 t="s">
        <v>8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 t="s">
        <v>8</v>
      </c>
      <c r="BJ50" s="5"/>
      <c r="BK50" s="5"/>
      <c r="BL50" s="5"/>
      <c r="BM50" s="5"/>
      <c r="BN50" s="5"/>
      <c r="BO50" s="5"/>
      <c r="BP50" s="30" t="s">
        <v>8</v>
      </c>
      <c r="BQ50" s="5"/>
      <c r="BR50" s="5"/>
      <c r="BS50" s="5"/>
      <c r="BT50" s="5"/>
      <c r="BU50" s="5"/>
      <c r="BV50" s="5"/>
      <c r="BW50" s="5"/>
      <c r="BX50" s="5"/>
      <c r="BY50" s="5" t="s">
        <v>8</v>
      </c>
      <c r="BZ50" s="5"/>
      <c r="CA50" s="5"/>
      <c r="CB50" s="5"/>
      <c r="CC50" s="5"/>
      <c r="CD50" s="5"/>
      <c r="CE50" s="5"/>
      <c r="CF50" s="5"/>
      <c r="CG50" s="5"/>
      <c r="CH50" s="30"/>
      <c r="CI50" s="5"/>
      <c r="CJ50" s="5" t="s">
        <v>8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30"/>
      <c r="CX50" s="5" t="s">
        <v>8</v>
      </c>
      <c r="CY50" s="5"/>
      <c r="CZ50" s="5"/>
      <c r="DA50" s="6"/>
      <c r="DB50" s="2">
        <f t="array" ref="DB50">SUM(IF(C50:DA50&lt;&gt;"",1,0))</f>
        <v>13</v>
      </c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1"/>
      <c r="HG50" s="1"/>
      <c r="HH50" s="1"/>
    </row>
    <row r="51" spans="1:216" ht="15">
      <c r="A51" t="s">
        <v>117</v>
      </c>
      <c r="B51" s="14">
        <v>9.5</v>
      </c>
      <c r="C51" s="15"/>
      <c r="D51" s="15"/>
      <c r="E51" s="15"/>
      <c r="F51" s="15" t="s">
        <v>8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28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8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28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28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28"/>
      <c r="CX51" s="15"/>
      <c r="CY51" s="15"/>
      <c r="CZ51" s="15"/>
      <c r="DA51" s="16"/>
      <c r="DB51" s="2">
        <f t="array" ref="DB51">SUM(IF(C51:DA51&lt;&gt;"",1,0))</f>
        <v>1</v>
      </c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1"/>
      <c r="HG51" s="1"/>
      <c r="HH51" s="1"/>
    </row>
    <row r="52" spans="1:216" s="37" customFormat="1" ht="15">
      <c r="A52" s="37" t="s">
        <v>117</v>
      </c>
      <c r="B52" s="38">
        <v>9.6</v>
      </c>
      <c r="C52" s="39"/>
      <c r="D52" s="39"/>
      <c r="E52" s="39" t="s">
        <v>8</v>
      </c>
      <c r="F52" s="39" t="s">
        <v>8</v>
      </c>
      <c r="G52" s="39" t="s">
        <v>8</v>
      </c>
      <c r="H52" s="39" t="s">
        <v>8</v>
      </c>
      <c r="I52" s="39"/>
      <c r="J52" s="39" t="s">
        <v>8</v>
      </c>
      <c r="K52" s="39" t="s">
        <v>8</v>
      </c>
      <c r="L52" s="39"/>
      <c r="M52" s="39"/>
      <c r="N52" s="39" t="s">
        <v>8</v>
      </c>
      <c r="O52" s="39" t="s">
        <v>8</v>
      </c>
      <c r="P52" s="39"/>
      <c r="Q52" s="39"/>
      <c r="R52" s="39" t="s">
        <v>8</v>
      </c>
      <c r="S52" s="39" t="s">
        <v>8</v>
      </c>
      <c r="T52" s="39" t="s">
        <v>8</v>
      </c>
      <c r="U52" s="40"/>
      <c r="V52" s="39"/>
      <c r="W52" s="39"/>
      <c r="X52" s="39"/>
      <c r="Y52" s="39"/>
      <c r="Z52" s="39"/>
      <c r="AA52" s="39" t="s">
        <v>8</v>
      </c>
      <c r="AB52" s="39"/>
      <c r="AC52" s="39"/>
      <c r="AD52" s="39" t="s">
        <v>8</v>
      </c>
      <c r="AE52" s="39"/>
      <c r="AF52" s="39"/>
      <c r="AG52" s="40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40" t="s">
        <v>8</v>
      </c>
      <c r="BQ52" s="39"/>
      <c r="BR52" s="39"/>
      <c r="BS52" s="39"/>
      <c r="BT52" s="39"/>
      <c r="BU52" s="39"/>
      <c r="BV52" s="39"/>
      <c r="BW52" s="39"/>
      <c r="BX52" s="39"/>
      <c r="BY52" s="39" t="s">
        <v>8</v>
      </c>
      <c r="BZ52" s="39"/>
      <c r="CA52" s="39"/>
      <c r="CB52" s="39"/>
      <c r="CC52" s="39"/>
      <c r="CD52" s="39"/>
      <c r="CE52" s="39"/>
      <c r="CF52" s="39"/>
      <c r="CG52" s="39"/>
      <c r="CH52" s="40"/>
      <c r="CI52" s="39"/>
      <c r="CJ52" s="39"/>
      <c r="CK52" s="39" t="s">
        <v>8</v>
      </c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40"/>
      <c r="CX52" s="39" t="s">
        <v>8</v>
      </c>
      <c r="CY52" s="39"/>
      <c r="CZ52" s="39"/>
      <c r="DA52" s="41"/>
      <c r="DB52" s="35">
        <f t="array" ref="DB52">SUM(IF(C52:DA52&lt;&gt;"",1,0))</f>
        <v>17</v>
      </c>
      <c r="DC52" s="35">
        <f>SUM(DB47:DB52)</f>
        <v>58</v>
      </c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6"/>
      <c r="HG52" s="36"/>
      <c r="HH52" s="36"/>
    </row>
    <row r="53" spans="1:216" ht="15">
      <c r="A53" t="s">
        <v>118</v>
      </c>
      <c r="B53" s="14">
        <v>10.1</v>
      </c>
      <c r="C53" s="15"/>
      <c r="D53" s="15"/>
      <c r="E53" s="15" t="s">
        <v>8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28"/>
      <c r="V53" s="15" t="s">
        <v>8</v>
      </c>
      <c r="W53" s="15"/>
      <c r="X53" s="15" t="s">
        <v>8</v>
      </c>
      <c r="Y53" s="15"/>
      <c r="Z53" s="15"/>
      <c r="AA53" s="15" t="s">
        <v>8</v>
      </c>
      <c r="AB53" s="15"/>
      <c r="AC53" s="15" t="s">
        <v>8</v>
      </c>
      <c r="AD53" s="15" t="s">
        <v>8</v>
      </c>
      <c r="AE53" s="15" t="s">
        <v>8</v>
      </c>
      <c r="AF53" s="15" t="s">
        <v>8</v>
      </c>
      <c r="AG53" s="28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28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28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28"/>
      <c r="CX53" s="15"/>
      <c r="CY53" s="15"/>
      <c r="CZ53" s="15"/>
      <c r="DA53" s="16"/>
      <c r="DB53" s="2">
        <f t="array" ref="DB53">SUM(IF(C53:DA53&lt;&gt;"",1,0))</f>
        <v>8</v>
      </c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1"/>
      <c r="HG53" s="1"/>
      <c r="HH53" s="1"/>
    </row>
    <row r="54" spans="1:216" ht="15">
      <c r="A54" t="s">
        <v>118</v>
      </c>
      <c r="B54" s="4">
        <v>10.199999999999999</v>
      </c>
      <c r="C54" s="5"/>
      <c r="D54" s="5"/>
      <c r="E54" s="5" t="s">
        <v>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30"/>
      <c r="V54" s="5" t="s">
        <v>8</v>
      </c>
      <c r="W54" s="5"/>
      <c r="X54" s="5"/>
      <c r="Y54" s="5"/>
      <c r="Z54" s="5"/>
      <c r="AA54" s="5" t="s">
        <v>8</v>
      </c>
      <c r="AB54" s="5"/>
      <c r="AC54" s="5" t="s">
        <v>8</v>
      </c>
      <c r="AD54" s="5" t="s">
        <v>8</v>
      </c>
      <c r="AE54" s="5"/>
      <c r="AF54" s="5"/>
      <c r="AG54" s="30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30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30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30"/>
      <c r="CX54" s="5"/>
      <c r="CY54" s="5"/>
      <c r="CZ54" s="5"/>
      <c r="DA54" s="6"/>
      <c r="DB54" s="2">
        <f t="array" ref="DB54">SUM(IF(C54:DA54&lt;&gt;"",1,0))</f>
        <v>5</v>
      </c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1"/>
      <c r="HG54" s="1"/>
      <c r="HH54" s="1"/>
    </row>
    <row r="55" spans="1:216" ht="15">
      <c r="A55" t="s">
        <v>118</v>
      </c>
      <c r="B55" s="14">
        <v>10.3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28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8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28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28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28"/>
      <c r="CX55" s="15"/>
      <c r="CY55" s="15"/>
      <c r="CZ55" s="15"/>
      <c r="DA55" s="16"/>
      <c r="DB55" s="2">
        <f t="array" ref="DB55">SUM(IF(C55:DA55&lt;&gt;"",1,0))</f>
        <v>0</v>
      </c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1"/>
      <c r="HG55" s="1"/>
      <c r="HH55" s="1"/>
    </row>
    <row r="56" spans="1:216" s="60" customFormat="1" ht="15">
      <c r="A56" s="60" t="s">
        <v>118</v>
      </c>
      <c r="B56" s="5">
        <v>10.4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8">
        <f t="array" ref="DB56">SUM(IF(C56:DA56&lt;&gt;"",1,0))</f>
        <v>0</v>
      </c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  <c r="GL56" s="58"/>
      <c r="GM56" s="58"/>
      <c r="GN56" s="58"/>
      <c r="GO56" s="58"/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8"/>
      <c r="HA56" s="58"/>
      <c r="HB56" s="58"/>
      <c r="HC56" s="58"/>
      <c r="HD56" s="58"/>
      <c r="HE56" s="58"/>
      <c r="HF56" s="59"/>
      <c r="HG56" s="59"/>
      <c r="HH56" s="59"/>
    </row>
    <row r="57" spans="1:216" s="37" customFormat="1" ht="15">
      <c r="A57" s="37" t="s">
        <v>118</v>
      </c>
      <c r="B57" s="7">
        <v>10.5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2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2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2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2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29"/>
      <c r="CX57" s="9"/>
      <c r="CY57" s="9"/>
      <c r="CZ57" s="9"/>
      <c r="DA57" s="34"/>
      <c r="DB57" s="35">
        <f t="array" ref="DB57">SUM(IF(C57:DA57&lt;&gt;"",1,0))</f>
        <v>0</v>
      </c>
      <c r="DC57" s="35">
        <f>SUM(DB53:DB57)</f>
        <v>13</v>
      </c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6"/>
      <c r="HG57" s="36"/>
      <c r="HH57" s="36"/>
    </row>
    <row r="58" spans="1:216" ht="15">
      <c r="A58" t="s">
        <v>119</v>
      </c>
      <c r="B58" s="4">
        <v>11.1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30" t="s">
        <v>8</v>
      </c>
      <c r="V58" s="5"/>
      <c r="W58" s="5"/>
      <c r="X58" s="5"/>
      <c r="Y58" s="5" t="s">
        <v>8</v>
      </c>
      <c r="Z58" s="5" t="s">
        <v>8</v>
      </c>
      <c r="AA58" s="5"/>
      <c r="AB58" s="5"/>
      <c r="AC58" s="5"/>
      <c r="AD58" s="5"/>
      <c r="AE58" s="5"/>
      <c r="AF58" s="5"/>
      <c r="AG58" s="30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30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30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30"/>
      <c r="CX58" s="5"/>
      <c r="CY58" s="5"/>
      <c r="CZ58" s="5"/>
      <c r="DA58" s="6"/>
      <c r="DB58" s="2">
        <f t="array" ref="DB58">SUM(IF(C58:DA58&lt;&gt;"",1,0))</f>
        <v>3</v>
      </c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1"/>
      <c r="HG58" s="1"/>
      <c r="HH58" s="1"/>
    </row>
    <row r="59" spans="1:216" ht="15">
      <c r="A59" t="s">
        <v>119</v>
      </c>
      <c r="B59" s="14">
        <v>11.2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28" t="s">
        <v>8</v>
      </c>
      <c r="V59" s="15"/>
      <c r="W59" s="15"/>
      <c r="X59" s="15"/>
      <c r="Y59" s="15" t="s">
        <v>8</v>
      </c>
      <c r="Z59" s="15" t="s">
        <v>8</v>
      </c>
      <c r="AA59" s="15"/>
      <c r="AB59" s="15" t="s">
        <v>8</v>
      </c>
      <c r="AC59" s="15"/>
      <c r="AD59" s="15"/>
      <c r="AE59" s="15"/>
      <c r="AF59" s="15"/>
      <c r="AG59" s="28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28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28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28"/>
      <c r="CX59" s="15"/>
      <c r="CY59" s="15"/>
      <c r="CZ59" s="15"/>
      <c r="DA59" s="16"/>
      <c r="DB59" s="2">
        <f t="array" ref="DB59">SUM(IF(C59:DA59&lt;&gt;"",1,0))</f>
        <v>4</v>
      </c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1"/>
      <c r="HG59" s="1"/>
      <c r="HH59" s="1"/>
    </row>
    <row r="60" spans="1:216" ht="15">
      <c r="A60" t="s">
        <v>119</v>
      </c>
      <c r="B60" s="4">
        <v>11.3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30" t="s">
        <v>8</v>
      </c>
      <c r="V60" s="5"/>
      <c r="W60" s="5"/>
      <c r="X60" s="5"/>
      <c r="Y60" s="5" t="s">
        <v>8</v>
      </c>
      <c r="Z60" s="5" t="s">
        <v>8</v>
      </c>
      <c r="AA60" s="5"/>
      <c r="AB60" s="5" t="s">
        <v>8</v>
      </c>
      <c r="AC60" s="5"/>
      <c r="AD60" s="5"/>
      <c r="AE60" s="5"/>
      <c r="AF60" s="5"/>
      <c r="AG60" s="30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30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30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30"/>
      <c r="CX60" s="5"/>
      <c r="CY60" s="5"/>
      <c r="CZ60" s="5"/>
      <c r="DA60" s="6"/>
      <c r="DB60" s="2">
        <f t="array" ref="DB60">SUM(IF(C60:DA60&lt;&gt;"",1,0))</f>
        <v>4</v>
      </c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1"/>
      <c r="HG60" s="1"/>
      <c r="HH60" s="1"/>
    </row>
    <row r="61" spans="1:216" s="60" customFormat="1" ht="15">
      <c r="A61" s="60" t="s">
        <v>119</v>
      </c>
      <c r="B61" s="15">
        <v>11.4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 t="s">
        <v>8</v>
      </c>
      <c r="V61" s="15"/>
      <c r="W61" s="15" t="s">
        <v>8</v>
      </c>
      <c r="X61" s="15"/>
      <c r="Y61" s="15" t="s">
        <v>8</v>
      </c>
      <c r="Z61" s="15" t="s">
        <v>8</v>
      </c>
      <c r="AA61" s="15"/>
      <c r="AB61" s="15" t="s">
        <v>8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58">
        <f t="array" ref="DB61">SUM(IF(C61:DA61&lt;&gt;"",1,0))</f>
        <v>5</v>
      </c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  <c r="GL61" s="58"/>
      <c r="GM61" s="58"/>
      <c r="GN61" s="58"/>
      <c r="GO61" s="58"/>
      <c r="GP61" s="58"/>
      <c r="GQ61" s="58"/>
      <c r="GR61" s="58"/>
      <c r="GS61" s="58"/>
      <c r="GT61" s="58"/>
      <c r="GU61" s="58"/>
      <c r="GV61" s="58"/>
      <c r="GW61" s="58"/>
      <c r="GX61" s="58"/>
      <c r="GY61" s="58"/>
      <c r="GZ61" s="58"/>
      <c r="HA61" s="58"/>
      <c r="HB61" s="58"/>
      <c r="HC61" s="58"/>
      <c r="HD61" s="58"/>
      <c r="HE61" s="58"/>
      <c r="HF61" s="59"/>
      <c r="HG61" s="59"/>
      <c r="HH61" s="59"/>
    </row>
    <row r="62" spans="1:216" s="37" customFormat="1" ht="15">
      <c r="A62" s="33" t="s">
        <v>119</v>
      </c>
      <c r="B62" s="38">
        <v>11.5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40" t="s">
        <v>8</v>
      </c>
      <c r="V62" s="39"/>
      <c r="W62" s="39" t="s">
        <v>8</v>
      </c>
      <c r="X62" s="39"/>
      <c r="Y62" s="39" t="s">
        <v>8</v>
      </c>
      <c r="Z62" s="39" t="s">
        <v>8</v>
      </c>
      <c r="AA62" s="39"/>
      <c r="AB62" s="39" t="s">
        <v>8</v>
      </c>
      <c r="AC62" s="39"/>
      <c r="AD62" s="39"/>
      <c r="AE62" s="39"/>
      <c r="AF62" s="39"/>
      <c r="AG62" s="40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40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40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40"/>
      <c r="CX62" s="39"/>
      <c r="CY62" s="39"/>
      <c r="CZ62" s="39"/>
      <c r="DA62" s="41"/>
      <c r="DB62" s="35">
        <f t="array" ref="DB62">SUM(IF(C62:DA62&lt;&gt;"",1,0))</f>
        <v>5</v>
      </c>
      <c r="DC62" s="35">
        <f>SUM(DB58:DB62)</f>
        <v>21</v>
      </c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6"/>
      <c r="HG62" s="36"/>
      <c r="HH62" s="36"/>
    </row>
    <row r="63" spans="1:216" ht="15">
      <c r="A63" t="s">
        <v>120</v>
      </c>
      <c r="B63" s="14">
        <v>12.1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28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8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28"/>
      <c r="BQ63" s="15" t="s">
        <v>8</v>
      </c>
      <c r="BR63" s="15" t="s">
        <v>8</v>
      </c>
      <c r="BS63" s="15"/>
      <c r="BT63" s="15"/>
      <c r="BU63" s="15" t="s">
        <v>8</v>
      </c>
      <c r="BV63" s="15" t="s">
        <v>8</v>
      </c>
      <c r="BW63" s="15" t="s">
        <v>8</v>
      </c>
      <c r="BX63" s="15"/>
      <c r="BY63" s="15" t="s">
        <v>8</v>
      </c>
      <c r="BZ63" s="15"/>
      <c r="CA63" s="15" t="s">
        <v>8</v>
      </c>
      <c r="CB63" s="15"/>
      <c r="CC63" s="15"/>
      <c r="CD63" s="15"/>
      <c r="CE63" s="15" t="s">
        <v>8</v>
      </c>
      <c r="CF63" s="15"/>
      <c r="CG63" s="15"/>
      <c r="CH63" s="28"/>
      <c r="CI63" s="15"/>
      <c r="CJ63" s="15"/>
      <c r="CK63" s="15" t="s">
        <v>8</v>
      </c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28"/>
      <c r="CX63" s="15"/>
      <c r="CY63" s="15"/>
      <c r="CZ63" s="15"/>
      <c r="DA63" s="16"/>
      <c r="DB63" s="2">
        <f t="array" ref="DB63">SUM(IF(C63:DA63&lt;&gt;"",1,0))</f>
        <v>9</v>
      </c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1"/>
      <c r="HG63" s="1"/>
      <c r="HH63" s="1"/>
    </row>
    <row r="64" spans="1:216" ht="15">
      <c r="A64" t="s">
        <v>120</v>
      </c>
      <c r="B64" s="4">
        <v>12.2</v>
      </c>
      <c r="C64" s="5"/>
      <c r="D64" s="5"/>
      <c r="E64" s="5"/>
      <c r="F64" s="5"/>
      <c r="G64" s="5" t="s">
        <v>8</v>
      </c>
      <c r="H64" s="5"/>
      <c r="I64" s="5"/>
      <c r="J64" s="5"/>
      <c r="K64" s="5"/>
      <c r="L64" s="5"/>
      <c r="M64" s="5"/>
      <c r="N64" s="5"/>
      <c r="O64" s="5"/>
      <c r="P64" s="5"/>
      <c r="Q64" s="5" t="s">
        <v>8</v>
      </c>
      <c r="R64" s="5"/>
      <c r="S64" s="5"/>
      <c r="T64" s="5"/>
      <c r="U64" s="30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30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 t="s">
        <v>8</v>
      </c>
      <c r="AZ64" s="5"/>
      <c r="BA64" s="5"/>
      <c r="BB64" s="5" t="s">
        <v>8</v>
      </c>
      <c r="BC64" s="5"/>
      <c r="BD64" s="5"/>
      <c r="BE64" s="5" t="s">
        <v>8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30"/>
      <c r="BQ64" s="5" t="s">
        <v>8</v>
      </c>
      <c r="BR64" s="5"/>
      <c r="BS64" s="5"/>
      <c r="BT64" s="5" t="s">
        <v>8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30"/>
      <c r="CI64" s="5"/>
      <c r="CJ64" s="5" t="s">
        <v>8</v>
      </c>
      <c r="CK64" s="5"/>
      <c r="CL64" s="5"/>
      <c r="CM64" s="5"/>
      <c r="CN64" s="5"/>
      <c r="CO64" s="5"/>
      <c r="CP64" s="5"/>
      <c r="CQ64" s="5"/>
      <c r="CR64" s="5"/>
      <c r="CS64" s="5"/>
      <c r="CT64" s="5" t="s">
        <v>8</v>
      </c>
      <c r="CU64" s="5"/>
      <c r="CV64" s="5"/>
      <c r="CW64" s="30"/>
      <c r="CX64" s="5"/>
      <c r="CY64" s="5"/>
      <c r="CZ64" s="5"/>
      <c r="DA64" s="6"/>
      <c r="DB64" s="2">
        <f t="array" ref="DB64">SUM(IF(C64:DA64&lt;&gt;"",1,0))</f>
        <v>9</v>
      </c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1"/>
      <c r="HG64" s="1"/>
      <c r="HH64" s="1"/>
    </row>
    <row r="65" spans="1:216" ht="15">
      <c r="A65" t="s">
        <v>120</v>
      </c>
      <c r="B65" s="14">
        <v>12.3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28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8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28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 t="s">
        <v>8</v>
      </c>
      <c r="CC65" s="15"/>
      <c r="CD65" s="15"/>
      <c r="CE65" s="15"/>
      <c r="CF65" s="15"/>
      <c r="CG65" s="15"/>
      <c r="CH65" s="28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28"/>
      <c r="CX65" s="15"/>
      <c r="CY65" s="15"/>
      <c r="CZ65" s="15"/>
      <c r="DA65" s="16"/>
      <c r="DB65" s="2">
        <f t="array" ref="DB65">SUM(IF(C65:DA65&lt;&gt;"",1,0))</f>
        <v>1</v>
      </c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1"/>
      <c r="HG65" s="1"/>
      <c r="HH65" s="1"/>
    </row>
    <row r="66" spans="1:216" s="60" customFormat="1" ht="15">
      <c r="A66" s="60" t="s">
        <v>120</v>
      </c>
      <c r="B66" s="5">
        <v>12.4</v>
      </c>
      <c r="C66" s="5"/>
      <c r="D66" s="5"/>
      <c r="E66" s="5"/>
      <c r="F66" s="5"/>
      <c r="G66" s="5" t="s">
        <v>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 t="s">
        <v>8</v>
      </c>
      <c r="AZ66" s="5"/>
      <c r="BA66" s="5"/>
      <c r="BB66" s="5" t="s">
        <v>8</v>
      </c>
      <c r="BC66" s="5"/>
      <c r="BD66" s="5"/>
      <c r="BE66" s="5" t="s">
        <v>8</v>
      </c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 t="s">
        <v>8</v>
      </c>
      <c r="CK66" s="5"/>
      <c r="CL66" s="5"/>
      <c r="CM66" s="5"/>
      <c r="CN66" s="5"/>
      <c r="CO66" s="5"/>
      <c r="CP66" s="5"/>
      <c r="CQ66" s="5" t="s">
        <v>8</v>
      </c>
      <c r="CR66" s="5" t="s">
        <v>8</v>
      </c>
      <c r="CS66" s="5" t="s">
        <v>8</v>
      </c>
      <c r="CT66" s="5" t="s">
        <v>8</v>
      </c>
      <c r="CU66" s="5"/>
      <c r="CV66" s="5"/>
      <c r="CW66" s="5"/>
      <c r="CX66" s="5"/>
      <c r="CY66" s="5"/>
      <c r="CZ66" s="5"/>
      <c r="DA66" s="5"/>
      <c r="DB66" s="58">
        <f t="array" ref="DB66">SUM(IF(C66:DA66&lt;&gt;"",1,0))</f>
        <v>9</v>
      </c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  <c r="GL66" s="58"/>
      <c r="GM66" s="58"/>
      <c r="GN66" s="58"/>
      <c r="GO66" s="58"/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8"/>
      <c r="HA66" s="58"/>
      <c r="HB66" s="58"/>
      <c r="HC66" s="58"/>
      <c r="HD66" s="58"/>
      <c r="HE66" s="58"/>
      <c r="HF66" s="59"/>
      <c r="HG66" s="59"/>
      <c r="HH66" s="59"/>
    </row>
    <row r="67" spans="1:216" s="60" customFormat="1" ht="15">
      <c r="A67" t="s">
        <v>120</v>
      </c>
      <c r="B67" s="14">
        <v>12.5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 t="s">
        <v>8</v>
      </c>
      <c r="R67" s="15"/>
      <c r="S67" s="15"/>
      <c r="T67" s="15"/>
      <c r="U67" s="28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8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28"/>
      <c r="BQ67" s="15" t="s">
        <v>8</v>
      </c>
      <c r="BR67" s="15" t="s">
        <v>8</v>
      </c>
      <c r="BS67" s="15"/>
      <c r="BT67" s="15"/>
      <c r="BU67" s="15" t="s">
        <v>8</v>
      </c>
      <c r="BV67" s="15" t="s">
        <v>8</v>
      </c>
      <c r="BW67" s="15" t="s">
        <v>8</v>
      </c>
      <c r="BX67" s="15"/>
      <c r="BY67" s="15" t="s">
        <v>8</v>
      </c>
      <c r="BZ67" s="15"/>
      <c r="CA67" s="15" t="s">
        <v>8</v>
      </c>
      <c r="CB67" s="15"/>
      <c r="CC67" s="15"/>
      <c r="CD67" s="15" t="s">
        <v>8</v>
      </c>
      <c r="CE67" s="15" t="s">
        <v>8</v>
      </c>
      <c r="CF67" s="15"/>
      <c r="CG67" s="15"/>
      <c r="CH67" s="28"/>
      <c r="CI67" s="15"/>
      <c r="CJ67" s="15"/>
      <c r="CK67" s="15" t="s">
        <v>8</v>
      </c>
      <c r="CL67" s="15"/>
      <c r="CM67" s="15"/>
      <c r="CN67" s="15"/>
      <c r="CO67" s="15"/>
      <c r="CP67" s="15"/>
      <c r="CQ67" s="15" t="s">
        <v>8</v>
      </c>
      <c r="CR67" s="15" t="s">
        <v>8</v>
      </c>
      <c r="CS67" s="15" t="s">
        <v>8</v>
      </c>
      <c r="CT67" s="15" t="s">
        <v>8</v>
      </c>
      <c r="CU67" s="15"/>
      <c r="CV67" s="15"/>
      <c r="CW67" s="28"/>
      <c r="CX67" s="15"/>
      <c r="CY67" s="15"/>
      <c r="CZ67" s="15"/>
      <c r="DA67" s="16"/>
      <c r="DB67" s="58">
        <f t="array" ref="DB67">SUM(IF(C67:DA67&lt;&gt;"",1,0))</f>
        <v>15</v>
      </c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  <c r="GL67" s="58"/>
      <c r="GM67" s="58"/>
      <c r="GN67" s="58"/>
      <c r="GO67" s="58"/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8"/>
      <c r="HA67" s="58"/>
      <c r="HB67" s="58"/>
      <c r="HC67" s="58"/>
      <c r="HD67" s="58"/>
      <c r="HE67" s="58"/>
      <c r="HF67" s="59"/>
      <c r="HG67" s="59"/>
      <c r="HH67" s="59"/>
    </row>
    <row r="68" spans="1:216" s="37" customFormat="1" ht="15">
      <c r="A68" s="37" t="s">
        <v>120</v>
      </c>
      <c r="B68" s="38">
        <v>12.6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40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40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40"/>
      <c r="BQ68" s="39"/>
      <c r="BR68" s="39"/>
      <c r="BS68" s="39"/>
      <c r="BT68" s="39"/>
      <c r="BU68" s="39" t="s">
        <v>8</v>
      </c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40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40"/>
      <c r="CX68" s="39"/>
      <c r="CY68" s="39"/>
      <c r="CZ68" s="39"/>
      <c r="DA68" s="41"/>
      <c r="DB68" s="35">
        <f t="array" ref="DB68">SUM(IF(C68:DA68&lt;&gt;"",1,0))</f>
        <v>1</v>
      </c>
      <c r="DC68" s="35">
        <f>SUM(DB63:DB68)</f>
        <v>44</v>
      </c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6"/>
      <c r="HG68" s="36"/>
      <c r="HH68" s="36"/>
    </row>
    <row r="69" spans="1:216" ht="15">
      <c r="A69" t="s">
        <v>121</v>
      </c>
      <c r="B69" s="14">
        <v>13.1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28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8"/>
      <c r="AH69" s="15"/>
      <c r="AI69" s="15"/>
      <c r="AJ69" s="15"/>
      <c r="AK69" s="15"/>
      <c r="AL69" s="15"/>
      <c r="AM69" s="15" t="s">
        <v>8</v>
      </c>
      <c r="AN69" s="15"/>
      <c r="AO69" s="15"/>
      <c r="AP69" s="15"/>
      <c r="AQ69" s="15"/>
      <c r="AR69" s="15" t="s">
        <v>8</v>
      </c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28"/>
      <c r="BQ69" s="15"/>
      <c r="BR69" s="15"/>
      <c r="BS69" s="15"/>
      <c r="BT69" s="15"/>
      <c r="BU69" s="15" t="s">
        <v>8</v>
      </c>
      <c r="BV69" s="15" t="s">
        <v>8</v>
      </c>
      <c r="BW69" s="15"/>
      <c r="BX69" s="15"/>
      <c r="BY69" s="15" t="s">
        <v>8</v>
      </c>
      <c r="BZ69" s="15"/>
      <c r="CA69" s="15"/>
      <c r="CB69" s="15"/>
      <c r="CC69" s="15" t="s">
        <v>8</v>
      </c>
      <c r="CD69" s="15"/>
      <c r="CE69" s="15" t="s">
        <v>8</v>
      </c>
      <c r="CF69" s="15" t="s">
        <v>8</v>
      </c>
      <c r="CG69" s="15"/>
      <c r="CH69" s="28"/>
      <c r="CI69" s="15" t="s">
        <v>8</v>
      </c>
      <c r="CJ69" s="15" t="s">
        <v>8</v>
      </c>
      <c r="CK69" s="15"/>
      <c r="CL69" s="15"/>
      <c r="CM69" s="15"/>
      <c r="CN69" s="15"/>
      <c r="CO69" s="15" t="s">
        <v>8</v>
      </c>
      <c r="CP69" s="15"/>
      <c r="CQ69" s="15" t="s">
        <v>8</v>
      </c>
      <c r="CR69" s="15"/>
      <c r="CS69" s="15" t="s">
        <v>8</v>
      </c>
      <c r="CT69" s="15"/>
      <c r="CU69" s="15" t="s">
        <v>8</v>
      </c>
      <c r="CV69" s="15" t="s">
        <v>8</v>
      </c>
      <c r="CW69" s="28"/>
      <c r="CX69" s="15"/>
      <c r="CY69" s="15"/>
      <c r="CZ69" s="15"/>
      <c r="DA69" s="16"/>
      <c r="DB69" s="2">
        <f t="array" ref="DB69">SUM(IF(C69:DA69&lt;&gt;"",1,0))</f>
        <v>15</v>
      </c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1"/>
      <c r="HG69" s="1"/>
      <c r="HH69" s="1"/>
    </row>
    <row r="70" spans="1:216" ht="15">
      <c r="A70" t="s">
        <v>121</v>
      </c>
      <c r="B70" s="4">
        <v>13.2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30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 t="s">
        <v>8</v>
      </c>
      <c r="AG70" s="30"/>
      <c r="AH70" s="5"/>
      <c r="AI70" s="5"/>
      <c r="AJ70" s="5"/>
      <c r="AK70" s="5"/>
      <c r="AL70" s="5"/>
      <c r="AM70" s="5" t="s">
        <v>8</v>
      </c>
      <c r="AN70" s="5"/>
      <c r="AO70" s="5"/>
      <c r="AP70" s="5"/>
      <c r="AQ70" s="5"/>
      <c r="AR70" s="5" t="s">
        <v>8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 t="s">
        <v>8</v>
      </c>
      <c r="BN70" s="5" t="s">
        <v>8</v>
      </c>
      <c r="BO70" s="5"/>
      <c r="BP70" s="30"/>
      <c r="BQ70" s="5"/>
      <c r="BR70" s="5"/>
      <c r="BS70" s="5"/>
      <c r="BT70" s="5"/>
      <c r="BU70" s="5" t="s">
        <v>8</v>
      </c>
      <c r="BV70" s="5" t="s">
        <v>8</v>
      </c>
      <c r="BW70" s="5"/>
      <c r="BX70" s="5"/>
      <c r="BY70" s="5" t="s">
        <v>8</v>
      </c>
      <c r="BZ70" s="5"/>
      <c r="CA70" s="5"/>
      <c r="CB70" s="5"/>
      <c r="CC70" s="5" t="s">
        <v>8</v>
      </c>
      <c r="CD70" s="5"/>
      <c r="CE70" s="5" t="s">
        <v>8</v>
      </c>
      <c r="CF70" s="5"/>
      <c r="CG70" s="5"/>
      <c r="CH70" s="30" t="s">
        <v>8</v>
      </c>
      <c r="CI70" s="5" t="s">
        <v>8</v>
      </c>
      <c r="CJ70" s="5" t="s">
        <v>8</v>
      </c>
      <c r="CK70" s="5"/>
      <c r="CL70" s="5" t="s">
        <v>8</v>
      </c>
      <c r="CM70" s="5" t="s">
        <v>8</v>
      </c>
      <c r="CN70" s="5" t="s">
        <v>8</v>
      </c>
      <c r="CO70" s="5" t="s">
        <v>8</v>
      </c>
      <c r="CP70" s="5"/>
      <c r="CQ70" s="5" t="s">
        <v>8</v>
      </c>
      <c r="CR70" s="5"/>
      <c r="CS70" s="5" t="s">
        <v>8</v>
      </c>
      <c r="CT70" s="5"/>
      <c r="CU70" s="5" t="s">
        <v>8</v>
      </c>
      <c r="CV70" s="5" t="s">
        <v>8</v>
      </c>
      <c r="CW70" s="30"/>
      <c r="CX70" s="5"/>
      <c r="CY70" s="5"/>
      <c r="CZ70" s="5"/>
      <c r="DA70" s="6"/>
      <c r="DB70" s="2">
        <f t="array" ref="DB70">SUM(IF(C70:DA70&lt;&gt;"",1,0))</f>
        <v>21</v>
      </c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1"/>
      <c r="HG70" s="1"/>
      <c r="HH70" s="1"/>
    </row>
    <row r="71" spans="1:216" ht="15">
      <c r="A71" t="s">
        <v>121</v>
      </c>
      <c r="B71" s="14">
        <v>13.3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28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8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 t="s">
        <v>8</v>
      </c>
      <c r="BE71" s="15"/>
      <c r="BF71" s="15"/>
      <c r="BG71" s="15" t="s">
        <v>8</v>
      </c>
      <c r="BH71" s="15"/>
      <c r="BI71" s="15"/>
      <c r="BJ71" s="15"/>
      <c r="BK71" s="15"/>
      <c r="BL71" s="15"/>
      <c r="BM71" s="15" t="s">
        <v>8</v>
      </c>
      <c r="BN71" s="15" t="s">
        <v>8</v>
      </c>
      <c r="BO71" s="15"/>
      <c r="BP71" s="28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28" t="s">
        <v>8</v>
      </c>
      <c r="CI71" s="15"/>
      <c r="CJ71" s="15"/>
      <c r="CK71" s="15"/>
      <c r="CL71" s="15" t="s">
        <v>8</v>
      </c>
      <c r="CM71" s="15"/>
      <c r="CN71" s="15" t="s">
        <v>8</v>
      </c>
      <c r="CO71" s="15" t="s">
        <v>8</v>
      </c>
      <c r="CP71" s="15" t="s">
        <v>8</v>
      </c>
      <c r="CQ71" s="15"/>
      <c r="CR71" s="15"/>
      <c r="CS71" s="15"/>
      <c r="CT71" s="15"/>
      <c r="CU71" s="15"/>
      <c r="CV71" s="15"/>
      <c r="CW71" s="28"/>
      <c r="CX71" s="15"/>
      <c r="CY71" s="15"/>
      <c r="CZ71" s="15"/>
      <c r="DA71" s="16"/>
      <c r="DB71" s="2">
        <f t="array" ref="DB71">SUM(IF(C71:DA71&lt;&gt;"",1,0))</f>
        <v>9</v>
      </c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1"/>
      <c r="HG71" s="1"/>
      <c r="HH71" s="1"/>
    </row>
    <row r="72" spans="1:216" ht="15">
      <c r="A72" t="s">
        <v>121</v>
      </c>
      <c r="B72" s="4">
        <v>13.4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30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30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 t="s">
        <v>8</v>
      </c>
      <c r="BE72" s="5"/>
      <c r="BF72" s="5"/>
      <c r="BG72" s="5" t="s">
        <v>8</v>
      </c>
      <c r="BH72" s="5"/>
      <c r="BI72" s="5"/>
      <c r="BJ72" s="5"/>
      <c r="BK72" s="5"/>
      <c r="BL72" s="5"/>
      <c r="BM72" s="5" t="s">
        <v>8</v>
      </c>
      <c r="BN72" s="5" t="s">
        <v>8</v>
      </c>
      <c r="BO72" s="5"/>
      <c r="BP72" s="30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30" t="s">
        <v>8</v>
      </c>
      <c r="CI72" s="5"/>
      <c r="CJ72" s="5"/>
      <c r="CK72" s="5"/>
      <c r="CL72" s="5"/>
      <c r="CM72" s="5"/>
      <c r="CN72" s="5" t="s">
        <v>8</v>
      </c>
      <c r="CO72" s="5"/>
      <c r="CP72" s="5" t="s">
        <v>8</v>
      </c>
      <c r="CQ72" s="5"/>
      <c r="CR72" s="5"/>
      <c r="CS72" s="5"/>
      <c r="CT72" s="5"/>
      <c r="CU72" s="5"/>
      <c r="CV72" s="5"/>
      <c r="CW72" s="30"/>
      <c r="CX72" s="5"/>
      <c r="CY72" s="5"/>
      <c r="CZ72" s="5"/>
      <c r="DA72" s="6"/>
      <c r="DB72" s="2">
        <f t="array" ref="DB72">SUM(IF(C72:DA72&lt;&gt;"",1,0))</f>
        <v>7</v>
      </c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1"/>
      <c r="HG72" s="1"/>
      <c r="HH72" s="1"/>
    </row>
    <row r="73" spans="1:216" ht="15">
      <c r="A73" t="s">
        <v>121</v>
      </c>
      <c r="B73" s="14">
        <v>13.5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28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8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28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28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 t="s">
        <v>8</v>
      </c>
      <c r="CT73" s="15"/>
      <c r="CU73" s="15" t="s">
        <v>8</v>
      </c>
      <c r="CV73" s="15"/>
      <c r="CW73" s="28"/>
      <c r="CX73" s="15"/>
      <c r="CY73" s="15"/>
      <c r="CZ73" s="15"/>
      <c r="DA73" s="16"/>
      <c r="DB73" s="2">
        <f t="array" ref="DB73">SUM(IF(C73:DA73&lt;&gt;"",1,0))</f>
        <v>2</v>
      </c>
      <c r="DC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1"/>
      <c r="HG73" s="1"/>
      <c r="HH73" s="1"/>
    </row>
    <row r="74" spans="1:216" ht="15">
      <c r="A74" t="s">
        <v>121</v>
      </c>
      <c r="B74" s="4">
        <v>13.6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30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30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 t="s">
        <v>8</v>
      </c>
      <c r="BA74" s="5"/>
      <c r="BB74" s="5"/>
      <c r="BC74" s="5"/>
      <c r="BD74" s="5" t="s">
        <v>8</v>
      </c>
      <c r="BE74" s="5"/>
      <c r="BF74" s="5"/>
      <c r="BG74" s="5" t="s">
        <v>8</v>
      </c>
      <c r="BH74" s="5"/>
      <c r="BI74" s="5"/>
      <c r="BJ74" s="5"/>
      <c r="BK74" s="5"/>
      <c r="BL74" s="5"/>
      <c r="BM74" s="5"/>
      <c r="BN74" s="5"/>
      <c r="BO74" s="5"/>
      <c r="BP74" s="30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 t="s">
        <v>8</v>
      </c>
      <c r="CD74" s="5"/>
      <c r="CE74" s="5"/>
      <c r="CF74" s="5"/>
      <c r="CG74" s="5"/>
      <c r="CH74" s="30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30"/>
      <c r="CX74" s="5"/>
      <c r="CY74" s="5"/>
      <c r="CZ74" s="5"/>
      <c r="DA74" s="6"/>
      <c r="DB74" s="2">
        <f t="array" ref="DB74">SUM(IF(C74:DA74&lt;&gt;"",1,0))</f>
        <v>4</v>
      </c>
      <c r="DC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1"/>
      <c r="HG74" s="1"/>
      <c r="HH74" s="1"/>
    </row>
    <row r="75" spans="1:216" ht="15.5" thickBot="1">
      <c r="A75" t="s">
        <v>121</v>
      </c>
      <c r="B75" s="17">
        <v>13.7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31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31"/>
      <c r="AH75" s="18"/>
      <c r="AI75" s="18"/>
      <c r="AJ75" s="18"/>
      <c r="AK75" s="18"/>
      <c r="AL75" s="18"/>
      <c r="AM75" s="18" t="s">
        <v>8</v>
      </c>
      <c r="AN75" s="18"/>
      <c r="AO75" s="18"/>
      <c r="AP75" s="18"/>
      <c r="AQ75" s="18"/>
      <c r="AR75" s="18" t="s">
        <v>8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31"/>
      <c r="BQ75" s="18"/>
      <c r="BR75" s="18"/>
      <c r="BS75" s="18"/>
      <c r="BT75" s="18"/>
      <c r="BU75" s="18" t="s">
        <v>8</v>
      </c>
      <c r="BV75" s="18" t="s">
        <v>8</v>
      </c>
      <c r="BW75" s="18"/>
      <c r="BX75" s="18"/>
      <c r="BY75" s="18" t="s">
        <v>8</v>
      </c>
      <c r="BZ75" s="18"/>
      <c r="CA75" s="18"/>
      <c r="CB75" s="18"/>
      <c r="CC75" s="18" t="s">
        <v>8</v>
      </c>
      <c r="CD75" s="18"/>
      <c r="CE75" s="18" t="s">
        <v>8</v>
      </c>
      <c r="CF75" s="18" t="s">
        <v>8</v>
      </c>
      <c r="CG75" s="18"/>
      <c r="CH75" s="31"/>
      <c r="CI75" s="18" t="s">
        <v>8</v>
      </c>
      <c r="CJ75" s="18" t="s">
        <v>8</v>
      </c>
      <c r="CK75" s="18"/>
      <c r="CL75" s="18"/>
      <c r="CM75" s="18"/>
      <c r="CN75" s="18"/>
      <c r="CO75" s="18" t="s">
        <v>8</v>
      </c>
      <c r="CP75" s="18"/>
      <c r="CQ75" s="18" t="s">
        <v>8</v>
      </c>
      <c r="CR75" s="18"/>
      <c r="CS75" s="18" t="s">
        <v>8</v>
      </c>
      <c r="CT75" s="18"/>
      <c r="CU75" s="18" t="s">
        <v>8</v>
      </c>
      <c r="CV75" s="18" t="s">
        <v>8</v>
      </c>
      <c r="CW75" s="31"/>
      <c r="CX75" s="18"/>
      <c r="CY75" s="18"/>
      <c r="CZ75" s="19"/>
      <c r="DA75" s="19"/>
      <c r="DB75" s="2">
        <f t="array" ref="DB75">SUM(IF(C75:DA75&lt;&gt;"",1,0))</f>
        <v>15</v>
      </c>
      <c r="DC75" s="2">
        <f>SUM(DB69:DB75)</f>
        <v>73</v>
      </c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1"/>
      <c r="HG75" s="1"/>
      <c r="HH75" s="1"/>
    </row>
    <row r="76" spans="1:216" ht="15.5" thickTop="1">
      <c r="B76" s="2"/>
      <c r="C76" s="2">
        <f t="array" ref="C76">SUM(IF(C5:C75="X",1,0))</f>
        <v>2</v>
      </c>
      <c r="D76" s="2">
        <f t="array" ref="D76">SUM(IF(D5:D75="X",1,0))</f>
        <v>1</v>
      </c>
      <c r="E76" s="2">
        <f t="array" ref="E76">SUM(IF(E5:E75="X",1,0))</f>
        <v>10</v>
      </c>
      <c r="F76" s="2">
        <f t="array" ref="F76">SUM(IF(F5:F75="X",1,0))</f>
        <v>2</v>
      </c>
      <c r="G76" s="2">
        <f t="array" ref="G76">SUM(IF(G5:G75="X",1,0))</f>
        <v>13</v>
      </c>
      <c r="H76" s="2">
        <f t="array" ref="H76">SUM(IF(H5:H75="X",1,0))</f>
        <v>2</v>
      </c>
      <c r="I76" s="2">
        <f t="array" ref="I76">SUM(IF(I5:I75="X",1,0))</f>
        <v>1</v>
      </c>
      <c r="J76" s="2">
        <f t="array" ref="J76">SUM(IF(J5:J75="X",1,0))</f>
        <v>2</v>
      </c>
      <c r="K76" s="2">
        <f t="array" ref="K76">SUM(IF(K5:K75="X",1,0))</f>
        <v>6</v>
      </c>
      <c r="L76" s="2">
        <f t="array" ref="L76">SUM(IF(L5:L75="X",1,0))</f>
        <v>3</v>
      </c>
      <c r="M76" s="2">
        <f t="array" ref="M76">SUM(IF(M5:M75="X",1,0))</f>
        <v>8</v>
      </c>
      <c r="N76" s="2">
        <f t="array" ref="N76">SUM(IF(N5:N75="X",1,0))</f>
        <v>6</v>
      </c>
      <c r="O76" s="2">
        <f t="array" ref="O76">SUM(IF(O5:O75="X",1,0))</f>
        <v>2</v>
      </c>
      <c r="P76" s="2">
        <f t="array" ref="P76">SUM(IF(P5:P75="X",1,0))</f>
        <v>4</v>
      </c>
      <c r="Q76" s="2">
        <f t="array" ref="Q76">SUM(IF(Q5:Q75="X",1,0))</f>
        <v>2</v>
      </c>
      <c r="R76" s="2">
        <f t="array" ref="R76">SUM(IF(R5:R75="X",1,0))</f>
        <v>8</v>
      </c>
      <c r="S76" s="2">
        <f t="array" ref="S76">SUM(IF(S5:S75="X",1,0))</f>
        <v>10</v>
      </c>
      <c r="T76" s="2">
        <f t="array" ref="T76">SUM(IF(T5:T75="X",1,0))</f>
        <v>13</v>
      </c>
      <c r="U76" s="2">
        <f t="array" ref="U76">SUM(IF(U5:U75="X",1,0))</f>
        <v>5</v>
      </c>
      <c r="V76" s="2">
        <f t="array" ref="V76">SUM(IF(V5:V75="X",1,0))</f>
        <v>4</v>
      </c>
      <c r="W76" s="2">
        <f t="array" ref="W76">SUM(IF(W5:W75="X",1,0))</f>
        <v>2</v>
      </c>
      <c r="X76" s="2">
        <f t="array" ref="X76">SUM(IF(X5:X75="X",1,0))</f>
        <v>2</v>
      </c>
      <c r="Y76" s="2">
        <f t="array" ref="Y76">SUM(IF(Y5:Y75="X",1,0))</f>
        <v>5</v>
      </c>
      <c r="Z76" s="2">
        <f t="array" ref="Z76">SUM(IF(Z5:Z75="X",1,0))</f>
        <v>6</v>
      </c>
      <c r="AA76" s="2">
        <f t="array" ref="AA76">SUM(IF(AA5:AA75="X",1,0))</f>
        <v>13</v>
      </c>
      <c r="AB76" s="2">
        <f t="array" ref="AB76">SUM(IF(AB5:AB75="X",1,0))</f>
        <v>5</v>
      </c>
      <c r="AC76" s="2">
        <f t="array" ref="AC76">SUM(IF(AC5:AC75="X",1,0))</f>
        <v>7</v>
      </c>
      <c r="AD76" s="2">
        <f t="array" ref="AD76">SUM(IF(AD5:AD75="X",1,0))</f>
        <v>9</v>
      </c>
      <c r="AE76" s="2">
        <f t="array" ref="AE76">SUM(IF(AE5:AE75="X",1,0))</f>
        <v>3</v>
      </c>
      <c r="AF76" s="2">
        <f t="array" ref="AF76">SUM(IF(AF5:AF75="X",1,0))</f>
        <v>4</v>
      </c>
      <c r="AG76" s="2">
        <f t="array" ref="AG76">SUM(IF(AG5:AG75="X",1,0))</f>
        <v>6</v>
      </c>
      <c r="AH76" s="2">
        <f t="array" ref="AH76">SUM(IF(AH5:AH75="X",1,0))</f>
        <v>6</v>
      </c>
      <c r="AI76" s="2">
        <f t="array" ref="AI76">SUM(IF(AI5:AI75="X",1,0))</f>
        <v>2</v>
      </c>
      <c r="AJ76" s="2">
        <f t="array" ref="AJ76">SUM(IF(AJ5:AJ75="X",1,0))</f>
        <v>8</v>
      </c>
      <c r="AK76" s="2">
        <f t="array" ref="AK76">SUM(IF(AK5:AK75="X",1,0))</f>
        <v>3</v>
      </c>
      <c r="AL76" s="2">
        <f t="array" ref="AL76">SUM(IF(AL5:AL75="X",1,0))</f>
        <v>3</v>
      </c>
      <c r="AM76" s="2">
        <f t="array" ref="AM76">SUM(IF(AM5:AM75="X",1,0))</f>
        <v>4</v>
      </c>
      <c r="AN76" s="2">
        <f t="array" ref="AN76">SUM(IF(AN5:AN75="X",1,0))</f>
        <v>7</v>
      </c>
      <c r="AO76" s="2">
        <f t="array" ref="AO76">SUM(IF(AO5:AO75="X",1,0))</f>
        <v>3</v>
      </c>
      <c r="AP76" s="2">
        <f t="array" ref="AP76">SUM(IF(AP5:AP75="X",1,0))</f>
        <v>3</v>
      </c>
      <c r="AQ76" s="2">
        <f t="array" ref="AQ76">SUM(IF(AQ5:AQ75="X",1,0))</f>
        <v>3</v>
      </c>
      <c r="AR76" s="2">
        <f t="array" ref="AR76">SUM(IF(AR5:AR75="X",1,0))</f>
        <v>7</v>
      </c>
      <c r="AS76" s="2">
        <f t="array" ref="AS76">SUM(IF(AS5:AS75="X",1,0))</f>
        <v>3</v>
      </c>
      <c r="AT76" s="2">
        <f t="array" ref="AT76">SUM(IF(AT5:AT75="X",1,0))</f>
        <v>6</v>
      </c>
      <c r="AU76" s="2">
        <f t="array" ref="AU76">SUM(IF(AU5:AU75="X",1,0))</f>
        <v>6</v>
      </c>
      <c r="AV76" s="2">
        <f t="array" ref="AV76">SUM(IF(AV5:AV75="X",1,0))</f>
        <v>3</v>
      </c>
      <c r="AW76" s="2">
        <f t="array" ref="AW76">SUM(IF(AW5:AW75="X",1,0))</f>
        <v>2</v>
      </c>
      <c r="AX76" s="2">
        <f t="array" ref="AX76">SUM(IF(AX5:AX75="X",1,0))</f>
        <v>5</v>
      </c>
      <c r="AY76" s="32">
        <f t="array" ref="AY76">SUM(IF(AY5:AY75&lt;&gt;"",1,0))</f>
        <v>8</v>
      </c>
      <c r="AZ76" s="32">
        <f t="array" ref="AZ76">SUM(IF(AZ5:AZ75&lt;&gt;"",1,0))</f>
        <v>1</v>
      </c>
      <c r="BA76" s="32">
        <f t="array" ref="BA76">SUM(IF(BA5:BA75&lt;&gt;"",1,0))</f>
        <v>2</v>
      </c>
      <c r="BB76" s="32">
        <f t="array" ref="BB76">SUM(IF(BB5:BB75&lt;&gt;"",1,0))</f>
        <v>11</v>
      </c>
      <c r="BC76" s="32">
        <f t="array" ref="BC76">SUM(IF(BC5:BC75&lt;&gt;"",1,0))</f>
        <v>2</v>
      </c>
      <c r="BD76" s="32">
        <f t="array" ref="BD76">SUM(IF(BD5:BD75&lt;&gt;"",1,0))</f>
        <v>5</v>
      </c>
      <c r="BE76" s="32">
        <f t="array" ref="BE76">SUM(IF(BE5:BE75&lt;&gt;"",1,0))</f>
        <v>10</v>
      </c>
      <c r="BF76" s="32">
        <f t="array" ref="BF76">SUM(IF(BF5:BF75&lt;&gt;"",1,0))</f>
        <v>10</v>
      </c>
      <c r="BG76" s="32">
        <f t="array" ref="BG76">SUM(IF(BG5:BG75&lt;&gt;"",1,0))</f>
        <v>5</v>
      </c>
      <c r="BH76" s="32">
        <f t="array" ref="BH76">SUM(IF(BH5:BH75&lt;&gt;"",1,0))</f>
        <v>7</v>
      </c>
      <c r="BI76" s="32">
        <f t="array" ref="BI76">SUM(IF(BI5:BI75&lt;&gt;"",1,0))</f>
        <v>4</v>
      </c>
      <c r="BJ76" s="32">
        <f t="array" ref="BJ76">SUM(IF(BJ5:BJ75&lt;&gt;"",1,0))</f>
        <v>3</v>
      </c>
      <c r="BK76" s="32">
        <f t="array" ref="BK76">SUM(IF(BK5:BK75&lt;&gt;"",1,0))</f>
        <v>3</v>
      </c>
      <c r="BL76" s="32">
        <f t="array" ref="BL76">SUM(IF(BL5:BL75&lt;&gt;"",1,0))</f>
        <v>4</v>
      </c>
      <c r="BM76" s="32">
        <f t="array" ref="BM76">SUM(IF(BM5:BM75&lt;&gt;"",1,0))</f>
        <v>3</v>
      </c>
      <c r="BN76" s="32">
        <f t="array" ref="BN76">SUM(IF(BN5:BN75&lt;&gt;"",1,0))</f>
        <v>3</v>
      </c>
      <c r="BO76" s="32">
        <f t="array" ref="BO76">SUM(IF(BO5:BO75&lt;&gt;"",1,0))</f>
        <v>2</v>
      </c>
      <c r="BP76" s="32">
        <f t="array" ref="BP76">SUM(IF(BP5:BP75&lt;&gt;"",1,0))</f>
        <v>9</v>
      </c>
      <c r="BQ76" s="32">
        <f t="array" ref="BQ76">SUM(IF(BQ5:BQ75&lt;&gt;"",1,0))</f>
        <v>3</v>
      </c>
      <c r="BR76" s="32">
        <f t="array" ref="BR76">SUM(IF(BR5:BR75&lt;&gt;"",1,0))</f>
        <v>2</v>
      </c>
      <c r="BS76" s="32">
        <f t="array" ref="BS76">SUM(IF(BS5:BS75&lt;&gt;"",1,0))</f>
        <v>1</v>
      </c>
      <c r="BT76" s="32">
        <f t="array" ref="BT76">SUM(IF(BT5:BT75&lt;&gt;"",1,0))</f>
        <v>1</v>
      </c>
      <c r="BU76" s="32">
        <f t="array" ref="BU76">SUM(IF(BU5:BU75&lt;&gt;"",1,0))</f>
        <v>7</v>
      </c>
      <c r="BV76" s="32">
        <f t="array" ref="BV76">SUM(IF(BV5:BV75&lt;&gt;"",1,0))</f>
        <v>5</v>
      </c>
      <c r="BW76" s="32">
        <f t="array" ref="BW76">SUM(IF(BW5:BW75&lt;&gt;"",1,0))</f>
        <v>2</v>
      </c>
      <c r="BX76" s="32">
        <f t="array" ref="BX76">SUM(IF(BX5:BX75&lt;&gt;"",1,0))</f>
        <v>0</v>
      </c>
      <c r="BY76" s="32">
        <f t="array" ref="BY76">SUM(IF(BY5:BY75&lt;&gt;"",1,0))</f>
        <v>11</v>
      </c>
      <c r="BZ76" s="32">
        <f t="array" ref="BZ76">SUM(IF(BZ5:BZ75&lt;&gt;"",1,0))</f>
        <v>2</v>
      </c>
      <c r="CA76" s="32">
        <f t="array" ref="CA76">SUM(IF(CA5:CA75&lt;&gt;"",1,0))</f>
        <v>2</v>
      </c>
      <c r="CB76" s="32">
        <f t="array" ref="CB76">SUM(IF(CB5:CB75&lt;&gt;"",1,0))</f>
        <v>1</v>
      </c>
      <c r="CC76" s="32">
        <f t="array" ref="CC76">SUM(IF(CC5:CC75&lt;&gt;"",1,0))</f>
        <v>7</v>
      </c>
      <c r="CD76" s="32">
        <f t="array" ref="CD76">SUM(IF(CD5:CD75&lt;&gt;"",1,0))</f>
        <v>4</v>
      </c>
      <c r="CE76" s="32">
        <f t="array" ref="CE76">SUM(IF(CE5:CE75&lt;&gt;"",1,0))</f>
        <v>5</v>
      </c>
      <c r="CF76" s="32">
        <f t="array" ref="CF76">SUM(IF(CF5:CF75&lt;&gt;"",1,0))</f>
        <v>2</v>
      </c>
      <c r="CG76" s="32">
        <f t="array" ref="CG76">SUM(IF(CG5:CG75&lt;&gt;"",1,0))</f>
        <v>3</v>
      </c>
      <c r="CH76" s="32">
        <f t="array" ref="CH76">SUM(IF(CH5:CH75&lt;&gt;"",1,0))</f>
        <v>4</v>
      </c>
      <c r="CI76" s="32">
        <f t="array" ref="CI76">SUM(IF(CI5:CI75&lt;&gt;"",1,0))</f>
        <v>3</v>
      </c>
      <c r="CJ76" s="32">
        <f t="array" ref="CJ76">SUM(IF(CJ5:CJ75&lt;&gt;"",1,0))</f>
        <v>11</v>
      </c>
      <c r="CK76" s="32">
        <f t="array" ref="CK76">SUM(IF(CK5:CK75&lt;&gt;"",1,0))</f>
        <v>4</v>
      </c>
      <c r="CL76" s="32">
        <f t="array" ref="CL76">SUM(IF(CL5:CL75&lt;&gt;"",1,0))</f>
        <v>2</v>
      </c>
      <c r="CM76" s="32">
        <f t="array" ref="CM76">SUM(IF(CM5:CM75&lt;&gt;"",1,0))</f>
        <v>1</v>
      </c>
      <c r="CN76" s="32">
        <f t="array" ref="CN76">SUM(IF(CN5:CN75&lt;&gt;"",1,0))</f>
        <v>8</v>
      </c>
      <c r="CO76" s="32">
        <f t="array" ref="CO76">SUM(IF(CO5:CO75&lt;&gt;"",1,0))</f>
        <v>4</v>
      </c>
      <c r="CP76" s="32">
        <f t="array" ref="CP76">SUM(IF(CP5:CP75&lt;&gt;"",1,0))</f>
        <v>2</v>
      </c>
      <c r="CQ76" s="32">
        <f t="array" ref="CQ76">SUM(IF(CQ5:CQ75&lt;&gt;"",1,0))</f>
        <v>13</v>
      </c>
      <c r="CR76" s="32">
        <f t="array" ref="CR76">SUM(IF(CR5:CR75&lt;&gt;"",1,0))</f>
        <v>8</v>
      </c>
      <c r="CS76" s="32">
        <f t="array" ref="CS76">SUM(IF(CS5:CS75&lt;&gt;"",1,0))</f>
        <v>12</v>
      </c>
      <c r="CT76" s="32">
        <f t="array" ref="CT76">SUM(IF(CT5:CT75&lt;&gt;"",1,0))</f>
        <v>12</v>
      </c>
      <c r="CU76" s="32">
        <f t="array" ref="CU76">SUM(IF(CU5:CU75&lt;&gt;"",1,0))</f>
        <v>6</v>
      </c>
      <c r="CV76" s="32">
        <f t="array" ref="CV76">SUM(IF(CV5:CV75&lt;&gt;"",1,0))</f>
        <v>3</v>
      </c>
      <c r="CW76" s="32">
        <f t="array" ref="CW76">SUM(IF(CW5:CW75&lt;&gt;"",1,0))</f>
        <v>2</v>
      </c>
      <c r="CX76" s="32">
        <f t="array" ref="CX76">SUM(IF(CX5:CX75&lt;&gt;"",1,0))</f>
        <v>14</v>
      </c>
      <c r="CY76" s="32">
        <f t="array" ref="CY76">SUM(IF(CY5:CY75&lt;&gt;"",1,0))</f>
        <v>9</v>
      </c>
      <c r="CZ76" s="32">
        <f t="array" ref="CZ76">SUM(IF(CZ5:CZ75&lt;&gt;"",1,0))</f>
        <v>9</v>
      </c>
      <c r="DA76" s="32">
        <f t="array" ref="DA76">SUM(IF(DA5:DA75&lt;&gt;"",1,0))</f>
        <v>2</v>
      </c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1"/>
      <c r="HG76" s="1"/>
      <c r="HH76" s="1"/>
    </row>
    <row r="77" spans="1:216" ht="1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>
        <f>SUM(C76:T76)</f>
        <v>95</v>
      </c>
      <c r="U77" s="3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>
        <f>SUM(U76:AF76)</f>
        <v>65</v>
      </c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>
        <f>SUM(AG76:BO76)</f>
        <v>163</v>
      </c>
      <c r="BP77" s="3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>
        <f>SUM(BP76:CG76)</f>
        <v>67</v>
      </c>
      <c r="CH77" s="3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>
        <f>SUM(CH76:CV76)</f>
        <v>93</v>
      </c>
      <c r="CZ77" s="2"/>
      <c r="DA77" s="2">
        <f>SUM(CW76:DA76)</f>
        <v>36</v>
      </c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1"/>
      <c r="HG77" s="1"/>
      <c r="HH77" s="1"/>
    </row>
    <row r="78" spans="1:216" ht="1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3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3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3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45" t="s">
        <v>106</v>
      </c>
      <c r="CX78" s="24"/>
      <c r="CY78" s="24"/>
      <c r="CZ78" s="23"/>
      <c r="DA78" s="23" t="s">
        <v>105</v>
      </c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1"/>
      <c r="HG78" s="1"/>
      <c r="HH78" s="1"/>
    </row>
    <row r="79" spans="1:216" ht="1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3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3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3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46" t="s">
        <v>103</v>
      </c>
      <c r="CX79" s="2">
        <f>MAX(C76:DA76)</f>
        <v>14</v>
      </c>
      <c r="CY79" s="2"/>
      <c r="CZ79" s="2"/>
      <c r="DA79" s="25" t="s">
        <v>103</v>
      </c>
      <c r="DB79" s="2">
        <f>MAX(DB7:DB75)</f>
        <v>31</v>
      </c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1"/>
      <c r="HG79" s="1"/>
      <c r="HH79" s="1"/>
    </row>
    <row r="80" spans="1:216" ht="1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3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3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3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46" t="s">
        <v>104</v>
      </c>
      <c r="CX80" s="2">
        <f>AVERAGE(C76:DA76)</f>
        <v>5.0388349514563107</v>
      </c>
      <c r="CY80" s="2"/>
      <c r="CZ80" s="2"/>
      <c r="DA80" s="25" t="s">
        <v>104</v>
      </c>
      <c r="DB80" s="2">
        <f>AVERAGE(DB7:DB75)</f>
        <v>7.36231884057971</v>
      </c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1"/>
      <c r="HG80" s="1"/>
      <c r="HH80" s="1"/>
    </row>
    <row r="81" spans="1:21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3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3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32"/>
      <c r="CI81" s="2"/>
      <c r="CJ81" s="2"/>
      <c r="CK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46" t="s">
        <v>107</v>
      </c>
      <c r="CX81" s="2">
        <f t="array" ref="CX81">SUM(IF(C76:DA76=0,1,0))</f>
        <v>1</v>
      </c>
      <c r="CY81" s="2"/>
      <c r="CZ81" s="2"/>
      <c r="DA81" s="25" t="s">
        <v>107</v>
      </c>
      <c r="DB81" s="2">
        <f t="array" ref="DB81">SUM(IF(DB5:DB75=0,1,0))</f>
        <v>7</v>
      </c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1"/>
      <c r="HG81" s="1"/>
      <c r="HH81" s="1"/>
    </row>
    <row r="82" spans="1:216" ht="1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3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3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3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46" t="s">
        <v>108</v>
      </c>
      <c r="CX82" s="2">
        <f>COUNT(C76:DA76)</f>
        <v>103</v>
      </c>
      <c r="CY82" s="2"/>
      <c r="CZ82" s="2"/>
      <c r="DA82" s="25" t="s">
        <v>108</v>
      </c>
      <c r="DB82" s="2">
        <f>COUNT(DB5:DB75)</f>
        <v>71</v>
      </c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1"/>
      <c r="HG82" s="1"/>
      <c r="HH82" s="1"/>
    </row>
    <row r="83" spans="1:216" ht="1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3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3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3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3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1"/>
      <c r="HG83" s="1"/>
      <c r="HH83" s="1"/>
    </row>
    <row r="84" spans="1:216" ht="1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3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3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3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46" t="s">
        <v>134</v>
      </c>
      <c r="CX84" s="2">
        <v>7</v>
      </c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1"/>
      <c r="HG84" s="1"/>
      <c r="HH84" s="1"/>
    </row>
    <row r="85" spans="1:216" ht="1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3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3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3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46" t="s">
        <v>132</v>
      </c>
      <c r="CX85" s="2">
        <f>CX82*CX80/CX86</f>
        <v>4.761467889908257</v>
      </c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1"/>
      <c r="HG85" s="1"/>
      <c r="HH85" s="1"/>
    </row>
    <row r="86" spans="1:216" ht="1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3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3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3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46" t="s">
        <v>133</v>
      </c>
      <c r="CX86" s="2">
        <v>109</v>
      </c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1"/>
      <c r="HG86" s="1"/>
      <c r="HH86" s="1"/>
    </row>
    <row r="87" spans="1:216" ht="1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3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3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3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3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1"/>
      <c r="HG87" s="1"/>
      <c r="HH87" s="1"/>
    </row>
    <row r="88" spans="1:216" ht="1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3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3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3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3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1"/>
      <c r="HG88" s="1"/>
      <c r="HH88" s="1"/>
    </row>
    <row r="89" spans="1:216" ht="1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3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3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3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3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1"/>
      <c r="HG89" s="1"/>
      <c r="HH89" s="1"/>
    </row>
    <row r="90" spans="1:216" ht="1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3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3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3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3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1"/>
      <c r="HG90" s="1"/>
      <c r="HH90" s="1"/>
    </row>
    <row r="91" spans="1:216" ht="1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3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3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3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3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1"/>
      <c r="HG91" s="1"/>
      <c r="HH91" s="1"/>
    </row>
    <row r="92" spans="1:216" ht="1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3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3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3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3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1"/>
      <c r="HG92" s="1"/>
      <c r="HH92" s="1"/>
    </row>
    <row r="93" spans="1:216" ht="1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3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3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3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3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1"/>
      <c r="HG93" s="1"/>
      <c r="HH93" s="1"/>
    </row>
    <row r="94" spans="1:216" ht="1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3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3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3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3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1"/>
      <c r="HG94" s="1"/>
      <c r="HH94" s="1"/>
    </row>
    <row r="95" spans="1:216" ht="1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3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3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3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3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1"/>
      <c r="HG95" s="1"/>
      <c r="HH95" s="1"/>
    </row>
    <row r="96" spans="1:216" ht="1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3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3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3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3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1"/>
      <c r="HG96" s="1"/>
      <c r="HH96" s="1"/>
    </row>
    <row r="97" spans="2:216" ht="1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3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3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3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3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1"/>
      <c r="HG97" s="1"/>
      <c r="HH97" s="1"/>
    </row>
    <row r="98" spans="2:216" ht="1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3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3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3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3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1"/>
      <c r="HG98" s="1"/>
      <c r="HH98" s="1"/>
    </row>
    <row r="99" spans="2:216" ht="1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3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3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3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3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1"/>
      <c r="HG99" s="1"/>
      <c r="HH99" s="1"/>
    </row>
    <row r="100" spans="2:216" ht="1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3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3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3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3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1"/>
      <c r="HG100" s="1"/>
      <c r="HH100" s="1"/>
    </row>
    <row r="101" spans="2:216" ht="1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3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3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3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3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1"/>
      <c r="HG101" s="1"/>
      <c r="HH101" s="1"/>
    </row>
    <row r="102" spans="2:216" ht="1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3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3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3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3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1"/>
      <c r="HG102" s="1"/>
      <c r="HH102" s="1"/>
    </row>
    <row r="103" spans="2:216" ht="1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3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3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3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3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1"/>
      <c r="HG103" s="1"/>
      <c r="HH103" s="1"/>
    </row>
    <row r="104" spans="2:216" ht="1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3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3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3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3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1"/>
      <c r="HG104" s="1"/>
      <c r="HH104" s="1"/>
    </row>
    <row r="105" spans="2:216" ht="1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3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3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3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3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1"/>
      <c r="HG105" s="1"/>
      <c r="HH105" s="1"/>
    </row>
    <row r="106" spans="2:216" ht="1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3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3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3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3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1"/>
      <c r="HG106" s="1"/>
      <c r="HH106" s="1"/>
    </row>
    <row r="107" spans="2:216" ht="1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3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3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3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3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1"/>
      <c r="HG107" s="1"/>
      <c r="HH107" s="1"/>
    </row>
    <row r="108" spans="2:216" ht="1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3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3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3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3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1"/>
      <c r="HG108" s="1"/>
      <c r="HH108" s="1"/>
    </row>
    <row r="109" spans="2:216" ht="1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3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3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3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3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1"/>
      <c r="HG109" s="1"/>
      <c r="HH109" s="1"/>
    </row>
    <row r="110" spans="2:216" ht="1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3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3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3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3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1"/>
      <c r="HG110" s="1"/>
      <c r="HH110" s="1"/>
    </row>
    <row r="111" spans="2:216" ht="1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3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3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3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3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1"/>
      <c r="HG111" s="1"/>
      <c r="HH111" s="1"/>
    </row>
    <row r="112" spans="2:216" ht="1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3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3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3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3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1"/>
      <c r="HG112" s="1"/>
      <c r="HH112" s="1"/>
    </row>
    <row r="113" spans="2:216" ht="1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3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3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3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3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1"/>
      <c r="HG113" s="1"/>
      <c r="HH113" s="1"/>
    </row>
    <row r="114" spans="2:216" ht="1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3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3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3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3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1"/>
      <c r="HG114" s="1"/>
      <c r="HH114" s="1"/>
    </row>
    <row r="115" spans="2:216" ht="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3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3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3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3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1"/>
      <c r="HG115" s="1"/>
      <c r="HH115" s="1"/>
    </row>
    <row r="116" spans="2:216" ht="1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3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3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3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3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1"/>
      <c r="HG116" s="1"/>
      <c r="HH116" s="1"/>
    </row>
    <row r="117" spans="2:216" ht="1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3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3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3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3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1"/>
      <c r="HG117" s="1"/>
      <c r="HH117" s="1"/>
    </row>
    <row r="118" spans="2:216" ht="1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3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3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3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3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1"/>
      <c r="HG118" s="1"/>
      <c r="HH118" s="1"/>
    </row>
    <row r="119" spans="2:216" ht="1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3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3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3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3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1"/>
      <c r="HG119" s="1"/>
      <c r="HH119" s="1"/>
    </row>
    <row r="120" spans="2:216" ht="1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3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3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3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3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1"/>
      <c r="HG120" s="1"/>
      <c r="HH120" s="1"/>
    </row>
    <row r="121" spans="2:216" ht="1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3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3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3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3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1"/>
      <c r="HG121" s="1"/>
      <c r="HH121" s="1"/>
    </row>
    <row r="122" spans="2:216" ht="1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3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3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3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3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1"/>
      <c r="HG122" s="1"/>
      <c r="HH122" s="1"/>
    </row>
    <row r="123" spans="2:216" ht="1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3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3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3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3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1"/>
      <c r="HG123" s="1"/>
      <c r="HH123" s="1"/>
    </row>
    <row r="124" spans="2:216" ht="1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3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3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3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3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1"/>
      <c r="HG124" s="1"/>
      <c r="HH124" s="1"/>
    </row>
    <row r="125" spans="2:216" ht="1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3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3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3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3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1"/>
      <c r="HG125" s="1"/>
      <c r="HH125" s="1"/>
    </row>
    <row r="126" spans="2:216" ht="1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3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3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3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3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1"/>
      <c r="HG126" s="1"/>
      <c r="HH126" s="1"/>
    </row>
    <row r="127" spans="2:216" ht="1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3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3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3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3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1"/>
      <c r="HG127" s="1"/>
      <c r="HH127" s="1"/>
    </row>
    <row r="128" spans="2:216" ht="1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3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3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3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3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1"/>
      <c r="HG128" s="1"/>
      <c r="HH128" s="1"/>
    </row>
    <row r="129" spans="2:216" ht="1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3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3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3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3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1"/>
      <c r="HG129" s="1"/>
      <c r="HH129" s="1"/>
    </row>
    <row r="130" spans="2:216" ht="1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3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3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3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3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1"/>
      <c r="HG130" s="1"/>
      <c r="HH130" s="1"/>
    </row>
    <row r="131" spans="2:216" ht="1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3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3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3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3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1"/>
      <c r="HG131" s="1"/>
      <c r="HH131" s="1"/>
    </row>
    <row r="132" spans="2:216" ht="1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3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3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3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3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1"/>
      <c r="HG132" s="1"/>
      <c r="HH132" s="1"/>
    </row>
    <row r="133" spans="2:216" ht="1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3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3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3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3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1"/>
      <c r="HG133" s="1"/>
      <c r="HH133" s="1"/>
    </row>
    <row r="134" spans="2:216" ht="1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3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3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3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3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1"/>
      <c r="HG134" s="1"/>
      <c r="HH134" s="1"/>
    </row>
    <row r="135" spans="2:216" ht="1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3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3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3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3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1"/>
      <c r="HG135" s="1"/>
      <c r="HH135" s="1"/>
    </row>
    <row r="136" spans="2:216" ht="1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3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3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3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3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1"/>
      <c r="HG136" s="1"/>
      <c r="HH136" s="1"/>
    </row>
    <row r="137" spans="2:216" ht="1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3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3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3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3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1"/>
      <c r="HG137" s="1"/>
      <c r="HH137" s="1"/>
    </row>
    <row r="138" spans="2:216" ht="1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3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3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3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3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1"/>
      <c r="HG138" s="1"/>
      <c r="HH138" s="1"/>
    </row>
    <row r="139" spans="2:216" ht="1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3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3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3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3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1"/>
      <c r="HG139" s="1"/>
      <c r="HH139" s="1"/>
    </row>
    <row r="140" spans="2:216" ht="1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3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3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3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3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1"/>
      <c r="HG140" s="1"/>
      <c r="HH140" s="1"/>
    </row>
    <row r="141" spans="2:216" ht="1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3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3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3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3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1"/>
      <c r="HG141" s="1"/>
      <c r="HH141" s="1"/>
    </row>
    <row r="142" spans="2:216" ht="1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3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3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3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3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1"/>
      <c r="HG142" s="1"/>
      <c r="HH142" s="1"/>
    </row>
    <row r="143" spans="2:216" ht="1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3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3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3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3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1"/>
      <c r="HG143" s="1"/>
      <c r="HH143" s="1"/>
    </row>
    <row r="144" spans="2:216" ht="1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3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3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3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3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1"/>
      <c r="HG144" s="1"/>
      <c r="HH144" s="1"/>
    </row>
    <row r="145" spans="2:216" ht="1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3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3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3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3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1"/>
      <c r="HG145" s="1"/>
      <c r="HH145" s="1"/>
    </row>
    <row r="146" spans="2:216" ht="1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3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3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3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3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1"/>
      <c r="HG146" s="1"/>
      <c r="HH146" s="1"/>
    </row>
    <row r="147" spans="2:216" ht="1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3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3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3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3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1"/>
      <c r="HG147" s="1"/>
      <c r="HH147" s="1"/>
    </row>
    <row r="148" spans="2:216" ht="1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3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3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3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3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1"/>
      <c r="HG148" s="1"/>
      <c r="HH148" s="1"/>
    </row>
    <row r="149" spans="2:216" ht="1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3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3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3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3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1"/>
      <c r="HG149" s="1"/>
      <c r="HH149" s="1"/>
    </row>
    <row r="150" spans="2:216" ht="1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3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3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3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3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1"/>
      <c r="HG150" s="1"/>
      <c r="HH150" s="1"/>
    </row>
    <row r="151" spans="2:216" ht="1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3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3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3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3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1"/>
      <c r="HG151" s="1"/>
      <c r="HH151" s="1"/>
    </row>
    <row r="152" spans="2:216" ht="1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3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3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3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3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1"/>
      <c r="HG152" s="1"/>
      <c r="HH152" s="1"/>
    </row>
    <row r="153" spans="2:216" ht="1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3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3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3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3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1"/>
      <c r="HG153" s="1"/>
      <c r="HH153" s="1"/>
    </row>
    <row r="154" spans="2:216" ht="1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3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3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3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3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1"/>
      <c r="HG154" s="1"/>
      <c r="HH154" s="1"/>
    </row>
    <row r="155" spans="2:216" ht="1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3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3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3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3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1"/>
      <c r="HG155" s="1"/>
      <c r="HH155" s="1"/>
    </row>
    <row r="156" spans="2:216" ht="1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3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3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3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3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1"/>
      <c r="HG156" s="1"/>
      <c r="HH156" s="1"/>
    </row>
    <row r="157" spans="2:216" ht="1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3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3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3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3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1"/>
      <c r="HG157" s="1"/>
      <c r="HH157" s="1"/>
    </row>
    <row r="158" spans="2:216" ht="1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3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3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3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3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1"/>
      <c r="HG158" s="1"/>
      <c r="HH158" s="1"/>
    </row>
    <row r="159" spans="2:216" ht="1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3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3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3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3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1"/>
      <c r="HG159" s="1"/>
      <c r="HH159" s="1"/>
    </row>
    <row r="160" spans="2:216" ht="1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3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3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3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3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1"/>
      <c r="HG160" s="1"/>
      <c r="HH160" s="1"/>
    </row>
    <row r="161" spans="2:21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4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4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4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</row>
    <row r="162" spans="2:21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4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4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4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</row>
    <row r="163" spans="2:21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4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4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4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</row>
    <row r="164" spans="2:21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4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4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4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</row>
    <row r="165" spans="2:21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4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4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4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</row>
    <row r="166" spans="2:21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4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4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4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</row>
    <row r="167" spans="2:21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4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4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4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</row>
    <row r="168" spans="2:21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4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4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4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</row>
    <row r="169" spans="2:21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4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4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4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</row>
    <row r="170" spans="2:21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4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4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4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</row>
    <row r="171" spans="2:21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4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4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4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</row>
    <row r="172" spans="2:21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4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4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4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</row>
    <row r="173" spans="2:21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4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4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4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</row>
    <row r="174" spans="2:21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4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4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4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</row>
    <row r="175" spans="2:21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4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4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4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</row>
    <row r="176" spans="2:21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4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4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4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</row>
    <row r="177" spans="2:21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4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4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4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</row>
    <row r="178" spans="2:21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4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4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4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</row>
    <row r="179" spans="2:21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4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4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4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</row>
    <row r="180" spans="2:21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4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4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4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</row>
    <row r="181" spans="2:21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4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4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4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</row>
    <row r="182" spans="2:21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4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4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4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</row>
    <row r="183" spans="2:21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4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4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4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</row>
    <row r="184" spans="2:21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4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4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4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</row>
    <row r="185" spans="2:21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4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4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4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</row>
    <row r="186" spans="2:21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4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4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4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</row>
    <row r="187" spans="2:21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4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4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4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</row>
    <row r="188" spans="2:21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4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4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4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</row>
    <row r="189" spans="2:21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4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4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4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</row>
    <row r="190" spans="2:21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4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4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4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</row>
    <row r="191" spans="2:21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4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4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4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</row>
    <row r="192" spans="2:21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4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4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4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</row>
    <row r="193" spans="2:21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4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4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4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</row>
    <row r="194" spans="2:21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4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4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4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</row>
    <row r="195" spans="2:21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4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4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4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</row>
    <row r="196" spans="2:21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4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4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4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</row>
    <row r="197" spans="2:21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4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4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4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</row>
    <row r="198" spans="2:21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4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4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4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</row>
    <row r="199" spans="2:21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4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4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4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</row>
    <row r="200" spans="2:21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4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4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4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</row>
    <row r="201" spans="2:21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4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4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4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</row>
    <row r="202" spans="2:21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4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4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4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</row>
    <row r="203" spans="2:21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4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4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4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</row>
    <row r="204" spans="2:21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4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4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4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</row>
    <row r="205" spans="2:21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4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4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4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4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</row>
    <row r="206" spans="2:21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4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4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4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4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</row>
    <row r="207" spans="2:21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4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4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4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</row>
    <row r="208" spans="2:21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4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4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4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4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</row>
    <row r="209" spans="2:21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4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4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4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4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</row>
    <row r="210" spans="2:21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4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4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4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4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</row>
    <row r="211" spans="2:21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4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4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4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</row>
    <row r="212" spans="2:21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4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4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4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</row>
    <row r="213" spans="2:21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4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4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4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4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</row>
    <row r="214" spans="2:21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4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4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4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</row>
    <row r="215" spans="2:21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4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4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4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4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</row>
    <row r="216" spans="2:21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4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4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4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</row>
    <row r="217" spans="2:21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4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4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4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</row>
    <row r="218" spans="2:21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4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4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4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4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</row>
    <row r="219" spans="2:21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4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4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4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4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</row>
    <row r="220" spans="2:21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4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4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4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4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</row>
    <row r="221" spans="2:21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4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4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4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</row>
    <row r="222" spans="2:21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4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4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4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</row>
    <row r="223" spans="2:21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4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4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4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</row>
    <row r="224" spans="2:21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4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4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4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</row>
    <row r="225" spans="2:21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4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4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4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</row>
    <row r="226" spans="2:21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4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4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4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4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</row>
    <row r="227" spans="2:21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4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4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4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</row>
    <row r="228" spans="2:21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4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4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4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</row>
    <row r="229" spans="2:21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4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4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4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</row>
    <row r="230" spans="2:21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4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4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4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</row>
    <row r="231" spans="2:21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4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4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4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</row>
    <row r="232" spans="2:21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4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4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4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</row>
    <row r="233" spans="2:21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4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4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4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</row>
    <row r="234" spans="2:21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4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4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4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</row>
    <row r="235" spans="2:21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4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4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4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</row>
    <row r="236" spans="2:21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4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4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4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</row>
    <row r="237" spans="2:21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4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4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4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</row>
    <row r="238" spans="2:21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4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4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4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</row>
    <row r="239" spans="2:21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4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4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4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</row>
    <row r="240" spans="2:21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4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4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4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</row>
    <row r="241" spans="2:21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4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4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4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</row>
    <row r="242" spans="2:21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4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4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4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</row>
    <row r="243" spans="2:21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4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4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4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</row>
    <row r="244" spans="2:21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4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4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4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</row>
    <row r="245" spans="2:21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4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4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4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4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</row>
    <row r="246" spans="2:21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4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4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4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4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</row>
    <row r="247" spans="2:21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4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4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4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</row>
    <row r="248" spans="2:21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4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4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4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4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</row>
    <row r="249" spans="2:21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4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4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4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4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</row>
    <row r="250" spans="2:21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4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4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4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</row>
    <row r="251" spans="2:21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4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4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4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4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</row>
    <row r="252" spans="2:21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4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4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4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</row>
    <row r="253" spans="2:21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4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4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4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4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</row>
    <row r="254" spans="2:21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4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4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4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4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</row>
    <row r="255" spans="2:21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4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4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4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4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</row>
    <row r="256" spans="2:21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4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4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4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4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</row>
    <row r="257" spans="2:21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4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4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4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4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</row>
    <row r="258" spans="2:21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4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4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4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4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</row>
    <row r="259" spans="2:21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4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4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4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4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</row>
  </sheetData>
  <customSheetViews>
    <customSheetView guid="{7E394900-91E8-11D3-BF45-00050240E94D}" showRuler="0">
      <selection activeCell="B4" sqref="B4"/>
      <pageMargins left="0.75" right="0.75" top="1" bottom="1" header="0.5" footer="0.5"/>
      <headerFooter alignWithMargins="0"/>
    </customSheetView>
  </customSheetViews>
  <pageMargins left="0.75" right="0.75" top="0.51" bottom="0.51" header="0.5" footer="0.5"/>
  <pageSetup paperSize="0" scale="27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zoomScale="50" workbookViewId="0">
      <selection activeCell="C12" sqref="C12"/>
    </sheetView>
  </sheetViews>
  <sheetFormatPr defaultColWidth="8.296875" defaultRowHeight="22.5"/>
  <cols>
    <col min="1" max="1" width="11.19921875" customWidth="1"/>
    <col min="2" max="2" width="41.69921875" style="50" customWidth="1"/>
    <col min="3" max="8" width="11" customWidth="1"/>
    <col min="9" max="9" width="11.5" customWidth="1"/>
    <col min="10" max="10" width="8.296875" customWidth="1"/>
    <col min="11" max="11" width="12.296875" customWidth="1"/>
  </cols>
  <sheetData>
    <row r="1" spans="1:11" ht="23">
      <c r="D1" s="52" t="s">
        <v>135</v>
      </c>
    </row>
    <row r="2" spans="1:11" s="51" customFormat="1" ht="224" customHeight="1">
      <c r="B2" s="54" t="s">
        <v>137</v>
      </c>
      <c r="C2" s="51" t="s">
        <v>124</v>
      </c>
      <c r="D2" s="51" t="s">
        <v>122</v>
      </c>
      <c r="E2" s="51" t="s">
        <v>117</v>
      </c>
      <c r="F2" s="51" t="s">
        <v>123</v>
      </c>
      <c r="G2" s="51" t="s">
        <v>120</v>
      </c>
      <c r="H2" s="51" t="s">
        <v>121</v>
      </c>
      <c r="I2" s="51" t="s">
        <v>131</v>
      </c>
      <c r="J2" s="51" t="s">
        <v>153</v>
      </c>
      <c r="K2" s="51" t="s">
        <v>154</v>
      </c>
    </row>
    <row r="3" spans="1:11" ht="29.5">
      <c r="B3" s="50" t="s">
        <v>138</v>
      </c>
      <c r="C3" s="48">
        <v>6</v>
      </c>
      <c r="D3" s="49">
        <f t="array" ref="D3">SUM(IF('Correlation Matrix'!AG5:BO10="X",1,0))</f>
        <v>16</v>
      </c>
      <c r="E3" s="48">
        <f t="array" ref="E3">SUM(IF('Correlation Matrix'!C5:T10="X",1,0))</f>
        <v>12</v>
      </c>
      <c r="F3" s="48">
        <v>9</v>
      </c>
      <c r="G3" s="48">
        <v>1</v>
      </c>
      <c r="H3" s="48">
        <f t="array" ref="H3">SUM(IF('Correlation Matrix'!CH5:CV10="X",1,0))</f>
        <v>15</v>
      </c>
      <c r="I3" s="47">
        <f>SUM(C3:H3)</f>
        <v>59</v>
      </c>
      <c r="J3" s="47">
        <v>6</v>
      </c>
      <c r="K3" s="55">
        <f>I3/J3</f>
        <v>9.8333333333333339</v>
      </c>
    </row>
    <row r="4" spans="1:11" ht="29.5">
      <c r="B4" s="50" t="s">
        <v>139</v>
      </c>
      <c r="C4" s="48">
        <v>2</v>
      </c>
      <c r="D4" s="48">
        <f t="array" ref="D4">SUM(IF('Correlation Matrix'!AG11:BO16="X",1,0))</f>
        <v>7</v>
      </c>
      <c r="E4" s="49">
        <v>8</v>
      </c>
      <c r="F4" s="48">
        <v>5</v>
      </c>
      <c r="G4" s="48">
        <v>2</v>
      </c>
      <c r="H4" s="48">
        <v>3</v>
      </c>
      <c r="I4" s="47">
        <f t="shared" ref="I4:I17" si="0">SUM(C4:H4)</f>
        <v>27</v>
      </c>
      <c r="J4" s="47">
        <v>6</v>
      </c>
      <c r="K4" s="55">
        <f t="shared" ref="K4:K16" si="1">I4/J4</f>
        <v>4.5</v>
      </c>
    </row>
    <row r="5" spans="1:11" ht="29.5">
      <c r="B5" s="50" t="s">
        <v>140</v>
      </c>
      <c r="C5" s="48">
        <v>4</v>
      </c>
      <c r="D5" s="48">
        <v>0</v>
      </c>
      <c r="E5" s="48">
        <v>4</v>
      </c>
      <c r="F5" s="48">
        <v>3</v>
      </c>
      <c r="G5" s="48">
        <v>0</v>
      </c>
      <c r="H5" s="49">
        <v>8</v>
      </c>
      <c r="I5" s="47">
        <f t="shared" si="0"/>
        <v>19</v>
      </c>
      <c r="J5" s="47">
        <v>5</v>
      </c>
      <c r="K5" s="55">
        <f t="shared" si="1"/>
        <v>3.8</v>
      </c>
    </row>
    <row r="6" spans="1:11" ht="29.5">
      <c r="B6" s="50" t="s">
        <v>141</v>
      </c>
      <c r="C6" s="48">
        <v>1</v>
      </c>
      <c r="D6" s="48">
        <f t="array" ref="D6">SUM(IF('Correlation Matrix'!AG22:BO26="X",1,0))</f>
        <v>10</v>
      </c>
      <c r="E6" s="49">
        <v>12</v>
      </c>
      <c r="F6" s="48">
        <v>4</v>
      </c>
      <c r="G6" s="48">
        <v>4</v>
      </c>
      <c r="H6" s="48">
        <v>7</v>
      </c>
      <c r="I6" s="47">
        <f t="shared" si="0"/>
        <v>38</v>
      </c>
      <c r="J6" s="47">
        <v>5</v>
      </c>
      <c r="K6" s="55">
        <f t="shared" si="1"/>
        <v>7.6</v>
      </c>
    </row>
    <row r="7" spans="1:11" ht="29.5">
      <c r="B7" s="50" t="s">
        <v>142</v>
      </c>
      <c r="C7" s="49">
        <v>11</v>
      </c>
      <c r="D7" s="48">
        <f t="array" ref="D7">SUM(IF('Correlation Matrix'!AG27:BO31="X",1,0))</f>
        <v>30</v>
      </c>
      <c r="E7" s="48">
        <v>5</v>
      </c>
      <c r="F7" s="48">
        <v>0</v>
      </c>
      <c r="G7" s="48">
        <v>8</v>
      </c>
      <c r="H7" s="48">
        <v>3</v>
      </c>
      <c r="I7" s="47">
        <f t="shared" si="0"/>
        <v>57</v>
      </c>
      <c r="J7" s="47">
        <v>5</v>
      </c>
      <c r="K7" s="55">
        <f t="shared" si="1"/>
        <v>11.4</v>
      </c>
    </row>
    <row r="8" spans="1:11" ht="29.5">
      <c r="B8" s="50" t="s">
        <v>143</v>
      </c>
      <c r="C8" s="48">
        <v>0</v>
      </c>
      <c r="D8" s="49">
        <f t="array" ref="D8">SUM(IF('Correlation Matrix'!AG32:BO36="X",1,0))</f>
        <v>7</v>
      </c>
      <c r="E8" s="48">
        <v>1</v>
      </c>
      <c r="F8" s="48">
        <v>0</v>
      </c>
      <c r="G8" s="48">
        <v>1</v>
      </c>
      <c r="H8" s="48">
        <v>0</v>
      </c>
      <c r="I8" s="47">
        <f t="shared" si="0"/>
        <v>9</v>
      </c>
      <c r="J8" s="47">
        <v>5</v>
      </c>
      <c r="K8" s="55">
        <f t="shared" si="1"/>
        <v>1.8</v>
      </c>
    </row>
    <row r="9" spans="1:11" ht="29" customHeight="1">
      <c r="A9" s="53" t="s">
        <v>136</v>
      </c>
      <c r="B9" s="50" t="s">
        <v>144</v>
      </c>
      <c r="C9" s="48">
        <v>8</v>
      </c>
      <c r="D9" s="49">
        <f t="array" ref="D9">SUM(IF('Correlation Matrix'!AG37:BO42="X",1,0))</f>
        <v>66</v>
      </c>
      <c r="E9" s="48">
        <v>3</v>
      </c>
      <c r="F9" s="48">
        <v>0</v>
      </c>
      <c r="G9" s="48">
        <v>2</v>
      </c>
      <c r="H9" s="48">
        <v>6</v>
      </c>
      <c r="I9" s="47">
        <f t="shared" si="0"/>
        <v>85</v>
      </c>
      <c r="J9" s="47">
        <v>6</v>
      </c>
      <c r="K9" s="56">
        <f t="shared" si="1"/>
        <v>14.166666666666666</v>
      </c>
    </row>
    <row r="10" spans="1:11" ht="29.5">
      <c r="B10" s="50" t="s">
        <v>145</v>
      </c>
      <c r="C10" s="48">
        <v>0</v>
      </c>
      <c r="D10" s="48">
        <v>0</v>
      </c>
      <c r="E10" s="49">
        <v>8</v>
      </c>
      <c r="F10" s="48">
        <v>6</v>
      </c>
      <c r="G10" s="48">
        <v>1</v>
      </c>
      <c r="H10" s="48">
        <v>1</v>
      </c>
      <c r="I10" s="47">
        <f t="shared" si="0"/>
        <v>16</v>
      </c>
      <c r="J10" s="47">
        <v>4</v>
      </c>
      <c r="K10" s="55">
        <f t="shared" si="1"/>
        <v>4</v>
      </c>
    </row>
    <row r="11" spans="1:11" ht="29.5">
      <c r="B11" s="50" t="s">
        <v>146</v>
      </c>
      <c r="C11" s="48">
        <v>4</v>
      </c>
      <c r="D11" s="48">
        <f t="array" ref="D11">SUM(IF('Correlation Matrix'!AG47:BO52="X",1,0))</f>
        <v>2</v>
      </c>
      <c r="E11" s="49">
        <f t="array" ref="E11">SUM(IF('Correlation Matrix'!C47:T52="X",1,0))</f>
        <v>36</v>
      </c>
      <c r="F11" s="48">
        <v>5</v>
      </c>
      <c r="G11" s="48">
        <v>9</v>
      </c>
      <c r="H11" s="48">
        <v>2</v>
      </c>
      <c r="I11" s="47">
        <f t="shared" si="0"/>
        <v>58</v>
      </c>
      <c r="J11" s="47">
        <v>6</v>
      </c>
      <c r="K11" s="55">
        <f t="shared" si="1"/>
        <v>9.6666666666666661</v>
      </c>
    </row>
    <row r="12" spans="1:11" ht="29.5">
      <c r="B12" s="50" t="s">
        <v>147</v>
      </c>
      <c r="C12" s="48">
        <v>0</v>
      </c>
      <c r="D12" s="48">
        <v>0</v>
      </c>
      <c r="E12" s="48">
        <v>2</v>
      </c>
      <c r="F12" s="49">
        <v>11</v>
      </c>
      <c r="G12" s="48">
        <v>0</v>
      </c>
      <c r="H12" s="48">
        <v>0</v>
      </c>
      <c r="I12" s="47">
        <f t="shared" si="0"/>
        <v>13</v>
      </c>
      <c r="J12" s="47">
        <v>5</v>
      </c>
      <c r="K12" s="55">
        <f t="shared" si="1"/>
        <v>2.6</v>
      </c>
    </row>
    <row r="13" spans="1:11" ht="29.5">
      <c r="B13" s="50" t="s">
        <v>148</v>
      </c>
      <c r="C13" s="48">
        <v>0</v>
      </c>
      <c r="D13" s="48">
        <v>0</v>
      </c>
      <c r="E13" s="48">
        <v>0</v>
      </c>
      <c r="F13" s="49">
        <v>21</v>
      </c>
      <c r="G13" s="48">
        <v>0</v>
      </c>
      <c r="H13" s="48">
        <v>0</v>
      </c>
      <c r="I13" s="47">
        <f t="shared" si="0"/>
        <v>21</v>
      </c>
      <c r="J13" s="47">
        <v>5</v>
      </c>
      <c r="K13" s="55">
        <f t="shared" si="1"/>
        <v>4.2</v>
      </c>
    </row>
    <row r="14" spans="1:11" ht="29.5">
      <c r="B14" s="50" t="s">
        <v>149</v>
      </c>
      <c r="C14" s="48">
        <v>0</v>
      </c>
      <c r="D14" s="48">
        <f t="array" ref="D14">SUM(IF('Correlation Matrix'!AG62:BO66="X",1,0))</f>
        <v>6</v>
      </c>
      <c r="E14" s="48">
        <v>4</v>
      </c>
      <c r="F14" s="48">
        <v>0</v>
      </c>
      <c r="G14" s="49">
        <f t="array" ref="G14">SUM(IF('Correlation Matrix'!BP62:CG68="X",1,0))</f>
        <v>21</v>
      </c>
      <c r="H14" s="48">
        <v>13</v>
      </c>
      <c r="I14" s="47">
        <f t="shared" si="0"/>
        <v>44</v>
      </c>
      <c r="J14" s="47">
        <v>6</v>
      </c>
      <c r="K14" s="55">
        <f t="shared" si="1"/>
        <v>7.333333333333333</v>
      </c>
    </row>
    <row r="15" spans="1:11" ht="29.5">
      <c r="B15" s="50" t="s">
        <v>150</v>
      </c>
      <c r="C15" s="48">
        <v>0</v>
      </c>
      <c r="D15" s="48">
        <f t="array" ref="D15">SUM(IF('Correlation Matrix'!AG67:BO75="X",1,0))</f>
        <v>19</v>
      </c>
      <c r="E15" s="48">
        <v>0</v>
      </c>
      <c r="F15" s="48">
        <v>1</v>
      </c>
      <c r="G15" s="57">
        <f t="array" ref="G15">SUM(IF('Correlation Matrix'!BP69:CG75="X",1,0))</f>
        <v>18</v>
      </c>
      <c r="H15" s="49">
        <f t="array" ref="H15">SUM(IF('Correlation Matrix'!CH69:CV75="X",1,0))</f>
        <v>35</v>
      </c>
      <c r="I15" s="47">
        <f t="shared" si="0"/>
        <v>73</v>
      </c>
      <c r="J15" s="47">
        <v>7</v>
      </c>
      <c r="K15" s="55">
        <f t="shared" si="1"/>
        <v>10.428571428571429</v>
      </c>
    </row>
    <row r="16" spans="1:11" ht="29.5">
      <c r="B16" s="50" t="s">
        <v>131</v>
      </c>
      <c r="C16" s="47">
        <f t="shared" ref="C16:J16" si="2">SUM(C3:C15)</f>
        <v>36</v>
      </c>
      <c r="D16" s="47">
        <f t="shared" si="2"/>
        <v>163</v>
      </c>
      <c r="E16" s="47">
        <f t="shared" si="2"/>
        <v>95</v>
      </c>
      <c r="F16" s="47">
        <f t="shared" si="2"/>
        <v>65</v>
      </c>
      <c r="G16" s="47">
        <f t="shared" si="2"/>
        <v>67</v>
      </c>
      <c r="H16" s="47">
        <f t="shared" si="2"/>
        <v>93</v>
      </c>
      <c r="I16" s="47">
        <f t="shared" si="0"/>
        <v>519</v>
      </c>
      <c r="J16" s="47">
        <f t="shared" si="2"/>
        <v>71</v>
      </c>
      <c r="K16" s="55">
        <f t="shared" si="1"/>
        <v>7.3098591549295771</v>
      </c>
    </row>
    <row r="17" spans="2:12" ht="29.5">
      <c r="B17" s="50" t="s">
        <v>152</v>
      </c>
      <c r="C17" s="47">
        <v>5</v>
      </c>
      <c r="D17" s="47">
        <v>34</v>
      </c>
      <c r="E17" s="47">
        <v>18</v>
      </c>
      <c r="F17" s="47">
        <v>12</v>
      </c>
      <c r="G17" s="47">
        <v>18</v>
      </c>
      <c r="H17" s="47">
        <v>16</v>
      </c>
      <c r="I17" s="47">
        <f t="shared" si="0"/>
        <v>103</v>
      </c>
      <c r="J17" s="47"/>
      <c r="K17" s="47"/>
      <c r="L17" s="47"/>
    </row>
    <row r="18" spans="2:12" ht="29.5">
      <c r="B18" s="50" t="s">
        <v>151</v>
      </c>
      <c r="C18" s="47">
        <f>C16/C17</f>
        <v>7.2</v>
      </c>
      <c r="D18" s="47">
        <f t="shared" ref="D18:I18" si="3">D16/D17</f>
        <v>4.7941176470588234</v>
      </c>
      <c r="E18" s="47">
        <f t="shared" si="3"/>
        <v>5.2777777777777777</v>
      </c>
      <c r="F18" s="47">
        <f t="shared" si="3"/>
        <v>5.416666666666667</v>
      </c>
      <c r="G18" s="47">
        <f t="shared" si="3"/>
        <v>3.7222222222222223</v>
      </c>
      <c r="H18" s="47">
        <f t="shared" si="3"/>
        <v>5.8125</v>
      </c>
      <c r="I18" s="47">
        <f t="shared" si="3"/>
        <v>5.0388349514563107</v>
      </c>
      <c r="J18" s="47"/>
      <c r="K18" s="47"/>
      <c r="L18" s="47"/>
    </row>
    <row r="19" spans="2:12" ht="29.5">
      <c r="J19" s="47"/>
      <c r="K19" s="47"/>
    </row>
  </sheetData>
  <customSheetViews>
    <customSheetView guid="{7E394900-91E8-11D3-BF45-00050240E94D}" showRuler="0">
      <pageMargins left="0.75" right="0.75" top="1" bottom="1" header="0.5" footer="0.5"/>
      <headerFooter alignWithMargins="0"/>
    </customSheetView>
  </customSheetViews>
  <pageMargins left="0.75" right="0.75" top="1" bottom="1" header="0.5" footer="0.5"/>
  <pageSetup paperSize="0" scale="75" orientation="landscape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workbookViewId="0">
      <selection activeCell="A108" sqref="A108:IV108"/>
    </sheetView>
  </sheetViews>
  <sheetFormatPr defaultRowHeight="11.5"/>
  <cols>
    <col min="1" max="256" width="11.19921875" customWidth="1"/>
  </cols>
  <sheetData>
    <row r="1" spans="1:2" ht="15">
      <c r="A1" s="8" t="s">
        <v>100</v>
      </c>
      <c r="B1" t="s">
        <v>117</v>
      </c>
    </row>
    <row r="2" spans="1:2" ht="15">
      <c r="A2" s="9" t="s">
        <v>11</v>
      </c>
      <c r="B2" t="s">
        <v>122</v>
      </c>
    </row>
    <row r="3" spans="1:2" ht="15">
      <c r="A3" s="9" t="s">
        <v>39</v>
      </c>
      <c r="B3" t="s">
        <v>121</v>
      </c>
    </row>
    <row r="4" spans="1:2" ht="15">
      <c r="A4" s="9" t="s">
        <v>12</v>
      </c>
      <c r="B4" t="s">
        <v>117</v>
      </c>
    </row>
    <row r="5" spans="1:2" ht="15">
      <c r="A5" s="9" t="s">
        <v>9</v>
      </c>
      <c r="B5" t="s">
        <v>122</v>
      </c>
    </row>
    <row r="6" spans="1:2" ht="15">
      <c r="A6" s="9" t="s">
        <v>51</v>
      </c>
      <c r="B6" t="s">
        <v>122</v>
      </c>
    </row>
    <row r="7" spans="1:2" ht="15">
      <c r="A7" s="9" t="s">
        <v>13</v>
      </c>
      <c r="B7" t="s">
        <v>122</v>
      </c>
    </row>
    <row r="8" spans="1:2" ht="15">
      <c r="A8" s="9" t="s">
        <v>27</v>
      </c>
      <c r="B8" t="s">
        <v>120</v>
      </c>
    </row>
    <row r="9" spans="1:2" ht="15">
      <c r="A9" s="9" t="s">
        <v>77</v>
      </c>
      <c r="B9" t="s">
        <v>123</v>
      </c>
    </row>
    <row r="10" spans="1:2" ht="15">
      <c r="A10" s="9" t="s">
        <v>89</v>
      </c>
      <c r="B10" t="s">
        <v>121</v>
      </c>
    </row>
    <row r="11" spans="1:2" ht="15">
      <c r="A11" s="9" t="s">
        <v>80</v>
      </c>
      <c r="B11" t="s">
        <v>120</v>
      </c>
    </row>
    <row r="12" spans="1:2" ht="15">
      <c r="A12" s="9" t="s">
        <v>56</v>
      </c>
      <c r="B12" t="s">
        <v>122</v>
      </c>
    </row>
    <row r="13" spans="1:2" ht="15">
      <c r="A13" s="9" t="s">
        <v>14</v>
      </c>
      <c r="B13" t="s">
        <v>123</v>
      </c>
    </row>
    <row r="14" spans="1:2" ht="15">
      <c r="A14" s="9" t="s">
        <v>57</v>
      </c>
      <c r="B14" t="s">
        <v>122</v>
      </c>
    </row>
    <row r="15" spans="1:2" ht="15">
      <c r="A15" s="9" t="s">
        <v>81</v>
      </c>
      <c r="B15" t="s">
        <v>120</v>
      </c>
    </row>
    <row r="16" spans="1:2" ht="15">
      <c r="A16" s="9" t="s">
        <v>72</v>
      </c>
      <c r="B16" t="s">
        <v>120</v>
      </c>
    </row>
    <row r="17" spans="1:2" ht="15">
      <c r="A17" s="9" t="s">
        <v>69</v>
      </c>
      <c r="B17" t="s">
        <v>122</v>
      </c>
    </row>
    <row r="18" spans="1:2" ht="15">
      <c r="A18" s="9" t="s">
        <v>28</v>
      </c>
      <c r="B18" t="s">
        <v>117</v>
      </c>
    </row>
    <row r="19" spans="1:2" ht="15">
      <c r="A19" s="9" t="s">
        <v>29</v>
      </c>
      <c r="B19" t="s">
        <v>122</v>
      </c>
    </row>
    <row r="20" spans="1:2" ht="15">
      <c r="A20" s="9" t="s">
        <v>58</v>
      </c>
      <c r="B20" t="s">
        <v>122</v>
      </c>
    </row>
    <row r="21" spans="1:2" ht="15">
      <c r="A21" s="9" t="s">
        <v>87</v>
      </c>
      <c r="B21" t="s">
        <v>120</v>
      </c>
    </row>
    <row r="22" spans="1:2" ht="15">
      <c r="A22" s="9" t="s">
        <v>76</v>
      </c>
      <c r="B22" t="s">
        <v>117</v>
      </c>
    </row>
    <row r="23" spans="1:2" ht="15">
      <c r="A23" s="9" t="s">
        <v>0</v>
      </c>
      <c r="B23" t="s">
        <v>121</v>
      </c>
    </row>
    <row r="24" spans="1:2" ht="15">
      <c r="A24" s="9" t="s">
        <v>41</v>
      </c>
      <c r="B24" t="s">
        <v>122</v>
      </c>
    </row>
    <row r="25" spans="1:2" ht="15">
      <c r="A25" s="9" t="s">
        <v>79</v>
      </c>
      <c r="B25" t="s">
        <v>123</v>
      </c>
    </row>
    <row r="26" spans="1:2" ht="15">
      <c r="A26" s="9" t="s">
        <v>40</v>
      </c>
      <c r="B26" t="s">
        <v>120</v>
      </c>
    </row>
    <row r="27" spans="1:2" ht="15">
      <c r="A27" s="9" t="s">
        <v>59</v>
      </c>
      <c r="B27" t="s">
        <v>122</v>
      </c>
    </row>
    <row r="28" spans="1:2" ht="15">
      <c r="A28" s="9" t="s">
        <v>60</v>
      </c>
      <c r="B28" t="s">
        <v>122</v>
      </c>
    </row>
    <row r="29" spans="1:2" ht="15">
      <c r="A29" s="9" t="s">
        <v>35</v>
      </c>
      <c r="B29" t="s">
        <v>122</v>
      </c>
    </row>
    <row r="30" spans="1:2" ht="15">
      <c r="A30" s="9" t="s">
        <v>15</v>
      </c>
      <c r="B30" t="s">
        <v>123</v>
      </c>
    </row>
    <row r="31" spans="1:2" ht="15">
      <c r="A31" s="9" t="s">
        <v>1</v>
      </c>
      <c r="B31" t="s">
        <v>117</v>
      </c>
    </row>
    <row r="32" spans="1:2" ht="15">
      <c r="A32" s="9" t="s">
        <v>70</v>
      </c>
      <c r="B32" t="s">
        <v>121</v>
      </c>
    </row>
    <row r="33" spans="1:2" ht="15">
      <c r="A33" s="9" t="s">
        <v>52</v>
      </c>
      <c r="B33" t="s">
        <v>124</v>
      </c>
    </row>
    <row r="34" spans="1:2" ht="15">
      <c r="A34" s="9" t="s">
        <v>82</v>
      </c>
      <c r="B34" t="s">
        <v>120</v>
      </c>
    </row>
    <row r="35" spans="1:2" ht="15">
      <c r="A35" s="9" t="s">
        <v>73</v>
      </c>
      <c r="B35" t="s">
        <v>117</v>
      </c>
    </row>
    <row r="36" spans="1:2" ht="15">
      <c r="A36" s="9" t="s">
        <v>42</v>
      </c>
      <c r="B36" t="s">
        <v>122</v>
      </c>
    </row>
    <row r="37" spans="1:2" ht="15">
      <c r="A37" s="9" t="s">
        <v>93</v>
      </c>
      <c r="B37" t="s">
        <v>121</v>
      </c>
    </row>
    <row r="38" spans="1:2" ht="15">
      <c r="A38" s="9" t="s">
        <v>83</v>
      </c>
      <c r="B38" t="s">
        <v>120</v>
      </c>
    </row>
    <row r="39" spans="1:2" ht="15">
      <c r="A39" s="9" t="s">
        <v>78</v>
      </c>
      <c r="B39" t="s">
        <v>123</v>
      </c>
    </row>
    <row r="40" spans="1:2" ht="15">
      <c r="A40" s="9" t="s">
        <v>30</v>
      </c>
      <c r="B40" t="s">
        <v>122</v>
      </c>
    </row>
    <row r="41" spans="1:2" ht="15">
      <c r="A41" s="9" t="s">
        <v>101</v>
      </c>
      <c r="B41" t="s">
        <v>120</v>
      </c>
    </row>
    <row r="42" spans="1:2" ht="15">
      <c r="A42" s="9" t="s">
        <v>31</v>
      </c>
      <c r="B42" t="s">
        <v>120</v>
      </c>
    </row>
    <row r="43" spans="1:2" ht="15">
      <c r="A43" s="9" t="s">
        <v>61</v>
      </c>
      <c r="B43" t="s">
        <v>122</v>
      </c>
    </row>
    <row r="44" spans="1:2" ht="15">
      <c r="A44" s="9" t="s">
        <v>65</v>
      </c>
      <c r="B44" t="s">
        <v>122</v>
      </c>
    </row>
    <row r="45" spans="1:2" ht="15">
      <c r="A45" s="9" t="s">
        <v>54</v>
      </c>
      <c r="B45" t="s">
        <v>120</v>
      </c>
    </row>
    <row r="46" spans="1:2" ht="15">
      <c r="A46" s="9" t="s">
        <v>71</v>
      </c>
      <c r="B46" t="s">
        <v>117</v>
      </c>
    </row>
    <row r="47" spans="1:2" ht="15">
      <c r="A47" s="9" t="s">
        <v>43</v>
      </c>
      <c r="B47" t="s">
        <v>122</v>
      </c>
    </row>
    <row r="48" spans="1:2" ht="15">
      <c r="A48" s="9" t="s">
        <v>94</v>
      </c>
      <c r="B48" t="s">
        <v>121</v>
      </c>
    </row>
    <row r="49" spans="1:2" ht="15">
      <c r="A49" s="9" t="s">
        <v>2</v>
      </c>
      <c r="B49" t="s">
        <v>122</v>
      </c>
    </row>
    <row r="50" spans="1:2" ht="15">
      <c r="A50" s="9" t="s">
        <v>98</v>
      </c>
      <c r="B50" t="s">
        <v>122</v>
      </c>
    </row>
    <row r="51" spans="1:2" ht="15">
      <c r="A51" s="9" t="s">
        <v>37</v>
      </c>
      <c r="B51" t="s">
        <v>123</v>
      </c>
    </row>
    <row r="52" spans="1:2" ht="15">
      <c r="A52" s="9" t="s">
        <v>44</v>
      </c>
      <c r="B52" t="s">
        <v>122</v>
      </c>
    </row>
    <row r="53" spans="1:2" ht="15">
      <c r="A53" s="9" t="s">
        <v>16</v>
      </c>
      <c r="B53" t="s">
        <v>123</v>
      </c>
    </row>
    <row r="54" spans="1:2" ht="15">
      <c r="A54" s="9" t="s">
        <v>125</v>
      </c>
      <c r="B54" t="s">
        <v>122</v>
      </c>
    </row>
    <row r="55" spans="1:2" ht="15">
      <c r="A55" s="9" t="s">
        <v>84</v>
      </c>
      <c r="B55" t="s">
        <v>120</v>
      </c>
    </row>
    <row r="56" spans="1:2" ht="15">
      <c r="A56" s="9" t="s">
        <v>126</v>
      </c>
      <c r="B56" t="s">
        <v>122</v>
      </c>
    </row>
    <row r="57" spans="1:2" ht="15">
      <c r="A57" s="9" t="s">
        <v>38</v>
      </c>
      <c r="B57" t="s">
        <v>123</v>
      </c>
    </row>
    <row r="58" spans="1:2" ht="15">
      <c r="A58" s="9" t="s">
        <v>45</v>
      </c>
      <c r="B58" t="s">
        <v>121</v>
      </c>
    </row>
    <row r="59" spans="1:2" ht="15">
      <c r="A59" s="9" t="s">
        <v>74</v>
      </c>
      <c r="B59" t="s">
        <v>117</v>
      </c>
    </row>
    <row r="60" spans="1:2" ht="15">
      <c r="A60" s="9" t="s">
        <v>88</v>
      </c>
      <c r="B60" t="s">
        <v>120</v>
      </c>
    </row>
    <row r="61" spans="1:2" ht="15">
      <c r="A61" s="9" t="s">
        <v>17</v>
      </c>
      <c r="B61" t="s">
        <v>122</v>
      </c>
    </row>
    <row r="62" spans="1:2" ht="15">
      <c r="A62" s="9" t="s">
        <v>46</v>
      </c>
      <c r="B62" t="s">
        <v>120</v>
      </c>
    </row>
    <row r="63" spans="1:2" ht="15">
      <c r="A63" s="9" t="s">
        <v>47</v>
      </c>
      <c r="B63" t="s">
        <v>120</v>
      </c>
    </row>
    <row r="64" spans="1:2" ht="15">
      <c r="A64" s="9" t="s">
        <v>32</v>
      </c>
      <c r="B64" t="s">
        <v>117</v>
      </c>
    </row>
    <row r="65" spans="1:2" ht="15">
      <c r="A65" s="9" t="s">
        <v>90</v>
      </c>
      <c r="B65" t="s">
        <v>121</v>
      </c>
    </row>
    <row r="66" spans="1:2" ht="15">
      <c r="A66" s="9" t="s">
        <v>66</v>
      </c>
      <c r="B66" t="s">
        <v>122</v>
      </c>
    </row>
    <row r="67" spans="1:2" ht="15">
      <c r="A67" s="9" t="s">
        <v>67</v>
      </c>
      <c r="B67" t="s">
        <v>122</v>
      </c>
    </row>
    <row r="68" spans="1:2" ht="15">
      <c r="A68" s="9" t="s">
        <v>3</v>
      </c>
      <c r="B68" t="s">
        <v>122</v>
      </c>
    </row>
    <row r="69" spans="1:2" ht="15">
      <c r="A69" s="9" t="s">
        <v>49</v>
      </c>
      <c r="B69" t="s">
        <v>117</v>
      </c>
    </row>
    <row r="70" spans="1:2" ht="15">
      <c r="A70" s="9" t="s">
        <v>33</v>
      </c>
      <c r="B70" t="s">
        <v>122</v>
      </c>
    </row>
    <row r="71" spans="1:2" ht="15">
      <c r="A71" s="9" t="s">
        <v>127</v>
      </c>
      <c r="B71" t="s">
        <v>123</v>
      </c>
    </row>
    <row r="72" spans="1:2" ht="15">
      <c r="A72" s="9" t="s">
        <v>34</v>
      </c>
      <c r="B72" t="s">
        <v>117</v>
      </c>
    </row>
    <row r="73" spans="1:2" ht="15">
      <c r="A73" s="9" t="s">
        <v>62</v>
      </c>
      <c r="B73" t="s">
        <v>117</v>
      </c>
    </row>
    <row r="74" spans="1:2" ht="15">
      <c r="A74" s="9" t="s">
        <v>97</v>
      </c>
      <c r="B74" t="s">
        <v>121</v>
      </c>
    </row>
    <row r="75" spans="1:2" ht="15">
      <c r="A75" s="9" t="s">
        <v>18</v>
      </c>
      <c r="B75" t="s">
        <v>123</v>
      </c>
    </row>
    <row r="76" spans="1:2" ht="15">
      <c r="A76" s="9" t="s">
        <v>128</v>
      </c>
      <c r="B76" t="s">
        <v>124</v>
      </c>
    </row>
    <row r="77" spans="1:2" ht="15">
      <c r="A77" s="9" t="s">
        <v>19</v>
      </c>
      <c r="B77" t="s">
        <v>122</v>
      </c>
    </row>
    <row r="78" spans="1:2" ht="15">
      <c r="A78" s="9" t="s">
        <v>75</v>
      </c>
      <c r="B78" t="s">
        <v>117</v>
      </c>
    </row>
    <row r="79" spans="1:2" ht="15">
      <c r="A79" s="9" t="s">
        <v>50</v>
      </c>
      <c r="B79" t="s">
        <v>122</v>
      </c>
    </row>
    <row r="80" spans="1:2" ht="15">
      <c r="A80" s="9" t="s">
        <v>63</v>
      </c>
      <c r="B80" t="s">
        <v>122</v>
      </c>
    </row>
    <row r="81" spans="1:2" ht="15">
      <c r="A81" s="9" t="s">
        <v>85</v>
      </c>
      <c r="B81" t="s">
        <v>120</v>
      </c>
    </row>
    <row r="82" spans="1:2" ht="15">
      <c r="A82" s="9" t="s">
        <v>129</v>
      </c>
      <c r="B82" t="s">
        <v>122</v>
      </c>
    </row>
    <row r="83" spans="1:2" ht="15">
      <c r="A83" s="10" t="s">
        <v>64</v>
      </c>
      <c r="B83" t="s">
        <v>122</v>
      </c>
    </row>
    <row r="84" spans="1:2" ht="15">
      <c r="A84" s="9" t="s">
        <v>20</v>
      </c>
      <c r="B84" t="s">
        <v>123</v>
      </c>
    </row>
    <row r="85" spans="1:2" ht="15">
      <c r="A85" s="9" t="s">
        <v>130</v>
      </c>
      <c r="B85" t="s">
        <v>117</v>
      </c>
    </row>
    <row r="86" spans="1:2" ht="15">
      <c r="A86" s="9" t="s">
        <v>91</v>
      </c>
      <c r="B86" t="s">
        <v>120</v>
      </c>
    </row>
    <row r="87" spans="1:2" ht="15">
      <c r="A87" s="9" t="s">
        <v>10</v>
      </c>
      <c r="B87" t="s">
        <v>117</v>
      </c>
    </row>
    <row r="88" spans="1:2" ht="15">
      <c r="A88" s="9" t="s">
        <v>55</v>
      </c>
      <c r="B88" t="s">
        <v>122</v>
      </c>
    </row>
    <row r="89" spans="1:2" ht="15">
      <c r="A89" s="9" t="s">
        <v>21</v>
      </c>
      <c r="B89" t="s">
        <v>122</v>
      </c>
    </row>
    <row r="90" spans="1:2" ht="15">
      <c r="A90" s="9" t="s">
        <v>22</v>
      </c>
      <c r="B90" t="s">
        <v>124</v>
      </c>
    </row>
    <row r="91" spans="1:2" ht="15">
      <c r="A91" s="9" t="s">
        <v>86</v>
      </c>
      <c r="B91" t="s">
        <v>117</v>
      </c>
    </row>
    <row r="92" spans="1:2" ht="15">
      <c r="A92" s="9" t="s">
        <v>23</v>
      </c>
      <c r="B92" t="s">
        <v>117</v>
      </c>
    </row>
    <row r="93" spans="1:2" ht="15">
      <c r="A93" s="9" t="s">
        <v>4</v>
      </c>
      <c r="B93" t="s">
        <v>121</v>
      </c>
    </row>
    <row r="94" spans="1:2" ht="15">
      <c r="A94" s="9" t="s">
        <v>5</v>
      </c>
      <c r="B94" t="s">
        <v>121</v>
      </c>
    </row>
    <row r="95" spans="1:2" ht="15">
      <c r="A95" s="9" t="s">
        <v>7</v>
      </c>
      <c r="B95" t="s">
        <v>121</v>
      </c>
    </row>
    <row r="96" spans="1:2" ht="15">
      <c r="A96" s="9" t="s">
        <v>24</v>
      </c>
      <c r="B96" t="s">
        <v>117</v>
      </c>
    </row>
    <row r="97" spans="1:2" ht="15">
      <c r="A97" s="9" t="s">
        <v>25</v>
      </c>
      <c r="B97" t="s">
        <v>117</v>
      </c>
    </row>
    <row r="98" spans="1:2" ht="15">
      <c r="A98" s="9" t="s">
        <v>48</v>
      </c>
      <c r="B98" t="s">
        <v>124</v>
      </c>
    </row>
    <row r="99" spans="1:2" ht="15">
      <c r="A99" s="9" t="s">
        <v>102</v>
      </c>
      <c r="B99" t="s">
        <v>124</v>
      </c>
    </row>
    <row r="100" spans="1:2" ht="15">
      <c r="A100" s="9" t="s">
        <v>95</v>
      </c>
      <c r="B100" t="s">
        <v>122</v>
      </c>
    </row>
    <row r="101" spans="1:2" ht="15">
      <c r="A101" s="9" t="s">
        <v>96</v>
      </c>
      <c r="B101" t="s">
        <v>122</v>
      </c>
    </row>
    <row r="102" spans="1:2" ht="15">
      <c r="A102" s="9" t="s">
        <v>6</v>
      </c>
      <c r="B102" t="s">
        <v>121</v>
      </c>
    </row>
    <row r="103" spans="1:2" ht="15">
      <c r="A103" s="9" t="s">
        <v>53</v>
      </c>
      <c r="B103" t="s">
        <v>121</v>
      </c>
    </row>
    <row r="104" spans="1:2" ht="15">
      <c r="A104" s="9" t="s">
        <v>68</v>
      </c>
      <c r="B104" t="s">
        <v>122</v>
      </c>
    </row>
    <row r="105" spans="1:2" ht="15">
      <c r="A105" s="9" t="s">
        <v>26</v>
      </c>
      <c r="B105" t="s">
        <v>123</v>
      </c>
    </row>
    <row r="106" spans="1:2" ht="15">
      <c r="A106" s="9" t="s">
        <v>36</v>
      </c>
      <c r="B106" t="s">
        <v>124</v>
      </c>
    </row>
    <row r="107" spans="1:2" ht="15">
      <c r="A107" s="9" t="s">
        <v>92</v>
      </c>
      <c r="B107" t="s">
        <v>121</v>
      </c>
    </row>
  </sheetData>
  <customSheetViews>
    <customSheetView guid="{7E394900-91E8-11D3-BF45-00050240E94D}" showRuler="0"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Correlation Matrix</vt:lpstr>
      <vt:lpstr>Category Counts</vt:lpstr>
      <vt:lpstr>Sheet2</vt:lpstr>
      <vt:lpstr>Sheet4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Eckenrode</dc:creator>
  <cp:lastModifiedBy>Carina Negreanu</cp:lastModifiedBy>
  <cp:lastPrinted>2000-04-20T13:08:04Z</cp:lastPrinted>
  <dcterms:created xsi:type="dcterms:W3CDTF">1999-11-03T15:02:37Z</dcterms:created>
  <dcterms:modified xsi:type="dcterms:W3CDTF">2020-01-27T12:47:06Z</dcterms:modified>
</cp:coreProperties>
</file>