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0540D4E-5C97-4046-A809-A608346EC625}" xr6:coauthVersionLast="45" xr6:coauthVersionMax="45" xr10:uidLastSave="{00000000-0000-0000-0000-000000000000}"/>
  <bookViews>
    <workbookView xWindow="1520" yWindow="1520" windowWidth="28800" windowHeight="15460" tabRatio="721"/>
  </bookViews>
  <sheets>
    <sheet name="Chart-Activity" sheetId="5" r:id="rId1"/>
    <sheet name="Table-Activity 2001" sheetId="21" r:id="rId2"/>
    <sheet name="Table-Actvity 90-01" sheetId="31" r:id="rId3"/>
    <sheet name="Chart-Funding" sheetId="32" r:id="rId4"/>
    <sheet name="Table-Funding 2001" sheetId="33" r:id="rId5"/>
    <sheet name="Table-Funding 90-01" sheetId="34" r:id="rId6"/>
    <sheet name="Table-Planting by Prov 2001" sheetId="30" r:id="rId7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6" i="34" l="1"/>
  <c r="G7" i="34"/>
  <c r="G8" i="34"/>
  <c r="G9" i="34"/>
  <c r="G10" i="34"/>
  <c r="G11" i="34"/>
  <c r="G12" i="34"/>
  <c r="G13" i="34"/>
  <c r="G14" i="34"/>
  <c r="G15" i="34"/>
  <c r="G16" i="34"/>
  <c r="G17" i="34"/>
</calcChain>
</file>

<file path=xl/sharedStrings.xml><?xml version="1.0" encoding="utf-8"?>
<sst xmlns="http://schemas.openxmlformats.org/spreadsheetml/2006/main" count="223" uniqueCount="54">
  <si>
    <t>Total</t>
  </si>
  <si>
    <t>r</t>
  </si>
  <si>
    <t>Source: National Forestry Database.</t>
  </si>
  <si>
    <t xml:space="preserve"> </t>
  </si>
  <si>
    <t>Quebec</t>
  </si>
  <si>
    <t>Ontario</t>
  </si>
  <si>
    <t>e</t>
  </si>
  <si>
    <t>Year</t>
  </si>
  <si>
    <t>%</t>
  </si>
  <si>
    <t>Atlantic provinces</t>
  </si>
  <si>
    <t>Prairies</t>
  </si>
  <si>
    <t>British Columbia</t>
  </si>
  <si>
    <t>Silviculture</t>
  </si>
  <si>
    <t>Yukon and N.W.T.</t>
  </si>
  <si>
    <t>S7ea</t>
  </si>
  <si>
    <t>Forest Management Expenditures</t>
  </si>
  <si>
    <t>Protection</t>
  </si>
  <si>
    <t>Resource Access</t>
  </si>
  <si>
    <t>Other</t>
  </si>
  <si>
    <t>Activity</t>
  </si>
  <si>
    <t>($ 000 000)</t>
  </si>
  <si>
    <r>
      <t>Other</t>
    </r>
    <r>
      <rPr>
        <vertAlign val="superscript"/>
        <sz val="12"/>
        <rFont val="Times New Roman"/>
        <family val="1"/>
      </rPr>
      <t>h</t>
    </r>
  </si>
  <si>
    <r>
      <t>h</t>
    </r>
    <r>
      <rPr>
        <sz val="12"/>
        <rFont val="Times New Roman"/>
        <family val="1"/>
      </rPr>
      <t>Including inventory, research, timber mangement, administration and other.                                                                                   Source: National Forestry Database.</t>
    </r>
  </si>
  <si>
    <t>qf7ea</t>
  </si>
  <si>
    <t>qf7eb</t>
  </si>
  <si>
    <t>Forest protection</t>
  </si>
  <si>
    <t>Resource access</t>
  </si>
  <si>
    <t>Provincial direct</t>
  </si>
  <si>
    <t>Federal direct</t>
  </si>
  <si>
    <t>Source of funding</t>
  </si>
  <si>
    <t>Public</t>
  </si>
  <si>
    <t>-Provincial</t>
  </si>
  <si>
    <t>-Federal</t>
  </si>
  <si>
    <t>Industry</t>
  </si>
  <si>
    <t>..</t>
  </si>
  <si>
    <t>Provincial</t>
  </si>
  <si>
    <t>Federal</t>
  </si>
  <si>
    <t>qf7ec</t>
  </si>
  <si>
    <t>qf7ed</t>
  </si>
  <si>
    <t>National Capital Region</t>
  </si>
  <si>
    <t>($ 000)</t>
  </si>
  <si>
    <t>Province/territory</t>
  </si>
  <si>
    <t>S7eb</t>
  </si>
  <si>
    <t>qf7ee</t>
  </si>
  <si>
    <t>Forest Management Expenditures by Activity, 2001</t>
  </si>
  <si>
    <t>Activity, 2001</t>
  </si>
  <si>
    <t>data_e/com72e.htm</t>
  </si>
  <si>
    <t>Updated Sep19 2003</t>
  </si>
  <si>
    <t>Forest Management Expenditures by Source of Funding, 2001</t>
  </si>
  <si>
    <t>Source of Funding, 2001</t>
  </si>
  <si>
    <t>data_e/com71e.htm</t>
  </si>
  <si>
    <r>
      <t xml:space="preserve">Forest Management Expenditures by Activity, 1990-2001                                                                        </t>
    </r>
    <r>
      <rPr>
        <sz val="12"/>
        <rFont val="Times New Roman"/>
        <family val="1"/>
      </rPr>
      <t>($ 000 000)</t>
    </r>
  </si>
  <si>
    <t>Forest Management Expenditures by Province/Territory, 2001</t>
  </si>
  <si>
    <r>
      <t xml:space="preserve">Forest Management Expenditures by Activity, 1990-2001                                                </t>
    </r>
    <r>
      <rPr>
        <sz val="12"/>
        <rFont val="Times New Roman"/>
        <family val="1"/>
      </rPr>
      <t>($ 000 000)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</si>
</sst>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70" formatCode="0.0%"/>
    <numFmt numFmtId="174" formatCode="0.0"/>
    <numFmt numFmtId="176" formatCode="###\ ###\ ##0"/>
    <numFmt numFmtId="186" formatCode="###\ ###\ ###.0"/>
  </numFmts>
  <fonts count="13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vertAlign val="superscript"/>
      <sz val="12"/>
      <name val="Times New Roman"/>
      <family val="1"/>
    </font>
    <font>
      <sz val="10"/>
      <color indexed="10"/>
      <name val="Arial"/>
      <family val="2"/>
    </font>
    <font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</fills>
  <borders count="32">
    <border>
      <left/>
      <right/>
      <top/>
      <bottom/>
      <diagonal/>
    </border>
    <border>
      <left style="thick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/>
      <top style="double">
        <color indexed="57"/>
      </top>
      <bottom style="double">
        <color indexed="57"/>
      </bottom>
      <diagonal/>
    </border>
    <border>
      <left/>
      <right style="thick">
        <color indexed="57"/>
      </right>
      <top style="double">
        <color indexed="17"/>
      </top>
      <bottom style="double">
        <color indexed="17"/>
      </bottom>
      <diagonal/>
    </border>
    <border>
      <left style="thick">
        <color indexed="57"/>
      </left>
      <right/>
      <top/>
      <bottom style="thick">
        <color indexed="57"/>
      </bottom>
      <diagonal/>
    </border>
    <border>
      <left/>
      <right/>
      <top/>
      <bottom style="thick">
        <color indexed="57"/>
      </bottom>
      <diagonal/>
    </border>
    <border>
      <left/>
      <right/>
      <top style="double">
        <color indexed="17"/>
      </top>
      <bottom style="thick">
        <color indexed="57"/>
      </bottom>
      <diagonal/>
    </border>
    <border>
      <left/>
      <right style="thick">
        <color indexed="57"/>
      </right>
      <top style="double">
        <color indexed="17"/>
      </top>
      <bottom style="thick">
        <color indexed="57"/>
      </bottom>
      <diagonal/>
    </border>
    <border>
      <left style="thick">
        <color indexed="57"/>
      </left>
      <right/>
      <top style="double">
        <color indexed="57"/>
      </top>
      <bottom/>
      <diagonal/>
    </border>
    <border>
      <left style="thick">
        <color indexed="57"/>
      </left>
      <right/>
      <top style="double">
        <color indexed="57"/>
      </top>
      <bottom style="double">
        <color indexed="57"/>
      </bottom>
      <diagonal/>
    </border>
    <border>
      <left style="thick">
        <color indexed="57"/>
      </left>
      <right style="double">
        <color indexed="57"/>
      </right>
      <top style="double">
        <color indexed="57"/>
      </top>
      <bottom/>
      <diagonal/>
    </border>
    <border>
      <left/>
      <right style="thick">
        <color indexed="57"/>
      </right>
      <top style="double">
        <color indexed="57"/>
      </top>
      <bottom style="double">
        <color indexed="57"/>
      </bottom>
      <diagonal/>
    </border>
    <border>
      <left style="double">
        <color indexed="57"/>
      </left>
      <right/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ck">
        <color indexed="57"/>
      </left>
      <right style="double">
        <color indexed="57"/>
      </right>
      <top/>
      <bottom style="double">
        <color indexed="57"/>
      </bottom>
      <diagonal/>
    </border>
    <border>
      <left style="thick">
        <color indexed="57"/>
      </left>
      <right style="double">
        <color indexed="57"/>
      </right>
      <top/>
      <bottom/>
      <diagonal/>
    </border>
    <border>
      <left style="double">
        <color indexed="57"/>
      </left>
      <right/>
      <top style="double">
        <color indexed="57"/>
      </top>
      <bottom/>
      <diagonal/>
    </border>
    <border>
      <left/>
      <right/>
      <top style="double">
        <color indexed="57"/>
      </top>
      <bottom/>
      <diagonal/>
    </border>
    <border>
      <left style="double">
        <color indexed="57"/>
      </left>
      <right/>
      <top/>
      <bottom/>
      <diagonal/>
    </border>
    <border>
      <left style="double">
        <color indexed="57"/>
      </left>
      <right/>
      <top/>
      <bottom style="double">
        <color indexed="57"/>
      </bottom>
      <diagonal/>
    </border>
    <border>
      <left/>
      <right/>
      <top/>
      <bottom style="double">
        <color indexed="57"/>
      </bottom>
      <diagonal/>
    </border>
    <border>
      <left/>
      <right style="thick">
        <color indexed="57"/>
      </right>
      <top style="double">
        <color indexed="57"/>
      </top>
      <bottom/>
      <diagonal/>
    </border>
    <border>
      <left/>
      <right style="thick">
        <color indexed="57"/>
      </right>
      <top/>
      <bottom/>
      <diagonal/>
    </border>
    <border>
      <left/>
      <right style="thick">
        <color indexed="57"/>
      </right>
      <top/>
      <bottom style="double">
        <color indexed="57"/>
      </bottom>
      <diagonal/>
    </border>
    <border>
      <left/>
      <right style="thick">
        <color indexed="57"/>
      </right>
      <top style="double">
        <color indexed="57"/>
      </top>
      <bottom style="thick">
        <color indexed="57"/>
      </bottom>
      <diagonal/>
    </border>
    <border>
      <left/>
      <right style="double">
        <color indexed="57"/>
      </right>
      <top style="double">
        <color indexed="57"/>
      </top>
      <bottom/>
      <diagonal/>
    </border>
    <border>
      <left style="thick">
        <color indexed="57"/>
      </left>
      <right/>
      <top style="thick">
        <color indexed="57"/>
      </top>
      <bottom style="double">
        <color indexed="57"/>
      </bottom>
      <diagonal/>
    </border>
    <border>
      <left/>
      <right/>
      <top style="thick">
        <color indexed="57"/>
      </top>
      <bottom style="double">
        <color indexed="57"/>
      </bottom>
      <diagonal/>
    </border>
    <border>
      <left/>
      <right style="thick">
        <color indexed="57"/>
      </right>
      <top style="thick">
        <color indexed="57"/>
      </top>
      <bottom style="double">
        <color indexed="57"/>
      </bottom>
      <diagonal/>
    </border>
    <border>
      <left style="thick">
        <color indexed="57"/>
      </left>
      <right/>
      <top style="double">
        <color indexed="57"/>
      </top>
      <bottom style="thick">
        <color indexed="57"/>
      </bottom>
      <diagonal/>
    </border>
    <border>
      <left/>
      <right/>
      <top style="double">
        <color indexed="57"/>
      </top>
      <bottom style="thick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1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74" fontId="0" fillId="0" borderId="0" xfId="0" applyNumberFormat="1"/>
    <xf numFmtId="0" fontId="3" fillId="0" borderId="0" xfId="0" applyFont="1"/>
    <xf numFmtId="170" fontId="1" fillId="0" borderId="0" xfId="2" applyNumberForma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0" fontId="7" fillId="0" borderId="4" xfId="0" applyFont="1" applyBorder="1" applyAlignment="1">
      <alignment horizontal="left" vertical="center"/>
    </xf>
    <xf numFmtId="176" fontId="5" fillId="0" borderId="0" xfId="1" applyNumberFormat="1" applyFont="1"/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 wrapText="1"/>
    </xf>
    <xf numFmtId="0" fontId="5" fillId="0" borderId="0" xfId="0" applyFont="1" applyAlignment="1"/>
    <xf numFmtId="176" fontId="5" fillId="0" borderId="0" xfId="1" applyNumberFormat="1" applyFont="1" applyAlignment="1"/>
    <xf numFmtId="0" fontId="7" fillId="0" borderId="9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176" fontId="7" fillId="0" borderId="2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174" fontId="7" fillId="0" borderId="12" xfId="0" applyNumberFormat="1" applyFont="1" applyBorder="1" applyAlignment="1">
      <alignment horizontal="right" vertical="center"/>
    </xf>
    <xf numFmtId="174" fontId="8" fillId="0" borderId="12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left" vertical="center"/>
    </xf>
    <xf numFmtId="0" fontId="0" fillId="0" borderId="0" xfId="0" applyBorder="1"/>
    <xf numFmtId="0" fontId="5" fillId="0" borderId="0" xfId="0" applyFont="1" applyAlignment="1">
      <alignment vertical="justify"/>
    </xf>
    <xf numFmtId="0" fontId="5" fillId="0" borderId="0" xfId="0" applyFont="1" applyBorder="1" applyAlignment="1">
      <alignment vertical="center" wrapText="1"/>
    </xf>
    <xf numFmtId="49" fontId="7" fillId="2" borderId="12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186" fontId="7" fillId="0" borderId="12" xfId="0" applyNumberFormat="1" applyFont="1" applyBorder="1" applyAlignment="1">
      <alignment horizontal="right" vertical="center"/>
    </xf>
    <xf numFmtId="0" fontId="5" fillId="0" borderId="0" xfId="0" applyFont="1" applyAlignment="1">
      <alignment vertical="center"/>
    </xf>
    <xf numFmtId="186" fontId="8" fillId="3" borderId="12" xfId="0" applyNumberFormat="1" applyFont="1" applyFill="1" applyBorder="1" applyAlignment="1">
      <alignment horizontal="right" vertical="center"/>
    </xf>
    <xf numFmtId="186" fontId="7" fillId="0" borderId="12" xfId="0" applyNumberFormat="1" applyFont="1" applyFill="1" applyBorder="1" applyAlignment="1">
      <alignment horizontal="right" vertical="center"/>
    </xf>
    <xf numFmtId="0" fontId="7" fillId="0" borderId="10" xfId="0" applyFont="1" applyBorder="1" applyAlignment="1">
      <alignment vertical="center"/>
    </xf>
    <xf numFmtId="49" fontId="7" fillId="0" borderId="14" xfId="0" applyNumberFormat="1" applyFont="1" applyBorder="1" applyAlignment="1">
      <alignment vertical="center"/>
    </xf>
    <xf numFmtId="49" fontId="7" fillId="0" borderId="15" xfId="0" applyNumberFormat="1" applyFont="1" applyBorder="1" applyAlignment="1">
      <alignment vertical="center"/>
    </xf>
    <xf numFmtId="49" fontId="7" fillId="0" borderId="12" xfId="0" applyNumberFormat="1" applyFont="1" applyBorder="1" applyAlignment="1">
      <alignment horizontal="right" vertical="center"/>
    </xf>
    <xf numFmtId="186" fontId="7" fillId="0" borderId="16" xfId="0" applyNumberFormat="1" applyFont="1" applyBorder="1" applyAlignment="1">
      <alignment horizontal="right" vertical="center"/>
    </xf>
    <xf numFmtId="0" fontId="7" fillId="0" borderId="17" xfId="0" applyFont="1" applyBorder="1" applyAlignment="1">
      <alignment horizontal="left" vertical="center"/>
    </xf>
    <xf numFmtId="186" fontId="7" fillId="0" borderId="18" xfId="0" applyNumberFormat="1" applyFont="1" applyBorder="1" applyAlignment="1">
      <alignment horizontal="right" vertical="center"/>
    </xf>
    <xf numFmtId="186" fontId="7" fillId="0" borderId="19" xfId="0" applyNumberFormat="1" applyFont="1" applyBorder="1" applyAlignment="1">
      <alignment horizontal="right" vertical="center"/>
    </xf>
    <xf numFmtId="0" fontId="7" fillId="0" borderId="20" xfId="0" applyFont="1" applyBorder="1" applyAlignment="1">
      <alignment horizontal="left" vertical="center"/>
    </xf>
    <xf numFmtId="0" fontId="7" fillId="0" borderId="21" xfId="0" applyFont="1" applyBorder="1" applyAlignment="1">
      <alignment horizontal="left" vertical="center"/>
    </xf>
    <xf numFmtId="0" fontId="7" fillId="0" borderId="22" xfId="0" applyFont="1" applyBorder="1" applyAlignment="1">
      <alignment horizontal="left" vertical="center"/>
    </xf>
    <xf numFmtId="0" fontId="7" fillId="0" borderId="23" xfId="0" applyFont="1" applyBorder="1" applyAlignment="1">
      <alignment horizontal="left" vertical="center"/>
    </xf>
    <xf numFmtId="186" fontId="8" fillId="0" borderId="12" xfId="0" applyNumberFormat="1" applyFont="1" applyFill="1" applyBorder="1" applyAlignment="1">
      <alignment horizontal="right" vertical="center"/>
    </xf>
    <xf numFmtId="176" fontId="7" fillId="0" borderId="2" xfId="0" applyNumberFormat="1" applyFont="1" applyFill="1" applyBorder="1" applyAlignment="1">
      <alignment horizontal="left" vertical="center"/>
    </xf>
    <xf numFmtId="2" fontId="7" fillId="0" borderId="16" xfId="0" applyNumberFormat="1" applyFont="1" applyBorder="1" applyAlignment="1">
      <alignment horizontal="right" vertical="center"/>
    </xf>
    <xf numFmtId="2" fontId="7" fillId="0" borderId="18" xfId="0" applyNumberFormat="1" applyFont="1" applyBorder="1" applyAlignment="1">
      <alignment horizontal="right" vertical="center"/>
    </xf>
    <xf numFmtId="2" fontId="7" fillId="0" borderId="12" xfId="0" applyNumberFormat="1" applyFont="1" applyBorder="1" applyAlignment="1">
      <alignment horizontal="right" vertical="center"/>
    </xf>
    <xf numFmtId="2" fontId="8" fillId="0" borderId="12" xfId="0" applyNumberFormat="1" applyFont="1" applyBorder="1" applyAlignment="1">
      <alignment horizontal="right" vertical="center"/>
    </xf>
    <xf numFmtId="0" fontId="11" fillId="0" borderId="0" xfId="0" applyFont="1"/>
    <xf numFmtId="10" fontId="0" fillId="0" borderId="0" xfId="2" applyNumberFormat="1" applyFont="1"/>
    <xf numFmtId="10" fontId="1" fillId="0" borderId="0" xfId="2" applyNumberFormat="1"/>
    <xf numFmtId="186" fontId="5" fillId="0" borderId="0" xfId="0" applyNumberFormat="1" applyFont="1"/>
    <xf numFmtId="0" fontId="12" fillId="0" borderId="0" xfId="0" applyFont="1"/>
    <xf numFmtId="0" fontId="8" fillId="0" borderId="2" xfId="0" applyFont="1" applyBorder="1" applyAlignment="1">
      <alignment horizontal="left" vertical="center"/>
    </xf>
    <xf numFmtId="174" fontId="7" fillId="0" borderId="12" xfId="2" applyNumberFormat="1" applyFont="1" applyBorder="1" applyAlignment="1">
      <alignment horizontal="right" vertical="center"/>
    </xf>
    <xf numFmtId="174" fontId="8" fillId="0" borderId="12" xfId="2" applyNumberFormat="1" applyFont="1" applyBorder="1" applyAlignment="1">
      <alignment horizontal="right" vertical="center"/>
    </xf>
    <xf numFmtId="0" fontId="12" fillId="0" borderId="0" xfId="0" applyFont="1" applyBorder="1"/>
    <xf numFmtId="0" fontId="5" fillId="0" borderId="0" xfId="0" applyFont="1" applyBorder="1"/>
    <xf numFmtId="170" fontId="7" fillId="0" borderId="0" xfId="2" applyNumberFormat="1" applyFont="1" applyBorder="1" applyAlignment="1">
      <alignment horizontal="right" vertical="center"/>
    </xf>
    <xf numFmtId="170" fontId="8" fillId="0" borderId="0" xfId="2" applyNumberFormat="1" applyFont="1" applyBorder="1" applyAlignment="1">
      <alignment horizontal="right" vertical="center"/>
    </xf>
    <xf numFmtId="0" fontId="6" fillId="2" borderId="26" xfId="0" applyFont="1" applyFill="1" applyBorder="1" applyAlignment="1">
      <alignment horizontal="left" vertical="center" wrapText="1"/>
    </xf>
    <xf numFmtId="0" fontId="6" fillId="2" borderId="27" xfId="0" applyFont="1" applyFill="1" applyBorder="1" applyAlignment="1">
      <alignment horizontal="left" vertical="center" wrapText="1"/>
    </xf>
    <xf numFmtId="0" fontId="6" fillId="2" borderId="28" xfId="0" applyFont="1" applyFill="1" applyBorder="1" applyAlignment="1">
      <alignment horizontal="left" vertical="center" wrapText="1"/>
    </xf>
    <xf numFmtId="49" fontId="7" fillId="2" borderId="12" xfId="0" applyNumberFormat="1" applyFont="1" applyFill="1" applyBorder="1" applyAlignment="1">
      <alignment horizontal="center" vertical="center"/>
    </xf>
    <xf numFmtId="49" fontId="7" fillId="2" borderId="13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10" fillId="0" borderId="29" xfId="0" applyFont="1" applyBorder="1" applyAlignment="1">
      <alignment horizontal="left" vertical="justify" wrapText="1"/>
    </xf>
    <xf numFmtId="0" fontId="7" fillId="0" borderId="30" xfId="0" applyFont="1" applyBorder="1" applyAlignment="1">
      <alignment horizontal="left" vertical="justify" wrapText="1"/>
    </xf>
    <xf numFmtId="0" fontId="7" fillId="0" borderId="24" xfId="0" applyFont="1" applyBorder="1" applyAlignment="1">
      <alignment horizontal="left" vertical="justify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/>
    </xf>
    <xf numFmtId="0" fontId="7" fillId="0" borderId="24" xfId="0" applyFont="1" applyBorder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359537460258975"/>
          <c:y val="0.32189924747406146"/>
          <c:w val="0.21391052967532054"/>
          <c:h val="0.429198996632082"/>
        </c:manualLayout>
      </c:layout>
      <c:pie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339966" mc:Ignorable="a14" a14:legacySpreadsheetColorIndex="57"/>
                </a:fgClr>
                <a:bgClr>
                  <a:srgbClr xmlns:mc="http://schemas.openxmlformats.org/markup-compatibility/2006" xmlns:a14="http://schemas.microsoft.com/office/drawing/2010/main" val="CCFFCC" mc:Ignorable="a14" a14:legacySpreadsheetColorIndex="42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A6EE-4DAD-8938-E8D474E02F80}"/>
              </c:ext>
            </c:extLst>
          </c:dPt>
          <c:dPt>
            <c:idx val="1"/>
            <c:bubble3D val="0"/>
            <c:spPr>
              <a:solidFill>
                <a:srgbClr val="008000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6EE-4DAD-8938-E8D474E02F80}"/>
              </c:ext>
            </c:extLst>
          </c:dPt>
          <c:dPt>
            <c:idx val="2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A6EE-4DAD-8938-E8D474E02F80}"/>
              </c:ext>
            </c:extLst>
          </c:dPt>
          <c:dPt>
            <c:idx val="3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339966" mc:Ignorable="a14" a14:legacySpreadsheetColorIndex="5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6EE-4DAD-8938-E8D474E02F80}"/>
              </c:ext>
            </c:extLst>
          </c:dPt>
          <c:dPt>
            <c:idx val="4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A6EE-4DAD-8938-E8D474E02F80}"/>
              </c:ext>
            </c:extLst>
          </c:dPt>
          <c:dPt>
            <c:idx val="6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6EE-4DAD-8938-E8D474E02F80}"/>
              </c:ext>
            </c:extLst>
          </c:dPt>
          <c:dLbls>
            <c:dLbl>
              <c:idx val="0"/>
              <c:layout>
                <c:manualLayout>
                  <c:x val="-5.0951577516015978E-2"/>
                  <c:y val="-3.1325602741032688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6EE-4DAD-8938-E8D474E02F80}"/>
                </c:ext>
              </c:extLst>
            </c:dLbl>
            <c:dLbl>
              <c:idx val="1"/>
              <c:layout>
                <c:manualLayout>
                  <c:x val="-3.6825402331174151E-2"/>
                  <c:y val="3.1845734141842386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6EE-4DAD-8938-E8D474E02F80}"/>
                </c:ext>
              </c:extLst>
            </c:dLbl>
            <c:dLbl>
              <c:idx val="2"/>
              <c:layout>
                <c:manualLayout>
                  <c:x val="8.239580176365191E-2"/>
                  <c:y val="-7.3209948158741711E-3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EE-4DAD-8938-E8D474E02F80}"/>
                </c:ext>
              </c:extLst>
            </c:dLbl>
            <c:dLbl>
              <c:idx val="3"/>
              <c:layout>
                <c:manualLayout>
                  <c:x val="0.11199494243070429"/>
                  <c:y val="-6.8791474196596258E-2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EE-4DAD-8938-E8D474E02F80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71873937970907698"/>
                  <c:y val="0.4399289715478840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EE-4DAD-8938-E8D474E02F80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67060951053212992"/>
                  <c:y val="0.61160857020071679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6EE-4DAD-8938-E8D474E02F80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6098353669674048"/>
                  <c:y val="0.7618282190219455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6EE-4DAD-8938-E8D474E02F80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'Chart-Activity'!$D$5:$D$8</c:f>
              <c:strCache>
                <c:ptCount val="4"/>
                <c:pt idx="0">
                  <c:v>Silviculture</c:v>
                </c:pt>
                <c:pt idx="1">
                  <c:v>Protection</c:v>
                </c:pt>
                <c:pt idx="2">
                  <c:v>Resource Access</c:v>
                </c:pt>
                <c:pt idx="3">
                  <c:v>Other</c:v>
                </c:pt>
              </c:strCache>
            </c:strRef>
          </c:cat>
          <c:val>
            <c:numRef>
              <c:f>'Chart-Activity'!$F$5:$F$8</c:f>
              <c:numCache>
                <c:formatCode>0.00%</c:formatCode>
                <c:ptCount val="4"/>
                <c:pt idx="0">
                  <c:v>0.14643515673017823</c:v>
                </c:pt>
                <c:pt idx="1">
                  <c:v>0.35241241548862939</c:v>
                </c:pt>
                <c:pt idx="2">
                  <c:v>5.3626306084818685E-2</c:v>
                </c:pt>
                <c:pt idx="3">
                  <c:v>0.44752612169637374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6EE-4DAD-8938-E8D474E02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0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9206361225815062"/>
          <c:y val="0.32189924747406146"/>
          <c:w val="0.21482937657980855"/>
          <c:h val="0.429198996632082"/>
        </c:manualLayout>
      </c:layout>
      <c:pieChart>
        <c:varyColors val="1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dPt>
            <c:idx val="0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0-0061-4ED8-BF81-ED3EE78A2314}"/>
              </c:ext>
            </c:extLst>
          </c:dPt>
          <c:dPt>
            <c:idx val="1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061-4ED8-BF81-ED3EE78A2314}"/>
              </c:ext>
            </c:extLst>
          </c:dPt>
          <c:dPt>
            <c:idx val="2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061-4ED8-BF81-ED3EE78A2314}"/>
              </c:ext>
            </c:extLst>
          </c:dPt>
          <c:dPt>
            <c:idx val="3"/>
            <c:bubble3D val="0"/>
            <c:spPr>
              <a:pattFill prst="pct20">
                <a:fgClr>
                  <a:srgbClr xmlns:mc="http://schemas.openxmlformats.org/markup-compatibility/2006" xmlns:a14="http://schemas.microsoft.com/office/drawing/2010/main" val="FFFFFF" mc:Ignorable="a14" a14:legacySpreadsheetColorIndex="9"/>
                </a:fgClr>
                <a:bgClr>
                  <a:srgbClr xmlns:mc="http://schemas.openxmlformats.org/markup-compatibility/2006" xmlns:a14="http://schemas.microsoft.com/office/drawing/2010/main" val="339966" mc:Ignorable="a14" a14:legacySpreadsheetColorIndex="57"/>
                </a:bgClr>
              </a:patt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0061-4ED8-BF81-ED3EE78A2314}"/>
              </c:ext>
            </c:extLst>
          </c:dPt>
          <c:dPt>
            <c:idx val="4"/>
            <c:bubble3D val="0"/>
            <c:spPr>
              <a:solidFill>
                <a:srgbClr val="CCFFCC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4-0061-4ED8-BF81-ED3EE78A2314}"/>
              </c:ext>
            </c:extLst>
          </c:dPt>
          <c:dPt>
            <c:idx val="6"/>
            <c:bubble3D val="0"/>
            <c:spPr>
              <a:solidFill>
                <a:srgbClr val="339966"/>
              </a:solidFill>
              <a:ln w="12700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061-4ED8-BF81-ED3EE78A2314}"/>
              </c:ext>
            </c:extLst>
          </c:dPt>
          <c:dLbls>
            <c:dLbl>
              <c:idx val="0"/>
              <c:layout>
                <c:manualLayout>
                  <c:xMode val="edge"/>
                  <c:yMode val="edge"/>
                  <c:x val="0.19442058580472674"/>
                  <c:y val="0.3691111371035905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061-4ED8-BF81-ED3EE78A2314}"/>
                </c:ext>
              </c:extLst>
            </c:dLbl>
            <c:dLbl>
              <c:idx val="1"/>
              <c:layout>
                <c:manualLayout>
                  <c:xMode val="edge"/>
                  <c:yMode val="edge"/>
                  <c:x val="0.68208327064089214"/>
                  <c:y val="0.4485129514805256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061-4ED8-BF81-ED3EE78A2314}"/>
                </c:ext>
              </c:extLst>
            </c:dLbl>
            <c:dLbl>
              <c:idx val="2"/>
              <c:layout>
                <c:manualLayout>
                  <c:xMode val="edge"/>
                  <c:yMode val="edge"/>
                  <c:x val="0.63159836714463713"/>
                  <c:y val="0.25108141302976794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061-4ED8-BF81-ED3EE78A2314}"/>
                </c:ext>
              </c:extLst>
            </c:dLbl>
            <c:dLbl>
              <c:idx val="3"/>
              <c:layout>
                <c:manualLayout>
                  <c:xMode val="edge"/>
                  <c:yMode val="edge"/>
                  <c:x val="0.69067644570408449"/>
                  <c:y val="0.58800262538595227"/>
                </c:manualLayout>
              </c:layout>
              <c:numFmt formatCode="0.0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061-4ED8-BF81-ED3EE78A2314}"/>
                </c:ext>
              </c:extLst>
            </c:dLbl>
            <c:dLbl>
              <c:idx val="4"/>
              <c:layout>
                <c:manualLayout>
                  <c:xMode val="edge"/>
                  <c:yMode val="edge"/>
                  <c:x val="0.72182670530815674"/>
                  <c:y val="0.43992897154788402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061-4ED8-BF81-ED3EE78A2314}"/>
                </c:ext>
              </c:extLst>
            </c:dLbl>
            <c:dLbl>
              <c:idx val="5"/>
              <c:layout>
                <c:manualLayout>
                  <c:xMode val="edge"/>
                  <c:yMode val="edge"/>
                  <c:x val="0.67349009557769979"/>
                  <c:y val="0.61160857020071679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061-4ED8-BF81-ED3EE78A2314}"/>
                </c:ext>
              </c:extLst>
            </c:dLbl>
            <c:dLbl>
              <c:idx val="6"/>
              <c:layout>
                <c:manualLayout>
                  <c:xMode val="edge"/>
                  <c:yMode val="edge"/>
                  <c:x val="0.66382277363160835"/>
                  <c:y val="0.76182821902194553"/>
                </c:manualLayout>
              </c:layout>
              <c:numFmt formatCode="0.0%" sourceLinked="0"/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975" b="0" i="0" u="none" strike="noStrike" baseline="0">
                      <a:solidFill>
                        <a:srgbClr val="000000"/>
                      </a:solidFill>
                      <a:latin typeface="Arial"/>
                      <a:ea typeface="Arial"/>
                      <a:cs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061-4ED8-BF81-ED3EE78A2314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'Chart-Funding'!$D$5:$D$6</c:f>
              <c:strCache>
                <c:ptCount val="2"/>
                <c:pt idx="0">
                  <c:v>Provincial direct</c:v>
                </c:pt>
                <c:pt idx="1">
                  <c:v>Federal direct</c:v>
                </c:pt>
              </c:strCache>
            </c:strRef>
          </c:cat>
          <c:val>
            <c:numRef>
              <c:f>'Chart-Funding'!$F$5:$F$6</c:f>
              <c:numCache>
                <c:formatCode>0.00%</c:formatCode>
                <c:ptCount val="2"/>
                <c:pt idx="0">
                  <c:v>0.99761831591886918</c:v>
                </c:pt>
                <c:pt idx="1">
                  <c:v>2.381684081130916E-3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061-4ED8-BF81-ED3EE78A2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3</xdr:row>
      <xdr:rowOff>19050</xdr:rowOff>
    </xdr:from>
    <xdr:to>
      <xdr:col>1</xdr:col>
      <xdr:colOff>5981700</xdr:colOff>
      <xdr:row>20</xdr:row>
      <xdr:rowOff>152400</xdr:rowOff>
    </xdr:to>
    <xdr:graphicFrame macro="">
      <xdr:nvGraphicFramePr>
        <xdr:cNvPr id="12289" name="Chart 1">
          <a:extLst>
            <a:ext uri="{FF2B5EF4-FFF2-40B4-BE49-F238E27FC236}">
              <a16:creationId xmlns:a16="http://schemas.microsoft.com/office/drawing/2014/main" id="{338E1FF4-CD8E-4C9C-AF17-C68D5801D3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127000</xdr:colOff>
      <xdr:row>19</xdr:row>
      <xdr:rowOff>82550</xdr:rowOff>
    </xdr:from>
    <xdr:to>
      <xdr:col>1</xdr:col>
      <xdr:colOff>2755900</xdr:colOff>
      <xdr:row>20</xdr:row>
      <xdr:rowOff>101600</xdr:rowOff>
    </xdr:to>
    <xdr:sp macro="" textlink="">
      <xdr:nvSpPr>
        <xdr:cNvPr id="12291" name="Text Box 3">
          <a:extLst>
            <a:ext uri="{FF2B5EF4-FFF2-40B4-BE49-F238E27FC236}">
              <a16:creationId xmlns:a16="http://schemas.microsoft.com/office/drawing/2014/main" id="{666CFC79-E09F-4993-ADD1-0B4ED40155E8}"/>
            </a:ext>
          </a:extLst>
        </xdr:cNvPr>
        <xdr:cNvSpPr txBox="1">
          <a:spLocks noChangeArrowheads="1"/>
        </xdr:cNvSpPr>
      </xdr:nvSpPr>
      <xdr:spPr bwMode="auto">
        <a:xfrm>
          <a:off x="419100" y="3302000"/>
          <a:ext cx="262890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National Forestry Database</a:t>
          </a:r>
        </a:p>
      </xdr:txBody>
    </xdr:sp>
    <xdr:clientData/>
  </xdr:twoCellAnchor>
  <xdr:twoCellAnchor>
    <xdr:from>
      <xdr:col>1</xdr:col>
      <xdr:colOff>247650</xdr:colOff>
      <xdr:row>3</xdr:row>
      <xdr:rowOff>120650</xdr:rowOff>
    </xdr:from>
    <xdr:to>
      <xdr:col>1</xdr:col>
      <xdr:colOff>5829300</xdr:colOff>
      <xdr:row>5</xdr:row>
      <xdr:rowOff>203200</xdr:rowOff>
    </xdr:to>
    <xdr:sp macro="" textlink="">
      <xdr:nvSpPr>
        <xdr:cNvPr id="12292" name="Text Box 4">
          <a:extLst>
            <a:ext uri="{FF2B5EF4-FFF2-40B4-BE49-F238E27FC236}">
              <a16:creationId xmlns:a16="http://schemas.microsoft.com/office/drawing/2014/main" id="{D16177AC-B669-4CF3-9A5B-6AE14A2AC409}"/>
            </a:ext>
          </a:extLst>
        </xdr:cNvPr>
        <xdr:cNvSpPr txBox="1">
          <a:spLocks noChangeArrowheads="1"/>
        </xdr:cNvSpPr>
      </xdr:nvSpPr>
      <xdr:spPr bwMode="auto">
        <a:xfrm>
          <a:off x="539750" y="673100"/>
          <a:ext cx="558165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Activity, 2001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$1 301.6 million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3</xdr:row>
      <xdr:rowOff>19050</xdr:rowOff>
    </xdr:from>
    <xdr:to>
      <xdr:col>1</xdr:col>
      <xdr:colOff>5975350</xdr:colOff>
      <xdr:row>20</xdr:row>
      <xdr:rowOff>152400</xdr:rowOff>
    </xdr:to>
    <xdr:graphicFrame macro="">
      <xdr:nvGraphicFramePr>
        <xdr:cNvPr id="69633" name="Chart 1">
          <a:extLst>
            <a:ext uri="{FF2B5EF4-FFF2-40B4-BE49-F238E27FC236}">
              <a16:creationId xmlns:a16="http://schemas.microsoft.com/office/drawing/2014/main" id="{AFF3E62F-2B21-4EF2-9815-4EC10768E6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127000</xdr:colOff>
      <xdr:row>19</xdr:row>
      <xdr:rowOff>82550</xdr:rowOff>
    </xdr:from>
    <xdr:to>
      <xdr:col>1</xdr:col>
      <xdr:colOff>2755900</xdr:colOff>
      <xdr:row>20</xdr:row>
      <xdr:rowOff>101600</xdr:rowOff>
    </xdr:to>
    <xdr:sp macro="" textlink="">
      <xdr:nvSpPr>
        <xdr:cNvPr id="69634" name="Text Box 2">
          <a:extLst>
            <a:ext uri="{FF2B5EF4-FFF2-40B4-BE49-F238E27FC236}">
              <a16:creationId xmlns:a16="http://schemas.microsoft.com/office/drawing/2014/main" id="{352E2DDA-5AAC-4604-8AB8-5B376437FA6A}"/>
            </a:ext>
          </a:extLst>
        </xdr:cNvPr>
        <xdr:cNvSpPr txBox="1">
          <a:spLocks noChangeArrowheads="1"/>
        </xdr:cNvSpPr>
      </xdr:nvSpPr>
      <xdr:spPr bwMode="auto">
        <a:xfrm>
          <a:off x="368300" y="3302000"/>
          <a:ext cx="2628900" cy="177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GB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Source: National Forestry Database</a:t>
          </a:r>
        </a:p>
      </xdr:txBody>
    </xdr:sp>
    <xdr:clientData/>
  </xdr:twoCellAnchor>
  <xdr:twoCellAnchor>
    <xdr:from>
      <xdr:col>1</xdr:col>
      <xdr:colOff>247650</xdr:colOff>
      <xdr:row>3</xdr:row>
      <xdr:rowOff>120650</xdr:rowOff>
    </xdr:from>
    <xdr:to>
      <xdr:col>1</xdr:col>
      <xdr:colOff>5829300</xdr:colOff>
      <xdr:row>5</xdr:row>
      <xdr:rowOff>203200</xdr:rowOff>
    </xdr:to>
    <xdr:sp macro="" textlink="">
      <xdr:nvSpPr>
        <xdr:cNvPr id="69635" name="Text Box 3">
          <a:extLst>
            <a:ext uri="{FF2B5EF4-FFF2-40B4-BE49-F238E27FC236}">
              <a16:creationId xmlns:a16="http://schemas.microsoft.com/office/drawing/2014/main" id="{F0994A32-D0C1-471D-A9B5-B1C5CFF74F6B}"/>
            </a:ext>
          </a:extLst>
        </xdr:cNvPr>
        <xdr:cNvSpPr txBox="1">
          <a:spLocks noChangeArrowheads="1"/>
        </xdr:cNvSpPr>
      </xdr:nvSpPr>
      <xdr:spPr bwMode="auto">
        <a:xfrm>
          <a:off x="488950" y="673100"/>
          <a:ext cx="5581650" cy="444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45720" tIns="36576" rIns="45720" bIns="0" anchor="t" upright="1"/>
        <a:lstStyle/>
        <a:p>
          <a:pPr algn="ctr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Source of Funding, 2001</a:t>
          </a:r>
          <a:endParaRPr lang="en-GB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GB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$1 301.6 million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G39"/>
  <sheetViews>
    <sheetView showGridLines="0" tabSelected="1" workbookViewId="0"/>
  </sheetViews>
  <sheetFormatPr defaultRowHeight="12.5" x14ac:dyDescent="0.25"/>
  <cols>
    <col min="1" max="1" width="4.1796875" customWidth="1"/>
    <col min="2" max="2" width="85.1796875" customWidth="1"/>
    <col min="3" max="3" width="6.453125" customWidth="1"/>
    <col min="4" max="4" width="20" bestFit="1" customWidth="1"/>
    <col min="5" max="5" width="11.54296875" bestFit="1" customWidth="1"/>
    <col min="6" max="6" width="8.26953125" bestFit="1" customWidth="1"/>
    <col min="7" max="7" width="5.26953125" customWidth="1"/>
  </cols>
  <sheetData>
    <row r="1" spans="2:7" x14ac:dyDescent="0.25">
      <c r="B1" s="2" t="s">
        <v>14</v>
      </c>
      <c r="C1" s="2"/>
      <c r="E1" s="64" t="s">
        <v>46</v>
      </c>
    </row>
    <row r="2" spans="2:7" ht="13" x14ac:dyDescent="0.3">
      <c r="B2" s="2"/>
      <c r="C2" s="2"/>
      <c r="D2" s="26" t="s">
        <v>45</v>
      </c>
    </row>
    <row r="3" spans="2:7" ht="18" x14ac:dyDescent="0.4">
      <c r="B3" s="6" t="s">
        <v>15</v>
      </c>
      <c r="C3" s="6"/>
    </row>
    <row r="4" spans="2:7" x14ac:dyDescent="0.25">
      <c r="E4">
        <v>2001</v>
      </c>
      <c r="G4" s="2"/>
    </row>
    <row r="5" spans="2:7" ht="18.75" customHeight="1" x14ac:dyDescent="0.25">
      <c r="D5" t="s">
        <v>12</v>
      </c>
      <c r="E5">
        <v>190.6</v>
      </c>
      <c r="F5" s="61">
        <v>0.14643515673017823</v>
      </c>
    </row>
    <row r="6" spans="2:7" ht="13.5" customHeight="1" x14ac:dyDescent="0.25">
      <c r="D6" t="s">
        <v>16</v>
      </c>
      <c r="E6">
        <v>458.7</v>
      </c>
      <c r="F6" s="61">
        <v>0.35241241548862939</v>
      </c>
    </row>
    <row r="7" spans="2:7" x14ac:dyDescent="0.25">
      <c r="D7" t="s">
        <v>17</v>
      </c>
      <c r="E7">
        <v>69.8</v>
      </c>
      <c r="F7" s="61">
        <v>5.3626306084818685E-2</v>
      </c>
    </row>
    <row r="8" spans="2:7" x14ac:dyDescent="0.25">
      <c r="D8" t="s">
        <v>18</v>
      </c>
      <c r="E8">
        <v>582.5</v>
      </c>
      <c r="F8" s="61">
        <v>0.44752612169637374</v>
      </c>
    </row>
    <row r="9" spans="2:7" ht="13" x14ac:dyDescent="0.3">
      <c r="D9" t="s">
        <v>0</v>
      </c>
      <c r="E9" s="1">
        <v>1301.5999999999999</v>
      </c>
      <c r="F9" s="61">
        <v>1</v>
      </c>
    </row>
    <row r="10" spans="2:7" ht="13" x14ac:dyDescent="0.3">
      <c r="E10" s="1"/>
      <c r="F10" s="1"/>
      <c r="G10" s="4"/>
    </row>
    <row r="11" spans="2:7" ht="13" x14ac:dyDescent="0.3">
      <c r="E11" s="3"/>
      <c r="F11" s="1"/>
      <c r="G11" s="4"/>
    </row>
    <row r="12" spans="2:7" x14ac:dyDescent="0.25">
      <c r="D12" s="60" t="s">
        <v>47</v>
      </c>
      <c r="E12" s="5"/>
      <c r="F12" s="3"/>
      <c r="G12" s="4"/>
    </row>
    <row r="13" spans="2:7" x14ac:dyDescent="0.25">
      <c r="E13" s="3"/>
      <c r="F13" s="5"/>
      <c r="G13" s="4"/>
    </row>
    <row r="14" spans="2:7" x14ac:dyDescent="0.25">
      <c r="E14" s="5"/>
      <c r="F14" s="3"/>
      <c r="G14" s="4"/>
    </row>
    <row r="15" spans="2:7" x14ac:dyDescent="0.25">
      <c r="E15" s="3"/>
      <c r="F15" s="5"/>
      <c r="G15" s="4"/>
    </row>
    <row r="16" spans="2:7" ht="13" x14ac:dyDescent="0.3">
      <c r="E16" s="5"/>
      <c r="F16" s="3"/>
      <c r="G16" s="1"/>
    </row>
    <row r="17" spans="2:7" ht="13" x14ac:dyDescent="0.3">
      <c r="E17" s="3"/>
      <c r="F17" s="5"/>
      <c r="G17" s="1"/>
    </row>
    <row r="18" spans="2:7" ht="13" x14ac:dyDescent="0.3">
      <c r="E18" s="5"/>
      <c r="F18" s="3"/>
      <c r="G18" s="1"/>
    </row>
    <row r="19" spans="2:7" x14ac:dyDescent="0.25">
      <c r="E19" s="3"/>
      <c r="F19" s="5"/>
    </row>
    <row r="20" spans="2:7" x14ac:dyDescent="0.25">
      <c r="E20" s="5"/>
      <c r="F20" s="3"/>
    </row>
    <row r="21" spans="2:7" x14ac:dyDescent="0.25">
      <c r="E21" s="5"/>
      <c r="F21" s="5"/>
    </row>
    <row r="22" spans="2:7" ht="18" x14ac:dyDescent="0.4">
      <c r="B22" s="6"/>
      <c r="C22" s="6"/>
    </row>
    <row r="23" spans="2:7" s="30" customFormat="1" ht="31.5" customHeight="1" x14ac:dyDescent="0.25">
      <c r="B23" s="32"/>
      <c r="C23" s="29"/>
      <c r="D23"/>
      <c r="E23"/>
      <c r="F23"/>
    </row>
    <row r="24" spans="2:7" ht="15.5" x14ac:dyDescent="0.25">
      <c r="D24" s="29"/>
      <c r="E24" s="29"/>
      <c r="F24" s="29"/>
    </row>
    <row r="30" spans="2:7" ht="13" x14ac:dyDescent="0.3">
      <c r="E30" s="1"/>
    </row>
    <row r="31" spans="2:7" ht="13" x14ac:dyDescent="0.3">
      <c r="E31" s="3"/>
      <c r="F31" s="1"/>
    </row>
    <row r="32" spans="2:7" x14ac:dyDescent="0.25">
      <c r="E32" s="5"/>
      <c r="F32" s="3"/>
    </row>
    <row r="33" spans="5:6" x14ac:dyDescent="0.25">
      <c r="E33" s="3"/>
      <c r="F33" s="5"/>
    </row>
    <row r="34" spans="5:6" x14ac:dyDescent="0.25">
      <c r="E34" s="5"/>
      <c r="F34" s="3"/>
    </row>
    <row r="35" spans="5:6" x14ac:dyDescent="0.25">
      <c r="E35" s="3"/>
      <c r="F35" s="5"/>
    </row>
    <row r="36" spans="5:6" x14ac:dyDescent="0.25">
      <c r="E36" s="5"/>
      <c r="F36" s="3"/>
    </row>
    <row r="37" spans="5:6" x14ac:dyDescent="0.25">
      <c r="E37" s="3"/>
      <c r="F37" s="5"/>
    </row>
    <row r="38" spans="5:6" x14ac:dyDescent="0.25">
      <c r="E38" s="5"/>
      <c r="F38" s="3"/>
    </row>
    <row r="39" spans="5:6" x14ac:dyDescent="0.25">
      <c r="F39" s="5"/>
    </row>
  </sheetData>
  <phoneticPr fontId="0" type="noConversion"/>
  <pageMargins left="0.75" right="0.75" top="1" bottom="1" header="0.5" footer="0.5"/>
  <pageSetup orientation="portrait" r:id="rId1"/>
  <headerFooter alignWithMargins="0">
    <oddHeader>&amp;L&amp;D&amp;C&amp;A&amp;R&amp;P of &amp;N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showGridLines="0" workbookViewId="0"/>
  </sheetViews>
  <sheetFormatPr defaultColWidth="9.1796875" defaultRowHeight="13" x14ac:dyDescent="0.3"/>
  <cols>
    <col min="1" max="1" width="1.7265625" style="7" customWidth="1"/>
    <col min="2" max="2" width="33.26953125" style="7" customWidth="1"/>
    <col min="3" max="3" width="24.26953125" style="7" customWidth="1"/>
    <col min="4" max="4" width="1.7265625" style="8" customWidth="1"/>
    <col min="5" max="5" width="24.26953125" style="7" customWidth="1"/>
    <col min="6" max="6" width="1.7265625" style="7" customWidth="1"/>
    <col min="7" max="16384" width="9.1796875" style="7"/>
  </cols>
  <sheetData>
    <row r="1" spans="2:7" x14ac:dyDescent="0.3">
      <c r="C1" s="7" t="s">
        <v>23</v>
      </c>
      <c r="E1" s="60" t="s">
        <v>47</v>
      </c>
      <c r="G1" s="64" t="s">
        <v>46</v>
      </c>
    </row>
    <row r="2" spans="2:7" ht="13.5" thickBot="1" x14ac:dyDescent="0.35"/>
    <row r="3" spans="2:7" ht="27" customHeight="1" thickTop="1" thickBot="1" x14ac:dyDescent="0.35">
      <c r="B3" s="72" t="s">
        <v>44</v>
      </c>
      <c r="C3" s="73"/>
      <c r="D3" s="73"/>
      <c r="E3" s="73"/>
      <c r="F3" s="74"/>
    </row>
    <row r="4" spans="2:7" ht="22.5" customHeight="1" thickTop="1" thickBot="1" x14ac:dyDescent="0.35">
      <c r="B4" s="23" t="s">
        <v>19</v>
      </c>
      <c r="C4" s="75" t="s">
        <v>20</v>
      </c>
      <c r="D4" s="76"/>
      <c r="E4" s="77" t="s">
        <v>8</v>
      </c>
      <c r="F4" s="78"/>
    </row>
    <row r="5" spans="2:7" ht="22.5" customHeight="1" thickTop="1" thickBot="1" x14ac:dyDescent="0.35">
      <c r="B5" s="9" t="s">
        <v>12</v>
      </c>
      <c r="C5" s="38">
        <v>190.6</v>
      </c>
      <c r="D5" s="10" t="s">
        <v>6</v>
      </c>
      <c r="E5" s="27">
        <v>14.643515673017824</v>
      </c>
      <c r="F5" s="24"/>
    </row>
    <row r="6" spans="2:7" ht="22.5" customHeight="1" thickTop="1" thickBot="1" x14ac:dyDescent="0.35">
      <c r="B6" s="9" t="s">
        <v>16</v>
      </c>
      <c r="C6" s="38">
        <v>458.7</v>
      </c>
      <c r="D6" s="10" t="s">
        <v>6</v>
      </c>
      <c r="E6" s="27">
        <v>35.241241548862938</v>
      </c>
      <c r="F6" s="24"/>
    </row>
    <row r="7" spans="2:7" ht="22.5" customHeight="1" thickTop="1" thickBot="1" x14ac:dyDescent="0.35">
      <c r="B7" s="9" t="s">
        <v>17</v>
      </c>
      <c r="C7" s="38">
        <v>69.8</v>
      </c>
      <c r="D7" s="10" t="s">
        <v>6</v>
      </c>
      <c r="E7" s="27">
        <v>5.3626306084818687</v>
      </c>
      <c r="F7" s="24"/>
    </row>
    <row r="8" spans="2:7" ht="22.5" customHeight="1" thickTop="1" thickBot="1" x14ac:dyDescent="0.35">
      <c r="B8" s="9" t="s">
        <v>21</v>
      </c>
      <c r="C8" s="38">
        <v>582.1</v>
      </c>
      <c r="D8" s="10" t="s">
        <v>6</v>
      </c>
      <c r="E8" s="27">
        <v>44.721880762138909</v>
      </c>
      <c r="F8" s="24"/>
    </row>
    <row r="9" spans="2:7" ht="22.5" customHeight="1" thickTop="1" thickBot="1" x14ac:dyDescent="0.35">
      <c r="B9" s="12" t="s">
        <v>0</v>
      </c>
      <c r="C9" s="54">
        <v>1301.5999999999999</v>
      </c>
      <c r="D9" s="10" t="s">
        <v>6</v>
      </c>
      <c r="E9" s="28">
        <v>99.969268592501535</v>
      </c>
      <c r="F9" s="24"/>
    </row>
    <row r="10" spans="2:7" s="31" customFormat="1" ht="45.75" customHeight="1" thickTop="1" thickBot="1" x14ac:dyDescent="0.3">
      <c r="B10" s="79" t="s">
        <v>22</v>
      </c>
      <c r="C10" s="80"/>
      <c r="D10" s="80"/>
      <c r="E10" s="80"/>
      <c r="F10" s="81"/>
    </row>
    <row r="11" spans="2:7" ht="13.5" thickTop="1" x14ac:dyDescent="0.3"/>
    <row r="13" spans="2:7" x14ac:dyDescent="0.3">
      <c r="E13" s="7" t="s">
        <v>3</v>
      </c>
    </row>
    <row r="15" spans="2:7" x14ac:dyDescent="0.3">
      <c r="E15" s="14"/>
    </row>
  </sheetData>
  <mergeCells count="4">
    <mergeCell ref="B3:F3"/>
    <mergeCell ref="C4:D4"/>
    <mergeCell ref="E4:F4"/>
    <mergeCell ref="B10:F10"/>
  </mergeCells>
  <phoneticPr fontId="0" type="noConversion"/>
  <pageMargins left="0.75" right="0.75" top="1" bottom="1" header="0.5" footer="0.5"/>
  <pageSetup orientation="portrait" r:id="rId1"/>
  <headerFooter alignWithMargins="0">
    <oddHeader>&amp;L&amp;D&amp;C&amp;A&amp;R&amp;P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showGridLines="0" workbookViewId="0"/>
  </sheetViews>
  <sheetFormatPr defaultColWidth="9.1796875" defaultRowHeight="13" x14ac:dyDescent="0.3"/>
  <cols>
    <col min="1" max="1" width="1.7265625" style="7" customWidth="1"/>
    <col min="2" max="2" width="12.7265625" style="20" customWidth="1"/>
    <col min="3" max="3" width="12.81640625" style="20" customWidth="1"/>
    <col min="4" max="4" width="1.7265625" style="8" customWidth="1"/>
    <col min="5" max="5" width="12.81640625" style="20" customWidth="1"/>
    <col min="6" max="6" width="1.7265625" style="20" customWidth="1"/>
    <col min="7" max="7" width="12.81640625" style="20" customWidth="1"/>
    <col min="8" max="8" width="1.7265625" style="20" customWidth="1"/>
    <col min="9" max="9" width="12.81640625" style="20" customWidth="1"/>
    <col min="10" max="10" width="1.7265625" style="20" customWidth="1"/>
    <col min="11" max="11" width="12.81640625" style="20" customWidth="1"/>
    <col min="12" max="12" width="1.81640625" style="20" customWidth="1"/>
    <col min="13" max="13" width="9.1796875" style="20"/>
    <col min="14" max="16384" width="9.1796875" style="7"/>
  </cols>
  <sheetData>
    <row r="1" spans="2:14" x14ac:dyDescent="0.3">
      <c r="C1" s="7" t="s">
        <v>24</v>
      </c>
      <c r="E1" s="7"/>
      <c r="G1" s="7"/>
      <c r="I1" s="60" t="s">
        <v>47</v>
      </c>
      <c r="M1" s="64" t="s">
        <v>46</v>
      </c>
    </row>
    <row r="2" spans="2:14" ht="13.5" thickBot="1" x14ac:dyDescent="0.35"/>
    <row r="3" spans="2:14" ht="44.25" customHeight="1" thickTop="1" thickBot="1" x14ac:dyDescent="0.35">
      <c r="B3" s="72" t="s">
        <v>53</v>
      </c>
      <c r="C3" s="73"/>
      <c r="D3" s="73"/>
      <c r="E3" s="73"/>
      <c r="F3" s="73"/>
      <c r="G3" s="73"/>
      <c r="H3" s="73"/>
      <c r="I3" s="73"/>
      <c r="J3" s="73"/>
      <c r="K3" s="73"/>
      <c r="L3" s="74"/>
    </row>
    <row r="4" spans="2:14" ht="33" customHeight="1" thickTop="1" thickBot="1" x14ac:dyDescent="0.35">
      <c r="B4" s="19" t="s">
        <v>7</v>
      </c>
      <c r="C4" s="82" t="s">
        <v>12</v>
      </c>
      <c r="D4" s="83"/>
      <c r="E4" s="82" t="s">
        <v>25</v>
      </c>
      <c r="F4" s="83"/>
      <c r="G4" s="82" t="s">
        <v>26</v>
      </c>
      <c r="H4" s="83"/>
      <c r="I4" s="82" t="s">
        <v>18</v>
      </c>
      <c r="J4" s="83"/>
      <c r="K4" s="84" t="s">
        <v>0</v>
      </c>
      <c r="L4" s="85"/>
    </row>
    <row r="5" spans="2:14" ht="18.75" customHeight="1" thickTop="1" thickBot="1" x14ac:dyDescent="0.35">
      <c r="B5" s="22">
        <v>1990</v>
      </c>
      <c r="C5" s="38">
        <v>724.5</v>
      </c>
      <c r="D5" s="25" t="s">
        <v>1</v>
      </c>
      <c r="E5" s="38">
        <v>452</v>
      </c>
      <c r="F5" s="25" t="s">
        <v>1</v>
      </c>
      <c r="G5" s="38">
        <v>564.9</v>
      </c>
      <c r="H5" s="25" t="s">
        <v>1</v>
      </c>
      <c r="I5" s="38">
        <v>707.3</v>
      </c>
      <c r="J5" s="25" t="s">
        <v>1</v>
      </c>
      <c r="K5" s="41">
        <v>2448.6</v>
      </c>
      <c r="L5" s="11" t="s">
        <v>1</v>
      </c>
      <c r="N5" s="63"/>
    </row>
    <row r="6" spans="2:14" ht="18.75" customHeight="1" thickTop="1" thickBot="1" x14ac:dyDescent="0.35">
      <c r="B6" s="22">
        <v>1991</v>
      </c>
      <c r="C6" s="38">
        <v>802.9</v>
      </c>
      <c r="D6" s="25" t="s">
        <v>1</v>
      </c>
      <c r="E6" s="38">
        <v>457.1</v>
      </c>
      <c r="F6" s="25" t="s">
        <v>1</v>
      </c>
      <c r="G6" s="38">
        <v>562.9</v>
      </c>
      <c r="H6" s="25"/>
      <c r="I6" s="38">
        <v>836.1</v>
      </c>
      <c r="J6" s="25" t="s">
        <v>1</v>
      </c>
      <c r="K6" s="41">
        <v>2659</v>
      </c>
      <c r="L6" s="11" t="s">
        <v>1</v>
      </c>
      <c r="N6" s="63"/>
    </row>
    <row r="7" spans="2:14" ht="18.75" customHeight="1" thickTop="1" thickBot="1" x14ac:dyDescent="0.35">
      <c r="B7" s="22">
        <v>1992</v>
      </c>
      <c r="C7" s="38">
        <v>706.1</v>
      </c>
      <c r="D7" s="25" t="s">
        <v>1</v>
      </c>
      <c r="E7" s="38">
        <v>395.1</v>
      </c>
      <c r="F7" s="25" t="s">
        <v>6</v>
      </c>
      <c r="G7" s="38">
        <v>432.5</v>
      </c>
      <c r="H7" s="25" t="s">
        <v>6</v>
      </c>
      <c r="I7" s="38">
        <v>933.2</v>
      </c>
      <c r="J7" s="25" t="s">
        <v>1</v>
      </c>
      <c r="K7" s="41">
        <v>2466.8000000000002</v>
      </c>
      <c r="L7" s="11" t="s">
        <v>1</v>
      </c>
      <c r="N7" s="63"/>
    </row>
    <row r="8" spans="2:14" ht="18.75" customHeight="1" thickTop="1" thickBot="1" x14ac:dyDescent="0.35">
      <c r="B8" s="22">
        <v>1993</v>
      </c>
      <c r="C8" s="38">
        <v>666.4</v>
      </c>
      <c r="D8" s="25" t="s">
        <v>1</v>
      </c>
      <c r="E8" s="38">
        <v>338</v>
      </c>
      <c r="F8" s="25" t="s">
        <v>6</v>
      </c>
      <c r="G8" s="38">
        <v>449.1</v>
      </c>
      <c r="H8" s="25" t="s">
        <v>6</v>
      </c>
      <c r="I8" s="38">
        <v>940.5</v>
      </c>
      <c r="J8" s="25" t="s">
        <v>1</v>
      </c>
      <c r="K8" s="41">
        <v>2394</v>
      </c>
      <c r="L8" s="11" t="s">
        <v>1</v>
      </c>
      <c r="N8" s="63"/>
    </row>
    <row r="9" spans="2:14" ht="18.75" customHeight="1" thickTop="1" thickBot="1" x14ac:dyDescent="0.35">
      <c r="B9" s="22">
        <v>1994</v>
      </c>
      <c r="C9" s="38">
        <v>591.29999999999995</v>
      </c>
      <c r="D9" s="25" t="s">
        <v>6</v>
      </c>
      <c r="E9" s="38">
        <v>417.3</v>
      </c>
      <c r="F9" s="25" t="s">
        <v>6</v>
      </c>
      <c r="G9" s="38">
        <v>470.5</v>
      </c>
      <c r="H9" s="25" t="s">
        <v>6</v>
      </c>
      <c r="I9" s="38">
        <v>820.8</v>
      </c>
      <c r="J9" s="25" t="s">
        <v>1</v>
      </c>
      <c r="K9" s="41">
        <v>2299.8000000000002</v>
      </c>
      <c r="L9" s="11" t="s">
        <v>1</v>
      </c>
      <c r="N9" s="63"/>
    </row>
    <row r="10" spans="2:14" ht="18.75" customHeight="1" thickTop="1" thickBot="1" x14ac:dyDescent="0.35">
      <c r="B10" s="22">
        <v>1995</v>
      </c>
      <c r="C10" s="38">
        <v>772.4</v>
      </c>
      <c r="D10" s="25"/>
      <c r="E10" s="38">
        <v>509.3</v>
      </c>
      <c r="F10" s="25"/>
      <c r="G10" s="38">
        <v>637.6</v>
      </c>
      <c r="H10" s="25"/>
      <c r="I10" s="38">
        <v>1004</v>
      </c>
      <c r="J10" s="25" t="s">
        <v>1</v>
      </c>
      <c r="K10" s="41">
        <v>2923.3</v>
      </c>
      <c r="L10" s="11" t="s">
        <v>1</v>
      </c>
      <c r="N10" s="63"/>
    </row>
    <row r="11" spans="2:14" ht="18.75" customHeight="1" thickTop="1" thickBot="1" x14ac:dyDescent="0.35">
      <c r="B11" s="22">
        <v>1996</v>
      </c>
      <c r="C11" s="38">
        <v>630.79999999999995</v>
      </c>
      <c r="D11" s="25" t="s">
        <v>1</v>
      </c>
      <c r="E11" s="38">
        <v>380.7</v>
      </c>
      <c r="F11" s="25" t="s">
        <v>6</v>
      </c>
      <c r="G11" s="38">
        <v>627.5</v>
      </c>
      <c r="H11" s="25"/>
      <c r="I11" s="38">
        <v>971.8</v>
      </c>
      <c r="J11" s="25" t="s">
        <v>1</v>
      </c>
      <c r="K11" s="41">
        <v>2610.6999999999998</v>
      </c>
      <c r="L11" s="11" t="s">
        <v>1</v>
      </c>
      <c r="N11" s="63"/>
    </row>
    <row r="12" spans="2:14" ht="18.75" customHeight="1" thickTop="1" thickBot="1" x14ac:dyDescent="0.35">
      <c r="B12" s="22">
        <v>1997</v>
      </c>
      <c r="C12" s="38">
        <v>622.29999999999995</v>
      </c>
      <c r="D12" s="25" t="s">
        <v>1</v>
      </c>
      <c r="E12" s="38">
        <v>341.2</v>
      </c>
      <c r="F12" s="25" t="s">
        <v>1</v>
      </c>
      <c r="G12" s="38">
        <v>571.6</v>
      </c>
      <c r="H12" s="25" t="s">
        <v>6</v>
      </c>
      <c r="I12" s="38">
        <v>792.5</v>
      </c>
      <c r="J12" s="25" t="s">
        <v>1</v>
      </c>
      <c r="K12" s="41">
        <v>2327.6</v>
      </c>
      <c r="L12" s="11" t="s">
        <v>1</v>
      </c>
      <c r="N12" s="63"/>
    </row>
    <row r="13" spans="2:14" ht="18.75" customHeight="1" thickTop="1" thickBot="1" x14ac:dyDescent="0.35">
      <c r="B13" s="18">
        <v>1998</v>
      </c>
      <c r="C13" s="38">
        <v>219.6</v>
      </c>
      <c r="D13" s="25" t="s">
        <v>6</v>
      </c>
      <c r="E13" s="38">
        <v>864.6</v>
      </c>
      <c r="F13" s="25" t="s">
        <v>6</v>
      </c>
      <c r="G13" s="38">
        <v>64.8</v>
      </c>
      <c r="H13" s="25" t="s">
        <v>6</v>
      </c>
      <c r="I13" s="38">
        <v>671.4</v>
      </c>
      <c r="J13" s="25" t="s">
        <v>6</v>
      </c>
      <c r="K13" s="41">
        <v>1820.4</v>
      </c>
      <c r="L13" s="11" t="s">
        <v>6</v>
      </c>
      <c r="N13" s="63"/>
    </row>
    <row r="14" spans="2:14" ht="18.75" customHeight="1" thickTop="1" thickBot="1" x14ac:dyDescent="0.35">
      <c r="B14" s="18">
        <v>1999</v>
      </c>
      <c r="C14" s="38">
        <v>236.4</v>
      </c>
      <c r="D14" s="25" t="s">
        <v>1</v>
      </c>
      <c r="E14" s="38">
        <v>572.9</v>
      </c>
      <c r="F14" s="25" t="s">
        <v>6</v>
      </c>
      <c r="G14" s="38">
        <v>65.7</v>
      </c>
      <c r="H14" s="25" t="s">
        <v>6</v>
      </c>
      <c r="I14" s="38">
        <v>646.1</v>
      </c>
      <c r="J14" s="25" t="s">
        <v>1</v>
      </c>
      <c r="K14" s="41">
        <v>1521.2</v>
      </c>
      <c r="L14" s="11" t="s">
        <v>1</v>
      </c>
      <c r="N14" s="63"/>
    </row>
    <row r="15" spans="2:14" ht="18.75" customHeight="1" thickTop="1" thickBot="1" x14ac:dyDescent="0.35">
      <c r="B15" s="18">
        <v>2000</v>
      </c>
      <c r="C15" s="38">
        <v>229.6</v>
      </c>
      <c r="D15" s="25" t="s">
        <v>6</v>
      </c>
      <c r="E15" s="38">
        <v>448.4</v>
      </c>
      <c r="F15" s="25" t="s">
        <v>6</v>
      </c>
      <c r="G15" s="38">
        <v>66.8</v>
      </c>
      <c r="H15" s="25" t="s">
        <v>6</v>
      </c>
      <c r="I15" s="38">
        <v>646.29999999999995</v>
      </c>
      <c r="J15" s="25" t="s">
        <v>6</v>
      </c>
      <c r="K15" s="41">
        <v>1391.1</v>
      </c>
      <c r="L15" s="11" t="s">
        <v>6</v>
      </c>
      <c r="N15" s="63"/>
    </row>
    <row r="16" spans="2:14" ht="18.75" customHeight="1" thickTop="1" thickBot="1" x14ac:dyDescent="0.35">
      <c r="B16" s="18">
        <v>2001</v>
      </c>
      <c r="C16" s="38">
        <v>190.6</v>
      </c>
      <c r="D16" s="25" t="s">
        <v>6</v>
      </c>
      <c r="E16" s="38">
        <v>458.7</v>
      </c>
      <c r="F16" s="25" t="s">
        <v>6</v>
      </c>
      <c r="G16" s="38">
        <v>69.8</v>
      </c>
      <c r="H16" s="25" t="s">
        <v>6</v>
      </c>
      <c r="I16" s="38">
        <v>582.1</v>
      </c>
      <c r="J16" s="25" t="s">
        <v>6</v>
      </c>
      <c r="K16" s="41">
        <v>1301.5999999999999</v>
      </c>
      <c r="L16" s="11" t="s">
        <v>6</v>
      </c>
      <c r="N16" s="63"/>
    </row>
    <row r="17" spans="2:12" ht="18.75" customHeight="1" thickTop="1" thickBot="1" x14ac:dyDescent="0.35">
      <c r="B17" s="13" t="s">
        <v>2</v>
      </c>
      <c r="C17" s="15"/>
      <c r="D17" s="15"/>
      <c r="E17" s="15"/>
      <c r="F17" s="15"/>
      <c r="G17" s="15"/>
      <c r="H17" s="15"/>
      <c r="I17" s="15"/>
      <c r="J17" s="15"/>
      <c r="K17" s="16"/>
      <c r="L17" s="17"/>
    </row>
    <row r="18" spans="2:12" ht="13.5" thickTop="1" x14ac:dyDescent="0.3"/>
    <row r="20" spans="2:12" x14ac:dyDescent="0.3">
      <c r="E20" s="20" t="s">
        <v>3</v>
      </c>
      <c r="G20" s="20" t="s">
        <v>3</v>
      </c>
      <c r="I20" s="20" t="s">
        <v>3</v>
      </c>
    </row>
    <row r="22" spans="2:12" x14ac:dyDescent="0.3">
      <c r="E22" s="21"/>
      <c r="G22" s="21"/>
      <c r="I22" s="21"/>
    </row>
  </sheetData>
  <mergeCells count="6">
    <mergeCell ref="C4:D4"/>
    <mergeCell ref="I4:J4"/>
    <mergeCell ref="B3:L3"/>
    <mergeCell ref="K4:L4"/>
    <mergeCell ref="G4:H4"/>
    <mergeCell ref="E4:F4"/>
  </mergeCells>
  <phoneticPr fontId="0" type="noConversion"/>
  <pageMargins left="0.75" right="0.75" top="1" bottom="1" header="0.5" footer="0.5"/>
  <pageSetup orientation="portrait" r:id="rId1"/>
  <headerFooter alignWithMargins="0">
    <oddHeader>&amp;L&amp;D&amp;C&amp;A&amp;R&amp;P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G37"/>
  <sheetViews>
    <sheetView showGridLines="0" workbookViewId="0"/>
  </sheetViews>
  <sheetFormatPr defaultRowHeight="12.5" x14ac:dyDescent="0.25"/>
  <cols>
    <col min="1" max="1" width="3.453125" customWidth="1"/>
    <col min="2" max="2" width="84.81640625" customWidth="1"/>
    <col min="3" max="3" width="6.453125" customWidth="1"/>
    <col min="4" max="4" width="20" bestFit="1" customWidth="1"/>
    <col min="5" max="5" width="11.54296875" bestFit="1" customWidth="1"/>
    <col min="6" max="6" width="8" customWidth="1"/>
    <col min="7" max="7" width="5.26953125" customWidth="1"/>
  </cols>
  <sheetData>
    <row r="1" spans="2:7" x14ac:dyDescent="0.25">
      <c r="B1" s="2" t="s">
        <v>42</v>
      </c>
      <c r="C1" s="2"/>
      <c r="F1" s="64" t="s">
        <v>50</v>
      </c>
    </row>
    <row r="2" spans="2:7" ht="13" x14ac:dyDescent="0.3">
      <c r="B2" s="2"/>
      <c r="C2" s="2"/>
      <c r="D2" s="26" t="s">
        <v>49</v>
      </c>
    </row>
    <row r="3" spans="2:7" ht="18" x14ac:dyDescent="0.4">
      <c r="B3" s="6" t="s">
        <v>15</v>
      </c>
      <c r="C3" s="6"/>
    </row>
    <row r="4" spans="2:7" x14ac:dyDescent="0.25">
      <c r="E4">
        <v>2001</v>
      </c>
      <c r="G4" s="2"/>
    </row>
    <row r="5" spans="2:7" ht="18.75" customHeight="1" x14ac:dyDescent="0.25">
      <c r="D5" t="s">
        <v>27</v>
      </c>
      <c r="E5">
        <v>1298.5</v>
      </c>
      <c r="F5" s="62">
        <v>0.99761831591886918</v>
      </c>
    </row>
    <row r="6" spans="2:7" ht="13.5" customHeight="1" x14ac:dyDescent="0.25">
      <c r="D6" t="s">
        <v>28</v>
      </c>
      <c r="E6">
        <v>3.1</v>
      </c>
      <c r="F6" s="62">
        <v>2.381684081130916E-3</v>
      </c>
    </row>
    <row r="7" spans="2:7" ht="13" x14ac:dyDescent="0.3">
      <c r="D7" t="s">
        <v>0</v>
      </c>
      <c r="E7" s="1">
        <v>1301.5999999999999</v>
      </c>
      <c r="F7" s="62">
        <v>1</v>
      </c>
    </row>
    <row r="8" spans="2:7" ht="13" x14ac:dyDescent="0.3">
      <c r="E8" s="1"/>
      <c r="F8" s="1"/>
    </row>
    <row r="9" spans="2:7" ht="13" x14ac:dyDescent="0.3">
      <c r="E9" s="3"/>
      <c r="F9" s="1"/>
    </row>
    <row r="10" spans="2:7" x14ac:dyDescent="0.25">
      <c r="D10" s="60" t="s">
        <v>47</v>
      </c>
      <c r="E10" s="5"/>
      <c r="F10" s="3"/>
      <c r="G10" s="4"/>
    </row>
    <row r="11" spans="2:7" x14ac:dyDescent="0.25">
      <c r="E11" s="3"/>
      <c r="F11" s="5"/>
      <c r="G11" s="4"/>
    </row>
    <row r="12" spans="2:7" x14ac:dyDescent="0.25">
      <c r="E12" s="5"/>
      <c r="F12" s="3"/>
      <c r="G12" s="4"/>
    </row>
    <row r="13" spans="2:7" x14ac:dyDescent="0.25">
      <c r="E13" s="3"/>
      <c r="F13" s="5"/>
      <c r="G13" s="4"/>
    </row>
    <row r="14" spans="2:7" x14ac:dyDescent="0.25">
      <c r="E14" s="5"/>
      <c r="F14" s="3"/>
      <c r="G14" s="4"/>
    </row>
    <row r="15" spans="2:7" x14ac:dyDescent="0.25">
      <c r="E15" s="3"/>
      <c r="F15" s="5"/>
      <c r="G15" s="4"/>
    </row>
    <row r="16" spans="2:7" ht="13" x14ac:dyDescent="0.3">
      <c r="E16" s="5"/>
      <c r="F16" s="3"/>
      <c r="G16" s="1"/>
    </row>
    <row r="17" spans="2:7" ht="13" x14ac:dyDescent="0.3">
      <c r="E17" s="3"/>
      <c r="F17" s="5"/>
      <c r="G17" s="1"/>
    </row>
    <row r="18" spans="2:7" ht="13" x14ac:dyDescent="0.3">
      <c r="E18" s="5"/>
      <c r="F18" s="3"/>
      <c r="G18" s="1"/>
    </row>
    <row r="19" spans="2:7" x14ac:dyDescent="0.25">
      <c r="E19" s="5"/>
      <c r="F19" s="5"/>
    </row>
    <row r="22" spans="2:7" ht="18" x14ac:dyDescent="0.4">
      <c r="B22" s="6"/>
      <c r="C22" s="6"/>
      <c r="D22" s="29"/>
      <c r="E22" s="29"/>
      <c r="F22" s="29"/>
    </row>
    <row r="23" spans="2:7" s="30" customFormat="1" ht="31.5" customHeight="1" x14ac:dyDescent="0.25">
      <c r="B23" s="32"/>
      <c r="C23" s="29"/>
      <c r="D23"/>
      <c r="E23"/>
      <c r="F23"/>
    </row>
    <row r="28" spans="2:7" ht="13" x14ac:dyDescent="0.3">
      <c r="E28" s="1"/>
    </row>
    <row r="29" spans="2:7" ht="13" x14ac:dyDescent="0.3">
      <c r="E29" s="3"/>
      <c r="F29" s="1"/>
    </row>
    <row r="30" spans="2:7" x14ac:dyDescent="0.25">
      <c r="E30" s="5"/>
      <c r="F30" s="3"/>
    </row>
    <row r="31" spans="2:7" x14ac:dyDescent="0.25">
      <c r="E31" s="3"/>
      <c r="F31" s="5"/>
    </row>
    <row r="32" spans="2:7" x14ac:dyDescent="0.25">
      <c r="E32" s="5"/>
      <c r="F32" s="3"/>
    </row>
    <row r="33" spans="5:6" x14ac:dyDescent="0.25">
      <c r="E33" s="3"/>
      <c r="F33" s="5"/>
    </row>
    <row r="34" spans="5:6" x14ac:dyDescent="0.25">
      <c r="E34" s="5"/>
      <c r="F34" s="3"/>
    </row>
    <row r="35" spans="5:6" x14ac:dyDescent="0.25">
      <c r="E35" s="3"/>
      <c r="F35" s="5"/>
    </row>
    <row r="36" spans="5:6" x14ac:dyDescent="0.25">
      <c r="E36" s="5"/>
      <c r="F36" s="3"/>
    </row>
    <row r="37" spans="5:6" x14ac:dyDescent="0.25">
      <c r="F37" s="5"/>
    </row>
  </sheetData>
  <phoneticPr fontId="0" type="noConversion"/>
  <pageMargins left="0.75" right="0.75" top="1" bottom="1" header="0.5" footer="0.5"/>
  <pageSetup orientation="portrait" r:id="rId1"/>
  <headerFooter alignWithMargins="0">
    <oddHeader>&amp;L&amp;D&amp;C&amp;A&amp;R&amp;P of &amp;N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5"/>
  <sheetViews>
    <sheetView showGridLines="0" workbookViewId="0"/>
  </sheetViews>
  <sheetFormatPr defaultColWidth="9.1796875" defaultRowHeight="13" x14ac:dyDescent="0.3"/>
  <cols>
    <col min="1" max="1" width="1.7265625" style="7" customWidth="1"/>
    <col min="2" max="2" width="33.26953125" style="7" customWidth="1"/>
    <col min="3" max="3" width="24.26953125" style="7" customWidth="1"/>
    <col min="4" max="4" width="1.7265625" style="8" customWidth="1"/>
    <col min="5" max="5" width="24.26953125" style="7" customWidth="1"/>
    <col min="6" max="6" width="1.7265625" style="7" customWidth="1"/>
    <col min="7" max="16384" width="9.1796875" style="7"/>
  </cols>
  <sheetData>
    <row r="1" spans="2:7" x14ac:dyDescent="0.3">
      <c r="C1" s="7" t="s">
        <v>37</v>
      </c>
      <c r="E1" s="60" t="s">
        <v>47</v>
      </c>
      <c r="G1" s="64" t="s">
        <v>50</v>
      </c>
    </row>
    <row r="2" spans="2:7" ht="13.5" thickBot="1" x14ac:dyDescent="0.35"/>
    <row r="3" spans="2:7" ht="27" customHeight="1" thickTop="1" thickBot="1" x14ac:dyDescent="0.35">
      <c r="B3" s="72" t="s">
        <v>48</v>
      </c>
      <c r="C3" s="73"/>
      <c r="D3" s="73"/>
      <c r="E3" s="73"/>
      <c r="F3" s="74"/>
    </row>
    <row r="4" spans="2:7" ht="22.5" customHeight="1" thickTop="1" thickBot="1" x14ac:dyDescent="0.35">
      <c r="B4" s="23" t="s">
        <v>29</v>
      </c>
      <c r="C4" s="75" t="s">
        <v>20</v>
      </c>
      <c r="D4" s="76"/>
      <c r="E4" s="77" t="s">
        <v>8</v>
      </c>
      <c r="F4" s="78"/>
    </row>
    <row r="5" spans="2:7" ht="18.75" customHeight="1" thickTop="1" x14ac:dyDescent="0.3">
      <c r="B5" s="42" t="s">
        <v>30</v>
      </c>
      <c r="C5" s="46">
        <v>1301.5999999999999</v>
      </c>
      <c r="D5" s="47" t="s">
        <v>6</v>
      </c>
      <c r="E5" s="56">
        <v>100</v>
      </c>
      <c r="F5" s="51"/>
    </row>
    <row r="6" spans="2:7" ht="15" customHeight="1" x14ac:dyDescent="0.3">
      <c r="B6" s="44" t="s">
        <v>31</v>
      </c>
      <c r="C6" s="48">
        <v>1298.5</v>
      </c>
      <c r="D6" s="29" t="s">
        <v>6</v>
      </c>
      <c r="E6" s="57">
        <v>99.761831591886917</v>
      </c>
      <c r="F6" s="52"/>
    </row>
    <row r="7" spans="2:7" ht="15" customHeight="1" thickBot="1" x14ac:dyDescent="0.35">
      <c r="B7" s="43" t="s">
        <v>32</v>
      </c>
      <c r="C7" s="49">
        <v>3.1</v>
      </c>
      <c r="D7" s="50"/>
      <c r="E7" s="57">
        <v>0.23816840811309159</v>
      </c>
      <c r="F7" s="53"/>
    </row>
    <row r="8" spans="2:7" ht="22.5" customHeight="1" thickTop="1" thickBot="1" x14ac:dyDescent="0.35">
      <c r="B8" s="9" t="s">
        <v>33</v>
      </c>
      <c r="C8" s="38" t="s">
        <v>34</v>
      </c>
      <c r="D8" s="10"/>
      <c r="E8" s="58" t="s">
        <v>34</v>
      </c>
      <c r="F8" s="24"/>
    </row>
    <row r="9" spans="2:7" ht="22.5" customHeight="1" thickTop="1" thickBot="1" x14ac:dyDescent="0.35">
      <c r="B9" s="12" t="s">
        <v>0</v>
      </c>
      <c r="C9" s="40">
        <v>1301.5999999999999</v>
      </c>
      <c r="D9" s="10" t="s">
        <v>6</v>
      </c>
      <c r="E9" s="59">
        <v>100.00350827614049</v>
      </c>
      <c r="F9" s="24"/>
    </row>
    <row r="10" spans="2:7" s="39" customFormat="1" ht="24" customHeight="1" thickTop="1" thickBot="1" x14ac:dyDescent="0.3">
      <c r="B10" s="86" t="s">
        <v>2</v>
      </c>
      <c r="C10" s="87"/>
      <c r="D10" s="87"/>
      <c r="E10" s="87"/>
      <c r="F10" s="88"/>
    </row>
    <row r="11" spans="2:7" ht="13.5" thickTop="1" x14ac:dyDescent="0.3"/>
    <row r="13" spans="2:7" x14ac:dyDescent="0.3">
      <c r="E13" s="7" t="s">
        <v>3</v>
      </c>
    </row>
    <row r="15" spans="2:7" x14ac:dyDescent="0.3">
      <c r="E15" s="14"/>
    </row>
  </sheetData>
  <mergeCells count="4">
    <mergeCell ref="B3:F3"/>
    <mergeCell ref="C4:D4"/>
    <mergeCell ref="E4:F4"/>
    <mergeCell ref="B10:F10"/>
  </mergeCells>
  <phoneticPr fontId="0" type="noConversion"/>
  <pageMargins left="0.75" right="0.75" top="1" bottom="1" header="0.5" footer="0.5"/>
  <pageSetup orientation="portrait" r:id="rId1"/>
  <headerFooter alignWithMargins="0">
    <oddHeader>&amp;L&amp;D&amp;C&amp;A&amp;R&amp;P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3"/>
  <sheetViews>
    <sheetView showGridLines="0" workbookViewId="0"/>
  </sheetViews>
  <sheetFormatPr defaultColWidth="9.1796875" defaultRowHeight="13" x14ac:dyDescent="0.3"/>
  <cols>
    <col min="1" max="1" width="1.7265625" style="7" customWidth="1"/>
    <col min="2" max="2" width="10.81640625" style="20" customWidth="1"/>
    <col min="3" max="3" width="10.7265625" style="20" customWidth="1"/>
    <col min="4" max="4" width="1.7265625" style="8" customWidth="1"/>
    <col min="5" max="5" width="10.7265625" style="20" customWidth="1"/>
    <col min="6" max="6" width="1.7265625" style="20" customWidth="1"/>
    <col min="7" max="7" width="10.7265625" style="20" customWidth="1"/>
    <col min="8" max="8" width="1.7265625" style="20" customWidth="1"/>
    <col min="9" max="9" width="10.7265625" style="20" customWidth="1"/>
    <col min="10" max="10" width="1.7265625" style="20" customWidth="1"/>
    <col min="11" max="11" width="10.7265625" style="20" customWidth="1"/>
    <col min="12" max="12" width="1.7265625" style="20" customWidth="1"/>
    <col min="13" max="13" width="10.7265625" style="20" customWidth="1"/>
    <col min="14" max="14" width="1.81640625" style="20" customWidth="1"/>
    <col min="15" max="15" width="9.1796875" style="20"/>
    <col min="16" max="16384" width="9.1796875" style="7"/>
  </cols>
  <sheetData>
    <row r="1" spans="2:15" x14ac:dyDescent="0.3">
      <c r="C1" s="7" t="s">
        <v>38</v>
      </c>
      <c r="E1" s="7"/>
      <c r="G1" s="7"/>
      <c r="I1" s="7"/>
      <c r="K1" s="60" t="s">
        <v>47</v>
      </c>
      <c r="O1" s="64" t="s">
        <v>50</v>
      </c>
    </row>
    <row r="2" spans="2:15" ht="13.5" thickBot="1" x14ac:dyDescent="0.35"/>
    <row r="3" spans="2:15" ht="36.75" customHeight="1" thickTop="1" thickBot="1" x14ac:dyDescent="0.35">
      <c r="B3" s="72" t="s">
        <v>51</v>
      </c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4"/>
    </row>
    <row r="4" spans="2:15" ht="22.5" customHeight="1" thickTop="1" thickBot="1" x14ac:dyDescent="0.35">
      <c r="B4" s="96" t="s">
        <v>7</v>
      </c>
      <c r="C4" s="82" t="s">
        <v>30</v>
      </c>
      <c r="D4" s="95"/>
      <c r="E4" s="95"/>
      <c r="F4" s="95"/>
      <c r="G4" s="95"/>
      <c r="H4" s="83"/>
      <c r="I4" s="84" t="s">
        <v>33</v>
      </c>
      <c r="J4" s="89"/>
      <c r="K4" s="84" t="s">
        <v>18</v>
      </c>
      <c r="L4" s="89"/>
      <c r="M4" s="92" t="s">
        <v>0</v>
      </c>
      <c r="N4" s="85"/>
    </row>
    <row r="5" spans="2:15" ht="21.75" customHeight="1" thickTop="1" thickBot="1" x14ac:dyDescent="0.35">
      <c r="B5" s="97"/>
      <c r="C5" s="82" t="s">
        <v>35</v>
      </c>
      <c r="D5" s="83"/>
      <c r="E5" s="82" t="s">
        <v>36</v>
      </c>
      <c r="F5" s="83"/>
      <c r="G5" s="82" t="s">
        <v>0</v>
      </c>
      <c r="H5" s="83"/>
      <c r="I5" s="90"/>
      <c r="J5" s="91"/>
      <c r="K5" s="90"/>
      <c r="L5" s="91"/>
      <c r="M5" s="93"/>
      <c r="N5" s="94"/>
    </row>
    <row r="6" spans="2:15" ht="18.75" customHeight="1" thickTop="1" thickBot="1" x14ac:dyDescent="0.35">
      <c r="B6" s="22">
        <v>1990</v>
      </c>
      <c r="C6" s="38">
        <v>1386.7</v>
      </c>
      <c r="D6" s="25" t="s">
        <v>1</v>
      </c>
      <c r="E6" s="38">
        <v>165.4</v>
      </c>
      <c r="F6" s="25" t="s">
        <v>1</v>
      </c>
      <c r="G6" s="38">
        <f>SUM(C6:E6)</f>
        <v>1552.1000000000001</v>
      </c>
      <c r="H6" s="25" t="s">
        <v>1</v>
      </c>
      <c r="I6" s="38">
        <v>896.5</v>
      </c>
      <c r="J6" s="25"/>
      <c r="K6" s="38" t="s">
        <v>34</v>
      </c>
      <c r="L6" s="25"/>
      <c r="M6" s="41">
        <v>2448.6</v>
      </c>
      <c r="N6" s="11" t="s">
        <v>1</v>
      </c>
    </row>
    <row r="7" spans="2:15" ht="18.75" customHeight="1" thickTop="1" thickBot="1" x14ac:dyDescent="0.35">
      <c r="B7" s="22">
        <v>1991</v>
      </c>
      <c r="C7" s="38">
        <v>1486.7</v>
      </c>
      <c r="D7" s="25" t="s">
        <v>1</v>
      </c>
      <c r="E7" s="38">
        <v>174.8</v>
      </c>
      <c r="F7" s="25" t="s">
        <v>1</v>
      </c>
      <c r="G7" s="38">
        <f t="shared" ref="G7:G17" si="0">SUM(C7:E7)</f>
        <v>1661.5</v>
      </c>
      <c r="H7" s="25" t="s">
        <v>1</v>
      </c>
      <c r="I7" s="38">
        <v>997</v>
      </c>
      <c r="J7" s="25"/>
      <c r="K7" s="38">
        <v>0.5</v>
      </c>
      <c r="L7" s="55"/>
      <c r="M7" s="41">
        <v>2659</v>
      </c>
      <c r="N7" s="11" t="s">
        <v>1</v>
      </c>
    </row>
    <row r="8" spans="2:15" ht="18.75" customHeight="1" thickTop="1" thickBot="1" x14ac:dyDescent="0.35">
      <c r="B8" s="22">
        <v>1992</v>
      </c>
      <c r="C8" s="38">
        <v>1343.7</v>
      </c>
      <c r="D8" s="25" t="s">
        <v>1</v>
      </c>
      <c r="E8" s="38">
        <v>209</v>
      </c>
      <c r="F8" s="25" t="s">
        <v>6</v>
      </c>
      <c r="G8" s="38">
        <f t="shared" si="0"/>
        <v>1552.7</v>
      </c>
      <c r="H8" s="25" t="s">
        <v>1</v>
      </c>
      <c r="I8" s="38">
        <v>913.1</v>
      </c>
      <c r="J8" s="25"/>
      <c r="K8" s="38">
        <v>1</v>
      </c>
      <c r="L8" s="55"/>
      <c r="M8" s="41">
        <v>2466.8000000000002</v>
      </c>
      <c r="N8" s="11" t="s">
        <v>1</v>
      </c>
    </row>
    <row r="9" spans="2:15" ht="18.75" customHeight="1" thickTop="1" thickBot="1" x14ac:dyDescent="0.35">
      <c r="B9" s="22">
        <v>1993</v>
      </c>
      <c r="C9" s="38">
        <v>1313.1</v>
      </c>
      <c r="D9" s="25" t="s">
        <v>1</v>
      </c>
      <c r="E9" s="38">
        <v>176.8</v>
      </c>
      <c r="F9" s="25" t="s">
        <v>6</v>
      </c>
      <c r="G9" s="38">
        <f t="shared" si="0"/>
        <v>1489.8999999999999</v>
      </c>
      <c r="H9" s="25" t="s">
        <v>1</v>
      </c>
      <c r="I9" s="38">
        <v>902.6</v>
      </c>
      <c r="J9" s="25"/>
      <c r="K9" s="38">
        <v>1.5</v>
      </c>
      <c r="L9" s="55"/>
      <c r="M9" s="41">
        <v>2394</v>
      </c>
      <c r="N9" s="11" t="s">
        <v>1</v>
      </c>
    </row>
    <row r="10" spans="2:15" ht="18.75" customHeight="1" thickTop="1" thickBot="1" x14ac:dyDescent="0.35">
      <c r="B10" s="22">
        <v>1994</v>
      </c>
      <c r="C10" s="38">
        <v>1199.4000000000001</v>
      </c>
      <c r="D10" s="25" t="s">
        <v>1</v>
      </c>
      <c r="E10" s="38">
        <v>197.3</v>
      </c>
      <c r="F10" s="25" t="s">
        <v>6</v>
      </c>
      <c r="G10" s="38">
        <f t="shared" si="0"/>
        <v>1396.7</v>
      </c>
      <c r="H10" s="25" t="s">
        <v>1</v>
      </c>
      <c r="I10" s="38">
        <v>902.6</v>
      </c>
      <c r="J10" s="25" t="s">
        <v>6</v>
      </c>
      <c r="K10" s="38">
        <v>0.5</v>
      </c>
      <c r="L10" s="55"/>
      <c r="M10" s="41">
        <v>2299.8000000000002</v>
      </c>
      <c r="N10" s="11" t="s">
        <v>1</v>
      </c>
    </row>
    <row r="11" spans="2:15" ht="18.75" customHeight="1" thickTop="1" thickBot="1" x14ac:dyDescent="0.35">
      <c r="B11" s="22">
        <v>1995</v>
      </c>
      <c r="C11" s="38">
        <v>1413.4</v>
      </c>
      <c r="D11" s="25" t="s">
        <v>1</v>
      </c>
      <c r="E11" s="38">
        <v>137.4</v>
      </c>
      <c r="F11" s="25"/>
      <c r="G11" s="38">
        <f t="shared" si="0"/>
        <v>1550.8000000000002</v>
      </c>
      <c r="H11" s="25" t="s">
        <v>1</v>
      </c>
      <c r="I11" s="38">
        <v>1372.5</v>
      </c>
      <c r="J11" s="25"/>
      <c r="K11" s="38" t="s">
        <v>34</v>
      </c>
      <c r="L11" s="25"/>
      <c r="M11" s="41">
        <v>2923.3</v>
      </c>
      <c r="N11" s="11" t="s">
        <v>1</v>
      </c>
    </row>
    <row r="12" spans="2:15" ht="18.75" customHeight="1" thickTop="1" thickBot="1" x14ac:dyDescent="0.35">
      <c r="B12" s="22">
        <v>1996</v>
      </c>
      <c r="C12" s="38">
        <v>1136.4000000000001</v>
      </c>
      <c r="D12" s="25" t="s">
        <v>1</v>
      </c>
      <c r="E12" s="38">
        <v>101.4</v>
      </c>
      <c r="F12" s="25" t="s">
        <v>1</v>
      </c>
      <c r="G12" s="38">
        <f t="shared" si="0"/>
        <v>1237.8000000000002</v>
      </c>
      <c r="H12" s="25" t="s">
        <v>1</v>
      </c>
      <c r="I12" s="38">
        <v>1372.9</v>
      </c>
      <c r="J12" s="25"/>
      <c r="K12" s="38" t="s">
        <v>34</v>
      </c>
      <c r="L12" s="25"/>
      <c r="M12" s="41">
        <v>2610.6999999999998</v>
      </c>
      <c r="N12" s="11" t="s">
        <v>1</v>
      </c>
    </row>
    <row r="13" spans="2:15" ht="18.75" customHeight="1" thickTop="1" thickBot="1" x14ac:dyDescent="0.35">
      <c r="B13" s="22">
        <v>1997</v>
      </c>
      <c r="C13" s="38">
        <v>864.1</v>
      </c>
      <c r="D13" s="25" t="s">
        <v>1</v>
      </c>
      <c r="E13" s="38">
        <v>84.5</v>
      </c>
      <c r="F13" s="25" t="s">
        <v>1</v>
      </c>
      <c r="G13" s="38">
        <f t="shared" si="0"/>
        <v>948.6</v>
      </c>
      <c r="H13" s="25" t="s">
        <v>1</v>
      </c>
      <c r="I13" s="38">
        <v>1379</v>
      </c>
      <c r="J13" s="25"/>
      <c r="K13" s="38" t="s">
        <v>34</v>
      </c>
      <c r="L13" s="25"/>
      <c r="M13" s="41">
        <v>2327.6</v>
      </c>
      <c r="N13" s="11" t="s">
        <v>1</v>
      </c>
    </row>
    <row r="14" spans="2:15" ht="18.75" customHeight="1" thickTop="1" thickBot="1" x14ac:dyDescent="0.35">
      <c r="B14" s="18">
        <v>1998</v>
      </c>
      <c r="C14" s="38">
        <v>1732.8</v>
      </c>
      <c r="D14" s="25" t="s">
        <v>6</v>
      </c>
      <c r="E14" s="38">
        <v>87.6</v>
      </c>
      <c r="F14" s="25" t="s">
        <v>6</v>
      </c>
      <c r="G14" s="38">
        <f t="shared" si="0"/>
        <v>1820.3999999999999</v>
      </c>
      <c r="H14" s="25" t="s">
        <v>6</v>
      </c>
      <c r="I14" s="45" t="s">
        <v>34</v>
      </c>
      <c r="J14" s="25"/>
      <c r="K14" s="38" t="s">
        <v>34</v>
      </c>
      <c r="L14" s="25"/>
      <c r="M14" s="41">
        <v>1820.4</v>
      </c>
      <c r="N14" s="11" t="s">
        <v>6</v>
      </c>
    </row>
    <row r="15" spans="2:15" ht="18.75" customHeight="1" thickTop="1" thickBot="1" x14ac:dyDescent="0.35">
      <c r="B15" s="18">
        <v>1999</v>
      </c>
      <c r="C15" s="38">
        <v>1442.7</v>
      </c>
      <c r="D15" s="25" t="s">
        <v>1</v>
      </c>
      <c r="E15" s="38">
        <v>78.400000000000006</v>
      </c>
      <c r="F15" s="25"/>
      <c r="G15" s="38">
        <f t="shared" si="0"/>
        <v>1521.1000000000001</v>
      </c>
      <c r="H15" s="25" t="s">
        <v>6</v>
      </c>
      <c r="I15" s="45" t="s">
        <v>34</v>
      </c>
      <c r="J15" s="25"/>
      <c r="K15" s="38" t="s">
        <v>34</v>
      </c>
      <c r="L15" s="25"/>
      <c r="M15" s="38">
        <v>1521.1</v>
      </c>
      <c r="N15" s="11" t="s">
        <v>6</v>
      </c>
    </row>
    <row r="16" spans="2:15" ht="18.75" customHeight="1" thickTop="1" thickBot="1" x14ac:dyDescent="0.35">
      <c r="B16" s="18">
        <v>2000</v>
      </c>
      <c r="C16" s="38">
        <v>1378.3</v>
      </c>
      <c r="D16" s="25" t="s">
        <v>6</v>
      </c>
      <c r="E16" s="38">
        <v>12.8</v>
      </c>
      <c r="F16" s="25"/>
      <c r="G16" s="38">
        <f t="shared" si="0"/>
        <v>1391.1</v>
      </c>
      <c r="H16" s="25" t="s">
        <v>6</v>
      </c>
      <c r="I16" s="45" t="s">
        <v>34</v>
      </c>
      <c r="J16" s="25"/>
      <c r="K16" s="38" t="s">
        <v>34</v>
      </c>
      <c r="L16" s="25"/>
      <c r="M16" s="38">
        <v>1391.1</v>
      </c>
      <c r="N16" s="11" t="s">
        <v>6</v>
      </c>
    </row>
    <row r="17" spans="2:14" ht="18.75" customHeight="1" thickTop="1" thickBot="1" x14ac:dyDescent="0.35">
      <c r="B17" s="18">
        <v>2001</v>
      </c>
      <c r="C17" s="38">
        <v>1298.5</v>
      </c>
      <c r="D17" s="25" t="s">
        <v>6</v>
      </c>
      <c r="E17" s="38">
        <v>3.1</v>
      </c>
      <c r="F17" s="25"/>
      <c r="G17" s="38">
        <f t="shared" si="0"/>
        <v>1301.5999999999999</v>
      </c>
      <c r="H17" s="25" t="s">
        <v>6</v>
      </c>
      <c r="I17" s="45" t="s">
        <v>34</v>
      </c>
      <c r="J17" s="25"/>
      <c r="K17" s="38" t="s">
        <v>34</v>
      </c>
      <c r="L17" s="25"/>
      <c r="M17" s="38">
        <v>1301.5999999999999</v>
      </c>
      <c r="N17" s="11" t="s">
        <v>6</v>
      </c>
    </row>
    <row r="18" spans="2:14" ht="18.75" customHeight="1" thickTop="1" thickBot="1" x14ac:dyDescent="0.35">
      <c r="B18" s="13" t="s">
        <v>2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6"/>
      <c r="N18" s="17"/>
    </row>
    <row r="19" spans="2:14" ht="13.5" thickTop="1" x14ac:dyDescent="0.3"/>
    <row r="21" spans="2:14" x14ac:dyDescent="0.3">
      <c r="E21" s="20" t="s">
        <v>3</v>
      </c>
      <c r="G21" s="20" t="s">
        <v>3</v>
      </c>
      <c r="I21" s="20" t="s">
        <v>3</v>
      </c>
      <c r="K21" s="20" t="s">
        <v>3</v>
      </c>
    </row>
    <row r="23" spans="2:14" x14ac:dyDescent="0.3">
      <c r="E23" s="21"/>
      <c r="G23" s="21"/>
      <c r="I23" s="21"/>
      <c r="K23" s="21"/>
    </row>
  </sheetData>
  <mergeCells count="9">
    <mergeCell ref="K4:L5"/>
    <mergeCell ref="M4:N5"/>
    <mergeCell ref="C5:D5"/>
    <mergeCell ref="B3:N3"/>
    <mergeCell ref="G5:H5"/>
    <mergeCell ref="E5:F5"/>
    <mergeCell ref="C4:H4"/>
    <mergeCell ref="B4:B5"/>
    <mergeCell ref="I4:J5"/>
  </mergeCells>
  <phoneticPr fontId="0" type="noConversion"/>
  <pageMargins left="0.75" right="0.75" top="1" bottom="1" header="0.5" footer="0.5"/>
  <pageSetup orientation="portrait" r:id="rId1"/>
  <headerFooter alignWithMargins="0">
    <oddHeader>&amp;L&amp;D&amp;C&amp;A&amp;R&amp;P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8"/>
  <sheetViews>
    <sheetView showGridLines="0" workbookViewId="0"/>
  </sheetViews>
  <sheetFormatPr defaultColWidth="9.1796875" defaultRowHeight="13" x14ac:dyDescent="0.3"/>
  <cols>
    <col min="1" max="1" width="1.7265625" style="7" customWidth="1"/>
    <col min="2" max="2" width="33.453125" style="7" customWidth="1"/>
    <col min="3" max="3" width="24.26953125" style="7" customWidth="1"/>
    <col min="4" max="4" width="1.7265625" style="8" customWidth="1"/>
    <col min="5" max="5" width="24.26953125" style="7" customWidth="1"/>
    <col min="6" max="6" width="1.7265625" style="7" customWidth="1"/>
    <col min="7" max="7" width="9.1796875" style="7"/>
    <col min="8" max="8" width="9.1796875" style="69"/>
    <col min="9" max="16384" width="9.1796875" style="7"/>
  </cols>
  <sheetData>
    <row r="1" spans="2:8" x14ac:dyDescent="0.3">
      <c r="C1" s="7" t="s">
        <v>43</v>
      </c>
      <c r="D1" s="60" t="s">
        <v>47</v>
      </c>
      <c r="E1" s="20"/>
      <c r="F1" s="20"/>
      <c r="G1" s="20"/>
      <c r="H1" s="68" t="s">
        <v>50</v>
      </c>
    </row>
    <row r="2" spans="2:8" ht="13.5" thickBot="1" x14ac:dyDescent="0.35"/>
    <row r="3" spans="2:8" ht="27" customHeight="1" thickTop="1" thickBot="1" x14ac:dyDescent="0.35">
      <c r="B3" s="72" t="s">
        <v>52</v>
      </c>
      <c r="C3" s="73"/>
      <c r="D3" s="73"/>
      <c r="E3" s="73"/>
      <c r="F3" s="74"/>
    </row>
    <row r="4" spans="2:8" ht="22.5" customHeight="1" thickTop="1" thickBot="1" x14ac:dyDescent="0.35">
      <c r="B4" s="37" t="s">
        <v>41</v>
      </c>
      <c r="C4" s="33" t="s">
        <v>40</v>
      </c>
      <c r="D4" s="34"/>
      <c r="E4" s="35" t="s">
        <v>8</v>
      </c>
      <c r="F4" s="36"/>
    </row>
    <row r="5" spans="2:8" ht="22.5" customHeight="1" thickTop="1" thickBot="1" x14ac:dyDescent="0.35">
      <c r="B5" s="9" t="s">
        <v>9</v>
      </c>
      <c r="C5" s="38">
        <v>95.9</v>
      </c>
      <c r="D5" s="10" t="s">
        <v>6</v>
      </c>
      <c r="E5" s="66">
        <v>7.4</v>
      </c>
      <c r="F5" s="24"/>
      <c r="H5" s="70">
        <v>7.3684210526315796E-2</v>
      </c>
    </row>
    <row r="6" spans="2:8" ht="22.5" customHeight="1" thickTop="1" thickBot="1" x14ac:dyDescent="0.35">
      <c r="B6" s="9" t="s">
        <v>4</v>
      </c>
      <c r="C6" s="38">
        <v>259.7</v>
      </c>
      <c r="D6" s="10"/>
      <c r="E6" s="66">
        <v>20</v>
      </c>
      <c r="F6" s="24"/>
      <c r="H6" s="70">
        <v>0.19953899346907414</v>
      </c>
    </row>
    <row r="7" spans="2:8" ht="22.5" customHeight="1" thickTop="1" thickBot="1" x14ac:dyDescent="0.35">
      <c r="B7" s="9" t="s">
        <v>5</v>
      </c>
      <c r="C7" s="38">
        <v>83.2</v>
      </c>
      <c r="D7" s="10"/>
      <c r="E7" s="66">
        <v>6.4</v>
      </c>
      <c r="F7" s="24"/>
      <c r="H7" s="70">
        <v>6.3926238955051867E-2</v>
      </c>
    </row>
    <row r="8" spans="2:8" ht="22.5" customHeight="1" thickTop="1" thickBot="1" x14ac:dyDescent="0.35">
      <c r="B8" s="9" t="s">
        <v>10</v>
      </c>
      <c r="C8" s="38">
        <v>298.89999999999998</v>
      </c>
      <c r="D8" s="10" t="s">
        <v>6</v>
      </c>
      <c r="E8" s="66">
        <v>23</v>
      </c>
      <c r="F8" s="24"/>
      <c r="H8" s="70">
        <v>0.22965808682289665</v>
      </c>
    </row>
    <row r="9" spans="2:8" ht="22.5" customHeight="1" thickTop="1" thickBot="1" x14ac:dyDescent="0.35">
      <c r="B9" s="9" t="s">
        <v>11</v>
      </c>
      <c r="C9" s="38">
        <v>555.9</v>
      </c>
      <c r="D9" s="10" t="s">
        <v>6</v>
      </c>
      <c r="E9" s="66">
        <v>42.7</v>
      </c>
      <c r="F9" s="24"/>
      <c r="H9" s="70">
        <v>0.42712255090280443</v>
      </c>
    </row>
    <row r="10" spans="2:8" ht="22.5" customHeight="1" thickTop="1" thickBot="1" x14ac:dyDescent="0.35">
      <c r="B10" s="9" t="s">
        <v>13</v>
      </c>
      <c r="C10" s="38">
        <v>7.9</v>
      </c>
      <c r="D10" s="10"/>
      <c r="E10" s="66">
        <v>0.6</v>
      </c>
      <c r="F10" s="24"/>
      <c r="H10" s="70">
        <v>6.0699193238570879E-3</v>
      </c>
    </row>
    <row r="11" spans="2:8" ht="22.5" customHeight="1" thickTop="1" thickBot="1" x14ac:dyDescent="0.35">
      <c r="B11" s="9" t="s">
        <v>39</v>
      </c>
      <c r="C11" s="38" t="s">
        <v>34</v>
      </c>
      <c r="D11" s="10"/>
      <c r="E11" s="66" t="s">
        <v>34</v>
      </c>
      <c r="F11" s="24"/>
      <c r="H11" s="70" t="s">
        <v>34</v>
      </c>
    </row>
    <row r="12" spans="2:8" ht="22.5" customHeight="1" thickTop="1" thickBot="1" x14ac:dyDescent="0.35">
      <c r="B12" s="12" t="s">
        <v>0</v>
      </c>
      <c r="C12" s="54">
        <v>1301.5999999999999</v>
      </c>
      <c r="D12" s="65" t="s">
        <v>6</v>
      </c>
      <c r="E12" s="67">
        <v>100</v>
      </c>
      <c r="F12" s="24"/>
      <c r="H12" s="71">
        <v>1</v>
      </c>
    </row>
    <row r="13" spans="2:8" ht="25.5" customHeight="1" thickTop="1" thickBot="1" x14ac:dyDescent="0.35">
      <c r="B13" s="98" t="s">
        <v>2</v>
      </c>
      <c r="C13" s="99"/>
      <c r="D13" s="99"/>
      <c r="E13" s="99"/>
      <c r="F13" s="100"/>
    </row>
    <row r="14" spans="2:8" ht="13.5" thickTop="1" x14ac:dyDescent="0.3"/>
    <row r="16" spans="2:8" x14ac:dyDescent="0.3">
      <c r="E16" s="7" t="s">
        <v>3</v>
      </c>
    </row>
    <row r="18" spans="5:5" x14ac:dyDescent="0.3">
      <c r="E18" s="14"/>
    </row>
  </sheetData>
  <mergeCells count="2">
    <mergeCell ref="B13:F13"/>
    <mergeCell ref="B3:F3"/>
  </mergeCells>
  <phoneticPr fontId="0" type="noConversion"/>
  <pageMargins left="0.75" right="0.75" top="1" bottom="1" header="0.5" footer="0.5"/>
  <pageSetup orientation="portrait" r:id="rId1"/>
  <headerFooter alignWithMargins="0">
    <oddHeader>&amp;L&amp;D&amp;C&amp;A&amp;R&amp;P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Chart-Activity</vt:lpstr>
      <vt:lpstr>Table-Activity 2001</vt:lpstr>
      <vt:lpstr>Table-Actvity 90-01</vt:lpstr>
      <vt:lpstr>Chart-Funding</vt:lpstr>
      <vt:lpstr>Table-Funding 2001</vt:lpstr>
      <vt:lpstr>Table-Funding 90-01</vt:lpstr>
      <vt:lpstr>Table-Planting by Prov 2001</vt:lpstr>
    </vt:vector>
  </TitlesOfParts>
  <Company>NRCan /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ggilliga</dc:creator>
  <cp:lastModifiedBy>Carina Negreanu</cp:lastModifiedBy>
  <cp:lastPrinted>2002-07-22T14:46:07Z</cp:lastPrinted>
  <dcterms:created xsi:type="dcterms:W3CDTF">2002-07-04T20:46:27Z</dcterms:created>
  <dcterms:modified xsi:type="dcterms:W3CDTF">2020-01-27T12:00:46Z</dcterms:modified>
</cp:coreProperties>
</file>