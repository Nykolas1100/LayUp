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5AEB9C-92EE-459F-9B78-9880D153C0CD}" xr6:coauthVersionLast="45" xr6:coauthVersionMax="45" xr10:uidLastSave="{00000000-0000-0000-0000-000000000000}"/>
  <bookViews>
    <workbookView xWindow="3420" yWindow="3420" windowWidth="28800" windowHeight="15460" activeTab="3"/>
  </bookViews>
  <sheets>
    <sheet name="Balance Sheets" sheetId="1" r:id="rId1"/>
    <sheet name="Income Statements" sheetId="2" r:id="rId2"/>
    <sheet name="Shareholders' Equity" sheetId="3" r:id="rId3"/>
    <sheet name="Cash Flow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" i="1" l="1"/>
  <c r="F17" i="1"/>
  <c r="E23" i="1"/>
  <c r="F23" i="1"/>
  <c r="E29" i="1"/>
  <c r="F29" i="1"/>
  <c r="E40" i="1"/>
  <c r="F40" i="1"/>
  <c r="E60" i="1"/>
  <c r="F60" i="1"/>
  <c r="E61" i="1"/>
  <c r="F61" i="1"/>
  <c r="D23" i="4"/>
  <c r="D46" i="4" s="1"/>
  <c r="E23" i="4"/>
  <c r="E46" i="4" s="1"/>
  <c r="F23" i="4"/>
  <c r="F46" i="4" s="1"/>
  <c r="F49" i="4" s="1"/>
  <c r="E47" i="4" s="1"/>
  <c r="D33" i="4"/>
  <c r="E33" i="4"/>
  <c r="F33" i="4"/>
  <c r="D44" i="4"/>
  <c r="E44" i="4"/>
  <c r="F44" i="4"/>
  <c r="C10" i="2"/>
  <c r="D10" i="2"/>
  <c r="E10" i="2"/>
  <c r="C16" i="2"/>
  <c r="D16" i="2"/>
  <c r="E16" i="2"/>
  <c r="C18" i="2"/>
  <c r="C26" i="2" s="1"/>
  <c r="C33" i="2" s="1"/>
  <c r="C36" i="2" s="1"/>
  <c r="D18" i="2"/>
  <c r="D26" i="2" s="1"/>
  <c r="D33" i="2" s="1"/>
  <c r="D36" i="2" s="1"/>
  <c r="E18" i="2"/>
  <c r="E26" i="2" s="1"/>
  <c r="E33" i="2" s="1"/>
  <c r="E36" i="2" s="1"/>
  <c r="C24" i="2"/>
  <c r="D24" i="2"/>
  <c r="E24" i="2"/>
  <c r="J9" i="3"/>
  <c r="G11" i="3"/>
  <c r="G16" i="3" s="1"/>
  <c r="J11" i="3"/>
  <c r="J24" i="3" s="1"/>
  <c r="J38" i="3" s="1"/>
  <c r="J51" i="3" s="1"/>
  <c r="J12" i="3"/>
  <c r="J13" i="3"/>
  <c r="J14" i="3"/>
  <c r="G15" i="3"/>
  <c r="H15" i="3"/>
  <c r="J17" i="3"/>
  <c r="J18" i="3"/>
  <c r="J19" i="3"/>
  <c r="J20" i="3"/>
  <c r="J21" i="3"/>
  <c r="J22" i="3"/>
  <c r="B24" i="3"/>
  <c r="C24" i="3"/>
  <c r="D24" i="3"/>
  <c r="E24" i="3"/>
  <c r="F24" i="3"/>
  <c r="H24" i="3"/>
  <c r="I24" i="3"/>
  <c r="G26" i="3"/>
  <c r="J26" i="3" s="1"/>
  <c r="J27" i="3"/>
  <c r="J28" i="3"/>
  <c r="J29" i="3"/>
  <c r="G30" i="3"/>
  <c r="H30" i="3"/>
  <c r="J32" i="3"/>
  <c r="J33" i="3"/>
  <c r="J34" i="3"/>
  <c r="J35" i="3"/>
  <c r="J36" i="3"/>
  <c r="B38" i="3"/>
  <c r="B51" i="3" s="1"/>
  <c r="C38" i="3"/>
  <c r="C51" i="3" s="1"/>
  <c r="D38" i="3"/>
  <c r="D51" i="3" s="1"/>
  <c r="E38" i="3"/>
  <c r="E51" i="3" s="1"/>
  <c r="F38" i="3"/>
  <c r="H38" i="3"/>
  <c r="H51" i="3" s="1"/>
  <c r="I38" i="3"/>
  <c r="I51" i="3" s="1"/>
  <c r="G40" i="3"/>
  <c r="J40" i="3"/>
  <c r="J41" i="3"/>
  <c r="J42" i="3"/>
  <c r="J43" i="3"/>
  <c r="G44" i="3"/>
  <c r="H44" i="3"/>
  <c r="G45" i="3"/>
  <c r="J46" i="3"/>
  <c r="J47" i="3"/>
  <c r="J48" i="3"/>
  <c r="J49" i="3"/>
  <c r="F51" i="3"/>
  <c r="D40" i="2" l="1"/>
  <c r="D41" i="2"/>
  <c r="E49" i="4"/>
  <c r="D47" i="4" s="1"/>
  <c r="D49" i="4" s="1"/>
  <c r="E41" i="2"/>
  <c r="E40" i="2"/>
  <c r="C40" i="2"/>
  <c r="C41" i="2"/>
  <c r="G31" i="3"/>
</calcChain>
</file>

<file path=xl/sharedStrings.xml><?xml version="1.0" encoding="utf-8"?>
<sst xmlns="http://schemas.openxmlformats.org/spreadsheetml/2006/main" count="186" uniqueCount="145">
  <si>
    <t>Consolidated Balance Sheets</t>
  </si>
  <si>
    <t>[DOLLARS IN THOUSANDS, EXCEPT PER SHARE AMOUNTS]</t>
  </si>
  <si>
    <t>ASSETS</t>
  </si>
  <si>
    <t>Current assets</t>
  </si>
  <si>
    <t>Cash and cash equivalents</t>
  </si>
  <si>
    <t>Short-term investments</t>
  </si>
  <si>
    <t>Notes receivable</t>
  </si>
  <si>
    <t>Inventories</t>
  </si>
  <si>
    <t>Finance receivables</t>
  </si>
  <si>
    <t>Deferred income taxes</t>
  </si>
  <si>
    <t>Prepaid expense and other current assets</t>
  </si>
  <si>
    <t>Total current assets</t>
  </si>
  <si>
    <t>Securities and other investments</t>
  </si>
  <si>
    <t>Property, plant and equipment, at cost</t>
  </si>
  <si>
    <t>Less accumulated depreciation and amortization</t>
  </si>
  <si>
    <t>Goodwill</t>
  </si>
  <si>
    <t>Other assets</t>
  </si>
  <si>
    <t>LIABILITIES AND SHAREHOLDERS' EQUITY</t>
  </si>
  <si>
    <t>Current liabilities</t>
  </si>
  <si>
    <t>Notes payable</t>
  </si>
  <si>
    <t>Accounts payable</t>
  </si>
  <si>
    <t>Estimated income taxes</t>
  </si>
  <si>
    <t>Accrued insurance</t>
  </si>
  <si>
    <t>Deferred income</t>
  </si>
  <si>
    <t>Other current liabilities</t>
  </si>
  <si>
    <t>Total current liabilities</t>
  </si>
  <si>
    <t>Bonds payable</t>
  </si>
  <si>
    <t>Pensions and other benefits</t>
  </si>
  <si>
    <t>Minority interest</t>
  </si>
  <si>
    <t>Commitments and contingencies</t>
  </si>
  <si>
    <t>Shareholders' equity</t>
  </si>
  <si>
    <t>Preferred Shares, no par value, authorized</t>
  </si>
  <si>
    <t>1,000,000 shares, none issued</t>
  </si>
  <si>
    <t>Additional capital</t>
  </si>
  <si>
    <t>Retained earnings</t>
  </si>
  <si>
    <t>Other</t>
  </si>
  <si>
    <t>Total shareholders' equity</t>
  </si>
  <si>
    <t>See accompanying Notes to Consolidated Financial Statements</t>
  </si>
  <si>
    <t>Consolidated Statements of Income</t>
  </si>
  <si>
    <t>Net sales</t>
  </si>
  <si>
    <t>Products</t>
  </si>
  <si>
    <t>Services</t>
  </si>
  <si>
    <t>Special charges</t>
  </si>
  <si>
    <t>Selling and administrative expense</t>
  </si>
  <si>
    <t>Research, development and engineering expense</t>
  </si>
  <si>
    <t>In-process research and development</t>
  </si>
  <si>
    <t>Realignment charges</t>
  </si>
  <si>
    <t>Gross profit</t>
  </si>
  <si>
    <t>Cost of sales</t>
  </si>
  <si>
    <t>Operating profit</t>
  </si>
  <si>
    <t>Other income (expense)</t>
  </si>
  <si>
    <t>Interest expense</t>
  </si>
  <si>
    <t>Miscellaneous, net</t>
  </si>
  <si>
    <t>Income before taxes</t>
  </si>
  <si>
    <t>Taxes on income</t>
  </si>
  <si>
    <t>Net income</t>
  </si>
  <si>
    <t>Basic weighted-average number of shares</t>
  </si>
  <si>
    <t>Diluted weighted-average number of shares</t>
  </si>
  <si>
    <t>Basic earnings per share</t>
  </si>
  <si>
    <t>Diluted earnings per share</t>
  </si>
  <si>
    <t>Consolidated Statements of Shareholders' Equity</t>
  </si>
  <si>
    <t>[DOLLARS IN THOUSANDS]</t>
  </si>
  <si>
    <t>Accumulated</t>
  </si>
  <si>
    <t>Comprehensive</t>
  </si>
  <si>
    <t>Number</t>
  </si>
  <si>
    <t>Par Value</t>
  </si>
  <si>
    <t>Common Shares</t>
  </si>
  <si>
    <t>Additional</t>
  </si>
  <si>
    <t>Capital</t>
  </si>
  <si>
    <t>Retained</t>
  </si>
  <si>
    <t>Earnings</t>
  </si>
  <si>
    <t>Treasury</t>
  </si>
  <si>
    <t>Shares</t>
  </si>
  <si>
    <t>Total</t>
  </si>
  <si>
    <t>Translation adjustment</t>
  </si>
  <si>
    <t>Pensions</t>
  </si>
  <si>
    <t>Unrealized loss on investment securities</t>
  </si>
  <si>
    <t>Other comprehensive income</t>
  </si>
  <si>
    <t>Comprehensive income</t>
  </si>
  <si>
    <t>Stock options exercised</t>
  </si>
  <si>
    <t>Unearned compensation</t>
  </si>
  <si>
    <t>Dividends declared and paid</t>
  </si>
  <si>
    <t>Treasury shares</t>
  </si>
  <si>
    <t>Procomp and Nexus acquisitions</t>
  </si>
  <si>
    <t>Performance shares</t>
  </si>
  <si>
    <t>Balance, December 31, 1999</t>
  </si>
  <si>
    <t>Balance, December 31, 2000</t>
  </si>
  <si>
    <t>Consolidated Statements of Cash Flows</t>
  </si>
  <si>
    <t>Cash flow from operating activities:</t>
  </si>
  <si>
    <t>Adjustments to reconcile net income to cash provided by operating activities:</t>
  </si>
  <si>
    <t>Minority share of income</t>
  </si>
  <si>
    <t>Depreciation</t>
  </si>
  <si>
    <t>Other charges and amortization</t>
  </si>
  <si>
    <t>Loss on disposal of assets, net</t>
  </si>
  <si>
    <t>Cash provided (used) by changes in certain assets and liabilites:</t>
  </si>
  <si>
    <t>Trade receivables</t>
  </si>
  <si>
    <t>Prepaid expenses and other current assets</t>
  </si>
  <si>
    <t>Other certain assets and liabilities</t>
  </si>
  <si>
    <t>Net cash provided by operating activities</t>
  </si>
  <si>
    <t>Cash flow from investing activities:</t>
  </si>
  <si>
    <t>Payments for acquisitions, net of cash acquired</t>
  </si>
  <si>
    <t>Proceeds from maturities of investments</t>
  </si>
  <si>
    <t>Proceeds from sales of investments</t>
  </si>
  <si>
    <t>Payments for purchases of investments</t>
  </si>
  <si>
    <t>Capital expenditures</t>
  </si>
  <si>
    <t>Increase in net finance receivables</t>
  </si>
  <si>
    <t>Increase in other certain assets</t>
  </si>
  <si>
    <t>Net cash used by investing activities</t>
  </si>
  <si>
    <t>Cash flow from financing activities:</t>
  </si>
  <si>
    <t>Dividends paid</t>
  </si>
  <si>
    <t>Notes payable borrowings</t>
  </si>
  <si>
    <t>Notes payable repayments</t>
  </si>
  <si>
    <t>Distribution of affiliate's earnings to minority interest holder</t>
  </si>
  <si>
    <t>Issuance of Common Shares</t>
  </si>
  <si>
    <t>Repurchase of Common Shares</t>
  </si>
  <si>
    <t>Net cash provided (used) by financing activities</t>
  </si>
  <si>
    <t>Increase (decrease) in cash and cash equivalents</t>
  </si>
  <si>
    <t>Cash and cash equivalents at the beginning of the year</t>
  </si>
  <si>
    <t>Cash and cash equivalents at the end of the year</t>
  </si>
  <si>
    <t>Cash paid for:</t>
  </si>
  <si>
    <t>Income taxes</t>
  </si>
  <si>
    <t>Short-term interest</t>
  </si>
  <si>
    <t>Long-term interest</t>
  </si>
  <si>
    <t>Significant noncash items:</t>
  </si>
  <si>
    <t>Share issuance for acquisition of Procomp</t>
  </si>
  <si>
    <t>Share issuance for acquisition of Nexus</t>
  </si>
  <si>
    <t>YEAR ENDED DECEMBER 31,</t>
  </si>
  <si>
    <t>Trade receivables less allowances of $7,054 for 2001 and $12,093 for 2000</t>
  </si>
  <si>
    <t>Postretirement and other benefits</t>
  </si>
  <si>
    <t>issued 72,195,600 and 72,019,205 shares, respectively</t>
  </si>
  <si>
    <t>outstanding 71,356,670 and 71,547,232 shares, respectively</t>
  </si>
  <si>
    <t>Treasury shares, at cost (838,930 and 471,973 shares, respectively)</t>
  </si>
  <si>
    <t>Investment income (expense)</t>
  </si>
  <si>
    <t>Balance, January 1, 1999</t>
  </si>
  <si>
    <t>Balance, December 31, 2001</t>
  </si>
  <si>
    <t>Unrealized gain on investment securities</t>
  </si>
  <si>
    <t>Loss on sale of investments, net</t>
  </si>
  <si>
    <t>Loss on write-off of investment in InnoVentry</t>
  </si>
  <si>
    <t>Proceeds from securitization</t>
  </si>
  <si>
    <t>Effect of exchange rate changes on cash</t>
  </si>
  <si>
    <t>Common Shares, par value $1.25,</t>
  </si>
  <si>
    <t>Authorized 125,000,000 shares,</t>
  </si>
  <si>
    <t>Accumulated other comprehensive loss</t>
  </si>
  <si>
    <t>Income (Loss)</t>
  </si>
  <si>
    <t>Other comprehensive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</si>
</sst>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69" fontId="0" fillId="0" borderId="0" xfId="0" applyNumberFormat="1"/>
    <xf numFmtId="169" fontId="2" fillId="0" borderId="0" xfId="0" applyNumberFormat="1" applyFont="1"/>
    <xf numFmtId="169" fontId="2" fillId="0" borderId="1" xfId="0" applyNumberFormat="1" applyFont="1" applyBorder="1"/>
    <xf numFmtId="169" fontId="0" fillId="0" borderId="1" xfId="0" applyNumberFormat="1" applyBorder="1"/>
    <xf numFmtId="168" fontId="2" fillId="0" borderId="0" xfId="0" applyNumberFormat="1" applyFont="1"/>
    <xf numFmtId="168" fontId="0" fillId="0" borderId="0" xfId="0" applyNumberFormat="1"/>
    <xf numFmtId="169" fontId="2" fillId="0" borderId="2" xfId="0" applyNumberFormat="1" applyFont="1" applyBorder="1"/>
    <xf numFmtId="169" fontId="0" fillId="0" borderId="2" xfId="0" applyNumberFormat="1" applyBorder="1"/>
    <xf numFmtId="169" fontId="2" fillId="0" borderId="0" xfId="0" applyNumberFormat="1" applyFont="1" applyBorder="1"/>
    <xf numFmtId="169" fontId="0" fillId="0" borderId="0" xfId="0" applyNumberFormat="1" applyBorder="1"/>
    <xf numFmtId="168" fontId="2" fillId="0" borderId="3" xfId="0" applyNumberFormat="1" applyFont="1" applyBorder="1"/>
    <xf numFmtId="168" fontId="0" fillId="0" borderId="3" xfId="0" applyNumberFormat="1" applyBorder="1"/>
    <xf numFmtId="168" fontId="2" fillId="0" borderId="2" xfId="0" applyNumberFormat="1" applyFont="1" applyBorder="1"/>
    <xf numFmtId="168" fontId="0" fillId="0" borderId="2" xfId="0" applyNumberFormat="1" applyBorder="1"/>
    <xf numFmtId="170" fontId="2" fillId="0" borderId="0" xfId="0" applyNumberFormat="1" applyFont="1"/>
    <xf numFmtId="170" fontId="0" fillId="0" borderId="0" xfId="0" applyNumberFormat="1"/>
    <xf numFmtId="170" fontId="2" fillId="0" borderId="4" xfId="0" applyNumberFormat="1" applyFont="1" applyBorder="1"/>
    <xf numFmtId="170" fontId="0" fillId="0" borderId="4" xfId="0" applyNumberFormat="1" applyBorder="1"/>
    <xf numFmtId="169" fontId="0" fillId="0" borderId="0" xfId="0" applyNumberFormat="1" applyAlignment="1">
      <alignment horizontal="right"/>
    </xf>
    <xf numFmtId="168" fontId="0" fillId="0" borderId="1" xfId="0" applyNumberFormat="1" applyBorder="1"/>
    <xf numFmtId="168" fontId="2" fillId="0" borderId="1" xfId="0" applyNumberFormat="1" applyFont="1" applyBorder="1"/>
    <xf numFmtId="169" fontId="2" fillId="0" borderId="4" xfId="0" applyNumberFormat="1" applyFont="1" applyBorder="1"/>
    <xf numFmtId="169" fontId="0" fillId="0" borderId="4" xfId="0" applyNumberFormat="1" applyBorder="1"/>
    <xf numFmtId="168" fontId="2" fillId="0" borderId="4" xfId="0" applyNumberFormat="1" applyFont="1" applyBorder="1"/>
    <xf numFmtId="168" fontId="0" fillId="0" borderId="4" xfId="0" applyNumberFormat="1" applyBorder="1"/>
    <xf numFmtId="0" fontId="2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68" fontId="2" fillId="0" borderId="0" xfId="0" applyNumberFormat="1" applyFont="1" applyBorder="1"/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4"/>
  <sheetViews>
    <sheetView workbookViewId="0"/>
  </sheetViews>
  <sheetFormatPr defaultRowHeight="13" x14ac:dyDescent="0.3"/>
  <cols>
    <col min="1" max="3" width="2.7265625" customWidth="1"/>
    <col min="4" max="4" width="65.7265625" customWidth="1"/>
    <col min="5" max="5" width="12.7265625" style="4" customWidth="1"/>
    <col min="6" max="6" width="12.7265625" style="3" customWidth="1"/>
  </cols>
  <sheetData>
    <row r="1" spans="1:6" x14ac:dyDescent="0.3">
      <c r="A1" t="s">
        <v>0</v>
      </c>
    </row>
    <row r="2" spans="1:6" x14ac:dyDescent="0.3">
      <c r="A2" s="1" t="s">
        <v>1</v>
      </c>
    </row>
    <row r="5" spans="1:6" x14ac:dyDescent="0.3">
      <c r="A5" s="1" t="s">
        <v>126</v>
      </c>
      <c r="E5" s="28">
        <v>2001</v>
      </c>
      <c r="F5" s="29">
        <v>2000</v>
      </c>
    </row>
    <row r="7" spans="1:6" x14ac:dyDescent="0.3">
      <c r="A7" s="2" t="s">
        <v>2</v>
      </c>
    </row>
    <row r="8" spans="1:6" x14ac:dyDescent="0.3">
      <c r="A8" s="2" t="s">
        <v>3</v>
      </c>
    </row>
    <row r="9" spans="1:6" x14ac:dyDescent="0.3">
      <c r="B9" t="s">
        <v>4</v>
      </c>
      <c r="E9" s="7">
        <v>73768</v>
      </c>
      <c r="F9" s="8">
        <v>65184</v>
      </c>
    </row>
    <row r="10" spans="1:6" x14ac:dyDescent="0.3">
      <c r="B10" t="s">
        <v>5</v>
      </c>
      <c r="E10" s="4">
        <v>51901</v>
      </c>
      <c r="F10" s="3">
        <v>61328</v>
      </c>
    </row>
    <row r="11" spans="1:6" x14ac:dyDescent="0.3">
      <c r="B11" t="s">
        <v>127</v>
      </c>
      <c r="E11" s="4">
        <v>387201</v>
      </c>
      <c r="F11" s="3">
        <v>363571</v>
      </c>
    </row>
    <row r="12" spans="1:6" x14ac:dyDescent="0.3">
      <c r="B12" t="s">
        <v>6</v>
      </c>
      <c r="E12" s="4">
        <v>5870</v>
      </c>
      <c r="F12" s="3">
        <v>13663</v>
      </c>
    </row>
    <row r="13" spans="1:6" x14ac:dyDescent="0.3">
      <c r="B13" t="s">
        <v>7</v>
      </c>
      <c r="E13" s="4">
        <v>235923</v>
      </c>
      <c r="F13" s="3">
        <v>205567</v>
      </c>
    </row>
    <row r="14" spans="1:6" x14ac:dyDescent="0.3">
      <c r="B14" t="s">
        <v>8</v>
      </c>
      <c r="E14" s="4">
        <v>20602</v>
      </c>
      <c r="F14" s="3">
        <v>35101</v>
      </c>
    </row>
    <row r="15" spans="1:6" x14ac:dyDescent="0.3">
      <c r="B15" t="s">
        <v>9</v>
      </c>
      <c r="E15" s="4">
        <v>48539</v>
      </c>
      <c r="F15" s="3">
        <v>17232</v>
      </c>
    </row>
    <row r="16" spans="1:6" x14ac:dyDescent="0.3">
      <c r="B16" t="s">
        <v>10</v>
      </c>
      <c r="E16" s="9">
        <v>128622</v>
      </c>
      <c r="F16" s="10">
        <v>42717</v>
      </c>
    </row>
    <row r="17" spans="1:6" ht="12.75" customHeight="1" x14ac:dyDescent="0.3">
      <c r="A17" s="2" t="s">
        <v>11</v>
      </c>
      <c r="E17" s="11">
        <f>SUM(E9:E16)</f>
        <v>952426</v>
      </c>
      <c r="F17" s="12">
        <f>SUM(F9:F16)</f>
        <v>804363</v>
      </c>
    </row>
    <row r="19" spans="1:6" x14ac:dyDescent="0.3">
      <c r="A19" t="s">
        <v>12</v>
      </c>
      <c r="E19" s="4">
        <v>65430</v>
      </c>
      <c r="F19" s="3">
        <v>123224</v>
      </c>
    </row>
    <row r="21" spans="1:6" x14ac:dyDescent="0.3">
      <c r="A21" t="s">
        <v>13</v>
      </c>
      <c r="E21" s="4">
        <v>413053</v>
      </c>
      <c r="F21" s="3">
        <v>363493</v>
      </c>
    </row>
    <row r="22" spans="1:6" x14ac:dyDescent="0.3">
      <c r="B22" t="s">
        <v>14</v>
      </c>
      <c r="E22" s="9">
        <v>222855</v>
      </c>
      <c r="F22" s="10">
        <v>188547</v>
      </c>
    </row>
    <row r="23" spans="1:6" x14ac:dyDescent="0.3">
      <c r="E23" s="4">
        <f>+E21-E22</f>
        <v>190198</v>
      </c>
      <c r="F23" s="3">
        <f>+F21-F22</f>
        <v>174946</v>
      </c>
    </row>
    <row r="25" spans="1:6" x14ac:dyDescent="0.3">
      <c r="A25" t="s">
        <v>9</v>
      </c>
      <c r="E25" s="4">
        <v>2141</v>
      </c>
      <c r="F25" s="3">
        <v>6044</v>
      </c>
    </row>
    <row r="26" spans="1:6" x14ac:dyDescent="0.3">
      <c r="A26" t="s">
        <v>8</v>
      </c>
      <c r="E26" s="4">
        <v>31382</v>
      </c>
      <c r="F26" s="3">
        <v>94364</v>
      </c>
    </row>
    <row r="27" spans="1:6" x14ac:dyDescent="0.3">
      <c r="A27" t="s">
        <v>15</v>
      </c>
      <c r="E27" s="4">
        <v>275685</v>
      </c>
      <c r="F27" s="3">
        <v>296101</v>
      </c>
    </row>
    <row r="28" spans="1:6" x14ac:dyDescent="0.3">
      <c r="A28" t="s">
        <v>16</v>
      </c>
      <c r="E28" s="9">
        <v>134651</v>
      </c>
      <c r="F28" s="10">
        <v>86385</v>
      </c>
    </row>
    <row r="29" spans="1:6" ht="13.5" thickBot="1" x14ac:dyDescent="0.35">
      <c r="E29" s="13">
        <f>+E17+E19+E23+E25+E26+E27+E28</f>
        <v>1651913</v>
      </c>
      <c r="F29" s="14">
        <f>+F17+F19+F23+F25+F26+F27+F28</f>
        <v>1585427</v>
      </c>
    </row>
    <row r="32" spans="1:6" x14ac:dyDescent="0.3">
      <c r="A32" s="2" t="s">
        <v>17</v>
      </c>
    </row>
    <row r="33" spans="1:6" x14ac:dyDescent="0.3">
      <c r="A33" s="2" t="s">
        <v>18</v>
      </c>
    </row>
    <row r="34" spans="1:6" x14ac:dyDescent="0.3">
      <c r="B34" t="s">
        <v>19</v>
      </c>
      <c r="E34" s="7">
        <v>229703</v>
      </c>
      <c r="F34" s="8">
        <v>263609</v>
      </c>
    </row>
    <row r="35" spans="1:6" x14ac:dyDescent="0.3">
      <c r="B35" t="s">
        <v>20</v>
      </c>
      <c r="E35" s="4">
        <v>143421</v>
      </c>
      <c r="F35" s="3">
        <v>111055</v>
      </c>
    </row>
    <row r="36" spans="1:6" x14ac:dyDescent="0.3">
      <c r="B36" t="s">
        <v>21</v>
      </c>
      <c r="E36" s="4">
        <v>32584</v>
      </c>
      <c r="F36" s="3">
        <v>5594</v>
      </c>
    </row>
    <row r="37" spans="1:6" x14ac:dyDescent="0.3">
      <c r="B37" t="s">
        <v>22</v>
      </c>
      <c r="E37" s="4">
        <v>14439</v>
      </c>
      <c r="F37" s="3">
        <v>13365</v>
      </c>
    </row>
    <row r="38" spans="1:6" x14ac:dyDescent="0.3">
      <c r="B38" t="s">
        <v>23</v>
      </c>
      <c r="E38" s="4">
        <v>81011</v>
      </c>
      <c r="F38" s="3">
        <v>59242</v>
      </c>
    </row>
    <row r="39" spans="1:6" x14ac:dyDescent="0.3">
      <c r="B39" t="s">
        <v>24</v>
      </c>
      <c r="E39" s="9">
        <v>156860</v>
      </c>
      <c r="F39" s="10">
        <v>113927</v>
      </c>
    </row>
    <row r="40" spans="1:6" x14ac:dyDescent="0.3">
      <c r="A40" s="2" t="s">
        <v>25</v>
      </c>
      <c r="E40" s="4">
        <f>SUM(E34:E39)</f>
        <v>658018</v>
      </c>
      <c r="F40" s="3">
        <f>SUM(F34:F39)</f>
        <v>566792</v>
      </c>
    </row>
    <row r="42" spans="1:6" x14ac:dyDescent="0.3">
      <c r="A42" t="s">
        <v>26</v>
      </c>
      <c r="E42" s="4">
        <v>20800</v>
      </c>
      <c r="F42" s="3">
        <v>20800</v>
      </c>
    </row>
    <row r="43" spans="1:6" x14ac:dyDescent="0.3">
      <c r="A43" t="s">
        <v>27</v>
      </c>
      <c r="E43" s="4">
        <v>28425</v>
      </c>
      <c r="F43" s="3">
        <v>28386</v>
      </c>
    </row>
    <row r="44" spans="1:6" x14ac:dyDescent="0.3">
      <c r="A44" t="s">
        <v>128</v>
      </c>
      <c r="E44" s="4">
        <v>32178</v>
      </c>
      <c r="F44" s="3">
        <v>28123</v>
      </c>
    </row>
    <row r="45" spans="1:6" x14ac:dyDescent="0.3">
      <c r="A45" t="s">
        <v>28</v>
      </c>
      <c r="E45" s="4">
        <v>9382</v>
      </c>
      <c r="F45" s="3">
        <v>5260</v>
      </c>
    </row>
    <row r="46" spans="1:6" x14ac:dyDescent="0.3">
      <c r="A46" t="s">
        <v>29</v>
      </c>
      <c r="E46" s="4">
        <v>0</v>
      </c>
      <c r="F46" s="3">
        <v>0</v>
      </c>
    </row>
    <row r="48" spans="1:6" x14ac:dyDescent="0.3">
      <c r="A48" s="2" t="s">
        <v>30</v>
      </c>
    </row>
    <row r="49" spans="1:6" x14ac:dyDescent="0.3">
      <c r="B49" t="s">
        <v>31</v>
      </c>
    </row>
    <row r="50" spans="1:6" x14ac:dyDescent="0.3">
      <c r="C50" t="s">
        <v>32</v>
      </c>
      <c r="E50" s="4">
        <v>0</v>
      </c>
      <c r="F50" s="3">
        <v>0</v>
      </c>
    </row>
    <row r="51" spans="1:6" x14ac:dyDescent="0.3">
      <c r="B51" t="s">
        <v>140</v>
      </c>
    </row>
    <row r="52" spans="1:6" x14ac:dyDescent="0.3">
      <c r="C52" t="s">
        <v>141</v>
      </c>
    </row>
    <row r="53" spans="1:6" x14ac:dyDescent="0.3">
      <c r="D53" t="s">
        <v>129</v>
      </c>
    </row>
    <row r="54" spans="1:6" x14ac:dyDescent="0.3">
      <c r="D54" t="s">
        <v>130</v>
      </c>
      <c r="E54" s="4">
        <v>90245</v>
      </c>
      <c r="F54" s="3">
        <v>90024</v>
      </c>
    </row>
    <row r="55" spans="1:6" x14ac:dyDescent="0.3">
      <c r="A55" t="s">
        <v>33</v>
      </c>
      <c r="E55" s="4">
        <v>103390</v>
      </c>
      <c r="F55" s="3">
        <v>98530</v>
      </c>
    </row>
    <row r="56" spans="1:6" x14ac:dyDescent="0.3">
      <c r="A56" t="s">
        <v>34</v>
      </c>
      <c r="E56" s="4">
        <v>805182</v>
      </c>
      <c r="F56" s="3">
        <v>784063</v>
      </c>
    </row>
    <row r="57" spans="1:6" x14ac:dyDescent="0.3">
      <c r="A57" t="s">
        <v>131</v>
      </c>
      <c r="E57" s="4">
        <v>-28724</v>
      </c>
      <c r="F57" s="3">
        <v>-15944</v>
      </c>
    </row>
    <row r="58" spans="1:6" x14ac:dyDescent="0.3">
      <c r="A58" t="s">
        <v>142</v>
      </c>
      <c r="E58" s="4">
        <v>-60446</v>
      </c>
      <c r="F58" s="3">
        <v>-12658</v>
      </c>
    </row>
    <row r="59" spans="1:6" x14ac:dyDescent="0.3">
      <c r="A59" t="s">
        <v>35</v>
      </c>
      <c r="E59" s="4">
        <v>-6537</v>
      </c>
      <c r="F59" s="3">
        <v>-7949</v>
      </c>
    </row>
    <row r="60" spans="1:6" x14ac:dyDescent="0.3">
      <c r="A60" s="2" t="s">
        <v>36</v>
      </c>
      <c r="E60" s="5">
        <f>+E50+E54+E55+E56+E57+E58+E59</f>
        <v>903110</v>
      </c>
      <c r="F60" s="6">
        <f>+F50+F54+F55+F56+F57+F58+F59</f>
        <v>936066</v>
      </c>
    </row>
    <row r="61" spans="1:6" ht="13.5" thickBot="1" x14ac:dyDescent="0.35">
      <c r="E61" s="13">
        <f>+E40+E42+E43+E44+E45+E46+E60</f>
        <v>1651913</v>
      </c>
      <c r="F61" s="14">
        <f>+F40+F42+F43+F44+F45+F46+F60</f>
        <v>1585427</v>
      </c>
    </row>
    <row r="64" spans="1:6" x14ac:dyDescent="0.3">
      <c r="A64" s="1" t="s">
        <v>37</v>
      </c>
    </row>
  </sheetData>
  <phoneticPr fontId="0" type="noConversion"/>
  <pageMargins left="0.75" right="0.75" top="1" bottom="1" header="0.5" footer="0.5"/>
  <pageSetup scale="81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workbookViewId="0"/>
  </sheetViews>
  <sheetFormatPr defaultRowHeight="13" x14ac:dyDescent="0.3"/>
  <cols>
    <col min="1" max="1" width="2.7265625" customWidth="1"/>
    <col min="2" max="2" width="50.7265625" customWidth="1"/>
    <col min="3" max="3" width="12.7265625" style="4" customWidth="1"/>
    <col min="4" max="5" width="12.7265625" style="3" customWidth="1"/>
  </cols>
  <sheetData>
    <row r="1" spans="1:6" x14ac:dyDescent="0.3">
      <c r="A1" t="s">
        <v>38</v>
      </c>
      <c r="E1" s="4"/>
      <c r="F1" s="3"/>
    </row>
    <row r="2" spans="1:6" x14ac:dyDescent="0.3">
      <c r="A2" s="1" t="s">
        <v>1</v>
      </c>
      <c r="E2" s="4"/>
      <c r="F2" s="3"/>
    </row>
    <row r="5" spans="1:6" x14ac:dyDescent="0.3">
      <c r="A5" s="1" t="s">
        <v>126</v>
      </c>
      <c r="C5" s="28">
        <v>2001</v>
      </c>
      <c r="D5" s="29">
        <v>2000</v>
      </c>
      <c r="E5" s="29">
        <v>1999</v>
      </c>
    </row>
    <row r="7" spans="1:6" x14ac:dyDescent="0.3">
      <c r="A7" s="2" t="s">
        <v>39</v>
      </c>
    </row>
    <row r="8" spans="1:6" x14ac:dyDescent="0.3">
      <c r="B8" t="s">
        <v>40</v>
      </c>
      <c r="C8" s="7">
        <v>924623</v>
      </c>
      <c r="D8" s="8">
        <v>969899</v>
      </c>
      <c r="E8" s="8">
        <v>673836</v>
      </c>
    </row>
    <row r="9" spans="1:6" x14ac:dyDescent="0.3">
      <c r="B9" t="s">
        <v>41</v>
      </c>
      <c r="C9" s="9">
        <v>835674</v>
      </c>
      <c r="D9" s="10">
        <v>773709</v>
      </c>
      <c r="E9" s="10">
        <v>585341</v>
      </c>
    </row>
    <row r="10" spans="1:6" x14ac:dyDescent="0.3">
      <c r="C10" s="5">
        <f>+C8+C9</f>
        <v>1760297</v>
      </c>
      <c r="D10" s="6">
        <f>+D8+D9</f>
        <v>1743608</v>
      </c>
      <c r="E10" s="6">
        <f>+E8+E9</f>
        <v>1259177</v>
      </c>
    </row>
    <row r="12" spans="1:6" x14ac:dyDescent="0.3">
      <c r="A12" s="2" t="s">
        <v>48</v>
      </c>
    </row>
    <row r="13" spans="1:6" x14ac:dyDescent="0.3">
      <c r="B13" t="s">
        <v>40</v>
      </c>
      <c r="C13" s="4">
        <v>590248</v>
      </c>
      <c r="D13" s="3">
        <v>609256</v>
      </c>
      <c r="E13" s="3">
        <v>374252</v>
      </c>
    </row>
    <row r="14" spans="1:6" x14ac:dyDescent="0.3">
      <c r="B14" t="s">
        <v>42</v>
      </c>
      <c r="C14" s="4">
        <v>31403</v>
      </c>
      <c r="D14" s="3">
        <v>0</v>
      </c>
      <c r="E14" s="3">
        <v>0</v>
      </c>
    </row>
    <row r="15" spans="1:6" x14ac:dyDescent="0.3">
      <c r="B15" t="s">
        <v>41</v>
      </c>
      <c r="C15" s="9">
        <v>614581</v>
      </c>
      <c r="D15" s="10">
        <v>570213</v>
      </c>
      <c r="E15" s="10">
        <v>428113</v>
      </c>
    </row>
    <row r="16" spans="1:6" x14ac:dyDescent="0.3">
      <c r="C16" s="5">
        <f>SUM(C13:C15)</f>
        <v>1236232</v>
      </c>
      <c r="D16" s="6">
        <f>SUM(D13:D15)</f>
        <v>1179469</v>
      </c>
      <c r="E16" s="6">
        <f>SUM(E13:E15)</f>
        <v>802365</v>
      </c>
    </row>
    <row r="17" spans="1:5" x14ac:dyDescent="0.3">
      <c r="C17" s="11"/>
      <c r="D17" s="12"/>
      <c r="E17" s="12"/>
    </row>
    <row r="18" spans="1:5" x14ac:dyDescent="0.3">
      <c r="A18" s="2" t="s">
        <v>47</v>
      </c>
      <c r="C18" s="11">
        <f>+C10-C16</f>
        <v>524065</v>
      </c>
      <c r="D18" s="12">
        <f>+D10-D16</f>
        <v>564139</v>
      </c>
      <c r="E18" s="12">
        <f>+E10-E16</f>
        <v>456812</v>
      </c>
    </row>
    <row r="19" spans="1:5" x14ac:dyDescent="0.3">
      <c r="A19" s="2"/>
    </row>
    <row r="20" spans="1:5" x14ac:dyDescent="0.3">
      <c r="A20" t="s">
        <v>43</v>
      </c>
      <c r="C20" s="4">
        <v>283275</v>
      </c>
      <c r="D20" s="3">
        <v>279833</v>
      </c>
      <c r="E20" s="3">
        <v>221393</v>
      </c>
    </row>
    <row r="21" spans="1:5" x14ac:dyDescent="0.3">
      <c r="A21" t="s">
        <v>44</v>
      </c>
      <c r="C21" s="4">
        <v>59612</v>
      </c>
      <c r="D21" s="3">
        <v>55351</v>
      </c>
      <c r="E21" s="3">
        <v>50507</v>
      </c>
    </row>
    <row r="22" spans="1:5" x14ac:dyDescent="0.3">
      <c r="A22" t="s">
        <v>45</v>
      </c>
      <c r="C22" s="4">
        <v>0</v>
      </c>
      <c r="D22" s="3">
        <v>0</v>
      </c>
      <c r="E22" s="3">
        <v>2050</v>
      </c>
    </row>
    <row r="23" spans="1:5" x14ac:dyDescent="0.3">
      <c r="A23" t="s">
        <v>46</v>
      </c>
      <c r="C23" s="9">
        <v>42269</v>
      </c>
      <c r="D23" s="10">
        <v>0</v>
      </c>
      <c r="E23" s="10">
        <v>-3261</v>
      </c>
    </row>
    <row r="24" spans="1:5" x14ac:dyDescent="0.3">
      <c r="C24" s="5">
        <f>SUM(C20:C23)</f>
        <v>385156</v>
      </c>
      <c r="D24" s="6">
        <f>SUM(D20:D23)</f>
        <v>335184</v>
      </c>
      <c r="E24" s="6">
        <f>SUM(E20:E23)</f>
        <v>270689</v>
      </c>
    </row>
    <row r="25" spans="1:5" x14ac:dyDescent="0.3">
      <c r="C25" s="11"/>
      <c r="D25" s="12"/>
      <c r="E25" s="12"/>
    </row>
    <row r="26" spans="1:5" x14ac:dyDescent="0.3">
      <c r="A26" s="2" t="s">
        <v>49</v>
      </c>
      <c r="C26" s="11">
        <f>+C18-C24</f>
        <v>138909</v>
      </c>
      <c r="D26" s="12">
        <f>+D18-D24</f>
        <v>228955</v>
      </c>
      <c r="E26" s="12">
        <f>+E18-E24</f>
        <v>186123</v>
      </c>
    </row>
    <row r="28" spans="1:5" x14ac:dyDescent="0.3">
      <c r="A28" t="s">
        <v>50</v>
      </c>
    </row>
    <row r="29" spans="1:5" x14ac:dyDescent="0.3">
      <c r="B29" t="s">
        <v>132</v>
      </c>
      <c r="C29" s="4">
        <v>-7699</v>
      </c>
      <c r="D29" s="3">
        <v>18242</v>
      </c>
      <c r="E29" s="3">
        <v>22961</v>
      </c>
    </row>
    <row r="30" spans="1:5" x14ac:dyDescent="0.3">
      <c r="B30" t="s">
        <v>51</v>
      </c>
      <c r="C30" s="4">
        <v>-12668</v>
      </c>
      <c r="D30" s="3">
        <v>-17681</v>
      </c>
      <c r="E30" s="3">
        <v>-3611</v>
      </c>
    </row>
    <row r="31" spans="1:5" x14ac:dyDescent="0.3">
      <c r="B31" t="s">
        <v>52</v>
      </c>
      <c r="C31" s="4">
        <v>-13806</v>
      </c>
      <c r="D31" s="3">
        <v>-22119</v>
      </c>
      <c r="E31" s="3">
        <v>-2966</v>
      </c>
    </row>
    <row r="32" spans="1:5" x14ac:dyDescent="0.3">
      <c r="A32" t="s">
        <v>28</v>
      </c>
      <c r="C32" s="9">
        <v>-4897</v>
      </c>
      <c r="D32" s="10">
        <v>-3040</v>
      </c>
      <c r="E32" s="10">
        <v>-1169</v>
      </c>
    </row>
    <row r="33" spans="1:5" x14ac:dyDescent="0.3">
      <c r="A33" t="s">
        <v>53</v>
      </c>
      <c r="C33" s="4">
        <f>+C26+C29+C30+C31+C32</f>
        <v>99839</v>
      </c>
      <c r="D33" s="3">
        <f>+D26+D29+D30+D31+D32</f>
        <v>204357</v>
      </c>
      <c r="E33" s="3">
        <f>+E26+E29+E30+E31+E32</f>
        <v>201338</v>
      </c>
    </row>
    <row r="34" spans="1:5" x14ac:dyDescent="0.3">
      <c r="A34" t="s">
        <v>54</v>
      </c>
      <c r="C34" s="9">
        <v>32946</v>
      </c>
      <c r="D34" s="10">
        <v>67438</v>
      </c>
      <c r="E34" s="10">
        <v>72482</v>
      </c>
    </row>
    <row r="36" spans="1:5" x14ac:dyDescent="0.3">
      <c r="A36" s="2" t="s">
        <v>55</v>
      </c>
      <c r="C36" s="15">
        <f>+C33-C34</f>
        <v>66893</v>
      </c>
      <c r="D36" s="16">
        <f>+D33-D34</f>
        <v>136919</v>
      </c>
      <c r="E36" s="16">
        <f>+E33-E34</f>
        <v>128856</v>
      </c>
    </row>
    <row r="38" spans="1:5" x14ac:dyDescent="0.3">
      <c r="A38" t="s">
        <v>56</v>
      </c>
      <c r="C38" s="4">
        <v>71524</v>
      </c>
      <c r="D38" s="3">
        <v>71296</v>
      </c>
      <c r="E38" s="3">
        <v>69359</v>
      </c>
    </row>
    <row r="39" spans="1:5" x14ac:dyDescent="0.3">
      <c r="A39" t="s">
        <v>57</v>
      </c>
      <c r="C39" s="4">
        <v>71783</v>
      </c>
      <c r="D39" s="3">
        <v>71479</v>
      </c>
      <c r="E39" s="3">
        <v>69562</v>
      </c>
    </row>
    <row r="40" spans="1:5" x14ac:dyDescent="0.3">
      <c r="A40" s="2" t="s">
        <v>58</v>
      </c>
      <c r="C40" s="17">
        <f>+C36/C38</f>
        <v>0.93525250265645099</v>
      </c>
      <c r="D40" s="18">
        <f>+D36/D38</f>
        <v>1.9204303186714542</v>
      </c>
      <c r="E40" s="18">
        <f>+E36/E38</f>
        <v>1.8578122521951008</v>
      </c>
    </row>
    <row r="41" spans="1:5" ht="13.5" thickBot="1" x14ac:dyDescent="0.35">
      <c r="A41" s="2" t="s">
        <v>59</v>
      </c>
      <c r="C41" s="19">
        <f>+C36/C39</f>
        <v>0.93187802125851527</v>
      </c>
      <c r="D41" s="20">
        <f>+D36/D39</f>
        <v>1.9155136473649603</v>
      </c>
      <c r="E41" s="20">
        <f>+E36/E39</f>
        <v>1.8523906730686295</v>
      </c>
    </row>
    <row r="44" spans="1:5" x14ac:dyDescent="0.3">
      <c r="A44" s="1" t="s">
        <v>37</v>
      </c>
    </row>
  </sheetData>
  <phoneticPr fontId="0" type="noConversion"/>
  <pageMargins left="0.75" right="0.75" top="1" bottom="1" header="0.5" footer="0.5"/>
  <pageSetup scale="99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4"/>
  <sheetViews>
    <sheetView workbookViewId="0"/>
  </sheetViews>
  <sheetFormatPr defaultRowHeight="12.5" x14ac:dyDescent="0.25"/>
  <cols>
    <col min="1" max="1" width="41.453125" bestFit="1" customWidth="1"/>
    <col min="2" max="10" width="14.7265625" style="3" customWidth="1"/>
  </cols>
  <sheetData>
    <row r="1" spans="1:10" ht="13" x14ac:dyDescent="0.3">
      <c r="A1" t="s">
        <v>60</v>
      </c>
      <c r="C1" s="4"/>
      <c r="E1" s="4"/>
    </row>
    <row r="2" spans="1:10" ht="13" x14ac:dyDescent="0.3">
      <c r="A2" s="1" t="s">
        <v>61</v>
      </c>
      <c r="C2" s="4"/>
      <c r="E2" s="4"/>
    </row>
    <row r="5" spans="1:10" x14ac:dyDescent="0.25">
      <c r="D5" s="21"/>
      <c r="E5" s="21"/>
      <c r="F5" s="21"/>
      <c r="G5" s="21"/>
      <c r="H5" s="21" t="s">
        <v>62</v>
      </c>
      <c r="I5" s="21"/>
      <c r="J5" s="21"/>
    </row>
    <row r="6" spans="1:10" x14ac:dyDescent="0.25">
      <c r="D6" s="21"/>
      <c r="E6" s="21"/>
      <c r="F6" s="21"/>
      <c r="G6" s="21"/>
      <c r="H6" s="21" t="s">
        <v>35</v>
      </c>
      <c r="I6" s="21"/>
      <c r="J6" s="21"/>
    </row>
    <row r="7" spans="1:10" x14ac:dyDescent="0.25">
      <c r="B7" s="31" t="s">
        <v>66</v>
      </c>
      <c r="C7" s="31"/>
      <c r="D7" s="21" t="s">
        <v>67</v>
      </c>
      <c r="E7" s="21" t="s">
        <v>69</v>
      </c>
      <c r="F7" s="21" t="s">
        <v>71</v>
      </c>
      <c r="G7" s="21" t="s">
        <v>63</v>
      </c>
      <c r="H7" s="21" t="s">
        <v>63</v>
      </c>
      <c r="I7" s="21"/>
      <c r="J7" s="21"/>
    </row>
    <row r="8" spans="1:10" x14ac:dyDescent="0.25">
      <c r="B8" s="21" t="s">
        <v>64</v>
      </c>
      <c r="C8" s="21" t="s">
        <v>65</v>
      </c>
      <c r="D8" s="21" t="s">
        <v>68</v>
      </c>
      <c r="E8" s="21" t="s">
        <v>70</v>
      </c>
      <c r="F8" s="21" t="s">
        <v>72</v>
      </c>
      <c r="G8" s="21" t="s">
        <v>143</v>
      </c>
      <c r="H8" s="21" t="s">
        <v>143</v>
      </c>
      <c r="I8" s="21" t="s">
        <v>35</v>
      </c>
      <c r="J8" s="21" t="s">
        <v>73</v>
      </c>
    </row>
    <row r="9" spans="1:10" ht="13" x14ac:dyDescent="0.3">
      <c r="A9" s="2" t="s">
        <v>133</v>
      </c>
      <c r="B9" s="6">
        <v>69494483</v>
      </c>
      <c r="C9" s="22">
        <v>86868</v>
      </c>
      <c r="D9" s="22">
        <v>43281</v>
      </c>
      <c r="E9" s="22">
        <v>604227</v>
      </c>
      <c r="F9" s="22">
        <v>-21902</v>
      </c>
      <c r="G9" s="22"/>
      <c r="H9" s="22">
        <v>-12802</v>
      </c>
      <c r="I9" s="22">
        <v>-549</v>
      </c>
      <c r="J9" s="22">
        <f>SUM(C9:I9)</f>
        <v>699123</v>
      </c>
    </row>
    <row r="11" spans="1:10" x14ac:dyDescent="0.25">
      <c r="A11" t="s">
        <v>55</v>
      </c>
      <c r="E11" s="3">
        <v>128856</v>
      </c>
      <c r="G11" s="16">
        <f>+E11</f>
        <v>128856</v>
      </c>
      <c r="J11" s="3">
        <f>+G11</f>
        <v>128856</v>
      </c>
    </row>
    <row r="12" spans="1:10" x14ac:dyDescent="0.25">
      <c r="A12" t="s">
        <v>74</v>
      </c>
      <c r="G12" s="3">
        <v>9558</v>
      </c>
      <c r="J12" s="3">
        <f>+G12</f>
        <v>9558</v>
      </c>
    </row>
    <row r="13" spans="1:10" x14ac:dyDescent="0.25">
      <c r="A13" t="s">
        <v>75</v>
      </c>
      <c r="G13" s="3">
        <v>614</v>
      </c>
      <c r="J13" s="3">
        <f>+G13</f>
        <v>614</v>
      </c>
    </row>
    <row r="14" spans="1:10" x14ac:dyDescent="0.25">
      <c r="A14" t="s">
        <v>76</v>
      </c>
      <c r="G14" s="10">
        <v>-3235</v>
      </c>
      <c r="J14" s="3">
        <f>+G14</f>
        <v>-3235</v>
      </c>
    </row>
    <row r="15" spans="1:10" x14ac:dyDescent="0.25">
      <c r="A15" t="s">
        <v>77</v>
      </c>
      <c r="G15" s="6">
        <f>SUM(G12:G14)</f>
        <v>6937</v>
      </c>
      <c r="H15" s="3">
        <f>+G15</f>
        <v>6937</v>
      </c>
    </row>
    <row r="16" spans="1:10" x14ac:dyDescent="0.25">
      <c r="A16" t="s">
        <v>78</v>
      </c>
      <c r="G16" s="22">
        <f>+G11+G15</f>
        <v>135793</v>
      </c>
    </row>
    <row r="17" spans="1:10" x14ac:dyDescent="0.25">
      <c r="A17" t="s">
        <v>79</v>
      </c>
      <c r="B17" s="3">
        <v>108104</v>
      </c>
      <c r="C17" s="3">
        <v>134</v>
      </c>
      <c r="D17" s="3">
        <v>1918</v>
      </c>
      <c r="J17" s="3">
        <f t="shared" ref="J17:J22" si="0">SUM(C17:I17)</f>
        <v>2052</v>
      </c>
    </row>
    <row r="18" spans="1:10" x14ac:dyDescent="0.25">
      <c r="A18" t="s">
        <v>80</v>
      </c>
      <c r="B18" s="3">
        <v>149799</v>
      </c>
      <c r="C18" s="3">
        <v>188</v>
      </c>
      <c r="D18" s="3">
        <v>3933</v>
      </c>
      <c r="I18" s="3">
        <v>-3485</v>
      </c>
      <c r="J18" s="3">
        <f t="shared" si="0"/>
        <v>636</v>
      </c>
    </row>
    <row r="19" spans="1:10" x14ac:dyDescent="0.25">
      <c r="A19" t="s">
        <v>84</v>
      </c>
      <c r="B19" s="3">
        <v>20397</v>
      </c>
      <c r="C19" s="3">
        <v>26</v>
      </c>
      <c r="D19" s="3">
        <v>686</v>
      </c>
      <c r="J19" s="3">
        <f t="shared" si="0"/>
        <v>712</v>
      </c>
    </row>
    <row r="20" spans="1:10" x14ac:dyDescent="0.25">
      <c r="A20" t="s">
        <v>83</v>
      </c>
      <c r="B20" s="3">
        <v>1710214</v>
      </c>
      <c r="C20" s="3">
        <v>2138</v>
      </c>
      <c r="D20" s="3">
        <v>37351</v>
      </c>
      <c r="F20" s="3">
        <v>9487</v>
      </c>
      <c r="J20" s="3">
        <f t="shared" si="0"/>
        <v>48976</v>
      </c>
    </row>
    <row r="21" spans="1:10" x14ac:dyDescent="0.25">
      <c r="A21" t="s">
        <v>81</v>
      </c>
      <c r="E21" s="3">
        <v>-41668</v>
      </c>
      <c r="J21" s="3">
        <f t="shared" si="0"/>
        <v>-41668</v>
      </c>
    </row>
    <row r="22" spans="1:10" x14ac:dyDescent="0.25">
      <c r="A22" t="s">
        <v>82</v>
      </c>
      <c r="F22" s="3">
        <v>-1229</v>
      </c>
      <c r="J22" s="3">
        <f t="shared" si="0"/>
        <v>-1229</v>
      </c>
    </row>
    <row r="24" spans="1:10" ht="13" x14ac:dyDescent="0.3">
      <c r="A24" s="2" t="s">
        <v>85</v>
      </c>
      <c r="B24" s="6">
        <f>SUM(B9:B23)</f>
        <v>71482997</v>
      </c>
      <c r="C24" s="22">
        <f>SUM(C9:C23)</f>
        <v>89354</v>
      </c>
      <c r="D24" s="22">
        <f>SUM(D9:D23)</f>
        <v>87169</v>
      </c>
      <c r="E24" s="22">
        <f>SUM(E9:E23)</f>
        <v>691415</v>
      </c>
      <c r="F24" s="22">
        <f>SUM(F9:F23)</f>
        <v>-13644</v>
      </c>
      <c r="G24" s="22"/>
      <c r="H24" s="22">
        <f>SUM(H9:H23)</f>
        <v>-5865</v>
      </c>
      <c r="I24" s="22">
        <f>SUM(I9:I23)</f>
        <v>-4034</v>
      </c>
      <c r="J24" s="22">
        <f>SUM(J9:J23)</f>
        <v>844395</v>
      </c>
    </row>
    <row r="26" spans="1:10" x14ac:dyDescent="0.25">
      <c r="A26" t="s">
        <v>55</v>
      </c>
      <c r="E26" s="3">
        <v>136919</v>
      </c>
      <c r="G26" s="16">
        <f>+E26</f>
        <v>136919</v>
      </c>
      <c r="J26" s="3">
        <f>+G26</f>
        <v>136919</v>
      </c>
    </row>
    <row r="27" spans="1:10" x14ac:dyDescent="0.25">
      <c r="A27" t="s">
        <v>74</v>
      </c>
      <c r="G27" s="3">
        <v>-7904</v>
      </c>
      <c r="J27" s="3">
        <f>+G27</f>
        <v>-7904</v>
      </c>
    </row>
    <row r="28" spans="1:10" x14ac:dyDescent="0.25">
      <c r="A28" t="s">
        <v>75</v>
      </c>
      <c r="G28" s="3">
        <v>1507</v>
      </c>
      <c r="J28" s="3">
        <f>+G28</f>
        <v>1507</v>
      </c>
    </row>
    <row r="29" spans="1:10" x14ac:dyDescent="0.25">
      <c r="A29" t="s">
        <v>76</v>
      </c>
      <c r="G29" s="10">
        <v>-396</v>
      </c>
      <c r="J29" s="3">
        <f>+G29</f>
        <v>-396</v>
      </c>
    </row>
    <row r="30" spans="1:10" x14ac:dyDescent="0.25">
      <c r="A30" t="s">
        <v>144</v>
      </c>
      <c r="G30" s="6">
        <f>SUM(G27:G29)</f>
        <v>-6793</v>
      </c>
      <c r="H30" s="3">
        <f>+G30</f>
        <v>-6793</v>
      </c>
    </row>
    <row r="31" spans="1:10" x14ac:dyDescent="0.25">
      <c r="A31" t="s">
        <v>78</v>
      </c>
      <c r="G31" s="22">
        <f>+G26+G30</f>
        <v>130126</v>
      </c>
    </row>
    <row r="32" spans="1:10" x14ac:dyDescent="0.25">
      <c r="A32" t="s">
        <v>79</v>
      </c>
      <c r="B32" s="3">
        <v>273238</v>
      </c>
      <c r="C32" s="3">
        <v>343</v>
      </c>
      <c r="D32" s="3">
        <v>5444</v>
      </c>
      <c r="J32" s="3">
        <f>SUM(C32:I32)</f>
        <v>5787</v>
      </c>
    </row>
    <row r="33" spans="1:10" x14ac:dyDescent="0.25">
      <c r="A33" t="s">
        <v>80</v>
      </c>
      <c r="B33" s="3">
        <v>247635</v>
      </c>
      <c r="C33" s="3">
        <v>308</v>
      </c>
      <c r="D33" s="3">
        <v>5583</v>
      </c>
      <c r="I33" s="3">
        <v>-3915</v>
      </c>
      <c r="J33" s="3">
        <f>SUM(C33:I33)</f>
        <v>1976</v>
      </c>
    </row>
    <row r="34" spans="1:10" x14ac:dyDescent="0.25">
      <c r="A34" t="s">
        <v>84</v>
      </c>
      <c r="B34" s="3">
        <v>15335</v>
      </c>
      <c r="C34" s="3">
        <v>19</v>
      </c>
      <c r="D34" s="3">
        <v>334</v>
      </c>
      <c r="J34" s="3">
        <f>SUM(C34:I34)</f>
        <v>353</v>
      </c>
    </row>
    <row r="35" spans="1:10" x14ac:dyDescent="0.25">
      <c r="A35" t="s">
        <v>81</v>
      </c>
      <c r="E35" s="3">
        <v>-44271</v>
      </c>
      <c r="J35" s="3">
        <f>SUM(C35:I35)</f>
        <v>-44271</v>
      </c>
    </row>
    <row r="36" spans="1:10" x14ac:dyDescent="0.25">
      <c r="A36" t="s">
        <v>82</v>
      </c>
      <c r="F36" s="3">
        <v>-2300</v>
      </c>
      <c r="J36" s="3">
        <f>SUM(C36:I36)</f>
        <v>-2300</v>
      </c>
    </row>
    <row r="38" spans="1:10" ht="13" x14ac:dyDescent="0.3">
      <c r="A38" s="2" t="s">
        <v>86</v>
      </c>
      <c r="B38" s="5">
        <f>SUM(B24:B37)</f>
        <v>72019205</v>
      </c>
      <c r="C38" s="23">
        <f>SUM(C24:C37)</f>
        <v>90024</v>
      </c>
      <c r="D38" s="23">
        <f>SUM(D24:D37)</f>
        <v>98530</v>
      </c>
      <c r="E38" s="23">
        <f>SUM(E24:E37)</f>
        <v>784063</v>
      </c>
      <c r="F38" s="23">
        <f>SUM(F24:F37)</f>
        <v>-15944</v>
      </c>
      <c r="G38" s="23"/>
      <c r="H38" s="23">
        <f>SUM(H24:H37)</f>
        <v>-12658</v>
      </c>
      <c r="I38" s="23">
        <f>SUM(I24:I37)</f>
        <v>-7949</v>
      </c>
      <c r="J38" s="23">
        <f>SUM(J24:J37)</f>
        <v>936066</v>
      </c>
    </row>
    <row r="39" spans="1:10" ht="13" x14ac:dyDescent="0.3">
      <c r="A39" s="2"/>
      <c r="B39" s="11"/>
      <c r="C39" s="30"/>
      <c r="D39" s="30"/>
      <c r="E39" s="30"/>
      <c r="F39" s="30"/>
      <c r="G39" s="15"/>
      <c r="H39" s="30"/>
      <c r="I39" s="30"/>
      <c r="J39" s="30"/>
    </row>
    <row r="40" spans="1:10" x14ac:dyDescent="0.25">
      <c r="A40" t="s">
        <v>55</v>
      </c>
      <c r="E40" s="3">
        <v>66893</v>
      </c>
      <c r="G40" s="16">
        <f>+E40</f>
        <v>66893</v>
      </c>
      <c r="J40" s="3">
        <f>+G40</f>
        <v>66893</v>
      </c>
    </row>
    <row r="41" spans="1:10" x14ac:dyDescent="0.25">
      <c r="A41" t="s">
        <v>74</v>
      </c>
      <c r="G41" s="3">
        <v>-47373</v>
      </c>
      <c r="J41" s="3">
        <f>+G41</f>
        <v>-47373</v>
      </c>
    </row>
    <row r="42" spans="1:10" x14ac:dyDescent="0.25">
      <c r="A42" t="s">
        <v>75</v>
      </c>
      <c r="G42" s="3">
        <v>-1628</v>
      </c>
      <c r="J42" s="3">
        <f>+G42</f>
        <v>-1628</v>
      </c>
    </row>
    <row r="43" spans="1:10" x14ac:dyDescent="0.25">
      <c r="A43" t="s">
        <v>135</v>
      </c>
      <c r="G43" s="10">
        <v>1213</v>
      </c>
      <c r="J43" s="3">
        <f>+G43</f>
        <v>1213</v>
      </c>
    </row>
    <row r="44" spans="1:10" x14ac:dyDescent="0.25">
      <c r="A44" t="s">
        <v>144</v>
      </c>
      <c r="G44" s="6">
        <f>SUM(G41:G43)</f>
        <v>-47788</v>
      </c>
      <c r="H44" s="3">
        <f>+G44</f>
        <v>-47788</v>
      </c>
    </row>
    <row r="45" spans="1:10" x14ac:dyDescent="0.25">
      <c r="A45" t="s">
        <v>78</v>
      </c>
      <c r="G45" s="22">
        <f>+G40+G44</f>
        <v>19105</v>
      </c>
    </row>
    <row r="46" spans="1:10" x14ac:dyDescent="0.25">
      <c r="A46" t="s">
        <v>79</v>
      </c>
      <c r="B46" s="3">
        <v>176395</v>
      </c>
      <c r="C46" s="3">
        <v>221</v>
      </c>
      <c r="D46" s="3">
        <v>4860</v>
      </c>
      <c r="J46" s="3">
        <f>SUM(C46:I46)</f>
        <v>5081</v>
      </c>
    </row>
    <row r="47" spans="1:10" x14ac:dyDescent="0.25">
      <c r="A47" t="s">
        <v>80</v>
      </c>
      <c r="I47" s="3">
        <v>1412</v>
      </c>
      <c r="J47" s="3">
        <f>SUM(C47:I47)</f>
        <v>1412</v>
      </c>
    </row>
    <row r="48" spans="1:10" x14ac:dyDescent="0.25">
      <c r="A48" t="s">
        <v>81</v>
      </c>
      <c r="E48" s="3">
        <v>-45774</v>
      </c>
      <c r="J48" s="3">
        <f>SUM(C48:I48)</f>
        <v>-45774</v>
      </c>
    </row>
    <row r="49" spans="1:10" x14ac:dyDescent="0.25">
      <c r="A49" t="s">
        <v>82</v>
      </c>
      <c r="F49" s="3">
        <v>-12780</v>
      </c>
      <c r="J49" s="3">
        <f>SUM(C49:I49)</f>
        <v>-12780</v>
      </c>
    </row>
    <row r="51" spans="1:10" ht="13" x14ac:dyDescent="0.3">
      <c r="A51" s="2" t="s">
        <v>134</v>
      </c>
      <c r="B51" s="5">
        <f>SUM(B37:B50)</f>
        <v>72195600</v>
      </c>
      <c r="C51" s="23">
        <f>SUM(C37:C50)</f>
        <v>90245</v>
      </c>
      <c r="D51" s="23">
        <f>SUM(D37:D50)</f>
        <v>103390</v>
      </c>
      <c r="E51" s="23">
        <f>SUM(E37:E50)</f>
        <v>805182</v>
      </c>
      <c r="F51" s="23">
        <f>SUM(F37:F50)</f>
        <v>-28724</v>
      </c>
      <c r="G51" s="23"/>
      <c r="H51" s="23">
        <f>SUM(H37:H50)</f>
        <v>-60446</v>
      </c>
      <c r="I51" s="23">
        <f>SUM(I37:I50)</f>
        <v>-6537</v>
      </c>
      <c r="J51" s="23">
        <f>SUM(J37:J50)</f>
        <v>903110</v>
      </c>
    </row>
    <row r="54" spans="1:10" ht="13" x14ac:dyDescent="0.3">
      <c r="A54" s="1" t="s">
        <v>37</v>
      </c>
      <c r="B54"/>
      <c r="C54" s="4"/>
      <c r="F54"/>
      <c r="G54"/>
      <c r="H54"/>
      <c r="I54"/>
      <c r="J54"/>
    </row>
  </sheetData>
  <mergeCells count="1">
    <mergeCell ref="B7:C7"/>
  </mergeCells>
  <phoneticPr fontId="0" type="noConversion"/>
  <pageMargins left="0.75" right="0.75" top="1" bottom="1" header="0.5" footer="0.5"/>
  <pageSetup scale="52"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tabSelected="1" workbookViewId="0"/>
  </sheetViews>
  <sheetFormatPr defaultRowHeight="13" x14ac:dyDescent="0.3"/>
  <cols>
    <col min="1" max="2" width="2.7265625" customWidth="1"/>
    <col min="3" max="3" width="60.7265625" customWidth="1"/>
    <col min="4" max="4" width="12.7265625" style="4" customWidth="1"/>
    <col min="5" max="6" width="12.7265625" style="3" customWidth="1"/>
  </cols>
  <sheetData>
    <row r="1" spans="1:10" x14ac:dyDescent="0.3">
      <c r="A1" t="s">
        <v>87</v>
      </c>
      <c r="B1" s="3"/>
      <c r="C1" s="4"/>
      <c r="E1" s="4"/>
      <c r="G1" s="3"/>
      <c r="H1" s="3"/>
      <c r="I1" s="3"/>
      <c r="J1" s="3"/>
    </row>
    <row r="2" spans="1:10" x14ac:dyDescent="0.3">
      <c r="A2" s="1" t="s">
        <v>61</v>
      </c>
      <c r="B2" s="3"/>
      <c r="C2" s="4"/>
      <c r="E2" s="4"/>
      <c r="G2" s="3"/>
      <c r="H2" s="3"/>
      <c r="I2" s="3"/>
      <c r="J2" s="3"/>
    </row>
    <row r="5" spans="1:10" x14ac:dyDescent="0.3">
      <c r="A5" s="1" t="s">
        <v>126</v>
      </c>
      <c r="D5" s="28">
        <v>2001</v>
      </c>
      <c r="E5" s="29">
        <v>2000</v>
      </c>
      <c r="F5" s="29">
        <v>1999</v>
      </c>
    </row>
    <row r="7" spans="1:10" x14ac:dyDescent="0.3">
      <c r="A7" s="2" t="s">
        <v>88</v>
      </c>
    </row>
    <row r="8" spans="1:10" x14ac:dyDescent="0.3">
      <c r="B8" t="s">
        <v>55</v>
      </c>
      <c r="D8" s="7">
        <v>66893</v>
      </c>
      <c r="E8" s="8">
        <v>136919</v>
      </c>
      <c r="F8" s="8">
        <v>128856</v>
      </c>
    </row>
    <row r="9" spans="1:10" x14ac:dyDescent="0.3">
      <c r="A9" t="s">
        <v>89</v>
      </c>
    </row>
    <row r="10" spans="1:10" x14ac:dyDescent="0.3">
      <c r="B10" t="s">
        <v>90</v>
      </c>
      <c r="D10" s="4">
        <v>4897</v>
      </c>
      <c r="E10" s="3">
        <v>3040</v>
      </c>
      <c r="F10" s="3">
        <v>1169</v>
      </c>
    </row>
    <row r="11" spans="1:10" x14ac:dyDescent="0.3">
      <c r="B11" t="s">
        <v>91</v>
      </c>
      <c r="D11" s="4">
        <v>45453</v>
      </c>
      <c r="E11" s="3">
        <v>35901</v>
      </c>
      <c r="F11" s="3">
        <v>34709</v>
      </c>
    </row>
    <row r="12" spans="1:10" x14ac:dyDescent="0.3">
      <c r="B12" t="s">
        <v>92</v>
      </c>
      <c r="D12" s="4">
        <v>37385</v>
      </c>
      <c r="E12" s="3">
        <v>32779</v>
      </c>
      <c r="F12" s="3">
        <v>17557</v>
      </c>
    </row>
    <row r="13" spans="1:10" x14ac:dyDescent="0.3">
      <c r="B13" t="s">
        <v>9</v>
      </c>
      <c r="D13" s="4">
        <v>-27451</v>
      </c>
      <c r="E13" s="3">
        <v>15305</v>
      </c>
      <c r="F13" s="3">
        <v>8505</v>
      </c>
    </row>
    <row r="14" spans="1:10" x14ac:dyDescent="0.3">
      <c r="B14" t="s">
        <v>93</v>
      </c>
      <c r="D14" s="4">
        <v>4031</v>
      </c>
      <c r="E14" s="3">
        <v>3971</v>
      </c>
      <c r="F14" s="3">
        <v>5188</v>
      </c>
    </row>
    <row r="15" spans="1:10" x14ac:dyDescent="0.3">
      <c r="B15" t="s">
        <v>136</v>
      </c>
      <c r="D15" s="4">
        <v>972</v>
      </c>
      <c r="E15" s="3">
        <v>127</v>
      </c>
      <c r="F15" s="3">
        <v>257</v>
      </c>
    </row>
    <row r="16" spans="1:10" x14ac:dyDescent="0.3">
      <c r="B16" t="s">
        <v>137</v>
      </c>
      <c r="D16" s="4">
        <v>20000</v>
      </c>
      <c r="E16" s="3">
        <v>0</v>
      </c>
      <c r="F16" s="3">
        <v>0</v>
      </c>
    </row>
    <row r="17" spans="1:6" x14ac:dyDescent="0.3">
      <c r="B17" t="s">
        <v>94</v>
      </c>
    </row>
    <row r="18" spans="1:6" x14ac:dyDescent="0.3">
      <c r="C18" t="s">
        <v>95</v>
      </c>
      <c r="D18" s="4">
        <v>-18029</v>
      </c>
      <c r="E18" s="3">
        <v>-5628</v>
      </c>
      <c r="F18" s="3">
        <v>-16077</v>
      </c>
    </row>
    <row r="19" spans="1:6" x14ac:dyDescent="0.3">
      <c r="C19" t="s">
        <v>7</v>
      </c>
      <c r="D19" s="4">
        <v>-27498</v>
      </c>
      <c r="E19" s="3">
        <v>-7003</v>
      </c>
      <c r="F19" s="3">
        <v>-4634</v>
      </c>
    </row>
    <row r="20" spans="1:6" x14ac:dyDescent="0.3">
      <c r="C20" t="s">
        <v>96</v>
      </c>
      <c r="D20" s="4">
        <v>-91665</v>
      </c>
      <c r="E20" s="3">
        <v>-18933</v>
      </c>
      <c r="F20" s="3">
        <v>19821</v>
      </c>
    </row>
    <row r="21" spans="1:6" x14ac:dyDescent="0.3">
      <c r="C21" t="s">
        <v>20</v>
      </c>
      <c r="D21" s="4">
        <v>25480</v>
      </c>
      <c r="E21" s="3">
        <v>-20485</v>
      </c>
      <c r="F21" s="3">
        <v>-31048</v>
      </c>
    </row>
    <row r="22" spans="1:6" x14ac:dyDescent="0.3">
      <c r="C22" t="s">
        <v>97</v>
      </c>
      <c r="D22" s="9">
        <v>113888</v>
      </c>
      <c r="E22" s="10">
        <v>-29798</v>
      </c>
      <c r="F22" s="10">
        <v>24282</v>
      </c>
    </row>
    <row r="23" spans="1:6" x14ac:dyDescent="0.3">
      <c r="A23" s="2" t="s">
        <v>98</v>
      </c>
      <c r="D23" s="4">
        <f>SUM(D8:D22)</f>
        <v>154356</v>
      </c>
      <c r="E23" s="3">
        <f>SUM(E8:E22)</f>
        <v>146195</v>
      </c>
      <c r="F23" s="3">
        <f>SUM(F8:F22)</f>
        <v>188585</v>
      </c>
    </row>
    <row r="25" spans="1:6" x14ac:dyDescent="0.3">
      <c r="A25" s="2" t="s">
        <v>99</v>
      </c>
    </row>
    <row r="26" spans="1:6" x14ac:dyDescent="0.3">
      <c r="B26" t="s">
        <v>100</v>
      </c>
      <c r="D26" s="4">
        <v>-36767</v>
      </c>
      <c r="E26" s="3">
        <v>-143332</v>
      </c>
      <c r="F26" s="3">
        <v>-159026</v>
      </c>
    </row>
    <row r="27" spans="1:6" x14ac:dyDescent="0.3">
      <c r="B27" t="s">
        <v>101</v>
      </c>
      <c r="D27" s="4">
        <v>96917</v>
      </c>
      <c r="E27" s="3">
        <v>67617</v>
      </c>
      <c r="F27" s="3">
        <v>45521</v>
      </c>
    </row>
    <row r="28" spans="1:6" x14ac:dyDescent="0.3">
      <c r="B28" t="s">
        <v>102</v>
      </c>
      <c r="D28" s="4">
        <v>13457</v>
      </c>
      <c r="E28" s="3">
        <v>11446</v>
      </c>
      <c r="F28" s="3">
        <v>60427</v>
      </c>
    </row>
    <row r="29" spans="1:6" x14ac:dyDescent="0.3">
      <c r="B29" t="s">
        <v>103</v>
      </c>
      <c r="D29" s="4">
        <v>-65711</v>
      </c>
      <c r="E29" s="3">
        <v>-35642</v>
      </c>
      <c r="F29" s="3">
        <v>-142169</v>
      </c>
    </row>
    <row r="30" spans="1:6" x14ac:dyDescent="0.3">
      <c r="B30" t="s">
        <v>104</v>
      </c>
      <c r="D30" s="4">
        <v>-68656</v>
      </c>
      <c r="E30" s="3">
        <v>-42694</v>
      </c>
      <c r="F30" s="3">
        <v>-40341</v>
      </c>
    </row>
    <row r="31" spans="1:6" x14ac:dyDescent="0.3">
      <c r="B31" t="s">
        <v>105</v>
      </c>
      <c r="D31" s="4">
        <v>-2761</v>
      </c>
      <c r="E31" s="3">
        <v>-26069</v>
      </c>
      <c r="F31" s="3">
        <v>-17967</v>
      </c>
    </row>
    <row r="32" spans="1:6" x14ac:dyDescent="0.3">
      <c r="B32" t="s">
        <v>106</v>
      </c>
      <c r="D32" s="9">
        <v>-75010</v>
      </c>
      <c r="E32" s="10">
        <v>-46683</v>
      </c>
      <c r="F32" s="10">
        <v>-28245</v>
      </c>
    </row>
    <row r="33" spans="1:6" x14ac:dyDescent="0.3">
      <c r="A33" s="2" t="s">
        <v>107</v>
      </c>
      <c r="D33" s="4">
        <f>SUM(D26:D32)</f>
        <v>-138531</v>
      </c>
      <c r="E33" s="3">
        <f>SUM(E26:E32)</f>
        <v>-215357</v>
      </c>
      <c r="F33" s="3">
        <f>SUM(F26:F32)</f>
        <v>-281800</v>
      </c>
    </row>
    <row r="35" spans="1:6" x14ac:dyDescent="0.3">
      <c r="A35" s="2" t="s">
        <v>108</v>
      </c>
    </row>
    <row r="36" spans="1:6" x14ac:dyDescent="0.3">
      <c r="B36" t="s">
        <v>109</v>
      </c>
      <c r="D36" s="4">
        <v>-45774</v>
      </c>
      <c r="E36" s="3">
        <v>-44271</v>
      </c>
      <c r="F36" s="3">
        <v>-41668</v>
      </c>
    </row>
    <row r="37" spans="1:6" x14ac:dyDescent="0.3">
      <c r="B37" t="s">
        <v>110</v>
      </c>
      <c r="D37" s="4">
        <v>329080</v>
      </c>
      <c r="E37" s="3">
        <v>301130</v>
      </c>
      <c r="F37" s="3">
        <v>117450</v>
      </c>
    </row>
    <row r="38" spans="1:6" x14ac:dyDescent="0.3">
      <c r="B38" t="s">
        <v>111</v>
      </c>
      <c r="D38" s="4">
        <v>-359266</v>
      </c>
      <c r="E38" s="3">
        <v>-156321</v>
      </c>
      <c r="F38" s="3">
        <v>0</v>
      </c>
    </row>
    <row r="39" spans="1:6" x14ac:dyDescent="0.3">
      <c r="B39" t="s">
        <v>138</v>
      </c>
      <c r="D39" s="4">
        <v>79900</v>
      </c>
      <c r="E39" s="3">
        <v>0</v>
      </c>
      <c r="F39" s="3">
        <v>0</v>
      </c>
    </row>
    <row r="40" spans="1:6" x14ac:dyDescent="0.3">
      <c r="B40" t="s">
        <v>112</v>
      </c>
      <c r="D40" s="4">
        <v>-249</v>
      </c>
      <c r="E40" s="3">
        <v>-590</v>
      </c>
      <c r="F40" s="3">
        <v>-1000</v>
      </c>
    </row>
    <row r="41" spans="1:6" x14ac:dyDescent="0.3">
      <c r="B41" t="s">
        <v>113</v>
      </c>
      <c r="D41" s="4">
        <v>5081</v>
      </c>
      <c r="E41" s="3">
        <v>7483</v>
      </c>
      <c r="F41" s="3">
        <v>3908</v>
      </c>
    </row>
    <row r="42" spans="1:6" x14ac:dyDescent="0.3">
      <c r="B42" t="s">
        <v>114</v>
      </c>
      <c r="D42" s="4">
        <v>-12780</v>
      </c>
      <c r="E42" s="3">
        <v>-384</v>
      </c>
      <c r="F42" s="3">
        <v>-1229</v>
      </c>
    </row>
    <row r="43" spans="1:6" x14ac:dyDescent="0.3">
      <c r="B43" t="s">
        <v>35</v>
      </c>
      <c r="D43" s="9">
        <v>0</v>
      </c>
      <c r="E43" s="10">
        <v>0</v>
      </c>
      <c r="F43" s="10">
        <v>513</v>
      </c>
    </row>
    <row r="44" spans="1:6" x14ac:dyDescent="0.3">
      <c r="A44" s="2" t="s">
        <v>115</v>
      </c>
      <c r="D44" s="5">
        <f>SUM(D36:D43)</f>
        <v>-4008</v>
      </c>
      <c r="E44" s="6">
        <f>SUM(E36:E43)</f>
        <v>107047</v>
      </c>
      <c r="F44" s="6">
        <f>SUM(F36:F43)</f>
        <v>77974</v>
      </c>
    </row>
    <row r="45" spans="1:6" x14ac:dyDescent="0.3">
      <c r="A45" s="2" t="s">
        <v>139</v>
      </c>
      <c r="D45" s="11">
        <v>-3233</v>
      </c>
      <c r="E45" s="12">
        <v>0</v>
      </c>
      <c r="F45" s="12">
        <v>0</v>
      </c>
    </row>
    <row r="46" spans="1:6" x14ac:dyDescent="0.3">
      <c r="A46" s="2" t="s">
        <v>116</v>
      </c>
      <c r="D46" s="11">
        <f>+D23+D33+D44+D45</f>
        <v>8584</v>
      </c>
      <c r="E46" s="12">
        <f>+E23+E33+E44+E45</f>
        <v>37885</v>
      </c>
      <c r="F46" s="12">
        <f>+F23+F33+F44+F45</f>
        <v>-15241</v>
      </c>
    </row>
    <row r="47" spans="1:6" x14ac:dyDescent="0.3">
      <c r="A47" s="2" t="s">
        <v>117</v>
      </c>
      <c r="D47" s="9">
        <f>+E49</f>
        <v>65184</v>
      </c>
      <c r="E47" s="10">
        <f>+F49</f>
        <v>27299</v>
      </c>
      <c r="F47" s="10">
        <v>42540</v>
      </c>
    </row>
    <row r="49" spans="1:6" ht="13.5" thickBot="1" x14ac:dyDescent="0.35">
      <c r="A49" s="2" t="s">
        <v>118</v>
      </c>
      <c r="D49" s="26">
        <f>+D46+D47</f>
        <v>73768</v>
      </c>
      <c r="E49" s="27">
        <f>+E46+E47</f>
        <v>65184</v>
      </c>
      <c r="F49" s="27">
        <f>+F46+F47</f>
        <v>27299</v>
      </c>
    </row>
    <row r="51" spans="1:6" x14ac:dyDescent="0.3">
      <c r="A51" s="2" t="s">
        <v>119</v>
      </c>
    </row>
    <row r="52" spans="1:6" x14ac:dyDescent="0.3">
      <c r="B52" t="s">
        <v>120</v>
      </c>
      <c r="D52" s="7">
        <v>29918</v>
      </c>
      <c r="E52" s="8">
        <v>57862</v>
      </c>
      <c r="F52" s="8">
        <v>55307</v>
      </c>
    </row>
    <row r="53" spans="1:6" x14ac:dyDescent="0.3">
      <c r="B53" t="s">
        <v>121</v>
      </c>
      <c r="D53" s="4">
        <v>11300</v>
      </c>
      <c r="E53" s="3">
        <v>14199</v>
      </c>
      <c r="F53" s="3">
        <v>1427</v>
      </c>
    </row>
    <row r="54" spans="1:6" x14ac:dyDescent="0.3">
      <c r="B54" t="s">
        <v>122</v>
      </c>
      <c r="D54" s="4">
        <v>676</v>
      </c>
      <c r="E54" s="3">
        <v>877</v>
      </c>
      <c r="F54" s="3">
        <v>682</v>
      </c>
    </row>
    <row r="56" spans="1:6" x14ac:dyDescent="0.3">
      <c r="A56" s="2" t="s">
        <v>123</v>
      </c>
    </row>
    <row r="57" spans="1:6" x14ac:dyDescent="0.3">
      <c r="B57" t="s">
        <v>124</v>
      </c>
      <c r="D57" s="7">
        <v>0</v>
      </c>
      <c r="E57" s="8">
        <v>0</v>
      </c>
      <c r="F57" s="8">
        <v>41953</v>
      </c>
    </row>
    <row r="58" spans="1:6" ht="13.5" thickBot="1" x14ac:dyDescent="0.35">
      <c r="B58" t="s">
        <v>125</v>
      </c>
      <c r="D58" s="24">
        <v>0</v>
      </c>
      <c r="E58" s="25">
        <v>0</v>
      </c>
      <c r="F58" s="25">
        <v>7023</v>
      </c>
    </row>
    <row r="61" spans="1:6" x14ac:dyDescent="0.3">
      <c r="A61" s="1" t="s">
        <v>37</v>
      </c>
    </row>
  </sheetData>
  <phoneticPr fontId="0" type="noConversion"/>
  <pageMargins left="0.75" right="0.75" top="1" bottom="1" header="0.5" footer="0.5"/>
  <pageSetup scale="85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Sheets</vt:lpstr>
      <vt:lpstr>Income Statements</vt:lpstr>
      <vt:lpstr>Shareholders' Equity</vt:lpstr>
      <vt:lpstr>Cash Flows</vt:lpstr>
    </vt:vector>
  </TitlesOfParts>
  <Company>Diebold,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diebold</dc:creator>
  <cp:lastModifiedBy>Carina Negreanu</cp:lastModifiedBy>
  <cp:lastPrinted>2002-03-19T21:30:18Z</cp:lastPrinted>
  <dcterms:created xsi:type="dcterms:W3CDTF">2001-03-19T15:04:38Z</dcterms:created>
  <dcterms:modified xsi:type="dcterms:W3CDTF">2020-01-27T11:10:45Z</dcterms:modified>
</cp:coreProperties>
</file>