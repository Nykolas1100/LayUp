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D326022-EC2E-4EF2-B5CB-FAE2BC5E7815}" xr6:coauthVersionLast="45" xr6:coauthVersionMax="45" xr10:uidLastSave="{00000000-0000-0000-0000-000000000000}"/>
  <bookViews>
    <workbookView xWindow="3420" yWindow="3420" windowWidth="28800" windowHeight="15460"/>
  </bookViews>
  <sheets>
    <sheet name="LnNormal" sheetId="1" r:id="rId1"/>
    <sheet name="Normal" sheetId="2" r:id="rId2"/>
    <sheet name="BDT" sheetId="3" r:id="rId3"/>
    <sheet name="ZCBOption" sheetId="4" r:id="rId4"/>
  </sheets>
  <calcPr calcId="0"/>
</workbook>
</file>

<file path=xl/calcChain.xml><?xml version="1.0" encoding="utf-8"?>
<calcChain xmlns="http://schemas.openxmlformats.org/spreadsheetml/2006/main">
  <c r="E7" i="3" l="1"/>
  <c r="F7" i="3"/>
  <c r="G7" i="3"/>
  <c r="H7" i="3"/>
  <c r="M9" i="3"/>
  <c r="M9" i="3" a="1"/>
  <c r="N9" i="3"/>
  <c r="O9" i="3"/>
  <c r="F10" i="3"/>
  <c r="G10" i="3"/>
  <c r="H10" i="3"/>
  <c r="M10" i="3"/>
  <c r="N10" i="3"/>
  <c r="O10" i="3"/>
  <c r="F12" i="3"/>
  <c r="G12" i="3"/>
  <c r="H12" i="3"/>
  <c r="F17" i="3"/>
  <c r="G17" i="3"/>
  <c r="H17" i="3"/>
  <c r="M17" i="3"/>
  <c r="N17" i="3"/>
  <c r="O17" i="3"/>
  <c r="F18" i="3"/>
  <c r="G18" i="3"/>
  <c r="H18" i="3"/>
  <c r="M18" i="3"/>
  <c r="N18" i="3"/>
  <c r="O18" i="3"/>
  <c r="F20" i="3"/>
  <c r="G20" i="3"/>
  <c r="H20" i="3"/>
  <c r="M20" i="3"/>
  <c r="N20" i="3"/>
  <c r="O20" i="3"/>
  <c r="F22" i="3"/>
  <c r="G22" i="3"/>
  <c r="H22" i="3"/>
  <c r="F25" i="3"/>
  <c r="G25" i="3"/>
  <c r="H25" i="3"/>
  <c r="F26" i="3"/>
  <c r="F26" i="3" a="1"/>
  <c r="G26" i="3"/>
  <c r="H26" i="3"/>
  <c r="M26" i="3"/>
  <c r="M26" i="3" a="1"/>
  <c r="N26" i="3"/>
  <c r="O26" i="3"/>
  <c r="F28" i="3"/>
  <c r="G28" i="3"/>
  <c r="H28" i="3"/>
  <c r="F29" i="3"/>
  <c r="F29" i="3" a="1"/>
  <c r="G29" i="3"/>
  <c r="H29" i="3"/>
  <c r="M29" i="3"/>
  <c r="M29" i="3" a="1"/>
  <c r="N29" i="3"/>
  <c r="O29" i="3"/>
  <c r="E32" i="3"/>
  <c r="F32" i="3"/>
  <c r="G32" i="3"/>
  <c r="H32" i="3"/>
  <c r="L32" i="3"/>
  <c r="M32" i="3"/>
  <c r="N32" i="3"/>
  <c r="O32" i="3"/>
  <c r="F33" i="3"/>
  <c r="G33" i="3"/>
  <c r="H33" i="3"/>
  <c r="M33" i="3"/>
  <c r="N33" i="3"/>
  <c r="O33" i="3"/>
  <c r="G34" i="3"/>
  <c r="H34" i="3"/>
  <c r="N34" i="3"/>
  <c r="O34" i="3"/>
  <c r="H35" i="3"/>
  <c r="O35" i="3"/>
  <c r="E38" i="3"/>
  <c r="F38" i="3"/>
  <c r="G38" i="3"/>
  <c r="H38" i="3"/>
  <c r="L38" i="3"/>
  <c r="M38" i="3"/>
  <c r="N38" i="3"/>
  <c r="O38" i="3"/>
  <c r="F39" i="3"/>
  <c r="G39" i="3"/>
  <c r="H39" i="3"/>
  <c r="I39" i="3"/>
  <c r="M39" i="3"/>
  <c r="N39" i="3"/>
  <c r="O39" i="3"/>
  <c r="P39" i="3"/>
  <c r="G40" i="3"/>
  <c r="H40" i="3"/>
  <c r="I40" i="3"/>
  <c r="N40" i="3"/>
  <c r="O40" i="3"/>
  <c r="P40" i="3"/>
  <c r="H41" i="3"/>
  <c r="I41" i="3"/>
  <c r="O41" i="3"/>
  <c r="P41" i="3"/>
  <c r="I42" i="3"/>
  <c r="P42" i="3"/>
  <c r="F6" i="1"/>
  <c r="F7" i="1"/>
  <c r="F8" i="1"/>
  <c r="K8" i="1"/>
  <c r="F9" i="1"/>
  <c r="B12" i="1"/>
  <c r="C13" i="1"/>
  <c r="B16" i="1"/>
  <c r="C16" i="1"/>
  <c r="D16" i="1"/>
  <c r="C17" i="1"/>
  <c r="D17" i="1"/>
  <c r="B18" i="1"/>
  <c r="D18" i="1"/>
  <c r="B22" i="1"/>
  <c r="C22" i="1"/>
  <c r="C23" i="1"/>
  <c r="D23" i="1"/>
  <c r="D24" i="1"/>
  <c r="B27" i="1"/>
  <c r="C27" i="1"/>
  <c r="D27" i="1"/>
  <c r="E27" i="1"/>
  <c r="C28" i="1"/>
  <c r="D28" i="1"/>
  <c r="E28" i="1"/>
  <c r="B29" i="1"/>
  <c r="D29" i="1"/>
  <c r="E29" i="1"/>
  <c r="E30" i="1"/>
  <c r="B34" i="1"/>
  <c r="C34" i="1"/>
  <c r="D34" i="1"/>
  <c r="C35" i="1"/>
  <c r="D35" i="1"/>
  <c r="E35" i="1"/>
  <c r="D36" i="1"/>
  <c r="E36" i="1"/>
  <c r="E37" i="1"/>
  <c r="B40" i="1"/>
  <c r="C40" i="1"/>
  <c r="D40" i="1"/>
  <c r="E40" i="1"/>
  <c r="F40" i="1"/>
  <c r="C41" i="1"/>
  <c r="D41" i="1"/>
  <c r="E41" i="1"/>
  <c r="F41" i="1"/>
  <c r="B42" i="1"/>
  <c r="D42" i="1"/>
  <c r="E42" i="1"/>
  <c r="F42" i="1"/>
  <c r="E43" i="1"/>
  <c r="F43" i="1"/>
  <c r="F44" i="1"/>
  <c r="B48" i="1"/>
  <c r="B48" i="1" a="1"/>
  <c r="C48" i="1"/>
  <c r="D48" i="1"/>
  <c r="E48" i="1"/>
  <c r="H48" i="1"/>
  <c r="B49" i="1"/>
  <c r="C49" i="1"/>
  <c r="D49" i="1"/>
  <c r="E49" i="1"/>
  <c r="H49" i="1"/>
  <c r="J49" i="1"/>
  <c r="B50" i="1"/>
  <c r="C50" i="1"/>
  <c r="D50" i="1"/>
  <c r="E50" i="1"/>
  <c r="H50" i="1"/>
  <c r="J50" i="1"/>
  <c r="B51" i="1"/>
  <c r="C51" i="1"/>
  <c r="D51" i="1"/>
  <c r="E51" i="1"/>
  <c r="H51" i="1"/>
  <c r="J51" i="1"/>
  <c r="F6" i="2"/>
  <c r="F7" i="2"/>
  <c r="F8" i="2"/>
  <c r="K8" i="2"/>
  <c r="F9" i="2"/>
  <c r="B12" i="2"/>
  <c r="C13" i="2"/>
  <c r="B16" i="2"/>
  <c r="C16" i="2"/>
  <c r="D16" i="2"/>
  <c r="C17" i="2"/>
  <c r="D17" i="2"/>
  <c r="B18" i="2"/>
  <c r="D18" i="2"/>
  <c r="B22" i="2"/>
  <c r="C22" i="2"/>
  <c r="C23" i="2"/>
  <c r="D23" i="2"/>
  <c r="D24" i="2"/>
  <c r="B27" i="2"/>
  <c r="C27" i="2"/>
  <c r="D27" i="2"/>
  <c r="E27" i="2"/>
  <c r="C28" i="2"/>
  <c r="D28" i="2"/>
  <c r="E28" i="2"/>
  <c r="B29" i="2"/>
  <c r="D29" i="2"/>
  <c r="E29" i="2"/>
  <c r="E30" i="2"/>
  <c r="B34" i="2"/>
  <c r="C34" i="2"/>
  <c r="D34" i="2"/>
  <c r="C35" i="2"/>
  <c r="D35" i="2"/>
  <c r="E35" i="2"/>
  <c r="D36" i="2"/>
  <c r="E36" i="2"/>
  <c r="E37" i="2"/>
  <c r="B40" i="2"/>
  <c r="C40" i="2"/>
  <c r="D40" i="2"/>
  <c r="E40" i="2"/>
  <c r="F40" i="2"/>
  <c r="C41" i="2"/>
  <c r="D41" i="2"/>
  <c r="E41" i="2"/>
  <c r="F41" i="2"/>
  <c r="B42" i="2"/>
  <c r="D42" i="2"/>
  <c r="E42" i="2"/>
  <c r="F42" i="2"/>
  <c r="E43" i="2"/>
  <c r="F43" i="2"/>
  <c r="F44" i="2"/>
  <c r="B48" i="2"/>
  <c r="B48" i="2" a="1"/>
  <c r="C48" i="2"/>
  <c r="D48" i="2"/>
  <c r="E48" i="2"/>
  <c r="H48" i="2"/>
  <c r="B49" i="2"/>
  <c r="C49" i="2"/>
  <c r="D49" i="2"/>
  <c r="E49" i="2"/>
  <c r="H49" i="2"/>
  <c r="J49" i="2"/>
  <c r="B50" i="2"/>
  <c r="C50" i="2"/>
  <c r="D50" i="2"/>
  <c r="E50" i="2"/>
  <c r="H50" i="2"/>
  <c r="J50" i="2"/>
  <c r="B51" i="2"/>
  <c r="C51" i="2"/>
  <c r="D51" i="2"/>
  <c r="E51" i="2"/>
  <c r="H51" i="2"/>
  <c r="J51" i="2"/>
  <c r="B5" i="4"/>
  <c r="D11" i="4"/>
  <c r="D11" i="4" a="1"/>
  <c r="E11" i="4"/>
  <c r="F11" i="4"/>
  <c r="G11" i="4"/>
  <c r="H11" i="4"/>
  <c r="I11" i="4"/>
  <c r="J11" i="4"/>
  <c r="K11" i="4"/>
  <c r="L11" i="4"/>
  <c r="D12" i="4"/>
  <c r="E12" i="4"/>
  <c r="F12" i="4"/>
  <c r="G12" i="4"/>
  <c r="H12" i="4"/>
  <c r="I12" i="4"/>
  <c r="J12" i="4"/>
  <c r="K12" i="4"/>
  <c r="L12" i="4"/>
  <c r="C13" i="4"/>
  <c r="D13" i="4"/>
  <c r="E13" i="4"/>
  <c r="F13" i="4"/>
  <c r="G13" i="4"/>
  <c r="H13" i="4"/>
  <c r="I13" i="4"/>
  <c r="J13" i="4"/>
  <c r="K13" i="4"/>
  <c r="L13" i="4"/>
  <c r="C15" i="4"/>
  <c r="C15" i="4" a="1"/>
  <c r="D15" i="4"/>
  <c r="E15" i="4"/>
  <c r="F15" i="4"/>
  <c r="G15" i="4"/>
  <c r="H15" i="4"/>
  <c r="I15" i="4"/>
  <c r="J15" i="4"/>
  <c r="K15" i="4"/>
  <c r="C16" i="4"/>
  <c r="C16" i="4" a="1"/>
  <c r="D16" i="4"/>
  <c r="E16" i="4"/>
  <c r="F16" i="4"/>
  <c r="G16" i="4"/>
  <c r="H16" i="4"/>
  <c r="I16" i="4"/>
  <c r="J16" i="4"/>
  <c r="K16" i="4"/>
  <c r="B21" i="4"/>
  <c r="C21" i="4"/>
  <c r="D21" i="4"/>
  <c r="E21" i="4"/>
  <c r="F21" i="4"/>
  <c r="G21" i="4"/>
  <c r="H21" i="4"/>
  <c r="I21" i="4"/>
  <c r="J21" i="4"/>
  <c r="K21" i="4"/>
  <c r="C22" i="4"/>
  <c r="D22" i="4"/>
  <c r="E22" i="4"/>
  <c r="F22" i="4"/>
  <c r="G22" i="4"/>
  <c r="H22" i="4"/>
  <c r="I22" i="4"/>
  <c r="J22" i="4"/>
  <c r="K22" i="4"/>
  <c r="C23" i="4"/>
  <c r="D23" i="4"/>
  <c r="E23" i="4"/>
  <c r="F23" i="4"/>
  <c r="G23" i="4"/>
  <c r="H23" i="4"/>
  <c r="I23" i="4"/>
  <c r="J23" i="4"/>
  <c r="K23" i="4"/>
  <c r="C24" i="4"/>
  <c r="D24" i="4"/>
  <c r="E24" i="4"/>
  <c r="F24" i="4"/>
  <c r="G24" i="4"/>
  <c r="H24" i="4"/>
  <c r="I24" i="4"/>
  <c r="J24" i="4"/>
  <c r="K24" i="4"/>
  <c r="C25" i="4"/>
  <c r="D25" i="4"/>
  <c r="E25" i="4"/>
  <c r="F25" i="4"/>
  <c r="G25" i="4"/>
  <c r="H25" i="4"/>
  <c r="I25" i="4"/>
  <c r="J25" i="4"/>
  <c r="K25" i="4"/>
  <c r="C26" i="4"/>
  <c r="D26" i="4"/>
  <c r="E26" i="4"/>
  <c r="F26" i="4"/>
  <c r="G26" i="4"/>
  <c r="H26" i="4"/>
  <c r="I26" i="4"/>
  <c r="J26" i="4"/>
  <c r="K26" i="4"/>
  <c r="C27" i="4"/>
  <c r="D27" i="4"/>
  <c r="E27" i="4"/>
  <c r="F27" i="4"/>
  <c r="G27" i="4"/>
  <c r="H27" i="4"/>
  <c r="I27" i="4"/>
  <c r="J27" i="4"/>
  <c r="K27" i="4"/>
  <c r="C28" i="4"/>
  <c r="D28" i="4"/>
  <c r="E28" i="4"/>
  <c r="F28" i="4"/>
  <c r="G28" i="4"/>
  <c r="H28" i="4"/>
  <c r="I28" i="4"/>
  <c r="J28" i="4"/>
  <c r="K28" i="4"/>
  <c r="C29" i="4"/>
  <c r="D29" i="4"/>
  <c r="E29" i="4"/>
  <c r="F29" i="4"/>
  <c r="G29" i="4"/>
  <c r="H29" i="4"/>
  <c r="I29" i="4"/>
  <c r="J29" i="4"/>
  <c r="K29" i="4"/>
  <c r="C30" i="4"/>
  <c r="D30" i="4"/>
  <c r="E30" i="4"/>
  <c r="F30" i="4"/>
  <c r="G30" i="4"/>
  <c r="H30" i="4"/>
  <c r="I30" i="4"/>
  <c r="J30" i="4"/>
  <c r="K30" i="4"/>
  <c r="B36" i="4"/>
  <c r="C36" i="4"/>
  <c r="D36" i="4"/>
  <c r="E36" i="4"/>
  <c r="F36" i="4"/>
  <c r="G36" i="4"/>
  <c r="H36" i="4"/>
  <c r="I36" i="4"/>
  <c r="J36" i="4"/>
  <c r="K36" i="4"/>
  <c r="B37" i="4"/>
  <c r="C37" i="4"/>
  <c r="D37" i="4"/>
  <c r="E37" i="4"/>
  <c r="F37" i="4"/>
  <c r="G37" i="4"/>
  <c r="H37" i="4"/>
  <c r="I37" i="4"/>
  <c r="J37" i="4"/>
  <c r="K37" i="4"/>
  <c r="B38" i="4"/>
  <c r="C38" i="4"/>
  <c r="D38" i="4"/>
  <c r="E38" i="4"/>
  <c r="F38" i="4"/>
  <c r="G38" i="4"/>
  <c r="H38" i="4"/>
  <c r="I38" i="4"/>
  <c r="J38" i="4"/>
  <c r="K38" i="4"/>
  <c r="B39" i="4"/>
  <c r="C39" i="4"/>
  <c r="D39" i="4"/>
  <c r="E39" i="4"/>
  <c r="F39" i="4"/>
  <c r="G39" i="4"/>
  <c r="H39" i="4"/>
  <c r="I39" i="4"/>
  <c r="J39" i="4"/>
  <c r="K39" i="4"/>
  <c r="B40" i="4"/>
  <c r="C40" i="4"/>
  <c r="D40" i="4"/>
  <c r="E40" i="4"/>
  <c r="F40" i="4"/>
  <c r="G40" i="4"/>
  <c r="H40" i="4"/>
  <c r="I40" i="4"/>
  <c r="J40" i="4"/>
  <c r="K40" i="4"/>
  <c r="B41" i="4"/>
  <c r="C41" i="4"/>
  <c r="D41" i="4"/>
  <c r="E41" i="4"/>
  <c r="F41" i="4"/>
  <c r="G41" i="4"/>
  <c r="H41" i="4"/>
  <c r="I41" i="4"/>
  <c r="J41" i="4"/>
  <c r="K41" i="4"/>
  <c r="B42" i="4"/>
  <c r="C42" i="4"/>
  <c r="D42" i="4"/>
  <c r="E42" i="4"/>
  <c r="F42" i="4"/>
  <c r="G42" i="4"/>
  <c r="H42" i="4"/>
  <c r="I42" i="4"/>
  <c r="J42" i="4"/>
  <c r="K42" i="4"/>
  <c r="B43" i="4"/>
  <c r="C43" i="4"/>
  <c r="D43" i="4"/>
  <c r="E43" i="4"/>
  <c r="F43" i="4"/>
  <c r="G43" i="4"/>
  <c r="H43" i="4"/>
  <c r="I43" i="4"/>
  <c r="J43" i="4"/>
  <c r="K43" i="4"/>
  <c r="B44" i="4"/>
  <c r="C44" i="4"/>
  <c r="D44" i="4"/>
  <c r="E44" i="4"/>
  <c r="F44" i="4"/>
  <c r="G44" i="4"/>
  <c r="H44" i="4"/>
  <c r="I44" i="4"/>
  <c r="J44" i="4"/>
  <c r="K44" i="4"/>
  <c r="B45" i="4"/>
  <c r="C45" i="4"/>
  <c r="D45" i="4"/>
  <c r="E45" i="4"/>
  <c r="F45" i="4"/>
  <c r="G45" i="4"/>
  <c r="H45" i="4"/>
  <c r="I45" i="4"/>
  <c r="J45" i="4"/>
  <c r="K45" i="4"/>
  <c r="B46" i="4"/>
  <c r="C46" i="4"/>
  <c r="D46" i="4"/>
  <c r="E46" i="4"/>
  <c r="F46" i="4"/>
  <c r="G46" i="4"/>
  <c r="H46" i="4"/>
  <c r="I46" i="4"/>
  <c r="J46" i="4"/>
  <c r="K46" i="4"/>
  <c r="B51" i="4"/>
  <c r="C51" i="4"/>
  <c r="D51" i="4"/>
  <c r="E51" i="4"/>
  <c r="F51" i="4"/>
  <c r="B52" i="4"/>
  <c r="C52" i="4"/>
  <c r="D52" i="4"/>
  <c r="E52" i="4"/>
  <c r="F52" i="4"/>
  <c r="B53" i="4"/>
  <c r="C53" i="4"/>
  <c r="D53" i="4"/>
  <c r="E53" i="4"/>
  <c r="F53" i="4"/>
  <c r="B54" i="4"/>
  <c r="C54" i="4"/>
  <c r="D54" i="4"/>
  <c r="E54" i="4"/>
  <c r="F54" i="4"/>
  <c r="B55" i="4"/>
  <c r="C55" i="4"/>
  <c r="D55" i="4"/>
  <c r="E55" i="4"/>
  <c r="F55" i="4"/>
  <c r="B56" i="4"/>
  <c r="C56" i="4"/>
  <c r="D56" i="4"/>
  <c r="E56" i="4"/>
  <c r="F56" i="4"/>
  <c r="B57" i="4"/>
  <c r="C57" i="4"/>
  <c r="D57" i="4"/>
  <c r="E57" i="4"/>
  <c r="F57" i="4"/>
  <c r="B62" i="4"/>
  <c r="C62" i="4"/>
  <c r="D62" i="4"/>
  <c r="E62" i="4"/>
  <c r="F62" i="4"/>
  <c r="B63" i="4"/>
  <c r="C63" i="4"/>
  <c r="D63" i="4"/>
  <c r="E63" i="4"/>
  <c r="F63" i="4"/>
  <c r="B64" i="4"/>
  <c r="C64" i="4"/>
  <c r="D64" i="4"/>
  <c r="E64" i="4"/>
  <c r="F64" i="4"/>
  <c r="B65" i="4"/>
  <c r="C65" i="4"/>
  <c r="D65" i="4"/>
  <c r="E65" i="4"/>
  <c r="F65" i="4"/>
  <c r="B66" i="4"/>
  <c r="C66" i="4"/>
  <c r="D66" i="4"/>
  <c r="E66" i="4"/>
  <c r="F66" i="4"/>
  <c r="B67" i="4"/>
  <c r="C67" i="4"/>
  <c r="D67" i="4"/>
  <c r="E67" i="4"/>
  <c r="F67" i="4"/>
  <c r="B68" i="4"/>
  <c r="C68" i="4"/>
  <c r="D68" i="4"/>
  <c r="E68" i="4"/>
  <c r="F68" i="4"/>
</calcChain>
</file>

<file path=xl/sharedStrings.xml><?xml version="1.0" encoding="utf-8"?>
<sst xmlns="http://schemas.openxmlformats.org/spreadsheetml/2006/main" count="151" uniqueCount="80">
  <si>
    <t>Bond2.XLS</t>
  </si>
  <si>
    <t>Binomial Term Structure Models</t>
  </si>
  <si>
    <t>LnNormally distributed short rates</t>
  </si>
  <si>
    <t>Ln Short Rate</t>
  </si>
  <si>
    <t>Maturity</t>
  </si>
  <si>
    <t>Zero Price</t>
  </si>
  <si>
    <t>Zero Yield</t>
  </si>
  <si>
    <t>Volatility</t>
  </si>
  <si>
    <t>Face (L)</t>
  </si>
  <si>
    <t>delt</t>
  </si>
  <si>
    <t>p</t>
  </si>
  <si>
    <t>p*</t>
  </si>
  <si>
    <t>Short-rate tree : two periods</t>
  </si>
  <si>
    <t>Using Goal Seek</t>
  </si>
  <si>
    <t>=ru</t>
  </si>
  <si>
    <t>Set cell</t>
  </si>
  <si>
    <t>B18</t>
  </si>
  <si>
    <t>=rd</t>
  </si>
  <si>
    <t>To value</t>
  </si>
  <si>
    <t>Changing</t>
  </si>
  <si>
    <t>C12</t>
  </si>
  <si>
    <t>Zero price tree : two periods</t>
  </si>
  <si>
    <t>test value</t>
  </si>
  <si>
    <t>Short-rate tree : three periods</t>
  </si>
  <si>
    <t>=ruu</t>
  </si>
  <si>
    <t>B29</t>
  </si>
  <si>
    <t>=rud</t>
  </si>
  <si>
    <t>=rdd</t>
  </si>
  <si>
    <t>D22</t>
  </si>
  <si>
    <t>Zero price tree : three periods</t>
  </si>
  <si>
    <t>Short-rate tree : four periods</t>
  </si>
  <si>
    <t>=ruuu</t>
  </si>
  <si>
    <t>B42</t>
  </si>
  <si>
    <t>=rudu</t>
  </si>
  <si>
    <t>=rddu</t>
  </si>
  <si>
    <t>E34</t>
  </si>
  <si>
    <t>=rddd</t>
  </si>
  <si>
    <t>Zero price tree : four periods</t>
  </si>
  <si>
    <t>Short-rate tree via fn</t>
  </si>
  <si>
    <t>Ln Short Rate Volatility</t>
  </si>
  <si>
    <t>Normally distributed short rates</t>
  </si>
  <si>
    <t>Short Rate</t>
  </si>
  <si>
    <t>Short Rate Volatility</t>
  </si>
  <si>
    <t>Black, Derman &amp; Toy Short-rate Tree (Jamshidian)</t>
  </si>
  <si>
    <t>Zero yields, given</t>
  </si>
  <si>
    <t>Zero prices, from given yields</t>
  </si>
  <si>
    <r>
      <t>P</t>
    </r>
    <r>
      <rPr>
        <b/>
        <vertAlign val="subscript"/>
        <sz val="10"/>
        <rFont val="Times New Roman"/>
        <family val="1"/>
      </rPr>
      <t>u</t>
    </r>
    <r>
      <rPr>
        <b/>
        <sz val="10"/>
        <rFont val="Times New Roman"/>
      </rPr>
      <t xml:space="preserve"> (guess / goal seek)</t>
    </r>
  </si>
  <si>
    <r>
      <t>P</t>
    </r>
    <r>
      <rPr>
        <b/>
        <vertAlign val="subscript"/>
        <sz val="10"/>
        <rFont val="Times New Roman"/>
        <family val="1"/>
      </rPr>
      <t>u</t>
    </r>
    <r>
      <rPr>
        <b/>
        <sz val="10"/>
        <rFont val="Times New Roman"/>
      </rPr>
      <t xml:space="preserve"> (solution) via fn</t>
    </r>
  </si>
  <si>
    <r>
      <t>P</t>
    </r>
    <r>
      <rPr>
        <b/>
        <vertAlign val="subscript"/>
        <sz val="10"/>
        <rFont val="Times New Roman"/>
        <family val="1"/>
      </rPr>
      <t>d</t>
    </r>
  </si>
  <si>
    <r>
      <t>P</t>
    </r>
    <r>
      <rPr>
        <b/>
        <vertAlign val="subscript"/>
        <sz val="10"/>
        <rFont val="Times New Roman"/>
        <family val="1"/>
      </rPr>
      <t>d</t>
    </r>
    <r>
      <rPr>
        <b/>
        <sz val="10"/>
        <rFont val="Times New Roman"/>
      </rPr>
      <t xml:space="preserve"> (solution)</t>
    </r>
  </si>
  <si>
    <t>Zero prices, from Pu and Pd</t>
  </si>
  <si>
    <r>
      <t>Yield volatilities (</t>
    </r>
    <r>
      <rPr>
        <b/>
        <sz val="10"/>
        <rFont val="Symbol"/>
        <family val="1"/>
        <charset val="2"/>
      </rPr>
      <t>s</t>
    </r>
    <r>
      <rPr>
        <b/>
        <sz val="10"/>
        <rFont val="Times New Roman"/>
      </rPr>
      <t>R(i)), given</t>
    </r>
  </si>
  <si>
    <r>
      <t>y</t>
    </r>
    <r>
      <rPr>
        <b/>
        <vertAlign val="subscript"/>
        <sz val="10"/>
        <rFont val="Times New Roman"/>
        <family val="1"/>
      </rPr>
      <t>u</t>
    </r>
    <r>
      <rPr>
        <b/>
        <sz val="10"/>
        <rFont val="Times New Roman"/>
      </rPr>
      <t xml:space="preserve"> (from P</t>
    </r>
    <r>
      <rPr>
        <b/>
        <vertAlign val="subscript"/>
        <sz val="10"/>
        <rFont val="Times New Roman"/>
        <family val="1"/>
      </rPr>
      <t>u</t>
    </r>
    <r>
      <rPr>
        <b/>
        <sz val="10"/>
        <rFont val="Times New Roman"/>
      </rPr>
      <t>)</t>
    </r>
  </si>
  <si>
    <r>
      <t>y</t>
    </r>
    <r>
      <rPr>
        <b/>
        <vertAlign val="subscript"/>
        <sz val="10"/>
        <rFont val="Times New Roman"/>
        <family val="1"/>
      </rPr>
      <t>u</t>
    </r>
    <r>
      <rPr>
        <b/>
        <sz val="10"/>
        <rFont val="Times New Roman"/>
      </rPr>
      <t xml:space="preserve"> (solution)</t>
    </r>
  </si>
  <si>
    <r>
      <t>y</t>
    </r>
    <r>
      <rPr>
        <b/>
        <vertAlign val="subscript"/>
        <sz val="10"/>
        <rFont val="Times New Roman"/>
        <family val="1"/>
      </rPr>
      <t>d</t>
    </r>
    <r>
      <rPr>
        <b/>
        <sz val="10"/>
        <rFont val="Times New Roman"/>
      </rPr>
      <t xml:space="preserve"> (from P</t>
    </r>
    <r>
      <rPr>
        <b/>
        <vertAlign val="subscript"/>
        <sz val="10"/>
        <rFont val="Times New Roman"/>
        <family val="1"/>
      </rPr>
      <t>d</t>
    </r>
    <r>
      <rPr>
        <b/>
        <sz val="10"/>
        <rFont val="Times New Roman"/>
      </rPr>
      <t>)</t>
    </r>
  </si>
  <si>
    <r>
      <t>y</t>
    </r>
    <r>
      <rPr>
        <b/>
        <vertAlign val="subscript"/>
        <sz val="10"/>
        <rFont val="Times New Roman"/>
        <family val="1"/>
      </rPr>
      <t>d</t>
    </r>
    <r>
      <rPr>
        <b/>
        <sz val="10"/>
        <rFont val="Times New Roman"/>
      </rPr>
      <t xml:space="preserve"> (solution)</t>
    </r>
  </si>
  <si>
    <r>
      <t>Yield volatilities, from y</t>
    </r>
    <r>
      <rPr>
        <b/>
        <vertAlign val="subscript"/>
        <sz val="10"/>
        <rFont val="Times New Roman"/>
        <family val="1"/>
      </rPr>
      <t>u</t>
    </r>
    <r>
      <rPr>
        <b/>
        <sz val="10"/>
        <rFont val="Times New Roman"/>
      </rPr>
      <t xml:space="preserve"> and y</t>
    </r>
    <r>
      <rPr>
        <b/>
        <vertAlign val="subscript"/>
        <sz val="10"/>
        <rFont val="Times New Roman"/>
        <family val="1"/>
      </rPr>
      <t>d</t>
    </r>
  </si>
  <si>
    <t>Yield volatilities</t>
  </si>
  <si>
    <t>y test</t>
  </si>
  <si>
    <t>Kvec</t>
  </si>
  <si>
    <t>Kvec (solution)</t>
  </si>
  <si>
    <t>via fn</t>
  </si>
  <si>
    <t>Xvec</t>
  </si>
  <si>
    <t>Xvec (solution)</t>
  </si>
  <si>
    <t>Short-rate tree</t>
  </si>
  <si>
    <t>Short-rate tree (solution)</t>
  </si>
  <si>
    <t>Zero price tree</t>
  </si>
  <si>
    <t>Zero price tree (solution)</t>
  </si>
  <si>
    <t>Pricing Options on Zero-Coupon Bonds using BDT Tree (Jamshidian)</t>
  </si>
  <si>
    <t>X</t>
  </si>
  <si>
    <t>r0</t>
  </si>
  <si>
    <t>iopt</t>
  </si>
  <si>
    <t>Zvec</t>
  </si>
  <si>
    <t>Sigvec</t>
  </si>
  <si>
    <t>Pu vec via fn</t>
  </si>
  <si>
    <t>Pd vec</t>
  </si>
  <si>
    <t>P vec</t>
  </si>
  <si>
    <t>Zero price</t>
  </si>
  <si>
    <t>European Zero Option Value</t>
  </si>
  <si>
    <t>American Zero Option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</si>
</sst>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2" formatCode="0.0000"/>
    <numFmt numFmtId="173" formatCode="0.000"/>
    <numFmt numFmtId="179" formatCode="#,##0.000"/>
  </numFmts>
  <fonts count="6" x14ac:knownFonts="1">
    <font>
      <sz val="10"/>
      <name val="Times New Roman"/>
    </font>
    <font>
      <b/>
      <sz val="10"/>
      <name val="Times New Roman"/>
    </font>
    <font>
      <sz val="10"/>
      <name val="Times New Roman"/>
    </font>
    <font>
      <b/>
      <sz val="10"/>
      <name val="Symbol"/>
      <family val="1"/>
      <charset val="2"/>
    </font>
    <font>
      <b/>
      <sz val="10"/>
      <name val="Times New Roman"/>
      <family val="1"/>
    </font>
    <font>
      <b/>
      <vertAlign val="subscript"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quotePrefix="1" applyAlignment="1">
      <alignment horizontal="left"/>
    </xf>
    <xf numFmtId="4" fontId="1" fillId="0" borderId="0" xfId="0" applyNumberFormat="1" applyFont="1"/>
    <xf numFmtId="0" fontId="2" fillId="0" borderId="0" xfId="0" applyFont="1"/>
    <xf numFmtId="2" fontId="1" fillId="0" borderId="0" xfId="0" applyNumberFormat="1" applyFont="1"/>
    <xf numFmtId="10" fontId="2" fillId="0" borderId="0" xfId="1" applyNumberFormat="1" applyFont="1"/>
    <xf numFmtId="172" fontId="1" fillId="0" borderId="0" xfId="0" applyNumberFormat="1" applyFont="1"/>
    <xf numFmtId="2" fontId="2" fillId="0" borderId="0" xfId="0" applyNumberFormat="1" applyFont="1"/>
    <xf numFmtId="0" fontId="1" fillId="0" borderId="0" xfId="0" quotePrefix="1" applyFont="1" applyAlignment="1">
      <alignment horizontal="left"/>
    </xf>
    <xf numFmtId="0" fontId="0" fillId="0" borderId="0" xfId="0" quotePrefix="1" applyAlignment="1">
      <alignment horizontal="right"/>
    </xf>
    <xf numFmtId="4" fontId="0" fillId="0" borderId="0" xfId="0" applyNumberFormat="1"/>
    <xf numFmtId="2" fontId="0" fillId="0" borderId="0" xfId="0" applyNumberFormat="1"/>
    <xf numFmtId="10" fontId="1" fillId="0" borderId="0" xfId="1" applyNumberFormat="1" applyFont="1"/>
    <xf numFmtId="4" fontId="2" fillId="0" borderId="0" xfId="0" applyNumberFormat="1" applyFont="1"/>
    <xf numFmtId="173" fontId="0" fillId="0" borderId="0" xfId="0" applyNumberFormat="1"/>
    <xf numFmtId="172" fontId="0" fillId="0" borderId="0" xfId="0" applyNumberFormat="1"/>
    <xf numFmtId="10" fontId="0" fillId="0" borderId="0" xfId="0" applyNumberFormat="1"/>
    <xf numFmtId="10" fontId="1" fillId="0" borderId="0" xfId="0" applyNumberFormat="1" applyFont="1"/>
    <xf numFmtId="10" fontId="0" fillId="0" borderId="0" xfId="1" applyNumberFormat="1" applyFont="1"/>
    <xf numFmtId="10" fontId="2" fillId="0" borderId="0" xfId="0" applyNumberFormat="1" applyFont="1"/>
    <xf numFmtId="172" fontId="2" fillId="0" borderId="0" xfId="0" applyNumberFormat="1" applyFont="1"/>
    <xf numFmtId="2" fontId="1" fillId="0" borderId="0" xfId="0" quotePrefix="1" applyNumberFormat="1" applyFont="1"/>
    <xf numFmtId="10" fontId="2" fillId="0" borderId="0" xfId="1" quotePrefix="1" applyNumberFormat="1" applyFont="1"/>
    <xf numFmtId="10" fontId="4" fillId="0" borderId="0" xfId="1" quotePrefix="1" applyNumberFormat="1" applyFont="1"/>
    <xf numFmtId="2" fontId="4" fillId="0" borderId="0" xfId="0" quotePrefix="1" applyNumberFormat="1" applyFont="1"/>
    <xf numFmtId="0" fontId="4" fillId="0" borderId="0" xfId="0" applyFont="1"/>
    <xf numFmtId="173" fontId="2" fillId="0" borderId="0" xfId="0" applyNumberFormat="1" applyFont="1"/>
    <xf numFmtId="173" fontId="1" fillId="0" borderId="0" xfId="0" applyNumberFormat="1" applyFont="1"/>
    <xf numFmtId="179" fontId="2" fillId="0" borderId="0" xfId="0" applyNumberFormat="1" applyFont="1"/>
    <xf numFmtId="179" fontId="0" fillId="0" borderId="0" xfId="0" applyNumberFormat="1"/>
    <xf numFmtId="179" fontId="1" fillId="0" borderId="0" xfId="0" applyNumberFormat="1" applyFont="1"/>
    <xf numFmtId="173" fontId="1" fillId="0" borderId="0" xfId="0" quotePrefix="1" applyNumberFormat="1" applyFont="1"/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1"/>
  <sheetViews>
    <sheetView tabSelected="1" workbookViewId="0"/>
  </sheetViews>
  <sheetFormatPr defaultRowHeight="13" x14ac:dyDescent="0.3"/>
  <cols>
    <col min="2" max="2" width="10.796875" customWidth="1"/>
  </cols>
  <sheetData>
    <row r="1" spans="1:11" x14ac:dyDescent="0.3">
      <c r="A1" s="10" t="s">
        <v>0</v>
      </c>
      <c r="C1" s="1" t="s">
        <v>1</v>
      </c>
    </row>
    <row r="3" spans="1:11" x14ac:dyDescent="0.3">
      <c r="B3" s="10" t="s">
        <v>2</v>
      </c>
    </row>
    <row r="4" spans="1:11" x14ac:dyDescent="0.3">
      <c r="F4" s="2"/>
      <c r="H4" s="3" t="s">
        <v>3</v>
      </c>
    </row>
    <row r="5" spans="1:11" x14ac:dyDescent="0.3">
      <c r="B5" s="2" t="s">
        <v>4</v>
      </c>
      <c r="C5" s="2"/>
      <c r="D5" s="11" t="s">
        <v>5</v>
      </c>
      <c r="F5" s="11" t="s">
        <v>6</v>
      </c>
      <c r="H5" s="2" t="s">
        <v>7</v>
      </c>
      <c r="J5" s="3" t="s">
        <v>8</v>
      </c>
      <c r="K5" s="4">
        <v>1</v>
      </c>
    </row>
    <row r="6" spans="1:11" x14ac:dyDescent="0.3">
      <c r="B6">
        <v>1</v>
      </c>
      <c r="D6" s="29">
        <v>0.94099999999999995</v>
      </c>
      <c r="F6" s="7">
        <f t="shared" ref="F6:F9" si="0">-LN(D6/$K$5)/B6</f>
        <v>6.0812139396757475E-2</v>
      </c>
      <c r="J6" t="s">
        <v>9</v>
      </c>
      <c r="K6" s="9">
        <v>1</v>
      </c>
    </row>
    <row r="7" spans="1:11" x14ac:dyDescent="0.3">
      <c r="B7">
        <v>2</v>
      </c>
      <c r="D7" s="29">
        <v>0.88500000000000001</v>
      </c>
      <c r="F7" s="7">
        <f t="shared" si="0"/>
        <v>6.1083816987103766E-2</v>
      </c>
      <c r="H7" s="6">
        <v>0.17</v>
      </c>
      <c r="I7" s="2"/>
      <c r="J7" t="s">
        <v>10</v>
      </c>
      <c r="K7" s="9">
        <v>0.5</v>
      </c>
    </row>
    <row r="8" spans="1:11" x14ac:dyDescent="0.3">
      <c r="B8">
        <v>3</v>
      </c>
      <c r="D8" s="29">
        <v>0.83</v>
      </c>
      <c r="F8" s="7">
        <f t="shared" si="0"/>
        <v>6.2109859397164492E-2</v>
      </c>
      <c r="H8" s="6">
        <v>0.16</v>
      </c>
      <c r="I8" s="8"/>
      <c r="J8" t="s">
        <v>11</v>
      </c>
      <c r="K8" s="13">
        <f>1-K7</f>
        <v>0.5</v>
      </c>
    </row>
    <row r="9" spans="1:11" x14ac:dyDescent="0.3">
      <c r="B9">
        <v>4</v>
      </c>
      <c r="D9" s="29">
        <v>0.77700000000000002</v>
      </c>
      <c r="F9" s="7">
        <f t="shared" si="0"/>
        <v>6.3078732153622391E-2</v>
      </c>
      <c r="H9" s="6">
        <v>0.15</v>
      </c>
      <c r="I9" s="8"/>
    </row>
    <row r="11" spans="1:11" x14ac:dyDescent="0.3">
      <c r="A11" s="10" t="s">
        <v>12</v>
      </c>
      <c r="J11" s="10" t="s">
        <v>13</v>
      </c>
    </row>
    <row r="12" spans="1:11" x14ac:dyDescent="0.3">
      <c r="B12" s="7">
        <f>F6</f>
        <v>6.0812139396757475E-2</v>
      </c>
      <c r="C12" s="14">
        <v>7.0000000000000007E-2</v>
      </c>
      <c r="D12" s="11" t="s">
        <v>14</v>
      </c>
      <c r="J12" t="s">
        <v>15</v>
      </c>
      <c r="K12" s="11" t="s">
        <v>16</v>
      </c>
    </row>
    <row r="13" spans="1:11" x14ac:dyDescent="0.3">
      <c r="C13" s="7">
        <f>C12*EXP(-2*$H$7)</f>
        <v>4.9823922593382683E-2</v>
      </c>
      <c r="D13" s="11" t="s">
        <v>17</v>
      </c>
      <c r="J13" t="s">
        <v>18</v>
      </c>
      <c r="K13" s="13">
        <v>0</v>
      </c>
    </row>
    <row r="14" spans="1:11" x14ac:dyDescent="0.3">
      <c r="J14" s="3" t="s">
        <v>19</v>
      </c>
      <c r="K14" s="11" t="s">
        <v>20</v>
      </c>
    </row>
    <row r="15" spans="1:11" x14ac:dyDescent="0.3">
      <c r="A15" s="10" t="s">
        <v>21</v>
      </c>
    </row>
    <row r="16" spans="1:11" x14ac:dyDescent="0.3">
      <c r="B16" s="28">
        <f t="shared" ref="B16:C16" si="1">($K$7*C16+$K$8*C17)/EXP(B12)</f>
        <v>0.88632354748133035</v>
      </c>
      <c r="C16" s="6">
        <f t="shared" si="1"/>
        <v>0.93239381990594816</v>
      </c>
      <c r="D16" s="15">
        <f>$K$5</f>
        <v>1</v>
      </c>
    </row>
    <row r="17" spans="1:11" x14ac:dyDescent="0.3">
      <c r="B17" s="16"/>
      <c r="C17" s="9">
        <f>($K$7*D17+$K$8*D18)/EXP(C13)</f>
        <v>0.95139692925734709</v>
      </c>
      <c r="D17" s="12">
        <f>$K$5</f>
        <v>1</v>
      </c>
    </row>
    <row r="18" spans="1:11" x14ac:dyDescent="0.3">
      <c r="A18" t="s">
        <v>22</v>
      </c>
      <c r="B18" s="29">
        <f>100*(B16-D7)</f>
        <v>0.13235474813303449</v>
      </c>
      <c r="C18" s="11"/>
      <c r="D18" s="12">
        <f>$K$5</f>
        <v>1</v>
      </c>
    </row>
    <row r="21" spans="1:11" x14ac:dyDescent="0.3">
      <c r="A21" s="10" t="s">
        <v>23</v>
      </c>
      <c r="J21" s="10" t="s">
        <v>13</v>
      </c>
    </row>
    <row r="22" spans="1:11" x14ac:dyDescent="0.3">
      <c r="B22" s="7">
        <f>B12</f>
        <v>6.0812139396757475E-2</v>
      </c>
      <c r="C22" s="7">
        <f>C12</f>
        <v>7.0000000000000007E-2</v>
      </c>
      <c r="D22" s="14">
        <v>7.0000000000000007E-2</v>
      </c>
      <c r="E22" s="11" t="s">
        <v>24</v>
      </c>
      <c r="H22" s="13"/>
      <c r="J22" t="s">
        <v>15</v>
      </c>
      <c r="K22" s="11" t="s">
        <v>25</v>
      </c>
    </row>
    <row r="23" spans="1:11" x14ac:dyDescent="0.3">
      <c r="C23" s="7">
        <f>C13</f>
        <v>4.9823922593382683E-2</v>
      </c>
      <c r="D23" s="7">
        <f t="shared" ref="D23:D24" si="2">D22*EXP(-2*$H$8)</f>
        <v>5.0830432595158369E-2</v>
      </c>
      <c r="E23" s="11" t="s">
        <v>26</v>
      </c>
      <c r="H23" s="13"/>
      <c r="J23" t="s">
        <v>18</v>
      </c>
      <c r="K23" s="13">
        <v>0</v>
      </c>
    </row>
    <row r="24" spans="1:11" x14ac:dyDescent="0.3">
      <c r="D24" s="7">
        <f t="shared" si="2"/>
        <v>3.6910469683013404E-2</v>
      </c>
      <c r="E24" s="11" t="s">
        <v>27</v>
      </c>
      <c r="J24" s="3" t="s">
        <v>19</v>
      </c>
      <c r="K24" s="11" t="s">
        <v>28</v>
      </c>
    </row>
    <row r="26" spans="1:11" x14ac:dyDescent="0.3">
      <c r="A26" s="10" t="s">
        <v>29</v>
      </c>
    </row>
    <row r="27" spans="1:11" x14ac:dyDescent="0.3">
      <c r="B27" s="30">
        <f t="shared" ref="B27:D27" si="3">($K$7*C27+$K$8*C28)/EXP(B22)</f>
        <v>0.84142069376219519</v>
      </c>
      <c r="C27" s="15">
        <f t="shared" si="3"/>
        <v>0.87777122510482219</v>
      </c>
      <c r="D27" s="4">
        <f t="shared" si="3"/>
        <v>0.93239381990594816</v>
      </c>
      <c r="E27" s="15">
        <f>$K$5</f>
        <v>1</v>
      </c>
      <c r="G27" s="16"/>
    </row>
    <row r="28" spans="1:11" x14ac:dyDescent="0.3">
      <c r="B28" s="31"/>
      <c r="C28" s="15">
        <f t="shared" ref="C28:D28" si="4">($K$7*D28+$K$8*D29)/EXP(C23)</f>
        <v>0.91058306556934432</v>
      </c>
      <c r="D28" s="15">
        <f t="shared" si="4"/>
        <v>0.95043982048296871</v>
      </c>
      <c r="E28" s="12">
        <f>$K$5</f>
        <v>1</v>
      </c>
      <c r="G28" s="16"/>
    </row>
    <row r="29" spans="1:11" x14ac:dyDescent="0.3">
      <c r="A29" t="s">
        <v>22</v>
      </c>
      <c r="B29" s="32">
        <f>100*(B27-D8)</f>
        <v>1.1420693762195233</v>
      </c>
      <c r="C29" s="11"/>
      <c r="D29" s="15">
        <f>($K$7*E29+$K$8*E30)/EXP(D24)</f>
        <v>0.96376241744129754</v>
      </c>
      <c r="E29" s="12">
        <f>$K$5</f>
        <v>1</v>
      </c>
    </row>
    <row r="30" spans="1:11" x14ac:dyDescent="0.3">
      <c r="E30" s="12">
        <f>$K$5</f>
        <v>1</v>
      </c>
    </row>
    <row r="31" spans="1:11" x14ac:dyDescent="0.3">
      <c r="E31" s="12"/>
    </row>
    <row r="33" spans="1:11" x14ac:dyDescent="0.3">
      <c r="A33" s="10" t="s">
        <v>30</v>
      </c>
      <c r="J33" s="10" t="s">
        <v>13</v>
      </c>
    </row>
    <row r="34" spans="1:11" x14ac:dyDescent="0.3">
      <c r="B34" s="7">
        <f>B22</f>
        <v>6.0812139396757475E-2</v>
      </c>
      <c r="C34" s="7">
        <f>C22</f>
        <v>7.0000000000000007E-2</v>
      </c>
      <c r="D34" s="7">
        <f>D22</f>
        <v>7.0000000000000007E-2</v>
      </c>
      <c r="E34" s="14">
        <v>7.0000000000000007E-2</v>
      </c>
      <c r="F34" s="11" t="s">
        <v>31</v>
      </c>
      <c r="J34" t="s">
        <v>15</v>
      </c>
      <c r="K34" s="11" t="s">
        <v>32</v>
      </c>
    </row>
    <row r="35" spans="1:11" x14ac:dyDescent="0.3">
      <c r="C35" s="7">
        <f>C23</f>
        <v>4.9823922593382683E-2</v>
      </c>
      <c r="D35" s="7">
        <f>D23</f>
        <v>5.0830432595158369E-2</v>
      </c>
      <c r="E35" s="7">
        <f t="shared" ref="E35:E37" si="5">E34*EXP(-2*$H$9)</f>
        <v>5.1857275447720258E-2</v>
      </c>
      <c r="F35" s="11" t="s">
        <v>33</v>
      </c>
      <c r="J35" t="s">
        <v>18</v>
      </c>
      <c r="K35" s="13">
        <v>0</v>
      </c>
    </row>
    <row r="36" spans="1:11" x14ac:dyDescent="0.3">
      <c r="C36" s="13"/>
      <c r="D36" s="7">
        <f>D24</f>
        <v>3.6910469683013404E-2</v>
      </c>
      <c r="E36" s="7">
        <f t="shared" si="5"/>
        <v>3.8416814526581855E-2</v>
      </c>
      <c r="F36" s="11" t="s">
        <v>34</v>
      </c>
      <c r="J36" s="3" t="s">
        <v>19</v>
      </c>
      <c r="K36" s="11" t="s">
        <v>35</v>
      </c>
    </row>
    <row r="37" spans="1:11" x14ac:dyDescent="0.3">
      <c r="E37" s="7">
        <f t="shared" si="5"/>
        <v>2.8459876181841943E-2</v>
      </c>
      <c r="F37" s="11" t="s">
        <v>36</v>
      </c>
    </row>
    <row r="39" spans="1:11" x14ac:dyDescent="0.3">
      <c r="A39" s="10" t="s">
        <v>37</v>
      </c>
    </row>
    <row r="40" spans="1:11" x14ac:dyDescent="0.3">
      <c r="B40" s="30">
        <f t="shared" ref="B40:E40" si="6">($K$7*C40+$K$8*C41)/EXP(B34)</f>
        <v>0.80366883791474919</v>
      </c>
      <c r="C40" s="15">
        <f t="shared" si="6"/>
        <v>0.83254868373587021</v>
      </c>
      <c r="D40" s="15">
        <f t="shared" si="6"/>
        <v>0.87731647266091273</v>
      </c>
      <c r="E40" s="4">
        <f t="shared" si="6"/>
        <v>0.93239381990594816</v>
      </c>
      <c r="F40" s="15">
        <f>$K$5</f>
        <v>1</v>
      </c>
      <c r="G40" s="16"/>
    </row>
    <row r="41" spans="1:11" x14ac:dyDescent="0.3">
      <c r="B41" s="31"/>
      <c r="C41" s="15">
        <f t="shared" ref="C41:E41" si="7">($K$7*D41+$K$8*D42)/EXP(C35)</f>
        <v>0.87556786868655112</v>
      </c>
      <c r="D41" s="15">
        <f t="shared" si="7"/>
        <v>0.90851407653738747</v>
      </c>
      <c r="E41" s="15">
        <f t="shared" si="7"/>
        <v>0.94946436904989184</v>
      </c>
      <c r="F41" s="15">
        <f>$K$5</f>
        <v>1</v>
      </c>
    </row>
    <row r="42" spans="1:11" x14ac:dyDescent="0.3">
      <c r="A42" t="s">
        <v>22</v>
      </c>
      <c r="B42" s="32">
        <f>100*(B40-D9)</f>
        <v>2.6668837914749166</v>
      </c>
      <c r="D42" s="15">
        <f t="shared" ref="D42:E42" si="8">($K$7*E42+$K$8*E43)/EXP(D36)</f>
        <v>0.93208019439433087</v>
      </c>
      <c r="E42" s="15">
        <f t="shared" si="8"/>
        <v>0.96231175176904316</v>
      </c>
      <c r="F42" s="15">
        <f>$K$5</f>
        <v>1</v>
      </c>
    </row>
    <row r="43" spans="1:11" x14ac:dyDescent="0.3">
      <c r="D43" s="15"/>
      <c r="E43" s="15">
        <f>($K$7*F43+$K$8*F44)/EXP(E37)</f>
        <v>0.97194129135940754</v>
      </c>
      <c r="F43" s="15">
        <f>$K$5</f>
        <v>1</v>
      </c>
    </row>
    <row r="44" spans="1:11" x14ac:dyDescent="0.3">
      <c r="F44" s="15">
        <f>$K$5</f>
        <v>1</v>
      </c>
    </row>
    <row r="45" spans="1:11" x14ac:dyDescent="0.3">
      <c r="F45" s="15"/>
    </row>
    <row r="46" spans="1:11" x14ac:dyDescent="0.3">
      <c r="F46" s="15"/>
    </row>
    <row r="47" spans="1:11" x14ac:dyDescent="0.3">
      <c r="A47" s="10" t="s">
        <v>38</v>
      </c>
      <c r="C47" s="10" t="s">
        <v>2</v>
      </c>
      <c r="H47" s="3" t="s">
        <v>5</v>
      </c>
      <c r="J47" s="3" t="s">
        <v>39</v>
      </c>
    </row>
    <row r="48" spans="1:11" x14ac:dyDescent="0.3">
      <c r="B48" s="7">
        <f t="array" ref="B48:E51">BinZeroRateTree(2,D6:D9,H7:H9,K5,K6)</f>
        <v>6.0812139396757475E-2</v>
      </c>
      <c r="C48" s="7">
        <v>7.1749076067979922E-2</v>
      </c>
      <c r="D48" s="7">
        <v>8.6418323271152231E-2</v>
      </c>
      <c r="E48" s="7">
        <v>0.10075289813074352</v>
      </c>
      <c r="G48">
        <v>1</v>
      </c>
      <c r="H48" s="16">
        <f t="shared" ref="H48:H51" si="9">BinZeroPrice($K$5,$B$48,G48,$K$6)</f>
        <v>0.94099999999999995</v>
      </c>
    </row>
    <row r="49" spans="2:10" x14ac:dyDescent="0.3">
      <c r="B49" s="7">
        <v>0</v>
      </c>
      <c r="C49" s="7">
        <v>5.1068863030825098E-2</v>
      </c>
      <c r="D49" s="7">
        <v>6.2752582228870132E-2</v>
      </c>
      <c r="E49" s="7">
        <v>7.46395827217438E-2</v>
      </c>
      <c r="G49">
        <v>2</v>
      </c>
      <c r="H49" s="16">
        <f t="shared" si="9"/>
        <v>0.88499998493452514</v>
      </c>
      <c r="J49" s="17">
        <f>0.5*LN(C48/C49)/SQRT($K$6)</f>
        <v>0.17000000000000007</v>
      </c>
    </row>
    <row r="50" spans="2:10" x14ac:dyDescent="0.3">
      <c r="B50" s="7">
        <v>0</v>
      </c>
      <c r="C50" s="7">
        <v>0</v>
      </c>
      <c r="D50" s="7">
        <v>4.5567727159381656E-2</v>
      </c>
      <c r="E50" s="7">
        <v>5.5294362864348134E-2</v>
      </c>
      <c r="G50">
        <v>3</v>
      </c>
      <c r="H50" s="16">
        <f t="shared" si="9"/>
        <v>0.82999998279082643</v>
      </c>
      <c r="J50" s="17">
        <f>0.5*LN(D48/D49)/SQRT($K$6)</f>
        <v>0.15999999999999995</v>
      </c>
    </row>
    <row r="51" spans="2:10" x14ac:dyDescent="0.3">
      <c r="B51" s="7">
        <v>0</v>
      </c>
      <c r="C51" s="7">
        <v>0</v>
      </c>
      <c r="D51" s="7">
        <v>0</v>
      </c>
      <c r="E51" s="7">
        <v>4.0963071510895642E-2</v>
      </c>
      <c r="G51">
        <v>4</v>
      </c>
      <c r="H51" s="16">
        <f t="shared" si="9"/>
        <v>0.77699998899686307</v>
      </c>
      <c r="J51" s="17">
        <f>0.5*LN(E48/E49)/SQRT($K$6)</f>
        <v>0.14999999999999994</v>
      </c>
    </row>
  </sheetData>
  <printOptions headings="1" gridLines="1"/>
  <pageMargins left="0.75" right="0.75" top="1" bottom="1" header="0.5" footer="0.5"/>
  <pageSetup paperSize="9" scale="89" orientation="portrait" blackAndWhite="1" horizontalDpi="4294967292" verticalDpi="300" r:id="rId1"/>
  <headerFooter alignWithMargins="0">
    <oddHeader>&amp;L&amp;F&amp;C&amp;A</oddHeader>
    <oddFooter>Prepared by Mike Staunton &amp;D&amp;RPage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1"/>
  <sheetViews>
    <sheetView workbookViewId="0"/>
  </sheetViews>
  <sheetFormatPr defaultRowHeight="13" x14ac:dyDescent="0.3"/>
  <cols>
    <col min="2" max="2" width="10.796875" customWidth="1"/>
    <col min="8" max="8" width="9.296875" customWidth="1"/>
  </cols>
  <sheetData>
    <row r="1" spans="1:11" x14ac:dyDescent="0.3">
      <c r="A1" s="10" t="s">
        <v>0</v>
      </c>
    </row>
    <row r="2" spans="1:11" x14ac:dyDescent="0.3">
      <c r="B2" s="1" t="s">
        <v>1</v>
      </c>
    </row>
    <row r="3" spans="1:11" x14ac:dyDescent="0.3">
      <c r="B3" s="10" t="s">
        <v>40</v>
      </c>
    </row>
    <row r="4" spans="1:11" x14ac:dyDescent="0.3">
      <c r="F4" s="2"/>
      <c r="H4" s="34" t="s">
        <v>41</v>
      </c>
    </row>
    <row r="5" spans="1:11" x14ac:dyDescent="0.3">
      <c r="B5" s="2" t="s">
        <v>4</v>
      </c>
      <c r="C5" s="2"/>
      <c r="D5" s="11" t="s">
        <v>5</v>
      </c>
      <c r="F5" s="11" t="s">
        <v>6</v>
      </c>
      <c r="H5" s="34" t="s">
        <v>7</v>
      </c>
      <c r="J5" s="3" t="s">
        <v>8</v>
      </c>
      <c r="K5" s="4">
        <v>1</v>
      </c>
    </row>
    <row r="6" spans="1:11" x14ac:dyDescent="0.3">
      <c r="B6" s="5">
        <v>1</v>
      </c>
      <c r="D6" s="29">
        <v>0.94099999999999995</v>
      </c>
      <c r="F6" s="7">
        <f t="shared" ref="F6:F9" si="0">-LN(D6/$K$5)/B6</f>
        <v>6.0812139396757475E-2</v>
      </c>
      <c r="J6" t="s">
        <v>9</v>
      </c>
      <c r="K6" s="9">
        <v>1</v>
      </c>
    </row>
    <row r="7" spans="1:11" x14ac:dyDescent="0.3">
      <c r="B7" s="5">
        <v>2</v>
      </c>
      <c r="D7" s="29">
        <v>0.88500000000000001</v>
      </c>
      <c r="F7" s="7">
        <f t="shared" si="0"/>
        <v>6.1083816987103766E-2</v>
      </c>
      <c r="H7" s="8">
        <v>0.01</v>
      </c>
      <c r="J7" t="s">
        <v>10</v>
      </c>
      <c r="K7">
        <v>0.5</v>
      </c>
    </row>
    <row r="8" spans="1:11" x14ac:dyDescent="0.3">
      <c r="B8" s="5">
        <v>3</v>
      </c>
      <c r="D8" s="29">
        <v>0.83</v>
      </c>
      <c r="F8" s="7">
        <f t="shared" si="0"/>
        <v>6.2109859397164492E-2</v>
      </c>
      <c r="H8" s="8">
        <v>9.4999999999999998E-3</v>
      </c>
      <c r="J8" s="3" t="s">
        <v>11</v>
      </c>
      <c r="K8">
        <f>1-K7</f>
        <v>0.5</v>
      </c>
    </row>
    <row r="9" spans="1:11" x14ac:dyDescent="0.3">
      <c r="B9" s="5">
        <v>4</v>
      </c>
      <c r="D9" s="29">
        <v>0.77700000000000002</v>
      </c>
      <c r="F9" s="7">
        <f t="shared" si="0"/>
        <v>6.3078732153622391E-2</v>
      </c>
      <c r="H9" s="8">
        <v>8.9999999999999993E-3</v>
      </c>
    </row>
    <row r="11" spans="1:11" x14ac:dyDescent="0.3">
      <c r="A11" s="10" t="s">
        <v>12</v>
      </c>
      <c r="F11" s="7"/>
      <c r="G11" s="7"/>
      <c r="J11" s="10" t="s">
        <v>13</v>
      </c>
    </row>
    <row r="12" spans="1:11" x14ac:dyDescent="0.3">
      <c r="B12" s="7">
        <f>F6</f>
        <v>6.0812139396757475E-2</v>
      </c>
      <c r="C12" s="14">
        <v>0.1</v>
      </c>
      <c r="D12" s="11" t="s">
        <v>14</v>
      </c>
      <c r="J12" t="s">
        <v>15</v>
      </c>
      <c r="K12" s="11" t="s">
        <v>16</v>
      </c>
    </row>
    <row r="13" spans="1:11" x14ac:dyDescent="0.3">
      <c r="C13" s="24">
        <f>C12-2*$H$7</f>
        <v>0.08</v>
      </c>
      <c r="D13" s="11" t="s">
        <v>17</v>
      </c>
      <c r="J13" t="s">
        <v>18</v>
      </c>
      <c r="K13" s="13">
        <v>0</v>
      </c>
    </row>
    <row r="14" spans="1:11" x14ac:dyDescent="0.3">
      <c r="E14" s="25"/>
      <c r="J14" s="3" t="s">
        <v>19</v>
      </c>
      <c r="K14" s="11" t="s">
        <v>20</v>
      </c>
    </row>
    <row r="15" spans="1:11" x14ac:dyDescent="0.3">
      <c r="A15" s="10" t="s">
        <v>21</v>
      </c>
      <c r="E15" s="26"/>
    </row>
    <row r="16" spans="1:11" x14ac:dyDescent="0.3">
      <c r="B16" s="28">
        <f t="shared" ref="B16:C16" si="1">($K$7*C16+$K$8*C17)/EXP(B12)</f>
        <v>0.86005224616083098</v>
      </c>
      <c r="C16" s="23">
        <f t="shared" si="1"/>
        <v>0.90483741803595952</v>
      </c>
      <c r="D16" s="15">
        <f>$K$5</f>
        <v>1</v>
      </c>
      <c r="E16" s="27"/>
    </row>
    <row r="17" spans="1:11" x14ac:dyDescent="0.3">
      <c r="B17" s="16"/>
      <c r="C17" s="9">
        <f>($K$7*D17+$K$8*D18)/EXP(C13)</f>
        <v>0.92311634638663576</v>
      </c>
      <c r="D17" s="12">
        <f>$K$5</f>
        <v>1</v>
      </c>
      <c r="E17" s="27"/>
      <c r="F17" s="7"/>
      <c r="G17" s="7"/>
    </row>
    <row r="18" spans="1:11" x14ac:dyDescent="0.3">
      <c r="A18" t="s">
        <v>22</v>
      </c>
      <c r="B18" s="33">
        <f>B16-D7</f>
        <v>-2.4947753839169029E-2</v>
      </c>
      <c r="C18" s="11"/>
      <c r="D18" s="12">
        <f>$K$5</f>
        <v>1</v>
      </c>
      <c r="E18" s="27"/>
      <c r="F18" s="7"/>
      <c r="G18" s="7"/>
    </row>
    <row r="19" spans="1:11" x14ac:dyDescent="0.3">
      <c r="E19" s="26"/>
    </row>
    <row r="21" spans="1:11" x14ac:dyDescent="0.3">
      <c r="A21" s="10" t="s">
        <v>23</v>
      </c>
      <c r="J21" s="10" t="s">
        <v>13</v>
      </c>
    </row>
    <row r="22" spans="1:11" x14ac:dyDescent="0.3">
      <c r="B22" s="7">
        <f>B12</f>
        <v>6.0812139396757475E-2</v>
      </c>
      <c r="C22" s="7">
        <f>C12</f>
        <v>0.1</v>
      </c>
      <c r="D22" s="14">
        <v>0.15</v>
      </c>
      <c r="E22" s="11" t="s">
        <v>24</v>
      </c>
      <c r="J22" t="s">
        <v>15</v>
      </c>
      <c r="K22" s="11" t="s">
        <v>25</v>
      </c>
    </row>
    <row r="23" spans="1:11" x14ac:dyDescent="0.3">
      <c r="C23" s="7">
        <f>C13</f>
        <v>0.08</v>
      </c>
      <c r="D23" s="7">
        <f t="shared" ref="D23:D24" si="2">D22-2*$H$8</f>
        <v>0.13100000000000001</v>
      </c>
      <c r="E23" s="11" t="s">
        <v>26</v>
      </c>
      <c r="J23" t="s">
        <v>18</v>
      </c>
      <c r="K23" s="13">
        <v>0</v>
      </c>
    </row>
    <row r="24" spans="1:11" x14ac:dyDescent="0.3">
      <c r="D24" s="7">
        <f t="shared" si="2"/>
        <v>0.112</v>
      </c>
      <c r="E24" s="11" t="s">
        <v>27</v>
      </c>
      <c r="J24" s="3" t="s">
        <v>19</v>
      </c>
      <c r="K24" s="11" t="s">
        <v>28</v>
      </c>
    </row>
    <row r="26" spans="1:11" x14ac:dyDescent="0.3">
      <c r="A26" s="10" t="s">
        <v>29</v>
      </c>
    </row>
    <row r="27" spans="1:11" x14ac:dyDescent="0.3">
      <c r="B27" s="30">
        <f t="shared" ref="B27:D27" si="3">($K$7*C27+$K$8*C28)/EXP(B22)</f>
        <v>0.75459288364882726</v>
      </c>
      <c r="C27" s="15">
        <f t="shared" si="3"/>
        <v>0.78627012455332379</v>
      </c>
      <c r="D27" s="4">
        <f t="shared" si="3"/>
        <v>0.86070797642505781</v>
      </c>
      <c r="E27" s="15">
        <f>$K$5</f>
        <v>1</v>
      </c>
    </row>
    <row r="28" spans="1:11" x14ac:dyDescent="0.3">
      <c r="B28" s="31"/>
      <c r="C28" s="15">
        <f t="shared" ref="C28:D28" si="4">($K$7*D28+$K$8*D29)/EXP(C23)</f>
        <v>0.81754046768647926</v>
      </c>
      <c r="D28" s="15">
        <f t="shared" si="4"/>
        <v>0.87721777439104354</v>
      </c>
      <c r="E28" s="12">
        <f>$K$5</f>
        <v>1</v>
      </c>
    </row>
    <row r="29" spans="1:11" x14ac:dyDescent="0.3">
      <c r="A29" t="s">
        <v>22</v>
      </c>
      <c r="B29" s="32">
        <f>B27-D8</f>
        <v>-7.5407116351172698E-2</v>
      </c>
      <c r="C29" s="11"/>
      <c r="D29" s="15">
        <f>($K$7*E29+$K$8*E30)/EXP(D24)</f>
        <v>0.89404425750035732</v>
      </c>
      <c r="E29" s="12">
        <f>$K$5</f>
        <v>1</v>
      </c>
    </row>
    <row r="30" spans="1:11" x14ac:dyDescent="0.3">
      <c r="E30" s="12">
        <f>$K$5</f>
        <v>1</v>
      </c>
    </row>
    <row r="33" spans="1:11" x14ac:dyDescent="0.3">
      <c r="A33" s="10" t="s">
        <v>30</v>
      </c>
      <c r="J33" s="10" t="s">
        <v>13</v>
      </c>
    </row>
    <row r="34" spans="1:11" x14ac:dyDescent="0.3">
      <c r="B34" s="7">
        <f>B22</f>
        <v>6.0812139396757475E-2</v>
      </c>
      <c r="C34" s="7">
        <f>C22</f>
        <v>0.1</v>
      </c>
      <c r="D34" s="7">
        <f>D22</f>
        <v>0.15</v>
      </c>
      <c r="E34" s="14">
        <v>0.2</v>
      </c>
      <c r="F34" s="11" t="s">
        <v>31</v>
      </c>
      <c r="J34" t="s">
        <v>15</v>
      </c>
      <c r="K34" s="11" t="s">
        <v>32</v>
      </c>
    </row>
    <row r="35" spans="1:11" x14ac:dyDescent="0.3">
      <c r="C35" s="7">
        <f>C23</f>
        <v>0.08</v>
      </c>
      <c r="D35" s="7">
        <f>D23</f>
        <v>0.13100000000000001</v>
      </c>
      <c r="E35" s="7">
        <f t="shared" ref="E35:E37" si="5">E34-2*$H$9</f>
        <v>0.18200000000000002</v>
      </c>
      <c r="F35" s="11" t="s">
        <v>33</v>
      </c>
      <c r="J35" t="s">
        <v>18</v>
      </c>
      <c r="K35" s="13">
        <v>0</v>
      </c>
    </row>
    <row r="36" spans="1:11" x14ac:dyDescent="0.3">
      <c r="C36" s="13"/>
      <c r="D36" s="7">
        <f>D24</f>
        <v>0.112</v>
      </c>
      <c r="E36" s="7">
        <f t="shared" si="5"/>
        <v>0.16400000000000003</v>
      </c>
      <c r="F36" s="11" t="s">
        <v>34</v>
      </c>
      <c r="J36" s="3" t="s">
        <v>19</v>
      </c>
      <c r="K36" s="11" t="s">
        <v>35</v>
      </c>
    </row>
    <row r="37" spans="1:11" x14ac:dyDescent="0.3">
      <c r="E37" s="7">
        <f t="shared" si="5"/>
        <v>0.14600000000000005</v>
      </c>
      <c r="F37" s="11" t="s">
        <v>36</v>
      </c>
    </row>
    <row r="39" spans="1:11" x14ac:dyDescent="0.3">
      <c r="A39" s="10" t="s">
        <v>37</v>
      </c>
    </row>
    <row r="40" spans="1:11" x14ac:dyDescent="0.3">
      <c r="B40" s="30">
        <f t="shared" ref="B40:E40" si="6">($K$7*C40+$K$8*C41)/EXP(B34)</f>
        <v>0.63495925044818913</v>
      </c>
      <c r="C40" s="15">
        <f t="shared" si="6"/>
        <v>0.65554496259590911</v>
      </c>
      <c r="D40" s="15">
        <f t="shared" si="6"/>
        <v>0.71108770628657836</v>
      </c>
      <c r="E40" s="4">
        <f t="shared" si="6"/>
        <v>0.81873075307798182</v>
      </c>
      <c r="F40" s="15">
        <f>$K$5</f>
        <v>1</v>
      </c>
    </row>
    <row r="41" spans="1:11" x14ac:dyDescent="0.3">
      <c r="B41" s="31"/>
      <c r="C41" s="15">
        <f t="shared" ref="C41:E41" si="7">($K$7*D41+$K$8*D42)/EXP(C35)</f>
        <v>0.69399648362765987</v>
      </c>
      <c r="D41" s="15">
        <f t="shared" si="7"/>
        <v>0.73789075001739568</v>
      </c>
      <c r="E41" s="15">
        <f t="shared" si="7"/>
        <v>0.8336013404157353</v>
      </c>
      <c r="F41" s="15">
        <f>$K$5</f>
        <v>1</v>
      </c>
    </row>
    <row r="42" spans="1:11" x14ac:dyDescent="0.3">
      <c r="A42" t="s">
        <v>22</v>
      </c>
      <c r="B42" s="32">
        <f>B40-D9</f>
        <v>-0.1420407495518109</v>
      </c>
      <c r="D42" s="15">
        <f t="shared" ref="D42:E42" si="8">($K$7*E42+$K$8*E43)/EXP(D36)</f>
        <v>0.76570408143408464</v>
      </c>
      <c r="E42" s="15">
        <f t="shared" si="8"/>
        <v>0.84874202188020664</v>
      </c>
      <c r="F42" s="15">
        <f>$K$5</f>
        <v>1</v>
      </c>
    </row>
    <row r="43" spans="1:11" x14ac:dyDescent="0.3">
      <c r="D43" s="15"/>
      <c r="E43" s="15">
        <f>($K$7*F43+$K$8*F44)/EXP(E37)</f>
        <v>0.86415770318464258</v>
      </c>
      <c r="F43" s="15">
        <f>$K$5</f>
        <v>1</v>
      </c>
    </row>
    <row r="44" spans="1:11" x14ac:dyDescent="0.3">
      <c r="F44" s="15">
        <f>$K$5</f>
        <v>1</v>
      </c>
    </row>
    <row r="47" spans="1:11" x14ac:dyDescent="0.3">
      <c r="A47" s="10" t="s">
        <v>38</v>
      </c>
      <c r="C47" s="10" t="s">
        <v>40</v>
      </c>
      <c r="H47" s="3" t="s">
        <v>5</v>
      </c>
      <c r="J47" s="3" t="s">
        <v>42</v>
      </c>
    </row>
    <row r="48" spans="1:11" x14ac:dyDescent="0.3">
      <c r="B48" s="7">
        <f t="array" ref="B48:E51">BinZeroRateTree(1,$D$6:$D$9,$H$7:$H$9,$K$5,$K$6)</f>
        <v>6.0812139396757475E-2</v>
      </c>
      <c r="C48" s="7">
        <v>7.1405517786601036E-2</v>
      </c>
      <c r="D48" s="7">
        <v>8.3347188709073039E-2</v>
      </c>
      <c r="E48" s="7">
        <v>9.3367788962391784E-2</v>
      </c>
      <c r="G48">
        <v>1</v>
      </c>
      <c r="H48" s="16">
        <f t="shared" ref="H48:H51" si="9">BinZeroPrice($K$5,$B$48,G48,$K$6)</f>
        <v>0.94099999999999995</v>
      </c>
    </row>
    <row r="49" spans="2:10" x14ac:dyDescent="0.3">
      <c r="B49" s="7">
        <v>0</v>
      </c>
      <c r="C49" s="7">
        <v>5.1405517786601032E-2</v>
      </c>
      <c r="D49" s="7">
        <v>6.4347188709073036E-2</v>
      </c>
      <c r="E49" s="7">
        <v>7.5367788962391782E-2</v>
      </c>
      <c r="G49">
        <v>2</v>
      </c>
      <c r="H49" s="16">
        <f t="shared" si="9"/>
        <v>0.8849999787224212</v>
      </c>
      <c r="J49" s="17">
        <f>0.5*(C48-C49)/SQRT($K$6)</f>
        <v>1.0000000000000002E-2</v>
      </c>
    </row>
    <row r="50" spans="2:10" x14ac:dyDescent="0.3">
      <c r="B50" s="7">
        <v>0</v>
      </c>
      <c r="C50" s="7">
        <v>0</v>
      </c>
      <c r="D50" s="7">
        <v>4.5347188709073033E-2</v>
      </c>
      <c r="E50" s="7">
        <v>5.736778896239178E-2</v>
      </c>
      <c r="G50">
        <v>3</v>
      </c>
      <c r="H50" s="16">
        <f t="shared" si="9"/>
        <v>0.82999997474506981</v>
      </c>
      <c r="J50" s="17">
        <f>0.5*(D48-D49)/SQRT($K$6)</f>
        <v>9.5000000000000015E-3</v>
      </c>
    </row>
    <row r="51" spans="2:10" x14ac:dyDescent="0.3">
      <c r="B51" s="7">
        <v>0</v>
      </c>
      <c r="C51" s="7">
        <v>0</v>
      </c>
      <c r="D51" s="7">
        <v>0</v>
      </c>
      <c r="E51" s="7">
        <v>3.9367788962391778E-2</v>
      </c>
      <c r="G51">
        <v>4</v>
      </c>
      <c r="H51" s="16">
        <f t="shared" si="9"/>
        <v>0.77699998328307618</v>
      </c>
      <c r="J51" s="17">
        <f>0.5*(E48-E49)/SQRT($K$6)</f>
        <v>9.0000000000000011E-3</v>
      </c>
    </row>
  </sheetData>
  <printOptions headings="1" gridLines="1"/>
  <pageMargins left="0.75" right="0.75" top="1" bottom="1" header="0.5" footer="0.5"/>
  <pageSetup paperSize="9" scale="89" orientation="portrait" blackAndWhite="1" horizontalDpi="4294967292" verticalDpi="300" r:id="rId1"/>
  <headerFooter alignWithMargins="0">
    <oddHeader>&amp;L&amp;F&amp;C&amp;A</oddHeader>
    <oddFooter>Prepared by Mike Staunton &amp;D&amp;RPage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2"/>
  <sheetViews>
    <sheetView workbookViewId="0"/>
  </sheetViews>
  <sheetFormatPr defaultRowHeight="13" x14ac:dyDescent="0.3"/>
  <cols>
    <col min="11" max="11" width="17.796875" customWidth="1"/>
  </cols>
  <sheetData>
    <row r="1" spans="1:16" x14ac:dyDescent="0.3">
      <c r="A1" s="10" t="s">
        <v>0</v>
      </c>
      <c r="D1" s="10" t="s">
        <v>43</v>
      </c>
    </row>
    <row r="2" spans="1:16" x14ac:dyDescent="0.3">
      <c r="J2" s="7"/>
      <c r="K2" s="7"/>
      <c r="L2" s="7"/>
      <c r="M2" s="7"/>
      <c r="N2" s="7"/>
    </row>
    <row r="3" spans="1:16" x14ac:dyDescent="0.3">
      <c r="A3" t="s">
        <v>9</v>
      </c>
      <c r="B3" s="13">
        <v>1</v>
      </c>
      <c r="D3" s="1">
        <v>0</v>
      </c>
      <c r="E3" s="1">
        <v>1</v>
      </c>
      <c r="F3" s="1">
        <v>2</v>
      </c>
      <c r="G3" s="1">
        <v>3</v>
      </c>
      <c r="H3" s="1">
        <v>4</v>
      </c>
      <c r="J3" s="7"/>
      <c r="K3" s="7"/>
      <c r="L3" s="7"/>
      <c r="M3" s="7"/>
      <c r="N3" s="7"/>
      <c r="P3" s="1"/>
    </row>
    <row r="4" spans="1:16" x14ac:dyDescent="0.3">
      <c r="J4" s="7"/>
      <c r="K4" s="7"/>
      <c r="L4" s="1">
        <v>1</v>
      </c>
      <c r="M4" s="1">
        <v>2</v>
      </c>
      <c r="N4" s="1">
        <v>3</v>
      </c>
      <c r="O4" s="1">
        <v>4</v>
      </c>
    </row>
    <row r="5" spans="1:16" x14ac:dyDescent="0.3">
      <c r="A5" s="10" t="s">
        <v>44</v>
      </c>
      <c r="E5" s="14">
        <v>6.2699256110520851E-2</v>
      </c>
      <c r="F5" s="14">
        <v>6.2988006905467797E-2</v>
      </c>
      <c r="G5" s="14">
        <v>6.4079237410593404E-2</v>
      </c>
      <c r="H5" s="14">
        <v>6.5110694389029167E-2</v>
      </c>
      <c r="J5" s="7"/>
      <c r="K5" s="7"/>
      <c r="L5" s="7"/>
      <c r="M5" s="7"/>
      <c r="N5" s="7"/>
    </row>
    <row r="7" spans="1:16" x14ac:dyDescent="0.3">
      <c r="A7" s="10" t="s">
        <v>45</v>
      </c>
      <c r="E7" s="17">
        <f t="shared" ref="E7:H7" si="0">(1+E5)^-((D3+1)*$B$3)</f>
        <v>0.94099999999999984</v>
      </c>
      <c r="F7" s="17">
        <f t="shared" si="0"/>
        <v>0.88500000000000001</v>
      </c>
      <c r="G7" s="17">
        <f t="shared" si="0"/>
        <v>0.83000000000000007</v>
      </c>
      <c r="H7" s="17">
        <f t="shared" si="0"/>
        <v>0.7769999999999998</v>
      </c>
    </row>
    <row r="8" spans="1:16" x14ac:dyDescent="0.3">
      <c r="A8" s="10"/>
      <c r="E8" s="20"/>
      <c r="F8" s="14"/>
      <c r="G8" s="14"/>
      <c r="H8" s="14"/>
    </row>
    <row r="9" spans="1:16" ht="15" x14ac:dyDescent="0.4">
      <c r="A9" s="10" t="s">
        <v>46</v>
      </c>
      <c r="F9" s="8">
        <v>0.9</v>
      </c>
      <c r="G9" s="8">
        <v>0.8</v>
      </c>
      <c r="H9" s="8">
        <v>0.75</v>
      </c>
      <c r="K9" s="10" t="s">
        <v>47</v>
      </c>
      <c r="L9" s="10"/>
      <c r="M9" s="17">
        <f t="array" ref="M9:O9">BDTPuvec(E5,F5:H5,F15:H15,B3)</f>
        <v>0.93104962261875346</v>
      </c>
      <c r="N9" s="17">
        <v>0.86498069793395838</v>
      </c>
      <c r="O9" s="17">
        <v>0.80285647152078143</v>
      </c>
    </row>
    <row r="10" spans="1:16" ht="15" x14ac:dyDescent="0.4">
      <c r="A10" s="10" t="s">
        <v>48</v>
      </c>
      <c r="F10" s="17">
        <f t="shared" ref="F10:H10" si="1">2*F7*(1+$E$5)-F9</f>
        <v>0.98097768331562196</v>
      </c>
      <c r="G10" s="17">
        <f t="shared" si="1"/>
        <v>0.96408076514346464</v>
      </c>
      <c r="H10" s="17">
        <f t="shared" si="1"/>
        <v>0.90143464399574902</v>
      </c>
      <c r="K10" s="10" t="s">
        <v>49</v>
      </c>
      <c r="L10" s="10"/>
      <c r="M10" s="17">
        <f t="shared" ref="M10:O10" si="2">2*F7*(1+$E$5)-M9</f>
        <v>0.94992806069686853</v>
      </c>
      <c r="N10" s="17">
        <f t="shared" si="2"/>
        <v>0.8991000672095063</v>
      </c>
      <c r="O10" s="17">
        <f t="shared" si="2"/>
        <v>0.84857817247496758</v>
      </c>
    </row>
    <row r="12" spans="1:16" x14ac:dyDescent="0.3">
      <c r="A12" s="10" t="s">
        <v>50</v>
      </c>
      <c r="E12" s="17"/>
      <c r="F12" s="22">
        <f t="shared" ref="F12:H12" si="3">0.5*(F9+F10)/(1+$E$5)</f>
        <v>0.88500000000000001</v>
      </c>
      <c r="G12" s="22">
        <f t="shared" si="3"/>
        <v>0.83000000000000007</v>
      </c>
      <c r="H12" s="22">
        <f t="shared" si="3"/>
        <v>0.7769999999999998</v>
      </c>
    </row>
    <row r="15" spans="1:16" x14ac:dyDescent="0.3">
      <c r="A15" s="10" t="s">
        <v>51</v>
      </c>
      <c r="E15" s="20"/>
      <c r="F15" s="14">
        <v>0.17</v>
      </c>
      <c r="G15" s="14">
        <v>0.16</v>
      </c>
      <c r="H15" s="14">
        <v>0.15</v>
      </c>
    </row>
    <row r="17" spans="1:15" ht="15" x14ac:dyDescent="0.4">
      <c r="A17" s="10" t="s">
        <v>52</v>
      </c>
      <c r="F17" s="20">
        <f t="shared" ref="F17:H17" si="4">(F9^-(1/(E3*$B$3)))-1</f>
        <v>0.11111111111111116</v>
      </c>
      <c r="G17" s="20">
        <f t="shared" si="4"/>
        <v>0.1180339887498949</v>
      </c>
      <c r="H17" s="20">
        <f t="shared" si="4"/>
        <v>0.10064241629820891</v>
      </c>
      <c r="K17" s="10" t="s">
        <v>53</v>
      </c>
      <c r="L17" s="10"/>
      <c r="M17" s="20">
        <f t="shared" ref="M17:O17" si="5">(M9^-(1/(E3*$B$3)))-1</f>
        <v>7.4056608483778374E-2</v>
      </c>
      <c r="N17" s="20">
        <f t="shared" si="5"/>
        <v>7.5218657705865555E-2</v>
      </c>
      <c r="O17" s="20">
        <f t="shared" si="5"/>
        <v>7.5938288189790315E-2</v>
      </c>
    </row>
    <row r="18" spans="1:15" ht="15" x14ac:dyDescent="0.4">
      <c r="A18" s="10" t="s">
        <v>54</v>
      </c>
      <c r="F18" s="20">
        <f t="shared" ref="F18:H18" si="6">(F10^-(1/(E3*$B$3)))-1</f>
        <v>1.9391181887119302E-2</v>
      </c>
      <c r="G18" s="20">
        <f t="shared" si="6"/>
        <v>1.845839168364094E-2</v>
      </c>
      <c r="H18" s="20">
        <f t="shared" si="6"/>
        <v>3.5194410496701023E-2</v>
      </c>
      <c r="K18" s="10" t="s">
        <v>55</v>
      </c>
      <c r="L18" s="10"/>
      <c r="M18" s="20">
        <f t="shared" ref="M18:O18" si="7">(M10^-(1/(E3*$B$3)))-1</f>
        <v>5.2711296123201912E-2</v>
      </c>
      <c r="N18" s="20">
        <f t="shared" si="7"/>
        <v>5.4619955863089542E-2</v>
      </c>
      <c r="O18" s="20">
        <f t="shared" si="7"/>
        <v>5.6256467538375876E-2</v>
      </c>
    </row>
    <row r="20" spans="1:15" ht="15" x14ac:dyDescent="0.4">
      <c r="A20" s="10" t="s">
        <v>56</v>
      </c>
      <c r="F20" s="20">
        <f t="shared" ref="F20:H20" si="8">0.5*LN(F17/F18)/SQRT($B$3)</f>
        <v>0.87285614040659354</v>
      </c>
      <c r="G20" s="20">
        <f t="shared" si="8"/>
        <v>0.92772676118035424</v>
      </c>
      <c r="H20" s="20">
        <f t="shared" si="8"/>
        <v>0.52534326234926976</v>
      </c>
      <c r="K20" s="10" t="s">
        <v>57</v>
      </c>
      <c r="L20" s="10"/>
      <c r="M20" s="20">
        <f t="shared" ref="M20:O20" si="9">0.5*LN(M17/M18)/SQRT($B$3)</f>
        <v>0.17000000000001175</v>
      </c>
      <c r="N20" s="20">
        <f t="shared" si="9"/>
        <v>0.1600000000000027</v>
      </c>
      <c r="O20" s="20">
        <f t="shared" si="9"/>
        <v>0.15000000000000085</v>
      </c>
    </row>
    <row r="22" spans="1:15" x14ac:dyDescent="0.3">
      <c r="A22" s="10" t="s">
        <v>58</v>
      </c>
      <c r="F22" s="17">
        <f t="shared" ref="F22:H22" si="10">1000*(F15-F20)</f>
        <v>-702.85614040659345</v>
      </c>
      <c r="G22" s="17">
        <f t="shared" si="10"/>
        <v>-767.72676118035417</v>
      </c>
      <c r="H22" s="17">
        <f t="shared" si="10"/>
        <v>-375.34326234926971</v>
      </c>
    </row>
    <row r="25" spans="1:15" x14ac:dyDescent="0.3">
      <c r="A25" s="1" t="s">
        <v>59</v>
      </c>
      <c r="F25" s="17">
        <f>(1/F9-1)/(1/F10-1)</f>
        <v>5.7299813780261282</v>
      </c>
      <c r="G25" s="17">
        <f t="shared" ref="G25:H25" si="11">(F9/G9-1)/(F10/G10-1)</f>
        <v>7.1320754716980783</v>
      </c>
      <c r="H25" s="17">
        <f t="shared" si="11"/>
        <v>0.95928753180660897</v>
      </c>
      <c r="K25" s="10" t="s">
        <v>60</v>
      </c>
      <c r="L25" s="10"/>
    </row>
    <row r="26" spans="1:15" x14ac:dyDescent="0.3">
      <c r="A26" t="s">
        <v>61</v>
      </c>
      <c r="F26" s="17">
        <f t="array" ref="F26:H26">BDTKvec(F9:H9,F10:H10)</f>
        <v>5.7299813780261282</v>
      </c>
      <c r="G26" s="17">
        <v>7.1320754716980783</v>
      </c>
      <c r="H26" s="17">
        <v>0.95928753180660897</v>
      </c>
      <c r="K26" t="s">
        <v>61</v>
      </c>
      <c r="M26" s="17">
        <f t="array" ref="M26:O26">BDTKvec(M9:O9,M10:O10)</f>
        <v>1.4049475905636268</v>
      </c>
      <c r="N26" s="17">
        <v>1.3511261101359939</v>
      </c>
      <c r="O26" s="17">
        <v>1.2996766253571295</v>
      </c>
    </row>
    <row r="27" spans="1:15" x14ac:dyDescent="0.3">
      <c r="A27" s="1"/>
      <c r="F27" s="17"/>
      <c r="G27" s="17"/>
      <c r="H27" s="17"/>
      <c r="M27" s="17"/>
      <c r="N27" s="17"/>
      <c r="O27" s="17"/>
    </row>
    <row r="28" spans="1:15" x14ac:dyDescent="0.3">
      <c r="A28" s="1" t="s">
        <v>62</v>
      </c>
      <c r="F28" s="20">
        <f>((1/(0.5*(F9+F10)))-1)/(0.5*(1+1/F25))</f>
        <v>0.10774921132194619</v>
      </c>
      <c r="G28" s="20">
        <f t="shared" ref="G28:H28" si="12">(((F9+F10)/(G9+G10))-1)/((0.5*(1+1/G25))^F3)</f>
        <v>0.20387954129165667</v>
      </c>
      <c r="H28" s="20">
        <f t="shared" si="12"/>
        <v>6.4046693395511209E-2</v>
      </c>
      <c r="K28" s="10" t="s">
        <v>63</v>
      </c>
      <c r="L28" s="10"/>
    </row>
    <row r="29" spans="1:15" x14ac:dyDescent="0.3">
      <c r="A29" t="s">
        <v>61</v>
      </c>
      <c r="F29" s="20">
        <f t="array" ref="F29:H29">BDTXvec(F9:H9,F10:H10,F26:H26)</f>
        <v>0.10774921132194619</v>
      </c>
      <c r="G29" s="20">
        <v>0.20387954129165667</v>
      </c>
      <c r="H29" s="20">
        <v>6.4046693395511209E-2</v>
      </c>
      <c r="K29" t="s">
        <v>61</v>
      </c>
      <c r="M29" s="20">
        <f t="array" ref="M29:O29">BDTXvec(M9:O9,M10:O10,M26:O26)</f>
        <v>7.3931456009905167E-2</v>
      </c>
      <c r="N29" s="20">
        <v>8.7535559663929285E-2</v>
      </c>
      <c r="O29" s="20">
        <v>9.8503225034051289E-2</v>
      </c>
    </row>
    <row r="31" spans="1:15" x14ac:dyDescent="0.3">
      <c r="A31" s="10" t="s">
        <v>64</v>
      </c>
      <c r="K31" s="10" t="s">
        <v>65</v>
      </c>
      <c r="L31" s="10"/>
    </row>
    <row r="32" spans="1:15" x14ac:dyDescent="0.3">
      <c r="E32" s="18">
        <f>E5</f>
        <v>6.2699256110520851E-2</v>
      </c>
      <c r="F32" s="18">
        <f>F28</f>
        <v>0.10774921132194619</v>
      </c>
      <c r="G32" s="18">
        <f>G28</f>
        <v>0.20387954129165667</v>
      </c>
      <c r="H32" s="18">
        <f>H28</f>
        <v>6.4046693395511209E-2</v>
      </c>
      <c r="L32" s="18">
        <f>E5</f>
        <v>6.2699256110520851E-2</v>
      </c>
      <c r="M32" s="18">
        <f>M29</f>
        <v>7.3931456009905167E-2</v>
      </c>
      <c r="N32" s="18">
        <f>N29</f>
        <v>8.7535559663929285E-2</v>
      </c>
      <c r="O32" s="18">
        <f>O29</f>
        <v>9.8503225034051289E-2</v>
      </c>
    </row>
    <row r="33" spans="1:16" x14ac:dyDescent="0.3">
      <c r="F33" s="18">
        <f t="shared" ref="F33:H33" si="13">F32/F25</f>
        <v>1.8804460994437611E-2</v>
      </c>
      <c r="G33" s="18">
        <f t="shared" si="13"/>
        <v>2.858628489010015E-2</v>
      </c>
      <c r="H33" s="18">
        <f t="shared" si="13"/>
        <v>6.6764855449432586E-2</v>
      </c>
      <c r="M33" s="18">
        <f t="shared" ref="M33:O33" si="14">M32/M26</f>
        <v>5.2622216306478647E-2</v>
      </c>
      <c r="N33" s="18">
        <f t="shared" si="14"/>
        <v>6.4787112770042343E-2</v>
      </c>
      <c r="O33" s="18">
        <f t="shared" si="14"/>
        <v>7.5790564446740163E-2</v>
      </c>
    </row>
    <row r="34" spans="1:16" x14ac:dyDescent="0.3">
      <c r="F34" s="18"/>
      <c r="G34" s="18">
        <f t="shared" ref="G34:H34" si="15">G33/G25</f>
        <v>4.0081298919981889E-3</v>
      </c>
      <c r="H34" s="18">
        <f t="shared" si="15"/>
        <v>6.9598377166119871E-2</v>
      </c>
      <c r="N34" s="18">
        <f t="shared" ref="N34:O34" si="16">N33/N26</f>
        <v>4.7950455759841228E-2</v>
      </c>
      <c r="O34" s="18">
        <f t="shared" si="16"/>
        <v>5.8314940015108896E-2</v>
      </c>
    </row>
    <row r="35" spans="1:16" x14ac:dyDescent="0.3">
      <c r="F35" s="18"/>
      <c r="G35" s="18"/>
      <c r="H35" s="18">
        <f>H34/H25</f>
        <v>7.2552154446380121E-2</v>
      </c>
      <c r="O35" s="18">
        <f>O34/O26</f>
        <v>4.48688072689504E-2</v>
      </c>
    </row>
    <row r="37" spans="1:16" x14ac:dyDescent="0.3">
      <c r="A37" s="10" t="s">
        <v>66</v>
      </c>
      <c r="K37" s="10" t="s">
        <v>67</v>
      </c>
      <c r="L37" s="10"/>
    </row>
    <row r="38" spans="1:16" x14ac:dyDescent="0.3">
      <c r="E38" s="17">
        <f t="shared" ref="E38:H38" si="17">0.5*(F38+F39)/(1+E32)</f>
        <v>0.78374737396877914</v>
      </c>
      <c r="F38" s="17">
        <f t="shared" si="17"/>
        <v>0.76272200331803885</v>
      </c>
      <c r="G38" s="17">
        <f t="shared" si="17"/>
        <v>0.77965528344289448</v>
      </c>
      <c r="H38" s="17">
        <f t="shared" si="17"/>
        <v>0.93980838078531126</v>
      </c>
      <c r="I38" s="17">
        <v>1</v>
      </c>
      <c r="J38" s="17"/>
      <c r="L38" s="17">
        <f>0.5*(M38+M39)/(1+L32)</f>
        <v>0.77763278986384121</v>
      </c>
      <c r="M38" s="17">
        <f t="shared" ref="M38:O41" si="18">0.5*(N38+N39)/(1+M32)</f>
        <v>0.80363213435812142</v>
      </c>
      <c r="N38" s="17">
        <f t="shared" si="18"/>
        <v>0.84589351676928781</v>
      </c>
      <c r="O38" s="17">
        <f t="shared" si="18"/>
        <v>0.91032959868552232</v>
      </c>
      <c r="P38" s="17">
        <v>1</v>
      </c>
    </row>
    <row r="39" spans="1:16" x14ac:dyDescent="0.3">
      <c r="F39" s="17">
        <f t="shared" ref="F39:H41" si="19">0.5*(G39+G40)/(1+F33)</f>
        <v>0.90305349927235268</v>
      </c>
      <c r="G39" s="17">
        <f t="shared" si="19"/>
        <v>0.91015411182401029</v>
      </c>
      <c r="H39" s="17">
        <f t="shared" si="19"/>
        <v>0.93741370920838563</v>
      </c>
      <c r="I39" s="17">
        <f>$I$38</f>
        <v>1</v>
      </c>
      <c r="J39" s="17"/>
      <c r="M39" s="17">
        <f t="shared" si="18"/>
        <v>0.84914744027278455</v>
      </c>
      <c r="N39" s="17">
        <f t="shared" si="18"/>
        <v>0.88019813952584225</v>
      </c>
      <c r="O39" s="17">
        <f t="shared" si="18"/>
        <v>0.92954895966603124</v>
      </c>
      <c r="P39" s="17">
        <f>$I$38</f>
        <v>1</v>
      </c>
    </row>
    <row r="40" spans="1:16" x14ac:dyDescent="0.3">
      <c r="G40" s="17">
        <f t="shared" si="19"/>
        <v>0.92991575532660964</v>
      </c>
      <c r="H40" s="17">
        <f t="shared" si="19"/>
        <v>0.93493036390862949</v>
      </c>
      <c r="I40" s="17">
        <f>$I$38</f>
        <v>1</v>
      </c>
      <c r="J40" s="17"/>
      <c r="N40" s="17">
        <f t="shared" si="18"/>
        <v>0.90746478157598098</v>
      </c>
      <c r="O40" s="17">
        <f t="shared" si="18"/>
        <v>0.9448983116365377</v>
      </c>
      <c r="P40" s="17">
        <f>$I$38</f>
        <v>1</v>
      </c>
    </row>
    <row r="41" spans="1:16" x14ac:dyDescent="0.3">
      <c r="H41" s="17">
        <f t="shared" si="19"/>
        <v>0.93235559301651916</v>
      </c>
      <c r="I41" s="17">
        <f>$I$38</f>
        <v>1</v>
      </c>
      <c r="J41" s="17"/>
      <c r="O41" s="17">
        <f t="shared" si="18"/>
        <v>0.95705795124057025</v>
      </c>
      <c r="P41" s="17">
        <f>$I$38</f>
        <v>1</v>
      </c>
    </row>
    <row r="42" spans="1:16" x14ac:dyDescent="0.3">
      <c r="I42" s="17">
        <f>$I$38</f>
        <v>1</v>
      </c>
      <c r="J42" s="17"/>
      <c r="P42" s="17">
        <f>$I$38</f>
        <v>1</v>
      </c>
    </row>
  </sheetData>
  <printOptions headings="1" gridLines="1"/>
  <pageMargins left="0.75" right="0.75" top="1" bottom="1" header="0.5" footer="0.5"/>
  <pageSetup paperSize="9" scale="82" orientation="landscape" blackAndWhite="1" horizontalDpi="4294967292" verticalDpi="300" r:id="rId1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8"/>
  <sheetViews>
    <sheetView workbookViewId="0"/>
  </sheetViews>
  <sheetFormatPr defaultRowHeight="13" x14ac:dyDescent="0.3"/>
  <sheetData>
    <row r="1" spans="1:12" x14ac:dyDescent="0.3">
      <c r="A1" s="10" t="s">
        <v>0</v>
      </c>
    </row>
    <row r="2" spans="1:12" x14ac:dyDescent="0.3">
      <c r="A2" s="10" t="s">
        <v>68</v>
      </c>
    </row>
    <row r="4" spans="1:12" x14ac:dyDescent="0.3">
      <c r="A4" t="s">
        <v>9</v>
      </c>
      <c r="B4" s="6">
        <v>1</v>
      </c>
      <c r="E4" t="s">
        <v>69</v>
      </c>
      <c r="F4" s="6">
        <v>0.8</v>
      </c>
    </row>
    <row r="5" spans="1:12" x14ac:dyDescent="0.3">
      <c r="A5" t="s">
        <v>70</v>
      </c>
      <c r="B5" s="21">
        <f>(1+C8)^B4-1</f>
        <v>6.2699256110520851E-2</v>
      </c>
      <c r="E5" t="s">
        <v>71</v>
      </c>
      <c r="F5" s="1">
        <v>-1</v>
      </c>
    </row>
    <row r="8" spans="1:12" x14ac:dyDescent="0.3">
      <c r="A8" s="3" t="s">
        <v>72</v>
      </c>
      <c r="C8" s="19">
        <v>6.2699256110520851E-2</v>
      </c>
      <c r="D8" s="19">
        <v>6.2988006905467797E-2</v>
      </c>
      <c r="E8" s="19">
        <v>6.4079237410593404E-2</v>
      </c>
      <c r="F8" s="19">
        <v>6.5110694389029167E-2</v>
      </c>
      <c r="G8" s="19">
        <v>6.6136165771454758E-2</v>
      </c>
      <c r="H8" s="19">
        <v>6.7173965794715906E-2</v>
      </c>
      <c r="I8" s="19">
        <v>6.8232128449474017E-2</v>
      </c>
      <c r="J8" s="19">
        <v>6.931464971171275E-2</v>
      </c>
      <c r="K8" s="19">
        <v>7.0423499583593507E-2</v>
      </c>
      <c r="L8" s="19">
        <v>7.1345693679235822E-2</v>
      </c>
    </row>
    <row r="9" spans="1:12" x14ac:dyDescent="0.3">
      <c r="A9" s="3" t="s">
        <v>73</v>
      </c>
      <c r="C9" s="1"/>
      <c r="D9" s="19">
        <v>0.17</v>
      </c>
      <c r="E9" s="19">
        <v>0.16</v>
      </c>
      <c r="F9" s="19">
        <v>0.15</v>
      </c>
      <c r="G9" s="19">
        <v>0.14000000000000001</v>
      </c>
      <c r="H9" s="19">
        <v>0.13</v>
      </c>
      <c r="I9" s="19">
        <v>0.12</v>
      </c>
      <c r="J9" s="19">
        <v>0.11</v>
      </c>
      <c r="K9" s="19">
        <v>0.1</v>
      </c>
      <c r="L9" s="19">
        <v>0.09</v>
      </c>
    </row>
    <row r="11" spans="1:12" x14ac:dyDescent="0.3">
      <c r="A11" s="3" t="s">
        <v>74</v>
      </c>
      <c r="D11" s="17">
        <f t="array" ref="D11:L11">BDTPuvec(B5,D8:L8,D9:L9,B4)</f>
        <v>0.93104962261875346</v>
      </c>
      <c r="E11" s="17">
        <v>0.86498069793395838</v>
      </c>
      <c r="F11" s="17">
        <v>0.80285647152078143</v>
      </c>
      <c r="G11" s="17">
        <v>0.74450011023067242</v>
      </c>
      <c r="H11" s="17">
        <v>0.68973716708306598</v>
      </c>
      <c r="I11" s="17">
        <v>0.63839669740281946</v>
      </c>
      <c r="J11" s="17">
        <v>0.59031231453888955</v>
      </c>
      <c r="K11" s="17">
        <v>0.54532317249785445</v>
      </c>
      <c r="L11" s="17">
        <v>0.50436862427469764</v>
      </c>
    </row>
    <row r="12" spans="1:12" x14ac:dyDescent="0.3">
      <c r="A12" s="3" t="s">
        <v>75</v>
      </c>
      <c r="D12" s="17">
        <f t="shared" ref="D12:L12" si="0">2*D13*(1+$B$5)-D11</f>
        <v>0.94992806069686853</v>
      </c>
      <c r="E12" s="17">
        <f t="shared" si="0"/>
        <v>0.8991000672095063</v>
      </c>
      <c r="F12" s="17">
        <f t="shared" si="0"/>
        <v>0.84857817247496758</v>
      </c>
      <c r="G12" s="17">
        <f t="shared" si="0"/>
        <v>0.79853920964180436</v>
      </c>
      <c r="H12" s="17">
        <f t="shared" si="0"/>
        <v>0.74915762569057864</v>
      </c>
      <c r="I12" s="17">
        <f t="shared" si="0"/>
        <v>0.70060436529643666</v>
      </c>
      <c r="J12" s="17">
        <f t="shared" si="0"/>
        <v>0.65304581511042081</v>
      </c>
      <c r="K12" s="17">
        <f t="shared" si="0"/>
        <v>0.60664282112594936</v>
      </c>
      <c r="L12" s="17">
        <f t="shared" si="0"/>
        <v>0.56258142886026463</v>
      </c>
    </row>
    <row r="13" spans="1:12" x14ac:dyDescent="0.3">
      <c r="A13" s="3" t="s">
        <v>76</v>
      </c>
      <c r="B13" s="17">
        <v>1</v>
      </c>
      <c r="C13" s="17">
        <f t="shared" ref="C13:L13" si="1">(1+C8)^-(C20*$B$4)</f>
        <v>0.94099999999999984</v>
      </c>
      <c r="D13" s="17">
        <f t="shared" si="1"/>
        <v>0.88500000000000001</v>
      </c>
      <c r="E13" s="17">
        <f t="shared" si="1"/>
        <v>0.83000000000000007</v>
      </c>
      <c r="F13" s="17">
        <f t="shared" si="1"/>
        <v>0.7769999999999998</v>
      </c>
      <c r="G13" s="17">
        <f t="shared" si="1"/>
        <v>0.7260000000000002</v>
      </c>
      <c r="H13" s="17">
        <f t="shared" si="1"/>
        <v>0.67699999999999971</v>
      </c>
      <c r="I13" s="17">
        <f t="shared" si="1"/>
        <v>0.62999999999999989</v>
      </c>
      <c r="J13" s="17">
        <f t="shared" si="1"/>
        <v>0.58500000000000041</v>
      </c>
      <c r="K13" s="17">
        <f t="shared" si="1"/>
        <v>0.54199999999999959</v>
      </c>
      <c r="L13" s="17">
        <f t="shared" si="1"/>
        <v>0.50199999999999967</v>
      </c>
    </row>
    <row r="14" spans="1:12" x14ac:dyDescent="0.3">
      <c r="A14" s="3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</row>
    <row r="15" spans="1:12" x14ac:dyDescent="0.3">
      <c r="A15" t="s">
        <v>59</v>
      </c>
      <c r="C15" s="17">
        <f t="array" ref="C15:K15">BDTKvec(D11:L11,D12:L12)</f>
        <v>1.4049475905636268</v>
      </c>
      <c r="D15" s="17">
        <v>1.3511261101359939</v>
      </c>
      <c r="E15" s="17">
        <v>1.2996766253571295</v>
      </c>
      <c r="F15" s="17">
        <v>1.2508677170021296</v>
      </c>
      <c r="G15" s="17">
        <v>1.2045125796663787</v>
      </c>
      <c r="H15" s="17">
        <v>1.160442554216562</v>
      </c>
      <c r="I15" s="17">
        <v>1.1185032421503898</v>
      </c>
      <c r="J15" s="17">
        <v>1.0785513291561857</v>
      </c>
      <c r="K15" s="17">
        <v>1.0367672096117175</v>
      </c>
    </row>
    <row r="16" spans="1:12" x14ac:dyDescent="0.3">
      <c r="A16" t="s">
        <v>62</v>
      </c>
      <c r="C16" s="18">
        <f t="array" ref="C16:K16">BDTXvec(D11:L11,D12:L12,C15:K15)</f>
        <v>7.3931456009905167E-2</v>
      </c>
      <c r="D16" s="18">
        <v>8.7535559663929285E-2</v>
      </c>
      <c r="E16" s="18">
        <v>9.8503225034051289E-2</v>
      </c>
      <c r="F16" s="18">
        <v>0.10720108608617526</v>
      </c>
      <c r="G16" s="18">
        <v>0.11278495818370163</v>
      </c>
      <c r="H16" s="18">
        <v>0.11466287380076365</v>
      </c>
      <c r="I16" s="18">
        <v>0.11259611802201619</v>
      </c>
      <c r="J16" s="18">
        <v>0.1067455185751315</v>
      </c>
      <c r="K16" s="18">
        <v>9.3601964099553181E-2</v>
      </c>
    </row>
    <row r="19" spans="1:12" x14ac:dyDescent="0.3">
      <c r="A19" s="1" t="s">
        <v>64</v>
      </c>
    </row>
    <row r="20" spans="1:12" x14ac:dyDescent="0.3">
      <c r="B20">
        <v>0</v>
      </c>
      <c r="C20">
        <v>1</v>
      </c>
      <c r="D20">
        <v>2</v>
      </c>
      <c r="E20">
        <v>3</v>
      </c>
      <c r="F20">
        <v>4</v>
      </c>
      <c r="G20">
        <v>5</v>
      </c>
      <c r="H20">
        <v>6</v>
      </c>
      <c r="I20">
        <v>7</v>
      </c>
      <c r="J20">
        <v>8</v>
      </c>
      <c r="K20">
        <v>9</v>
      </c>
      <c r="L20">
        <v>10</v>
      </c>
    </row>
    <row r="21" spans="1:12" x14ac:dyDescent="0.3">
      <c r="A21">
        <v>0</v>
      </c>
      <c r="B21" s="19">
        <f>B5</f>
        <v>6.2699256110520851E-2</v>
      </c>
      <c r="C21" s="19">
        <f t="shared" ref="C21:K30" si="2">IF($A21&lt;=C$20,C$16/(C$15^$A21),"")</f>
        <v>7.3931456009905167E-2</v>
      </c>
      <c r="D21" s="18">
        <f t="shared" si="2"/>
        <v>8.7535559663929285E-2</v>
      </c>
      <c r="E21" s="18">
        <f t="shared" si="2"/>
        <v>9.8503225034051289E-2</v>
      </c>
      <c r="F21" s="18">
        <f t="shared" si="2"/>
        <v>0.10720108608617526</v>
      </c>
      <c r="G21" s="18">
        <f t="shared" si="2"/>
        <v>0.11278495818370163</v>
      </c>
      <c r="H21" s="18">
        <f t="shared" si="2"/>
        <v>0.11466287380076365</v>
      </c>
      <c r="I21" s="18">
        <f t="shared" si="2"/>
        <v>0.11259611802201619</v>
      </c>
      <c r="J21" s="18">
        <f t="shared" si="2"/>
        <v>0.1067455185751315</v>
      </c>
      <c r="K21" s="18">
        <f t="shared" si="2"/>
        <v>9.3601964099553181E-2</v>
      </c>
    </row>
    <row r="22" spans="1:12" x14ac:dyDescent="0.3">
      <c r="A22">
        <v>1</v>
      </c>
      <c r="C22" s="18">
        <f t="shared" si="2"/>
        <v>5.2622216306478647E-2</v>
      </c>
      <c r="D22" s="18">
        <f t="shared" si="2"/>
        <v>6.4787112770042343E-2</v>
      </c>
      <c r="E22" s="18">
        <f t="shared" si="2"/>
        <v>7.5790564446740163E-2</v>
      </c>
      <c r="F22" s="18">
        <f t="shared" si="2"/>
        <v>8.5701377235233855E-2</v>
      </c>
      <c r="G22" s="18">
        <f t="shared" si="2"/>
        <v>9.3635351002262154E-2</v>
      </c>
      <c r="H22" s="18">
        <f t="shared" si="2"/>
        <v>9.8809607924258566E-2</v>
      </c>
      <c r="I22" s="18">
        <f t="shared" si="2"/>
        <v>0.10066677840427479</v>
      </c>
      <c r="J22" s="18">
        <f t="shared" si="2"/>
        <v>9.8971199320337225E-2</v>
      </c>
      <c r="K22" s="18">
        <f t="shared" si="2"/>
        <v>9.0282527487157219E-2</v>
      </c>
    </row>
    <row r="23" spans="1:12" x14ac:dyDescent="0.3">
      <c r="A23">
        <v>2</v>
      </c>
      <c r="C23" s="18" t="str">
        <f t="shared" si="2"/>
        <v/>
      </c>
      <c r="D23" s="18">
        <f t="shared" si="2"/>
        <v>4.7950455759841228E-2</v>
      </c>
      <c r="E23" s="18">
        <f t="shared" si="2"/>
        <v>5.8314940015108889E-2</v>
      </c>
      <c r="F23" s="18">
        <f t="shared" si="2"/>
        <v>6.8513541496321106E-2</v>
      </c>
      <c r="G23" s="18">
        <f t="shared" si="2"/>
        <v>7.7737130008386404E-2</v>
      </c>
      <c r="H23" s="18">
        <f t="shared" si="2"/>
        <v>8.5148211400233334E-2</v>
      </c>
      <c r="I23" s="18">
        <f t="shared" si="2"/>
        <v>9.0001329107224443E-2</v>
      </c>
      <c r="J23" s="18">
        <f t="shared" si="2"/>
        <v>9.1763086878552405E-2</v>
      </c>
      <c r="K23" s="18">
        <f t="shared" si="2"/>
        <v>8.708080912490393E-2</v>
      </c>
    </row>
    <row r="24" spans="1:12" x14ac:dyDescent="0.3">
      <c r="A24">
        <v>3</v>
      </c>
      <c r="C24" s="18" t="str">
        <f t="shared" si="2"/>
        <v/>
      </c>
      <c r="D24" s="18" t="str">
        <f t="shared" si="2"/>
        <v/>
      </c>
      <c r="E24" s="18">
        <f t="shared" si="2"/>
        <v>4.4868807268950393E-2</v>
      </c>
      <c r="F24" s="18">
        <f t="shared" si="2"/>
        <v>5.4772811357321538E-2</v>
      </c>
      <c r="G24" s="18">
        <f t="shared" si="2"/>
        <v>6.4538246690555717E-2</v>
      </c>
      <c r="H24" s="18">
        <f t="shared" si="2"/>
        <v>7.3375636812731848E-2</v>
      </c>
      <c r="I24" s="18">
        <f t="shared" si="2"/>
        <v>8.04658634106339E-2</v>
      </c>
      <c r="J24" s="18">
        <f t="shared" si="2"/>
        <v>8.5079944178775513E-2</v>
      </c>
      <c r="K24" s="18">
        <f t="shared" si="2"/>
        <v>8.3992634332558408E-2</v>
      </c>
    </row>
    <row r="25" spans="1:12" x14ac:dyDescent="0.3">
      <c r="A25">
        <v>4</v>
      </c>
      <c r="C25" s="18" t="str">
        <f t="shared" si="2"/>
        <v/>
      </c>
      <c r="D25" s="18" t="str">
        <f t="shared" si="2"/>
        <v/>
      </c>
      <c r="E25" s="18" t="str">
        <f t="shared" si="2"/>
        <v/>
      </c>
      <c r="F25" s="18">
        <f t="shared" si="2"/>
        <v>4.3787852714427582E-2</v>
      </c>
      <c r="G25" s="18">
        <f t="shared" si="2"/>
        <v>5.3580384115565878E-2</v>
      </c>
      <c r="H25" s="18">
        <f t="shared" si="2"/>
        <v>6.3230736020594494E-2</v>
      </c>
      <c r="I25" s="18">
        <f t="shared" si="2"/>
        <v>7.1940661750728094E-2</v>
      </c>
      <c r="J25" s="18">
        <f t="shared" si="2"/>
        <v>7.8883537462550404E-2</v>
      </c>
      <c r="K25" s="18">
        <f t="shared" si="2"/>
        <v>8.1013976477916125E-2</v>
      </c>
    </row>
    <row r="26" spans="1:12" x14ac:dyDescent="0.3">
      <c r="A26">
        <v>5</v>
      </c>
      <c r="C26" s="18" t="str">
        <f t="shared" si="2"/>
        <v/>
      </c>
      <c r="D26" s="18" t="str">
        <f t="shared" si="2"/>
        <v/>
      </c>
      <c r="E26" s="18" t="str">
        <f t="shared" si="2"/>
        <v/>
      </c>
      <c r="F26" s="18" t="str">
        <f t="shared" si="2"/>
        <v/>
      </c>
      <c r="G26" s="18">
        <f t="shared" si="2"/>
        <v>4.4483042369226539E-2</v>
      </c>
      <c r="H26" s="18">
        <f t="shared" si="2"/>
        <v>5.4488467172149536E-2</v>
      </c>
      <c r="I26" s="18">
        <f t="shared" si="2"/>
        <v>6.4318688618566572E-2</v>
      </c>
      <c r="J26" s="18">
        <f t="shared" si="2"/>
        <v>7.3138417551499982E-2</v>
      </c>
      <c r="K26" s="18">
        <f t="shared" si="2"/>
        <v>7.8140951726527769E-2</v>
      </c>
    </row>
    <row r="27" spans="1:12" x14ac:dyDescent="0.3">
      <c r="A27">
        <v>6</v>
      </c>
      <c r="C27" s="18" t="str">
        <f t="shared" si="2"/>
        <v/>
      </c>
      <c r="D27" s="18" t="str">
        <f t="shared" si="2"/>
        <v/>
      </c>
      <c r="E27" s="18" t="str">
        <f t="shared" si="2"/>
        <v/>
      </c>
      <c r="F27" s="18" t="str">
        <f t="shared" si="2"/>
        <v/>
      </c>
      <c r="G27" s="18" t="str">
        <f t="shared" si="2"/>
        <v/>
      </c>
      <c r="H27" s="18">
        <f t="shared" si="2"/>
        <v>4.6954902656888335E-2</v>
      </c>
      <c r="I27" s="18">
        <f t="shared" si="2"/>
        <v>5.7504248709114192E-2</v>
      </c>
      <c r="J27" s="18">
        <f t="shared" si="2"/>
        <v>6.7811717045233713E-2</v>
      </c>
      <c r="K27" s="18">
        <f t="shared" si="2"/>
        <v>7.5369813977616593E-2</v>
      </c>
    </row>
    <row r="28" spans="1:12" x14ac:dyDescent="0.3">
      <c r="A28">
        <v>7</v>
      </c>
      <c r="C28" s="18" t="str">
        <f t="shared" si="2"/>
        <v/>
      </c>
      <c r="D28" s="18" t="str">
        <f t="shared" si="2"/>
        <v/>
      </c>
      <c r="E28" s="18" t="str">
        <f t="shared" si="2"/>
        <v/>
      </c>
      <c r="F28" s="18" t="str">
        <f t="shared" si="2"/>
        <v/>
      </c>
      <c r="G28" s="18" t="str">
        <f t="shared" si="2"/>
        <v/>
      </c>
      <c r="H28" s="18" t="str">
        <f t="shared" si="2"/>
        <v/>
      </c>
      <c r="I28" s="18">
        <f t="shared" si="2"/>
        <v>5.1411785448702681E-2</v>
      </c>
      <c r="J28" s="18">
        <f t="shared" si="2"/>
        <v>6.2872962289413539E-2</v>
      </c>
      <c r="K28" s="18">
        <f t="shared" si="2"/>
        <v>7.269694997958466E-2</v>
      </c>
    </row>
    <row r="29" spans="1:12" x14ac:dyDescent="0.3">
      <c r="A29">
        <v>8</v>
      </c>
      <c r="C29" s="18" t="str">
        <f t="shared" si="2"/>
        <v/>
      </c>
      <c r="D29" s="18" t="str">
        <f t="shared" si="2"/>
        <v/>
      </c>
      <c r="E29" s="18" t="str">
        <f t="shared" si="2"/>
        <v/>
      </c>
      <c r="F29" s="18" t="str">
        <f t="shared" si="2"/>
        <v/>
      </c>
      <c r="G29" s="18" t="str">
        <f t="shared" si="2"/>
        <v/>
      </c>
      <c r="H29" s="18" t="str">
        <f t="shared" si="2"/>
        <v/>
      </c>
      <c r="I29" s="18" t="str">
        <f t="shared" si="2"/>
        <v/>
      </c>
      <c r="J29" s="18">
        <f t="shared" si="2"/>
        <v>5.8293899038261598E-2</v>
      </c>
      <c r="K29" s="18">
        <f t="shared" si="2"/>
        <v>7.0118874618739724E-2</v>
      </c>
    </row>
    <row r="30" spans="1:12" x14ac:dyDescent="0.3">
      <c r="A30">
        <v>9</v>
      </c>
      <c r="C30" s="18" t="str">
        <f t="shared" si="2"/>
        <v/>
      </c>
      <c r="D30" s="18" t="str">
        <f t="shared" si="2"/>
        <v/>
      </c>
      <c r="E30" s="18" t="str">
        <f t="shared" si="2"/>
        <v/>
      </c>
      <c r="F30" s="18" t="str">
        <f t="shared" si="2"/>
        <v/>
      </c>
      <c r="G30" s="18" t="str">
        <f t="shared" si="2"/>
        <v/>
      </c>
      <c r="H30" s="18" t="str">
        <f t="shared" si="2"/>
        <v/>
      </c>
      <c r="I30" s="18" t="str">
        <f t="shared" si="2"/>
        <v/>
      </c>
      <c r="J30" s="18" t="str">
        <f t="shared" si="2"/>
        <v/>
      </c>
      <c r="K30" s="18">
        <f t="shared" si="2"/>
        <v>6.7632226375099316E-2</v>
      </c>
    </row>
    <row r="31" spans="1:12" x14ac:dyDescent="0.3">
      <c r="A31">
        <v>10</v>
      </c>
    </row>
    <row r="34" spans="1:12" x14ac:dyDescent="0.3">
      <c r="A34" s="10" t="s">
        <v>77</v>
      </c>
    </row>
    <row r="35" spans="1:12" x14ac:dyDescent="0.3">
      <c r="B35">
        <v>0</v>
      </c>
      <c r="C35">
        <v>1</v>
      </c>
      <c r="D35">
        <v>2</v>
      </c>
      <c r="E35">
        <v>3</v>
      </c>
      <c r="F35">
        <v>4</v>
      </c>
      <c r="G35">
        <v>5</v>
      </c>
      <c r="H35">
        <v>6</v>
      </c>
      <c r="I35">
        <v>7</v>
      </c>
      <c r="J35">
        <v>8</v>
      </c>
      <c r="K35">
        <v>9</v>
      </c>
      <c r="L35">
        <v>10</v>
      </c>
    </row>
    <row r="36" spans="1:12" x14ac:dyDescent="0.3">
      <c r="A36">
        <v>0</v>
      </c>
      <c r="B36" s="8">
        <f t="shared" ref="B36:K46" si="3">IF($A36&lt;=B$35,0.5*(C36+C37)/(1+B21),"")</f>
        <v>0.50420203285773979</v>
      </c>
      <c r="C36" s="17">
        <f t="shared" si="3"/>
        <v>0.50690761795805594</v>
      </c>
      <c r="D36" s="17">
        <f t="shared" si="3"/>
        <v>0.51803749938572063</v>
      </c>
      <c r="E36" s="17">
        <f t="shared" si="3"/>
        <v>0.54016461593677811</v>
      </c>
      <c r="F36" s="17">
        <f t="shared" si="3"/>
        <v>0.57370651508116166</v>
      </c>
      <c r="G36" s="17">
        <f t="shared" si="3"/>
        <v>0.6194222097722023</v>
      </c>
      <c r="H36" s="17">
        <f t="shared" si="3"/>
        <v>0.67754799722218584</v>
      </c>
      <c r="I36" s="17">
        <f t="shared" si="3"/>
        <v>0.74748343333587253</v>
      </c>
      <c r="J36" s="17">
        <f t="shared" si="3"/>
        <v>0.82747248702261522</v>
      </c>
      <c r="K36" s="17">
        <f t="shared" si="3"/>
        <v>0.91440947696484542</v>
      </c>
      <c r="L36" s="17">
        <v>1</v>
      </c>
    </row>
    <row r="37" spans="1:12" x14ac:dyDescent="0.3">
      <c r="A37">
        <v>1</v>
      </c>
      <c r="B37" s="17" t="str">
        <f t="shared" si="3"/>
        <v/>
      </c>
      <c r="C37" s="17">
        <f t="shared" si="3"/>
        <v>0.56472263253660904</v>
      </c>
      <c r="D37" s="17">
        <f t="shared" si="3"/>
        <v>0.57073057304669506</v>
      </c>
      <c r="E37" s="17">
        <f t="shared" si="3"/>
        <v>0.58660378770592625</v>
      </c>
      <c r="F37" s="17">
        <f t="shared" si="3"/>
        <v>0.61303863023049932</v>
      </c>
      <c r="G37" s="17">
        <f t="shared" si="3"/>
        <v>0.65099474341295138</v>
      </c>
      <c r="H37" s="17">
        <f t="shared" si="3"/>
        <v>0.7010194383766466</v>
      </c>
      <c r="I37" s="17">
        <f t="shared" si="3"/>
        <v>0.76299176210739428</v>
      </c>
      <c r="J37" s="17">
        <f t="shared" si="3"/>
        <v>0.83582184540790516</v>
      </c>
      <c r="K37" s="17">
        <f t="shared" si="3"/>
        <v>0.91719345654815077</v>
      </c>
      <c r="L37" s="17">
        <v>1</v>
      </c>
    </row>
    <row r="38" spans="1:12" x14ac:dyDescent="0.3">
      <c r="A38">
        <v>2</v>
      </c>
      <c r="B38" s="17" t="str">
        <f t="shared" si="3"/>
        <v/>
      </c>
      <c r="C38" s="17" t="str">
        <f t="shared" si="3"/>
        <v/>
      </c>
      <c r="D38" s="17">
        <f t="shared" si="3"/>
        <v>0.61814860507153402</v>
      </c>
      <c r="E38" s="17">
        <f t="shared" si="3"/>
        <v>0.62880933038203812</v>
      </c>
      <c r="F38" s="17">
        <f t="shared" si="3"/>
        <v>0.64908700953500886</v>
      </c>
      <c r="G38" s="17">
        <f t="shared" si="3"/>
        <v>0.68015902686635743</v>
      </c>
      <c r="H38" s="17">
        <f t="shared" si="3"/>
        <v>0.72288229104945467</v>
      </c>
      <c r="I38" s="17">
        <f t="shared" si="3"/>
        <v>0.77758202635245977</v>
      </c>
      <c r="J38" s="17">
        <f t="shared" si="3"/>
        <v>0.84377752408758788</v>
      </c>
      <c r="K38" s="17">
        <f t="shared" si="3"/>
        <v>0.91989481518397542</v>
      </c>
      <c r="L38" s="17">
        <v>1</v>
      </c>
    </row>
    <row r="39" spans="1:12" x14ac:dyDescent="0.3">
      <c r="A39">
        <v>3</v>
      </c>
      <c r="B39" s="17" t="str">
        <f t="shared" si="3"/>
        <v/>
      </c>
      <c r="C39" s="17" t="str">
        <f t="shared" si="3"/>
        <v/>
      </c>
      <c r="D39" s="17" t="str">
        <f t="shared" si="3"/>
        <v/>
      </c>
      <c r="E39" s="17">
        <f t="shared" si="3"/>
        <v>0.66676889444200993</v>
      </c>
      <c r="F39" s="17">
        <f t="shared" si="3"/>
        <v>0.68186960799340601</v>
      </c>
      <c r="G39" s="17">
        <f t="shared" si="3"/>
        <v>0.70695749172866007</v>
      </c>
      <c r="H39" s="17">
        <f t="shared" si="3"/>
        <v>0.74318298407903538</v>
      </c>
      <c r="I39" s="17">
        <f t="shared" si="3"/>
        <v>0.79128682401797756</v>
      </c>
      <c r="J39" s="17">
        <f t="shared" si="3"/>
        <v>0.85135336034055209</v>
      </c>
      <c r="K39" s="17">
        <f t="shared" si="3"/>
        <v>0.92251549348923878</v>
      </c>
      <c r="L39" s="17">
        <v>1</v>
      </c>
    </row>
    <row r="40" spans="1:12" x14ac:dyDescent="0.3">
      <c r="A40">
        <v>4</v>
      </c>
      <c r="B40" s="17" t="str">
        <f t="shared" si="3"/>
        <v/>
      </c>
      <c r="C40" s="17" t="str">
        <f t="shared" si="3"/>
        <v/>
      </c>
      <c r="D40" s="17" t="str">
        <f t="shared" si="3"/>
        <v/>
      </c>
      <c r="E40" s="17" t="str">
        <f t="shared" si="3"/>
        <v/>
      </c>
      <c r="F40" s="17">
        <f t="shared" si="3"/>
        <v>0.71150243092591337</v>
      </c>
      <c r="G40" s="17">
        <f t="shared" si="3"/>
        <v>0.73147755507597934</v>
      </c>
      <c r="H40" s="17">
        <f t="shared" si="3"/>
        <v>0.76198359338012656</v>
      </c>
      <c r="I40" s="17">
        <f t="shared" si="3"/>
        <v>0.80414219359046424</v>
      </c>
      <c r="J40" s="17">
        <f t="shared" si="3"/>
        <v>0.85856344269553286</v>
      </c>
      <c r="K40" s="17">
        <f t="shared" si="3"/>
        <v>0.92505741994023971</v>
      </c>
      <c r="L40" s="17">
        <v>1</v>
      </c>
    </row>
    <row r="41" spans="1:12" x14ac:dyDescent="0.3">
      <c r="A41">
        <v>5</v>
      </c>
      <c r="B41" s="17" t="str">
        <f t="shared" si="3"/>
        <v/>
      </c>
      <c r="C41" s="17" t="str">
        <f t="shared" si="3"/>
        <v/>
      </c>
      <c r="D41" s="17" t="str">
        <f t="shared" si="3"/>
        <v/>
      </c>
      <c r="E41" s="17" t="str">
        <f t="shared" si="3"/>
        <v/>
      </c>
      <c r="F41" s="17" t="str">
        <f t="shared" si="3"/>
        <v/>
      </c>
      <c r="G41" s="17">
        <f t="shared" si="3"/>
        <v>0.75383763407852966</v>
      </c>
      <c r="H41" s="17">
        <f t="shared" si="3"/>
        <v>0.77935721351760423</v>
      </c>
      <c r="I41" s="17">
        <f t="shared" si="3"/>
        <v>0.81618656005987467</v>
      </c>
      <c r="J41" s="17">
        <f t="shared" si="3"/>
        <v>0.86542198758255562</v>
      </c>
      <c r="K41" s="17">
        <f t="shared" si="3"/>
        <v>0.92752250844252482</v>
      </c>
      <c r="L41" s="17">
        <v>1</v>
      </c>
    </row>
    <row r="42" spans="1:12" x14ac:dyDescent="0.3">
      <c r="A42">
        <v>6</v>
      </c>
      <c r="B42" s="17" t="str">
        <f t="shared" si="3"/>
        <v/>
      </c>
      <c r="C42" s="17" t="str">
        <f t="shared" si="3"/>
        <v/>
      </c>
      <c r="D42" s="17" t="str">
        <f t="shared" si="3"/>
        <v/>
      </c>
      <c r="E42" s="17" t="str">
        <f t="shared" si="3"/>
        <v/>
      </c>
      <c r="F42" s="17" t="str">
        <f t="shared" si="3"/>
        <v/>
      </c>
      <c r="G42" s="17" t="str">
        <f t="shared" si="3"/>
        <v/>
      </c>
      <c r="H42" s="17">
        <f t="shared" si="3"/>
        <v>0.79538403747192066</v>
      </c>
      <c r="I42" s="17">
        <f t="shared" si="3"/>
        <v>0.82745982686359776</v>
      </c>
      <c r="J42" s="17">
        <f t="shared" si="3"/>
        <v>0.87194323095949366</v>
      </c>
      <c r="K42" s="17">
        <f t="shared" si="3"/>
        <v>0.9299126560947103</v>
      </c>
      <c r="L42" s="17">
        <v>1</v>
      </c>
    </row>
    <row r="43" spans="1:12" x14ac:dyDescent="0.3">
      <c r="A43">
        <v>7</v>
      </c>
      <c r="B43" s="17" t="str">
        <f t="shared" si="3"/>
        <v/>
      </c>
      <c r="C43" s="17" t="str">
        <f t="shared" si="3"/>
        <v/>
      </c>
      <c r="D43" s="17" t="str">
        <f t="shared" si="3"/>
        <v/>
      </c>
      <c r="E43" s="17" t="str">
        <f t="shared" si="3"/>
        <v/>
      </c>
      <c r="F43" s="17" t="str">
        <f t="shared" si="3"/>
        <v/>
      </c>
      <c r="G43" s="17" t="str">
        <f t="shared" si="3"/>
        <v/>
      </c>
      <c r="H43" s="17" t="str">
        <f t="shared" si="3"/>
        <v/>
      </c>
      <c r="I43" s="17">
        <f t="shared" si="3"/>
        <v>0.83800260818891714</v>
      </c>
      <c r="J43" s="17">
        <f t="shared" si="3"/>
        <v>0.87814133412923168</v>
      </c>
      <c r="K43" s="17">
        <f t="shared" si="3"/>
        <v>0.93222974113894119</v>
      </c>
      <c r="L43" s="17">
        <v>1</v>
      </c>
    </row>
    <row r="44" spans="1:12" x14ac:dyDescent="0.3">
      <c r="A44">
        <v>8</v>
      </c>
      <c r="B44" s="17" t="str">
        <f t="shared" si="3"/>
        <v/>
      </c>
      <c r="C44" s="17" t="str">
        <f t="shared" si="3"/>
        <v/>
      </c>
      <c r="D44" s="17" t="str">
        <f t="shared" si="3"/>
        <v/>
      </c>
      <c r="E44" s="17" t="str">
        <f t="shared" si="3"/>
        <v/>
      </c>
      <c r="F44" s="17" t="str">
        <f t="shared" si="3"/>
        <v/>
      </c>
      <c r="G44" s="17" t="str">
        <f t="shared" si="3"/>
        <v/>
      </c>
      <c r="H44" s="17" t="str">
        <f t="shared" si="3"/>
        <v/>
      </c>
      <c r="I44" s="17" t="str">
        <f t="shared" si="3"/>
        <v/>
      </c>
      <c r="J44" s="17">
        <f t="shared" si="3"/>
        <v>0.88403030284392625</v>
      </c>
      <c r="K44" s="17">
        <f t="shared" si="3"/>
        <v>0.9344756210904871</v>
      </c>
      <c r="L44" s="17">
        <v>1</v>
      </c>
    </row>
    <row r="45" spans="1:12" x14ac:dyDescent="0.3">
      <c r="A45">
        <v>9</v>
      </c>
      <c r="B45" s="17" t="str">
        <f t="shared" si="3"/>
        <v/>
      </c>
      <c r="C45" s="17" t="str">
        <f t="shared" si="3"/>
        <v/>
      </c>
      <c r="D45" s="17" t="str">
        <f t="shared" si="3"/>
        <v/>
      </c>
      <c r="E45" s="17" t="str">
        <f t="shared" si="3"/>
        <v/>
      </c>
      <c r="F45" s="17" t="str">
        <f t="shared" si="3"/>
        <v/>
      </c>
      <c r="G45" s="17" t="str">
        <f t="shared" si="3"/>
        <v/>
      </c>
      <c r="H45" s="17" t="str">
        <f t="shared" si="3"/>
        <v/>
      </c>
      <c r="I45" s="17" t="str">
        <f t="shared" si="3"/>
        <v/>
      </c>
      <c r="J45" s="17" t="str">
        <f t="shared" si="3"/>
        <v/>
      </c>
      <c r="K45" s="17">
        <f t="shared" si="3"/>
        <v>0.93665213103886069</v>
      </c>
      <c r="L45" s="17">
        <v>1</v>
      </c>
    </row>
    <row r="46" spans="1:12" x14ac:dyDescent="0.3">
      <c r="A46">
        <v>10</v>
      </c>
      <c r="B46" s="17" t="str">
        <f t="shared" si="3"/>
        <v/>
      </c>
      <c r="C46" s="17" t="str">
        <f t="shared" si="3"/>
        <v/>
      </c>
      <c r="D46" s="17" t="str">
        <f t="shared" si="3"/>
        <v/>
      </c>
      <c r="E46" s="17" t="str">
        <f t="shared" si="3"/>
        <v/>
      </c>
      <c r="F46" s="17" t="str">
        <f t="shared" si="3"/>
        <v/>
      </c>
      <c r="G46" s="17" t="str">
        <f t="shared" si="3"/>
        <v/>
      </c>
      <c r="H46" s="17" t="str">
        <f t="shared" si="3"/>
        <v/>
      </c>
      <c r="I46" s="17" t="str">
        <f t="shared" si="3"/>
        <v/>
      </c>
      <c r="J46" s="17" t="str">
        <f t="shared" si="3"/>
        <v/>
      </c>
      <c r="K46" s="17" t="str">
        <f t="shared" si="3"/>
        <v/>
      </c>
      <c r="L46" s="17">
        <v>1</v>
      </c>
    </row>
    <row r="49" spans="1:6" x14ac:dyDescent="0.3">
      <c r="A49" s="10" t="s">
        <v>78</v>
      </c>
    </row>
    <row r="50" spans="1:6" x14ac:dyDescent="0.3">
      <c r="B50">
        <v>0</v>
      </c>
      <c r="C50">
        <v>1</v>
      </c>
      <c r="D50">
        <v>2</v>
      </c>
      <c r="E50">
        <v>3</v>
      </c>
      <c r="F50">
        <v>4</v>
      </c>
    </row>
    <row r="51" spans="1:6" x14ac:dyDescent="0.3">
      <c r="A51">
        <v>0</v>
      </c>
      <c r="B51" s="22">
        <f t="shared" ref="B51:F57" si="4">IF($A51&lt;=B$50,0.5*(C51+C52)/(1+B21),"")</f>
        <v>0.11790419903333312</v>
      </c>
      <c r="C51" s="22">
        <f t="shared" si="4"/>
        <v>0.13599808952844114</v>
      </c>
      <c r="D51" s="22">
        <f t="shared" si="4"/>
        <v>0.15867731402970964</v>
      </c>
      <c r="E51" s="8">
        <f t="shared" si="4"/>
        <v>0.18809906301163978</v>
      </c>
      <c r="F51" s="8">
        <f t="shared" ref="F51:F55" si="5">IF($A51&lt;=F$50,MAX($F$5*(F36-$F$4),0),"")</f>
        <v>0.22629348491883838</v>
      </c>
    </row>
    <row r="52" spans="1:6" x14ac:dyDescent="0.3">
      <c r="A52">
        <v>1</v>
      </c>
      <c r="B52" s="17" t="str">
        <f t="shared" si="4"/>
        <v/>
      </c>
      <c r="C52" s="22">
        <f t="shared" si="4"/>
        <v>0.11459531968161867</v>
      </c>
      <c r="D52" s="22">
        <f t="shared" si="4"/>
        <v>0.13342793857397886</v>
      </c>
      <c r="E52" s="22">
        <f t="shared" si="4"/>
        <v>0.15703538002689893</v>
      </c>
      <c r="F52" s="22">
        <f t="shared" si="5"/>
        <v>0.18696136976950073</v>
      </c>
    </row>
    <row r="53" spans="1:6" x14ac:dyDescent="0.3">
      <c r="A53">
        <v>2</v>
      </c>
      <c r="B53" s="17" t="str">
        <f t="shared" si="4"/>
        <v/>
      </c>
      <c r="C53" s="17" t="str">
        <f t="shared" si="4"/>
        <v/>
      </c>
      <c r="D53" s="22">
        <f t="shared" si="4"/>
        <v>0.10782322018925089</v>
      </c>
      <c r="E53" s="22">
        <f t="shared" si="4"/>
        <v>0.12710931892719207</v>
      </c>
      <c r="F53" s="22">
        <f t="shared" si="5"/>
        <v>0.15091299046499118</v>
      </c>
    </row>
    <row r="54" spans="1:6" x14ac:dyDescent="0.3">
      <c r="A54">
        <v>3</v>
      </c>
      <c r="B54" s="17" t="str">
        <f t="shared" si="4"/>
        <v/>
      </c>
      <c r="C54" s="17" t="str">
        <f t="shared" si="4"/>
        <v/>
      </c>
      <c r="D54" s="17" t="str">
        <f t="shared" si="4"/>
        <v/>
      </c>
      <c r="E54" s="22">
        <f t="shared" si="4"/>
        <v>9.8877466550446283E-2</v>
      </c>
      <c r="F54" s="22">
        <f t="shared" si="5"/>
        <v>0.11813039200659403</v>
      </c>
    </row>
    <row r="55" spans="1:6" x14ac:dyDescent="0.3">
      <c r="A55">
        <v>4</v>
      </c>
      <c r="B55" s="17" t="str">
        <f t="shared" si="4"/>
        <v/>
      </c>
      <c r="C55" s="17" t="str">
        <f t="shared" si="4"/>
        <v/>
      </c>
      <c r="D55" s="17" t="str">
        <f t="shared" si="4"/>
        <v/>
      </c>
      <c r="E55" s="17" t="str">
        <f t="shared" si="4"/>
        <v/>
      </c>
      <c r="F55" s="22">
        <f t="shared" si="5"/>
        <v>8.8497569074086679E-2</v>
      </c>
    </row>
    <row r="56" spans="1:6" x14ac:dyDescent="0.3">
      <c r="A56">
        <v>5</v>
      </c>
      <c r="B56" s="17" t="str">
        <f t="shared" si="4"/>
        <v/>
      </c>
      <c r="C56" s="17" t="str">
        <f t="shared" si="4"/>
        <v/>
      </c>
      <c r="D56" s="17" t="str">
        <f t="shared" si="4"/>
        <v/>
      </c>
      <c r="E56" s="17" t="str">
        <f t="shared" si="4"/>
        <v/>
      </c>
      <c r="F56" s="17" t="str">
        <f t="shared" si="4"/>
        <v/>
      </c>
    </row>
    <row r="57" spans="1:6" x14ac:dyDescent="0.3">
      <c r="A57">
        <v>6</v>
      </c>
      <c r="B57" s="17" t="str">
        <f t="shared" si="4"/>
        <v/>
      </c>
      <c r="C57" s="17" t="str">
        <f t="shared" si="4"/>
        <v/>
      </c>
      <c r="D57" s="17" t="str">
        <f t="shared" si="4"/>
        <v/>
      </c>
      <c r="E57" s="17" t="str">
        <f t="shared" si="4"/>
        <v/>
      </c>
      <c r="F57" s="17" t="str">
        <f t="shared" si="4"/>
        <v/>
      </c>
    </row>
    <row r="60" spans="1:6" x14ac:dyDescent="0.3">
      <c r="A60" s="10" t="s">
        <v>79</v>
      </c>
    </row>
    <row r="61" spans="1:6" x14ac:dyDescent="0.3">
      <c r="B61">
        <v>0</v>
      </c>
      <c r="C61">
        <v>1</v>
      </c>
      <c r="D61">
        <v>2</v>
      </c>
      <c r="E61">
        <v>3</v>
      </c>
      <c r="F61">
        <v>4</v>
      </c>
    </row>
    <row r="62" spans="1:6" x14ac:dyDescent="0.3">
      <c r="A62">
        <v>0</v>
      </c>
      <c r="B62" s="22">
        <f t="shared" ref="B62:F68" si="6">IF($A62&lt;=B$61,MAX($F$5*(B36-$F$4),0.5*(C62+C63)/(1+B21)),"")</f>
        <v>0.29579796714226025</v>
      </c>
      <c r="C62" s="22">
        <f t="shared" si="6"/>
        <v>0.2930923820419441</v>
      </c>
      <c r="D62" s="22">
        <f t="shared" si="6"/>
        <v>0.28196250061427941</v>
      </c>
      <c r="E62" s="8">
        <f t="shared" si="6"/>
        <v>0.25983538406322193</v>
      </c>
      <c r="F62" s="8">
        <f t="shared" ref="F62:F66" si="7">IF($A62&lt;=F$61,MAX($F$5*(F36-$F$4),0),"")</f>
        <v>0.22629348491883838</v>
      </c>
    </row>
    <row r="63" spans="1:6" x14ac:dyDescent="0.3">
      <c r="A63">
        <v>1</v>
      </c>
      <c r="B63" s="22" t="str">
        <f t="shared" si="6"/>
        <v/>
      </c>
      <c r="C63" s="22">
        <f t="shared" si="6"/>
        <v>0.23527736746339101</v>
      </c>
      <c r="D63" s="22">
        <f t="shared" si="6"/>
        <v>0.22926942695330499</v>
      </c>
      <c r="E63" s="22">
        <f t="shared" si="6"/>
        <v>0.21339621229407379</v>
      </c>
      <c r="F63" s="22">
        <f t="shared" si="7"/>
        <v>0.18696136976950073</v>
      </c>
    </row>
    <row r="64" spans="1:6" x14ac:dyDescent="0.3">
      <c r="A64">
        <v>2</v>
      </c>
      <c r="B64" s="22" t="str">
        <f t="shared" si="6"/>
        <v/>
      </c>
      <c r="C64" s="22" t="str">
        <f t="shared" si="6"/>
        <v/>
      </c>
      <c r="D64" s="22">
        <f t="shared" si="6"/>
        <v>0.18185139492846603</v>
      </c>
      <c r="E64" s="22">
        <f t="shared" si="6"/>
        <v>0.17119066961796192</v>
      </c>
      <c r="F64" s="22">
        <f t="shared" si="7"/>
        <v>0.15091299046499118</v>
      </c>
    </row>
    <row r="65" spans="1:6" x14ac:dyDescent="0.3">
      <c r="A65">
        <v>3</v>
      </c>
      <c r="B65" s="22" t="str">
        <f t="shared" si="6"/>
        <v/>
      </c>
      <c r="C65" s="22" t="str">
        <f t="shared" si="6"/>
        <v/>
      </c>
      <c r="D65" s="22" t="str">
        <f t="shared" si="6"/>
        <v/>
      </c>
      <c r="E65" s="22">
        <f t="shared" si="6"/>
        <v>0.13323110555799011</v>
      </c>
      <c r="F65" s="22">
        <f t="shared" si="7"/>
        <v>0.11813039200659403</v>
      </c>
    </row>
    <row r="66" spans="1:6" x14ac:dyDescent="0.3">
      <c r="A66">
        <v>4</v>
      </c>
      <c r="B66" s="22" t="str">
        <f t="shared" si="6"/>
        <v/>
      </c>
      <c r="C66" s="22" t="str">
        <f t="shared" si="6"/>
        <v/>
      </c>
      <c r="D66" s="22" t="str">
        <f t="shared" si="6"/>
        <v/>
      </c>
      <c r="E66" s="22" t="str">
        <f t="shared" si="6"/>
        <v/>
      </c>
      <c r="F66" s="22">
        <f t="shared" si="7"/>
        <v>8.8497569074086679E-2</v>
      </c>
    </row>
    <row r="67" spans="1:6" x14ac:dyDescent="0.3">
      <c r="A67">
        <v>5</v>
      </c>
      <c r="B67" s="22" t="str">
        <f t="shared" si="6"/>
        <v/>
      </c>
      <c r="C67" s="22" t="str">
        <f t="shared" si="6"/>
        <v/>
      </c>
      <c r="D67" s="22" t="str">
        <f t="shared" si="6"/>
        <v/>
      </c>
      <c r="E67" s="22" t="str">
        <f t="shared" si="6"/>
        <v/>
      </c>
      <c r="F67" s="22" t="str">
        <f t="shared" si="6"/>
        <v/>
      </c>
    </row>
    <row r="68" spans="1:6" x14ac:dyDescent="0.3">
      <c r="A68">
        <v>6</v>
      </c>
      <c r="B68" s="22" t="str">
        <f t="shared" si="6"/>
        <v/>
      </c>
      <c r="C68" s="22" t="str">
        <f t="shared" si="6"/>
        <v/>
      </c>
      <c r="D68" s="22" t="str">
        <f t="shared" si="6"/>
        <v/>
      </c>
      <c r="E68" s="22" t="str">
        <f t="shared" si="6"/>
        <v/>
      </c>
      <c r="F68" s="22" t="str">
        <f t="shared" si="6"/>
        <v/>
      </c>
    </row>
  </sheetData>
  <printOptions headings="1" gridLines="1"/>
  <pageMargins left="0.75" right="0.75" top="1" bottom="1" header="0.5" footer="0.5"/>
  <pageSetup paperSize="9" scale="79" orientation="portrait" blackAndWhite="1" horizontalDpi="4294967292" verticalDpi="0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LnNormal</vt:lpstr>
      <vt:lpstr>Normal</vt:lpstr>
      <vt:lpstr>BDT</vt:lpstr>
      <vt:lpstr>ZCBOption</vt:lpstr>
    </vt:vector>
  </TitlesOfParts>
  <Company>London Business 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Models for AMF chapter 16</dc:title>
  <dc:creator>Mary Jackson and  Mike Staunton</dc:creator>
  <cp:lastModifiedBy>Carina Negreanu</cp:lastModifiedBy>
  <cp:lastPrinted>2000-08-22T21:09:33Z</cp:lastPrinted>
  <dcterms:created xsi:type="dcterms:W3CDTF">2000-07-13T16:13:54Z</dcterms:created>
  <dcterms:modified xsi:type="dcterms:W3CDTF">2020-01-27T11:17:03Z</dcterms:modified>
</cp:coreProperties>
</file>