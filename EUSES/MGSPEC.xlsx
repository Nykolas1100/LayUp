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4E96F0F-F0BF-4AEB-9F7C-ACD4A53CCA52}" xr6:coauthVersionLast="45" xr6:coauthVersionMax="45" xr10:uidLastSave="{00000000-0000-0000-0000-000000000000}"/>
  <bookViews>
    <workbookView xWindow="2280" yWindow="2280" windowWidth="28800" windowHeight="15460" tabRatio="358"/>
  </bookViews>
  <sheets>
    <sheet name="Equation solving" sheetId="1" r:id="rId1"/>
    <sheet name="Chart and data" sheetId="2" r:id="rId2"/>
  </sheets>
  <definedNames>
    <definedName name="CO32_">'Equation solving'!$E$10</definedName>
    <definedName name="H">'Equation solving'!$E$11</definedName>
    <definedName name="H2CO3">'Equation solving'!$E$8</definedName>
    <definedName name="_HCO3">'Equation solving'!$E$9</definedName>
    <definedName name="Mg_HCO3_2">'Equation solving'!$E$4</definedName>
    <definedName name="_Mg2">'Equation solving'!$E$7</definedName>
    <definedName name="MgCO3">'Equation solving'!$E$5</definedName>
    <definedName name="MgHCO3">'Equation solving'!$E$3</definedName>
    <definedName name="MgOH">'Equation solving'!$E$6</definedName>
    <definedName name="solver_adj" localSheetId="0" hidden="1">'Equation solving'!$E$3:$E$10</definedName>
    <definedName name="solver_drv" localSheetId="0" hidden="1">1</definedName>
    <definedName name="solver_est" localSheetId="0" hidden="1">2</definedName>
    <definedName name="solver_itr" localSheetId="0" hidden="1">100</definedName>
    <definedName name="solver_lhs1" localSheetId="0" hidden="1">'Equation solving'!$G$16</definedName>
    <definedName name="solver_lhs2" localSheetId="0" hidden="1">'Equation solving'!$G$17</definedName>
    <definedName name="solver_lhs3" localSheetId="0" hidden="1">'Equation solving'!$G$18</definedName>
    <definedName name="solver_lhs4" localSheetId="0" hidden="1">'Equation solving'!$G$20</definedName>
    <definedName name="solver_lhs5" localSheetId="0" hidden="1">'Equation solving'!$G$21</definedName>
    <definedName name="solver_lhs6" localSheetId="0" hidden="1">'Equation solving'!$G$15</definedName>
    <definedName name="solver_lhs7" localSheetId="0" hidden="1">'Equation solving'!$G$22</definedName>
    <definedName name="solver_lin" localSheetId="0" hidden="1">0</definedName>
    <definedName name="solver_num" localSheetId="0" hidden="1">7</definedName>
    <definedName name="solver_nwt" localSheetId="0" hidden="1">2</definedName>
    <definedName name="solver_opt" localSheetId="0" hidden="1">'Equation solving'!$G$19</definedName>
    <definedName name="solver_pre" localSheetId="0" hidden="1">0.000000000000001</definedName>
    <definedName name="solver_rel1" localSheetId="0" hidden="1">2</definedName>
    <definedName name="solver_rel2" localSheetId="0" hidden="1">2</definedName>
    <definedName name="solver_rel3" localSheetId="0" hidden="1">2</definedName>
    <definedName name="solver_rel4" localSheetId="0" hidden="1">2</definedName>
    <definedName name="solver_rel5" localSheetId="0" hidden="1">2</definedName>
    <definedName name="solver_rel6" localSheetId="0" hidden="1">2</definedName>
    <definedName name="solver_rel7" localSheetId="0" hidden="1">2</definedName>
    <definedName name="solver_rhs1" localSheetId="0" hidden="1">'Equation solving'!$E$16</definedName>
    <definedName name="solver_rhs2" localSheetId="0" hidden="1">'Equation solving'!$E$17</definedName>
    <definedName name="solver_rhs3" localSheetId="0" hidden="1">'Equation solving'!$E$18</definedName>
    <definedName name="solver_rhs4" localSheetId="0" hidden="1">'Equation solving'!$E$20</definedName>
    <definedName name="solver_rhs5" localSheetId="0" hidden="1">'Equation solving'!$E$21</definedName>
    <definedName name="solver_rhs6" localSheetId="0" hidden="1">'Equation solving'!$E$15</definedName>
    <definedName name="solver_rhs7" localSheetId="0" hidden="1">'Equation solving'!$E$22</definedName>
    <definedName name="solver_scl" localSheetId="0" hidden="1">1</definedName>
    <definedName name="solver_sho" localSheetId="0" hidden="1">0</definedName>
    <definedName name="solver_tim" localSheetId="0" hidden="1">100</definedName>
    <definedName name="solver_tol" localSheetId="0" hidden="1">0.05</definedName>
    <definedName name="solver_typ" localSheetId="0" hidden="1">3</definedName>
    <definedName name="solver_val" localSheetId="0" hidden="1">0.001</definedName>
  </definedNames>
  <calcPr calcId="0"/>
</workbook>
</file>

<file path=xl/calcChain.xml><?xml version="1.0" encoding="utf-8"?>
<calcChain xmlns="http://schemas.openxmlformats.org/spreadsheetml/2006/main">
  <c r="B8" i="2" l="1"/>
  <c r="C8" i="2"/>
  <c r="D8" i="2"/>
  <c r="E8" i="2"/>
  <c r="B9" i="2"/>
  <c r="C9" i="2"/>
  <c r="D9" i="2"/>
  <c r="E9" i="2"/>
  <c r="B10" i="2"/>
  <c r="C10" i="2"/>
  <c r="D10" i="2"/>
  <c r="E10" i="2"/>
  <c r="B11" i="2"/>
  <c r="C11" i="2"/>
  <c r="D11" i="2"/>
  <c r="E11" i="2"/>
  <c r="B12" i="2"/>
  <c r="C12" i="2"/>
  <c r="D12" i="2"/>
  <c r="E12" i="2"/>
  <c r="B8" i="1"/>
  <c r="B9" i="1"/>
  <c r="B10" i="1"/>
  <c r="E11" i="1"/>
  <c r="G15" i="1"/>
  <c r="G16" i="1"/>
  <c r="G17" i="1"/>
  <c r="E18" i="1"/>
  <c r="G18" i="1"/>
  <c r="G19" i="1"/>
  <c r="E20" i="1"/>
  <c r="G20" i="1"/>
  <c r="E21" i="1"/>
  <c r="G21" i="1"/>
  <c r="E22" i="1"/>
  <c r="G22" i="1"/>
</calcChain>
</file>

<file path=xl/sharedStrings.xml><?xml version="1.0" encoding="utf-8"?>
<sst xmlns="http://schemas.openxmlformats.org/spreadsheetml/2006/main" count="23" uniqueCount="23">
  <si>
    <t>pH =</t>
  </si>
  <si>
    <t>Compounds</t>
  </si>
  <si>
    <r>
      <t>MgHCO</t>
    </r>
    <r>
      <rPr>
        <vertAlign val="subscript"/>
        <sz val="12"/>
        <rFont val="Book Antiqua"/>
        <family val="1"/>
      </rPr>
      <t>3</t>
    </r>
    <r>
      <rPr>
        <vertAlign val="superscript"/>
        <sz val="12"/>
        <rFont val="Book Antiqua"/>
        <family val="1"/>
      </rPr>
      <t>+</t>
    </r>
  </si>
  <si>
    <r>
      <t>Mg(HCO</t>
    </r>
    <r>
      <rPr>
        <vertAlign val="subscript"/>
        <sz val="12"/>
        <rFont val="Book Antiqua"/>
        <family val="1"/>
      </rPr>
      <t>3</t>
    </r>
    <r>
      <rPr>
        <sz val="12"/>
        <rFont val="Book Antiqua"/>
        <family val="1"/>
      </rPr>
      <t>)</t>
    </r>
    <r>
      <rPr>
        <vertAlign val="subscript"/>
        <sz val="12"/>
        <rFont val="Book Antiqua"/>
        <family val="1"/>
      </rPr>
      <t>2</t>
    </r>
  </si>
  <si>
    <r>
      <t>MgCO</t>
    </r>
    <r>
      <rPr>
        <vertAlign val="subscript"/>
        <sz val="12"/>
        <rFont val="Book Antiqua"/>
        <family val="1"/>
      </rPr>
      <t>3</t>
    </r>
  </si>
  <si>
    <t>Initial carbonate</t>
  </si>
  <si>
    <r>
      <t>MgOH</t>
    </r>
    <r>
      <rPr>
        <vertAlign val="superscript"/>
        <sz val="12"/>
        <rFont val="Book Antiqua"/>
        <family val="1"/>
      </rPr>
      <t>+</t>
    </r>
  </si>
  <si>
    <t>guesses</t>
  </si>
  <si>
    <r>
      <t>Mg</t>
    </r>
    <r>
      <rPr>
        <vertAlign val="superscript"/>
        <sz val="12"/>
        <rFont val="Book Antiqua"/>
        <family val="1"/>
      </rPr>
      <t>2+</t>
    </r>
  </si>
  <si>
    <r>
      <t>H2CO</t>
    </r>
    <r>
      <rPr>
        <vertAlign val="subscript"/>
        <sz val="12"/>
        <rFont val="Book Antiqua"/>
        <family val="1"/>
      </rPr>
      <t>3</t>
    </r>
    <r>
      <rPr>
        <vertAlign val="superscript"/>
        <sz val="12"/>
        <rFont val="Book Antiqua"/>
        <family val="1"/>
      </rPr>
      <t>*</t>
    </r>
  </si>
  <si>
    <r>
      <t>HCO</t>
    </r>
    <r>
      <rPr>
        <vertAlign val="subscript"/>
        <sz val="12"/>
        <rFont val="Book Antiqua"/>
        <family val="1"/>
      </rPr>
      <t>3</t>
    </r>
    <r>
      <rPr>
        <vertAlign val="superscript"/>
        <sz val="12"/>
        <rFont val="Book Antiqua"/>
        <family val="1"/>
      </rPr>
      <t>-</t>
    </r>
  </si>
  <si>
    <r>
      <t>CO</t>
    </r>
    <r>
      <rPr>
        <vertAlign val="subscript"/>
        <sz val="12"/>
        <rFont val="Book Antiqua"/>
        <family val="1"/>
      </rPr>
      <t>3</t>
    </r>
    <r>
      <rPr>
        <vertAlign val="superscript"/>
        <sz val="12"/>
        <rFont val="Book Antiqua"/>
        <family val="1"/>
      </rPr>
      <t>2-</t>
    </r>
  </si>
  <si>
    <r>
      <t>H</t>
    </r>
    <r>
      <rPr>
        <vertAlign val="superscript"/>
        <sz val="12"/>
        <rFont val="Book Antiqua"/>
        <family val="1"/>
      </rPr>
      <t>+</t>
    </r>
  </si>
  <si>
    <t>Equations</t>
  </si>
  <si>
    <t>Constraints</t>
  </si>
  <si>
    <t>Evaluations based upon data</t>
  </si>
  <si>
    <t>in the range E3:E11.</t>
  </si>
  <si>
    <t>pH</t>
  </si>
  <si>
    <r>
      <t>MgHCO</t>
    </r>
    <r>
      <rPr>
        <vertAlign val="subscript"/>
        <sz val="12"/>
        <color indexed="13"/>
        <rFont val="Book Antiqua"/>
        <family val="1"/>
      </rPr>
      <t>3</t>
    </r>
    <r>
      <rPr>
        <vertAlign val="superscript"/>
        <sz val="12"/>
        <color indexed="13"/>
        <rFont val="Book Antiqua"/>
        <family val="1"/>
      </rPr>
      <t>+</t>
    </r>
  </si>
  <si>
    <r>
      <t>Mg(HCO</t>
    </r>
    <r>
      <rPr>
        <vertAlign val="subscript"/>
        <sz val="12"/>
        <color indexed="13"/>
        <rFont val="Book Antiqua"/>
        <family val="1"/>
      </rPr>
      <t>3</t>
    </r>
    <r>
      <rPr>
        <sz val="12"/>
        <color indexed="13"/>
        <rFont val="Book Antiqua"/>
        <family val="1"/>
      </rPr>
      <t>)</t>
    </r>
    <r>
      <rPr>
        <vertAlign val="subscript"/>
        <sz val="12"/>
        <color indexed="13"/>
        <rFont val="Book Antiqua"/>
        <family val="1"/>
      </rPr>
      <t>2</t>
    </r>
  </si>
  <si>
    <r>
      <t>MgCO</t>
    </r>
    <r>
      <rPr>
        <vertAlign val="subscript"/>
        <sz val="12"/>
        <color indexed="13"/>
        <rFont val="Book Antiqua"/>
        <family val="1"/>
      </rPr>
      <t>3</t>
    </r>
  </si>
  <si>
    <r>
      <t>MgOH</t>
    </r>
    <r>
      <rPr>
        <vertAlign val="superscript"/>
        <sz val="12"/>
        <color indexed="13"/>
        <rFont val="Book Antiqua"/>
        <family val="1"/>
      </rPr>
      <t>+</t>
    </r>
  </si>
  <si>
    <t>Log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</si>
</sst>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2"/>
      <name val="Book Antiqua"/>
    </font>
    <font>
      <vertAlign val="subscript"/>
      <sz val="12"/>
      <name val="Book Antiqua"/>
      <family val="1"/>
    </font>
    <font>
      <vertAlign val="superscript"/>
      <sz val="12"/>
      <name val="Book Antiqua"/>
      <family val="1"/>
    </font>
    <font>
      <sz val="12"/>
      <name val="Book Antiqua"/>
      <family val="1"/>
    </font>
    <font>
      <sz val="16"/>
      <name val="Book Antiqua"/>
      <family val="1"/>
    </font>
    <font>
      <sz val="18"/>
      <name val="Book Antiqua"/>
      <family val="1"/>
    </font>
    <font>
      <sz val="12"/>
      <color indexed="13"/>
      <name val="Book Antiqua"/>
      <family val="1"/>
    </font>
    <font>
      <vertAlign val="subscript"/>
      <sz val="12"/>
      <color indexed="13"/>
      <name val="Book Antiqua"/>
      <family val="1"/>
    </font>
    <font>
      <vertAlign val="superscript"/>
      <sz val="12"/>
      <color indexed="13"/>
      <name val="Book Antiqua"/>
      <family val="1"/>
    </font>
  </fonts>
  <fills count="9">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27"/>
        <bgColor indexed="64"/>
      </patternFill>
    </fill>
    <fill>
      <patternFill patternType="solid">
        <fgColor indexed="45"/>
        <bgColor indexed="64"/>
      </patternFill>
    </fill>
    <fill>
      <patternFill patternType="solid">
        <fgColor indexed="44"/>
        <bgColor indexed="64"/>
      </patternFill>
    </fill>
    <fill>
      <patternFill patternType="solid">
        <fgColor indexed="29"/>
        <bgColor indexed="64"/>
      </patternFill>
    </fill>
    <fill>
      <patternFill patternType="solid">
        <fgColor indexed="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0" fillId="2" borderId="0" xfId="0" applyFill="1" applyBorder="1"/>
    <xf numFmtId="0" fontId="5" fillId="0" borderId="0" xfId="0" applyFont="1" applyAlignment="1">
      <alignment horizontal="right"/>
    </xf>
    <xf numFmtId="11" fontId="0" fillId="3" borderId="0" xfId="0" applyNumberFormat="1" applyFill="1" applyAlignment="1">
      <alignment horizontal="center"/>
    </xf>
    <xf numFmtId="0" fontId="0" fillId="3" borderId="0" xfId="0" applyFill="1"/>
    <xf numFmtId="0" fontId="0" fillId="3" borderId="1" xfId="0" applyFill="1" applyBorder="1" applyAlignment="1">
      <alignment horizontal="right"/>
    </xf>
    <xf numFmtId="11" fontId="0" fillId="3" borderId="1" xfId="0" applyNumberFormat="1" applyFill="1" applyBorder="1"/>
    <xf numFmtId="0" fontId="0" fillId="4" borderId="1" xfId="0" applyFill="1" applyBorder="1" applyAlignment="1">
      <alignment horizontal="right"/>
    </xf>
    <xf numFmtId="11" fontId="0" fillId="4" borderId="1" xfId="0" applyNumberFormat="1" applyFill="1" applyBorder="1"/>
    <xf numFmtId="0" fontId="0" fillId="5" borderId="1" xfId="0" applyFill="1" applyBorder="1" applyAlignment="1">
      <alignment horizontal="right"/>
    </xf>
    <xf numFmtId="0" fontId="0" fillId="5" borderId="1" xfId="0" applyFill="1" applyBorder="1"/>
    <xf numFmtId="0" fontId="0" fillId="5" borderId="0" xfId="0" applyFill="1" applyAlignment="1">
      <alignment horizontal="right"/>
    </xf>
    <xf numFmtId="0" fontId="0" fillId="5" borderId="0" xfId="0" applyFill="1" applyAlignment="1">
      <alignment horizontal="left"/>
    </xf>
    <xf numFmtId="0" fontId="0" fillId="5" borderId="0" xfId="0" applyFill="1"/>
    <xf numFmtId="0" fontId="4" fillId="2" borderId="0" xfId="0" applyFont="1" applyFill="1" applyBorder="1"/>
    <xf numFmtId="0" fontId="0" fillId="2" borderId="0" xfId="0" applyFill="1"/>
    <xf numFmtId="11" fontId="0" fillId="6" borderId="0" xfId="0" applyNumberFormat="1" applyFill="1" applyBorder="1" applyAlignment="1">
      <alignment horizontal="center" vertical="center"/>
    </xf>
    <xf numFmtId="0" fontId="3" fillId="6" borderId="0" xfId="0" applyFont="1" applyFill="1" applyBorder="1"/>
    <xf numFmtId="0" fontId="0" fillId="6" borderId="0" xfId="0" applyFill="1" applyBorder="1"/>
    <xf numFmtId="0" fontId="0" fillId="6" borderId="0" xfId="0" applyFill="1"/>
    <xf numFmtId="0" fontId="0" fillId="6" borderId="2" xfId="0" applyFill="1" applyBorder="1"/>
    <xf numFmtId="11" fontId="3" fillId="6" borderId="2" xfId="0" applyNumberFormat="1" applyFont="1" applyFill="1" applyBorder="1" applyAlignment="1">
      <alignment horizontal="center" vertical="center"/>
    </xf>
    <xf numFmtId="0" fontId="0" fillId="6" borderId="3" xfId="0" applyFill="1" applyBorder="1"/>
    <xf numFmtId="0" fontId="0" fillId="6" borderId="4" xfId="0" applyFill="1" applyBorder="1"/>
    <xf numFmtId="0" fontId="0" fillId="6" borderId="1" xfId="0" applyFill="1" applyBorder="1"/>
    <xf numFmtId="11" fontId="0" fillId="2" borderId="1" xfId="0" applyNumberFormat="1" applyFill="1" applyBorder="1"/>
    <xf numFmtId="2" fontId="0" fillId="2" borderId="1" xfId="0" applyNumberFormat="1" applyFill="1" applyBorder="1"/>
    <xf numFmtId="2" fontId="0" fillId="4" borderId="1" xfId="0" applyNumberFormat="1" applyFill="1" applyBorder="1"/>
    <xf numFmtId="11" fontId="0" fillId="5" borderId="1" xfId="0" applyNumberFormat="1" applyFill="1" applyBorder="1"/>
    <xf numFmtId="2" fontId="0" fillId="5" borderId="1" xfId="0" applyNumberFormat="1" applyFill="1" applyBorder="1"/>
    <xf numFmtId="11" fontId="0" fillId="7" borderId="1" xfId="0" applyNumberFormat="1" applyFill="1" applyBorder="1"/>
    <xf numFmtId="2" fontId="0" fillId="7" borderId="1" xfId="0" applyNumberFormat="1" applyFill="1" applyBorder="1"/>
    <xf numFmtId="0" fontId="6" fillId="8" borderId="1" xfId="0" applyFont="1" applyFill="1" applyBorder="1" applyAlignment="1">
      <alignment horizontal="right"/>
    </xf>
    <xf numFmtId="0" fontId="6" fillId="8" borderId="5" xfId="0" applyFont="1" applyFill="1" applyBorder="1"/>
    <xf numFmtId="0" fontId="6" fillId="8" borderId="6" xfId="0" applyFont="1" applyFill="1" applyBorder="1" applyAlignment="1">
      <alignment horizontal="right"/>
    </xf>
    <xf numFmtId="0" fontId="6" fillId="8" borderId="6" xfId="0" applyFont="1" applyFill="1" applyBorder="1"/>
    <xf numFmtId="0" fontId="6" fillId="8" borderId="7" xfId="0" applyFont="1" applyFill="1" applyBorder="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0258731425602941"/>
          <c:y val="7.2870516737574567E-2"/>
          <c:w val="0.68776457642333555"/>
          <c:h val="0.72250342127042011"/>
        </c:manualLayout>
      </c:layout>
      <c:scatterChart>
        <c:scatterStyle val="lineMarker"/>
        <c:varyColors val="0"/>
        <c:ser>
          <c:idx val="0"/>
          <c:order val="0"/>
          <c:spPr>
            <a:ln w="12700">
              <a:solidFill>
                <a:srgbClr val="FFFF00"/>
              </a:solidFill>
              <a:prstDash val="solid"/>
            </a:ln>
          </c:spPr>
          <c:marker>
            <c:symbol val="circle"/>
            <c:size val="5"/>
            <c:spPr>
              <a:solidFill>
                <a:srgbClr val="FFFF00"/>
              </a:solidFill>
              <a:ln>
                <a:solidFill>
                  <a:srgbClr val="000000"/>
                </a:solidFill>
                <a:prstDash val="solid"/>
              </a:ln>
            </c:spPr>
          </c:marker>
          <c:xVal>
            <c:numRef>
              <c:f>'Chart and data'!$A$8:$A$12</c:f>
              <c:numCache>
                <c:formatCode>General</c:formatCode>
                <c:ptCount val="5"/>
                <c:pt idx="0">
                  <c:v>6</c:v>
                </c:pt>
                <c:pt idx="1">
                  <c:v>6.5</c:v>
                </c:pt>
                <c:pt idx="2">
                  <c:v>7</c:v>
                </c:pt>
                <c:pt idx="3">
                  <c:v>7.5</c:v>
                </c:pt>
                <c:pt idx="4">
                  <c:v>8</c:v>
                </c:pt>
              </c:numCache>
            </c:numRef>
          </c:xVal>
          <c:yVal>
            <c:numRef>
              <c:f>'Chart and data'!$B$8:$B$12</c:f>
              <c:numCache>
                <c:formatCode>0.00</c:formatCode>
                <c:ptCount val="5"/>
                <c:pt idx="0">
                  <c:v>-5.2846634256056051</c:v>
                </c:pt>
                <c:pt idx="1">
                  <c:v>-5.0149027009106435</c:v>
                </c:pt>
                <c:pt idx="2">
                  <c:v>-4.8772763158785857</c:v>
                </c:pt>
                <c:pt idx="3">
                  <c:v>-4.824261530146126</c:v>
                </c:pt>
                <c:pt idx="4">
                  <c:v>-4.8109144835850515</c:v>
                </c:pt>
              </c:numCache>
            </c:numRef>
          </c:yVal>
          <c:smooth val="1"/>
          <c:extLst>
            <c:ext xmlns:c16="http://schemas.microsoft.com/office/drawing/2014/chart" uri="{C3380CC4-5D6E-409C-BE32-E72D297353CC}">
              <c16:uniqueId val="{00000000-A815-4CE7-8905-675E76DF5C90}"/>
            </c:ext>
          </c:extLst>
        </c:ser>
        <c:ser>
          <c:idx val="1"/>
          <c:order val="1"/>
          <c:spPr>
            <a:ln w="12700">
              <a:solidFill>
                <a:srgbClr val="FF0000"/>
              </a:solidFill>
              <a:prstDash val="solid"/>
            </a:ln>
          </c:spPr>
          <c:marker>
            <c:symbol val="circle"/>
            <c:size val="5"/>
            <c:spPr>
              <a:solidFill>
                <a:srgbClr val="FF0000"/>
              </a:solidFill>
              <a:ln>
                <a:solidFill>
                  <a:srgbClr val="000000"/>
                </a:solidFill>
                <a:prstDash val="solid"/>
              </a:ln>
            </c:spPr>
          </c:marker>
          <c:xVal>
            <c:numRef>
              <c:f>'Chart and data'!$A$8:$A$12</c:f>
              <c:numCache>
                <c:formatCode>General</c:formatCode>
                <c:ptCount val="5"/>
                <c:pt idx="0">
                  <c:v>6</c:v>
                </c:pt>
                <c:pt idx="1">
                  <c:v>6.5</c:v>
                </c:pt>
                <c:pt idx="2">
                  <c:v>7</c:v>
                </c:pt>
                <c:pt idx="3">
                  <c:v>7.5</c:v>
                </c:pt>
                <c:pt idx="4">
                  <c:v>8</c:v>
                </c:pt>
              </c:numCache>
            </c:numRef>
          </c:xVal>
          <c:yVal>
            <c:numRef>
              <c:f>'Chart and data'!$C$8:$C$12</c:f>
              <c:numCache>
                <c:formatCode>0.00</c:formatCode>
                <c:ptCount val="5"/>
                <c:pt idx="0">
                  <c:v>-7.8631927594679274</c:v>
                </c:pt>
                <c:pt idx="1">
                  <c:v>-7.3216245081040032</c:v>
                </c:pt>
                <c:pt idx="2">
                  <c:v>-7.0444663024413909</c:v>
                </c:pt>
                <c:pt idx="3">
                  <c:v>-6.9366500653568757</c:v>
                </c:pt>
                <c:pt idx="4">
                  <c:v>-6.9065071488579663</c:v>
                </c:pt>
              </c:numCache>
            </c:numRef>
          </c:yVal>
          <c:smooth val="1"/>
          <c:extLst>
            <c:ext xmlns:c16="http://schemas.microsoft.com/office/drawing/2014/chart" uri="{C3380CC4-5D6E-409C-BE32-E72D297353CC}">
              <c16:uniqueId val="{00000001-A815-4CE7-8905-675E76DF5C90}"/>
            </c:ext>
          </c:extLst>
        </c:ser>
        <c:ser>
          <c:idx val="2"/>
          <c:order val="2"/>
          <c:spPr>
            <a:ln w="12700">
              <a:solidFill>
                <a:srgbClr val="8080FF"/>
              </a:solidFill>
              <a:prstDash val="solid"/>
            </a:ln>
          </c:spPr>
          <c:marker>
            <c:symbol val="circle"/>
            <c:size val="5"/>
            <c:spPr>
              <a:solidFill>
                <a:srgbClr val="3366FF"/>
              </a:solidFill>
              <a:ln>
                <a:solidFill>
                  <a:srgbClr val="000000"/>
                </a:solidFill>
                <a:prstDash val="solid"/>
              </a:ln>
            </c:spPr>
          </c:marker>
          <c:xVal>
            <c:numRef>
              <c:f>'Chart and data'!$A$8:$A$12</c:f>
              <c:numCache>
                <c:formatCode>General</c:formatCode>
                <c:ptCount val="5"/>
                <c:pt idx="0">
                  <c:v>6</c:v>
                </c:pt>
                <c:pt idx="1">
                  <c:v>6.5</c:v>
                </c:pt>
                <c:pt idx="2">
                  <c:v>7</c:v>
                </c:pt>
                <c:pt idx="3">
                  <c:v>7.5</c:v>
                </c:pt>
                <c:pt idx="4">
                  <c:v>8</c:v>
                </c:pt>
              </c:numCache>
            </c:numRef>
          </c:xVal>
          <c:yVal>
            <c:numRef>
              <c:f>'Chart and data'!$D$8:$D$12</c:f>
              <c:numCache>
                <c:formatCode>0.00</c:formatCode>
                <c:ptCount val="5"/>
                <c:pt idx="0">
                  <c:v>-7.4684772779893223</c:v>
                </c:pt>
                <c:pt idx="1">
                  <c:v>-6.6987165532943607</c:v>
                </c:pt>
                <c:pt idx="2">
                  <c:v>-6.0610901682623037</c:v>
                </c:pt>
                <c:pt idx="3">
                  <c:v>-5.5080753825298423</c:v>
                </c:pt>
                <c:pt idx="4">
                  <c:v>-4.9917163828965441</c:v>
                </c:pt>
              </c:numCache>
            </c:numRef>
          </c:yVal>
          <c:smooth val="1"/>
          <c:extLst>
            <c:ext xmlns:c16="http://schemas.microsoft.com/office/drawing/2014/chart" uri="{C3380CC4-5D6E-409C-BE32-E72D297353CC}">
              <c16:uniqueId val="{00000002-A815-4CE7-8905-675E76DF5C90}"/>
            </c:ext>
          </c:extLst>
        </c:ser>
        <c:ser>
          <c:idx val="3"/>
          <c:order val="3"/>
          <c:spPr>
            <a:ln w="12700">
              <a:solidFill>
                <a:srgbClr val="339933"/>
              </a:solidFill>
              <a:prstDash val="solid"/>
            </a:ln>
          </c:spPr>
          <c:marker>
            <c:symbol val="circle"/>
            <c:size val="5"/>
            <c:spPr>
              <a:solidFill>
                <a:srgbClr val="008000"/>
              </a:solidFill>
              <a:ln>
                <a:solidFill>
                  <a:srgbClr val="000000"/>
                </a:solidFill>
                <a:prstDash val="solid"/>
              </a:ln>
            </c:spPr>
          </c:marker>
          <c:xVal>
            <c:numRef>
              <c:f>'Chart and data'!$A$8:$A$12</c:f>
              <c:numCache>
                <c:formatCode>General</c:formatCode>
                <c:ptCount val="5"/>
                <c:pt idx="0">
                  <c:v>6</c:v>
                </c:pt>
                <c:pt idx="1">
                  <c:v>6.5</c:v>
                </c:pt>
                <c:pt idx="2">
                  <c:v>7</c:v>
                </c:pt>
                <c:pt idx="3">
                  <c:v>7.5</c:v>
                </c:pt>
                <c:pt idx="4">
                  <c:v>8</c:v>
                </c:pt>
              </c:numCache>
            </c:numRef>
          </c:xVal>
          <c:yVal>
            <c:numRef>
              <c:f>'Chart and data'!$E$8:$E$12</c:f>
              <c:numCache>
                <c:formatCode>0.00</c:formatCode>
                <c:ptCount val="5"/>
                <c:pt idx="0">
                  <c:v>-8.5222828794684808</c:v>
                </c:pt>
                <c:pt idx="1">
                  <c:v>-8.0243296814448239</c:v>
                </c:pt>
                <c:pt idx="2">
                  <c:v>-7.5262351170439024</c:v>
                </c:pt>
                <c:pt idx="3">
                  <c:v>-7.0280217826605531</c:v>
                </c:pt>
                <c:pt idx="4">
                  <c:v>-6.5314706060373151</c:v>
                </c:pt>
              </c:numCache>
            </c:numRef>
          </c:yVal>
          <c:smooth val="1"/>
          <c:extLst>
            <c:ext xmlns:c16="http://schemas.microsoft.com/office/drawing/2014/chart" uri="{C3380CC4-5D6E-409C-BE32-E72D297353CC}">
              <c16:uniqueId val="{00000003-A815-4CE7-8905-675E76DF5C90}"/>
            </c:ext>
          </c:extLst>
        </c:ser>
        <c:dLbls>
          <c:showLegendKey val="0"/>
          <c:showVal val="0"/>
          <c:showCatName val="0"/>
          <c:showSerName val="0"/>
          <c:showPercent val="0"/>
          <c:showBubbleSize val="0"/>
        </c:dLbls>
        <c:axId val="1063190719"/>
        <c:axId val="1"/>
      </c:scatterChart>
      <c:valAx>
        <c:axId val="1063190719"/>
        <c:scaling>
          <c:orientation val="minMax"/>
          <c:max val="8"/>
          <c:min val="6"/>
        </c:scaling>
        <c:delete val="0"/>
        <c:axPos val="b"/>
        <c:title>
          <c:tx>
            <c:rich>
              <a:bodyPr/>
              <a:lstStyle/>
              <a:p>
                <a:pPr>
                  <a:defRPr sz="1600" b="1" i="0" u="none" strike="noStrike" baseline="0">
                    <a:solidFill>
                      <a:srgbClr val="000000"/>
                    </a:solidFill>
                    <a:latin typeface="Book Antiqua"/>
                    <a:ea typeface="Book Antiqua"/>
                    <a:cs typeface="Book Antiqua"/>
                  </a:defRPr>
                </a:pPr>
                <a:r>
                  <a:rPr lang="en-GB"/>
                  <a:t>pH</a:t>
                </a:r>
              </a:p>
            </c:rich>
          </c:tx>
          <c:layout>
            <c:manualLayout>
              <c:xMode val="edge"/>
              <c:yMode val="edge"/>
              <c:x val="0.51098456334641817"/>
              <c:y val="0.90080362179852813"/>
            </c:manualLayout>
          </c:layout>
          <c:overlay val="0"/>
          <c:spPr>
            <a:noFill/>
            <a:ln w="25400">
              <a:noFill/>
            </a:ln>
          </c:spPr>
        </c:title>
        <c:numFmt formatCode="General" sourceLinked="1"/>
        <c:majorTickMark val="in"/>
        <c:minorTickMark val="none"/>
        <c:tickLblPos val="nextTo"/>
        <c:spPr>
          <a:ln w="25400">
            <a:solidFill>
              <a:srgbClr val="000000"/>
            </a:solidFill>
            <a:prstDash val="solid"/>
          </a:ln>
        </c:spPr>
        <c:txPr>
          <a:bodyPr rot="0" vert="horz"/>
          <a:lstStyle/>
          <a:p>
            <a:pPr>
              <a:defRPr sz="1400" b="1" i="0" u="none" strike="noStrike" baseline="0">
                <a:solidFill>
                  <a:srgbClr val="000000"/>
                </a:solidFill>
                <a:latin typeface="Book Antiqua"/>
                <a:ea typeface="Book Antiqua"/>
                <a:cs typeface="Book Antiqua"/>
              </a:defRPr>
            </a:pPr>
            <a:endParaRPr lang="en-US"/>
          </a:p>
        </c:txPr>
        <c:crossAx val="1"/>
        <c:crossesAt val="-9"/>
        <c:crossBetween val="midCat"/>
        <c:majorUnit val="0.5"/>
      </c:valAx>
      <c:valAx>
        <c:axId val="1"/>
        <c:scaling>
          <c:orientation val="minMax"/>
          <c:max val="-4"/>
          <c:min val="-9"/>
        </c:scaling>
        <c:delete val="0"/>
        <c:axPos val="l"/>
        <c:title>
          <c:tx>
            <c:rich>
              <a:bodyPr/>
              <a:lstStyle/>
              <a:p>
                <a:pPr>
                  <a:defRPr sz="1600" b="1" i="0" u="none" strike="noStrike" baseline="0">
                    <a:solidFill>
                      <a:srgbClr val="000000"/>
                    </a:solidFill>
                    <a:latin typeface="Book Antiqua"/>
                    <a:ea typeface="Book Antiqua"/>
                    <a:cs typeface="Book Antiqua"/>
                  </a:defRPr>
                </a:pPr>
                <a:r>
                  <a:rPr lang="en-GB"/>
                  <a:t>log c</a:t>
                </a:r>
              </a:p>
            </c:rich>
          </c:tx>
          <c:layout>
            <c:manualLayout>
              <c:xMode val="edge"/>
              <c:yMode val="edge"/>
              <c:x val="2.0645840943289622E-2"/>
              <c:y val="0.37520563937219242"/>
            </c:manualLayout>
          </c:layout>
          <c:overlay val="0"/>
          <c:spPr>
            <a:noFill/>
            <a:ln w="25400">
              <a:noFill/>
            </a:ln>
          </c:spPr>
        </c:title>
        <c:numFmt formatCode="0.00" sourceLinked="1"/>
        <c:majorTickMark val="in"/>
        <c:minorTickMark val="none"/>
        <c:tickLblPos val="nextTo"/>
        <c:spPr>
          <a:ln w="25400">
            <a:solidFill>
              <a:srgbClr val="000000"/>
            </a:solidFill>
            <a:prstDash val="solid"/>
          </a:ln>
        </c:spPr>
        <c:txPr>
          <a:bodyPr rot="0" vert="horz"/>
          <a:lstStyle/>
          <a:p>
            <a:pPr>
              <a:defRPr sz="1400" b="1" i="0" u="none" strike="noStrike" baseline="0">
                <a:solidFill>
                  <a:srgbClr val="000000"/>
                </a:solidFill>
                <a:latin typeface="Book Antiqua"/>
                <a:ea typeface="Book Antiqua"/>
                <a:cs typeface="Book Antiqua"/>
              </a:defRPr>
            </a:pPr>
            <a:endParaRPr lang="en-US"/>
          </a:p>
        </c:txPr>
        <c:crossAx val="1063190719"/>
        <c:crosses val="autoZero"/>
        <c:crossBetween val="midCat"/>
        <c:majorUnit val="1"/>
      </c:valAx>
      <c:spPr>
        <a:solidFill>
          <a:srgbClr val="FFFFFF"/>
        </a:solidFill>
        <a:ln w="25400">
          <a:solidFill>
            <a:srgbClr val="00000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1100" b="0" i="0" u="none" strike="noStrike" baseline="0">
          <a:solidFill>
            <a:srgbClr val="000000"/>
          </a:solidFill>
          <a:latin typeface="Book Antiqua"/>
          <a:ea typeface="Book Antiqua"/>
          <a:cs typeface="Book Antiqua"/>
        </a:defRPr>
      </a:pPr>
      <a:endParaRPr lang="en-US"/>
    </a:p>
  </c:txPr>
  <c:printSettings>
    <c:headerFooter alignWithMargins="0"/>
    <c:pageMargins b="3.5433070866141736" l="0.74803149606299213" r="0.74803149606299213" t="3.5433070866141736" header="0.51181102362204722" footer="0.51181102362204722"/>
    <c:pageSetup paperSize="9" orientation="portrait" horizontalDpi="0" verticalDpi="0" copies="0"/>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 Id="rId4" Type="http://schemas.openxmlformats.org/officeDocument/2006/relationships/image" Target="../media/image13.emf"/></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425450</xdr:colOff>
          <xdr:row>14</xdr:row>
          <xdr:rowOff>63500</xdr:rowOff>
        </xdr:from>
        <xdr:to>
          <xdr:col>3</xdr:col>
          <xdr:colOff>1536700</xdr:colOff>
          <xdr:row>14</xdr:row>
          <xdr:rowOff>596900</xdr:rowOff>
        </xdr:to>
        <xdr:sp macro="" textlink="">
          <xdr:nvSpPr>
            <xdr:cNvPr id="1025" name="Picture 1" hidden="1">
              <a:extLst>
                <a:ext uri="{63B3BB69-23CF-44E3-9099-C40C66FF867C}">
                  <a14:compatExt spid="_x0000_s1025"/>
                </a:ext>
                <a:ext uri="{FF2B5EF4-FFF2-40B4-BE49-F238E27FC236}">
                  <a16:creationId xmlns:a16="http://schemas.microsoft.com/office/drawing/2014/main" id="{25CEBF9A-FF7C-45E8-B691-27868B1DBC66}"/>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374650</xdr:colOff>
          <xdr:row>15</xdr:row>
          <xdr:rowOff>6350</xdr:rowOff>
        </xdr:from>
        <xdr:to>
          <xdr:col>3</xdr:col>
          <xdr:colOff>1549400</xdr:colOff>
          <xdr:row>15</xdr:row>
          <xdr:rowOff>565150</xdr:rowOff>
        </xdr:to>
        <xdr:sp macro="" textlink="">
          <xdr:nvSpPr>
            <xdr:cNvPr id="1026" name="Picture 2" hidden="1">
              <a:extLst>
                <a:ext uri="{63B3BB69-23CF-44E3-9099-C40C66FF867C}">
                  <a14:compatExt spid="_x0000_s1026"/>
                </a:ext>
                <a:ext uri="{FF2B5EF4-FFF2-40B4-BE49-F238E27FC236}">
                  <a16:creationId xmlns:a16="http://schemas.microsoft.com/office/drawing/2014/main" id="{640F26D3-D61C-4AB4-9064-5ACA6E259035}"/>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495300</xdr:colOff>
          <xdr:row>16</xdr:row>
          <xdr:rowOff>69850</xdr:rowOff>
        </xdr:from>
        <xdr:to>
          <xdr:col>3</xdr:col>
          <xdr:colOff>1543050</xdr:colOff>
          <xdr:row>16</xdr:row>
          <xdr:rowOff>565150</xdr:rowOff>
        </xdr:to>
        <xdr:sp macro="" textlink="">
          <xdr:nvSpPr>
            <xdr:cNvPr id="1027" name="Picture 3" hidden="1">
              <a:extLst>
                <a:ext uri="{63B3BB69-23CF-44E3-9099-C40C66FF867C}">
                  <a14:compatExt spid="_x0000_s1027"/>
                </a:ext>
                <a:ext uri="{FF2B5EF4-FFF2-40B4-BE49-F238E27FC236}">
                  <a16:creationId xmlns:a16="http://schemas.microsoft.com/office/drawing/2014/main" id="{A42810BB-99D7-4E4E-80F4-385DB987FC4C}"/>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419100</xdr:colOff>
          <xdr:row>17</xdr:row>
          <xdr:rowOff>44450</xdr:rowOff>
        </xdr:from>
        <xdr:to>
          <xdr:col>3</xdr:col>
          <xdr:colOff>1543050</xdr:colOff>
          <xdr:row>17</xdr:row>
          <xdr:rowOff>577850</xdr:rowOff>
        </xdr:to>
        <xdr:sp macro="" textlink="">
          <xdr:nvSpPr>
            <xdr:cNvPr id="1028" name="Picture 4" hidden="1">
              <a:extLst>
                <a:ext uri="{63B3BB69-23CF-44E3-9099-C40C66FF867C}">
                  <a14:compatExt spid="_x0000_s1028"/>
                </a:ext>
                <a:ext uri="{FF2B5EF4-FFF2-40B4-BE49-F238E27FC236}">
                  <a16:creationId xmlns:a16="http://schemas.microsoft.com/office/drawing/2014/main" id="{1FA00EC2-3C64-4753-BA1D-9F8AA4756443}"/>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31750</xdr:colOff>
          <xdr:row>18</xdr:row>
          <xdr:rowOff>31750</xdr:rowOff>
        </xdr:from>
        <xdr:to>
          <xdr:col>3</xdr:col>
          <xdr:colOff>1543050</xdr:colOff>
          <xdr:row>18</xdr:row>
          <xdr:rowOff>609600</xdr:rowOff>
        </xdr:to>
        <xdr:sp macro="" textlink="">
          <xdr:nvSpPr>
            <xdr:cNvPr id="1029" name="Picture 5" hidden="1">
              <a:extLst>
                <a:ext uri="{63B3BB69-23CF-44E3-9099-C40C66FF867C}">
                  <a14:compatExt spid="_x0000_s1029"/>
                </a:ext>
                <a:ext uri="{FF2B5EF4-FFF2-40B4-BE49-F238E27FC236}">
                  <a16:creationId xmlns:a16="http://schemas.microsoft.com/office/drawing/2014/main" id="{A818F21A-AB4B-46C2-A020-BB6EEBD94DDF}"/>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812800</xdr:colOff>
          <xdr:row>19</xdr:row>
          <xdr:rowOff>0</xdr:rowOff>
        </xdr:from>
        <xdr:to>
          <xdr:col>3</xdr:col>
          <xdr:colOff>1517650</xdr:colOff>
          <xdr:row>19</xdr:row>
          <xdr:rowOff>273050</xdr:rowOff>
        </xdr:to>
        <xdr:sp macro="" textlink="">
          <xdr:nvSpPr>
            <xdr:cNvPr id="1030" name="Picture 6" hidden="1">
              <a:extLst>
                <a:ext uri="{63B3BB69-23CF-44E3-9099-C40C66FF867C}">
                  <a14:compatExt spid="_x0000_s1030"/>
                </a:ext>
                <a:ext uri="{FF2B5EF4-FFF2-40B4-BE49-F238E27FC236}">
                  <a16:creationId xmlns:a16="http://schemas.microsoft.com/office/drawing/2014/main" id="{7EBDBA7F-D18E-47C6-AC5A-5944FFA88F63}"/>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539750</xdr:colOff>
          <xdr:row>19</xdr:row>
          <xdr:rowOff>31750</xdr:rowOff>
        </xdr:from>
        <xdr:to>
          <xdr:col>3</xdr:col>
          <xdr:colOff>1536700</xdr:colOff>
          <xdr:row>19</xdr:row>
          <xdr:rowOff>552450</xdr:rowOff>
        </xdr:to>
        <xdr:sp macro="" textlink="">
          <xdr:nvSpPr>
            <xdr:cNvPr id="1031" name="Picture 7" hidden="1">
              <a:extLst>
                <a:ext uri="{63B3BB69-23CF-44E3-9099-C40C66FF867C}">
                  <a14:compatExt spid="_x0000_s1031"/>
                </a:ext>
                <a:ext uri="{FF2B5EF4-FFF2-40B4-BE49-F238E27FC236}">
                  <a16:creationId xmlns:a16="http://schemas.microsoft.com/office/drawing/2014/main" id="{69642342-00FD-458E-A896-098CB6B4289D}"/>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527050</xdr:colOff>
          <xdr:row>20</xdr:row>
          <xdr:rowOff>38100</xdr:rowOff>
        </xdr:from>
        <xdr:to>
          <xdr:col>3</xdr:col>
          <xdr:colOff>1536700</xdr:colOff>
          <xdr:row>20</xdr:row>
          <xdr:rowOff>603250</xdr:rowOff>
        </xdr:to>
        <xdr:sp macro="" textlink="">
          <xdr:nvSpPr>
            <xdr:cNvPr id="1032" name="Picture 8" hidden="1">
              <a:extLst>
                <a:ext uri="{63B3BB69-23CF-44E3-9099-C40C66FF867C}">
                  <a14:compatExt spid="_x0000_s1032"/>
                </a:ext>
                <a:ext uri="{FF2B5EF4-FFF2-40B4-BE49-F238E27FC236}">
                  <a16:creationId xmlns:a16="http://schemas.microsoft.com/office/drawing/2014/main" id="{5E845D1C-2D61-46D4-9E53-7346C924532E}"/>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323850</xdr:colOff>
          <xdr:row>21</xdr:row>
          <xdr:rowOff>31750</xdr:rowOff>
        </xdr:from>
        <xdr:to>
          <xdr:col>3</xdr:col>
          <xdr:colOff>1530350</xdr:colOff>
          <xdr:row>21</xdr:row>
          <xdr:rowOff>609600</xdr:rowOff>
        </xdr:to>
        <xdr:sp macro="" textlink="">
          <xdr:nvSpPr>
            <xdr:cNvPr id="1033" name="Picture 9" hidden="1">
              <a:extLst>
                <a:ext uri="{63B3BB69-23CF-44E3-9099-C40C66FF867C}">
                  <a14:compatExt spid="_x0000_s1033"/>
                </a:ext>
                <a:ext uri="{FF2B5EF4-FFF2-40B4-BE49-F238E27FC236}">
                  <a16:creationId xmlns:a16="http://schemas.microsoft.com/office/drawing/2014/main" id="{62CF0CAB-727F-476A-A6F7-C51BF0E4107C}"/>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xdr:from>
      <xdr:col>5</xdr:col>
      <xdr:colOff>76200</xdr:colOff>
      <xdr:row>2</xdr:row>
      <xdr:rowOff>69850</xdr:rowOff>
    </xdr:from>
    <xdr:to>
      <xdr:col>8</xdr:col>
      <xdr:colOff>660400</xdr:colOff>
      <xdr:row>10</xdr:row>
      <xdr:rowOff>25400</xdr:rowOff>
    </xdr:to>
    <xdr:sp macro="" textlink="">
      <xdr:nvSpPr>
        <xdr:cNvPr id="1034" name="Text 10">
          <a:extLst>
            <a:ext uri="{FF2B5EF4-FFF2-40B4-BE49-F238E27FC236}">
              <a16:creationId xmlns:a16="http://schemas.microsoft.com/office/drawing/2014/main" id="{5FD2528A-8646-44F1-B9CD-EECC846FEC68}"/>
            </a:ext>
          </a:extLst>
        </xdr:cNvPr>
        <xdr:cNvSpPr txBox="1">
          <a:spLocks noChangeArrowheads="1"/>
        </xdr:cNvSpPr>
      </xdr:nvSpPr>
      <xdr:spPr bwMode="auto">
        <a:xfrm>
          <a:off x="3860800" y="565150"/>
          <a:ext cx="3048000" cy="1860550"/>
        </a:xfrm>
        <a:prstGeom prst="rect">
          <a:avLst/>
        </a:prstGeom>
        <a:solidFill>
          <a:srgbClr xmlns:mc="http://schemas.openxmlformats.org/markup-compatibility/2006" xmlns:a14="http://schemas.microsoft.com/office/drawing/2010/main" val="FFFFC0" mc:Ignorable="a14" a14:legacySpreadsheetColorIndex="26"/>
        </a:solidFill>
        <a:ln w="24765" cap="flat">
          <a:solidFill>
            <a:srgbClr xmlns:mc="http://schemas.openxmlformats.org/markup-compatibility/2006" xmlns:a14="http://schemas.microsoft.com/office/drawing/2010/main" val="000000" mc:Ignorable="a14" a14:legacySpreadsheetColorIndex="8"/>
          </a:solidFill>
          <a:prstDash val="solid"/>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The series of equations shown below are solved simultaneously using Solver. The values in the range E3:E10 are changed by Solver so that equations in the range G15:G22 equal the values in the range E15:E22 respectively. Change the pH value in C1 and then select Solver from the Tools menu to obtain the new speciation concentration data that satisfy the constraints in the cell range E15:E22.</a:t>
          </a:r>
        </a:p>
      </xdr:txBody>
    </xdr:sp>
    <xdr:clientData/>
  </xdr:twoCellAnchor>
  <xdr:twoCellAnchor>
    <xdr:from>
      <xdr:col>9</xdr:col>
      <xdr:colOff>120650</xdr:colOff>
      <xdr:row>11</xdr:row>
      <xdr:rowOff>165100</xdr:rowOff>
    </xdr:from>
    <xdr:to>
      <xdr:col>12</xdr:col>
      <xdr:colOff>222250</xdr:colOff>
      <xdr:row>19</xdr:row>
      <xdr:rowOff>463550</xdr:rowOff>
    </xdr:to>
    <xdr:sp macro="" textlink="">
      <xdr:nvSpPr>
        <xdr:cNvPr id="1035" name="Text 11">
          <a:extLst>
            <a:ext uri="{FF2B5EF4-FFF2-40B4-BE49-F238E27FC236}">
              <a16:creationId xmlns:a16="http://schemas.microsoft.com/office/drawing/2014/main" id="{FBFB3C20-B3FB-4FDA-9090-E5C7E72773DF}"/>
            </a:ext>
          </a:extLst>
        </xdr:cNvPr>
        <xdr:cNvSpPr txBox="1">
          <a:spLocks noChangeArrowheads="1"/>
        </xdr:cNvSpPr>
      </xdr:nvSpPr>
      <xdr:spPr bwMode="auto">
        <a:xfrm>
          <a:off x="7042150" y="2800350"/>
          <a:ext cx="2120900" cy="4140200"/>
        </a:xfrm>
        <a:prstGeom prst="rect">
          <a:avLst/>
        </a:prstGeom>
        <a:solidFill>
          <a:srgbClr xmlns:mc="http://schemas.openxmlformats.org/markup-compatibility/2006" xmlns:a14="http://schemas.microsoft.com/office/drawing/2010/main" val="A0E0E0" mc:Ignorable="a14" a14:legacySpreadsheetColorIndex="27"/>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36576" tIns="32004" rIns="0" bIns="0" anchor="t" upright="1"/>
        <a:lstStyle/>
        <a:p>
          <a:pPr algn="l" rtl="0">
            <a:defRPr sz="1000"/>
          </a:pPr>
          <a:r>
            <a:rPr lang="en-GB" sz="1000" b="0" i="0" u="none" strike="noStrike" baseline="0">
              <a:solidFill>
                <a:srgbClr val="000000"/>
              </a:solidFill>
              <a:latin typeface="Book Antiqua"/>
            </a:rPr>
            <a:t>The equations were produced using the equation editor bundled with Word 6. The equation was copied from that application and inserted into this one using the Copy and Paste functions of the Edit menu found in both applications. The equations were then moved into position using the mouse.</a:t>
          </a:r>
        </a:p>
        <a:p>
          <a:pPr algn="l" rtl="0">
            <a:defRPr sz="1000"/>
          </a:pPr>
          <a:endParaRPr lang="en-GB" sz="1000" b="0" i="0" u="none" strike="noStrike" baseline="0">
            <a:solidFill>
              <a:srgbClr val="000000"/>
            </a:solidFill>
            <a:latin typeface="Book Antiqua"/>
          </a:endParaRPr>
        </a:p>
        <a:p>
          <a:pPr algn="l" rtl="0">
            <a:defRPr sz="1000"/>
          </a:pPr>
          <a:r>
            <a:rPr lang="en-GB" sz="1000" b="0" i="0" u="none" strike="noStrike" baseline="0">
              <a:solidFill>
                <a:srgbClr val="000000"/>
              </a:solidFill>
              <a:latin typeface="Book Antiqua"/>
            </a:rPr>
            <a:t>Background colours for the cells were provided by using the Color button. Using the cursor outline the cells which you wish to fill with colour and then press the Color button. Select the colour of your choice. Text colour can also be changes using the </a:t>
          </a:r>
          <a:r>
            <a:rPr lang="en-GB" sz="1000" b="0" i="0" u="none" strike="noStrike" baseline="0">
              <a:solidFill>
                <a:srgbClr val="FF0000"/>
              </a:solidFill>
              <a:latin typeface="Book Antiqua"/>
            </a:rPr>
            <a:t>Text</a:t>
          </a:r>
          <a:r>
            <a:rPr lang="en-GB" sz="1000" b="0" i="0" u="none" strike="noStrike" baseline="0">
              <a:solidFill>
                <a:srgbClr val="000000"/>
              </a:solidFill>
              <a:latin typeface="Book Antiqua"/>
            </a:rPr>
            <a:t> </a:t>
          </a:r>
          <a:r>
            <a:rPr lang="en-GB" sz="1000" b="0" i="0" u="none" strike="noStrike" baseline="0">
              <a:solidFill>
                <a:srgbClr val="3333CC"/>
              </a:solidFill>
              <a:latin typeface="Book Antiqua"/>
            </a:rPr>
            <a:t>Color</a:t>
          </a:r>
          <a:r>
            <a:rPr lang="en-GB" sz="1000" b="0" i="0" u="none" strike="noStrike" baseline="0">
              <a:solidFill>
                <a:srgbClr val="000000"/>
              </a:solidFill>
              <a:latin typeface="Book Antiqua"/>
            </a:rPr>
            <a:t> </a:t>
          </a:r>
          <a:r>
            <a:rPr lang="en-GB" sz="1000" b="0" i="0" u="none" strike="noStrike" baseline="0">
              <a:solidFill>
                <a:srgbClr val="FF00FF"/>
              </a:solidFill>
              <a:latin typeface="Book Antiqua"/>
            </a:rPr>
            <a:t>button. </a:t>
          </a:r>
          <a:r>
            <a:rPr lang="en-GB" sz="1000" b="0" i="0" u="none" strike="noStrike" baseline="0">
              <a:solidFill>
                <a:srgbClr val="0000FF"/>
              </a:solidFill>
              <a:latin typeface="Book Antiqua"/>
            </a:rPr>
            <a:t>Select the text whose colour you wish to change</a:t>
          </a:r>
          <a:r>
            <a:rPr lang="en-GB" sz="1000" b="0" i="0" u="none" strike="noStrike" baseline="0">
              <a:solidFill>
                <a:srgbClr val="000000"/>
              </a:solidFill>
              <a:latin typeface="Book Antiqua"/>
            </a:rPr>
            <a:t>, </a:t>
          </a:r>
          <a:r>
            <a:rPr lang="en-GB" sz="1000" b="0" i="0" u="none" strike="noStrike" baseline="0">
              <a:solidFill>
                <a:srgbClr val="339933"/>
              </a:solidFill>
              <a:latin typeface="Book Antiqua"/>
            </a:rPr>
            <a:t>press the Text Color button</a:t>
          </a:r>
          <a:r>
            <a:rPr lang="en-GB" sz="1000" b="0" i="0" u="none" strike="noStrike" baseline="0">
              <a:solidFill>
                <a:srgbClr val="000000"/>
              </a:solidFill>
              <a:latin typeface="Book Antiqua"/>
            </a:rPr>
            <a:t> </a:t>
          </a:r>
          <a:r>
            <a:rPr lang="en-GB" sz="1000" b="0" i="0" u="none" strike="noStrike" baseline="0">
              <a:solidFill>
                <a:srgbClr val="FF0000"/>
              </a:solidFill>
              <a:latin typeface="Book Antiqua"/>
            </a:rPr>
            <a:t>and select the colour you want.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101600</xdr:colOff>
      <xdr:row>14</xdr:row>
      <xdr:rowOff>50800</xdr:rowOff>
    </xdr:from>
    <xdr:to>
      <xdr:col>5</xdr:col>
      <xdr:colOff>514350</xdr:colOff>
      <xdr:row>35</xdr:row>
      <xdr:rowOff>12700</xdr:rowOff>
    </xdr:to>
    <xdr:graphicFrame macro="">
      <xdr:nvGraphicFramePr>
        <xdr:cNvPr id="2056" name="Chart 8">
          <a:extLst>
            <a:ext uri="{FF2B5EF4-FFF2-40B4-BE49-F238E27FC236}">
              <a16:creationId xmlns:a16="http://schemas.microsoft.com/office/drawing/2014/main" id="{8844CCE8-53A3-4B17-B5CE-828203BC3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260350</xdr:colOff>
      <xdr:row>5</xdr:row>
      <xdr:rowOff>114300</xdr:rowOff>
    </xdr:from>
    <xdr:to>
      <xdr:col>10</xdr:col>
      <xdr:colOff>438150</xdr:colOff>
      <xdr:row>11</xdr:row>
      <xdr:rowOff>152400</xdr:rowOff>
    </xdr:to>
    <xdr:sp macro="" textlink="">
      <xdr:nvSpPr>
        <xdr:cNvPr id="2057" name="Text 9">
          <a:extLst>
            <a:ext uri="{FF2B5EF4-FFF2-40B4-BE49-F238E27FC236}">
              <a16:creationId xmlns:a16="http://schemas.microsoft.com/office/drawing/2014/main" id="{5C131D93-0FB7-46C2-8148-C14F1CCF468E}"/>
            </a:ext>
          </a:extLst>
        </xdr:cNvPr>
        <xdr:cNvSpPr txBox="1">
          <a:spLocks noChangeArrowheads="1"/>
        </xdr:cNvSpPr>
      </xdr:nvSpPr>
      <xdr:spPr bwMode="auto">
        <a:xfrm>
          <a:off x="5441950" y="1149350"/>
          <a:ext cx="2870200" cy="1219200"/>
        </a:xfrm>
        <a:prstGeom prst="rect">
          <a:avLst/>
        </a:prstGeom>
        <a:solidFill>
          <a:srgbClr xmlns:mc="http://schemas.openxmlformats.org/markup-compatibility/2006" xmlns:a14="http://schemas.microsoft.com/office/drawing/2010/main" val="FFFFC0" mc:Ignorable="a14" a14:legacySpreadsheetColorIndex="26"/>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txBody>
        <a:bodyPr vertOverflow="clip" wrap="square" lIns="36576" tIns="36576" rIns="0" bIns="0" anchor="t" upright="1"/>
        <a:lstStyle/>
        <a:p>
          <a:pPr algn="l" rtl="0">
            <a:defRPr sz="1000"/>
          </a:pPr>
          <a:r>
            <a:rPr lang="en-GB" sz="1200" b="0" i="0" u="none" strike="noStrike" baseline="0">
              <a:solidFill>
                <a:srgbClr val="FF0000"/>
              </a:solidFill>
              <a:latin typeface="Book Antiqua"/>
            </a:rPr>
            <a:t>To place lines and borders around your data pick the cells you wish to place borders around using the mouse. Then press the Borders button and select the border you require.</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0.24561</cdr:x>
      <cdr:y>0.08991</cdr:y>
    </cdr:from>
    <cdr:to>
      <cdr:x>0.37439</cdr:x>
      <cdr:y>0.14404</cdr:y>
    </cdr:to>
    <cdr:pic>
      <cdr:nvPicPr>
        <cdr:cNvPr id="3073" name="Picture 1">
          <a:extLst xmlns:a="http://schemas.openxmlformats.org/drawingml/2006/main">
            <a:ext uri="{FF2B5EF4-FFF2-40B4-BE49-F238E27FC236}">
              <a16:creationId xmlns:a16="http://schemas.microsoft.com/office/drawing/2014/main" id="{BD33017C-9A66-48DC-827B-C4F46309E75C}"/>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210247" y="368840"/>
          <a:ext cx="634619" cy="222028"/>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0.2532</cdr:x>
      <cdr:y>0.28179</cdr:y>
    </cdr:from>
    <cdr:to>
      <cdr:x>0.36778</cdr:x>
      <cdr:y>0.32812</cdr:y>
    </cdr:to>
    <cdr:pic>
      <cdr:nvPicPr>
        <cdr:cNvPr id="3074" name="Picture 2">
          <a:extLst xmlns:a="http://schemas.openxmlformats.org/drawingml/2006/main">
            <a:ext uri="{FF2B5EF4-FFF2-40B4-BE49-F238E27FC236}">
              <a16:creationId xmlns:a16="http://schemas.microsoft.com/office/drawing/2014/main" id="{FD09342E-1BE7-406A-8CF6-89701C9693A4}"/>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1247648" y="1155938"/>
          <a:ext cx="564642" cy="190024"/>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0.62536</cdr:x>
      <cdr:y>0.67652</cdr:y>
    </cdr:from>
    <cdr:to>
      <cdr:x>0.73628</cdr:x>
      <cdr:y>0.73064</cdr:y>
    </cdr:to>
    <cdr:pic>
      <cdr:nvPicPr>
        <cdr:cNvPr id="3075" name="Picture 3">
          <a:extLst xmlns:a="http://schemas.openxmlformats.org/drawingml/2006/main">
            <a:ext uri="{FF2B5EF4-FFF2-40B4-BE49-F238E27FC236}">
              <a16:creationId xmlns:a16="http://schemas.microsoft.com/office/drawing/2014/main" id="{B8619A58-CC44-46D1-864C-43320EC96D52}"/>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3">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3081528" y="2775141"/>
          <a:ext cx="546545" cy="22202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0.66992</cdr:x>
      <cdr:y>0.3286</cdr:y>
    </cdr:from>
    <cdr:to>
      <cdr:x>0.83495</cdr:x>
      <cdr:y>0.38736</cdr:y>
    </cdr:to>
    <cdr:pic>
      <cdr:nvPicPr>
        <cdr:cNvPr id="3076" name="Picture 4">
          <a:extLst xmlns:a="http://schemas.openxmlformats.org/drawingml/2006/main">
            <a:ext uri="{FF2B5EF4-FFF2-40B4-BE49-F238E27FC236}">
              <a16:creationId xmlns:a16="http://schemas.microsoft.com/office/drawing/2014/main" id="{CA27EA64-162E-49DC-8456-8F43CF0C4A04}"/>
            </a:ext>
          </a:extLst>
        </cdr:cNvPr>
        <cdr:cNvPicPr>
          <a:picLocks xmlns:a="http://schemas.openxmlformats.org/drawingml/2006/main" noChangeAspect="1" noChangeArrowheads="1"/>
        </cdr:cNvPicPr>
      </cdr:nvPicPr>
      <cdr:blipFill>
        <a:blip xmlns:a="http://schemas.openxmlformats.org/drawingml/2006/main" xmlns:r="http://schemas.openxmlformats.org/officeDocument/2006/relationships" r:embed="rId4">
          <a:extLst>
            <a:ext uri="{28A0092B-C50C-407E-A947-70E740481C1C}">
              <a14:useLocalDpi xmlns:a14="http://schemas.microsoft.com/office/drawing/2010/main" val="0"/>
            </a:ext>
          </a:extLst>
        </a:blip>
        <a:srcRect xmlns:a="http://schemas.openxmlformats.org/drawingml/2006/main"/>
        <a:stretch xmlns:a="http://schemas.openxmlformats.org/drawingml/2006/main">
          <a:fillRect/>
        </a:stretch>
      </cdr:blipFill>
      <cdr:spPr bwMode="auto">
        <a:xfrm xmlns:a="http://schemas.openxmlformats.org/drawingml/2006/main">
          <a:off x="3301111" y="1347962"/>
          <a:ext cx="813181" cy="241030"/>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FF" mc:Ignorable="a14" a14:legacySpreadsheetColorIndex="9"/>
        </a:solidFill>
        <a:ln xmlns:a="http://schemas.openxmlformats.org/drawingml/2006/main">
          <a:noFill/>
        </a:ln>
        <a:extLst xmlns:a="http://schemas.openxmlformats.org/drawingml/2006/main">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cdr:spPr>
    </cdr:pic>
  </cdr:relSizeAnchor>
  <cdr:relSizeAnchor xmlns:cdr="http://schemas.openxmlformats.org/drawingml/2006/chartDrawing">
    <cdr:from>
      <cdr:x>0.37611</cdr:x>
      <cdr:y>0.14916</cdr:y>
    </cdr:from>
    <cdr:to>
      <cdr:x>0.43365</cdr:x>
      <cdr:y>0.19378</cdr:y>
    </cdr:to>
    <cdr:sp macro="" textlink="">
      <cdr:nvSpPr>
        <cdr:cNvPr id="3077" name="Line 5">
          <a:extLst xmlns:a="http://schemas.openxmlformats.org/drawingml/2006/main">
            <a:ext uri="{FF2B5EF4-FFF2-40B4-BE49-F238E27FC236}">
              <a16:creationId xmlns:a16="http://schemas.microsoft.com/office/drawing/2014/main" id="{B709ED3C-DE93-4FFE-86DE-0F104287AC62}"/>
            </a:ext>
          </a:extLst>
        </cdr:cNvPr>
        <cdr:cNvSpPr>
          <a:spLocks xmlns:a="http://schemas.openxmlformats.org/drawingml/2006/main" noChangeShapeType="1"/>
        </cdr:cNvSpPr>
      </cdr:nvSpPr>
      <cdr:spPr bwMode="auto">
        <a:xfrm xmlns:a="http://schemas.openxmlformats.org/drawingml/2006/main">
          <a:off x="1853311" y="611870"/>
          <a:ext cx="283528" cy="183023"/>
        </a:xfrm>
        <a:prstGeom xmlns:a="http://schemas.openxmlformats.org/drawingml/2006/main" prst="line">
          <a:avLst/>
        </a:prstGeom>
        <a:noFill xmlns:a="http://schemas.openxmlformats.org/drawingml/2006/main"/>
        <a:ln xmlns:a="http://schemas.openxmlformats.org/drawingml/2006/main" w="1" cap="flat">
          <a:solidFill>
            <a:srgbClr xmlns:mc="http://schemas.openxmlformats.org/markup-compatibility/2006" xmlns:a14="http://schemas.microsoft.com/office/drawing/2010/main" val="008080" mc:Ignorable="a14" a14:legacySpreadsheetColorIndex="21"/>
          </a:solidFill>
          <a:prstDash val="solid"/>
          <a:round/>
          <a:headEnd/>
          <a:tailEnd type="triangle" w="sm" len="sm"/>
        </a:ln>
        <a:extLst xmlns:a="http://schemas.openxmlformats.org/drawingml/2006/main">
          <a:ext uri="{909E8E84-426E-40DD-AFC4-6F175D3DCCD1}">
            <a14:hiddenFill xmlns:a14="http://schemas.microsoft.com/office/drawing/2010/main">
              <a:noFill/>
            </a14:hiddenFill>
          </a:ext>
        </a:extLst>
      </cdr:spPr>
    </cdr:sp>
  </cdr:relSizeAnchor>
  <cdr:relSizeAnchor xmlns:cdr="http://schemas.openxmlformats.org/drawingml/2006/chartDrawing">
    <cdr:from>
      <cdr:x>0.36852</cdr:x>
      <cdr:y>0.33592</cdr:y>
    </cdr:from>
    <cdr:to>
      <cdr:x>0.44001</cdr:x>
      <cdr:y>0.40882</cdr:y>
    </cdr:to>
    <cdr:sp macro="" textlink="">
      <cdr:nvSpPr>
        <cdr:cNvPr id="3078" name="Line 6">
          <a:extLst xmlns:a="http://schemas.openxmlformats.org/drawingml/2006/main">
            <a:ext uri="{FF2B5EF4-FFF2-40B4-BE49-F238E27FC236}">
              <a16:creationId xmlns:a16="http://schemas.microsoft.com/office/drawing/2014/main" id="{3F10B9F0-7AFE-4489-BC7B-59A375786E50}"/>
            </a:ext>
          </a:extLst>
        </cdr:cNvPr>
        <cdr:cNvSpPr>
          <a:spLocks xmlns:a="http://schemas.openxmlformats.org/drawingml/2006/main" noChangeShapeType="1"/>
        </cdr:cNvSpPr>
      </cdr:nvSpPr>
      <cdr:spPr bwMode="auto">
        <a:xfrm xmlns:a="http://schemas.openxmlformats.org/drawingml/2006/main">
          <a:off x="1815910" y="1377966"/>
          <a:ext cx="352298" cy="299037"/>
        </a:xfrm>
        <a:prstGeom xmlns:a="http://schemas.openxmlformats.org/drawingml/2006/main" prst="line">
          <a:avLst/>
        </a:prstGeom>
        <a:noFill xmlns:a="http://schemas.openxmlformats.org/drawingml/2006/main"/>
        <a:ln xmlns:a="http://schemas.openxmlformats.org/drawingml/2006/main" w="1" cap="flat">
          <a:solidFill>
            <a:srgbClr xmlns:mc="http://schemas.openxmlformats.org/markup-compatibility/2006" xmlns:a14="http://schemas.microsoft.com/office/drawing/2010/main" val="008080" mc:Ignorable="a14" a14:legacySpreadsheetColorIndex="21"/>
          </a:solidFill>
          <a:prstDash val="solid"/>
          <a:round/>
          <a:headEnd/>
          <a:tailEnd type="triangle" w="sm" len="sm"/>
        </a:ln>
        <a:extLst xmlns:a="http://schemas.openxmlformats.org/drawingml/2006/main">
          <a:ext uri="{909E8E84-426E-40DD-AFC4-6F175D3DCCD1}">
            <a14:hiddenFill xmlns:a14="http://schemas.microsoft.com/office/drawing/2010/main">
              <a:noFill/>
            </a14:hiddenFill>
          </a:ext>
        </a:extLst>
      </cdr:spPr>
    </cdr:sp>
  </cdr:relSizeAnchor>
  <cdr:relSizeAnchor xmlns:cdr="http://schemas.openxmlformats.org/drawingml/2006/chartDrawing">
    <cdr:from>
      <cdr:x>0.59451</cdr:x>
      <cdr:y>0.39663</cdr:y>
    </cdr:from>
    <cdr:to>
      <cdr:x>0.66919</cdr:x>
      <cdr:y>0.49537</cdr:y>
    </cdr:to>
    <cdr:sp macro="" textlink="">
      <cdr:nvSpPr>
        <cdr:cNvPr id="3079" name="Line 7">
          <a:extLst xmlns:a="http://schemas.openxmlformats.org/drawingml/2006/main">
            <a:ext uri="{FF2B5EF4-FFF2-40B4-BE49-F238E27FC236}">
              <a16:creationId xmlns:a16="http://schemas.microsoft.com/office/drawing/2014/main" id="{BECED1BE-D24D-4353-8095-8A1CCE75E3A0}"/>
            </a:ext>
          </a:extLst>
        </cdr:cNvPr>
        <cdr:cNvSpPr>
          <a:spLocks xmlns:a="http://schemas.openxmlformats.org/drawingml/2006/main" noChangeShapeType="1"/>
        </cdr:cNvSpPr>
      </cdr:nvSpPr>
      <cdr:spPr bwMode="auto">
        <a:xfrm xmlns:a="http://schemas.openxmlformats.org/drawingml/2006/main" flipH="1">
          <a:off x="2929509" y="1626997"/>
          <a:ext cx="367983" cy="405051"/>
        </a:xfrm>
        <a:prstGeom xmlns:a="http://schemas.openxmlformats.org/drawingml/2006/main" prst="line">
          <a:avLst/>
        </a:prstGeom>
        <a:noFill xmlns:a="http://schemas.openxmlformats.org/drawingml/2006/main"/>
        <a:ln xmlns:a="http://schemas.openxmlformats.org/drawingml/2006/main" w="1" cap="flat">
          <a:solidFill>
            <a:srgbClr xmlns:mc="http://schemas.openxmlformats.org/markup-compatibility/2006" xmlns:a14="http://schemas.microsoft.com/office/drawing/2010/main" val="008080" mc:Ignorable="a14" a14:legacySpreadsheetColorIndex="21"/>
          </a:solidFill>
          <a:prstDash val="solid"/>
          <a:round/>
          <a:headEnd/>
          <a:tailEnd type="triangle" w="sm" len="sm"/>
        </a:ln>
        <a:extLst xmlns:a="http://schemas.openxmlformats.org/drawingml/2006/main">
          <a:ext uri="{909E8E84-426E-40DD-AFC4-6F175D3DCCD1}">
            <a14:hiddenFill xmlns:a14="http://schemas.microsoft.com/office/drawing/2010/main">
              <a:noFill/>
            </a14:hiddenFill>
          </a:ext>
        </a:extLst>
      </cdr:spPr>
    </cdr:sp>
  </cdr:relSizeAnchor>
  <cdr:relSizeAnchor xmlns:cdr="http://schemas.openxmlformats.org/drawingml/2006/chartDrawing">
    <cdr:from>
      <cdr:x>0.57664</cdr:x>
      <cdr:y>0.57753</cdr:y>
    </cdr:from>
    <cdr:to>
      <cdr:x>0.62316</cdr:x>
      <cdr:y>0.67579</cdr:y>
    </cdr:to>
    <cdr:sp macro="" textlink="">
      <cdr:nvSpPr>
        <cdr:cNvPr id="3080" name="Line 8">
          <a:extLst xmlns:a="http://schemas.openxmlformats.org/drawingml/2006/main">
            <a:ext uri="{FF2B5EF4-FFF2-40B4-BE49-F238E27FC236}">
              <a16:creationId xmlns:a16="http://schemas.microsoft.com/office/drawing/2014/main" id="{47E5DE3D-BB9E-4846-9998-88A9835542B0}"/>
            </a:ext>
          </a:extLst>
        </cdr:cNvPr>
        <cdr:cNvSpPr>
          <a:spLocks xmlns:a="http://schemas.openxmlformats.org/drawingml/2006/main" noChangeShapeType="1"/>
        </cdr:cNvSpPr>
      </cdr:nvSpPr>
      <cdr:spPr bwMode="auto">
        <a:xfrm xmlns:a="http://schemas.openxmlformats.org/drawingml/2006/main" flipH="1" flipV="1">
          <a:off x="2841435" y="2369090"/>
          <a:ext cx="229235" cy="403050"/>
        </a:xfrm>
        <a:prstGeom xmlns:a="http://schemas.openxmlformats.org/drawingml/2006/main" prst="line">
          <a:avLst/>
        </a:prstGeom>
        <a:noFill xmlns:a="http://schemas.openxmlformats.org/drawingml/2006/main"/>
        <a:ln xmlns:a="http://schemas.openxmlformats.org/drawingml/2006/main" w="1" cap="flat">
          <a:solidFill>
            <a:srgbClr xmlns:mc="http://schemas.openxmlformats.org/markup-compatibility/2006" xmlns:a14="http://schemas.microsoft.com/office/drawing/2010/main" val="008080" mc:Ignorable="a14" a14:legacySpreadsheetColorIndex="21"/>
          </a:solidFill>
          <a:prstDash val="solid"/>
          <a:round/>
          <a:headEnd/>
          <a:tailEnd type="triangle" w="sm" len="sm"/>
        </a:ln>
        <a:extLst xmlns:a="http://schemas.openxmlformats.org/drawingml/2006/main">
          <a:ext uri="{909E8E84-426E-40DD-AFC4-6F175D3DCCD1}">
            <a14:hiddenFill xmlns:a14="http://schemas.microsoft.com/office/drawing/2010/main">
              <a:noFill/>
            </a14:hiddenFill>
          </a:ext>
        </a:extLst>
      </cdr:spPr>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5.emf"/><Relationship Id="rId18" Type="http://schemas.openxmlformats.org/officeDocument/2006/relationships/oleObject" Target="../embeddings/oleObject8.bin"/><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oleObject" Target="../embeddings/oleObject5.bin"/><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oleObject" Target="../embeddings/oleObject7.bin"/><Relationship Id="rId20" Type="http://schemas.openxmlformats.org/officeDocument/2006/relationships/oleObject" Target="../embeddings/oleObject9.bin"/><Relationship Id="rId1" Type="http://schemas.openxmlformats.org/officeDocument/2006/relationships/printerSettings" Target="../printerSettings/printerSettings1.bin"/><Relationship Id="rId6" Type="http://schemas.openxmlformats.org/officeDocument/2006/relationships/oleObject" Target="../embeddings/oleObject2.bin"/><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oleObject" Target="../embeddings/oleObject4.bin"/><Relationship Id="rId19" Type="http://schemas.openxmlformats.org/officeDocument/2006/relationships/image" Target="../media/image8.emf"/><Relationship Id="rId4" Type="http://schemas.openxmlformats.org/officeDocument/2006/relationships/oleObject" Target="../embeddings/oleObject1.bin"/><Relationship Id="rId9" Type="http://schemas.openxmlformats.org/officeDocument/2006/relationships/image" Target="../media/image3.emf"/><Relationship Id="rId14" Type="http://schemas.openxmlformats.org/officeDocument/2006/relationships/oleObject" Target="../embeddings/oleObject6.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6"/>
  <sheetViews>
    <sheetView showGridLines="0" tabSelected="1" workbookViewId="0"/>
  </sheetViews>
  <sheetFormatPr defaultColWidth="8.83203125" defaultRowHeight="15.5" x14ac:dyDescent="0.35"/>
  <cols>
    <col min="1" max="1" width="2.58203125" customWidth="1"/>
    <col min="4" max="4" width="20.58203125" customWidth="1"/>
    <col min="7" max="7" width="14.6640625" customWidth="1"/>
  </cols>
  <sheetData>
    <row r="1" spans="1:9" ht="23.5" x14ac:dyDescent="0.55000000000000004">
      <c r="A1" s="13"/>
      <c r="B1" s="11" t="s">
        <v>0</v>
      </c>
      <c r="C1" s="12">
        <v>7</v>
      </c>
      <c r="D1" s="2" t="s">
        <v>1</v>
      </c>
    </row>
    <row r="2" spans="1:9" x14ac:dyDescent="0.35">
      <c r="A2" s="13"/>
    </row>
    <row r="3" spans="1:9" ht="19.5" x14ac:dyDescent="0.45">
      <c r="A3" s="13"/>
      <c r="D3" s="7" t="s">
        <v>2</v>
      </c>
      <c r="E3" s="8">
        <v>1.3265501837967736E-5</v>
      </c>
    </row>
    <row r="4" spans="1:9" ht="17.5" x14ac:dyDescent="0.45">
      <c r="A4" s="13"/>
      <c r="D4" s="7" t="s">
        <v>3</v>
      </c>
      <c r="E4" s="8">
        <v>9.0267974502571789E-8</v>
      </c>
    </row>
    <row r="5" spans="1:9" ht="17.5" x14ac:dyDescent="0.45">
      <c r="A5" s="13"/>
      <c r="D5" s="7" t="s">
        <v>4</v>
      </c>
      <c r="E5" s="8">
        <v>8.6878003436544902E-7</v>
      </c>
    </row>
    <row r="6" spans="1:9" ht="18.5" x14ac:dyDescent="0.35">
      <c r="A6" s="13"/>
      <c r="B6" s="4" t="s">
        <v>5</v>
      </c>
      <c r="C6" s="4"/>
      <c r="D6" s="7" t="s">
        <v>6</v>
      </c>
      <c r="E6" s="8">
        <v>2.9769043655455185E-8</v>
      </c>
    </row>
    <row r="7" spans="1:9" ht="18.5" x14ac:dyDescent="0.35">
      <c r="A7" s="13"/>
      <c r="B7" s="4" t="s">
        <v>7</v>
      </c>
      <c r="C7" s="4"/>
      <c r="D7" s="7" t="s">
        <v>8</v>
      </c>
      <c r="E7" s="8">
        <v>9.8574568110950875E-4</v>
      </c>
    </row>
    <row r="8" spans="1:9" ht="19.5" x14ac:dyDescent="0.45">
      <c r="A8" s="13"/>
      <c r="B8" s="3">
        <f>0.004/(1+E20/E11+E21/E11^2)</f>
        <v>7.0424230112906352E-4</v>
      </c>
      <c r="C8" s="4"/>
      <c r="D8" s="5" t="s">
        <v>9</v>
      </c>
      <c r="E8" s="6">
        <v>7.017379186998984E-4</v>
      </c>
    </row>
    <row r="9" spans="1:9" ht="19.5" x14ac:dyDescent="0.45">
      <c r="A9" s="13"/>
      <c r="B9" s="3">
        <f>B8*E20/E11</f>
        <v>3.2939887221902354E-3</v>
      </c>
      <c r="C9" s="4"/>
      <c r="D9" s="5" t="s">
        <v>10</v>
      </c>
      <c r="E9" s="6">
        <v>3.2822748454968079E-3</v>
      </c>
    </row>
    <row r="10" spans="1:9" ht="19.5" x14ac:dyDescent="0.45">
      <c r="A10" s="13"/>
      <c r="B10" s="3">
        <f>B8*E21/E11^2</f>
        <v>1.7689766807011703E-6</v>
      </c>
      <c r="C10" s="4"/>
      <c r="D10" s="5" t="s">
        <v>11</v>
      </c>
      <c r="E10" s="6">
        <v>1.7626859564580394E-6</v>
      </c>
    </row>
    <row r="11" spans="1:9" ht="18.5" x14ac:dyDescent="0.35">
      <c r="A11" s="13"/>
      <c r="B11" s="13"/>
      <c r="C11" s="13"/>
      <c r="D11" s="9" t="s">
        <v>12</v>
      </c>
      <c r="E11" s="10">
        <f>10^-C1</f>
        <v>9.9999999999999995E-8</v>
      </c>
    </row>
    <row r="13" spans="1:9" ht="21" x14ac:dyDescent="0.5">
      <c r="B13" s="1"/>
      <c r="C13" s="1"/>
      <c r="D13" s="14" t="s">
        <v>13</v>
      </c>
      <c r="E13" s="17" t="s">
        <v>14</v>
      </c>
      <c r="F13" s="18"/>
      <c r="G13" s="20" t="s">
        <v>15</v>
      </c>
      <c r="H13" s="18"/>
      <c r="I13" s="18"/>
    </row>
    <row r="14" spans="1:9" ht="16" thickBot="1" x14ac:dyDescent="0.4">
      <c r="B14" s="1"/>
      <c r="C14" s="1"/>
      <c r="D14" s="1"/>
      <c r="E14" s="22"/>
      <c r="F14" s="22"/>
      <c r="G14" s="23" t="s">
        <v>16</v>
      </c>
      <c r="H14" s="22"/>
      <c r="I14" s="22"/>
    </row>
    <row r="15" spans="1:9" ht="50.15" customHeight="1" x14ac:dyDescent="0.35">
      <c r="B15" s="1"/>
      <c r="C15" s="1"/>
      <c r="D15" s="1"/>
      <c r="E15" s="16">
        <v>4.0999999999999996</v>
      </c>
      <c r="F15" s="18"/>
      <c r="G15" s="21">
        <f>E3/(E7*E9)</f>
        <v>4.100000000000005</v>
      </c>
      <c r="H15" s="19"/>
      <c r="I15" s="19"/>
    </row>
    <row r="16" spans="1:9" ht="50.15" customHeight="1" x14ac:dyDescent="0.35">
      <c r="B16" s="1"/>
      <c r="C16" s="1"/>
      <c r="D16" s="1"/>
      <c r="E16" s="16">
        <v>8.5</v>
      </c>
      <c r="F16" s="18"/>
      <c r="G16" s="21">
        <f>E4/(E7*E9^2)</f>
        <v>8.4999999999424176</v>
      </c>
      <c r="H16" s="19"/>
      <c r="I16" s="19"/>
    </row>
    <row r="17" spans="2:9" ht="50.15" customHeight="1" x14ac:dyDescent="0.35">
      <c r="B17" s="1"/>
      <c r="C17" s="1"/>
      <c r="D17" s="1"/>
      <c r="E17" s="16">
        <v>500</v>
      </c>
      <c r="F17" s="18"/>
      <c r="G17" s="21">
        <f>E5/(E7*E10)</f>
        <v>500.00000000000063</v>
      </c>
      <c r="H17" s="19"/>
      <c r="I17" s="19"/>
    </row>
    <row r="18" spans="2:9" ht="50.15" customHeight="1" x14ac:dyDescent="0.35">
      <c r="B18" s="1"/>
      <c r="C18" s="1"/>
      <c r="D18" s="1"/>
      <c r="E18" s="16">
        <f>10^-11.52</f>
        <v>3.0199517204020161E-12</v>
      </c>
      <c r="F18" s="18"/>
      <c r="G18" s="21">
        <f>E6*E11/E7</f>
        <v>3.0199517204020165E-12</v>
      </c>
      <c r="H18" s="19"/>
      <c r="I18" s="19"/>
    </row>
    <row r="19" spans="2:9" ht="50.15" customHeight="1" x14ac:dyDescent="0.35">
      <c r="B19" s="1"/>
      <c r="C19" s="1"/>
      <c r="D19" s="1"/>
      <c r="E19" s="16">
        <v>1E-3</v>
      </c>
      <c r="F19" s="18"/>
      <c r="G19" s="21">
        <f>E3+E4+E5+E6+E7</f>
        <v>1E-3</v>
      </c>
      <c r="H19" s="19"/>
      <c r="I19" s="19"/>
    </row>
    <row r="20" spans="2:9" ht="50.15" customHeight="1" x14ac:dyDescent="0.35">
      <c r="B20" s="1"/>
      <c r="C20" s="1"/>
      <c r="D20" s="1"/>
      <c r="E20" s="16">
        <f>10^-6.33</f>
        <v>4.6773514128719735E-7</v>
      </c>
      <c r="F20" s="18"/>
      <c r="G20" s="21">
        <f>E9*E11/E8</f>
        <v>4.6773514128719735E-7</v>
      </c>
      <c r="H20" s="19"/>
      <c r="I20" s="19"/>
    </row>
    <row r="21" spans="2:9" ht="50.15" customHeight="1" x14ac:dyDescent="0.35">
      <c r="B21" s="1"/>
      <c r="C21" s="1"/>
      <c r="D21" s="1"/>
      <c r="E21" s="16">
        <f>10^-(6.33+10.27)</f>
        <v>2.5118864315095678E-17</v>
      </c>
      <c r="F21" s="18"/>
      <c r="G21" s="21">
        <f>E10*E11^2/E8</f>
        <v>2.5118864315095681E-17</v>
      </c>
      <c r="H21" s="19"/>
      <c r="I21" s="19"/>
    </row>
    <row r="22" spans="2:9" ht="50.15" customHeight="1" x14ac:dyDescent="0.35">
      <c r="B22" s="1"/>
      <c r="C22" s="1"/>
      <c r="D22" s="1"/>
      <c r="E22" s="16">
        <f>4*10^-3</f>
        <v>4.0000000000000001E-3</v>
      </c>
      <c r="F22" s="18"/>
      <c r="G22" s="21">
        <f>E3+E4+E5+E9+E10+E8</f>
        <v>4.0000000000000001E-3</v>
      </c>
      <c r="H22" s="19"/>
      <c r="I22" s="19"/>
    </row>
    <row r="23" spans="2:9" x14ac:dyDescent="0.35">
      <c r="B23" s="15"/>
      <c r="C23" s="15"/>
      <c r="D23" s="15"/>
      <c r="E23" s="19"/>
      <c r="F23" s="19"/>
      <c r="G23" s="20"/>
      <c r="H23" s="19"/>
      <c r="I23" s="19"/>
    </row>
    <row r="24" spans="2:9" x14ac:dyDescent="0.35">
      <c r="B24" s="15"/>
      <c r="C24" s="15"/>
      <c r="D24" s="15"/>
      <c r="E24" s="19"/>
      <c r="F24" s="19"/>
      <c r="G24" s="20"/>
      <c r="H24" s="19"/>
      <c r="I24" s="19"/>
    </row>
    <row r="25" spans="2:9" x14ac:dyDescent="0.35">
      <c r="B25" s="15"/>
      <c r="C25" s="15"/>
      <c r="D25" s="15"/>
      <c r="E25" s="19"/>
      <c r="F25" s="19"/>
      <c r="G25" s="20"/>
      <c r="H25" s="19"/>
      <c r="I25" s="19"/>
    </row>
    <row r="26" spans="2:9" x14ac:dyDescent="0.35">
      <c r="B26" s="15"/>
      <c r="C26" s="15"/>
      <c r="D26" s="15"/>
      <c r="E26" s="19"/>
      <c r="F26" s="19"/>
      <c r="G26" s="20"/>
      <c r="H26" s="19"/>
      <c r="I26" s="19"/>
    </row>
  </sheetData>
  <printOptions gridLinesSet="0"/>
  <pageMargins left="0.75" right="0.75" top="1" bottom="1" header="0.5" footer="0.5"/>
  <pageSetup paperSize="9" orientation="portrait" horizontalDpi="4294967292" verticalDpi="0" r:id="rId1"/>
  <headerFooter alignWithMargins="0">
    <oddHeader>&amp;A</oddHeader>
    <oddFooter>Page &amp;P</oddFooter>
  </headerFooter>
  <drawing r:id="rId2"/>
  <legacyDrawing r:id="rId3"/>
  <oleObjects>
    <mc:AlternateContent xmlns:mc="http://schemas.openxmlformats.org/markup-compatibility/2006">
      <mc:Choice Requires="x14">
        <oleObject progId="Equation" shapeId="1025" r:id="rId4">
          <objectPr defaultSize="0" autoLine="0" r:id="rId5">
            <anchor moveWithCells="1">
              <from>
                <xdr:col>3</xdr:col>
                <xdr:colOff>425450</xdr:colOff>
                <xdr:row>14</xdr:row>
                <xdr:rowOff>63500</xdr:rowOff>
              </from>
              <to>
                <xdr:col>3</xdr:col>
                <xdr:colOff>1536700</xdr:colOff>
                <xdr:row>14</xdr:row>
                <xdr:rowOff>596900</xdr:rowOff>
              </to>
            </anchor>
          </objectPr>
        </oleObject>
      </mc:Choice>
      <mc:Fallback>
        <oleObject progId="Equation" shapeId="1025" r:id="rId4"/>
      </mc:Fallback>
    </mc:AlternateContent>
    <mc:AlternateContent xmlns:mc="http://schemas.openxmlformats.org/markup-compatibility/2006">
      <mc:Choice Requires="x14">
        <oleObject progId="Equation" shapeId="1026" r:id="rId6">
          <objectPr defaultSize="0" autoLine="0" r:id="rId7">
            <anchor moveWithCells="1">
              <from>
                <xdr:col>3</xdr:col>
                <xdr:colOff>374650</xdr:colOff>
                <xdr:row>15</xdr:row>
                <xdr:rowOff>6350</xdr:rowOff>
              </from>
              <to>
                <xdr:col>3</xdr:col>
                <xdr:colOff>1549400</xdr:colOff>
                <xdr:row>15</xdr:row>
                <xdr:rowOff>565150</xdr:rowOff>
              </to>
            </anchor>
          </objectPr>
        </oleObject>
      </mc:Choice>
      <mc:Fallback>
        <oleObject progId="Equation" shapeId="1026" r:id="rId6"/>
      </mc:Fallback>
    </mc:AlternateContent>
    <mc:AlternateContent xmlns:mc="http://schemas.openxmlformats.org/markup-compatibility/2006">
      <mc:Choice Requires="x14">
        <oleObject progId="Equation" shapeId="1027" r:id="rId8">
          <objectPr defaultSize="0" autoLine="0" r:id="rId9">
            <anchor moveWithCells="1">
              <from>
                <xdr:col>3</xdr:col>
                <xdr:colOff>495300</xdr:colOff>
                <xdr:row>16</xdr:row>
                <xdr:rowOff>69850</xdr:rowOff>
              </from>
              <to>
                <xdr:col>3</xdr:col>
                <xdr:colOff>1543050</xdr:colOff>
                <xdr:row>16</xdr:row>
                <xdr:rowOff>565150</xdr:rowOff>
              </to>
            </anchor>
          </objectPr>
        </oleObject>
      </mc:Choice>
      <mc:Fallback>
        <oleObject progId="Equation" shapeId="1027" r:id="rId8"/>
      </mc:Fallback>
    </mc:AlternateContent>
    <mc:AlternateContent xmlns:mc="http://schemas.openxmlformats.org/markup-compatibility/2006">
      <mc:Choice Requires="x14">
        <oleObject progId="Equation" shapeId="1028" r:id="rId10">
          <objectPr defaultSize="0" autoLine="0" r:id="rId11">
            <anchor moveWithCells="1">
              <from>
                <xdr:col>3</xdr:col>
                <xdr:colOff>419100</xdr:colOff>
                <xdr:row>17</xdr:row>
                <xdr:rowOff>44450</xdr:rowOff>
              </from>
              <to>
                <xdr:col>3</xdr:col>
                <xdr:colOff>1543050</xdr:colOff>
                <xdr:row>17</xdr:row>
                <xdr:rowOff>577850</xdr:rowOff>
              </to>
            </anchor>
          </objectPr>
        </oleObject>
      </mc:Choice>
      <mc:Fallback>
        <oleObject progId="Equation" shapeId="1028" r:id="rId10"/>
      </mc:Fallback>
    </mc:AlternateContent>
    <mc:AlternateContent xmlns:mc="http://schemas.openxmlformats.org/markup-compatibility/2006">
      <mc:Choice Requires="x14">
        <oleObject progId="Equation" shapeId="1029" r:id="rId12">
          <objectPr defaultSize="0" autoLine="0" autoPict="0" r:id="rId13">
            <anchor moveWithCells="1">
              <from>
                <xdr:col>2</xdr:col>
                <xdr:colOff>31750</xdr:colOff>
                <xdr:row>18</xdr:row>
                <xdr:rowOff>31750</xdr:rowOff>
              </from>
              <to>
                <xdr:col>3</xdr:col>
                <xdr:colOff>1543050</xdr:colOff>
                <xdr:row>18</xdr:row>
                <xdr:rowOff>609600</xdr:rowOff>
              </to>
            </anchor>
          </objectPr>
        </oleObject>
      </mc:Choice>
      <mc:Fallback>
        <oleObject progId="Equation" shapeId="1029" r:id="rId12"/>
      </mc:Fallback>
    </mc:AlternateContent>
    <mc:AlternateContent xmlns:mc="http://schemas.openxmlformats.org/markup-compatibility/2006">
      <mc:Choice Requires="x14">
        <oleObject progId="Equation" shapeId="1030" r:id="rId14">
          <objectPr defaultSize="0" autoLine="0" r:id="rId15">
            <anchor moveWithCells="1">
              <from>
                <xdr:col>3</xdr:col>
                <xdr:colOff>812800</xdr:colOff>
                <xdr:row>19</xdr:row>
                <xdr:rowOff>0</xdr:rowOff>
              </from>
              <to>
                <xdr:col>3</xdr:col>
                <xdr:colOff>1517650</xdr:colOff>
                <xdr:row>19</xdr:row>
                <xdr:rowOff>273050</xdr:rowOff>
              </to>
            </anchor>
          </objectPr>
        </oleObject>
      </mc:Choice>
      <mc:Fallback>
        <oleObject progId="Equation" shapeId="1030" r:id="rId14"/>
      </mc:Fallback>
    </mc:AlternateContent>
    <mc:AlternateContent xmlns:mc="http://schemas.openxmlformats.org/markup-compatibility/2006">
      <mc:Choice Requires="x14">
        <oleObject progId="Equation" shapeId="1031" r:id="rId16">
          <objectPr defaultSize="0" autoLine="0" r:id="rId17">
            <anchor moveWithCells="1">
              <from>
                <xdr:col>3</xdr:col>
                <xdr:colOff>539750</xdr:colOff>
                <xdr:row>19</xdr:row>
                <xdr:rowOff>31750</xdr:rowOff>
              </from>
              <to>
                <xdr:col>3</xdr:col>
                <xdr:colOff>1536700</xdr:colOff>
                <xdr:row>19</xdr:row>
                <xdr:rowOff>552450</xdr:rowOff>
              </to>
            </anchor>
          </objectPr>
        </oleObject>
      </mc:Choice>
      <mc:Fallback>
        <oleObject progId="Equation" shapeId="1031" r:id="rId16"/>
      </mc:Fallback>
    </mc:AlternateContent>
    <mc:AlternateContent xmlns:mc="http://schemas.openxmlformats.org/markup-compatibility/2006">
      <mc:Choice Requires="x14">
        <oleObject progId="Equation" shapeId="1032" r:id="rId18">
          <objectPr defaultSize="0" autoLine="0" r:id="rId19">
            <anchor moveWithCells="1">
              <from>
                <xdr:col>3</xdr:col>
                <xdr:colOff>527050</xdr:colOff>
                <xdr:row>20</xdr:row>
                <xdr:rowOff>38100</xdr:rowOff>
              </from>
              <to>
                <xdr:col>3</xdr:col>
                <xdr:colOff>1536700</xdr:colOff>
                <xdr:row>20</xdr:row>
                <xdr:rowOff>603250</xdr:rowOff>
              </to>
            </anchor>
          </objectPr>
        </oleObject>
      </mc:Choice>
      <mc:Fallback>
        <oleObject progId="Equation" shapeId="1032" r:id="rId18"/>
      </mc:Fallback>
    </mc:AlternateContent>
    <mc:AlternateContent xmlns:mc="http://schemas.openxmlformats.org/markup-compatibility/2006">
      <mc:Choice Requires="x14">
        <oleObject progId="Equation" shapeId="1033" r:id="rId20">
          <objectPr defaultSize="0" autoLine="0" autoPict="0" r:id="rId21">
            <anchor moveWithCells="1">
              <from>
                <xdr:col>1</xdr:col>
                <xdr:colOff>323850</xdr:colOff>
                <xdr:row>21</xdr:row>
                <xdr:rowOff>31750</xdr:rowOff>
              </from>
              <to>
                <xdr:col>3</xdr:col>
                <xdr:colOff>1530350</xdr:colOff>
                <xdr:row>21</xdr:row>
                <xdr:rowOff>609600</xdr:rowOff>
              </to>
            </anchor>
          </objectPr>
        </oleObject>
      </mc:Choice>
      <mc:Fallback>
        <oleObject progId="Equation" shapeId="1033" r:id="rId20"/>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showGridLines="0" workbookViewId="0"/>
  </sheetViews>
  <sheetFormatPr defaultColWidth="8.83203125" defaultRowHeight="15.5" x14ac:dyDescent="0.35"/>
  <cols>
    <col min="2" max="5" width="12.58203125" customWidth="1"/>
  </cols>
  <sheetData>
    <row r="1" spans="1:5" ht="19.5" x14ac:dyDescent="0.45">
      <c r="A1" s="32" t="s">
        <v>17</v>
      </c>
      <c r="B1" s="32" t="s">
        <v>18</v>
      </c>
      <c r="C1" s="32" t="s">
        <v>19</v>
      </c>
      <c r="D1" s="32" t="s">
        <v>20</v>
      </c>
      <c r="E1" s="32" t="s">
        <v>21</v>
      </c>
    </row>
    <row r="2" spans="1:5" x14ac:dyDescent="0.35">
      <c r="A2" s="24">
        <v>6</v>
      </c>
      <c r="B2" s="25">
        <v>5.1920226022383136E-6</v>
      </c>
      <c r="C2" s="8">
        <v>1.3702734420520844E-8</v>
      </c>
      <c r="D2" s="28">
        <v>3.4003429571646189E-8</v>
      </c>
      <c r="E2" s="30">
        <v>3.0041189202058976E-9</v>
      </c>
    </row>
    <row r="3" spans="1:5" x14ac:dyDescent="0.35">
      <c r="A3" s="24">
        <v>6.5</v>
      </c>
      <c r="B3" s="25">
        <v>9.6626733672734378E-6</v>
      </c>
      <c r="C3" s="8">
        <v>4.7684308813575885E-8</v>
      </c>
      <c r="D3" s="28">
        <v>2.0011675258272248E-7</v>
      </c>
      <c r="E3" s="30">
        <v>9.4551912678054282E-9</v>
      </c>
    </row>
    <row r="4" spans="1:5" x14ac:dyDescent="0.35">
      <c r="A4" s="24">
        <v>7</v>
      </c>
      <c r="B4" s="25">
        <v>1.3265501837967736E-5</v>
      </c>
      <c r="C4" s="8">
        <v>9.0267974502571789E-8</v>
      </c>
      <c r="D4" s="28">
        <v>8.6878003436544902E-7</v>
      </c>
      <c r="E4" s="30">
        <v>2.9769043655455185E-8</v>
      </c>
    </row>
    <row r="5" spans="1:5" x14ac:dyDescent="0.35">
      <c r="A5" s="24">
        <v>7.5</v>
      </c>
      <c r="B5" s="25">
        <v>1.4987820040370006E-5</v>
      </c>
      <c r="C5" s="8">
        <v>1.1570441599921452E-7</v>
      </c>
      <c r="D5" s="28">
        <v>3.1040207619264983E-6</v>
      </c>
      <c r="E5" s="30">
        <v>9.3751498334247867E-8</v>
      </c>
    </row>
    <row r="6" spans="1:5" x14ac:dyDescent="0.35">
      <c r="A6" s="24">
        <v>8</v>
      </c>
      <c r="B6" s="25">
        <v>1.5455587437293118E-5</v>
      </c>
      <c r="C6" s="8">
        <v>1.2402032101471571E-7</v>
      </c>
      <c r="D6" s="28">
        <v>1.0192567989718572E-5</v>
      </c>
      <c r="E6" s="30">
        <v>2.9412327558211562E-7</v>
      </c>
    </row>
    <row r="7" spans="1:5" x14ac:dyDescent="0.35">
      <c r="A7" s="33"/>
      <c r="B7" s="33"/>
      <c r="C7" s="34" t="s">
        <v>22</v>
      </c>
      <c r="D7" s="35"/>
      <c r="E7" s="36"/>
    </row>
    <row r="8" spans="1:5" x14ac:dyDescent="0.35">
      <c r="A8" s="24">
        <v>6</v>
      </c>
      <c r="B8" s="26">
        <f>LOG(B2)</f>
        <v>-5.2846634256056051</v>
      </c>
      <c r="C8" s="27">
        <f t="shared" ref="C8:E12" si="0">LOG(C2)</f>
        <v>-7.8631927594679274</v>
      </c>
      <c r="D8" s="29">
        <f t="shared" si="0"/>
        <v>-7.4684772779893223</v>
      </c>
      <c r="E8" s="31">
        <f t="shared" si="0"/>
        <v>-8.5222828794684808</v>
      </c>
    </row>
    <row r="9" spans="1:5" x14ac:dyDescent="0.35">
      <c r="A9" s="24">
        <v>6.5</v>
      </c>
      <c r="B9" s="26">
        <f t="shared" ref="B9:B12" si="1">LOG(B3)</f>
        <v>-5.0149027009106435</v>
      </c>
      <c r="C9" s="27">
        <f t="shared" si="0"/>
        <v>-7.3216245081040032</v>
      </c>
      <c r="D9" s="29">
        <f t="shared" si="0"/>
        <v>-6.6987165532943607</v>
      </c>
      <c r="E9" s="31">
        <f t="shared" si="0"/>
        <v>-8.0243296814448239</v>
      </c>
    </row>
    <row r="10" spans="1:5" x14ac:dyDescent="0.35">
      <c r="A10" s="24">
        <v>7</v>
      </c>
      <c r="B10" s="26">
        <f t="shared" si="1"/>
        <v>-4.8772763158785857</v>
      </c>
      <c r="C10" s="27">
        <f t="shared" si="0"/>
        <v>-7.0444663024413909</v>
      </c>
      <c r="D10" s="29">
        <f t="shared" si="0"/>
        <v>-6.0610901682623037</v>
      </c>
      <c r="E10" s="31">
        <f t="shared" si="0"/>
        <v>-7.5262351170439024</v>
      </c>
    </row>
    <row r="11" spans="1:5" x14ac:dyDescent="0.35">
      <c r="A11" s="24">
        <v>7.5</v>
      </c>
      <c r="B11" s="26">
        <f t="shared" si="1"/>
        <v>-4.824261530146126</v>
      </c>
      <c r="C11" s="27">
        <f t="shared" si="0"/>
        <v>-6.9366500653568757</v>
      </c>
      <c r="D11" s="29">
        <f t="shared" si="0"/>
        <v>-5.5080753825298423</v>
      </c>
      <c r="E11" s="31">
        <f t="shared" si="0"/>
        <v>-7.0280217826605531</v>
      </c>
    </row>
    <row r="12" spans="1:5" x14ac:dyDescent="0.35">
      <c r="A12" s="24">
        <v>8</v>
      </c>
      <c r="B12" s="26">
        <f t="shared" si="1"/>
        <v>-4.8109144835850515</v>
      </c>
      <c r="C12" s="27">
        <f t="shared" si="0"/>
        <v>-6.9065071488579663</v>
      </c>
      <c r="D12" s="29">
        <f t="shared" si="0"/>
        <v>-4.9917163828965441</v>
      </c>
      <c r="E12" s="31">
        <f t="shared" si="0"/>
        <v>-6.5314706060373151</v>
      </c>
    </row>
  </sheetData>
  <printOptions gridLinesSet="0"/>
  <pageMargins left="0.75" right="0.75" top="1" bottom="1" header="0.5" footer="0.5"/>
  <headerFooter alignWithMargins="0">
    <oddHeader>&amp;A</oddHeader>
    <oddFooter>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9</vt:i4>
      </vt:variant>
    </vt:vector>
  </HeadingPairs>
  <TitlesOfParts>
    <vt:vector size="11" baseType="lpstr">
      <vt:lpstr>Equation solving</vt:lpstr>
      <vt:lpstr>Chart and data</vt:lpstr>
      <vt:lpstr>CO32_</vt:lpstr>
      <vt:lpstr>H</vt:lpstr>
      <vt:lpstr>H2CO3</vt:lpstr>
      <vt:lpstr>HCO3</vt:lpstr>
      <vt:lpstr>Mg_HCO3_2</vt:lpstr>
      <vt:lpstr>Mg2</vt:lpstr>
      <vt:lpstr>MgCO3</vt:lpstr>
      <vt:lpstr>MgHCO3</vt:lpstr>
      <vt:lpstr>MgOH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Dr Steve Leharne</dc:creator>
  <cp:keywords/>
  <dc:description/>
  <cp:lastModifiedBy>Carina Negreanu</cp:lastModifiedBy>
  <dcterms:created xsi:type="dcterms:W3CDTF">2020-01-27T11:51:04Z</dcterms:created>
  <dcterms:modified xsi:type="dcterms:W3CDTF">2020-01-27T11:51:17Z</dcterms:modified>
</cp:coreProperties>
</file>