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drawings/drawing2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C4D85A-C350-4069-B725-8459F7571AD9}" xr6:coauthVersionLast="45" xr6:coauthVersionMax="45" xr10:uidLastSave="{00000000-0000-0000-0000-000000000000}"/>
  <bookViews>
    <workbookView xWindow="4560" yWindow="4560" windowWidth="28800" windowHeight="15460" activeTab="2"/>
  </bookViews>
  <sheets>
    <sheet name="5-7" sheetId="1" r:id="rId1"/>
    <sheet name="5-5" sheetId="2" r:id="rId2"/>
    <sheet name="5-6" sheetId="3" r:id="rId3"/>
  </sheets>
  <definedNames>
    <definedName name="_xlnm.Print_Area" localSheetId="0">'5-7'!$A$1:$I$66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2" l="1"/>
  <c r="D6" i="2"/>
  <c r="C7" i="2"/>
  <c r="D7" i="2"/>
  <c r="C8" i="2"/>
  <c r="D8" i="2"/>
  <c r="C9" i="2"/>
  <c r="D9" i="2"/>
  <c r="C10" i="2"/>
  <c r="D10" i="2"/>
  <c r="B22" i="2"/>
  <c r="B23" i="2"/>
  <c r="B24" i="2"/>
  <c r="C40" i="2"/>
  <c r="B41" i="2"/>
  <c r="C44" i="2"/>
  <c r="C45" i="2"/>
  <c r="B52" i="2"/>
  <c r="B60" i="2" s="1"/>
  <c r="B58" i="2"/>
  <c r="C8" i="3"/>
  <c r="D8" i="3"/>
  <c r="C9" i="3"/>
  <c r="D9" i="3"/>
  <c r="C10" i="3"/>
  <c r="D10" i="3"/>
  <c r="C11" i="3"/>
  <c r="D11" i="3"/>
  <c r="C12" i="3"/>
  <c r="D12" i="3"/>
  <c r="C16" i="3"/>
  <c r="E16" i="3"/>
  <c r="C17" i="3"/>
  <c r="E17" i="3"/>
  <c r="C18" i="3"/>
  <c r="E18" i="3"/>
  <c r="C19" i="3"/>
  <c r="E19" i="3"/>
  <c r="C20" i="3"/>
  <c r="E20" i="3"/>
  <c r="D57" i="3"/>
  <c r="B57" i="3" s="1"/>
  <c r="B62" i="3" s="1"/>
  <c r="D58" i="3"/>
  <c r="B58" i="3" s="1"/>
  <c r="B63" i="3" s="1"/>
  <c r="B100" i="3"/>
  <c r="B102" i="3" s="1"/>
  <c r="C100" i="3"/>
  <c r="C102" i="3" s="1"/>
  <c r="B138" i="3"/>
  <c r="B139" i="3"/>
  <c r="B21" i="1"/>
  <c r="B39" i="1" s="1"/>
  <c r="B50" i="1" s="1"/>
  <c r="B53" i="1" s="1"/>
  <c r="B54" i="1" s="1"/>
  <c r="B32" i="1"/>
  <c r="B36" i="1"/>
  <c r="B37" i="1"/>
  <c r="B63" i="1" s="1"/>
  <c r="B38" i="1"/>
  <c r="B62" i="1" s="1"/>
  <c r="E51" i="1"/>
  <c r="E52" i="1"/>
  <c r="B55" i="1" l="1"/>
  <c r="B60" i="1" s="1"/>
  <c r="B59" i="1"/>
  <c r="C58" i="3"/>
  <c r="C63" i="3" s="1"/>
  <c r="B82" i="3"/>
  <c r="C82" i="3" s="1"/>
  <c r="B88" i="3" s="1"/>
  <c r="B81" i="3"/>
  <c r="C81" i="3" s="1"/>
  <c r="B87" i="3" s="1"/>
  <c r="C57" i="3"/>
  <c r="C62" i="3" s="1"/>
  <c r="C87" i="3" l="1"/>
  <c r="C88" i="3"/>
</calcChain>
</file>

<file path=xl/sharedStrings.xml><?xml version="1.0" encoding="utf-8"?>
<sst xmlns="http://schemas.openxmlformats.org/spreadsheetml/2006/main" count="206" uniqueCount="150">
  <si>
    <t>Problem 5.7</t>
  </si>
  <si>
    <t>A small bet with an oceanographer.</t>
  </si>
  <si>
    <t>Estimate activity coefficent and solubility for naphthalene in:</t>
  </si>
  <si>
    <t>a.  seawater at 25C</t>
  </si>
  <si>
    <t>Part a:  seawater at 25C</t>
  </si>
  <si>
    <t>Ks for naphthalene from table 5.7 =</t>
  </si>
  <si>
    <t>molarity of seawater ~ 0.5M</t>
  </si>
  <si>
    <t>logCsat for naphthalene from the appendix =</t>
  </si>
  <si>
    <t xml:space="preserve">Csat = </t>
  </si>
  <si>
    <t>Molar</t>
  </si>
  <si>
    <t>b.  distilled water at 5C</t>
  </si>
  <si>
    <r>
      <t>g</t>
    </r>
    <r>
      <rPr>
        <sz val="10"/>
        <rFont val="Arial"/>
      </rPr>
      <t>sat =</t>
    </r>
  </si>
  <si>
    <t>Molar volume of water = 0.018 L/mol</t>
  </si>
  <si>
    <t>at 25C no salt</t>
  </si>
  <si>
    <r>
      <t>g</t>
    </r>
    <r>
      <rPr>
        <sz val="10"/>
        <rFont val="Arial"/>
      </rPr>
      <t>sat (salt) =</t>
    </r>
  </si>
  <si>
    <t>Csat (salt) =</t>
  </si>
  <si>
    <t>at 25C with salt</t>
  </si>
  <si>
    <t>Part b:  distilled water at 5C</t>
  </si>
  <si>
    <t>From Table 5-2</t>
  </si>
  <si>
    <t>from table 5-2</t>
  </si>
  <si>
    <t>deltaHsol =</t>
  </si>
  <si>
    <t>kJ/mol</t>
  </si>
  <si>
    <t>ln Csat (25 C)=</t>
  </si>
  <si>
    <t>T1 =</t>
  </si>
  <si>
    <t>K</t>
  </si>
  <si>
    <t>1/T1 =</t>
  </si>
  <si>
    <t>T2 =</t>
  </si>
  <si>
    <t>1/T2 =</t>
  </si>
  <si>
    <t>ln Csat (5C) =</t>
  </si>
  <si>
    <t>Csat (5C)=</t>
  </si>
  <si>
    <r>
      <t>g</t>
    </r>
    <r>
      <rPr>
        <sz val="10"/>
        <rFont val="Arial"/>
      </rPr>
      <t>sat (5C) =</t>
    </r>
  </si>
  <si>
    <t>Now compare:</t>
  </si>
  <si>
    <t>Note that Naphthalene is a solid at both of these temperatures</t>
  </si>
  <si>
    <t>to calculate activity coefficient, use this equation:</t>
  </si>
  <si>
    <t>Need deltaGfus =</t>
  </si>
  <si>
    <t>from table 4.5</t>
  </si>
  <si>
    <t>deltaGfus =</t>
  </si>
  <si>
    <t>deltaSfus =</t>
  </si>
  <si>
    <t>deltaHfus =</t>
  </si>
  <si>
    <t>J/molK</t>
  </si>
  <si>
    <t>T =</t>
  </si>
  <si>
    <t xml:space="preserve">K </t>
  </si>
  <si>
    <t>In other words, the oceanographer is right</t>
  </si>
  <si>
    <t>The solubility is higher in seawater, and the activity coefficient is also higher</t>
  </si>
  <si>
    <t>the apparent contradiction arises because the deltaGfus changes with temperature</t>
  </si>
  <si>
    <t>What is the aqueous solubility and activity coefficient of 1,2,3,7-tetrachlorodibenzodioxin at 1C?</t>
  </si>
  <si>
    <t>Part a:  use the solubility data given</t>
  </si>
  <si>
    <t>T</t>
  </si>
  <si>
    <t>Csat</t>
  </si>
  <si>
    <t>mol/L</t>
  </si>
  <si>
    <t>C</t>
  </si>
  <si>
    <t xml:space="preserve">MW = </t>
  </si>
  <si>
    <t>g/mol</t>
  </si>
  <si>
    <t xml:space="preserve">Tm = </t>
  </si>
  <si>
    <t>First we check the melting point to be sure that the compound is a solid at all the temperatures given above.</t>
  </si>
  <si>
    <t>1/T</t>
  </si>
  <si>
    <t>(K)</t>
  </si>
  <si>
    <t>ln C sat</t>
  </si>
  <si>
    <t>M</t>
  </si>
  <si>
    <t>slope =</t>
  </si>
  <si>
    <t>intercept =</t>
  </si>
  <si>
    <t>solubility at 1 C = ?</t>
  </si>
  <si>
    <t>1/T =</t>
  </si>
  <si>
    <t>ln Csat =</t>
  </si>
  <si>
    <t>C sat (1C) =</t>
  </si>
  <si>
    <t>molar volume of water =</t>
  </si>
  <si>
    <t>cm3/mol</t>
  </si>
  <si>
    <t>mol TCDD/L water</t>
  </si>
  <si>
    <t>mole fraction solubility =</t>
  </si>
  <si>
    <t>L/mol</t>
  </si>
  <si>
    <t>Lwater /mol water</t>
  </si>
  <si>
    <t>mol TCDD/mol water</t>
  </si>
  <si>
    <t>activity coefficient @ 1C =</t>
  </si>
  <si>
    <t>note that we are assuming that the activity coefficient is the same at all concentrations of TCDD as it is at saturation.</t>
  </si>
  <si>
    <t>this assumption is okay for a compound like TCDD which has a very low aqueous solubility</t>
  </si>
  <si>
    <t>Part b:  what is the average excess enthalpy of this compound in water over this temperature range?</t>
  </si>
  <si>
    <t>deltaH =</t>
  </si>
  <si>
    <t>from the slope, we get</t>
  </si>
  <si>
    <t>this is:</t>
  </si>
  <si>
    <t>in other words, we have to subtract the heat of fusion to get the excess enthalpy of solubilization here.</t>
  </si>
  <si>
    <t>tau =</t>
  </si>
  <si>
    <t>sigma =</t>
  </si>
  <si>
    <t>one plane of symmetry in the page</t>
  </si>
  <si>
    <t>Hexcess =</t>
  </si>
  <si>
    <t>Evaluating the effect of T on the soly and/or activity coefficient of a gaseous compound (Freon12) in fresh and sea water</t>
  </si>
  <si>
    <t>solubility data (1 Bar)</t>
  </si>
  <si>
    <t>Freshwater</t>
  </si>
  <si>
    <t>Seawater</t>
  </si>
  <si>
    <t xml:space="preserve">C sat </t>
  </si>
  <si>
    <t>Recall from previous homework that the boiling point of Freon 12 is about -30 degrees C, so it is a gas at all T above</t>
  </si>
  <si>
    <t>Part a:  estimate solubility (1 bar) of Freon 12 at 5 and 25 C in salt and freshwater</t>
  </si>
  <si>
    <t>lnC sat</t>
  </si>
  <si>
    <t>slope</t>
  </si>
  <si>
    <t>intercept</t>
  </si>
  <si>
    <t>fresh</t>
  </si>
  <si>
    <t>sea</t>
  </si>
  <si>
    <t xml:space="preserve">ln Csat </t>
  </si>
  <si>
    <t>1/T (K)</t>
  </si>
  <si>
    <t>Csat (M)</t>
  </si>
  <si>
    <t>Part b:  Calculate the activity coefficients using the vapor pressure data from problem 4.2</t>
  </si>
  <si>
    <t>Use equation 5-16 from the text</t>
  </si>
  <si>
    <t>bar</t>
  </si>
  <si>
    <r>
      <t>p</t>
    </r>
    <r>
      <rPr>
        <vertAlign val="subscript"/>
        <sz val="10"/>
        <rFont val="Arial"/>
        <family val="2"/>
      </rPr>
      <t xml:space="preserve">i </t>
    </r>
    <r>
      <rPr>
        <sz val="10"/>
        <rFont val="Arial"/>
        <family val="2"/>
      </rPr>
      <t>=</t>
    </r>
  </si>
  <si>
    <r>
      <t>p</t>
    </r>
    <r>
      <rPr>
        <vertAlign val="subscript"/>
        <sz val="10"/>
        <rFont val="Arial"/>
        <family val="2"/>
      </rPr>
      <t>iL</t>
    </r>
    <r>
      <rPr>
        <sz val="10"/>
        <rFont val="Arial"/>
      </rPr>
      <t>* =</t>
    </r>
  </si>
  <si>
    <t>??</t>
  </si>
  <si>
    <t>Vw =</t>
  </si>
  <si>
    <t xml:space="preserve">slope = </t>
  </si>
  <si>
    <t xml:space="preserve">intercept = </t>
  </si>
  <si>
    <t>unitless</t>
  </si>
  <si>
    <t>From problem 4.2 for Freon 12:</t>
  </si>
  <si>
    <t>@ 5C</t>
  </si>
  <si>
    <t>@ 25C</t>
  </si>
  <si>
    <t>Pressure was in Pa in this regression</t>
  </si>
  <si>
    <t>Pa</t>
  </si>
  <si>
    <t>activity coefficients:</t>
  </si>
  <si>
    <t>the enthalpy calculated from the regression above would give us deltaHwa (water to air (gas))</t>
  </si>
  <si>
    <t>use this equation to get the excess enthalpy.</t>
  </si>
  <si>
    <t>H excess</t>
  </si>
  <si>
    <r>
      <t>D</t>
    </r>
    <r>
      <rPr>
        <vertAlign val="subscript"/>
        <sz val="10"/>
        <rFont val="Arial"/>
        <family val="2"/>
      </rPr>
      <t>wa</t>
    </r>
    <r>
      <rPr>
        <sz val="10"/>
        <rFont val="Arial"/>
      </rPr>
      <t>H</t>
    </r>
  </si>
  <si>
    <r>
      <t>D</t>
    </r>
    <r>
      <rPr>
        <vertAlign val="subscript"/>
        <sz val="10"/>
        <rFont val="Arial"/>
        <family val="2"/>
      </rPr>
      <t>vap</t>
    </r>
    <r>
      <rPr>
        <sz val="10"/>
        <rFont val="Arial"/>
      </rPr>
      <t>H</t>
    </r>
  </si>
  <si>
    <t>from problem 4.2</t>
  </si>
  <si>
    <t>note how solubility increases as T decreases!</t>
  </si>
  <si>
    <t>this is typical for gases</t>
  </si>
  <si>
    <t>I'm confused about the signs on the deltaH terms.  Do I add or subtract deltaHvap?</t>
  </si>
  <si>
    <t>Remember from the plot above that solubility increases as T decreases.  This means that deltaH of this process is negative.</t>
  </si>
  <si>
    <t>(Energy is released when the gas dissolves in water, because the deltaHvap is "released" when the gas "condenses".)</t>
  </si>
  <si>
    <t>deltaHvap is positive -- always!!</t>
  </si>
  <si>
    <t xml:space="preserve">the gas-to-aqueous transition is more favorable than just the release of deltaHvap. </t>
  </si>
  <si>
    <t>Part d:  Comment on any differences between fresh and seawater.</t>
  </si>
  <si>
    <t>solubility is lower in seawater than in freshwater at any given temperature.</t>
  </si>
  <si>
    <t>Ks =</t>
  </si>
  <si>
    <t>this is a reasonable value--similar to those for many other compounds (see table 5.7)</t>
  </si>
  <si>
    <t>Extra:  calculate the Setschenow constant for Freon 12 in seawater.</t>
  </si>
  <si>
    <t>Now that we know the solubility of the solid, we need to calculate the activity coefficient using equation 5-11:</t>
  </si>
  <si>
    <r>
      <t xml:space="preserve">What is </t>
    </r>
    <r>
      <rPr>
        <sz val="10"/>
        <rFont val="Symbol"/>
        <family val="1"/>
        <charset val="2"/>
      </rPr>
      <t>D</t>
    </r>
    <r>
      <rPr>
        <vertAlign val="subscript"/>
        <sz val="10"/>
        <rFont val="Arial"/>
        <family val="2"/>
      </rPr>
      <t>fus</t>
    </r>
    <r>
      <rPr>
        <sz val="10"/>
        <rFont val="Arial"/>
      </rPr>
      <t>G?</t>
    </r>
  </si>
  <si>
    <r>
      <t>D</t>
    </r>
    <r>
      <rPr>
        <vertAlign val="subscript"/>
        <sz val="10"/>
        <rFont val="Arial"/>
        <family val="2"/>
      </rPr>
      <t>fus</t>
    </r>
    <r>
      <rPr>
        <sz val="10"/>
        <rFont val="Arial"/>
      </rPr>
      <t>G =</t>
    </r>
  </si>
  <si>
    <r>
      <t>D</t>
    </r>
    <r>
      <rPr>
        <vertAlign val="subscript"/>
        <sz val="10"/>
        <rFont val="Arial"/>
        <family val="2"/>
      </rPr>
      <t>fus</t>
    </r>
    <r>
      <rPr>
        <sz val="10"/>
        <rFont val="Arial"/>
      </rPr>
      <t>S =</t>
    </r>
  </si>
  <si>
    <r>
      <t>D</t>
    </r>
    <r>
      <rPr>
        <vertAlign val="subscript"/>
        <sz val="10"/>
        <rFont val="Arial"/>
        <family val="2"/>
      </rPr>
      <t>fus</t>
    </r>
    <r>
      <rPr>
        <sz val="10"/>
        <rFont val="Arial"/>
      </rPr>
      <t>H =</t>
    </r>
  </si>
  <si>
    <r>
      <t>T</t>
    </r>
    <r>
      <rPr>
        <sz val="10"/>
        <rFont val="Arial"/>
        <family val="2"/>
      </rPr>
      <t>m</t>
    </r>
    <r>
      <rPr>
        <sz val="10"/>
        <rFont val="Symbol"/>
        <family val="1"/>
        <charset val="2"/>
      </rPr>
      <t>*D</t>
    </r>
    <r>
      <rPr>
        <vertAlign val="subscript"/>
        <sz val="10"/>
        <rFont val="Arial"/>
        <family val="2"/>
      </rPr>
      <t>fus</t>
    </r>
    <r>
      <rPr>
        <sz val="10"/>
        <rFont val="Arial"/>
      </rPr>
      <t>S =</t>
    </r>
  </si>
  <si>
    <t>J/mol</t>
  </si>
  <si>
    <t>at 1 C</t>
  </si>
  <si>
    <t>in other words, the slope is greater than the slope of the lnP vs. 1/T curve.</t>
  </si>
  <si>
    <t>therefore H excess is also negative.</t>
  </si>
  <si>
    <t>water molecules are busy solvating the salts and are not available to solvate the Freon</t>
  </si>
  <si>
    <t>H excess is more negative (more favorable) in fresh water than in seawater, because the intermolecular interactions in fresh water are more favorable.</t>
  </si>
  <si>
    <t>Note to the class of 2004:</t>
  </si>
  <si>
    <t>I used this problem last year, but it was not a good exercise,</t>
  </si>
  <si>
    <t>because even I don't understand it!</t>
  </si>
  <si>
    <t>I'm not sure this answer is right.</t>
  </si>
  <si>
    <t>Part c:  Derive the excess enthalpy of dissolution in fresh and seawater over the given temp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</si>
</sst>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0.0000"/>
    <numFmt numFmtId="175" formatCode="0.0"/>
    <numFmt numFmtId="176" formatCode="0.000E+00"/>
    <numFmt numFmtId="177" formatCode="0.0E+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76" fontId="0" fillId="0" borderId="0" xfId="0" applyNumberFormat="1"/>
    <xf numFmtId="175" fontId="0" fillId="0" borderId="0" xfId="0" applyNumberFormat="1"/>
    <xf numFmtId="177" fontId="0" fillId="0" borderId="0" xfId="0" applyNumberFormat="1"/>
    <xf numFmtId="0" fontId="2" fillId="0" borderId="1" xfId="0" applyFont="1" applyBorder="1"/>
    <xf numFmtId="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77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177" fontId="0" fillId="0" borderId="2" xfId="0" applyNumberFormat="1" applyBorder="1"/>
    <xf numFmtId="0" fontId="2" fillId="0" borderId="7" xfId="0" applyFont="1" applyBorder="1"/>
    <xf numFmtId="0" fontId="0" fillId="0" borderId="0" xfId="0" applyBorder="1"/>
    <xf numFmtId="0" fontId="0" fillId="0" borderId="8" xfId="0" applyBorder="1"/>
    <xf numFmtId="0" fontId="0" fillId="0" borderId="7" xfId="0" applyBorder="1"/>
    <xf numFmtId="177" fontId="0" fillId="0" borderId="0" xfId="0" applyNumberFormat="1" applyBorder="1"/>
    <xf numFmtId="11" fontId="0" fillId="0" borderId="0" xfId="0" applyNumberFormat="1"/>
    <xf numFmtId="0" fontId="0" fillId="0" borderId="9" xfId="0" applyBorder="1"/>
    <xf numFmtId="0" fontId="0" fillId="0" borderId="10" xfId="0" applyBorder="1"/>
    <xf numFmtId="177" fontId="0" fillId="0" borderId="11" xfId="0" applyNumberFormat="1" applyBorder="1"/>
    <xf numFmtId="177" fontId="0" fillId="0" borderId="10" xfId="0" applyNumberFormat="1" applyBorder="1"/>
    <xf numFmtId="0" fontId="0" fillId="0" borderId="11" xfId="0" applyBorder="1"/>
    <xf numFmtId="173" fontId="0" fillId="0" borderId="0" xfId="0" applyNumberFormat="1"/>
    <xf numFmtId="2" fontId="0" fillId="0" borderId="0" xfId="0" applyNumberFormat="1"/>
    <xf numFmtId="1" fontId="0" fillId="0" borderId="10" xfId="0" applyNumberFormat="1" applyBorder="1"/>
    <xf numFmtId="173" fontId="0" fillId="0" borderId="0" xfId="0" applyNumberFormat="1" applyBorder="1"/>
    <xf numFmtId="173" fontId="0" fillId="0" borderId="8" xfId="0" applyNumberFormat="1" applyBorder="1"/>
    <xf numFmtId="173" fontId="0" fillId="0" borderId="5" xfId="0" applyNumberFormat="1" applyBorder="1"/>
    <xf numFmtId="173" fontId="0" fillId="0" borderId="6" xfId="0" applyNumberFormat="1" applyBorder="1"/>
    <xf numFmtId="0" fontId="0" fillId="0" borderId="0" xfId="0" quotePrefix="1"/>
    <xf numFmtId="0" fontId="0" fillId="0" borderId="7" xfId="0" quotePrefix="1" applyBorder="1"/>
    <xf numFmtId="11" fontId="0" fillId="0" borderId="0" xfId="0" applyNumberFormat="1" applyBorder="1"/>
    <xf numFmtId="0" fontId="0" fillId="0" borderId="4" xfId="0" quotePrefix="1" applyBorder="1"/>
    <xf numFmtId="0" fontId="5" fillId="0" borderId="0" xfId="0" applyFont="1"/>
    <xf numFmtId="0" fontId="0" fillId="0" borderId="0" xfId="0" quotePrefix="1" applyBorder="1"/>
    <xf numFmtId="2" fontId="0" fillId="0" borderId="8" xfId="0" applyNumberFormat="1" applyBorder="1"/>
    <xf numFmtId="2" fontId="0" fillId="0" borderId="6" xfId="0" applyNumberFormat="1" applyBorder="1"/>
    <xf numFmtId="0" fontId="0" fillId="0" borderId="0" xfId="0" applyFill="1" applyBorder="1"/>
    <xf numFmtId="0" fontId="2" fillId="0" borderId="0" xfId="0" applyFont="1" applyBorder="1"/>
    <xf numFmtId="175" fontId="0" fillId="0" borderId="0" xfId="0" applyNumberFormat="1" applyBorder="1"/>
    <xf numFmtId="1" fontId="0" fillId="0" borderId="0" xfId="0" applyNumberFormat="1" applyBorder="1"/>
    <xf numFmtId="177" fontId="0" fillId="0" borderId="8" xfId="0" applyNumberFormat="1" applyBorder="1"/>
    <xf numFmtId="177" fontId="0" fillId="0" borderId="6" xfId="0" applyNumberFormat="1" applyBorder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586704831457488"/>
          <c:y val="7.113217762613519E-2"/>
          <c:w val="0.75042761664652324"/>
          <c:h val="0.74897998794577647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38487596647750871"/>
                  <c:y val="0.156909215351768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'5-5'!$C$6:$C$10</c:f>
              <c:numCache>
                <c:formatCode>General</c:formatCode>
                <c:ptCount val="5"/>
                <c:pt idx="0">
                  <c:v>3.5695163305372126E-3</c:v>
                </c:pt>
                <c:pt idx="1">
                  <c:v>3.5130862462673463E-3</c:v>
                </c:pt>
                <c:pt idx="2">
                  <c:v>3.4464931931759437E-3</c:v>
                </c:pt>
                <c:pt idx="3">
                  <c:v>3.3996260411354754E-3</c:v>
                </c:pt>
                <c:pt idx="4">
                  <c:v>3.3428046130703662E-3</c:v>
                </c:pt>
              </c:numCache>
            </c:numRef>
          </c:xVal>
          <c:yVal>
            <c:numRef>
              <c:f>'5-5'!$D$6:$D$10</c:f>
              <c:numCache>
                <c:formatCode>General</c:formatCode>
                <c:ptCount val="5"/>
                <c:pt idx="0">
                  <c:v>-21.002979739749016</c:v>
                </c:pt>
                <c:pt idx="1">
                  <c:v>-20.93152077576687</c:v>
                </c:pt>
                <c:pt idx="2">
                  <c:v>-20.500122285632202</c:v>
                </c:pt>
                <c:pt idx="3">
                  <c:v>-20.324489716989042</c:v>
                </c:pt>
                <c:pt idx="4">
                  <c:v>-19.907901023662216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6C-4712-A88E-41B94AFD6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187311"/>
        <c:axId val="1"/>
      </c:scatterChart>
      <c:valAx>
        <c:axId val="795187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1/T (K)</a:t>
                </a:r>
              </a:p>
            </c:rich>
          </c:tx>
          <c:layout>
            <c:manualLayout>
              <c:xMode val="edge"/>
              <c:yMode val="edge"/>
              <c:x val="0.49760114494372465"/>
              <c:y val="0.895428588940760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21.2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ln C sat (M)</a:t>
                </a:r>
              </a:p>
            </c:rich>
          </c:tx>
          <c:layout>
            <c:manualLayout>
              <c:xMode val="edge"/>
              <c:yMode val="edge"/>
              <c:x val="3.5427913232239296E-2"/>
              <c:y val="0.3514766423879621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51873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33742219767258"/>
          <c:y val="6.5002132485730654E-2"/>
          <c:w val="0.72850718855273844"/>
          <c:h val="0.76335837637088821"/>
        </c:manualLayout>
      </c:layout>
      <c:scatterChart>
        <c:scatterStyle val="lineMarker"/>
        <c:varyColors val="0"/>
        <c:ser>
          <c:idx val="0"/>
          <c:order val="0"/>
          <c:tx>
            <c:v>fresh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31879765489079903"/>
                  <c:y val="0.1966731188029799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'5-6'!$C$8:$C$12</c:f>
              <c:numCache>
                <c:formatCode>General</c:formatCode>
                <c:ptCount val="5"/>
                <c:pt idx="0">
                  <c:v>3.6489691662105459E-3</c:v>
                </c:pt>
                <c:pt idx="1">
                  <c:v>3.5366931918656055E-3</c:v>
                </c:pt>
                <c:pt idx="2">
                  <c:v>3.4123869646817953E-3</c:v>
                </c:pt>
                <c:pt idx="3">
                  <c:v>3.2997855139415941E-3</c:v>
                </c:pt>
                <c:pt idx="4">
                  <c:v>3.1862354628007013E-3</c:v>
                </c:pt>
              </c:numCache>
            </c:numRef>
          </c:xVal>
          <c:yVal>
            <c:numRef>
              <c:f>'5-6'!$D$8:$D$12</c:f>
              <c:numCache>
                <c:formatCode>General</c:formatCode>
                <c:ptCount val="5"/>
                <c:pt idx="0">
                  <c:v>-4.7105307016459177</c:v>
                </c:pt>
                <c:pt idx="1">
                  <c:v>-5.1849886812410331</c:v>
                </c:pt>
                <c:pt idx="2">
                  <c:v>-5.6549923104867688</c:v>
                </c:pt>
                <c:pt idx="3">
                  <c:v>-5.9914645471079817</c:v>
                </c:pt>
                <c:pt idx="4">
                  <c:v>-6.3199686140800182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2C-4FD3-A12B-25904B8E859B}"/>
            </c:ext>
          </c:extLst>
        </c:ser>
        <c:ser>
          <c:idx val="1"/>
          <c:order val="1"/>
          <c:tx>
            <c:v>seawater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53577400555792076"/>
                  <c:y val="0.6783555877357020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'5-6'!$C$16:$C$20</c:f>
              <c:numCache>
                <c:formatCode>General</c:formatCode>
                <c:ptCount val="5"/>
                <c:pt idx="0">
                  <c:v>3.5977693829825508E-3</c:v>
                </c:pt>
                <c:pt idx="1">
                  <c:v>3.5417035594120776E-3</c:v>
                </c:pt>
                <c:pt idx="2">
                  <c:v>3.4065746891500603E-3</c:v>
                </c:pt>
                <c:pt idx="3">
                  <c:v>3.3030553261767133E-3</c:v>
                </c:pt>
                <c:pt idx="4">
                  <c:v>3.1943778949049678E-3</c:v>
                </c:pt>
              </c:numCache>
            </c:numRef>
          </c:xVal>
          <c:yVal>
            <c:numRef>
              <c:f>'5-6'!$E$16:$E$20</c:f>
              <c:numCache>
                <c:formatCode>General</c:formatCode>
                <c:ptCount val="5"/>
                <c:pt idx="0">
                  <c:v>-5.3185200738655558</c:v>
                </c:pt>
                <c:pt idx="1">
                  <c:v>-5.521460917862246</c:v>
                </c:pt>
                <c:pt idx="2">
                  <c:v>-6.0322865416282374</c:v>
                </c:pt>
                <c:pt idx="3">
                  <c:v>-6.3771270279199666</c:v>
                </c:pt>
                <c:pt idx="4">
                  <c:v>-6.6453910145146464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32C-4FD3-A12B-25904B8E8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991983"/>
        <c:axId val="1"/>
      </c:scatterChart>
      <c:valAx>
        <c:axId val="79099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1/T (K)</a:t>
                </a:r>
              </a:p>
            </c:rich>
          </c:tx>
          <c:layout>
            <c:manualLayout>
              <c:xMode val="edge"/>
              <c:yMode val="edge"/>
              <c:x val="0.45455939385570204"/>
              <c:y val="0.90336296941707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7"/>
        <c:crossBetween val="midCat"/>
      </c:valAx>
      <c:valAx>
        <c:axId val="1"/>
        <c:scaling>
          <c:orientation val="minMax"/>
          <c:max val="-4.5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ln Csat (1 Bar)</a:t>
                </a:r>
              </a:p>
            </c:rich>
          </c:tx>
          <c:layout>
            <c:manualLayout>
              <c:xMode val="edge"/>
              <c:yMode val="edge"/>
              <c:x val="2.5455326055919315E-2"/>
              <c:y val="0.328344105120229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991983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850596189343671"/>
          <c:y val="0.43334754990487107"/>
          <c:w val="0.24243167672304108"/>
          <c:h val="0.188339512074040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82550</xdr:colOff>
          <xdr:row>12</xdr:row>
          <xdr:rowOff>6350</xdr:rowOff>
        </xdr:from>
        <xdr:to>
          <xdr:col>3</xdr:col>
          <xdr:colOff>590550</xdr:colOff>
          <xdr:row>14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CD6F836-F965-4664-AD86-23A09EFFE0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69850</xdr:colOff>
          <xdr:row>15</xdr:row>
          <xdr:rowOff>57150</xdr:rowOff>
        </xdr:from>
        <xdr:to>
          <xdr:col>4</xdr:col>
          <xdr:colOff>203200</xdr:colOff>
          <xdr:row>18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23756AF-B096-4F1C-B6EE-60FB325CDF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247650</xdr:colOff>
          <xdr:row>22</xdr:row>
          <xdr:rowOff>44450</xdr:rowOff>
        </xdr:from>
        <xdr:to>
          <xdr:col>4</xdr:col>
          <xdr:colOff>260350</xdr:colOff>
          <xdr:row>27</xdr:row>
          <xdr:rowOff>57150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3DA03BAC-4A1B-4DF3-B5C5-A5A0870865E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158750</xdr:colOff>
          <xdr:row>44</xdr:row>
          <xdr:rowOff>95250</xdr:rowOff>
        </xdr:from>
        <xdr:to>
          <xdr:col>3</xdr:col>
          <xdr:colOff>241300</xdr:colOff>
          <xdr:row>48</xdr:row>
          <xdr:rowOff>25400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36B645EA-93C6-4054-8F23-1AFE42988D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</xdr:row>
      <xdr:rowOff>152400</xdr:rowOff>
    </xdr:from>
    <xdr:to>
      <xdr:col>11</xdr:col>
      <xdr:colOff>457200</xdr:colOff>
      <xdr:row>21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68FB0288-86C9-48DA-854E-EE39385FC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52</xdr:row>
          <xdr:rowOff>95250</xdr:rowOff>
        </xdr:from>
        <xdr:to>
          <xdr:col>2</xdr:col>
          <xdr:colOff>38100</xdr:colOff>
          <xdr:row>54</xdr:row>
          <xdr:rowOff>57150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20C4E04-5B0F-427C-BEFD-0F14EF632B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184150</xdr:colOff>
      <xdr:row>3</xdr:row>
      <xdr:rowOff>114297</xdr:rowOff>
    </xdr:from>
    <xdr:to>
      <xdr:col>8</xdr:col>
      <xdr:colOff>190516</xdr:colOff>
      <xdr:row>11</xdr:row>
      <xdr:rowOff>20018</xdr:rowOff>
    </xdr:to>
    <xdr:grpSp>
      <xdr:nvGrpSpPr>
        <xdr:cNvPr id="2052" name="Group 4">
          <a:extLst>
            <a:ext uri="{FF2B5EF4-FFF2-40B4-BE49-F238E27FC236}">
              <a16:creationId xmlns:a16="http://schemas.microsoft.com/office/drawing/2014/main" id="{D0AE6ABC-5895-4E83-9DED-2A6D01793CF8}"/>
            </a:ext>
          </a:extLst>
        </xdr:cNvPr>
        <xdr:cNvGrpSpPr>
          <a:grpSpLocks/>
        </xdr:cNvGrpSpPr>
      </xdr:nvGrpSpPr>
      <xdr:grpSpPr bwMode="auto">
        <a:xfrm>
          <a:off x="3098800" y="603247"/>
          <a:ext cx="2444766" cy="1175721"/>
          <a:chOff x="884" y="1852"/>
          <a:chExt cx="1538" cy="760"/>
        </a:xfrm>
      </xdr:grpSpPr>
      <xdr:sp macro="" textlink="">
        <xdr:nvSpPr>
          <xdr:cNvPr id="2053" name="AutoShape 5">
            <a:extLst>
              <a:ext uri="{FF2B5EF4-FFF2-40B4-BE49-F238E27FC236}">
                <a16:creationId xmlns:a16="http://schemas.microsoft.com/office/drawing/2014/main" id="{68FDDA5C-6E81-4906-BBA3-100C0099C8C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152" y="2112"/>
            <a:ext cx="336" cy="336"/>
          </a:xfrm>
          <a:prstGeom prst="hexagon">
            <a:avLst>
              <a:gd name="adj" fmla="val 25000"/>
              <a:gd name="vf" fmla="val 115470"/>
            </a:avLst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  <xdr:sp macro="" textlink="">
        <xdr:nvSpPr>
          <xdr:cNvPr id="2054" name="AutoShape 6">
            <a:extLst>
              <a:ext uri="{FF2B5EF4-FFF2-40B4-BE49-F238E27FC236}">
                <a16:creationId xmlns:a16="http://schemas.microsoft.com/office/drawing/2014/main" id="{7316F4C8-C534-4ED4-AAEB-83C4F489171C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824" y="2112"/>
            <a:ext cx="336" cy="336"/>
          </a:xfrm>
          <a:prstGeom prst="hexagon">
            <a:avLst>
              <a:gd name="adj" fmla="val 25000"/>
              <a:gd name="vf" fmla="val 115470"/>
            </a:avLst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  <xdr:sp macro="" textlink="">
        <xdr:nvSpPr>
          <xdr:cNvPr id="2055" name="Oval 7">
            <a:extLst>
              <a:ext uri="{FF2B5EF4-FFF2-40B4-BE49-F238E27FC236}">
                <a16:creationId xmlns:a16="http://schemas.microsoft.com/office/drawing/2014/main" id="{01CA14A2-A04E-471D-84C1-5D62D8E41AB2}"/>
              </a:ext>
            </a:extLst>
          </xdr:cNvPr>
          <xdr:cNvSpPr>
            <a:spLocks noChangeArrowheads="1"/>
          </xdr:cNvSpPr>
        </xdr:nvSpPr>
        <xdr:spPr bwMode="auto">
          <a:xfrm>
            <a:off x="1632" y="2064"/>
            <a:ext cx="96" cy="96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  <xdr:sp macro="" textlink="">
        <xdr:nvSpPr>
          <xdr:cNvPr id="2056" name="Oval 8">
            <a:extLst>
              <a:ext uri="{FF2B5EF4-FFF2-40B4-BE49-F238E27FC236}">
                <a16:creationId xmlns:a16="http://schemas.microsoft.com/office/drawing/2014/main" id="{DF7055FF-C80D-4D49-9FD5-26A55787DA7D}"/>
              </a:ext>
            </a:extLst>
          </xdr:cNvPr>
          <xdr:cNvSpPr>
            <a:spLocks noChangeArrowheads="1"/>
          </xdr:cNvSpPr>
        </xdr:nvSpPr>
        <xdr:spPr bwMode="auto">
          <a:xfrm>
            <a:off x="1632" y="2352"/>
            <a:ext cx="96" cy="96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  <xdr:sp macro="" textlink="">
        <xdr:nvSpPr>
          <xdr:cNvPr id="2057" name="Line 9">
            <a:extLst>
              <a:ext uri="{FF2B5EF4-FFF2-40B4-BE49-F238E27FC236}">
                <a16:creationId xmlns:a16="http://schemas.microsoft.com/office/drawing/2014/main" id="{AFA354E2-501A-4A61-803F-5031EA0C3529}"/>
              </a:ext>
            </a:extLst>
          </xdr:cNvPr>
          <xdr:cNvSpPr>
            <a:spLocks noChangeShapeType="1"/>
          </xdr:cNvSpPr>
        </xdr:nvSpPr>
        <xdr:spPr bwMode="auto">
          <a:xfrm flipV="1">
            <a:off x="1488" y="2160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364D36E5-969B-44BC-82AC-B35C4FE79C89}"/>
              </a:ext>
            </a:extLst>
          </xdr:cNvPr>
          <xdr:cNvSpPr>
            <a:spLocks noChangeShapeType="1"/>
          </xdr:cNvSpPr>
        </xdr:nvSpPr>
        <xdr:spPr bwMode="auto">
          <a:xfrm>
            <a:off x="1728" y="2160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5C7ACA37-4568-42EC-AFB0-3F75746EE00C}"/>
              </a:ext>
            </a:extLst>
          </xdr:cNvPr>
          <xdr:cNvSpPr>
            <a:spLocks noChangeShapeType="1"/>
          </xdr:cNvSpPr>
        </xdr:nvSpPr>
        <xdr:spPr bwMode="auto">
          <a:xfrm flipV="1">
            <a:off x="1728" y="2352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0" name="Line 12">
            <a:extLst>
              <a:ext uri="{FF2B5EF4-FFF2-40B4-BE49-F238E27FC236}">
                <a16:creationId xmlns:a16="http://schemas.microsoft.com/office/drawing/2014/main" id="{B42E60D7-9214-48B6-AD4B-CC66EC94530F}"/>
              </a:ext>
            </a:extLst>
          </xdr:cNvPr>
          <xdr:cNvSpPr>
            <a:spLocks noChangeShapeType="1"/>
          </xdr:cNvSpPr>
        </xdr:nvSpPr>
        <xdr:spPr bwMode="auto">
          <a:xfrm>
            <a:off x="1488" y="2352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1" name="Line 13">
            <a:extLst>
              <a:ext uri="{FF2B5EF4-FFF2-40B4-BE49-F238E27FC236}">
                <a16:creationId xmlns:a16="http://schemas.microsoft.com/office/drawing/2014/main" id="{B8AFBFED-4471-4D17-BB91-0F4C1620B60F}"/>
              </a:ext>
            </a:extLst>
          </xdr:cNvPr>
          <xdr:cNvSpPr>
            <a:spLocks noChangeShapeType="1"/>
          </xdr:cNvSpPr>
        </xdr:nvSpPr>
        <xdr:spPr bwMode="auto">
          <a:xfrm>
            <a:off x="1064" y="2152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20738F55-FC13-4796-9279-B48E8681D59C}"/>
              </a:ext>
            </a:extLst>
          </xdr:cNvPr>
          <xdr:cNvSpPr>
            <a:spLocks noChangeShapeType="1"/>
          </xdr:cNvSpPr>
        </xdr:nvSpPr>
        <xdr:spPr bwMode="auto">
          <a:xfrm>
            <a:off x="2160" y="2352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78AB7F91-6240-4BE8-941D-EBDBACBAAFD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56" y="2352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4" name="Line 16">
            <a:extLst>
              <a:ext uri="{FF2B5EF4-FFF2-40B4-BE49-F238E27FC236}">
                <a16:creationId xmlns:a16="http://schemas.microsoft.com/office/drawing/2014/main" id="{2E2C593C-5918-4F23-9083-2DF590B6B5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0" y="2012"/>
            <a:ext cx="0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5" name="Text Box 17">
            <a:extLst>
              <a:ext uri="{FF2B5EF4-FFF2-40B4-BE49-F238E27FC236}">
                <a16:creationId xmlns:a16="http://schemas.microsoft.com/office/drawing/2014/main" id="{48770119-3BA2-4A19-AE1B-B6451AC8B1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4" y="2029"/>
            <a:ext cx="208" cy="2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Cl</a:t>
            </a: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066" name="Text Box 18">
            <a:extLst>
              <a:ext uri="{FF2B5EF4-FFF2-40B4-BE49-F238E27FC236}">
                <a16:creationId xmlns:a16="http://schemas.microsoft.com/office/drawing/2014/main" id="{C2B854C3-4F65-4938-91E7-F7C5CBED67D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0" y="1852"/>
            <a:ext cx="208" cy="2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Cl</a:t>
            </a: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067" name="Text Box 19">
            <a:extLst>
              <a:ext uri="{FF2B5EF4-FFF2-40B4-BE49-F238E27FC236}">
                <a16:creationId xmlns:a16="http://schemas.microsoft.com/office/drawing/2014/main" id="{6C66F1F1-E742-4D9B-99FE-FD87D15055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2" y="2299"/>
            <a:ext cx="208" cy="2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Cl</a:t>
            </a: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068" name="Text Box 20">
            <a:extLst>
              <a:ext uri="{FF2B5EF4-FFF2-40B4-BE49-F238E27FC236}">
                <a16:creationId xmlns:a16="http://schemas.microsoft.com/office/drawing/2014/main" id="{07632EA9-AFEB-4015-BE41-F90D85B8B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14" y="2324"/>
            <a:ext cx="208" cy="2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Cl</a:t>
            </a:r>
          </a:p>
          <a:p>
            <a:pPr algn="l" rtl="0">
              <a:defRPr sz="1000"/>
            </a:pPr>
            <a:endParaRPr lang="en-GB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2069" name="Oval 21">
            <a:extLst>
              <a:ext uri="{FF2B5EF4-FFF2-40B4-BE49-F238E27FC236}">
                <a16:creationId xmlns:a16="http://schemas.microsoft.com/office/drawing/2014/main" id="{56D6AC20-9E9B-47A8-9B8B-9AE450007821}"/>
              </a:ext>
            </a:extLst>
          </xdr:cNvPr>
          <xdr:cNvSpPr>
            <a:spLocks noChangeArrowheads="1"/>
          </xdr:cNvSpPr>
        </xdr:nvSpPr>
        <xdr:spPr bwMode="auto">
          <a:xfrm>
            <a:off x="1196" y="2168"/>
            <a:ext cx="232" cy="2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  <xdr:sp macro="" textlink="">
        <xdr:nvSpPr>
          <xdr:cNvPr id="2070" name="Oval 22">
            <a:extLst>
              <a:ext uri="{FF2B5EF4-FFF2-40B4-BE49-F238E27FC236}">
                <a16:creationId xmlns:a16="http://schemas.microsoft.com/office/drawing/2014/main" id="{2635B7A9-B3E5-4237-8AB7-7FE77EFD79BC}"/>
              </a:ext>
            </a:extLst>
          </xdr:cNvPr>
          <xdr:cNvSpPr>
            <a:spLocks noChangeArrowheads="1"/>
          </xdr:cNvSpPr>
        </xdr:nvSpPr>
        <xdr:spPr bwMode="auto">
          <a:xfrm>
            <a:off x="1872" y="2172"/>
            <a:ext cx="232" cy="224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177800</xdr:colOff>
          <xdr:row>26</xdr:row>
          <xdr:rowOff>19050</xdr:rowOff>
        </xdr:from>
        <xdr:to>
          <xdr:col>4</xdr:col>
          <xdr:colOff>323850</xdr:colOff>
          <xdr:row>30</xdr:row>
          <xdr:rowOff>114300</xdr:rowOff>
        </xdr:to>
        <xdr:sp macro="" textlink="">
          <xdr:nvSpPr>
            <xdr:cNvPr id="2071" name="Object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BBBB7BFC-6921-48C4-AF3F-4ED6771552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127000</xdr:colOff>
          <xdr:row>32</xdr:row>
          <xdr:rowOff>57150</xdr:rowOff>
        </xdr:from>
        <xdr:to>
          <xdr:col>4</xdr:col>
          <xdr:colOff>304800</xdr:colOff>
          <xdr:row>34</xdr:row>
          <xdr:rowOff>57150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92E66912-8A02-4BC6-AFC0-3B7FBCF2B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114300</xdr:rowOff>
    </xdr:from>
    <xdr:to>
      <xdr:col>8</xdr:col>
      <xdr:colOff>361950</xdr:colOff>
      <xdr:row>48</xdr:row>
      <xdr:rowOff>114300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912311C-486F-468C-9E71-1D2B364E3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533400</xdr:colOff>
          <xdr:row>65</xdr:row>
          <xdr:rowOff>152400</xdr:rowOff>
        </xdr:from>
        <xdr:to>
          <xdr:col>6</xdr:col>
          <xdr:colOff>374650</xdr:colOff>
          <xdr:row>70</xdr:row>
          <xdr:rowOff>152400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81829062-EEDB-4DE9-BC60-C16CCB42E9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590550</xdr:colOff>
          <xdr:row>73</xdr:row>
          <xdr:rowOff>44450</xdr:rowOff>
        </xdr:from>
        <xdr:to>
          <xdr:col>5</xdr:col>
          <xdr:colOff>476250</xdr:colOff>
          <xdr:row>76</xdr:row>
          <xdr:rowOff>63500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B4658624-4AC9-4AF6-BEE0-0D88F2C6C2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94</xdr:row>
          <xdr:rowOff>133350</xdr:rowOff>
        </xdr:from>
        <xdr:to>
          <xdr:col>5</xdr:col>
          <xdr:colOff>76200</xdr:colOff>
          <xdr:row>98</xdr:row>
          <xdr:rowOff>57150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744F5506-B5B1-4817-8E68-BF2A73476A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123</xdr:row>
          <xdr:rowOff>6350</xdr:rowOff>
        </xdr:from>
        <xdr:to>
          <xdr:col>5</xdr:col>
          <xdr:colOff>266700</xdr:colOff>
          <xdr:row>126</xdr:row>
          <xdr:rowOff>133350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3D804F0A-E55C-459D-A601-E230C23113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126</xdr:row>
          <xdr:rowOff>152400</xdr:rowOff>
        </xdr:from>
        <xdr:to>
          <xdr:col>3</xdr:col>
          <xdr:colOff>431800</xdr:colOff>
          <xdr:row>134</xdr:row>
          <xdr:rowOff>95250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BF2C0BC1-51FB-47DB-8E7F-BDAF8A4490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6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5.bin"/><Relationship Id="rId9" Type="http://schemas.openxmlformats.org/officeDocument/2006/relationships/image" Target="../media/image7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.bin"/><Relationship Id="rId13" Type="http://schemas.openxmlformats.org/officeDocument/2006/relationships/image" Target="../media/image12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12" Type="http://schemas.openxmlformats.org/officeDocument/2006/relationships/oleObject" Target="../embeddings/oleObject12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9.bin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0" Type="http://schemas.openxmlformats.org/officeDocument/2006/relationships/oleObject" Target="../embeddings/oleObject11.bin"/><Relationship Id="rId4" Type="http://schemas.openxmlformats.org/officeDocument/2006/relationships/oleObject" Target="../embeddings/oleObject8.bin"/><Relationship Id="rId9" Type="http://schemas.openxmlformats.org/officeDocument/2006/relationships/image" Target="../media/image1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66"/>
  <sheetViews>
    <sheetView topLeftCell="A16" workbookViewId="0">
      <selection activeCell="I10" sqref="I10"/>
    </sheetView>
  </sheetViews>
  <sheetFormatPr defaultRowHeight="12.5" x14ac:dyDescent="0.25"/>
  <cols>
    <col min="1" max="1" width="16.1796875" customWidth="1"/>
    <col min="2" max="2" width="9.54296875" bestFit="1" customWidth="1"/>
  </cols>
  <sheetData>
    <row r="1" spans="1:8" ht="13" x14ac:dyDescent="0.3">
      <c r="A1" s="1" t="s">
        <v>0</v>
      </c>
      <c r="H1" s="39" t="s">
        <v>145</v>
      </c>
    </row>
    <row r="2" spans="1:8" ht="13" x14ac:dyDescent="0.3">
      <c r="A2" t="s">
        <v>1</v>
      </c>
      <c r="H2" s="39" t="s">
        <v>146</v>
      </c>
    </row>
    <row r="3" spans="1:8" ht="13" x14ac:dyDescent="0.3">
      <c r="H3" s="39" t="s">
        <v>147</v>
      </c>
    </row>
    <row r="4" spans="1:8" ht="13" x14ac:dyDescent="0.3">
      <c r="A4" t="s">
        <v>2</v>
      </c>
      <c r="H4" s="39" t="s">
        <v>148</v>
      </c>
    </row>
    <row r="5" spans="1:8" x14ac:dyDescent="0.25">
      <c r="A5" t="s">
        <v>3</v>
      </c>
    </row>
    <row r="6" spans="1:8" x14ac:dyDescent="0.25">
      <c r="A6" t="s">
        <v>10</v>
      </c>
    </row>
    <row r="7" spans="1:8" x14ac:dyDescent="0.25">
      <c r="A7" t="s">
        <v>32</v>
      </c>
    </row>
    <row r="9" spans="1:8" ht="13" x14ac:dyDescent="0.3">
      <c r="A9" s="1" t="s">
        <v>4</v>
      </c>
    </row>
    <row r="10" spans="1:8" x14ac:dyDescent="0.25">
      <c r="A10" t="s">
        <v>5</v>
      </c>
      <c r="E10">
        <v>0.28000000000000003</v>
      </c>
    </row>
    <row r="11" spans="1:8" x14ac:dyDescent="0.25">
      <c r="A11" t="s">
        <v>6</v>
      </c>
    </row>
    <row r="20" spans="1:5" x14ac:dyDescent="0.25">
      <c r="A20" t="s">
        <v>7</v>
      </c>
      <c r="E20">
        <v>-3.6</v>
      </c>
    </row>
    <row r="21" spans="1:5" x14ac:dyDescent="0.25">
      <c r="A21" t="s">
        <v>8</v>
      </c>
      <c r="B21" s="4">
        <f>10^E20</f>
        <v>2.5118864315095774E-4</v>
      </c>
      <c r="C21" t="s">
        <v>9</v>
      </c>
    </row>
    <row r="22" spans="1:5" x14ac:dyDescent="0.25">
      <c r="A22" t="s">
        <v>33</v>
      </c>
    </row>
    <row r="27" spans="1:5" x14ac:dyDescent="0.25">
      <c r="D27" t="s">
        <v>12</v>
      </c>
    </row>
    <row r="28" spans="1:5" x14ac:dyDescent="0.25">
      <c r="A28" t="s">
        <v>34</v>
      </c>
      <c r="B28" t="s">
        <v>35</v>
      </c>
    </row>
    <row r="29" spans="1:5" x14ac:dyDescent="0.25">
      <c r="A29" t="s">
        <v>37</v>
      </c>
      <c r="B29">
        <v>52.7</v>
      </c>
      <c r="C29" t="s">
        <v>39</v>
      </c>
    </row>
    <row r="30" spans="1:5" x14ac:dyDescent="0.25">
      <c r="A30" t="s">
        <v>38</v>
      </c>
      <c r="B30">
        <v>18.600000000000001</v>
      </c>
      <c r="C30" t="s">
        <v>21</v>
      </c>
    </row>
    <row r="31" spans="1:5" x14ac:dyDescent="0.25">
      <c r="A31" t="s">
        <v>40</v>
      </c>
      <c r="B31">
        <v>298</v>
      </c>
      <c r="C31" t="s">
        <v>41</v>
      </c>
    </row>
    <row r="32" spans="1:5" x14ac:dyDescent="0.25">
      <c r="A32" t="s">
        <v>36</v>
      </c>
      <c r="B32" s="5">
        <f>B30-(B31*B29/1000)</f>
        <v>2.8954000000000004</v>
      </c>
      <c r="C32" t="s">
        <v>21</v>
      </c>
    </row>
    <row r="36" spans="1:5" ht="13" thickBot="1" x14ac:dyDescent="0.3">
      <c r="A36" s="2" t="s">
        <v>11</v>
      </c>
      <c r="B36" s="3">
        <f>1/(0.018*B21)*EXP(-B32/8.314*0.298)</f>
        <v>199368.38666290662</v>
      </c>
      <c r="C36" t="s">
        <v>13</v>
      </c>
      <c r="E36" t="s">
        <v>19</v>
      </c>
    </row>
    <row r="37" spans="1:5" x14ac:dyDescent="0.25">
      <c r="A37" s="7" t="s">
        <v>14</v>
      </c>
      <c r="B37" s="8">
        <f>B36*10^(0.28*0.5)</f>
        <v>275204.98380873998</v>
      </c>
      <c r="C37" s="9" t="s">
        <v>16</v>
      </c>
      <c r="D37" s="9"/>
      <c r="E37" s="10"/>
    </row>
    <row r="38" spans="1:5" ht="13" thickBot="1" x14ac:dyDescent="0.3">
      <c r="A38" s="11" t="s">
        <v>15</v>
      </c>
      <c r="B38" s="12">
        <f>B21*10^-(0.28*0.5)</f>
        <v>1.8197008586099813E-4</v>
      </c>
      <c r="C38" s="13" t="s">
        <v>9</v>
      </c>
      <c r="D38" s="13" t="s">
        <v>16</v>
      </c>
      <c r="E38" s="14"/>
    </row>
    <row r="39" spans="1:5" x14ac:dyDescent="0.25">
      <c r="A39" t="s">
        <v>8</v>
      </c>
      <c r="B39" s="6">
        <f>B21</f>
        <v>2.5118864315095774E-4</v>
      </c>
      <c r="C39" t="s">
        <v>9</v>
      </c>
      <c r="D39" t="s">
        <v>13</v>
      </c>
    </row>
    <row r="41" spans="1:5" ht="13" x14ac:dyDescent="0.3">
      <c r="A41" s="1" t="s">
        <v>17</v>
      </c>
    </row>
    <row r="43" spans="1:5" x14ac:dyDescent="0.25">
      <c r="A43" t="s">
        <v>18</v>
      </c>
    </row>
    <row r="44" spans="1:5" x14ac:dyDescent="0.25">
      <c r="A44" t="s">
        <v>20</v>
      </c>
      <c r="B44">
        <v>30</v>
      </c>
      <c r="C44" t="s">
        <v>21</v>
      </c>
    </row>
    <row r="50" spans="1:6" x14ac:dyDescent="0.25">
      <c r="A50" t="s">
        <v>22</v>
      </c>
      <c r="B50">
        <f>LN(B39)</f>
        <v>-8.2893063347785656</v>
      </c>
    </row>
    <row r="51" spans="1:6" x14ac:dyDescent="0.25">
      <c r="A51" t="s">
        <v>23</v>
      </c>
      <c r="B51">
        <v>298</v>
      </c>
      <c r="C51" t="s">
        <v>24</v>
      </c>
      <c r="D51" t="s">
        <v>25</v>
      </c>
      <c r="E51">
        <f>1/B51</f>
        <v>3.3557046979865771E-3</v>
      </c>
    </row>
    <row r="52" spans="1:6" x14ac:dyDescent="0.25">
      <c r="A52" t="s">
        <v>26</v>
      </c>
      <c r="B52">
        <v>278</v>
      </c>
      <c r="C52" t="s">
        <v>24</v>
      </c>
      <c r="D52" t="s">
        <v>27</v>
      </c>
      <c r="E52">
        <f>1/B52</f>
        <v>3.5971223021582736E-3</v>
      </c>
    </row>
    <row r="53" spans="1:6" x14ac:dyDescent="0.25">
      <c r="A53" t="s">
        <v>28</v>
      </c>
      <c r="B53">
        <f>B50+(B44/0.008314)*(E51-E52)</f>
        <v>-9.1604307183665963</v>
      </c>
    </row>
    <row r="54" spans="1:6" x14ac:dyDescent="0.25">
      <c r="A54" t="s">
        <v>29</v>
      </c>
      <c r="B54" s="6">
        <f>EXP(B53)</f>
        <v>1.0511761221174757E-4</v>
      </c>
    </row>
    <row r="55" spans="1:6" x14ac:dyDescent="0.25">
      <c r="A55" s="2" t="s">
        <v>30</v>
      </c>
      <c r="B55" s="3">
        <f>1/(0.018*B54)*EXP(-((B30-(B29*0.278))/(8.314*0.278)))</f>
        <v>95709.513423701777</v>
      </c>
    </row>
    <row r="57" spans="1:6" x14ac:dyDescent="0.25">
      <c r="A57" t="s">
        <v>31</v>
      </c>
    </row>
    <row r="58" spans="1:6" ht="13" thickBot="1" x14ac:dyDescent="0.3"/>
    <row r="59" spans="1:6" x14ac:dyDescent="0.25">
      <c r="A59" s="15" t="s">
        <v>29</v>
      </c>
      <c r="B59" s="16">
        <f>B54</f>
        <v>1.0511761221174757E-4</v>
      </c>
      <c r="C59" s="9"/>
      <c r="D59" s="9"/>
      <c r="E59" s="9"/>
      <c r="F59" s="10"/>
    </row>
    <row r="60" spans="1:6" x14ac:dyDescent="0.25">
      <c r="A60" s="17" t="s">
        <v>30</v>
      </c>
      <c r="B60" s="21">
        <f>B55</f>
        <v>95709.513423701777</v>
      </c>
      <c r="C60" s="18"/>
      <c r="D60" s="18"/>
      <c r="E60" s="18"/>
      <c r="F60" s="19"/>
    </row>
    <row r="61" spans="1:6" x14ac:dyDescent="0.25">
      <c r="A61" s="20"/>
      <c r="B61" s="18"/>
      <c r="C61" s="18"/>
      <c r="D61" s="18"/>
      <c r="E61" s="18"/>
      <c r="F61" s="19"/>
    </row>
    <row r="62" spans="1:6" x14ac:dyDescent="0.25">
      <c r="A62" s="20" t="s">
        <v>15</v>
      </c>
      <c r="B62" s="21">
        <f>B38</f>
        <v>1.8197008586099813E-4</v>
      </c>
      <c r="C62" s="18"/>
      <c r="D62" s="18"/>
      <c r="E62" s="18"/>
      <c r="F62" s="19"/>
    </row>
    <row r="63" spans="1:6" x14ac:dyDescent="0.25">
      <c r="A63" s="17" t="s">
        <v>14</v>
      </c>
      <c r="B63" s="21">
        <f>B37</f>
        <v>275204.98380873998</v>
      </c>
      <c r="C63" s="18"/>
      <c r="D63" s="18"/>
      <c r="E63" s="18"/>
      <c r="F63" s="19"/>
    </row>
    <row r="64" spans="1:6" x14ac:dyDescent="0.25">
      <c r="A64" s="20" t="s">
        <v>43</v>
      </c>
      <c r="B64" s="18"/>
      <c r="C64" s="18"/>
      <c r="D64" s="18"/>
      <c r="E64" s="18"/>
      <c r="F64" s="19"/>
    </row>
    <row r="65" spans="1:6" x14ac:dyDescent="0.25">
      <c r="A65" s="20" t="s">
        <v>42</v>
      </c>
      <c r="B65" s="18"/>
      <c r="C65" s="18"/>
      <c r="D65" s="18"/>
      <c r="E65" s="18"/>
      <c r="F65" s="19"/>
    </row>
    <row r="66" spans="1:6" ht="13" thickBot="1" x14ac:dyDescent="0.3">
      <c r="A66" s="11" t="s">
        <v>44</v>
      </c>
      <c r="B66" s="13"/>
      <c r="C66" s="13"/>
      <c r="D66" s="13"/>
      <c r="E66" s="13"/>
      <c r="F66" s="14"/>
    </row>
  </sheetData>
  <phoneticPr fontId="0" type="noConversion"/>
  <pageMargins left="0.75" right="0.75" top="1" bottom="1" header="0.5" footer="0.5"/>
  <pageSetup scale="77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0</xdr:col>
                <xdr:colOff>82550</xdr:colOff>
                <xdr:row>12</xdr:row>
                <xdr:rowOff>6350</xdr:rowOff>
              </from>
              <to>
                <xdr:col>3</xdr:col>
                <xdr:colOff>590550</xdr:colOff>
                <xdr:row>14</xdr:row>
                <xdr:rowOff>152400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7">
            <anchor moveWithCells="1" sizeWithCells="1">
              <from>
                <xdr:col>0</xdr:col>
                <xdr:colOff>69850</xdr:colOff>
                <xdr:row>15</xdr:row>
                <xdr:rowOff>57150</xdr:rowOff>
              </from>
              <to>
                <xdr:col>4</xdr:col>
                <xdr:colOff>203200</xdr:colOff>
                <xdr:row>18</xdr:row>
                <xdr:rowOff>19050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8">
          <objectPr defaultSize="0" autoPict="0" r:id="rId9">
            <anchor moveWithCells="1" sizeWithCells="1">
              <from>
                <xdr:col>0</xdr:col>
                <xdr:colOff>247650</xdr:colOff>
                <xdr:row>22</xdr:row>
                <xdr:rowOff>44450</xdr:rowOff>
              </from>
              <to>
                <xdr:col>4</xdr:col>
                <xdr:colOff>260350</xdr:colOff>
                <xdr:row>27</xdr:row>
                <xdr:rowOff>57150</xdr:rowOff>
              </to>
            </anchor>
          </objectPr>
        </oleObject>
      </mc:Choice>
      <mc:Fallback>
        <oleObject progId="Equation.3" shapeId="1027" r:id="rId8"/>
      </mc:Fallback>
    </mc:AlternateContent>
    <mc:AlternateContent xmlns:mc="http://schemas.openxmlformats.org/markup-compatibility/2006">
      <mc:Choice Requires="x14">
        <oleObject progId="Equation.3" shapeId="1028" r:id="rId10">
          <objectPr defaultSize="0" autoPict="0" r:id="rId11">
            <anchor moveWithCells="1" sizeWithCells="1">
              <from>
                <xdr:col>0</xdr:col>
                <xdr:colOff>158750</xdr:colOff>
                <xdr:row>44</xdr:row>
                <xdr:rowOff>95250</xdr:rowOff>
              </from>
              <to>
                <xdr:col>3</xdr:col>
                <xdr:colOff>241300</xdr:colOff>
                <xdr:row>48</xdr:row>
                <xdr:rowOff>25400</xdr:rowOff>
              </to>
            </anchor>
          </objectPr>
        </oleObject>
      </mc:Choice>
      <mc:Fallback>
        <oleObject progId="Equation.3" shapeId="1028" r:id="rId10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0"/>
  <sheetViews>
    <sheetView workbookViewId="0">
      <selection activeCell="E45" sqref="E45"/>
    </sheetView>
  </sheetViews>
  <sheetFormatPr defaultRowHeight="12.5" x14ac:dyDescent="0.25"/>
  <cols>
    <col min="1" max="1" width="11.81640625" customWidth="1"/>
    <col min="2" max="2" width="12.453125" bestFit="1" customWidth="1"/>
  </cols>
  <sheetData>
    <row r="1" spans="1:5" ht="13" x14ac:dyDescent="0.3">
      <c r="A1" s="1" t="s">
        <v>45</v>
      </c>
    </row>
    <row r="3" spans="1:5" ht="13" x14ac:dyDescent="0.3">
      <c r="A3" s="1" t="s">
        <v>46</v>
      </c>
    </row>
    <row r="4" spans="1:5" x14ac:dyDescent="0.25">
      <c r="A4" t="s">
        <v>47</v>
      </c>
      <c r="B4" t="s">
        <v>48</v>
      </c>
      <c r="C4" t="s">
        <v>55</v>
      </c>
      <c r="D4" t="s">
        <v>57</v>
      </c>
    </row>
    <row r="5" spans="1:5" x14ac:dyDescent="0.25">
      <c r="A5" t="s">
        <v>50</v>
      </c>
      <c r="B5" t="s">
        <v>49</v>
      </c>
      <c r="C5" t="s">
        <v>56</v>
      </c>
      <c r="D5" t="s">
        <v>58</v>
      </c>
    </row>
    <row r="6" spans="1:5" x14ac:dyDescent="0.25">
      <c r="A6">
        <v>7</v>
      </c>
      <c r="B6" s="22">
        <v>7.5599999999999997E-10</v>
      </c>
      <c r="C6">
        <f>1/(A6+273.15)</f>
        <v>3.5695163305372126E-3</v>
      </c>
      <c r="D6">
        <f>LN(B6)</f>
        <v>-21.002979739749016</v>
      </c>
    </row>
    <row r="7" spans="1:5" x14ac:dyDescent="0.25">
      <c r="A7">
        <v>11.5</v>
      </c>
      <c r="B7" s="22">
        <v>8.1199999999999999E-10</v>
      </c>
      <c r="C7">
        <f>1/(A7+273.15)</f>
        <v>3.5130862462673463E-3</v>
      </c>
      <c r="D7">
        <f>LN(B7)</f>
        <v>-20.93152077576687</v>
      </c>
    </row>
    <row r="8" spans="1:5" x14ac:dyDescent="0.25">
      <c r="A8">
        <v>17</v>
      </c>
      <c r="B8" s="22">
        <v>1.25E-9</v>
      </c>
      <c r="C8">
        <f>1/(A8+273.15)</f>
        <v>3.4464931931759437E-3</v>
      </c>
      <c r="D8">
        <f>LN(B8)</f>
        <v>-20.500122285632202</v>
      </c>
    </row>
    <row r="9" spans="1:5" x14ac:dyDescent="0.25">
      <c r="A9">
        <v>21</v>
      </c>
      <c r="B9" s="22">
        <v>1.49E-9</v>
      </c>
      <c r="C9">
        <f>1/(A9+273.15)</f>
        <v>3.3996260411354754E-3</v>
      </c>
      <c r="D9">
        <f>LN(B9)</f>
        <v>-20.324489716989042</v>
      </c>
    </row>
    <row r="10" spans="1:5" x14ac:dyDescent="0.25">
      <c r="A10">
        <v>26</v>
      </c>
      <c r="B10" s="22">
        <v>2.2600000000000001E-9</v>
      </c>
      <c r="C10">
        <f>1/(A10+273.15)</f>
        <v>3.3428046130703662E-3</v>
      </c>
      <c r="D10">
        <f>LN(B10)</f>
        <v>-19.907901023662216</v>
      </c>
    </row>
    <row r="12" spans="1:5" x14ac:dyDescent="0.25">
      <c r="A12" t="s">
        <v>51</v>
      </c>
      <c r="B12" s="5">
        <v>322</v>
      </c>
      <c r="C12" t="s">
        <v>52</v>
      </c>
    </row>
    <row r="13" spans="1:5" x14ac:dyDescent="0.25">
      <c r="A13" t="s">
        <v>53</v>
      </c>
      <c r="B13" s="5">
        <v>175</v>
      </c>
      <c r="C13" t="s">
        <v>50</v>
      </c>
    </row>
    <row r="15" spans="1:5" ht="25.5" customHeight="1" x14ac:dyDescent="0.25">
      <c r="A15" s="49" t="s">
        <v>54</v>
      </c>
      <c r="B15" s="50"/>
      <c r="C15" s="50"/>
      <c r="D15" s="50"/>
      <c r="E15" s="50"/>
    </row>
    <row r="17" spans="1:4" x14ac:dyDescent="0.25">
      <c r="A17" t="s">
        <v>59</v>
      </c>
      <c r="B17">
        <v>-4933.8</v>
      </c>
    </row>
    <row r="18" spans="1:4" x14ac:dyDescent="0.25">
      <c r="A18" t="s">
        <v>60</v>
      </c>
      <c r="B18">
        <v>-3.4904000000000002</v>
      </c>
    </row>
    <row r="20" spans="1:4" x14ac:dyDescent="0.25">
      <c r="A20" t="s">
        <v>61</v>
      </c>
    </row>
    <row r="22" spans="1:4" x14ac:dyDescent="0.25">
      <c r="A22" t="s">
        <v>62</v>
      </c>
      <c r="B22">
        <f>1/274.15</f>
        <v>3.6476381542950944E-3</v>
      </c>
    </row>
    <row r="23" spans="1:4" ht="13" thickBot="1" x14ac:dyDescent="0.3">
      <c r="A23" t="s">
        <v>63</v>
      </c>
      <c r="B23">
        <f>B17*B22+B18</f>
        <v>-21.48711712566114</v>
      </c>
    </row>
    <row r="24" spans="1:4" ht="13" thickBot="1" x14ac:dyDescent="0.3">
      <c r="A24" s="23" t="s">
        <v>64</v>
      </c>
      <c r="B24" s="26">
        <f>EXP(B23)</f>
        <v>4.6586877244264663E-10</v>
      </c>
      <c r="C24" s="24" t="s">
        <v>67</v>
      </c>
      <c r="D24" s="27"/>
    </row>
    <row r="25" spans="1:4" x14ac:dyDescent="0.25">
      <c r="A25" s="43" t="s">
        <v>133</v>
      </c>
      <c r="B25" s="21"/>
      <c r="C25" s="18"/>
      <c r="D25" s="18"/>
    </row>
    <row r="26" spans="1:4" x14ac:dyDescent="0.25">
      <c r="A26" s="18"/>
      <c r="B26" s="21"/>
      <c r="C26" s="18"/>
      <c r="D26" s="18"/>
    </row>
    <row r="27" spans="1:4" x14ac:dyDescent="0.25">
      <c r="A27" s="18"/>
      <c r="B27" s="21"/>
      <c r="C27" s="18"/>
      <c r="D27" s="18"/>
    </row>
    <row r="28" spans="1:4" x14ac:dyDescent="0.25">
      <c r="A28" s="18"/>
      <c r="B28" s="21"/>
      <c r="C28" s="18"/>
      <c r="D28" s="18"/>
    </row>
    <row r="29" spans="1:4" x14ac:dyDescent="0.25">
      <c r="A29" s="18"/>
      <c r="B29" s="21"/>
      <c r="C29" s="18"/>
      <c r="D29" s="18"/>
    </row>
    <row r="30" spans="1:4" x14ac:dyDescent="0.25">
      <c r="A30" s="18"/>
      <c r="B30" s="21"/>
      <c r="C30" s="18"/>
      <c r="D30" s="18"/>
    </row>
    <row r="31" spans="1:4" x14ac:dyDescent="0.25">
      <c r="A31" s="18"/>
      <c r="B31" s="21"/>
      <c r="C31" s="18"/>
      <c r="D31" s="18"/>
    </row>
    <row r="32" spans="1:4" ht="15.5" x14ac:dyDescent="0.4">
      <c r="A32" s="18" t="s">
        <v>134</v>
      </c>
      <c r="B32" s="21"/>
      <c r="C32" s="18"/>
      <c r="D32" s="18"/>
    </row>
    <row r="33" spans="1:4" x14ac:dyDescent="0.25">
      <c r="A33" s="18"/>
      <c r="B33" s="21"/>
      <c r="C33" s="18"/>
      <c r="D33" s="18"/>
    </row>
    <row r="37" spans="1:4" x14ac:dyDescent="0.25">
      <c r="A37" t="s">
        <v>80</v>
      </c>
      <c r="B37">
        <v>0</v>
      </c>
    </row>
    <row r="38" spans="1:4" x14ac:dyDescent="0.25">
      <c r="A38" t="s">
        <v>81</v>
      </c>
      <c r="B38">
        <v>1</v>
      </c>
      <c r="C38" t="s">
        <v>82</v>
      </c>
    </row>
    <row r="39" spans="1:4" ht="15.5" x14ac:dyDescent="0.4">
      <c r="A39" s="44" t="s">
        <v>136</v>
      </c>
      <c r="B39" s="45">
        <v>56.5</v>
      </c>
      <c r="C39" s="18" t="s">
        <v>39</v>
      </c>
      <c r="D39" s="18"/>
    </row>
    <row r="40" spans="1:4" ht="15.5" x14ac:dyDescent="0.4">
      <c r="A40" s="44" t="s">
        <v>137</v>
      </c>
      <c r="B40" s="44" t="s">
        <v>138</v>
      </c>
      <c r="C40" s="46">
        <f>(B13+273.15)*B39</f>
        <v>25320.474999999999</v>
      </c>
      <c r="D40" s="18" t="s">
        <v>139</v>
      </c>
    </row>
    <row r="41" spans="1:4" ht="15.5" x14ac:dyDescent="0.4">
      <c r="A41" s="44" t="s">
        <v>135</v>
      </c>
      <c r="B41" s="45">
        <f>(C40-(274.15*B39))/1000</f>
        <v>9.8309999999999995</v>
      </c>
      <c r="C41" s="18" t="s">
        <v>21</v>
      </c>
      <c r="D41" s="18" t="s">
        <v>140</v>
      </c>
    </row>
    <row r="42" spans="1:4" x14ac:dyDescent="0.25">
      <c r="A42" t="s">
        <v>65</v>
      </c>
      <c r="C42">
        <v>18</v>
      </c>
      <c r="D42" t="s">
        <v>66</v>
      </c>
    </row>
    <row r="43" spans="1:4" x14ac:dyDescent="0.25">
      <c r="C43">
        <v>1.7999999999999999E-2</v>
      </c>
      <c r="D43" t="s">
        <v>70</v>
      </c>
    </row>
    <row r="44" spans="1:4" ht="13" thickBot="1" x14ac:dyDescent="0.3">
      <c r="A44" t="s">
        <v>68</v>
      </c>
      <c r="C44" s="6">
        <f>B24*C43</f>
        <v>8.3856379039676382E-12</v>
      </c>
      <c r="D44" t="s">
        <v>71</v>
      </c>
    </row>
    <row r="45" spans="1:4" ht="13" thickBot="1" x14ac:dyDescent="0.3">
      <c r="A45" s="23" t="s">
        <v>72</v>
      </c>
      <c r="B45" s="24"/>
      <c r="C45" s="25">
        <f>(1/C44)*EXP(-B41/(0.008314*274.15))</f>
        <v>1596855696.9986646</v>
      </c>
    </row>
    <row r="47" spans="1:4" x14ac:dyDescent="0.25">
      <c r="A47" t="s">
        <v>73</v>
      </c>
    </row>
    <row r="48" spans="1:4" x14ac:dyDescent="0.25">
      <c r="A48" t="s">
        <v>74</v>
      </c>
    </row>
    <row r="50" spans="1:3" ht="13" x14ac:dyDescent="0.3">
      <c r="A50" s="1" t="s">
        <v>75</v>
      </c>
    </row>
    <row r="51" spans="1:3" x14ac:dyDescent="0.25">
      <c r="A51" t="s">
        <v>77</v>
      </c>
    </row>
    <row r="52" spans="1:3" x14ac:dyDescent="0.25">
      <c r="A52" t="s">
        <v>76</v>
      </c>
      <c r="B52" s="3">
        <f>-B17*8.314/1000</f>
        <v>41.019613200000002</v>
      </c>
      <c r="C52" t="s">
        <v>21</v>
      </c>
    </row>
    <row r="53" spans="1:3" x14ac:dyDescent="0.25">
      <c r="A53" t="s">
        <v>78</v>
      </c>
    </row>
    <row r="56" spans="1:3" x14ac:dyDescent="0.25">
      <c r="A56" t="s">
        <v>79</v>
      </c>
    </row>
    <row r="58" spans="1:3" x14ac:dyDescent="0.25">
      <c r="A58" t="s">
        <v>38</v>
      </c>
      <c r="B58" s="3">
        <f>C40/1000</f>
        <v>25.320474999999998</v>
      </c>
      <c r="C58" t="s">
        <v>21</v>
      </c>
    </row>
    <row r="59" spans="1:3" ht="13" thickBot="1" x14ac:dyDescent="0.3"/>
    <row r="60" spans="1:3" ht="13" thickBot="1" x14ac:dyDescent="0.3">
      <c r="A60" s="23" t="s">
        <v>83</v>
      </c>
      <c r="B60" s="30">
        <f>B52-B58</f>
        <v>15.699138200000004</v>
      </c>
      <c r="C60" s="27" t="s">
        <v>21</v>
      </c>
    </row>
  </sheetData>
  <mergeCells count="1">
    <mergeCell ref="A15:E15"/>
  </mergeCells>
  <phoneticPr fontId="0" type="noConversion"/>
  <pageMargins left="0.75" right="0.75" top="1" bottom="1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50" r:id="rId4">
          <objectPr defaultSize="0" r:id="rId5">
            <anchor moveWithCells="1">
              <from>
                <xdr:col>1</xdr:col>
                <xdr:colOff>19050</xdr:colOff>
                <xdr:row>52</xdr:row>
                <xdr:rowOff>95250</xdr:rowOff>
              </from>
              <to>
                <xdr:col>2</xdr:col>
                <xdr:colOff>38100</xdr:colOff>
                <xdr:row>54</xdr:row>
                <xdr:rowOff>57150</xdr:rowOff>
              </to>
            </anchor>
          </objectPr>
        </oleObject>
      </mc:Choice>
      <mc:Fallback>
        <oleObject progId="Equation.3" shapeId="2050" r:id="rId4"/>
      </mc:Fallback>
    </mc:AlternateContent>
    <mc:AlternateContent xmlns:mc="http://schemas.openxmlformats.org/markup-compatibility/2006">
      <mc:Choice Requires="x14">
        <oleObject progId="Equation.3" shapeId="2071" r:id="rId6">
          <objectPr defaultSize="0" autoPict="0" r:id="rId7">
            <anchor moveWithCells="1">
              <from>
                <xdr:col>0</xdr:col>
                <xdr:colOff>177800</xdr:colOff>
                <xdr:row>26</xdr:row>
                <xdr:rowOff>19050</xdr:rowOff>
              </from>
              <to>
                <xdr:col>4</xdr:col>
                <xdr:colOff>323850</xdr:colOff>
                <xdr:row>30</xdr:row>
                <xdr:rowOff>114300</xdr:rowOff>
              </to>
            </anchor>
          </objectPr>
        </oleObject>
      </mc:Choice>
      <mc:Fallback>
        <oleObject progId="Equation.3" shapeId="2071" r:id="rId6"/>
      </mc:Fallback>
    </mc:AlternateContent>
    <mc:AlternateContent xmlns:mc="http://schemas.openxmlformats.org/markup-compatibility/2006">
      <mc:Choice Requires="x14">
        <oleObject progId="Equation.3" shapeId="2072" r:id="rId8">
          <objectPr defaultSize="0" autoPict="0" r:id="rId9">
            <anchor moveWithCells="1" sizeWithCells="1">
              <from>
                <xdr:col>0</xdr:col>
                <xdr:colOff>127000</xdr:colOff>
                <xdr:row>32</xdr:row>
                <xdr:rowOff>57150</xdr:rowOff>
              </from>
              <to>
                <xdr:col>4</xdr:col>
                <xdr:colOff>304800</xdr:colOff>
                <xdr:row>34</xdr:row>
                <xdr:rowOff>57150</xdr:rowOff>
              </to>
            </anchor>
          </objectPr>
        </oleObject>
      </mc:Choice>
      <mc:Fallback>
        <oleObject progId="Equation.3" shapeId="2072" r:id="rId8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9"/>
  <sheetViews>
    <sheetView tabSelected="1" topLeftCell="A76" workbookViewId="0">
      <selection activeCell="B87" sqref="B87"/>
    </sheetView>
  </sheetViews>
  <sheetFormatPr defaultRowHeight="12.5" x14ac:dyDescent="0.25"/>
  <sheetData>
    <row r="1" spans="1:6" x14ac:dyDescent="0.25">
      <c r="A1" t="s">
        <v>84</v>
      </c>
    </row>
    <row r="3" spans="1:6" x14ac:dyDescent="0.25">
      <c r="A3" t="s">
        <v>85</v>
      </c>
    </row>
    <row r="5" spans="1:6" x14ac:dyDescent="0.25">
      <c r="A5" t="s">
        <v>86</v>
      </c>
    </row>
    <row r="6" spans="1:6" x14ac:dyDescent="0.25">
      <c r="A6" t="s">
        <v>47</v>
      </c>
      <c r="B6" t="s">
        <v>88</v>
      </c>
      <c r="C6" t="s">
        <v>55</v>
      </c>
      <c r="D6" t="s">
        <v>91</v>
      </c>
    </row>
    <row r="7" spans="1:6" x14ac:dyDescent="0.25">
      <c r="A7" t="s">
        <v>50</v>
      </c>
      <c r="B7" t="s">
        <v>49</v>
      </c>
      <c r="C7" t="s">
        <v>24</v>
      </c>
      <c r="D7" t="s">
        <v>58</v>
      </c>
    </row>
    <row r="8" spans="1:6" x14ac:dyDescent="0.25">
      <c r="A8">
        <v>0.9</v>
      </c>
      <c r="B8" s="28">
        <v>8.9999999999999993E-3</v>
      </c>
      <c r="C8">
        <f>1/(A8+273.15)</f>
        <v>3.6489691662105459E-3</v>
      </c>
      <c r="D8">
        <f>LN(B8)</f>
        <v>-4.7105307016459177</v>
      </c>
    </row>
    <row r="9" spans="1:6" x14ac:dyDescent="0.25">
      <c r="A9">
        <v>9.6</v>
      </c>
      <c r="B9">
        <v>5.5999999999999999E-3</v>
      </c>
      <c r="C9">
        <f>1/(A9+273.15)</f>
        <v>3.5366931918656055E-3</v>
      </c>
      <c r="D9">
        <f>LN(B9)</f>
        <v>-5.1849886812410331</v>
      </c>
    </row>
    <row r="10" spans="1:6" x14ac:dyDescent="0.25">
      <c r="A10">
        <v>19.899999999999999</v>
      </c>
      <c r="B10">
        <v>3.5000000000000001E-3</v>
      </c>
      <c r="C10">
        <f>1/(A10+273.15)</f>
        <v>3.4123869646817953E-3</v>
      </c>
      <c r="D10">
        <f>LN(B10)</f>
        <v>-5.6549923104867688</v>
      </c>
    </row>
    <row r="11" spans="1:6" x14ac:dyDescent="0.25">
      <c r="A11">
        <v>29.9</v>
      </c>
      <c r="B11">
        <v>2.5000000000000001E-3</v>
      </c>
      <c r="C11">
        <f>1/(A11+273.15)</f>
        <v>3.2997855139415941E-3</v>
      </c>
      <c r="D11">
        <f>LN(B11)</f>
        <v>-5.9914645471079817</v>
      </c>
    </row>
    <row r="12" spans="1:6" x14ac:dyDescent="0.25">
      <c r="A12">
        <v>40.700000000000003</v>
      </c>
      <c r="B12">
        <v>1.8E-3</v>
      </c>
      <c r="C12">
        <f>1/(A12+273.15)</f>
        <v>3.1862354628007013E-3</v>
      </c>
      <c r="D12">
        <f>LN(B12)</f>
        <v>-6.3199686140800182</v>
      </c>
    </row>
    <row r="13" spans="1:6" x14ac:dyDescent="0.25">
      <c r="A13" t="s">
        <v>87</v>
      </c>
    </row>
    <row r="14" spans="1:6" x14ac:dyDescent="0.25">
      <c r="A14" t="s">
        <v>47</v>
      </c>
      <c r="B14" t="s">
        <v>88</v>
      </c>
      <c r="C14" t="s">
        <v>55</v>
      </c>
      <c r="E14" t="s">
        <v>91</v>
      </c>
    </row>
    <row r="15" spans="1:6" ht="13" x14ac:dyDescent="0.3">
      <c r="A15" t="s">
        <v>50</v>
      </c>
      <c r="B15" t="s">
        <v>49</v>
      </c>
      <c r="C15" t="s">
        <v>24</v>
      </c>
      <c r="E15" t="s">
        <v>58</v>
      </c>
      <c r="F15" s="1" t="s">
        <v>121</v>
      </c>
    </row>
    <row r="16" spans="1:6" ht="13" x14ac:dyDescent="0.3">
      <c r="A16">
        <v>4.8</v>
      </c>
      <c r="B16" s="28">
        <v>4.8999999999999998E-3</v>
      </c>
      <c r="C16">
        <f>1/(A16+273.15)</f>
        <v>3.5977693829825508E-3</v>
      </c>
      <c r="E16">
        <f>LN(B16)</f>
        <v>-5.3185200738655558</v>
      </c>
      <c r="F16" s="1" t="s">
        <v>122</v>
      </c>
    </row>
    <row r="17" spans="1:5" x14ac:dyDescent="0.25">
      <c r="A17">
        <v>9.1999999999999993</v>
      </c>
      <c r="B17" s="28">
        <v>4.0000000000000001E-3</v>
      </c>
      <c r="C17">
        <f>1/(A17+273.15)</f>
        <v>3.5417035594120776E-3</v>
      </c>
      <c r="E17">
        <f>LN(B17)</f>
        <v>-5.521460917862246</v>
      </c>
    </row>
    <row r="18" spans="1:5" x14ac:dyDescent="0.25">
      <c r="A18">
        <v>20.399999999999999</v>
      </c>
      <c r="B18">
        <v>2.3999999999999998E-3</v>
      </c>
      <c r="C18">
        <f>1/(A18+273.15)</f>
        <v>3.4065746891500603E-3</v>
      </c>
      <c r="E18">
        <f>LN(B18)</f>
        <v>-6.0322865416282374</v>
      </c>
    </row>
    <row r="19" spans="1:5" x14ac:dyDescent="0.25">
      <c r="A19">
        <v>29.6</v>
      </c>
      <c r="B19">
        <v>1.6999999999999999E-3</v>
      </c>
      <c r="C19">
        <f>1/(A19+273.15)</f>
        <v>3.3030553261767133E-3</v>
      </c>
      <c r="E19">
        <f>LN(B19)</f>
        <v>-6.3771270279199666</v>
      </c>
    </row>
    <row r="20" spans="1:5" x14ac:dyDescent="0.25">
      <c r="A20">
        <v>39.9</v>
      </c>
      <c r="B20">
        <v>1.2999999999999999E-3</v>
      </c>
      <c r="C20">
        <f>1/(A20+273.15)</f>
        <v>3.1943778949049678E-3</v>
      </c>
      <c r="E20">
        <f>LN(B20)</f>
        <v>-6.6453910145146464</v>
      </c>
    </row>
    <row r="22" spans="1:5" x14ac:dyDescent="0.25">
      <c r="A22" t="s">
        <v>89</v>
      </c>
    </row>
    <row r="24" spans="1:5" ht="13" x14ac:dyDescent="0.3">
      <c r="A24" s="39" t="s">
        <v>90</v>
      </c>
    </row>
    <row r="52" spans="1:4" x14ac:dyDescent="0.25">
      <c r="B52" t="s">
        <v>94</v>
      </c>
      <c r="C52" t="s">
        <v>95</v>
      </c>
    </row>
    <row r="53" spans="1:4" x14ac:dyDescent="0.25">
      <c r="A53" t="s">
        <v>92</v>
      </c>
      <c r="B53">
        <v>3465.2</v>
      </c>
      <c r="C53">
        <v>3353.9</v>
      </c>
    </row>
    <row r="54" spans="1:4" x14ac:dyDescent="0.25">
      <c r="A54" t="s">
        <v>93</v>
      </c>
      <c r="B54">
        <v>-17.411999999999999</v>
      </c>
      <c r="C54">
        <v>-17.411000000000001</v>
      </c>
    </row>
    <row r="56" spans="1:4" x14ac:dyDescent="0.25">
      <c r="A56" t="s">
        <v>96</v>
      </c>
      <c r="B56" t="s">
        <v>94</v>
      </c>
      <c r="C56" t="s">
        <v>95</v>
      </c>
      <c r="D56" t="s">
        <v>97</v>
      </c>
    </row>
    <row r="57" spans="1:4" x14ac:dyDescent="0.25">
      <c r="A57">
        <v>5</v>
      </c>
      <c r="B57">
        <f>(B$53*$D57)+B$54</f>
        <v>-4.9539737551680734</v>
      </c>
      <c r="C57">
        <f>(C$53*$D57)+C$54</f>
        <v>-5.353117562466295</v>
      </c>
      <c r="D57">
        <f>1/(273.15+A57)</f>
        <v>3.5951824555096176E-3</v>
      </c>
    </row>
    <row r="58" spans="1:4" x14ac:dyDescent="0.25">
      <c r="A58">
        <v>25</v>
      </c>
      <c r="B58">
        <f>(B$53*$D58)+B$54</f>
        <v>-5.7896622505450264</v>
      </c>
      <c r="C58">
        <f>(C$53*$D58)+C$54</f>
        <v>-6.1619642797249696</v>
      </c>
      <c r="D58">
        <f>1/(273.15+A58)</f>
        <v>3.3540164346805303E-3</v>
      </c>
    </row>
    <row r="60" spans="1:4" ht="13" thickBot="1" x14ac:dyDescent="0.3"/>
    <row r="61" spans="1:4" x14ac:dyDescent="0.25">
      <c r="A61" s="15" t="s">
        <v>98</v>
      </c>
      <c r="B61" s="9" t="s">
        <v>94</v>
      </c>
      <c r="C61" s="10" t="s">
        <v>95</v>
      </c>
    </row>
    <row r="62" spans="1:4" x14ac:dyDescent="0.25">
      <c r="A62" s="20">
        <v>5</v>
      </c>
      <c r="B62" s="31">
        <f>EXP(B57)</f>
        <v>7.0553170483068015E-3</v>
      </c>
      <c r="C62" s="32">
        <f>EXP(C57)</f>
        <v>4.7333713922162275E-3</v>
      </c>
    </row>
    <row r="63" spans="1:4" ht="13" thickBot="1" x14ac:dyDescent="0.3">
      <c r="A63" s="11">
        <v>25</v>
      </c>
      <c r="B63" s="33">
        <f>EXP(B58)</f>
        <v>3.0590151826755431E-3</v>
      </c>
      <c r="C63" s="34">
        <f>EXP(C58)</f>
        <v>2.1081082877438023E-3</v>
      </c>
    </row>
    <row r="65" spans="1:3" ht="13" x14ac:dyDescent="0.3">
      <c r="A65" s="39" t="s">
        <v>99</v>
      </c>
    </row>
    <row r="66" spans="1:3" x14ac:dyDescent="0.25">
      <c r="A66" t="s">
        <v>100</v>
      </c>
    </row>
    <row r="72" spans="1:3" ht="15.5" x14ac:dyDescent="0.4">
      <c r="A72" t="s">
        <v>102</v>
      </c>
      <c r="B72">
        <v>1</v>
      </c>
      <c r="C72" t="s">
        <v>101</v>
      </c>
    </row>
    <row r="73" spans="1:3" ht="15.5" x14ac:dyDescent="0.4">
      <c r="A73" t="s">
        <v>103</v>
      </c>
      <c r="B73" t="s">
        <v>104</v>
      </c>
    </row>
    <row r="74" spans="1:3" x14ac:dyDescent="0.25">
      <c r="A74" t="s">
        <v>105</v>
      </c>
      <c r="B74">
        <v>1.7999999999999999E-2</v>
      </c>
      <c r="C74" t="s">
        <v>69</v>
      </c>
    </row>
    <row r="75" spans="1:3" x14ac:dyDescent="0.25">
      <c r="A75" t="s">
        <v>109</v>
      </c>
    </row>
    <row r="76" spans="1:3" x14ac:dyDescent="0.25">
      <c r="A76" t="s">
        <v>106</v>
      </c>
      <c r="B76">
        <v>-2437.3000000000002</v>
      </c>
      <c r="C76" t="s">
        <v>24</v>
      </c>
    </row>
    <row r="77" spans="1:3" x14ac:dyDescent="0.25">
      <c r="A77" t="s">
        <v>107</v>
      </c>
      <c r="B77">
        <v>21.556999999999999</v>
      </c>
      <c r="C77" t="s">
        <v>108</v>
      </c>
    </row>
    <row r="78" spans="1:3" x14ac:dyDescent="0.25">
      <c r="A78" t="s">
        <v>112</v>
      </c>
    </row>
    <row r="80" spans="1:3" ht="15.5" x14ac:dyDescent="0.4">
      <c r="A80" t="s">
        <v>103</v>
      </c>
      <c r="B80" t="s">
        <v>113</v>
      </c>
      <c r="C80" t="s">
        <v>101</v>
      </c>
    </row>
    <row r="81" spans="1:3" x14ac:dyDescent="0.25">
      <c r="A81" s="35" t="s">
        <v>110</v>
      </c>
      <c r="B81" s="22">
        <f>EXP((D57*B$76)+B$77)</f>
        <v>360216.96202372445</v>
      </c>
      <c r="C81" s="29">
        <f>B81/100000</f>
        <v>3.6021696202372446</v>
      </c>
    </row>
    <row r="82" spans="1:3" x14ac:dyDescent="0.25">
      <c r="A82" s="35" t="s">
        <v>111</v>
      </c>
      <c r="B82" s="22">
        <f>EXP((D58*B$76)+B$77)</f>
        <v>648395.25042870466</v>
      </c>
      <c r="C82" s="29">
        <f>B82/100000</f>
        <v>6.4839525042870463</v>
      </c>
    </row>
    <row r="85" spans="1:3" ht="13" thickBot="1" x14ac:dyDescent="0.3">
      <c r="A85" t="s">
        <v>114</v>
      </c>
    </row>
    <row r="86" spans="1:3" x14ac:dyDescent="0.25">
      <c r="A86" s="15"/>
      <c r="B86" s="9" t="s">
        <v>94</v>
      </c>
      <c r="C86" s="10" t="s">
        <v>95</v>
      </c>
    </row>
    <row r="87" spans="1:3" x14ac:dyDescent="0.25">
      <c r="A87" s="36" t="s">
        <v>110</v>
      </c>
      <c r="B87" s="21">
        <f>(1/($B$74*B62))*(1/$C81)</f>
        <v>2185.9831051301135</v>
      </c>
      <c r="C87" s="47">
        <f>(1/($B$74*C62))*(1/$C81)</f>
        <v>3258.3126467314805</v>
      </c>
    </row>
    <row r="88" spans="1:3" ht="13" thickBot="1" x14ac:dyDescent="0.3">
      <c r="A88" s="38" t="s">
        <v>111</v>
      </c>
      <c r="B88" s="12">
        <f>(1/($B$74*B63))*(1/$C82)</f>
        <v>2800.9543933352179</v>
      </c>
      <c r="C88" s="48">
        <f>(1/($B$74*C63))*(1/$C82)</f>
        <v>4064.3841993355336</v>
      </c>
    </row>
    <row r="91" spans="1:3" ht="13" x14ac:dyDescent="0.3">
      <c r="A91" s="39" t="s">
        <v>149</v>
      </c>
    </row>
    <row r="93" spans="1:3" x14ac:dyDescent="0.25">
      <c r="A93" t="s">
        <v>115</v>
      </c>
    </row>
    <row r="94" spans="1:3" x14ac:dyDescent="0.25">
      <c r="A94" t="s">
        <v>116</v>
      </c>
    </row>
    <row r="99" spans="1:5" x14ac:dyDescent="0.25">
      <c r="B99" t="s">
        <v>94</v>
      </c>
      <c r="C99" t="s">
        <v>95</v>
      </c>
    </row>
    <row r="100" spans="1:5" ht="15.5" x14ac:dyDescent="0.4">
      <c r="A100" s="2" t="s">
        <v>118</v>
      </c>
      <c r="B100" s="5">
        <f>-B53*8.314/1000</f>
        <v>-28.809672800000001</v>
      </c>
      <c r="C100" s="5">
        <f>-C53*8.314/1000</f>
        <v>-27.884324599999999</v>
      </c>
      <c r="D100" t="s">
        <v>21</v>
      </c>
    </row>
    <row r="101" spans="1:5" ht="15.5" x14ac:dyDescent="0.4">
      <c r="A101" s="2" t="s">
        <v>119</v>
      </c>
      <c r="B101" s="5">
        <v>20.263712200000001</v>
      </c>
      <c r="D101" t="s">
        <v>21</v>
      </c>
      <c r="E101" t="s">
        <v>120</v>
      </c>
    </row>
    <row r="102" spans="1:5" x14ac:dyDescent="0.25">
      <c r="A102" t="s">
        <v>117</v>
      </c>
      <c r="B102" s="5">
        <f>B100+B101</f>
        <v>-8.5459606000000008</v>
      </c>
      <c r="C102" s="5">
        <f>C100+B101</f>
        <v>-7.6206123999999988</v>
      </c>
      <c r="D102" t="s">
        <v>21</v>
      </c>
    </row>
    <row r="104" spans="1:5" x14ac:dyDescent="0.25">
      <c r="A104" t="s">
        <v>123</v>
      </c>
    </row>
    <row r="105" spans="1:5" x14ac:dyDescent="0.25">
      <c r="A105" t="s">
        <v>124</v>
      </c>
    </row>
    <row r="106" spans="1:5" x14ac:dyDescent="0.25">
      <c r="A106" t="s">
        <v>125</v>
      </c>
    </row>
    <row r="107" spans="1:5" x14ac:dyDescent="0.25">
      <c r="A107" t="s">
        <v>126</v>
      </c>
    </row>
    <row r="108" spans="1:5" x14ac:dyDescent="0.25">
      <c r="A108" t="s">
        <v>127</v>
      </c>
    </row>
    <row r="109" spans="1:5" x14ac:dyDescent="0.25">
      <c r="A109" t="s">
        <v>141</v>
      </c>
    </row>
    <row r="110" spans="1:5" x14ac:dyDescent="0.25">
      <c r="A110" t="s">
        <v>142</v>
      </c>
    </row>
    <row r="111" spans="1:5" ht="13" x14ac:dyDescent="0.3">
      <c r="A111" s="39" t="s">
        <v>128</v>
      </c>
    </row>
    <row r="113" spans="1:3" x14ac:dyDescent="0.25">
      <c r="A113" t="s">
        <v>129</v>
      </c>
    </row>
    <row r="114" spans="1:3" x14ac:dyDescent="0.25">
      <c r="A114" t="s">
        <v>143</v>
      </c>
    </row>
    <row r="115" spans="1:3" x14ac:dyDescent="0.25">
      <c r="A115" t="s">
        <v>144</v>
      </c>
    </row>
    <row r="117" spans="1:3" ht="13" x14ac:dyDescent="0.3">
      <c r="A117" s="39" t="s">
        <v>132</v>
      </c>
    </row>
    <row r="119" spans="1:3" x14ac:dyDescent="0.25">
      <c r="A119" t="s">
        <v>114</v>
      </c>
    </row>
    <row r="120" spans="1:3" x14ac:dyDescent="0.25">
      <c r="A120" s="18"/>
      <c r="B120" s="18" t="s">
        <v>94</v>
      </c>
      <c r="C120" s="18" t="s">
        <v>95</v>
      </c>
    </row>
    <row r="121" spans="1:3" x14ac:dyDescent="0.25">
      <c r="A121" s="40" t="s">
        <v>110</v>
      </c>
      <c r="B121" s="37">
        <v>2185.9831051301135</v>
      </c>
      <c r="C121" s="37">
        <v>3258.3126467314805</v>
      </c>
    </row>
    <row r="122" spans="1:3" x14ac:dyDescent="0.25">
      <c r="A122" s="40" t="s">
        <v>111</v>
      </c>
      <c r="B122" s="37">
        <v>2800.9543933352179</v>
      </c>
      <c r="C122" s="37">
        <v>4064.3841993355336</v>
      </c>
    </row>
    <row r="123" spans="1:3" x14ac:dyDescent="0.25">
      <c r="A123" s="18"/>
      <c r="B123" s="18"/>
      <c r="C123" s="18"/>
    </row>
    <row r="136" spans="1:4" ht="13" thickBot="1" x14ac:dyDescent="0.3"/>
    <row r="137" spans="1:4" x14ac:dyDescent="0.25">
      <c r="A137" s="15" t="s">
        <v>130</v>
      </c>
      <c r="B137" s="10"/>
    </row>
    <row r="138" spans="1:4" x14ac:dyDescent="0.25">
      <c r="A138" s="36" t="s">
        <v>110</v>
      </c>
      <c r="B138" s="41">
        <f>LOG(C121/B121)/0.5</f>
        <v>0.34669190599094524</v>
      </c>
      <c r="D138" t="s">
        <v>131</v>
      </c>
    </row>
    <row r="139" spans="1:4" ht="13" thickBot="1" x14ac:dyDescent="0.3">
      <c r="A139" s="38" t="s">
        <v>111</v>
      </c>
      <c r="B139" s="42">
        <f>LOG(C122/B122)/0.5</f>
        <v>0.32337743374846567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74" r:id="rId4">
          <objectPr defaultSize="0" autoPict="0" r:id="rId5">
            <anchor moveWithCells="1" sizeWithCells="1">
              <from>
                <xdr:col>2</xdr:col>
                <xdr:colOff>533400</xdr:colOff>
                <xdr:row>65</xdr:row>
                <xdr:rowOff>152400</xdr:rowOff>
              </from>
              <to>
                <xdr:col>6</xdr:col>
                <xdr:colOff>374650</xdr:colOff>
                <xdr:row>70</xdr:row>
                <xdr:rowOff>152400</xdr:rowOff>
              </to>
            </anchor>
          </objectPr>
        </oleObject>
      </mc:Choice>
      <mc:Fallback>
        <oleObject progId="Equation.3" shapeId="3074" r:id="rId4"/>
      </mc:Fallback>
    </mc:AlternateContent>
    <mc:AlternateContent xmlns:mc="http://schemas.openxmlformats.org/markup-compatibility/2006">
      <mc:Choice Requires="x14">
        <oleObject progId="Equation.3" shapeId="3075" r:id="rId6">
          <objectPr defaultSize="0" autoPict="0" r:id="rId7">
            <anchor moveWithCells="1" sizeWithCells="1">
              <from>
                <xdr:col>3</xdr:col>
                <xdr:colOff>590550</xdr:colOff>
                <xdr:row>73</xdr:row>
                <xdr:rowOff>44450</xdr:rowOff>
              </from>
              <to>
                <xdr:col>5</xdr:col>
                <xdr:colOff>476250</xdr:colOff>
                <xdr:row>76</xdr:row>
                <xdr:rowOff>63500</xdr:rowOff>
              </to>
            </anchor>
          </objectPr>
        </oleObject>
      </mc:Choice>
      <mc:Fallback>
        <oleObject progId="Equation.3" shapeId="3075" r:id="rId6"/>
      </mc:Fallback>
    </mc:AlternateContent>
    <mc:AlternateContent xmlns:mc="http://schemas.openxmlformats.org/markup-compatibility/2006">
      <mc:Choice Requires="x14">
        <oleObject progId="Equation.3" shapeId="3077" r:id="rId8">
          <objectPr defaultSize="0" autoPict="0" r:id="rId9">
            <anchor moveWithCells="1" sizeWithCells="1">
              <from>
                <xdr:col>0</xdr:col>
                <xdr:colOff>76200</xdr:colOff>
                <xdr:row>94</xdr:row>
                <xdr:rowOff>133350</xdr:rowOff>
              </from>
              <to>
                <xdr:col>5</xdr:col>
                <xdr:colOff>76200</xdr:colOff>
                <xdr:row>98</xdr:row>
                <xdr:rowOff>57150</xdr:rowOff>
              </to>
            </anchor>
          </objectPr>
        </oleObject>
      </mc:Choice>
      <mc:Fallback>
        <oleObject progId="Equation.3" shapeId="3077" r:id="rId8"/>
      </mc:Fallback>
    </mc:AlternateContent>
    <mc:AlternateContent xmlns:mc="http://schemas.openxmlformats.org/markup-compatibility/2006">
      <mc:Choice Requires="x14">
        <oleObject progId="Equation.3" shapeId="3078" r:id="rId10">
          <objectPr defaultSize="0" autoPict="0" r:id="rId11">
            <anchor moveWithCells="1" sizeWithCells="1">
              <from>
                <xdr:col>0</xdr:col>
                <xdr:colOff>209550</xdr:colOff>
                <xdr:row>123</xdr:row>
                <xdr:rowOff>6350</xdr:rowOff>
              </from>
              <to>
                <xdr:col>5</xdr:col>
                <xdr:colOff>266700</xdr:colOff>
                <xdr:row>126</xdr:row>
                <xdr:rowOff>133350</xdr:rowOff>
              </to>
            </anchor>
          </objectPr>
        </oleObject>
      </mc:Choice>
      <mc:Fallback>
        <oleObject progId="Equation.3" shapeId="3078" r:id="rId10"/>
      </mc:Fallback>
    </mc:AlternateContent>
    <mc:AlternateContent xmlns:mc="http://schemas.openxmlformats.org/markup-compatibility/2006">
      <mc:Choice Requires="x14">
        <oleObject progId="Equation.3" shapeId="3079" r:id="rId12">
          <objectPr defaultSize="0" autoPict="0" r:id="rId13">
            <anchor moveWithCells="1" sizeWithCells="1">
              <from>
                <xdr:col>1</xdr:col>
                <xdr:colOff>38100</xdr:colOff>
                <xdr:row>126</xdr:row>
                <xdr:rowOff>152400</xdr:rowOff>
              </from>
              <to>
                <xdr:col>3</xdr:col>
                <xdr:colOff>431800</xdr:colOff>
                <xdr:row>134</xdr:row>
                <xdr:rowOff>95250</xdr:rowOff>
              </to>
            </anchor>
          </objectPr>
        </oleObject>
      </mc:Choice>
      <mc:Fallback>
        <oleObject progId="Equation.3" shapeId="3079" r:id="rId1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5-7</vt:lpstr>
      <vt:lpstr>5-5</vt:lpstr>
      <vt:lpstr>5-6</vt:lpstr>
      <vt:lpstr>'5-7'!Print_Area</vt:lpstr>
    </vt:vector>
  </TitlesOfParts>
  <Company>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totten</dc:creator>
  <cp:lastModifiedBy>Carina Negreanu</cp:lastModifiedBy>
  <cp:lastPrinted>2004-03-04T16:48:38Z</cp:lastPrinted>
  <dcterms:created xsi:type="dcterms:W3CDTF">2003-02-13T19:13:20Z</dcterms:created>
  <dcterms:modified xsi:type="dcterms:W3CDTF">2020-01-27T11:59:14Z</dcterms:modified>
</cp:coreProperties>
</file>