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061BA95-1737-4460-A35D-C55EBC115B1F}" xr6:coauthVersionLast="45" xr6:coauthVersionMax="45" xr10:uidLastSave="{00000000-0000-0000-0000-000000000000}"/>
  <bookViews>
    <workbookView xWindow="2280" yWindow="2280" windowWidth="28800" windowHeight="15460"/>
  </bookViews>
  <sheets>
    <sheet name="HSLA_Sol" sheetId="1" r:id="rId1"/>
  </sheets>
  <definedNames>
    <definedName name="Results">HSLA_Sol!#REF!</definedName>
    <definedName name="solver_adj" localSheetId="0" hidden="1">HSLA_Sol!$M$6:$O$6</definedName>
    <definedName name="solver_drv" localSheetId="0" hidden="1">2</definedName>
    <definedName name="solver_est" localSheetId="0" hidden="1">2</definedName>
    <definedName name="solver_itr" localSheetId="0" hidden="1">32767</definedName>
    <definedName name="solver_lhs1" localSheetId="0" hidden="1">HSLA_Sol!$M$6:$O$6</definedName>
    <definedName name="solver_lhs2" localSheetId="0" hidden="1">HSLA_Sol!$M$6:$O$6</definedName>
    <definedName name="solver_lhs3" localSheetId="0" hidden="1">HSLA_Sol!$M$6</definedName>
    <definedName name="solver_lin" localSheetId="0" hidden="1">0</definedName>
    <definedName name="solver_num" localSheetId="0" hidden="1">3</definedName>
    <definedName name="solver_nwt" localSheetId="0" hidden="1">1</definedName>
    <definedName name="solver_opt" localSheetId="0" hidden="1">HSLA_Sol!$Q$24</definedName>
    <definedName name="solver_pre" localSheetId="0" hidden="1">0.0000000001</definedName>
    <definedName name="solver_rel1" localSheetId="0" hidden="1">3</definedName>
    <definedName name="solver_rel2" localSheetId="0" hidden="1">1</definedName>
    <definedName name="solver_rel3" localSheetId="0" hidden="1">1</definedName>
    <definedName name="solver_rhs1" localSheetId="0" hidden="1">0.00000001</definedName>
    <definedName name="solver_rhs2" localSheetId="0" hidden="1">0.99999999</definedName>
    <definedName name="solver_rhs3" localSheetId="0" hidden="1">HSLA_Sol!$R$14</definedName>
    <definedName name="solver_scl" localSheetId="0" hidden="1">1</definedName>
    <definedName name="solver_sho" localSheetId="0" hidden="1">0</definedName>
    <definedName name="solver_tim" localSheetId="0" hidden="1">1000</definedName>
    <definedName name="solver_tol" localSheetId="0" hidden="1">0.0005</definedName>
    <definedName name="solver_typ" localSheetId="0" hidden="1">3</definedName>
    <definedName name="solver_val" localSheetId="0" hidden="1">0</definedName>
  </definedNames>
  <calcPr calcId="0"/>
</workbook>
</file>

<file path=xl/calcChain.xml><?xml version="1.0" encoding="utf-8"?>
<calcChain xmlns="http://schemas.openxmlformats.org/spreadsheetml/2006/main">
  <c r="M9" i="1" l="1"/>
  <c r="N9" i="1"/>
  <c r="M12" i="1"/>
  <c r="N12" i="1"/>
  <c r="O12" i="1"/>
  <c r="P12" i="1"/>
  <c r="R12" i="1"/>
  <c r="R13" i="1"/>
  <c r="R14" i="1"/>
  <c r="M15" i="1"/>
  <c r="O15" i="1"/>
  <c r="P15" i="1"/>
  <c r="S17" i="1"/>
  <c r="M18" i="1"/>
  <c r="N18" i="1"/>
  <c r="O18" i="1"/>
  <c r="P18" i="1"/>
  <c r="S18" i="1"/>
  <c r="S19" i="1"/>
  <c r="S20" i="1"/>
  <c r="M21" i="1"/>
  <c r="N21" i="1"/>
  <c r="O21" i="1"/>
  <c r="M24" i="1"/>
  <c r="N24" i="1"/>
  <c r="O24" i="1"/>
  <c r="P24" i="1"/>
  <c r="Q24" i="1"/>
</calcChain>
</file>

<file path=xl/sharedStrings.xml><?xml version="1.0" encoding="utf-8"?>
<sst xmlns="http://schemas.openxmlformats.org/spreadsheetml/2006/main" count="66" uniqueCount="52">
  <si>
    <t xml:space="preserve"> Solubilization of NbTi Steels</t>
  </si>
  <si>
    <t>Calculation Area</t>
  </si>
  <si>
    <t xml:space="preserve">                    Guess Values</t>
  </si>
  <si>
    <t>Sample Identification:</t>
  </si>
  <si>
    <t>f</t>
  </si>
  <si>
    <t>x</t>
  </si>
  <si>
    <t>y</t>
  </si>
  <si>
    <t>Chemical Composition</t>
  </si>
  <si>
    <t>C</t>
  </si>
  <si>
    <t>Mn</t>
  </si>
  <si>
    <t>Nb</t>
  </si>
  <si>
    <t>Ti</t>
  </si>
  <si>
    <t>N</t>
  </si>
  <si>
    <t>[wt %]</t>
  </si>
  <si>
    <t xml:space="preserve"> </t>
  </si>
  <si>
    <t>Fe [wt. %]</t>
  </si>
  <si>
    <t>Total</t>
  </si>
  <si>
    <t>C [at. %]</t>
  </si>
  <si>
    <t>N [at. %]</t>
  </si>
  <si>
    <t>Nb [at. %]</t>
  </si>
  <si>
    <t>Ti [at. %]</t>
  </si>
  <si>
    <t>Constraints</t>
  </si>
  <si>
    <t>T</t>
  </si>
  <si>
    <t>Precipitated</t>
  </si>
  <si>
    <r>
      <t xml:space="preserve">                   Carbonitride Nb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</rPr>
      <t xml:space="preserve"> Ti</t>
    </r>
    <r>
      <rPr>
        <b/>
        <vertAlign val="subscript"/>
        <sz val="10"/>
        <rFont val="Arial"/>
        <family val="2"/>
      </rPr>
      <t>(1-x)</t>
    </r>
    <r>
      <rPr>
        <b/>
        <sz val="10"/>
        <rFont val="Arial"/>
      </rPr>
      <t xml:space="preserve"> C</t>
    </r>
    <r>
      <rPr>
        <b/>
        <vertAlign val="subscript"/>
        <sz val="10"/>
        <rFont val="Arial"/>
        <family val="2"/>
      </rPr>
      <t>y</t>
    </r>
    <r>
      <rPr>
        <b/>
        <sz val="10"/>
        <rFont val="Arial"/>
      </rPr>
      <t xml:space="preserve"> N</t>
    </r>
    <r>
      <rPr>
        <b/>
        <vertAlign val="subscript"/>
        <sz val="10"/>
        <rFont val="Arial"/>
        <family val="2"/>
      </rPr>
      <t>(1-y)</t>
    </r>
  </si>
  <si>
    <r>
      <t>Nb</t>
    </r>
    <r>
      <rPr>
        <b/>
        <vertAlign val="subscript"/>
        <sz val="10"/>
        <rFont val="Arial"/>
        <family val="2"/>
      </rPr>
      <t>sol</t>
    </r>
  </si>
  <si>
    <r>
      <t>Ti</t>
    </r>
    <r>
      <rPr>
        <b/>
        <vertAlign val="subscript"/>
        <sz val="10"/>
        <rFont val="Arial"/>
        <family val="2"/>
      </rPr>
      <t>sol</t>
    </r>
  </si>
  <si>
    <r>
      <t>C</t>
    </r>
    <r>
      <rPr>
        <b/>
        <vertAlign val="subscript"/>
        <sz val="10"/>
        <rFont val="Arial"/>
        <family val="2"/>
      </rPr>
      <t>sol</t>
    </r>
  </si>
  <si>
    <r>
      <t>N</t>
    </r>
    <r>
      <rPr>
        <b/>
        <vertAlign val="subscript"/>
        <sz val="10"/>
        <rFont val="Arial"/>
        <family val="2"/>
      </rPr>
      <t>sol</t>
    </r>
  </si>
  <si>
    <t>fm</t>
  </si>
  <si>
    <r>
      <t>T[</t>
    </r>
    <r>
      <rPr>
        <vertAlign val="superscript"/>
        <sz val="10"/>
        <rFont val="Arial"/>
        <family val="2"/>
      </rPr>
      <t>o</t>
    </r>
    <r>
      <rPr>
        <sz val="10"/>
        <rFont val="Arial"/>
      </rPr>
      <t>C]</t>
    </r>
  </si>
  <si>
    <t>T [K]</t>
  </si>
  <si>
    <t>lrt</t>
  </si>
  <si>
    <r>
      <t>[</t>
    </r>
    <r>
      <rPr>
        <b/>
        <vertAlign val="superscript"/>
        <sz val="8"/>
        <color indexed="8"/>
        <rFont val="Arial"/>
        <family val="2"/>
      </rPr>
      <t>o</t>
    </r>
    <r>
      <rPr>
        <b/>
        <sz val="8"/>
        <color indexed="8"/>
        <rFont val="Arial"/>
        <family val="2"/>
      </rPr>
      <t>C]</t>
    </r>
  </si>
  <si>
    <t>(1-x)</t>
  </si>
  <si>
    <t>(1-y)</t>
  </si>
  <si>
    <t>[%]</t>
  </si>
  <si>
    <t xml:space="preserve">     Austenite Composition</t>
  </si>
  <si>
    <t>knbc</t>
  </si>
  <si>
    <t>knbn</t>
  </si>
  <si>
    <t>ktic</t>
  </si>
  <si>
    <t>ktin</t>
  </si>
  <si>
    <t>1-f</t>
  </si>
  <si>
    <t>1-x</t>
  </si>
  <si>
    <t>1-y</t>
  </si>
  <si>
    <t xml:space="preserve">N </t>
  </si>
  <si>
    <t>p1</t>
  </si>
  <si>
    <t>p2</t>
  </si>
  <si>
    <t>p3</t>
  </si>
  <si>
    <t>p4</t>
  </si>
  <si>
    <t>sum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</si>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</sst>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89" formatCode="0.0"/>
    <numFmt numFmtId="192" formatCode="0.000"/>
    <numFmt numFmtId="195" formatCode="0.0000"/>
    <numFmt numFmtId="198" formatCode="0.00000"/>
    <numFmt numFmtId="201" formatCode="h:mm"/>
  </numFmts>
  <fonts count="18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20"/>
      <color indexed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vertAlign val="superscript"/>
      <sz val="8"/>
      <color indexed="8"/>
      <name val="Arial"/>
      <family val="2"/>
    </font>
    <font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0625">
        <fgColor indexed="8"/>
        <bgColor indexed="9"/>
      </patternFill>
    </fill>
    <fill>
      <patternFill patternType="gray0625"/>
    </fill>
  </fills>
  <borders count="4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7">
    <xf numFmtId="0" fontId="0" fillId="0" borderId="0" xfId="0"/>
    <xf numFmtId="0" fontId="0" fillId="2" borderId="0" xfId="0" applyFill="1" applyBorder="1"/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4" borderId="3" xfId="0" applyFill="1" applyBorder="1"/>
    <xf numFmtId="0" fontId="6" fillId="0" borderId="4" xfId="0" applyFont="1" applyBorder="1" applyAlignment="1">
      <alignment horizontal="left"/>
    </xf>
    <xf numFmtId="0" fontId="6" fillId="0" borderId="4" xfId="0" applyFont="1" applyBorder="1"/>
    <xf numFmtId="0" fontId="6" fillId="0" borderId="5" xfId="0" applyFont="1" applyBorder="1"/>
    <xf numFmtId="14" fontId="0" fillId="0" borderId="0" xfId="0" applyNumberFormat="1"/>
    <xf numFmtId="22" fontId="0" fillId="0" borderId="0" xfId="0" applyNumberFormat="1"/>
    <xf numFmtId="14" fontId="0" fillId="0" borderId="6" xfId="0" applyNumberFormat="1" applyBorder="1" applyAlignment="1">
      <alignment horizontal="center"/>
    </xf>
    <xf numFmtId="0" fontId="8" fillId="0" borderId="7" xfId="0" applyFont="1" applyBorder="1" applyAlignment="1">
      <alignment horizontal="center"/>
    </xf>
    <xf numFmtId="189" fontId="9" fillId="0" borderId="8" xfId="1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8" fillId="0" borderId="9" xfId="0" applyFont="1" applyBorder="1"/>
    <xf numFmtId="0" fontId="8" fillId="0" borderId="10" xfId="0" applyFont="1" applyBorder="1"/>
    <xf numFmtId="0" fontId="1" fillId="0" borderId="0" xfId="0" applyFont="1"/>
    <xf numFmtId="0" fontId="4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4" borderId="2" xfId="0" applyFill="1" applyBorder="1"/>
    <xf numFmtId="0" fontId="5" fillId="0" borderId="11" xfId="0" applyFont="1" applyBorder="1"/>
    <xf numFmtId="0" fontId="13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3" borderId="15" xfId="0" applyFont="1" applyFill="1" applyBorder="1" applyAlignment="1">
      <alignment horizontal="left"/>
    </xf>
    <xf numFmtId="0" fontId="3" fillId="3" borderId="16" xfId="0" applyFont="1" applyFill="1" applyBorder="1" applyAlignment="1">
      <alignment horizontal="left"/>
    </xf>
    <xf numFmtId="0" fontId="0" fillId="4" borderId="17" xfId="0" applyFill="1" applyBorder="1"/>
    <xf numFmtId="0" fontId="10" fillId="0" borderId="18" xfId="0" applyFont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26" xfId="0" applyBorder="1"/>
    <xf numFmtId="0" fontId="0" fillId="0" borderId="20" xfId="0" applyBorder="1"/>
    <xf numFmtId="192" fontId="7" fillId="0" borderId="8" xfId="0" quotePrefix="1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27" xfId="0" quotePrefix="1" applyFont="1" applyBorder="1" applyAlignment="1">
      <alignment horizontal="center"/>
    </xf>
    <xf numFmtId="0" fontId="0" fillId="0" borderId="28" xfId="0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195" fontId="0" fillId="0" borderId="28" xfId="0" applyNumberFormat="1" applyBorder="1" applyAlignment="1">
      <alignment horizontal="center"/>
    </xf>
    <xf numFmtId="195" fontId="0" fillId="0" borderId="29" xfId="0" applyNumberFormat="1" applyBorder="1" applyAlignment="1">
      <alignment horizontal="center"/>
    </xf>
    <xf numFmtId="198" fontId="0" fillId="0" borderId="19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198" fontId="0" fillId="0" borderId="24" xfId="0" applyNumberFormat="1" applyBorder="1" applyAlignment="1">
      <alignment horizontal="center"/>
    </xf>
    <xf numFmtId="198" fontId="0" fillId="0" borderId="29" xfId="0" applyNumberFormat="1" applyBorder="1" applyAlignment="1">
      <alignment horizontal="center"/>
    </xf>
    <xf numFmtId="198" fontId="0" fillId="0" borderId="32" xfId="0" applyNumberFormat="1" applyBorder="1" applyAlignment="1">
      <alignment horizontal="center"/>
    </xf>
    <xf numFmtId="0" fontId="0" fillId="0" borderId="3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9" xfId="0" quotePrefix="1" applyBorder="1" applyAlignment="1">
      <alignment horizontal="center"/>
    </xf>
    <xf numFmtId="0" fontId="0" fillId="0" borderId="28" xfId="0" quotePrefix="1" applyBorder="1" applyAlignment="1">
      <alignment horizontal="center"/>
    </xf>
    <xf numFmtId="9" fontId="0" fillId="0" borderId="28" xfId="0" applyNumberFormat="1" applyBorder="1" applyAlignment="1">
      <alignment horizontal="center"/>
    </xf>
    <xf numFmtId="9" fontId="0" fillId="0" borderId="29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9" fontId="0" fillId="0" borderId="35" xfId="0" applyNumberFormat="1" applyBorder="1" applyAlignment="1">
      <alignment horizontal="center"/>
    </xf>
    <xf numFmtId="2" fontId="0" fillId="0" borderId="35" xfId="0" applyNumberFormat="1" applyBorder="1" applyAlignment="1">
      <alignment horizontal="center"/>
    </xf>
    <xf numFmtId="195" fontId="0" fillId="0" borderId="35" xfId="0" applyNumberFormat="1" applyBorder="1" applyAlignment="1">
      <alignment horizontal="center"/>
    </xf>
    <xf numFmtId="195" fontId="0" fillId="0" borderId="36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195" fontId="0" fillId="0" borderId="38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4" xfId="0" applyBorder="1" applyAlignment="1">
      <alignment horizontal="center"/>
    </xf>
    <xf numFmtId="195" fontId="0" fillId="0" borderId="32" xfId="0" applyNumberFormat="1" applyBorder="1" applyAlignment="1">
      <alignment horizontal="center"/>
    </xf>
    <xf numFmtId="9" fontId="0" fillId="0" borderId="26" xfId="0" applyNumberFormat="1" applyBorder="1" applyAlignment="1">
      <alignment horizontal="center"/>
    </xf>
    <xf numFmtId="195" fontId="0" fillId="0" borderId="26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1" fillId="0" borderId="33" xfId="0" quotePrefix="1" applyFont="1" applyBorder="1" applyAlignment="1">
      <alignment horizontal="left"/>
    </xf>
    <xf numFmtId="0" fontId="6" fillId="0" borderId="28" xfId="0" applyFont="1" applyBorder="1" applyAlignment="1">
      <alignment horizontal="center"/>
    </xf>
    <xf numFmtId="195" fontId="0" fillId="0" borderId="31" xfId="0" applyNumberFormat="1" applyBorder="1" applyAlignment="1">
      <alignment horizontal="center"/>
    </xf>
    <xf numFmtId="195" fontId="0" fillId="0" borderId="0" xfId="0" applyNumberFormat="1"/>
    <xf numFmtId="198" fontId="0" fillId="0" borderId="0" xfId="0" applyNumberFormat="1"/>
    <xf numFmtId="0" fontId="8" fillId="0" borderId="40" xfId="0" applyFont="1" applyBorder="1"/>
    <xf numFmtId="0" fontId="8" fillId="0" borderId="27" xfId="0" applyFont="1" applyBorder="1"/>
    <xf numFmtId="0" fontId="6" fillId="0" borderId="33" xfId="0" applyFont="1" applyBorder="1"/>
    <xf numFmtId="0" fontId="1" fillId="0" borderId="41" xfId="0" applyFont="1" applyBorder="1" applyAlignment="1">
      <alignment horizontal="center"/>
    </xf>
    <xf numFmtId="201" fontId="0" fillId="0" borderId="8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540570798670321E-2"/>
          <c:y val="6.277255307320434E-2"/>
          <c:w val="0.7054892437003738"/>
          <c:h val="0.76625806165221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HSLA_Sol!$B$14:$B$15</c:f>
              <c:strCache>
                <c:ptCount val="2"/>
                <c:pt idx="0">
                  <c:v>Precipitated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HSLA_Sol!$A$16:$A$26</c:f>
              <c:numCache>
                <c:formatCode>General</c:formatCode>
                <c:ptCount val="11"/>
                <c:pt idx="0">
                  <c:v>1300</c:v>
                </c:pt>
                <c:pt idx="1">
                  <c:v>1250</c:v>
                </c:pt>
                <c:pt idx="2">
                  <c:v>1200</c:v>
                </c:pt>
                <c:pt idx="3">
                  <c:v>1150</c:v>
                </c:pt>
                <c:pt idx="4">
                  <c:v>1100</c:v>
                </c:pt>
                <c:pt idx="5">
                  <c:v>1050</c:v>
                </c:pt>
                <c:pt idx="6">
                  <c:v>1000</c:v>
                </c:pt>
                <c:pt idx="7">
                  <c:v>950</c:v>
                </c:pt>
                <c:pt idx="8">
                  <c:v>900</c:v>
                </c:pt>
                <c:pt idx="9">
                  <c:v>850</c:v>
                </c:pt>
                <c:pt idx="10">
                  <c:v>800</c:v>
                </c:pt>
              </c:numCache>
            </c:numRef>
          </c:xVal>
          <c:yVal>
            <c:numRef>
              <c:f>HSLA_Sol!$B$16:$B$26</c:f>
              <c:numCache>
                <c:formatCode>0%</c:formatCode>
                <c:ptCount val="1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33-4ACE-876D-6152D435F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191551"/>
        <c:axId val="1"/>
      </c:scatterChart>
      <c:scatterChart>
        <c:scatterStyle val="lineMarker"/>
        <c:varyColors val="0"/>
        <c:ser>
          <c:idx val="1"/>
          <c:order val="1"/>
          <c:tx>
            <c:strRef>
              <c:f>HSLA_Sol!$G$14:$G$15</c:f>
              <c:strCache>
                <c:ptCount val="2"/>
                <c:pt idx="0">
                  <c:v>Nbsol</c:v>
                </c:pt>
                <c:pt idx="1">
                  <c:v>[%]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HSLA_Sol!$A$16:$A$26</c:f>
              <c:numCache>
                <c:formatCode>General</c:formatCode>
                <c:ptCount val="11"/>
                <c:pt idx="0">
                  <c:v>1300</c:v>
                </c:pt>
                <c:pt idx="1">
                  <c:v>1250</c:v>
                </c:pt>
                <c:pt idx="2">
                  <c:v>1200</c:v>
                </c:pt>
                <c:pt idx="3">
                  <c:v>1150</c:v>
                </c:pt>
                <c:pt idx="4">
                  <c:v>1100</c:v>
                </c:pt>
                <c:pt idx="5">
                  <c:v>1050</c:v>
                </c:pt>
                <c:pt idx="6">
                  <c:v>1000</c:v>
                </c:pt>
                <c:pt idx="7">
                  <c:v>950</c:v>
                </c:pt>
                <c:pt idx="8">
                  <c:v>900</c:v>
                </c:pt>
                <c:pt idx="9">
                  <c:v>850</c:v>
                </c:pt>
                <c:pt idx="10">
                  <c:v>800</c:v>
                </c:pt>
              </c:numCache>
            </c:numRef>
          </c:xVal>
          <c:yVal>
            <c:numRef>
              <c:f>HSLA_Sol!$G$16:$G$26</c:f>
              <c:numCache>
                <c:formatCode>0.0000</c:formatCode>
                <c:ptCount val="1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33-4ACE-876D-6152D435F610}"/>
            </c:ext>
          </c:extLst>
        </c:ser>
        <c:ser>
          <c:idx val="2"/>
          <c:order val="2"/>
          <c:tx>
            <c:strRef>
              <c:f>HSLA_Sol!$H$14:$H$15</c:f>
              <c:strCache>
                <c:ptCount val="2"/>
                <c:pt idx="0">
                  <c:v>Tisol</c:v>
                </c:pt>
                <c:pt idx="1">
                  <c:v>[%]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HSLA_Sol!$A$16:$A$26</c:f>
              <c:numCache>
                <c:formatCode>General</c:formatCode>
                <c:ptCount val="11"/>
                <c:pt idx="0">
                  <c:v>1300</c:v>
                </c:pt>
                <c:pt idx="1">
                  <c:v>1250</c:v>
                </c:pt>
                <c:pt idx="2">
                  <c:v>1200</c:v>
                </c:pt>
                <c:pt idx="3">
                  <c:v>1150</c:v>
                </c:pt>
                <c:pt idx="4">
                  <c:v>1100</c:v>
                </c:pt>
                <c:pt idx="5">
                  <c:v>1050</c:v>
                </c:pt>
                <c:pt idx="6">
                  <c:v>1000</c:v>
                </c:pt>
                <c:pt idx="7">
                  <c:v>950</c:v>
                </c:pt>
                <c:pt idx="8">
                  <c:v>900</c:v>
                </c:pt>
                <c:pt idx="9">
                  <c:v>850</c:v>
                </c:pt>
                <c:pt idx="10">
                  <c:v>800</c:v>
                </c:pt>
              </c:numCache>
            </c:numRef>
          </c:xVal>
          <c:yVal>
            <c:numRef>
              <c:f>HSLA_Sol!$H$16:$H$26</c:f>
              <c:numCache>
                <c:formatCode>0.0000</c:formatCode>
                <c:ptCount val="1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33-4ACE-876D-6152D435F610}"/>
            </c:ext>
          </c:extLst>
        </c:ser>
        <c:ser>
          <c:idx val="3"/>
          <c:order val="3"/>
          <c:tx>
            <c:strRef>
              <c:f>HSLA_Sol!$J$14:$J$15</c:f>
              <c:strCache>
                <c:ptCount val="2"/>
                <c:pt idx="0">
                  <c:v>Nsol</c:v>
                </c:pt>
                <c:pt idx="1">
                  <c:v>[%]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HSLA_Sol!$A$16:$A$26</c:f>
              <c:numCache>
                <c:formatCode>General</c:formatCode>
                <c:ptCount val="11"/>
                <c:pt idx="0">
                  <c:v>1300</c:v>
                </c:pt>
                <c:pt idx="1">
                  <c:v>1250</c:v>
                </c:pt>
                <c:pt idx="2">
                  <c:v>1200</c:v>
                </c:pt>
                <c:pt idx="3">
                  <c:v>1150</c:v>
                </c:pt>
                <c:pt idx="4">
                  <c:v>1100</c:v>
                </c:pt>
                <c:pt idx="5">
                  <c:v>1050</c:v>
                </c:pt>
                <c:pt idx="6">
                  <c:v>1000</c:v>
                </c:pt>
                <c:pt idx="7">
                  <c:v>950</c:v>
                </c:pt>
                <c:pt idx="8">
                  <c:v>900</c:v>
                </c:pt>
                <c:pt idx="9">
                  <c:v>850</c:v>
                </c:pt>
                <c:pt idx="10">
                  <c:v>800</c:v>
                </c:pt>
              </c:numCache>
            </c:numRef>
          </c:xVal>
          <c:yVal>
            <c:numRef>
              <c:f>HSLA_Sol!$J$16:$J$26</c:f>
              <c:numCache>
                <c:formatCode>0.0000</c:formatCode>
                <c:ptCount val="1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33-4ACE-876D-6152D435F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63191551"/>
        <c:scaling>
          <c:orientation val="maxMin"/>
          <c:max val="1300"/>
          <c:min val="800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[</a:t>
                </a:r>
                <a:r>
                  <a:rPr lang="en-GB" sz="800" b="0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o</a:t>
                </a:r>
                <a:r>
                  <a:rPr lang="en-GB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C]</a:t>
                </a:r>
              </a:p>
            </c:rich>
          </c:tx>
          <c:layout>
            <c:manualLayout>
              <c:xMode val="edge"/>
              <c:yMode val="edge"/>
              <c:x val="0.38978280714445651"/>
              <c:y val="0.915613446550532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0"/>
        <c:minorUnit val="50"/>
      </c:valAx>
      <c:valAx>
        <c:axId val="1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Precipitated Fraction [%]</a:t>
                </a:r>
              </a:p>
            </c:rich>
          </c:tx>
          <c:layout>
            <c:manualLayout>
              <c:xMode val="edge"/>
              <c:yMode val="edge"/>
              <c:x val="0.84129592311269574"/>
              <c:y val="0.2532547830884451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3191551"/>
        <c:crossesAt val="800"/>
        <c:crossBetween val="midCat"/>
        <c:minorUnit val="0.05"/>
      </c:valAx>
      <c:valAx>
        <c:axId val="3"/>
        <c:scaling>
          <c:orientation val="maxMin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0.0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Soluble Nb, Ti and N  [wt %]</a:t>
                </a:r>
              </a:p>
            </c:rich>
          </c:tx>
          <c:layout>
            <c:manualLayout>
              <c:xMode val="edge"/>
              <c:yMode val="edge"/>
              <c:x val="1.3227923319382008E-2"/>
              <c:y val="0.2337736459277955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5.0000000000000001E-3"/>
        <c:minorUnit val="2.5000000000000001E-3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334246197833242"/>
          <c:y val="0.29438162820537211"/>
          <c:w val="0.12610620231144182"/>
          <c:h val="0.218621650358401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Página &amp;P</c:oddFooter>
    </c:headerFooter>
    <c:pageMargins b="1" l="0.75" r="0.75" t="1" header="0" footer="0"/>
    <c:pageSetup paperSize="9" orientation="landscape" horizontalDpi="300" verticalDpi="300"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</xdr:colOff>
          <xdr:row>9</xdr:row>
          <xdr:rowOff>38100</xdr:rowOff>
        </xdr:from>
        <xdr:to>
          <xdr:col>1</xdr:col>
          <xdr:colOff>25400</xdr:colOff>
          <xdr:row>10</xdr:row>
          <xdr:rowOff>158750</xdr:rowOff>
        </xdr:to>
        <xdr:sp macro="" textlink="">
          <xdr:nvSpPr>
            <xdr:cNvPr id="1098" name="Button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2F64A7DE-F7AA-451E-BB3C-B4DB8542AA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Calculation</a:t>
              </a:r>
            </a:p>
          </xdr:txBody>
        </xdr:sp>
        <xdr:clientData fPrintsWithSheet="0"/>
      </xdr:twoCellAnchor>
    </mc:Choice>
    <mc:Fallback/>
  </mc:AlternateContent>
  <xdr:twoCellAnchor>
    <xdr:from>
      <xdr:col>1</xdr:col>
      <xdr:colOff>114300</xdr:colOff>
      <xdr:row>34</xdr:row>
      <xdr:rowOff>88900</xdr:rowOff>
    </xdr:from>
    <xdr:to>
      <xdr:col>10</xdr:col>
      <xdr:colOff>114300</xdr:colOff>
      <xdr:row>53</xdr:row>
      <xdr:rowOff>6350</xdr:rowOff>
    </xdr:to>
    <xdr:graphicFrame macro="">
      <xdr:nvGraphicFramePr>
        <xdr:cNvPr id="1101" name="Chart 77">
          <a:extLst>
            <a:ext uri="{FF2B5EF4-FFF2-40B4-BE49-F238E27FC236}">
              <a16:creationId xmlns:a16="http://schemas.microsoft.com/office/drawing/2014/main" id="{677037E1-BBAA-444F-87DB-BC73FFA848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</xdr:colOff>
          <xdr:row>9</xdr:row>
          <xdr:rowOff>38100</xdr:rowOff>
        </xdr:from>
        <xdr:to>
          <xdr:col>3</xdr:col>
          <xdr:colOff>25400</xdr:colOff>
          <xdr:row>11</xdr:row>
          <xdr:rowOff>0</xdr:rowOff>
        </xdr:to>
        <xdr:sp macro="" textlink="">
          <xdr:nvSpPr>
            <xdr:cNvPr id="1104" name="Button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C0A8882B-6523-4A85-8FB6-5F1FFF944C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Print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9</xdr:row>
          <xdr:rowOff>38100</xdr:rowOff>
        </xdr:from>
        <xdr:to>
          <xdr:col>7</xdr:col>
          <xdr:colOff>25400</xdr:colOff>
          <xdr:row>11</xdr:row>
          <xdr:rowOff>0</xdr:rowOff>
        </xdr:to>
        <xdr:sp macro="" textlink="">
          <xdr:nvSpPr>
            <xdr:cNvPr id="1105" name="Button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C3E9867C-FA39-46C6-A424-C150AD3935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25400</xdr:colOff>
          <xdr:row>9</xdr:row>
          <xdr:rowOff>38100</xdr:rowOff>
        </xdr:from>
        <xdr:to>
          <xdr:col>5</xdr:col>
          <xdr:colOff>25400</xdr:colOff>
          <xdr:row>11</xdr:row>
          <xdr:rowOff>0</xdr:rowOff>
        </xdr:to>
        <xdr:sp macro="" textlink="">
          <xdr:nvSpPr>
            <xdr:cNvPr id="1106" name="Button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F101D798-AFD5-469B-BF50-329919A118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9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View Graphic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0"/>
  <sheetViews>
    <sheetView showGridLines="0" tabSelected="1" workbookViewId="0"/>
  </sheetViews>
  <sheetFormatPr defaultColWidth="11.453125" defaultRowHeight="12.5" x14ac:dyDescent="0.25"/>
  <sheetData>
    <row r="1" spans="1:19" ht="26" thickTop="1" thickBot="1" x14ac:dyDescent="0.55000000000000004">
      <c r="A1" s="2" t="s">
        <v>0</v>
      </c>
      <c r="B1" s="3"/>
      <c r="C1" s="19"/>
      <c r="D1" s="19"/>
      <c r="E1" s="4"/>
      <c r="M1" s="25" t="s">
        <v>1</v>
      </c>
      <c r="N1" s="26"/>
      <c r="O1" s="27"/>
    </row>
    <row r="2" spans="1:19" ht="13" thickTop="1" x14ac:dyDescent="0.25"/>
    <row r="3" spans="1:19" ht="13" thickBot="1" x14ac:dyDescent="0.3"/>
    <row r="4" spans="1:19" ht="13.5" thickTop="1" thickBot="1" x14ac:dyDescent="0.3">
      <c r="M4" s="57" t="s">
        <v>2</v>
      </c>
      <c r="N4" s="58"/>
      <c r="O4" s="59"/>
    </row>
    <row r="5" spans="1:19" ht="14" thickTop="1" thickBot="1" x14ac:dyDescent="0.35">
      <c r="A5" s="14" t="s">
        <v>3</v>
      </c>
      <c r="B5" s="15"/>
      <c r="C5" s="84"/>
      <c r="D5" s="5"/>
      <c r="E5" s="6"/>
      <c r="F5" s="6"/>
      <c r="G5" s="7"/>
      <c r="I5" s="10"/>
      <c r="M5" s="52" t="s">
        <v>4</v>
      </c>
      <c r="N5" s="29" t="s">
        <v>5</v>
      </c>
      <c r="O5" s="53" t="s">
        <v>6</v>
      </c>
    </row>
    <row r="6" spans="1:19" ht="14" thickTop="1" thickBot="1" x14ac:dyDescent="0.35">
      <c r="A6" s="82" t="s">
        <v>7</v>
      </c>
      <c r="B6" s="83"/>
      <c r="C6" s="22" t="s">
        <v>8</v>
      </c>
      <c r="D6" s="23" t="s">
        <v>9</v>
      </c>
      <c r="E6" s="21" t="s">
        <v>10</v>
      </c>
      <c r="F6" s="23" t="s">
        <v>11</v>
      </c>
      <c r="G6" s="24" t="s">
        <v>12</v>
      </c>
      <c r="I6" s="86"/>
      <c r="M6" s="54">
        <v>5.8370939750867221E-4</v>
      </c>
      <c r="N6" s="55">
        <v>0.40112175153063695</v>
      </c>
      <c r="O6" s="56">
        <v>0.36199979128644388</v>
      </c>
    </row>
    <row r="7" spans="1:19" ht="13.5" thickTop="1" thickBot="1" x14ac:dyDescent="0.3">
      <c r="A7" s="28" t="s">
        <v>13</v>
      </c>
      <c r="B7" s="20"/>
      <c r="C7" s="34"/>
      <c r="D7" s="35"/>
      <c r="E7" s="33"/>
      <c r="F7" s="36"/>
      <c r="G7" s="37"/>
      <c r="I7" t="s">
        <v>14</v>
      </c>
    </row>
    <row r="8" spans="1:19" ht="13" thickTop="1" x14ac:dyDescent="0.25">
      <c r="D8" s="38"/>
      <c r="E8" s="38"/>
      <c r="F8" s="38"/>
      <c r="G8" s="38"/>
      <c r="I8" s="9"/>
      <c r="J8" s="8"/>
      <c r="M8" s="29" t="s">
        <v>15</v>
      </c>
      <c r="N8" s="46" t="s">
        <v>16</v>
      </c>
    </row>
    <row r="9" spans="1:19" x14ac:dyDescent="0.25">
      <c r="I9" s="9"/>
      <c r="M9" s="29">
        <f>100-C7-D7-E7-F7-G7</f>
        <v>100</v>
      </c>
      <c r="N9" s="29">
        <f>M9/55.85+D7/54.93+E7/92.91+F7/47.9+C7/12.01+G7/14.01</f>
        <v>1.7905102954341987</v>
      </c>
    </row>
    <row r="10" spans="1:19" ht="13.5" customHeight="1" x14ac:dyDescent="0.25">
      <c r="I10" s="9"/>
    </row>
    <row r="11" spans="1:19" x14ac:dyDescent="0.25">
      <c r="G11" s="1"/>
      <c r="M11" s="29" t="s">
        <v>17</v>
      </c>
      <c r="N11" s="30" t="s">
        <v>18</v>
      </c>
      <c r="O11" s="30" t="s">
        <v>19</v>
      </c>
      <c r="P11" s="30" t="s">
        <v>20</v>
      </c>
      <c r="R11" s="78" t="s">
        <v>21</v>
      </c>
    </row>
    <row r="12" spans="1:19" x14ac:dyDescent="0.25">
      <c r="M12" s="31">
        <f>C7/12.01/N9</f>
        <v>0</v>
      </c>
      <c r="N12" s="32">
        <f>G7/14.01/N9</f>
        <v>0</v>
      </c>
      <c r="O12" s="32">
        <f>E7/92.91/N9</f>
        <v>0</v>
      </c>
      <c r="P12" s="32">
        <f>F7/47.9/N9</f>
        <v>0</v>
      </c>
      <c r="R12" s="29">
        <f>2*(O12+P12)</f>
        <v>0</v>
      </c>
    </row>
    <row r="13" spans="1:19" ht="13" thickBot="1" x14ac:dyDescent="0.3">
      <c r="R13" s="31">
        <f>2*(M12+N12)</f>
        <v>0</v>
      </c>
    </row>
    <row r="14" spans="1:19" ht="17" thickTop="1" thickBot="1" x14ac:dyDescent="0.45">
      <c r="A14" s="17" t="s">
        <v>22</v>
      </c>
      <c r="B14" s="11" t="s">
        <v>23</v>
      </c>
      <c r="C14" s="77" t="s">
        <v>24</v>
      </c>
      <c r="D14" s="43"/>
      <c r="E14" s="44"/>
      <c r="F14" s="42"/>
      <c r="G14" s="45" t="s">
        <v>25</v>
      </c>
      <c r="H14" s="45" t="s">
        <v>26</v>
      </c>
      <c r="I14" s="45" t="s">
        <v>27</v>
      </c>
      <c r="J14" s="45" t="s">
        <v>28</v>
      </c>
      <c r="M14" s="29" t="s">
        <v>29</v>
      </c>
      <c r="N14" s="61" t="s">
        <v>30</v>
      </c>
      <c r="O14" s="60" t="s">
        <v>31</v>
      </c>
      <c r="P14" s="29" t="s">
        <v>32</v>
      </c>
      <c r="R14" s="31">
        <f>MIN(R12,R13)</f>
        <v>0</v>
      </c>
    </row>
    <row r="15" spans="1:19" ht="14" thickTop="1" thickBot="1" x14ac:dyDescent="0.35">
      <c r="A15" s="41" t="s">
        <v>33</v>
      </c>
      <c r="B15" s="12"/>
      <c r="C15" s="13" t="s">
        <v>5</v>
      </c>
      <c r="D15" s="18" t="s">
        <v>34</v>
      </c>
      <c r="E15" s="18" t="s">
        <v>6</v>
      </c>
      <c r="F15" s="18" t="s">
        <v>35</v>
      </c>
      <c r="G15" s="18" t="s">
        <v>36</v>
      </c>
      <c r="H15" s="18" t="s">
        <v>36</v>
      </c>
      <c r="I15" s="85" t="s">
        <v>36</v>
      </c>
      <c r="J15" s="13" t="s">
        <v>36</v>
      </c>
      <c r="M15" s="29">
        <f>2*(O12+P12)</f>
        <v>0</v>
      </c>
      <c r="N15" s="29">
        <v>800</v>
      </c>
      <c r="O15" s="29">
        <f>N15+273</f>
        <v>1073</v>
      </c>
      <c r="P15" s="29">
        <f>-4260/4.18/1.986/O15</f>
        <v>-0.47824930899373963</v>
      </c>
    </row>
    <row r="16" spans="1:19" ht="13" thickTop="1" x14ac:dyDescent="0.25">
      <c r="A16" s="64">
        <v>1300</v>
      </c>
      <c r="B16" s="65"/>
      <c r="C16" s="66"/>
      <c r="D16" s="66"/>
      <c r="E16" s="66"/>
      <c r="F16" s="66"/>
      <c r="G16" s="67"/>
      <c r="H16" s="67"/>
      <c r="I16" s="67"/>
      <c r="J16" s="68"/>
      <c r="K16" s="80" t="s">
        <v>14</v>
      </c>
      <c r="L16" t="s">
        <v>14</v>
      </c>
      <c r="R16" s="39" t="s">
        <v>37</v>
      </c>
      <c r="S16" s="40"/>
    </row>
    <row r="17" spans="1:19" x14ac:dyDescent="0.25">
      <c r="A17" s="69">
        <v>1250</v>
      </c>
      <c r="B17" s="62"/>
      <c r="C17" s="47"/>
      <c r="D17" s="47"/>
      <c r="E17" s="47"/>
      <c r="F17" s="47"/>
      <c r="G17" s="49"/>
      <c r="H17" s="49"/>
      <c r="I17" s="49"/>
      <c r="J17" s="70"/>
      <c r="M17" s="29" t="s">
        <v>38</v>
      </c>
      <c r="N17" s="29" t="s">
        <v>39</v>
      </c>
      <c r="O17" s="29" t="s">
        <v>40</v>
      </c>
      <c r="P17" s="29" t="s">
        <v>41</v>
      </c>
      <c r="R17" s="31" t="s">
        <v>10</v>
      </c>
      <c r="S17" s="32">
        <f>(O12-N6/2*M6)/M21</f>
        <v>-1.1713764229939787E-4</v>
      </c>
    </row>
    <row r="18" spans="1:19" x14ac:dyDescent="0.25">
      <c r="A18" s="69">
        <v>1200</v>
      </c>
      <c r="B18" s="62"/>
      <c r="C18" s="47"/>
      <c r="D18" s="47"/>
      <c r="E18" s="47"/>
      <c r="F18" s="47"/>
      <c r="G18" s="49"/>
      <c r="H18" s="49"/>
      <c r="I18" s="49"/>
      <c r="J18" s="70"/>
      <c r="M18" s="29" t="e">
        <f>(O12*M12)/(E7*C7)*(10^((-6770/O15)+2.26))</f>
        <v>#DIV/0!</v>
      </c>
      <c r="N18" s="29" t="e">
        <f>(O12*N12)/(E7*G7)*(10^((-10230/O15)+4.04))</f>
        <v>#DIV/0!</v>
      </c>
      <c r="O18" s="29" t="e">
        <f>(P12*M12)/(F7*C7)*(10^((-7000/O15)+2.75))</f>
        <v>#DIV/0!</v>
      </c>
      <c r="P18" s="29" t="e">
        <f>(P12*N12)/(F7*G7)*(10^((-8000/O15)+0.322))</f>
        <v>#DIV/0!</v>
      </c>
      <c r="R18" s="31" t="s">
        <v>11</v>
      </c>
      <c r="S18" s="32">
        <f>(P12-N21/2*M6)/M21</f>
        <v>-1.748875142831444E-4</v>
      </c>
    </row>
    <row r="19" spans="1:19" x14ac:dyDescent="0.25">
      <c r="A19" s="69">
        <v>1150</v>
      </c>
      <c r="B19" s="62"/>
      <c r="C19" s="47"/>
      <c r="D19" s="47"/>
      <c r="E19" s="47"/>
      <c r="F19" s="47"/>
      <c r="G19" s="49"/>
      <c r="H19" s="49"/>
      <c r="I19" s="49"/>
      <c r="J19" s="70"/>
      <c r="Q19" t="s">
        <v>14</v>
      </c>
      <c r="R19" s="31" t="s">
        <v>8</v>
      </c>
      <c r="S19" s="32">
        <f>(M12-O6/2*M6)/M21</f>
        <v>-1.057130457332714E-4</v>
      </c>
    </row>
    <row r="20" spans="1:19" x14ac:dyDescent="0.25">
      <c r="A20" s="71">
        <v>1100</v>
      </c>
      <c r="B20" s="74"/>
      <c r="C20" s="76"/>
      <c r="D20" s="76"/>
      <c r="E20" s="76"/>
      <c r="F20" s="76"/>
      <c r="G20" s="75"/>
      <c r="H20" s="75"/>
      <c r="I20" s="75"/>
      <c r="J20" s="79"/>
      <c r="M20" s="29" t="s">
        <v>42</v>
      </c>
      <c r="N20" s="29" t="s">
        <v>43</v>
      </c>
      <c r="O20" s="29" t="s">
        <v>44</v>
      </c>
      <c r="P20" t="s">
        <v>14</v>
      </c>
      <c r="R20" s="31" t="s">
        <v>45</v>
      </c>
      <c r="S20" s="32">
        <f>(N12-O21/2*M6)/M21</f>
        <v>-1.8631211084927087E-4</v>
      </c>
    </row>
    <row r="21" spans="1:19" x14ac:dyDescent="0.25">
      <c r="A21" s="71">
        <v>1050</v>
      </c>
      <c r="B21" s="74"/>
      <c r="C21" s="76"/>
      <c r="D21" s="76"/>
      <c r="E21" s="76"/>
      <c r="F21" s="76"/>
      <c r="G21" s="75"/>
      <c r="H21" s="75"/>
      <c r="I21" s="75"/>
      <c r="J21" s="79"/>
      <c r="M21" s="51">
        <f t="shared" ref="M21:O21" si="0">1-M6</f>
        <v>0.99941629060249138</v>
      </c>
      <c r="N21" s="51">
        <f t="shared" si="0"/>
        <v>0.59887824846936311</v>
      </c>
      <c r="O21" s="51">
        <f t="shared" si="0"/>
        <v>0.63800020871355612</v>
      </c>
    </row>
    <row r="22" spans="1:19" x14ac:dyDescent="0.25">
      <c r="A22" s="69">
        <v>1000</v>
      </c>
      <c r="B22" s="62"/>
      <c r="C22" s="47"/>
      <c r="D22" s="47"/>
      <c r="E22" s="47"/>
      <c r="F22" s="47"/>
      <c r="G22" s="49"/>
      <c r="H22" s="49"/>
      <c r="I22" s="49"/>
      <c r="J22" s="70"/>
    </row>
    <row r="23" spans="1:19" x14ac:dyDescent="0.25">
      <c r="A23" s="69">
        <v>950</v>
      </c>
      <c r="B23" s="62"/>
      <c r="C23" s="47"/>
      <c r="D23" s="47"/>
      <c r="E23" s="47"/>
      <c r="F23" s="47"/>
      <c r="G23" s="49"/>
      <c r="H23" s="49"/>
      <c r="I23" s="49"/>
      <c r="J23" s="70"/>
      <c r="M23" s="29" t="s">
        <v>46</v>
      </c>
      <c r="N23" s="29" t="s">
        <v>47</v>
      </c>
      <c r="O23" s="29" t="s">
        <v>48</v>
      </c>
      <c r="P23" s="29" t="s">
        <v>49</v>
      </c>
      <c r="Q23" s="29" t="s">
        <v>50</v>
      </c>
      <c r="S23" s="29" t="s">
        <v>51</v>
      </c>
    </row>
    <row r="24" spans="1:19" x14ac:dyDescent="0.25">
      <c r="A24" s="69">
        <v>900</v>
      </c>
      <c r="B24" s="62"/>
      <c r="C24" s="47"/>
      <c r="D24" s="47"/>
      <c r="E24" s="47"/>
      <c r="F24" s="47"/>
      <c r="G24" s="49"/>
      <c r="H24" s="49"/>
      <c r="I24" s="49"/>
      <c r="J24" s="70"/>
      <c r="M24" s="29" t="e">
        <f>N6*LN(ABS(N6*O6*M18/S17/S19))+N21*LN(ABS(O6*N21*O18/S18/S19))+P15*O21^2</f>
        <v>#DIV/0!</v>
      </c>
      <c r="N24" s="29" t="e">
        <f>O6*LN(ABS(N6*O6*M18/S17/S19))+O21*LN(ABS(N6*O21*N18/S17/S20))+P15*O6*O21</f>
        <v>#DIV/0!</v>
      </c>
      <c r="O24" s="29" t="e">
        <f>N6*LN(ABS(N6*O21*N18/S17/S20))+N21*LN(ABS(N21*O21*P18/S18/S20))+P15*O6^2</f>
        <v>#DIV/0!</v>
      </c>
      <c r="P24" s="29" t="e">
        <f>O6*LN(ABS(O6*N21*O18/S18/S19))+O21*LN(ABS(N21*O21*P18/S18/S20))+P15*O6*O21</f>
        <v>#DIV/0!</v>
      </c>
      <c r="Q24" s="29" t="e">
        <f>M24*M24+N24*N24+O24*O24+P24*P24</f>
        <v>#DIV/0!</v>
      </c>
      <c r="S24" s="31">
        <v>0</v>
      </c>
    </row>
    <row r="25" spans="1:19" x14ac:dyDescent="0.25">
      <c r="A25" s="69">
        <v>850</v>
      </c>
      <c r="B25" s="62"/>
      <c r="C25" s="47"/>
      <c r="D25" s="47"/>
      <c r="E25" s="47"/>
      <c r="F25" s="47"/>
      <c r="G25" s="49"/>
      <c r="H25" s="49"/>
      <c r="I25" s="49"/>
      <c r="J25" s="70"/>
      <c r="M25" t="s">
        <v>14</v>
      </c>
      <c r="S25" s="29">
        <v>16</v>
      </c>
    </row>
    <row r="26" spans="1:19" ht="13" thickBot="1" x14ac:dyDescent="0.3">
      <c r="A26" s="72">
        <v>800</v>
      </c>
      <c r="B26" s="63"/>
      <c r="C26" s="48"/>
      <c r="D26" s="48"/>
      <c r="E26" s="48"/>
      <c r="F26" s="48"/>
      <c r="G26" s="50"/>
      <c r="H26" s="50"/>
      <c r="I26" s="50"/>
      <c r="J26" s="73"/>
      <c r="K26" s="81" t="s">
        <v>14</v>
      </c>
    </row>
    <row r="27" spans="1:19" ht="13" thickTop="1" x14ac:dyDescent="0.25"/>
    <row r="30" spans="1:19" s="16" customFormat="1" ht="13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</sheetData>
  <scenarios current="0" show="0">
    <scenario name="Best Precision" locked="1" count="1" user="Antonio Augusto Gorni" comment="This precision of Volumetric Fraction is best, but the_x000a_number of fields to be counted may be excessive due_x000a_to the statistical variation of the microstructure._x000a_">
      <inputCells r="G18" val="1" numFmtId="1"/>
    </scenario>
    <scenario name="Optimum Case" locked="1" count="1" user="Antonio Augusto Gorni" comment="In this case precision is not so high, but it is generally_x000a_adequate. The number of fields to be counted lowers_x000a_significantly.">
      <inputCells r="G18" val="5" numFmtId="1"/>
    </scenario>
    <scenario name="Non-recommended case" locked="1" count="1" user="Antonio Augusto Gorni" comment="Precision is not high, and this can affect conclusions_x000a_to be drawn from this data. However, the number of_x000a_fields to be counted is low.">
      <inputCells r="G18" val="10" numFmtId="1"/>
    </scenario>
  </scenarios>
  <pageMargins left="0.75" right="0.75" top="1" bottom="1" header="0.49212598499999999" footer="0.49212598499999999"/>
  <pageSetup paperSize="9" orientation="landscape" horizontalDpi="300" verticalDpi="300" r:id="rId1"/>
  <headerFooter alignWithMargins="0">
    <oddHeader>&amp;A</oddHeader>
    <oddFooter>Página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8" r:id="rId4" name="Button 74">
              <controlPr defaultSize="0" print="0" autoFill="0" autoLine="0" autoPict="0" macro="[0]!SolCalc.SolCalc">
                <anchor moveWithCells="1" sizeWithCells="1">
                  <from>
                    <xdr:col>0</xdr:col>
                    <xdr:colOff>25400</xdr:colOff>
                    <xdr:row>9</xdr:row>
                    <xdr:rowOff>38100</xdr:rowOff>
                  </from>
                  <to>
                    <xdr:col>1</xdr:col>
                    <xdr:colOff>25400</xdr:colOff>
                    <xdr:row>10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5" name="Button 80">
              <controlPr defaultSize="0" print="0" autoFill="0" autoLine="0" autoPict="0" macro="[0]!hardCopy">
                <anchor moveWithCells="1" sizeWithCells="1">
                  <from>
                    <xdr:col>2</xdr:col>
                    <xdr:colOff>25400</xdr:colOff>
                    <xdr:row>9</xdr:row>
                    <xdr:rowOff>38100</xdr:rowOff>
                  </from>
                  <to>
                    <xdr:col>3</xdr:col>
                    <xdr:colOff>25400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6" name="Button 81">
              <controlPr defaultSize="0" print="0" autoFill="0" autoLine="0" autoPict="0" macro="[0]!_xludf.clear">
                <anchor moveWithCells="1" sizeWithCells="1">
                  <from>
                    <xdr:col>6</xdr:col>
                    <xdr:colOff>25400</xdr:colOff>
                    <xdr:row>9</xdr:row>
                    <xdr:rowOff>38100</xdr:rowOff>
                  </from>
                  <to>
                    <xdr:col>7</xdr:col>
                    <xdr:colOff>25400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" name="Button 82">
              <controlPr defaultSize="0" print="0" autoFill="0" autoLine="0" autoPict="0" macro="[0]!view">
                <anchor moveWithCells="1" sizeWithCells="1">
                  <from>
                    <xdr:col>4</xdr:col>
                    <xdr:colOff>25400</xdr:colOff>
                    <xdr:row>9</xdr:row>
                    <xdr:rowOff>38100</xdr:rowOff>
                  </from>
                  <to>
                    <xdr:col>5</xdr:col>
                    <xdr:colOff>25400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HSLA_Sol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Volumetric Fraction</dc:title>
  <dc:subject/>
  <dc:creator>Gerson Stumpf</dc:creator>
  <cp:keywords/>
  <dc:description/>
  <cp:lastModifiedBy>Carina Negreanu</cp:lastModifiedBy>
  <dcterms:created xsi:type="dcterms:W3CDTF">1997-02-05T02:29:52Z</dcterms:created>
  <dcterms:modified xsi:type="dcterms:W3CDTF">2020-01-27T11:54:33Z</dcterms:modified>
</cp:coreProperties>
</file>