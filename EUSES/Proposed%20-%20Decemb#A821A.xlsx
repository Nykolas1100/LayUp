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F4E3C3D-A45C-4CF8-98BC-87E43232CE17}" xr6:coauthVersionLast="45" xr6:coauthVersionMax="45" xr10:uidLastSave="{00000000-0000-0000-0000-000000000000}"/>
  <bookViews>
    <workbookView xWindow="2280" yWindow="2280" windowWidth="28800" windowHeight="15460" tabRatio="150"/>
  </bookViews>
  <sheets>
    <sheet name="MPR_BudgetByCollege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B36" i="1"/>
  <c r="B41" i="1"/>
  <c r="B49" i="1"/>
  <c r="B94" i="1"/>
  <c r="B104" i="1"/>
  <c r="B116" i="1"/>
  <c r="B125" i="1"/>
  <c r="B130" i="1"/>
  <c r="B134" i="1"/>
  <c r="B154" i="1"/>
  <c r="B156" i="1" s="1"/>
</calcChain>
</file>

<file path=xl/sharedStrings.xml><?xml version="1.0" encoding="utf-8"?>
<sst xmlns="http://schemas.openxmlformats.org/spreadsheetml/2006/main" count="509" uniqueCount="245">
  <si>
    <t>Title</t>
  </si>
  <si>
    <t>Advanced Materials Processing &amp; Analysis Center (AMPAC)</t>
  </si>
  <si>
    <t>Ceramic Based Ultra-High Temperature MEMS Sensors for Temperature/Heat Flux Measurement</t>
  </si>
  <si>
    <t>Co-PI</t>
  </si>
  <si>
    <t xml:space="preserve">An, Linan </t>
  </si>
  <si>
    <t>Siemens Westinghouse Power Corp</t>
  </si>
  <si>
    <t>Liquid Crystal Imaging Technique for Studying Monolayers and Biological Cells</t>
  </si>
  <si>
    <t>PI</t>
  </si>
  <si>
    <t xml:space="preserve">Fang, Jiyu </t>
  </si>
  <si>
    <t>National Science Foundation</t>
  </si>
  <si>
    <t>Theoretical Modeling of the Ceria-Water Interface</t>
  </si>
  <si>
    <t>Schelling, Patrick K.</t>
  </si>
  <si>
    <t>Petroleum Research Fund</t>
  </si>
  <si>
    <t>Application of Nanotechnology for High Temperature Application Focussing on Joining and Repair -A Feasibility Study</t>
  </si>
  <si>
    <t xml:space="preserve">Seal, Sudipta </t>
  </si>
  <si>
    <t>SBIR &amp; STTR Phase 1: Oxidation Protection Via Nanocrystalline Coatings</t>
  </si>
  <si>
    <t>Material Interface, Inc.</t>
  </si>
  <si>
    <t>Templated Nanostructures for Advanced Catalytic Support: An Experiment and Simulation Study</t>
  </si>
  <si>
    <t>Arts &amp; Sciences (A&amp;S)</t>
  </si>
  <si>
    <t>Specialists, Support Staff, and Kitchens: Continued Investigation of Small Structures in Caracol's Epicenter</t>
  </si>
  <si>
    <t>Chase, Arlen F.</t>
  </si>
  <si>
    <t>Ahau Foundation</t>
  </si>
  <si>
    <t>Chase, Diane Z.</t>
  </si>
  <si>
    <t>Heavy Metal Remediation Through the Use of Emulsified Zero-Valent Iron</t>
  </si>
  <si>
    <t>CO-PI</t>
  </si>
  <si>
    <t>Clausen, III, Christian A.</t>
  </si>
  <si>
    <t>NASA Kennedy Space Center</t>
  </si>
  <si>
    <t>The Use of an Activted Zero-Valent Metal Emulsion to Remove and Degrade PCBs from Painted Surfaces</t>
  </si>
  <si>
    <t>Cultural Byway on the Information Highway II</t>
  </si>
  <si>
    <t>Congdon, Kristin G.</t>
  </si>
  <si>
    <t>FL Department of State</t>
  </si>
  <si>
    <t>Friend, Craig T.</t>
  </si>
  <si>
    <t>US - Danish faculty Exchange Agreement</t>
  </si>
  <si>
    <t>Gallagher, Shaun A.</t>
  </si>
  <si>
    <t>Spalding Trust</t>
  </si>
  <si>
    <t>Geiger, Cherie L.</t>
  </si>
  <si>
    <t>Investigation of Metals, Alloys, Lithium Alanate, and Sodium Borohydride for Hydrogen Storage</t>
  </si>
  <si>
    <t>Hampton, Michael D.</t>
  </si>
  <si>
    <t>US Department of Energy-NETL</t>
  </si>
  <si>
    <t>Partnership for Access and Quality in Science and Mathematics</t>
  </si>
  <si>
    <t>Mohapatra, Ram N.</t>
  </si>
  <si>
    <t>Design of highly selective heterogeneous catalysts imitating nature</t>
  </si>
  <si>
    <t xml:space="preserve">Roldan Cuenya, Beatriz </t>
  </si>
  <si>
    <t>General Support for UCF's Theatre Department Performance Season 2003-2004</t>
  </si>
  <si>
    <t>Rusnock, Joseph S.</t>
  </si>
  <si>
    <t>Saul, Jeffery M.</t>
  </si>
  <si>
    <t>Testing Complex Liquids with Raman Spectroscopy</t>
  </si>
  <si>
    <t>Schulte, Alfons F.</t>
  </si>
  <si>
    <t>Integritive Bio Health Management, Inc.</t>
  </si>
  <si>
    <t xml:space="preserve">Teicher, Stephen </t>
  </si>
  <si>
    <t>Application of XP-1 Urethane Polymer to Tripwire Sonar (IPA 2003-2004)</t>
  </si>
  <si>
    <t>Ting, Robert Y.</t>
  </si>
  <si>
    <t>Naval Undersea Warfare Center</t>
  </si>
  <si>
    <t>Cause and Effect Processes Hindering Coral Reef Recovery in the Florida Keys: Effects of Macroalgae and Cyanobacteria on the Recruitment and Survival</t>
  </si>
  <si>
    <t>Walters, Linda J.</t>
  </si>
  <si>
    <t>US Geological Survey</t>
  </si>
  <si>
    <t>Killer Algae: Reducing the Risk of a Tampa Bay Invasion of Caulerpa taxifolia - Mediterranean Strain through Research, Outreach and Education</t>
  </si>
  <si>
    <t>National Fish &amp; Wildlife Foundation</t>
  </si>
  <si>
    <t>CRM Effort Through Data Mining to Improve Customer Retention</t>
  </si>
  <si>
    <t>Wang, Chung-ching M.</t>
  </si>
  <si>
    <t>Sodexho America, LLC</t>
  </si>
  <si>
    <t>Embedded Systems with Competitive Hardware Components: Modeling, Control and Performance Guarantee of Adaptive Reconfiguration</t>
  </si>
  <si>
    <t xml:space="preserve">Yong, Jiongmin </t>
  </si>
  <si>
    <t xml:space="preserve">Zhang, Ying </t>
  </si>
  <si>
    <t>Business Administration (BA)</t>
  </si>
  <si>
    <t>Kauffman Entrepreneurship Program</t>
  </si>
  <si>
    <t>Ford, Cameron M</t>
  </si>
  <si>
    <t>Ewing Marion Kauffman Foundation</t>
  </si>
  <si>
    <t>The Economic Importance of Lynx to Central Florida  - 2003</t>
  </si>
  <si>
    <t>McHone, Warren W.</t>
  </si>
  <si>
    <t>Lynx</t>
  </si>
  <si>
    <t>Education (ED)</t>
  </si>
  <si>
    <t>Genes Facilitating Muscular Strength Recovery</t>
  </si>
  <si>
    <t>Angelopoulos, Theodore J.</t>
  </si>
  <si>
    <t>University of Connecticut</t>
  </si>
  <si>
    <t>Dixon, Juli K.</t>
  </si>
  <si>
    <t>Education for the Hydrogen Economy</t>
  </si>
  <si>
    <t>Hynes, Michael C.</t>
  </si>
  <si>
    <t>US Department of Energy</t>
  </si>
  <si>
    <t>Florida History through Art</t>
  </si>
  <si>
    <t>Palmer, Mary J.</t>
  </si>
  <si>
    <t>FL Department of Education</t>
  </si>
  <si>
    <t>Engineering &amp; Computer Science (COECS)</t>
  </si>
  <si>
    <t>Support SWI in System Design, Analysis, Fabrication, and Test</t>
  </si>
  <si>
    <t>Burroughs, Daniel J.</t>
  </si>
  <si>
    <t>Sensors World, Inc.</t>
  </si>
  <si>
    <t>Real Time Integration of Sensed Information for Rapid and Reliable Structural Health Monitoring</t>
  </si>
  <si>
    <t xml:space="preserve">Catbas, Fikret Necati </t>
  </si>
  <si>
    <t>Novel Brush Plating for In Situ Fabrication of Metallic nanocomposite</t>
  </si>
  <si>
    <t xml:space="preserve">Chen, Quanfang </t>
  </si>
  <si>
    <t>Chew, Larry P.</t>
  </si>
  <si>
    <t>Design and Operational Issues Related to the Co-disposal of Sludges and Biosolids in Class I Landfil</t>
  </si>
  <si>
    <t>Chopra, Manoj B.</t>
  </si>
  <si>
    <t>University of Florida-FCSHWM</t>
  </si>
  <si>
    <t>Cooling Systems for High Power Electronocs in Aircraft and Spacecraft</t>
  </si>
  <si>
    <t>Chow, Louis C.</t>
  </si>
  <si>
    <t>Rini Technologies, Inc.</t>
  </si>
  <si>
    <t>NASA STTR Phase I: A compact, Light-weight, Reliable and Highly Efficient Heat Pump for Space Applications</t>
  </si>
  <si>
    <t>Development od FDOT CD Screening Model with MOBILE 6</t>
  </si>
  <si>
    <t>Cooper, Charles D.</t>
  </si>
  <si>
    <t>FL Department of Transportation</t>
  </si>
  <si>
    <t>A Context Based Architecture for Advanced Automation of Human Performed Tasks</t>
  </si>
  <si>
    <t>DeMara, Ronald F.</t>
  </si>
  <si>
    <t>DARPA</t>
  </si>
  <si>
    <t xml:space="preserve">Ducharme, Alfred </t>
  </si>
  <si>
    <t>Face Recognition Using Relational 3D Biometrics</t>
  </si>
  <si>
    <t xml:space="preserve">Foroosh, Hassan </t>
  </si>
  <si>
    <t>Gonzalez, Avelino J.</t>
  </si>
  <si>
    <t>Learning Tactical Behavior from Observation of Human Performance</t>
  </si>
  <si>
    <t>Gonzalez, Fernando G.</t>
  </si>
  <si>
    <t>Tides and Waves for the National Weather Service River Forecast System</t>
  </si>
  <si>
    <t>Hagen, Scott C.</t>
  </si>
  <si>
    <t>National Oceanic &amp; Atmosph Adm(NOAA)</t>
  </si>
  <si>
    <t>Center for Rapid Prototyping and Tooling (C.RP&amp;RT)</t>
  </si>
  <si>
    <t>Hosni, Yasser A.</t>
  </si>
  <si>
    <t>National Collegiate Inventors and Innovators Allia</t>
  </si>
  <si>
    <t>A LEGO(TM) MindStorms Based Laboratory for Teaching Robotica</t>
  </si>
  <si>
    <t>Johnson, Roger W.</t>
  </si>
  <si>
    <t>Multi-department Intergrated/Interdisciplinary Design Using SCALE-UP Model</t>
  </si>
  <si>
    <t>Kapat, Jayanta S.</t>
  </si>
  <si>
    <t xml:space="preserve">Kocak, Taskin </t>
  </si>
  <si>
    <t xml:space="preserve">Kumar, Ranganathan </t>
  </si>
  <si>
    <t xml:space="preserve">Leonessa, Alexander </t>
  </si>
  <si>
    <t>Electrostatic Discharge Protection for Multi-Technology System on a Chip</t>
  </si>
  <si>
    <t>Liou, Juin J.</t>
  </si>
  <si>
    <t>National Institute of Standards &amp; Technology</t>
  </si>
  <si>
    <t>High Burn Rate Solid Propellant Research</t>
  </si>
  <si>
    <t>Petersen, Eric L.</t>
  </si>
  <si>
    <t>Space Launch Corporation</t>
  </si>
  <si>
    <t>Infusion of Laser Optics, and Spectroscopy Into and Undergraduate Mechanical and Areospace Engineering Laboratory Program</t>
  </si>
  <si>
    <t>Analytically-Designed High-Performance Pliable and Cooperative Control for Autonomous Vehicles Operating in a Dynamically-Changing and Uncertain Envir</t>
  </si>
  <si>
    <t xml:space="preserve">Qu, Zhihua </t>
  </si>
  <si>
    <t>Development of Plans and a Rationale for Increasing Cycling's Modal Share in the Orlando Metropolita</t>
  </si>
  <si>
    <t>Radwan, Ahmed E.</t>
  </si>
  <si>
    <t>MetroOrlando Economic Development Commission</t>
  </si>
  <si>
    <t xml:space="preserve">Intersection Sight Distance for Unprotected Left-Turn Traffic </t>
  </si>
  <si>
    <t>Biohydrogen Production from Municipal Solid Waste</t>
  </si>
  <si>
    <t>Reinhart, Debra R.</t>
  </si>
  <si>
    <t>Long-Term Treatment and Disposal of Landfill Leachate</t>
  </si>
  <si>
    <t>Redundant Optical Character Recognition</t>
  </si>
  <si>
    <t>Richie, Samuel M.</t>
  </si>
  <si>
    <t>DocuLex, Inc.</t>
  </si>
  <si>
    <t>Schiavone, Guy A.</t>
  </si>
  <si>
    <t>Action Sketch: A Novel Action Representation</t>
  </si>
  <si>
    <t>Shah, Mubarak A.</t>
  </si>
  <si>
    <t>Stability Analysis of Carbon Nanotubes via Continuum Models</t>
  </si>
  <si>
    <t xml:space="preserve">Wang, Quan </t>
  </si>
  <si>
    <t>Weeks, Arthur R.</t>
  </si>
  <si>
    <t>Foveated Wide Field-of-View Imaging Sensor for Missile Warning/Tracking Using Adaptive Optics</t>
  </si>
  <si>
    <t>Wu, Thomas X.</t>
  </si>
  <si>
    <t>Robust 3D EM Modeling of Packages and Modules</t>
  </si>
  <si>
    <t>Sawtek, Inc.</t>
  </si>
  <si>
    <t xml:space="preserve">Yuan, Jiann-shiun </t>
  </si>
  <si>
    <t>Florida Solar Energy Center (FSEC)</t>
  </si>
  <si>
    <t>Technical Advisory Committee on Software Certification Protocols for TECC and HERS Performance Paths</t>
  </si>
  <si>
    <t>Fairey, III., Philip W.</t>
  </si>
  <si>
    <t>Residential Energy Service Network, Inc.</t>
  </si>
  <si>
    <t>Utility Report Card Database</t>
  </si>
  <si>
    <t xml:space="preserve">Kalaghchy, Safvat </t>
  </si>
  <si>
    <t>FL Department of Community Affairs-FEO</t>
  </si>
  <si>
    <t>Martin, Barbara L.</t>
  </si>
  <si>
    <t>Parker, Danny S.</t>
  </si>
  <si>
    <t>Slattery, Darlene K.</t>
  </si>
  <si>
    <t>Hydrogen Technology Outreach As Demonstrated at a State Park Wildlife Exhibit</t>
  </si>
  <si>
    <t>Szaro, Jennifer M.</t>
  </si>
  <si>
    <t>Progress Energy Delivery Services</t>
  </si>
  <si>
    <t>Vieira, Robin K.</t>
  </si>
  <si>
    <t>Health &amp; Public Affairs (H&amp;PA)</t>
  </si>
  <si>
    <t>Health Masters Club Obesity Prevention and Education Program</t>
  </si>
  <si>
    <t>Green, Cheryl E.</t>
  </si>
  <si>
    <t>Boys &amp; Girls Clubs</t>
  </si>
  <si>
    <t>Impacting Domestic Violence Policy in Russia: Curriculum for the Logograd Academy of the MIA</t>
  </si>
  <si>
    <t>Maiden, Robert P</t>
  </si>
  <si>
    <t>US Department of State</t>
  </si>
  <si>
    <t>Orange County Central Receiving Center Independent Process Review and Equity Analysis</t>
  </si>
  <si>
    <t>Martin, Lawrence L.</t>
  </si>
  <si>
    <t>Orange County Government</t>
  </si>
  <si>
    <t>Second Harvest Food Bank Gap Study</t>
  </si>
  <si>
    <t>Second Harvest Food Bank</t>
  </si>
  <si>
    <t xml:space="preserve">Reynolds, Mike </t>
  </si>
  <si>
    <t>Identifying Caregiver Communication Strategies for Managing Dementia</t>
  </si>
  <si>
    <t>Rivers, K. O.</t>
  </si>
  <si>
    <t>Alzheimer's Association</t>
  </si>
  <si>
    <t>Speech Measures in older speakers with and without Alzheimer's disease</t>
  </si>
  <si>
    <t>Ryalls, Jack H.</t>
  </si>
  <si>
    <t>Whiteside, Janet D.</t>
  </si>
  <si>
    <t>Institute for Simulation &amp; Training (IST)</t>
  </si>
  <si>
    <t xml:space="preserve">Garfield, Keith </t>
  </si>
  <si>
    <t>Gerber, Matthew B.</t>
  </si>
  <si>
    <t>SISO 2004</t>
  </si>
  <si>
    <t>Lowe, Richard V.</t>
  </si>
  <si>
    <t>SISO, Inc.</t>
  </si>
  <si>
    <t xml:space="preserve">McClellan, Tammie </t>
  </si>
  <si>
    <t>Team Performance and Optimization in Human-Intelligent Agent Teams</t>
  </si>
  <si>
    <t xml:space="preserve">Shumaker, Randall </t>
  </si>
  <si>
    <t>RDECOM-STC</t>
  </si>
  <si>
    <t>Smart, Ernest A.</t>
  </si>
  <si>
    <t>Office of Sponsored Research</t>
  </si>
  <si>
    <t>O'Neal, Thomas P.</t>
  </si>
  <si>
    <t>Special Projects Research Project for Joint Stars Test Force</t>
  </si>
  <si>
    <t>Jardon and Howard Tehnologies, Inc.</t>
  </si>
  <si>
    <t>Provost's Office</t>
  </si>
  <si>
    <t>Assimilating America: The Life and Stories of Isaac Bashevis Singer</t>
  </si>
  <si>
    <t>Harrison, II, Richard H.</t>
  </si>
  <si>
    <t>National Endowment for Humanities</t>
  </si>
  <si>
    <t>School of Optics (CREOL)</t>
  </si>
  <si>
    <t>Multi-Function Coherent Ladar - Laser Transmitter</t>
  </si>
  <si>
    <t xml:space="preserve">Bass, Michael </t>
  </si>
  <si>
    <t>Liquid-Crystal-on-Silicon IR Scene Projector</t>
  </si>
  <si>
    <t>Boreman, Glenn D.</t>
  </si>
  <si>
    <t>Dynetics, Inc.</t>
  </si>
  <si>
    <t>MIATA ITN Subcontract</t>
  </si>
  <si>
    <t>ITN Energy Systems</t>
  </si>
  <si>
    <t>MIATA Raytheon Subcontract</t>
  </si>
  <si>
    <t>Raytheon E-Systems, Inc.</t>
  </si>
  <si>
    <t>MIATA Rockwell Subcontract</t>
  </si>
  <si>
    <t>Rockwell Scientific</t>
  </si>
  <si>
    <t>MIATA Subcontract to CREOL</t>
  </si>
  <si>
    <t>Northrop Grumman Corporation</t>
  </si>
  <si>
    <t>Robust Coherent FSO System</t>
  </si>
  <si>
    <t>Delfyett, Peter J.</t>
  </si>
  <si>
    <t>Boeing Company</t>
  </si>
  <si>
    <t>Multi-Function Coherent Ladar - Polarization Data</t>
  </si>
  <si>
    <t xml:space="preserve">Dogariu, Aristide </t>
  </si>
  <si>
    <t>Extended Aperture Holograph Optical Elements in PTR Glass</t>
  </si>
  <si>
    <t xml:space="preserve">Glebov, Leonid </t>
  </si>
  <si>
    <t>Wideband Diode Pump Source Development</t>
  </si>
  <si>
    <t>Johnson, Eric G.</t>
  </si>
  <si>
    <t>Engineered Materials for Intense Laser Interaction</t>
  </si>
  <si>
    <t>Richardson, Kathleen A.</t>
  </si>
  <si>
    <t>Richardson, Martin C.</t>
  </si>
  <si>
    <t>Sensory Consequences of Electromagnetic Pulses Emitted by Laser Induced Plasmas</t>
  </si>
  <si>
    <t>University of Florida</t>
  </si>
  <si>
    <t>Delivery of Liquid Crystal Mixture</t>
  </si>
  <si>
    <t xml:space="preserve">Wu, Shin-Tson </t>
  </si>
  <si>
    <t>Optimization of Liquid Crystals for Beam Steering Applications</t>
  </si>
  <si>
    <t>Tunable-Focus Eye Glasses</t>
  </si>
  <si>
    <t>Essilor of America, Inc.</t>
  </si>
  <si>
    <t>Amount</t>
  </si>
  <si>
    <t>Type</t>
  </si>
  <si>
    <t>%</t>
  </si>
  <si>
    <t>Investigator</t>
  </si>
  <si>
    <t>Agency</t>
  </si>
  <si>
    <t>Total Proposed</t>
  </si>
  <si>
    <t>Total Proposed for December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</si>
</sst>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&quot;$&quot;#,##0.00;\(&quot;$&quot;#,##0.00\)"/>
  </numFmts>
  <fonts count="5" x14ac:knownFonts="1">
    <font>
      <sz val="10"/>
      <color indexed="8"/>
      <name val="Arial"/>
    </font>
    <font>
      <u/>
      <sz val="8"/>
      <color indexed="8"/>
      <name val="Arial Narrow"/>
      <family val="2"/>
    </font>
    <font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b/>
      <sz val="8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3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0" fontId="2" fillId="0" borderId="0" xfId="0" applyFont="1"/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4" fillId="0" borderId="0" xfId="0" applyFont="1"/>
    <xf numFmtId="17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tabSelected="1" zoomScaleNormal="234" zoomScaleSheetLayoutView="216" workbookViewId="0">
      <selection activeCell="C5" sqref="C5"/>
    </sheetView>
  </sheetViews>
  <sheetFormatPr defaultColWidth="9.1796875" defaultRowHeight="10.5" outlineLevelRow="1" x14ac:dyDescent="0.25"/>
  <cols>
    <col min="1" max="1" width="1.54296875" style="9" customWidth="1"/>
    <col min="2" max="2" width="11.1796875" style="4" customWidth="1"/>
    <col min="3" max="3" width="57.26953125" style="4" customWidth="1"/>
    <col min="4" max="4" width="5.26953125" style="4" customWidth="1"/>
    <col min="5" max="5" width="4.81640625" style="4" customWidth="1"/>
    <col min="6" max="6" width="17.7265625" style="4" customWidth="1"/>
    <col min="7" max="7" width="24.26953125" style="4" customWidth="1"/>
    <col min="8" max="16384" width="9.1796875" style="4"/>
  </cols>
  <sheetData>
    <row r="1" spans="1:7" x14ac:dyDescent="0.25">
      <c r="A1" s="6"/>
    </row>
    <row r="2" spans="1:7" x14ac:dyDescent="0.25">
      <c r="A2" s="7"/>
      <c r="B2" s="5" t="s">
        <v>238</v>
      </c>
      <c r="C2" s="5" t="s">
        <v>0</v>
      </c>
      <c r="D2" s="5" t="s">
        <v>239</v>
      </c>
      <c r="E2" s="5" t="s">
        <v>240</v>
      </c>
      <c r="F2" s="5" t="s">
        <v>241</v>
      </c>
      <c r="G2" s="5" t="s">
        <v>242</v>
      </c>
    </row>
    <row r="3" spans="1:7" x14ac:dyDescent="0.25">
      <c r="A3" s="8" t="s">
        <v>1</v>
      </c>
    </row>
    <row r="4" spans="1:7" outlineLevel="1" x14ac:dyDescent="0.25">
      <c r="B4" s="1">
        <v>40000</v>
      </c>
      <c r="C4" s="2" t="s">
        <v>2</v>
      </c>
      <c r="D4" s="2" t="s">
        <v>3</v>
      </c>
      <c r="E4" s="3">
        <v>50</v>
      </c>
      <c r="F4" s="2" t="s">
        <v>4</v>
      </c>
      <c r="G4" s="2" t="s">
        <v>5</v>
      </c>
    </row>
    <row r="5" spans="1:7" outlineLevel="1" x14ac:dyDescent="0.25">
      <c r="B5" s="1">
        <v>350486</v>
      </c>
      <c r="C5" s="2" t="s">
        <v>6</v>
      </c>
      <c r="D5" s="2" t="s">
        <v>7</v>
      </c>
      <c r="E5" s="3">
        <v>100</v>
      </c>
      <c r="F5" s="2" t="s">
        <v>8</v>
      </c>
      <c r="G5" s="2" t="s">
        <v>9</v>
      </c>
    </row>
    <row r="6" spans="1:7" outlineLevel="1" x14ac:dyDescent="0.25">
      <c r="B6" s="1">
        <v>35000</v>
      </c>
      <c r="C6" s="2" t="s">
        <v>10</v>
      </c>
      <c r="D6" s="2" t="s">
        <v>7</v>
      </c>
      <c r="E6" s="3">
        <v>100</v>
      </c>
      <c r="F6" s="2" t="s">
        <v>11</v>
      </c>
      <c r="G6" s="2" t="s">
        <v>12</v>
      </c>
    </row>
    <row r="7" spans="1:7" outlineLevel="1" x14ac:dyDescent="0.25">
      <c r="B7" s="1">
        <v>8464</v>
      </c>
      <c r="C7" s="2" t="s">
        <v>13</v>
      </c>
      <c r="D7" s="2" t="s">
        <v>7</v>
      </c>
      <c r="E7" s="3">
        <v>100</v>
      </c>
      <c r="F7" s="2" t="s">
        <v>14</v>
      </c>
      <c r="G7" s="2" t="s">
        <v>5</v>
      </c>
    </row>
    <row r="8" spans="1:7" outlineLevel="1" x14ac:dyDescent="0.25">
      <c r="B8" s="1">
        <v>30000</v>
      </c>
      <c r="C8" s="2" t="s">
        <v>15</v>
      </c>
      <c r="D8" s="2" t="s">
        <v>7</v>
      </c>
      <c r="E8" s="3">
        <v>100</v>
      </c>
      <c r="F8" s="2" t="s">
        <v>14</v>
      </c>
      <c r="G8" s="2" t="s">
        <v>16</v>
      </c>
    </row>
    <row r="9" spans="1:7" outlineLevel="1" x14ac:dyDescent="0.25">
      <c r="B9" s="1">
        <v>226373</v>
      </c>
      <c r="C9" s="2" t="s">
        <v>17</v>
      </c>
      <c r="D9" s="2" t="s">
        <v>7</v>
      </c>
      <c r="E9" s="3">
        <v>72</v>
      </c>
      <c r="F9" s="2" t="s">
        <v>14</v>
      </c>
      <c r="G9" s="2" t="s">
        <v>9</v>
      </c>
    </row>
    <row r="10" spans="1:7" x14ac:dyDescent="0.25">
      <c r="B10" s="1">
        <f>SUM($B$2:$B$9)</f>
        <v>690323</v>
      </c>
      <c r="C10" s="9" t="s">
        <v>243</v>
      </c>
    </row>
    <row r="11" spans="1:7" x14ac:dyDescent="0.25">
      <c r="B11" s="1"/>
      <c r="C11" s="9"/>
    </row>
    <row r="12" spans="1:7" x14ac:dyDescent="0.25">
      <c r="A12" s="8" t="s">
        <v>18</v>
      </c>
    </row>
    <row r="13" spans="1:7" outlineLevel="1" x14ac:dyDescent="0.25">
      <c r="B13" s="1">
        <v>2500</v>
      </c>
      <c r="C13" s="2" t="s">
        <v>19</v>
      </c>
      <c r="D13" s="2" t="s">
        <v>7</v>
      </c>
      <c r="E13" s="3">
        <v>50</v>
      </c>
      <c r="F13" s="2" t="s">
        <v>20</v>
      </c>
      <c r="G13" s="2" t="s">
        <v>21</v>
      </c>
    </row>
    <row r="14" spans="1:7" outlineLevel="1" x14ac:dyDescent="0.25">
      <c r="B14" s="1">
        <v>2500</v>
      </c>
      <c r="C14" s="2" t="s">
        <v>19</v>
      </c>
      <c r="D14" s="2" t="s">
        <v>3</v>
      </c>
      <c r="E14" s="3">
        <v>50</v>
      </c>
      <c r="F14" s="2" t="s">
        <v>22</v>
      </c>
      <c r="G14" s="2" t="s">
        <v>21</v>
      </c>
    </row>
    <row r="15" spans="1:7" outlineLevel="1" x14ac:dyDescent="0.25">
      <c r="B15" s="1">
        <v>15000</v>
      </c>
      <c r="C15" s="2" t="s">
        <v>23</v>
      </c>
      <c r="D15" s="2" t="s">
        <v>24</v>
      </c>
      <c r="E15" s="3">
        <v>50</v>
      </c>
      <c r="F15" s="2" t="s">
        <v>25</v>
      </c>
      <c r="G15" s="2" t="s">
        <v>26</v>
      </c>
    </row>
    <row r="16" spans="1:7" outlineLevel="1" x14ac:dyDescent="0.25">
      <c r="B16" s="1">
        <v>12500</v>
      </c>
      <c r="C16" s="2" t="s">
        <v>27</v>
      </c>
      <c r="D16" s="2" t="s">
        <v>24</v>
      </c>
      <c r="E16" s="3">
        <v>50</v>
      </c>
      <c r="F16" s="2" t="s">
        <v>25</v>
      </c>
      <c r="G16" s="2" t="s">
        <v>26</v>
      </c>
    </row>
    <row r="17" spans="2:7" outlineLevel="1" x14ac:dyDescent="0.25">
      <c r="B17" s="1">
        <v>11550</v>
      </c>
      <c r="C17" s="2" t="s">
        <v>28</v>
      </c>
      <c r="D17" s="2" t="s">
        <v>7</v>
      </c>
      <c r="E17" s="3">
        <v>33</v>
      </c>
      <c r="F17" s="2" t="s">
        <v>29</v>
      </c>
      <c r="G17" s="2" t="s">
        <v>30</v>
      </c>
    </row>
    <row r="18" spans="2:7" outlineLevel="1" x14ac:dyDescent="0.25">
      <c r="B18" s="1">
        <v>11550</v>
      </c>
      <c r="C18" s="2" t="s">
        <v>28</v>
      </c>
      <c r="D18" s="2" t="s">
        <v>3</v>
      </c>
      <c r="E18" s="3">
        <v>33</v>
      </c>
      <c r="F18" s="2" t="s">
        <v>31</v>
      </c>
      <c r="G18" s="2" t="s">
        <v>30</v>
      </c>
    </row>
    <row r="19" spans="2:7" outlineLevel="1" x14ac:dyDescent="0.25">
      <c r="B19" s="1">
        <v>1500</v>
      </c>
      <c r="C19" s="2" t="s">
        <v>32</v>
      </c>
      <c r="D19" s="2" t="s">
        <v>7</v>
      </c>
      <c r="E19" s="3">
        <v>50</v>
      </c>
      <c r="F19" s="2" t="s">
        <v>33</v>
      </c>
      <c r="G19" s="2" t="s">
        <v>34</v>
      </c>
    </row>
    <row r="20" spans="2:7" outlineLevel="1" x14ac:dyDescent="0.25">
      <c r="B20" s="1">
        <v>15000</v>
      </c>
      <c r="C20" s="2" t="s">
        <v>23</v>
      </c>
      <c r="D20" s="2" t="s">
        <v>7</v>
      </c>
      <c r="E20" s="3">
        <v>50</v>
      </c>
      <c r="F20" s="2" t="s">
        <v>35</v>
      </c>
      <c r="G20" s="2" t="s">
        <v>26</v>
      </c>
    </row>
    <row r="21" spans="2:7" outlineLevel="1" x14ac:dyDescent="0.25">
      <c r="B21" s="1">
        <v>12500</v>
      </c>
      <c r="C21" s="2" t="s">
        <v>27</v>
      </c>
      <c r="D21" s="2" t="s">
        <v>7</v>
      </c>
      <c r="E21" s="3">
        <v>50</v>
      </c>
      <c r="F21" s="2" t="s">
        <v>35</v>
      </c>
      <c r="G21" s="2" t="s">
        <v>26</v>
      </c>
    </row>
    <row r="22" spans="2:7" outlineLevel="1" x14ac:dyDescent="0.25">
      <c r="B22" s="1">
        <v>70000</v>
      </c>
      <c r="C22" s="2" t="s">
        <v>36</v>
      </c>
      <c r="D22" s="2" t="s">
        <v>7</v>
      </c>
      <c r="E22" s="3">
        <v>50</v>
      </c>
      <c r="F22" s="2" t="s">
        <v>37</v>
      </c>
      <c r="G22" s="2" t="s">
        <v>38</v>
      </c>
    </row>
    <row r="23" spans="2:7" outlineLevel="1" x14ac:dyDescent="0.25">
      <c r="B23" s="1">
        <v>1902213</v>
      </c>
      <c r="C23" s="2" t="s">
        <v>39</v>
      </c>
      <c r="D23" s="2" t="s">
        <v>3</v>
      </c>
      <c r="E23" s="3">
        <v>16</v>
      </c>
      <c r="F23" s="2" t="s">
        <v>40</v>
      </c>
      <c r="G23" s="2" t="s">
        <v>9</v>
      </c>
    </row>
    <row r="24" spans="2:7" outlineLevel="1" x14ac:dyDescent="0.25">
      <c r="B24" s="1">
        <v>197328</v>
      </c>
      <c r="C24" s="2" t="s">
        <v>41</v>
      </c>
      <c r="D24" s="2" t="s">
        <v>7</v>
      </c>
      <c r="E24" s="3">
        <v>100</v>
      </c>
      <c r="F24" s="2" t="s">
        <v>42</v>
      </c>
      <c r="G24" s="2" t="s">
        <v>9</v>
      </c>
    </row>
    <row r="25" spans="2:7" outlineLevel="1" x14ac:dyDescent="0.25">
      <c r="B25" s="1">
        <v>1872</v>
      </c>
      <c r="C25" s="2" t="s">
        <v>43</v>
      </c>
      <c r="D25" s="2" t="s">
        <v>7</v>
      </c>
      <c r="E25" s="3">
        <v>100</v>
      </c>
      <c r="F25" s="2" t="s">
        <v>44</v>
      </c>
      <c r="G25" s="2" t="s">
        <v>30</v>
      </c>
    </row>
    <row r="26" spans="2:7" outlineLevel="1" x14ac:dyDescent="0.25">
      <c r="B26" s="1">
        <v>1902213</v>
      </c>
      <c r="C26" s="2" t="s">
        <v>39</v>
      </c>
      <c r="D26" s="2" t="s">
        <v>3</v>
      </c>
      <c r="E26" s="3">
        <v>16</v>
      </c>
      <c r="F26" s="2" t="s">
        <v>45</v>
      </c>
      <c r="G26" s="2" t="s">
        <v>9</v>
      </c>
    </row>
    <row r="27" spans="2:7" outlineLevel="1" x14ac:dyDescent="0.25">
      <c r="B27" s="1">
        <v>88034</v>
      </c>
      <c r="C27" s="2" t="s">
        <v>17</v>
      </c>
      <c r="D27" s="2" t="s">
        <v>3</v>
      </c>
      <c r="E27" s="3">
        <v>28</v>
      </c>
      <c r="F27" s="2" t="s">
        <v>11</v>
      </c>
      <c r="G27" s="2" t="s">
        <v>9</v>
      </c>
    </row>
    <row r="28" spans="2:7" outlineLevel="1" x14ac:dyDescent="0.25">
      <c r="B28" s="1">
        <v>1575</v>
      </c>
      <c r="C28" s="2" t="s">
        <v>46</v>
      </c>
      <c r="D28" s="2" t="s">
        <v>7</v>
      </c>
      <c r="E28" s="3">
        <v>100</v>
      </c>
      <c r="F28" s="2" t="s">
        <v>47</v>
      </c>
      <c r="G28" s="2" t="s">
        <v>48</v>
      </c>
    </row>
    <row r="29" spans="2:7" outlineLevel="1" x14ac:dyDescent="0.25">
      <c r="B29" s="1">
        <v>11900</v>
      </c>
      <c r="C29" s="2" t="s">
        <v>28</v>
      </c>
      <c r="D29" s="2" t="s">
        <v>3</v>
      </c>
      <c r="E29" s="3">
        <v>34</v>
      </c>
      <c r="F29" s="2" t="s">
        <v>49</v>
      </c>
      <c r="G29" s="2" t="s">
        <v>30</v>
      </c>
    </row>
    <row r="30" spans="2:7" outlineLevel="1" x14ac:dyDescent="0.25">
      <c r="B30" s="1">
        <v>23551</v>
      </c>
      <c r="C30" s="2" t="s">
        <v>50</v>
      </c>
      <c r="D30" s="2" t="s">
        <v>7</v>
      </c>
      <c r="E30" s="3">
        <v>100</v>
      </c>
      <c r="F30" s="2" t="s">
        <v>51</v>
      </c>
      <c r="G30" s="2" t="s">
        <v>52</v>
      </c>
    </row>
    <row r="31" spans="2:7" outlineLevel="1" x14ac:dyDescent="0.25">
      <c r="B31" s="1">
        <v>49998</v>
      </c>
      <c r="C31" s="2" t="s">
        <v>53</v>
      </c>
      <c r="D31" s="2" t="s">
        <v>7</v>
      </c>
      <c r="E31" s="3">
        <v>100</v>
      </c>
      <c r="F31" s="2" t="s">
        <v>54</v>
      </c>
      <c r="G31" s="2" t="s">
        <v>55</v>
      </c>
    </row>
    <row r="32" spans="2:7" outlineLevel="1" x14ac:dyDescent="0.25">
      <c r="B32" s="1">
        <v>49998</v>
      </c>
      <c r="C32" s="2" t="s">
        <v>56</v>
      </c>
      <c r="D32" s="2" t="s">
        <v>7</v>
      </c>
      <c r="E32" s="3">
        <v>100</v>
      </c>
      <c r="F32" s="2" t="s">
        <v>54</v>
      </c>
      <c r="G32" s="2" t="s">
        <v>57</v>
      </c>
    </row>
    <row r="33" spans="1:7" outlineLevel="1" x14ac:dyDescent="0.25">
      <c r="B33" s="1">
        <v>37200</v>
      </c>
      <c r="C33" s="2" t="s">
        <v>58</v>
      </c>
      <c r="D33" s="2" t="s">
        <v>7</v>
      </c>
      <c r="E33" s="3">
        <v>60</v>
      </c>
      <c r="F33" s="2" t="s">
        <v>59</v>
      </c>
      <c r="G33" s="2" t="s">
        <v>60</v>
      </c>
    </row>
    <row r="34" spans="1:7" outlineLevel="1" x14ac:dyDescent="0.25">
      <c r="B34" s="1">
        <v>85917</v>
      </c>
      <c r="C34" s="2" t="s">
        <v>61</v>
      </c>
      <c r="D34" s="2" t="s">
        <v>3</v>
      </c>
      <c r="E34" s="3">
        <v>22</v>
      </c>
      <c r="F34" s="2" t="s">
        <v>62</v>
      </c>
      <c r="G34" s="2" t="s">
        <v>9</v>
      </c>
    </row>
    <row r="35" spans="1:7" outlineLevel="1" x14ac:dyDescent="0.25">
      <c r="B35" s="1">
        <v>24800</v>
      </c>
      <c r="C35" s="2" t="s">
        <v>58</v>
      </c>
      <c r="D35" s="2" t="s">
        <v>3</v>
      </c>
      <c r="E35" s="3">
        <v>40</v>
      </c>
      <c r="F35" s="2" t="s">
        <v>63</v>
      </c>
      <c r="G35" s="2" t="s">
        <v>60</v>
      </c>
    </row>
    <row r="36" spans="1:7" x14ac:dyDescent="0.25">
      <c r="B36" s="1">
        <f>SUM($B$12:$B$35)</f>
        <v>4531199</v>
      </c>
      <c r="C36" s="9" t="s">
        <v>243</v>
      </c>
    </row>
    <row r="37" spans="1:7" x14ac:dyDescent="0.25">
      <c r="B37" s="1"/>
    </row>
    <row r="38" spans="1:7" x14ac:dyDescent="0.25">
      <c r="A38" s="8" t="s">
        <v>64</v>
      </c>
    </row>
    <row r="39" spans="1:7" outlineLevel="1" x14ac:dyDescent="0.25">
      <c r="B39" s="1">
        <v>25000</v>
      </c>
      <c r="C39" s="2" t="s">
        <v>65</v>
      </c>
      <c r="D39" s="2" t="s">
        <v>24</v>
      </c>
      <c r="E39" s="3">
        <v>50</v>
      </c>
      <c r="F39" s="2" t="s">
        <v>66</v>
      </c>
      <c r="G39" s="2" t="s">
        <v>67</v>
      </c>
    </row>
    <row r="40" spans="1:7" outlineLevel="1" x14ac:dyDescent="0.25">
      <c r="B40" s="1">
        <v>35949</v>
      </c>
      <c r="C40" s="2" t="s">
        <v>68</v>
      </c>
      <c r="D40" s="2" t="s">
        <v>7</v>
      </c>
      <c r="E40" s="3">
        <v>100</v>
      </c>
      <c r="F40" s="2" t="s">
        <v>69</v>
      </c>
      <c r="G40" s="2" t="s">
        <v>70</v>
      </c>
    </row>
    <row r="41" spans="1:7" x14ac:dyDescent="0.25">
      <c r="B41" s="1">
        <f>SUM($B$38:$B$40)</f>
        <v>60949</v>
      </c>
      <c r="C41" s="9" t="s">
        <v>243</v>
      </c>
    </row>
    <row r="42" spans="1:7" x14ac:dyDescent="0.25">
      <c r="B42" s="1"/>
    </row>
    <row r="43" spans="1:7" x14ac:dyDescent="0.25">
      <c r="A43" s="8" t="s">
        <v>71</v>
      </c>
    </row>
    <row r="44" spans="1:7" outlineLevel="1" x14ac:dyDescent="0.25">
      <c r="B44" s="1">
        <v>122293</v>
      </c>
      <c r="C44" s="2" t="s">
        <v>72</v>
      </c>
      <c r="D44" s="2" t="s">
        <v>7</v>
      </c>
      <c r="E44" s="3">
        <v>100</v>
      </c>
      <c r="F44" s="2" t="s">
        <v>73</v>
      </c>
      <c r="G44" s="2" t="s">
        <v>74</v>
      </c>
    </row>
    <row r="45" spans="1:7" outlineLevel="1" x14ac:dyDescent="0.25">
      <c r="B45" s="1">
        <v>1783325</v>
      </c>
      <c r="C45" s="2" t="s">
        <v>39</v>
      </c>
      <c r="D45" s="2" t="s">
        <v>3</v>
      </c>
      <c r="E45" s="3">
        <v>15</v>
      </c>
      <c r="F45" s="2" t="s">
        <v>75</v>
      </c>
      <c r="G45" s="2" t="s">
        <v>9</v>
      </c>
    </row>
    <row r="46" spans="1:7" outlineLevel="1" x14ac:dyDescent="0.25">
      <c r="B46" s="1">
        <v>1500000</v>
      </c>
      <c r="C46" s="2" t="s">
        <v>76</v>
      </c>
      <c r="D46" s="2" t="s">
        <v>3</v>
      </c>
      <c r="E46" s="3">
        <v>50</v>
      </c>
      <c r="F46" s="2" t="s">
        <v>77</v>
      </c>
      <c r="G46" s="2" t="s">
        <v>78</v>
      </c>
    </row>
    <row r="47" spans="1:7" outlineLevel="1" x14ac:dyDescent="0.25">
      <c r="B47" s="1">
        <v>4279980</v>
      </c>
      <c r="C47" s="2" t="s">
        <v>39</v>
      </c>
      <c r="D47" s="2" t="s">
        <v>7</v>
      </c>
      <c r="E47" s="3">
        <v>36</v>
      </c>
      <c r="F47" s="2" t="s">
        <v>77</v>
      </c>
      <c r="G47" s="2" t="s">
        <v>9</v>
      </c>
    </row>
    <row r="48" spans="1:7" outlineLevel="1" x14ac:dyDescent="0.25">
      <c r="B48" s="1">
        <v>50000</v>
      </c>
      <c r="C48" s="2" t="s">
        <v>79</v>
      </c>
      <c r="D48" s="2" t="s">
        <v>7</v>
      </c>
      <c r="E48" s="3">
        <v>100</v>
      </c>
      <c r="F48" s="2" t="s">
        <v>80</v>
      </c>
      <c r="G48" s="2" t="s">
        <v>81</v>
      </c>
    </row>
    <row r="49" spans="1:7" x14ac:dyDescent="0.25">
      <c r="B49" s="1">
        <f>SUM($B$43:$B$48)</f>
        <v>7735598</v>
      </c>
      <c r="C49" s="9" t="s">
        <v>243</v>
      </c>
    </row>
    <row r="50" spans="1:7" x14ac:dyDescent="0.25">
      <c r="B50" s="1"/>
    </row>
    <row r="51" spans="1:7" x14ac:dyDescent="0.25">
      <c r="A51" s="8" t="s">
        <v>82</v>
      </c>
    </row>
    <row r="52" spans="1:7" outlineLevel="1" x14ac:dyDescent="0.25">
      <c r="B52" s="1">
        <v>150000</v>
      </c>
      <c r="C52" s="2" t="s">
        <v>83</v>
      </c>
      <c r="D52" s="2" t="s">
        <v>3</v>
      </c>
      <c r="E52" s="3">
        <v>50</v>
      </c>
      <c r="F52" s="2" t="s">
        <v>84</v>
      </c>
      <c r="G52" s="2" t="s">
        <v>85</v>
      </c>
    </row>
    <row r="53" spans="1:7" outlineLevel="1" x14ac:dyDescent="0.25">
      <c r="B53" s="1">
        <v>126345</v>
      </c>
      <c r="C53" s="2" t="s">
        <v>86</v>
      </c>
      <c r="D53" s="2" t="s">
        <v>7</v>
      </c>
      <c r="E53" s="3">
        <v>100</v>
      </c>
      <c r="F53" s="2" t="s">
        <v>87</v>
      </c>
      <c r="G53" s="2" t="s">
        <v>9</v>
      </c>
    </row>
    <row r="54" spans="1:7" outlineLevel="1" x14ac:dyDescent="0.25">
      <c r="B54" s="1">
        <v>373385</v>
      </c>
      <c r="C54" s="2" t="s">
        <v>88</v>
      </c>
      <c r="D54" s="2" t="s">
        <v>7</v>
      </c>
      <c r="E54" s="3">
        <v>100</v>
      </c>
      <c r="F54" s="2" t="s">
        <v>89</v>
      </c>
      <c r="G54" s="2" t="s">
        <v>9</v>
      </c>
    </row>
    <row r="55" spans="1:7" outlineLevel="1" x14ac:dyDescent="0.25">
      <c r="B55" s="1">
        <v>2021102</v>
      </c>
      <c r="C55" s="2" t="s">
        <v>39</v>
      </c>
      <c r="D55" s="2" t="s">
        <v>3</v>
      </c>
      <c r="E55" s="3">
        <v>17</v>
      </c>
      <c r="F55" s="2" t="s">
        <v>90</v>
      </c>
      <c r="G55" s="2" t="s">
        <v>9</v>
      </c>
    </row>
    <row r="56" spans="1:7" outlineLevel="1" x14ac:dyDescent="0.25">
      <c r="B56" s="1">
        <v>41784</v>
      </c>
      <c r="C56" s="2" t="s">
        <v>91</v>
      </c>
      <c r="D56" s="2" t="s">
        <v>7</v>
      </c>
      <c r="E56" s="3">
        <v>50</v>
      </c>
      <c r="F56" s="2" t="s">
        <v>92</v>
      </c>
      <c r="G56" s="2" t="s">
        <v>93</v>
      </c>
    </row>
    <row r="57" spans="1:7" outlineLevel="1" x14ac:dyDescent="0.25">
      <c r="B57" s="1">
        <v>100000</v>
      </c>
      <c r="C57" s="2" t="s">
        <v>94</v>
      </c>
      <c r="D57" s="2" t="s">
        <v>7</v>
      </c>
      <c r="E57" s="3">
        <v>100</v>
      </c>
      <c r="F57" s="2" t="s">
        <v>95</v>
      </c>
      <c r="G57" s="2" t="s">
        <v>96</v>
      </c>
    </row>
    <row r="58" spans="1:7" outlineLevel="1" x14ac:dyDescent="0.25">
      <c r="B58" s="1">
        <v>16450</v>
      </c>
      <c r="C58" s="2" t="s">
        <v>97</v>
      </c>
      <c r="D58" s="2" t="s">
        <v>3</v>
      </c>
      <c r="E58" s="3">
        <v>50</v>
      </c>
      <c r="F58" s="2" t="s">
        <v>95</v>
      </c>
      <c r="G58" s="2" t="s">
        <v>96</v>
      </c>
    </row>
    <row r="59" spans="1:7" outlineLevel="1" x14ac:dyDescent="0.25">
      <c r="B59" s="1">
        <v>46056</v>
      </c>
      <c r="C59" s="2" t="s">
        <v>98</v>
      </c>
      <c r="D59" s="2" t="s">
        <v>7</v>
      </c>
      <c r="E59" s="3">
        <v>100</v>
      </c>
      <c r="F59" s="2" t="s">
        <v>99</v>
      </c>
      <c r="G59" s="2" t="s">
        <v>100</v>
      </c>
    </row>
    <row r="60" spans="1:7" outlineLevel="1" x14ac:dyDescent="0.25">
      <c r="B60" s="1">
        <v>204432</v>
      </c>
      <c r="C60" s="2" t="s">
        <v>101</v>
      </c>
      <c r="D60" s="2" t="s">
        <v>3</v>
      </c>
      <c r="E60" s="3">
        <v>10</v>
      </c>
      <c r="F60" s="2" t="s">
        <v>102</v>
      </c>
      <c r="G60" s="2" t="s">
        <v>103</v>
      </c>
    </row>
    <row r="61" spans="1:7" outlineLevel="1" x14ac:dyDescent="0.25">
      <c r="B61" s="1">
        <v>132781</v>
      </c>
      <c r="C61" s="2" t="s">
        <v>61</v>
      </c>
      <c r="D61" s="2" t="s">
        <v>7</v>
      </c>
      <c r="E61" s="3">
        <v>34</v>
      </c>
      <c r="F61" s="2" t="s">
        <v>102</v>
      </c>
      <c r="G61" s="2" t="s">
        <v>9</v>
      </c>
    </row>
    <row r="62" spans="1:7" outlineLevel="1" x14ac:dyDescent="0.25">
      <c r="B62" s="1">
        <v>150000</v>
      </c>
      <c r="C62" s="2" t="s">
        <v>83</v>
      </c>
      <c r="D62" s="2" t="s">
        <v>7</v>
      </c>
      <c r="E62" s="3">
        <v>50</v>
      </c>
      <c r="F62" s="2" t="s">
        <v>104</v>
      </c>
      <c r="G62" s="2" t="s">
        <v>85</v>
      </c>
    </row>
    <row r="63" spans="1:7" outlineLevel="1" x14ac:dyDescent="0.25">
      <c r="B63" s="1">
        <v>285558</v>
      </c>
      <c r="C63" s="2" t="s">
        <v>105</v>
      </c>
      <c r="D63" s="2" t="s">
        <v>7</v>
      </c>
      <c r="E63" s="3">
        <v>100</v>
      </c>
      <c r="F63" s="2" t="s">
        <v>106</v>
      </c>
      <c r="G63" s="2" t="s">
        <v>9</v>
      </c>
    </row>
    <row r="64" spans="1:7" outlineLevel="1" x14ac:dyDescent="0.25">
      <c r="B64" s="1">
        <v>817730</v>
      </c>
      <c r="C64" s="2" t="s">
        <v>101</v>
      </c>
      <c r="D64" s="2" t="s">
        <v>7</v>
      </c>
      <c r="E64" s="3">
        <v>40</v>
      </c>
      <c r="F64" s="2" t="s">
        <v>107</v>
      </c>
      <c r="G64" s="2" t="s">
        <v>103</v>
      </c>
    </row>
    <row r="65" spans="2:7" outlineLevel="1" x14ac:dyDescent="0.25">
      <c r="B65" s="1">
        <v>429339</v>
      </c>
      <c r="C65" s="2" t="s">
        <v>108</v>
      </c>
      <c r="D65" s="2" t="s">
        <v>7</v>
      </c>
      <c r="E65" s="3">
        <v>100</v>
      </c>
      <c r="F65" s="2" t="s">
        <v>107</v>
      </c>
      <c r="G65" s="2" t="s">
        <v>9</v>
      </c>
    </row>
    <row r="66" spans="2:7" outlineLevel="1" x14ac:dyDescent="0.25">
      <c r="B66" s="1">
        <v>204432</v>
      </c>
      <c r="C66" s="2" t="s">
        <v>101</v>
      </c>
      <c r="D66" s="2" t="s">
        <v>3</v>
      </c>
      <c r="E66" s="3">
        <v>10</v>
      </c>
      <c r="F66" s="2" t="s">
        <v>109</v>
      </c>
      <c r="G66" s="2" t="s">
        <v>103</v>
      </c>
    </row>
    <row r="67" spans="2:7" outlineLevel="1" x14ac:dyDescent="0.25">
      <c r="B67" s="1">
        <v>373168</v>
      </c>
      <c r="C67" s="2" t="s">
        <v>110</v>
      </c>
      <c r="D67" s="2" t="s">
        <v>7</v>
      </c>
      <c r="E67" s="3">
        <v>100</v>
      </c>
      <c r="F67" s="2" t="s">
        <v>111</v>
      </c>
      <c r="G67" s="2" t="s">
        <v>112</v>
      </c>
    </row>
    <row r="68" spans="2:7" outlineLevel="1" x14ac:dyDescent="0.25">
      <c r="B68" s="1">
        <v>20000</v>
      </c>
      <c r="C68" s="2" t="s">
        <v>113</v>
      </c>
      <c r="D68" s="2" t="s">
        <v>7</v>
      </c>
      <c r="E68" s="3">
        <v>100</v>
      </c>
      <c r="F68" s="2" t="s">
        <v>114</v>
      </c>
      <c r="G68" s="2" t="s">
        <v>115</v>
      </c>
    </row>
    <row r="69" spans="2:7" outlineLevel="1" x14ac:dyDescent="0.25">
      <c r="B69" s="1">
        <v>4967</v>
      </c>
      <c r="C69" s="2" t="s">
        <v>116</v>
      </c>
      <c r="D69" s="2" t="s">
        <v>3</v>
      </c>
      <c r="E69" s="3">
        <v>5</v>
      </c>
      <c r="F69" s="2" t="s">
        <v>117</v>
      </c>
      <c r="G69" s="2" t="s">
        <v>9</v>
      </c>
    </row>
    <row r="70" spans="2:7" outlineLevel="1" x14ac:dyDescent="0.25">
      <c r="B70" s="1">
        <v>99882</v>
      </c>
      <c r="C70" s="2" t="s">
        <v>118</v>
      </c>
      <c r="D70" s="2" t="s">
        <v>3</v>
      </c>
      <c r="E70" s="3">
        <v>50</v>
      </c>
      <c r="F70" s="2" t="s">
        <v>117</v>
      </c>
      <c r="G70" s="2" t="s">
        <v>9</v>
      </c>
    </row>
    <row r="71" spans="2:7" outlineLevel="1" x14ac:dyDescent="0.25">
      <c r="B71" s="1">
        <v>40000</v>
      </c>
      <c r="C71" s="2" t="s">
        <v>2</v>
      </c>
      <c r="D71" s="2" t="s">
        <v>7</v>
      </c>
      <c r="E71" s="3">
        <v>50</v>
      </c>
      <c r="F71" s="2" t="s">
        <v>119</v>
      </c>
      <c r="G71" s="2" t="s">
        <v>5</v>
      </c>
    </row>
    <row r="72" spans="2:7" outlineLevel="1" x14ac:dyDescent="0.25">
      <c r="B72" s="1">
        <v>16450</v>
      </c>
      <c r="C72" s="2" t="s">
        <v>97</v>
      </c>
      <c r="D72" s="2" t="s">
        <v>7</v>
      </c>
      <c r="E72" s="3">
        <v>50</v>
      </c>
      <c r="F72" s="2" t="s">
        <v>119</v>
      </c>
      <c r="G72" s="2" t="s">
        <v>96</v>
      </c>
    </row>
    <row r="73" spans="2:7" outlineLevel="1" x14ac:dyDescent="0.25">
      <c r="B73" s="1">
        <v>204432</v>
      </c>
      <c r="C73" s="2" t="s">
        <v>101</v>
      </c>
      <c r="D73" s="2" t="s">
        <v>3</v>
      </c>
      <c r="E73" s="3">
        <v>10</v>
      </c>
      <c r="F73" s="2" t="s">
        <v>120</v>
      </c>
      <c r="G73" s="2" t="s">
        <v>103</v>
      </c>
    </row>
    <row r="74" spans="2:7" outlineLevel="1" x14ac:dyDescent="0.25">
      <c r="B74" s="1">
        <v>99882</v>
      </c>
      <c r="C74" s="2" t="s">
        <v>118</v>
      </c>
      <c r="D74" s="2" t="s">
        <v>7</v>
      </c>
      <c r="E74" s="3">
        <v>50</v>
      </c>
      <c r="F74" s="2" t="s">
        <v>121</v>
      </c>
      <c r="G74" s="2" t="s">
        <v>9</v>
      </c>
    </row>
    <row r="75" spans="2:7" outlineLevel="1" x14ac:dyDescent="0.25">
      <c r="B75" s="1">
        <v>94364</v>
      </c>
      <c r="C75" s="2" t="s">
        <v>116</v>
      </c>
      <c r="D75" s="2" t="s">
        <v>7</v>
      </c>
      <c r="E75" s="3">
        <v>95</v>
      </c>
      <c r="F75" s="2" t="s">
        <v>122</v>
      </c>
      <c r="G75" s="2" t="s">
        <v>9</v>
      </c>
    </row>
    <row r="76" spans="2:7" outlineLevel="1" x14ac:dyDescent="0.25">
      <c r="B76" s="1">
        <v>24689</v>
      </c>
      <c r="C76" s="2" t="s">
        <v>123</v>
      </c>
      <c r="D76" s="2" t="s">
        <v>7</v>
      </c>
      <c r="E76" s="3">
        <v>100</v>
      </c>
      <c r="F76" s="2" t="s">
        <v>124</v>
      </c>
      <c r="G76" s="2" t="s">
        <v>125</v>
      </c>
    </row>
    <row r="77" spans="2:7" outlineLevel="1" x14ac:dyDescent="0.25">
      <c r="B77" s="1">
        <v>29965</v>
      </c>
      <c r="C77" s="2" t="s">
        <v>126</v>
      </c>
      <c r="D77" s="2" t="s">
        <v>7</v>
      </c>
      <c r="E77" s="3">
        <v>100</v>
      </c>
      <c r="F77" s="2" t="s">
        <v>127</v>
      </c>
      <c r="G77" s="2" t="s">
        <v>128</v>
      </c>
    </row>
    <row r="78" spans="2:7" outlineLevel="1" x14ac:dyDescent="0.25">
      <c r="B78" s="1">
        <v>99979</v>
      </c>
      <c r="C78" s="2" t="s">
        <v>129</v>
      </c>
      <c r="D78" s="2" t="s">
        <v>7</v>
      </c>
      <c r="E78" s="3">
        <v>100</v>
      </c>
      <c r="F78" s="2" t="s">
        <v>127</v>
      </c>
      <c r="G78" s="2" t="s">
        <v>9</v>
      </c>
    </row>
    <row r="79" spans="2:7" outlineLevel="1" x14ac:dyDescent="0.25">
      <c r="B79" s="1">
        <v>317548</v>
      </c>
      <c r="C79" s="2" t="s">
        <v>130</v>
      </c>
      <c r="D79" s="2" t="s">
        <v>7</v>
      </c>
      <c r="E79" s="3">
        <v>100</v>
      </c>
      <c r="F79" s="2" t="s">
        <v>131</v>
      </c>
      <c r="G79" s="2" t="s">
        <v>9</v>
      </c>
    </row>
    <row r="80" spans="2:7" outlineLevel="1" x14ac:dyDescent="0.25">
      <c r="B80" s="1">
        <v>85917</v>
      </c>
      <c r="C80" s="2" t="s">
        <v>61</v>
      </c>
      <c r="D80" s="2" t="s">
        <v>3</v>
      </c>
      <c r="E80" s="3">
        <v>22</v>
      </c>
      <c r="F80" s="2" t="s">
        <v>131</v>
      </c>
      <c r="G80" s="2" t="s">
        <v>9</v>
      </c>
    </row>
    <row r="81" spans="1:7" outlineLevel="1" x14ac:dyDescent="0.25">
      <c r="B81" s="1">
        <v>10000</v>
      </c>
      <c r="C81" s="2" t="s">
        <v>132</v>
      </c>
      <c r="D81" s="2" t="s">
        <v>7</v>
      </c>
      <c r="E81" s="3">
        <v>100</v>
      </c>
      <c r="F81" s="2" t="s">
        <v>133</v>
      </c>
      <c r="G81" s="2" t="s">
        <v>134</v>
      </c>
    </row>
    <row r="82" spans="1:7" outlineLevel="1" x14ac:dyDescent="0.25">
      <c r="B82" s="1">
        <v>129915</v>
      </c>
      <c r="C82" s="2" t="s">
        <v>135</v>
      </c>
      <c r="D82" s="2" t="s">
        <v>7</v>
      </c>
      <c r="E82" s="3">
        <v>100</v>
      </c>
      <c r="F82" s="2" t="s">
        <v>133</v>
      </c>
      <c r="G82" s="2" t="s">
        <v>100</v>
      </c>
    </row>
    <row r="83" spans="1:7" outlineLevel="1" x14ac:dyDescent="0.25">
      <c r="B83" s="1">
        <v>22180</v>
      </c>
      <c r="C83" s="2" t="s">
        <v>136</v>
      </c>
      <c r="D83" s="2" t="s">
        <v>7</v>
      </c>
      <c r="E83" s="3">
        <v>100</v>
      </c>
      <c r="F83" s="2" t="s">
        <v>137</v>
      </c>
      <c r="G83" s="2" t="s">
        <v>93</v>
      </c>
    </row>
    <row r="84" spans="1:7" outlineLevel="1" x14ac:dyDescent="0.25">
      <c r="B84" s="1">
        <v>41784</v>
      </c>
      <c r="C84" s="2" t="s">
        <v>91</v>
      </c>
      <c r="D84" s="2" t="s">
        <v>24</v>
      </c>
      <c r="E84" s="3">
        <v>50</v>
      </c>
      <c r="F84" s="2" t="s">
        <v>137</v>
      </c>
      <c r="G84" s="2" t="s">
        <v>93</v>
      </c>
    </row>
    <row r="85" spans="1:7" outlineLevel="1" x14ac:dyDescent="0.25">
      <c r="B85" s="1">
        <v>53360</v>
      </c>
      <c r="C85" s="2" t="s">
        <v>138</v>
      </c>
      <c r="D85" s="2" t="s">
        <v>7</v>
      </c>
      <c r="E85" s="3">
        <v>100</v>
      </c>
      <c r="F85" s="2" t="s">
        <v>137</v>
      </c>
      <c r="G85" s="2" t="s">
        <v>93</v>
      </c>
    </row>
    <row r="86" spans="1:7" outlineLevel="1" x14ac:dyDescent="0.25">
      <c r="B86" s="1">
        <v>7125</v>
      </c>
      <c r="C86" s="2" t="s">
        <v>139</v>
      </c>
      <c r="D86" s="2" t="s">
        <v>7</v>
      </c>
      <c r="E86" s="3">
        <v>50</v>
      </c>
      <c r="F86" s="2" t="s">
        <v>140</v>
      </c>
      <c r="G86" s="2" t="s">
        <v>141</v>
      </c>
    </row>
    <row r="87" spans="1:7" outlineLevel="1" x14ac:dyDescent="0.25">
      <c r="B87" s="1">
        <v>204432</v>
      </c>
      <c r="C87" s="2" t="s">
        <v>101</v>
      </c>
      <c r="D87" s="2" t="s">
        <v>3</v>
      </c>
      <c r="E87" s="3">
        <v>10</v>
      </c>
      <c r="F87" s="2" t="s">
        <v>142</v>
      </c>
      <c r="G87" s="2" t="s">
        <v>103</v>
      </c>
    </row>
    <row r="88" spans="1:7" outlineLevel="1" x14ac:dyDescent="0.25">
      <c r="B88" s="1">
        <v>502342</v>
      </c>
      <c r="C88" s="2" t="s">
        <v>143</v>
      </c>
      <c r="D88" s="2" t="s">
        <v>7</v>
      </c>
      <c r="E88" s="3">
        <v>100</v>
      </c>
      <c r="F88" s="2" t="s">
        <v>144</v>
      </c>
      <c r="G88" s="2" t="s">
        <v>9</v>
      </c>
    </row>
    <row r="89" spans="1:7" outlineLevel="1" x14ac:dyDescent="0.25">
      <c r="B89" s="1">
        <v>235934</v>
      </c>
      <c r="C89" s="2" t="s">
        <v>145</v>
      </c>
      <c r="D89" s="2" t="s">
        <v>7</v>
      </c>
      <c r="E89" s="3">
        <v>100</v>
      </c>
      <c r="F89" s="2" t="s">
        <v>146</v>
      </c>
      <c r="G89" s="2" t="s">
        <v>9</v>
      </c>
    </row>
    <row r="90" spans="1:7" outlineLevel="1" x14ac:dyDescent="0.25">
      <c r="B90" s="1">
        <v>7125</v>
      </c>
      <c r="C90" s="2" t="s">
        <v>139</v>
      </c>
      <c r="D90" s="2" t="s">
        <v>3</v>
      </c>
      <c r="E90" s="3">
        <v>50</v>
      </c>
      <c r="F90" s="2" t="s">
        <v>147</v>
      </c>
      <c r="G90" s="2" t="s">
        <v>141</v>
      </c>
    </row>
    <row r="91" spans="1:7" outlineLevel="1" x14ac:dyDescent="0.25">
      <c r="B91" s="1">
        <v>440000</v>
      </c>
      <c r="C91" s="2" t="s">
        <v>148</v>
      </c>
      <c r="D91" s="2" t="s">
        <v>3</v>
      </c>
      <c r="E91" s="3">
        <v>20</v>
      </c>
      <c r="F91" s="2" t="s">
        <v>149</v>
      </c>
      <c r="G91" s="2" t="s">
        <v>103</v>
      </c>
    </row>
    <row r="92" spans="1:7" outlineLevel="1" x14ac:dyDescent="0.25">
      <c r="B92" s="1">
        <v>40000</v>
      </c>
      <c r="C92" s="2" t="s">
        <v>150</v>
      </c>
      <c r="D92" s="2" t="s">
        <v>7</v>
      </c>
      <c r="E92" s="3">
        <v>100</v>
      </c>
      <c r="F92" s="2" t="s">
        <v>149</v>
      </c>
      <c r="G92" s="2" t="s">
        <v>151</v>
      </c>
    </row>
    <row r="93" spans="1:7" outlineLevel="1" x14ac:dyDescent="0.25">
      <c r="B93" s="1">
        <v>85917</v>
      </c>
      <c r="C93" s="2" t="s">
        <v>61</v>
      </c>
      <c r="D93" s="2" t="s">
        <v>3</v>
      </c>
      <c r="E93" s="3">
        <v>22</v>
      </c>
      <c r="F93" s="2" t="s">
        <v>152</v>
      </c>
      <c r="G93" s="2" t="s">
        <v>9</v>
      </c>
    </row>
    <row r="94" spans="1:7" x14ac:dyDescent="0.25">
      <c r="B94" s="1">
        <f>SUM($B$51:$B$93)</f>
        <v>8390751</v>
      </c>
      <c r="C94" s="9" t="s">
        <v>243</v>
      </c>
    </row>
    <row r="95" spans="1:7" x14ac:dyDescent="0.25">
      <c r="B95" s="1"/>
    </row>
    <row r="96" spans="1:7" x14ac:dyDescent="0.25">
      <c r="A96" s="8" t="s">
        <v>153</v>
      </c>
    </row>
    <row r="97" spans="1:7" outlineLevel="1" x14ac:dyDescent="0.25">
      <c r="B97" s="1">
        <v>7500</v>
      </c>
      <c r="C97" s="2" t="s">
        <v>154</v>
      </c>
      <c r="D97" s="2" t="s">
        <v>3</v>
      </c>
      <c r="E97" s="3">
        <v>30</v>
      </c>
      <c r="F97" s="2" t="s">
        <v>155</v>
      </c>
      <c r="G97" s="2" t="s">
        <v>156</v>
      </c>
    </row>
    <row r="98" spans="1:7" outlineLevel="1" x14ac:dyDescent="0.25">
      <c r="B98" s="1">
        <v>12000</v>
      </c>
      <c r="C98" s="2" t="s">
        <v>157</v>
      </c>
      <c r="D98" s="2" t="s">
        <v>3</v>
      </c>
      <c r="E98" s="3">
        <v>100</v>
      </c>
      <c r="F98" s="2" t="s">
        <v>158</v>
      </c>
      <c r="G98" s="2" t="s">
        <v>159</v>
      </c>
    </row>
    <row r="99" spans="1:7" outlineLevel="1" x14ac:dyDescent="0.25">
      <c r="B99" s="1">
        <v>3000000</v>
      </c>
      <c r="C99" s="2" t="s">
        <v>76</v>
      </c>
      <c r="D99" s="2" t="s">
        <v>7</v>
      </c>
      <c r="E99" s="3">
        <v>100</v>
      </c>
      <c r="F99" s="2" t="s">
        <v>160</v>
      </c>
      <c r="G99" s="2" t="s">
        <v>78</v>
      </c>
    </row>
    <row r="100" spans="1:7" outlineLevel="1" x14ac:dyDescent="0.25">
      <c r="B100" s="1">
        <v>17500</v>
      </c>
      <c r="C100" s="2" t="s">
        <v>154</v>
      </c>
      <c r="D100" s="2" t="s">
        <v>7</v>
      </c>
      <c r="E100" s="3">
        <v>70</v>
      </c>
      <c r="F100" s="2" t="s">
        <v>161</v>
      </c>
      <c r="G100" s="2" t="s">
        <v>156</v>
      </c>
    </row>
    <row r="101" spans="1:7" outlineLevel="1" x14ac:dyDescent="0.25">
      <c r="B101" s="1">
        <v>70000</v>
      </c>
      <c r="C101" s="2" t="s">
        <v>36</v>
      </c>
      <c r="D101" s="2" t="s">
        <v>3</v>
      </c>
      <c r="E101" s="3">
        <v>50</v>
      </c>
      <c r="F101" s="2" t="s">
        <v>162</v>
      </c>
      <c r="G101" s="2" t="s">
        <v>38</v>
      </c>
    </row>
    <row r="102" spans="1:7" outlineLevel="1" x14ac:dyDescent="0.25">
      <c r="B102" s="1">
        <v>45000</v>
      </c>
      <c r="C102" s="2" t="s">
        <v>163</v>
      </c>
      <c r="D102" s="2" t="s">
        <v>7</v>
      </c>
      <c r="E102" s="3">
        <v>100</v>
      </c>
      <c r="F102" s="2" t="s">
        <v>164</v>
      </c>
      <c r="G102" s="2" t="s">
        <v>165</v>
      </c>
    </row>
    <row r="103" spans="1:7" outlineLevel="1" x14ac:dyDescent="0.25">
      <c r="B103" s="1">
        <v>0</v>
      </c>
      <c r="C103" s="2" t="s">
        <v>157</v>
      </c>
      <c r="D103" s="2" t="s">
        <v>7</v>
      </c>
      <c r="E103" s="3">
        <v>0</v>
      </c>
      <c r="F103" s="2" t="s">
        <v>166</v>
      </c>
      <c r="G103" s="2" t="s">
        <v>159</v>
      </c>
    </row>
    <row r="104" spans="1:7" x14ac:dyDescent="0.25">
      <c r="B104" s="1">
        <f>SUM($B$96:$B$103)</f>
        <v>3152000</v>
      </c>
      <c r="C104" s="9" t="s">
        <v>243</v>
      </c>
    </row>
    <row r="105" spans="1:7" x14ac:dyDescent="0.25">
      <c r="B105" s="1"/>
    </row>
    <row r="106" spans="1:7" x14ac:dyDescent="0.25">
      <c r="A106" s="8" t="s">
        <v>167</v>
      </c>
    </row>
    <row r="107" spans="1:7" outlineLevel="1" x14ac:dyDescent="0.25">
      <c r="B107" s="1">
        <v>15200</v>
      </c>
      <c r="C107" s="2" t="s">
        <v>168</v>
      </c>
      <c r="D107" s="2" t="s">
        <v>7</v>
      </c>
      <c r="E107" s="3">
        <v>100</v>
      </c>
      <c r="F107" s="2" t="s">
        <v>169</v>
      </c>
      <c r="G107" s="2" t="s">
        <v>170</v>
      </c>
    </row>
    <row r="108" spans="1:7" outlineLevel="1" x14ac:dyDescent="0.25">
      <c r="B108" s="1">
        <v>124817</v>
      </c>
      <c r="C108" s="2" t="s">
        <v>171</v>
      </c>
      <c r="D108" s="2" t="s">
        <v>3</v>
      </c>
      <c r="E108" s="3">
        <v>50</v>
      </c>
      <c r="F108" s="2" t="s">
        <v>172</v>
      </c>
      <c r="G108" s="2" t="s">
        <v>173</v>
      </c>
    </row>
    <row r="109" spans="1:7" outlineLevel="1" x14ac:dyDescent="0.25">
      <c r="B109" s="1">
        <v>11747</v>
      </c>
      <c r="C109" s="2" t="s">
        <v>174</v>
      </c>
      <c r="D109" s="2" t="s">
        <v>7</v>
      </c>
      <c r="E109" s="3">
        <v>100</v>
      </c>
      <c r="F109" s="2" t="s">
        <v>175</v>
      </c>
      <c r="G109" s="2" t="s">
        <v>176</v>
      </c>
    </row>
    <row r="110" spans="1:7" outlineLevel="1" x14ac:dyDescent="0.25">
      <c r="B110" s="1">
        <v>4000</v>
      </c>
      <c r="C110" s="2" t="s">
        <v>177</v>
      </c>
      <c r="D110" s="2" t="s">
        <v>7</v>
      </c>
      <c r="E110" s="3">
        <v>100</v>
      </c>
      <c r="F110" s="2" t="s">
        <v>175</v>
      </c>
      <c r="G110" s="2" t="s">
        <v>178</v>
      </c>
    </row>
    <row r="111" spans="1:7" outlineLevel="1" x14ac:dyDescent="0.25">
      <c r="B111" s="1">
        <v>124817</v>
      </c>
      <c r="C111" s="2" t="s">
        <v>171</v>
      </c>
      <c r="D111" s="2" t="s">
        <v>7</v>
      </c>
      <c r="E111" s="3">
        <v>50</v>
      </c>
      <c r="F111" s="2" t="s">
        <v>179</v>
      </c>
      <c r="G111" s="2" t="s">
        <v>173</v>
      </c>
    </row>
    <row r="112" spans="1:7" outlineLevel="1" x14ac:dyDescent="0.25">
      <c r="B112" s="1">
        <v>50000</v>
      </c>
      <c r="C112" s="2" t="s">
        <v>180</v>
      </c>
      <c r="D112" s="2" t="s">
        <v>7</v>
      </c>
      <c r="E112" s="3">
        <v>50</v>
      </c>
      <c r="F112" s="2" t="s">
        <v>181</v>
      </c>
      <c r="G112" s="2" t="s">
        <v>182</v>
      </c>
    </row>
    <row r="113" spans="1:7" outlineLevel="1" x14ac:dyDescent="0.25">
      <c r="B113" s="1">
        <v>98629</v>
      </c>
      <c r="C113" s="2" t="s">
        <v>183</v>
      </c>
      <c r="D113" s="2" t="s">
        <v>7</v>
      </c>
      <c r="E113" s="3">
        <v>50</v>
      </c>
      <c r="F113" s="2" t="s">
        <v>184</v>
      </c>
      <c r="G113" s="2" t="s">
        <v>182</v>
      </c>
    </row>
    <row r="114" spans="1:7" outlineLevel="1" x14ac:dyDescent="0.25">
      <c r="B114" s="1">
        <v>50000</v>
      </c>
      <c r="C114" s="2" t="s">
        <v>180</v>
      </c>
      <c r="D114" s="2" t="s">
        <v>3</v>
      </c>
      <c r="E114" s="3">
        <v>50</v>
      </c>
      <c r="F114" s="2" t="s">
        <v>185</v>
      </c>
      <c r="G114" s="2" t="s">
        <v>182</v>
      </c>
    </row>
    <row r="115" spans="1:7" outlineLevel="1" x14ac:dyDescent="0.25">
      <c r="B115" s="1">
        <v>98629</v>
      </c>
      <c r="C115" s="2" t="s">
        <v>183</v>
      </c>
      <c r="D115" s="2" t="s">
        <v>3</v>
      </c>
      <c r="E115" s="3">
        <v>50</v>
      </c>
      <c r="F115" s="2" t="s">
        <v>185</v>
      </c>
      <c r="G115" s="2" t="s">
        <v>182</v>
      </c>
    </row>
    <row r="116" spans="1:7" x14ac:dyDescent="0.25">
      <c r="B116" s="1">
        <f>SUM($B$106:$B$115)</f>
        <v>577839</v>
      </c>
      <c r="C116" s="9" t="s">
        <v>243</v>
      </c>
    </row>
    <row r="117" spans="1:7" x14ac:dyDescent="0.25">
      <c r="B117" s="1"/>
    </row>
    <row r="118" spans="1:7" x14ac:dyDescent="0.25">
      <c r="A118" s="8" t="s">
        <v>186</v>
      </c>
    </row>
    <row r="119" spans="1:7" outlineLevel="1" x14ac:dyDescent="0.25">
      <c r="B119" s="1">
        <v>204432</v>
      </c>
      <c r="C119" s="2" t="s">
        <v>101</v>
      </c>
      <c r="D119" s="2" t="s">
        <v>3</v>
      </c>
      <c r="E119" s="3">
        <v>10</v>
      </c>
      <c r="F119" s="2" t="s">
        <v>187</v>
      </c>
      <c r="G119" s="2" t="s">
        <v>103</v>
      </c>
    </row>
    <row r="120" spans="1:7" outlineLevel="1" x14ac:dyDescent="0.25">
      <c r="B120" s="1">
        <v>204432</v>
      </c>
      <c r="C120" s="2" t="s">
        <v>101</v>
      </c>
      <c r="D120" s="2" t="s">
        <v>3</v>
      </c>
      <c r="E120" s="3">
        <v>10</v>
      </c>
      <c r="F120" s="2" t="s">
        <v>188</v>
      </c>
      <c r="G120" s="2" t="s">
        <v>103</v>
      </c>
    </row>
    <row r="121" spans="1:7" outlineLevel="1" x14ac:dyDescent="0.25">
      <c r="B121" s="1">
        <v>0</v>
      </c>
      <c r="C121" s="2" t="s">
        <v>189</v>
      </c>
      <c r="D121" s="2" t="s">
        <v>3</v>
      </c>
      <c r="E121" s="3">
        <v>0</v>
      </c>
      <c r="F121" s="2" t="s">
        <v>190</v>
      </c>
      <c r="G121" s="2" t="s">
        <v>191</v>
      </c>
    </row>
    <row r="122" spans="1:7" outlineLevel="1" x14ac:dyDescent="0.25">
      <c r="B122" s="1">
        <v>130208</v>
      </c>
      <c r="C122" s="2" t="s">
        <v>189</v>
      </c>
      <c r="D122" s="2" t="s">
        <v>3</v>
      </c>
      <c r="E122" s="3">
        <v>34</v>
      </c>
      <c r="F122" s="2" t="s">
        <v>192</v>
      </c>
      <c r="G122" s="2" t="s">
        <v>191</v>
      </c>
    </row>
    <row r="123" spans="1:7" outlineLevel="1" x14ac:dyDescent="0.25">
      <c r="B123" s="1">
        <v>1650000</v>
      </c>
      <c r="C123" s="2" t="s">
        <v>193</v>
      </c>
      <c r="D123" s="2" t="s">
        <v>7</v>
      </c>
      <c r="E123" s="3">
        <v>100</v>
      </c>
      <c r="F123" s="2" t="s">
        <v>194</v>
      </c>
      <c r="G123" s="2" t="s">
        <v>195</v>
      </c>
    </row>
    <row r="124" spans="1:7" outlineLevel="1" x14ac:dyDescent="0.25">
      <c r="B124" s="1">
        <v>252758</v>
      </c>
      <c r="C124" s="2" t="s">
        <v>189</v>
      </c>
      <c r="D124" s="2" t="s">
        <v>7</v>
      </c>
      <c r="E124" s="3">
        <v>66</v>
      </c>
      <c r="F124" s="2" t="s">
        <v>196</v>
      </c>
      <c r="G124" s="2" t="s">
        <v>191</v>
      </c>
    </row>
    <row r="125" spans="1:7" x14ac:dyDescent="0.25">
      <c r="B125" s="1">
        <f>SUM($B$118:$B$124)</f>
        <v>2441830</v>
      </c>
      <c r="C125" s="9" t="s">
        <v>243</v>
      </c>
    </row>
    <row r="126" spans="1:7" x14ac:dyDescent="0.25">
      <c r="B126" s="1"/>
    </row>
    <row r="127" spans="1:7" x14ac:dyDescent="0.25">
      <c r="A127" s="8" t="s">
        <v>197</v>
      </c>
    </row>
    <row r="128" spans="1:7" outlineLevel="1" x14ac:dyDescent="0.25">
      <c r="B128" s="1">
        <v>25000</v>
      </c>
      <c r="C128" s="2" t="s">
        <v>65</v>
      </c>
      <c r="D128" s="2" t="s">
        <v>7</v>
      </c>
      <c r="E128" s="3">
        <v>50</v>
      </c>
      <c r="F128" s="2" t="s">
        <v>198</v>
      </c>
      <c r="G128" s="2" t="s">
        <v>67</v>
      </c>
    </row>
    <row r="129" spans="1:7" outlineLevel="1" x14ac:dyDescent="0.25">
      <c r="B129" s="1">
        <v>42916</v>
      </c>
      <c r="C129" s="2" t="s">
        <v>199</v>
      </c>
      <c r="D129" s="2" t="s">
        <v>7</v>
      </c>
      <c r="E129" s="3">
        <v>100</v>
      </c>
      <c r="F129" s="2" t="s">
        <v>198</v>
      </c>
      <c r="G129" s="2" t="s">
        <v>200</v>
      </c>
    </row>
    <row r="130" spans="1:7" x14ac:dyDescent="0.25">
      <c r="B130" s="1">
        <f>SUM($B$127:$B$129)</f>
        <v>67916</v>
      </c>
      <c r="C130" s="9" t="s">
        <v>243</v>
      </c>
    </row>
    <row r="131" spans="1:7" x14ac:dyDescent="0.25">
      <c r="B131" s="1"/>
    </row>
    <row r="132" spans="1:7" x14ac:dyDescent="0.25">
      <c r="A132" s="8" t="s">
        <v>201</v>
      </c>
    </row>
    <row r="133" spans="1:7" outlineLevel="1" x14ac:dyDescent="0.25">
      <c r="B133" s="1">
        <v>450</v>
      </c>
      <c r="C133" s="2" t="s">
        <v>202</v>
      </c>
      <c r="D133" s="2" t="s">
        <v>7</v>
      </c>
      <c r="E133" s="3">
        <v>100</v>
      </c>
      <c r="F133" s="2" t="s">
        <v>203</v>
      </c>
      <c r="G133" s="2" t="s">
        <v>204</v>
      </c>
    </row>
    <row r="134" spans="1:7" x14ac:dyDescent="0.25">
      <c r="B134" s="1">
        <f>SUM($B$132:$B$133)</f>
        <v>450</v>
      </c>
      <c r="C134" s="9" t="s">
        <v>243</v>
      </c>
    </row>
    <row r="135" spans="1:7" x14ac:dyDescent="0.25">
      <c r="B135" s="1"/>
    </row>
    <row r="136" spans="1:7" x14ac:dyDescent="0.25">
      <c r="A136" s="8" t="s">
        <v>205</v>
      </c>
    </row>
    <row r="137" spans="1:7" outlineLevel="1" x14ac:dyDescent="0.25">
      <c r="B137" s="1">
        <v>20000</v>
      </c>
      <c r="C137" s="2" t="s">
        <v>206</v>
      </c>
      <c r="D137" s="2" t="s">
        <v>7</v>
      </c>
      <c r="E137" s="3">
        <v>100</v>
      </c>
      <c r="F137" s="2" t="s">
        <v>207</v>
      </c>
      <c r="G137" s="2" t="s">
        <v>85</v>
      </c>
    </row>
    <row r="138" spans="1:7" outlineLevel="1" x14ac:dyDescent="0.25">
      <c r="B138" s="1">
        <v>13000</v>
      </c>
      <c r="C138" s="2" t="s">
        <v>208</v>
      </c>
      <c r="D138" s="2" t="s">
        <v>7</v>
      </c>
      <c r="E138" s="3">
        <v>100</v>
      </c>
      <c r="F138" s="2" t="s">
        <v>209</v>
      </c>
      <c r="G138" s="2" t="s">
        <v>210</v>
      </c>
    </row>
    <row r="139" spans="1:7" outlineLevel="1" x14ac:dyDescent="0.25">
      <c r="B139" s="1">
        <v>1200000</v>
      </c>
      <c r="C139" s="2" t="s">
        <v>211</v>
      </c>
      <c r="D139" s="2" t="s">
        <v>7</v>
      </c>
      <c r="E139" s="3">
        <v>100</v>
      </c>
      <c r="F139" s="2" t="s">
        <v>209</v>
      </c>
      <c r="G139" s="2" t="s">
        <v>212</v>
      </c>
    </row>
    <row r="140" spans="1:7" outlineLevel="1" x14ac:dyDescent="0.25">
      <c r="B140" s="1">
        <v>600000</v>
      </c>
      <c r="C140" s="2" t="s">
        <v>213</v>
      </c>
      <c r="D140" s="2" t="s">
        <v>7</v>
      </c>
      <c r="E140" s="3">
        <v>100</v>
      </c>
      <c r="F140" s="2" t="s">
        <v>209</v>
      </c>
      <c r="G140" s="2" t="s">
        <v>214</v>
      </c>
    </row>
    <row r="141" spans="1:7" outlineLevel="1" x14ac:dyDescent="0.25">
      <c r="B141" s="1">
        <v>750000</v>
      </c>
      <c r="C141" s="2" t="s">
        <v>215</v>
      </c>
      <c r="D141" s="2" t="s">
        <v>7</v>
      </c>
      <c r="E141" s="3">
        <v>100</v>
      </c>
      <c r="F141" s="2" t="s">
        <v>209</v>
      </c>
      <c r="G141" s="2" t="s">
        <v>216</v>
      </c>
    </row>
    <row r="142" spans="1:7" outlineLevel="1" x14ac:dyDescent="0.25">
      <c r="B142" s="1">
        <v>600000</v>
      </c>
      <c r="C142" s="2" t="s">
        <v>217</v>
      </c>
      <c r="D142" s="2" t="s">
        <v>7</v>
      </c>
      <c r="E142" s="3">
        <v>100</v>
      </c>
      <c r="F142" s="2" t="s">
        <v>209</v>
      </c>
      <c r="G142" s="2" t="s">
        <v>218</v>
      </c>
    </row>
    <row r="143" spans="1:7" outlineLevel="1" x14ac:dyDescent="0.25">
      <c r="B143" s="1">
        <v>439642</v>
      </c>
      <c r="C143" s="2" t="s">
        <v>219</v>
      </c>
      <c r="D143" s="2" t="s">
        <v>7</v>
      </c>
      <c r="E143" s="3">
        <v>100</v>
      </c>
      <c r="F143" s="2" t="s">
        <v>220</v>
      </c>
      <c r="G143" s="2" t="s">
        <v>221</v>
      </c>
    </row>
    <row r="144" spans="1:7" outlineLevel="1" x14ac:dyDescent="0.25">
      <c r="B144" s="1">
        <v>55000</v>
      </c>
      <c r="C144" s="2" t="s">
        <v>222</v>
      </c>
      <c r="D144" s="2" t="s">
        <v>7</v>
      </c>
      <c r="E144" s="3">
        <v>100</v>
      </c>
      <c r="F144" s="2" t="s">
        <v>223</v>
      </c>
      <c r="G144" s="2" t="s">
        <v>85</v>
      </c>
    </row>
    <row r="145" spans="2:7" outlineLevel="1" x14ac:dyDescent="0.25">
      <c r="B145" s="1">
        <v>763560</v>
      </c>
      <c r="C145" s="2" t="s">
        <v>224</v>
      </c>
      <c r="D145" s="2" t="s">
        <v>7</v>
      </c>
      <c r="E145" s="3">
        <v>100</v>
      </c>
      <c r="F145" s="2" t="s">
        <v>225</v>
      </c>
      <c r="G145" s="2" t="s">
        <v>214</v>
      </c>
    </row>
    <row r="146" spans="2:7" outlineLevel="1" x14ac:dyDescent="0.25">
      <c r="B146" s="1">
        <v>77966</v>
      </c>
      <c r="C146" s="2" t="s">
        <v>226</v>
      </c>
      <c r="D146" s="2" t="s">
        <v>7</v>
      </c>
      <c r="E146" s="3">
        <v>100</v>
      </c>
      <c r="F146" s="2" t="s">
        <v>227</v>
      </c>
      <c r="G146" s="2" t="s">
        <v>218</v>
      </c>
    </row>
    <row r="147" spans="2:7" outlineLevel="1" x14ac:dyDescent="0.25">
      <c r="B147" s="1">
        <v>2269396</v>
      </c>
      <c r="C147" s="2" t="s">
        <v>228</v>
      </c>
      <c r="D147" s="2" t="s">
        <v>7</v>
      </c>
      <c r="E147" s="3">
        <v>50</v>
      </c>
      <c r="F147" s="2" t="s">
        <v>229</v>
      </c>
      <c r="G147" s="2" t="s">
        <v>9</v>
      </c>
    </row>
    <row r="148" spans="2:7" outlineLevel="1" x14ac:dyDescent="0.25">
      <c r="B148" s="1">
        <v>2269396</v>
      </c>
      <c r="C148" s="2" t="s">
        <v>228</v>
      </c>
      <c r="D148" s="2" t="s">
        <v>3</v>
      </c>
      <c r="E148" s="3">
        <v>50</v>
      </c>
      <c r="F148" s="2" t="s">
        <v>230</v>
      </c>
      <c r="G148" s="2" t="s">
        <v>9</v>
      </c>
    </row>
    <row r="149" spans="2:7" outlineLevel="1" x14ac:dyDescent="0.25">
      <c r="B149" s="1">
        <v>362095</v>
      </c>
      <c r="C149" s="2" t="s">
        <v>231</v>
      </c>
      <c r="D149" s="2" t="s">
        <v>7</v>
      </c>
      <c r="E149" s="3">
        <v>100</v>
      </c>
      <c r="F149" s="2" t="s">
        <v>230</v>
      </c>
      <c r="G149" s="2" t="s">
        <v>232</v>
      </c>
    </row>
    <row r="150" spans="2:7" outlineLevel="1" x14ac:dyDescent="0.25">
      <c r="B150" s="1">
        <v>130000</v>
      </c>
      <c r="C150" s="2" t="s">
        <v>233</v>
      </c>
      <c r="D150" s="2" t="s">
        <v>7</v>
      </c>
      <c r="E150" s="3">
        <v>100</v>
      </c>
      <c r="F150" s="2" t="s">
        <v>234</v>
      </c>
      <c r="G150" s="2" t="s">
        <v>214</v>
      </c>
    </row>
    <row r="151" spans="2:7" outlineLevel="1" x14ac:dyDescent="0.25">
      <c r="B151" s="1">
        <v>1760000</v>
      </c>
      <c r="C151" s="2" t="s">
        <v>148</v>
      </c>
      <c r="D151" s="2" t="s">
        <v>7</v>
      </c>
      <c r="E151" s="3">
        <v>80</v>
      </c>
      <c r="F151" s="2" t="s">
        <v>234</v>
      </c>
      <c r="G151" s="2" t="s">
        <v>103</v>
      </c>
    </row>
    <row r="152" spans="2:7" outlineLevel="1" x14ac:dyDescent="0.25">
      <c r="B152" s="1">
        <v>380000</v>
      </c>
      <c r="C152" s="2" t="s">
        <v>235</v>
      </c>
      <c r="D152" s="2" t="s">
        <v>7</v>
      </c>
      <c r="E152" s="3">
        <v>100</v>
      </c>
      <c r="F152" s="2" t="s">
        <v>234</v>
      </c>
      <c r="G152" s="2" t="s">
        <v>214</v>
      </c>
    </row>
    <row r="153" spans="2:7" outlineLevel="1" x14ac:dyDescent="0.25">
      <c r="B153" s="1">
        <v>60033</v>
      </c>
      <c r="C153" s="2" t="s">
        <v>236</v>
      </c>
      <c r="D153" s="2" t="s">
        <v>7</v>
      </c>
      <c r="E153" s="3">
        <v>100</v>
      </c>
      <c r="F153" s="2" t="s">
        <v>234</v>
      </c>
      <c r="G153" s="2" t="s">
        <v>237</v>
      </c>
    </row>
    <row r="154" spans="2:7" x14ac:dyDescent="0.25">
      <c r="B154" s="1">
        <f>SUM($B$136:$B$153)</f>
        <v>11750088</v>
      </c>
      <c r="C154" s="9" t="s">
        <v>243</v>
      </c>
    </row>
    <row r="155" spans="2:7" x14ac:dyDescent="0.25">
      <c r="B155" s="1"/>
    </row>
    <row r="156" spans="2:7" x14ac:dyDescent="0.25">
      <c r="B156" s="10">
        <f>SUM(B154,B134,B130,B125,B116,B104,B94,B49,B41,B36,B10)</f>
        <v>39398943</v>
      </c>
      <c r="C156" s="4" t="s">
        <v>244</v>
      </c>
    </row>
  </sheetData>
  <phoneticPr fontId="0" type="noConversion"/>
  <pageMargins left="0.25" right="0.25" top="0.75" bottom="0.5" header="0.25" footer="0.25"/>
  <pageSetup orientation="landscape" r:id="rId1"/>
  <headerFooter alignWithMargins="0">
    <oddHeader>&amp;COffice of Research
Monthly Proposed Report
December 2003 (FY2004)</oddHeader>
    <oddFooter>&amp;L&amp;6Wednesday, January 7, 2004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MPR_BudgetByCollege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2004-01-07T17:45:54Z</cp:lastPrinted>
  <dcterms:created xsi:type="dcterms:W3CDTF">2004-01-07T17:06:51Z</dcterms:created>
  <dcterms:modified xsi:type="dcterms:W3CDTF">2020-01-27T11:59:40Z</dcterms:modified>
</cp:coreProperties>
</file>