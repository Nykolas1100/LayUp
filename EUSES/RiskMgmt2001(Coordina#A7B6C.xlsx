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B6D80E5-C045-46E1-A7B2-A8023C165A6D}" xr6:coauthVersionLast="45" xr6:coauthVersionMax="45" xr10:uidLastSave="{00000000-0000-0000-0000-000000000000}"/>
  <workbookProtection lockStructure="1"/>
  <bookViews>
    <workbookView xWindow="760" yWindow="760" windowWidth="28800" windowHeight="15460"/>
  </bookViews>
  <sheets>
    <sheet name="Sheet1" sheetId="1" r:id="rId1"/>
    <sheet name="Sheet2 (3)" sheetId="6" r:id="rId2"/>
    <sheet name="Sheet2 (4)" sheetId="9" r:id="rId3"/>
    <sheet name="Sheet2 (5)" sheetId="10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C12" i="1"/>
  <c r="C14" i="1" s="1"/>
  <c r="D12" i="1"/>
  <c r="E12" i="1"/>
  <c r="D14" i="1"/>
  <c r="E14" i="1"/>
  <c r="C15" i="1"/>
  <c r="D15" i="1"/>
  <c r="E15" i="1"/>
  <c r="D16" i="1"/>
  <c r="E16" i="1"/>
  <c r="C25" i="1"/>
  <c r="C156" i="1" s="1"/>
  <c r="C159" i="1" s="1"/>
  <c r="D25" i="1"/>
  <c r="E25" i="1"/>
  <c r="E27" i="1" s="1"/>
  <c r="C27" i="1"/>
  <c r="C29" i="1" s="1"/>
  <c r="C31" i="1" s="1"/>
  <c r="D27" i="1"/>
  <c r="D29" i="1" s="1"/>
  <c r="D31" i="1" s="1"/>
  <c r="C44" i="1"/>
  <c r="C100" i="1" s="1"/>
  <c r="C109" i="1" s="1"/>
  <c r="D44" i="1"/>
  <c r="D181" i="1" s="1"/>
  <c r="D190" i="1" s="1"/>
  <c r="E44" i="1"/>
  <c r="B27" i="10" s="1"/>
  <c r="C56" i="1"/>
  <c r="D56" i="1"/>
  <c r="E56" i="1"/>
  <c r="C57" i="1"/>
  <c r="D57" i="1"/>
  <c r="E57" i="1"/>
  <c r="C58" i="1"/>
  <c r="D58" i="1"/>
  <c r="E58" i="1"/>
  <c r="C80" i="1"/>
  <c r="D80" i="1"/>
  <c r="E80" i="1"/>
  <c r="E94" i="1" s="1"/>
  <c r="E111" i="1" s="1"/>
  <c r="C82" i="1"/>
  <c r="D82" i="1"/>
  <c r="E82" i="1"/>
  <c r="C83" i="1"/>
  <c r="C97" i="1" s="1"/>
  <c r="C123" i="1" s="1"/>
  <c r="C197" i="1" s="1"/>
  <c r="C199" i="1" s="1"/>
  <c r="D83" i="1"/>
  <c r="D97" i="1" s="1"/>
  <c r="D123" i="1" s="1"/>
  <c r="E83" i="1"/>
  <c r="E97" i="1" s="1"/>
  <c r="E123" i="1" s="1"/>
  <c r="D84" i="1"/>
  <c r="E84" i="1"/>
  <c r="D86" i="1"/>
  <c r="D100" i="1" s="1"/>
  <c r="D109" i="1" s="1"/>
  <c r="E86" i="1"/>
  <c r="C94" i="1"/>
  <c r="C111" i="1" s="1"/>
  <c r="C124" i="1" s="1"/>
  <c r="D94" i="1"/>
  <c r="D111" i="1" s="1"/>
  <c r="D124" i="1" s="1"/>
  <c r="C95" i="1"/>
  <c r="D95" i="1"/>
  <c r="E95" i="1"/>
  <c r="C96" i="1"/>
  <c r="C112" i="1" s="1"/>
  <c r="C125" i="1" s="1"/>
  <c r="C68" i="6" s="1"/>
  <c r="D96" i="1"/>
  <c r="D112" i="1" s="1"/>
  <c r="D125" i="1" s="1"/>
  <c r="E96" i="1"/>
  <c r="E112" i="1" s="1"/>
  <c r="E125" i="1" s="1"/>
  <c r="C69" i="10" s="1"/>
  <c r="C108" i="1"/>
  <c r="D108" i="1"/>
  <c r="D113" i="1" s="1"/>
  <c r="E108" i="1"/>
  <c r="C110" i="1"/>
  <c r="D110" i="1"/>
  <c r="E110" i="1"/>
  <c r="C122" i="1"/>
  <c r="C126" i="1" s="1"/>
  <c r="D122" i="1"/>
  <c r="E122" i="1"/>
  <c r="C137" i="1"/>
  <c r="D137" i="1"/>
  <c r="E137" i="1"/>
  <c r="C138" i="1"/>
  <c r="D138" i="1"/>
  <c r="E138" i="1"/>
  <c r="C140" i="1"/>
  <c r="D140" i="1"/>
  <c r="E140" i="1"/>
  <c r="D141" i="1"/>
  <c r="E141" i="1"/>
  <c r="D142" i="1"/>
  <c r="E142" i="1"/>
  <c r="C155" i="1"/>
  <c r="D155" i="1"/>
  <c r="E155" i="1"/>
  <c r="D156" i="1"/>
  <c r="D159" i="1" s="1"/>
  <c r="E156" i="1"/>
  <c r="E159" i="1" s="1"/>
  <c r="C157" i="1"/>
  <c r="D157" i="1"/>
  <c r="E157" i="1"/>
  <c r="C158" i="1"/>
  <c r="D158" i="1"/>
  <c r="E158" i="1"/>
  <c r="C164" i="1"/>
  <c r="D164" i="1"/>
  <c r="E164" i="1"/>
  <c r="C165" i="1"/>
  <c r="D165" i="1"/>
  <c r="E165" i="1"/>
  <c r="C166" i="1"/>
  <c r="D166" i="1"/>
  <c r="E166" i="1"/>
  <c r="C167" i="1"/>
  <c r="D167" i="1"/>
  <c r="E167" i="1"/>
  <c r="C168" i="1"/>
  <c r="D168" i="1"/>
  <c r="E168" i="1"/>
  <c r="C173" i="1"/>
  <c r="D173" i="1"/>
  <c r="E173" i="1"/>
  <c r="C174" i="1"/>
  <c r="C175" i="1" s="1"/>
  <c r="D174" i="1"/>
  <c r="E174" i="1"/>
  <c r="D175" i="1"/>
  <c r="E175" i="1"/>
  <c r="C181" i="1"/>
  <c r="C190" i="1" s="1"/>
  <c r="C192" i="1" s="1"/>
  <c r="C184" i="1"/>
  <c r="D184" i="1"/>
  <c r="E184" i="1"/>
  <c r="C191" i="1"/>
  <c r="D191" i="1"/>
  <c r="E191" i="1"/>
  <c r="C198" i="1"/>
  <c r="D198" i="1"/>
  <c r="E198" i="1"/>
  <c r="C205" i="1"/>
  <c r="D205" i="1"/>
  <c r="E205" i="1"/>
  <c r="C224" i="1"/>
  <c r="C245" i="1" s="1"/>
  <c r="D224" i="1"/>
  <c r="D245" i="1" s="1"/>
  <c r="C235" i="1"/>
  <c r="D235" i="1"/>
  <c r="D243" i="1" s="1"/>
  <c r="C240" i="1"/>
  <c r="C241" i="1" s="1"/>
  <c r="D240" i="1"/>
  <c r="D241" i="1"/>
  <c r="C243" i="1"/>
  <c r="C262" i="1"/>
  <c r="D276" i="1"/>
  <c r="C65" i="9" s="1"/>
  <c r="E276" i="1"/>
  <c r="D293" i="1"/>
  <c r="D294" i="1" s="1"/>
  <c r="E293" i="1"/>
  <c r="E294" i="1"/>
  <c r="D295" i="1"/>
  <c r="D307" i="1" s="1"/>
  <c r="E295" i="1"/>
  <c r="E307" i="1" s="1"/>
  <c r="D296" i="1"/>
  <c r="E296" i="1"/>
  <c r="D297" i="1"/>
  <c r="E297" i="1"/>
  <c r="D298" i="1"/>
  <c r="E298" i="1"/>
  <c r="B5" i="6"/>
  <c r="C5" i="6"/>
  <c r="B6" i="6"/>
  <c r="C6" i="6"/>
  <c r="D6" i="6"/>
  <c r="E6" i="6"/>
  <c r="F6" i="6"/>
  <c r="G6" i="6"/>
  <c r="H6" i="6"/>
  <c r="B21" i="6"/>
  <c r="C21" i="6"/>
  <c r="D21" i="6"/>
  <c r="E21" i="6"/>
  <c r="F21" i="6"/>
  <c r="G21" i="6"/>
  <c r="H21" i="6"/>
  <c r="D23" i="6"/>
  <c r="E23" i="6"/>
  <c r="F23" i="6"/>
  <c r="G23" i="6"/>
  <c r="H23" i="6"/>
  <c r="B26" i="6"/>
  <c r="B36" i="6"/>
  <c r="B44" i="6"/>
  <c r="C44" i="6"/>
  <c r="C52" i="6" s="1"/>
  <c r="D44" i="6"/>
  <c r="D52" i="6" s="1"/>
  <c r="E44" i="6"/>
  <c r="F44" i="6"/>
  <c r="G44" i="6"/>
  <c r="G52" i="6" s="1"/>
  <c r="H44" i="6"/>
  <c r="H52" i="6" s="1"/>
  <c r="D45" i="6"/>
  <c r="E45" i="6"/>
  <c r="F45" i="6"/>
  <c r="G45" i="6"/>
  <c r="H45" i="6"/>
  <c r="D48" i="6"/>
  <c r="E48" i="6"/>
  <c r="F48" i="6"/>
  <c r="G48" i="6"/>
  <c r="H48" i="6"/>
  <c r="A51" i="6"/>
  <c r="B52" i="6"/>
  <c r="B98" i="6" s="1"/>
  <c r="E52" i="6"/>
  <c r="F52" i="6"/>
  <c r="D55" i="6"/>
  <c r="D59" i="6" s="1"/>
  <c r="D76" i="6" s="1"/>
  <c r="D78" i="6" s="1"/>
  <c r="D94" i="6" s="1"/>
  <c r="D96" i="6" s="1"/>
  <c r="E55" i="6"/>
  <c r="E59" i="6" s="1"/>
  <c r="E76" i="6" s="1"/>
  <c r="E78" i="6" s="1"/>
  <c r="E94" i="6" s="1"/>
  <c r="E96" i="6" s="1"/>
  <c r="F55" i="6"/>
  <c r="F59" i="6" s="1"/>
  <c r="F76" i="6" s="1"/>
  <c r="F78" i="6" s="1"/>
  <c r="F94" i="6" s="1"/>
  <c r="F96" i="6" s="1"/>
  <c r="G55" i="6"/>
  <c r="G59" i="6" s="1"/>
  <c r="G76" i="6" s="1"/>
  <c r="G78" i="6" s="1"/>
  <c r="G94" i="6" s="1"/>
  <c r="G96" i="6" s="1"/>
  <c r="H55" i="6"/>
  <c r="H59" i="6" s="1"/>
  <c r="H76" i="6" s="1"/>
  <c r="H78" i="6" s="1"/>
  <c r="H94" i="6" s="1"/>
  <c r="H96" i="6" s="1"/>
  <c r="D57" i="6"/>
  <c r="E57" i="6"/>
  <c r="F57" i="6"/>
  <c r="G57" i="6"/>
  <c r="H57" i="6"/>
  <c r="C66" i="6"/>
  <c r="C69" i="6"/>
  <c r="B70" i="6"/>
  <c r="C70" i="6"/>
  <c r="C83" i="6"/>
  <c r="C84" i="6"/>
  <c r="C85" i="6"/>
  <c r="C86" i="6"/>
  <c r="D93" i="6"/>
  <c r="E93" i="6"/>
  <c r="F93" i="6"/>
  <c r="G93" i="6"/>
  <c r="H93" i="6"/>
  <c r="A98" i="6"/>
  <c r="A99" i="6"/>
  <c r="A100" i="6"/>
  <c r="A101" i="6"/>
  <c r="B5" i="9"/>
  <c r="C5" i="9"/>
  <c r="B6" i="9"/>
  <c r="B23" i="9" s="1"/>
  <c r="C6" i="9"/>
  <c r="C23" i="9" s="1"/>
  <c r="D6" i="9"/>
  <c r="E6" i="9"/>
  <c r="F6" i="9"/>
  <c r="G6" i="9"/>
  <c r="H6" i="9"/>
  <c r="B21" i="9"/>
  <c r="B56" i="9" s="1"/>
  <c r="C21" i="9"/>
  <c r="D21" i="9"/>
  <c r="E21" i="9"/>
  <c r="F21" i="9"/>
  <c r="G21" i="9"/>
  <c r="H21" i="9"/>
  <c r="H54" i="9" s="1"/>
  <c r="H58" i="9" s="1"/>
  <c r="H75" i="9" s="1"/>
  <c r="H77" i="9" s="1"/>
  <c r="H93" i="9" s="1"/>
  <c r="H95" i="9" s="1"/>
  <c r="D23" i="9"/>
  <c r="E23" i="9"/>
  <c r="F23" i="9"/>
  <c r="G23" i="9"/>
  <c r="H23" i="9"/>
  <c r="B26" i="9"/>
  <c r="B38" i="9"/>
  <c r="B39" i="9"/>
  <c r="C263" i="1" s="1"/>
  <c r="B44" i="9"/>
  <c r="C44" i="9"/>
  <c r="D44" i="9"/>
  <c r="E44" i="9"/>
  <c r="E51" i="9" s="1"/>
  <c r="F44" i="9"/>
  <c r="G44" i="9"/>
  <c r="H44" i="9"/>
  <c r="D45" i="9"/>
  <c r="D47" i="9" s="1"/>
  <c r="E45" i="9"/>
  <c r="E47" i="9" s="1"/>
  <c r="F45" i="9"/>
  <c r="F47" i="9" s="1"/>
  <c r="G45" i="9"/>
  <c r="G47" i="9" s="1"/>
  <c r="H45" i="9"/>
  <c r="H47" i="9" s="1"/>
  <c r="A50" i="9"/>
  <c r="B51" i="9"/>
  <c r="C51" i="9"/>
  <c r="C74" i="9" s="1"/>
  <c r="C92" i="9" s="1"/>
  <c r="D51" i="9"/>
  <c r="F51" i="9"/>
  <c r="G51" i="9"/>
  <c r="H51" i="9"/>
  <c r="B54" i="9"/>
  <c r="B58" i="9" s="1"/>
  <c r="C54" i="9"/>
  <c r="C58" i="9" s="1"/>
  <c r="D54" i="9"/>
  <c r="D58" i="9" s="1"/>
  <c r="D75" i="9" s="1"/>
  <c r="D77" i="9" s="1"/>
  <c r="D93" i="9" s="1"/>
  <c r="D95" i="9" s="1"/>
  <c r="E54" i="9"/>
  <c r="E58" i="9" s="1"/>
  <c r="E75" i="9" s="1"/>
  <c r="E77" i="9" s="1"/>
  <c r="E93" i="9" s="1"/>
  <c r="E95" i="9" s="1"/>
  <c r="F54" i="9"/>
  <c r="F58" i="9" s="1"/>
  <c r="F75" i="9" s="1"/>
  <c r="F77" i="9" s="1"/>
  <c r="F93" i="9" s="1"/>
  <c r="F95" i="9" s="1"/>
  <c r="G54" i="9"/>
  <c r="G58" i="9" s="1"/>
  <c r="G75" i="9" s="1"/>
  <c r="G77" i="9" s="1"/>
  <c r="G93" i="9" s="1"/>
  <c r="G95" i="9" s="1"/>
  <c r="C56" i="9"/>
  <c r="D56" i="9"/>
  <c r="E56" i="9"/>
  <c r="F56" i="9"/>
  <c r="G56" i="9"/>
  <c r="H56" i="9"/>
  <c r="C66" i="9"/>
  <c r="C67" i="9"/>
  <c r="C68" i="9"/>
  <c r="B69" i="9"/>
  <c r="C69" i="9"/>
  <c r="B74" i="9"/>
  <c r="B92" i="9" s="1"/>
  <c r="C82" i="9"/>
  <c r="C84" i="9"/>
  <c r="C85" i="9"/>
  <c r="D92" i="9"/>
  <c r="E92" i="9"/>
  <c r="F92" i="9"/>
  <c r="G92" i="9"/>
  <c r="H92" i="9"/>
  <c r="A97" i="9"/>
  <c r="B97" i="9"/>
  <c r="C97" i="9"/>
  <c r="A98" i="9"/>
  <c r="A99" i="9"/>
  <c r="A100" i="9"/>
  <c r="C5" i="10"/>
  <c r="C6" i="10" s="1"/>
  <c r="C23" i="10" s="1"/>
  <c r="B6" i="10"/>
  <c r="D6" i="10"/>
  <c r="E6" i="10"/>
  <c r="F6" i="10"/>
  <c r="G6" i="10"/>
  <c r="H6" i="10"/>
  <c r="B21" i="10"/>
  <c r="B56" i="10" s="1"/>
  <c r="B60" i="10" s="1"/>
  <c r="C21" i="10"/>
  <c r="D21" i="10"/>
  <c r="D23" i="10" s="1"/>
  <c r="E21" i="10"/>
  <c r="E23" i="10" s="1"/>
  <c r="F21" i="10"/>
  <c r="F23" i="10" s="1"/>
  <c r="G21" i="10"/>
  <c r="G23" i="10" s="1"/>
  <c r="H21" i="10"/>
  <c r="H23" i="10" s="1"/>
  <c r="B23" i="10"/>
  <c r="B26" i="10"/>
  <c r="B38" i="10"/>
  <c r="C70" i="10" s="1"/>
  <c r="B39" i="10"/>
  <c r="C68" i="10" s="1"/>
  <c r="B45" i="10"/>
  <c r="C45" i="10"/>
  <c r="D45" i="10"/>
  <c r="D53" i="10" s="1"/>
  <c r="E45" i="10"/>
  <c r="F45" i="10"/>
  <c r="G45" i="10"/>
  <c r="H45" i="10"/>
  <c r="H53" i="10" s="1"/>
  <c r="A52" i="10"/>
  <c r="B53" i="10"/>
  <c r="B76" i="10" s="1"/>
  <c r="B93" i="10" s="1"/>
  <c r="C53" i="10"/>
  <c r="C99" i="10" s="1"/>
  <c r="E53" i="10"/>
  <c r="F53" i="10"/>
  <c r="G53" i="10"/>
  <c r="D58" i="10"/>
  <c r="E58" i="10"/>
  <c r="F58" i="10"/>
  <c r="G58" i="10"/>
  <c r="H58" i="10"/>
  <c r="C67" i="10"/>
  <c r="B71" i="10"/>
  <c r="C84" i="10"/>
  <c r="C86" i="10"/>
  <c r="C87" i="10"/>
  <c r="D93" i="10"/>
  <c r="E93" i="10"/>
  <c r="F93" i="10"/>
  <c r="G93" i="10"/>
  <c r="H93" i="10"/>
  <c r="A99" i="10"/>
  <c r="B99" i="10"/>
  <c r="A100" i="10"/>
  <c r="A101" i="10"/>
  <c r="A102" i="10"/>
  <c r="D147" i="1" l="1"/>
  <c r="D204" i="1"/>
  <c r="D206" i="1" s="1"/>
  <c r="D79" i="1"/>
  <c r="D55" i="1"/>
  <c r="D59" i="1" s="1"/>
  <c r="D61" i="1" s="1"/>
  <c r="D180" i="1"/>
  <c r="D183" i="1" s="1"/>
  <c r="D185" i="1" s="1"/>
  <c r="D146" i="1" s="1"/>
  <c r="C61" i="9"/>
  <c r="C251" i="1"/>
  <c r="C260" i="1" s="1"/>
  <c r="C264" i="1" s="1"/>
  <c r="C266" i="1" s="1"/>
  <c r="D192" i="1"/>
  <c r="B27" i="9"/>
  <c r="E126" i="1"/>
  <c r="E197" i="1"/>
  <c r="E199" i="1" s="1"/>
  <c r="E113" i="1"/>
  <c r="D114" i="1"/>
  <c r="D273" i="1"/>
  <c r="C127" i="1"/>
  <c r="C274" i="1"/>
  <c r="C113" i="1"/>
  <c r="E124" i="1"/>
  <c r="C71" i="10"/>
  <c r="D126" i="1"/>
  <c r="D197" i="1"/>
  <c r="D199" i="1" s="1"/>
  <c r="C147" i="1"/>
  <c r="C204" i="1"/>
  <c r="C206" i="1" s="1"/>
  <c r="C79" i="1"/>
  <c r="C55" i="1"/>
  <c r="C59" i="1" s="1"/>
  <c r="C61" i="1" s="1"/>
  <c r="C180" i="1"/>
  <c r="C183" i="1" s="1"/>
  <c r="C185" i="1" s="1"/>
  <c r="C146" i="1" s="1"/>
  <c r="C98" i="6"/>
  <c r="C75" i="6"/>
  <c r="C93" i="6" s="1"/>
  <c r="C293" i="1"/>
  <c r="C16" i="1"/>
  <c r="C141" i="1"/>
  <c r="C142" i="1" s="1"/>
  <c r="B39" i="6"/>
  <c r="E29" i="1"/>
  <c r="E31" i="1" s="1"/>
  <c r="E38" i="1"/>
  <c r="E40" i="1" s="1"/>
  <c r="E43" i="1" s="1"/>
  <c r="E45" i="1" s="1"/>
  <c r="E47" i="1" s="1"/>
  <c r="E49" i="1" s="1"/>
  <c r="B36" i="10"/>
  <c r="B40" i="10" s="1"/>
  <c r="C85" i="10"/>
  <c r="B75" i="6"/>
  <c r="B93" i="6" s="1"/>
  <c r="C57" i="6"/>
  <c r="E181" i="1"/>
  <c r="E190" i="1" s="1"/>
  <c r="E192" i="1" s="1"/>
  <c r="B57" i="6"/>
  <c r="C76" i="10"/>
  <c r="C93" i="10" s="1"/>
  <c r="E100" i="1"/>
  <c r="E109" i="1" s="1"/>
  <c r="D38" i="1"/>
  <c r="D40" i="1" s="1"/>
  <c r="D43" i="1" s="1"/>
  <c r="D45" i="1" s="1"/>
  <c r="D47" i="1" s="1"/>
  <c r="D49" i="1" s="1"/>
  <c r="H56" i="10"/>
  <c r="H60" i="10" s="1"/>
  <c r="H77" i="10" s="1"/>
  <c r="H79" i="10" s="1"/>
  <c r="H95" i="10" s="1"/>
  <c r="H97" i="10" s="1"/>
  <c r="C55" i="6"/>
  <c r="C59" i="6" s="1"/>
  <c r="C38" i="1"/>
  <c r="C40" i="1" s="1"/>
  <c r="C43" i="1" s="1"/>
  <c r="C45" i="1" s="1"/>
  <c r="C47" i="1" s="1"/>
  <c r="C49" i="1" s="1"/>
  <c r="B55" i="6"/>
  <c r="B59" i="6" s="1"/>
  <c r="C23" i="6"/>
  <c r="C58" i="10"/>
  <c r="F56" i="10"/>
  <c r="F60" i="10" s="1"/>
  <c r="F77" i="10" s="1"/>
  <c r="F79" i="10" s="1"/>
  <c r="F95" i="10" s="1"/>
  <c r="F97" i="10" s="1"/>
  <c r="H46" i="10"/>
  <c r="H49" i="10" s="1"/>
  <c r="B23" i="6"/>
  <c r="G56" i="10"/>
  <c r="G60" i="10" s="1"/>
  <c r="G77" i="10" s="1"/>
  <c r="G79" i="10" s="1"/>
  <c r="G95" i="10" s="1"/>
  <c r="G97" i="10" s="1"/>
  <c r="E56" i="10"/>
  <c r="E60" i="10" s="1"/>
  <c r="E77" i="10" s="1"/>
  <c r="E79" i="10" s="1"/>
  <c r="E95" i="10" s="1"/>
  <c r="E97" i="10" s="1"/>
  <c r="G46" i="10"/>
  <c r="G49" i="10" s="1"/>
  <c r="F46" i="10"/>
  <c r="F49" i="10" s="1"/>
  <c r="B58" i="10"/>
  <c r="D56" i="10"/>
  <c r="D60" i="10" s="1"/>
  <c r="D77" i="10" s="1"/>
  <c r="D79" i="10" s="1"/>
  <c r="D95" i="10" s="1"/>
  <c r="D97" i="10" s="1"/>
  <c r="C56" i="10"/>
  <c r="C60" i="10" s="1"/>
  <c r="E46" i="10"/>
  <c r="E49" i="10" s="1"/>
  <c r="D46" i="10"/>
  <c r="D49" i="10" s="1"/>
  <c r="E127" i="1" l="1"/>
  <c r="E274" i="1"/>
  <c r="C294" i="1"/>
  <c r="C295" i="1"/>
  <c r="C307" i="1" s="1"/>
  <c r="C296" i="1"/>
  <c r="C297" i="1"/>
  <c r="C298" i="1"/>
  <c r="C62" i="6"/>
  <c r="C63" i="10"/>
  <c r="C85" i="1"/>
  <c r="C87" i="1" s="1"/>
  <c r="C152" i="1" s="1"/>
  <c r="C93" i="1"/>
  <c r="C98" i="1" s="1"/>
  <c r="C103" i="1" s="1"/>
  <c r="C153" i="1" s="1"/>
  <c r="C268" i="1"/>
  <c r="C269" i="1" s="1"/>
  <c r="D268" i="1"/>
  <c r="D269" i="1" s="1"/>
  <c r="C67" i="6"/>
  <c r="B40" i="6"/>
  <c r="D115" i="1"/>
  <c r="D116" i="1"/>
  <c r="D85" i="1"/>
  <c r="D87" i="1" s="1"/>
  <c r="D152" i="1" s="1"/>
  <c r="D93" i="1"/>
  <c r="D98" i="1" s="1"/>
  <c r="D103" i="1" s="1"/>
  <c r="D153" i="1" s="1"/>
  <c r="B36" i="9"/>
  <c r="B40" i="9" s="1"/>
  <c r="C83" i="9"/>
  <c r="D127" i="1"/>
  <c r="D274" i="1"/>
  <c r="C114" i="1"/>
  <c r="C273" i="1"/>
  <c r="C129" i="1"/>
  <c r="C128" i="1"/>
  <c r="E114" i="1"/>
  <c r="E273" i="1"/>
  <c r="C66" i="10"/>
  <c r="C72" i="10" s="1"/>
  <c r="B42" i="10"/>
  <c r="E147" i="1"/>
  <c r="E204" i="1"/>
  <c r="E206" i="1" s="1"/>
  <c r="E79" i="1"/>
  <c r="E55" i="1"/>
  <c r="E59" i="1" s="1"/>
  <c r="E61" i="1" s="1"/>
  <c r="E180" i="1"/>
  <c r="E183" i="1" s="1"/>
  <c r="E185" i="1" s="1"/>
  <c r="E146" i="1" s="1"/>
  <c r="E85" i="1" l="1"/>
  <c r="E87" i="1" s="1"/>
  <c r="E152" i="1" s="1"/>
  <c r="E93" i="1"/>
  <c r="E98" i="1" s="1"/>
  <c r="E103" i="1" s="1"/>
  <c r="E153" i="1" s="1"/>
  <c r="C65" i="6"/>
  <c r="C71" i="6" s="1"/>
  <c r="B42" i="6"/>
  <c r="E115" i="1"/>
  <c r="E116" i="1"/>
  <c r="D73" i="6"/>
  <c r="C303" i="1" s="1"/>
  <c r="C315" i="1" s="1"/>
  <c r="B46" i="10"/>
  <c r="B49" i="10" s="1"/>
  <c r="B100" i="10" s="1"/>
  <c r="C46" i="10"/>
  <c r="C49" i="10" s="1"/>
  <c r="C100" i="10" s="1"/>
  <c r="D74" i="10"/>
  <c r="E303" i="1" s="1"/>
  <c r="C115" i="1"/>
  <c r="C116" i="1"/>
  <c r="D129" i="1"/>
  <c r="D128" i="1"/>
  <c r="C308" i="1"/>
  <c r="B42" i="9"/>
  <c r="C64" i="9"/>
  <c r="C70" i="9" s="1"/>
  <c r="C83" i="10"/>
  <c r="C88" i="10" s="1"/>
  <c r="C90" i="10" s="1"/>
  <c r="C73" i="10"/>
  <c r="E129" i="1"/>
  <c r="E128" i="1"/>
  <c r="E315" i="1" l="1"/>
  <c r="E308" i="1"/>
  <c r="C81" i="9"/>
  <c r="C86" i="9" s="1"/>
  <c r="C71" i="9"/>
  <c r="C72" i="9"/>
  <c r="D303" i="1" s="1"/>
  <c r="C82" i="6"/>
  <c r="C87" i="6" s="1"/>
  <c r="C72" i="6"/>
  <c r="B45" i="9"/>
  <c r="B47" i="9" s="1"/>
  <c r="B98" i="9" s="1"/>
  <c r="C45" i="9"/>
  <c r="C47" i="9" s="1"/>
  <c r="C98" i="9" s="1"/>
  <c r="D92" i="10"/>
  <c r="C45" i="6"/>
  <c r="C48" i="6" s="1"/>
  <c r="C99" i="6" s="1"/>
  <c r="B45" i="6"/>
  <c r="B48" i="6" s="1"/>
  <c r="B99" i="6" s="1"/>
  <c r="B77" i="10"/>
  <c r="C77" i="10"/>
  <c r="C79" i="10" l="1"/>
  <c r="E305" i="1"/>
  <c r="B79" i="10"/>
  <c r="E304" i="1"/>
  <c r="B76" i="6"/>
  <c r="C76" i="6"/>
  <c r="E310" i="1"/>
  <c r="E312" i="1" s="1"/>
  <c r="E309" i="1"/>
  <c r="E311" i="1" s="1"/>
  <c r="C89" i="6"/>
  <c r="D91" i="6"/>
  <c r="D315" i="1"/>
  <c r="D308" i="1"/>
  <c r="B75" i="9"/>
  <c r="C75" i="9"/>
  <c r="C88" i="9"/>
  <c r="C90" i="9"/>
  <c r="B77" i="9" l="1"/>
  <c r="D304" i="1"/>
  <c r="D309" i="1"/>
  <c r="D311" i="1" s="1"/>
  <c r="D310" i="1"/>
  <c r="D312" i="1" s="1"/>
  <c r="D305" i="1"/>
  <c r="C77" i="9"/>
  <c r="C305" i="1"/>
  <c r="C310" i="1" s="1"/>
  <c r="C312" i="1" s="1"/>
  <c r="C78" i="6"/>
  <c r="C304" i="1"/>
  <c r="C309" i="1" s="1"/>
  <c r="C311" i="1" s="1"/>
  <c r="B78" i="6"/>
  <c r="B95" i="10"/>
  <c r="B97" i="10" s="1"/>
  <c r="B102" i="10" s="1"/>
  <c r="B101" i="10"/>
  <c r="C101" i="10"/>
  <c r="C95" i="10"/>
  <c r="C97" i="10" s="1"/>
  <c r="C102" i="10" s="1"/>
  <c r="C94" i="6" l="1"/>
  <c r="C96" i="6" s="1"/>
  <c r="C101" i="6" s="1"/>
  <c r="C100" i="6"/>
  <c r="B94" i="6"/>
  <c r="B96" i="6" s="1"/>
  <c r="B101" i="6" s="1"/>
  <c r="B100" i="6"/>
  <c r="C93" i="9"/>
  <c r="C95" i="9" s="1"/>
  <c r="C100" i="9" s="1"/>
  <c r="C99" i="9"/>
  <c r="B93" i="9"/>
  <c r="B95" i="9" s="1"/>
  <c r="B100" i="9" s="1"/>
  <c r="B99" i="9"/>
</calcChain>
</file>

<file path=xl/sharedStrings.xml><?xml version="1.0" encoding="utf-8"?>
<sst xmlns="http://schemas.openxmlformats.org/spreadsheetml/2006/main" count="1110" uniqueCount="339">
  <si>
    <t>Gross Farm Income</t>
  </si>
  <si>
    <t>Net Cash Farm Income</t>
  </si>
  <si>
    <t xml:space="preserve"> -</t>
  </si>
  <si>
    <t xml:space="preserve"> =</t>
  </si>
  <si>
    <t xml:space="preserve"> +</t>
  </si>
  <si>
    <t xml:space="preserve"> +/-</t>
  </si>
  <si>
    <t>Net Operating Profit</t>
  </si>
  <si>
    <t>Depreciation</t>
  </si>
  <si>
    <t>Net Farm Income</t>
  </si>
  <si>
    <t>Nonfarm Income</t>
  </si>
  <si>
    <t>Net Cash Available</t>
  </si>
  <si>
    <t>Family Living</t>
  </si>
  <si>
    <t>Cash Required for Replacement</t>
  </si>
  <si>
    <t>Cash Surplus or Deficit</t>
  </si>
  <si>
    <t>Farm Interest Paid</t>
  </si>
  <si>
    <t>Total Sched. Principal &amp; Interest</t>
  </si>
  <si>
    <t>Family Living Draw</t>
  </si>
  <si>
    <t>Taxes</t>
  </si>
  <si>
    <t>Cash Flow Statement</t>
  </si>
  <si>
    <t>Term Debt &amp; Capital Lease Coverage Ratio</t>
  </si>
  <si>
    <t xml:space="preserve"> /</t>
  </si>
  <si>
    <t>Int. on Term Debt &amp; Cap. Lease</t>
  </si>
  <si>
    <t>Outside Sources and Uses</t>
  </si>
  <si>
    <t>Capital Replacement &amp; Term Debt Repayment Margin</t>
  </si>
  <si>
    <t>Income Taxes</t>
  </si>
  <si>
    <t>Cap. Rep. &amp; T. Debt Repay. Margin</t>
  </si>
  <si>
    <t>Princ. on Cur. Portions of T. Debts</t>
  </si>
  <si>
    <t>Princ. on Cur. Portions of Cap. Lease</t>
  </si>
  <si>
    <t>Princ. on Per. Liab. not incl. in draw</t>
  </si>
  <si>
    <t>Cap. Rep. &amp; T. Debt Repay. Capacity</t>
  </si>
  <si>
    <t>Princ. on Prior years Oper. Debts</t>
  </si>
  <si>
    <t>High</t>
  </si>
  <si>
    <t>Debt Level</t>
  </si>
  <si>
    <t xml:space="preserve">Low </t>
  </si>
  <si>
    <t>Income Statement</t>
  </si>
  <si>
    <t>Equity</t>
  </si>
  <si>
    <t>Equity to Asset Ratio</t>
  </si>
  <si>
    <t>Debt to Asset Ratio</t>
  </si>
  <si>
    <t>FINPACK Balance Sheet</t>
  </si>
  <si>
    <t>Current Farm Assets</t>
  </si>
  <si>
    <t>Long Term Farm Assets</t>
  </si>
  <si>
    <t>Total Farm Assets</t>
  </si>
  <si>
    <t>Current Farm Liabilities</t>
  </si>
  <si>
    <t>Total Liablilities</t>
  </si>
  <si>
    <t>Long Term Farm Liabilites</t>
  </si>
  <si>
    <t>Cash Avail. for P&amp; I Payments</t>
  </si>
  <si>
    <t>Cash Avail. after Loan Payments</t>
  </si>
  <si>
    <t>Cash Avail. for Princ. Payments</t>
  </si>
  <si>
    <t>Cash Flow Requirements</t>
  </si>
  <si>
    <t>Interest Expense</t>
  </si>
  <si>
    <t>Living Expenses</t>
  </si>
  <si>
    <t>Total Cash Flow</t>
  </si>
  <si>
    <t>Income Needed to Maintain Net Worth</t>
  </si>
  <si>
    <t>Cost Item:</t>
  </si>
  <si>
    <t>Cash Expenditure:</t>
  </si>
  <si>
    <t>Real Depreciation</t>
  </si>
  <si>
    <t>128.5 bu Corn per acre</t>
  </si>
  <si>
    <t>43.0 bu Soys per acre</t>
  </si>
  <si>
    <t>$/acre 2,000 acres</t>
  </si>
  <si>
    <t>*</t>
  </si>
  <si>
    <t xml:space="preserve"> </t>
  </si>
  <si>
    <t>Cash Available for P &amp; I</t>
  </si>
  <si>
    <t>need to account for GPROG</t>
  </si>
  <si>
    <t>Term Debt Serv. Coverage Ratio</t>
  </si>
  <si>
    <t>Financial Guideline Measures</t>
  </si>
  <si>
    <t>Liquidity</t>
  </si>
  <si>
    <t xml:space="preserve">   Current Ratio</t>
  </si>
  <si>
    <t>Solvency</t>
  </si>
  <si>
    <t xml:space="preserve">   Farm Debt to Asset Ratio</t>
  </si>
  <si>
    <t xml:space="preserve">   Farm Equity to Asset Ratio</t>
  </si>
  <si>
    <t xml:space="preserve">   Farm Debt to Equity Ratio</t>
  </si>
  <si>
    <t>Profitability</t>
  </si>
  <si>
    <t xml:space="preserve">   Rate of Return on Farm Assets</t>
  </si>
  <si>
    <t xml:space="preserve">   Rate of Return on Farm Equity</t>
  </si>
  <si>
    <t xml:space="preserve">   Operating Profit Margin</t>
  </si>
  <si>
    <t xml:space="preserve">   Net Farm Income</t>
  </si>
  <si>
    <t>Repayment Capacity</t>
  </si>
  <si>
    <t xml:space="preserve">   Term Debt Coverage Ratio</t>
  </si>
  <si>
    <t xml:space="preserve">   Working Capital</t>
  </si>
  <si>
    <t xml:space="preserve">   Capital Replacement Margin</t>
  </si>
  <si>
    <t>Efficiency</t>
  </si>
  <si>
    <t xml:space="preserve">   Asset Turnover</t>
  </si>
  <si>
    <t xml:space="preserve">   Operating Expense Ratio</t>
  </si>
  <si>
    <t xml:space="preserve">   Depreciation Expense Ratio</t>
  </si>
  <si>
    <t xml:space="preserve">   Interest Expense Ratio</t>
  </si>
  <si>
    <t xml:space="preserve">   Net Farm Income Ratio</t>
  </si>
  <si>
    <t>Income Tax and Soc. Sec.</t>
  </si>
  <si>
    <t>Working Capital Ratio</t>
  </si>
  <si>
    <t>Current Assets</t>
  </si>
  <si>
    <t>Current Liabilties</t>
  </si>
  <si>
    <t xml:space="preserve">  -</t>
  </si>
  <si>
    <t>Total Assets</t>
  </si>
  <si>
    <t>Total Liabilites</t>
  </si>
  <si>
    <t>Operating Profit Margin</t>
  </si>
  <si>
    <t>Val of Unpaid Labor</t>
  </si>
  <si>
    <t>Return on Farm Assets</t>
  </si>
  <si>
    <t xml:space="preserve"> *</t>
  </si>
  <si>
    <t>T. Debt &amp; Cap. Lease P &amp; I Due</t>
  </si>
  <si>
    <t xml:space="preserve">Working Capital </t>
  </si>
  <si>
    <t>Net Farm Income Ratio</t>
  </si>
  <si>
    <t>Gross Revenues</t>
  </si>
  <si>
    <t>Interest Expense Ratio</t>
  </si>
  <si>
    <t>Depreciation Expense Ratio</t>
  </si>
  <si>
    <t>Financial Guidelines</t>
  </si>
  <si>
    <t xml:space="preserve">Operating Profit Margin </t>
  </si>
  <si>
    <t>T. Debt Repayment Capacity</t>
  </si>
  <si>
    <t>Yield</t>
  </si>
  <si>
    <t>Selling Price</t>
  </si>
  <si>
    <t>Gross Income</t>
  </si>
  <si>
    <t>Corn</t>
  </si>
  <si>
    <t>Soys</t>
  </si>
  <si>
    <t>Cost of Production Worksheet - Page 2</t>
  </si>
  <si>
    <t>Interest</t>
  </si>
  <si>
    <t>Hired Labor</t>
  </si>
  <si>
    <t>Land Rents</t>
  </si>
  <si>
    <t>Machinery Leases</t>
  </si>
  <si>
    <t>Real Estate Taxes</t>
  </si>
  <si>
    <t>Farm Insurance</t>
  </si>
  <si>
    <t>Farm Utilities</t>
  </si>
  <si>
    <t>Variable Cost:</t>
  </si>
  <si>
    <t>Seed</t>
  </si>
  <si>
    <t>Fertilizer</t>
  </si>
  <si>
    <t>Drying Fuel</t>
  </si>
  <si>
    <t>Crop Fuel and Oil</t>
  </si>
  <si>
    <t>Crop Repairs</t>
  </si>
  <si>
    <t>Crop Utilities</t>
  </si>
  <si>
    <t>Crop Haul &amp; Truck</t>
  </si>
  <si>
    <t>Crop Marketing</t>
  </si>
  <si>
    <t xml:space="preserve">Total Cost per Acre </t>
  </si>
  <si>
    <t>Total Cost per Bu</t>
  </si>
  <si>
    <t>Crop Chemicals</t>
  </si>
  <si>
    <t>Family Living Expenses</t>
  </si>
  <si>
    <t>Income Items:</t>
  </si>
  <si>
    <t>Corn Sales   Bu_______X Price____________</t>
  </si>
  <si>
    <t>Soy Sales    Bu_______X Price____________</t>
  </si>
  <si>
    <t>Maintain Net Worth Income Needed (B)</t>
  </si>
  <si>
    <t>Cash Flow Income Needed                 (A)</t>
  </si>
  <si>
    <t>Total Incomes                                          (C)</t>
  </si>
  <si>
    <t>Change in Net Worth                         (C-B)</t>
  </si>
  <si>
    <t>Net Cash Flow Position                    (C-A)</t>
  </si>
  <si>
    <t>_________</t>
  </si>
  <si>
    <t>Total Cash Farm Expense</t>
  </si>
  <si>
    <t>Medium</t>
  </si>
  <si>
    <t>Strong</t>
  </si>
  <si>
    <t>Caution</t>
  </si>
  <si>
    <t>Weak</t>
  </si>
  <si>
    <t xml:space="preserve"> &gt;20%</t>
  </si>
  <si>
    <t>&lt;0%</t>
  </si>
  <si>
    <t>20-0%</t>
  </si>
  <si>
    <t>35-65%</t>
  </si>
  <si>
    <t>&gt;65%</t>
  </si>
  <si>
    <t>20-10%</t>
  </si>
  <si>
    <t>140-115%</t>
  </si>
  <si>
    <t>&lt;35%</t>
  </si>
  <si>
    <t>&gt;20%</t>
  </si>
  <si>
    <t>&lt;10%</t>
  </si>
  <si>
    <t>&gt;140%</t>
  </si>
  <si>
    <t>&lt;115%</t>
  </si>
  <si>
    <t>&lt;5%</t>
  </si>
  <si>
    <t>&gt;10%</t>
  </si>
  <si>
    <t>&gt;15%</t>
  </si>
  <si>
    <t>5-10%</t>
  </si>
  <si>
    <t>15-7%</t>
  </si>
  <si>
    <t>&lt;7%</t>
  </si>
  <si>
    <t>Sensitivity Analysis</t>
  </si>
  <si>
    <t>Net Worth Change per Year</t>
  </si>
  <si>
    <t>2% Decrease</t>
  </si>
  <si>
    <t>10 % Decrease</t>
  </si>
  <si>
    <t>Non Interest Cash Exp.</t>
  </si>
  <si>
    <t xml:space="preserve">Total Cash Farm Exp. </t>
  </si>
  <si>
    <t>Inventory/Accrual Adj.</t>
  </si>
  <si>
    <t>Income Taxes &amp; Social Security</t>
  </si>
  <si>
    <t>Depreciation Exp. Ratio</t>
  </si>
  <si>
    <t xml:space="preserve">               </t>
  </si>
  <si>
    <t>Total Income Needed</t>
  </si>
  <si>
    <t>Principal on Term Debts</t>
  </si>
  <si>
    <t>Cash Req. for Replacement</t>
  </si>
  <si>
    <t>COST OF PRODUCTION WORKSHEET - Page 2</t>
  </si>
  <si>
    <t>CORN</t>
  </si>
  <si>
    <t>WHEAT</t>
  </si>
  <si>
    <t>OTHER1</t>
  </si>
  <si>
    <t>OTHER2</t>
  </si>
  <si>
    <t>OTHER3</t>
  </si>
  <si>
    <t>OTHER4</t>
  </si>
  <si>
    <t>$__________</t>
  </si>
  <si>
    <t xml:space="preserve"> 4. Seed </t>
  </si>
  <si>
    <t xml:space="preserve"> 5. Fertilizer</t>
  </si>
  <si>
    <t xml:space="preserve"> 6. Herbicides </t>
  </si>
  <si>
    <t xml:space="preserve"> 7. Insecticides </t>
  </si>
  <si>
    <t xml:space="preserve"> 8. Drying Fuel </t>
  </si>
  <si>
    <t xml:space="preserve"> 9. Crop Fuel &amp; Oil</t>
  </si>
  <si>
    <t>10. Crop Repairs</t>
  </si>
  <si>
    <t>12. Crop Utilities</t>
  </si>
  <si>
    <t>13. Crop Haul &amp; Truck</t>
  </si>
  <si>
    <t>14. Crop Marketing</t>
  </si>
  <si>
    <t>15. Crop Insurance</t>
  </si>
  <si>
    <t>16. Other</t>
  </si>
  <si>
    <t>Column 1</t>
  </si>
  <si>
    <t xml:space="preserve">20. Interest </t>
  </si>
  <si>
    <t xml:space="preserve">21. Hired Labor </t>
  </si>
  <si>
    <t>22. Land Rents</t>
  </si>
  <si>
    <t xml:space="preserve">23. Machinery Leases </t>
  </si>
  <si>
    <t>24. Real Estate Taxes</t>
  </si>
  <si>
    <t xml:space="preserve">25. Farm Insurance </t>
  </si>
  <si>
    <t>26. Farm Utilities</t>
  </si>
  <si>
    <t xml:space="preserve"> COST OF PRODUCTION WORKSHEET - Page 3</t>
  </si>
  <si>
    <t>44. Plus Income Taxes</t>
  </si>
  <si>
    <t>46. Plus Actual Family Living &amp; Other Draws</t>
  </si>
  <si>
    <t>49. Total Crop Revenues Needed to Maintain Net Worth</t>
  </si>
  <si>
    <t>51. Maintain Net Worth per Bu</t>
  </si>
  <si>
    <t>55. Plus Scheduled Principal and Interest</t>
  </si>
  <si>
    <t>56. Plus Cash required for Capital Replacement</t>
  </si>
  <si>
    <t xml:space="preserve">          For each crop (line 50) DIVIDED BY (line 1) </t>
  </si>
  <si>
    <t xml:space="preserve">          For each crop (line 3) MINUS (line 17)</t>
  </si>
  <si>
    <t>Low Debt Farm</t>
  </si>
  <si>
    <t xml:space="preserve">19. Acres Cropped       </t>
  </si>
  <si>
    <t>High Debt Farm</t>
  </si>
  <si>
    <t>What % Equity to Risk</t>
  </si>
  <si>
    <t>Net Worth</t>
  </si>
  <si>
    <t>Maintain 100% of Equity</t>
  </si>
  <si>
    <t>Soybeans per Acre</t>
  </si>
  <si>
    <t>Crop Revenue Needed to</t>
  </si>
  <si>
    <t xml:space="preserve">Corn per Acre </t>
  </si>
  <si>
    <t>Medium Debt Farm</t>
  </si>
  <si>
    <t>Change in Net Worth</t>
  </si>
  <si>
    <t>Net non Farm Income</t>
  </si>
  <si>
    <t>+</t>
  </si>
  <si>
    <t>-</t>
  </si>
  <si>
    <t>=</t>
  </si>
  <si>
    <t>Percent Change in Equity</t>
  </si>
  <si>
    <t>Total Direct Cost</t>
  </si>
  <si>
    <t>Gross Margin (G.I. - D.C.)</t>
  </si>
  <si>
    <t>Acres Cropped: 2,000</t>
  </si>
  <si>
    <t>Other Expenses</t>
  </si>
  <si>
    <t>Tot.Account. Ovrhd.Cost</t>
  </si>
  <si>
    <t>Val.Unpaid Family Labor</t>
  </si>
  <si>
    <t>Val.Unpaid Equity Capital</t>
  </si>
  <si>
    <t>Tot.Economic Ovrhd.Cost</t>
  </si>
  <si>
    <t>Tot.Econ.Ovrhd Cost/Ac</t>
  </si>
  <si>
    <t xml:space="preserve">% of Crop Rev. Can Loose </t>
  </si>
  <si>
    <t>17. TOTAL DIRECT COST/Ac</t>
  </si>
  <si>
    <t>18. GROSS MARGIN=G.I.-D.C./Ac</t>
  </si>
  <si>
    <t>DIRECT COST/AC</t>
  </si>
  <si>
    <t>27. Other Expenses</t>
  </si>
  <si>
    <t>28. Depreciation</t>
  </si>
  <si>
    <t>29. Total Accounting Overhead Cost</t>
  </si>
  <si>
    <t>30. Value of Unpaid Labor</t>
  </si>
  <si>
    <t>31. Value of Unpaid Equity Capital</t>
  </si>
  <si>
    <t>32. Total Economic Overhead Cost</t>
  </si>
  <si>
    <t>33. Total Economic Overhead Cost/Ac</t>
  </si>
  <si>
    <t>34. Total Economic Costs/Ac</t>
  </si>
  <si>
    <t xml:space="preserve">          (line 17 for each crop) PLUS (line33)</t>
  </si>
  <si>
    <t>35. Total Economic Cost / Bu</t>
  </si>
  <si>
    <t xml:space="preserve">         For each crop (line 34) DIVIDED BY (line 1)</t>
  </si>
  <si>
    <t>SOYS</t>
  </si>
  <si>
    <t>36. Acres planted each crop</t>
  </si>
  <si>
    <t>37. Total Direct Cost/Ac (line 17)</t>
  </si>
  <si>
    <t>38. Direct Cost per Bushel</t>
  </si>
  <si>
    <t>39. Total Direct Cost for Crop</t>
  </si>
  <si>
    <t xml:space="preserve">       For each crop (line 37)DIVIDED BY (line 1)</t>
  </si>
  <si>
    <t xml:space="preserve">       For each crop (line 36) TIMES (line 37)</t>
  </si>
  <si>
    <t xml:space="preserve"> (SUM of each column in line 39)</t>
  </si>
  <si>
    <t>Crop Prices and Crop Revenues Needed to Maintain Net Worth</t>
  </si>
  <si>
    <t>41. Total Economic Overhead Cost (line 32)</t>
  </si>
  <si>
    <t>This calculation is used to determine the crop price</t>
  </si>
  <si>
    <t>42. Minus Gov. Program &amp; Other Net Incomes</t>
  </si>
  <si>
    <t>43. Minus Value of Unpaid Equity (line 31)</t>
  </si>
  <si>
    <t xml:space="preserve">government payments, custom work. It covers direct </t>
  </si>
  <si>
    <t>costs associated with the crop, its share of the farm</t>
  </si>
  <si>
    <t>45. Minus Value Unpaid Family Labor (line 30)</t>
  </si>
  <si>
    <t>overhead, plus expenditures required for family living</t>
  </si>
  <si>
    <t>and income taxes.</t>
  </si>
  <si>
    <t xml:space="preserve">47. “Maintain Net Worth Overhead Cost” </t>
  </si>
  <si>
    <t>48. “Maintain Net Worth Overhead Cost” per Acre</t>
  </si>
  <si>
    <t>required after receipt of other farm income;e.g. fixed</t>
  </si>
  <si>
    <t>(line 47) DIVIDED BY (line 19</t>
  </si>
  <si>
    <t xml:space="preserve">  (line 40) PLUS (line 47)</t>
  </si>
  <si>
    <t xml:space="preserve">          (line 37 for each crop) PLUS (line 48)</t>
  </si>
  <si>
    <t>50. Total Revenues Needed / Acre</t>
  </si>
  <si>
    <t>required after receipt of other farm income; e.g.</t>
  </si>
  <si>
    <t>government payments and custom work, that covers</t>
  </si>
  <si>
    <t>all cash flow expenditures for the farm business to</t>
  </si>
  <si>
    <t>continue which includes annual principal payments to</t>
  </si>
  <si>
    <t>57. “Meet Cash Flow Demands Overhead Cost”</t>
  </si>
  <si>
    <t>e.g. machinery, equipment, tile, and buildings.</t>
  </si>
  <si>
    <t>58. “Meet Cash Flow Overhead Cost” per Acre</t>
  </si>
  <si>
    <t>59. Total Crop Revenues Needed to Meet Cash Flow Demands</t>
  </si>
  <si>
    <t>60.Total Crop Revenue Needed per Acre</t>
  </si>
  <si>
    <t>61. Meet Cash Flow Demands per Bu</t>
  </si>
  <si>
    <t>$________</t>
  </si>
  <si>
    <t>service debt and an annual planned expenditure for</t>
  </si>
  <si>
    <t xml:space="preserve">       (line 37 for each crop) PLUS (line 58) </t>
  </si>
  <si>
    <t xml:space="preserve"> (line 57) DIVIDED BY (line 19)</t>
  </si>
  <si>
    <t>(line 40) PLUS (line 57)</t>
  </si>
  <si>
    <t xml:space="preserve">       For each crop (line 60) DIVIDED BY (line 1)</t>
  </si>
  <si>
    <t>52. “Maintain Net Worth Overhead Cost”         (line 47)</t>
  </si>
  <si>
    <t>53. Minus Depreciation                          (line 28)</t>
  </si>
  <si>
    <t>54. Minus Interest Expense                    (line 20)</t>
  </si>
  <si>
    <t>replacement and growth of the farm infrastructure</t>
  </si>
  <si>
    <t>Bu______</t>
  </si>
  <si>
    <t>1.Gross Margin can be used in determining which crops will contribute</t>
  </si>
  <si>
    <t>more toward Overhead Cost.</t>
  </si>
  <si>
    <t xml:space="preserve">2. Accounting Costs of Production is the summation of direct </t>
  </si>
  <si>
    <t>variable (or allocable) and of overhead (or non-allocable) cost.</t>
  </si>
  <si>
    <t>3. Economic Costs is the summation of total accounting costs plus</t>
  </si>
  <si>
    <t>the opportunity costs of resources used in the business; e.g. for</t>
  </si>
  <si>
    <t>equity capital and for unpaid family labor. Being able to price a</t>
  </si>
  <si>
    <t xml:space="preserve">commodity at your economic cost would provide the returns to unpaid </t>
  </si>
  <si>
    <t xml:space="preserve">resources (lines 30 and 31). Selling at less than the economic cost </t>
  </si>
  <si>
    <t xml:space="preserve">indicates that the price received is not adequate to earn the desired </t>
  </si>
  <si>
    <t>rates of return on unpaid resources.</t>
  </si>
  <si>
    <t xml:space="preserve">ADD (lines 20 through lines 28) </t>
  </si>
  <si>
    <t xml:space="preserve">ADD(lines 29, 30 and 31) </t>
  </si>
  <si>
    <t>(line 32) DIVIDED BY (line 19)</t>
  </si>
  <si>
    <t>4.Economic Cost includes a value for any unpaid labor.</t>
  </si>
  <si>
    <t xml:space="preserve">5.Economic Cost includes opportunity cost of Equity. (6%? of Net Worth) </t>
  </si>
  <si>
    <r>
      <t>Crop Prices and Crop Revenues Required to Meet Cash Flow Demands</t>
    </r>
    <r>
      <rPr>
        <b/>
        <sz val="10"/>
        <rFont val="Arial"/>
        <family val="2"/>
      </rPr>
      <t xml:space="preserve">  </t>
    </r>
    <r>
      <rPr>
        <sz val="10"/>
        <rFont val="Arial"/>
        <family val="2"/>
      </rPr>
      <t xml:space="preserve"> This calculation is to determine the crop price   </t>
    </r>
  </si>
  <si>
    <t>1. Paid on Yield per Acre in Bushels</t>
  </si>
  <si>
    <t>3. EQUALS Gross Income per Acre            =</t>
  </si>
  <si>
    <t xml:space="preserve">2. TIMES  Selling Price per Bu                    x  </t>
  </si>
  <si>
    <t xml:space="preserve">Total Crop Revenue Needed to </t>
  </si>
  <si>
    <t xml:space="preserve">2. TIMES  Selling Price per Bu                   x  </t>
  </si>
  <si>
    <t>x</t>
  </si>
  <si>
    <t>OVERHEAD COSTS for Farm</t>
  </si>
  <si>
    <t xml:space="preserve">19. Acres Cropped        </t>
  </si>
  <si>
    <t xml:space="preserve">19. Acres Cropped     </t>
  </si>
  <si>
    <t>40. Total Direct Cost for all crops combined</t>
  </si>
  <si>
    <t>10% of Equity Loss</t>
  </si>
  <si>
    <t>Corn/Ac  (Protect 90%)</t>
  </si>
  <si>
    <t>Soys/Ac  (Protect 90%)</t>
  </si>
  <si>
    <t>Corn / Bu (Protect 90%)</t>
  </si>
  <si>
    <t>Soys/Bu (Protect 90%)</t>
  </si>
  <si>
    <t>Maintain 90% of Equity</t>
  </si>
  <si>
    <t>Government Flex Payment</t>
  </si>
  <si>
    <t>Intermed. Farm Liabilities</t>
  </si>
  <si>
    <t>Intermed. Farm Assets</t>
  </si>
  <si>
    <t>Overhead cost per Acre</t>
  </si>
  <si>
    <t>Assumes 2x Flex PFC Payment 2001</t>
  </si>
  <si>
    <t>*=input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</si>
</sst>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77" formatCode="0.0%"/>
    <numFmt numFmtId="180" formatCode="&quot;$&quot;#,##0.00"/>
  </numFmts>
  <fonts count="18" x14ac:knownFonts="1">
    <font>
      <sz val="10"/>
      <name val="Arial"/>
    </font>
    <font>
      <b/>
      <sz val="14"/>
      <name val="Arial"/>
      <family val="2"/>
    </font>
    <font>
      <b/>
      <u/>
      <sz val="14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u/>
      <sz val="14"/>
      <color indexed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u/>
      <sz val="11"/>
      <name val="Arial"/>
      <family val="2"/>
    </font>
    <font>
      <b/>
      <sz val="10"/>
      <color indexed="8"/>
      <name val="Arial"/>
      <family val="2"/>
    </font>
    <font>
      <b/>
      <sz val="10"/>
      <color indexed="30"/>
      <name val="Arial"/>
      <family val="2"/>
    </font>
    <font>
      <b/>
      <u/>
      <sz val="10"/>
      <name val="Arial"/>
      <family val="2"/>
    </font>
    <font>
      <b/>
      <sz val="10"/>
      <color indexed="3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3" fontId="1" fillId="0" borderId="0" xfId="0" applyNumberFormat="1" applyFont="1"/>
    <xf numFmtId="37" fontId="1" fillId="0" borderId="0" xfId="0" applyNumberFormat="1" applyFont="1"/>
    <xf numFmtId="0" fontId="2" fillId="0" borderId="0" xfId="0" applyFont="1"/>
    <xf numFmtId="0" fontId="3" fillId="0" borderId="0" xfId="0" applyFont="1"/>
    <xf numFmtId="166" fontId="1" fillId="0" borderId="0" xfId="0" applyNumberFormat="1" applyFont="1"/>
    <xf numFmtId="0" fontId="4" fillId="0" borderId="0" xfId="0" applyFont="1"/>
    <xf numFmtId="177" fontId="1" fillId="0" borderId="0" xfId="0" applyNumberFormat="1" applyFont="1"/>
    <xf numFmtId="39" fontId="1" fillId="0" borderId="0" xfId="0" applyNumberFormat="1" applyFont="1"/>
    <xf numFmtId="9" fontId="5" fillId="0" borderId="0" xfId="0" applyNumberFormat="1" applyFont="1"/>
    <xf numFmtId="10" fontId="5" fillId="0" borderId="0" xfId="0" applyNumberFormat="1" applyFont="1"/>
    <xf numFmtId="180" fontId="1" fillId="0" borderId="0" xfId="0" applyNumberFormat="1" applyFont="1"/>
    <xf numFmtId="0" fontId="6" fillId="0" borderId="0" xfId="0" applyFont="1"/>
    <xf numFmtId="165" fontId="1" fillId="0" borderId="0" xfId="0" applyNumberFormat="1" applyFont="1"/>
    <xf numFmtId="167" fontId="1" fillId="0" borderId="0" xfId="0" applyNumberFormat="1" applyFont="1"/>
    <xf numFmtId="165" fontId="2" fillId="0" borderId="0" xfId="0" applyNumberFormat="1" applyFont="1"/>
    <xf numFmtId="9" fontId="1" fillId="0" borderId="0" xfId="0" applyNumberFormat="1" applyFont="1"/>
    <xf numFmtId="3" fontId="6" fillId="0" borderId="0" xfId="0" applyNumberFormat="1" applyFont="1"/>
    <xf numFmtId="0" fontId="7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7" fontId="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80" fontId="2" fillId="0" borderId="0" xfId="0" applyNumberFormat="1" applyFont="1"/>
    <xf numFmtId="0" fontId="9" fillId="0" borderId="0" xfId="0" applyFont="1"/>
    <xf numFmtId="167" fontId="9" fillId="0" borderId="0" xfId="0" applyNumberFormat="1" applyFont="1"/>
    <xf numFmtId="167" fontId="11" fillId="0" borderId="0" xfId="0" applyNumberFormat="1" applyFont="1" applyProtection="1">
      <protection locked="0"/>
    </xf>
    <xf numFmtId="3" fontId="11" fillId="0" borderId="0" xfId="0" applyNumberFormat="1" applyFont="1" applyProtection="1">
      <protection locked="0"/>
    </xf>
    <xf numFmtId="0" fontId="12" fillId="0" borderId="0" xfId="0" applyFont="1" applyProtection="1">
      <protection locked="0"/>
    </xf>
    <xf numFmtId="37" fontId="2" fillId="0" borderId="0" xfId="0" applyNumberFormat="1" applyFont="1"/>
    <xf numFmtId="2" fontId="1" fillId="0" borderId="0" xfId="0" applyNumberFormat="1" applyFont="1"/>
    <xf numFmtId="3" fontId="14" fillId="0" borderId="0" xfId="0" applyNumberFormat="1" applyFont="1" applyProtection="1"/>
    <xf numFmtId="3" fontId="15" fillId="0" borderId="0" xfId="0" applyNumberFormat="1" applyFont="1" applyProtection="1">
      <protection locked="0"/>
    </xf>
    <xf numFmtId="0" fontId="9" fillId="0" borderId="0" xfId="0" applyFont="1" applyProtection="1">
      <protection locked="0"/>
    </xf>
    <xf numFmtId="167" fontId="9" fillId="0" borderId="0" xfId="0" applyNumberFormat="1" applyFont="1" applyProtection="1">
      <protection locked="0"/>
    </xf>
    <xf numFmtId="0" fontId="9" fillId="0" borderId="0" xfId="0" applyFont="1" applyProtection="1"/>
    <xf numFmtId="0" fontId="0" fillId="0" borderId="0" xfId="0" applyProtection="1"/>
    <xf numFmtId="167" fontId="9" fillId="0" borderId="0" xfId="0" applyNumberFormat="1" applyFont="1" applyProtection="1"/>
    <xf numFmtId="167" fontId="4" fillId="0" borderId="0" xfId="0" applyNumberFormat="1" applyFont="1" applyProtection="1"/>
    <xf numFmtId="167" fontId="0" fillId="0" borderId="0" xfId="0" applyNumberFormat="1" applyProtection="1"/>
    <xf numFmtId="3" fontId="9" fillId="0" borderId="0" xfId="0" applyNumberFormat="1" applyFont="1" applyProtection="1"/>
    <xf numFmtId="180" fontId="9" fillId="0" borderId="0" xfId="0" applyNumberFormat="1" applyFont="1" applyProtection="1"/>
    <xf numFmtId="180" fontId="16" fillId="0" borderId="0" xfId="0" applyNumberFormat="1" applyFont="1" applyAlignment="1" applyProtection="1">
      <alignment horizontal="right"/>
    </xf>
    <xf numFmtId="167" fontId="16" fillId="0" borderId="0" xfId="0" applyNumberFormat="1" applyFont="1" applyAlignment="1" applyProtection="1">
      <alignment horizontal="right"/>
    </xf>
    <xf numFmtId="38" fontId="9" fillId="0" borderId="0" xfId="0" applyNumberFormat="1" applyFont="1" applyProtection="1"/>
    <xf numFmtId="0" fontId="16" fillId="0" borderId="0" xfId="0" applyFont="1" applyProtection="1"/>
    <xf numFmtId="0" fontId="4" fillId="0" borderId="0" xfId="0" applyFont="1" applyProtection="1"/>
    <xf numFmtId="167" fontId="9" fillId="0" borderId="0" xfId="0" applyNumberFormat="1" applyFont="1" applyAlignment="1" applyProtection="1">
      <alignment horizontal="right"/>
    </xf>
    <xf numFmtId="3" fontId="9" fillId="0" borderId="0" xfId="0" applyNumberFormat="1" applyFont="1" applyAlignment="1" applyProtection="1">
      <alignment horizontal="right"/>
    </xf>
    <xf numFmtId="167" fontId="14" fillId="0" borderId="0" xfId="0" applyNumberFormat="1" applyFont="1" applyAlignment="1" applyProtection="1">
      <alignment horizontal="right"/>
    </xf>
    <xf numFmtId="180" fontId="13" fillId="0" borderId="0" xfId="0" applyNumberFormat="1" applyFont="1" applyProtection="1"/>
    <xf numFmtId="180" fontId="10" fillId="0" borderId="0" xfId="0" applyNumberFormat="1" applyFont="1" applyProtection="1"/>
    <xf numFmtId="0" fontId="13" fillId="0" borderId="0" xfId="0" applyFont="1" applyAlignment="1" applyProtection="1">
      <alignment horizontal="right" vertical="center"/>
      <protection locked="0"/>
    </xf>
    <xf numFmtId="167" fontId="14" fillId="0" borderId="0" xfId="0" applyNumberFormat="1" applyFont="1" applyProtection="1"/>
    <xf numFmtId="167" fontId="17" fillId="0" borderId="0" xfId="0" applyNumberFormat="1" applyFont="1" applyProtection="1">
      <protection locked="0"/>
    </xf>
    <xf numFmtId="0" fontId="17" fillId="0" borderId="0" xfId="0" applyFont="1" applyProtection="1">
      <protection locked="0"/>
    </xf>
    <xf numFmtId="180" fontId="9" fillId="0" borderId="0" xfId="0" quotePrefix="1" applyNumberFormat="1" applyFont="1" applyProtection="1"/>
    <xf numFmtId="3" fontId="17" fillId="0" borderId="0" xfId="0" applyNumberFormat="1" applyFont="1" applyProtection="1">
      <protection locked="0"/>
    </xf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6"/>
  <sheetViews>
    <sheetView tabSelected="1" view="pageBreakPreview" topLeftCell="A295" zoomScale="60" zoomScaleNormal="100" workbookViewId="0">
      <selection activeCell="G27" sqref="G27"/>
    </sheetView>
  </sheetViews>
  <sheetFormatPr defaultColWidth="28.26953125" defaultRowHeight="12.5" x14ac:dyDescent="0.25"/>
  <cols>
    <col min="1" max="1" width="35.81640625" customWidth="1"/>
    <col min="2" max="2" width="4.1796875" customWidth="1"/>
    <col min="3" max="5" width="14.7265625" customWidth="1"/>
    <col min="6" max="6" width="6" customWidth="1"/>
  </cols>
  <sheetData>
    <row r="1" spans="1:6" x14ac:dyDescent="0.25">
      <c r="A1" t="s">
        <v>38</v>
      </c>
      <c r="F1" t="s">
        <v>338</v>
      </c>
    </row>
    <row r="2" spans="1:6" ht="18" x14ac:dyDescent="0.4">
      <c r="A2" s="4"/>
      <c r="B2" s="1"/>
      <c r="C2" s="20"/>
      <c r="D2" s="21" t="s">
        <v>32</v>
      </c>
      <c r="E2" s="21"/>
    </row>
    <row r="3" spans="1:6" ht="18" x14ac:dyDescent="0.4">
      <c r="A3" s="1"/>
      <c r="B3" s="1"/>
      <c r="C3" s="22" t="s">
        <v>33</v>
      </c>
      <c r="D3" s="22" t="s">
        <v>142</v>
      </c>
      <c r="E3" s="22" t="s">
        <v>31</v>
      </c>
    </row>
    <row r="4" spans="1:6" ht="18" x14ac:dyDescent="0.4">
      <c r="A4" s="1" t="s">
        <v>39</v>
      </c>
      <c r="B4" s="1"/>
      <c r="C4" s="3">
        <v>431000</v>
      </c>
      <c r="D4" s="3">
        <v>431000</v>
      </c>
      <c r="E4" s="3">
        <v>431000</v>
      </c>
      <c r="F4" t="s">
        <v>59</v>
      </c>
    </row>
    <row r="5" spans="1:6" ht="18" x14ac:dyDescent="0.4">
      <c r="A5" s="1" t="s">
        <v>335</v>
      </c>
      <c r="B5" s="1" t="s">
        <v>4</v>
      </c>
      <c r="C5" s="3">
        <v>616000</v>
      </c>
      <c r="D5" s="3">
        <v>616000</v>
      </c>
      <c r="E5" s="3">
        <v>616000</v>
      </c>
      <c r="F5" t="s">
        <v>59</v>
      </c>
    </row>
    <row r="6" spans="1:6" ht="18" x14ac:dyDescent="0.4">
      <c r="A6" s="1" t="s">
        <v>40</v>
      </c>
      <c r="B6" s="1" t="s">
        <v>4</v>
      </c>
      <c r="C6" s="32">
        <v>974000</v>
      </c>
      <c r="D6" s="32">
        <v>974000</v>
      </c>
      <c r="E6" s="32">
        <v>974000</v>
      </c>
      <c r="F6" t="s">
        <v>59</v>
      </c>
    </row>
    <row r="7" spans="1:6" ht="18" x14ac:dyDescent="0.4">
      <c r="A7" s="1" t="s">
        <v>41</v>
      </c>
      <c r="B7" s="1" t="s">
        <v>3</v>
      </c>
      <c r="C7" s="3">
        <f>SUM(C4:C6)</f>
        <v>2021000</v>
      </c>
      <c r="D7" s="3">
        <f>SUM(D4:D6)</f>
        <v>2021000</v>
      </c>
      <c r="E7" s="3">
        <f>SUM(E4:E6)</f>
        <v>2021000</v>
      </c>
    </row>
    <row r="8" spans="1:6" ht="18" x14ac:dyDescent="0.4">
      <c r="A8" s="1"/>
      <c r="B8" s="1"/>
      <c r="C8" s="3"/>
      <c r="D8" s="3"/>
      <c r="E8" s="3"/>
    </row>
    <row r="9" spans="1:6" ht="18" x14ac:dyDescent="0.4">
      <c r="A9" s="1" t="s">
        <v>42</v>
      </c>
      <c r="B9" s="1"/>
      <c r="C9" s="3">
        <v>50782</v>
      </c>
      <c r="D9" s="3">
        <v>311689</v>
      </c>
      <c r="E9" s="3">
        <v>376586</v>
      </c>
      <c r="F9" t="s">
        <v>59</v>
      </c>
    </row>
    <row r="10" spans="1:6" ht="18" x14ac:dyDescent="0.4">
      <c r="A10" s="1" t="s">
        <v>334</v>
      </c>
      <c r="B10" s="1" t="s">
        <v>4</v>
      </c>
      <c r="C10" s="3">
        <v>82014</v>
      </c>
      <c r="D10" s="3">
        <v>253300</v>
      </c>
      <c r="E10" s="3">
        <v>412502</v>
      </c>
      <c r="F10" t="s">
        <v>59</v>
      </c>
    </row>
    <row r="11" spans="1:6" ht="18" x14ac:dyDescent="0.4">
      <c r="A11" s="1" t="s">
        <v>44</v>
      </c>
      <c r="B11" s="1" t="s">
        <v>4</v>
      </c>
      <c r="C11" s="32">
        <v>271458</v>
      </c>
      <c r="D11" s="32">
        <v>344461</v>
      </c>
      <c r="E11" s="32">
        <v>524562</v>
      </c>
      <c r="F11" t="s">
        <v>59</v>
      </c>
    </row>
    <row r="12" spans="1:6" ht="18" x14ac:dyDescent="0.4">
      <c r="A12" s="1" t="s">
        <v>43</v>
      </c>
      <c r="B12" s="1" t="s">
        <v>3</v>
      </c>
      <c r="C12" s="3">
        <f>C9+C10+C11</f>
        <v>404254</v>
      </c>
      <c r="D12" s="3">
        <f>D9+D10+D11</f>
        <v>909450</v>
      </c>
      <c r="E12" s="3">
        <f>E9+E10+E11</f>
        <v>1313650</v>
      </c>
    </row>
    <row r="13" spans="1:6" ht="18" x14ac:dyDescent="0.4">
      <c r="A13" s="1"/>
      <c r="B13" s="1"/>
      <c r="C13" s="3"/>
      <c r="D13" s="3"/>
      <c r="E13" s="3"/>
    </row>
    <row r="14" spans="1:6" ht="18" x14ac:dyDescent="0.4">
      <c r="A14" s="1" t="s">
        <v>35</v>
      </c>
      <c r="B14" s="1"/>
      <c r="C14" s="3">
        <f>C7-C12</f>
        <v>1616746</v>
      </c>
      <c r="D14" s="3">
        <f>D7-D12</f>
        <v>1111550</v>
      </c>
      <c r="E14" s="3">
        <f>E7-E12</f>
        <v>707350</v>
      </c>
    </row>
    <row r="15" spans="1:6" ht="18" x14ac:dyDescent="0.4">
      <c r="A15" s="1" t="s">
        <v>37</v>
      </c>
      <c r="B15" s="1"/>
      <c r="C15" s="3">
        <f>C12/C7*100</f>
        <v>20.002671944581891</v>
      </c>
      <c r="D15" s="3">
        <f>D12/D7*100</f>
        <v>45</v>
      </c>
      <c r="E15" s="3">
        <f>E12/E7*100</f>
        <v>65</v>
      </c>
    </row>
    <row r="16" spans="1:6" ht="18" x14ac:dyDescent="0.4">
      <c r="A16" s="1" t="s">
        <v>36</v>
      </c>
      <c r="B16" s="1"/>
      <c r="C16" s="3">
        <f>C14/C7*100</f>
        <v>79.997328055418109</v>
      </c>
      <c r="D16" s="3">
        <f>D14/D7*100</f>
        <v>55.000000000000007</v>
      </c>
      <c r="E16" s="3">
        <f>E14/E7*100</f>
        <v>35</v>
      </c>
    </row>
    <row r="19" spans="1:6" ht="18" x14ac:dyDescent="0.4">
      <c r="A19" s="1"/>
      <c r="B19" s="1"/>
      <c r="C19" s="3"/>
      <c r="D19" s="3"/>
      <c r="E19" s="3"/>
    </row>
    <row r="20" spans="1:6" ht="18" x14ac:dyDescent="0.4">
      <c r="A20" s="1" t="s">
        <v>169</v>
      </c>
      <c r="B20" s="1" t="s">
        <v>227</v>
      </c>
      <c r="C20" s="32">
        <v>417521</v>
      </c>
      <c r="D20" s="32">
        <v>456755</v>
      </c>
      <c r="E20" s="32">
        <v>496216</v>
      </c>
      <c r="F20" t="s">
        <v>59</v>
      </c>
    </row>
    <row r="21" spans="1:6" ht="18" x14ac:dyDescent="0.4">
      <c r="A21" s="5" t="s">
        <v>34</v>
      </c>
      <c r="B21" s="1"/>
      <c r="C21" s="3"/>
      <c r="D21" s="3"/>
      <c r="E21" s="3"/>
    </row>
    <row r="22" spans="1:6" ht="18" x14ac:dyDescent="0.4">
      <c r="A22" s="1"/>
      <c r="B22" s="1"/>
      <c r="C22" s="21"/>
      <c r="D22" s="21" t="s">
        <v>32</v>
      </c>
      <c r="E22" s="21"/>
    </row>
    <row r="23" spans="1:6" ht="18" x14ac:dyDescent="0.4">
      <c r="A23" s="1"/>
      <c r="B23" s="1"/>
      <c r="C23" s="22" t="s">
        <v>33</v>
      </c>
      <c r="D23" s="22" t="s">
        <v>142</v>
      </c>
      <c r="E23" s="22" t="s">
        <v>31</v>
      </c>
    </row>
    <row r="24" spans="1:6" ht="18" x14ac:dyDescent="0.4">
      <c r="A24" s="1" t="s">
        <v>0</v>
      </c>
      <c r="B24" s="1" t="s">
        <v>226</v>
      </c>
      <c r="C24" s="3">
        <v>550434</v>
      </c>
      <c r="D24" s="3">
        <v>550434</v>
      </c>
      <c r="E24" s="3">
        <v>550434</v>
      </c>
      <c r="F24" t="s">
        <v>59</v>
      </c>
    </row>
    <row r="25" spans="1:6" ht="18" x14ac:dyDescent="0.4">
      <c r="A25" s="1" t="s">
        <v>168</v>
      </c>
      <c r="B25" s="1" t="s">
        <v>227</v>
      </c>
      <c r="C25" s="3">
        <f>C20-C26</f>
        <v>386945</v>
      </c>
      <c r="D25" s="3">
        <f>D20-D26</f>
        <v>386945</v>
      </c>
      <c r="E25" s="3">
        <f>E20-E26</f>
        <v>386945</v>
      </c>
    </row>
    <row r="26" spans="1:6" ht="18" x14ac:dyDescent="0.4">
      <c r="A26" s="1" t="s">
        <v>49</v>
      </c>
      <c r="B26" s="1" t="s">
        <v>227</v>
      </c>
      <c r="C26" s="32">
        <v>30576</v>
      </c>
      <c r="D26" s="32">
        <v>69810</v>
      </c>
      <c r="E26" s="32">
        <v>109271</v>
      </c>
      <c r="F26" t="s">
        <v>59</v>
      </c>
    </row>
    <row r="27" spans="1:6" ht="18" x14ac:dyDescent="0.4">
      <c r="A27" s="1" t="s">
        <v>1</v>
      </c>
      <c r="B27" s="1" t="s">
        <v>228</v>
      </c>
      <c r="C27" s="3">
        <f>C24-C25-C26</f>
        <v>132913</v>
      </c>
      <c r="D27" s="3">
        <f>D24-D25-D26</f>
        <v>93679</v>
      </c>
      <c r="E27" s="3">
        <f>E24-E25-E26</f>
        <v>54218</v>
      </c>
    </row>
    <row r="28" spans="1:6" ht="18" x14ac:dyDescent="0.4">
      <c r="A28" s="1" t="s">
        <v>170</v>
      </c>
      <c r="B28" s="1" t="s">
        <v>226</v>
      </c>
      <c r="C28" s="3">
        <v>0</v>
      </c>
      <c r="D28" s="3">
        <v>0</v>
      </c>
      <c r="E28" s="3">
        <v>0</v>
      </c>
    </row>
    <row r="29" spans="1:6" ht="18" x14ac:dyDescent="0.4">
      <c r="A29" s="1" t="s">
        <v>6</v>
      </c>
      <c r="B29" s="1" t="s">
        <v>228</v>
      </c>
      <c r="C29" s="3">
        <f>C27-C28</f>
        <v>132913</v>
      </c>
      <c r="D29" s="3">
        <f>D27-D28</f>
        <v>93679</v>
      </c>
      <c r="E29" s="3">
        <f>E27-E28</f>
        <v>54218</v>
      </c>
    </row>
    <row r="30" spans="1:6" ht="18" x14ac:dyDescent="0.4">
      <c r="A30" s="1" t="s">
        <v>7</v>
      </c>
      <c r="B30" s="1" t="s">
        <v>227</v>
      </c>
      <c r="C30" s="32">
        <v>60000</v>
      </c>
      <c r="D30" s="32">
        <v>60000</v>
      </c>
      <c r="E30" s="32">
        <v>60000</v>
      </c>
    </row>
    <row r="31" spans="1:6" ht="18" x14ac:dyDescent="0.4">
      <c r="A31" s="1" t="s">
        <v>8</v>
      </c>
      <c r="B31" s="1" t="s">
        <v>228</v>
      </c>
      <c r="C31" s="3">
        <f>C29-C30</f>
        <v>72913</v>
      </c>
      <c r="D31" s="3">
        <f>D29-D30</f>
        <v>33679</v>
      </c>
      <c r="E31" s="3">
        <f>E29-E30</f>
        <v>-5782</v>
      </c>
      <c r="F31" t="s">
        <v>59</v>
      </c>
    </row>
    <row r="32" spans="1:6" x14ac:dyDescent="0.25">
      <c r="F32" t="s">
        <v>60</v>
      </c>
    </row>
    <row r="33" spans="1:6" ht="18" x14ac:dyDescent="0.4">
      <c r="A33" s="1"/>
      <c r="B33" s="1"/>
      <c r="C33" s="3"/>
      <c r="D33" s="3"/>
      <c r="E33" s="3"/>
    </row>
    <row r="34" spans="1:6" ht="18" x14ac:dyDescent="0.4">
      <c r="A34" s="1"/>
      <c r="B34" s="1"/>
      <c r="C34" s="3"/>
      <c r="D34" s="3"/>
      <c r="E34" s="3"/>
    </row>
    <row r="35" spans="1:6" ht="18" x14ac:dyDescent="0.4">
      <c r="A35" s="5" t="s">
        <v>18</v>
      </c>
      <c r="B35" s="1"/>
      <c r="C35" s="3"/>
      <c r="D35" s="3"/>
      <c r="E35" s="3"/>
    </row>
    <row r="36" spans="1:6" ht="18" x14ac:dyDescent="0.4">
      <c r="A36" s="1"/>
      <c r="B36" s="1"/>
      <c r="C36" s="20"/>
      <c r="D36" s="21" t="s">
        <v>32</v>
      </c>
      <c r="E36" s="21"/>
    </row>
    <row r="37" spans="1:6" ht="18" x14ac:dyDescent="0.4">
      <c r="A37" s="1"/>
      <c r="B37" s="1"/>
      <c r="C37" s="22" t="s">
        <v>33</v>
      </c>
      <c r="D37" s="22" t="s">
        <v>142</v>
      </c>
      <c r="E37" s="22" t="s">
        <v>31</v>
      </c>
    </row>
    <row r="38" spans="1:6" ht="18" x14ac:dyDescent="0.4">
      <c r="A38" s="1" t="s">
        <v>1</v>
      </c>
      <c r="B38" s="1" t="s">
        <v>226</v>
      </c>
      <c r="C38" s="3">
        <f>C27</f>
        <v>132913</v>
      </c>
      <c r="D38" s="3">
        <f>D27</f>
        <v>93679</v>
      </c>
      <c r="E38" s="3">
        <f>E27</f>
        <v>54218</v>
      </c>
    </row>
    <row r="39" spans="1:6" ht="18" x14ac:dyDescent="0.4">
      <c r="A39" s="1" t="s">
        <v>9</v>
      </c>
      <c r="B39" s="1" t="s">
        <v>226</v>
      </c>
      <c r="C39" s="3">
        <v>0</v>
      </c>
      <c r="D39" s="3">
        <v>0</v>
      </c>
      <c r="E39" s="3">
        <v>0</v>
      </c>
    </row>
    <row r="40" spans="1:6" ht="18" x14ac:dyDescent="0.4">
      <c r="A40" s="1" t="s">
        <v>10</v>
      </c>
      <c r="B40" s="1" t="s">
        <v>228</v>
      </c>
      <c r="C40" s="3">
        <f>C38-C39</f>
        <v>132913</v>
      </c>
      <c r="D40" s="3">
        <f>D38-D39</f>
        <v>93679</v>
      </c>
      <c r="E40" s="3">
        <f>E38-E39</f>
        <v>54218</v>
      </c>
    </row>
    <row r="41" spans="1:6" ht="18" x14ac:dyDescent="0.4">
      <c r="A41" s="1" t="s">
        <v>11</v>
      </c>
      <c r="B41" s="1" t="s">
        <v>227</v>
      </c>
      <c r="C41" s="3">
        <v>30000</v>
      </c>
      <c r="D41" s="3">
        <v>30000</v>
      </c>
      <c r="E41" s="3">
        <v>30000</v>
      </c>
      <c r="F41" t="s">
        <v>59</v>
      </c>
    </row>
    <row r="42" spans="1:6" ht="18" x14ac:dyDescent="0.4">
      <c r="A42" s="1" t="s">
        <v>171</v>
      </c>
      <c r="B42" s="1" t="s">
        <v>227</v>
      </c>
      <c r="C42" s="3">
        <v>23550</v>
      </c>
      <c r="D42" s="3">
        <v>8945</v>
      </c>
      <c r="E42" s="3">
        <v>0</v>
      </c>
      <c r="F42" t="s">
        <v>59</v>
      </c>
    </row>
    <row r="43" spans="1:6" ht="18" x14ac:dyDescent="0.4">
      <c r="A43" s="1" t="s">
        <v>47</v>
      </c>
      <c r="B43" s="1" t="s">
        <v>228</v>
      </c>
      <c r="C43" s="3">
        <f>C40-C41-C42</f>
        <v>79363</v>
      </c>
      <c r="D43" s="3">
        <f>D40-D41-D42</f>
        <v>54734</v>
      </c>
      <c r="E43" s="3">
        <f>E40-E41-E42</f>
        <v>24218</v>
      </c>
    </row>
    <row r="44" spans="1:6" ht="18" x14ac:dyDescent="0.4">
      <c r="A44" s="1" t="s">
        <v>14</v>
      </c>
      <c r="B44" s="1" t="s">
        <v>226</v>
      </c>
      <c r="C44" s="3">
        <f>C26</f>
        <v>30576</v>
      </c>
      <c r="D44" s="3">
        <f>D26</f>
        <v>69810</v>
      </c>
      <c r="E44" s="3">
        <f>E26</f>
        <v>109271</v>
      </c>
      <c r="F44" t="s">
        <v>60</v>
      </c>
    </row>
    <row r="45" spans="1:6" ht="18" x14ac:dyDescent="0.4">
      <c r="A45" s="1" t="s">
        <v>45</v>
      </c>
      <c r="B45" s="1" t="s">
        <v>228</v>
      </c>
      <c r="C45" s="3">
        <f>C43+C44</f>
        <v>109939</v>
      </c>
      <c r="D45" s="3">
        <f>D43+D44</f>
        <v>124544</v>
      </c>
      <c r="E45" s="3">
        <f>E43+E44</f>
        <v>133489</v>
      </c>
    </row>
    <row r="46" spans="1:6" ht="18" x14ac:dyDescent="0.4">
      <c r="A46" s="1" t="s">
        <v>15</v>
      </c>
      <c r="B46" s="1" t="s">
        <v>227</v>
      </c>
      <c r="C46" s="3">
        <v>58655</v>
      </c>
      <c r="D46" s="3">
        <v>178601</v>
      </c>
      <c r="E46" s="3">
        <v>176312</v>
      </c>
      <c r="F46" t="s">
        <v>59</v>
      </c>
    </row>
    <row r="47" spans="1:6" ht="18" x14ac:dyDescent="0.4">
      <c r="A47" s="1" t="s">
        <v>46</v>
      </c>
      <c r="B47" s="1" t="s">
        <v>228</v>
      </c>
      <c r="C47" s="3">
        <f>C45-C46</f>
        <v>51284</v>
      </c>
      <c r="D47" s="3">
        <f>D45-D46</f>
        <v>-54057</v>
      </c>
      <c r="E47" s="3">
        <f>E45-E46</f>
        <v>-42823</v>
      </c>
    </row>
    <row r="48" spans="1:6" ht="18" x14ac:dyDescent="0.4">
      <c r="A48" s="1" t="s">
        <v>12</v>
      </c>
      <c r="B48" s="1" t="s">
        <v>227</v>
      </c>
      <c r="C48" s="3">
        <v>40978</v>
      </c>
      <c r="D48" s="3">
        <v>0</v>
      </c>
      <c r="E48" s="3">
        <v>13521</v>
      </c>
      <c r="F48" t="s">
        <v>59</v>
      </c>
    </row>
    <row r="49" spans="1:5" ht="18" x14ac:dyDescent="0.4">
      <c r="A49" s="1" t="s">
        <v>13</v>
      </c>
      <c r="B49" s="1" t="s">
        <v>228</v>
      </c>
      <c r="C49" s="3">
        <f>C47-C48</f>
        <v>10306</v>
      </c>
      <c r="D49" s="3">
        <f>D47-D48</f>
        <v>-54057</v>
      </c>
      <c r="E49" s="3">
        <f>E47-E48</f>
        <v>-56344</v>
      </c>
    </row>
    <row r="50" spans="1:5" ht="18" x14ac:dyDescent="0.4">
      <c r="A50" s="1"/>
      <c r="B50" s="1"/>
      <c r="C50" s="3"/>
      <c r="D50" s="3"/>
      <c r="E50" s="3"/>
    </row>
    <row r="51" spans="1:5" ht="18" x14ac:dyDescent="0.4">
      <c r="A51" s="27" t="s">
        <v>224</v>
      </c>
      <c r="B51" s="1"/>
      <c r="C51" s="3"/>
      <c r="D51" s="3"/>
      <c r="E51" s="3"/>
    </row>
    <row r="52" spans="1:5" ht="18" x14ac:dyDescent="0.4">
      <c r="A52" s="27"/>
      <c r="B52" s="1"/>
      <c r="C52" s="3"/>
      <c r="D52" s="3"/>
      <c r="E52" s="3"/>
    </row>
    <row r="53" spans="1:5" ht="18" x14ac:dyDescent="0.4">
      <c r="A53" s="1"/>
      <c r="B53" s="1"/>
      <c r="C53" s="21"/>
      <c r="D53" s="21" t="s">
        <v>32</v>
      </c>
      <c r="E53" s="21"/>
    </row>
    <row r="54" spans="1:5" ht="18" x14ac:dyDescent="0.4">
      <c r="A54" s="1"/>
      <c r="B54" s="1"/>
      <c r="C54" s="22" t="s">
        <v>33</v>
      </c>
      <c r="D54" s="22" t="s">
        <v>142</v>
      </c>
      <c r="E54" s="22" t="s">
        <v>31</v>
      </c>
    </row>
    <row r="55" spans="1:5" ht="18" x14ac:dyDescent="0.4">
      <c r="A55" s="1" t="s">
        <v>8</v>
      </c>
      <c r="B55" s="1"/>
      <c r="C55" s="3">
        <f>C31</f>
        <v>72913</v>
      </c>
      <c r="D55" s="3">
        <f>D31</f>
        <v>33679</v>
      </c>
      <c r="E55" s="3">
        <f>E31</f>
        <v>-5782</v>
      </c>
    </row>
    <row r="56" spans="1:5" ht="18" x14ac:dyDescent="0.4">
      <c r="A56" s="1" t="s">
        <v>225</v>
      </c>
      <c r="B56" s="1" t="s">
        <v>226</v>
      </c>
      <c r="C56" s="3">
        <f>C39</f>
        <v>0</v>
      </c>
      <c r="D56" s="3">
        <f>D39</f>
        <v>0</v>
      </c>
      <c r="E56" s="3">
        <f>E39</f>
        <v>0</v>
      </c>
    </row>
    <row r="57" spans="1:5" ht="18" x14ac:dyDescent="0.4">
      <c r="A57" s="1" t="s">
        <v>11</v>
      </c>
      <c r="B57" s="1" t="s">
        <v>227</v>
      </c>
      <c r="C57" s="3">
        <f t="shared" ref="C57:E58" si="0">C41</f>
        <v>30000</v>
      </c>
      <c r="D57" s="3">
        <f t="shared" si="0"/>
        <v>30000</v>
      </c>
      <c r="E57" s="3">
        <f t="shared" si="0"/>
        <v>30000</v>
      </c>
    </row>
    <row r="58" spans="1:5" ht="18" x14ac:dyDescent="0.4">
      <c r="A58" s="1" t="s">
        <v>24</v>
      </c>
      <c r="B58" s="1" t="s">
        <v>227</v>
      </c>
      <c r="C58" s="3">
        <f t="shared" si="0"/>
        <v>23550</v>
      </c>
      <c r="D58" s="3">
        <f t="shared" si="0"/>
        <v>8945</v>
      </c>
      <c r="E58" s="3">
        <f t="shared" si="0"/>
        <v>0</v>
      </c>
    </row>
    <row r="59" spans="1:5" ht="18" x14ac:dyDescent="0.4">
      <c r="A59" s="1" t="s">
        <v>224</v>
      </c>
      <c r="B59" s="1" t="s">
        <v>228</v>
      </c>
      <c r="C59" s="3">
        <f>C55+C56-C57-C58</f>
        <v>19363</v>
      </c>
      <c r="D59" s="3">
        <f>D55+D56-D57-D58</f>
        <v>-5266</v>
      </c>
      <c r="E59" s="3">
        <f>E55+E56-E57-E58</f>
        <v>-35782</v>
      </c>
    </row>
    <row r="60" spans="1:5" ht="18" x14ac:dyDescent="0.4">
      <c r="A60" s="1"/>
      <c r="B60" s="1"/>
      <c r="C60" s="3"/>
      <c r="D60" s="3"/>
      <c r="E60" s="3"/>
    </row>
    <row r="61" spans="1:5" ht="18" x14ac:dyDescent="0.4">
      <c r="A61" s="1" t="s">
        <v>229</v>
      </c>
      <c r="B61" s="1"/>
      <c r="C61" s="8">
        <f>C59/C14</f>
        <v>1.1976525688017783E-2</v>
      </c>
      <c r="D61" s="8">
        <f>D59/D14</f>
        <v>-4.7375286761729115E-3</v>
      </c>
      <c r="E61" s="8">
        <f>E59/E14</f>
        <v>-5.0585989962536229E-2</v>
      </c>
    </row>
    <row r="62" spans="1:5" ht="18" x14ac:dyDescent="0.4">
      <c r="A62" s="1"/>
      <c r="B62" s="1"/>
      <c r="C62" s="3"/>
      <c r="D62" s="3"/>
      <c r="E62" s="3"/>
    </row>
    <row r="63" spans="1:5" ht="18" x14ac:dyDescent="0.4">
      <c r="A63" s="1" t="s">
        <v>164</v>
      </c>
      <c r="B63" s="1"/>
      <c r="C63" s="3"/>
      <c r="D63" s="3"/>
      <c r="E63" s="3"/>
    </row>
    <row r="64" spans="1:5" ht="18" x14ac:dyDescent="0.4">
      <c r="A64" s="1"/>
      <c r="B64" s="1"/>
      <c r="C64" s="20"/>
      <c r="D64" s="21" t="s">
        <v>32</v>
      </c>
      <c r="E64" s="21"/>
    </row>
    <row r="65" spans="1:6" ht="18" x14ac:dyDescent="0.4">
      <c r="A65" s="1"/>
      <c r="B65" s="1"/>
      <c r="C65" s="22" t="s">
        <v>33</v>
      </c>
      <c r="D65" s="22" t="s">
        <v>142</v>
      </c>
      <c r="E65" s="22" t="s">
        <v>31</v>
      </c>
    </row>
    <row r="66" spans="1:6" ht="18" x14ac:dyDescent="0.4">
      <c r="A66" s="1" t="s">
        <v>166</v>
      </c>
      <c r="B66" s="1"/>
      <c r="C66" s="3"/>
      <c r="D66" s="3"/>
      <c r="E66" s="3"/>
    </row>
    <row r="67" spans="1:6" ht="18" x14ac:dyDescent="0.4">
      <c r="A67" s="1" t="s">
        <v>8</v>
      </c>
      <c r="B67" s="1"/>
      <c r="C67" s="3">
        <v>63215</v>
      </c>
      <c r="D67" s="3">
        <v>23981</v>
      </c>
      <c r="E67" s="3">
        <v>-15480</v>
      </c>
      <c r="F67" t="s">
        <v>59</v>
      </c>
    </row>
    <row r="68" spans="1:6" ht="18" x14ac:dyDescent="0.4">
      <c r="A68" s="1" t="s">
        <v>13</v>
      </c>
      <c r="B68" s="1"/>
      <c r="C68" s="3">
        <v>4051</v>
      </c>
      <c r="D68" s="3">
        <v>-60370</v>
      </c>
      <c r="E68" s="3">
        <v>-66042</v>
      </c>
      <c r="F68" t="s">
        <v>59</v>
      </c>
    </row>
    <row r="69" spans="1:6" ht="18" x14ac:dyDescent="0.4">
      <c r="A69" s="1" t="s">
        <v>165</v>
      </c>
      <c r="B69" s="1"/>
      <c r="C69" s="3">
        <v>13108</v>
      </c>
      <c r="D69" s="3">
        <v>-11580</v>
      </c>
      <c r="E69" s="3">
        <v>-45480</v>
      </c>
      <c r="F69" t="s">
        <v>59</v>
      </c>
    </row>
    <row r="70" spans="1:6" ht="18" x14ac:dyDescent="0.4">
      <c r="A70" s="1"/>
      <c r="B70" s="1"/>
      <c r="C70" s="3"/>
      <c r="D70" s="3"/>
      <c r="E70" s="3"/>
    </row>
    <row r="71" spans="1:6" ht="18" x14ac:dyDescent="0.4">
      <c r="A71" s="1" t="s">
        <v>167</v>
      </c>
      <c r="B71" s="1"/>
      <c r="C71" s="3"/>
      <c r="D71" s="3"/>
      <c r="E71" s="3"/>
    </row>
    <row r="72" spans="1:6" ht="18" x14ac:dyDescent="0.4">
      <c r="A72" s="1" t="s">
        <v>8</v>
      </c>
      <c r="B72" s="1"/>
      <c r="C72" s="3">
        <v>24423</v>
      </c>
      <c r="D72" s="3">
        <v>-14811</v>
      </c>
      <c r="E72" s="3">
        <v>-54272</v>
      </c>
      <c r="F72" t="s">
        <v>59</v>
      </c>
    </row>
    <row r="73" spans="1:6" ht="18" x14ac:dyDescent="0.4">
      <c r="A73" s="1" t="s">
        <v>13</v>
      </c>
      <c r="B73" s="1"/>
      <c r="C73" s="3">
        <v>-20384</v>
      </c>
      <c r="D73" s="3">
        <v>-93602</v>
      </c>
      <c r="E73" s="3">
        <v>-104834</v>
      </c>
      <c r="F73" t="s">
        <v>59</v>
      </c>
    </row>
    <row r="74" spans="1:6" ht="18" x14ac:dyDescent="0.4">
      <c r="A74" s="1" t="s">
        <v>165</v>
      </c>
      <c r="B74" s="1"/>
      <c r="C74" s="3">
        <v>-11292</v>
      </c>
      <c r="D74" s="3">
        <v>-44811</v>
      </c>
      <c r="E74" s="3">
        <v>-84272</v>
      </c>
      <c r="F74" t="s">
        <v>59</v>
      </c>
    </row>
    <row r="75" spans="1:6" ht="18" x14ac:dyDescent="0.4">
      <c r="A75" s="1"/>
      <c r="B75" s="1"/>
      <c r="C75" s="3"/>
      <c r="D75" s="3"/>
      <c r="E75" s="3"/>
    </row>
    <row r="76" spans="1:6" ht="18" x14ac:dyDescent="0.4">
      <c r="A76" s="5" t="s">
        <v>19</v>
      </c>
      <c r="B76" s="1"/>
      <c r="C76" s="3"/>
      <c r="D76" s="3"/>
      <c r="E76" s="3"/>
    </row>
    <row r="77" spans="1:6" ht="18" x14ac:dyDescent="0.4">
      <c r="A77" s="1"/>
      <c r="B77" s="1"/>
      <c r="C77" s="20"/>
      <c r="D77" s="21" t="s">
        <v>32</v>
      </c>
      <c r="E77" s="21"/>
    </row>
    <row r="78" spans="1:6" ht="18" x14ac:dyDescent="0.4">
      <c r="A78" s="1"/>
      <c r="B78" s="1"/>
      <c r="C78" s="22" t="s">
        <v>33</v>
      </c>
      <c r="D78" s="22" t="s">
        <v>142</v>
      </c>
      <c r="E78" s="22" t="s">
        <v>31</v>
      </c>
    </row>
    <row r="79" spans="1:6" ht="18" x14ac:dyDescent="0.4">
      <c r="A79" s="1" t="s">
        <v>8</v>
      </c>
      <c r="B79" s="2" t="s">
        <v>4</v>
      </c>
      <c r="C79" s="3">
        <f>C31</f>
        <v>72913</v>
      </c>
      <c r="D79" s="3">
        <f>D31</f>
        <v>33679</v>
      </c>
      <c r="E79" s="3">
        <f>E31</f>
        <v>-5782</v>
      </c>
    </row>
    <row r="80" spans="1:6" ht="18" x14ac:dyDescent="0.4">
      <c r="A80" s="1" t="s">
        <v>16</v>
      </c>
      <c r="B80" s="2" t="s">
        <v>2</v>
      </c>
      <c r="C80" s="3">
        <f>C41</f>
        <v>30000</v>
      </c>
      <c r="D80" s="3">
        <f>D41</f>
        <v>30000</v>
      </c>
      <c r="E80" s="3">
        <f>E41</f>
        <v>30000</v>
      </c>
    </row>
    <row r="81" spans="1:6" ht="18" x14ac:dyDescent="0.4">
      <c r="A81" s="1" t="s">
        <v>22</v>
      </c>
      <c r="B81" s="2" t="s">
        <v>5</v>
      </c>
      <c r="C81" s="3">
        <v>0</v>
      </c>
      <c r="D81" s="3">
        <v>0</v>
      </c>
      <c r="E81" s="3">
        <v>0</v>
      </c>
    </row>
    <row r="82" spans="1:6" ht="18" x14ac:dyDescent="0.4">
      <c r="A82" s="1" t="s">
        <v>17</v>
      </c>
      <c r="B82" s="2" t="s">
        <v>2</v>
      </c>
      <c r="C82" s="3">
        <f>C42</f>
        <v>23550</v>
      </c>
      <c r="D82" s="3">
        <f>D42</f>
        <v>8945</v>
      </c>
      <c r="E82" s="3">
        <f>E42</f>
        <v>0</v>
      </c>
    </row>
    <row r="83" spans="1:6" ht="18" x14ac:dyDescent="0.4">
      <c r="A83" s="1" t="s">
        <v>7</v>
      </c>
      <c r="B83" s="2" t="s">
        <v>4</v>
      </c>
      <c r="C83" s="3">
        <f>+C30</f>
        <v>60000</v>
      </c>
      <c r="D83" s="3">
        <f>+D30</f>
        <v>60000</v>
      </c>
      <c r="E83" s="3">
        <f>+E30</f>
        <v>60000</v>
      </c>
    </row>
    <row r="84" spans="1:6" ht="18" x14ac:dyDescent="0.4">
      <c r="A84" s="1" t="s">
        <v>21</v>
      </c>
      <c r="B84" s="2" t="s">
        <v>4</v>
      </c>
      <c r="C84" s="3">
        <v>30576</v>
      </c>
      <c r="D84" s="3">
        <f>69810-15000</f>
        <v>54810</v>
      </c>
      <c r="E84" s="3">
        <f>109271-25000</f>
        <v>84271</v>
      </c>
      <c r="F84" t="s">
        <v>59</v>
      </c>
    </row>
    <row r="85" spans="1:6" ht="18" x14ac:dyDescent="0.4">
      <c r="A85" s="1" t="s">
        <v>61</v>
      </c>
      <c r="B85" s="2" t="s">
        <v>3</v>
      </c>
      <c r="C85" s="3">
        <f>C79-C80-C82+C83+C84</f>
        <v>109939</v>
      </c>
      <c r="D85" s="3">
        <f>D79-D80-D82+D83+D84</f>
        <v>109544</v>
      </c>
      <c r="E85" s="3">
        <f>E79-E80-E82+E83+E84</f>
        <v>108489</v>
      </c>
    </row>
    <row r="86" spans="1:6" ht="18" x14ac:dyDescent="0.4">
      <c r="A86" s="1" t="s">
        <v>97</v>
      </c>
      <c r="B86" s="1" t="s">
        <v>20</v>
      </c>
      <c r="C86" s="3">
        <v>58655</v>
      </c>
      <c r="D86" s="3">
        <f>178601-15000</f>
        <v>163601</v>
      </c>
      <c r="E86" s="3">
        <f>176312-25000</f>
        <v>151312</v>
      </c>
      <c r="F86" t="s">
        <v>59</v>
      </c>
    </row>
    <row r="87" spans="1:6" ht="18" x14ac:dyDescent="0.4">
      <c r="A87" s="1" t="s">
        <v>63</v>
      </c>
      <c r="B87" s="1" t="s">
        <v>3</v>
      </c>
      <c r="C87" s="8">
        <f>C85/C86</f>
        <v>1.874332963941693</v>
      </c>
      <c r="D87" s="8">
        <f>D85/D86</f>
        <v>0.6695802592893686</v>
      </c>
      <c r="E87" s="8">
        <f>E85/E86</f>
        <v>0.71698873850058154</v>
      </c>
    </row>
    <row r="88" spans="1:6" ht="18" x14ac:dyDescent="0.4">
      <c r="A88" s="1"/>
      <c r="B88" s="1"/>
      <c r="C88" s="3"/>
      <c r="D88" s="3"/>
      <c r="E88" s="3"/>
    </row>
    <row r="89" spans="1:6" ht="18" x14ac:dyDescent="0.4">
      <c r="A89" s="1"/>
      <c r="B89" s="1"/>
      <c r="C89" s="3"/>
      <c r="D89" s="3"/>
      <c r="E89" s="3"/>
    </row>
    <row r="90" spans="1:6" ht="18" x14ac:dyDescent="0.4">
      <c r="A90" s="5" t="s">
        <v>23</v>
      </c>
      <c r="B90" s="1"/>
      <c r="C90" s="3"/>
      <c r="D90" s="3"/>
      <c r="E90" s="3"/>
    </row>
    <row r="91" spans="1:6" ht="18" x14ac:dyDescent="0.4">
      <c r="A91" s="1"/>
      <c r="B91" s="1"/>
      <c r="C91" s="20"/>
      <c r="D91" s="21" t="s">
        <v>32</v>
      </c>
      <c r="E91" s="21"/>
    </row>
    <row r="92" spans="1:6" ht="18" x14ac:dyDescent="0.4">
      <c r="A92" s="1"/>
      <c r="B92" s="1"/>
      <c r="C92" s="22" t="s">
        <v>33</v>
      </c>
      <c r="D92" s="22" t="s">
        <v>142</v>
      </c>
      <c r="E92" s="22" t="s">
        <v>31</v>
      </c>
    </row>
    <row r="93" spans="1:6" ht="18" x14ac:dyDescent="0.4">
      <c r="A93" s="1" t="s">
        <v>8</v>
      </c>
      <c r="B93" s="2" t="s">
        <v>4</v>
      </c>
      <c r="C93" s="3">
        <f t="shared" ref="C93:E97" si="1">C79</f>
        <v>72913</v>
      </c>
      <c r="D93" s="3">
        <f t="shared" si="1"/>
        <v>33679</v>
      </c>
      <c r="E93" s="3">
        <f t="shared" si="1"/>
        <v>-5782</v>
      </c>
    </row>
    <row r="94" spans="1:6" ht="18" x14ac:dyDescent="0.4">
      <c r="A94" s="1" t="s">
        <v>16</v>
      </c>
      <c r="B94" s="2" t="s">
        <v>2</v>
      </c>
      <c r="C94" s="3">
        <f t="shared" si="1"/>
        <v>30000</v>
      </c>
      <c r="D94" s="3">
        <f t="shared" si="1"/>
        <v>30000</v>
      </c>
      <c r="E94" s="3">
        <f t="shared" si="1"/>
        <v>30000</v>
      </c>
    </row>
    <row r="95" spans="1:6" ht="18" x14ac:dyDescent="0.4">
      <c r="A95" s="1" t="s">
        <v>22</v>
      </c>
      <c r="B95" s="2" t="s">
        <v>5</v>
      </c>
      <c r="C95" s="3">
        <f t="shared" si="1"/>
        <v>0</v>
      </c>
      <c r="D95" s="3">
        <f t="shared" si="1"/>
        <v>0</v>
      </c>
      <c r="E95" s="3">
        <f t="shared" si="1"/>
        <v>0</v>
      </c>
    </row>
    <row r="96" spans="1:6" ht="18" x14ac:dyDescent="0.4">
      <c r="A96" s="1" t="s">
        <v>24</v>
      </c>
      <c r="B96" s="2" t="s">
        <v>2</v>
      </c>
      <c r="C96" s="3">
        <f t="shared" si="1"/>
        <v>23550</v>
      </c>
      <c r="D96" s="3">
        <f t="shared" si="1"/>
        <v>8945</v>
      </c>
      <c r="E96" s="3">
        <f t="shared" si="1"/>
        <v>0</v>
      </c>
    </row>
    <row r="97" spans="1:6" ht="18" x14ac:dyDescent="0.4">
      <c r="A97" s="1" t="s">
        <v>7</v>
      </c>
      <c r="B97" s="2" t="s">
        <v>4</v>
      </c>
      <c r="C97" s="3">
        <f t="shared" si="1"/>
        <v>60000</v>
      </c>
      <c r="D97" s="3">
        <f t="shared" si="1"/>
        <v>60000</v>
      </c>
      <c r="E97" s="3">
        <f t="shared" si="1"/>
        <v>60000</v>
      </c>
    </row>
    <row r="98" spans="1:6" ht="18" x14ac:dyDescent="0.4">
      <c r="A98" s="1" t="s">
        <v>29</v>
      </c>
      <c r="B98" s="2" t="s">
        <v>3</v>
      </c>
      <c r="C98" s="3">
        <f>C93-C94-C96+C97</f>
        <v>79363</v>
      </c>
      <c r="D98" s="3">
        <f>D93-D94-D96+D97-15000</f>
        <v>39734</v>
      </c>
      <c r="E98" s="3">
        <f>E93-E94-E96+E97-25000</f>
        <v>-782</v>
      </c>
      <c r="F98" t="s">
        <v>59</v>
      </c>
    </row>
    <row r="99" spans="1:6" ht="18" x14ac:dyDescent="0.4">
      <c r="A99" s="1" t="s">
        <v>30</v>
      </c>
      <c r="B99" s="2" t="s">
        <v>2</v>
      </c>
      <c r="C99" s="3">
        <v>0</v>
      </c>
      <c r="D99" s="3">
        <v>0</v>
      </c>
      <c r="E99" s="3">
        <v>0</v>
      </c>
      <c r="F99" t="s">
        <v>59</v>
      </c>
    </row>
    <row r="100" spans="1:6" ht="18" x14ac:dyDescent="0.4">
      <c r="A100" s="1" t="s">
        <v>26</v>
      </c>
      <c r="B100" s="1" t="s">
        <v>2</v>
      </c>
      <c r="C100" s="3">
        <f>C86-C44</f>
        <v>28079</v>
      </c>
      <c r="D100" s="3">
        <f>D86-D44</f>
        <v>93791</v>
      </c>
      <c r="E100" s="3">
        <f>E86-E44</f>
        <v>42041</v>
      </c>
    </row>
    <row r="101" spans="1:6" ht="18" x14ac:dyDescent="0.4">
      <c r="A101" s="1" t="s">
        <v>27</v>
      </c>
      <c r="B101" s="1" t="s">
        <v>2</v>
      </c>
      <c r="C101" s="3">
        <v>0</v>
      </c>
      <c r="D101" s="3">
        <v>0</v>
      </c>
      <c r="E101" s="3">
        <v>0</v>
      </c>
      <c r="F101" t="s">
        <v>59</v>
      </c>
    </row>
    <row r="102" spans="1:6" ht="18" x14ac:dyDescent="0.4">
      <c r="A102" s="1" t="s">
        <v>28</v>
      </c>
      <c r="B102" s="1" t="s">
        <v>2</v>
      </c>
      <c r="C102" s="3">
        <v>0</v>
      </c>
      <c r="D102" s="3">
        <v>0</v>
      </c>
      <c r="E102" s="3">
        <v>0</v>
      </c>
      <c r="F102" t="s">
        <v>59</v>
      </c>
    </row>
    <row r="103" spans="1:6" ht="18" x14ac:dyDescent="0.4">
      <c r="A103" s="1" t="s">
        <v>25</v>
      </c>
      <c r="B103" s="1" t="s">
        <v>3</v>
      </c>
      <c r="C103" s="3">
        <f>C98-C99-C100-C101-C102</f>
        <v>51284</v>
      </c>
      <c r="D103" s="3">
        <f>D98-D99-D100-D101-D102</f>
        <v>-54057</v>
      </c>
      <c r="E103" s="3">
        <f>E98-E99-E100-E101-E102</f>
        <v>-42823</v>
      </c>
    </row>
    <row r="105" spans="1:6" x14ac:dyDescent="0.25">
      <c r="A105" t="s">
        <v>48</v>
      </c>
    </row>
    <row r="106" spans="1:6" ht="18" x14ac:dyDescent="0.4">
      <c r="A106" s="1"/>
      <c r="B106" s="1"/>
      <c r="C106" s="21"/>
      <c r="D106" s="21" t="s">
        <v>32</v>
      </c>
      <c r="E106" s="21"/>
    </row>
    <row r="107" spans="1:6" ht="18" x14ac:dyDescent="0.4">
      <c r="A107" s="4" t="s">
        <v>54</v>
      </c>
      <c r="B107" s="1"/>
      <c r="C107" s="22" t="s">
        <v>33</v>
      </c>
      <c r="D107" s="22" t="s">
        <v>142</v>
      </c>
      <c r="E107" s="22" t="s">
        <v>31</v>
      </c>
    </row>
    <row r="108" spans="1:6" ht="18" x14ac:dyDescent="0.4">
      <c r="A108" s="1" t="s">
        <v>141</v>
      </c>
      <c r="B108" s="1"/>
      <c r="C108" s="2">
        <f>C20</f>
        <v>417521</v>
      </c>
      <c r="D108" s="2">
        <f>D20</f>
        <v>456755</v>
      </c>
      <c r="E108" s="2">
        <f>E20</f>
        <v>496216</v>
      </c>
    </row>
    <row r="109" spans="1:6" ht="18" x14ac:dyDescent="0.4">
      <c r="A109" s="1" t="s">
        <v>175</v>
      </c>
      <c r="B109" s="1" t="s">
        <v>4</v>
      </c>
      <c r="C109" s="2">
        <f>C100</f>
        <v>28079</v>
      </c>
      <c r="D109" s="2">
        <f>D100</f>
        <v>93791</v>
      </c>
      <c r="E109" s="2">
        <f>E100</f>
        <v>42041</v>
      </c>
    </row>
    <row r="110" spans="1:6" ht="18" x14ac:dyDescent="0.4">
      <c r="A110" s="1" t="s">
        <v>176</v>
      </c>
      <c r="B110" s="1" t="s">
        <v>4</v>
      </c>
      <c r="C110" s="2">
        <f>C48</f>
        <v>40978</v>
      </c>
      <c r="D110" s="2">
        <f>D48</f>
        <v>0</v>
      </c>
      <c r="E110" s="2">
        <f>E48</f>
        <v>13521</v>
      </c>
    </row>
    <row r="111" spans="1:6" ht="18" x14ac:dyDescent="0.4">
      <c r="A111" s="1" t="s">
        <v>131</v>
      </c>
      <c r="B111" s="1" t="s">
        <v>4</v>
      </c>
      <c r="C111" s="2">
        <f>C94</f>
        <v>30000</v>
      </c>
      <c r="D111" s="2">
        <f>D94</f>
        <v>30000</v>
      </c>
      <c r="E111" s="2">
        <f>E94</f>
        <v>30000</v>
      </c>
    </row>
    <row r="112" spans="1:6" ht="18" x14ac:dyDescent="0.4">
      <c r="A112" s="1" t="s">
        <v>86</v>
      </c>
      <c r="B112" s="1" t="s">
        <v>4</v>
      </c>
      <c r="C112" s="2">
        <f>C96</f>
        <v>23550</v>
      </c>
      <c r="D112" s="2">
        <f>D96</f>
        <v>8945</v>
      </c>
      <c r="E112" s="2">
        <f>E96</f>
        <v>0</v>
      </c>
    </row>
    <row r="113" spans="1:5" ht="18" x14ac:dyDescent="0.4">
      <c r="A113" s="1" t="s">
        <v>51</v>
      </c>
      <c r="B113" s="1" t="s">
        <v>3</v>
      </c>
      <c r="C113" s="2">
        <f>SUM(C108:C112)</f>
        <v>540128</v>
      </c>
      <c r="D113" s="2">
        <f>SUM(D108:D112)</f>
        <v>589491</v>
      </c>
      <c r="E113" s="2">
        <f>SUM(E108:E112)</f>
        <v>581778</v>
      </c>
    </row>
    <row r="114" spans="1:5" ht="18" x14ac:dyDescent="0.4">
      <c r="A114" s="1" t="s">
        <v>58</v>
      </c>
      <c r="B114" s="1"/>
      <c r="C114" s="6">
        <f>C113/2000</f>
        <v>270.06400000000002</v>
      </c>
      <c r="D114" s="6">
        <f>D113/2000</f>
        <v>294.74549999999999</v>
      </c>
      <c r="E114" s="6">
        <f>E113/2000</f>
        <v>290.88900000000001</v>
      </c>
    </row>
    <row r="115" spans="1:5" ht="18" x14ac:dyDescent="0.4">
      <c r="A115" s="1" t="s">
        <v>56</v>
      </c>
      <c r="B115" s="1"/>
      <c r="C115" s="12">
        <f>C114/128.5</f>
        <v>2.1016653696498055</v>
      </c>
      <c r="D115" s="12">
        <f>D114/128.5</f>
        <v>2.2937392996108947</v>
      </c>
      <c r="E115" s="12">
        <f>E114/128.5</f>
        <v>2.2637276264591439</v>
      </c>
    </row>
    <row r="116" spans="1:5" ht="18" x14ac:dyDescent="0.4">
      <c r="A116" s="1" t="s">
        <v>57</v>
      </c>
      <c r="B116" s="1"/>
      <c r="C116" s="12">
        <f>C114/43</f>
        <v>6.2805581395348842</v>
      </c>
      <c r="D116" s="12">
        <f>D114/43</f>
        <v>6.8545465116279072</v>
      </c>
      <c r="E116" s="12">
        <f>E114/43</f>
        <v>6.7648604651162794</v>
      </c>
    </row>
    <row r="117" spans="1:5" ht="18" x14ac:dyDescent="0.4">
      <c r="A117" s="1" t="s">
        <v>62</v>
      </c>
      <c r="B117" s="1"/>
      <c r="C117" s="2"/>
      <c r="D117" s="2"/>
      <c r="E117" s="2"/>
    </row>
    <row r="119" spans="1:5" ht="18" x14ac:dyDescent="0.4">
      <c r="A119" s="7" t="s">
        <v>52</v>
      </c>
      <c r="B119" s="1"/>
      <c r="C119" s="2"/>
      <c r="D119" s="2"/>
      <c r="E119" s="2"/>
    </row>
    <row r="120" spans="1:5" ht="18" x14ac:dyDescent="0.4">
      <c r="B120" s="1"/>
      <c r="C120" s="20"/>
      <c r="D120" s="21" t="s">
        <v>32</v>
      </c>
      <c r="E120" s="21"/>
    </row>
    <row r="121" spans="1:5" ht="18" x14ac:dyDescent="0.4">
      <c r="A121" s="4" t="s">
        <v>53</v>
      </c>
      <c r="B121" s="1"/>
      <c r="C121" s="22" t="s">
        <v>33</v>
      </c>
      <c r="D121" s="22" t="s">
        <v>142</v>
      </c>
      <c r="E121" s="22" t="s">
        <v>31</v>
      </c>
    </row>
    <row r="122" spans="1:5" ht="18" x14ac:dyDescent="0.4">
      <c r="A122" s="1" t="s">
        <v>141</v>
      </c>
      <c r="B122" s="1"/>
      <c r="C122" s="2">
        <f>C20</f>
        <v>417521</v>
      </c>
      <c r="D122" s="2">
        <f>D20</f>
        <v>456755</v>
      </c>
      <c r="E122" s="2">
        <f>E20</f>
        <v>496216</v>
      </c>
    </row>
    <row r="123" spans="1:5" ht="18" x14ac:dyDescent="0.4">
      <c r="A123" s="1" t="s">
        <v>55</v>
      </c>
      <c r="B123" s="1" t="s">
        <v>4</v>
      </c>
      <c r="C123" s="2">
        <f>C97</f>
        <v>60000</v>
      </c>
      <c r="D123" s="2">
        <f>D97</f>
        <v>60000</v>
      </c>
      <c r="E123" s="2">
        <f>E97</f>
        <v>60000</v>
      </c>
    </row>
    <row r="124" spans="1:5" ht="18" x14ac:dyDescent="0.4">
      <c r="A124" s="1" t="s">
        <v>50</v>
      </c>
      <c r="B124" s="1" t="s">
        <v>4</v>
      </c>
      <c r="C124" s="2">
        <f t="shared" ref="C124:E125" si="2">C111</f>
        <v>30000</v>
      </c>
      <c r="D124" s="2">
        <f t="shared" si="2"/>
        <v>30000</v>
      </c>
      <c r="E124" s="2">
        <f t="shared" si="2"/>
        <v>30000</v>
      </c>
    </row>
    <row r="125" spans="1:5" ht="18" x14ac:dyDescent="0.4">
      <c r="A125" s="1" t="s">
        <v>86</v>
      </c>
      <c r="B125" s="1" t="s">
        <v>4</v>
      </c>
      <c r="C125" s="2">
        <f t="shared" si="2"/>
        <v>23550</v>
      </c>
      <c r="D125" s="2">
        <f t="shared" si="2"/>
        <v>8945</v>
      </c>
      <c r="E125" s="2">
        <f t="shared" si="2"/>
        <v>0</v>
      </c>
    </row>
    <row r="126" spans="1:5" ht="18" x14ac:dyDescent="0.4">
      <c r="A126" s="1" t="s">
        <v>174</v>
      </c>
      <c r="B126" s="1" t="s">
        <v>3</v>
      </c>
      <c r="C126" s="2">
        <f>SUM(C122:C125)</f>
        <v>531071</v>
      </c>
      <c r="D126" s="2">
        <f>SUM(D122:D125)</f>
        <v>555700</v>
      </c>
      <c r="E126" s="2">
        <f>SUM(E122:E125)</f>
        <v>586216</v>
      </c>
    </row>
    <row r="127" spans="1:5" ht="18" x14ac:dyDescent="0.4">
      <c r="A127" s="1" t="s">
        <v>58</v>
      </c>
      <c r="B127" s="1" t="s">
        <v>60</v>
      </c>
      <c r="C127" s="6">
        <f>C126/2000</f>
        <v>265.53550000000001</v>
      </c>
      <c r="D127" s="6">
        <f>D126/2000</f>
        <v>277.85000000000002</v>
      </c>
      <c r="E127" s="6">
        <f>E126/2000</f>
        <v>293.108</v>
      </c>
    </row>
    <row r="128" spans="1:5" ht="18" x14ac:dyDescent="0.4">
      <c r="A128" s="1" t="s">
        <v>56</v>
      </c>
      <c r="B128" s="1"/>
      <c r="C128" s="6">
        <f>C127/128.5</f>
        <v>2.0664241245136186</v>
      </c>
      <c r="D128" s="6">
        <f>D127/128.5</f>
        <v>2.1622568093385217</v>
      </c>
      <c r="E128" s="6">
        <f>E127/128.5</f>
        <v>2.2809961089494162</v>
      </c>
    </row>
    <row r="129" spans="1:6" ht="18" x14ac:dyDescent="0.4">
      <c r="A129" s="1" t="s">
        <v>57</v>
      </c>
      <c r="B129" s="1"/>
      <c r="C129" s="6">
        <f>C127/43</f>
        <v>6.1752441860465117</v>
      </c>
      <c r="D129" s="6">
        <f>D127/43</f>
        <v>6.4616279069767444</v>
      </c>
      <c r="E129" s="6">
        <f>E127/43</f>
        <v>6.8164651162790699</v>
      </c>
    </row>
    <row r="130" spans="1:6" x14ac:dyDescent="0.25">
      <c r="A130" t="s">
        <v>62</v>
      </c>
    </row>
    <row r="134" spans="1:6" x14ac:dyDescent="0.25">
      <c r="A134" t="s">
        <v>64</v>
      </c>
    </row>
    <row r="135" spans="1:6" ht="18" x14ac:dyDescent="0.4">
      <c r="A135" s="1"/>
      <c r="B135" s="1"/>
      <c r="C135" s="20"/>
      <c r="D135" s="21" t="s">
        <v>32</v>
      </c>
      <c r="E135" s="21"/>
    </row>
    <row r="136" spans="1:6" ht="18" x14ac:dyDescent="0.4">
      <c r="A136" s="1" t="s">
        <v>65</v>
      </c>
      <c r="B136" s="1"/>
      <c r="C136" s="22" t="s">
        <v>33</v>
      </c>
      <c r="D136" s="22" t="s">
        <v>142</v>
      </c>
      <c r="E136" s="22" t="s">
        <v>31</v>
      </c>
    </row>
    <row r="137" spans="1:6" ht="18" x14ac:dyDescent="0.4">
      <c r="A137" s="1" t="s">
        <v>66</v>
      </c>
      <c r="B137" s="1"/>
      <c r="C137" s="33">
        <f>C4/C9</f>
        <v>8.4872592650939307</v>
      </c>
      <c r="D137" s="33">
        <f>D4/D9</f>
        <v>1.3827886130084797</v>
      </c>
      <c r="E137" s="33">
        <f>E4/E9</f>
        <v>1.1444928913979808</v>
      </c>
    </row>
    <row r="138" spans="1:6" ht="18" x14ac:dyDescent="0.4">
      <c r="A138" s="1" t="s">
        <v>78</v>
      </c>
      <c r="B138" s="1"/>
      <c r="C138" s="2">
        <f>C4-C9</f>
        <v>380218</v>
      </c>
      <c r="D138" s="2">
        <f>D4-D9</f>
        <v>119311</v>
      </c>
      <c r="E138" s="2">
        <f>E4-E9</f>
        <v>54414</v>
      </c>
    </row>
    <row r="139" spans="1:6" ht="18" x14ac:dyDescent="0.4">
      <c r="A139" s="1" t="s">
        <v>67</v>
      </c>
      <c r="B139" s="1"/>
      <c r="C139" s="1"/>
      <c r="D139" s="1"/>
      <c r="E139" s="1"/>
    </row>
    <row r="140" spans="1:6" ht="18" x14ac:dyDescent="0.4">
      <c r="A140" s="1" t="s">
        <v>68</v>
      </c>
      <c r="B140" s="1"/>
      <c r="C140" s="8">
        <f>C12/C7</f>
        <v>0.2000267194458189</v>
      </c>
      <c r="D140" s="8">
        <f>D12/D7</f>
        <v>0.45</v>
      </c>
      <c r="E140" s="8">
        <f>E12/E7</f>
        <v>0.65</v>
      </c>
    </row>
    <row r="141" spans="1:6" ht="18" x14ac:dyDescent="0.4">
      <c r="A141" s="1" t="s">
        <v>69</v>
      </c>
      <c r="B141" s="1"/>
      <c r="C141" s="8">
        <f>C14/C7</f>
        <v>0.79997328055418104</v>
      </c>
      <c r="D141" s="8">
        <f>D14/D7</f>
        <v>0.55000000000000004</v>
      </c>
      <c r="E141" s="8">
        <f>E14/E7</f>
        <v>0.35</v>
      </c>
    </row>
    <row r="142" spans="1:6" ht="18" x14ac:dyDescent="0.4">
      <c r="A142" s="1" t="s">
        <v>70</v>
      </c>
      <c r="B142" s="1"/>
      <c r="C142" s="8">
        <f>C140/C141</f>
        <v>0.25004175052853078</v>
      </c>
      <c r="D142" s="8">
        <f>D140/D141</f>
        <v>0.81818181818181812</v>
      </c>
      <c r="E142" s="8">
        <f>E140/E141</f>
        <v>1.8571428571428574</v>
      </c>
    </row>
    <row r="143" spans="1:6" ht="18" x14ac:dyDescent="0.4">
      <c r="A143" s="1" t="s">
        <v>71</v>
      </c>
      <c r="B143" s="1"/>
      <c r="C143" s="1"/>
      <c r="D143" s="8"/>
      <c r="E143" s="8"/>
    </row>
    <row r="144" spans="1:6" ht="18" x14ac:dyDescent="0.4">
      <c r="A144" s="1" t="s">
        <v>72</v>
      </c>
      <c r="B144" s="1"/>
      <c r="C144" s="8">
        <v>2.9000000000000001E-2</v>
      </c>
      <c r="D144" s="8">
        <v>2.9000000000000001E-2</v>
      </c>
      <c r="E144" s="8">
        <v>2.9000000000000001E-2</v>
      </c>
      <c r="F144" t="s">
        <v>59</v>
      </c>
    </row>
    <row r="145" spans="1:6" ht="18" x14ac:dyDescent="0.4">
      <c r="A145" s="1" t="s">
        <v>73</v>
      </c>
      <c r="B145" s="1"/>
      <c r="C145" s="8">
        <v>1.7000000000000001E-2</v>
      </c>
      <c r="D145" s="8">
        <v>-0.01</v>
      </c>
      <c r="E145" s="8">
        <v>-7.1999999999999995E-2</v>
      </c>
      <c r="F145" t="s">
        <v>59</v>
      </c>
    </row>
    <row r="146" spans="1:6" ht="18" x14ac:dyDescent="0.4">
      <c r="A146" s="1" t="s">
        <v>74</v>
      </c>
      <c r="B146" s="1"/>
      <c r="C146" s="8">
        <f>C185</f>
        <v>0.10621981926988522</v>
      </c>
      <c r="D146" s="8">
        <f>D185</f>
        <v>0.10621981926988522</v>
      </c>
      <c r="E146" s="8">
        <f>E185</f>
        <v>0.10621981926988522</v>
      </c>
    </row>
    <row r="147" spans="1:6" ht="18" x14ac:dyDescent="0.4">
      <c r="A147" s="1" t="s">
        <v>75</v>
      </c>
      <c r="B147" s="1"/>
      <c r="C147" s="2">
        <f>C31</f>
        <v>72913</v>
      </c>
      <c r="D147" s="2">
        <f>D31</f>
        <v>33679</v>
      </c>
      <c r="E147" s="2">
        <f>E31</f>
        <v>-5782</v>
      </c>
      <c r="F147" t="s">
        <v>60</v>
      </c>
    </row>
    <row r="148" spans="1:6" ht="18" x14ac:dyDescent="0.4">
      <c r="A148" s="1"/>
      <c r="B148" s="1"/>
      <c r="C148" s="2"/>
      <c r="D148" s="2"/>
      <c r="E148" s="2"/>
    </row>
    <row r="149" spans="1:6" ht="18" x14ac:dyDescent="0.4">
      <c r="A149" s="1"/>
      <c r="B149" s="1"/>
      <c r="C149" s="20"/>
      <c r="D149" s="21" t="s">
        <v>32</v>
      </c>
      <c r="E149" s="21"/>
    </row>
    <row r="150" spans="1:6" ht="18" x14ac:dyDescent="0.4">
      <c r="A150" s="1"/>
      <c r="B150" s="1"/>
      <c r="C150" s="22" t="s">
        <v>33</v>
      </c>
      <c r="D150" s="22" t="s">
        <v>142</v>
      </c>
      <c r="E150" s="22" t="s">
        <v>31</v>
      </c>
    </row>
    <row r="151" spans="1:6" ht="18" x14ac:dyDescent="0.4">
      <c r="A151" s="1" t="s">
        <v>76</v>
      </c>
      <c r="B151" s="1"/>
      <c r="C151" s="1"/>
      <c r="D151" s="1"/>
      <c r="E151" s="1"/>
    </row>
    <row r="152" spans="1:6" ht="18" x14ac:dyDescent="0.4">
      <c r="A152" s="1" t="s">
        <v>77</v>
      </c>
      <c r="B152" s="1"/>
      <c r="C152" s="8">
        <f>C87</f>
        <v>1.874332963941693</v>
      </c>
      <c r="D152" s="8">
        <f>D87</f>
        <v>0.6695802592893686</v>
      </c>
      <c r="E152" s="8">
        <f>E87</f>
        <v>0.71698873850058154</v>
      </c>
    </row>
    <row r="153" spans="1:6" ht="18" x14ac:dyDescent="0.4">
      <c r="A153" s="1" t="s">
        <v>79</v>
      </c>
      <c r="B153" s="1"/>
      <c r="C153" s="2">
        <f>C103</f>
        <v>51284</v>
      </c>
      <c r="D153" s="2">
        <f>D103</f>
        <v>-54057</v>
      </c>
      <c r="E153" s="2">
        <f>E103</f>
        <v>-42823</v>
      </c>
    </row>
    <row r="154" spans="1:6" ht="18" x14ac:dyDescent="0.4">
      <c r="A154" s="1" t="s">
        <v>80</v>
      </c>
      <c r="B154" s="1"/>
      <c r="C154" s="1"/>
      <c r="D154" s="1"/>
      <c r="E154" s="1"/>
    </row>
    <row r="155" spans="1:6" ht="18" x14ac:dyDescent="0.4">
      <c r="A155" s="1" t="s">
        <v>81</v>
      </c>
      <c r="B155" s="1"/>
      <c r="C155" s="8">
        <f>C24/C7</f>
        <v>0.27235724888668977</v>
      </c>
      <c r="D155" s="8">
        <f>D24/D7</f>
        <v>0.27235724888668977</v>
      </c>
      <c r="E155" s="8">
        <f>E24/E7</f>
        <v>0.27235724888668977</v>
      </c>
      <c r="F155" t="s">
        <v>60</v>
      </c>
    </row>
    <row r="156" spans="1:6" ht="18" x14ac:dyDescent="0.4">
      <c r="A156" s="1" t="s">
        <v>82</v>
      </c>
      <c r="B156" s="1"/>
      <c r="C156" s="8">
        <f>C25/C24</f>
        <v>0.70298164720929301</v>
      </c>
      <c r="D156" s="8">
        <f>D25/D24</f>
        <v>0.70298164720929301</v>
      </c>
      <c r="E156" s="8">
        <f>E25/E24</f>
        <v>0.70298164720929301</v>
      </c>
    </row>
    <row r="157" spans="1:6" ht="18" x14ac:dyDescent="0.4">
      <c r="A157" s="1" t="s">
        <v>83</v>
      </c>
      <c r="B157" s="1"/>
      <c r="C157" s="8">
        <f>C30/C24</f>
        <v>0.10900489431975496</v>
      </c>
      <c r="D157" s="8">
        <f>D30/D24</f>
        <v>0.10900489431975496</v>
      </c>
      <c r="E157" s="8">
        <f>E30/E24</f>
        <v>0.10900489431975496</v>
      </c>
    </row>
    <row r="158" spans="1:6" ht="18" x14ac:dyDescent="0.4">
      <c r="A158" s="1" t="s">
        <v>84</v>
      </c>
      <c r="B158" s="1"/>
      <c r="C158" s="8">
        <f>C26/C24</f>
        <v>5.5548894145347125E-2</v>
      </c>
      <c r="D158" s="8">
        <f>D26/D24</f>
        <v>0.12682719454103489</v>
      </c>
      <c r="E158" s="8">
        <f>E26/E24</f>
        <v>0.19851789678689907</v>
      </c>
    </row>
    <row r="159" spans="1:6" ht="18" x14ac:dyDescent="0.4">
      <c r="A159" s="1" t="s">
        <v>85</v>
      </c>
      <c r="B159" s="1"/>
      <c r="C159" s="8">
        <f>1-C156-C157-C158</f>
        <v>0.13246456432560488</v>
      </c>
      <c r="D159" s="8">
        <f>1-D156-D157-D158</f>
        <v>6.1186263929917134E-2</v>
      </c>
      <c r="E159" s="8">
        <f>1-E156-E157-E158</f>
        <v>-1.0504438315947051E-2</v>
      </c>
    </row>
    <row r="161" spans="1:5" ht="18" x14ac:dyDescent="0.4">
      <c r="A161" s="1" t="s">
        <v>87</v>
      </c>
      <c r="B161" s="1"/>
      <c r="C161" s="1"/>
      <c r="D161" s="1"/>
      <c r="E161" s="1"/>
    </row>
    <row r="162" spans="1:5" ht="18" x14ac:dyDescent="0.4">
      <c r="A162" s="1"/>
      <c r="B162" s="1"/>
      <c r="C162" s="20"/>
      <c r="D162" s="21" t="s">
        <v>32</v>
      </c>
      <c r="E162" s="21"/>
    </row>
    <row r="163" spans="1:5" ht="18" x14ac:dyDescent="0.4">
      <c r="A163" s="1"/>
      <c r="B163" s="1"/>
      <c r="C163" s="22" t="s">
        <v>33</v>
      </c>
      <c r="D163" s="22" t="s">
        <v>142</v>
      </c>
      <c r="E163" s="22" t="s">
        <v>31</v>
      </c>
    </row>
    <row r="164" spans="1:5" ht="18" x14ac:dyDescent="0.4">
      <c r="A164" s="1" t="s">
        <v>88</v>
      </c>
      <c r="B164" s="1"/>
      <c r="C164" s="3">
        <f>C4</f>
        <v>431000</v>
      </c>
      <c r="D164" s="3">
        <f>D4</f>
        <v>431000</v>
      </c>
      <c r="E164" s="3">
        <f>E4</f>
        <v>431000</v>
      </c>
    </row>
    <row r="165" spans="1:5" ht="18" x14ac:dyDescent="0.4">
      <c r="A165" s="1" t="s">
        <v>89</v>
      </c>
      <c r="B165" s="1" t="s">
        <v>90</v>
      </c>
      <c r="C165" s="3">
        <f>C9</f>
        <v>50782</v>
      </c>
      <c r="D165" s="3">
        <f>D9</f>
        <v>311689</v>
      </c>
      <c r="E165" s="3">
        <f>E9</f>
        <v>376586</v>
      </c>
    </row>
    <row r="166" spans="1:5" ht="18" x14ac:dyDescent="0.4">
      <c r="A166" s="1" t="s">
        <v>98</v>
      </c>
      <c r="B166" s="1" t="s">
        <v>3</v>
      </c>
      <c r="C166" s="3">
        <f>C164-C165</f>
        <v>380218</v>
      </c>
      <c r="D166" s="3">
        <f>D164-D165</f>
        <v>119311</v>
      </c>
      <c r="E166" s="3">
        <f>E164-E165</f>
        <v>54414</v>
      </c>
    </row>
    <row r="167" spans="1:5" ht="18" x14ac:dyDescent="0.4">
      <c r="A167" s="1" t="s">
        <v>0</v>
      </c>
      <c r="B167" s="1" t="s">
        <v>20</v>
      </c>
      <c r="C167" s="3">
        <f>C24</f>
        <v>550434</v>
      </c>
      <c r="D167" s="3">
        <f>D24</f>
        <v>550434</v>
      </c>
      <c r="E167" s="3">
        <f>E24</f>
        <v>550434</v>
      </c>
    </row>
    <row r="168" spans="1:5" ht="18" x14ac:dyDescent="0.4">
      <c r="A168" s="1" t="s">
        <v>87</v>
      </c>
      <c r="B168" s="1" t="s">
        <v>3</v>
      </c>
      <c r="C168" s="8">
        <f>(C164-C165)/C167</f>
        <v>0.69076038180780985</v>
      </c>
      <c r="D168" s="8">
        <f>(D164-D165)/D167</f>
        <v>0.21675804910307139</v>
      </c>
      <c r="E168" s="8">
        <f>(E164-E165)/E167</f>
        <v>9.8856538658585777E-2</v>
      </c>
    </row>
    <row r="169" spans="1:5" ht="18" x14ac:dyDescent="0.4">
      <c r="A169" s="1"/>
      <c r="B169" s="1"/>
      <c r="C169" s="9"/>
      <c r="D169" s="9"/>
      <c r="E169" s="9"/>
    </row>
    <row r="170" spans="1:5" ht="18" x14ac:dyDescent="0.4">
      <c r="A170" s="1" t="s">
        <v>37</v>
      </c>
      <c r="B170" s="1"/>
      <c r="C170" s="1"/>
      <c r="D170" s="1"/>
      <c r="E170" s="1"/>
    </row>
    <row r="171" spans="1:5" ht="18" x14ac:dyDescent="0.4">
      <c r="A171" s="1"/>
      <c r="B171" s="1"/>
      <c r="C171" s="20"/>
      <c r="D171" s="21" t="s">
        <v>32</v>
      </c>
      <c r="E171" s="21"/>
    </row>
    <row r="172" spans="1:5" ht="18" x14ac:dyDescent="0.4">
      <c r="A172" s="1"/>
      <c r="B172" s="1"/>
      <c r="C172" s="22" t="s">
        <v>33</v>
      </c>
      <c r="D172" s="22" t="s">
        <v>142</v>
      </c>
      <c r="E172" s="22" t="s">
        <v>31</v>
      </c>
    </row>
    <row r="173" spans="1:5" ht="18" x14ac:dyDescent="0.4">
      <c r="A173" s="1" t="s">
        <v>91</v>
      </c>
      <c r="B173" s="1"/>
      <c r="C173" s="3">
        <f>C7</f>
        <v>2021000</v>
      </c>
      <c r="D173" s="3">
        <f>D7</f>
        <v>2021000</v>
      </c>
      <c r="E173" s="3">
        <f>E7</f>
        <v>2021000</v>
      </c>
    </row>
    <row r="174" spans="1:5" ht="18" x14ac:dyDescent="0.4">
      <c r="A174" s="1" t="s">
        <v>92</v>
      </c>
      <c r="B174" s="1"/>
      <c r="C174" s="3">
        <f>C12</f>
        <v>404254</v>
      </c>
      <c r="D174" s="3">
        <f>D12</f>
        <v>909450</v>
      </c>
      <c r="E174" s="3">
        <f>E12</f>
        <v>1313650</v>
      </c>
    </row>
    <row r="175" spans="1:5" ht="18" x14ac:dyDescent="0.4">
      <c r="A175" s="1" t="s">
        <v>37</v>
      </c>
      <c r="B175" s="1"/>
      <c r="C175" s="8">
        <f>C174/C173</f>
        <v>0.2000267194458189</v>
      </c>
      <c r="D175" s="8">
        <f>D174/D173</f>
        <v>0.45</v>
      </c>
      <c r="E175" s="8">
        <f>E174/E173</f>
        <v>0.65</v>
      </c>
    </row>
    <row r="176" spans="1:5" ht="18" x14ac:dyDescent="0.4">
      <c r="A176" s="1"/>
      <c r="B176" s="1"/>
      <c r="C176" s="1"/>
      <c r="D176" s="1"/>
      <c r="E176" s="1"/>
    </row>
    <row r="177" spans="1:6" ht="18" x14ac:dyDescent="0.4">
      <c r="A177" s="1" t="s">
        <v>93</v>
      </c>
      <c r="B177" s="1"/>
      <c r="C177" s="1"/>
      <c r="D177" s="1"/>
      <c r="E177" s="1"/>
    </row>
    <row r="178" spans="1:6" ht="18" x14ac:dyDescent="0.4">
      <c r="A178" s="1"/>
      <c r="B178" s="1"/>
      <c r="C178" s="20"/>
      <c r="D178" s="21" t="s">
        <v>32</v>
      </c>
      <c r="E178" s="21"/>
    </row>
    <row r="179" spans="1:6" ht="18" x14ac:dyDescent="0.4">
      <c r="A179" s="1"/>
      <c r="B179" s="1"/>
      <c r="C179" s="22" t="s">
        <v>33</v>
      </c>
      <c r="D179" s="22" t="s">
        <v>142</v>
      </c>
      <c r="E179" s="22" t="s">
        <v>31</v>
      </c>
    </row>
    <row r="180" spans="1:6" ht="18" x14ac:dyDescent="0.4">
      <c r="A180" s="1" t="s">
        <v>8</v>
      </c>
      <c r="B180" s="1"/>
      <c r="C180" s="3">
        <f>C31</f>
        <v>72913</v>
      </c>
      <c r="D180" s="3">
        <f>D31</f>
        <v>33679</v>
      </c>
      <c r="E180" s="3">
        <f>E31</f>
        <v>-5782</v>
      </c>
    </row>
    <row r="181" spans="1:6" ht="18" x14ac:dyDescent="0.4">
      <c r="A181" s="1" t="s">
        <v>49</v>
      </c>
      <c r="B181" s="1" t="s">
        <v>4</v>
      </c>
      <c r="C181" s="2">
        <f>C44</f>
        <v>30576</v>
      </c>
      <c r="D181" s="2">
        <f>D44</f>
        <v>69810</v>
      </c>
      <c r="E181" s="2">
        <f>E44</f>
        <v>109271</v>
      </c>
    </row>
    <row r="182" spans="1:6" ht="18" x14ac:dyDescent="0.4">
      <c r="A182" s="1" t="s">
        <v>94</v>
      </c>
      <c r="B182" s="1" t="s">
        <v>2</v>
      </c>
      <c r="C182" s="2">
        <v>45022</v>
      </c>
      <c r="D182" s="2">
        <v>45022</v>
      </c>
      <c r="E182" s="2">
        <v>45022</v>
      </c>
      <c r="F182" t="s">
        <v>96</v>
      </c>
    </row>
    <row r="183" spans="1:6" ht="18" x14ac:dyDescent="0.4">
      <c r="A183" s="1" t="s">
        <v>95</v>
      </c>
      <c r="B183" s="1" t="s">
        <v>3</v>
      </c>
      <c r="C183" s="3">
        <f>C180+C181-C182</f>
        <v>58467</v>
      </c>
      <c r="D183" s="3">
        <f>D180+D181-D182</f>
        <v>58467</v>
      </c>
      <c r="E183" s="3">
        <f>E180+E181-E182</f>
        <v>58467</v>
      </c>
    </row>
    <row r="184" spans="1:6" ht="18" x14ac:dyDescent="0.4">
      <c r="A184" s="1" t="s">
        <v>0</v>
      </c>
      <c r="B184" s="1" t="s">
        <v>20</v>
      </c>
      <c r="C184" s="3">
        <f>C24</f>
        <v>550434</v>
      </c>
      <c r="D184" s="3">
        <f>D24</f>
        <v>550434</v>
      </c>
      <c r="E184" s="3">
        <f>E24</f>
        <v>550434</v>
      </c>
    </row>
    <row r="185" spans="1:6" ht="18" x14ac:dyDescent="0.4">
      <c r="A185" s="1" t="s">
        <v>93</v>
      </c>
      <c r="B185" s="1" t="s">
        <v>3</v>
      </c>
      <c r="C185" s="8">
        <f>C183/C184</f>
        <v>0.10621981926988522</v>
      </c>
      <c r="D185" s="8">
        <f>D183/D184</f>
        <v>0.10621981926988522</v>
      </c>
      <c r="E185" s="8">
        <f>E183/E184</f>
        <v>0.10621981926988522</v>
      </c>
    </row>
    <row r="186" spans="1:6" ht="18" x14ac:dyDescent="0.4">
      <c r="A186" s="1"/>
      <c r="B186" s="1"/>
      <c r="C186" s="8"/>
      <c r="D186" s="8"/>
      <c r="E186" s="8"/>
    </row>
    <row r="187" spans="1:6" ht="18" x14ac:dyDescent="0.4">
      <c r="A187" s="1" t="s">
        <v>101</v>
      </c>
      <c r="B187" s="1"/>
      <c r="C187" s="8"/>
      <c r="D187" s="8"/>
      <c r="E187" s="8"/>
    </row>
    <row r="188" spans="1:6" ht="18" x14ac:dyDescent="0.4">
      <c r="A188" s="1"/>
      <c r="B188" s="1"/>
      <c r="C188" s="20"/>
      <c r="D188" s="21" t="s">
        <v>32</v>
      </c>
      <c r="E188" s="21"/>
    </row>
    <row r="189" spans="1:6" ht="18" x14ac:dyDescent="0.4">
      <c r="A189" s="1"/>
      <c r="B189" s="1"/>
      <c r="C189" s="22" t="s">
        <v>33</v>
      </c>
      <c r="D189" s="22" t="s">
        <v>142</v>
      </c>
      <c r="E189" s="22" t="s">
        <v>31</v>
      </c>
    </row>
    <row r="190" spans="1:6" ht="18" x14ac:dyDescent="0.4">
      <c r="A190" s="1" t="s">
        <v>49</v>
      </c>
      <c r="B190" s="1"/>
      <c r="C190" s="2">
        <f>C181</f>
        <v>30576</v>
      </c>
      <c r="D190" s="2">
        <f>D181</f>
        <v>69810</v>
      </c>
      <c r="E190" s="2">
        <f>E181</f>
        <v>109271</v>
      </c>
    </row>
    <row r="191" spans="1:6" ht="18" x14ac:dyDescent="0.4">
      <c r="A191" s="1" t="s">
        <v>100</v>
      </c>
      <c r="B191" s="1"/>
      <c r="C191" s="2">
        <f>C24</f>
        <v>550434</v>
      </c>
      <c r="D191" s="2">
        <f>D24</f>
        <v>550434</v>
      </c>
      <c r="E191" s="2">
        <f>E24</f>
        <v>550434</v>
      </c>
    </row>
    <row r="192" spans="1:6" ht="18" x14ac:dyDescent="0.4">
      <c r="A192" s="1" t="s">
        <v>101</v>
      </c>
      <c r="B192" s="1"/>
      <c r="C192" s="8">
        <f>C190/C191</f>
        <v>5.5548894145347125E-2</v>
      </c>
      <c r="D192" s="8">
        <f>D190/D191</f>
        <v>0.12682719454103489</v>
      </c>
      <c r="E192" s="8">
        <f>E190/E191</f>
        <v>0.19851789678689907</v>
      </c>
    </row>
    <row r="193" spans="1:6" ht="18" x14ac:dyDescent="0.4">
      <c r="A193" s="1"/>
      <c r="B193" s="1"/>
      <c r="C193" s="8"/>
      <c r="D193" s="8"/>
      <c r="E193" s="8"/>
    </row>
    <row r="194" spans="1:6" ht="18" x14ac:dyDescent="0.4">
      <c r="A194" s="1" t="s">
        <v>102</v>
      </c>
      <c r="B194" s="1"/>
      <c r="C194" s="8"/>
      <c r="D194" s="8"/>
      <c r="E194" s="8"/>
    </row>
    <row r="195" spans="1:6" ht="18" x14ac:dyDescent="0.4">
      <c r="A195" s="1"/>
      <c r="B195" s="1"/>
      <c r="C195" s="20"/>
      <c r="D195" s="21" t="s">
        <v>32</v>
      </c>
      <c r="E195" s="21"/>
    </row>
    <row r="196" spans="1:6" ht="18" x14ac:dyDescent="0.4">
      <c r="A196" s="1"/>
      <c r="B196" s="1"/>
      <c r="C196" s="22" t="s">
        <v>33</v>
      </c>
      <c r="D196" s="22" t="s">
        <v>142</v>
      </c>
      <c r="E196" s="22" t="s">
        <v>31</v>
      </c>
    </row>
    <row r="197" spans="1:6" ht="18" x14ac:dyDescent="0.4">
      <c r="A197" s="1" t="s">
        <v>7</v>
      </c>
      <c r="B197" s="1"/>
      <c r="C197" s="2">
        <f>C123</f>
        <v>60000</v>
      </c>
      <c r="D197" s="2">
        <f>D123</f>
        <v>60000</v>
      </c>
      <c r="E197" s="2">
        <f>E123</f>
        <v>60000</v>
      </c>
    </row>
    <row r="198" spans="1:6" ht="18" x14ac:dyDescent="0.4">
      <c r="A198" s="1" t="s">
        <v>100</v>
      </c>
      <c r="B198" s="1"/>
      <c r="C198" s="2">
        <f>C191</f>
        <v>550434</v>
      </c>
      <c r="D198" s="2">
        <f>D191</f>
        <v>550434</v>
      </c>
      <c r="E198" s="2">
        <f>E191</f>
        <v>550434</v>
      </c>
    </row>
    <row r="199" spans="1:6" ht="18" x14ac:dyDescent="0.4">
      <c r="A199" s="1" t="s">
        <v>172</v>
      </c>
      <c r="B199" s="1"/>
      <c r="C199" s="8">
        <f>C197/C198</f>
        <v>0.10900489431975496</v>
      </c>
      <c r="D199" s="8">
        <f>D197/D198</f>
        <v>0.10900489431975496</v>
      </c>
      <c r="E199" s="8">
        <f>E197/E198</f>
        <v>0.10900489431975496</v>
      </c>
    </row>
    <row r="200" spans="1:6" ht="18" x14ac:dyDescent="0.4">
      <c r="A200" s="1"/>
      <c r="B200" s="1"/>
      <c r="C200" s="1"/>
      <c r="D200" s="1"/>
      <c r="E200" s="1"/>
    </row>
    <row r="201" spans="1:6" ht="18" x14ac:dyDescent="0.4">
      <c r="A201" s="1" t="s">
        <v>99</v>
      </c>
      <c r="B201" s="1"/>
      <c r="C201" s="1"/>
      <c r="D201" s="1"/>
      <c r="E201" s="1"/>
    </row>
    <row r="202" spans="1:6" ht="18" x14ac:dyDescent="0.4">
      <c r="A202" s="1"/>
      <c r="B202" s="1"/>
      <c r="C202" s="20"/>
      <c r="D202" s="21" t="s">
        <v>32</v>
      </c>
      <c r="E202" s="21"/>
    </row>
    <row r="203" spans="1:6" ht="18" x14ac:dyDescent="0.4">
      <c r="A203" s="1"/>
      <c r="B203" s="1"/>
      <c r="C203" s="22" t="s">
        <v>33</v>
      </c>
      <c r="D203" s="22" t="s">
        <v>142</v>
      </c>
      <c r="E203" s="22" t="s">
        <v>31</v>
      </c>
    </row>
    <row r="204" spans="1:6" ht="18" x14ac:dyDescent="0.4">
      <c r="A204" s="1" t="s">
        <v>8</v>
      </c>
      <c r="B204" s="1"/>
      <c r="C204" s="3">
        <f>C31</f>
        <v>72913</v>
      </c>
      <c r="D204" s="3">
        <f>D31</f>
        <v>33679</v>
      </c>
      <c r="E204" s="3">
        <f>E31</f>
        <v>-5782</v>
      </c>
    </row>
    <row r="205" spans="1:6" ht="18" x14ac:dyDescent="0.4">
      <c r="A205" s="1" t="s">
        <v>100</v>
      </c>
      <c r="B205" s="1"/>
      <c r="C205" s="3">
        <f>C24</f>
        <v>550434</v>
      </c>
      <c r="D205" s="3">
        <f>D24</f>
        <v>550434</v>
      </c>
      <c r="E205" s="3">
        <f>E24</f>
        <v>550434</v>
      </c>
    </row>
    <row r="206" spans="1:6" ht="18" x14ac:dyDescent="0.4">
      <c r="A206" s="1" t="s">
        <v>99</v>
      </c>
      <c r="B206" s="1"/>
      <c r="C206" s="8">
        <f>C204/C205</f>
        <v>0.13246456432560488</v>
      </c>
      <c r="D206" s="8">
        <f>D204/D205</f>
        <v>6.118626392991712E-2</v>
      </c>
      <c r="E206" s="8">
        <f>E204/E205</f>
        <v>-1.0504438315947053E-2</v>
      </c>
    </row>
    <row r="207" spans="1:6" ht="18" x14ac:dyDescent="0.4">
      <c r="A207" s="1"/>
      <c r="B207" s="1"/>
      <c r="C207" s="1"/>
      <c r="D207" s="1"/>
      <c r="E207" s="1"/>
    </row>
    <row r="208" spans="1:6" ht="18" x14ac:dyDescent="0.4">
      <c r="A208" s="1"/>
      <c r="B208" s="1"/>
      <c r="C208" s="1"/>
      <c r="D208" s="1"/>
      <c r="E208" s="1"/>
      <c r="F208" s="23"/>
    </row>
    <row r="209" spans="1:5" ht="18" x14ac:dyDescent="0.4">
      <c r="A209" s="1" t="s">
        <v>103</v>
      </c>
      <c r="B209" s="1"/>
      <c r="C209" s="1"/>
      <c r="D209" s="1"/>
      <c r="E209" s="1"/>
    </row>
    <row r="210" spans="1:5" ht="18" x14ac:dyDescent="0.4">
      <c r="A210" s="1"/>
      <c r="B210" s="1"/>
      <c r="C210" s="24" t="s">
        <v>143</v>
      </c>
      <c r="D210" s="24" t="s">
        <v>144</v>
      </c>
      <c r="E210" s="24" t="s">
        <v>145</v>
      </c>
    </row>
    <row r="211" spans="1:5" ht="18" x14ac:dyDescent="0.4">
      <c r="A211" s="1" t="s">
        <v>87</v>
      </c>
      <c r="B211" s="1"/>
      <c r="C211" s="10" t="s">
        <v>146</v>
      </c>
      <c r="D211" s="10" t="s">
        <v>148</v>
      </c>
      <c r="E211" s="10" t="s">
        <v>147</v>
      </c>
    </row>
    <row r="212" spans="1:5" ht="18" x14ac:dyDescent="0.4">
      <c r="A212" s="1" t="s">
        <v>37</v>
      </c>
      <c r="B212" s="1"/>
      <c r="C212" s="10" t="s">
        <v>153</v>
      </c>
      <c r="D212" s="10" t="s">
        <v>149</v>
      </c>
      <c r="E212" s="10" t="s">
        <v>150</v>
      </c>
    </row>
    <row r="213" spans="1:5" ht="18" x14ac:dyDescent="0.4">
      <c r="A213" s="1" t="s">
        <v>104</v>
      </c>
      <c r="B213" s="1"/>
      <c r="C213" s="10" t="s">
        <v>154</v>
      </c>
      <c r="D213" s="10" t="s">
        <v>151</v>
      </c>
      <c r="E213" s="10" t="s">
        <v>155</v>
      </c>
    </row>
    <row r="214" spans="1:5" ht="18" x14ac:dyDescent="0.4">
      <c r="A214" s="1" t="s">
        <v>105</v>
      </c>
      <c r="B214" s="1"/>
      <c r="C214" s="10" t="s">
        <v>156</v>
      </c>
      <c r="D214" s="10" t="s">
        <v>152</v>
      </c>
      <c r="E214" s="10" t="s">
        <v>157</v>
      </c>
    </row>
    <row r="215" spans="1:5" ht="18" x14ac:dyDescent="0.4">
      <c r="A215" s="1" t="s">
        <v>101</v>
      </c>
      <c r="B215" s="1"/>
      <c r="C215" s="10" t="s">
        <v>158</v>
      </c>
      <c r="D215" s="10" t="s">
        <v>161</v>
      </c>
      <c r="E215" s="10" t="s">
        <v>159</v>
      </c>
    </row>
    <row r="216" spans="1:5" ht="18" x14ac:dyDescent="0.4">
      <c r="A216" s="1" t="s">
        <v>102</v>
      </c>
      <c r="B216" s="1"/>
      <c r="C216" s="10" t="s">
        <v>158</v>
      </c>
      <c r="D216" s="11" t="s">
        <v>161</v>
      </c>
      <c r="E216" s="10" t="s">
        <v>159</v>
      </c>
    </row>
    <row r="217" spans="1:5" ht="18" x14ac:dyDescent="0.4">
      <c r="A217" s="1" t="s">
        <v>99</v>
      </c>
      <c r="B217" s="1"/>
      <c r="C217" s="10" t="s">
        <v>160</v>
      </c>
      <c r="D217" s="10" t="s">
        <v>162</v>
      </c>
      <c r="E217" s="10" t="s">
        <v>163</v>
      </c>
    </row>
    <row r="218" spans="1:5" ht="18" x14ac:dyDescent="0.4">
      <c r="A218" s="1"/>
      <c r="B218" s="1"/>
      <c r="C218" s="1"/>
      <c r="D218" s="1"/>
      <c r="E218" s="1"/>
    </row>
    <row r="219" spans="1:5" ht="18" x14ac:dyDescent="0.4">
      <c r="A219" s="1"/>
      <c r="B219" s="1"/>
      <c r="C219" s="1"/>
      <c r="D219" s="1"/>
      <c r="E219" s="1"/>
    </row>
    <row r="220" spans="1:5" x14ac:dyDescent="0.25">
      <c r="A220" t="s">
        <v>111</v>
      </c>
    </row>
    <row r="221" spans="1:5" ht="18" x14ac:dyDescent="0.4">
      <c r="A221" s="1"/>
      <c r="B221" s="1"/>
      <c r="C221" s="25" t="s">
        <v>109</v>
      </c>
      <c r="D221" s="25" t="s">
        <v>110</v>
      </c>
    </row>
    <row r="222" spans="1:5" ht="18" x14ac:dyDescent="0.4">
      <c r="A222" s="1" t="s">
        <v>106</v>
      </c>
      <c r="B222" s="1"/>
      <c r="C222" s="1">
        <v>128.5</v>
      </c>
      <c r="D222" s="1">
        <v>43</v>
      </c>
    </row>
    <row r="223" spans="1:5" ht="18" x14ac:dyDescent="0.4">
      <c r="A223" s="1" t="s">
        <v>107</v>
      </c>
      <c r="B223" s="1"/>
      <c r="C223" s="12">
        <v>2</v>
      </c>
      <c r="D223" s="12">
        <v>5.3</v>
      </c>
    </row>
    <row r="224" spans="1:5" ht="18" x14ac:dyDescent="0.4">
      <c r="A224" s="1" t="s">
        <v>108</v>
      </c>
      <c r="B224" s="1"/>
      <c r="C224" s="12">
        <f>C222*C223</f>
        <v>257</v>
      </c>
      <c r="D224" s="12">
        <f>D222*D223</f>
        <v>227.9</v>
      </c>
    </row>
    <row r="225" spans="1:4" ht="18" x14ac:dyDescent="0.4">
      <c r="A225" s="4" t="s">
        <v>119</v>
      </c>
      <c r="B225" s="1"/>
      <c r="C225" s="1"/>
      <c r="D225" s="1"/>
    </row>
    <row r="226" spans="1:4" ht="18" x14ac:dyDescent="0.4">
      <c r="A226" s="1" t="s">
        <v>120</v>
      </c>
      <c r="B226" s="1"/>
      <c r="C226" s="12">
        <v>25</v>
      </c>
      <c r="D226" s="12">
        <v>26.4</v>
      </c>
    </row>
    <row r="227" spans="1:4" ht="18" x14ac:dyDescent="0.4">
      <c r="A227" s="1" t="s">
        <v>121</v>
      </c>
      <c r="B227" s="1"/>
      <c r="C227" s="12">
        <v>54.8</v>
      </c>
      <c r="D227" s="12">
        <v>13</v>
      </c>
    </row>
    <row r="228" spans="1:4" ht="18" x14ac:dyDescent="0.4">
      <c r="A228" s="1" t="s">
        <v>130</v>
      </c>
      <c r="B228" s="1"/>
      <c r="C228" s="12">
        <v>20.350000000000001</v>
      </c>
      <c r="D228" s="12">
        <v>18.75</v>
      </c>
    </row>
    <row r="229" spans="1:4" ht="18" x14ac:dyDescent="0.4">
      <c r="A229" s="1" t="s">
        <v>122</v>
      </c>
      <c r="B229" s="1"/>
      <c r="C229" s="12">
        <v>7</v>
      </c>
      <c r="D229" s="12"/>
    </row>
    <row r="230" spans="1:4" ht="18" x14ac:dyDescent="0.4">
      <c r="A230" s="1" t="s">
        <v>123</v>
      </c>
      <c r="B230" s="1"/>
      <c r="C230" s="12">
        <v>9.35</v>
      </c>
      <c r="D230" s="12">
        <v>7.5</v>
      </c>
    </row>
    <row r="231" spans="1:4" ht="18" x14ac:dyDescent="0.4">
      <c r="A231" s="1" t="s">
        <v>124</v>
      </c>
      <c r="B231" s="1"/>
      <c r="C231" s="12">
        <v>23.6</v>
      </c>
      <c r="D231" s="12">
        <v>20.2</v>
      </c>
    </row>
    <row r="232" spans="1:4" ht="18" x14ac:dyDescent="0.4">
      <c r="A232" s="1" t="s">
        <v>125</v>
      </c>
      <c r="B232" s="1"/>
      <c r="C232" s="12">
        <v>2.4</v>
      </c>
      <c r="D232" s="12">
        <v>1.5</v>
      </c>
    </row>
    <row r="233" spans="1:4" ht="18" x14ac:dyDescent="0.4">
      <c r="A233" s="1" t="s">
        <v>126</v>
      </c>
      <c r="B233" s="1"/>
      <c r="C233" s="12">
        <v>15.42</v>
      </c>
      <c r="D233" s="12">
        <v>5.16</v>
      </c>
    </row>
    <row r="234" spans="1:4" ht="18" x14ac:dyDescent="0.4">
      <c r="A234" s="1" t="s">
        <v>127</v>
      </c>
      <c r="B234" s="1"/>
      <c r="C234" s="26" t="s">
        <v>173</v>
      </c>
      <c r="D234" s="26">
        <v>1.72</v>
      </c>
    </row>
    <row r="235" spans="1:4" ht="18" x14ac:dyDescent="0.4">
      <c r="A235" s="1" t="s">
        <v>230</v>
      </c>
      <c r="B235" s="1"/>
      <c r="C235" s="12">
        <f>SUM(C226:C234)</f>
        <v>157.91999999999999</v>
      </c>
      <c r="D235" s="12">
        <f>SUM(D226:D234)</f>
        <v>94.23</v>
      </c>
    </row>
    <row r="236" spans="1:4" ht="18" x14ac:dyDescent="0.4">
      <c r="A236" s="1"/>
      <c r="B236" s="1"/>
      <c r="C236" s="12"/>
      <c r="D236" s="12"/>
    </row>
    <row r="237" spans="1:4" ht="18" x14ac:dyDescent="0.4">
      <c r="A237" s="1"/>
      <c r="B237" s="1"/>
      <c r="C237" s="12"/>
      <c r="D237" s="12"/>
    </row>
    <row r="238" spans="1:4" ht="18" x14ac:dyDescent="0.4">
      <c r="A238" s="1"/>
      <c r="B238" s="1"/>
      <c r="C238" s="25" t="s">
        <v>109</v>
      </c>
      <c r="D238" s="25" t="s">
        <v>110</v>
      </c>
    </row>
    <row r="239" spans="1:4" ht="18" x14ac:dyDescent="0.4">
      <c r="A239" s="1" t="s">
        <v>106</v>
      </c>
      <c r="B239" s="1"/>
      <c r="C239" s="1">
        <v>128.5</v>
      </c>
      <c r="D239" s="1">
        <v>43</v>
      </c>
    </row>
    <row r="240" spans="1:4" ht="18" x14ac:dyDescent="0.4">
      <c r="A240" s="1" t="s">
        <v>107</v>
      </c>
      <c r="B240" s="1" t="s">
        <v>322</v>
      </c>
      <c r="C240" s="12">
        <f>C223</f>
        <v>2</v>
      </c>
      <c r="D240" s="12">
        <f>D223</f>
        <v>5.3</v>
      </c>
    </row>
    <row r="241" spans="1:4" ht="18" x14ac:dyDescent="0.4">
      <c r="A241" s="1" t="s">
        <v>108</v>
      </c>
      <c r="B241" s="1" t="s">
        <v>228</v>
      </c>
      <c r="C241" s="12">
        <f>C239*C240</f>
        <v>257</v>
      </c>
      <c r="D241" s="12">
        <f>D239*D240</f>
        <v>227.9</v>
      </c>
    </row>
    <row r="242" spans="1:4" ht="18" x14ac:dyDescent="0.4">
      <c r="A242" s="1"/>
      <c r="B242" s="1"/>
      <c r="C242" s="12"/>
      <c r="D242" s="12"/>
    </row>
    <row r="243" spans="1:4" ht="18" x14ac:dyDescent="0.4">
      <c r="A243" s="1" t="s">
        <v>230</v>
      </c>
      <c r="B243" s="61" t="s">
        <v>227</v>
      </c>
      <c r="C243" s="12">
        <f>C235</f>
        <v>157.91999999999999</v>
      </c>
      <c r="D243" s="12">
        <f>D235</f>
        <v>94.23</v>
      </c>
    </row>
    <row r="244" spans="1:4" ht="18" x14ac:dyDescent="0.4">
      <c r="A244" s="1"/>
      <c r="B244" s="1"/>
      <c r="C244" s="12"/>
      <c r="D244" s="12"/>
    </row>
    <row r="245" spans="1:4" ht="18" x14ac:dyDescent="0.4">
      <c r="A245" s="1" t="s">
        <v>231</v>
      </c>
      <c r="B245" s="61" t="s">
        <v>228</v>
      </c>
      <c r="C245" s="12">
        <f>C224-C235</f>
        <v>99.080000000000013</v>
      </c>
      <c r="D245" s="12">
        <f>D224-D235</f>
        <v>133.67000000000002</v>
      </c>
    </row>
    <row r="246" spans="1:4" ht="18" x14ac:dyDescent="0.4">
      <c r="C246" s="12"/>
      <c r="D246" s="12"/>
    </row>
    <row r="248" spans="1:4" ht="18" x14ac:dyDescent="0.4">
      <c r="A248" s="1"/>
      <c r="B248" s="1"/>
      <c r="C248" s="1"/>
      <c r="D248" s="1"/>
    </row>
    <row r="249" spans="1:4" x14ac:dyDescent="0.25">
      <c r="A249" t="s">
        <v>336</v>
      </c>
    </row>
    <row r="250" spans="1:4" ht="18" x14ac:dyDescent="0.4">
      <c r="A250" s="1" t="s">
        <v>232</v>
      </c>
      <c r="B250" s="1"/>
      <c r="C250" s="4" t="s">
        <v>142</v>
      </c>
      <c r="D250" s="1"/>
    </row>
    <row r="251" spans="1:4" ht="18" x14ac:dyDescent="0.4">
      <c r="A251" s="1" t="s">
        <v>112</v>
      </c>
      <c r="B251" s="1"/>
      <c r="C251" s="14">
        <f>D190</f>
        <v>69810</v>
      </c>
      <c r="D251" s="1"/>
    </row>
    <row r="252" spans="1:4" ht="18" x14ac:dyDescent="0.4">
      <c r="A252" s="1" t="s">
        <v>113</v>
      </c>
      <c r="B252" s="1"/>
      <c r="C252" s="14">
        <v>25000</v>
      </c>
      <c r="D252" s="1"/>
    </row>
    <row r="253" spans="1:4" ht="18" x14ac:dyDescent="0.4">
      <c r="A253" s="1" t="s">
        <v>114</v>
      </c>
      <c r="B253" s="1"/>
      <c r="C253" s="14">
        <v>82500</v>
      </c>
      <c r="D253" s="1"/>
    </row>
    <row r="254" spans="1:4" ht="18" x14ac:dyDescent="0.4">
      <c r="A254" s="1" t="s">
        <v>115</v>
      </c>
      <c r="B254" s="1"/>
      <c r="C254" s="14">
        <v>0</v>
      </c>
      <c r="D254" s="1"/>
    </row>
    <row r="255" spans="1:4" ht="18" x14ac:dyDescent="0.4">
      <c r="A255" s="1" t="s">
        <v>116</v>
      </c>
      <c r="B255" s="1"/>
      <c r="C255" s="14">
        <v>14100</v>
      </c>
      <c r="D255" s="1"/>
    </row>
    <row r="256" spans="1:4" ht="18" x14ac:dyDescent="0.4">
      <c r="A256" s="1" t="s">
        <v>117</v>
      </c>
      <c r="B256" s="1"/>
      <c r="C256" s="14">
        <v>12000</v>
      </c>
      <c r="D256" s="1"/>
    </row>
    <row r="257" spans="1:5" ht="18" x14ac:dyDescent="0.4">
      <c r="A257" s="1" t="s">
        <v>118</v>
      </c>
      <c r="B257" s="1"/>
      <c r="C257" s="14">
        <v>1200</v>
      </c>
      <c r="D257" s="1"/>
    </row>
    <row r="258" spans="1:5" ht="18" x14ac:dyDescent="0.4">
      <c r="A258" s="1" t="s">
        <v>233</v>
      </c>
      <c r="B258" s="1"/>
      <c r="C258" s="14">
        <v>0</v>
      </c>
      <c r="D258" s="1"/>
    </row>
    <row r="259" spans="1:5" ht="18" x14ac:dyDescent="0.4">
      <c r="A259" s="1" t="s">
        <v>7</v>
      </c>
      <c r="B259" s="1"/>
      <c r="C259" s="16">
        <v>60000</v>
      </c>
      <c r="D259" s="1"/>
    </row>
    <row r="260" spans="1:5" ht="18" x14ac:dyDescent="0.4">
      <c r="A260" s="1" t="s">
        <v>234</v>
      </c>
      <c r="B260" s="1"/>
      <c r="C260" s="14">
        <f>SUM(C251:C259)</f>
        <v>264610</v>
      </c>
      <c r="D260" s="1"/>
      <c r="E260" s="13"/>
    </row>
    <row r="261" spans="1:5" ht="18" x14ac:dyDescent="0.4">
      <c r="A261" s="1"/>
      <c r="B261" s="1"/>
      <c r="C261" s="14"/>
      <c r="D261" s="1"/>
      <c r="E261" s="13"/>
    </row>
    <row r="262" spans="1:5" ht="18" x14ac:dyDescent="0.4">
      <c r="A262" s="1" t="s">
        <v>235</v>
      </c>
      <c r="B262" s="1"/>
      <c r="C262" s="14">
        <f>C182</f>
        <v>45022</v>
      </c>
      <c r="D262" s="1"/>
      <c r="E262" s="13"/>
    </row>
    <row r="263" spans="1:5" ht="18" x14ac:dyDescent="0.4">
      <c r="A263" s="1" t="s">
        <v>236</v>
      </c>
      <c r="B263" s="1"/>
      <c r="C263" s="16">
        <f>'Sheet2 (4)'!B39</f>
        <v>66693</v>
      </c>
      <c r="D263" s="1"/>
      <c r="E263" s="13"/>
    </row>
    <row r="264" spans="1:5" ht="18" x14ac:dyDescent="0.4">
      <c r="A264" s="1" t="s">
        <v>237</v>
      </c>
      <c r="B264" s="1"/>
      <c r="C264" s="14">
        <f>SUM(C260:C263)</f>
        <v>376325</v>
      </c>
      <c r="D264" s="17"/>
      <c r="E264" s="13"/>
    </row>
    <row r="265" spans="1:5" ht="18" x14ac:dyDescent="0.4">
      <c r="A265" s="1"/>
      <c r="B265" s="1"/>
      <c r="C265" s="14"/>
      <c r="D265" s="17"/>
      <c r="E265" s="13"/>
    </row>
    <row r="266" spans="1:5" ht="18" x14ac:dyDescent="0.4">
      <c r="A266" s="1" t="s">
        <v>238</v>
      </c>
      <c r="B266" s="1"/>
      <c r="C266" s="15">
        <f>C264/2000</f>
        <v>188.16249999999999</v>
      </c>
      <c r="D266" s="1"/>
      <c r="E266" s="13"/>
    </row>
    <row r="267" spans="1:5" ht="18" x14ac:dyDescent="0.4">
      <c r="A267" s="1"/>
      <c r="B267" s="1"/>
      <c r="C267" s="25" t="s">
        <v>109</v>
      </c>
      <c r="D267" s="25" t="s">
        <v>110</v>
      </c>
      <c r="E267" s="13"/>
    </row>
    <row r="268" spans="1:5" ht="18" x14ac:dyDescent="0.4">
      <c r="A268" s="1" t="s">
        <v>128</v>
      </c>
      <c r="B268" s="1"/>
      <c r="C268" s="12">
        <f>$C266+C243</f>
        <v>346.08249999999998</v>
      </c>
      <c r="D268" s="12">
        <f>$C266+D243</f>
        <v>282.39249999999998</v>
      </c>
      <c r="E268" s="13"/>
    </row>
    <row r="269" spans="1:5" ht="18" x14ac:dyDescent="0.4">
      <c r="A269" s="1" t="s">
        <v>129</v>
      </c>
      <c r="B269" s="1"/>
      <c r="C269" s="12">
        <f>C268/C222</f>
        <v>2.6932490272373539</v>
      </c>
      <c r="D269" s="12">
        <f>D268/D222</f>
        <v>6.5672674418604648</v>
      </c>
      <c r="E269" s="13"/>
    </row>
    <row r="270" spans="1:5" ht="15.5" x14ac:dyDescent="0.35">
      <c r="E270" s="13"/>
    </row>
    <row r="271" spans="1:5" ht="18" x14ac:dyDescent="0.4">
      <c r="A271" s="13"/>
      <c r="B271" s="13"/>
      <c r="C271" s="20"/>
      <c r="D271" s="21" t="s">
        <v>32</v>
      </c>
      <c r="E271" s="21"/>
    </row>
    <row r="272" spans="1:5" ht="18" x14ac:dyDescent="0.4">
      <c r="A272" s="13"/>
      <c r="B272" s="13"/>
      <c r="C272" s="22" t="s">
        <v>33</v>
      </c>
      <c r="D272" s="22" t="s">
        <v>142</v>
      </c>
      <c r="E272" s="22" t="s">
        <v>31</v>
      </c>
    </row>
    <row r="273" spans="1:5" ht="15.5" x14ac:dyDescent="0.35">
      <c r="A273" s="13" t="s">
        <v>136</v>
      </c>
      <c r="B273" s="13"/>
      <c r="C273" s="18">
        <f>C113</f>
        <v>540128</v>
      </c>
      <c r="D273" s="18">
        <f>D113</f>
        <v>589491</v>
      </c>
      <c r="E273" s="18">
        <f>E113</f>
        <v>581778</v>
      </c>
    </row>
    <row r="274" spans="1:5" ht="15.5" x14ac:dyDescent="0.35">
      <c r="A274" s="13" t="s">
        <v>135</v>
      </c>
      <c r="B274" s="13"/>
      <c r="C274" s="18">
        <f>C126</f>
        <v>531071</v>
      </c>
      <c r="D274" s="18">
        <f>D126</f>
        <v>555700</v>
      </c>
      <c r="E274" s="18">
        <f>E126</f>
        <v>586216</v>
      </c>
    </row>
    <row r="275" spans="1:5" ht="15.5" x14ac:dyDescent="0.35">
      <c r="A275" s="19" t="s">
        <v>132</v>
      </c>
      <c r="B275" s="13"/>
      <c r="C275" s="13"/>
      <c r="D275" s="13"/>
      <c r="E275" s="13"/>
    </row>
    <row r="276" spans="1:5" ht="15.5" x14ac:dyDescent="0.35">
      <c r="A276" s="13" t="s">
        <v>333</v>
      </c>
      <c r="B276" s="13"/>
      <c r="C276" s="18">
        <v>65534</v>
      </c>
      <c r="D276" s="18">
        <f>C276</f>
        <v>65534</v>
      </c>
      <c r="E276" s="18">
        <f>C276</f>
        <v>65534</v>
      </c>
    </row>
    <row r="277" spans="1:5" ht="15.5" x14ac:dyDescent="0.35">
      <c r="A277" s="13" t="s">
        <v>133</v>
      </c>
      <c r="B277" s="13"/>
      <c r="C277" s="13" t="s">
        <v>140</v>
      </c>
      <c r="D277" s="13" t="s">
        <v>140</v>
      </c>
      <c r="E277" s="13" t="s">
        <v>140</v>
      </c>
    </row>
    <row r="278" spans="1:5" ht="15.5" x14ac:dyDescent="0.35">
      <c r="A278" s="13" t="s">
        <v>133</v>
      </c>
      <c r="B278" s="13"/>
      <c r="C278" s="13" t="s">
        <v>140</v>
      </c>
      <c r="D278" s="13" t="s">
        <v>140</v>
      </c>
      <c r="E278" s="13" t="s">
        <v>140</v>
      </c>
    </row>
    <row r="279" spans="1:5" ht="15.5" x14ac:dyDescent="0.35">
      <c r="A279" s="13" t="s">
        <v>133</v>
      </c>
      <c r="B279" s="13"/>
      <c r="C279" s="13" t="s">
        <v>140</v>
      </c>
      <c r="D279" s="13" t="s">
        <v>140</v>
      </c>
      <c r="E279" s="13" t="s">
        <v>140</v>
      </c>
    </row>
    <row r="280" spans="1:5" ht="15.5" x14ac:dyDescent="0.35">
      <c r="A280" s="13" t="s">
        <v>133</v>
      </c>
      <c r="B280" s="13"/>
      <c r="C280" s="13" t="s">
        <v>140</v>
      </c>
      <c r="D280" s="13" t="s">
        <v>140</v>
      </c>
      <c r="E280" s="13" t="s">
        <v>140</v>
      </c>
    </row>
    <row r="281" spans="1:5" ht="15.5" x14ac:dyDescent="0.35">
      <c r="A281" s="13" t="s">
        <v>134</v>
      </c>
      <c r="B281" s="13"/>
      <c r="C281" s="13" t="s">
        <v>140</v>
      </c>
      <c r="D281" s="13" t="s">
        <v>140</v>
      </c>
      <c r="E281" s="13" t="s">
        <v>140</v>
      </c>
    </row>
    <row r="282" spans="1:5" ht="15.5" x14ac:dyDescent="0.35">
      <c r="A282" s="13" t="s">
        <v>134</v>
      </c>
      <c r="B282" s="13"/>
      <c r="C282" s="13" t="s">
        <v>140</v>
      </c>
      <c r="D282" s="13" t="s">
        <v>140</v>
      </c>
      <c r="E282" s="13" t="s">
        <v>140</v>
      </c>
    </row>
    <row r="283" spans="1:5" ht="15.5" x14ac:dyDescent="0.35">
      <c r="A283" s="13" t="s">
        <v>134</v>
      </c>
      <c r="B283" s="13"/>
      <c r="C283" s="13" t="s">
        <v>140</v>
      </c>
      <c r="D283" s="13" t="s">
        <v>140</v>
      </c>
      <c r="E283" s="13" t="s">
        <v>140</v>
      </c>
    </row>
    <row r="284" spans="1:5" ht="15.5" x14ac:dyDescent="0.35">
      <c r="A284" s="13" t="s">
        <v>134</v>
      </c>
      <c r="B284" s="13"/>
      <c r="C284" s="13" t="s">
        <v>140</v>
      </c>
      <c r="D284" s="13" t="s">
        <v>140</v>
      </c>
      <c r="E284" s="13" t="s">
        <v>140</v>
      </c>
    </row>
    <row r="285" spans="1:5" ht="15.5" x14ac:dyDescent="0.35">
      <c r="A285" s="13" t="s">
        <v>137</v>
      </c>
      <c r="B285" s="13"/>
      <c r="C285" s="13" t="s">
        <v>140</v>
      </c>
      <c r="D285" s="13" t="s">
        <v>140</v>
      </c>
      <c r="E285" s="13" t="s">
        <v>140</v>
      </c>
    </row>
    <row r="286" spans="1:5" ht="15.5" x14ac:dyDescent="0.35">
      <c r="A286" s="13"/>
      <c r="B286" s="13"/>
      <c r="C286" s="13"/>
      <c r="D286" s="13"/>
      <c r="E286" s="13"/>
    </row>
    <row r="287" spans="1:5" ht="15.5" x14ac:dyDescent="0.35">
      <c r="A287" s="13" t="s">
        <v>139</v>
      </c>
      <c r="B287" s="13"/>
      <c r="C287" s="13" t="s">
        <v>140</v>
      </c>
      <c r="D287" s="13" t="s">
        <v>140</v>
      </c>
      <c r="E287" s="13" t="s">
        <v>140</v>
      </c>
    </row>
    <row r="288" spans="1:5" ht="15.5" x14ac:dyDescent="0.35">
      <c r="A288" s="13" t="s">
        <v>138</v>
      </c>
      <c r="B288" s="13"/>
      <c r="C288" s="13" t="s">
        <v>140</v>
      </c>
      <c r="D288" s="13" t="s">
        <v>140</v>
      </c>
      <c r="E288" s="13" t="s">
        <v>140</v>
      </c>
    </row>
    <row r="290" spans="1:5" ht="18" x14ac:dyDescent="0.4">
      <c r="A290" s="1" t="s">
        <v>217</v>
      </c>
    </row>
    <row r="291" spans="1:5" ht="18" x14ac:dyDescent="0.4">
      <c r="A291" s="1"/>
      <c r="B291" s="1"/>
      <c r="C291" s="21"/>
      <c r="D291" s="21" t="s">
        <v>32</v>
      </c>
      <c r="E291" s="21"/>
    </row>
    <row r="292" spans="1:5" ht="18" x14ac:dyDescent="0.4">
      <c r="A292" s="1"/>
      <c r="B292" s="1"/>
      <c r="C292" s="22" t="s">
        <v>33</v>
      </c>
      <c r="D292" s="22" t="s">
        <v>142</v>
      </c>
      <c r="E292" s="22" t="s">
        <v>31</v>
      </c>
    </row>
    <row r="293" spans="1:5" ht="18" x14ac:dyDescent="0.4">
      <c r="A293" s="1" t="s">
        <v>218</v>
      </c>
      <c r="B293" s="1"/>
      <c r="C293" s="32">
        <f>C14</f>
        <v>1616746</v>
      </c>
      <c r="D293" s="32">
        <f>D14</f>
        <v>1111550</v>
      </c>
      <c r="E293" s="32">
        <f>E14</f>
        <v>707350</v>
      </c>
    </row>
    <row r="294" spans="1:5" ht="18" x14ac:dyDescent="0.4">
      <c r="A294" s="17">
        <v>0.05</v>
      </c>
      <c r="B294" s="1"/>
      <c r="C294" s="2">
        <f>$A294*C$293</f>
        <v>80837.3</v>
      </c>
      <c r="D294" s="2">
        <f t="shared" ref="D294:E296" si="3">$A294*D$293</f>
        <v>55577.5</v>
      </c>
      <c r="E294" s="2">
        <f t="shared" si="3"/>
        <v>35367.5</v>
      </c>
    </row>
    <row r="295" spans="1:5" ht="18" x14ac:dyDescent="0.4">
      <c r="A295" s="17">
        <v>0.1</v>
      </c>
      <c r="B295" s="1"/>
      <c r="C295" s="2">
        <f t="shared" ref="C295:E298" si="4">$A295*C$293</f>
        <v>161674.6</v>
      </c>
      <c r="D295" s="2">
        <f t="shared" si="3"/>
        <v>111155</v>
      </c>
      <c r="E295" s="2">
        <f t="shared" si="3"/>
        <v>70735</v>
      </c>
    </row>
    <row r="296" spans="1:5" ht="18" x14ac:dyDescent="0.4">
      <c r="A296" s="17">
        <v>0.15</v>
      </c>
      <c r="B296" s="1"/>
      <c r="C296" s="2">
        <f t="shared" si="4"/>
        <v>242511.9</v>
      </c>
      <c r="D296" s="2">
        <f t="shared" si="3"/>
        <v>166732.5</v>
      </c>
      <c r="E296" s="2">
        <f t="shared" si="3"/>
        <v>106102.5</v>
      </c>
    </row>
    <row r="297" spans="1:5" ht="18" x14ac:dyDescent="0.4">
      <c r="A297" s="17">
        <v>0.2</v>
      </c>
      <c r="B297" s="1"/>
      <c r="C297" s="2">
        <f t="shared" si="4"/>
        <v>323349.2</v>
      </c>
      <c r="D297" s="2">
        <f t="shared" si="4"/>
        <v>222310</v>
      </c>
      <c r="E297" s="2">
        <f t="shared" si="4"/>
        <v>141470</v>
      </c>
    </row>
    <row r="298" spans="1:5" ht="18" x14ac:dyDescent="0.4">
      <c r="A298" s="17">
        <v>0.25</v>
      </c>
      <c r="B298" s="1"/>
      <c r="C298" s="2">
        <f t="shared" si="4"/>
        <v>404186.5</v>
      </c>
      <c r="D298" s="2">
        <f t="shared" si="4"/>
        <v>277887.5</v>
      </c>
      <c r="E298" s="2">
        <f t="shared" si="4"/>
        <v>176837.5</v>
      </c>
    </row>
    <row r="300" spans="1:5" ht="18" x14ac:dyDescent="0.4">
      <c r="A300" s="1"/>
      <c r="B300" s="1"/>
    </row>
    <row r="301" spans="1:5" ht="18" x14ac:dyDescent="0.4">
      <c r="A301" s="1"/>
      <c r="B301" s="1"/>
      <c r="C301" s="21"/>
      <c r="D301" s="21" t="s">
        <v>32</v>
      </c>
      <c r="E301" s="21"/>
    </row>
    <row r="302" spans="1:5" ht="18" x14ac:dyDescent="0.4">
      <c r="A302" s="1" t="s">
        <v>221</v>
      </c>
      <c r="B302" s="1"/>
      <c r="C302" s="22" t="s">
        <v>33</v>
      </c>
      <c r="D302" s="22" t="s">
        <v>142</v>
      </c>
      <c r="E302" s="22" t="s">
        <v>31</v>
      </c>
    </row>
    <row r="303" spans="1:5" ht="18" x14ac:dyDescent="0.4">
      <c r="A303" s="1" t="s">
        <v>219</v>
      </c>
      <c r="B303" s="1"/>
      <c r="C303" s="2">
        <f>'Sheet2 (3)'!D73</f>
        <v>460464</v>
      </c>
      <c r="D303" s="2">
        <f>'Sheet2 (4)'!C72</f>
        <v>490171</v>
      </c>
      <c r="E303" s="2">
        <f>'Sheet2 (5)'!D74</f>
        <v>520687</v>
      </c>
    </row>
    <row r="304" spans="1:5" ht="18" x14ac:dyDescent="0.4">
      <c r="A304" s="1" t="s">
        <v>222</v>
      </c>
      <c r="B304" s="1"/>
      <c r="C304" s="12">
        <f>'Sheet2 (3)'!B76</f>
        <v>262.077</v>
      </c>
      <c r="D304" s="12">
        <f>'Sheet2 (4)'!B75</f>
        <v>276.93049999999999</v>
      </c>
      <c r="E304" s="12">
        <f>'Sheet2 (5)'!B77</f>
        <v>292.18849999999998</v>
      </c>
    </row>
    <row r="305" spans="1:5" ht="18" x14ac:dyDescent="0.4">
      <c r="A305" s="1" t="s">
        <v>220</v>
      </c>
      <c r="B305" s="1"/>
      <c r="C305" s="12">
        <f>'Sheet2 (3)'!C76</f>
        <v>198.387</v>
      </c>
      <c r="D305" s="12">
        <f>'Sheet2 (4)'!C75</f>
        <v>213.2405</v>
      </c>
      <c r="E305" s="12">
        <f>'Sheet2 (5)'!C77</f>
        <v>228.49849999999998</v>
      </c>
    </row>
    <row r="306" spans="1:5" ht="18" x14ac:dyDescent="0.4">
      <c r="A306" s="1"/>
      <c r="B306" s="1"/>
      <c r="C306" s="2"/>
      <c r="D306" s="2"/>
      <c r="E306" s="2"/>
    </row>
    <row r="307" spans="1:5" ht="18" x14ac:dyDescent="0.4">
      <c r="A307" s="17" t="s">
        <v>327</v>
      </c>
      <c r="B307" s="1"/>
      <c r="C307" s="2">
        <f>C295</f>
        <v>161674.6</v>
      </c>
      <c r="D307" s="2">
        <f>D295</f>
        <v>111155</v>
      </c>
      <c r="E307" s="2">
        <f>E295</f>
        <v>70735</v>
      </c>
    </row>
    <row r="308" spans="1:5" ht="18" x14ac:dyDescent="0.4">
      <c r="A308" s="1" t="s">
        <v>239</v>
      </c>
      <c r="B308" s="1"/>
      <c r="C308" s="8">
        <f>C307/C303</f>
        <v>0.35111235623197473</v>
      </c>
      <c r="D308" s="8">
        <f>D307/D303</f>
        <v>0.2267678014407217</v>
      </c>
      <c r="E308" s="8">
        <f>E307/E303</f>
        <v>0.1358493682385003</v>
      </c>
    </row>
    <row r="309" spans="1:5" ht="18" x14ac:dyDescent="0.4">
      <c r="A309" s="1" t="s">
        <v>328</v>
      </c>
      <c r="B309" s="1"/>
      <c r="C309" s="12">
        <f t="shared" ref="C309:E310" si="5">(1-C$308)*C304</f>
        <v>170.05852701579278</v>
      </c>
      <c r="D309" s="12">
        <f t="shared" si="5"/>
        <v>214.13157936312021</v>
      </c>
      <c r="E309" s="12">
        <f t="shared" si="5"/>
        <v>252.49487686844495</v>
      </c>
    </row>
    <row r="310" spans="1:5" ht="18" x14ac:dyDescent="0.4">
      <c r="A310" s="1" t="s">
        <v>329</v>
      </c>
      <c r="B310" s="1"/>
      <c r="C310" s="12">
        <f t="shared" si="5"/>
        <v>128.73087298420725</v>
      </c>
      <c r="D310" s="12">
        <f t="shared" si="5"/>
        <v>164.88442063687978</v>
      </c>
      <c r="E310" s="12">
        <f t="shared" si="5"/>
        <v>197.45712313155502</v>
      </c>
    </row>
    <row r="311" spans="1:5" ht="18" x14ac:dyDescent="0.4">
      <c r="A311" s="1" t="s">
        <v>330</v>
      </c>
      <c r="B311" s="1"/>
      <c r="C311" s="12">
        <f>C309/128.5</f>
        <v>1.3234126616015003</v>
      </c>
      <c r="D311" s="12">
        <f>D309/128.5</f>
        <v>1.6663936137207798</v>
      </c>
      <c r="E311" s="12">
        <f>E309/128.5</f>
        <v>1.9649406760190269</v>
      </c>
    </row>
    <row r="312" spans="1:5" ht="18" x14ac:dyDescent="0.4">
      <c r="A312" s="1" t="s">
        <v>331</v>
      </c>
      <c r="B312" s="1"/>
      <c r="C312" s="12">
        <f>C310/43</f>
        <v>2.9937412321908665</v>
      </c>
      <c r="D312" s="12">
        <f>D310/43</f>
        <v>3.8345214101599949</v>
      </c>
      <c r="E312" s="12">
        <f>E310/43</f>
        <v>4.592026119338489</v>
      </c>
    </row>
    <row r="313" spans="1:5" ht="18" x14ac:dyDescent="0.4">
      <c r="A313" s="1"/>
      <c r="B313" s="1"/>
      <c r="C313" s="1"/>
      <c r="D313" s="1"/>
      <c r="E313" s="1"/>
    </row>
    <row r="314" spans="1:5" ht="18" x14ac:dyDescent="0.4">
      <c r="A314" s="1" t="s">
        <v>320</v>
      </c>
      <c r="B314" s="1"/>
      <c r="C314" s="1"/>
      <c r="D314" s="1"/>
      <c r="E314" s="1"/>
    </row>
    <row r="315" spans="1:5" ht="18" x14ac:dyDescent="0.4">
      <c r="A315" s="1" t="s">
        <v>332</v>
      </c>
      <c r="B315" s="1"/>
      <c r="C315" s="2">
        <f>C303-C307</f>
        <v>298789.40000000002</v>
      </c>
      <c r="D315" s="2">
        <f>D303-D307</f>
        <v>379016</v>
      </c>
      <c r="E315" s="2">
        <f>E303-E307</f>
        <v>449952</v>
      </c>
    </row>
    <row r="316" spans="1:5" x14ac:dyDescent="0.25">
      <c r="A316" t="s">
        <v>337</v>
      </c>
    </row>
  </sheetData>
  <pageMargins left="0.75" right="0.75" top="1" bottom="1" header="0.5" footer="0.5"/>
  <pageSetup scale="74" orientation="portrait" r:id="rId1"/>
  <headerFooter alignWithMargins="0"/>
  <rowBreaks count="7" manualBreakCount="7">
    <brk id="33" max="16383" man="1"/>
    <brk id="75" max="16383" man="1"/>
    <brk id="104" max="16383" man="1"/>
    <brk id="133" max="16383" man="1"/>
    <brk id="176" max="16383" man="1"/>
    <brk id="219" max="5" man="1"/>
    <brk id="27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view="pageBreakPreview" topLeftCell="A10" zoomScale="75" zoomScaleNormal="75" workbookViewId="0">
      <selection activeCell="A2" sqref="A2"/>
    </sheetView>
  </sheetViews>
  <sheetFormatPr defaultColWidth="12.7265625" defaultRowHeight="12.5" x14ac:dyDescent="0.25"/>
  <cols>
    <col min="1" max="1" width="46.7265625" customWidth="1"/>
    <col min="2" max="8" width="10.7265625" customWidth="1"/>
  </cols>
  <sheetData>
    <row r="1" spans="1:8" ht="13" x14ac:dyDescent="0.3">
      <c r="A1" s="38" t="s">
        <v>177</v>
      </c>
      <c r="B1" s="38"/>
      <c r="C1" s="39"/>
      <c r="D1" s="39"/>
      <c r="E1" s="39"/>
      <c r="F1" s="39"/>
      <c r="G1" s="39"/>
      <c r="H1" s="39"/>
    </row>
    <row r="2" spans="1:8" x14ac:dyDescent="0.25">
      <c r="A2" s="31" t="s">
        <v>214</v>
      </c>
      <c r="B2" s="39"/>
      <c r="C2" s="39"/>
      <c r="D2" s="39"/>
      <c r="E2" s="39"/>
      <c r="F2" s="39"/>
      <c r="G2" s="39"/>
      <c r="H2" s="39"/>
    </row>
    <row r="3" spans="1:8" ht="14" x14ac:dyDescent="0.25">
      <c r="A3" s="39"/>
      <c r="B3" s="55" t="s">
        <v>178</v>
      </c>
      <c r="C3" s="55" t="s">
        <v>254</v>
      </c>
      <c r="D3" s="55" t="s">
        <v>179</v>
      </c>
      <c r="E3" s="55" t="s">
        <v>180</v>
      </c>
      <c r="F3" s="55" t="s">
        <v>181</v>
      </c>
      <c r="G3" s="55" t="s">
        <v>182</v>
      </c>
      <c r="H3" s="55" t="s">
        <v>183</v>
      </c>
    </row>
    <row r="4" spans="1:8" ht="13" x14ac:dyDescent="0.3">
      <c r="A4" s="38" t="s">
        <v>317</v>
      </c>
      <c r="B4" s="58">
        <v>128.5</v>
      </c>
      <c r="C4" s="58">
        <v>43</v>
      </c>
      <c r="D4" s="58" t="s">
        <v>299</v>
      </c>
      <c r="E4" s="58" t="s">
        <v>299</v>
      </c>
      <c r="F4" s="58" t="s">
        <v>299</v>
      </c>
      <c r="G4" s="58" t="s">
        <v>299</v>
      </c>
      <c r="H4" s="58" t="s">
        <v>299</v>
      </c>
    </row>
    <row r="5" spans="1:8" ht="13" x14ac:dyDescent="0.3">
      <c r="A5" s="38" t="s">
        <v>319</v>
      </c>
      <c r="B5" s="57">
        <f>Sheet1!C223</f>
        <v>2</v>
      </c>
      <c r="C5" s="57">
        <f>Sheet1!D223</f>
        <v>5.3</v>
      </c>
      <c r="D5" s="58" t="s">
        <v>289</v>
      </c>
      <c r="E5" s="58" t="s">
        <v>289</v>
      </c>
      <c r="F5" s="58" t="s">
        <v>289</v>
      </c>
      <c r="G5" s="58" t="s">
        <v>289</v>
      </c>
      <c r="H5" s="58" t="s">
        <v>289</v>
      </c>
    </row>
    <row r="6" spans="1:8" ht="13" x14ac:dyDescent="0.3">
      <c r="A6" s="38" t="s">
        <v>318</v>
      </c>
      <c r="B6" s="56">
        <f>B4*B5</f>
        <v>257</v>
      </c>
      <c r="C6" s="56">
        <f t="shared" ref="C6:H6" si="0">C4*C5</f>
        <v>227.9</v>
      </c>
      <c r="D6" s="56" t="e">
        <f t="shared" si="0"/>
        <v>#VALUE!</v>
      </c>
      <c r="E6" s="56" t="e">
        <f t="shared" si="0"/>
        <v>#VALUE!</v>
      </c>
      <c r="F6" s="56" t="e">
        <f t="shared" si="0"/>
        <v>#VALUE!</v>
      </c>
      <c r="G6" s="56" t="e">
        <f t="shared" si="0"/>
        <v>#VALUE!</v>
      </c>
      <c r="H6" s="56" t="e">
        <f t="shared" si="0"/>
        <v>#VALUE!</v>
      </c>
    </row>
    <row r="7" spans="1:8" ht="13" x14ac:dyDescent="0.3">
      <c r="A7" s="38"/>
      <c r="B7" s="29"/>
      <c r="C7" s="29"/>
      <c r="D7" s="37"/>
      <c r="E7" s="37"/>
      <c r="F7" s="37"/>
      <c r="G7" s="36"/>
      <c r="H7" s="36"/>
    </row>
    <row r="8" spans="1:8" ht="13" x14ac:dyDescent="0.3">
      <c r="A8" s="38" t="s">
        <v>242</v>
      </c>
      <c r="B8" s="29"/>
      <c r="C8" s="29"/>
      <c r="D8" s="37"/>
      <c r="E8" s="37"/>
      <c r="F8" s="37"/>
      <c r="G8" s="36"/>
      <c r="H8" s="36"/>
    </row>
    <row r="9" spans="1:8" ht="13" x14ac:dyDescent="0.3">
      <c r="A9" s="38" t="s">
        <v>185</v>
      </c>
      <c r="B9" s="57">
        <v>25</v>
      </c>
      <c r="C9" s="57">
        <v>26.4</v>
      </c>
      <c r="D9" s="58" t="s">
        <v>289</v>
      </c>
      <c r="E9" s="58" t="s">
        <v>289</v>
      </c>
      <c r="F9" s="58" t="s">
        <v>289</v>
      </c>
      <c r="G9" s="58" t="s">
        <v>289</v>
      </c>
      <c r="H9" s="58" t="s">
        <v>289</v>
      </c>
    </row>
    <row r="10" spans="1:8" ht="13" x14ac:dyDescent="0.3">
      <c r="A10" s="38" t="s">
        <v>186</v>
      </c>
      <c r="B10" s="57">
        <v>54.8</v>
      </c>
      <c r="C10" s="57">
        <v>13</v>
      </c>
      <c r="D10" s="58" t="s">
        <v>289</v>
      </c>
      <c r="E10" s="58" t="s">
        <v>289</v>
      </c>
      <c r="F10" s="58" t="s">
        <v>289</v>
      </c>
      <c r="G10" s="58" t="s">
        <v>289</v>
      </c>
      <c r="H10" s="58" t="s">
        <v>289</v>
      </c>
    </row>
    <row r="11" spans="1:8" ht="13" x14ac:dyDescent="0.3">
      <c r="A11" s="38" t="s">
        <v>187</v>
      </c>
      <c r="B11" s="57">
        <v>20.350000000000001</v>
      </c>
      <c r="C11" s="57">
        <v>18.75</v>
      </c>
      <c r="D11" s="58" t="s">
        <v>289</v>
      </c>
      <c r="E11" s="58" t="s">
        <v>289</v>
      </c>
      <c r="F11" s="58" t="s">
        <v>289</v>
      </c>
      <c r="G11" s="58" t="s">
        <v>289</v>
      </c>
      <c r="H11" s="58" t="s">
        <v>289</v>
      </c>
    </row>
    <row r="12" spans="1:8" ht="13" x14ac:dyDescent="0.3">
      <c r="A12" s="38" t="s">
        <v>188</v>
      </c>
      <c r="B12" s="57" t="s">
        <v>184</v>
      </c>
      <c r="C12" s="57" t="s">
        <v>184</v>
      </c>
      <c r="D12" s="58" t="s">
        <v>289</v>
      </c>
      <c r="E12" s="58" t="s">
        <v>289</v>
      </c>
      <c r="F12" s="58" t="s">
        <v>289</v>
      </c>
      <c r="G12" s="58" t="s">
        <v>289</v>
      </c>
      <c r="H12" s="58" t="s">
        <v>289</v>
      </c>
    </row>
    <row r="13" spans="1:8" ht="13" x14ac:dyDescent="0.3">
      <c r="A13" s="38" t="s">
        <v>189</v>
      </c>
      <c r="B13" s="57">
        <v>7</v>
      </c>
      <c r="C13" s="57" t="s">
        <v>184</v>
      </c>
      <c r="D13" s="58" t="s">
        <v>289</v>
      </c>
      <c r="E13" s="58" t="s">
        <v>289</v>
      </c>
      <c r="F13" s="58" t="s">
        <v>289</v>
      </c>
      <c r="G13" s="58" t="s">
        <v>289</v>
      </c>
      <c r="H13" s="58" t="s">
        <v>289</v>
      </c>
    </row>
    <row r="14" spans="1:8" ht="13" x14ac:dyDescent="0.3">
      <c r="A14" s="38" t="s">
        <v>190</v>
      </c>
      <c r="B14" s="57">
        <v>9.35</v>
      </c>
      <c r="C14" s="57">
        <v>7.5</v>
      </c>
      <c r="D14" s="58" t="s">
        <v>289</v>
      </c>
      <c r="E14" s="58" t="s">
        <v>289</v>
      </c>
      <c r="F14" s="58" t="s">
        <v>289</v>
      </c>
      <c r="G14" s="58" t="s">
        <v>289</v>
      </c>
      <c r="H14" s="58" t="s">
        <v>289</v>
      </c>
    </row>
    <row r="15" spans="1:8" ht="13" x14ac:dyDescent="0.3">
      <c r="A15" s="38" t="s">
        <v>191</v>
      </c>
      <c r="B15" s="57">
        <v>23.6</v>
      </c>
      <c r="C15" s="57">
        <v>20.2</v>
      </c>
      <c r="D15" s="58" t="s">
        <v>289</v>
      </c>
      <c r="E15" s="58" t="s">
        <v>289</v>
      </c>
      <c r="F15" s="58" t="s">
        <v>289</v>
      </c>
      <c r="G15" s="58" t="s">
        <v>289</v>
      </c>
      <c r="H15" s="58" t="s">
        <v>289</v>
      </c>
    </row>
    <row r="16" spans="1:8" ht="13" x14ac:dyDescent="0.3">
      <c r="A16" s="38" t="s">
        <v>192</v>
      </c>
      <c r="B16" s="57">
        <v>2.4</v>
      </c>
      <c r="C16" s="57">
        <v>1.5</v>
      </c>
      <c r="D16" s="58" t="s">
        <v>289</v>
      </c>
      <c r="E16" s="58" t="s">
        <v>289</v>
      </c>
      <c r="F16" s="58" t="s">
        <v>289</v>
      </c>
      <c r="G16" s="58" t="s">
        <v>289</v>
      </c>
      <c r="H16" s="58" t="s">
        <v>289</v>
      </c>
    </row>
    <row r="17" spans="1:8" ht="13" x14ac:dyDescent="0.3">
      <c r="A17" s="38" t="s">
        <v>193</v>
      </c>
      <c r="B17" s="57">
        <v>15.42</v>
      </c>
      <c r="C17" s="57">
        <v>5.16</v>
      </c>
      <c r="D17" s="58" t="s">
        <v>289</v>
      </c>
      <c r="E17" s="58" t="s">
        <v>289</v>
      </c>
      <c r="F17" s="58" t="s">
        <v>289</v>
      </c>
      <c r="G17" s="58" t="s">
        <v>289</v>
      </c>
      <c r="H17" s="58" t="s">
        <v>289</v>
      </c>
    </row>
    <row r="18" spans="1:8" ht="13" x14ac:dyDescent="0.3">
      <c r="A18" s="38" t="s">
        <v>194</v>
      </c>
      <c r="B18" s="57" t="s">
        <v>184</v>
      </c>
      <c r="C18" s="57">
        <v>1.72</v>
      </c>
      <c r="D18" s="58" t="s">
        <v>289</v>
      </c>
      <c r="E18" s="58" t="s">
        <v>289</v>
      </c>
      <c r="F18" s="58" t="s">
        <v>289</v>
      </c>
      <c r="G18" s="58" t="s">
        <v>289</v>
      </c>
      <c r="H18" s="58" t="s">
        <v>289</v>
      </c>
    </row>
    <row r="19" spans="1:8" ht="13" x14ac:dyDescent="0.3">
      <c r="A19" s="38" t="s">
        <v>195</v>
      </c>
      <c r="B19" s="57" t="s">
        <v>184</v>
      </c>
      <c r="C19" s="57" t="s">
        <v>184</v>
      </c>
      <c r="D19" s="58" t="s">
        <v>289</v>
      </c>
      <c r="E19" s="58" t="s">
        <v>289</v>
      </c>
      <c r="F19" s="58" t="s">
        <v>289</v>
      </c>
      <c r="G19" s="58" t="s">
        <v>289</v>
      </c>
      <c r="H19" s="58" t="s">
        <v>289</v>
      </c>
    </row>
    <row r="20" spans="1:8" ht="13" x14ac:dyDescent="0.3">
      <c r="A20" s="38" t="s">
        <v>196</v>
      </c>
      <c r="B20" s="57" t="s">
        <v>184</v>
      </c>
      <c r="C20" s="57" t="s">
        <v>184</v>
      </c>
      <c r="D20" s="58" t="s">
        <v>289</v>
      </c>
      <c r="E20" s="58" t="s">
        <v>289</v>
      </c>
      <c r="F20" s="58" t="s">
        <v>289</v>
      </c>
      <c r="G20" s="58" t="s">
        <v>289</v>
      </c>
      <c r="H20" s="58" t="s">
        <v>289</v>
      </c>
    </row>
    <row r="21" spans="1:8" ht="13" x14ac:dyDescent="0.3">
      <c r="A21" s="38" t="s">
        <v>240</v>
      </c>
      <c r="B21" s="40">
        <f t="shared" ref="B21:H21" si="1">SUM(B9:B20)</f>
        <v>157.91999999999999</v>
      </c>
      <c r="C21" s="40">
        <f t="shared" si="1"/>
        <v>94.23</v>
      </c>
      <c r="D21" s="40">
        <f t="shared" si="1"/>
        <v>0</v>
      </c>
      <c r="E21" s="40">
        <f t="shared" si="1"/>
        <v>0</v>
      </c>
      <c r="F21" s="40">
        <f t="shared" si="1"/>
        <v>0</v>
      </c>
      <c r="G21" s="40">
        <f t="shared" si="1"/>
        <v>0</v>
      </c>
      <c r="H21" s="40">
        <f t="shared" si="1"/>
        <v>0</v>
      </c>
    </row>
    <row r="22" spans="1:8" ht="13" x14ac:dyDescent="0.3">
      <c r="A22" s="38"/>
      <c r="B22" s="40"/>
      <c r="C22" s="40"/>
      <c r="D22" s="40"/>
      <c r="E22" s="40"/>
      <c r="F22" s="40"/>
      <c r="G22" s="38"/>
      <c r="H22" s="38"/>
    </row>
    <row r="23" spans="1:8" ht="13" x14ac:dyDescent="0.3">
      <c r="A23" s="38" t="s">
        <v>241</v>
      </c>
      <c r="B23" s="40">
        <f>IF(B21&gt;0,(B6-B21),0)</f>
        <v>99.080000000000013</v>
      </c>
      <c r="C23" s="40">
        <f t="shared" ref="C23:H23" si="2">IF(C21&gt;0,(C6-C21),0)</f>
        <v>133.67000000000002</v>
      </c>
      <c r="D23" s="40">
        <f t="shared" si="2"/>
        <v>0</v>
      </c>
      <c r="E23" s="40">
        <f t="shared" si="2"/>
        <v>0</v>
      </c>
      <c r="F23" s="40">
        <f t="shared" si="2"/>
        <v>0</v>
      </c>
      <c r="G23" s="40">
        <f t="shared" si="2"/>
        <v>0</v>
      </c>
      <c r="H23" s="40">
        <f t="shared" si="2"/>
        <v>0</v>
      </c>
    </row>
    <row r="24" spans="1:8" ht="13" x14ac:dyDescent="0.3">
      <c r="A24" s="38" t="s">
        <v>213</v>
      </c>
      <c r="B24" s="40"/>
      <c r="C24" s="40"/>
      <c r="D24" s="40"/>
      <c r="E24" s="40"/>
      <c r="F24" s="40"/>
      <c r="G24" s="38"/>
      <c r="H24" s="38"/>
    </row>
    <row r="25" spans="1:8" ht="13" x14ac:dyDescent="0.3">
      <c r="A25" s="38" t="s">
        <v>323</v>
      </c>
      <c r="B25" s="40" t="s">
        <v>197</v>
      </c>
      <c r="C25" s="41" t="s">
        <v>300</v>
      </c>
      <c r="D25" s="40"/>
      <c r="E25" s="40"/>
      <c r="F25" s="40"/>
      <c r="G25" s="38"/>
      <c r="H25" s="38"/>
    </row>
    <row r="26" spans="1:8" ht="13" x14ac:dyDescent="0.3">
      <c r="A26" s="38" t="s">
        <v>325</v>
      </c>
      <c r="B26" s="34">
        <f>SUM(B53:H53)</f>
        <v>2000</v>
      </c>
      <c r="C26" s="42" t="s">
        <v>301</v>
      </c>
      <c r="D26" s="42"/>
      <c r="E26" s="42"/>
      <c r="F26" s="42"/>
      <c r="G26" s="39"/>
      <c r="H26" s="39"/>
    </row>
    <row r="27" spans="1:8" ht="13" x14ac:dyDescent="0.3">
      <c r="A27" s="38" t="s">
        <v>198</v>
      </c>
      <c r="B27" s="30">
        <v>25498</v>
      </c>
      <c r="C27" s="42" t="s">
        <v>302</v>
      </c>
      <c r="D27" s="42"/>
      <c r="E27" s="42"/>
      <c r="F27" s="42"/>
      <c r="G27" s="39"/>
      <c r="H27" s="39"/>
    </row>
    <row r="28" spans="1:8" ht="13" x14ac:dyDescent="0.3">
      <c r="A28" s="38" t="s">
        <v>199</v>
      </c>
      <c r="B28" s="30">
        <v>25000</v>
      </c>
      <c r="C28" s="42" t="s">
        <v>303</v>
      </c>
      <c r="D28" s="42"/>
      <c r="E28" s="42"/>
      <c r="F28" s="42"/>
      <c r="G28" s="39"/>
      <c r="H28" s="39"/>
    </row>
    <row r="29" spans="1:8" ht="13" x14ac:dyDescent="0.3">
      <c r="A29" s="38" t="s">
        <v>200</v>
      </c>
      <c r="B29" s="30">
        <v>82500</v>
      </c>
      <c r="C29" s="42" t="s">
        <v>304</v>
      </c>
      <c r="D29" s="42"/>
      <c r="E29" s="42"/>
      <c r="F29" s="42"/>
      <c r="G29" s="39"/>
      <c r="H29" s="39"/>
    </row>
    <row r="30" spans="1:8" ht="13" x14ac:dyDescent="0.3">
      <c r="A30" s="38" t="s">
        <v>201</v>
      </c>
      <c r="B30" s="30">
        <v>0</v>
      </c>
      <c r="C30" s="42" t="s">
        <v>305</v>
      </c>
      <c r="D30" s="42"/>
      <c r="E30" s="42"/>
      <c r="F30" s="42"/>
      <c r="G30" s="39"/>
      <c r="H30" s="39"/>
    </row>
    <row r="31" spans="1:8" ht="13" x14ac:dyDescent="0.3">
      <c r="A31" s="38" t="s">
        <v>202</v>
      </c>
      <c r="B31" s="30">
        <v>14100</v>
      </c>
      <c r="C31" s="42" t="s">
        <v>306</v>
      </c>
      <c r="D31" s="42"/>
      <c r="E31" s="42"/>
      <c r="F31" s="42"/>
      <c r="G31" s="39"/>
      <c r="H31" s="39"/>
    </row>
    <row r="32" spans="1:8" ht="13" x14ac:dyDescent="0.3">
      <c r="A32" s="38" t="s">
        <v>203</v>
      </c>
      <c r="B32" s="30">
        <v>12000</v>
      </c>
      <c r="C32" s="42" t="s">
        <v>307</v>
      </c>
      <c r="D32" s="42"/>
      <c r="E32" s="42"/>
      <c r="F32" s="42"/>
      <c r="G32" s="39"/>
      <c r="H32" s="39"/>
    </row>
    <row r="33" spans="1:8" ht="13" x14ac:dyDescent="0.3">
      <c r="A33" s="38" t="s">
        <v>204</v>
      </c>
      <c r="B33" s="30">
        <v>1200</v>
      </c>
      <c r="C33" s="42" t="s">
        <v>308</v>
      </c>
      <c r="D33" s="42"/>
      <c r="E33" s="42"/>
      <c r="F33" s="42"/>
      <c r="G33" s="39"/>
      <c r="H33" s="39"/>
    </row>
    <row r="34" spans="1:8" ht="13" x14ac:dyDescent="0.3">
      <c r="A34" s="38" t="s">
        <v>243</v>
      </c>
      <c r="B34" s="30">
        <v>0</v>
      </c>
      <c r="C34" s="42" t="s">
        <v>309</v>
      </c>
      <c r="D34" s="42"/>
      <c r="E34" s="42"/>
      <c r="F34" s="42"/>
      <c r="G34" s="39"/>
      <c r="H34" s="39"/>
    </row>
    <row r="35" spans="1:8" ht="13" x14ac:dyDescent="0.3">
      <c r="A35" s="38" t="s">
        <v>244</v>
      </c>
      <c r="B35" s="30">
        <v>60000</v>
      </c>
      <c r="C35" s="41" t="s">
        <v>310</v>
      </c>
      <c r="D35" s="41"/>
      <c r="E35" s="41"/>
      <c r="F35" s="41"/>
      <c r="G35" s="38"/>
      <c r="H35" s="38"/>
    </row>
    <row r="36" spans="1:8" ht="13" x14ac:dyDescent="0.3">
      <c r="A36" s="38" t="s">
        <v>245</v>
      </c>
      <c r="B36" s="34">
        <f>SUM(B27:B35)</f>
        <v>220298</v>
      </c>
      <c r="C36" s="40" t="s">
        <v>311</v>
      </c>
      <c r="D36" s="40"/>
      <c r="E36" s="41"/>
      <c r="F36" s="41"/>
      <c r="G36" s="38"/>
      <c r="H36" s="38"/>
    </row>
    <row r="37" spans="1:8" ht="13" x14ac:dyDescent="0.3">
      <c r="A37" s="38"/>
      <c r="B37" s="34"/>
      <c r="C37" s="40"/>
      <c r="D37" s="40"/>
      <c r="E37" s="40"/>
      <c r="F37" s="40"/>
      <c r="G37" s="38"/>
      <c r="H37" s="38"/>
    </row>
    <row r="38" spans="1:8" ht="13" x14ac:dyDescent="0.3">
      <c r="A38" s="38" t="s">
        <v>246</v>
      </c>
      <c r="B38" s="35">
        <v>45786</v>
      </c>
      <c r="C38" s="41" t="s">
        <v>314</v>
      </c>
      <c r="D38" s="40"/>
      <c r="E38" s="40"/>
      <c r="F38" s="40"/>
      <c r="G38" s="38"/>
      <c r="H38" s="38"/>
    </row>
    <row r="39" spans="1:8" ht="13" x14ac:dyDescent="0.3">
      <c r="A39" s="38" t="s">
        <v>247</v>
      </c>
      <c r="B39" s="30">
        <f>0.06*Sheet1!C14</f>
        <v>97004.76</v>
      </c>
      <c r="C39" s="41" t="s">
        <v>315</v>
      </c>
      <c r="D39" s="40"/>
      <c r="E39" s="40"/>
      <c r="F39" s="40"/>
      <c r="G39" s="38"/>
      <c r="H39" s="38"/>
    </row>
    <row r="40" spans="1:8" ht="13" x14ac:dyDescent="0.3">
      <c r="A40" s="38" t="s">
        <v>248</v>
      </c>
      <c r="B40" s="43">
        <f>SUM(B36:B39)</f>
        <v>363088.76</v>
      </c>
      <c r="C40" s="40" t="s">
        <v>312</v>
      </c>
      <c r="D40" s="40"/>
      <c r="E40" s="40"/>
      <c r="F40" s="40"/>
      <c r="G40" s="38"/>
      <c r="H40" s="38"/>
    </row>
    <row r="41" spans="1:8" ht="13" x14ac:dyDescent="0.3">
      <c r="A41" s="38"/>
      <c r="B41" s="43"/>
      <c r="C41" s="40"/>
      <c r="D41" s="40"/>
      <c r="E41" s="40"/>
      <c r="F41" s="40"/>
      <c r="G41" s="38"/>
      <c r="H41" s="38"/>
    </row>
    <row r="42" spans="1:8" ht="13" x14ac:dyDescent="0.3">
      <c r="A42" s="38" t="s">
        <v>249</v>
      </c>
      <c r="B42" s="44">
        <f>B40/B26</f>
        <v>181.54438000000002</v>
      </c>
      <c r="C42" s="44" t="s">
        <v>313</v>
      </c>
      <c r="D42" s="40"/>
      <c r="E42" s="40"/>
      <c r="F42" s="40"/>
      <c r="G42" s="38"/>
      <c r="H42" s="38"/>
    </row>
    <row r="43" spans="1:8" ht="13" x14ac:dyDescent="0.3">
      <c r="A43" s="38"/>
      <c r="B43" s="44"/>
      <c r="C43" s="44"/>
      <c r="D43" s="40"/>
      <c r="E43" s="40"/>
      <c r="F43" s="40"/>
      <c r="G43" s="38"/>
      <c r="H43" s="38"/>
    </row>
    <row r="44" spans="1:8" ht="13" x14ac:dyDescent="0.3">
      <c r="A44" s="38"/>
      <c r="B44" s="45" t="str">
        <f>B3</f>
        <v>CORN</v>
      </c>
      <c r="C44" s="45" t="str">
        <f t="shared" ref="C44:H44" si="3">C3</f>
        <v>SOYS</v>
      </c>
      <c r="D44" s="45" t="str">
        <f t="shared" si="3"/>
        <v>WHEAT</v>
      </c>
      <c r="E44" s="45" t="str">
        <f t="shared" si="3"/>
        <v>OTHER1</v>
      </c>
      <c r="F44" s="45" t="str">
        <f t="shared" si="3"/>
        <v>OTHER2</v>
      </c>
      <c r="G44" s="45" t="str">
        <f t="shared" si="3"/>
        <v>OTHER3</v>
      </c>
      <c r="H44" s="45" t="str">
        <f t="shared" si="3"/>
        <v>OTHER4</v>
      </c>
    </row>
    <row r="45" spans="1:8" ht="13" x14ac:dyDescent="0.3">
      <c r="A45" s="38" t="s">
        <v>250</v>
      </c>
      <c r="B45" s="59">
        <f>IF(B21&gt;0,(B21+$B42),0)</f>
        <v>339.46438000000001</v>
      </c>
      <c r="C45" s="59">
        <f t="shared" ref="C45:H45" si="4">IF(C21&gt;0,(C21+$B42),0)</f>
        <v>275.77438000000001</v>
      </c>
      <c r="D45" s="59">
        <f t="shared" si="4"/>
        <v>0</v>
      </c>
      <c r="E45" s="59">
        <f t="shared" si="4"/>
        <v>0</v>
      </c>
      <c r="F45" s="59">
        <f t="shared" si="4"/>
        <v>0</v>
      </c>
      <c r="G45" s="59">
        <f t="shared" si="4"/>
        <v>0</v>
      </c>
      <c r="H45" s="59">
        <f t="shared" si="4"/>
        <v>0</v>
      </c>
    </row>
    <row r="46" spans="1:8" ht="13" x14ac:dyDescent="0.3">
      <c r="A46" s="38" t="s">
        <v>251</v>
      </c>
      <c r="B46" s="44"/>
      <c r="C46" s="44"/>
      <c r="D46" s="44"/>
      <c r="E46" s="44"/>
      <c r="F46" s="44"/>
      <c r="G46" s="44"/>
      <c r="H46" s="44"/>
    </row>
    <row r="47" spans="1:8" ht="13" x14ac:dyDescent="0.3">
      <c r="A47" s="38"/>
      <c r="B47" s="44"/>
      <c r="C47" s="44"/>
      <c r="D47" s="44"/>
      <c r="E47" s="44"/>
      <c r="F47" s="44"/>
      <c r="G47" s="44"/>
      <c r="H47" s="44"/>
    </row>
    <row r="48" spans="1:8" ht="13" x14ac:dyDescent="0.3">
      <c r="A48" s="38" t="s">
        <v>252</v>
      </c>
      <c r="B48" s="44">
        <f t="shared" ref="B48:H48" si="5">IF(B45&gt;0,(B45/B4),0)</f>
        <v>2.641746147859922</v>
      </c>
      <c r="C48" s="44">
        <f t="shared" si="5"/>
        <v>6.4133576744186049</v>
      </c>
      <c r="D48" s="44">
        <f t="shared" si="5"/>
        <v>0</v>
      </c>
      <c r="E48" s="44">
        <f t="shared" si="5"/>
        <v>0</v>
      </c>
      <c r="F48" s="44">
        <f t="shared" si="5"/>
        <v>0</v>
      </c>
      <c r="G48" s="44">
        <f t="shared" si="5"/>
        <v>0</v>
      </c>
      <c r="H48" s="44">
        <f t="shared" si="5"/>
        <v>0</v>
      </c>
    </row>
    <row r="49" spans="1:8" ht="13" x14ac:dyDescent="0.3">
      <c r="A49" s="38" t="s">
        <v>253</v>
      </c>
      <c r="B49" s="44"/>
      <c r="C49" s="44"/>
      <c r="D49" s="40"/>
      <c r="E49" s="40"/>
      <c r="F49" s="40"/>
      <c r="G49" s="38"/>
      <c r="H49" s="38"/>
    </row>
    <row r="50" spans="1:8" ht="13" x14ac:dyDescent="0.3">
      <c r="A50" s="38" t="s">
        <v>205</v>
      </c>
      <c r="B50" s="40"/>
      <c r="C50" s="40"/>
      <c r="D50" s="40"/>
      <c r="E50" s="40"/>
      <c r="F50" s="40"/>
      <c r="G50" s="38"/>
      <c r="H50" s="38"/>
    </row>
    <row r="51" spans="1:8" ht="13" x14ac:dyDescent="0.3">
      <c r="A51" s="38" t="str">
        <f>A2</f>
        <v>Low Debt Farm</v>
      </c>
      <c r="B51" s="40"/>
      <c r="C51" s="40"/>
      <c r="D51" s="40"/>
      <c r="E51" s="40"/>
      <c r="F51" s="40"/>
      <c r="G51" s="38"/>
      <c r="H51" s="38"/>
    </row>
    <row r="52" spans="1:8" ht="13" x14ac:dyDescent="0.3">
      <c r="A52" s="38"/>
      <c r="B52" s="46" t="str">
        <f>B44</f>
        <v>CORN</v>
      </c>
      <c r="C52" s="46" t="str">
        <f t="shared" ref="C52:H52" si="6">C44</f>
        <v>SOYS</v>
      </c>
      <c r="D52" s="46" t="str">
        <f t="shared" si="6"/>
        <v>WHEAT</v>
      </c>
      <c r="E52" s="46" t="str">
        <f t="shared" si="6"/>
        <v>OTHER1</v>
      </c>
      <c r="F52" s="46" t="str">
        <f t="shared" si="6"/>
        <v>OTHER2</v>
      </c>
      <c r="G52" s="46" t="str">
        <f t="shared" si="6"/>
        <v>OTHER3</v>
      </c>
      <c r="H52" s="46" t="str">
        <f t="shared" si="6"/>
        <v>OTHER4</v>
      </c>
    </row>
    <row r="53" spans="1:8" ht="13" x14ac:dyDescent="0.3">
      <c r="A53" s="38" t="s">
        <v>255</v>
      </c>
      <c r="B53" s="60">
        <v>1000</v>
      </c>
      <c r="C53" s="60">
        <v>1000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</row>
    <row r="54" spans="1:8" ht="13" x14ac:dyDescent="0.3">
      <c r="A54" s="38"/>
      <c r="B54" s="40"/>
      <c r="C54" s="40"/>
      <c r="D54" s="40"/>
      <c r="E54" s="40"/>
      <c r="F54" s="40"/>
      <c r="G54" s="38"/>
      <c r="H54" s="38"/>
    </row>
    <row r="55" spans="1:8" ht="13" x14ac:dyDescent="0.3">
      <c r="A55" s="38" t="s">
        <v>256</v>
      </c>
      <c r="B55" s="40">
        <f t="shared" ref="B55:H55" si="7">B21</f>
        <v>157.91999999999999</v>
      </c>
      <c r="C55" s="40">
        <f t="shared" si="7"/>
        <v>94.23</v>
      </c>
      <c r="D55" s="40">
        <f t="shared" si="7"/>
        <v>0</v>
      </c>
      <c r="E55" s="40">
        <f t="shared" si="7"/>
        <v>0</v>
      </c>
      <c r="F55" s="40">
        <f t="shared" si="7"/>
        <v>0</v>
      </c>
      <c r="G55" s="40">
        <f t="shared" si="7"/>
        <v>0</v>
      </c>
      <c r="H55" s="40">
        <f t="shared" si="7"/>
        <v>0</v>
      </c>
    </row>
    <row r="56" spans="1:8" ht="13" x14ac:dyDescent="0.3">
      <c r="A56" s="38"/>
      <c r="B56" s="40"/>
      <c r="C56" s="40"/>
      <c r="D56" s="40"/>
      <c r="E56" s="40"/>
      <c r="F56" s="40"/>
      <c r="G56" s="38"/>
      <c r="H56" s="38"/>
    </row>
    <row r="57" spans="1:8" ht="13" x14ac:dyDescent="0.3">
      <c r="A57" s="38" t="s">
        <v>257</v>
      </c>
      <c r="B57" s="40">
        <f t="shared" ref="B57:H57" si="8">IF(B53&gt;0,(B21/B4),0)</f>
        <v>1.2289494163424124</v>
      </c>
      <c r="C57" s="40">
        <f t="shared" si="8"/>
        <v>2.1913953488372093</v>
      </c>
      <c r="D57" s="40">
        <f t="shared" si="8"/>
        <v>0</v>
      </c>
      <c r="E57" s="40">
        <f t="shared" si="8"/>
        <v>0</v>
      </c>
      <c r="F57" s="40">
        <f t="shared" si="8"/>
        <v>0</v>
      </c>
      <c r="G57" s="40">
        <f t="shared" si="8"/>
        <v>0</v>
      </c>
      <c r="H57" s="40">
        <f t="shared" si="8"/>
        <v>0</v>
      </c>
    </row>
    <row r="58" spans="1:8" ht="13" x14ac:dyDescent="0.3">
      <c r="A58" s="38" t="s">
        <v>259</v>
      </c>
      <c r="B58" s="40"/>
      <c r="C58" s="40"/>
      <c r="D58" s="40"/>
      <c r="E58" s="40"/>
      <c r="F58" s="40"/>
      <c r="G58" s="38"/>
      <c r="H58" s="38"/>
    </row>
    <row r="59" spans="1:8" ht="13" x14ac:dyDescent="0.3">
      <c r="A59" s="38" t="s">
        <v>258</v>
      </c>
      <c r="B59" s="47">
        <f>IF(B55&gt;0,(B53*B55),0)</f>
        <v>157920</v>
      </c>
      <c r="C59" s="47">
        <f t="shared" ref="C59:H59" si="9">IF(C55&gt;0,(C53*C55),0)</f>
        <v>94230</v>
      </c>
      <c r="D59" s="47">
        <f t="shared" si="9"/>
        <v>0</v>
      </c>
      <c r="E59" s="47">
        <f t="shared" si="9"/>
        <v>0</v>
      </c>
      <c r="F59" s="47">
        <f t="shared" si="9"/>
        <v>0</v>
      </c>
      <c r="G59" s="47">
        <f t="shared" si="9"/>
        <v>0</v>
      </c>
      <c r="H59" s="47">
        <f t="shared" si="9"/>
        <v>0</v>
      </c>
    </row>
    <row r="60" spans="1:8" ht="13" x14ac:dyDescent="0.3">
      <c r="A60" s="40" t="s">
        <v>260</v>
      </c>
      <c r="B60" s="39"/>
      <c r="C60" s="40"/>
      <c r="D60" s="40"/>
      <c r="E60" s="40"/>
      <c r="F60" s="40"/>
      <c r="G60" s="38"/>
      <c r="H60" s="38"/>
    </row>
    <row r="61" spans="1:8" ht="13" x14ac:dyDescent="0.3">
      <c r="A61" s="38"/>
      <c r="B61" s="40"/>
      <c r="C61" s="40"/>
      <c r="D61" s="40"/>
      <c r="E61" s="40"/>
      <c r="F61" s="40"/>
      <c r="G61" s="38"/>
      <c r="H61" s="38"/>
    </row>
    <row r="62" spans="1:8" ht="13" x14ac:dyDescent="0.3">
      <c r="A62" s="38" t="s">
        <v>326</v>
      </c>
      <c r="B62" s="40"/>
      <c r="C62" s="47">
        <f>SUM(B59:H59)</f>
        <v>252150</v>
      </c>
      <c r="D62" s="40" t="s">
        <v>261</v>
      </c>
      <c r="E62" s="40"/>
      <c r="F62" s="40"/>
      <c r="G62" s="38"/>
      <c r="H62" s="38"/>
    </row>
    <row r="63" spans="1:8" ht="13" x14ac:dyDescent="0.3">
      <c r="A63" s="38"/>
      <c r="B63" s="40"/>
      <c r="C63" s="40"/>
      <c r="D63" s="40"/>
      <c r="E63" s="40"/>
      <c r="F63" s="40"/>
      <c r="G63" s="38"/>
      <c r="H63" s="38"/>
    </row>
    <row r="64" spans="1:8" ht="13" x14ac:dyDescent="0.3">
      <c r="A64" s="48" t="s">
        <v>262</v>
      </c>
      <c r="B64" s="40"/>
      <c r="C64" s="40"/>
      <c r="D64" s="40"/>
      <c r="E64" s="40"/>
      <c r="F64" s="40"/>
      <c r="G64" s="38"/>
      <c r="H64" s="38"/>
    </row>
    <row r="65" spans="1:8" ht="13" x14ac:dyDescent="0.3">
      <c r="A65" s="38" t="s">
        <v>263</v>
      </c>
      <c r="B65" s="40"/>
      <c r="C65" s="43">
        <f>B40</f>
        <v>363088.76</v>
      </c>
      <c r="D65" s="41" t="s">
        <v>264</v>
      </c>
      <c r="E65" s="41"/>
      <c r="F65" s="41"/>
      <c r="G65" s="49"/>
      <c r="H65" s="49"/>
    </row>
    <row r="66" spans="1:8" ht="13" x14ac:dyDescent="0.3">
      <c r="A66" s="38" t="s">
        <v>265</v>
      </c>
      <c r="B66" s="50" t="s">
        <v>227</v>
      </c>
      <c r="C66" s="35">
        <f>Sheet1!C276</f>
        <v>65534</v>
      </c>
      <c r="D66" s="41" t="s">
        <v>274</v>
      </c>
      <c r="E66" s="41"/>
      <c r="F66" s="41"/>
      <c r="G66" s="49"/>
      <c r="H66" s="49"/>
    </row>
    <row r="67" spans="1:8" ht="13" x14ac:dyDescent="0.3">
      <c r="A67" s="38" t="s">
        <v>266</v>
      </c>
      <c r="B67" s="50" t="s">
        <v>227</v>
      </c>
      <c r="C67" s="34">
        <f>B39</f>
        <v>97004.76</v>
      </c>
      <c r="D67" s="41" t="s">
        <v>267</v>
      </c>
      <c r="E67" s="41"/>
      <c r="F67" s="41"/>
      <c r="G67" s="49"/>
      <c r="H67" s="49"/>
    </row>
    <row r="68" spans="1:8" ht="13" x14ac:dyDescent="0.3">
      <c r="A68" s="38" t="s">
        <v>206</v>
      </c>
      <c r="B68" s="50" t="s">
        <v>226</v>
      </c>
      <c r="C68" s="35">
        <f>Sheet1!C125</f>
        <v>23550</v>
      </c>
      <c r="D68" s="49" t="s">
        <v>268</v>
      </c>
      <c r="E68" s="49"/>
      <c r="F68" s="49"/>
      <c r="G68" s="49"/>
      <c r="H68" s="49"/>
    </row>
    <row r="69" spans="1:8" ht="13" x14ac:dyDescent="0.3">
      <c r="A69" s="38" t="s">
        <v>269</v>
      </c>
      <c r="B69" s="50" t="s">
        <v>227</v>
      </c>
      <c r="C69" s="34">
        <f>B38</f>
        <v>45786</v>
      </c>
      <c r="D69" s="41" t="s">
        <v>270</v>
      </c>
      <c r="E69" s="41"/>
      <c r="F69" s="41"/>
      <c r="G69" s="49"/>
      <c r="H69" s="49"/>
    </row>
    <row r="70" spans="1:8" ht="13" x14ac:dyDescent="0.3">
      <c r="A70" s="38" t="s">
        <v>207</v>
      </c>
      <c r="B70" s="50" t="str">
        <f>B68</f>
        <v>+</v>
      </c>
      <c r="C70" s="60">
        <f>Sheet1!C41</f>
        <v>30000</v>
      </c>
      <c r="D70" s="41" t="s">
        <v>271</v>
      </c>
      <c r="E70" s="41"/>
      <c r="F70" s="41"/>
      <c r="G70" s="49"/>
      <c r="H70" s="49"/>
    </row>
    <row r="71" spans="1:8" ht="13" x14ac:dyDescent="0.3">
      <c r="A71" s="38" t="s">
        <v>272</v>
      </c>
      <c r="B71" s="50" t="s">
        <v>228</v>
      </c>
      <c r="C71" s="43">
        <f>C65-C66-C67+C68-C69+C70</f>
        <v>208314</v>
      </c>
      <c r="D71" s="49"/>
      <c r="E71" s="41"/>
      <c r="F71" s="41"/>
      <c r="G71" s="49"/>
      <c r="H71" s="49"/>
    </row>
    <row r="72" spans="1:8" ht="13" x14ac:dyDescent="0.3">
      <c r="A72" s="38" t="s">
        <v>273</v>
      </c>
      <c r="B72" s="40"/>
      <c r="C72" s="40">
        <f>C71/B26</f>
        <v>104.157</v>
      </c>
      <c r="D72" s="40" t="s">
        <v>275</v>
      </c>
      <c r="E72" s="40"/>
      <c r="F72" s="40"/>
      <c r="G72" s="38"/>
      <c r="H72" s="38"/>
    </row>
    <row r="73" spans="1:8" ht="13" x14ac:dyDescent="0.3">
      <c r="A73" s="38" t="s">
        <v>208</v>
      </c>
      <c r="B73" s="40"/>
      <c r="C73" s="39"/>
      <c r="D73" s="47">
        <f>C62+C71</f>
        <v>460464</v>
      </c>
      <c r="E73" s="40" t="s">
        <v>276</v>
      </c>
      <c r="F73" s="40"/>
      <c r="G73" s="38"/>
      <c r="H73" s="38"/>
    </row>
    <row r="74" spans="1:8" ht="13" x14ac:dyDescent="0.3">
      <c r="A74" s="38"/>
      <c r="B74" s="40"/>
      <c r="C74" s="40"/>
      <c r="D74" s="40"/>
      <c r="E74" s="40"/>
      <c r="F74" s="40"/>
      <c r="G74" s="38"/>
      <c r="H74" s="38"/>
    </row>
    <row r="75" spans="1:8" ht="13" x14ac:dyDescent="0.3">
      <c r="A75" s="38"/>
      <c r="B75" s="40" t="str">
        <f>B52</f>
        <v>CORN</v>
      </c>
      <c r="C75" s="40" t="str">
        <f>C52</f>
        <v>SOYS</v>
      </c>
      <c r="D75" s="40" t="s">
        <v>179</v>
      </c>
      <c r="E75" s="40" t="s">
        <v>180</v>
      </c>
      <c r="F75" s="40" t="s">
        <v>181</v>
      </c>
      <c r="G75" s="38" t="s">
        <v>182</v>
      </c>
      <c r="H75" s="38" t="s">
        <v>183</v>
      </c>
    </row>
    <row r="76" spans="1:8" ht="13" x14ac:dyDescent="0.3">
      <c r="A76" s="38" t="s">
        <v>278</v>
      </c>
      <c r="B76" s="40">
        <f>IF(B59&gt;0,($C72+B55),0)</f>
        <v>262.077</v>
      </c>
      <c r="C76" s="40">
        <f t="shared" ref="C76:H76" si="10">IF(C59&gt;0,($C72+C55),0)</f>
        <v>198.387</v>
      </c>
      <c r="D76" s="40">
        <f t="shared" si="10"/>
        <v>0</v>
      </c>
      <c r="E76" s="40">
        <f t="shared" si="10"/>
        <v>0</v>
      </c>
      <c r="F76" s="40">
        <f t="shared" si="10"/>
        <v>0</v>
      </c>
      <c r="G76" s="40">
        <f t="shared" si="10"/>
        <v>0</v>
      </c>
      <c r="H76" s="40">
        <f t="shared" si="10"/>
        <v>0</v>
      </c>
    </row>
    <row r="77" spans="1:8" ht="13" x14ac:dyDescent="0.3">
      <c r="A77" s="38" t="s">
        <v>277</v>
      </c>
      <c r="B77" s="40"/>
      <c r="C77" s="40"/>
      <c r="D77" s="40"/>
      <c r="E77" s="40"/>
      <c r="F77" s="40"/>
      <c r="G77" s="38"/>
      <c r="H77" s="38"/>
    </row>
    <row r="78" spans="1:8" ht="13" x14ac:dyDescent="0.3">
      <c r="A78" s="38" t="s">
        <v>209</v>
      </c>
      <c r="B78" s="40">
        <f t="shared" ref="B78:H78" si="11">IF(B76&gt;0,(B76/B4),0)</f>
        <v>2.0395097276264593</v>
      </c>
      <c r="C78" s="40">
        <f t="shared" si="11"/>
        <v>4.6136511627906973</v>
      </c>
      <c r="D78" s="40">
        <f t="shared" si="11"/>
        <v>0</v>
      </c>
      <c r="E78" s="40">
        <f t="shared" si="11"/>
        <v>0</v>
      </c>
      <c r="F78" s="40">
        <f t="shared" si="11"/>
        <v>0</v>
      </c>
      <c r="G78" s="40">
        <f t="shared" si="11"/>
        <v>0</v>
      </c>
      <c r="H78" s="40">
        <f t="shared" si="11"/>
        <v>0</v>
      </c>
    </row>
    <row r="79" spans="1:8" ht="13" x14ac:dyDescent="0.3">
      <c r="A79" s="38" t="s">
        <v>212</v>
      </c>
      <c r="B79" s="40"/>
      <c r="C79" s="40"/>
      <c r="D79" s="40"/>
      <c r="E79" s="40"/>
      <c r="F79" s="40"/>
      <c r="G79" s="38"/>
      <c r="H79" s="38"/>
    </row>
    <row r="80" spans="1:8" ht="13" x14ac:dyDescent="0.3">
      <c r="A80" s="38"/>
      <c r="B80" s="40"/>
      <c r="C80" s="40"/>
      <c r="D80" s="40"/>
      <c r="E80" s="40"/>
      <c r="F80" s="40"/>
      <c r="G80" s="38"/>
      <c r="H80" s="38"/>
    </row>
    <row r="81" spans="1:15" ht="13" x14ac:dyDescent="0.3">
      <c r="A81" s="48" t="s">
        <v>316</v>
      </c>
      <c r="B81" s="39"/>
      <c r="C81" s="40"/>
      <c r="D81" s="39"/>
      <c r="E81" s="40"/>
      <c r="F81" s="40"/>
      <c r="G81" s="38"/>
      <c r="H81" s="38"/>
    </row>
    <row r="82" spans="1:15" ht="13" x14ac:dyDescent="0.3">
      <c r="A82" s="38" t="s">
        <v>295</v>
      </c>
      <c r="B82" s="39"/>
      <c r="C82" s="51">
        <f>C71</f>
        <v>208314</v>
      </c>
      <c r="D82" s="41" t="s">
        <v>279</v>
      </c>
      <c r="E82" s="41"/>
      <c r="F82" s="41"/>
      <c r="G82" s="49"/>
      <c r="H82" s="49"/>
    </row>
    <row r="83" spans="1:15" ht="13" x14ac:dyDescent="0.3">
      <c r="A83" s="38" t="s">
        <v>296</v>
      </c>
      <c r="B83" s="52" t="s">
        <v>227</v>
      </c>
      <c r="C83" s="43">
        <f>B35</f>
        <v>60000</v>
      </c>
      <c r="D83" s="41" t="s">
        <v>280</v>
      </c>
      <c r="E83" s="49"/>
      <c r="F83" s="49"/>
      <c r="G83" s="49"/>
      <c r="H83" s="49"/>
    </row>
    <row r="84" spans="1:15" ht="13" x14ac:dyDescent="0.3">
      <c r="A84" s="38" t="s">
        <v>297</v>
      </c>
      <c r="B84" s="52" t="s">
        <v>227</v>
      </c>
      <c r="C84" s="43">
        <f>B27</f>
        <v>25498</v>
      </c>
      <c r="D84" s="41" t="s">
        <v>281</v>
      </c>
      <c r="E84" s="41"/>
      <c r="F84" s="49"/>
      <c r="G84" s="49"/>
      <c r="H84" s="49"/>
    </row>
    <row r="85" spans="1:15" ht="13" x14ac:dyDescent="0.3">
      <c r="A85" s="38" t="s">
        <v>210</v>
      </c>
      <c r="B85" s="52" t="s">
        <v>226</v>
      </c>
      <c r="C85" s="60">
        <f>Sheet1!C46</f>
        <v>58655</v>
      </c>
      <c r="D85" s="41" t="s">
        <v>282</v>
      </c>
      <c r="E85" s="41"/>
      <c r="F85" s="49"/>
      <c r="G85" s="49"/>
      <c r="H85" s="49"/>
    </row>
    <row r="86" spans="1:15" ht="13" x14ac:dyDescent="0.3">
      <c r="A86" s="38" t="s">
        <v>211</v>
      </c>
      <c r="B86" s="52" t="s">
        <v>226</v>
      </c>
      <c r="C86" s="60">
        <f>Sheet1!C48</f>
        <v>40978</v>
      </c>
      <c r="D86" s="41" t="s">
        <v>290</v>
      </c>
      <c r="E86" s="41"/>
      <c r="F86" s="41"/>
      <c r="G86" s="49"/>
      <c r="H86" s="49"/>
    </row>
    <row r="87" spans="1:15" ht="13" x14ac:dyDescent="0.3">
      <c r="A87" s="38" t="s">
        <v>283</v>
      </c>
      <c r="B87" s="52" t="s">
        <v>228</v>
      </c>
      <c r="C87" s="43">
        <f>C82-C83-C84+C85+C86</f>
        <v>222449</v>
      </c>
      <c r="D87" s="41" t="s">
        <v>298</v>
      </c>
      <c r="E87" s="41"/>
      <c r="F87" s="41"/>
      <c r="G87" s="49"/>
      <c r="H87" s="49"/>
    </row>
    <row r="88" spans="1:15" ht="13" x14ac:dyDescent="0.3">
      <c r="A88" s="39"/>
      <c r="B88" s="40"/>
      <c r="C88" s="40"/>
      <c r="D88" s="49" t="s">
        <v>284</v>
      </c>
      <c r="E88" s="41"/>
      <c r="F88" s="41"/>
      <c r="G88" s="49"/>
      <c r="H88" s="49"/>
    </row>
    <row r="89" spans="1:15" ht="13" x14ac:dyDescent="0.3">
      <c r="A89" s="38" t="s">
        <v>285</v>
      </c>
      <c r="B89" s="40"/>
      <c r="C89" s="40">
        <f>C87/B26</f>
        <v>111.22450000000001</v>
      </c>
      <c r="D89" s="40" t="s">
        <v>292</v>
      </c>
      <c r="E89" s="40"/>
      <c r="F89" s="40"/>
      <c r="G89" s="38"/>
      <c r="H89" s="38"/>
    </row>
    <row r="90" spans="1:15" ht="13" x14ac:dyDescent="0.3">
      <c r="A90" s="38"/>
      <c r="B90" s="40"/>
      <c r="C90" s="40"/>
      <c r="D90" s="40"/>
      <c r="E90" s="40"/>
      <c r="F90" s="40"/>
      <c r="G90" s="38"/>
      <c r="H90" s="38"/>
    </row>
    <row r="91" spans="1:15" ht="13" x14ac:dyDescent="0.3">
      <c r="A91" s="38" t="s">
        <v>286</v>
      </c>
      <c r="B91" s="39"/>
      <c r="C91" s="39"/>
      <c r="D91" s="47">
        <f>C62+C87</f>
        <v>474599</v>
      </c>
      <c r="E91" s="40" t="s">
        <v>293</v>
      </c>
      <c r="F91" s="40"/>
      <c r="G91" s="38"/>
      <c r="H91" s="38"/>
    </row>
    <row r="92" spans="1:15" ht="13" x14ac:dyDescent="0.3">
      <c r="A92" s="38"/>
      <c r="B92" s="39"/>
      <c r="C92" s="39"/>
      <c r="D92" s="47"/>
      <c r="E92" s="40"/>
      <c r="F92" s="40"/>
      <c r="G92" s="38"/>
      <c r="H92" s="38"/>
    </row>
    <row r="93" spans="1:15" ht="13" x14ac:dyDescent="0.3">
      <c r="A93" s="38"/>
      <c r="B93" s="40" t="str">
        <f t="shared" ref="B93:H93" si="12">B75</f>
        <v>CORN</v>
      </c>
      <c r="C93" s="40" t="str">
        <f t="shared" si="12"/>
        <v>SOYS</v>
      </c>
      <c r="D93" s="40" t="str">
        <f t="shared" si="12"/>
        <v>WHEAT</v>
      </c>
      <c r="E93" s="40" t="str">
        <f t="shared" si="12"/>
        <v>OTHER1</v>
      </c>
      <c r="F93" s="40" t="str">
        <f t="shared" si="12"/>
        <v>OTHER2</v>
      </c>
      <c r="G93" s="40" t="str">
        <f t="shared" si="12"/>
        <v>OTHER3</v>
      </c>
      <c r="H93" s="40" t="str">
        <f t="shared" si="12"/>
        <v>OTHER4</v>
      </c>
      <c r="I93" s="28"/>
      <c r="J93" s="28"/>
      <c r="K93" s="28"/>
      <c r="L93" s="28"/>
      <c r="M93" s="28"/>
      <c r="N93" s="28"/>
      <c r="O93" s="28"/>
    </row>
    <row r="94" spans="1:15" ht="13" x14ac:dyDescent="0.3">
      <c r="A94" s="38" t="s">
        <v>287</v>
      </c>
      <c r="B94" s="40">
        <f>IF(B78&gt;0,(B55+$C89),0)</f>
        <v>269.14449999999999</v>
      </c>
      <c r="C94" s="40">
        <f t="shared" ref="C94:H94" si="13">IF(C78&gt;0,(C55+$C89),0)</f>
        <v>205.4545</v>
      </c>
      <c r="D94" s="40">
        <f t="shared" si="13"/>
        <v>0</v>
      </c>
      <c r="E94" s="40">
        <f t="shared" si="13"/>
        <v>0</v>
      </c>
      <c r="F94" s="40">
        <f t="shared" si="13"/>
        <v>0</v>
      </c>
      <c r="G94" s="40">
        <f t="shared" si="13"/>
        <v>0</v>
      </c>
      <c r="H94" s="40">
        <f t="shared" si="13"/>
        <v>0</v>
      </c>
    </row>
    <row r="95" spans="1:15" ht="13" x14ac:dyDescent="0.3">
      <c r="A95" s="38" t="s">
        <v>291</v>
      </c>
      <c r="B95" s="40"/>
      <c r="C95" s="40"/>
      <c r="D95" s="38"/>
      <c r="E95" s="38"/>
      <c r="F95" s="38"/>
      <c r="G95" s="38"/>
      <c r="H95" s="38"/>
    </row>
    <row r="96" spans="1:15" ht="13" x14ac:dyDescent="0.3">
      <c r="A96" s="38" t="s">
        <v>288</v>
      </c>
      <c r="B96" s="40">
        <f t="shared" ref="B96:H96" si="14">IF(B94&gt;0,(B94/B4),0)</f>
        <v>2.094509727626459</v>
      </c>
      <c r="C96" s="40">
        <f t="shared" si="14"/>
        <v>4.7780116279069764</v>
      </c>
      <c r="D96" s="40">
        <f t="shared" si="14"/>
        <v>0</v>
      </c>
      <c r="E96" s="40">
        <f t="shared" si="14"/>
        <v>0</v>
      </c>
      <c r="F96" s="40">
        <f t="shared" si="14"/>
        <v>0</v>
      </c>
      <c r="G96" s="40">
        <f t="shared" si="14"/>
        <v>0</v>
      </c>
      <c r="H96" s="40">
        <f t="shared" si="14"/>
        <v>0</v>
      </c>
    </row>
    <row r="97" spans="1:8" ht="13" x14ac:dyDescent="0.3">
      <c r="A97" s="38" t="s">
        <v>294</v>
      </c>
      <c r="B97" s="39"/>
      <c r="C97" s="40"/>
      <c r="D97" s="39"/>
      <c r="E97" s="39"/>
      <c r="F97" s="39"/>
      <c r="G97" s="39"/>
      <c r="H97" s="39"/>
    </row>
    <row r="98" spans="1:8" ht="14" x14ac:dyDescent="0.3">
      <c r="A98" s="53" t="str">
        <f>A2</f>
        <v>Low Debt Farm</v>
      </c>
      <c r="B98" s="40" t="str">
        <f>B52</f>
        <v>CORN</v>
      </c>
      <c r="C98" s="40" t="str">
        <f>C52</f>
        <v>SOYS</v>
      </c>
      <c r="D98" s="39"/>
      <c r="E98" s="39"/>
      <c r="F98" s="39"/>
      <c r="G98" s="39"/>
      <c r="H98" s="39"/>
    </row>
    <row r="99" spans="1:8" ht="14" x14ac:dyDescent="0.3">
      <c r="A99" s="54" t="str">
        <f>A48</f>
        <v>35. Total Economic Cost / Bu</v>
      </c>
      <c r="B99" s="54">
        <f>B48</f>
        <v>2.641746147859922</v>
      </c>
      <c r="C99" s="54">
        <f>C48</f>
        <v>6.4133576744186049</v>
      </c>
      <c r="D99" s="39"/>
      <c r="E99" s="39"/>
      <c r="F99" s="39"/>
      <c r="G99" s="39"/>
      <c r="H99" s="39"/>
    </row>
    <row r="100" spans="1:8" ht="14" x14ac:dyDescent="0.3">
      <c r="A100" s="54" t="str">
        <f>A78</f>
        <v>51. Maintain Net Worth per Bu</v>
      </c>
      <c r="B100" s="54">
        <f>B78</f>
        <v>2.0395097276264593</v>
      </c>
      <c r="C100" s="54">
        <f>C78</f>
        <v>4.6136511627906973</v>
      </c>
      <c r="D100" s="39"/>
      <c r="E100" s="39"/>
      <c r="F100" s="39"/>
      <c r="G100" s="39"/>
      <c r="H100" s="39"/>
    </row>
    <row r="101" spans="1:8" ht="14" x14ac:dyDescent="0.3">
      <c r="A101" s="54" t="str">
        <f>A96</f>
        <v>61. Meet Cash Flow Demands per Bu</v>
      </c>
      <c r="B101" s="54">
        <f>B96</f>
        <v>2.094509727626459</v>
      </c>
      <c r="C101" s="54">
        <f>C96</f>
        <v>4.7780116279069764</v>
      </c>
      <c r="D101" s="39"/>
      <c r="E101" s="39"/>
      <c r="F101" s="39"/>
      <c r="G101" s="39"/>
      <c r="H101" s="39"/>
    </row>
  </sheetData>
  <sheetProtection sheet="1" objects="1" scenarios="1"/>
  <pageMargins left="0.5" right="0.5" top="0.51" bottom="0.5" header="0" footer="0"/>
  <pageSetup scale="73" orientation="landscape" r:id="rId1"/>
  <headerFooter alignWithMargins="0"/>
  <rowBreaks count="1" manualBreakCount="1">
    <brk id="4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view="pageBreakPreview" zoomScale="75" zoomScaleNormal="75" workbookViewId="0"/>
  </sheetViews>
  <sheetFormatPr defaultColWidth="10.81640625" defaultRowHeight="12.5" x14ac:dyDescent="0.25"/>
  <cols>
    <col min="1" max="1" width="46.7265625" customWidth="1"/>
    <col min="2" max="8" width="10.7265625" customWidth="1"/>
  </cols>
  <sheetData>
    <row r="1" spans="1:8" ht="13" x14ac:dyDescent="0.3">
      <c r="A1" s="38" t="s">
        <v>177</v>
      </c>
      <c r="B1" s="38"/>
      <c r="C1" s="39"/>
      <c r="D1" s="39"/>
      <c r="E1" s="39"/>
      <c r="F1" s="39"/>
      <c r="G1" s="39"/>
      <c r="H1" s="39"/>
    </row>
    <row r="2" spans="1:8" x14ac:dyDescent="0.25">
      <c r="A2" s="31" t="s">
        <v>223</v>
      </c>
      <c r="B2" s="39"/>
      <c r="C2" s="39"/>
      <c r="D2" s="39"/>
      <c r="E2" s="39"/>
      <c r="F2" s="39"/>
      <c r="G2" s="39"/>
      <c r="H2" s="39"/>
    </row>
    <row r="3" spans="1:8" ht="14" x14ac:dyDescent="0.25">
      <c r="A3" s="39" t="s">
        <v>223</v>
      </c>
      <c r="B3" s="55" t="s">
        <v>178</v>
      </c>
      <c r="C3" s="55" t="s">
        <v>254</v>
      </c>
      <c r="D3" s="55" t="s">
        <v>179</v>
      </c>
      <c r="E3" s="55" t="s">
        <v>180</v>
      </c>
      <c r="F3" s="55" t="s">
        <v>181</v>
      </c>
      <c r="G3" s="55" t="s">
        <v>182</v>
      </c>
      <c r="H3" s="55" t="s">
        <v>183</v>
      </c>
    </row>
    <row r="4" spans="1:8" ht="13" x14ac:dyDescent="0.3">
      <c r="A4" s="38" t="s">
        <v>317</v>
      </c>
      <c r="B4" s="58">
        <v>128.5</v>
      </c>
      <c r="C4" s="58">
        <v>43</v>
      </c>
      <c r="D4" s="58" t="s">
        <v>299</v>
      </c>
      <c r="E4" s="58" t="s">
        <v>299</v>
      </c>
      <c r="F4" s="58" t="s">
        <v>299</v>
      </c>
      <c r="G4" s="58" t="s">
        <v>299</v>
      </c>
      <c r="H4" s="58" t="s">
        <v>299</v>
      </c>
    </row>
    <row r="5" spans="1:8" ht="13" x14ac:dyDescent="0.3">
      <c r="A5" s="38" t="s">
        <v>321</v>
      </c>
      <c r="B5" s="57">
        <f>Sheet1!C223</f>
        <v>2</v>
      </c>
      <c r="C5" s="57">
        <f>Sheet1!D223</f>
        <v>5.3</v>
      </c>
      <c r="D5" s="58" t="s">
        <v>289</v>
      </c>
      <c r="E5" s="58" t="s">
        <v>289</v>
      </c>
      <c r="F5" s="58" t="s">
        <v>289</v>
      </c>
      <c r="G5" s="58" t="s">
        <v>289</v>
      </c>
      <c r="H5" s="58" t="s">
        <v>289</v>
      </c>
    </row>
    <row r="6" spans="1:8" ht="13" x14ac:dyDescent="0.3">
      <c r="A6" s="38" t="s">
        <v>318</v>
      </c>
      <c r="B6" s="56">
        <f t="shared" ref="B6:H6" si="0">B4*B5</f>
        <v>257</v>
      </c>
      <c r="C6" s="56">
        <f t="shared" si="0"/>
        <v>227.9</v>
      </c>
      <c r="D6" s="56" t="e">
        <f t="shared" si="0"/>
        <v>#VALUE!</v>
      </c>
      <c r="E6" s="56" t="e">
        <f t="shared" si="0"/>
        <v>#VALUE!</v>
      </c>
      <c r="F6" s="56" t="e">
        <f t="shared" si="0"/>
        <v>#VALUE!</v>
      </c>
      <c r="G6" s="56" t="e">
        <f t="shared" si="0"/>
        <v>#VALUE!</v>
      </c>
      <c r="H6" s="56" t="e">
        <f t="shared" si="0"/>
        <v>#VALUE!</v>
      </c>
    </row>
    <row r="7" spans="1:8" ht="13" x14ac:dyDescent="0.3">
      <c r="A7" s="38"/>
      <c r="B7" s="29"/>
      <c r="C7" s="29"/>
      <c r="D7" s="37"/>
      <c r="E7" s="37"/>
      <c r="F7" s="37"/>
      <c r="G7" s="36"/>
      <c r="H7" s="36"/>
    </row>
    <row r="8" spans="1:8" ht="13" x14ac:dyDescent="0.3">
      <c r="A8" s="38" t="s">
        <v>242</v>
      </c>
      <c r="B8" s="29"/>
      <c r="C8" s="29"/>
      <c r="D8" s="37"/>
      <c r="E8" s="37"/>
      <c r="F8" s="37"/>
      <c r="G8" s="36"/>
      <c r="H8" s="36"/>
    </row>
    <row r="9" spans="1:8" ht="13" x14ac:dyDescent="0.3">
      <c r="A9" s="38" t="s">
        <v>185</v>
      </c>
      <c r="B9" s="57">
        <v>25</v>
      </c>
      <c r="C9" s="57">
        <v>26.4</v>
      </c>
      <c r="D9" s="58" t="s">
        <v>289</v>
      </c>
      <c r="E9" s="58" t="s">
        <v>289</v>
      </c>
      <c r="F9" s="58" t="s">
        <v>289</v>
      </c>
      <c r="G9" s="58" t="s">
        <v>289</v>
      </c>
      <c r="H9" s="58" t="s">
        <v>289</v>
      </c>
    </row>
    <row r="10" spans="1:8" ht="13" x14ac:dyDescent="0.3">
      <c r="A10" s="38" t="s">
        <v>186</v>
      </c>
      <c r="B10" s="57">
        <v>54.8</v>
      </c>
      <c r="C10" s="57">
        <v>13</v>
      </c>
      <c r="D10" s="58" t="s">
        <v>289</v>
      </c>
      <c r="E10" s="58" t="s">
        <v>289</v>
      </c>
      <c r="F10" s="58" t="s">
        <v>289</v>
      </c>
      <c r="G10" s="58" t="s">
        <v>289</v>
      </c>
      <c r="H10" s="58" t="s">
        <v>289</v>
      </c>
    </row>
    <row r="11" spans="1:8" ht="13" x14ac:dyDescent="0.3">
      <c r="A11" s="38" t="s">
        <v>187</v>
      </c>
      <c r="B11" s="57">
        <v>20.350000000000001</v>
      </c>
      <c r="C11" s="57">
        <v>18.75</v>
      </c>
      <c r="D11" s="58" t="s">
        <v>289</v>
      </c>
      <c r="E11" s="58" t="s">
        <v>289</v>
      </c>
      <c r="F11" s="58" t="s">
        <v>289</v>
      </c>
      <c r="G11" s="58" t="s">
        <v>289</v>
      </c>
      <c r="H11" s="58" t="s">
        <v>289</v>
      </c>
    </row>
    <row r="12" spans="1:8" ht="13" x14ac:dyDescent="0.3">
      <c r="A12" s="38" t="s">
        <v>188</v>
      </c>
      <c r="B12" s="57" t="s">
        <v>184</v>
      </c>
      <c r="C12" s="57" t="s">
        <v>184</v>
      </c>
      <c r="D12" s="58" t="s">
        <v>289</v>
      </c>
      <c r="E12" s="58" t="s">
        <v>289</v>
      </c>
      <c r="F12" s="58" t="s">
        <v>289</v>
      </c>
      <c r="G12" s="58" t="s">
        <v>289</v>
      </c>
      <c r="H12" s="58" t="s">
        <v>289</v>
      </c>
    </row>
    <row r="13" spans="1:8" ht="13" x14ac:dyDescent="0.3">
      <c r="A13" s="38" t="s">
        <v>189</v>
      </c>
      <c r="B13" s="57">
        <v>7</v>
      </c>
      <c r="C13" s="57" t="s">
        <v>184</v>
      </c>
      <c r="D13" s="58" t="s">
        <v>289</v>
      </c>
      <c r="E13" s="58" t="s">
        <v>289</v>
      </c>
      <c r="F13" s="58" t="s">
        <v>289</v>
      </c>
      <c r="G13" s="58" t="s">
        <v>289</v>
      </c>
      <c r="H13" s="58" t="s">
        <v>289</v>
      </c>
    </row>
    <row r="14" spans="1:8" ht="13" x14ac:dyDescent="0.3">
      <c r="A14" s="38" t="s">
        <v>190</v>
      </c>
      <c r="B14" s="57">
        <v>9.35</v>
      </c>
      <c r="C14" s="57">
        <v>7.5</v>
      </c>
      <c r="D14" s="58" t="s">
        <v>289</v>
      </c>
      <c r="E14" s="58" t="s">
        <v>289</v>
      </c>
      <c r="F14" s="58" t="s">
        <v>289</v>
      </c>
      <c r="G14" s="58" t="s">
        <v>289</v>
      </c>
      <c r="H14" s="58" t="s">
        <v>289</v>
      </c>
    </row>
    <row r="15" spans="1:8" ht="13" x14ac:dyDescent="0.3">
      <c r="A15" s="38" t="s">
        <v>191</v>
      </c>
      <c r="B15" s="57">
        <v>23.6</v>
      </c>
      <c r="C15" s="57">
        <v>20.2</v>
      </c>
      <c r="D15" s="58" t="s">
        <v>289</v>
      </c>
      <c r="E15" s="58" t="s">
        <v>289</v>
      </c>
      <c r="F15" s="58" t="s">
        <v>289</v>
      </c>
      <c r="G15" s="58" t="s">
        <v>289</v>
      </c>
      <c r="H15" s="58" t="s">
        <v>289</v>
      </c>
    </row>
    <row r="16" spans="1:8" ht="13" x14ac:dyDescent="0.3">
      <c r="A16" s="38" t="s">
        <v>192</v>
      </c>
      <c r="B16" s="57">
        <v>2.4</v>
      </c>
      <c r="C16" s="57">
        <v>1.5</v>
      </c>
      <c r="D16" s="58" t="s">
        <v>289</v>
      </c>
      <c r="E16" s="58" t="s">
        <v>289</v>
      </c>
      <c r="F16" s="58" t="s">
        <v>289</v>
      </c>
      <c r="G16" s="58" t="s">
        <v>289</v>
      </c>
      <c r="H16" s="58" t="s">
        <v>289</v>
      </c>
    </row>
    <row r="17" spans="1:8" ht="13" x14ac:dyDescent="0.3">
      <c r="A17" s="38" t="s">
        <v>193</v>
      </c>
      <c r="B17" s="57">
        <v>15.42</v>
      </c>
      <c r="C17" s="57">
        <v>5.16</v>
      </c>
      <c r="D17" s="58" t="s">
        <v>289</v>
      </c>
      <c r="E17" s="58" t="s">
        <v>289</v>
      </c>
      <c r="F17" s="58" t="s">
        <v>289</v>
      </c>
      <c r="G17" s="58" t="s">
        <v>289</v>
      </c>
      <c r="H17" s="58" t="s">
        <v>289</v>
      </c>
    </row>
    <row r="18" spans="1:8" ht="13" x14ac:dyDescent="0.3">
      <c r="A18" s="38" t="s">
        <v>194</v>
      </c>
      <c r="B18" s="57" t="s">
        <v>184</v>
      </c>
      <c r="C18" s="57">
        <v>1.72</v>
      </c>
      <c r="D18" s="58" t="s">
        <v>289</v>
      </c>
      <c r="E18" s="58" t="s">
        <v>289</v>
      </c>
      <c r="F18" s="58" t="s">
        <v>289</v>
      </c>
      <c r="G18" s="58" t="s">
        <v>289</v>
      </c>
      <c r="H18" s="58" t="s">
        <v>289</v>
      </c>
    </row>
    <row r="19" spans="1:8" ht="13" x14ac:dyDescent="0.3">
      <c r="A19" s="38" t="s">
        <v>195</v>
      </c>
      <c r="B19" s="57" t="s">
        <v>184</v>
      </c>
      <c r="C19" s="57" t="s">
        <v>184</v>
      </c>
      <c r="D19" s="58" t="s">
        <v>289</v>
      </c>
      <c r="E19" s="58" t="s">
        <v>289</v>
      </c>
      <c r="F19" s="58" t="s">
        <v>289</v>
      </c>
      <c r="G19" s="58" t="s">
        <v>289</v>
      </c>
      <c r="H19" s="58" t="s">
        <v>289</v>
      </c>
    </row>
    <row r="20" spans="1:8" ht="13" x14ac:dyDescent="0.3">
      <c r="A20" s="38" t="s">
        <v>196</v>
      </c>
      <c r="B20" s="57" t="s">
        <v>184</v>
      </c>
      <c r="C20" s="57" t="s">
        <v>184</v>
      </c>
      <c r="D20" s="58" t="s">
        <v>289</v>
      </c>
      <c r="E20" s="58" t="s">
        <v>289</v>
      </c>
      <c r="F20" s="58" t="s">
        <v>289</v>
      </c>
      <c r="G20" s="58" t="s">
        <v>289</v>
      </c>
      <c r="H20" s="58" t="s">
        <v>289</v>
      </c>
    </row>
    <row r="21" spans="1:8" ht="13" x14ac:dyDescent="0.3">
      <c r="A21" s="38" t="s">
        <v>240</v>
      </c>
      <c r="B21" s="40">
        <f t="shared" ref="B21:H21" si="1">SUM(B9:B20)</f>
        <v>157.91999999999999</v>
      </c>
      <c r="C21" s="40">
        <f t="shared" si="1"/>
        <v>94.23</v>
      </c>
      <c r="D21" s="40">
        <f t="shared" si="1"/>
        <v>0</v>
      </c>
      <c r="E21" s="40">
        <f t="shared" si="1"/>
        <v>0</v>
      </c>
      <c r="F21" s="40">
        <f t="shared" si="1"/>
        <v>0</v>
      </c>
      <c r="G21" s="40">
        <f t="shared" si="1"/>
        <v>0</v>
      </c>
      <c r="H21" s="40">
        <f t="shared" si="1"/>
        <v>0</v>
      </c>
    </row>
    <row r="22" spans="1:8" ht="13" x14ac:dyDescent="0.3">
      <c r="A22" s="38"/>
      <c r="B22" s="40"/>
      <c r="C22" s="40"/>
      <c r="D22" s="40"/>
      <c r="E22" s="40"/>
      <c r="F22" s="40"/>
      <c r="G22" s="38"/>
      <c r="H22" s="38"/>
    </row>
    <row r="23" spans="1:8" ht="13" x14ac:dyDescent="0.3">
      <c r="A23" s="38" t="s">
        <v>241</v>
      </c>
      <c r="B23" s="40">
        <f t="shared" ref="B23:H23" si="2">IF(B21&gt;0,(B6-B21),0)</f>
        <v>99.080000000000013</v>
      </c>
      <c r="C23" s="40">
        <f t="shared" si="2"/>
        <v>133.67000000000002</v>
      </c>
      <c r="D23" s="40">
        <f t="shared" si="2"/>
        <v>0</v>
      </c>
      <c r="E23" s="40">
        <f t="shared" si="2"/>
        <v>0</v>
      </c>
      <c r="F23" s="40">
        <f t="shared" si="2"/>
        <v>0</v>
      </c>
      <c r="G23" s="40">
        <f t="shared" si="2"/>
        <v>0</v>
      </c>
      <c r="H23" s="40">
        <f t="shared" si="2"/>
        <v>0</v>
      </c>
    </row>
    <row r="24" spans="1:8" ht="13" x14ac:dyDescent="0.3">
      <c r="A24" s="38" t="s">
        <v>213</v>
      </c>
      <c r="B24" s="40"/>
      <c r="C24" s="40"/>
      <c r="D24" s="40"/>
      <c r="E24" s="40"/>
      <c r="F24" s="40"/>
      <c r="G24" s="38"/>
      <c r="H24" s="38"/>
    </row>
    <row r="25" spans="1:8" ht="13" x14ac:dyDescent="0.3">
      <c r="A25" s="38" t="s">
        <v>323</v>
      </c>
      <c r="B25" s="40" t="s">
        <v>197</v>
      </c>
      <c r="C25" s="41" t="s">
        <v>300</v>
      </c>
      <c r="D25" s="40"/>
      <c r="E25" s="40"/>
      <c r="F25" s="40"/>
      <c r="G25" s="38"/>
      <c r="H25" s="38"/>
    </row>
    <row r="26" spans="1:8" ht="13" x14ac:dyDescent="0.3">
      <c r="A26" s="38" t="s">
        <v>324</v>
      </c>
      <c r="B26" s="34">
        <f>SUM(B52:H52)</f>
        <v>2000</v>
      </c>
      <c r="C26" s="42" t="s">
        <v>301</v>
      </c>
      <c r="D26" s="42"/>
      <c r="E26" s="42"/>
      <c r="F26" s="42"/>
      <c r="G26" s="39"/>
      <c r="H26" s="39"/>
    </row>
    <row r="27" spans="1:8" ht="13" x14ac:dyDescent="0.3">
      <c r="A27" s="38" t="s">
        <v>198</v>
      </c>
      <c r="B27" s="30">
        <f>Sheet1!D190</f>
        <v>69810</v>
      </c>
      <c r="C27" s="42" t="s">
        <v>302</v>
      </c>
      <c r="D27" s="42"/>
      <c r="E27" s="42"/>
      <c r="F27" s="42"/>
      <c r="G27" s="39"/>
      <c r="H27" s="39"/>
    </row>
    <row r="28" spans="1:8" ht="13" x14ac:dyDescent="0.3">
      <c r="A28" s="38" t="s">
        <v>199</v>
      </c>
      <c r="B28" s="30">
        <v>25000</v>
      </c>
      <c r="C28" s="42" t="s">
        <v>303</v>
      </c>
      <c r="D28" s="42"/>
      <c r="E28" s="42"/>
      <c r="F28" s="42"/>
      <c r="G28" s="39"/>
      <c r="H28" s="39"/>
    </row>
    <row r="29" spans="1:8" ht="13" x14ac:dyDescent="0.3">
      <c r="A29" s="38" t="s">
        <v>200</v>
      </c>
      <c r="B29" s="30">
        <v>82500</v>
      </c>
      <c r="C29" s="42" t="s">
        <v>304</v>
      </c>
      <c r="D29" s="42"/>
      <c r="E29" s="42"/>
      <c r="F29" s="42"/>
      <c r="G29" s="39"/>
      <c r="H29" s="39"/>
    </row>
    <row r="30" spans="1:8" ht="13" x14ac:dyDescent="0.3">
      <c r="A30" s="38" t="s">
        <v>201</v>
      </c>
      <c r="B30" s="30">
        <v>0</v>
      </c>
      <c r="C30" s="42" t="s">
        <v>305</v>
      </c>
      <c r="D30" s="42"/>
      <c r="E30" s="42"/>
      <c r="F30" s="42"/>
      <c r="G30" s="39"/>
      <c r="H30" s="39"/>
    </row>
    <row r="31" spans="1:8" ht="13" x14ac:dyDescent="0.3">
      <c r="A31" s="38" t="s">
        <v>202</v>
      </c>
      <c r="B31" s="30">
        <v>14100</v>
      </c>
      <c r="C31" s="42" t="s">
        <v>306</v>
      </c>
      <c r="D31" s="42"/>
      <c r="E31" s="42"/>
      <c r="F31" s="42"/>
      <c r="G31" s="39"/>
      <c r="H31" s="39"/>
    </row>
    <row r="32" spans="1:8" ht="13" x14ac:dyDescent="0.3">
      <c r="A32" s="38" t="s">
        <v>203</v>
      </c>
      <c r="B32" s="30">
        <v>12000</v>
      </c>
      <c r="C32" s="42" t="s">
        <v>307</v>
      </c>
      <c r="D32" s="42"/>
      <c r="E32" s="42"/>
      <c r="F32" s="42"/>
      <c r="G32" s="39"/>
      <c r="H32" s="39"/>
    </row>
    <row r="33" spans="1:8" ht="13" x14ac:dyDescent="0.3">
      <c r="A33" s="38" t="s">
        <v>204</v>
      </c>
      <c r="B33" s="30">
        <v>1200</v>
      </c>
      <c r="C33" s="42" t="s">
        <v>308</v>
      </c>
      <c r="D33" s="42"/>
      <c r="E33" s="42"/>
      <c r="F33" s="42"/>
      <c r="G33" s="39"/>
      <c r="H33" s="39"/>
    </row>
    <row r="34" spans="1:8" ht="13" x14ac:dyDescent="0.3">
      <c r="A34" s="38" t="s">
        <v>243</v>
      </c>
      <c r="B34" s="30">
        <v>0</v>
      </c>
      <c r="C34" s="42" t="s">
        <v>309</v>
      </c>
      <c r="D34" s="42"/>
      <c r="E34" s="42"/>
      <c r="F34" s="42"/>
      <c r="G34" s="39"/>
      <c r="H34" s="39"/>
    </row>
    <row r="35" spans="1:8" ht="13" x14ac:dyDescent="0.3">
      <c r="A35" s="38" t="s">
        <v>244</v>
      </c>
      <c r="B35" s="30">
        <v>60000</v>
      </c>
      <c r="C35" s="41" t="s">
        <v>310</v>
      </c>
      <c r="D35" s="41"/>
      <c r="E35" s="41"/>
      <c r="F35" s="41"/>
      <c r="G35" s="38"/>
      <c r="H35" s="38"/>
    </row>
    <row r="36" spans="1:8" ht="13" x14ac:dyDescent="0.3">
      <c r="A36" s="38" t="s">
        <v>245</v>
      </c>
      <c r="B36" s="34">
        <f>SUM(B27:B35)</f>
        <v>264610</v>
      </c>
      <c r="C36" s="40" t="s">
        <v>311</v>
      </c>
      <c r="D36" s="40"/>
      <c r="E36" s="41"/>
      <c r="F36" s="41"/>
      <c r="G36" s="38"/>
      <c r="H36" s="38"/>
    </row>
    <row r="37" spans="1:8" ht="13" x14ac:dyDescent="0.3">
      <c r="A37" s="38"/>
      <c r="B37" s="34"/>
      <c r="C37" s="40"/>
      <c r="D37" s="40"/>
      <c r="E37" s="40"/>
      <c r="F37" s="40"/>
      <c r="G37" s="38"/>
      <c r="H37" s="38"/>
    </row>
    <row r="38" spans="1:8" ht="13" x14ac:dyDescent="0.3">
      <c r="A38" s="38" t="s">
        <v>246</v>
      </c>
      <c r="B38" s="35">
        <f>Sheet1!D182</f>
        <v>45022</v>
      </c>
      <c r="C38" s="41" t="s">
        <v>314</v>
      </c>
      <c r="D38" s="40"/>
      <c r="E38" s="40"/>
      <c r="F38" s="40"/>
      <c r="G38" s="38"/>
      <c r="H38" s="38"/>
    </row>
    <row r="39" spans="1:8" ht="13" x14ac:dyDescent="0.3">
      <c r="A39" s="38" t="s">
        <v>247</v>
      </c>
      <c r="B39" s="30">
        <f>(0.06*Sheet1!D14)</f>
        <v>66693</v>
      </c>
      <c r="C39" s="41" t="s">
        <v>315</v>
      </c>
      <c r="D39" s="40"/>
      <c r="E39" s="40"/>
      <c r="F39" s="40"/>
      <c r="G39" s="38"/>
      <c r="H39" s="38"/>
    </row>
    <row r="40" spans="1:8" ht="13" x14ac:dyDescent="0.3">
      <c r="A40" s="38" t="s">
        <v>248</v>
      </c>
      <c r="B40" s="43">
        <f>SUM(B36:B39)</f>
        <v>376325</v>
      </c>
      <c r="C40" s="40" t="s">
        <v>312</v>
      </c>
      <c r="D40" s="40"/>
      <c r="E40" s="40"/>
      <c r="F40" s="40"/>
      <c r="G40" s="38"/>
      <c r="H40" s="38"/>
    </row>
    <row r="41" spans="1:8" ht="13" x14ac:dyDescent="0.3">
      <c r="A41" s="38"/>
      <c r="B41" s="43"/>
      <c r="C41" s="40"/>
      <c r="D41" s="40"/>
      <c r="E41" s="40"/>
      <c r="F41" s="40"/>
      <c r="G41" s="38"/>
      <c r="H41" s="38"/>
    </row>
    <row r="42" spans="1:8" ht="13" x14ac:dyDescent="0.3">
      <c r="A42" s="38" t="s">
        <v>249</v>
      </c>
      <c r="B42" s="44">
        <f>B40/B26</f>
        <v>188.16249999999999</v>
      </c>
      <c r="C42" s="44" t="s">
        <v>313</v>
      </c>
      <c r="D42" s="40"/>
      <c r="E42" s="40"/>
      <c r="F42" s="40"/>
      <c r="G42" s="38"/>
      <c r="H42" s="38"/>
    </row>
    <row r="43" spans="1:8" ht="13" x14ac:dyDescent="0.3">
      <c r="A43" s="38"/>
      <c r="B43" s="44"/>
      <c r="C43" s="44"/>
      <c r="D43" s="40"/>
      <c r="E43" s="40"/>
      <c r="F43" s="40"/>
      <c r="G43" s="38"/>
      <c r="H43" s="38"/>
    </row>
    <row r="44" spans="1:8" ht="13" x14ac:dyDescent="0.3">
      <c r="A44" s="38"/>
      <c r="B44" s="45" t="str">
        <f t="shared" ref="B44:H44" si="3">B3</f>
        <v>CORN</v>
      </c>
      <c r="C44" s="45" t="str">
        <f t="shared" si="3"/>
        <v>SOYS</v>
      </c>
      <c r="D44" s="45" t="str">
        <f t="shared" si="3"/>
        <v>WHEAT</v>
      </c>
      <c r="E44" s="45" t="str">
        <f t="shared" si="3"/>
        <v>OTHER1</v>
      </c>
      <c r="F44" s="45" t="str">
        <f t="shared" si="3"/>
        <v>OTHER2</v>
      </c>
      <c r="G44" s="45" t="str">
        <f t="shared" si="3"/>
        <v>OTHER3</v>
      </c>
      <c r="H44" s="45" t="str">
        <f t="shared" si="3"/>
        <v>OTHER4</v>
      </c>
    </row>
    <row r="45" spans="1:8" ht="13" x14ac:dyDescent="0.3">
      <c r="A45" s="38" t="s">
        <v>250</v>
      </c>
      <c r="B45" s="59">
        <f t="shared" ref="B45:H45" si="4">IF(B21&gt;0,(B21+$B42),0)</f>
        <v>346.08249999999998</v>
      </c>
      <c r="C45" s="59">
        <f t="shared" si="4"/>
        <v>282.39249999999998</v>
      </c>
      <c r="D45" s="59">
        <f t="shared" si="4"/>
        <v>0</v>
      </c>
      <c r="E45" s="59">
        <f t="shared" si="4"/>
        <v>0</v>
      </c>
      <c r="F45" s="59">
        <f t="shared" si="4"/>
        <v>0</v>
      </c>
      <c r="G45" s="59">
        <f t="shared" si="4"/>
        <v>0</v>
      </c>
      <c r="H45" s="59">
        <f t="shared" si="4"/>
        <v>0</v>
      </c>
    </row>
    <row r="46" spans="1:8" ht="13" x14ac:dyDescent="0.3">
      <c r="A46" s="38" t="s">
        <v>251</v>
      </c>
      <c r="B46" s="44"/>
      <c r="C46" s="44"/>
      <c r="D46" s="44"/>
      <c r="E46" s="44"/>
      <c r="F46" s="44"/>
      <c r="G46" s="44"/>
      <c r="H46" s="44"/>
    </row>
    <row r="47" spans="1:8" ht="13" x14ac:dyDescent="0.3">
      <c r="A47" s="38" t="s">
        <v>252</v>
      </c>
      <c r="B47" s="44">
        <f t="shared" ref="B47:H47" si="5">IF(B45&gt;0,(B45/B4),0)</f>
        <v>2.6932490272373539</v>
      </c>
      <c r="C47" s="44">
        <f t="shared" si="5"/>
        <v>6.5672674418604648</v>
      </c>
      <c r="D47" s="44">
        <f t="shared" si="5"/>
        <v>0</v>
      </c>
      <c r="E47" s="44">
        <f t="shared" si="5"/>
        <v>0</v>
      </c>
      <c r="F47" s="44">
        <f t="shared" si="5"/>
        <v>0</v>
      </c>
      <c r="G47" s="44">
        <f t="shared" si="5"/>
        <v>0</v>
      </c>
      <c r="H47" s="44">
        <f t="shared" si="5"/>
        <v>0</v>
      </c>
    </row>
    <row r="48" spans="1:8" ht="13" x14ac:dyDescent="0.3">
      <c r="A48" s="38" t="s">
        <v>253</v>
      </c>
      <c r="B48" s="44"/>
      <c r="C48" s="44"/>
      <c r="D48" s="40"/>
      <c r="E48" s="40"/>
      <c r="F48" s="40"/>
      <c r="G48" s="38"/>
      <c r="H48" s="38"/>
    </row>
    <row r="49" spans="1:8" ht="13" x14ac:dyDescent="0.3">
      <c r="A49" s="38" t="s">
        <v>205</v>
      </c>
      <c r="B49" s="40"/>
      <c r="C49" s="40"/>
      <c r="D49" s="40"/>
      <c r="E49" s="40"/>
      <c r="F49" s="40"/>
      <c r="G49" s="38"/>
      <c r="H49" s="38"/>
    </row>
    <row r="50" spans="1:8" ht="13" x14ac:dyDescent="0.3">
      <c r="A50" s="38" t="str">
        <f>A2</f>
        <v>Medium Debt Farm</v>
      </c>
      <c r="B50" s="40"/>
      <c r="C50" s="40"/>
      <c r="D50" s="40"/>
      <c r="E50" s="40"/>
      <c r="F50" s="40"/>
      <c r="G50" s="38"/>
      <c r="H50" s="38"/>
    </row>
    <row r="51" spans="1:8" ht="13" x14ac:dyDescent="0.3">
      <c r="A51" s="38"/>
      <c r="B51" s="46" t="str">
        <f t="shared" ref="B51:H51" si="6">B44</f>
        <v>CORN</v>
      </c>
      <c r="C51" s="46" t="str">
        <f t="shared" si="6"/>
        <v>SOYS</v>
      </c>
      <c r="D51" s="46" t="str">
        <f t="shared" si="6"/>
        <v>WHEAT</v>
      </c>
      <c r="E51" s="46" t="str">
        <f t="shared" si="6"/>
        <v>OTHER1</v>
      </c>
      <c r="F51" s="46" t="str">
        <f t="shared" si="6"/>
        <v>OTHER2</v>
      </c>
      <c r="G51" s="46" t="str">
        <f t="shared" si="6"/>
        <v>OTHER3</v>
      </c>
      <c r="H51" s="46" t="str">
        <f t="shared" si="6"/>
        <v>OTHER4</v>
      </c>
    </row>
    <row r="52" spans="1:8" ht="13" x14ac:dyDescent="0.3">
      <c r="A52" s="38" t="s">
        <v>255</v>
      </c>
      <c r="B52" s="60">
        <v>1000</v>
      </c>
      <c r="C52" s="60">
        <v>1000</v>
      </c>
      <c r="D52" s="60">
        <v>0</v>
      </c>
      <c r="E52" s="60">
        <v>0</v>
      </c>
      <c r="F52" s="60">
        <v>0</v>
      </c>
      <c r="G52" s="60">
        <v>0</v>
      </c>
      <c r="H52" s="60">
        <v>0</v>
      </c>
    </row>
    <row r="53" spans="1:8" ht="13" x14ac:dyDescent="0.3">
      <c r="A53" s="38"/>
      <c r="B53" s="40"/>
      <c r="C53" s="40"/>
      <c r="D53" s="40"/>
      <c r="E53" s="40"/>
      <c r="F53" s="40"/>
      <c r="G53" s="38"/>
      <c r="H53" s="38"/>
    </row>
    <row r="54" spans="1:8" ht="13" x14ac:dyDescent="0.3">
      <c r="A54" s="38" t="s">
        <v>256</v>
      </c>
      <c r="B54" s="40">
        <f t="shared" ref="B54:H54" si="7">B21</f>
        <v>157.91999999999999</v>
      </c>
      <c r="C54" s="40">
        <f t="shared" si="7"/>
        <v>94.23</v>
      </c>
      <c r="D54" s="40">
        <f t="shared" si="7"/>
        <v>0</v>
      </c>
      <c r="E54" s="40">
        <f t="shared" si="7"/>
        <v>0</v>
      </c>
      <c r="F54" s="40">
        <f t="shared" si="7"/>
        <v>0</v>
      </c>
      <c r="G54" s="40">
        <f t="shared" si="7"/>
        <v>0</v>
      </c>
      <c r="H54" s="40">
        <f t="shared" si="7"/>
        <v>0</v>
      </c>
    </row>
    <row r="55" spans="1:8" ht="13" x14ac:dyDescent="0.3">
      <c r="A55" s="38"/>
      <c r="B55" s="40"/>
      <c r="C55" s="40"/>
      <c r="D55" s="40"/>
      <c r="E55" s="40"/>
      <c r="F55" s="40"/>
      <c r="G55" s="38"/>
      <c r="H55" s="38"/>
    </row>
    <row r="56" spans="1:8" ht="13" x14ac:dyDescent="0.3">
      <c r="A56" s="38" t="s">
        <v>257</v>
      </c>
      <c r="B56" s="40">
        <f t="shared" ref="B56:H56" si="8">IF(B52&gt;0,(B21/B4),0)</f>
        <v>1.2289494163424124</v>
      </c>
      <c r="C56" s="40">
        <f t="shared" si="8"/>
        <v>2.1913953488372093</v>
      </c>
      <c r="D56" s="40">
        <f t="shared" si="8"/>
        <v>0</v>
      </c>
      <c r="E56" s="40">
        <f t="shared" si="8"/>
        <v>0</v>
      </c>
      <c r="F56" s="40">
        <f t="shared" si="8"/>
        <v>0</v>
      </c>
      <c r="G56" s="40">
        <f t="shared" si="8"/>
        <v>0</v>
      </c>
      <c r="H56" s="40">
        <f t="shared" si="8"/>
        <v>0</v>
      </c>
    </row>
    <row r="57" spans="1:8" ht="13" x14ac:dyDescent="0.3">
      <c r="A57" s="38" t="s">
        <v>259</v>
      </c>
      <c r="B57" s="40"/>
      <c r="C57" s="40"/>
      <c r="D57" s="40"/>
      <c r="E57" s="40"/>
      <c r="F57" s="40"/>
      <c r="G57" s="38"/>
      <c r="H57" s="38"/>
    </row>
    <row r="58" spans="1:8" ht="13" x14ac:dyDescent="0.3">
      <c r="A58" s="38" t="s">
        <v>258</v>
      </c>
      <c r="B58" s="47">
        <f t="shared" ref="B58:H58" si="9">IF(B54&gt;0,(B52*B54),0)</f>
        <v>157920</v>
      </c>
      <c r="C58" s="47">
        <f t="shared" si="9"/>
        <v>94230</v>
      </c>
      <c r="D58" s="47">
        <f t="shared" si="9"/>
        <v>0</v>
      </c>
      <c r="E58" s="47">
        <f t="shared" si="9"/>
        <v>0</v>
      </c>
      <c r="F58" s="47">
        <f t="shared" si="9"/>
        <v>0</v>
      </c>
      <c r="G58" s="47">
        <f t="shared" si="9"/>
        <v>0</v>
      </c>
      <c r="H58" s="47">
        <f t="shared" si="9"/>
        <v>0</v>
      </c>
    </row>
    <row r="59" spans="1:8" ht="13" x14ac:dyDescent="0.3">
      <c r="A59" s="40" t="s">
        <v>260</v>
      </c>
      <c r="B59" s="39"/>
      <c r="C59" s="40"/>
      <c r="D59" s="40"/>
      <c r="E59" s="40"/>
      <c r="F59" s="40"/>
      <c r="G59" s="38"/>
      <c r="H59" s="38"/>
    </row>
    <row r="60" spans="1:8" ht="13" x14ac:dyDescent="0.3">
      <c r="A60" s="38"/>
      <c r="B60" s="40"/>
      <c r="C60" s="40"/>
      <c r="D60" s="40"/>
      <c r="E60" s="40"/>
      <c r="F60" s="40"/>
      <c r="G60" s="38"/>
      <c r="H60" s="38"/>
    </row>
    <row r="61" spans="1:8" ht="13" x14ac:dyDescent="0.3">
      <c r="A61" s="38" t="s">
        <v>326</v>
      </c>
      <c r="B61" s="40"/>
      <c r="C61" s="47">
        <f>SUM(B58:H58)</f>
        <v>252150</v>
      </c>
      <c r="D61" s="40" t="s">
        <v>261</v>
      </c>
      <c r="E61" s="40"/>
      <c r="F61" s="40"/>
      <c r="G61" s="38"/>
      <c r="H61" s="38"/>
    </row>
    <row r="62" spans="1:8" ht="13" x14ac:dyDescent="0.3">
      <c r="A62" s="38"/>
      <c r="B62" s="40"/>
      <c r="C62" s="40"/>
      <c r="D62" s="40"/>
      <c r="E62" s="40"/>
      <c r="F62" s="40"/>
      <c r="G62" s="38"/>
      <c r="H62" s="38"/>
    </row>
    <row r="63" spans="1:8" ht="13" x14ac:dyDescent="0.3">
      <c r="A63" s="48" t="s">
        <v>262</v>
      </c>
      <c r="B63" s="40"/>
      <c r="C63" s="40"/>
      <c r="D63" s="40"/>
      <c r="E63" s="40"/>
      <c r="F63" s="40"/>
      <c r="G63" s="38"/>
      <c r="H63" s="38"/>
    </row>
    <row r="64" spans="1:8" ht="13" x14ac:dyDescent="0.3">
      <c r="A64" s="38" t="s">
        <v>263</v>
      </c>
      <c r="B64" s="40"/>
      <c r="C64" s="43">
        <f>B40</f>
        <v>376325</v>
      </c>
      <c r="D64" s="41" t="s">
        <v>264</v>
      </c>
      <c r="E64" s="41"/>
      <c r="F64" s="41"/>
      <c r="G64" s="49"/>
      <c r="H64" s="49"/>
    </row>
    <row r="65" spans="1:8" ht="13" x14ac:dyDescent="0.3">
      <c r="A65" s="38" t="s">
        <v>265</v>
      </c>
      <c r="B65" s="50" t="s">
        <v>227</v>
      </c>
      <c r="C65" s="35">
        <f>Sheet1!D276</f>
        <v>65534</v>
      </c>
      <c r="D65" s="41" t="s">
        <v>274</v>
      </c>
      <c r="E65" s="41"/>
      <c r="F65" s="41"/>
      <c r="G65" s="49"/>
      <c r="H65" s="49"/>
    </row>
    <row r="66" spans="1:8" ht="13" x14ac:dyDescent="0.3">
      <c r="A66" s="38" t="s">
        <v>266</v>
      </c>
      <c r="B66" s="50" t="s">
        <v>227</v>
      </c>
      <c r="C66" s="34">
        <f>B39</f>
        <v>66693</v>
      </c>
      <c r="D66" s="41" t="s">
        <v>267</v>
      </c>
      <c r="E66" s="41"/>
      <c r="F66" s="41"/>
      <c r="G66" s="49"/>
      <c r="H66" s="49"/>
    </row>
    <row r="67" spans="1:8" ht="13" x14ac:dyDescent="0.3">
      <c r="A67" s="38" t="s">
        <v>206</v>
      </c>
      <c r="B67" s="50" t="s">
        <v>226</v>
      </c>
      <c r="C67" s="35">
        <f>Sheet1!D42</f>
        <v>8945</v>
      </c>
      <c r="D67" s="49" t="s">
        <v>268</v>
      </c>
      <c r="E67" s="49"/>
      <c r="F67" s="49"/>
      <c r="G67" s="49"/>
      <c r="H67" s="49"/>
    </row>
    <row r="68" spans="1:8" ht="13" x14ac:dyDescent="0.3">
      <c r="A68" s="38" t="s">
        <v>269</v>
      </c>
      <c r="B68" s="50" t="s">
        <v>227</v>
      </c>
      <c r="C68" s="34">
        <f>B38</f>
        <v>45022</v>
      </c>
      <c r="D68" s="41" t="s">
        <v>270</v>
      </c>
      <c r="E68" s="41"/>
      <c r="F68" s="41"/>
      <c r="G68" s="49"/>
      <c r="H68" s="49"/>
    </row>
    <row r="69" spans="1:8" ht="13" x14ac:dyDescent="0.3">
      <c r="A69" s="38" t="s">
        <v>207</v>
      </c>
      <c r="B69" s="50" t="str">
        <f>B67</f>
        <v>+</v>
      </c>
      <c r="C69" s="60">
        <f>Sheet1!D41</f>
        <v>30000</v>
      </c>
      <c r="D69" s="41" t="s">
        <v>271</v>
      </c>
      <c r="E69" s="41"/>
      <c r="F69" s="41"/>
      <c r="G69" s="49"/>
      <c r="H69" s="49"/>
    </row>
    <row r="70" spans="1:8" ht="13" x14ac:dyDescent="0.3">
      <c r="A70" s="38" t="s">
        <v>272</v>
      </c>
      <c r="B70" s="50" t="s">
        <v>228</v>
      </c>
      <c r="C70" s="43">
        <f>C64-C65-C66+C67-C68+C69</f>
        <v>238021</v>
      </c>
      <c r="D70" s="49"/>
      <c r="E70" s="41"/>
      <c r="F70" s="41"/>
      <c r="G70" s="49"/>
      <c r="H70" s="49"/>
    </row>
    <row r="71" spans="1:8" ht="13" x14ac:dyDescent="0.3">
      <c r="A71" s="38" t="s">
        <v>273</v>
      </c>
      <c r="B71" s="40"/>
      <c r="C71" s="40">
        <f>C70/B26</f>
        <v>119.01049999999999</v>
      </c>
      <c r="D71" s="40" t="s">
        <v>275</v>
      </c>
      <c r="E71" s="40"/>
      <c r="F71" s="40"/>
      <c r="G71" s="38"/>
      <c r="H71" s="38"/>
    </row>
    <row r="72" spans="1:8" ht="13" x14ac:dyDescent="0.3">
      <c r="A72" s="38" t="s">
        <v>208</v>
      </c>
      <c r="B72" s="40"/>
      <c r="C72" s="47">
        <f>C61+C70</f>
        <v>490171</v>
      </c>
      <c r="E72" s="40" t="s">
        <v>276</v>
      </c>
      <c r="F72" s="40"/>
      <c r="G72" s="38"/>
      <c r="H72" s="38"/>
    </row>
    <row r="73" spans="1:8" ht="13" x14ac:dyDescent="0.3">
      <c r="A73" s="38"/>
      <c r="B73" s="40"/>
      <c r="C73" s="40"/>
      <c r="D73" s="40"/>
      <c r="E73" s="40"/>
      <c r="F73" s="40"/>
      <c r="G73" s="38"/>
      <c r="H73" s="38"/>
    </row>
    <row r="74" spans="1:8" ht="13" x14ac:dyDescent="0.3">
      <c r="A74" s="38"/>
      <c r="B74" s="40" t="str">
        <f>B51</f>
        <v>CORN</v>
      </c>
      <c r="C74" s="40" t="str">
        <f>C51</f>
        <v>SOYS</v>
      </c>
      <c r="D74" s="40" t="s">
        <v>179</v>
      </c>
      <c r="E74" s="40" t="s">
        <v>180</v>
      </c>
      <c r="F74" s="40" t="s">
        <v>181</v>
      </c>
      <c r="G74" s="38" t="s">
        <v>182</v>
      </c>
      <c r="H74" s="38" t="s">
        <v>183</v>
      </c>
    </row>
    <row r="75" spans="1:8" ht="13" x14ac:dyDescent="0.3">
      <c r="A75" s="38" t="s">
        <v>278</v>
      </c>
      <c r="B75" s="40">
        <f t="shared" ref="B75:H75" si="10">IF(B58&gt;0,($C71+B54),0)</f>
        <v>276.93049999999999</v>
      </c>
      <c r="C75" s="40">
        <f t="shared" si="10"/>
        <v>213.2405</v>
      </c>
      <c r="D75" s="40">
        <f t="shared" si="10"/>
        <v>0</v>
      </c>
      <c r="E75" s="40">
        <f t="shared" si="10"/>
        <v>0</v>
      </c>
      <c r="F75" s="40">
        <f t="shared" si="10"/>
        <v>0</v>
      </c>
      <c r="G75" s="40">
        <f t="shared" si="10"/>
        <v>0</v>
      </c>
      <c r="H75" s="40">
        <f t="shared" si="10"/>
        <v>0</v>
      </c>
    </row>
    <row r="76" spans="1:8" ht="13" x14ac:dyDescent="0.3">
      <c r="A76" s="38" t="s">
        <v>277</v>
      </c>
      <c r="B76" s="40"/>
      <c r="C76" s="40"/>
      <c r="D76" s="40"/>
      <c r="E76" s="40"/>
      <c r="F76" s="40"/>
      <c r="G76" s="38"/>
      <c r="H76" s="38"/>
    </row>
    <row r="77" spans="1:8" ht="13" x14ac:dyDescent="0.3">
      <c r="A77" s="38" t="s">
        <v>209</v>
      </c>
      <c r="B77" s="40">
        <f t="shared" ref="B77:H77" si="11">IF(B75&gt;0,(B75/B4),0)</f>
        <v>2.1551011673151752</v>
      </c>
      <c r="C77" s="40">
        <f t="shared" si="11"/>
        <v>4.9590813953488375</v>
      </c>
      <c r="D77" s="40">
        <f t="shared" si="11"/>
        <v>0</v>
      </c>
      <c r="E77" s="40">
        <f t="shared" si="11"/>
        <v>0</v>
      </c>
      <c r="F77" s="40">
        <f t="shared" si="11"/>
        <v>0</v>
      </c>
      <c r="G77" s="40">
        <f t="shared" si="11"/>
        <v>0</v>
      </c>
      <c r="H77" s="40">
        <f t="shared" si="11"/>
        <v>0</v>
      </c>
    </row>
    <row r="78" spans="1:8" ht="13" x14ac:dyDescent="0.3">
      <c r="A78" s="38" t="s">
        <v>212</v>
      </c>
      <c r="B78" s="40"/>
      <c r="C78" s="40"/>
      <c r="D78" s="40"/>
      <c r="E78" s="40"/>
      <c r="F78" s="40"/>
      <c r="G78" s="38"/>
      <c r="H78" s="38"/>
    </row>
    <row r="79" spans="1:8" ht="13" x14ac:dyDescent="0.3">
      <c r="A79" s="38"/>
      <c r="B79" s="40"/>
      <c r="C79" s="40"/>
      <c r="D79" s="40"/>
      <c r="E79" s="40"/>
      <c r="F79" s="40"/>
      <c r="G79" s="38"/>
      <c r="H79" s="38"/>
    </row>
    <row r="80" spans="1:8" ht="13" x14ac:dyDescent="0.3">
      <c r="A80" s="48" t="s">
        <v>316</v>
      </c>
      <c r="B80" s="39"/>
      <c r="C80" s="40"/>
      <c r="D80" s="39"/>
      <c r="E80" s="40"/>
      <c r="F80" s="40"/>
      <c r="G80" s="38"/>
      <c r="H80" s="38"/>
    </row>
    <row r="81" spans="1:15" ht="13" x14ac:dyDescent="0.3">
      <c r="A81" s="38" t="s">
        <v>295</v>
      </c>
      <c r="B81" s="39"/>
      <c r="C81" s="51">
        <f>C70</f>
        <v>238021</v>
      </c>
      <c r="D81" s="41" t="s">
        <v>279</v>
      </c>
      <c r="E81" s="41"/>
      <c r="F81" s="41"/>
      <c r="G81" s="49"/>
      <c r="H81" s="49"/>
    </row>
    <row r="82" spans="1:15" ht="13" x14ac:dyDescent="0.3">
      <c r="A82" s="38" t="s">
        <v>296</v>
      </c>
      <c r="B82" s="52" t="s">
        <v>227</v>
      </c>
      <c r="C82" s="43">
        <f>B35</f>
        <v>60000</v>
      </c>
      <c r="D82" s="41" t="s">
        <v>280</v>
      </c>
      <c r="E82" s="49"/>
      <c r="F82" s="49"/>
      <c r="G82" s="49"/>
      <c r="H82" s="49"/>
    </row>
    <row r="83" spans="1:15" ht="13" x14ac:dyDescent="0.3">
      <c r="A83" s="38" t="s">
        <v>297</v>
      </c>
      <c r="B83" s="52" t="s">
        <v>227</v>
      </c>
      <c r="C83" s="43">
        <f>B27</f>
        <v>69810</v>
      </c>
      <c r="D83" s="41" t="s">
        <v>281</v>
      </c>
      <c r="E83" s="41"/>
      <c r="F83" s="49"/>
      <c r="G83" s="49"/>
      <c r="H83" s="49"/>
    </row>
    <row r="84" spans="1:15" ht="13" x14ac:dyDescent="0.3">
      <c r="A84" s="38" t="s">
        <v>210</v>
      </c>
      <c r="B84" s="52" t="s">
        <v>226</v>
      </c>
      <c r="C84" s="60">
        <f>Sheet1!D46</f>
        <v>178601</v>
      </c>
      <c r="D84" s="41" t="s">
        <v>282</v>
      </c>
      <c r="E84" s="41"/>
      <c r="F84" s="49"/>
      <c r="G84" s="49"/>
      <c r="H84" s="49"/>
    </row>
    <row r="85" spans="1:15" ht="13" x14ac:dyDescent="0.3">
      <c r="A85" s="38" t="s">
        <v>211</v>
      </c>
      <c r="B85" s="52" t="s">
        <v>226</v>
      </c>
      <c r="C85" s="60">
        <f>Sheet1!D48</f>
        <v>0</v>
      </c>
      <c r="D85" s="41" t="s">
        <v>290</v>
      </c>
      <c r="E85" s="41"/>
      <c r="F85" s="41"/>
      <c r="G85" s="49"/>
      <c r="H85" s="49"/>
    </row>
    <row r="86" spans="1:15" ht="13" x14ac:dyDescent="0.3">
      <c r="A86" s="38" t="s">
        <v>283</v>
      </c>
      <c r="B86" s="52" t="s">
        <v>228</v>
      </c>
      <c r="C86" s="43">
        <f>C81-C82-C83+C84+C85</f>
        <v>286812</v>
      </c>
      <c r="D86" s="41" t="s">
        <v>298</v>
      </c>
      <c r="E86" s="41"/>
      <c r="F86" s="41"/>
      <c r="G86" s="49"/>
      <c r="H86" s="49"/>
    </row>
    <row r="87" spans="1:15" ht="13" x14ac:dyDescent="0.3">
      <c r="A87" s="39"/>
      <c r="B87" s="40"/>
      <c r="C87" s="40"/>
      <c r="D87" s="49" t="s">
        <v>284</v>
      </c>
      <c r="E87" s="41"/>
      <c r="F87" s="41"/>
      <c r="G87" s="49"/>
      <c r="H87" s="49"/>
    </row>
    <row r="88" spans="1:15" ht="13" x14ac:dyDescent="0.3">
      <c r="A88" s="38" t="s">
        <v>285</v>
      </c>
      <c r="B88" s="40"/>
      <c r="C88" s="40">
        <f>C86/B26</f>
        <v>143.40600000000001</v>
      </c>
      <c r="D88" s="40" t="s">
        <v>292</v>
      </c>
      <c r="E88" s="40"/>
      <c r="F88" s="40"/>
      <c r="G88" s="38"/>
      <c r="H88" s="38"/>
    </row>
    <row r="89" spans="1:15" ht="13" x14ac:dyDescent="0.3">
      <c r="A89" s="38"/>
      <c r="B89" s="40"/>
      <c r="C89" s="40"/>
      <c r="D89" s="40"/>
      <c r="E89" s="40"/>
      <c r="F89" s="40"/>
      <c r="G89" s="38"/>
      <c r="H89" s="38"/>
    </row>
    <row r="90" spans="1:15" ht="13" x14ac:dyDescent="0.3">
      <c r="A90" s="38" t="s">
        <v>286</v>
      </c>
      <c r="B90" s="39"/>
      <c r="C90" s="47">
        <f>C61+C86</f>
        <v>538962</v>
      </c>
      <c r="E90" s="40" t="s">
        <v>293</v>
      </c>
      <c r="F90" s="40"/>
      <c r="G90" s="38"/>
      <c r="H90" s="38"/>
    </row>
    <row r="91" spans="1:15" ht="13" x14ac:dyDescent="0.3">
      <c r="A91" s="38"/>
      <c r="B91" s="39"/>
      <c r="C91" s="47"/>
      <c r="E91" s="40"/>
      <c r="F91" s="40"/>
      <c r="G91" s="38"/>
      <c r="H91" s="38"/>
    </row>
    <row r="92" spans="1:15" ht="13" x14ac:dyDescent="0.3">
      <c r="A92" s="38"/>
      <c r="B92" s="40" t="str">
        <f t="shared" ref="B92:H92" si="12">B74</f>
        <v>CORN</v>
      </c>
      <c r="C92" s="40" t="str">
        <f t="shared" si="12"/>
        <v>SOYS</v>
      </c>
      <c r="D92" s="40" t="str">
        <f t="shared" si="12"/>
        <v>WHEAT</v>
      </c>
      <c r="E92" s="40" t="str">
        <f t="shared" si="12"/>
        <v>OTHER1</v>
      </c>
      <c r="F92" s="40" t="str">
        <f t="shared" si="12"/>
        <v>OTHER2</v>
      </c>
      <c r="G92" s="40" t="str">
        <f t="shared" si="12"/>
        <v>OTHER3</v>
      </c>
      <c r="H92" s="40" t="str">
        <f t="shared" si="12"/>
        <v>OTHER4</v>
      </c>
      <c r="I92" s="28"/>
      <c r="J92" s="28"/>
      <c r="K92" s="28"/>
      <c r="L92" s="28"/>
      <c r="M92" s="28"/>
      <c r="N92" s="28"/>
      <c r="O92" s="28"/>
    </row>
    <row r="93" spans="1:15" ht="13" x14ac:dyDescent="0.3">
      <c r="A93" s="38" t="s">
        <v>287</v>
      </c>
      <c r="B93" s="40">
        <f t="shared" ref="B93:H93" si="13">IF(B77&gt;0,(B54+$C88),0)</f>
        <v>301.32600000000002</v>
      </c>
      <c r="C93" s="40">
        <f t="shared" si="13"/>
        <v>237.63600000000002</v>
      </c>
      <c r="D93" s="40">
        <f t="shared" si="13"/>
        <v>0</v>
      </c>
      <c r="E93" s="40">
        <f t="shared" si="13"/>
        <v>0</v>
      </c>
      <c r="F93" s="40">
        <f t="shared" si="13"/>
        <v>0</v>
      </c>
      <c r="G93" s="40">
        <f t="shared" si="13"/>
        <v>0</v>
      </c>
      <c r="H93" s="40">
        <f t="shared" si="13"/>
        <v>0</v>
      </c>
    </row>
    <row r="94" spans="1:15" ht="13" x14ac:dyDescent="0.3">
      <c r="A94" s="38" t="s">
        <v>291</v>
      </c>
      <c r="B94" s="40"/>
      <c r="C94" s="40"/>
      <c r="D94" s="38"/>
      <c r="E94" s="38"/>
      <c r="F94" s="38"/>
      <c r="G94" s="38"/>
      <c r="H94" s="38"/>
    </row>
    <row r="95" spans="1:15" ht="13" x14ac:dyDescent="0.3">
      <c r="A95" s="38" t="s">
        <v>288</v>
      </c>
      <c r="B95" s="40">
        <f t="shared" ref="B95:H95" si="14">IF(B93&gt;0,(B93/B4),0)</f>
        <v>2.3449494163424127</v>
      </c>
      <c r="C95" s="40">
        <f t="shared" si="14"/>
        <v>5.5264186046511634</v>
      </c>
      <c r="D95" s="40">
        <f t="shared" si="14"/>
        <v>0</v>
      </c>
      <c r="E95" s="40">
        <f t="shared" si="14"/>
        <v>0</v>
      </c>
      <c r="F95" s="40">
        <f t="shared" si="14"/>
        <v>0</v>
      </c>
      <c r="G95" s="40">
        <f t="shared" si="14"/>
        <v>0</v>
      </c>
      <c r="H95" s="40">
        <f t="shared" si="14"/>
        <v>0</v>
      </c>
    </row>
    <row r="96" spans="1:15" ht="13" x14ac:dyDescent="0.3">
      <c r="A96" s="38" t="s">
        <v>294</v>
      </c>
      <c r="B96" s="39"/>
      <c r="C96" s="40"/>
      <c r="D96" s="39"/>
      <c r="E96" s="39"/>
      <c r="F96" s="39"/>
      <c r="G96" s="39"/>
      <c r="H96" s="39"/>
    </row>
    <row r="97" spans="1:8" ht="14" x14ac:dyDescent="0.3">
      <c r="A97" s="53" t="str">
        <f>A2</f>
        <v>Medium Debt Farm</v>
      </c>
      <c r="B97" s="40" t="str">
        <f>B51</f>
        <v>CORN</v>
      </c>
      <c r="C97" s="40" t="str">
        <f>C51</f>
        <v>SOYS</v>
      </c>
      <c r="D97" s="39"/>
      <c r="E97" s="39"/>
      <c r="F97" s="39"/>
      <c r="G97" s="39"/>
      <c r="H97" s="39"/>
    </row>
    <row r="98" spans="1:8" ht="14" x14ac:dyDescent="0.3">
      <c r="A98" s="54" t="str">
        <f>A47</f>
        <v>35. Total Economic Cost / Bu</v>
      </c>
      <c r="B98" s="54">
        <f>B47</f>
        <v>2.6932490272373539</v>
      </c>
      <c r="C98" s="54">
        <f>C47</f>
        <v>6.5672674418604648</v>
      </c>
      <c r="D98" s="39"/>
      <c r="E98" s="39"/>
      <c r="F98" s="39"/>
      <c r="G98" s="39"/>
      <c r="H98" s="39"/>
    </row>
    <row r="99" spans="1:8" ht="14" x14ac:dyDescent="0.3">
      <c r="A99" s="54" t="str">
        <f>A77</f>
        <v>51. Maintain Net Worth per Bu</v>
      </c>
      <c r="B99" s="54">
        <f>B77</f>
        <v>2.1551011673151752</v>
      </c>
      <c r="C99" s="54">
        <f>C77</f>
        <v>4.9590813953488375</v>
      </c>
      <c r="D99" s="39"/>
      <c r="E99" s="39"/>
      <c r="F99" s="39"/>
      <c r="G99" s="39"/>
      <c r="H99" s="39"/>
    </row>
    <row r="100" spans="1:8" ht="14" x14ac:dyDescent="0.3">
      <c r="A100" s="54" t="str">
        <f>A95</f>
        <v>61. Meet Cash Flow Demands per Bu</v>
      </c>
      <c r="B100" s="54">
        <f>B95</f>
        <v>2.3449494163424127</v>
      </c>
      <c r="C100" s="54">
        <f>C95</f>
        <v>5.5264186046511634</v>
      </c>
      <c r="D100" s="39"/>
      <c r="E100" s="39"/>
      <c r="F100" s="39"/>
      <c r="G100" s="39"/>
      <c r="H100" s="39"/>
    </row>
  </sheetData>
  <sheetProtection sheet="1" objects="1" scenarios="1"/>
  <pageMargins left="0.5" right="0.5" top="0.51" bottom="0.5" header="0" footer="0"/>
  <pageSetup scale="73" orientation="landscape" r:id="rId1"/>
  <headerFooter alignWithMargins="0"/>
  <rowBreaks count="1" manualBreakCount="1">
    <brk id="4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view="pageBreakPreview" zoomScale="75" zoomScaleNormal="75" workbookViewId="0">
      <selection activeCell="A2" sqref="A2"/>
    </sheetView>
  </sheetViews>
  <sheetFormatPr defaultColWidth="9.26953125" defaultRowHeight="12.5" x14ac:dyDescent="0.25"/>
  <cols>
    <col min="1" max="1" width="46.81640625" customWidth="1"/>
    <col min="2" max="8" width="10.7265625" customWidth="1"/>
  </cols>
  <sheetData>
    <row r="1" spans="1:8" ht="13" x14ac:dyDescent="0.3">
      <c r="A1" s="38" t="s">
        <v>177</v>
      </c>
      <c r="B1" s="38"/>
      <c r="C1" s="39"/>
      <c r="D1" s="39"/>
      <c r="E1" s="39"/>
      <c r="F1" s="39"/>
      <c r="G1" s="39"/>
      <c r="H1" s="39"/>
    </row>
    <row r="2" spans="1:8" x14ac:dyDescent="0.25">
      <c r="A2" s="31" t="s">
        <v>216</v>
      </c>
      <c r="B2" s="39"/>
      <c r="C2" s="39"/>
      <c r="D2" s="39"/>
      <c r="E2" s="39"/>
      <c r="F2" s="39"/>
      <c r="G2" s="39"/>
      <c r="H2" s="39"/>
    </row>
    <row r="3" spans="1:8" ht="14" x14ac:dyDescent="0.25">
      <c r="A3" s="39"/>
      <c r="B3" s="55" t="s">
        <v>178</v>
      </c>
      <c r="C3" s="55" t="s">
        <v>254</v>
      </c>
      <c r="D3" s="55" t="s">
        <v>179</v>
      </c>
      <c r="E3" s="55" t="s">
        <v>180</v>
      </c>
      <c r="F3" s="55" t="s">
        <v>181</v>
      </c>
      <c r="G3" s="55" t="s">
        <v>182</v>
      </c>
      <c r="H3" s="55" t="s">
        <v>183</v>
      </c>
    </row>
    <row r="4" spans="1:8" ht="13" x14ac:dyDescent="0.3">
      <c r="A4" s="38" t="s">
        <v>317</v>
      </c>
      <c r="B4" s="58">
        <v>128.5</v>
      </c>
      <c r="C4" s="58">
        <v>43</v>
      </c>
      <c r="D4" s="58" t="s">
        <v>299</v>
      </c>
      <c r="E4" s="58" t="s">
        <v>299</v>
      </c>
      <c r="F4" s="58" t="s">
        <v>299</v>
      </c>
      <c r="G4" s="58" t="s">
        <v>299</v>
      </c>
      <c r="H4" s="58" t="s">
        <v>299</v>
      </c>
    </row>
    <row r="5" spans="1:8" ht="13" x14ac:dyDescent="0.3">
      <c r="A5" s="38" t="s">
        <v>319</v>
      </c>
      <c r="B5" s="57">
        <v>2</v>
      </c>
      <c r="C5" s="57">
        <f>Sheet1!D223</f>
        <v>5.3</v>
      </c>
      <c r="D5" s="58" t="s">
        <v>289</v>
      </c>
      <c r="E5" s="58" t="s">
        <v>289</v>
      </c>
      <c r="F5" s="58" t="s">
        <v>289</v>
      </c>
      <c r="G5" s="58" t="s">
        <v>289</v>
      </c>
      <c r="H5" s="58" t="s">
        <v>289</v>
      </c>
    </row>
    <row r="6" spans="1:8" ht="13" x14ac:dyDescent="0.3">
      <c r="A6" s="38" t="s">
        <v>318</v>
      </c>
      <c r="B6" s="56">
        <f t="shared" ref="B6:H6" si="0">B4*B5</f>
        <v>257</v>
      </c>
      <c r="C6" s="56">
        <f t="shared" si="0"/>
        <v>227.9</v>
      </c>
      <c r="D6" s="56" t="e">
        <f t="shared" si="0"/>
        <v>#VALUE!</v>
      </c>
      <c r="E6" s="56" t="e">
        <f t="shared" si="0"/>
        <v>#VALUE!</v>
      </c>
      <c r="F6" s="56" t="e">
        <f t="shared" si="0"/>
        <v>#VALUE!</v>
      </c>
      <c r="G6" s="56" t="e">
        <f t="shared" si="0"/>
        <v>#VALUE!</v>
      </c>
      <c r="H6" s="56" t="e">
        <f t="shared" si="0"/>
        <v>#VALUE!</v>
      </c>
    </row>
    <row r="7" spans="1:8" ht="13" x14ac:dyDescent="0.3">
      <c r="A7" s="38"/>
      <c r="B7" s="29"/>
      <c r="C7" s="29"/>
      <c r="D7" s="37"/>
      <c r="E7" s="37"/>
      <c r="F7" s="37"/>
      <c r="G7" s="36"/>
      <c r="H7" s="36"/>
    </row>
    <row r="8" spans="1:8" ht="13" x14ac:dyDescent="0.3">
      <c r="A8" s="38" t="s">
        <v>242</v>
      </c>
      <c r="B8" s="29"/>
      <c r="C8" s="29"/>
      <c r="D8" s="37"/>
      <c r="E8" s="37"/>
      <c r="F8" s="37"/>
      <c r="G8" s="36"/>
      <c r="H8" s="36"/>
    </row>
    <row r="9" spans="1:8" ht="13" x14ac:dyDescent="0.3">
      <c r="A9" s="38" t="s">
        <v>185</v>
      </c>
      <c r="B9" s="57">
        <v>25</v>
      </c>
      <c r="C9" s="57">
        <v>26.4</v>
      </c>
      <c r="D9" s="58" t="s">
        <v>289</v>
      </c>
      <c r="E9" s="58" t="s">
        <v>289</v>
      </c>
      <c r="F9" s="58" t="s">
        <v>289</v>
      </c>
      <c r="G9" s="58" t="s">
        <v>289</v>
      </c>
      <c r="H9" s="58" t="s">
        <v>289</v>
      </c>
    </row>
    <row r="10" spans="1:8" ht="13" x14ac:dyDescent="0.3">
      <c r="A10" s="38" t="s">
        <v>186</v>
      </c>
      <c r="B10" s="57">
        <v>54.8</v>
      </c>
      <c r="C10" s="57">
        <v>13</v>
      </c>
      <c r="D10" s="58" t="s">
        <v>289</v>
      </c>
      <c r="E10" s="58" t="s">
        <v>289</v>
      </c>
      <c r="F10" s="58" t="s">
        <v>289</v>
      </c>
      <c r="G10" s="58" t="s">
        <v>289</v>
      </c>
      <c r="H10" s="58" t="s">
        <v>289</v>
      </c>
    </row>
    <row r="11" spans="1:8" ht="13" x14ac:dyDescent="0.3">
      <c r="A11" s="38" t="s">
        <v>187</v>
      </c>
      <c r="B11" s="57">
        <v>20.350000000000001</v>
      </c>
      <c r="C11" s="57">
        <v>18.75</v>
      </c>
      <c r="D11" s="58" t="s">
        <v>289</v>
      </c>
      <c r="E11" s="58" t="s">
        <v>289</v>
      </c>
      <c r="F11" s="58" t="s">
        <v>289</v>
      </c>
      <c r="G11" s="58" t="s">
        <v>289</v>
      </c>
      <c r="H11" s="58" t="s">
        <v>289</v>
      </c>
    </row>
    <row r="12" spans="1:8" ht="13" x14ac:dyDescent="0.3">
      <c r="A12" s="38" t="s">
        <v>188</v>
      </c>
      <c r="B12" s="57" t="s">
        <v>184</v>
      </c>
      <c r="C12" s="57" t="s">
        <v>184</v>
      </c>
      <c r="D12" s="58" t="s">
        <v>289</v>
      </c>
      <c r="E12" s="58" t="s">
        <v>289</v>
      </c>
      <c r="F12" s="58" t="s">
        <v>289</v>
      </c>
      <c r="G12" s="58" t="s">
        <v>289</v>
      </c>
      <c r="H12" s="58" t="s">
        <v>289</v>
      </c>
    </row>
    <row r="13" spans="1:8" ht="13" x14ac:dyDescent="0.3">
      <c r="A13" s="38" t="s">
        <v>189</v>
      </c>
      <c r="B13" s="57">
        <v>7</v>
      </c>
      <c r="C13" s="57" t="s">
        <v>184</v>
      </c>
      <c r="D13" s="58" t="s">
        <v>289</v>
      </c>
      <c r="E13" s="58" t="s">
        <v>289</v>
      </c>
      <c r="F13" s="58" t="s">
        <v>289</v>
      </c>
      <c r="G13" s="58" t="s">
        <v>289</v>
      </c>
      <c r="H13" s="58" t="s">
        <v>289</v>
      </c>
    </row>
    <row r="14" spans="1:8" ht="13" x14ac:dyDescent="0.3">
      <c r="A14" s="38" t="s">
        <v>190</v>
      </c>
      <c r="B14" s="57">
        <v>9.35</v>
      </c>
      <c r="C14" s="57">
        <v>7.5</v>
      </c>
      <c r="D14" s="58" t="s">
        <v>289</v>
      </c>
      <c r="E14" s="58" t="s">
        <v>289</v>
      </c>
      <c r="F14" s="58" t="s">
        <v>289</v>
      </c>
      <c r="G14" s="58" t="s">
        <v>289</v>
      </c>
      <c r="H14" s="58" t="s">
        <v>289</v>
      </c>
    </row>
    <row r="15" spans="1:8" ht="13" x14ac:dyDescent="0.3">
      <c r="A15" s="38" t="s">
        <v>191</v>
      </c>
      <c r="B15" s="57">
        <v>23.6</v>
      </c>
      <c r="C15" s="57">
        <v>20.2</v>
      </c>
      <c r="D15" s="58" t="s">
        <v>289</v>
      </c>
      <c r="E15" s="58" t="s">
        <v>289</v>
      </c>
      <c r="F15" s="58" t="s">
        <v>289</v>
      </c>
      <c r="G15" s="58" t="s">
        <v>289</v>
      </c>
      <c r="H15" s="58" t="s">
        <v>289</v>
      </c>
    </row>
    <row r="16" spans="1:8" ht="13" x14ac:dyDescent="0.3">
      <c r="A16" s="38" t="s">
        <v>192</v>
      </c>
      <c r="B16" s="57">
        <v>2.4</v>
      </c>
      <c r="C16" s="57">
        <v>1.5</v>
      </c>
      <c r="D16" s="58" t="s">
        <v>289</v>
      </c>
      <c r="E16" s="58" t="s">
        <v>289</v>
      </c>
      <c r="F16" s="58" t="s">
        <v>289</v>
      </c>
      <c r="G16" s="58" t="s">
        <v>289</v>
      </c>
      <c r="H16" s="58" t="s">
        <v>289</v>
      </c>
    </row>
    <row r="17" spans="1:8" ht="13" x14ac:dyDescent="0.3">
      <c r="A17" s="38" t="s">
        <v>193</v>
      </c>
      <c r="B17" s="57">
        <v>15.42</v>
      </c>
      <c r="C17" s="57">
        <v>5.16</v>
      </c>
      <c r="D17" s="58" t="s">
        <v>289</v>
      </c>
      <c r="E17" s="58" t="s">
        <v>289</v>
      </c>
      <c r="F17" s="58" t="s">
        <v>289</v>
      </c>
      <c r="G17" s="58" t="s">
        <v>289</v>
      </c>
      <c r="H17" s="58" t="s">
        <v>289</v>
      </c>
    </row>
    <row r="18" spans="1:8" ht="13" x14ac:dyDescent="0.3">
      <c r="A18" s="38" t="s">
        <v>194</v>
      </c>
      <c r="B18" s="57" t="s">
        <v>184</v>
      </c>
      <c r="C18" s="57">
        <v>1.72</v>
      </c>
      <c r="D18" s="58" t="s">
        <v>289</v>
      </c>
      <c r="E18" s="58" t="s">
        <v>289</v>
      </c>
      <c r="F18" s="58" t="s">
        <v>289</v>
      </c>
      <c r="G18" s="58" t="s">
        <v>289</v>
      </c>
      <c r="H18" s="58" t="s">
        <v>289</v>
      </c>
    </row>
    <row r="19" spans="1:8" ht="13" x14ac:dyDescent="0.3">
      <c r="A19" s="38" t="s">
        <v>195</v>
      </c>
      <c r="B19" s="57" t="s">
        <v>184</v>
      </c>
      <c r="C19" s="57" t="s">
        <v>184</v>
      </c>
      <c r="D19" s="58" t="s">
        <v>289</v>
      </c>
      <c r="E19" s="58" t="s">
        <v>289</v>
      </c>
      <c r="F19" s="58" t="s">
        <v>289</v>
      </c>
      <c r="G19" s="58" t="s">
        <v>289</v>
      </c>
      <c r="H19" s="58" t="s">
        <v>289</v>
      </c>
    </row>
    <row r="20" spans="1:8" ht="13" x14ac:dyDescent="0.3">
      <c r="A20" s="38" t="s">
        <v>196</v>
      </c>
      <c r="B20" s="57" t="s">
        <v>184</v>
      </c>
      <c r="C20" s="57" t="s">
        <v>184</v>
      </c>
      <c r="D20" s="58" t="s">
        <v>289</v>
      </c>
      <c r="E20" s="58" t="s">
        <v>289</v>
      </c>
      <c r="F20" s="58" t="s">
        <v>289</v>
      </c>
      <c r="G20" s="58" t="s">
        <v>289</v>
      </c>
      <c r="H20" s="58" t="s">
        <v>289</v>
      </c>
    </row>
    <row r="21" spans="1:8" ht="13" x14ac:dyDescent="0.3">
      <c r="A21" s="38" t="s">
        <v>240</v>
      </c>
      <c r="B21" s="40">
        <f t="shared" ref="B21:H21" si="1">SUM(B9:B20)</f>
        <v>157.91999999999999</v>
      </c>
      <c r="C21" s="40">
        <f t="shared" si="1"/>
        <v>94.23</v>
      </c>
      <c r="D21" s="40">
        <f t="shared" si="1"/>
        <v>0</v>
      </c>
      <c r="E21" s="40">
        <f t="shared" si="1"/>
        <v>0</v>
      </c>
      <c r="F21" s="40">
        <f t="shared" si="1"/>
        <v>0</v>
      </c>
      <c r="G21" s="40">
        <f t="shared" si="1"/>
        <v>0</v>
      </c>
      <c r="H21" s="40">
        <f t="shared" si="1"/>
        <v>0</v>
      </c>
    </row>
    <row r="22" spans="1:8" ht="13" x14ac:dyDescent="0.3">
      <c r="A22" s="38"/>
      <c r="B22" s="40"/>
      <c r="C22" s="40"/>
      <c r="D22" s="40"/>
      <c r="E22" s="40"/>
      <c r="F22" s="40"/>
      <c r="G22" s="38"/>
      <c r="H22" s="38"/>
    </row>
    <row r="23" spans="1:8" ht="13" x14ac:dyDescent="0.3">
      <c r="A23" s="38" t="s">
        <v>241</v>
      </c>
      <c r="B23" s="40">
        <f t="shared" ref="B23:H23" si="2">IF(B21&gt;0,(B6-B21),0)</f>
        <v>99.080000000000013</v>
      </c>
      <c r="C23" s="40">
        <f t="shared" si="2"/>
        <v>133.67000000000002</v>
      </c>
      <c r="D23" s="40">
        <f t="shared" si="2"/>
        <v>0</v>
      </c>
      <c r="E23" s="40">
        <f t="shared" si="2"/>
        <v>0</v>
      </c>
      <c r="F23" s="40">
        <f t="shared" si="2"/>
        <v>0</v>
      </c>
      <c r="G23" s="40">
        <f t="shared" si="2"/>
        <v>0</v>
      </c>
      <c r="H23" s="40">
        <f t="shared" si="2"/>
        <v>0</v>
      </c>
    </row>
    <row r="24" spans="1:8" ht="13" x14ac:dyDescent="0.3">
      <c r="A24" s="38" t="s">
        <v>213</v>
      </c>
      <c r="B24" s="40"/>
      <c r="C24" s="40"/>
      <c r="D24" s="40"/>
      <c r="E24" s="40"/>
      <c r="F24" s="40"/>
      <c r="G24" s="38"/>
      <c r="H24" s="38"/>
    </row>
    <row r="25" spans="1:8" ht="13" x14ac:dyDescent="0.3">
      <c r="A25" s="38" t="s">
        <v>323</v>
      </c>
      <c r="B25" s="40" t="s">
        <v>197</v>
      </c>
      <c r="C25" s="41" t="s">
        <v>300</v>
      </c>
      <c r="D25" s="40"/>
      <c r="E25" s="40"/>
      <c r="F25" s="40"/>
      <c r="G25" s="38"/>
      <c r="H25" s="38"/>
    </row>
    <row r="26" spans="1:8" ht="13" x14ac:dyDescent="0.3">
      <c r="A26" s="38" t="s">
        <v>215</v>
      </c>
      <c r="B26" s="34">
        <f>SUM(B54:H54)</f>
        <v>2000</v>
      </c>
      <c r="C26" s="42" t="s">
        <v>301</v>
      </c>
      <c r="D26" s="42"/>
      <c r="E26" s="42"/>
      <c r="F26" s="42"/>
      <c r="G26" s="39"/>
      <c r="H26" s="39"/>
    </row>
    <row r="27" spans="1:8" ht="13" x14ac:dyDescent="0.3">
      <c r="A27" s="38" t="s">
        <v>198</v>
      </c>
      <c r="B27" s="30">
        <f>Sheet1!E44</f>
        <v>109271</v>
      </c>
      <c r="C27" s="42" t="s">
        <v>302</v>
      </c>
      <c r="D27" s="42"/>
      <c r="E27" s="42"/>
      <c r="F27" s="42"/>
      <c r="G27" s="39"/>
      <c r="H27" s="39"/>
    </row>
    <row r="28" spans="1:8" ht="13" x14ac:dyDescent="0.3">
      <c r="A28" s="38" t="s">
        <v>199</v>
      </c>
      <c r="B28" s="30">
        <v>25000</v>
      </c>
      <c r="C28" s="42" t="s">
        <v>303</v>
      </c>
      <c r="D28" s="42"/>
      <c r="E28" s="42"/>
      <c r="F28" s="42"/>
      <c r="G28" s="39"/>
      <c r="H28" s="39"/>
    </row>
    <row r="29" spans="1:8" ht="13" x14ac:dyDescent="0.3">
      <c r="A29" s="38" t="s">
        <v>200</v>
      </c>
      <c r="B29" s="30">
        <v>82500</v>
      </c>
      <c r="C29" s="42" t="s">
        <v>304</v>
      </c>
      <c r="D29" s="42"/>
      <c r="E29" s="42"/>
      <c r="F29" s="42"/>
      <c r="G29" s="39"/>
      <c r="H29" s="39"/>
    </row>
    <row r="30" spans="1:8" ht="13" x14ac:dyDescent="0.3">
      <c r="A30" s="38" t="s">
        <v>201</v>
      </c>
      <c r="B30" s="30">
        <v>0</v>
      </c>
      <c r="C30" s="42" t="s">
        <v>305</v>
      </c>
      <c r="D30" s="42"/>
      <c r="E30" s="42"/>
      <c r="F30" s="42"/>
      <c r="G30" s="39"/>
      <c r="H30" s="39"/>
    </row>
    <row r="31" spans="1:8" ht="13" x14ac:dyDescent="0.3">
      <c r="A31" s="38" t="s">
        <v>202</v>
      </c>
      <c r="B31" s="30">
        <v>14100</v>
      </c>
      <c r="C31" s="42" t="s">
        <v>306</v>
      </c>
      <c r="D31" s="42"/>
      <c r="E31" s="42"/>
      <c r="F31" s="42"/>
      <c r="G31" s="39"/>
      <c r="H31" s="39"/>
    </row>
    <row r="32" spans="1:8" ht="13" x14ac:dyDescent="0.3">
      <c r="A32" s="38" t="s">
        <v>203</v>
      </c>
      <c r="B32" s="30">
        <v>12000</v>
      </c>
      <c r="C32" s="42" t="s">
        <v>307</v>
      </c>
      <c r="D32" s="42"/>
      <c r="E32" s="42"/>
      <c r="F32" s="42"/>
      <c r="G32" s="39"/>
      <c r="H32" s="39"/>
    </row>
    <row r="33" spans="1:8" ht="13" x14ac:dyDescent="0.3">
      <c r="A33" s="38" t="s">
        <v>204</v>
      </c>
      <c r="B33" s="30">
        <v>1200</v>
      </c>
      <c r="C33" s="42" t="s">
        <v>308</v>
      </c>
      <c r="D33" s="42"/>
      <c r="E33" s="42"/>
      <c r="F33" s="42"/>
      <c r="G33" s="39"/>
      <c r="H33" s="39"/>
    </row>
    <row r="34" spans="1:8" ht="13" x14ac:dyDescent="0.3">
      <c r="A34" s="38" t="s">
        <v>243</v>
      </c>
      <c r="B34" s="30">
        <v>0</v>
      </c>
      <c r="C34" s="42" t="s">
        <v>309</v>
      </c>
      <c r="D34" s="42"/>
      <c r="E34" s="42"/>
      <c r="F34" s="42"/>
      <c r="G34" s="39"/>
      <c r="H34" s="39"/>
    </row>
    <row r="35" spans="1:8" ht="13" x14ac:dyDescent="0.3">
      <c r="A35" s="38" t="s">
        <v>244</v>
      </c>
      <c r="B35" s="30">
        <v>60000</v>
      </c>
      <c r="C35" s="41" t="s">
        <v>310</v>
      </c>
      <c r="D35" s="41"/>
      <c r="E35" s="41"/>
      <c r="F35" s="41"/>
      <c r="G35" s="38"/>
      <c r="H35" s="38"/>
    </row>
    <row r="36" spans="1:8" ht="13" x14ac:dyDescent="0.3">
      <c r="A36" s="38" t="s">
        <v>245</v>
      </c>
      <c r="B36" s="34">
        <f>SUM(B27:B35)</f>
        <v>304071</v>
      </c>
      <c r="C36" s="40" t="s">
        <v>311</v>
      </c>
      <c r="D36" s="40"/>
      <c r="E36" s="41"/>
      <c r="F36" s="41"/>
      <c r="G36" s="38"/>
      <c r="H36" s="38"/>
    </row>
    <row r="37" spans="1:8" ht="13" x14ac:dyDescent="0.3">
      <c r="A37" s="38"/>
      <c r="B37" s="34"/>
      <c r="C37" s="40"/>
      <c r="D37" s="40"/>
      <c r="E37" s="40"/>
      <c r="F37" s="40"/>
      <c r="G37" s="38"/>
      <c r="H37" s="38"/>
    </row>
    <row r="38" spans="1:8" ht="13" x14ac:dyDescent="0.3">
      <c r="A38" s="38" t="s">
        <v>246</v>
      </c>
      <c r="B38" s="35">
        <f>Sheet1!E182</f>
        <v>45022</v>
      </c>
      <c r="C38" s="41" t="s">
        <v>314</v>
      </c>
      <c r="D38" s="40"/>
      <c r="E38" s="40"/>
      <c r="F38" s="40"/>
      <c r="G38" s="38"/>
      <c r="H38" s="38"/>
    </row>
    <row r="39" spans="1:8" ht="13" x14ac:dyDescent="0.3">
      <c r="A39" s="38" t="s">
        <v>247</v>
      </c>
      <c r="B39" s="30">
        <f>0.06*Sheet1!E14</f>
        <v>42441</v>
      </c>
      <c r="C39" s="41" t="s">
        <v>315</v>
      </c>
      <c r="D39" s="40"/>
      <c r="E39" s="40"/>
      <c r="F39" s="40"/>
      <c r="G39" s="38"/>
      <c r="H39" s="38"/>
    </row>
    <row r="40" spans="1:8" ht="13" x14ac:dyDescent="0.3">
      <c r="A40" s="38" t="s">
        <v>248</v>
      </c>
      <c r="B40" s="43">
        <f>SUM(B36:B39)</f>
        <v>391534</v>
      </c>
      <c r="C40" s="40" t="s">
        <v>312</v>
      </c>
      <c r="D40" s="40"/>
      <c r="E40" s="40"/>
      <c r="F40" s="40"/>
      <c r="G40" s="38"/>
      <c r="H40" s="38"/>
    </row>
    <row r="41" spans="1:8" ht="13" x14ac:dyDescent="0.3">
      <c r="A41" s="38"/>
      <c r="B41" s="43"/>
      <c r="C41" s="40"/>
      <c r="D41" s="40"/>
      <c r="E41" s="40"/>
      <c r="F41" s="40"/>
      <c r="G41" s="38"/>
      <c r="H41" s="38"/>
    </row>
    <row r="42" spans="1:8" ht="13" x14ac:dyDescent="0.3">
      <c r="A42" s="38" t="s">
        <v>249</v>
      </c>
      <c r="B42" s="44">
        <f>B40/B26</f>
        <v>195.767</v>
      </c>
      <c r="C42" s="44" t="s">
        <v>313</v>
      </c>
      <c r="D42" s="40"/>
      <c r="E42" s="40"/>
      <c r="F42" s="40"/>
      <c r="G42" s="38"/>
      <c r="H42" s="38"/>
    </row>
    <row r="43" spans="1:8" ht="13" x14ac:dyDescent="0.3">
      <c r="A43" s="38"/>
      <c r="B43" s="44"/>
      <c r="C43" s="44"/>
      <c r="D43" s="40"/>
      <c r="E43" s="40"/>
      <c r="F43" s="40"/>
      <c r="G43" s="38"/>
      <c r="H43" s="38"/>
    </row>
    <row r="44" spans="1:8" ht="13" x14ac:dyDescent="0.3">
      <c r="A44" s="38"/>
      <c r="B44" s="44"/>
      <c r="C44" s="44"/>
      <c r="D44" s="40"/>
      <c r="E44" s="40"/>
      <c r="F44" s="40"/>
      <c r="G44" s="38"/>
      <c r="H44" s="38"/>
    </row>
    <row r="45" spans="1:8" ht="13" x14ac:dyDescent="0.3">
      <c r="A45" s="38"/>
      <c r="B45" s="45" t="str">
        <f t="shared" ref="B45:H45" si="3">B3</f>
        <v>CORN</v>
      </c>
      <c r="C45" s="45" t="str">
        <f t="shared" si="3"/>
        <v>SOYS</v>
      </c>
      <c r="D45" s="45" t="str">
        <f t="shared" si="3"/>
        <v>WHEAT</v>
      </c>
      <c r="E45" s="45" t="str">
        <f t="shared" si="3"/>
        <v>OTHER1</v>
      </c>
      <c r="F45" s="45" t="str">
        <f t="shared" si="3"/>
        <v>OTHER2</v>
      </c>
      <c r="G45" s="45" t="str">
        <f t="shared" si="3"/>
        <v>OTHER3</v>
      </c>
      <c r="H45" s="45" t="str">
        <f t="shared" si="3"/>
        <v>OTHER4</v>
      </c>
    </row>
    <row r="46" spans="1:8" ht="13" x14ac:dyDescent="0.3">
      <c r="A46" s="38" t="s">
        <v>250</v>
      </c>
      <c r="B46" s="59">
        <f t="shared" ref="B46:H46" si="4">IF(B21&gt;0,(B21+$B42),0)</f>
        <v>353.68700000000001</v>
      </c>
      <c r="C46" s="59">
        <f t="shared" si="4"/>
        <v>289.99700000000001</v>
      </c>
      <c r="D46" s="59">
        <f t="shared" si="4"/>
        <v>0</v>
      </c>
      <c r="E46" s="59">
        <f t="shared" si="4"/>
        <v>0</v>
      </c>
      <c r="F46" s="59">
        <f t="shared" si="4"/>
        <v>0</v>
      </c>
      <c r="G46" s="59">
        <f t="shared" si="4"/>
        <v>0</v>
      </c>
      <c r="H46" s="59">
        <f t="shared" si="4"/>
        <v>0</v>
      </c>
    </row>
    <row r="47" spans="1:8" ht="13" x14ac:dyDescent="0.3">
      <c r="A47" s="38" t="s">
        <v>251</v>
      </c>
      <c r="B47" s="44"/>
      <c r="C47" s="44"/>
      <c r="D47" s="44"/>
      <c r="E47" s="44"/>
      <c r="F47" s="44"/>
      <c r="G47" s="44"/>
      <c r="H47" s="44"/>
    </row>
    <row r="48" spans="1:8" ht="13" x14ac:dyDescent="0.3">
      <c r="A48" s="38"/>
      <c r="B48" s="44"/>
      <c r="C48" s="44"/>
      <c r="D48" s="44"/>
      <c r="E48" s="44"/>
      <c r="F48" s="44"/>
      <c r="G48" s="44"/>
      <c r="H48" s="44"/>
    </row>
    <row r="49" spans="1:8" ht="13" x14ac:dyDescent="0.3">
      <c r="A49" s="38" t="s">
        <v>252</v>
      </c>
      <c r="B49" s="44">
        <f t="shared" ref="B49:H49" si="5">IF(B46&gt;0,(B46/B4),0)</f>
        <v>2.7524280155642025</v>
      </c>
      <c r="C49" s="44">
        <f t="shared" si="5"/>
        <v>6.7441162790697682</v>
      </c>
      <c r="D49" s="44">
        <f t="shared" si="5"/>
        <v>0</v>
      </c>
      <c r="E49" s="44">
        <f t="shared" si="5"/>
        <v>0</v>
      </c>
      <c r="F49" s="44">
        <f t="shared" si="5"/>
        <v>0</v>
      </c>
      <c r="G49" s="44">
        <f t="shared" si="5"/>
        <v>0</v>
      </c>
      <c r="H49" s="44">
        <f t="shared" si="5"/>
        <v>0</v>
      </c>
    </row>
    <row r="50" spans="1:8" ht="13" x14ac:dyDescent="0.3">
      <c r="A50" s="38" t="s">
        <v>253</v>
      </c>
      <c r="B50" s="44"/>
      <c r="C50" s="44"/>
      <c r="D50" s="40"/>
      <c r="E50" s="40"/>
      <c r="F50" s="40"/>
      <c r="G50" s="38"/>
      <c r="H50" s="38"/>
    </row>
    <row r="51" spans="1:8" ht="13" x14ac:dyDescent="0.3">
      <c r="A51" s="38" t="s">
        <v>205</v>
      </c>
      <c r="B51" s="40"/>
      <c r="C51" s="40"/>
      <c r="D51" s="40"/>
      <c r="E51" s="40"/>
      <c r="F51" s="40"/>
      <c r="G51" s="38"/>
      <c r="H51" s="38"/>
    </row>
    <row r="52" spans="1:8" ht="13" x14ac:dyDescent="0.3">
      <c r="A52" s="38" t="str">
        <f>A2</f>
        <v>High Debt Farm</v>
      </c>
      <c r="B52" s="40"/>
      <c r="C52" s="40"/>
      <c r="D52" s="40"/>
      <c r="E52" s="40"/>
      <c r="F52" s="40"/>
      <c r="G52" s="38"/>
      <c r="H52" s="38"/>
    </row>
    <row r="53" spans="1:8" ht="13" x14ac:dyDescent="0.3">
      <c r="A53" s="38"/>
      <c r="B53" s="46" t="str">
        <f t="shared" ref="B53:H53" si="6">B45</f>
        <v>CORN</v>
      </c>
      <c r="C53" s="46" t="str">
        <f t="shared" si="6"/>
        <v>SOYS</v>
      </c>
      <c r="D53" s="46" t="str">
        <f t="shared" si="6"/>
        <v>WHEAT</v>
      </c>
      <c r="E53" s="46" t="str">
        <f t="shared" si="6"/>
        <v>OTHER1</v>
      </c>
      <c r="F53" s="46" t="str">
        <f t="shared" si="6"/>
        <v>OTHER2</v>
      </c>
      <c r="G53" s="46" t="str">
        <f t="shared" si="6"/>
        <v>OTHER3</v>
      </c>
      <c r="H53" s="46" t="str">
        <f t="shared" si="6"/>
        <v>OTHER4</v>
      </c>
    </row>
    <row r="54" spans="1:8" ht="13" x14ac:dyDescent="0.3">
      <c r="A54" s="38" t="s">
        <v>255</v>
      </c>
      <c r="B54" s="60">
        <v>1000</v>
      </c>
      <c r="C54" s="60">
        <v>1000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</row>
    <row r="55" spans="1:8" ht="13" x14ac:dyDescent="0.3">
      <c r="A55" s="38"/>
      <c r="B55" s="40"/>
      <c r="C55" s="40"/>
      <c r="D55" s="40"/>
      <c r="E55" s="40"/>
      <c r="F55" s="40"/>
      <c r="G55" s="38"/>
      <c r="H55" s="38"/>
    </row>
    <row r="56" spans="1:8" ht="13" x14ac:dyDescent="0.3">
      <c r="A56" s="38" t="s">
        <v>256</v>
      </c>
      <c r="B56" s="40">
        <f t="shared" ref="B56:H56" si="7">B21</f>
        <v>157.91999999999999</v>
      </c>
      <c r="C56" s="40">
        <f t="shared" si="7"/>
        <v>94.23</v>
      </c>
      <c r="D56" s="40">
        <f t="shared" si="7"/>
        <v>0</v>
      </c>
      <c r="E56" s="40">
        <f t="shared" si="7"/>
        <v>0</v>
      </c>
      <c r="F56" s="40">
        <f t="shared" si="7"/>
        <v>0</v>
      </c>
      <c r="G56" s="40">
        <f t="shared" si="7"/>
        <v>0</v>
      </c>
      <c r="H56" s="40">
        <f t="shared" si="7"/>
        <v>0</v>
      </c>
    </row>
    <row r="57" spans="1:8" ht="13" x14ac:dyDescent="0.3">
      <c r="A57" s="38"/>
      <c r="B57" s="40"/>
      <c r="C57" s="40"/>
      <c r="D57" s="40"/>
      <c r="E57" s="40"/>
      <c r="F57" s="40"/>
      <c r="G57" s="38"/>
      <c r="H57" s="38"/>
    </row>
    <row r="58" spans="1:8" ht="13" x14ac:dyDescent="0.3">
      <c r="A58" s="38" t="s">
        <v>257</v>
      </c>
      <c r="B58" s="40">
        <f t="shared" ref="B58:H58" si="8">IF(B54&gt;0,(B21/B4),0)</f>
        <v>1.2289494163424124</v>
      </c>
      <c r="C58" s="40">
        <f t="shared" si="8"/>
        <v>2.1913953488372093</v>
      </c>
      <c r="D58" s="40">
        <f t="shared" si="8"/>
        <v>0</v>
      </c>
      <c r="E58" s="40">
        <f t="shared" si="8"/>
        <v>0</v>
      </c>
      <c r="F58" s="40">
        <f t="shared" si="8"/>
        <v>0</v>
      </c>
      <c r="G58" s="40">
        <f t="shared" si="8"/>
        <v>0</v>
      </c>
      <c r="H58" s="40">
        <f t="shared" si="8"/>
        <v>0</v>
      </c>
    </row>
    <row r="59" spans="1:8" ht="13" x14ac:dyDescent="0.3">
      <c r="A59" s="38" t="s">
        <v>259</v>
      </c>
      <c r="B59" s="40"/>
      <c r="C59" s="40"/>
      <c r="D59" s="40"/>
      <c r="E59" s="40"/>
      <c r="F59" s="40"/>
      <c r="G59" s="38"/>
      <c r="H59" s="38"/>
    </row>
    <row r="60" spans="1:8" ht="13" x14ac:dyDescent="0.3">
      <c r="A60" s="38" t="s">
        <v>258</v>
      </c>
      <c r="B60" s="47">
        <f t="shared" ref="B60:H60" si="9">IF(B56&gt;0,(B54*B56),0)</f>
        <v>157920</v>
      </c>
      <c r="C60" s="47">
        <f t="shared" si="9"/>
        <v>94230</v>
      </c>
      <c r="D60" s="47">
        <f t="shared" si="9"/>
        <v>0</v>
      </c>
      <c r="E60" s="47">
        <f t="shared" si="9"/>
        <v>0</v>
      </c>
      <c r="F60" s="47">
        <f t="shared" si="9"/>
        <v>0</v>
      </c>
      <c r="G60" s="47">
        <f t="shared" si="9"/>
        <v>0</v>
      </c>
      <c r="H60" s="47">
        <f t="shared" si="9"/>
        <v>0</v>
      </c>
    </row>
    <row r="61" spans="1:8" ht="13" x14ac:dyDescent="0.3">
      <c r="A61" s="40" t="s">
        <v>260</v>
      </c>
      <c r="B61" s="39"/>
      <c r="C61" s="40"/>
      <c r="D61" s="40"/>
      <c r="E61" s="40"/>
      <c r="F61" s="40"/>
      <c r="G61" s="38"/>
      <c r="H61" s="38"/>
    </row>
    <row r="62" spans="1:8" ht="13" x14ac:dyDescent="0.3">
      <c r="A62" s="38"/>
      <c r="B62" s="40"/>
      <c r="C62" s="40"/>
      <c r="D62" s="40"/>
      <c r="E62" s="40"/>
      <c r="F62" s="40"/>
      <c r="G62" s="38"/>
      <c r="H62" s="38"/>
    </row>
    <row r="63" spans="1:8" ht="13" x14ac:dyDescent="0.3">
      <c r="A63" s="38" t="s">
        <v>326</v>
      </c>
      <c r="B63" s="40"/>
      <c r="C63" s="47">
        <f>SUM(B60:H60)</f>
        <v>252150</v>
      </c>
      <c r="D63" s="40" t="s">
        <v>261</v>
      </c>
      <c r="E63" s="40"/>
      <c r="F63" s="40"/>
      <c r="G63" s="38"/>
      <c r="H63" s="38"/>
    </row>
    <row r="64" spans="1:8" ht="13" x14ac:dyDescent="0.3">
      <c r="A64" s="38"/>
      <c r="B64" s="40"/>
      <c r="C64" s="40"/>
      <c r="D64" s="40"/>
      <c r="E64" s="40"/>
      <c r="F64" s="40"/>
      <c r="G64" s="38"/>
      <c r="H64" s="38"/>
    </row>
    <row r="65" spans="1:8" ht="13" x14ac:dyDescent="0.3">
      <c r="A65" s="48" t="s">
        <v>262</v>
      </c>
      <c r="B65" s="40"/>
      <c r="C65" s="40"/>
      <c r="D65" s="40"/>
      <c r="E65" s="40"/>
      <c r="F65" s="40"/>
      <c r="G65" s="38"/>
      <c r="H65" s="38"/>
    </row>
    <row r="66" spans="1:8" ht="13" x14ac:dyDescent="0.3">
      <c r="A66" s="38" t="s">
        <v>263</v>
      </c>
      <c r="B66" s="40"/>
      <c r="C66" s="43">
        <f>B40</f>
        <v>391534</v>
      </c>
      <c r="D66" s="41" t="s">
        <v>264</v>
      </c>
      <c r="E66" s="41"/>
      <c r="F66" s="41"/>
      <c r="G66" s="49"/>
      <c r="H66" s="49"/>
    </row>
    <row r="67" spans="1:8" ht="13" x14ac:dyDescent="0.3">
      <c r="A67" s="38" t="s">
        <v>265</v>
      </c>
      <c r="B67" s="50" t="s">
        <v>227</v>
      </c>
      <c r="C67" s="35">
        <f>Sheet1!E276</f>
        <v>65534</v>
      </c>
      <c r="D67" s="41" t="s">
        <v>274</v>
      </c>
      <c r="E67" s="41"/>
      <c r="F67" s="41"/>
      <c r="G67" s="49"/>
      <c r="H67" s="49"/>
    </row>
    <row r="68" spans="1:8" ht="13" x14ac:dyDescent="0.3">
      <c r="A68" s="38" t="s">
        <v>266</v>
      </c>
      <c r="B68" s="50" t="s">
        <v>227</v>
      </c>
      <c r="C68" s="34">
        <f>B39</f>
        <v>42441</v>
      </c>
      <c r="D68" s="41" t="s">
        <v>267</v>
      </c>
      <c r="E68" s="41"/>
      <c r="F68" s="41"/>
      <c r="G68" s="49"/>
      <c r="H68" s="49"/>
    </row>
    <row r="69" spans="1:8" ht="13" x14ac:dyDescent="0.3">
      <c r="A69" s="38" t="s">
        <v>206</v>
      </c>
      <c r="B69" s="50" t="s">
        <v>226</v>
      </c>
      <c r="C69" s="35">
        <f>Sheet1!E125</f>
        <v>0</v>
      </c>
      <c r="D69" s="49" t="s">
        <v>268</v>
      </c>
      <c r="E69" s="49"/>
      <c r="F69" s="49"/>
      <c r="G69" s="49"/>
      <c r="H69" s="49"/>
    </row>
    <row r="70" spans="1:8" ht="13" x14ac:dyDescent="0.3">
      <c r="A70" s="38" t="s">
        <v>269</v>
      </c>
      <c r="B70" s="50" t="s">
        <v>227</v>
      </c>
      <c r="C70" s="34">
        <f>B38</f>
        <v>45022</v>
      </c>
      <c r="D70" s="41" t="s">
        <v>270</v>
      </c>
      <c r="E70" s="41"/>
      <c r="F70" s="41"/>
      <c r="G70" s="49"/>
      <c r="H70" s="49"/>
    </row>
    <row r="71" spans="1:8" ht="13" x14ac:dyDescent="0.3">
      <c r="A71" s="38" t="s">
        <v>207</v>
      </c>
      <c r="B71" s="50" t="str">
        <f>B69</f>
        <v>+</v>
      </c>
      <c r="C71" s="60">
        <f>Sheet1!E111</f>
        <v>30000</v>
      </c>
      <c r="D71" s="41" t="s">
        <v>271</v>
      </c>
      <c r="E71" s="41"/>
      <c r="F71" s="41"/>
      <c r="G71" s="49"/>
      <c r="H71" s="49"/>
    </row>
    <row r="72" spans="1:8" ht="13" x14ac:dyDescent="0.3">
      <c r="A72" s="38" t="s">
        <v>272</v>
      </c>
      <c r="B72" s="50" t="s">
        <v>228</v>
      </c>
      <c r="C72" s="43">
        <f>C66-C67-C68+C69-C70+C71</f>
        <v>268537</v>
      </c>
      <c r="D72" s="49"/>
      <c r="E72" s="41"/>
      <c r="F72" s="41"/>
      <c r="G72" s="49"/>
      <c r="H72" s="49"/>
    </row>
    <row r="73" spans="1:8" ht="13" x14ac:dyDescent="0.3">
      <c r="A73" s="38" t="s">
        <v>273</v>
      </c>
      <c r="B73" s="40"/>
      <c r="C73" s="40">
        <f>C72/B26</f>
        <v>134.26849999999999</v>
      </c>
      <c r="D73" s="40" t="s">
        <v>275</v>
      </c>
      <c r="E73" s="40"/>
      <c r="F73" s="40"/>
      <c r="G73" s="38"/>
      <c r="H73" s="38"/>
    </row>
    <row r="74" spans="1:8" ht="13" x14ac:dyDescent="0.3">
      <c r="A74" s="38" t="s">
        <v>208</v>
      </c>
      <c r="B74" s="40"/>
      <c r="C74" s="39"/>
      <c r="D74" s="47">
        <f>C63+C72</f>
        <v>520687</v>
      </c>
      <c r="E74" s="40" t="s">
        <v>276</v>
      </c>
      <c r="F74" s="40"/>
      <c r="G74" s="38"/>
      <c r="H74" s="38"/>
    </row>
    <row r="75" spans="1:8" ht="13" x14ac:dyDescent="0.3">
      <c r="A75" s="38"/>
      <c r="B75" s="40"/>
      <c r="C75" s="40"/>
      <c r="D75" s="40"/>
      <c r="E75" s="40"/>
      <c r="F75" s="40"/>
      <c r="G75" s="38"/>
      <c r="H75" s="38"/>
    </row>
    <row r="76" spans="1:8" ht="13" x14ac:dyDescent="0.3">
      <c r="A76" s="38"/>
      <c r="B76" s="40" t="str">
        <f>B53</f>
        <v>CORN</v>
      </c>
      <c r="C76" s="40" t="str">
        <f>C53</f>
        <v>SOYS</v>
      </c>
      <c r="D76" s="40" t="s">
        <v>179</v>
      </c>
      <c r="E76" s="40" t="s">
        <v>180</v>
      </c>
      <c r="F76" s="40" t="s">
        <v>181</v>
      </c>
      <c r="G76" s="38" t="s">
        <v>182</v>
      </c>
      <c r="H76" s="38" t="s">
        <v>183</v>
      </c>
    </row>
    <row r="77" spans="1:8" ht="13" x14ac:dyDescent="0.3">
      <c r="A77" s="38" t="s">
        <v>278</v>
      </c>
      <c r="B77" s="40">
        <f t="shared" ref="B77:H77" si="10">IF(B60&gt;0,($C73+B56),0)</f>
        <v>292.18849999999998</v>
      </c>
      <c r="C77" s="40">
        <f t="shared" si="10"/>
        <v>228.49849999999998</v>
      </c>
      <c r="D77" s="40">
        <f t="shared" si="10"/>
        <v>0</v>
      </c>
      <c r="E77" s="40">
        <f t="shared" si="10"/>
        <v>0</v>
      </c>
      <c r="F77" s="40">
        <f t="shared" si="10"/>
        <v>0</v>
      </c>
      <c r="G77" s="40">
        <f t="shared" si="10"/>
        <v>0</v>
      </c>
      <c r="H77" s="40">
        <f t="shared" si="10"/>
        <v>0</v>
      </c>
    </row>
    <row r="78" spans="1:8" ht="13" x14ac:dyDescent="0.3">
      <c r="A78" s="38" t="s">
        <v>277</v>
      </c>
      <c r="B78" s="40"/>
      <c r="C78" s="40"/>
      <c r="D78" s="40"/>
      <c r="E78" s="40"/>
      <c r="F78" s="40"/>
      <c r="G78" s="38"/>
      <c r="H78" s="38"/>
    </row>
    <row r="79" spans="1:8" ht="13" x14ac:dyDescent="0.3">
      <c r="A79" s="38" t="s">
        <v>209</v>
      </c>
      <c r="B79" s="40">
        <f t="shared" ref="B79:H79" si="11">IF(B77&gt;0,(B77/B4),0)</f>
        <v>2.2738404669260697</v>
      </c>
      <c r="C79" s="40">
        <f t="shared" si="11"/>
        <v>5.3139186046511622</v>
      </c>
      <c r="D79" s="40">
        <f t="shared" si="11"/>
        <v>0</v>
      </c>
      <c r="E79" s="40">
        <f t="shared" si="11"/>
        <v>0</v>
      </c>
      <c r="F79" s="40">
        <f t="shared" si="11"/>
        <v>0</v>
      </c>
      <c r="G79" s="40">
        <f t="shared" si="11"/>
        <v>0</v>
      </c>
      <c r="H79" s="40">
        <f t="shared" si="11"/>
        <v>0</v>
      </c>
    </row>
    <row r="80" spans="1:8" ht="13" x14ac:dyDescent="0.3">
      <c r="A80" s="38" t="s">
        <v>212</v>
      </c>
      <c r="B80" s="40"/>
      <c r="C80" s="40"/>
      <c r="D80" s="40"/>
      <c r="E80" s="40"/>
      <c r="F80" s="40"/>
      <c r="G80" s="38"/>
      <c r="H80" s="38"/>
    </row>
    <row r="81" spans="1:15" ht="13" x14ac:dyDescent="0.3">
      <c r="A81" s="38"/>
      <c r="B81" s="40"/>
      <c r="C81" s="40"/>
      <c r="D81" s="40"/>
      <c r="E81" s="40"/>
      <c r="F81" s="40"/>
      <c r="G81" s="38"/>
      <c r="H81" s="38"/>
    </row>
    <row r="82" spans="1:15" ht="13" x14ac:dyDescent="0.3">
      <c r="A82" s="48" t="s">
        <v>316</v>
      </c>
      <c r="B82" s="39"/>
      <c r="C82" s="40"/>
      <c r="D82" s="39"/>
      <c r="E82" s="40"/>
      <c r="F82" s="40"/>
      <c r="G82" s="38"/>
      <c r="H82" s="38"/>
    </row>
    <row r="83" spans="1:15" ht="13" x14ac:dyDescent="0.3">
      <c r="A83" s="38" t="s">
        <v>295</v>
      </c>
      <c r="B83" s="39"/>
      <c r="C83" s="51">
        <f>C72</f>
        <v>268537</v>
      </c>
      <c r="D83" s="41" t="s">
        <v>279</v>
      </c>
      <c r="E83" s="41"/>
      <c r="F83" s="41"/>
      <c r="G83" s="49"/>
      <c r="H83" s="49"/>
    </row>
    <row r="84" spans="1:15" ht="13" x14ac:dyDescent="0.3">
      <c r="A84" s="38" t="s">
        <v>296</v>
      </c>
      <c r="B84" s="52" t="s">
        <v>227</v>
      </c>
      <c r="C84" s="43">
        <f>B35</f>
        <v>60000</v>
      </c>
      <c r="D84" s="41" t="s">
        <v>280</v>
      </c>
      <c r="E84" s="49"/>
      <c r="F84" s="49"/>
      <c r="G84" s="49"/>
      <c r="H84" s="49"/>
    </row>
    <row r="85" spans="1:15" ht="13" x14ac:dyDescent="0.3">
      <c r="A85" s="38" t="s">
        <v>297</v>
      </c>
      <c r="B85" s="52" t="s">
        <v>227</v>
      </c>
      <c r="C85" s="43">
        <f>B27</f>
        <v>109271</v>
      </c>
      <c r="D85" s="41" t="s">
        <v>281</v>
      </c>
      <c r="E85" s="41"/>
      <c r="F85" s="49"/>
      <c r="G85" s="49"/>
      <c r="H85" s="49"/>
    </row>
    <row r="86" spans="1:15" ht="13" x14ac:dyDescent="0.3">
      <c r="A86" s="38" t="s">
        <v>210</v>
      </c>
      <c r="B86" s="52" t="s">
        <v>226</v>
      </c>
      <c r="C86" s="60">
        <f>Sheet1!E46</f>
        <v>176312</v>
      </c>
      <c r="D86" s="41" t="s">
        <v>282</v>
      </c>
      <c r="E86" s="41"/>
      <c r="F86" s="49"/>
      <c r="G86" s="49"/>
      <c r="H86" s="49"/>
    </row>
    <row r="87" spans="1:15" ht="13" x14ac:dyDescent="0.3">
      <c r="A87" s="38" t="s">
        <v>211</v>
      </c>
      <c r="B87" s="52" t="s">
        <v>226</v>
      </c>
      <c r="C87" s="60">
        <f>Sheet1!E48</f>
        <v>13521</v>
      </c>
      <c r="D87" s="41" t="s">
        <v>290</v>
      </c>
      <c r="E87" s="41"/>
      <c r="F87" s="41"/>
      <c r="G87" s="49"/>
      <c r="H87" s="49"/>
    </row>
    <row r="88" spans="1:15" ht="13" x14ac:dyDescent="0.3">
      <c r="A88" s="38" t="s">
        <v>283</v>
      </c>
      <c r="B88" s="52" t="s">
        <v>228</v>
      </c>
      <c r="C88" s="43">
        <f>C83-C84-C85+C86+C87</f>
        <v>289099</v>
      </c>
      <c r="D88" s="41" t="s">
        <v>298</v>
      </c>
      <c r="E88" s="41"/>
      <c r="F88" s="41"/>
      <c r="G88" s="49"/>
      <c r="H88" s="49"/>
    </row>
    <row r="89" spans="1:15" ht="13" x14ac:dyDescent="0.3">
      <c r="A89" s="39"/>
      <c r="B89" s="40"/>
      <c r="C89" s="40"/>
      <c r="D89" s="49" t="s">
        <v>284</v>
      </c>
      <c r="E89" s="41"/>
      <c r="F89" s="41"/>
      <c r="G89" s="49"/>
      <c r="H89" s="49"/>
    </row>
    <row r="90" spans="1:15" ht="13" x14ac:dyDescent="0.3">
      <c r="A90" s="38" t="s">
        <v>285</v>
      </c>
      <c r="B90" s="40"/>
      <c r="C90" s="40">
        <f>C88/B26</f>
        <v>144.54949999999999</v>
      </c>
      <c r="D90" s="40" t="s">
        <v>292</v>
      </c>
      <c r="E90" s="40"/>
      <c r="F90" s="40"/>
      <c r="G90" s="38"/>
      <c r="H90" s="38"/>
    </row>
    <row r="91" spans="1:15" ht="13" x14ac:dyDescent="0.3">
      <c r="A91" s="38"/>
      <c r="B91" s="40"/>
      <c r="C91" s="40"/>
      <c r="D91" s="40"/>
      <c r="E91" s="40"/>
      <c r="F91" s="40"/>
      <c r="G91" s="38"/>
      <c r="H91" s="38"/>
    </row>
    <row r="92" spans="1:15" ht="13" x14ac:dyDescent="0.3">
      <c r="A92" s="38" t="s">
        <v>286</v>
      </c>
      <c r="B92" s="39"/>
      <c r="C92" s="39"/>
      <c r="D92" s="47">
        <f>C63+C88</f>
        <v>541249</v>
      </c>
      <c r="E92" s="40" t="s">
        <v>293</v>
      </c>
      <c r="F92" s="40"/>
      <c r="G92" s="38"/>
      <c r="H92" s="38"/>
    </row>
    <row r="93" spans="1:15" ht="13" x14ac:dyDescent="0.3">
      <c r="A93" s="38"/>
      <c r="B93" s="40" t="str">
        <f t="shared" ref="B93:H93" si="12">B76</f>
        <v>CORN</v>
      </c>
      <c r="C93" s="40" t="str">
        <f t="shared" si="12"/>
        <v>SOYS</v>
      </c>
      <c r="D93" s="40" t="str">
        <f t="shared" si="12"/>
        <v>WHEAT</v>
      </c>
      <c r="E93" s="40" t="str">
        <f t="shared" si="12"/>
        <v>OTHER1</v>
      </c>
      <c r="F93" s="40" t="str">
        <f t="shared" si="12"/>
        <v>OTHER2</v>
      </c>
      <c r="G93" s="40" t="str">
        <f t="shared" si="12"/>
        <v>OTHER3</v>
      </c>
      <c r="H93" s="40" t="str">
        <f t="shared" si="12"/>
        <v>OTHER4</v>
      </c>
      <c r="I93" s="28"/>
      <c r="J93" s="28"/>
      <c r="K93" s="28"/>
      <c r="L93" s="28"/>
      <c r="M93" s="28"/>
      <c r="N93" s="28"/>
      <c r="O93" s="28"/>
    </row>
    <row r="94" spans="1:15" ht="13" x14ac:dyDescent="0.3">
      <c r="A94" s="38"/>
      <c r="B94" s="40"/>
      <c r="C94" s="40"/>
      <c r="D94" s="40"/>
      <c r="E94" s="40"/>
      <c r="F94" s="40"/>
      <c r="G94" s="38"/>
      <c r="H94" s="38"/>
    </row>
    <row r="95" spans="1:15" ht="13" x14ac:dyDescent="0.3">
      <c r="A95" s="38" t="s">
        <v>287</v>
      </c>
      <c r="B95" s="40">
        <f t="shared" ref="B95:H95" si="13">IF(B79&gt;0,(B56+$C90),0)</f>
        <v>302.46949999999998</v>
      </c>
      <c r="C95" s="40">
        <f t="shared" si="13"/>
        <v>238.77949999999998</v>
      </c>
      <c r="D95" s="40">
        <f t="shared" si="13"/>
        <v>0</v>
      </c>
      <c r="E95" s="40">
        <f t="shared" si="13"/>
        <v>0</v>
      </c>
      <c r="F95" s="40">
        <f t="shared" si="13"/>
        <v>0</v>
      </c>
      <c r="G95" s="40">
        <f t="shared" si="13"/>
        <v>0</v>
      </c>
      <c r="H95" s="40">
        <f t="shared" si="13"/>
        <v>0</v>
      </c>
    </row>
    <row r="96" spans="1:15" ht="13" x14ac:dyDescent="0.3">
      <c r="A96" s="38" t="s">
        <v>291</v>
      </c>
      <c r="B96" s="40"/>
      <c r="C96" s="40"/>
      <c r="D96" s="38"/>
      <c r="E96" s="38"/>
      <c r="F96" s="38"/>
      <c r="G96" s="38"/>
      <c r="H96" s="38"/>
    </row>
    <row r="97" spans="1:8" ht="13" x14ac:dyDescent="0.3">
      <c r="A97" s="38" t="s">
        <v>288</v>
      </c>
      <c r="B97" s="40">
        <f t="shared" ref="B97:H97" si="14">IF(B95&gt;0,(B95/B4),0)</f>
        <v>2.3538482490272372</v>
      </c>
      <c r="C97" s="40">
        <f t="shared" si="14"/>
        <v>5.5530116279069768</v>
      </c>
      <c r="D97" s="40">
        <f t="shared" si="14"/>
        <v>0</v>
      </c>
      <c r="E97" s="40">
        <f t="shared" si="14"/>
        <v>0</v>
      </c>
      <c r="F97" s="40">
        <f t="shared" si="14"/>
        <v>0</v>
      </c>
      <c r="G97" s="40">
        <f t="shared" si="14"/>
        <v>0</v>
      </c>
      <c r="H97" s="40">
        <f t="shared" si="14"/>
        <v>0</v>
      </c>
    </row>
    <row r="98" spans="1:8" ht="13" x14ac:dyDescent="0.3">
      <c r="A98" s="38" t="s">
        <v>294</v>
      </c>
      <c r="B98" s="39"/>
      <c r="C98" s="40"/>
      <c r="D98" s="39"/>
      <c r="E98" s="39"/>
      <c r="F98" s="39"/>
      <c r="G98" s="39"/>
      <c r="H98" s="39"/>
    </row>
    <row r="99" spans="1:8" ht="14" x14ac:dyDescent="0.3">
      <c r="A99" s="53" t="str">
        <f>A2</f>
        <v>High Debt Farm</v>
      </c>
      <c r="B99" s="40" t="str">
        <f>B53</f>
        <v>CORN</v>
      </c>
      <c r="C99" s="40" t="str">
        <f>C53</f>
        <v>SOYS</v>
      </c>
      <c r="D99" s="39"/>
      <c r="E99" s="39"/>
      <c r="F99" s="39"/>
      <c r="G99" s="39"/>
      <c r="H99" s="39"/>
    </row>
    <row r="100" spans="1:8" ht="14" x14ac:dyDescent="0.3">
      <c r="A100" s="54" t="str">
        <f>A49</f>
        <v>35. Total Economic Cost / Bu</v>
      </c>
      <c r="B100" s="54">
        <f>B49</f>
        <v>2.7524280155642025</v>
      </c>
      <c r="C100" s="54">
        <f>C49</f>
        <v>6.7441162790697682</v>
      </c>
      <c r="D100" s="39"/>
      <c r="E100" s="39"/>
      <c r="F100" s="39"/>
      <c r="G100" s="39"/>
      <c r="H100" s="39"/>
    </row>
    <row r="101" spans="1:8" ht="14" x14ac:dyDescent="0.3">
      <c r="A101" s="54" t="str">
        <f>A79</f>
        <v>51. Maintain Net Worth per Bu</v>
      </c>
      <c r="B101" s="54">
        <f>B79</f>
        <v>2.2738404669260697</v>
      </c>
      <c r="C101" s="54">
        <f>C79</f>
        <v>5.3139186046511622</v>
      </c>
      <c r="D101" s="39"/>
      <c r="E101" s="39"/>
      <c r="F101" s="39"/>
      <c r="G101" s="39"/>
      <c r="H101" s="39"/>
    </row>
    <row r="102" spans="1:8" ht="14" x14ac:dyDescent="0.3">
      <c r="A102" s="54" t="str">
        <f>A97</f>
        <v>61. Meet Cash Flow Demands per Bu</v>
      </c>
      <c r="B102" s="54">
        <f>B97</f>
        <v>2.3538482490272372</v>
      </c>
      <c r="C102" s="54">
        <f>C97</f>
        <v>5.5530116279069768</v>
      </c>
      <c r="D102" s="39"/>
      <c r="E102" s="39"/>
      <c r="F102" s="39"/>
      <c r="G102" s="39"/>
      <c r="H102" s="39"/>
    </row>
  </sheetData>
  <sheetProtection sheet="1" objects="1" scenarios="1"/>
  <pageMargins left="0.5" right="0.5" top="0.51" bottom="0.5" header="0" footer="0"/>
  <pageSetup scale="73" orientation="landscape" r:id="rId1"/>
  <headerFooter alignWithMargins="0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 (3)</vt:lpstr>
      <vt:lpstr>Sheet2 (4)</vt:lpstr>
      <vt:lpstr>Sheet2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Betz</dc:creator>
  <cp:lastModifiedBy>Carina Negreanu</cp:lastModifiedBy>
  <cp:lastPrinted>2001-01-17T21:14:07Z</cp:lastPrinted>
  <dcterms:created xsi:type="dcterms:W3CDTF">1999-06-07T19:27:09Z</dcterms:created>
  <dcterms:modified xsi:type="dcterms:W3CDTF">2020-01-27T12:02:39Z</dcterms:modified>
</cp:coreProperties>
</file>