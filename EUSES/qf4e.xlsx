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6CBBA6E-AE48-4A1D-AEC0-32656275BFEA}" xr6:coauthVersionLast="45" xr6:coauthVersionMax="45" xr10:uidLastSave="{00000000-0000-0000-0000-000000000000}"/>
  <bookViews>
    <workbookView xWindow="1140" yWindow="1140" windowWidth="28800" windowHeight="15460" tabRatio="875" activeTab="5"/>
  </bookViews>
  <sheets>
    <sheet name="Chart -Defoliation" sheetId="5" r:id="rId1"/>
    <sheet name="Table - Defoliation 2000" sheetId="20" r:id="rId2"/>
    <sheet name="Table - Defoliation 2001" sheetId="9" r:id="rId3"/>
    <sheet name="Table - Defol Prov-terr 2000" sheetId="22" r:id="rId4"/>
    <sheet name="Table - Defol Prov-terr 2001" sheetId="21" r:id="rId5"/>
    <sheet name="Table -  Defoliation 1990-2001" sheetId="14" r:id="rId6"/>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4" i="5" l="1"/>
  <c r="F4" i="5"/>
  <c r="E5" i="5"/>
  <c r="F5" i="5"/>
  <c r="F6" i="5"/>
  <c r="E7" i="5"/>
  <c r="E16" i="5" s="1"/>
  <c r="E17" i="5" s="1"/>
  <c r="F7" i="5"/>
  <c r="F16" i="5" s="1"/>
  <c r="F17" i="5" s="1"/>
  <c r="E8" i="5"/>
  <c r="F8" i="5"/>
  <c r="E10" i="5"/>
  <c r="E18" i="5" s="1"/>
  <c r="F10" i="5"/>
  <c r="F18" i="5" s="1"/>
  <c r="E11" i="5"/>
  <c r="F11" i="5"/>
  <c r="E12" i="5"/>
  <c r="F12" i="5"/>
  <c r="E13" i="5"/>
  <c r="F13" i="5"/>
  <c r="E14" i="5"/>
  <c r="F14" i="5"/>
  <c r="F15" i="5" s="1"/>
  <c r="E15" i="5"/>
  <c r="G5" i="14"/>
  <c r="G6" i="14"/>
  <c r="G7" i="14"/>
  <c r="G8" i="14"/>
  <c r="G9" i="14"/>
  <c r="G10" i="14"/>
  <c r="G11" i="14"/>
  <c r="G12" i="14"/>
  <c r="G13" i="14"/>
  <c r="G14" i="14"/>
  <c r="C15" i="14"/>
  <c r="I15" i="14" s="1"/>
  <c r="E15" i="14"/>
  <c r="G15" i="14"/>
  <c r="C16" i="14"/>
  <c r="E16" i="14"/>
  <c r="G16" i="14"/>
  <c r="I16" i="14"/>
  <c r="C9" i="22"/>
  <c r="E5" i="22" s="1"/>
  <c r="C10" i="21"/>
  <c r="E9" i="21" s="1"/>
  <c r="E5" i="20"/>
  <c r="E9" i="20" s="1"/>
  <c r="E6" i="20"/>
  <c r="E8" i="20"/>
  <c r="C9" i="20"/>
  <c r="C9" i="9"/>
  <c r="E5" i="9" s="1"/>
  <c r="E7" i="21" l="1"/>
  <c r="E8" i="21"/>
  <c r="E8" i="22"/>
  <c r="E7" i="22"/>
  <c r="E6" i="21"/>
  <c r="E10" i="21" s="1"/>
  <c r="E8" i="9"/>
  <c r="E7" i="9"/>
  <c r="E6" i="22"/>
  <c r="E9" i="22" s="1"/>
  <c r="E6" i="9"/>
  <c r="E9" i="9" s="1"/>
</calcChain>
</file>

<file path=xl/sharedStrings.xml><?xml version="1.0" encoding="utf-8"?>
<sst xmlns="http://schemas.openxmlformats.org/spreadsheetml/2006/main" count="100" uniqueCount="36">
  <si>
    <t>Total</t>
  </si>
  <si>
    <t>Other</t>
  </si>
  <si>
    <t>r</t>
  </si>
  <si>
    <t>Source: National Forestry Database.</t>
  </si>
  <si>
    <t xml:space="preserve"> </t>
  </si>
  <si>
    <t>New Brunswick</t>
  </si>
  <si>
    <t>Quebec</t>
  </si>
  <si>
    <t>Ontario</t>
  </si>
  <si>
    <t>Saskatchewan</t>
  </si>
  <si>
    <t>Alberta</t>
  </si>
  <si>
    <t>e</t>
  </si>
  <si>
    <t>..</t>
  </si>
  <si>
    <t>Year</t>
  </si>
  <si>
    <t>%</t>
  </si>
  <si>
    <t>Forest Insects</t>
  </si>
  <si>
    <t>Spruce budworm</t>
  </si>
  <si>
    <t>Forest tent caterpillar</t>
  </si>
  <si>
    <t>Large aspen tortrix</t>
  </si>
  <si>
    <r>
      <t>Area</t>
    </r>
    <r>
      <rPr>
        <b/>
        <vertAlign val="superscript"/>
        <sz val="13"/>
        <rFont val="Times New Roman"/>
        <family val="1"/>
      </rPr>
      <t>d</t>
    </r>
    <r>
      <rPr>
        <b/>
        <sz val="13"/>
        <rFont val="Times New Roman"/>
        <family val="1"/>
      </rPr>
      <t xml:space="preserve"> of Moderate to Severe Defoliation by Insects, 2000</t>
    </r>
  </si>
  <si>
    <t>Insects</t>
  </si>
  <si>
    <t>qf4ea</t>
  </si>
  <si>
    <t>qf4eb</t>
  </si>
  <si>
    <r>
      <t>d</t>
    </r>
    <r>
      <rPr>
        <sz val="10"/>
        <rFont val="Times New Roman"/>
        <family val="1"/>
      </rPr>
      <t xml:space="preserve"> Any forested area may be defoliated by more than one insect.  Therefore, there can be considerable overlap in the reported figures.  The area within which there is moderate to severe defoliation can also include roads, cultivated areas, small lakes or burned areas.</t>
    </r>
  </si>
  <si>
    <t>qf4ec</t>
  </si>
  <si>
    <t>Area of Moderate to Severe Defoliation</t>
  </si>
  <si>
    <t>qf4ed</t>
  </si>
  <si>
    <t>qf4ee</t>
  </si>
  <si>
    <t>Area of Moderate to Severe Defoliation by Province/Territory, 2000</t>
  </si>
  <si>
    <t>S5ea</t>
  </si>
  <si>
    <t>Province or Territory</t>
  </si>
  <si>
    <r>
      <t>Area</t>
    </r>
    <r>
      <rPr>
        <b/>
        <vertAlign val="superscript"/>
        <sz val="13"/>
        <rFont val="Times New Roman"/>
        <family val="1"/>
      </rPr>
      <t>d</t>
    </r>
    <r>
      <rPr>
        <b/>
        <sz val="13"/>
        <rFont val="Times New Roman"/>
        <family val="1"/>
      </rPr>
      <t xml:space="preserve"> of Moderate to Severe Defoliation by Insects, 2001</t>
    </r>
  </si>
  <si>
    <t>Area of Moderate to Severe Defoliation by Province/Territory, 2001</t>
  </si>
  <si>
    <r>
      <t xml:space="preserve">Area of Moderate to Severe Defoliation by Insects, 1990-2001                     </t>
    </r>
    <r>
      <rPr>
        <sz val="12"/>
        <rFont val="Times New Roman"/>
        <family val="1"/>
      </rPr>
      <t>(hectares)</t>
    </r>
  </si>
  <si>
    <t>com41e.htm</t>
  </si>
  <si>
    <t>-</t>
  </si>
  <si>
    <t>Hectares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</si>
</sst>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70" formatCode="0.0%"/>
    <numFmt numFmtId="174" formatCode="0.0"/>
    <numFmt numFmtId="176" formatCode="###\ ###\ ##0"/>
  </numFmts>
  <fonts count="13" x14ac:knownFonts="1">
    <font>
      <sz val="10"/>
      <name val="Arial"/>
    </font>
    <font>
      <sz val="10"/>
      <name val="Arial"/>
    </font>
    <font>
      <b/>
      <sz val="10"/>
      <name val="Arial"/>
      <family val="2"/>
    </font>
    <font>
      <sz val="10"/>
      <name val="Arial"/>
      <family val="2"/>
    </font>
    <font>
      <b/>
      <sz val="14"/>
      <name val="Arial"/>
      <family val="2"/>
    </font>
    <font>
      <sz val="10"/>
      <name val="Times New Roman"/>
      <family val="1"/>
    </font>
    <font>
      <b/>
      <sz val="13"/>
      <name val="Times New Roman"/>
      <family val="1"/>
    </font>
    <font>
      <sz val="12"/>
      <name val="Times New Roman"/>
      <family val="1"/>
    </font>
    <font>
      <b/>
      <sz val="12"/>
      <name val="Times New Roman"/>
      <family val="1"/>
    </font>
    <font>
      <sz val="11"/>
      <name val="Times New Roman"/>
      <family val="1"/>
    </font>
    <font>
      <b/>
      <vertAlign val="superscript"/>
      <sz val="13"/>
      <name val="Times New Roman"/>
      <family val="1"/>
    </font>
    <font>
      <vertAlign val="superscript"/>
      <sz val="10"/>
      <name val="Times New Roman"/>
      <family val="1"/>
    </font>
    <font>
      <sz val="10"/>
      <color indexed="9"/>
      <name val="Times New Roman"/>
      <family val="1"/>
    </font>
  </fonts>
  <fills count="3">
    <fill>
      <patternFill patternType="none"/>
    </fill>
    <fill>
      <patternFill patternType="gray125"/>
    </fill>
    <fill>
      <patternFill patternType="solid">
        <fgColor indexed="26"/>
        <bgColor indexed="64"/>
      </patternFill>
    </fill>
  </fills>
  <borders count="20">
    <border>
      <left/>
      <right/>
      <top/>
      <bottom/>
      <diagonal/>
    </border>
    <border>
      <left style="double">
        <color indexed="57"/>
      </left>
      <right/>
      <top style="double">
        <color indexed="57"/>
      </top>
      <bottom style="double">
        <color indexed="57"/>
      </bottom>
      <diagonal/>
    </border>
    <border>
      <left/>
      <right style="thick">
        <color indexed="57"/>
      </right>
      <top style="double">
        <color indexed="57"/>
      </top>
      <bottom style="double">
        <color indexed="57"/>
      </bottom>
      <diagonal/>
    </border>
    <border>
      <left style="thick">
        <color indexed="57"/>
      </left>
      <right style="double">
        <color indexed="57"/>
      </right>
      <top style="double">
        <color indexed="57"/>
      </top>
      <bottom style="double">
        <color indexed="57"/>
      </bottom>
      <diagonal/>
    </border>
    <border>
      <left/>
      <right/>
      <top style="double">
        <color indexed="57"/>
      </top>
      <bottom style="double">
        <color indexed="57"/>
      </bottom>
      <diagonal/>
    </border>
    <border>
      <left/>
      <right style="thick">
        <color indexed="57"/>
      </right>
      <top style="double">
        <color indexed="17"/>
      </top>
      <bottom style="double">
        <color indexed="17"/>
      </bottom>
      <diagonal/>
    </border>
    <border>
      <left style="thick">
        <color indexed="57"/>
      </left>
      <right/>
      <top/>
      <bottom style="thick">
        <color indexed="57"/>
      </bottom>
      <diagonal/>
    </border>
    <border>
      <left/>
      <right/>
      <top/>
      <bottom style="thick">
        <color indexed="57"/>
      </bottom>
      <diagonal/>
    </border>
    <border>
      <left/>
      <right/>
      <top style="double">
        <color indexed="17"/>
      </top>
      <bottom style="thick">
        <color indexed="57"/>
      </bottom>
      <diagonal/>
    </border>
    <border>
      <left/>
      <right style="thick">
        <color indexed="57"/>
      </right>
      <top style="double">
        <color indexed="17"/>
      </top>
      <bottom style="thick">
        <color indexed="57"/>
      </bottom>
      <diagonal/>
    </border>
    <border>
      <left style="thick">
        <color indexed="57"/>
      </left>
      <right/>
      <top style="double">
        <color indexed="57"/>
      </top>
      <bottom/>
      <diagonal/>
    </border>
    <border>
      <left style="thick">
        <color indexed="57"/>
      </left>
      <right/>
      <top style="double">
        <color indexed="57"/>
      </top>
      <bottom style="double">
        <color indexed="57"/>
      </bottom>
      <diagonal/>
    </border>
    <border>
      <left style="thick">
        <color indexed="57"/>
      </left>
      <right style="double">
        <color indexed="57"/>
      </right>
      <top style="double">
        <color indexed="57"/>
      </top>
      <bottom/>
      <diagonal/>
    </border>
    <border>
      <left/>
      <right style="thick">
        <color indexed="57"/>
      </right>
      <top/>
      <bottom style="thick">
        <color indexed="57"/>
      </bottom>
      <diagonal/>
    </border>
    <border>
      <left/>
      <right style="double">
        <color indexed="57"/>
      </right>
      <top style="double">
        <color indexed="57"/>
      </top>
      <bottom style="double">
        <color indexed="57"/>
      </bottom>
      <diagonal/>
    </border>
    <border>
      <left style="thick">
        <color indexed="57"/>
      </left>
      <right/>
      <top style="thick">
        <color indexed="57"/>
      </top>
      <bottom style="double">
        <color indexed="57"/>
      </bottom>
      <diagonal/>
    </border>
    <border>
      <left/>
      <right/>
      <top style="thick">
        <color indexed="57"/>
      </top>
      <bottom style="double">
        <color indexed="57"/>
      </bottom>
      <diagonal/>
    </border>
    <border>
      <left/>
      <right style="thick">
        <color indexed="57"/>
      </right>
      <top style="thick">
        <color indexed="57"/>
      </top>
      <bottom style="double">
        <color indexed="57"/>
      </bottom>
      <diagonal/>
    </border>
    <border>
      <left/>
      <right/>
      <top style="double">
        <color indexed="57"/>
      </top>
      <bottom/>
      <diagonal/>
    </border>
    <border>
      <left/>
      <right style="thick">
        <color indexed="57"/>
      </right>
      <top style="double">
        <color indexed="57"/>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1">
    <xf numFmtId="0" fontId="0" fillId="0" borderId="0" xfId="0"/>
    <xf numFmtId="0" fontId="2" fillId="0" borderId="0" xfId="0" applyFont="1"/>
    <xf numFmtId="0" fontId="0" fillId="0" borderId="0" xfId="0" applyAlignment="1">
      <alignment horizontal="center"/>
    </xf>
    <xf numFmtId="174" fontId="0" fillId="0" borderId="0" xfId="0" applyNumberFormat="1"/>
    <xf numFmtId="0" fontId="3" fillId="0" borderId="0" xfId="0" applyFont="1"/>
    <xf numFmtId="170" fontId="1" fillId="0" borderId="0" xfId="2" applyNumberFormat="1"/>
    <xf numFmtId="0" fontId="4" fillId="0" borderId="0" xfId="0" applyFont="1"/>
    <xf numFmtId="0" fontId="5" fillId="0" borderId="0" xfId="0" applyFont="1"/>
    <xf numFmtId="0" fontId="5" fillId="0" borderId="0" xfId="0" applyFont="1" applyAlignment="1">
      <alignment horizontal="left"/>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0" borderId="3" xfId="0" applyFont="1" applyBorder="1" applyAlignment="1">
      <alignment vertical="center"/>
    </xf>
    <xf numFmtId="0" fontId="7" fillId="0" borderId="4" xfId="0" applyFont="1" applyBorder="1" applyAlignment="1">
      <alignment horizontal="left" vertical="center"/>
    </xf>
    <xf numFmtId="176" fontId="7" fillId="0" borderId="1" xfId="0" applyNumberFormat="1" applyFont="1" applyBorder="1" applyAlignment="1">
      <alignment horizontal="right" vertical="center"/>
    </xf>
    <xf numFmtId="0" fontId="7" fillId="0" borderId="5" xfId="0" applyFont="1" applyBorder="1" applyAlignment="1">
      <alignment horizontal="left" vertical="center"/>
    </xf>
    <xf numFmtId="0" fontId="8" fillId="0" borderId="3" xfId="0" applyFont="1" applyBorder="1" applyAlignment="1">
      <alignmen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176" fontId="5" fillId="0" borderId="0" xfId="1" applyNumberFormat="1" applyFont="1"/>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0" fontId="7" fillId="0" borderId="3" xfId="0" applyFont="1" applyBorder="1" applyAlignment="1">
      <alignment horizontal="center" vertical="center"/>
    </xf>
    <xf numFmtId="0" fontId="9" fillId="2" borderId="10" xfId="0" applyFont="1" applyFill="1" applyBorder="1" applyAlignment="1">
      <alignment horizontal="center" vertical="center" wrapText="1"/>
    </xf>
    <xf numFmtId="0" fontId="5" fillId="0" borderId="0" xfId="0" applyFont="1" applyAlignment="1"/>
    <xf numFmtId="176" fontId="5" fillId="0" borderId="0" xfId="1" applyNumberFormat="1" applyFont="1" applyAlignment="1"/>
    <xf numFmtId="0" fontId="7" fillId="0" borderId="11" xfId="0" applyFont="1" applyBorder="1" applyAlignment="1">
      <alignment horizontal="center" vertical="center"/>
    </xf>
    <xf numFmtId="174" fontId="7" fillId="0" borderId="1" xfId="0" applyNumberFormat="1" applyFont="1" applyBorder="1" applyAlignment="1">
      <alignment horizontal="right" vertical="center"/>
    </xf>
    <xf numFmtId="0" fontId="7" fillId="2" borderId="4" xfId="0" applyFont="1" applyFill="1" applyBorder="1" applyAlignment="1">
      <alignment horizontal="center" vertical="center"/>
    </xf>
    <xf numFmtId="0" fontId="7" fillId="2" borderId="12" xfId="0" applyFont="1" applyFill="1" applyBorder="1" applyAlignment="1">
      <alignment horizontal="center" vertical="center" wrapText="1"/>
    </xf>
    <xf numFmtId="0" fontId="2" fillId="0" borderId="0" xfId="0" applyFont="1" applyAlignment="1">
      <alignment horizontal="center"/>
    </xf>
    <xf numFmtId="0" fontId="7" fillId="0" borderId="2" xfId="0" applyFont="1" applyBorder="1" applyAlignment="1">
      <alignment horizontal="left" vertical="center"/>
    </xf>
    <xf numFmtId="0" fontId="7" fillId="0" borderId="13" xfId="0" applyFont="1" applyBorder="1" applyAlignment="1">
      <alignment horizontal="left" vertical="center"/>
    </xf>
    <xf numFmtId="176" fontId="8" fillId="0" borderId="1" xfId="0" applyNumberFormat="1" applyFont="1" applyBorder="1" applyAlignment="1">
      <alignment horizontal="right" vertical="center"/>
    </xf>
    <xf numFmtId="174" fontId="8" fillId="0" borderId="1" xfId="0" applyNumberFormat="1" applyFont="1" applyBorder="1" applyAlignment="1">
      <alignment horizontal="right"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176" fontId="7" fillId="0" borderId="4" xfId="0" applyNumberFormat="1" applyFont="1" applyBorder="1" applyAlignment="1">
      <alignment horizontal="left" vertical="center"/>
    </xf>
    <xf numFmtId="176" fontId="7" fillId="0" borderId="14" xfId="0" applyNumberFormat="1" applyFont="1" applyBorder="1" applyAlignment="1">
      <alignment horizontal="left" vertical="center"/>
    </xf>
    <xf numFmtId="0" fontId="8" fillId="0" borderId="4" xfId="0" applyFont="1" applyBorder="1" applyAlignment="1">
      <alignment horizontal="left" vertical="center"/>
    </xf>
    <xf numFmtId="0" fontId="12" fillId="0" borderId="0" xfId="0" applyFont="1"/>
    <xf numFmtId="2" fontId="8" fillId="0" borderId="1" xfId="0" applyNumberFormat="1" applyFont="1" applyBorder="1" applyAlignment="1">
      <alignment horizontal="right" vertical="center"/>
    </xf>
    <xf numFmtId="2" fontId="7" fillId="0" borderId="1" xfId="0" applyNumberFormat="1" applyFont="1" applyBorder="1" applyAlignment="1">
      <alignment horizontal="right" vertical="center"/>
    </xf>
    <xf numFmtId="0" fontId="6" fillId="2" borderId="15"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11" fillId="0" borderId="10" xfId="0" applyFont="1" applyBorder="1" applyAlignment="1">
      <alignment horizontal="left" vertical="top" wrapText="1"/>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9" fillId="2" borderId="1" xfId="0" applyFont="1" applyFill="1" applyBorder="1" applyAlignment="1">
      <alignment horizontal="center" vertical="center" wrapText="1"/>
    </xf>
    <xf numFmtId="0" fontId="9" fillId="2" borderId="14" xfId="0" applyFont="1" applyFill="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8978910201479156"/>
          <c:y val="0.31790531680163597"/>
          <c:w val="0.2215194896696083"/>
          <c:h val="0.43790931056119387"/>
        </c:manualLayout>
      </c:layout>
      <c:pieChart>
        <c:varyColors val="1"/>
        <c:ser>
          <c:idx val="0"/>
          <c:order val="0"/>
          <c:spPr>
            <a:solidFill>
              <a:srgbClr val="CCCCFF"/>
            </a:solidFill>
            <a:ln w="12700">
              <a:solidFill>
                <a:srgbClr val="000000"/>
              </a:solidFill>
              <a:prstDash val="solid"/>
            </a:ln>
          </c:spPr>
          <c:dPt>
            <c:idx val="0"/>
            <c:bubble3D val="0"/>
            <c:spPr>
              <a:solidFill>
                <a:srgbClr val="CCFFCC"/>
              </a:solidFill>
              <a:ln w="12700">
                <a:solidFill>
                  <a:srgbClr val="000000"/>
                </a:solidFill>
                <a:prstDash val="solid"/>
              </a:ln>
            </c:spPr>
            <c:extLst>
              <c:ext xmlns:c16="http://schemas.microsoft.com/office/drawing/2014/chart" uri="{C3380CC4-5D6E-409C-BE32-E72D297353CC}">
                <c16:uniqueId val="{00000000-A9EC-4579-9A4D-669CE074A2D1}"/>
              </c:ext>
            </c:extLst>
          </c:dPt>
          <c:dPt>
            <c:idx val="1"/>
            <c:bubble3D val="0"/>
            <c:spPr>
              <a:solidFill>
                <a:srgbClr val="008000"/>
              </a:solidFill>
              <a:ln w="12700">
                <a:solidFill>
                  <a:srgbClr val="000000"/>
                </a:solidFill>
                <a:prstDash val="solid"/>
              </a:ln>
            </c:spPr>
            <c:extLst>
              <c:ext xmlns:c16="http://schemas.microsoft.com/office/drawing/2014/chart" uri="{C3380CC4-5D6E-409C-BE32-E72D297353CC}">
                <c16:uniqueId val="{00000001-A9EC-4579-9A4D-669CE074A2D1}"/>
              </c:ext>
            </c:extLst>
          </c:dPt>
          <c:dPt>
            <c:idx val="2"/>
            <c:bubble3D val="0"/>
            <c:spPr>
              <a:solidFill>
                <a:srgbClr val="00FF00"/>
              </a:solidFill>
              <a:ln w="12700">
                <a:solidFill>
                  <a:srgbClr val="000000"/>
                </a:solidFill>
                <a:prstDash val="solid"/>
              </a:ln>
            </c:spPr>
            <c:extLst>
              <c:ext xmlns:c16="http://schemas.microsoft.com/office/drawing/2014/chart" uri="{C3380CC4-5D6E-409C-BE32-E72D297353CC}">
                <c16:uniqueId val="{00000002-A9EC-4579-9A4D-669CE074A2D1}"/>
              </c:ext>
            </c:extLst>
          </c:dPt>
          <c:dPt>
            <c:idx val="3"/>
            <c:bubble3D val="0"/>
            <c:extLst>
              <c:ext xmlns:c16="http://schemas.microsoft.com/office/drawing/2014/chart" uri="{C3380CC4-5D6E-409C-BE32-E72D297353CC}">
                <c16:uniqueId val="{00000003-A9EC-4579-9A4D-669CE074A2D1}"/>
              </c:ext>
            </c:extLst>
          </c:dPt>
          <c:dLbls>
            <c:dLbl>
              <c:idx val="0"/>
              <c:layout>
                <c:manualLayout>
                  <c:xMode val="edge"/>
                  <c:yMode val="edge"/>
                  <c:x val="0.66455846900882487"/>
                  <c:y val="0.56212397076845566"/>
                </c:manualLayout>
              </c:layout>
              <c:numFmt formatCode="0.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A9EC-4579-9A4D-669CE074A2D1}"/>
                </c:ext>
              </c:extLst>
            </c:dLbl>
            <c:dLbl>
              <c:idx val="1"/>
              <c:layout>
                <c:manualLayout>
                  <c:xMode val="edge"/>
                  <c:yMode val="edge"/>
                  <c:x val="0.2225844872160968"/>
                  <c:y val="0.42738264444193441"/>
                </c:manualLayout>
              </c:layout>
              <c:numFmt formatCode="0.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9EC-4579-9A4D-669CE074A2D1}"/>
                </c:ext>
              </c:extLst>
            </c:dLbl>
            <c:dLbl>
              <c:idx val="2"/>
              <c:delete val="1"/>
              <c:extLst>
                <c:ext xmlns:c15="http://schemas.microsoft.com/office/drawing/2012/chart" uri="{CE6537A1-D6FC-4f65-9D91-7224C49458BB}"/>
                <c:ext xmlns:c16="http://schemas.microsoft.com/office/drawing/2014/chart" uri="{C3380CC4-5D6E-409C-BE32-E72D297353CC}">
                  <c16:uniqueId val="{00000002-A9EC-4579-9A4D-669CE074A2D1}"/>
                </c:ext>
              </c:extLst>
            </c:dLbl>
            <c:dLbl>
              <c:idx val="3"/>
              <c:layout>
                <c:manualLayout>
                  <c:xMode val="edge"/>
                  <c:yMode val="edge"/>
                  <c:x val="0.700768385589434"/>
                  <c:y val="0.32001065002548784"/>
                </c:manualLayout>
              </c:layout>
              <c:numFmt formatCode="0.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9EC-4579-9A4D-669CE074A2D1}"/>
                </c:ext>
              </c:extLst>
            </c:dLbl>
            <c:numFmt formatCode="0.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'Chart -Defoliation'!$D$4:$D$7</c:f>
              <c:strCache>
                <c:ptCount val="4"/>
                <c:pt idx="0">
                  <c:v>Spruce budworm</c:v>
                </c:pt>
                <c:pt idx="1">
                  <c:v>Forest tent caterpillar</c:v>
                </c:pt>
                <c:pt idx="2">
                  <c:v>Large aspen tortrix</c:v>
                </c:pt>
                <c:pt idx="3">
                  <c:v>Other</c:v>
                </c:pt>
              </c:strCache>
            </c:strRef>
          </c:cat>
          <c:val>
            <c:numRef>
              <c:f>('Chart -Defoliation'!$E$11,'Chart -Defoliation'!$E$13,'Chart -Defoliation'!$E$15,'Chart -Defoliation'!$E$17)</c:f>
              <c:numCache>
                <c:formatCode>0.0%</c:formatCode>
                <c:ptCount val="4"/>
                <c:pt idx="0">
                  <c:v>5.3600555503762561E-2</c:v>
                </c:pt>
                <c:pt idx="1">
                  <c:v>0.85311657910821792</c:v>
                </c:pt>
                <c:pt idx="2">
                  <c:v>0</c:v>
                </c:pt>
                <c:pt idx="3">
                  <c:v>9.3282865388019526E-2</c:v>
                </c:pt>
              </c:numCache>
            </c:numRef>
          </c:val>
          <c:extLst>
            <c:ext xmlns:c16="http://schemas.microsoft.com/office/drawing/2014/chart" uri="{C3380CC4-5D6E-409C-BE32-E72D297353CC}">
              <c16:uniqueId val="{00000004-A9EC-4579-9A4D-669CE074A2D1}"/>
            </c:ext>
          </c:extLst>
        </c:ser>
        <c:dLbls>
          <c:showLegendKey val="0"/>
          <c:showVal val="0"/>
          <c:showCatName val="0"/>
          <c:showSerName val="0"/>
          <c:showPercent val="0"/>
          <c:showBubbleSize val="0"/>
          <c:showLeaderLines val="1"/>
        </c:dLbls>
        <c:firstSliceAng val="9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8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9002265602771408"/>
          <c:y val="0.27992422249049931"/>
          <c:w val="0.22104826281679707"/>
          <c:h val="0.44445983418338819"/>
        </c:manualLayout>
      </c:layout>
      <c:pieChart>
        <c:varyColors val="1"/>
        <c:ser>
          <c:idx val="0"/>
          <c:order val="0"/>
          <c:spPr>
            <a:solidFill>
              <a:srgbClr val="CCCCFF"/>
            </a:solidFill>
            <a:ln w="12700">
              <a:solidFill>
                <a:srgbClr val="000000"/>
              </a:solidFill>
              <a:prstDash val="solid"/>
            </a:ln>
          </c:spPr>
          <c:dPt>
            <c:idx val="0"/>
            <c:bubble3D val="0"/>
            <c:spPr>
              <a:solidFill>
                <a:srgbClr val="CCFFCC"/>
              </a:solidFill>
              <a:ln w="12700">
                <a:solidFill>
                  <a:srgbClr val="000000"/>
                </a:solidFill>
                <a:prstDash val="solid"/>
              </a:ln>
            </c:spPr>
            <c:extLst>
              <c:ext xmlns:c16="http://schemas.microsoft.com/office/drawing/2014/chart" uri="{C3380CC4-5D6E-409C-BE32-E72D297353CC}">
                <c16:uniqueId val="{00000000-BF49-4ED5-887B-C4AD789284D7}"/>
              </c:ext>
            </c:extLst>
          </c:dPt>
          <c:dPt>
            <c:idx val="1"/>
            <c:bubble3D val="0"/>
            <c:spPr>
              <a:solidFill>
                <a:srgbClr val="008000"/>
              </a:solidFill>
              <a:ln w="12700">
                <a:solidFill>
                  <a:srgbClr val="000000"/>
                </a:solidFill>
                <a:prstDash val="solid"/>
              </a:ln>
            </c:spPr>
            <c:extLst>
              <c:ext xmlns:c16="http://schemas.microsoft.com/office/drawing/2014/chart" uri="{C3380CC4-5D6E-409C-BE32-E72D297353CC}">
                <c16:uniqueId val="{00000001-BF49-4ED5-887B-C4AD789284D7}"/>
              </c:ext>
            </c:extLst>
          </c:dPt>
          <c:dPt>
            <c:idx val="2"/>
            <c:bubble3D val="0"/>
            <c:spPr>
              <a:solidFill>
                <a:srgbClr val="00FF00"/>
              </a:solidFill>
              <a:ln w="12700">
                <a:solidFill>
                  <a:srgbClr val="000000"/>
                </a:solidFill>
                <a:prstDash val="solid"/>
              </a:ln>
            </c:spPr>
            <c:extLst>
              <c:ext xmlns:c16="http://schemas.microsoft.com/office/drawing/2014/chart" uri="{C3380CC4-5D6E-409C-BE32-E72D297353CC}">
                <c16:uniqueId val="{00000002-BF49-4ED5-887B-C4AD789284D7}"/>
              </c:ext>
            </c:extLst>
          </c:dPt>
          <c:dPt>
            <c:idx val="3"/>
            <c:bubble3D val="0"/>
            <c:extLst>
              <c:ext xmlns:c16="http://schemas.microsoft.com/office/drawing/2014/chart" uri="{C3380CC4-5D6E-409C-BE32-E72D297353CC}">
                <c16:uniqueId val="{00000003-BF49-4ED5-887B-C4AD789284D7}"/>
              </c:ext>
            </c:extLst>
          </c:dPt>
          <c:dLbls>
            <c:dLbl>
              <c:idx val="0"/>
              <c:layout>
                <c:manualLayout>
                  <c:xMode val="edge"/>
                  <c:yMode val="edge"/>
                  <c:x val="0.69715221349912926"/>
                  <c:y val="0.69019483865978071"/>
                </c:manualLayout>
              </c:layout>
              <c:numFmt formatCode="0.0%" sourceLinked="0"/>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F49-4ED5-887B-C4AD789284D7}"/>
                </c:ext>
              </c:extLst>
            </c:dLbl>
            <c:dLbl>
              <c:idx val="1"/>
              <c:layout>
                <c:manualLayout>
                  <c:xMode val="edge"/>
                  <c:yMode val="edge"/>
                  <c:x val="0.17109985727646312"/>
                  <c:y val="0.41454426842104475"/>
                </c:manualLayout>
              </c:layout>
              <c:numFmt formatCode="0.0%" sourceLinked="0"/>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49-4ED5-887B-C4AD789284D7}"/>
                </c:ext>
              </c:extLst>
            </c:dLbl>
            <c:dLbl>
              <c:idx val="2"/>
              <c:layout>
                <c:manualLayout>
                  <c:xMode val="edge"/>
                  <c:yMode val="edge"/>
                  <c:x val="0.66420752048316423"/>
                  <c:y val="0.2927451792457893"/>
                </c:manualLayout>
              </c:layout>
              <c:numFmt formatCode="0.0%" sourceLinked="0"/>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F49-4ED5-887B-C4AD789284D7}"/>
                </c:ext>
              </c:extLst>
            </c:dLbl>
            <c:dLbl>
              <c:idx val="3"/>
              <c:layout>
                <c:manualLayout>
                  <c:xMode val="edge"/>
                  <c:yMode val="edge"/>
                  <c:x val="0.71946958618736356"/>
                  <c:y val="0.50215413958219335"/>
                </c:manualLayout>
              </c:layout>
              <c:numFmt formatCode="0.0%" sourceLinked="0"/>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49-4ED5-887B-C4AD789284D7}"/>
                </c:ext>
              </c:extLst>
            </c:dLbl>
            <c:numFmt formatCode="0.0%" sourceLinked="0"/>
            <c:spPr>
              <a:noFill/>
              <a:ln w="25400">
                <a:noFill/>
              </a:ln>
            </c:spPr>
            <c:txPr>
              <a:bodyPr wrap="square" lIns="38100" tIns="19050" rIns="38100" bIns="19050" anchor="ctr">
                <a:spAutoFit/>
              </a:bodyPr>
              <a:lstStyle/>
              <a:p>
                <a:pPr>
                  <a:defRPr sz="975" b="0" i="0" u="none" strike="noStrike" baseline="0">
                    <a:solidFill>
                      <a:srgbClr val="000000"/>
                    </a:solidFill>
                    <a:latin typeface="Arial"/>
                    <a:ea typeface="Arial"/>
                    <a:cs typeface="Aria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'Chart -Defoliation'!$D$4:$D$7</c:f>
              <c:strCache>
                <c:ptCount val="4"/>
                <c:pt idx="0">
                  <c:v>Spruce budworm</c:v>
                </c:pt>
                <c:pt idx="1">
                  <c:v>Forest tent caterpillar</c:v>
                </c:pt>
                <c:pt idx="2">
                  <c:v>Large aspen tortrix</c:v>
                </c:pt>
                <c:pt idx="3">
                  <c:v>Other</c:v>
                </c:pt>
              </c:strCache>
            </c:strRef>
          </c:cat>
          <c:val>
            <c:numRef>
              <c:f>('Chart -Defoliation'!$F$11,'Chart -Defoliation'!$F$13,'Chart -Defoliation'!$F$15,'Chart -Defoliation'!$F$17)</c:f>
              <c:numCache>
                <c:formatCode>0.0%</c:formatCode>
                <c:ptCount val="4"/>
                <c:pt idx="0">
                  <c:v>3.9946748069448063E-2</c:v>
                </c:pt>
                <c:pt idx="1">
                  <c:v>0.76723082591327851</c:v>
                </c:pt>
                <c:pt idx="2">
                  <c:v>0.18878081579190434</c:v>
                </c:pt>
                <c:pt idx="3">
                  <c:v>4.0416102253690864E-3</c:v>
                </c:pt>
              </c:numCache>
            </c:numRef>
          </c:val>
          <c:extLst>
            <c:ext xmlns:c16="http://schemas.microsoft.com/office/drawing/2014/chart" uri="{C3380CC4-5D6E-409C-BE32-E72D297353CC}">
              <c16:uniqueId val="{00000004-BF49-4ED5-887B-C4AD789284D7}"/>
            </c:ext>
          </c:extLst>
        </c:ser>
        <c:dLbls>
          <c:showLegendKey val="0"/>
          <c:showVal val="0"/>
          <c:showCatName val="0"/>
          <c:showSerName val="0"/>
          <c:showPercent val="0"/>
          <c:showBubbleSize val="0"/>
          <c:showLeaderLines val="1"/>
        </c:dLbls>
        <c:firstSliceAng val="11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8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12700</xdr:colOff>
      <xdr:row>2</xdr:row>
      <xdr:rowOff>19050</xdr:rowOff>
    </xdr:from>
    <xdr:to>
      <xdr:col>1</xdr:col>
      <xdr:colOff>5975350</xdr:colOff>
      <xdr:row>19</xdr:row>
      <xdr:rowOff>152400</xdr:rowOff>
    </xdr:to>
    <xdr:graphicFrame macro="">
      <xdr:nvGraphicFramePr>
        <xdr:cNvPr id="12289" name="Chart 1">
          <a:extLst>
            <a:ext uri="{FF2B5EF4-FFF2-40B4-BE49-F238E27FC236}">
              <a16:creationId xmlns:a16="http://schemas.microsoft.com/office/drawing/2014/main" id="{DAB38FC9-DA56-43D9-B6A9-4B56DD442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127000</xdr:colOff>
      <xdr:row>18</xdr:row>
      <xdr:rowOff>82550</xdr:rowOff>
    </xdr:from>
    <xdr:to>
      <xdr:col>1</xdr:col>
      <xdr:colOff>2755900</xdr:colOff>
      <xdr:row>19</xdr:row>
      <xdr:rowOff>101600</xdr:rowOff>
    </xdr:to>
    <xdr:sp macro="" textlink="">
      <xdr:nvSpPr>
        <xdr:cNvPr id="12291" name="Text Box 3">
          <a:extLst>
            <a:ext uri="{FF2B5EF4-FFF2-40B4-BE49-F238E27FC236}">
              <a16:creationId xmlns:a16="http://schemas.microsoft.com/office/drawing/2014/main" id="{C732D446-EACD-418B-B4E4-778E03E7795A}"/>
            </a:ext>
          </a:extLst>
        </xdr:cNvPr>
        <xdr:cNvSpPr txBox="1">
          <a:spLocks noChangeArrowheads="1"/>
        </xdr:cNvSpPr>
      </xdr:nvSpPr>
      <xdr:spPr bwMode="auto">
        <a:xfrm>
          <a:off x="247650" y="3194050"/>
          <a:ext cx="2628900" cy="17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Source: National Forestry Database</a:t>
          </a:r>
        </a:p>
      </xdr:txBody>
    </xdr:sp>
    <xdr:clientData/>
  </xdr:twoCellAnchor>
  <xdr:twoCellAnchor>
    <xdr:from>
      <xdr:col>1</xdr:col>
      <xdr:colOff>254000</xdr:colOff>
      <xdr:row>2</xdr:row>
      <xdr:rowOff>120650</xdr:rowOff>
    </xdr:from>
    <xdr:to>
      <xdr:col>1</xdr:col>
      <xdr:colOff>5829300</xdr:colOff>
      <xdr:row>4</xdr:row>
      <xdr:rowOff>196850</xdr:rowOff>
    </xdr:to>
    <xdr:sp macro="" textlink="">
      <xdr:nvSpPr>
        <xdr:cNvPr id="12292" name="Text Box 4">
          <a:extLst>
            <a:ext uri="{FF2B5EF4-FFF2-40B4-BE49-F238E27FC236}">
              <a16:creationId xmlns:a16="http://schemas.microsoft.com/office/drawing/2014/main" id="{2B2E0675-4D8C-4EF8-A218-03A269D17110}"/>
            </a:ext>
          </a:extLst>
        </xdr:cNvPr>
        <xdr:cNvSpPr txBox="1">
          <a:spLocks noChangeArrowheads="1"/>
        </xdr:cNvSpPr>
      </xdr:nvSpPr>
      <xdr:spPr bwMode="auto">
        <a:xfrm>
          <a:off x="374650" y="508000"/>
          <a:ext cx="5575300" cy="4699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Area</a:t>
          </a:r>
          <a:r>
            <a:rPr lang="en-GB" sz="1200" b="1" i="0" u="none" strike="noStrike" baseline="30000">
              <a:solidFill>
                <a:srgbClr val="000000"/>
              </a:solidFill>
              <a:latin typeface="Arial"/>
              <a:cs typeface="Arial"/>
            </a:rPr>
            <a:t>d</a:t>
          </a:r>
          <a:r>
            <a:rPr lang="en-GB" sz="1200" b="1" i="0" u="none" strike="noStrike" baseline="0">
              <a:solidFill>
                <a:srgbClr val="000000"/>
              </a:solidFill>
              <a:latin typeface="Arial"/>
              <a:cs typeface="Arial"/>
            </a:rPr>
            <a:t> of Moderate to Severe Defoliation, 2000</a:t>
          </a:r>
          <a:endParaRPr lang="en-GB" sz="1200" b="0" i="0" u="none" strike="noStrike" baseline="0">
            <a:solidFill>
              <a:srgbClr val="000000"/>
            </a:solidFill>
            <a:latin typeface="Arial"/>
            <a:cs typeface="Arial"/>
          </a:endParaRPr>
        </a:p>
        <a:p>
          <a:pPr algn="ctr" rtl="0">
            <a:defRPr sz="1000"/>
          </a:pPr>
          <a:r>
            <a:rPr lang="en-GB" sz="1200" b="0" i="0" u="none" strike="noStrike" baseline="0">
              <a:solidFill>
                <a:srgbClr val="000000"/>
              </a:solidFill>
              <a:latin typeface="Arial"/>
              <a:cs typeface="Arial"/>
            </a:rPr>
            <a:t>Canada = 9 428 559 ha</a:t>
          </a:r>
        </a:p>
      </xdr:txBody>
    </xdr:sp>
    <xdr:clientData/>
  </xdr:twoCellAnchor>
  <xdr:twoCellAnchor>
    <xdr:from>
      <xdr:col>1</xdr:col>
      <xdr:colOff>0</xdr:colOff>
      <xdr:row>21</xdr:row>
      <xdr:rowOff>0</xdr:rowOff>
    </xdr:from>
    <xdr:to>
      <xdr:col>1</xdr:col>
      <xdr:colOff>5975350</xdr:colOff>
      <xdr:row>39</xdr:row>
      <xdr:rowOff>101600</xdr:rowOff>
    </xdr:to>
    <xdr:graphicFrame macro="">
      <xdr:nvGraphicFramePr>
        <xdr:cNvPr id="12294" name="Chart 6">
          <a:extLst>
            <a:ext uri="{FF2B5EF4-FFF2-40B4-BE49-F238E27FC236}">
              <a16:creationId xmlns:a16="http://schemas.microsoft.com/office/drawing/2014/main" id="{A29707E1-7681-4753-906E-A1F0FB0BF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0.00849</cdr:x>
      <cdr:y>0.91316</cdr:y>
    </cdr:from>
    <cdr:to>
      <cdr:x>0.44667</cdr:x>
      <cdr:y>0.98294</cdr:y>
    </cdr:to>
    <cdr:sp macro="" textlink="">
      <cdr:nvSpPr>
        <cdr:cNvPr id="14338" name="Text Box 2">
          <a:extLst xmlns:a="http://schemas.openxmlformats.org/drawingml/2006/main">
            <a:ext uri="{FF2B5EF4-FFF2-40B4-BE49-F238E27FC236}">
              <a16:creationId xmlns:a16="http://schemas.microsoft.com/office/drawing/2014/main" id="{9147CFF1-40CE-4F5B-8A6D-C3EAFA24624E}"/>
            </a:ext>
          </a:extLst>
        </cdr:cNvPr>
        <cdr:cNvSpPr txBox="1">
          <a:spLocks xmlns:a="http://schemas.openxmlformats.org/drawingml/2006/main" noChangeArrowheads="1"/>
        </cdr:cNvSpPr>
      </cdr:nvSpPr>
      <cdr:spPr bwMode="auto">
        <a:xfrm xmlns:a="http://schemas.openxmlformats.org/drawingml/2006/main">
          <a:off x="50800" y="2719519"/>
          <a:ext cx="2621055" cy="207831"/>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36576" tIns="27432" rIns="0" bIns="0" anchor="t" upright="1"/>
        <a:lstStyle xmlns:a="http://schemas.openxmlformats.org/drawingml/2006/main"/>
        <a:p xmlns:a="http://schemas.openxmlformats.org/drawingml/2006/main">
          <a:pPr algn="l" rtl="0">
            <a:defRPr sz="1000"/>
          </a:pPr>
          <a:r>
            <a:rPr lang="en-GB" sz="1000" b="0" i="0" u="none" strike="noStrike" baseline="0">
              <a:solidFill>
                <a:srgbClr val="000000"/>
              </a:solidFill>
              <a:latin typeface="Arial"/>
              <a:cs typeface="Arial"/>
            </a:rPr>
            <a:t>Source: National Forestry Database</a:t>
          </a:r>
        </a:p>
      </cdr:txBody>
    </cdr:sp>
  </cdr:relSizeAnchor>
  <cdr:relSizeAnchor xmlns:cdr="http://schemas.openxmlformats.org/drawingml/2006/chartDrawing">
    <cdr:from>
      <cdr:x>0.00849</cdr:x>
      <cdr:y>0.01706</cdr:y>
    </cdr:from>
    <cdr:to>
      <cdr:x>0.93892</cdr:x>
      <cdr:y>0.17546</cdr:y>
    </cdr:to>
    <cdr:sp macro="" textlink="">
      <cdr:nvSpPr>
        <cdr:cNvPr id="14339" name="Text Box 3">
          <a:extLst xmlns:a="http://schemas.openxmlformats.org/drawingml/2006/main">
            <a:ext uri="{FF2B5EF4-FFF2-40B4-BE49-F238E27FC236}">
              <a16:creationId xmlns:a16="http://schemas.microsoft.com/office/drawing/2014/main" id="{2461E639-5FCE-4C6F-B670-F9A7680C62F6}"/>
            </a:ext>
          </a:extLst>
        </cdr:cNvPr>
        <cdr:cNvSpPr txBox="1">
          <a:spLocks xmlns:a="http://schemas.openxmlformats.org/drawingml/2006/main" noChangeArrowheads="1"/>
        </cdr:cNvSpPr>
      </cdr:nvSpPr>
      <cdr:spPr bwMode="auto">
        <a:xfrm xmlns:a="http://schemas.openxmlformats.org/drawingml/2006/main">
          <a:off x="50800" y="50800"/>
          <a:ext cx="5565515" cy="471754"/>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45720" tIns="36576" rIns="45720" bIns="0" anchor="t" upright="1"/>
        <a:lstStyle xmlns:a="http://schemas.openxmlformats.org/drawingml/2006/main"/>
        <a:p xmlns:a="http://schemas.openxmlformats.org/drawingml/2006/main">
          <a:pPr algn="ctr" rtl="0">
            <a:defRPr sz="1000"/>
          </a:pPr>
          <a:r>
            <a:rPr lang="en-GB" sz="1200" b="1" i="0" u="none" strike="noStrike" baseline="0">
              <a:solidFill>
                <a:srgbClr val="000000"/>
              </a:solidFill>
              <a:latin typeface="Arial"/>
              <a:cs typeface="Arial"/>
            </a:rPr>
            <a:t>Area</a:t>
          </a:r>
          <a:r>
            <a:rPr lang="en-GB" sz="1200" b="1" i="0" u="none" strike="noStrike" baseline="30000">
              <a:solidFill>
                <a:srgbClr val="000000"/>
              </a:solidFill>
              <a:latin typeface="Arial"/>
              <a:cs typeface="Arial"/>
            </a:rPr>
            <a:t>d</a:t>
          </a:r>
          <a:r>
            <a:rPr lang="en-GB" sz="1200" b="1" i="0" u="none" strike="noStrike" baseline="0">
              <a:solidFill>
                <a:srgbClr val="000000"/>
              </a:solidFill>
              <a:latin typeface="Arial"/>
              <a:cs typeface="Arial"/>
            </a:rPr>
            <a:t> of Moderate to Severe Defoliation, 2001</a:t>
          </a:r>
          <a:endParaRPr lang="en-GB" sz="1200" b="0" i="0" u="none" strike="noStrike" baseline="0">
            <a:solidFill>
              <a:srgbClr val="000000"/>
            </a:solidFill>
            <a:latin typeface="Arial"/>
            <a:cs typeface="Arial"/>
          </a:endParaRPr>
        </a:p>
        <a:p xmlns:a="http://schemas.openxmlformats.org/drawingml/2006/main">
          <a:pPr algn="ctr" rtl="0">
            <a:defRPr sz="1000"/>
          </a:pPr>
          <a:r>
            <a:rPr lang="en-GB" sz="1200" b="0" i="0" u="none" strike="noStrike" baseline="0">
              <a:solidFill>
                <a:srgbClr val="000000"/>
              </a:solidFill>
              <a:latin typeface="Arial"/>
              <a:cs typeface="Arial"/>
            </a:rPr>
            <a:t>Canada = 18 589 373 ha</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G37"/>
  <sheetViews>
    <sheetView showGridLines="0" workbookViewId="0"/>
  </sheetViews>
  <sheetFormatPr defaultRowHeight="12.5" x14ac:dyDescent="0.25"/>
  <cols>
    <col min="1" max="1" width="1.7265625" customWidth="1"/>
    <col min="2" max="2" width="85.7265625" customWidth="1"/>
    <col min="3" max="3" width="4.81640625" customWidth="1"/>
    <col min="4" max="4" width="18.81640625" bestFit="1" customWidth="1"/>
    <col min="5" max="5" width="11.54296875" bestFit="1" customWidth="1"/>
    <col min="6" max="6" width="12.54296875" customWidth="1"/>
    <col min="7" max="7" width="5.26953125" customWidth="1"/>
  </cols>
  <sheetData>
    <row r="1" spans="2:7" x14ac:dyDescent="0.25">
      <c r="B1" s="2" t="s">
        <v>28</v>
      </c>
      <c r="C1" s="2"/>
    </row>
    <row r="2" spans="2:7" ht="18" x14ac:dyDescent="0.4">
      <c r="B2" s="6" t="s">
        <v>14</v>
      </c>
      <c r="C2" s="6"/>
      <c r="E2" s="30" t="s">
        <v>24</v>
      </c>
    </row>
    <row r="3" spans="2:7" x14ac:dyDescent="0.25">
      <c r="E3">
        <v>2000</v>
      </c>
      <c r="F3">
        <v>2001</v>
      </c>
      <c r="G3" s="2"/>
    </row>
    <row r="4" spans="2:7" ht="18.75" customHeight="1" x14ac:dyDescent="0.25">
      <c r="D4" t="s">
        <v>15</v>
      </c>
      <c r="E4">
        <f>SUM('Table - Defoliation 2000'!C5)</f>
        <v>505376</v>
      </c>
      <c r="F4" s="4">
        <f>SUM('Table - Defoliation 2001'!C5)</f>
        <v>742585</v>
      </c>
    </row>
    <row r="5" spans="2:7" ht="18.75" customHeight="1" x14ac:dyDescent="0.25">
      <c r="D5" t="s">
        <v>16</v>
      </c>
      <c r="E5">
        <f>SUM('Table - Defoliation 2000'!C6)</f>
        <v>8043660</v>
      </c>
      <c r="F5" s="4">
        <f>SUM('Table - Defoliation 2001'!C6)</f>
        <v>14262340</v>
      </c>
    </row>
    <row r="6" spans="2:7" x14ac:dyDescent="0.25">
      <c r="D6" t="s">
        <v>17</v>
      </c>
      <c r="F6" s="4">
        <f>SUM('Table - Defoliation 2001'!C7)</f>
        <v>3509317</v>
      </c>
    </row>
    <row r="7" spans="2:7" x14ac:dyDescent="0.25">
      <c r="D7" t="s">
        <v>1</v>
      </c>
      <c r="E7">
        <f>SUM('Table - Defoliation 2000'!C8)</f>
        <v>879523</v>
      </c>
      <c r="F7" s="4">
        <f>SUM('Table - Defoliation 2001'!C8)</f>
        <v>75131</v>
      </c>
    </row>
    <row r="8" spans="2:7" ht="13" x14ac:dyDescent="0.3">
      <c r="D8" t="s">
        <v>0</v>
      </c>
      <c r="E8" s="1">
        <f>SUM(E4:E7)</f>
        <v>9428559</v>
      </c>
      <c r="F8" s="1">
        <f>SUM(F4:F7)</f>
        <v>18589373</v>
      </c>
    </row>
    <row r="9" spans="2:7" ht="13" x14ac:dyDescent="0.3">
      <c r="E9" s="1"/>
      <c r="F9" s="1"/>
      <c r="G9" s="4"/>
    </row>
    <row r="10" spans="2:7" x14ac:dyDescent="0.25">
      <c r="E10" s="3">
        <f>(E4*100)/E8</f>
        <v>5.3600555503762557</v>
      </c>
      <c r="F10" s="3">
        <f>(F4*100)/F8</f>
        <v>3.9946748069448064</v>
      </c>
      <c r="G10" s="4"/>
    </row>
    <row r="11" spans="2:7" x14ac:dyDescent="0.25">
      <c r="D11" t="s">
        <v>15</v>
      </c>
      <c r="E11" s="5">
        <f>E10*0.01</f>
        <v>5.3600555503762561E-2</v>
      </c>
      <c r="F11" s="5">
        <f>F10*0.01</f>
        <v>3.9946748069448063E-2</v>
      </c>
      <c r="G11" s="4"/>
    </row>
    <row r="12" spans="2:7" x14ac:dyDescent="0.25">
      <c r="E12" s="3">
        <f>(E5*100)/E8</f>
        <v>85.311657910821793</v>
      </c>
      <c r="F12" s="3">
        <f>(F5*100)/F8</f>
        <v>76.723082591327852</v>
      </c>
      <c r="G12" s="4"/>
    </row>
    <row r="13" spans="2:7" x14ac:dyDescent="0.25">
      <c r="D13" t="s">
        <v>16</v>
      </c>
      <c r="E13" s="5">
        <f>E12*0.01</f>
        <v>0.85311657910821792</v>
      </c>
      <c r="F13" s="5">
        <f>F12*0.01</f>
        <v>0.76723082591327851</v>
      </c>
      <c r="G13" s="4"/>
    </row>
    <row r="14" spans="2:7" x14ac:dyDescent="0.25">
      <c r="E14" s="3">
        <f>(E6*100)/E8</f>
        <v>0</v>
      </c>
      <c r="F14" s="3">
        <f>(F6*100)/F8</f>
        <v>18.878081579190432</v>
      </c>
      <c r="G14" s="4"/>
    </row>
    <row r="15" spans="2:7" ht="13" x14ac:dyDescent="0.3">
      <c r="D15" t="s">
        <v>17</v>
      </c>
      <c r="E15" s="5">
        <f>E14*0.01</f>
        <v>0</v>
      </c>
      <c r="F15" s="5">
        <f>F14*0.01</f>
        <v>0.18878081579190434</v>
      </c>
      <c r="G15" s="1"/>
    </row>
    <row r="16" spans="2:7" ht="13" x14ac:dyDescent="0.3">
      <c r="E16" s="3">
        <f>(E7*100)/E8</f>
        <v>9.3282865388019527</v>
      </c>
      <c r="F16" s="3">
        <f>(F7*100)/F8</f>
        <v>0.40416102253690861</v>
      </c>
      <c r="G16" s="1"/>
    </row>
    <row r="17" spans="2:7" ht="13" x14ac:dyDescent="0.3">
      <c r="D17" t="s">
        <v>1</v>
      </c>
      <c r="E17" s="5">
        <f>E16*0.01</f>
        <v>9.3282865388019526E-2</v>
      </c>
      <c r="F17" s="5">
        <f>F16*0.01</f>
        <v>4.0416102253690864E-3</v>
      </c>
      <c r="G17" s="1"/>
    </row>
    <row r="18" spans="2:7" x14ac:dyDescent="0.25">
      <c r="D18" t="s">
        <v>0</v>
      </c>
      <c r="E18" s="3">
        <f>SUM(E10,E12,E14,E16)</f>
        <v>100</v>
      </c>
      <c r="F18" s="3">
        <f>SUM(F10,F12,F14,F16)</f>
        <v>100</v>
      </c>
    </row>
    <row r="19" spans="2:7" x14ac:dyDescent="0.25">
      <c r="E19" s="5"/>
      <c r="F19" s="5"/>
    </row>
    <row r="20" spans="2:7" x14ac:dyDescent="0.25">
      <c r="E20" s="5"/>
    </row>
    <row r="21" spans="2:7" ht="18" x14ac:dyDescent="0.4">
      <c r="B21" s="6" t="s">
        <v>14</v>
      </c>
      <c r="C21" s="6"/>
    </row>
    <row r="23" spans="2:7" ht="13" x14ac:dyDescent="0.3">
      <c r="E23" s="30"/>
    </row>
    <row r="29" spans="2:7" ht="13" x14ac:dyDescent="0.3">
      <c r="E29" s="1"/>
      <c r="F29" s="1"/>
    </row>
    <row r="30" spans="2:7" x14ac:dyDescent="0.25">
      <c r="E30" s="3"/>
      <c r="F30" s="3"/>
    </row>
    <row r="31" spans="2:7" x14ac:dyDescent="0.25">
      <c r="E31" s="5"/>
      <c r="F31" s="5"/>
    </row>
    <row r="32" spans="2:7" x14ac:dyDescent="0.25">
      <c r="E32" s="3"/>
      <c r="F32" s="3"/>
    </row>
    <row r="33" spans="5:6" x14ac:dyDescent="0.25">
      <c r="E33" s="5"/>
      <c r="F33" s="5"/>
    </row>
    <row r="34" spans="5:6" x14ac:dyDescent="0.25">
      <c r="E34" s="3"/>
      <c r="F34" s="3"/>
    </row>
    <row r="35" spans="5:6" x14ac:dyDescent="0.25">
      <c r="E35" s="5"/>
      <c r="F35" s="5"/>
    </row>
    <row r="36" spans="5:6" x14ac:dyDescent="0.25">
      <c r="E36" s="3"/>
      <c r="F36" s="3"/>
    </row>
    <row r="37" spans="5:6" x14ac:dyDescent="0.25">
      <c r="E37" s="5"/>
      <c r="F37" s="5"/>
    </row>
  </sheetData>
  <phoneticPr fontId="0" type="noConversion"/>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6"/>
  <sheetViews>
    <sheetView showGridLines="0" workbookViewId="0">
      <selection activeCell="I9" sqref="I9"/>
    </sheetView>
  </sheetViews>
  <sheetFormatPr defaultColWidth="9.1796875" defaultRowHeight="13" x14ac:dyDescent="0.3"/>
  <cols>
    <col min="1" max="1" width="1.7265625" style="7" customWidth="1"/>
    <col min="2" max="2" width="33.26953125" style="7" bestFit="1" customWidth="1"/>
    <col min="3" max="3" width="24.26953125" style="7" customWidth="1"/>
    <col min="4" max="4" width="1.7265625" style="8" customWidth="1"/>
    <col min="5" max="5" width="24.26953125" style="7" customWidth="1"/>
    <col min="6" max="6" width="1.7265625" style="7" customWidth="1"/>
    <col min="7" max="16384" width="9.1796875" style="7"/>
  </cols>
  <sheetData>
    <row r="1" spans="2:6" x14ac:dyDescent="0.3">
      <c r="C1" s="7" t="s">
        <v>21</v>
      </c>
    </row>
    <row r="2" spans="2:6" ht="13.5" thickBot="1" x14ac:dyDescent="0.35"/>
    <row r="3" spans="2:6" ht="40.5" customHeight="1" thickTop="1" thickBot="1" x14ac:dyDescent="0.35">
      <c r="B3" s="43" t="s">
        <v>18</v>
      </c>
      <c r="C3" s="44"/>
      <c r="D3" s="44"/>
      <c r="E3" s="44"/>
      <c r="F3" s="45"/>
    </row>
    <row r="4" spans="2:6" ht="29.25" customHeight="1" thickTop="1" thickBot="1" x14ac:dyDescent="0.35">
      <c r="B4" s="29" t="s">
        <v>19</v>
      </c>
      <c r="C4" s="9" t="s">
        <v>35</v>
      </c>
      <c r="D4" s="28"/>
      <c r="E4" s="9" t="s">
        <v>13</v>
      </c>
      <c r="F4" s="10"/>
    </row>
    <row r="5" spans="2:6" ht="22.5" customHeight="1" thickTop="1" thickBot="1" x14ac:dyDescent="0.35">
      <c r="B5" s="11" t="s">
        <v>15</v>
      </c>
      <c r="C5" s="13">
        <v>505376</v>
      </c>
      <c r="D5" s="12" t="s">
        <v>2</v>
      </c>
      <c r="E5" s="27">
        <f>C5*100/C9</f>
        <v>5.3600555503762557</v>
      </c>
      <c r="F5" s="31"/>
    </row>
    <row r="6" spans="2:6" ht="22.5" customHeight="1" thickTop="1" thickBot="1" x14ac:dyDescent="0.35">
      <c r="B6" s="11" t="s">
        <v>16</v>
      </c>
      <c r="C6" s="13">
        <v>8043660</v>
      </c>
      <c r="D6" s="12" t="s">
        <v>2</v>
      </c>
      <c r="E6" s="27">
        <f>C6*100/C9</f>
        <v>85.311657910821793</v>
      </c>
      <c r="F6" s="31"/>
    </row>
    <row r="7" spans="2:6" ht="22.5" customHeight="1" thickTop="1" thickBot="1" x14ac:dyDescent="0.35">
      <c r="B7" s="11" t="s">
        <v>17</v>
      </c>
      <c r="C7" s="13" t="s">
        <v>11</v>
      </c>
      <c r="D7" s="12"/>
      <c r="E7" s="27" t="s">
        <v>11</v>
      </c>
      <c r="F7" s="31"/>
    </row>
    <row r="8" spans="2:6" ht="22.5" customHeight="1" thickTop="1" thickBot="1" x14ac:dyDescent="0.35">
      <c r="B8" s="11" t="s">
        <v>1</v>
      </c>
      <c r="C8" s="13">
        <v>879523</v>
      </c>
      <c r="D8" s="12"/>
      <c r="E8" s="27">
        <f>C8*100/C9</f>
        <v>9.3282865388019527</v>
      </c>
      <c r="F8" s="31"/>
    </row>
    <row r="9" spans="2:6" ht="22.5" customHeight="1" thickTop="1" thickBot="1" x14ac:dyDescent="0.35">
      <c r="B9" s="15" t="s">
        <v>0</v>
      </c>
      <c r="C9" s="33">
        <f>SUM(C5:C8)</f>
        <v>9428559</v>
      </c>
      <c r="D9" s="39" t="s">
        <v>2</v>
      </c>
      <c r="E9" s="34">
        <f>SUM(E5:E8)</f>
        <v>100</v>
      </c>
      <c r="F9" s="31"/>
    </row>
    <row r="10" spans="2:6" ht="56.25" customHeight="1" thickTop="1" x14ac:dyDescent="0.3">
      <c r="B10" s="46" t="s">
        <v>22</v>
      </c>
      <c r="C10" s="47"/>
      <c r="D10" s="47"/>
      <c r="E10" s="47"/>
      <c r="F10" s="48"/>
    </row>
    <row r="11" spans="2:6" ht="18.75" customHeight="1" thickBot="1" x14ac:dyDescent="0.35">
      <c r="B11" s="16" t="s">
        <v>3</v>
      </c>
      <c r="C11" s="17"/>
      <c r="D11" s="17"/>
      <c r="E11" s="17"/>
      <c r="F11" s="32"/>
    </row>
    <row r="12" spans="2:6" ht="13.5" thickTop="1" x14ac:dyDescent="0.3"/>
    <row r="14" spans="2:6" x14ac:dyDescent="0.3">
      <c r="E14" s="7" t="s">
        <v>4</v>
      </c>
    </row>
    <row r="16" spans="2:6" x14ac:dyDescent="0.3">
      <c r="E16" s="18"/>
    </row>
  </sheetData>
  <mergeCells count="2">
    <mergeCell ref="B3:F3"/>
    <mergeCell ref="B10:F10"/>
  </mergeCells>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5"/>
  <sheetViews>
    <sheetView showGridLines="0" workbookViewId="0">
      <selection activeCell="J11" sqref="J11"/>
    </sheetView>
  </sheetViews>
  <sheetFormatPr defaultColWidth="9.1796875" defaultRowHeight="13" x14ac:dyDescent="0.3"/>
  <cols>
    <col min="1" max="1" width="1.7265625" style="7" customWidth="1"/>
    <col min="2" max="2" width="33.26953125" style="7" bestFit="1" customWidth="1"/>
    <col min="3" max="3" width="24.26953125" style="7" customWidth="1"/>
    <col min="4" max="4" width="1.7265625" style="8" customWidth="1"/>
    <col min="5" max="5" width="24.26953125" style="7" customWidth="1"/>
    <col min="6" max="6" width="1.7265625" style="7" customWidth="1"/>
    <col min="7" max="16384" width="9.1796875" style="7"/>
  </cols>
  <sheetData>
    <row r="1" spans="2:7" x14ac:dyDescent="0.3">
      <c r="C1" s="7" t="s">
        <v>20</v>
      </c>
      <c r="G1" s="40" t="s">
        <v>33</v>
      </c>
    </row>
    <row r="2" spans="2:7" ht="13.5" thickBot="1" x14ac:dyDescent="0.35"/>
    <row r="3" spans="2:7" ht="40.5" customHeight="1" thickTop="1" thickBot="1" x14ac:dyDescent="0.35">
      <c r="B3" s="43" t="s">
        <v>30</v>
      </c>
      <c r="C3" s="44"/>
      <c r="D3" s="44"/>
      <c r="E3" s="44"/>
      <c r="F3" s="45"/>
    </row>
    <row r="4" spans="2:7" ht="29.25" customHeight="1" thickTop="1" thickBot="1" x14ac:dyDescent="0.35">
      <c r="B4" s="29" t="s">
        <v>19</v>
      </c>
      <c r="C4" s="9" t="s">
        <v>35</v>
      </c>
      <c r="D4" s="28"/>
      <c r="E4" s="9" t="s">
        <v>13</v>
      </c>
      <c r="F4" s="10"/>
    </row>
    <row r="5" spans="2:7" ht="22.5" customHeight="1" thickTop="1" thickBot="1" x14ac:dyDescent="0.35">
      <c r="B5" s="11" t="s">
        <v>15</v>
      </c>
      <c r="C5" s="13">
        <v>742585</v>
      </c>
      <c r="D5" s="12"/>
      <c r="E5" s="27">
        <f>C5*100/C9</f>
        <v>3.9946748069448064</v>
      </c>
      <c r="F5" s="31"/>
    </row>
    <row r="6" spans="2:7" ht="22.5" customHeight="1" thickTop="1" thickBot="1" x14ac:dyDescent="0.35">
      <c r="B6" s="11" t="s">
        <v>16</v>
      </c>
      <c r="C6" s="13">
        <v>14262340</v>
      </c>
      <c r="D6" s="12"/>
      <c r="E6" s="27">
        <f>C6*100/C9</f>
        <v>76.723082591327852</v>
      </c>
      <c r="F6" s="31"/>
    </row>
    <row r="7" spans="2:7" ht="22.5" customHeight="1" thickTop="1" thickBot="1" x14ac:dyDescent="0.35">
      <c r="B7" s="11" t="s">
        <v>17</v>
      </c>
      <c r="C7" s="13">
        <v>3509317</v>
      </c>
      <c r="D7" s="12"/>
      <c r="E7" s="27">
        <f>C7*100/C9</f>
        <v>18.878081579190432</v>
      </c>
      <c r="F7" s="31"/>
    </row>
    <row r="8" spans="2:7" ht="22.5" customHeight="1" thickTop="1" thickBot="1" x14ac:dyDescent="0.35">
      <c r="B8" s="11" t="s">
        <v>1</v>
      </c>
      <c r="C8" s="13">
        <v>75131</v>
      </c>
      <c r="D8" s="12"/>
      <c r="E8" s="27">
        <f>C8*100/C9</f>
        <v>0.40416102253690861</v>
      </c>
      <c r="F8" s="31"/>
    </row>
    <row r="9" spans="2:7" ht="22.5" customHeight="1" thickTop="1" thickBot="1" x14ac:dyDescent="0.35">
      <c r="B9" s="15" t="s">
        <v>0</v>
      </c>
      <c r="C9" s="33">
        <f>SUM(C5:C8)</f>
        <v>18589373</v>
      </c>
      <c r="D9" s="12"/>
      <c r="E9" s="34">
        <f>SUM(E5:E8)</f>
        <v>100</v>
      </c>
      <c r="F9" s="31"/>
    </row>
    <row r="10" spans="2:7" ht="56.25" customHeight="1" thickTop="1" x14ac:dyDescent="0.3">
      <c r="B10" s="46" t="s">
        <v>22</v>
      </c>
      <c r="C10" s="47"/>
      <c r="D10" s="47"/>
      <c r="E10" s="47"/>
      <c r="F10" s="48"/>
    </row>
    <row r="11" spans="2:7" ht="18.75" customHeight="1" thickBot="1" x14ac:dyDescent="0.35">
      <c r="B11" s="16" t="s">
        <v>3</v>
      </c>
      <c r="C11" s="17"/>
      <c r="D11" s="17"/>
      <c r="E11" s="17"/>
      <c r="F11" s="32"/>
    </row>
    <row r="12" spans="2:7" ht="13.5" thickTop="1" x14ac:dyDescent="0.3"/>
    <row r="13" spans="2:7" x14ac:dyDescent="0.3">
      <c r="E13" s="7" t="s">
        <v>4</v>
      </c>
    </row>
    <row r="15" spans="2:7" x14ac:dyDescent="0.3">
      <c r="E15" s="18"/>
    </row>
  </sheetData>
  <mergeCells count="2">
    <mergeCell ref="B3:F3"/>
    <mergeCell ref="B10:F10"/>
  </mergeCells>
  <phoneticPr fontId="0"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5"/>
  <sheetViews>
    <sheetView showGridLines="0" workbookViewId="0">
      <selection activeCell="E18" sqref="E18"/>
    </sheetView>
  </sheetViews>
  <sheetFormatPr defaultColWidth="9.1796875" defaultRowHeight="13" x14ac:dyDescent="0.3"/>
  <cols>
    <col min="1" max="1" width="1.7265625" style="7" customWidth="1"/>
    <col min="2" max="2" width="33.26953125" style="7" bestFit="1" customWidth="1"/>
    <col min="3" max="3" width="24.26953125" style="7" customWidth="1"/>
    <col min="4" max="4" width="1.7265625" style="8" customWidth="1"/>
    <col min="5" max="5" width="24.26953125" style="7" customWidth="1"/>
    <col min="6" max="6" width="1.7265625" style="7" customWidth="1"/>
    <col min="7" max="16384" width="9.1796875" style="7"/>
  </cols>
  <sheetData>
    <row r="1" spans="2:6" x14ac:dyDescent="0.3">
      <c r="C1" s="7" t="s">
        <v>25</v>
      </c>
    </row>
    <row r="2" spans="2:6" ht="13.5" thickBot="1" x14ac:dyDescent="0.35"/>
    <row r="3" spans="2:6" ht="40.5" customHeight="1" thickTop="1" thickBot="1" x14ac:dyDescent="0.35">
      <c r="B3" s="43" t="s">
        <v>27</v>
      </c>
      <c r="C3" s="44"/>
      <c r="D3" s="44"/>
      <c r="E3" s="44"/>
      <c r="F3" s="45"/>
    </row>
    <row r="4" spans="2:6" ht="29.25" customHeight="1" thickTop="1" thickBot="1" x14ac:dyDescent="0.35">
      <c r="B4" s="29" t="s">
        <v>29</v>
      </c>
      <c r="C4" s="9" t="s">
        <v>35</v>
      </c>
      <c r="D4" s="28"/>
      <c r="E4" s="9" t="s">
        <v>13</v>
      </c>
      <c r="F4" s="10"/>
    </row>
    <row r="5" spans="2:6" ht="22.5" customHeight="1" thickTop="1" thickBot="1" x14ac:dyDescent="0.35">
      <c r="B5" s="11" t="s">
        <v>6</v>
      </c>
      <c r="C5" s="13">
        <v>1358398</v>
      </c>
      <c r="D5" s="12"/>
      <c r="E5" s="27">
        <f>C5*100/C9</f>
        <v>14.407270506553546</v>
      </c>
      <c r="F5" s="31"/>
    </row>
    <row r="6" spans="2:6" ht="22.5" customHeight="1" thickTop="1" thickBot="1" x14ac:dyDescent="0.35">
      <c r="B6" s="11" t="s">
        <v>7</v>
      </c>
      <c r="C6" s="13">
        <v>7325512</v>
      </c>
      <c r="D6" s="12"/>
      <c r="E6" s="27">
        <f>C6*100/C9</f>
        <v>77.694926658463928</v>
      </c>
      <c r="F6" s="31"/>
    </row>
    <row r="7" spans="2:6" ht="22.5" customHeight="1" thickTop="1" thickBot="1" x14ac:dyDescent="0.35">
      <c r="B7" s="11" t="s">
        <v>8</v>
      </c>
      <c r="C7" s="13">
        <v>265776</v>
      </c>
      <c r="D7" s="12"/>
      <c r="E7" s="27">
        <f>C7*100/C9</f>
        <v>2.8188400793801045</v>
      </c>
      <c r="F7" s="31"/>
    </row>
    <row r="8" spans="2:6" ht="22.5" customHeight="1" thickTop="1" thickBot="1" x14ac:dyDescent="0.35">
      <c r="B8" s="11" t="s">
        <v>9</v>
      </c>
      <c r="C8" s="13">
        <v>478873</v>
      </c>
      <c r="D8" s="12" t="s">
        <v>2</v>
      </c>
      <c r="E8" s="27">
        <f>C8*100/C9</f>
        <v>5.0789627556024204</v>
      </c>
      <c r="F8" s="31"/>
    </row>
    <row r="9" spans="2:6" ht="22.5" customHeight="1" thickTop="1" thickBot="1" x14ac:dyDescent="0.35">
      <c r="B9" s="15" t="s">
        <v>0</v>
      </c>
      <c r="C9" s="33">
        <f>SUM(C5:C8)</f>
        <v>9428559</v>
      </c>
      <c r="D9" s="39" t="s">
        <v>2</v>
      </c>
      <c r="E9" s="34">
        <f>SUM(E5:E8)</f>
        <v>100</v>
      </c>
      <c r="F9" s="31"/>
    </row>
    <row r="10" spans="2:6" ht="32.25" customHeight="1" thickTop="1" thickBot="1" x14ac:dyDescent="0.35">
      <c r="B10" s="16" t="s">
        <v>3</v>
      </c>
      <c r="C10" s="17"/>
      <c r="D10" s="17"/>
      <c r="E10" s="17"/>
      <c r="F10" s="32"/>
    </row>
    <row r="11" spans="2:6" ht="13.5" thickTop="1" x14ac:dyDescent="0.3"/>
    <row r="13" spans="2:6" x14ac:dyDescent="0.3">
      <c r="E13" s="7" t="s">
        <v>4</v>
      </c>
    </row>
    <row r="15" spans="2:6" x14ac:dyDescent="0.3">
      <c r="E15" s="18"/>
    </row>
  </sheetData>
  <mergeCells count="1">
    <mergeCell ref="B3:F3"/>
  </mergeCells>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6"/>
  <sheetViews>
    <sheetView showGridLines="0" workbookViewId="0">
      <selection activeCell="J10" sqref="J10"/>
    </sheetView>
  </sheetViews>
  <sheetFormatPr defaultColWidth="9.1796875" defaultRowHeight="13" x14ac:dyDescent="0.3"/>
  <cols>
    <col min="1" max="1" width="1.7265625" style="7" customWidth="1"/>
    <col min="2" max="2" width="33.26953125" style="7" bestFit="1" customWidth="1"/>
    <col min="3" max="3" width="24.26953125" style="7" customWidth="1"/>
    <col min="4" max="4" width="1.7265625" style="8" customWidth="1"/>
    <col min="5" max="5" width="24.26953125" style="7" customWidth="1"/>
    <col min="6" max="6" width="1.7265625" style="7" customWidth="1"/>
    <col min="7" max="16384" width="9.1796875" style="7"/>
  </cols>
  <sheetData>
    <row r="1" spans="2:6" x14ac:dyDescent="0.3">
      <c r="C1" s="7" t="s">
        <v>23</v>
      </c>
    </row>
    <row r="2" spans="2:6" ht="13.5" thickBot="1" x14ac:dyDescent="0.35"/>
    <row r="3" spans="2:6" ht="40.5" customHeight="1" thickTop="1" thickBot="1" x14ac:dyDescent="0.35">
      <c r="B3" s="43" t="s">
        <v>31</v>
      </c>
      <c r="C3" s="44"/>
      <c r="D3" s="44"/>
      <c r="E3" s="44"/>
      <c r="F3" s="45"/>
    </row>
    <row r="4" spans="2:6" ht="29.25" customHeight="1" thickTop="1" thickBot="1" x14ac:dyDescent="0.35">
      <c r="B4" s="29" t="s">
        <v>29</v>
      </c>
      <c r="C4" s="9" t="s">
        <v>35</v>
      </c>
      <c r="D4" s="28"/>
      <c r="E4" s="9" t="s">
        <v>13</v>
      </c>
      <c r="F4" s="10"/>
    </row>
    <row r="5" spans="2:6" ht="22.5" customHeight="1" thickTop="1" thickBot="1" x14ac:dyDescent="0.35">
      <c r="B5" s="11" t="s">
        <v>5</v>
      </c>
      <c r="C5" s="13">
        <v>760</v>
      </c>
      <c r="D5" s="12"/>
      <c r="E5" s="27" t="s">
        <v>34</v>
      </c>
      <c r="F5" s="31"/>
    </row>
    <row r="6" spans="2:6" ht="22.5" customHeight="1" thickTop="1" thickBot="1" x14ac:dyDescent="0.35">
      <c r="B6" s="11" t="s">
        <v>6</v>
      </c>
      <c r="C6" s="13">
        <v>1064106</v>
      </c>
      <c r="D6" s="12"/>
      <c r="E6" s="42">
        <f>C6*100/C10</f>
        <v>5.7242705281130242</v>
      </c>
      <c r="F6" s="31"/>
    </row>
    <row r="7" spans="2:6" ht="22.5" customHeight="1" thickTop="1" thickBot="1" x14ac:dyDescent="0.35">
      <c r="B7" s="11" t="s">
        <v>7</v>
      </c>
      <c r="C7" s="13">
        <v>13470052</v>
      </c>
      <c r="D7" s="12"/>
      <c r="E7" s="42">
        <f>C7*100/C10</f>
        <v>72.461034592183395</v>
      </c>
      <c r="F7" s="31"/>
    </row>
    <row r="8" spans="2:6" ht="22.5" customHeight="1" thickTop="1" thickBot="1" x14ac:dyDescent="0.35">
      <c r="B8" s="11" t="s">
        <v>8</v>
      </c>
      <c r="C8" s="13">
        <v>438883</v>
      </c>
      <c r="D8" s="12"/>
      <c r="E8" s="42">
        <f>C8*100/C10</f>
        <v>2.3609349277138074</v>
      </c>
      <c r="F8" s="31"/>
    </row>
    <row r="9" spans="2:6" ht="22.5" customHeight="1" thickTop="1" thickBot="1" x14ac:dyDescent="0.35">
      <c r="B9" s="11" t="s">
        <v>9</v>
      </c>
      <c r="C9" s="13">
        <v>3615572</v>
      </c>
      <c r="D9" s="12"/>
      <c r="E9" s="42">
        <f>C9*100/C10</f>
        <v>19.449671594625595</v>
      </c>
      <c r="F9" s="31"/>
    </row>
    <row r="10" spans="2:6" ht="22.5" customHeight="1" thickTop="1" thickBot="1" x14ac:dyDescent="0.35">
      <c r="B10" s="15" t="s">
        <v>0</v>
      </c>
      <c r="C10" s="33">
        <f>SUM(C5:C9)</f>
        <v>18589373</v>
      </c>
      <c r="D10" s="12"/>
      <c r="E10" s="41">
        <f>SUM(E6:E9)</f>
        <v>99.995911642635832</v>
      </c>
      <c r="F10" s="31"/>
    </row>
    <row r="11" spans="2:6" ht="32.25" customHeight="1" thickTop="1" thickBot="1" x14ac:dyDescent="0.35">
      <c r="B11" s="16" t="s">
        <v>3</v>
      </c>
      <c r="C11" s="17"/>
      <c r="D11" s="17"/>
      <c r="E11" s="17"/>
      <c r="F11" s="32"/>
    </row>
    <row r="12" spans="2:6" ht="13.5" thickTop="1" x14ac:dyDescent="0.3"/>
    <row r="14" spans="2:6" x14ac:dyDescent="0.3">
      <c r="E14" s="7" t="s">
        <v>4</v>
      </c>
    </row>
    <row r="16" spans="2:6" x14ac:dyDescent="0.3">
      <c r="E16" s="18"/>
    </row>
  </sheetData>
  <mergeCells count="1">
    <mergeCell ref="B3:F3"/>
  </mergeCells>
  <phoneticPr fontId="0"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2"/>
  <sheetViews>
    <sheetView showGridLines="0" tabSelected="1" workbookViewId="0">
      <selection activeCell="L13" sqref="L13"/>
    </sheetView>
  </sheetViews>
  <sheetFormatPr defaultColWidth="9.1796875" defaultRowHeight="13" x14ac:dyDescent="0.3"/>
  <cols>
    <col min="1" max="1" width="1.7265625" style="7" customWidth="1"/>
    <col min="2" max="3" width="15.7265625" style="24" customWidth="1"/>
    <col min="4" max="4" width="1.7265625" style="8" customWidth="1"/>
    <col min="5" max="5" width="15.54296875" style="24" customWidth="1"/>
    <col min="6" max="6" width="1.7265625" style="24" customWidth="1"/>
    <col min="7" max="7" width="15.7265625" style="24" customWidth="1"/>
    <col min="8" max="8" width="1.7265625" style="24" customWidth="1"/>
    <col min="9" max="9" width="15.7265625" style="24" customWidth="1"/>
    <col min="10" max="10" width="1.81640625" style="24" customWidth="1"/>
    <col min="11" max="11" width="9.1796875" style="24"/>
    <col min="12" max="16384" width="9.1796875" style="7"/>
  </cols>
  <sheetData>
    <row r="1" spans="2:10" x14ac:dyDescent="0.3">
      <c r="E1" s="24" t="s">
        <v>26</v>
      </c>
    </row>
    <row r="2" spans="2:10" ht="13.5" thickBot="1" x14ac:dyDescent="0.35"/>
    <row r="3" spans="2:10" ht="44.25" customHeight="1" thickTop="1" thickBot="1" x14ac:dyDescent="0.35">
      <c r="B3" s="43" t="s">
        <v>32</v>
      </c>
      <c r="C3" s="44"/>
      <c r="D3" s="44"/>
      <c r="E3" s="44"/>
      <c r="F3" s="44"/>
      <c r="G3" s="44"/>
      <c r="H3" s="44"/>
      <c r="I3" s="44"/>
      <c r="J3" s="45"/>
    </row>
    <row r="4" spans="2:10" ht="33" customHeight="1" thickTop="1" thickBot="1" x14ac:dyDescent="0.35">
      <c r="B4" s="23" t="s">
        <v>12</v>
      </c>
      <c r="C4" s="49" t="s">
        <v>16</v>
      </c>
      <c r="D4" s="50"/>
      <c r="E4" s="49" t="s">
        <v>15</v>
      </c>
      <c r="F4" s="50"/>
      <c r="G4" s="49" t="s">
        <v>1</v>
      </c>
      <c r="H4" s="50"/>
      <c r="I4" s="35" t="s">
        <v>0</v>
      </c>
      <c r="J4" s="36"/>
    </row>
    <row r="5" spans="2:10" ht="18.75" customHeight="1" thickTop="1" thickBot="1" x14ac:dyDescent="0.35">
      <c r="B5" s="26">
        <v>1990</v>
      </c>
      <c r="C5" s="13">
        <v>10663870</v>
      </c>
      <c r="D5" s="37"/>
      <c r="E5" s="13">
        <v>8542920</v>
      </c>
      <c r="F5" s="37"/>
      <c r="G5" s="13">
        <f>I5-C5-E5</f>
        <v>1285991</v>
      </c>
      <c r="H5" s="38"/>
      <c r="I5" s="13">
        <v>20492781</v>
      </c>
      <c r="J5" s="14"/>
    </row>
    <row r="6" spans="2:10" ht="18.75" customHeight="1" thickTop="1" thickBot="1" x14ac:dyDescent="0.35">
      <c r="B6" s="26">
        <v>1991</v>
      </c>
      <c r="C6" s="13">
        <v>19187690</v>
      </c>
      <c r="D6" s="37" t="s">
        <v>10</v>
      </c>
      <c r="E6" s="13">
        <v>10199174</v>
      </c>
      <c r="F6" s="37"/>
      <c r="G6" s="13">
        <f t="shared" ref="G6:G14" si="0">I6-C6-E6</f>
        <v>4508845</v>
      </c>
      <c r="H6" s="38"/>
      <c r="I6" s="13">
        <v>33895709</v>
      </c>
      <c r="J6" s="14" t="s">
        <v>10</v>
      </c>
    </row>
    <row r="7" spans="2:10" ht="18.75" customHeight="1" thickTop="1" thickBot="1" x14ac:dyDescent="0.35">
      <c r="B7" s="26">
        <v>1992</v>
      </c>
      <c r="C7" s="13">
        <v>16266526</v>
      </c>
      <c r="D7" s="37"/>
      <c r="E7" s="13">
        <v>10120215</v>
      </c>
      <c r="F7" s="37"/>
      <c r="G7" s="13">
        <f t="shared" si="0"/>
        <v>15556353</v>
      </c>
      <c r="H7" s="38"/>
      <c r="I7" s="13">
        <v>41943094</v>
      </c>
      <c r="J7" s="14" t="s">
        <v>10</v>
      </c>
    </row>
    <row r="8" spans="2:10" ht="18.75" customHeight="1" thickTop="1" thickBot="1" x14ac:dyDescent="0.35">
      <c r="B8" s="26">
        <v>1993</v>
      </c>
      <c r="C8" s="13">
        <v>999625</v>
      </c>
      <c r="D8" s="37"/>
      <c r="E8" s="13">
        <v>9383979</v>
      </c>
      <c r="F8" s="37" t="s">
        <v>2</v>
      </c>
      <c r="G8" s="13">
        <f t="shared" si="0"/>
        <v>10217394</v>
      </c>
      <c r="H8" s="38"/>
      <c r="I8" s="13">
        <v>20600998</v>
      </c>
      <c r="J8" s="14" t="s">
        <v>2</v>
      </c>
    </row>
    <row r="9" spans="2:10" ht="18.75" customHeight="1" thickTop="1" thickBot="1" x14ac:dyDescent="0.35">
      <c r="B9" s="26">
        <v>1994</v>
      </c>
      <c r="C9" s="13">
        <v>784922</v>
      </c>
      <c r="D9" s="37"/>
      <c r="E9" s="13">
        <v>5127474</v>
      </c>
      <c r="F9" s="37" t="s">
        <v>2</v>
      </c>
      <c r="G9" s="13">
        <f t="shared" si="0"/>
        <v>5702925</v>
      </c>
      <c r="H9" s="38"/>
      <c r="I9" s="13">
        <v>11615321</v>
      </c>
      <c r="J9" s="14" t="s">
        <v>2</v>
      </c>
    </row>
    <row r="10" spans="2:10" ht="18.75" customHeight="1" thickTop="1" thickBot="1" x14ac:dyDescent="0.35">
      <c r="B10" s="26">
        <v>1995</v>
      </c>
      <c r="C10" s="13">
        <v>1134810</v>
      </c>
      <c r="D10" s="37"/>
      <c r="E10" s="13">
        <v>3881114</v>
      </c>
      <c r="F10" s="37"/>
      <c r="G10" s="13">
        <f t="shared" si="0"/>
        <v>7801833</v>
      </c>
      <c r="H10" s="38"/>
      <c r="I10" s="13">
        <v>12817757</v>
      </c>
      <c r="J10" s="14"/>
    </row>
    <row r="11" spans="2:10" ht="18.75" customHeight="1" thickTop="1" thickBot="1" x14ac:dyDescent="0.35">
      <c r="B11" s="26">
        <v>1996</v>
      </c>
      <c r="C11" s="13">
        <v>1216108</v>
      </c>
      <c r="D11" s="37" t="s">
        <v>10</v>
      </c>
      <c r="E11" s="13">
        <v>1207133</v>
      </c>
      <c r="F11" s="37" t="s">
        <v>10</v>
      </c>
      <c r="G11" s="13">
        <f t="shared" si="0"/>
        <v>4696425</v>
      </c>
      <c r="H11" s="38"/>
      <c r="I11" s="13">
        <v>7119666</v>
      </c>
      <c r="J11" s="14" t="s">
        <v>10</v>
      </c>
    </row>
    <row r="12" spans="2:10" ht="18.75" customHeight="1" thickTop="1" thickBot="1" x14ac:dyDescent="0.35">
      <c r="B12" s="26">
        <v>1997</v>
      </c>
      <c r="C12" s="13">
        <v>1870021</v>
      </c>
      <c r="D12" s="37"/>
      <c r="E12" s="13">
        <v>935982</v>
      </c>
      <c r="F12" s="37"/>
      <c r="G12" s="13">
        <f t="shared" si="0"/>
        <v>1149468</v>
      </c>
      <c r="H12" s="38"/>
      <c r="I12" s="13">
        <v>3955471</v>
      </c>
      <c r="J12" s="14"/>
    </row>
    <row r="13" spans="2:10" ht="18.75" customHeight="1" thickTop="1" thickBot="1" x14ac:dyDescent="0.35">
      <c r="B13" s="22">
        <v>1998</v>
      </c>
      <c r="C13" s="13">
        <v>3653017</v>
      </c>
      <c r="D13" s="37" t="s">
        <v>10</v>
      </c>
      <c r="E13" s="13">
        <v>898683</v>
      </c>
      <c r="F13" s="37" t="s">
        <v>2</v>
      </c>
      <c r="G13" s="13">
        <f t="shared" si="0"/>
        <v>574303</v>
      </c>
      <c r="H13" s="38"/>
      <c r="I13" s="13">
        <v>5126003</v>
      </c>
      <c r="J13" s="14" t="s">
        <v>2</v>
      </c>
    </row>
    <row r="14" spans="2:10" ht="18.75" customHeight="1" thickTop="1" thickBot="1" x14ac:dyDescent="0.35">
      <c r="B14" s="22">
        <v>1999</v>
      </c>
      <c r="C14" s="13">
        <v>4331520</v>
      </c>
      <c r="D14" s="37"/>
      <c r="E14" s="13">
        <v>802610</v>
      </c>
      <c r="F14" s="37" t="s">
        <v>10</v>
      </c>
      <c r="G14" s="13">
        <f t="shared" si="0"/>
        <v>1167433</v>
      </c>
      <c r="H14" s="38"/>
      <c r="I14" s="13">
        <v>6301563</v>
      </c>
      <c r="J14" s="14" t="s">
        <v>10</v>
      </c>
    </row>
    <row r="15" spans="2:10" ht="18.75" customHeight="1" thickTop="1" thickBot="1" x14ac:dyDescent="0.35">
      <c r="B15" s="22">
        <v>2000</v>
      </c>
      <c r="C15" s="13">
        <f>SUM('Table - Defoliation 2000'!C6)</f>
        <v>8043660</v>
      </c>
      <c r="D15" s="37"/>
      <c r="E15" s="13">
        <f>SUM('Table - Defoliation 2000'!C5)</f>
        <v>505376</v>
      </c>
      <c r="F15" s="37" t="s">
        <v>2</v>
      </c>
      <c r="G15" s="13">
        <f>SUM('Table - Defoliation 2000'!C7:C8)</f>
        <v>879523</v>
      </c>
      <c r="H15" s="38"/>
      <c r="I15" s="13">
        <f>SUM(C15,E15,G15)</f>
        <v>9428559</v>
      </c>
      <c r="J15" s="14" t="s">
        <v>2</v>
      </c>
    </row>
    <row r="16" spans="2:10" ht="18.75" customHeight="1" thickTop="1" thickBot="1" x14ac:dyDescent="0.35">
      <c r="B16" s="22">
        <v>2001</v>
      </c>
      <c r="C16" s="13">
        <f>SUM('Table - Defoliation 2001'!C6)</f>
        <v>14262340</v>
      </c>
      <c r="D16" s="37"/>
      <c r="E16" s="13">
        <f>SUM('Table - Defoliation 2001'!C5)</f>
        <v>742585</v>
      </c>
      <c r="F16" s="37"/>
      <c r="G16" s="13">
        <f>SUM('Table - Defoliation 2001'!C7:C8)</f>
        <v>3584448</v>
      </c>
      <c r="H16" s="38"/>
      <c r="I16" s="13">
        <f>SUM(C16,E16,G16)</f>
        <v>18589373</v>
      </c>
      <c r="J16" s="14"/>
    </row>
    <row r="17" spans="2:10" ht="18.75" customHeight="1" thickTop="1" thickBot="1" x14ac:dyDescent="0.35">
      <c r="B17" s="16" t="s">
        <v>3</v>
      </c>
      <c r="C17" s="19"/>
      <c r="D17" s="19"/>
      <c r="E17" s="19"/>
      <c r="F17" s="19"/>
      <c r="G17" s="19"/>
      <c r="H17" s="19"/>
      <c r="I17" s="20"/>
      <c r="J17" s="21"/>
    </row>
    <row r="18" spans="2:10" ht="13.5" thickTop="1" x14ac:dyDescent="0.3"/>
    <row r="20" spans="2:10" x14ac:dyDescent="0.3">
      <c r="E20" s="24" t="s">
        <v>4</v>
      </c>
    </row>
    <row r="22" spans="2:10" x14ac:dyDescent="0.3">
      <c r="E22" s="25"/>
    </row>
  </sheetData>
  <mergeCells count="4">
    <mergeCell ref="C4:D4"/>
    <mergeCell ref="G4:H4"/>
    <mergeCell ref="E4:F4"/>
    <mergeCell ref="B3:J3"/>
  </mergeCell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Chart -Defoliation</vt:lpstr>
      <vt:lpstr>Table - Defoliation 2000</vt:lpstr>
      <vt:lpstr>Table - Defoliation 2001</vt:lpstr>
      <vt:lpstr>Table - Defol Prov-terr 2000</vt:lpstr>
      <vt:lpstr>Table - Defol Prov-terr 2001</vt:lpstr>
      <vt:lpstr>Table -  Defoliation 1990-2001</vt:lpstr>
    </vt:vector>
  </TitlesOfParts>
  <Company>NRCan / RNCan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Forest Insects</dc:subject>
  <dc:creator>ggilliga</dc:creator>
  <cp:lastModifiedBy>Carina Negreanu</cp:lastModifiedBy>
  <cp:lastPrinted>2003-06-05T13:01:36Z</cp:lastPrinted>
  <dcterms:created xsi:type="dcterms:W3CDTF">2002-07-04T20:46:27Z</dcterms:created>
  <dcterms:modified xsi:type="dcterms:W3CDTF">2020-01-27T12:00:45Z</dcterms:modified>
</cp:coreProperties>
</file>