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01BFA6-4F5F-4D56-8732-749666888DC2}" xr6:coauthVersionLast="45" xr6:coauthVersionMax="45" xr10:uidLastSave="{00000000-0000-0000-0000-000000000000}"/>
  <bookViews>
    <workbookView xWindow="2280" yWindow="2280" windowWidth="28800" windowHeight="15460" tabRatio="746" firstSheet="9" activeTab="11"/>
  </bookViews>
  <sheets>
    <sheet name="Notes 1 - 5" sheetId="1" r:id="rId1"/>
    <sheet name="Note 6" sheetId="2" r:id="rId2"/>
    <sheet name="Notes 7 - 9" sheetId="3" r:id="rId3"/>
    <sheet name="Note 10" sheetId="4" r:id="rId4"/>
    <sheet name="Notes 11-13" sheetId="5" r:id="rId5"/>
    <sheet name="Notes 14-15" sheetId="6" r:id="rId6"/>
    <sheet name="Notes 16-17" sheetId="7" r:id="rId7"/>
    <sheet name="Notes 18" sheetId="8" r:id="rId8"/>
    <sheet name="Note 19-20" sheetId="9" r:id="rId9"/>
    <sheet name="Notes 21-22" sheetId="10" r:id="rId10"/>
    <sheet name="Notes 23-24" sheetId="11" r:id="rId11"/>
    <sheet name="Notes 25-26" sheetId="12" r:id="rId12"/>
  </sheets>
  <calcPr calcId="0"/>
</workbook>
</file>

<file path=xl/calcChain.xml><?xml version="1.0" encoding="utf-8"?>
<calcChain xmlns="http://schemas.openxmlformats.org/spreadsheetml/2006/main">
  <c r="P12" i="4" l="1"/>
  <c r="P13" i="4"/>
  <c r="P14" i="4"/>
  <c r="P15" i="4"/>
  <c r="P16" i="4"/>
  <c r="P17" i="4"/>
  <c r="F20" i="4"/>
  <c r="H20" i="4"/>
  <c r="J20" i="4"/>
  <c r="L20" i="4"/>
  <c r="N20" i="4"/>
  <c r="P20" i="4"/>
  <c r="P23" i="4"/>
  <c r="P24" i="4"/>
  <c r="F26" i="4"/>
  <c r="H26" i="4"/>
  <c r="J26" i="4"/>
  <c r="L26" i="4"/>
  <c r="N26" i="4"/>
  <c r="P26" i="4"/>
  <c r="F16" i="9"/>
  <c r="H16" i="9"/>
  <c r="F24" i="9"/>
  <c r="H24" i="9"/>
  <c r="L24" i="9"/>
  <c r="F49" i="9"/>
  <c r="H49" i="9"/>
  <c r="L49" i="9"/>
  <c r="I20" i="2"/>
  <c r="I30" i="2"/>
  <c r="I42" i="2"/>
  <c r="I51" i="2"/>
  <c r="H12" i="1"/>
  <c r="H23" i="1"/>
  <c r="J23" i="1"/>
  <c r="H37" i="1"/>
  <c r="H48" i="1"/>
  <c r="J48" i="1"/>
  <c r="H51" i="1"/>
  <c r="J51" i="1"/>
  <c r="H54" i="1"/>
  <c r="J54" i="1"/>
  <c r="H57" i="1"/>
  <c r="J57" i="1"/>
  <c r="J18" i="5"/>
  <c r="L18" i="5"/>
  <c r="J20" i="5"/>
  <c r="L20" i="5"/>
  <c r="J31" i="5"/>
  <c r="J52" i="5"/>
  <c r="I15" i="6"/>
  <c r="I28" i="6"/>
  <c r="K28" i="6"/>
  <c r="I34" i="6"/>
  <c r="K34" i="6"/>
  <c r="I36" i="6"/>
  <c r="K36" i="6"/>
  <c r="I39" i="6"/>
  <c r="K39" i="6"/>
  <c r="I15" i="7"/>
  <c r="I20" i="7"/>
  <c r="I26" i="7"/>
  <c r="E46" i="7"/>
  <c r="I46" i="7"/>
  <c r="O15" i="8"/>
  <c r="O17" i="8"/>
  <c r="O18" i="8"/>
  <c r="O19" i="8"/>
  <c r="O21" i="8"/>
  <c r="O22" i="8"/>
  <c r="O23" i="8"/>
  <c r="O24" i="8"/>
  <c r="O26" i="8"/>
  <c r="F28" i="8"/>
  <c r="H28" i="8"/>
  <c r="K28" i="8"/>
  <c r="M28" i="8"/>
  <c r="O28" i="8"/>
  <c r="O38" i="8"/>
  <c r="O39" i="8"/>
  <c r="I16" i="10"/>
  <c r="I25" i="10"/>
  <c r="K25" i="10"/>
  <c r="G55" i="10"/>
  <c r="I16" i="12"/>
  <c r="I21" i="12"/>
  <c r="I25" i="12"/>
  <c r="I32" i="12"/>
  <c r="I34" i="12"/>
  <c r="I47" i="12"/>
  <c r="I14" i="3"/>
  <c r="I20" i="3"/>
  <c r="I22" i="3"/>
  <c r="I37" i="3"/>
  <c r="I43" i="3"/>
  <c r="K43" i="3"/>
</calcChain>
</file>

<file path=xl/sharedStrings.xml><?xml version="1.0" encoding="utf-8"?>
<sst xmlns="http://schemas.openxmlformats.org/spreadsheetml/2006/main" count="603" uniqueCount="335">
  <si>
    <t>Notes to the Financial Statements</t>
  </si>
  <si>
    <t>US$m</t>
  </si>
  <si>
    <t>Net income from properties</t>
  </si>
  <si>
    <t>Net income from properties comprises</t>
  </si>
  <si>
    <t xml:space="preserve">       Net rental income</t>
  </si>
  <si>
    <t xml:space="preserve">       Property trading</t>
  </si>
  <si>
    <t>Share of results of associates and joint ventures</t>
  </si>
  <si>
    <t>Connaught Investors</t>
  </si>
  <si>
    <t>Joint ventures</t>
  </si>
  <si>
    <t>Goodwill*</t>
  </si>
  <si>
    <t xml:space="preserve">*  This represented the excess of the cost of acquisition over the Group's share </t>
  </si>
  <si>
    <t xml:space="preserve">    of net assets of the acquired ventures.</t>
  </si>
  <si>
    <t>Other income</t>
  </si>
  <si>
    <t>Sale of listed shares</t>
  </si>
  <si>
    <t>-</t>
  </si>
  <si>
    <t>Income from investments</t>
  </si>
  <si>
    <t xml:space="preserve">      Unlisted</t>
  </si>
  <si>
    <t xml:space="preserve">      Listed</t>
  </si>
  <si>
    <t>Net financing (charges)/income</t>
  </si>
  <si>
    <t>Interest payable on</t>
  </si>
  <si>
    <t xml:space="preserve">      Bank loans and overdrafts</t>
  </si>
  <si>
    <t xml:space="preserve">      Other borrowings</t>
  </si>
  <si>
    <t>Total interest payable</t>
  </si>
  <si>
    <t>Interest receivable</t>
  </si>
  <si>
    <t>Net interest (payable)/receivable</t>
  </si>
  <si>
    <t>Interest capitalised</t>
  </si>
  <si>
    <t>Net interest</t>
  </si>
  <si>
    <t>Commitment and other fees</t>
  </si>
  <si>
    <t>Discontinued activity</t>
  </si>
  <si>
    <t>Profits from the discontinued activity in 1996 comprised the Group's share of results up to 31st March 1996</t>
  </si>
  <si>
    <t>and a write-back on disposal of the Group's investment in Trafalgar House.</t>
  </si>
  <si>
    <t>continued</t>
  </si>
  <si>
    <t>Profit before taxation and net operating assets</t>
  </si>
  <si>
    <t xml:space="preserve">By activity: </t>
  </si>
  <si>
    <t xml:space="preserve">Profit before taxation </t>
  </si>
  <si>
    <t>Property</t>
  </si>
  <si>
    <t>Trafalgar House</t>
  </si>
  <si>
    <t xml:space="preserve">- </t>
  </si>
  <si>
    <t>Infrastructure</t>
  </si>
  <si>
    <t>Others*</t>
  </si>
  <si>
    <t>Net operating assets</t>
  </si>
  <si>
    <t>By geographical area:</t>
  </si>
  <si>
    <t>Hong Kong and China</t>
  </si>
  <si>
    <t>Southeast Asia</t>
  </si>
  <si>
    <t>United Kingdom</t>
  </si>
  <si>
    <t>Elsewhere*</t>
  </si>
  <si>
    <t>* Mainly bank balances and other liquid funds and income thereon.</t>
  </si>
  <si>
    <t xml:space="preserve">continued </t>
  </si>
  <si>
    <t>Taxation</t>
  </si>
  <si>
    <t>Company and subsidiaries</t>
  </si>
  <si>
    <t xml:space="preserve">        Hong Kong</t>
  </si>
  <si>
    <t xml:space="preserve">        Southeast Asia</t>
  </si>
  <si>
    <t xml:space="preserve">        United Kingdom</t>
  </si>
  <si>
    <t>Associates</t>
  </si>
  <si>
    <t xml:space="preserve">        Connaught Investors</t>
  </si>
  <si>
    <t xml:space="preserve">        Trafalgar House</t>
  </si>
  <si>
    <t>Taxation on profits is provided at the rates of taxation prevailing in the territories in which the Group operates.</t>
  </si>
  <si>
    <t>No deferred taxation has been provided as there were no material timing differences (1996: nil).</t>
  </si>
  <si>
    <t>Dividends</t>
  </si>
  <si>
    <t>Interim</t>
  </si>
  <si>
    <t>-   US¢3.50 per share (1996: US¢3.50 per share)</t>
  </si>
  <si>
    <t>Final (proposed)</t>
  </si>
  <si>
    <t>-   US¢8.50 per share (1996: US¢8.50 per share)</t>
  </si>
  <si>
    <t>Shareholders elected to receive scrip in respect of the following</t>
  </si>
  <si>
    <t>Interim dividend</t>
  </si>
  <si>
    <t>Final dividend*</t>
  </si>
  <si>
    <t>* Scrip dividend option to Shareholders is suspended for the 1997 final dividend payment.</t>
  </si>
  <si>
    <t>Earnings per share</t>
  </si>
  <si>
    <t>The calculation of earnings per share is based on the profit after taxation and minority interests and on the</t>
  </si>
  <si>
    <t>weighted average of 2,612.3 million (1996: 2,632.8 million) shares in issue during the year, which excludes</t>
  </si>
  <si>
    <r>
      <t xml:space="preserve">69.6 million shares in the Company held by a subsidiary (see Note </t>
    </r>
    <r>
      <rPr>
        <b/>
        <sz val="9"/>
        <rFont val="Arial"/>
        <family val="2"/>
      </rPr>
      <t>17</t>
    </r>
    <r>
      <rPr>
        <sz val="9"/>
        <rFont val="Times New Roman"/>
        <family val="1"/>
      </rPr>
      <t>).</t>
    </r>
  </si>
  <si>
    <t>The calculation of earnings per share excluding asset provision and discontinued activity is based on the</t>
  </si>
  <si>
    <t>profit after taxation and minority interests and after adjusting for the provision of US$15 million on the</t>
  </si>
  <si>
    <t>Indonesian toll road investment in 1997 and the exceptional profit from Trafalgar House of US$217.6</t>
  </si>
  <si>
    <t>million in 1996.</t>
  </si>
  <si>
    <t xml:space="preserve">Full conversion of convertible bonds would not result in material dilution of earnings per share. </t>
  </si>
  <si>
    <t>Tangible assets</t>
  </si>
  <si>
    <t xml:space="preserve"> Investment properties</t>
  </si>
  <si>
    <t>Development</t>
  </si>
  <si>
    <t>Other</t>
  </si>
  <si>
    <t>Long leases</t>
  </si>
  <si>
    <t xml:space="preserve">  Short leases</t>
  </si>
  <si>
    <t>properties</t>
  </si>
  <si>
    <t>assets</t>
  </si>
  <si>
    <t>Total</t>
  </si>
  <si>
    <t>Net book value at 1st January</t>
  </si>
  <si>
    <t>Exchange translation differences</t>
  </si>
  <si>
    <t>Additions</t>
  </si>
  <si>
    <t>Transfer</t>
  </si>
  <si>
    <t>Depreciation</t>
  </si>
  <si>
    <t>Net revaluation deficit</t>
  </si>
  <si>
    <t>Net book value</t>
  </si>
  <si>
    <t xml:space="preserve">       at 31st December</t>
  </si>
  <si>
    <t>Valuation/cost</t>
  </si>
  <si>
    <t>Cumulative depreciation</t>
  </si>
  <si>
    <t>Revaluation surplus</t>
  </si>
  <si>
    <t>During the year, Swire House was transferred from investment properties to development properties at</t>
  </si>
  <si>
    <t>the market value on date of transfer.</t>
  </si>
  <si>
    <t>The Group's investment properties held under long leases have been revalued as at 31st December 1997 by Jones</t>
  </si>
  <si>
    <t>Lang Wootton Ltd on an open market value basis calculated on the net income allowing for reversionary potential</t>
  </si>
  <si>
    <t>on a current use basis.  A copy of the valuers' letter is set out on page [    ].</t>
  </si>
  <si>
    <t xml:space="preserve">All the Group's investment properties are held under long leases except for The Hong Kong Club Building, which </t>
  </si>
  <si>
    <t>is held under a sub-lease and is being depreciated over the life of the sub-lease.  Details concerning all of the</t>
  </si>
  <si>
    <t>Group's investment properties are set out on page [    ].</t>
  </si>
  <si>
    <r>
      <t xml:space="preserve">Certain investment properties are under mortgage to various banks as shown in Note </t>
    </r>
    <r>
      <rPr>
        <b/>
        <sz val="9"/>
        <rFont val="Arial"/>
        <family val="2"/>
      </rPr>
      <t>15</t>
    </r>
    <r>
      <rPr>
        <sz val="9"/>
        <rFont val="Times New Roman"/>
        <family val="1"/>
      </rPr>
      <t>.</t>
    </r>
  </si>
  <si>
    <t>Associates and joint ventures</t>
  </si>
  <si>
    <t xml:space="preserve"> </t>
  </si>
  <si>
    <t xml:space="preserve">       Unlisted investments</t>
  </si>
  <si>
    <t xml:space="preserve">             Connaught Investors</t>
  </si>
  <si>
    <t xml:space="preserve">       Net amounts due from joint ventures</t>
  </si>
  <si>
    <t>Other investments</t>
  </si>
  <si>
    <t>Unlisted investments</t>
  </si>
  <si>
    <t>Listed investments</t>
  </si>
  <si>
    <t>Unlisted investments include 9% cumulative redeemable preference shares of US$258.1 million (1996:</t>
  </si>
  <si>
    <t>US$258.5 million) which were redeemed subsequent to the year end.</t>
  </si>
  <si>
    <t>The market value of the listed investments at 31st December 1997 was US$3.7 million (1996: US$8.9</t>
  </si>
  <si>
    <t>million).</t>
  </si>
  <si>
    <t xml:space="preserve">If the listed investments had been realised at their market values no taxation would have been payable. </t>
  </si>
  <si>
    <t>Current assets</t>
  </si>
  <si>
    <t>Property held for sale</t>
  </si>
  <si>
    <t>Debtors, prepayments and others</t>
  </si>
  <si>
    <t>Tax recoverable</t>
  </si>
  <si>
    <t>Bank balances and other liquid funds</t>
  </si>
  <si>
    <t>Bank balances and other liquid funds include liquid investments of US$116.6 million (1996: US$109.8</t>
  </si>
  <si>
    <t>US$200.0 million of the bank balances was at an average fixed interest rate of 6.4%  (1996: US$200.0</t>
  </si>
  <si>
    <t>million at 6.4%).</t>
  </si>
  <si>
    <t>Current liabilities</t>
  </si>
  <si>
    <t>Creditors and other accruals</t>
  </si>
  <si>
    <t>Unsecured bank loans and overdrafts</t>
  </si>
  <si>
    <r>
      <t>Current portion of long-term loans (see Note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</t>
    </r>
    <r>
      <rPr>
        <sz val="9"/>
        <rFont val="Times New Roman"/>
        <family val="1"/>
      </rPr>
      <t>)</t>
    </r>
  </si>
  <si>
    <t>Final dividend (proposed)</t>
  </si>
  <si>
    <t>Term loans</t>
  </si>
  <si>
    <t>Hong Kong Dollar</t>
  </si>
  <si>
    <t>Secured bank loans</t>
  </si>
  <si>
    <t xml:space="preserve">Unsecured bank loans wholly repayable within five years </t>
  </si>
  <si>
    <t>7.625% bonds - 1993/2001</t>
  </si>
  <si>
    <t>Exchangeable transferable loan facility</t>
  </si>
  <si>
    <t>United States Dollar</t>
  </si>
  <si>
    <t>Unsecured bank loans wholly repayable within five years</t>
  </si>
  <si>
    <t>4% convertible bonds due 2001</t>
  </si>
  <si>
    <r>
      <t xml:space="preserve">less:  Current portion (see Note </t>
    </r>
    <r>
      <rPr>
        <b/>
        <sz val="9"/>
        <rFont val="Arial"/>
        <family val="2"/>
      </rPr>
      <t>14</t>
    </r>
    <r>
      <rPr>
        <sz val="9"/>
        <rFont val="Times New Roman"/>
        <family val="1"/>
      </rPr>
      <t>)</t>
    </r>
  </si>
  <si>
    <t>The  4% convertible bonds due 2001 are convertible into fully paid ordinary shares of the Company at a</t>
  </si>
  <si>
    <t>price of US$4.02 per share.  The bonds are listed on the Luxembourg Stock Exchange.</t>
  </si>
  <si>
    <t>The equity component of the convertible bonds amounts to US$65.0 million (1996: US$65.0 million) based</t>
  </si>
  <si>
    <t>on the prevailing market interest rate of 7% at the time of issue for similar debt without  conversion options.</t>
  </si>
  <si>
    <t xml:space="preserve">Of the total term loans of  US$1,729.8 million, the convertible bonds were at a fixed interest rate of 4%,  </t>
  </si>
  <si>
    <t>US$303.8 million equivalent of Hong Kong Dollar loans was at an average fixed interest rate of  7.5% (1996:</t>
  </si>
  <si>
    <t>US$304.3 million at 7.5%) and the balance was at variable rates related to the Hong Kong and Singapore</t>
  </si>
  <si>
    <t>Interbank Offer Rates.</t>
  </si>
  <si>
    <t>Mortgages have been granted over certain properties of total value of US$2,626.4 million as security for the</t>
  </si>
  <si>
    <t>obligations  of the Group to various banks in respect of the secured term loans.</t>
  </si>
  <si>
    <t>Bank loans, overdrafts and other borrowings</t>
  </si>
  <si>
    <t>Due dates of repayment</t>
  </si>
  <si>
    <t xml:space="preserve">         Beyond five years</t>
  </si>
  <si>
    <t xml:space="preserve">         Between two and five years</t>
  </si>
  <si>
    <t xml:space="preserve">         Between one and two years</t>
  </si>
  <si>
    <t>Within one year</t>
  </si>
  <si>
    <t xml:space="preserve">         Current portion of term loans</t>
  </si>
  <si>
    <t xml:space="preserve">         Unsecured bank loans and overdrafts</t>
  </si>
  <si>
    <t>Currency</t>
  </si>
  <si>
    <t xml:space="preserve">        Hong Kong Dollar</t>
  </si>
  <si>
    <t xml:space="preserve">        United States Dollar</t>
  </si>
  <si>
    <t>Share capital</t>
  </si>
  <si>
    <t>Ordinary shares in millions</t>
  </si>
  <si>
    <t>Authorised</t>
  </si>
  <si>
    <t xml:space="preserve">        Shares of US$0.10 each</t>
  </si>
  <si>
    <t>Issued and fully paid</t>
  </si>
  <si>
    <t xml:space="preserve">         At 1st January</t>
  </si>
  <si>
    <t xml:space="preserve">         Shares repurchased and cancelled</t>
  </si>
  <si>
    <t xml:space="preserve">         Scrip issued in lieu of dividends</t>
  </si>
  <si>
    <t xml:space="preserve">        At 31st December</t>
  </si>
  <si>
    <t>69,561,004 of the issued ordinary shares are held by a wholly-owned subsidiary, which acquired such shares</t>
  </si>
  <si>
    <t xml:space="preserve">in 1989 at a cost of US$77.7 million.  </t>
  </si>
  <si>
    <t>The 4% convertible bonds due 2001 may be converted up to and including 16th February 2001 into</t>
  </si>
  <si>
    <t>fully-paid ordinary shares in the Company at an initial conversion price, subject to adjustment, of US$4.02</t>
  </si>
  <si>
    <t>per share.  If fully converted, after deduction of US$14.3 million nominal purchased and cancelled by the</t>
  </si>
  <si>
    <t>Group subsequent to the year end, there would be issued a further 96.5 million ordinary shares.</t>
  </si>
  <si>
    <t>Revenue and other reserves</t>
  </si>
  <si>
    <t>Exchange</t>
  </si>
  <si>
    <t>revaluation</t>
  </si>
  <si>
    <t>capital</t>
  </si>
  <si>
    <t>fluctuation</t>
  </si>
  <si>
    <t>Revenue</t>
  </si>
  <si>
    <t>reserve</t>
  </si>
  <si>
    <t>reserves</t>
  </si>
  <si>
    <t>At 1st January</t>
  </si>
  <si>
    <t>Profit after taxation and minority</t>
  </si>
  <si>
    <t xml:space="preserve">    interests</t>
  </si>
  <si>
    <t>Net deficit upon revaluation</t>
  </si>
  <si>
    <t>Share of reserve movements of associates</t>
  </si>
  <si>
    <t xml:space="preserve">      and joint ventures</t>
  </si>
  <si>
    <t>Net exchange translation differences</t>
  </si>
  <si>
    <t>Repurchase of ordinary shares</t>
  </si>
  <si>
    <t>Reserves arising on scrip issued</t>
  </si>
  <si>
    <t xml:space="preserve">      in lieu of dividends</t>
  </si>
  <si>
    <t>At 31st December</t>
  </si>
  <si>
    <t>of which:</t>
  </si>
  <si>
    <t xml:space="preserve">     interests</t>
  </si>
  <si>
    <t>Net surplus upon revaluation</t>
  </si>
  <si>
    <t>Dividend forfeited</t>
  </si>
  <si>
    <r>
      <t xml:space="preserve">The analysis of the Company's reserves is shown in Note </t>
    </r>
    <r>
      <rPr>
        <b/>
        <sz val="9"/>
        <rFont val="Arial"/>
        <family val="2"/>
      </rPr>
      <t>25</t>
    </r>
    <r>
      <rPr>
        <b/>
        <sz val="9"/>
        <rFont val="Times New Roman"/>
        <family val="1"/>
      </rPr>
      <t>.</t>
    </r>
  </si>
  <si>
    <t>Financial instruments</t>
  </si>
  <si>
    <t>Carrying</t>
  </si>
  <si>
    <t>amount</t>
  </si>
  <si>
    <t>Fair value</t>
  </si>
  <si>
    <t>Financial assets</t>
  </si>
  <si>
    <t xml:space="preserve">       Fixed asset investments</t>
  </si>
  <si>
    <t xml:space="preserve">       Debtors</t>
  </si>
  <si>
    <t xml:space="preserve">       Bank balances and other liquid funds</t>
  </si>
  <si>
    <t>Financial liabilities</t>
  </si>
  <si>
    <t xml:space="preserve">       Creditors and other accruals</t>
  </si>
  <si>
    <t xml:space="preserve">       Unsecured bank loans and overdrafts</t>
  </si>
  <si>
    <t xml:space="preserve">       Term loans</t>
  </si>
  <si>
    <t>The fair value of listed investments is based on market prices.  For other unlisted investments, they have been</t>
  </si>
  <si>
    <t>valued by reference to the underlying investments or using discounted cash flow analyses.</t>
  </si>
  <si>
    <t>The carrying amount of debtors, bank balances and other liquid funds, creditors and other accruals and</t>
  </si>
  <si>
    <t>unsecured bank loans and overdrafts approximate to their fair value because of the short-term maturity of these</t>
  </si>
  <si>
    <t>instruments.</t>
  </si>
  <si>
    <t>The fair value of term loans is either based on market price or estimated using the expected future payments</t>
  </si>
  <si>
    <t xml:space="preserve">discounted at market interest rates prevailing at the year end. </t>
  </si>
  <si>
    <t>Financial</t>
  </si>
  <si>
    <t>liabilities</t>
  </si>
  <si>
    <t xml:space="preserve">      Hong Kong Dollar</t>
  </si>
  <si>
    <t xml:space="preserve">      United States Dollar</t>
  </si>
  <si>
    <t xml:space="preserve">      Indonesian Rupiah</t>
  </si>
  <si>
    <t xml:space="preserve">      Singapore Dollar</t>
  </si>
  <si>
    <t xml:space="preserve">      United Kingdom Sterling</t>
  </si>
  <si>
    <t xml:space="preserve">      Others</t>
  </si>
  <si>
    <t xml:space="preserve">Cash flow per share </t>
  </si>
  <si>
    <t>Cash flow per share is based on operating cash flow and maintenance capital expenditure for investment</t>
  </si>
  <si>
    <t>properties, amounting to US$396.6 million (1996: US$402.5 million) and is calculated on the weighted average</t>
  </si>
  <si>
    <t>of 2,612.3 million (1996: 2,632.8 million) shares in issue during the year, which excludes 69.6 million shares in</t>
  </si>
  <si>
    <t>the Company held by a subsidiary (see Note 17).</t>
  </si>
  <si>
    <t>Commitments</t>
  </si>
  <si>
    <t>Capital commitments</t>
  </si>
  <si>
    <t>The estimated amounts of capital expenditure, to which the Group</t>
  </si>
  <si>
    <t>was committed and for which no provision was made were:</t>
  </si>
  <si>
    <t xml:space="preserve">        Under contract</t>
  </si>
  <si>
    <t xml:space="preserve">        Authorised but not contracted</t>
  </si>
  <si>
    <t>The estimated amounts of capital expenditure to be carried out</t>
  </si>
  <si>
    <t xml:space="preserve">by joint ventures of which the Group's share was: </t>
  </si>
  <si>
    <t>The estimated amounts of further contribution to be made to associates or</t>
  </si>
  <si>
    <t>in respect of other ventures, to which the Group was committed were:</t>
  </si>
  <si>
    <t>Pension commitments</t>
  </si>
  <si>
    <t>The Group has pension commitments in respect of its defined benefit pension schemes.  The schemes are</t>
  </si>
  <si>
    <t>valued annually by independent qualified actuaries.  The principal assumptions were that investment</t>
  </si>
  <si>
    <t>returns would be higher than salary increases by 1%.  The market value of the assets at 1st January 1997,</t>
  </si>
  <si>
    <t>the date of its latest valuation, was US$25.9 million and the actuarial present value of the benefits that had</t>
  </si>
  <si>
    <t>accrued to members after allowing for future salary increases amounted to US$29.8 million.</t>
  </si>
  <si>
    <t>The Group's contribution to these defined benefit schemes during the year amounted to US$1.6 million</t>
  </si>
  <si>
    <t>(1996: US$1.4 million).</t>
  </si>
  <si>
    <t>Off-balance sheet derivative financial instruments</t>
  </si>
  <si>
    <t>Off-balance sheet derivative financial instruments held for asset and liability management:</t>
  </si>
  <si>
    <t>Contract</t>
  </si>
  <si>
    <t>Interest rate swaps</t>
  </si>
  <si>
    <t xml:space="preserve">      -   assets</t>
  </si>
  <si>
    <t xml:space="preserve">      -   liabilities</t>
  </si>
  <si>
    <t>Forward foreign exchange contracts</t>
  </si>
  <si>
    <t>The fair value of these financial instruments is either based on market value quoted by banks or estimated</t>
  </si>
  <si>
    <t>by discounting the future cash flows to net present values using appropriate market interest rates prevailing</t>
  </si>
  <si>
    <t xml:space="preserve">at the year end. </t>
  </si>
  <si>
    <t xml:space="preserve">As at 31st December 1997, the Group had entered into forward foreign exchange contracts to sell </t>
  </si>
  <si>
    <t>S$179.0 million (1996: nil) as a hedge against the Group's property development in Singapore.</t>
  </si>
  <si>
    <t>Related party transactions</t>
  </si>
  <si>
    <t>The Group has entered into a variety of transactions with Jardine Matheson Holdings Limited and its subsidiary</t>
  </si>
  <si>
    <t>undertakings ("Jardine Matheson group members").  The most significant of these transactions are as follows:</t>
  </si>
  <si>
    <t xml:space="preserve">a) </t>
  </si>
  <si>
    <t>Management fee</t>
  </si>
  <si>
    <t>The management fee payable by the Group under an agreement in 1995 to Jardine Matheson Limited was</t>
  </si>
  <si>
    <t>US$2.0 million (1996: US$3.3 million), being 0.5% per annum of the Group's net profit after tax and</t>
  </si>
  <si>
    <t>minority interests in consideration for management consultancy services provided by Jardine Matheson</t>
  </si>
  <si>
    <t>Limited, a wholly-owned subsidiary of Jardine Matheson Holdings Limited.</t>
  </si>
  <si>
    <t>b)</t>
  </si>
  <si>
    <t>Banking services</t>
  </si>
  <si>
    <t>Jardine Matheson group members provided banking services to the Group.  The Group's net deposits with</t>
  </si>
  <si>
    <t xml:space="preserve">Matheson Bank Limited at 31st December 1997 amounted to US$22.7 million (1996: US$20.6 million). </t>
  </si>
  <si>
    <t xml:space="preserve">c) </t>
  </si>
  <si>
    <t>Property and other services</t>
  </si>
  <si>
    <t>The Group rented properties to Jardine Matheson group members.  Gross rents on such properties in 1997</t>
  </si>
  <si>
    <t>amounted to US$23.2 million (1996: US$22.6 million).</t>
  </si>
  <si>
    <t>Jardine Matheson group members provided property maintenance and other services to the Group in 1997</t>
  </si>
  <si>
    <t>in aggregate amounting to US$25.3 million (1996: US$22.5 million).</t>
  </si>
  <si>
    <t>Principal subsidiaries and associates</t>
  </si>
  <si>
    <t xml:space="preserve">The principal subsidiaries and associates of the Group at 31st December 1997 are set out below. </t>
  </si>
  <si>
    <t>Effective</t>
  </si>
  <si>
    <t xml:space="preserve">Country of </t>
  </si>
  <si>
    <t>holding %</t>
  </si>
  <si>
    <t>Issued share capital</t>
  </si>
  <si>
    <t>Main activities</t>
  </si>
  <si>
    <t>incorporation</t>
  </si>
  <si>
    <t>Hongkong Land China</t>
  </si>
  <si>
    <t>*</t>
  </si>
  <si>
    <t>US$   200,000,000</t>
  </si>
  <si>
    <t>Investment holding</t>
  </si>
  <si>
    <t>Bermuda</t>
  </si>
  <si>
    <t xml:space="preserve">        Holdings Limited</t>
  </si>
  <si>
    <t>Hongkong Land Limited</t>
  </si>
  <si>
    <t>US$             12,000</t>
  </si>
  <si>
    <t>Group management</t>
  </si>
  <si>
    <t>Hongkong Land International</t>
  </si>
  <si>
    <t>US$    200,000,000</t>
  </si>
  <si>
    <t xml:space="preserve">        Holdings limited</t>
  </si>
  <si>
    <t xml:space="preserve">The Hongkong Land </t>
  </si>
  <si>
    <t>HK$ 1,293,180,006</t>
  </si>
  <si>
    <t>Property investment</t>
  </si>
  <si>
    <t>Hong Kong</t>
  </si>
  <si>
    <r>
      <t xml:space="preserve">        </t>
    </r>
    <r>
      <rPr>
        <sz val="9"/>
        <rFont val="Times New Roman"/>
        <family val="1"/>
      </rPr>
      <t>Company, Limited</t>
    </r>
  </si>
  <si>
    <t>The Hongkong Land Property</t>
  </si>
  <si>
    <t>HK$                  200</t>
  </si>
  <si>
    <r>
      <t xml:space="preserve">        </t>
    </r>
    <r>
      <rPr>
        <sz val="9"/>
        <rFont val="Times New Roman"/>
        <family val="1"/>
      </rPr>
      <t>Company Limited</t>
    </r>
  </si>
  <si>
    <t>HKL (Prince's Building) Limited</t>
  </si>
  <si>
    <t>Hongkong Land (S.H.) Limited</t>
  </si>
  <si>
    <t>HK$        1,500,000</t>
  </si>
  <si>
    <t>Mulberry Land Company Limited</t>
  </si>
  <si>
    <t>Connaught Investors Limited</t>
  </si>
  <si>
    <t>US$      384,399,735</t>
  </si>
  <si>
    <t>* Owned directly</t>
  </si>
  <si>
    <t>Parent company balance sheet</t>
  </si>
  <si>
    <t xml:space="preserve">        Investments at cost</t>
  </si>
  <si>
    <t xml:space="preserve">               Unlisted shares in subsidiaries</t>
  </si>
  <si>
    <t xml:space="preserve">               Net amounts due from subsidiaries</t>
  </si>
  <si>
    <t>FIXED ASSETS</t>
  </si>
  <si>
    <t xml:space="preserve">       Current liabilities</t>
  </si>
  <si>
    <t xml:space="preserve">              Creditors and other accruals</t>
  </si>
  <si>
    <t xml:space="preserve">              Final dividend (proposed)</t>
  </si>
  <si>
    <t>4% CONVERTIBLE BONDS DUE 2001</t>
  </si>
  <si>
    <t>Capital employed</t>
  </si>
  <si>
    <r>
      <t xml:space="preserve">       Share capital (see Note </t>
    </r>
    <r>
      <rPr>
        <b/>
        <sz val="9"/>
        <rFont val="Arial"/>
        <family val="2"/>
      </rPr>
      <t>17</t>
    </r>
    <r>
      <rPr>
        <sz val="9"/>
        <rFont val="Times New Roman"/>
        <family val="1"/>
      </rPr>
      <t>)</t>
    </r>
  </si>
  <si>
    <t xml:space="preserve">       Revenue and other reserves</t>
  </si>
  <si>
    <t xml:space="preserve">              Contributed surplus</t>
  </si>
  <si>
    <r>
      <t xml:space="preserve">              Revenue reserves (see Note </t>
    </r>
    <r>
      <rPr>
        <b/>
        <sz val="9"/>
        <rFont val="Arial"/>
        <family val="2"/>
      </rPr>
      <t>26</t>
    </r>
    <r>
      <rPr>
        <sz val="9"/>
        <rFont val="Times New Roman"/>
        <family val="1"/>
      </rPr>
      <t>)</t>
    </r>
  </si>
  <si>
    <t>SHAREHOLDERS' FUNDS</t>
  </si>
  <si>
    <t>Parent company revenue reserves</t>
  </si>
  <si>
    <t>Profit for the year</t>
  </si>
  <si>
    <t>Arising on scrip issued in lieu of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</si>
</sst>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2" formatCode="#,##0.0"/>
    <numFmt numFmtId="173" formatCode="0.0"/>
    <numFmt numFmtId="174" formatCode="_(* #,##0.0_);_(* \(#,##0.0\);_(* &quot;-&quot;_);_(@_)"/>
    <numFmt numFmtId="175" formatCode="_(* #,##0.0_);_(* \(#,##0.0\);_(* &quot;-&quot;??_);_(@_)"/>
  </numFmts>
  <fonts count="48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.5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8"/>
      <name val="Arial"/>
      <family val="2"/>
    </font>
    <font>
      <b/>
      <sz val="9.5"/>
      <name val="Times New Roman"/>
      <family val="1"/>
    </font>
    <font>
      <i/>
      <sz val="10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i/>
      <sz val="9"/>
      <name val="Times New Roman"/>
      <family val="1"/>
    </font>
    <font>
      <b/>
      <sz val="12"/>
      <name val="Arial"/>
      <family val="2"/>
    </font>
    <font>
      <sz val="8.5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b/>
      <sz val="7.5"/>
      <name val="Times New Roman"/>
      <family val="1"/>
    </font>
    <font>
      <sz val="8"/>
      <name val="Arial"/>
      <family val="2"/>
    </font>
    <font>
      <sz val="8.5"/>
      <name val="Arial"/>
      <family val="2"/>
    </font>
    <font>
      <sz val="8.5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  <font>
      <sz val="7"/>
      <name val="Arial"/>
      <family val="2"/>
    </font>
    <font>
      <sz val="7"/>
      <name val="Arial"/>
      <family val="2"/>
    </font>
    <font>
      <b/>
      <sz val="7"/>
      <name val="Times New Roman"/>
      <family val="1"/>
    </font>
    <font>
      <u/>
      <sz val="9"/>
      <name val="Times New Roman"/>
      <family val="1"/>
    </font>
    <font>
      <u/>
      <sz val="10"/>
      <name val="Times New Roman"/>
      <family val="1"/>
    </font>
    <font>
      <u/>
      <sz val="9.5"/>
      <name val="Times New Roman"/>
      <family val="1"/>
    </font>
    <font>
      <u/>
      <sz val="8.5"/>
      <name val="Arial"/>
      <family val="2"/>
    </font>
    <font>
      <b/>
      <u/>
      <sz val="9"/>
      <name val="Times New Roman"/>
      <family val="1"/>
    </font>
    <font>
      <b/>
      <u/>
      <sz val="9"/>
      <name val="Times New Roman"/>
      <family val="1"/>
    </font>
    <font>
      <u/>
      <sz val="10"/>
      <name val="Arial"/>
      <family val="2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3" fillId="0" borderId="0" applyFont="0" applyFill="0" applyBorder="0" applyAlignment="0" applyProtection="0"/>
  </cellStyleXfs>
  <cellXfs count="342"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Border="1"/>
    <xf numFmtId="0" fontId="5" fillId="0" borderId="2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174" fontId="5" fillId="0" borderId="0" xfId="0" applyNumberFormat="1" applyFont="1"/>
    <xf numFmtId="174" fontId="6" fillId="0" borderId="0" xfId="0" applyNumberFormat="1" applyFont="1"/>
    <xf numFmtId="174" fontId="5" fillId="0" borderId="2" xfId="0" applyNumberFormat="1" applyFont="1" applyBorder="1"/>
    <xf numFmtId="174" fontId="5" fillId="0" borderId="0" xfId="0" applyNumberFormat="1" applyFont="1" applyBorder="1"/>
    <xf numFmtId="174" fontId="6" fillId="0" borderId="0" xfId="0" applyNumberFormat="1" applyFont="1" applyBorder="1"/>
    <xf numFmtId="174" fontId="5" fillId="0" borderId="3" xfId="0" applyNumberFormat="1" applyFont="1" applyBorder="1"/>
    <xf numFmtId="174" fontId="6" fillId="0" borderId="3" xfId="0" applyNumberFormat="1" applyFont="1" applyBorder="1"/>
    <xf numFmtId="174" fontId="5" fillId="0" borderId="0" xfId="0" applyNumberFormat="1" applyFont="1" applyAlignment="1">
      <alignment horizontal="right"/>
    </xf>
    <xf numFmtId="174" fontId="6" fillId="0" borderId="0" xfId="0" applyNumberFormat="1" applyFont="1" applyAlignment="1">
      <alignment horizontal="righ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0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172" fontId="5" fillId="0" borderId="0" xfId="0" applyNumberFormat="1" applyFont="1"/>
    <xf numFmtId="172" fontId="6" fillId="0" borderId="0" xfId="0" applyNumberFormat="1" applyFont="1"/>
    <xf numFmtId="0" fontId="9" fillId="0" borderId="0" xfId="0" applyFont="1" applyAlignment="1">
      <alignment horizontal="left"/>
    </xf>
    <xf numFmtId="0" fontId="10" fillId="0" borderId="0" xfId="0" applyFont="1"/>
    <xf numFmtId="174" fontId="5" fillId="0" borderId="0" xfId="0" applyNumberFormat="1" applyFont="1" applyAlignment="1">
      <alignment vertical="center"/>
    </xf>
    <xf numFmtId="174" fontId="6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174" fontId="5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8" fillId="0" borderId="0" xfId="0" applyFont="1" applyAlignment="1">
      <alignment horizontal="left"/>
    </xf>
    <xf numFmtId="0" fontId="11" fillId="0" borderId="0" xfId="0" applyFont="1"/>
    <xf numFmtId="1" fontId="6" fillId="0" borderId="0" xfId="0" applyNumberFormat="1" applyFont="1"/>
    <xf numFmtId="174" fontId="6" fillId="0" borderId="0" xfId="0" applyNumberFormat="1" applyFont="1" applyBorder="1" applyAlignment="1">
      <alignment horizontal="right"/>
    </xf>
    <xf numFmtId="174" fontId="12" fillId="0" borderId="0" xfId="0" applyNumberFormat="1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174" fontId="5" fillId="0" borderId="3" xfId="0" applyNumberFormat="1" applyFont="1" applyBorder="1" applyAlignment="1">
      <alignment vertical="top"/>
    </xf>
    <xf numFmtId="174" fontId="6" fillId="0" borderId="0" xfId="0" applyNumberFormat="1" applyFont="1" applyAlignment="1">
      <alignment vertical="top"/>
    </xf>
    <xf numFmtId="0" fontId="13" fillId="0" borderId="0" xfId="0" applyFont="1" applyBorder="1"/>
    <xf numFmtId="175" fontId="5" fillId="0" borderId="0" xfId="0" applyNumberFormat="1" applyFont="1" applyBorder="1"/>
    <xf numFmtId="0" fontId="1" fillId="0" borderId="0" xfId="0" applyFont="1"/>
    <xf numFmtId="0" fontId="15" fillId="0" borderId="0" xfId="0" applyFont="1"/>
    <xf numFmtId="0" fontId="12" fillId="0" borderId="0" xfId="0" applyFont="1" applyBorder="1" applyAlignment="1">
      <alignment horizontal="right"/>
    </xf>
    <xf numFmtId="172" fontId="11" fillId="0" borderId="0" xfId="0" applyNumberFormat="1" applyFont="1"/>
    <xf numFmtId="0" fontId="16" fillId="0" borderId="0" xfId="0" applyFont="1"/>
    <xf numFmtId="0" fontId="11" fillId="0" borderId="0" xfId="0" applyFont="1" applyBorder="1"/>
    <xf numFmtId="0" fontId="5" fillId="0" borderId="0" xfId="0" applyFont="1" applyAlignment="1">
      <alignment horizontal="right"/>
    </xf>
    <xf numFmtId="172" fontId="5" fillId="0" borderId="0" xfId="0" applyNumberFormat="1" applyFont="1" applyBorder="1"/>
    <xf numFmtId="172" fontId="6" fillId="0" borderId="0" xfId="0" applyNumberFormat="1" applyFont="1" applyBorder="1"/>
    <xf numFmtId="172" fontId="6" fillId="0" borderId="0" xfId="0" applyNumberFormat="1" applyFont="1" applyBorder="1" applyAlignment="1">
      <alignment horizontal="right"/>
    </xf>
    <xf numFmtId="0" fontId="5" fillId="0" borderId="2" xfId="0" applyFont="1" applyBorder="1"/>
    <xf numFmtId="173" fontId="6" fillId="0" borderId="0" xfId="0" applyNumberFormat="1" applyFont="1" applyBorder="1"/>
    <xf numFmtId="0" fontId="5" fillId="0" borderId="3" xfId="0" applyFont="1" applyBorder="1"/>
    <xf numFmtId="0" fontId="6" fillId="0" borderId="3" xfId="0" applyFont="1" applyBorder="1"/>
    <xf numFmtId="0" fontId="0" fillId="0" borderId="0" xfId="0" quotePrefix="1"/>
    <xf numFmtId="175" fontId="6" fillId="0" borderId="0" xfId="0" applyNumberFormat="1" applyFont="1" applyBorder="1" applyAlignment="1">
      <alignment horizontal="right"/>
    </xf>
    <xf numFmtId="175" fontId="5" fillId="0" borderId="2" xfId="0" applyNumberFormat="1" applyFont="1" applyBorder="1"/>
    <xf numFmtId="172" fontId="5" fillId="0" borderId="2" xfId="0" applyNumberFormat="1" applyFont="1" applyBorder="1"/>
    <xf numFmtId="172" fontId="6" fillId="0" borderId="1" xfId="0" applyNumberFormat="1" applyFont="1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9" fillId="0" borderId="2" xfId="0" applyFont="1" applyBorder="1"/>
    <xf numFmtId="0" fontId="9" fillId="0" borderId="0" xfId="0" applyFont="1" applyBorder="1"/>
    <xf numFmtId="174" fontId="9" fillId="0" borderId="0" xfId="0" applyNumberFormat="1" applyFont="1" applyBorder="1"/>
    <xf numFmtId="0" fontId="9" fillId="0" borderId="3" xfId="0" applyFont="1" applyBorder="1"/>
    <xf numFmtId="174" fontId="5" fillId="0" borderId="3" xfId="0" applyNumberFormat="1" applyFont="1" applyBorder="1" applyAlignment="1">
      <alignment horizontal="right"/>
    </xf>
    <xf numFmtId="0" fontId="13" fillId="0" borderId="0" xfId="0" applyFont="1"/>
    <xf numFmtId="172" fontId="5" fillId="0" borderId="3" xfId="0" applyNumberFormat="1" applyFont="1" applyBorder="1"/>
    <xf numFmtId="172" fontId="6" fillId="0" borderId="3" xfId="0" applyNumberFormat="1" applyFont="1" applyBorder="1"/>
    <xf numFmtId="0" fontId="10" fillId="0" borderId="1" xfId="0" applyFont="1" applyBorder="1"/>
    <xf numFmtId="172" fontId="9" fillId="0" borderId="0" xfId="0" applyNumberFormat="1" applyFont="1"/>
    <xf numFmtId="172" fontId="10" fillId="0" borderId="0" xfId="0" applyNumberFormat="1" applyFont="1" applyBorder="1"/>
    <xf numFmtId="172" fontId="9" fillId="0" borderId="2" xfId="0" applyNumberFormat="1" applyFont="1" applyBorder="1"/>
    <xf numFmtId="172" fontId="10" fillId="0" borderId="1" xfId="0" applyNumberFormat="1" applyFont="1" applyBorder="1"/>
    <xf numFmtId="0" fontId="10" fillId="0" borderId="3" xfId="0" applyFont="1" applyBorder="1"/>
    <xf numFmtId="0" fontId="10" fillId="0" borderId="0" xfId="0" applyFont="1" applyBorder="1" applyAlignment="1">
      <alignment horizontal="right"/>
    </xf>
    <xf numFmtId="172" fontId="5" fillId="0" borderId="0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0" xfId="0" applyFont="1" applyBorder="1"/>
    <xf numFmtId="0" fontId="1" fillId="0" borderId="3" xfId="0" applyFont="1" applyBorder="1"/>
    <xf numFmtId="0" fontId="19" fillId="0" borderId="0" xfId="0" applyFont="1"/>
    <xf numFmtId="0" fontId="20" fillId="0" borderId="0" xfId="0" applyFont="1"/>
    <xf numFmtId="172" fontId="9" fillId="0" borderId="0" xfId="0" applyNumberFormat="1" applyFont="1" applyBorder="1"/>
    <xf numFmtId="174" fontId="10" fillId="0" borderId="0" xfId="0" applyNumberFormat="1" applyFont="1" applyBorder="1"/>
    <xf numFmtId="175" fontId="10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19" fillId="0" borderId="0" xfId="0" applyFont="1" applyBorder="1"/>
    <xf numFmtId="0" fontId="21" fillId="0" borderId="0" xfId="0" applyFont="1" applyBorder="1"/>
    <xf numFmtId="0" fontId="12" fillId="0" borderId="0" xfId="0" applyFont="1" applyBorder="1"/>
    <xf numFmtId="0" fontId="20" fillId="0" borderId="0" xfId="0" applyFont="1" applyBorder="1"/>
    <xf numFmtId="0" fontId="18" fillId="0" borderId="0" xfId="0" applyFont="1" applyBorder="1" applyAlignment="1">
      <alignment horizontal="right"/>
    </xf>
    <xf numFmtId="172" fontId="12" fillId="0" borderId="0" xfId="0" applyNumberFormat="1" applyFont="1" applyBorder="1"/>
    <xf numFmtId="0" fontId="18" fillId="0" borderId="0" xfId="0" applyFont="1" applyBorder="1"/>
    <xf numFmtId="0" fontId="17" fillId="0" borderId="0" xfId="0" applyFont="1" applyBorder="1"/>
    <xf numFmtId="0" fontId="6" fillId="0" borderId="0" xfId="0" quotePrefix="1" applyFont="1" applyBorder="1"/>
    <xf numFmtId="0" fontId="3" fillId="0" borderId="0" xfId="0" applyFont="1" applyBorder="1"/>
    <xf numFmtId="0" fontId="3" fillId="0" borderId="0" xfId="0" applyFont="1"/>
    <xf numFmtId="0" fontId="6" fillId="0" borderId="4" xfId="0" applyFont="1" applyBorder="1"/>
    <xf numFmtId="174" fontId="9" fillId="0" borderId="5" xfId="0" applyNumberFormat="1" applyFont="1" applyBorder="1"/>
    <xf numFmtId="174" fontId="5" fillId="0" borderId="6" xfId="0" applyNumberFormat="1" applyFont="1" applyBorder="1"/>
    <xf numFmtId="0" fontId="6" fillId="0" borderId="7" xfId="0" applyFont="1" applyBorder="1"/>
    <xf numFmtId="174" fontId="9" fillId="0" borderId="2" xfId="0" applyNumberFormat="1" applyFont="1" applyBorder="1"/>
    <xf numFmtId="174" fontId="5" fillId="0" borderId="8" xfId="0" applyNumberFormat="1" applyFont="1" applyBorder="1"/>
    <xf numFmtId="174" fontId="5" fillId="0" borderId="6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174" fontId="5" fillId="0" borderId="0" xfId="0" applyNumberFormat="1" applyFont="1" applyBorder="1" applyAlignment="1">
      <alignment horizontal="right" vertical="center"/>
    </xf>
    <xf numFmtId="174" fontId="9" fillId="0" borderId="0" xfId="1" applyNumberFormat="1" applyFont="1" applyBorder="1"/>
    <xf numFmtId="174" fontId="9" fillId="0" borderId="3" xfId="0" applyNumberFormat="1" applyFont="1" applyBorder="1"/>
    <xf numFmtId="174" fontId="9" fillId="0" borderId="0" xfId="0" applyNumberFormat="1" applyFont="1"/>
    <xf numFmtId="174" fontId="9" fillId="0" borderId="0" xfId="0" applyNumberFormat="1" applyFont="1" applyAlignment="1">
      <alignment horizontal="right"/>
    </xf>
    <xf numFmtId="174" fontId="9" fillId="0" borderId="5" xfId="0" applyNumberFormat="1" applyFont="1" applyBorder="1" applyAlignment="1">
      <alignment horizontal="right"/>
    </xf>
    <xf numFmtId="174" fontId="5" fillId="0" borderId="0" xfId="1" applyNumberFormat="1" applyFont="1" applyBorder="1"/>
    <xf numFmtId="0" fontId="13" fillId="0" borderId="0" xfId="0" quotePrefix="1" applyFont="1"/>
    <xf numFmtId="174" fontId="13" fillId="0" borderId="0" xfId="0" applyNumberFormat="1" applyFont="1"/>
    <xf numFmtId="0" fontId="22" fillId="0" borderId="0" xfId="0" applyFont="1"/>
    <xf numFmtId="0" fontId="18" fillId="0" borderId="0" xfId="0" applyFont="1" applyAlignment="1">
      <alignment horizontal="centerContinuous"/>
    </xf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12" fillId="0" borderId="0" xfId="0" applyFont="1"/>
    <xf numFmtId="0" fontId="13" fillId="0" borderId="0" xfId="0" applyFont="1" applyAlignment="1">
      <alignment horizontal="left"/>
    </xf>
    <xf numFmtId="174" fontId="13" fillId="0" borderId="0" xfId="0" applyNumberFormat="1" applyFont="1" applyAlignment="1">
      <alignment horizontal="right"/>
    </xf>
    <xf numFmtId="0" fontId="19" fillId="0" borderId="0" xfId="0" quotePrefix="1" applyFont="1"/>
    <xf numFmtId="0" fontId="21" fillId="0" borderId="0" xfId="0" applyFont="1"/>
    <xf numFmtId="0" fontId="22" fillId="0" borderId="0" xfId="0" applyFont="1" applyBorder="1"/>
    <xf numFmtId="0" fontId="24" fillId="0" borderId="0" xfId="0" applyFont="1"/>
    <xf numFmtId="174" fontId="12" fillId="0" borderId="0" xfId="0" applyNumberFormat="1" applyFont="1" applyBorder="1"/>
    <xf numFmtId="174" fontId="13" fillId="0" borderId="0" xfId="0" applyNumberFormat="1" applyFont="1" applyBorder="1"/>
    <xf numFmtId="174" fontId="23" fillId="0" borderId="0" xfId="0" applyNumberFormat="1" applyFont="1"/>
    <xf numFmtId="174" fontId="13" fillId="0" borderId="0" xfId="0" applyNumberFormat="1" applyFont="1" applyBorder="1" applyAlignment="1">
      <alignment horizontal="right"/>
    </xf>
    <xf numFmtId="174" fontId="12" fillId="0" borderId="0" xfId="0" applyNumberFormat="1" applyFont="1" applyBorder="1" applyAlignment="1">
      <alignment horizontal="right"/>
    </xf>
    <xf numFmtId="174" fontId="13" fillId="0" borderId="3" xfId="0" applyNumberFormat="1" applyFont="1" applyBorder="1"/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74" fontId="22" fillId="0" borderId="2" xfId="0" applyNumberFormat="1" applyFont="1" applyBorder="1"/>
    <xf numFmtId="0" fontId="20" fillId="0" borderId="0" xfId="0" applyFont="1" applyAlignment="1">
      <alignment horizontal="fill"/>
    </xf>
    <xf numFmtId="0" fontId="19" fillId="0" borderId="0" xfId="0" applyFont="1" applyAlignment="1">
      <alignment horizontal="fill"/>
    </xf>
    <xf numFmtId="0" fontId="13" fillId="0" borderId="0" xfId="0" applyFont="1" applyAlignment="1">
      <alignment horizontal="fill"/>
    </xf>
    <xf numFmtId="0" fontId="6" fillId="0" borderId="0" xfId="0" applyFont="1" applyAlignment="1">
      <alignment horizontal="fill"/>
    </xf>
    <xf numFmtId="0" fontId="5" fillId="0" borderId="0" xfId="0" applyFont="1" applyAlignment="1">
      <alignment horizontal="fill"/>
    </xf>
    <xf numFmtId="0" fontId="5" fillId="0" borderId="0" xfId="0" applyFont="1" applyBorder="1" applyAlignment="1">
      <alignment horizontal="fill"/>
    </xf>
    <xf numFmtId="0" fontId="6" fillId="0" borderId="0" xfId="0" applyFont="1" applyBorder="1" applyAlignment="1">
      <alignment horizontal="fill"/>
    </xf>
    <xf numFmtId="0" fontId="14" fillId="0" borderId="0" xfId="0" applyFont="1" applyAlignment="1">
      <alignment horizontal="left"/>
    </xf>
    <xf numFmtId="0" fontId="14" fillId="0" borderId="0" xfId="0" applyFont="1"/>
    <xf numFmtId="0" fontId="25" fillId="0" borderId="0" xfId="0" applyFont="1"/>
    <xf numFmtId="0" fontId="25" fillId="0" borderId="0" xfId="0" applyFont="1" applyBorder="1"/>
    <xf numFmtId="0" fontId="17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2" fillId="0" borderId="2" xfId="0" applyFont="1" applyBorder="1"/>
    <xf numFmtId="0" fontId="13" fillId="0" borderId="1" xfId="0" applyFont="1" applyBorder="1"/>
    <xf numFmtId="0" fontId="1" fillId="0" borderId="1" xfId="0" applyFont="1" applyBorder="1"/>
    <xf numFmtId="174" fontId="20" fillId="0" borderId="0" xfId="0" applyNumberFormat="1" applyFont="1"/>
    <xf numFmtId="174" fontId="20" fillId="0" borderId="1" xfId="0" applyNumberFormat="1" applyFont="1" applyBorder="1"/>
    <xf numFmtId="174" fontId="20" fillId="0" borderId="0" xfId="0" applyNumberFormat="1" applyFont="1" applyAlignment="1">
      <alignment horizontal="right"/>
    </xf>
    <xf numFmtId="0" fontId="24" fillId="0" borderId="0" xfId="0" applyFont="1" applyBorder="1" applyAlignment="1">
      <alignment vertical="center"/>
    </xf>
    <xf numFmtId="0" fontId="19" fillId="0" borderId="0" xfId="0" quotePrefix="1" applyFont="1" applyBorder="1"/>
    <xf numFmtId="0" fontId="14" fillId="0" borderId="0" xfId="0" applyFont="1" applyBorder="1" applyAlignment="1">
      <alignment horizontal="left"/>
    </xf>
    <xf numFmtId="0" fontId="14" fillId="0" borderId="0" xfId="0" applyFont="1" applyBorder="1"/>
    <xf numFmtId="0" fontId="21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27" fillId="0" borderId="0" xfId="0" applyFont="1"/>
    <xf numFmtId="0" fontId="13" fillId="0" borderId="0" xfId="0" applyFont="1" applyAlignment="1">
      <alignment vertical="top"/>
    </xf>
    <xf numFmtId="0" fontId="18" fillId="0" borderId="2" xfId="0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0" fontId="28" fillId="0" borderId="2" xfId="0" applyFont="1" applyBorder="1" applyAlignment="1">
      <alignment horizontal="right" vertical="center"/>
    </xf>
    <xf numFmtId="0" fontId="20" fillId="0" borderId="0" xfId="0" applyFont="1" applyBorder="1" applyAlignment="1">
      <alignment horizontal="right"/>
    </xf>
    <xf numFmtId="174" fontId="10" fillId="0" borderId="0" xfId="0" applyNumberFormat="1" applyFont="1"/>
    <xf numFmtId="174" fontId="10" fillId="0" borderId="3" xfId="0" applyNumberFormat="1" applyFont="1" applyBorder="1"/>
    <xf numFmtId="174" fontId="10" fillId="0" borderId="0" xfId="0" applyNumberFormat="1" applyFont="1" applyAlignment="1">
      <alignment horizontal="right"/>
    </xf>
    <xf numFmtId="174" fontId="10" fillId="0" borderId="1" xfId="0" applyNumberFormat="1" applyFont="1" applyBorder="1"/>
    <xf numFmtId="174" fontId="10" fillId="0" borderId="9" xfId="0" applyNumberFormat="1" applyFont="1" applyBorder="1"/>
    <xf numFmtId="174" fontId="10" fillId="0" borderId="10" xfId="0" applyNumberFormat="1" applyFont="1" applyBorder="1"/>
    <xf numFmtId="0" fontId="28" fillId="0" borderId="1" xfId="0" applyFont="1" applyBorder="1" applyAlignment="1">
      <alignment horizontal="right" vertical="center"/>
    </xf>
    <xf numFmtId="174" fontId="10" fillId="0" borderId="0" xfId="0" applyNumberFormat="1" applyFont="1" applyAlignment="1">
      <alignment vertical="center"/>
    </xf>
    <xf numFmtId="174" fontId="10" fillId="0" borderId="0" xfId="0" applyNumberFormat="1" applyFont="1" applyBorder="1" applyAlignment="1">
      <alignment horizontal="right"/>
    </xf>
    <xf numFmtId="0" fontId="2" fillId="0" borderId="0" xfId="0" applyFont="1"/>
    <xf numFmtId="0" fontId="21" fillId="0" borderId="0" xfId="0" applyFont="1" applyAlignment="1">
      <alignment horizontal="left"/>
    </xf>
    <xf numFmtId="174" fontId="10" fillId="0" borderId="11" xfId="0" applyNumberFormat="1" applyFont="1" applyBorder="1"/>
    <xf numFmtId="174" fontId="10" fillId="0" borderId="2" xfId="0" applyNumberFormat="1" applyFont="1" applyBorder="1"/>
    <xf numFmtId="174" fontId="28" fillId="0" borderId="0" xfId="0" applyNumberFormat="1" applyFont="1" applyAlignment="1">
      <alignment horizontal="right" vertical="center"/>
    </xf>
    <xf numFmtId="174" fontId="5" fillId="0" borderId="0" xfId="0" applyNumberFormat="1" applyFont="1" applyBorder="1" applyAlignment="1">
      <alignment vertical="top"/>
    </xf>
    <xf numFmtId="174" fontId="10" fillId="0" borderId="0" xfId="0" applyNumberFormat="1" applyFont="1" applyBorder="1" applyAlignment="1"/>
    <xf numFmtId="0" fontId="26" fillId="0" borderId="1" xfId="0" applyFont="1" applyBorder="1" applyAlignment="1">
      <alignment vertical="center"/>
    </xf>
    <xf numFmtId="0" fontId="18" fillId="0" borderId="0" xfId="0" applyFont="1" applyBorder="1" applyAlignment="1">
      <alignment horizontal="right" vertical="center"/>
    </xf>
    <xf numFmtId="0" fontId="29" fillId="0" borderId="2" xfId="0" applyFont="1" applyBorder="1"/>
    <xf numFmtId="0" fontId="29" fillId="0" borderId="0" xfId="0" applyFont="1"/>
    <xf numFmtId="0" fontId="10" fillId="0" borderId="0" xfId="0" applyFont="1" applyAlignment="1">
      <alignment horizontal="right"/>
    </xf>
    <xf numFmtId="172" fontId="10" fillId="0" borderId="9" xfId="0" applyNumberFormat="1" applyFont="1" applyBorder="1"/>
    <xf numFmtId="0" fontId="30" fillId="0" borderId="1" xfId="0" applyFont="1" applyBorder="1" applyAlignment="1">
      <alignment horizontal="right" vertical="center"/>
    </xf>
    <xf numFmtId="0" fontId="14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174" fontId="10" fillId="0" borderId="3" xfId="0" applyNumberFormat="1" applyFont="1" applyBorder="1" applyAlignment="1">
      <alignment horizontal="right"/>
    </xf>
    <xf numFmtId="0" fontId="28" fillId="0" borderId="0" xfId="0" applyFont="1"/>
    <xf numFmtId="0" fontId="12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8" fillId="0" borderId="0" xfId="0" applyFont="1" applyBorder="1" applyAlignment="1">
      <alignment horizontal="right" vertical="center"/>
    </xf>
    <xf numFmtId="0" fontId="30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174" fontId="20" fillId="0" borderId="0" xfId="0" applyNumberFormat="1" applyFont="1" applyBorder="1"/>
    <xf numFmtId="0" fontId="27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33" fillId="0" borderId="0" xfId="0" quotePrefix="1" applyFont="1"/>
    <xf numFmtId="0" fontId="33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172" fontId="10" fillId="0" borderId="0" xfId="0" applyNumberFormat="1" applyFont="1"/>
    <xf numFmtId="0" fontId="18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9" fillId="0" borderId="0" xfId="0" applyFont="1" applyBorder="1"/>
    <xf numFmtId="0" fontId="28" fillId="0" borderId="0" xfId="0" applyFont="1" applyBorder="1" applyAlignment="1">
      <alignment horizontal="right"/>
    </xf>
    <xf numFmtId="172" fontId="18" fillId="0" borderId="0" xfId="0" applyNumberFormat="1" applyFont="1" applyBorder="1" applyAlignment="1">
      <alignment horizontal="right"/>
    </xf>
    <xf numFmtId="172" fontId="28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172" fontId="12" fillId="0" borderId="2" xfId="0" applyNumberFormat="1" applyFont="1" applyBorder="1" applyAlignment="1">
      <alignment vertical="center"/>
    </xf>
    <xf numFmtId="172" fontId="5" fillId="0" borderId="2" xfId="0" applyNumberFormat="1" applyFont="1" applyBorder="1" applyAlignment="1">
      <alignment vertical="center"/>
    </xf>
    <xf numFmtId="172" fontId="6" fillId="0" borderId="1" xfId="0" applyNumberFormat="1" applyFont="1" applyBorder="1" applyAlignment="1">
      <alignment vertical="center"/>
    </xf>
    <xf numFmtId="172" fontId="13" fillId="0" borderId="1" xfId="0" applyNumberFormat="1" applyFont="1" applyBorder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right"/>
    </xf>
    <xf numFmtId="0" fontId="36" fillId="0" borderId="0" xfId="0" applyFont="1"/>
    <xf numFmtId="0" fontId="36" fillId="0" borderId="0" xfId="0" applyFont="1" applyBorder="1"/>
    <xf numFmtId="0" fontId="36" fillId="0" borderId="0" xfId="0" applyFont="1" applyBorder="1" applyAlignment="1">
      <alignment horizontal="right"/>
    </xf>
    <xf numFmtId="0" fontId="35" fillId="0" borderId="0" xfId="0" applyFont="1" applyBorder="1"/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horizontal="right"/>
    </xf>
    <xf numFmtId="0" fontId="13" fillId="0" borderId="2" xfId="0" applyFont="1" applyBorder="1"/>
    <xf numFmtId="2" fontId="6" fillId="0" borderId="0" xfId="0" applyNumberFormat="1" applyFont="1" applyBorder="1"/>
    <xf numFmtId="0" fontId="6" fillId="0" borderId="0" xfId="0" quotePrefix="1" applyFont="1" applyBorder="1" applyAlignment="1">
      <alignment horizontal="right"/>
    </xf>
    <xf numFmtId="0" fontId="39" fillId="0" borderId="0" xfId="0" applyFont="1" applyBorder="1" applyAlignment="1">
      <alignment horizontal="right"/>
    </xf>
    <xf numFmtId="172" fontId="39" fillId="0" borderId="0" xfId="0" applyNumberFormat="1" applyFont="1" applyBorder="1"/>
    <xf numFmtId="0" fontId="39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172" fontId="39" fillId="0" borderId="0" xfId="0" applyNumberFormat="1" applyFont="1" applyBorder="1" applyAlignment="1">
      <alignment vertical="center"/>
    </xf>
    <xf numFmtId="174" fontId="10" fillId="0" borderId="0" xfId="1" applyNumberFormat="1" applyFont="1" applyBorder="1"/>
    <xf numFmtId="0" fontId="28" fillId="0" borderId="0" xfId="0" applyFont="1" applyBorder="1"/>
    <xf numFmtId="0" fontId="0" fillId="0" borderId="0" xfId="0" applyAlignment="1">
      <alignment horizontal="right"/>
    </xf>
    <xf numFmtId="0" fontId="31" fillId="0" borderId="0" xfId="0" applyFont="1" applyBorder="1" applyAlignment="1">
      <alignment horizontal="right"/>
    </xf>
    <xf numFmtId="174" fontId="6" fillId="0" borderId="12" xfId="0" applyNumberFormat="1" applyFont="1" applyBorder="1"/>
    <xf numFmtId="174" fontId="6" fillId="0" borderId="13" xfId="0" applyNumberFormat="1" applyFont="1" applyBorder="1"/>
    <xf numFmtId="0" fontId="0" fillId="0" borderId="14" xfId="0" applyBorder="1"/>
    <xf numFmtId="0" fontId="0" fillId="0" borderId="15" xfId="0" applyBorder="1"/>
    <xf numFmtId="174" fontId="10" fillId="0" borderId="16" xfId="0" applyNumberFormat="1" applyFont="1" applyBorder="1" applyAlignment="1">
      <alignment horizontal="right"/>
    </xf>
    <xf numFmtId="174" fontId="10" fillId="0" borderId="16" xfId="0" applyNumberFormat="1" applyFont="1" applyBorder="1"/>
    <xf numFmtId="174" fontId="10" fillId="0" borderId="0" xfId="0" quotePrefix="1" applyNumberFormat="1" applyFont="1" applyAlignment="1">
      <alignment horizontal="right"/>
    </xf>
    <xf numFmtId="174" fontId="5" fillId="0" borderId="0" xfId="0" quotePrefix="1" applyNumberFormat="1" applyFont="1" applyAlignment="1">
      <alignment horizontal="right"/>
    </xf>
    <xf numFmtId="174" fontId="9" fillId="0" borderId="17" xfId="0" applyNumberFormat="1" applyFont="1" applyBorder="1"/>
    <xf numFmtId="174" fontId="9" fillId="0" borderId="18" xfId="0" applyNumberFormat="1" applyFont="1" applyBorder="1"/>
    <xf numFmtId="174" fontId="9" fillId="0" borderId="19" xfId="0" quotePrefix="1" applyNumberFormat="1" applyFont="1" applyBorder="1" applyAlignment="1">
      <alignment horizontal="right"/>
    </xf>
    <xf numFmtId="174" fontId="5" fillId="0" borderId="17" xfId="0" applyNumberFormat="1" applyFont="1" applyBorder="1"/>
    <xf numFmtId="174" fontId="10" fillId="0" borderId="18" xfId="0" quotePrefix="1" applyNumberFormat="1" applyFont="1" applyBorder="1" applyAlignment="1">
      <alignment horizontal="right"/>
    </xf>
    <xf numFmtId="174" fontId="9" fillId="0" borderId="19" xfId="0" applyNumberFormat="1" applyFont="1" applyBorder="1"/>
    <xf numFmtId="174" fontId="9" fillId="0" borderId="0" xfId="0" quotePrefix="1" applyNumberFormat="1" applyFont="1" applyAlignment="1">
      <alignment horizontal="right"/>
    </xf>
    <xf numFmtId="172" fontId="9" fillId="0" borderId="19" xfId="0" applyNumberFormat="1" applyFont="1" applyBorder="1"/>
    <xf numFmtId="173" fontId="5" fillId="0" borderId="0" xfId="0" applyNumberFormat="1" applyFont="1"/>
    <xf numFmtId="172" fontId="5" fillId="0" borderId="0" xfId="0" quotePrefix="1" applyNumberFormat="1" applyFont="1" applyBorder="1" applyAlignment="1">
      <alignment horizontal="right"/>
    </xf>
    <xf numFmtId="174" fontId="12" fillId="0" borderId="0" xfId="0" quotePrefix="1" applyNumberFormat="1" applyFont="1" applyAlignment="1">
      <alignment horizontal="right"/>
    </xf>
    <xf numFmtId="174" fontId="12" fillId="0" borderId="3" xfId="0" applyNumberFormat="1" applyFont="1" applyBorder="1"/>
    <xf numFmtId="174" fontId="12" fillId="0" borderId="2" xfId="0" applyNumberFormat="1" applyFont="1" applyBorder="1"/>
    <xf numFmtId="174" fontId="12" fillId="0" borderId="0" xfId="0" applyNumberFormat="1" applyFont="1" applyAlignment="1">
      <alignment horizontal="right"/>
    </xf>
    <xf numFmtId="174" fontId="12" fillId="0" borderId="0" xfId="0" quotePrefix="1" applyNumberFormat="1" applyFont="1" applyBorder="1" applyAlignment="1">
      <alignment horizontal="right"/>
    </xf>
    <xf numFmtId="174" fontId="22" fillId="0" borderId="0" xfId="0" applyNumberFormat="1" applyFont="1"/>
    <xf numFmtId="174" fontId="22" fillId="0" borderId="0" xfId="0" applyNumberFormat="1" applyFont="1" applyAlignment="1">
      <alignment horizontal="right"/>
    </xf>
    <xf numFmtId="0" fontId="6" fillId="0" borderId="7" xfId="0" applyFont="1" applyBorder="1" applyAlignment="1">
      <alignment vertical="center"/>
    </xf>
    <xf numFmtId="174" fontId="5" fillId="0" borderId="8" xfId="0" applyNumberFormat="1" applyFont="1" applyBorder="1" applyAlignment="1">
      <alignment horizontal="right" vertical="center"/>
    </xf>
    <xf numFmtId="174" fontId="5" fillId="0" borderId="5" xfId="0" applyNumberFormat="1" applyFont="1" applyBorder="1"/>
    <xf numFmtId="174" fontId="5" fillId="0" borderId="2" xfId="0" applyNumberFormat="1" applyFont="1" applyBorder="1" applyAlignment="1">
      <alignment horizontal="right" vertical="center"/>
    </xf>
    <xf numFmtId="174" fontId="6" fillId="0" borderId="13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174" fontId="10" fillId="0" borderId="1" xfId="0" applyNumberFormat="1" applyFont="1" applyBorder="1" applyAlignment="1">
      <alignment horizontal="right" vertical="center"/>
    </xf>
    <xf numFmtId="174" fontId="5" fillId="0" borderId="0" xfId="0" quotePrefix="1" applyNumberFormat="1" applyFont="1" applyBorder="1" applyAlignment="1">
      <alignment horizontal="right"/>
    </xf>
    <xf numFmtId="172" fontId="5" fillId="0" borderId="17" xfId="0" applyNumberFormat="1" applyFont="1" applyBorder="1"/>
    <xf numFmtId="0" fontId="10" fillId="0" borderId="10" xfId="0" applyFont="1" applyBorder="1"/>
    <xf numFmtId="172" fontId="5" fillId="0" borderId="0" xfId="0" quotePrefix="1" applyNumberFormat="1" applyFont="1" applyAlignment="1">
      <alignment horizontal="right"/>
    </xf>
    <xf numFmtId="172" fontId="5" fillId="0" borderId="0" xfId="0" quotePrefix="1" applyNumberFormat="1" applyFont="1" applyBorder="1"/>
    <xf numFmtId="0" fontId="5" fillId="0" borderId="0" xfId="0" quotePrefix="1" applyFont="1" applyBorder="1" applyAlignment="1">
      <alignment horizontal="right"/>
    </xf>
    <xf numFmtId="172" fontId="18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172" fontId="18" fillId="0" borderId="0" xfId="0" applyNumberFormat="1" applyFont="1" applyBorder="1"/>
    <xf numFmtId="174" fontId="10" fillId="0" borderId="0" xfId="0" quotePrefix="1" applyNumberFormat="1" applyFont="1" applyBorder="1" applyAlignment="1">
      <alignment horizontal="right"/>
    </xf>
    <xf numFmtId="0" fontId="5" fillId="0" borderId="17" xfId="0" applyFont="1" applyBorder="1"/>
    <xf numFmtId="0" fontId="5" fillId="0" borderId="19" xfId="0" applyFont="1" applyBorder="1" applyAlignment="1">
      <alignment horizontal="right"/>
    </xf>
    <xf numFmtId="0" fontId="6" fillId="0" borderId="9" xfId="0" quotePrefix="1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18" fillId="0" borderId="0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174" fontId="10" fillId="0" borderId="9" xfId="0" quotePrefix="1" applyNumberFormat="1" applyFont="1" applyBorder="1" applyAlignment="1">
      <alignment horizontal="right"/>
    </xf>
    <xf numFmtId="0" fontId="5" fillId="0" borderId="18" xfId="0" applyFont="1" applyBorder="1"/>
    <xf numFmtId="0" fontId="6" fillId="0" borderId="11" xfId="0" quotePrefix="1" applyFont="1" applyBorder="1" applyAlignment="1">
      <alignment horizontal="right"/>
    </xf>
    <xf numFmtId="172" fontId="10" fillId="0" borderId="0" xfId="0" quotePrefix="1" applyNumberFormat="1" applyFont="1" applyBorder="1" applyAlignment="1">
      <alignment horizontal="right"/>
    </xf>
    <xf numFmtId="0" fontId="40" fillId="0" borderId="0" xfId="0" applyFont="1"/>
    <xf numFmtId="0" fontId="42" fillId="0" borderId="0" xfId="0" applyFont="1"/>
    <xf numFmtId="0" fontId="43" fillId="0" borderId="0" xfId="0" applyFont="1"/>
    <xf numFmtId="174" fontId="44" fillId="0" borderId="0" xfId="0" quotePrefix="1" applyNumberFormat="1" applyFont="1" applyAlignment="1">
      <alignment horizontal="right"/>
    </xf>
    <xf numFmtId="174" fontId="40" fillId="0" borderId="0" xfId="0" applyNumberFormat="1" applyFont="1"/>
    <xf numFmtId="174" fontId="44" fillId="0" borderId="0" xfId="0" applyNumberFormat="1" applyFont="1" applyBorder="1" applyAlignment="1">
      <alignment horizontal="right"/>
    </xf>
    <xf numFmtId="174" fontId="44" fillId="0" borderId="0" xfId="0" quotePrefix="1" applyNumberFormat="1" applyFont="1" applyBorder="1" applyAlignment="1">
      <alignment horizontal="right"/>
    </xf>
    <xf numFmtId="174" fontId="40" fillId="0" borderId="0" xfId="0" applyNumberFormat="1" applyFont="1" applyBorder="1"/>
    <xf numFmtId="174" fontId="44" fillId="0" borderId="0" xfId="0" applyNumberFormat="1" applyFont="1" applyBorder="1"/>
    <xf numFmtId="174" fontId="45" fillId="0" borderId="0" xfId="0" applyNumberFormat="1" applyFont="1"/>
    <xf numFmtId="0" fontId="41" fillId="0" borderId="0" xfId="0" applyFont="1" applyBorder="1"/>
    <xf numFmtId="0" fontId="46" fillId="0" borderId="0" xfId="0" applyFont="1" applyBorder="1"/>
    <xf numFmtId="174" fontId="47" fillId="0" borderId="0" xfId="0" applyNumberFormat="1" applyFont="1" applyBorder="1"/>
    <xf numFmtId="0" fontId="47" fillId="0" borderId="0" xfId="0" applyFont="1" applyBorder="1"/>
    <xf numFmtId="0" fontId="21" fillId="0" borderId="0" xfId="0" applyFont="1" applyAlignment="1">
      <alignment vertical="top"/>
    </xf>
    <xf numFmtId="174" fontId="22" fillId="0" borderId="0" xfId="0" applyNumberFormat="1" applyFont="1" applyBorder="1"/>
    <xf numFmtId="174" fontId="20" fillId="0" borderId="0" xfId="0" quotePrefix="1" applyNumberFormat="1" applyFont="1" applyBorder="1" applyAlignment="1">
      <alignment horizontal="right"/>
    </xf>
    <xf numFmtId="174" fontId="9" fillId="0" borderId="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30</xdr:row>
      <xdr:rowOff>152400</xdr:rowOff>
    </xdr:from>
    <xdr:to>
      <xdr:col>7</xdr:col>
      <xdr:colOff>69850</xdr:colOff>
      <xdr:row>47</xdr:row>
      <xdr:rowOff>88900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6F6963EA-36F1-4F6B-AB7A-3AC75246B09A}"/>
            </a:ext>
          </a:extLst>
        </xdr:cNvPr>
        <xdr:cNvSpPr>
          <a:spLocks noChangeArrowheads="1"/>
        </xdr:cNvSpPr>
      </xdr:nvSpPr>
      <xdr:spPr bwMode="auto">
        <a:xfrm>
          <a:off x="2501900" y="5162550"/>
          <a:ext cx="1530350" cy="25908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78"/>
  <sheetViews>
    <sheetView workbookViewId="0">
      <selection activeCell="D57" sqref="D57"/>
    </sheetView>
  </sheetViews>
  <sheetFormatPr defaultRowHeight="13" x14ac:dyDescent="0.3"/>
  <cols>
    <col min="1" max="1" width="5.54296875" style="30" customWidth="1"/>
    <col min="7" max="7" width="8.453125" customWidth="1"/>
    <col min="8" max="8" width="6.81640625" style="17" customWidth="1"/>
    <col min="9" max="9" width="7" style="10" customWidth="1"/>
    <col min="10" max="10" width="6.81640625" style="10" customWidth="1"/>
    <col min="11" max="121" width="8.7265625" style="13"/>
  </cols>
  <sheetData>
    <row r="1" spans="1:121" s="2" customFormat="1" ht="24.75" customHeight="1" x14ac:dyDescent="0.25">
      <c r="A1" s="1" t="s">
        <v>0</v>
      </c>
      <c r="H1" s="3"/>
      <c r="I1" s="4"/>
      <c r="J1" s="4"/>
      <c r="K1"/>
      <c r="L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</row>
    <row r="2" spans="1:121" s="5" customFormat="1" ht="15" customHeight="1" x14ac:dyDescent="0.25">
      <c r="A2" s="6"/>
      <c r="H2" s="7"/>
      <c r="I2" s="8"/>
      <c r="J2" s="8"/>
      <c r="K2"/>
      <c r="L2"/>
    </row>
    <row r="3" spans="1:121" s="5" customFormat="1" ht="12.75" customHeight="1" x14ac:dyDescent="0.25">
      <c r="A3" s="6"/>
      <c r="H3" s="7"/>
      <c r="I3" s="8"/>
      <c r="J3" s="8"/>
      <c r="K3"/>
      <c r="L3"/>
    </row>
    <row r="4" spans="1:121" x14ac:dyDescent="0.3">
      <c r="A4" s="9"/>
      <c r="B4" s="10"/>
      <c r="E4" s="10"/>
      <c r="F4" s="10"/>
      <c r="G4" s="10"/>
      <c r="H4" s="11">
        <v>1997</v>
      </c>
      <c r="J4" s="48">
        <v>1996</v>
      </c>
    </row>
    <row r="5" spans="1:121" ht="16.5" customHeight="1" x14ac:dyDescent="0.3">
      <c r="A5" s="9"/>
      <c r="B5" s="10"/>
      <c r="E5" s="10"/>
      <c r="F5" s="10"/>
      <c r="G5" s="10"/>
      <c r="H5" s="183" t="s">
        <v>1</v>
      </c>
      <c r="I5" s="184"/>
      <c r="J5" s="185" t="s">
        <v>1</v>
      </c>
    </row>
    <row r="6" spans="1:121" x14ac:dyDescent="0.3">
      <c r="A6" s="162">
        <v>1</v>
      </c>
      <c r="B6" s="163" t="s">
        <v>2</v>
      </c>
      <c r="E6" s="10"/>
      <c r="F6" s="10"/>
      <c r="G6" s="10"/>
    </row>
    <row r="7" spans="1:121" ht="9" customHeight="1" x14ac:dyDescent="0.3">
      <c r="A7" s="9"/>
      <c r="B7" s="10"/>
      <c r="E7" s="10"/>
      <c r="F7" s="10"/>
      <c r="G7" s="10"/>
      <c r="H7" s="18"/>
      <c r="I7" s="19"/>
      <c r="J7" s="19"/>
    </row>
    <row r="8" spans="1:121" x14ac:dyDescent="0.3">
      <c r="A8" s="9"/>
      <c r="B8" s="87" t="s">
        <v>3</v>
      </c>
      <c r="E8" s="10"/>
      <c r="F8" s="10"/>
      <c r="G8" s="10"/>
      <c r="H8"/>
      <c r="I8" s="19"/>
      <c r="J8" s="19"/>
    </row>
    <row r="9" spans="1:121" x14ac:dyDescent="0.3">
      <c r="A9" s="9"/>
      <c r="B9" s="87" t="s">
        <v>4</v>
      </c>
      <c r="E9" s="10"/>
      <c r="F9" s="10"/>
      <c r="G9" s="10"/>
      <c r="H9" s="18">
        <v>490.5</v>
      </c>
      <c r="I9" s="19"/>
      <c r="J9" s="187">
        <v>479</v>
      </c>
    </row>
    <row r="10" spans="1:121" x14ac:dyDescent="0.3">
      <c r="A10" s="9"/>
      <c r="B10" s="87" t="s">
        <v>5</v>
      </c>
      <c r="E10" s="10"/>
      <c r="F10" s="10"/>
      <c r="G10" s="10"/>
      <c r="H10" s="18">
        <v>5.5</v>
      </c>
      <c r="I10" s="19"/>
      <c r="J10" s="187">
        <v>6.1</v>
      </c>
    </row>
    <row r="11" spans="1:121" ht="7.5" customHeight="1" x14ac:dyDescent="0.3">
      <c r="A11" s="9"/>
      <c r="B11" s="10"/>
      <c r="E11" s="10"/>
      <c r="F11" s="10"/>
      <c r="G11" s="10"/>
      <c r="H11" s="20"/>
      <c r="I11" s="19"/>
      <c r="J11" s="190"/>
    </row>
    <row r="12" spans="1:121" ht="16.5" customHeight="1" x14ac:dyDescent="0.3">
      <c r="A12" s="9"/>
      <c r="B12" s="10"/>
      <c r="E12" s="10"/>
      <c r="F12" s="10"/>
      <c r="G12" s="10"/>
      <c r="H12" s="21">
        <f>SUM(H9:H11)</f>
        <v>496</v>
      </c>
      <c r="I12" s="19"/>
      <c r="J12" s="104">
        <v>485.1</v>
      </c>
    </row>
    <row r="13" spans="1:121" ht="7.5" customHeight="1" thickBot="1" x14ac:dyDescent="0.35">
      <c r="A13" s="9"/>
      <c r="B13" s="10"/>
      <c r="E13" s="10"/>
      <c r="F13" s="10"/>
      <c r="G13" s="10"/>
      <c r="H13" s="23"/>
      <c r="I13" s="19"/>
      <c r="J13" s="188"/>
    </row>
    <row r="14" spans="1:121" ht="13.5" customHeight="1" thickTop="1" x14ac:dyDescent="0.3">
      <c r="A14" s="9"/>
      <c r="B14" s="10"/>
      <c r="E14" s="10"/>
      <c r="F14" s="10"/>
      <c r="G14" s="10"/>
      <c r="H14" s="21"/>
      <c r="I14" s="19"/>
      <c r="J14" s="104"/>
    </row>
    <row r="15" spans="1:121" ht="12.75" customHeight="1" x14ac:dyDescent="0.3">
      <c r="A15" s="9"/>
      <c r="B15" s="10"/>
      <c r="E15" s="10"/>
      <c r="F15" s="10"/>
      <c r="G15" s="10"/>
      <c r="H15" s="11">
        <v>1997</v>
      </c>
      <c r="J15" s="48">
        <v>1996</v>
      </c>
    </row>
    <row r="16" spans="1:121" ht="16.5" customHeight="1" x14ac:dyDescent="0.3">
      <c r="A16" s="9"/>
      <c r="B16" s="10"/>
      <c r="E16" s="10"/>
      <c r="F16" s="10"/>
      <c r="G16" s="10"/>
      <c r="H16" s="183" t="s">
        <v>1</v>
      </c>
      <c r="I16" s="184"/>
      <c r="J16" s="185" t="s">
        <v>1</v>
      </c>
    </row>
    <row r="17" spans="1:10" x14ac:dyDescent="0.3">
      <c r="A17" s="162">
        <v>2</v>
      </c>
      <c r="B17" s="163" t="s">
        <v>6</v>
      </c>
      <c r="E17" s="87"/>
      <c r="F17" s="87"/>
      <c r="G17" s="10"/>
      <c r="H17" s="18"/>
      <c r="I17" s="19"/>
      <c r="J17" s="187"/>
    </row>
    <row r="18" spans="1:10" ht="9" customHeight="1" x14ac:dyDescent="0.3">
      <c r="A18" s="9"/>
      <c r="B18" s="10"/>
      <c r="E18" s="10"/>
      <c r="F18" s="10"/>
      <c r="G18" s="10"/>
      <c r="H18" s="18"/>
      <c r="I18" s="19"/>
      <c r="J18" s="187"/>
    </row>
    <row r="19" spans="1:10" x14ac:dyDescent="0.3">
      <c r="A19" s="9"/>
      <c r="B19" s="87" t="s">
        <v>7</v>
      </c>
      <c r="E19" s="10"/>
      <c r="F19" s="10"/>
      <c r="G19" s="10"/>
      <c r="H19" s="129">
        <v>9.1</v>
      </c>
      <c r="I19" s="19"/>
      <c r="J19" s="187">
        <v>23.3</v>
      </c>
    </row>
    <row r="20" spans="1:10" x14ac:dyDescent="0.3">
      <c r="A20" s="9"/>
      <c r="B20" s="87" t="s">
        <v>8</v>
      </c>
      <c r="E20" s="10"/>
      <c r="F20" s="10"/>
      <c r="G20" s="10"/>
      <c r="H20" s="84">
        <v>1.9</v>
      </c>
      <c r="I20" s="19"/>
      <c r="J20" s="104">
        <v>1.6</v>
      </c>
    </row>
    <row r="21" spans="1:10" ht="12.75" customHeight="1" x14ac:dyDescent="0.3">
      <c r="A21" s="9"/>
      <c r="B21" s="87" t="s">
        <v>9</v>
      </c>
      <c r="E21" s="10"/>
      <c r="F21" s="10"/>
      <c r="G21" s="10"/>
      <c r="H21" s="21">
        <v>-5.0999999999999996</v>
      </c>
      <c r="I21" s="19"/>
      <c r="J21" s="313">
        <v>-1</v>
      </c>
    </row>
    <row r="22" spans="1:10" ht="7.5" customHeight="1" x14ac:dyDescent="0.3">
      <c r="A22" s="9"/>
      <c r="B22" s="87"/>
      <c r="C22" s="101"/>
      <c r="H22" s="20"/>
      <c r="I22" s="19"/>
      <c r="J22" s="190"/>
    </row>
    <row r="23" spans="1:10" ht="15.75" customHeight="1" x14ac:dyDescent="0.3">
      <c r="A23" s="9"/>
      <c r="B23" s="10"/>
      <c r="E23" s="10"/>
      <c r="F23" s="10"/>
      <c r="G23" s="10"/>
      <c r="H23" s="21">
        <f>SUM(H19:H22)</f>
        <v>5.9</v>
      </c>
      <c r="I23" s="19"/>
      <c r="J23" s="104">
        <f>SUM(J19:J22)</f>
        <v>23.900000000000002</v>
      </c>
    </row>
    <row r="24" spans="1:10" ht="8.25" customHeight="1" thickBot="1" x14ac:dyDescent="0.35">
      <c r="A24" s="9"/>
      <c r="B24" s="10"/>
      <c r="E24" s="10"/>
      <c r="F24" s="10"/>
      <c r="G24" s="10"/>
      <c r="H24" s="23"/>
      <c r="I24" s="19"/>
      <c r="J24" s="188"/>
    </row>
    <row r="25" spans="1:10" ht="6" customHeight="1" thickTop="1" x14ac:dyDescent="0.3">
      <c r="A25" s="9"/>
      <c r="B25" s="10"/>
      <c r="E25" s="10"/>
      <c r="F25" s="10"/>
      <c r="G25" s="10"/>
      <c r="H25" s="21"/>
      <c r="I25" s="19"/>
      <c r="J25" s="104"/>
    </row>
    <row r="26" spans="1:10" ht="12.75" customHeight="1" x14ac:dyDescent="0.3">
      <c r="A26" s="9"/>
      <c r="B26" s="143" t="s">
        <v>10</v>
      </c>
      <c r="E26" s="10"/>
      <c r="F26" s="10"/>
      <c r="G26" s="10"/>
      <c r="H26" s="21"/>
      <c r="I26" s="19"/>
      <c r="J26" s="104"/>
    </row>
    <row r="27" spans="1:10" ht="12.75" customHeight="1" x14ac:dyDescent="0.3">
      <c r="A27" s="9"/>
      <c r="B27" s="143" t="s">
        <v>11</v>
      </c>
      <c r="E27" s="10"/>
      <c r="F27" s="10"/>
      <c r="G27" s="10"/>
      <c r="H27" s="21"/>
      <c r="I27" s="19"/>
      <c r="J27" s="104"/>
    </row>
    <row r="28" spans="1:10" ht="12.75" customHeight="1" x14ac:dyDescent="0.3">
      <c r="A28"/>
      <c r="B28" s="10"/>
      <c r="E28" s="10"/>
      <c r="F28" s="10"/>
      <c r="G28" s="10"/>
      <c r="H28" s="11">
        <v>1997</v>
      </c>
      <c r="J28" s="48">
        <v>1996</v>
      </c>
    </row>
    <row r="29" spans="1:10" ht="16.5" customHeight="1" x14ac:dyDescent="0.3">
      <c r="A29"/>
      <c r="B29" s="10"/>
      <c r="E29" s="10"/>
      <c r="F29" s="10"/>
      <c r="G29" s="10"/>
      <c r="H29" s="183" t="s">
        <v>1</v>
      </c>
      <c r="I29" s="184"/>
      <c r="J29" s="185" t="s">
        <v>1</v>
      </c>
    </row>
    <row r="30" spans="1:10" ht="13.5" customHeight="1" x14ac:dyDescent="0.3">
      <c r="A30" s="162">
        <v>3</v>
      </c>
      <c r="B30" s="163" t="s">
        <v>12</v>
      </c>
      <c r="E30" s="10"/>
      <c r="F30" s="10"/>
      <c r="G30" s="10"/>
      <c r="H30" s="18"/>
      <c r="I30" s="19"/>
      <c r="J30" s="187"/>
    </row>
    <row r="31" spans="1:10" ht="9" customHeight="1" x14ac:dyDescent="0.3">
      <c r="A31" s="9"/>
      <c r="B31" s="10"/>
      <c r="E31" s="10"/>
      <c r="F31" s="10"/>
      <c r="G31" s="10"/>
      <c r="H31" s="18"/>
      <c r="I31" s="19"/>
      <c r="J31" s="187"/>
    </row>
    <row r="32" spans="1:10" x14ac:dyDescent="0.3">
      <c r="A32" s="9"/>
      <c r="B32" s="87" t="s">
        <v>13</v>
      </c>
      <c r="E32" s="10"/>
      <c r="F32" s="10"/>
      <c r="G32" s="10"/>
      <c r="H32" s="25">
        <v>1</v>
      </c>
      <c r="I32" s="19"/>
      <c r="J32" s="189" t="s">
        <v>14</v>
      </c>
    </row>
    <row r="33" spans="1:10" x14ac:dyDescent="0.3">
      <c r="A33" s="9"/>
      <c r="B33" s="87" t="s">
        <v>15</v>
      </c>
      <c r="E33" s="10"/>
      <c r="F33" s="10"/>
      <c r="G33" s="10"/>
      <c r="H33" s="18"/>
      <c r="I33" s="19"/>
      <c r="J33" s="187"/>
    </row>
    <row r="34" spans="1:10" x14ac:dyDescent="0.3">
      <c r="A34" s="9"/>
      <c r="B34" s="87" t="s">
        <v>16</v>
      </c>
      <c r="E34" s="10"/>
      <c r="F34" s="10"/>
      <c r="G34" s="10"/>
      <c r="H34" s="18">
        <v>0.3</v>
      </c>
      <c r="I34" s="19"/>
      <c r="J34" s="187">
        <v>0.2</v>
      </c>
    </row>
    <row r="35" spans="1:10" x14ac:dyDescent="0.3">
      <c r="A35" s="9"/>
      <c r="B35" s="87" t="s">
        <v>17</v>
      </c>
      <c r="E35" s="10"/>
      <c r="F35" s="10"/>
      <c r="G35" s="10"/>
      <c r="H35" s="18">
        <v>0.5</v>
      </c>
      <c r="I35" s="19"/>
      <c r="J35" s="187">
        <v>0.5</v>
      </c>
    </row>
    <row r="36" spans="1:10" ht="7.5" customHeight="1" x14ac:dyDescent="0.3">
      <c r="A36" s="9"/>
      <c r="B36" s="10"/>
      <c r="E36" s="10"/>
      <c r="F36" s="10"/>
      <c r="G36" s="10"/>
      <c r="H36" s="20"/>
      <c r="I36" s="19"/>
      <c r="J36" s="190"/>
    </row>
    <row r="37" spans="1:10" ht="16.5" customHeight="1" x14ac:dyDescent="0.3">
      <c r="A37" s="9"/>
      <c r="B37" s="10"/>
      <c r="E37" s="10"/>
      <c r="F37" s="10"/>
      <c r="G37" s="10"/>
      <c r="H37" s="21">
        <f>SUM(H32:H35)</f>
        <v>1.8</v>
      </c>
      <c r="I37" s="19"/>
      <c r="J37" s="104">
        <v>0.7</v>
      </c>
    </row>
    <row r="38" spans="1:10" ht="7.5" customHeight="1" thickBot="1" x14ac:dyDescent="0.35">
      <c r="A38" s="9"/>
      <c r="B38" s="10"/>
      <c r="E38" s="10"/>
      <c r="F38" s="10"/>
      <c r="G38" s="10"/>
      <c r="H38" s="23"/>
      <c r="I38" s="19"/>
      <c r="J38" s="188"/>
    </row>
    <row r="39" spans="1:10" ht="12.75" customHeight="1" thickTop="1" x14ac:dyDescent="0.3">
      <c r="A39" s="9"/>
      <c r="B39" s="10"/>
      <c r="E39" s="10"/>
      <c r="F39" s="10"/>
      <c r="G39" s="10"/>
      <c r="H39" s="21"/>
      <c r="I39" s="19"/>
      <c r="J39" s="104"/>
    </row>
    <row r="40" spans="1:10" ht="13.5" customHeight="1" x14ac:dyDescent="0.3">
      <c r="A40"/>
      <c r="B40" s="10"/>
      <c r="E40" s="10"/>
      <c r="F40" s="10"/>
      <c r="G40" s="10"/>
      <c r="H40" s="11">
        <v>1997</v>
      </c>
      <c r="J40" s="48">
        <v>1996</v>
      </c>
    </row>
    <row r="41" spans="1:10" ht="16.5" customHeight="1" x14ac:dyDescent="0.3">
      <c r="A41"/>
      <c r="B41" s="10"/>
      <c r="E41" s="10"/>
      <c r="F41" s="10"/>
      <c r="G41" s="10"/>
      <c r="H41" s="183" t="s">
        <v>1</v>
      </c>
      <c r="I41" s="184"/>
      <c r="J41" s="185" t="s">
        <v>1</v>
      </c>
    </row>
    <row r="42" spans="1:10" ht="12.75" customHeight="1" x14ac:dyDescent="0.3">
      <c r="A42" s="162">
        <v>4</v>
      </c>
      <c r="B42" s="163" t="s">
        <v>18</v>
      </c>
      <c r="E42" s="10"/>
      <c r="F42" s="10"/>
      <c r="G42" s="10"/>
      <c r="H42" s="18"/>
      <c r="I42" s="19"/>
      <c r="J42" s="187"/>
    </row>
    <row r="43" spans="1:10" ht="9" customHeight="1" x14ac:dyDescent="0.3">
      <c r="A43" s="9"/>
      <c r="B43" s="10"/>
      <c r="E43" s="10"/>
      <c r="F43" s="10"/>
      <c r="G43" s="10"/>
      <c r="H43" s="18"/>
      <c r="I43" s="19"/>
      <c r="J43" s="187"/>
    </row>
    <row r="44" spans="1:10" x14ac:dyDescent="0.3">
      <c r="A44" s="9"/>
      <c r="B44" s="87" t="s">
        <v>19</v>
      </c>
      <c r="E44" s="10"/>
      <c r="F44" s="10"/>
      <c r="G44" s="10"/>
      <c r="H44" s="18"/>
      <c r="I44" s="19"/>
      <c r="J44" s="187"/>
    </row>
    <row r="45" spans="1:10" x14ac:dyDescent="0.3">
      <c r="A45" s="9"/>
      <c r="B45" s="87" t="s">
        <v>20</v>
      </c>
      <c r="E45" s="10"/>
      <c r="F45" s="10"/>
      <c r="G45" s="10"/>
      <c r="H45" s="18">
        <v>-101.9</v>
      </c>
      <c r="I45" s="19"/>
      <c r="J45" s="187">
        <v>-100.2</v>
      </c>
    </row>
    <row r="46" spans="1:10" x14ac:dyDescent="0.3">
      <c r="A46" s="9"/>
      <c r="B46" s="87" t="s">
        <v>21</v>
      </c>
      <c r="E46" s="10"/>
      <c r="F46" s="10"/>
      <c r="G46" s="10"/>
      <c r="H46" s="18">
        <v>-20.9</v>
      </c>
      <c r="I46" s="19"/>
      <c r="J46" s="187">
        <v>-20.399999999999999</v>
      </c>
    </row>
    <row r="47" spans="1:10" ht="7.5" customHeight="1" x14ac:dyDescent="0.3">
      <c r="A47" s="9"/>
      <c r="B47" s="10"/>
      <c r="E47" s="10"/>
      <c r="F47" s="10"/>
      <c r="G47" s="10"/>
      <c r="H47" s="20"/>
      <c r="I47" s="19"/>
      <c r="J47" s="190"/>
    </row>
    <row r="48" spans="1:10" ht="15.75" customHeight="1" x14ac:dyDescent="0.3">
      <c r="A48" s="9"/>
      <c r="B48" s="87" t="s">
        <v>22</v>
      </c>
      <c r="E48" s="10"/>
      <c r="F48" s="10"/>
      <c r="G48" s="10"/>
      <c r="H48" s="18">
        <f>SUM(H45:H47)</f>
        <v>-122.80000000000001</v>
      </c>
      <c r="I48" s="19"/>
      <c r="J48" s="187">
        <f>SUM(J45:J47)</f>
        <v>-120.6</v>
      </c>
    </row>
    <row r="49" spans="1:10" x14ac:dyDescent="0.3">
      <c r="A49" s="9"/>
      <c r="B49" s="87" t="s">
        <v>23</v>
      </c>
      <c r="E49" s="10"/>
      <c r="F49" s="10"/>
      <c r="G49" s="10"/>
      <c r="H49" s="18">
        <v>104.7</v>
      </c>
      <c r="I49" s="19"/>
      <c r="J49" s="187">
        <v>131.30000000000001</v>
      </c>
    </row>
    <row r="50" spans="1:10" ht="7.5" customHeight="1" x14ac:dyDescent="0.3">
      <c r="A50" s="9"/>
      <c r="B50" s="87"/>
      <c r="H50" s="20"/>
      <c r="I50" s="19"/>
      <c r="J50" s="190"/>
    </row>
    <row r="51" spans="1:10" ht="15.75" customHeight="1" x14ac:dyDescent="0.3">
      <c r="A51" s="9"/>
      <c r="B51" s="87" t="s">
        <v>24</v>
      </c>
      <c r="H51" s="18">
        <f>SUM(H48:H49)</f>
        <v>-18.100000000000009</v>
      </c>
      <c r="I51" s="19"/>
      <c r="J51" s="187">
        <f>SUM(J48:J50)</f>
        <v>10.700000000000017</v>
      </c>
    </row>
    <row r="52" spans="1:10" ht="12.75" customHeight="1" x14ac:dyDescent="0.3">
      <c r="A52" s="9"/>
      <c r="B52" s="87" t="s">
        <v>25</v>
      </c>
      <c r="H52" s="18">
        <v>14.5</v>
      </c>
      <c r="I52" s="19"/>
      <c r="J52" s="278">
        <v>0.5</v>
      </c>
    </row>
    <row r="53" spans="1:10" ht="7.5" customHeight="1" x14ac:dyDescent="0.3">
      <c r="A53" s="9"/>
      <c r="B53" s="87"/>
      <c r="H53" s="20"/>
      <c r="I53" s="19"/>
      <c r="J53" s="190"/>
    </row>
    <row r="54" spans="1:10" ht="15.75" customHeight="1" x14ac:dyDescent="0.3">
      <c r="A54" s="9"/>
      <c r="B54" s="87" t="s">
        <v>26</v>
      </c>
      <c r="H54" s="18">
        <f>SUM(H51:H52)</f>
        <v>-3.6000000000000085</v>
      </c>
      <c r="I54" s="19"/>
      <c r="J54" s="187">
        <f>SUM(J51:J53)</f>
        <v>11.200000000000017</v>
      </c>
    </row>
    <row r="55" spans="1:10" x14ac:dyDescent="0.3">
      <c r="A55" s="9"/>
      <c r="B55" s="87" t="s">
        <v>27</v>
      </c>
      <c r="H55" s="18">
        <v>-7.2</v>
      </c>
      <c r="I55" s="19"/>
      <c r="J55" s="187">
        <v>-4.5</v>
      </c>
    </row>
    <row r="56" spans="1:10" ht="7.5" customHeight="1" x14ac:dyDescent="0.3">
      <c r="A56" s="9"/>
      <c r="B56" s="10"/>
      <c r="H56" s="20"/>
      <c r="I56" s="19"/>
      <c r="J56" s="190"/>
    </row>
    <row r="57" spans="1:10" ht="15.75" customHeight="1" x14ac:dyDescent="0.3">
      <c r="A57" s="9"/>
      <c r="B57" s="10"/>
      <c r="H57" s="21">
        <f>SUM(H54:H55)</f>
        <v>-10.800000000000008</v>
      </c>
      <c r="I57" s="19"/>
      <c r="J57" s="104">
        <f>SUM(J54:J55)</f>
        <v>6.7000000000000171</v>
      </c>
    </row>
    <row r="58" spans="1:10" ht="8.25" customHeight="1" thickBot="1" x14ac:dyDescent="0.35">
      <c r="A58" s="9"/>
      <c r="B58" s="10"/>
      <c r="H58" s="23"/>
      <c r="I58" s="19"/>
      <c r="J58" s="188"/>
    </row>
    <row r="59" spans="1:10" ht="23.25" customHeight="1" thickTop="1" x14ac:dyDescent="0.3">
      <c r="A59" s="162">
        <v>5</v>
      </c>
      <c r="B59" s="163" t="s">
        <v>28</v>
      </c>
      <c r="H59" s="18"/>
      <c r="I59" s="19"/>
      <c r="J59" s="187"/>
    </row>
    <row r="60" spans="1:10" ht="9" customHeight="1" x14ac:dyDescent="0.3">
      <c r="A60" s="9"/>
      <c r="B60" s="10"/>
      <c r="H60" s="18"/>
      <c r="I60" s="19"/>
      <c r="J60" s="187"/>
    </row>
    <row r="61" spans="1:10" x14ac:dyDescent="0.3">
      <c r="A61" s="9"/>
      <c r="B61" s="87" t="s">
        <v>29</v>
      </c>
      <c r="C61" s="101"/>
      <c r="H61" s="18"/>
      <c r="I61" s="19"/>
      <c r="J61" s="187"/>
    </row>
    <row r="62" spans="1:10" x14ac:dyDescent="0.3">
      <c r="A62" s="9"/>
      <c r="B62" s="87" t="s">
        <v>30</v>
      </c>
      <c r="C62" s="101"/>
      <c r="H62" s="18"/>
      <c r="I62" s="19"/>
      <c r="J62" s="187"/>
    </row>
    <row r="63" spans="1:10" x14ac:dyDescent="0.3">
      <c r="A63" s="9"/>
      <c r="B63" s="87"/>
      <c r="C63" s="101"/>
      <c r="H63" s="18"/>
      <c r="I63" s="19"/>
      <c r="J63" s="187"/>
    </row>
    <row r="64" spans="1:10" x14ac:dyDescent="0.3">
      <c r="A64" s="9"/>
      <c r="B64" s="87"/>
      <c r="C64" s="101"/>
      <c r="H64" s="18"/>
      <c r="I64" s="19"/>
      <c r="J64" s="187"/>
    </row>
    <row r="65" spans="1:10" x14ac:dyDescent="0.3">
      <c r="A65" s="27"/>
      <c r="B65" s="28"/>
      <c r="C65" s="13"/>
      <c r="D65" s="13"/>
      <c r="E65" s="13"/>
      <c r="F65" s="13"/>
      <c r="G65" s="13"/>
      <c r="H65" s="29"/>
      <c r="I65" s="28"/>
      <c r="J65" s="28"/>
    </row>
    <row r="66" spans="1:10" x14ac:dyDescent="0.3">
      <c r="A66" s="27"/>
      <c r="B66" s="28"/>
      <c r="C66" s="13"/>
      <c r="D66" s="13"/>
      <c r="E66" s="13"/>
      <c r="F66" s="13"/>
      <c r="G66" s="13"/>
      <c r="H66" s="29"/>
      <c r="I66" s="28"/>
      <c r="J66" s="28"/>
    </row>
    <row r="67" spans="1:10" x14ac:dyDescent="0.3">
      <c r="A67" s="27"/>
      <c r="B67" s="28"/>
      <c r="C67" s="13"/>
      <c r="D67" s="13"/>
      <c r="E67" s="13"/>
      <c r="F67" s="13"/>
      <c r="G67" s="13"/>
      <c r="H67" s="29"/>
      <c r="I67" s="28"/>
      <c r="J67" s="28"/>
    </row>
    <row r="68" spans="1:10" x14ac:dyDescent="0.3">
      <c r="A68" s="27"/>
      <c r="B68" s="28"/>
      <c r="C68" s="13"/>
      <c r="D68" s="13"/>
      <c r="E68" s="13"/>
      <c r="F68" s="13"/>
      <c r="G68" s="13"/>
      <c r="H68" s="29"/>
      <c r="I68" s="28"/>
      <c r="J68" s="28"/>
    </row>
    <row r="69" spans="1:10" x14ac:dyDescent="0.3">
      <c r="A69" s="27"/>
      <c r="B69" s="28"/>
      <c r="C69" s="13"/>
      <c r="D69" s="13"/>
      <c r="E69" s="13"/>
      <c r="F69" s="13"/>
      <c r="G69" s="13"/>
      <c r="H69" s="29"/>
      <c r="I69" s="28"/>
      <c r="J69" s="28"/>
    </row>
    <row r="70" spans="1:10" x14ac:dyDescent="0.3">
      <c r="A70" s="9"/>
      <c r="B70" s="10"/>
    </row>
    <row r="71" spans="1:10" x14ac:dyDescent="0.3">
      <c r="A71" s="9"/>
      <c r="B71" s="10"/>
    </row>
    <row r="72" spans="1:10" x14ac:dyDescent="0.3">
      <c r="A72" s="9"/>
      <c r="B72" s="10"/>
    </row>
    <row r="73" spans="1:10" x14ac:dyDescent="0.3">
      <c r="A73" s="9"/>
      <c r="B73" s="10"/>
    </row>
    <row r="74" spans="1:10" x14ac:dyDescent="0.3">
      <c r="A74" s="9"/>
      <c r="B74" s="10"/>
    </row>
    <row r="75" spans="1:10" x14ac:dyDescent="0.3">
      <c r="A75" s="9"/>
      <c r="B75" s="10"/>
    </row>
    <row r="76" spans="1:10" x14ac:dyDescent="0.3">
      <c r="A76" s="9"/>
      <c r="B76" s="10"/>
    </row>
    <row r="77" spans="1:10" x14ac:dyDescent="0.3">
      <c r="A77" s="9"/>
      <c r="B77" s="10"/>
    </row>
    <row r="78" spans="1:10" x14ac:dyDescent="0.3">
      <c r="A78" s="9"/>
      <c r="B78" s="10"/>
    </row>
    <row r="79" spans="1:10" x14ac:dyDescent="0.3">
      <c r="A79" s="9"/>
      <c r="B79" s="10"/>
    </row>
    <row r="80" spans="1:10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8"/>
  <sheetViews>
    <sheetView topLeftCell="A22" workbookViewId="0">
      <selection activeCell="D25" sqref="D25"/>
    </sheetView>
  </sheetViews>
  <sheetFormatPr defaultRowHeight="13" x14ac:dyDescent="0.3"/>
  <cols>
    <col min="1" max="1" width="5.54296875" style="30" customWidth="1"/>
    <col min="7" max="7" width="4.54296875" customWidth="1"/>
    <col min="8" max="8" width="2" customWidth="1"/>
    <col min="9" max="9" width="7.7265625" style="17" customWidth="1"/>
    <col min="10" max="10" width="7" style="10" customWidth="1"/>
    <col min="11" max="11" width="8.26953125" style="10" customWidth="1"/>
  </cols>
  <sheetData>
    <row r="1" spans="1:53" s="35" customFormat="1" ht="24.75" customHeight="1" x14ac:dyDescent="0.3">
      <c r="A1" s="1" t="s">
        <v>0</v>
      </c>
      <c r="B1" s="32"/>
      <c r="C1" s="32"/>
      <c r="D1" s="32"/>
      <c r="E1" s="32"/>
      <c r="F1" s="32"/>
      <c r="G1" s="32"/>
      <c r="H1" s="32"/>
      <c r="I1" s="33"/>
      <c r="J1" s="34"/>
      <c r="K1" s="34"/>
      <c r="L1"/>
      <c r="M1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s="13" customFormat="1" ht="13.5" customHeight="1" x14ac:dyDescent="0.3">
      <c r="A2" s="179" t="s">
        <v>31</v>
      </c>
      <c r="I2" s="29"/>
      <c r="J2" s="28"/>
      <c r="K2" s="28"/>
      <c r="L2"/>
      <c r="M2"/>
    </row>
    <row r="3" spans="1:53" s="13" customFormat="1" x14ac:dyDescent="0.3">
      <c r="A3" s="36"/>
      <c r="I3" s="29"/>
      <c r="J3" s="28"/>
      <c r="K3" s="28"/>
      <c r="L3"/>
      <c r="M3"/>
    </row>
    <row r="4" spans="1:53" x14ac:dyDescent="0.3">
      <c r="A4" s="9"/>
      <c r="B4" s="10"/>
    </row>
    <row r="5" spans="1:53" x14ac:dyDescent="0.3">
      <c r="A5" s="9"/>
      <c r="B5" s="10"/>
      <c r="E5" s="10"/>
      <c r="F5" s="10"/>
      <c r="G5" s="10"/>
      <c r="H5" s="10"/>
      <c r="I5" s="11">
        <v>1997</v>
      </c>
      <c r="K5" s="12">
        <v>1996</v>
      </c>
    </row>
    <row r="6" spans="1:53" ht="16.5" customHeight="1" x14ac:dyDescent="0.3">
      <c r="A6" s="9"/>
      <c r="B6" s="10"/>
      <c r="E6" s="10"/>
      <c r="F6" s="10"/>
      <c r="G6" s="10"/>
      <c r="H6" s="10"/>
      <c r="I6" s="183" t="s">
        <v>1</v>
      </c>
      <c r="J6" s="184"/>
      <c r="K6" s="193" t="s">
        <v>1</v>
      </c>
    </row>
    <row r="7" spans="1:53" x14ac:dyDescent="0.3">
      <c r="A7" s="9"/>
      <c r="B7" s="10"/>
      <c r="E7" s="10"/>
      <c r="F7" s="10"/>
      <c r="G7" s="10"/>
      <c r="H7" s="10"/>
      <c r="I7" s="11"/>
      <c r="K7" s="48"/>
    </row>
    <row r="8" spans="1:53" x14ac:dyDescent="0.3">
      <c r="A8" s="162">
        <v>6</v>
      </c>
      <c r="B8" s="163" t="s">
        <v>32</v>
      </c>
      <c r="E8" s="10"/>
      <c r="F8" s="10"/>
      <c r="G8" s="10"/>
      <c r="H8" s="10"/>
    </row>
    <row r="9" spans="1:53" x14ac:dyDescent="0.3">
      <c r="A9" s="9"/>
      <c r="B9" s="10"/>
      <c r="E9" s="10"/>
      <c r="F9" s="10"/>
      <c r="G9" s="10"/>
      <c r="H9" s="10"/>
    </row>
    <row r="10" spans="1:53" x14ac:dyDescent="0.3">
      <c r="A10" s="9"/>
      <c r="B10" s="143" t="s">
        <v>33</v>
      </c>
      <c r="E10" s="10"/>
      <c r="F10" s="10"/>
      <c r="G10" s="10"/>
      <c r="H10" s="10"/>
    </row>
    <row r="11" spans="1:53" ht="8.25" customHeight="1" x14ac:dyDescent="0.3">
      <c r="A11" s="9"/>
      <c r="B11" s="10"/>
      <c r="E11" s="10"/>
      <c r="F11" s="10"/>
      <c r="G11" s="10"/>
      <c r="H11" s="10"/>
      <c r="I11" s="38"/>
      <c r="J11" s="39"/>
      <c r="K11" s="39"/>
    </row>
    <row r="12" spans="1:53" x14ac:dyDescent="0.3">
      <c r="A12" s="9"/>
      <c r="B12" s="143" t="s">
        <v>34</v>
      </c>
      <c r="E12" s="10"/>
      <c r="F12" s="10"/>
      <c r="G12" s="10"/>
      <c r="H12" s="10"/>
      <c r="I12" s="38"/>
      <c r="J12" s="39"/>
      <c r="K12" s="39"/>
    </row>
    <row r="13" spans="1:53" x14ac:dyDescent="0.3">
      <c r="A13" s="9"/>
      <c r="B13" s="10"/>
      <c r="E13" s="10"/>
      <c r="F13" s="10"/>
      <c r="G13" s="10"/>
      <c r="H13" s="10"/>
      <c r="I13" s="21"/>
      <c r="J13" s="19"/>
      <c r="K13" s="21"/>
    </row>
    <row r="14" spans="1:53" x14ac:dyDescent="0.3">
      <c r="A14" s="9"/>
      <c r="B14" s="87" t="s">
        <v>35</v>
      </c>
      <c r="C14" s="101"/>
      <c r="D14" s="101"/>
      <c r="E14" s="10"/>
      <c r="F14" s="10"/>
      <c r="G14" s="10"/>
      <c r="H14" s="10"/>
      <c r="I14" s="21">
        <v>377.8</v>
      </c>
      <c r="J14" s="19"/>
      <c r="K14" s="104">
        <v>369.6</v>
      </c>
    </row>
    <row r="15" spans="1:53" ht="13.5" customHeight="1" x14ac:dyDescent="0.3">
      <c r="A15" s="9"/>
      <c r="B15" s="87" t="s">
        <v>36</v>
      </c>
      <c r="C15" s="101"/>
      <c r="D15" s="101"/>
      <c r="E15" s="10"/>
      <c r="F15" s="10"/>
      <c r="G15" s="10"/>
      <c r="H15" s="10"/>
      <c r="I15" s="279" t="s">
        <v>37</v>
      </c>
      <c r="J15" s="19"/>
      <c r="K15" s="187">
        <v>220.6</v>
      </c>
    </row>
    <row r="16" spans="1:53" ht="13.5" customHeight="1" x14ac:dyDescent="0.3">
      <c r="A16" s="40"/>
      <c r="B16" s="102" t="s">
        <v>7</v>
      </c>
      <c r="C16" s="101"/>
      <c r="D16" s="101"/>
      <c r="E16" s="10"/>
      <c r="F16" s="10"/>
      <c r="G16" s="10"/>
      <c r="H16" s="10"/>
      <c r="I16" s="18">
        <v>9.1</v>
      </c>
      <c r="J16" s="19"/>
      <c r="K16" s="187">
        <v>23.3</v>
      </c>
    </row>
    <row r="17" spans="1:11" ht="12.75" customHeight="1" x14ac:dyDescent="0.3">
      <c r="A17" s="40"/>
      <c r="B17" s="87" t="s">
        <v>38</v>
      </c>
      <c r="C17" s="101"/>
      <c r="D17" s="101"/>
      <c r="E17" s="10"/>
      <c r="F17" s="10"/>
      <c r="G17" s="10"/>
      <c r="H17" s="10"/>
      <c r="I17" s="18">
        <v>-19</v>
      </c>
      <c r="J17" s="19"/>
      <c r="K17" s="19">
        <v>-0.3</v>
      </c>
    </row>
    <row r="18" spans="1:11" ht="12.75" customHeight="1" x14ac:dyDescent="0.3">
      <c r="A18" s="9"/>
      <c r="B18" s="87" t="s">
        <v>39</v>
      </c>
      <c r="C18" s="101"/>
      <c r="D18" s="101"/>
      <c r="E18" s="10"/>
      <c r="F18" s="10"/>
      <c r="G18" s="10"/>
      <c r="H18" s="10"/>
      <c r="I18" s="18">
        <v>81.400000000000006</v>
      </c>
      <c r="J18" s="19"/>
      <c r="K18" s="19">
        <v>99.4</v>
      </c>
    </row>
    <row r="19" spans="1:11" ht="6.75" customHeight="1" x14ac:dyDescent="0.3">
      <c r="A19" s="9"/>
      <c r="B19" s="87"/>
      <c r="C19" s="101"/>
      <c r="D19" s="101"/>
      <c r="E19" s="10"/>
      <c r="F19" s="10"/>
      <c r="G19" s="10"/>
      <c r="H19" s="10"/>
      <c r="I19" s="20"/>
      <c r="J19" s="19"/>
      <c r="K19" s="190"/>
    </row>
    <row r="20" spans="1:11" ht="16.5" customHeight="1" x14ac:dyDescent="0.3">
      <c r="A20" s="9"/>
      <c r="B20" s="87"/>
      <c r="C20" s="101"/>
      <c r="D20" s="101"/>
      <c r="E20" s="10"/>
      <c r="F20" s="10"/>
      <c r="G20" s="10"/>
      <c r="H20" s="10"/>
      <c r="I20" s="42">
        <f>SUM(I14:I18)</f>
        <v>449.30000000000007</v>
      </c>
      <c r="J20" s="43"/>
      <c r="K20" s="194">
        <v>712.6</v>
      </c>
    </row>
    <row r="21" spans="1:11" ht="7.5" customHeight="1" thickBot="1" x14ac:dyDescent="0.35">
      <c r="A21" s="9"/>
      <c r="B21" s="87"/>
      <c r="C21" s="101"/>
      <c r="D21" s="101"/>
      <c r="E21" s="10"/>
      <c r="F21" s="10"/>
      <c r="G21" s="10"/>
      <c r="H21" s="10"/>
      <c r="I21" s="23"/>
      <c r="J21" s="19"/>
      <c r="K21" s="188"/>
    </row>
    <row r="22" spans="1:11" ht="13.5" thickTop="1" x14ac:dyDescent="0.3">
      <c r="A22" s="9"/>
      <c r="B22" s="87"/>
      <c r="C22" s="101"/>
      <c r="D22" s="101"/>
      <c r="E22" s="10"/>
      <c r="F22" s="10"/>
      <c r="G22" s="10"/>
      <c r="H22" s="10"/>
      <c r="I22" s="21"/>
      <c r="J22" s="19"/>
      <c r="K22" s="104"/>
    </row>
    <row r="23" spans="1:11" x14ac:dyDescent="0.3">
      <c r="A23" s="9"/>
      <c r="B23" s="164" t="s">
        <v>40</v>
      </c>
      <c r="C23" s="101"/>
      <c r="D23" s="101"/>
      <c r="E23" s="10"/>
      <c r="F23" s="10"/>
      <c r="G23" s="10"/>
      <c r="H23" s="10"/>
      <c r="I23" s="21"/>
      <c r="J23" s="19"/>
      <c r="K23" s="104"/>
    </row>
    <row r="24" spans="1:11" x14ac:dyDescent="0.3">
      <c r="A24" s="40"/>
      <c r="B24" s="135"/>
      <c r="C24" s="101"/>
      <c r="D24" s="101"/>
      <c r="E24" s="10"/>
      <c r="F24" s="10"/>
      <c r="G24" s="10"/>
      <c r="H24" s="10"/>
      <c r="I24" s="18"/>
      <c r="J24" s="19"/>
      <c r="K24" s="187"/>
    </row>
    <row r="25" spans="1:11" x14ac:dyDescent="0.3">
      <c r="A25" s="9"/>
      <c r="B25" s="87" t="s">
        <v>35</v>
      </c>
      <c r="C25" s="101"/>
      <c r="D25" s="101"/>
      <c r="E25" s="10"/>
      <c r="F25" s="10"/>
      <c r="G25" s="10"/>
      <c r="H25" s="10"/>
      <c r="I25" s="21">
        <v>7698</v>
      </c>
      <c r="J25" s="19"/>
      <c r="K25" s="104">
        <v>8473.4</v>
      </c>
    </row>
    <row r="26" spans="1:11" ht="13.5" customHeight="1" x14ac:dyDescent="0.3">
      <c r="A26" s="9"/>
      <c r="B26" s="102" t="s">
        <v>7</v>
      </c>
      <c r="C26" s="101"/>
      <c r="D26" s="101"/>
      <c r="E26" s="10"/>
      <c r="F26" s="10"/>
      <c r="G26" s="10"/>
      <c r="H26" s="10"/>
      <c r="I26" s="18">
        <v>215.6</v>
      </c>
      <c r="J26" s="19"/>
      <c r="K26" s="187">
        <v>209.4</v>
      </c>
    </row>
    <row r="27" spans="1:11" ht="12.75" customHeight="1" x14ac:dyDescent="0.3">
      <c r="A27" s="9"/>
      <c r="B27" s="87" t="s">
        <v>38</v>
      </c>
      <c r="C27" s="101"/>
      <c r="D27" s="101"/>
      <c r="E27" s="10"/>
      <c r="F27" s="10"/>
      <c r="G27" s="10"/>
      <c r="H27" s="10"/>
      <c r="I27" s="129">
        <v>74.3</v>
      </c>
      <c r="J27" s="19"/>
      <c r="K27" s="19">
        <v>39.4</v>
      </c>
    </row>
    <row r="28" spans="1:11" ht="12.75" customHeight="1" x14ac:dyDescent="0.3">
      <c r="A28" s="9"/>
      <c r="B28" s="87" t="s">
        <v>39</v>
      </c>
      <c r="C28" s="101"/>
      <c r="D28" s="101"/>
      <c r="E28" s="10"/>
      <c r="F28" s="10"/>
      <c r="G28" s="10"/>
      <c r="H28" s="10"/>
      <c r="I28" s="129">
        <v>847.9</v>
      </c>
      <c r="J28" s="19"/>
      <c r="K28" s="19">
        <v>1151.4000000000001</v>
      </c>
    </row>
    <row r="29" spans="1:11" ht="7.5" customHeight="1" x14ac:dyDescent="0.3">
      <c r="A29" s="9"/>
      <c r="B29" s="87"/>
      <c r="C29" s="101"/>
      <c r="D29" s="101"/>
      <c r="E29" s="10"/>
      <c r="F29" s="10"/>
      <c r="G29" s="10"/>
      <c r="H29" s="10"/>
      <c r="I29" s="20"/>
      <c r="J29" s="19"/>
      <c r="K29" s="190"/>
    </row>
    <row r="30" spans="1:11" ht="15.75" customHeight="1" x14ac:dyDescent="0.3">
      <c r="A30" s="9"/>
      <c r="B30" s="87"/>
      <c r="C30" s="101"/>
      <c r="D30" s="101"/>
      <c r="E30" s="10"/>
      <c r="F30" s="10"/>
      <c r="G30" s="10"/>
      <c r="H30" s="10"/>
      <c r="I30" s="42">
        <f>SUM(I25:I28)</f>
        <v>8835.8000000000011</v>
      </c>
      <c r="J30" s="43"/>
      <c r="K30" s="194">
        <v>9873.6</v>
      </c>
    </row>
    <row r="31" spans="1:11" ht="7.5" customHeight="1" thickBot="1" x14ac:dyDescent="0.35">
      <c r="A31" s="9"/>
      <c r="B31" s="87"/>
      <c r="C31" s="101"/>
      <c r="D31" s="101"/>
      <c r="E31" s="10"/>
      <c r="F31" s="10"/>
      <c r="G31" s="10"/>
      <c r="H31" s="10"/>
      <c r="I31" s="23"/>
      <c r="J31" s="19"/>
      <c r="K31" s="188"/>
    </row>
    <row r="32" spans="1:11" ht="13.5" thickTop="1" x14ac:dyDescent="0.3">
      <c r="A32" s="9"/>
      <c r="B32" s="87"/>
      <c r="C32" s="101"/>
      <c r="D32" s="101"/>
      <c r="E32" s="10"/>
      <c r="F32" s="10"/>
      <c r="G32" s="10"/>
      <c r="H32" s="10"/>
      <c r="I32" s="21"/>
      <c r="J32" s="19"/>
      <c r="K32" s="104"/>
    </row>
    <row r="33" spans="1:11" x14ac:dyDescent="0.3">
      <c r="A33" s="9"/>
      <c r="B33" s="164" t="s">
        <v>41</v>
      </c>
      <c r="C33" s="101"/>
      <c r="D33" s="101"/>
      <c r="E33" s="10"/>
      <c r="F33" s="10"/>
      <c r="G33" s="10"/>
      <c r="H33" s="10"/>
      <c r="I33" s="21"/>
      <c r="J33" s="22"/>
      <c r="K33" s="104"/>
    </row>
    <row r="34" spans="1:11" ht="8.25" customHeight="1" x14ac:dyDescent="0.3">
      <c r="A34" s="9"/>
      <c r="B34" s="87"/>
      <c r="C34" s="101"/>
      <c r="D34" s="101"/>
      <c r="E34" s="10"/>
      <c r="F34" s="10"/>
      <c r="G34" s="10"/>
      <c r="H34" s="10"/>
      <c r="I34" s="21"/>
      <c r="J34" s="22"/>
      <c r="K34" s="104"/>
    </row>
    <row r="35" spans="1:11" x14ac:dyDescent="0.3">
      <c r="A35" s="9"/>
      <c r="B35" s="164" t="s">
        <v>34</v>
      </c>
      <c r="C35" s="101"/>
      <c r="D35" s="101"/>
      <c r="E35" s="10"/>
      <c r="F35" s="10"/>
      <c r="G35" s="10"/>
      <c r="H35" s="10"/>
      <c r="I35" s="21"/>
      <c r="J35" s="22"/>
      <c r="K35" s="104"/>
    </row>
    <row r="36" spans="1:11" x14ac:dyDescent="0.3">
      <c r="A36" s="9"/>
      <c r="B36" s="87"/>
      <c r="C36" s="101"/>
      <c r="D36" s="101"/>
      <c r="E36" s="10"/>
      <c r="F36" s="10"/>
      <c r="G36" s="10"/>
      <c r="H36" s="10"/>
      <c r="I36" s="21"/>
      <c r="J36" s="22"/>
      <c r="K36" s="104"/>
    </row>
    <row r="37" spans="1:11" x14ac:dyDescent="0.3">
      <c r="A37" s="45"/>
      <c r="B37" s="110" t="s">
        <v>42</v>
      </c>
      <c r="C37" s="107"/>
      <c r="D37" s="107"/>
      <c r="E37" s="28"/>
      <c r="F37" s="28"/>
      <c r="G37" s="28"/>
      <c r="H37" s="28"/>
      <c r="I37" s="21">
        <v>374.2</v>
      </c>
      <c r="J37" s="22"/>
      <c r="K37" s="104">
        <v>366.5</v>
      </c>
    </row>
    <row r="38" spans="1:11" x14ac:dyDescent="0.3">
      <c r="A38" s="27"/>
      <c r="B38" s="59" t="s">
        <v>43</v>
      </c>
      <c r="C38" s="107"/>
      <c r="D38" s="107"/>
      <c r="E38" s="28"/>
      <c r="F38" s="28"/>
      <c r="G38" s="28"/>
      <c r="H38" s="28"/>
      <c r="I38" s="21">
        <v>-14.6</v>
      </c>
      <c r="J38" s="22"/>
      <c r="K38" s="104">
        <v>3.5</v>
      </c>
    </row>
    <row r="39" spans="1:11" x14ac:dyDescent="0.3">
      <c r="A39" s="27"/>
      <c r="B39" s="59" t="s">
        <v>44</v>
      </c>
      <c r="C39" s="107"/>
      <c r="D39" s="107"/>
      <c r="E39" s="28"/>
      <c r="F39" s="28"/>
      <c r="G39" s="28"/>
      <c r="H39" s="28"/>
      <c r="I39" s="304" t="s">
        <v>37</v>
      </c>
      <c r="J39" s="22"/>
      <c r="K39" s="104">
        <v>220.6</v>
      </c>
    </row>
    <row r="40" spans="1:11" x14ac:dyDescent="0.3">
      <c r="A40" s="27"/>
      <c r="B40" s="59" t="s">
        <v>45</v>
      </c>
      <c r="C40" s="107"/>
      <c r="D40" s="107"/>
      <c r="E40" s="28"/>
      <c r="F40" s="28"/>
      <c r="G40" s="28"/>
      <c r="H40" s="28"/>
      <c r="I40" s="21">
        <v>89.7</v>
      </c>
      <c r="J40" s="22"/>
      <c r="K40" s="104">
        <v>122</v>
      </c>
    </row>
    <row r="41" spans="1:11" ht="7.5" customHeight="1" x14ac:dyDescent="0.3">
      <c r="A41" s="27"/>
      <c r="B41" s="59"/>
      <c r="C41" s="107"/>
      <c r="D41" s="107"/>
      <c r="E41" s="28"/>
      <c r="F41" s="28"/>
      <c r="G41" s="28"/>
      <c r="H41" s="28"/>
      <c r="I41" s="20"/>
      <c r="J41" s="22"/>
      <c r="K41" s="190"/>
    </row>
    <row r="42" spans="1:11" ht="15.75" customHeight="1" x14ac:dyDescent="0.3">
      <c r="A42" s="27"/>
      <c r="B42" s="59"/>
      <c r="C42" s="107"/>
      <c r="D42" s="107"/>
      <c r="E42" s="28"/>
      <c r="F42" s="28"/>
      <c r="G42" s="28"/>
      <c r="H42" s="28"/>
      <c r="I42" s="21">
        <f>SUM(I37:I40)</f>
        <v>449.29999999999995</v>
      </c>
      <c r="J42" s="22"/>
      <c r="K42" s="104">
        <v>712.6</v>
      </c>
    </row>
    <row r="43" spans="1:11" ht="7.5" customHeight="1" thickBot="1" x14ac:dyDescent="0.35">
      <c r="A43" s="27"/>
      <c r="B43" s="59"/>
      <c r="C43" s="107"/>
      <c r="D43" s="107"/>
      <c r="E43" s="28"/>
      <c r="F43" s="28"/>
      <c r="G43" s="28"/>
      <c r="H43" s="28"/>
      <c r="I43" s="23"/>
      <c r="J43" s="22"/>
      <c r="K43" s="188"/>
    </row>
    <row r="44" spans="1:11" ht="13.5" thickTop="1" x14ac:dyDescent="0.3">
      <c r="A44" s="27"/>
      <c r="B44" s="59"/>
      <c r="C44" s="107"/>
      <c r="D44" s="107"/>
      <c r="E44" s="28"/>
      <c r="F44" s="28"/>
      <c r="G44" s="28"/>
      <c r="H44" s="28"/>
      <c r="I44" s="21"/>
      <c r="J44" s="22"/>
      <c r="K44" s="104"/>
    </row>
    <row r="45" spans="1:11" x14ac:dyDescent="0.3">
      <c r="A45" s="27"/>
      <c r="B45" s="165" t="s">
        <v>40</v>
      </c>
      <c r="C45" s="107"/>
      <c r="D45" s="107"/>
      <c r="E45" s="28"/>
      <c r="F45" s="28"/>
      <c r="G45" s="28"/>
      <c r="H45" s="28"/>
      <c r="I45" s="21"/>
      <c r="J45" s="22"/>
      <c r="K45" s="104"/>
    </row>
    <row r="46" spans="1:11" x14ac:dyDescent="0.3">
      <c r="A46" s="27"/>
      <c r="B46" s="59"/>
      <c r="C46" s="107"/>
      <c r="D46" s="107"/>
      <c r="E46" s="13"/>
      <c r="F46" s="13"/>
      <c r="G46" s="13"/>
      <c r="H46" s="13"/>
      <c r="I46" s="21"/>
      <c r="J46" s="22"/>
      <c r="K46" s="104"/>
    </row>
    <row r="47" spans="1:11" x14ac:dyDescent="0.3">
      <c r="A47" s="27"/>
      <c r="B47" s="110" t="s">
        <v>42</v>
      </c>
      <c r="C47" s="107"/>
      <c r="D47" s="107"/>
      <c r="E47" s="28"/>
      <c r="F47" s="28"/>
      <c r="G47" s="28"/>
      <c r="H47" s="28"/>
      <c r="I47" s="21">
        <v>7613.7</v>
      </c>
      <c r="J47" s="22"/>
      <c r="K47" s="104">
        <v>8315.5</v>
      </c>
    </row>
    <row r="48" spans="1:11" x14ac:dyDescent="0.3">
      <c r="A48" s="27"/>
      <c r="B48" s="59" t="s">
        <v>43</v>
      </c>
      <c r="C48" s="107"/>
      <c r="D48" s="107"/>
      <c r="E48" s="28"/>
      <c r="F48" s="28"/>
      <c r="G48" s="28"/>
      <c r="H48" s="28"/>
      <c r="I48" s="21">
        <v>162.4</v>
      </c>
      <c r="J48" s="22"/>
      <c r="K48" s="104">
        <v>201</v>
      </c>
    </row>
    <row r="49" spans="1:11" x14ac:dyDescent="0.3">
      <c r="A49" s="27"/>
      <c r="B49" s="59" t="s">
        <v>45</v>
      </c>
      <c r="C49" s="107"/>
      <c r="D49" s="107"/>
      <c r="E49" s="28"/>
      <c r="F49" s="28"/>
      <c r="G49" s="28"/>
      <c r="H49" s="28"/>
      <c r="I49" s="21">
        <v>1059.7</v>
      </c>
      <c r="J49" s="22"/>
      <c r="K49" s="104">
        <v>1357.1</v>
      </c>
    </row>
    <row r="50" spans="1:11" ht="8.25" customHeight="1" x14ac:dyDescent="0.3">
      <c r="A50" s="27"/>
      <c r="B50" s="59"/>
      <c r="C50" s="107"/>
      <c r="D50" s="107"/>
      <c r="E50" s="28"/>
      <c r="F50" s="28"/>
      <c r="G50" s="28"/>
      <c r="H50" s="28"/>
      <c r="I50" s="20"/>
      <c r="J50" s="22"/>
      <c r="K50" s="190"/>
    </row>
    <row r="51" spans="1:11" ht="15.75" customHeight="1" x14ac:dyDescent="0.3">
      <c r="A51" s="40"/>
      <c r="B51" s="59"/>
      <c r="C51" s="107"/>
      <c r="D51" s="107"/>
      <c r="E51" s="28"/>
      <c r="F51" s="28"/>
      <c r="G51" s="28"/>
      <c r="H51" s="28"/>
      <c r="I51" s="21">
        <f>SUM(I47:I49)</f>
        <v>8835.7999999999993</v>
      </c>
      <c r="J51" s="22"/>
      <c r="K51" s="104">
        <v>9873.6</v>
      </c>
    </row>
    <row r="52" spans="1:11" ht="7.5" customHeight="1" thickBot="1" x14ac:dyDescent="0.35">
      <c r="A52" s="9"/>
      <c r="B52" s="28"/>
      <c r="C52" s="13"/>
      <c r="D52" s="13"/>
      <c r="E52" s="28"/>
      <c r="F52" s="28"/>
      <c r="G52" s="28"/>
      <c r="H52" s="28"/>
      <c r="I52" s="23"/>
      <c r="J52" s="22"/>
      <c r="K52" s="188"/>
    </row>
    <row r="53" spans="1:11" ht="13.5" thickTop="1" x14ac:dyDescent="0.3">
      <c r="A53" s="9"/>
      <c r="B53" s="28"/>
      <c r="C53" s="13"/>
      <c r="D53" s="13"/>
      <c r="E53" s="28"/>
      <c r="F53" s="28"/>
      <c r="G53" s="28"/>
      <c r="H53" s="28"/>
      <c r="I53" s="21"/>
      <c r="J53" s="22"/>
      <c r="K53" s="22"/>
    </row>
    <row r="54" spans="1:11" x14ac:dyDescent="0.3">
      <c r="A54" s="9"/>
      <c r="B54" s="143" t="s">
        <v>46</v>
      </c>
      <c r="C54" s="196"/>
    </row>
    <row r="55" spans="1:11" x14ac:dyDescent="0.3">
      <c r="A55" s="9"/>
      <c r="B55" s="10"/>
    </row>
    <row r="56" spans="1:11" x14ac:dyDescent="0.3">
      <c r="A56" s="9"/>
      <c r="B56" s="10"/>
      <c r="I56" s="18"/>
      <c r="J56" s="19"/>
      <c r="K56" s="19"/>
    </row>
    <row r="57" spans="1:11" x14ac:dyDescent="0.3">
      <c r="A57" s="9"/>
      <c r="B57" s="10"/>
    </row>
    <row r="58" spans="1:11" x14ac:dyDescent="0.3">
      <c r="A58" s="9"/>
      <c r="B58" s="10"/>
      <c r="I58" s="29"/>
      <c r="J58" s="28"/>
      <c r="K58" s="48"/>
    </row>
    <row r="59" spans="1:11" x14ac:dyDescent="0.3">
      <c r="A59" s="9"/>
      <c r="B59" s="10"/>
      <c r="I59" s="21"/>
      <c r="J59" s="28"/>
      <c r="K59" s="48"/>
    </row>
    <row r="60" spans="1:11" x14ac:dyDescent="0.3">
      <c r="A60" s="9"/>
      <c r="B60" s="10"/>
      <c r="K60" s="12"/>
    </row>
    <row r="61" spans="1:11" x14ac:dyDescent="0.3">
      <c r="A61" s="9"/>
      <c r="B61" s="10"/>
      <c r="H61" s="13"/>
      <c r="I61" s="29"/>
      <c r="J61" s="28"/>
      <c r="K61" s="28"/>
    </row>
    <row r="62" spans="1:11" x14ac:dyDescent="0.3">
      <c r="A62" s="9"/>
      <c r="B62" s="10"/>
      <c r="H62" s="13"/>
      <c r="I62" s="29"/>
      <c r="J62" s="28"/>
      <c r="K62" s="28"/>
    </row>
    <row r="63" spans="1:11" x14ac:dyDescent="0.3">
      <c r="A63" s="9"/>
      <c r="B63" s="10"/>
      <c r="H63" s="13"/>
      <c r="I63" s="29"/>
      <c r="J63" s="28"/>
      <c r="K63" s="28"/>
    </row>
    <row r="64" spans="1:11" x14ac:dyDescent="0.3">
      <c r="A64" s="9"/>
      <c r="B64" s="10"/>
    </row>
    <row r="65" spans="1:2" x14ac:dyDescent="0.3">
      <c r="A65" s="9"/>
      <c r="B65" s="10"/>
    </row>
    <row r="66" spans="1:2" x14ac:dyDescent="0.3">
      <c r="A66" s="9"/>
      <c r="B66" s="10"/>
    </row>
    <row r="67" spans="1:2" x14ac:dyDescent="0.3">
      <c r="A67" s="9"/>
      <c r="B67" s="10"/>
    </row>
    <row r="68" spans="1:2" x14ac:dyDescent="0.3">
      <c r="A68" s="9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9"/>
      <c r="B71" s="10"/>
    </row>
    <row r="72" spans="1:2" x14ac:dyDescent="0.3">
      <c r="A72" s="9"/>
      <c r="B72" s="10"/>
    </row>
    <row r="73" spans="1:2" x14ac:dyDescent="0.3">
      <c r="A73" s="9"/>
      <c r="B73" s="10"/>
    </row>
    <row r="74" spans="1:2" x14ac:dyDescent="0.3">
      <c r="A74" s="9"/>
      <c r="B74" s="10"/>
    </row>
    <row r="75" spans="1:2" x14ac:dyDescent="0.3">
      <c r="A75" s="9"/>
      <c r="B75" s="10"/>
    </row>
    <row r="76" spans="1:2" x14ac:dyDescent="0.3">
      <c r="A76" s="9"/>
      <c r="B76" s="10"/>
    </row>
    <row r="77" spans="1:2" x14ac:dyDescent="0.3">
      <c r="A77" s="9"/>
      <c r="B77" s="10"/>
    </row>
    <row r="78" spans="1:2" x14ac:dyDescent="0.3">
      <c r="A78" s="9"/>
      <c r="B78" s="10"/>
    </row>
    <row r="79" spans="1:2" x14ac:dyDescent="0.3">
      <c r="A79" s="9"/>
      <c r="B79" s="10"/>
    </row>
    <row r="80" spans="1:2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82"/>
  <sheetViews>
    <sheetView topLeftCell="A44" workbookViewId="0">
      <pane xSplit="9280" topLeftCell="J1"/>
      <selection activeCell="B60" sqref="B60"/>
      <selection pane="topRight" activeCell="J1" sqref="J1"/>
    </sheetView>
  </sheetViews>
  <sheetFormatPr defaultRowHeight="13" x14ac:dyDescent="0.3"/>
  <cols>
    <col min="1" max="1" width="3.7265625" style="30" customWidth="1"/>
    <col min="2" max="2" width="14.1796875" customWidth="1"/>
    <col min="5" max="5" width="6.453125" customWidth="1"/>
    <col min="6" max="6" width="5.453125" customWidth="1"/>
    <col min="7" max="7" width="2.7265625" customWidth="1"/>
    <col min="8" max="8" width="6" customWidth="1"/>
    <col min="9" max="9" width="7" style="17" customWidth="1"/>
    <col min="10" max="10" width="7.26953125" style="10" customWidth="1"/>
    <col min="11" max="11" width="7" style="10" customWidth="1"/>
  </cols>
  <sheetData>
    <row r="1" spans="1:121" s="2" customFormat="1" ht="24" customHeight="1" x14ac:dyDescent="0.25">
      <c r="A1" s="1" t="s">
        <v>0</v>
      </c>
      <c r="H1" s="3"/>
      <c r="I1" s="4"/>
      <c r="J1" s="4"/>
      <c r="L1"/>
      <c r="M1"/>
      <c r="N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</row>
    <row r="2" spans="1:121" ht="12.75" customHeight="1" x14ac:dyDescent="0.3">
      <c r="A2" s="197" t="s">
        <v>47</v>
      </c>
      <c r="B2" s="10"/>
    </row>
    <row r="3" spans="1:121" ht="12.75" customHeight="1" x14ac:dyDescent="0.3">
      <c r="A3" s="197"/>
      <c r="B3" s="10"/>
    </row>
    <row r="4" spans="1:121" x14ac:dyDescent="0.3">
      <c r="A4" s="9"/>
      <c r="B4" s="10"/>
    </row>
    <row r="5" spans="1:121" x14ac:dyDescent="0.3">
      <c r="A5" s="9"/>
      <c r="B5" s="10"/>
      <c r="E5" s="10"/>
      <c r="F5" s="10"/>
      <c r="G5" s="10"/>
      <c r="H5" s="10"/>
      <c r="I5" s="11">
        <v>1997</v>
      </c>
      <c r="K5" s="96">
        <v>1996</v>
      </c>
    </row>
    <row r="6" spans="1:121" ht="16.5" customHeight="1" x14ac:dyDescent="0.3">
      <c r="A6" s="9"/>
      <c r="B6" s="10"/>
      <c r="E6" s="10"/>
      <c r="F6" s="10"/>
      <c r="G6" s="10"/>
      <c r="H6" s="10"/>
      <c r="I6" s="183" t="s">
        <v>1</v>
      </c>
      <c r="J6" s="184"/>
      <c r="K6" s="193" t="s">
        <v>1</v>
      </c>
    </row>
    <row r="7" spans="1:121" x14ac:dyDescent="0.3">
      <c r="A7" s="162">
        <v>7</v>
      </c>
      <c r="B7" s="163" t="s">
        <v>48</v>
      </c>
      <c r="E7" s="10"/>
      <c r="F7" s="10"/>
      <c r="G7" s="10"/>
      <c r="H7" s="10"/>
    </row>
    <row r="8" spans="1:121" x14ac:dyDescent="0.3">
      <c r="A8" s="9"/>
      <c r="B8" s="10"/>
      <c r="E8" s="10"/>
      <c r="F8" s="10"/>
      <c r="G8" s="10"/>
      <c r="H8" s="10"/>
    </row>
    <row r="9" spans="1:121" x14ac:dyDescent="0.3">
      <c r="A9" s="9"/>
      <c r="B9" s="87" t="s">
        <v>49</v>
      </c>
      <c r="C9" s="101"/>
      <c r="E9" s="10"/>
      <c r="F9" s="10"/>
      <c r="G9" s="10"/>
      <c r="H9" s="10"/>
      <c r="I9" s="18"/>
      <c r="J9" s="19"/>
      <c r="K9" s="19"/>
    </row>
    <row r="10" spans="1:121" x14ac:dyDescent="0.3">
      <c r="A10" s="9"/>
      <c r="B10" s="87" t="s">
        <v>50</v>
      </c>
      <c r="C10" s="101"/>
      <c r="E10" s="10"/>
      <c r="F10" s="10"/>
      <c r="G10" s="10"/>
      <c r="H10" s="10"/>
      <c r="I10" s="280">
        <v>54</v>
      </c>
      <c r="J10" s="19"/>
      <c r="K10" s="191">
        <v>59.4</v>
      </c>
    </row>
    <row r="11" spans="1:121" x14ac:dyDescent="0.3">
      <c r="A11" s="9"/>
      <c r="B11" s="87" t="s">
        <v>51</v>
      </c>
      <c r="C11" s="101"/>
      <c r="E11" s="10"/>
      <c r="F11" s="10"/>
      <c r="G11" s="10"/>
      <c r="H11" s="10"/>
      <c r="I11" s="281">
        <v>0.3</v>
      </c>
      <c r="J11" s="19"/>
      <c r="K11" s="198">
        <v>0.4</v>
      </c>
    </row>
    <row r="12" spans="1:121" x14ac:dyDescent="0.3">
      <c r="A12" s="9"/>
      <c r="B12" s="87" t="s">
        <v>52</v>
      </c>
      <c r="C12" s="101"/>
      <c r="E12" s="10"/>
      <c r="F12" s="10"/>
      <c r="G12" s="10"/>
      <c r="H12" s="10"/>
      <c r="I12" s="282" t="s">
        <v>14</v>
      </c>
      <c r="J12" s="19"/>
      <c r="K12" s="192">
        <v>0.2</v>
      </c>
    </row>
    <row r="13" spans="1:121" ht="4.5" customHeight="1" x14ac:dyDescent="0.3">
      <c r="A13" s="9"/>
      <c r="B13" s="10"/>
      <c r="E13" s="10"/>
      <c r="F13" s="10"/>
      <c r="G13" s="10"/>
      <c r="H13" s="10"/>
      <c r="I13" s="21"/>
      <c r="J13" s="19"/>
      <c r="K13" s="104"/>
    </row>
    <row r="14" spans="1:121" x14ac:dyDescent="0.3">
      <c r="A14" s="9"/>
      <c r="B14" s="10"/>
      <c r="E14" s="10"/>
      <c r="F14" s="10"/>
      <c r="G14" s="10"/>
      <c r="H14" s="10"/>
      <c r="I14" s="21">
        <f>SUM(I10:I13)</f>
        <v>54.3</v>
      </c>
      <c r="J14" s="19"/>
      <c r="K14" s="104">
        <v>60</v>
      </c>
    </row>
    <row r="15" spans="1:121" x14ac:dyDescent="0.3">
      <c r="A15" s="9"/>
      <c r="B15" s="87" t="s">
        <v>53</v>
      </c>
      <c r="E15" s="10"/>
      <c r="F15" s="10"/>
      <c r="G15" s="10"/>
      <c r="H15" s="10"/>
      <c r="I15" s="18"/>
      <c r="J15" s="19"/>
      <c r="K15" s="187"/>
    </row>
    <row r="16" spans="1:121" x14ac:dyDescent="0.3">
      <c r="A16" s="9"/>
      <c r="B16" s="87" t="s">
        <v>54</v>
      </c>
      <c r="E16" s="10"/>
      <c r="F16" s="10"/>
      <c r="G16" s="10"/>
      <c r="H16" s="10"/>
      <c r="I16" s="283">
        <v>0.1</v>
      </c>
      <c r="J16" s="19"/>
      <c r="K16" s="320" t="s">
        <v>37</v>
      </c>
    </row>
    <row r="17" spans="1:12" x14ac:dyDescent="0.3">
      <c r="A17" s="40"/>
      <c r="B17" s="87" t="s">
        <v>55</v>
      </c>
      <c r="E17" s="10"/>
      <c r="F17" s="10"/>
      <c r="G17" s="10"/>
      <c r="H17" s="10"/>
      <c r="I17" s="284" t="s">
        <v>14</v>
      </c>
      <c r="J17" s="19"/>
      <c r="K17" s="198">
        <v>3</v>
      </c>
    </row>
    <row r="18" spans="1:12" x14ac:dyDescent="0.3">
      <c r="A18" s="9"/>
      <c r="B18" s="87" t="s">
        <v>50</v>
      </c>
      <c r="E18" s="10"/>
      <c r="F18" s="10"/>
      <c r="G18" s="10"/>
      <c r="H18" s="10"/>
      <c r="I18" s="285">
        <v>0.1</v>
      </c>
      <c r="J18" s="19"/>
      <c r="K18" s="192">
        <v>0.2</v>
      </c>
    </row>
    <row r="19" spans="1:12" ht="4.5" customHeight="1" x14ac:dyDescent="0.3">
      <c r="A19" s="9"/>
      <c r="B19" s="10"/>
      <c r="E19" s="10"/>
      <c r="F19" s="10"/>
      <c r="G19" s="10"/>
      <c r="H19" s="10"/>
      <c r="I19" s="21"/>
      <c r="J19" s="19"/>
      <c r="K19" s="104"/>
    </row>
    <row r="20" spans="1:12" x14ac:dyDescent="0.3">
      <c r="A20" s="9"/>
      <c r="B20" s="10"/>
      <c r="E20" s="10"/>
      <c r="F20" s="10"/>
      <c r="G20" s="10"/>
      <c r="H20" s="10"/>
      <c r="I20" s="21">
        <f>SUM(I16:I18)</f>
        <v>0.2</v>
      </c>
      <c r="J20" s="19"/>
      <c r="K20" s="104">
        <v>3.2</v>
      </c>
    </row>
    <row r="21" spans="1:12" ht="7.5" customHeight="1" x14ac:dyDescent="0.3">
      <c r="A21" s="9"/>
      <c r="B21" s="10"/>
      <c r="E21" s="10"/>
      <c r="F21" s="10"/>
      <c r="G21" s="10"/>
      <c r="H21" s="10"/>
      <c r="I21" s="20"/>
      <c r="J21" s="19"/>
      <c r="K21" s="190"/>
    </row>
    <row r="22" spans="1:12" ht="16.5" customHeight="1" x14ac:dyDescent="0.3">
      <c r="A22" s="9"/>
      <c r="B22" s="10"/>
      <c r="E22" s="10"/>
      <c r="F22" s="10"/>
      <c r="G22" s="10"/>
      <c r="H22" s="10"/>
      <c r="I22" s="18">
        <f>SUM(I14,I20)</f>
        <v>54.5</v>
      </c>
      <c r="J22" s="19"/>
      <c r="K22" s="187">
        <v>63.2</v>
      </c>
    </row>
    <row r="23" spans="1:12" ht="8.25" customHeight="1" thickBot="1" x14ac:dyDescent="0.35">
      <c r="A23" s="9"/>
      <c r="B23" s="10"/>
      <c r="E23" s="10"/>
      <c r="F23" s="10"/>
      <c r="G23" s="10"/>
      <c r="H23" s="10"/>
      <c r="I23" s="23"/>
      <c r="J23" s="19"/>
      <c r="K23" s="188"/>
    </row>
    <row r="24" spans="1:12" ht="13.5" thickTop="1" x14ac:dyDescent="0.3">
      <c r="A24" s="9"/>
      <c r="B24" s="10"/>
      <c r="E24" s="10"/>
      <c r="F24" s="10"/>
      <c r="G24" s="10"/>
      <c r="H24" s="10"/>
      <c r="I24" s="21"/>
      <c r="J24" s="22"/>
      <c r="K24" s="104"/>
    </row>
    <row r="25" spans="1:12" x14ac:dyDescent="0.3">
      <c r="A25" s="9"/>
      <c r="B25" s="87" t="s">
        <v>56</v>
      </c>
      <c r="C25" s="101"/>
      <c r="D25" s="101"/>
      <c r="E25" s="87"/>
      <c r="F25" s="87"/>
      <c r="G25" s="87"/>
      <c r="H25" s="87"/>
      <c r="I25" s="53"/>
      <c r="J25" s="134"/>
      <c r="K25" s="172"/>
      <c r="L25" s="101"/>
    </row>
    <row r="26" spans="1:12" x14ac:dyDescent="0.3">
      <c r="A26" s="40"/>
      <c r="B26" s="135"/>
      <c r="C26" s="101"/>
      <c r="D26" s="101"/>
      <c r="E26" s="87"/>
      <c r="F26" s="87"/>
      <c r="G26" s="87"/>
      <c r="H26" s="87"/>
      <c r="I26" s="53"/>
      <c r="J26" s="134"/>
      <c r="K26" s="172"/>
      <c r="L26" s="101"/>
    </row>
    <row r="27" spans="1:12" x14ac:dyDescent="0.3">
      <c r="A27" s="9"/>
      <c r="B27" s="87" t="s">
        <v>57</v>
      </c>
      <c r="C27" s="101"/>
      <c r="D27" s="101"/>
      <c r="E27" s="87"/>
      <c r="F27" s="87"/>
      <c r="G27" s="87"/>
      <c r="H27" s="87"/>
      <c r="I27" s="53"/>
      <c r="J27" s="134"/>
      <c r="K27" s="172"/>
      <c r="L27" s="101"/>
    </row>
    <row r="28" spans="1:12" x14ac:dyDescent="0.3">
      <c r="A28" s="9"/>
      <c r="B28" s="87"/>
      <c r="C28" s="101"/>
      <c r="D28" s="101"/>
      <c r="E28" s="87"/>
      <c r="F28" s="87"/>
      <c r="G28" s="87"/>
      <c r="H28" s="87"/>
      <c r="I28" s="53"/>
      <c r="J28" s="134"/>
      <c r="K28" s="172"/>
      <c r="L28" s="101"/>
    </row>
    <row r="29" spans="1:12" x14ac:dyDescent="0.3">
      <c r="A29" s="9"/>
      <c r="B29" s="10"/>
      <c r="E29" s="10"/>
      <c r="F29" s="10"/>
      <c r="G29" s="10"/>
      <c r="H29" s="10"/>
      <c r="I29" s="25"/>
      <c r="J29" s="19"/>
      <c r="K29" s="187"/>
    </row>
    <row r="30" spans="1:12" x14ac:dyDescent="0.3">
      <c r="A30" s="9"/>
      <c r="B30" s="10"/>
      <c r="E30" s="10"/>
      <c r="F30" s="10"/>
      <c r="G30" s="10"/>
      <c r="H30" s="10"/>
      <c r="I30" s="11">
        <v>1997</v>
      </c>
      <c r="J30" s="51"/>
      <c r="K30" s="48">
        <v>1996</v>
      </c>
    </row>
    <row r="31" spans="1:12" ht="17.25" customHeight="1" x14ac:dyDescent="0.3">
      <c r="A31" s="9"/>
      <c r="B31" s="10"/>
      <c r="E31" s="10"/>
      <c r="F31" s="10"/>
      <c r="G31" s="10"/>
      <c r="H31" s="10"/>
      <c r="I31" s="183" t="s">
        <v>1</v>
      </c>
      <c r="J31" s="200"/>
      <c r="K31" s="193" t="s">
        <v>1</v>
      </c>
    </row>
    <row r="32" spans="1:12" x14ac:dyDescent="0.3">
      <c r="A32" s="162">
        <v>8</v>
      </c>
      <c r="B32" s="163" t="s">
        <v>58</v>
      </c>
      <c r="E32" s="10"/>
      <c r="F32" s="10"/>
      <c r="G32" s="10"/>
      <c r="H32" s="10"/>
      <c r="I32" s="18"/>
      <c r="J32" s="19"/>
      <c r="K32" s="187"/>
    </row>
    <row r="33" spans="1:11" x14ac:dyDescent="0.3">
      <c r="A33" s="9"/>
      <c r="B33" s="10"/>
      <c r="E33" s="10"/>
      <c r="F33" s="10"/>
      <c r="G33" s="10"/>
      <c r="H33" s="10"/>
      <c r="I33" s="47"/>
      <c r="J33" s="22"/>
      <c r="K33" s="104"/>
    </row>
    <row r="34" spans="1:11" x14ac:dyDescent="0.3">
      <c r="A34" s="9"/>
      <c r="B34" s="87" t="s">
        <v>59</v>
      </c>
      <c r="C34" s="133" t="s">
        <v>60</v>
      </c>
      <c r="D34" s="101"/>
      <c r="E34" s="87"/>
      <c r="F34" s="87"/>
      <c r="G34" s="87"/>
      <c r="H34" s="10"/>
      <c r="I34" s="21">
        <v>91.8</v>
      </c>
      <c r="J34" s="22"/>
      <c r="K34" s="104">
        <v>91.9</v>
      </c>
    </row>
    <row r="35" spans="1:11" x14ac:dyDescent="0.3">
      <c r="A35" s="9"/>
      <c r="B35" s="87" t="s">
        <v>61</v>
      </c>
      <c r="C35" s="133" t="s">
        <v>62</v>
      </c>
      <c r="D35" s="101"/>
      <c r="E35" s="87"/>
      <c r="F35" s="87"/>
      <c r="G35" s="87"/>
      <c r="H35" s="10"/>
      <c r="I35" s="21">
        <v>215.7</v>
      </c>
      <c r="J35" s="22"/>
      <c r="K35" s="104">
        <v>223.7</v>
      </c>
    </row>
    <row r="36" spans="1:11" ht="7.5" customHeight="1" x14ac:dyDescent="0.3">
      <c r="A36" s="9"/>
      <c r="B36" s="87"/>
      <c r="C36" s="101"/>
      <c r="D36" s="101"/>
      <c r="E36" s="87"/>
      <c r="F36" s="87"/>
      <c r="G36" s="87"/>
      <c r="H36" s="10"/>
      <c r="I36" s="20"/>
      <c r="J36" s="22"/>
      <c r="K36" s="190"/>
    </row>
    <row r="37" spans="1:11" ht="15.75" customHeight="1" x14ac:dyDescent="0.3">
      <c r="A37" s="9"/>
      <c r="B37" s="10"/>
      <c r="E37" s="10"/>
      <c r="F37" s="10"/>
      <c r="G37" s="10"/>
      <c r="H37" s="10"/>
      <c r="I37" s="21">
        <f>SUM(I34:I36)</f>
        <v>307.5</v>
      </c>
      <c r="J37" s="22"/>
      <c r="K37" s="104">
        <v>315.60000000000002</v>
      </c>
    </row>
    <row r="38" spans="1:11" ht="8.25" customHeight="1" thickBot="1" x14ac:dyDescent="0.35">
      <c r="A38" s="9"/>
      <c r="B38" s="10"/>
      <c r="E38" s="10"/>
      <c r="F38" s="10"/>
      <c r="G38" s="10"/>
      <c r="H38" s="10"/>
      <c r="I38" s="23"/>
      <c r="J38" s="22"/>
      <c r="K38" s="188"/>
    </row>
    <row r="39" spans="1:11" ht="13.5" thickTop="1" x14ac:dyDescent="0.3">
      <c r="A39" s="9"/>
      <c r="B39" s="87" t="s">
        <v>63</v>
      </c>
      <c r="C39" s="101"/>
      <c r="D39" s="101"/>
      <c r="E39" s="87"/>
      <c r="F39" s="87"/>
      <c r="G39" s="10"/>
      <c r="H39" s="10"/>
      <c r="I39" s="18"/>
      <c r="J39" s="19"/>
      <c r="K39" s="187"/>
    </row>
    <row r="40" spans="1:11" x14ac:dyDescent="0.3">
      <c r="A40" s="40"/>
      <c r="B40" s="102" t="s">
        <v>64</v>
      </c>
      <c r="C40" s="101"/>
      <c r="D40" s="101"/>
      <c r="E40" s="87"/>
      <c r="F40" s="87"/>
      <c r="G40" s="10"/>
      <c r="H40" s="10"/>
      <c r="I40" s="53">
        <v>9.4</v>
      </c>
      <c r="J40" s="19"/>
      <c r="K40" s="172">
        <v>11.3</v>
      </c>
    </row>
    <row r="41" spans="1:11" x14ac:dyDescent="0.3">
      <c r="A41" s="9"/>
      <c r="B41" s="87" t="s">
        <v>65</v>
      </c>
      <c r="C41" s="101"/>
      <c r="D41" s="101"/>
      <c r="E41" s="87"/>
      <c r="F41" s="87"/>
      <c r="G41" s="10"/>
      <c r="H41" s="10"/>
      <c r="I41" s="279" t="s">
        <v>37</v>
      </c>
      <c r="J41" s="19"/>
      <c r="K41" s="189">
        <v>25.9</v>
      </c>
    </row>
    <row r="42" spans="1:11" ht="7.5" customHeight="1" x14ac:dyDescent="0.3">
      <c r="A42" s="9"/>
      <c r="B42" s="87"/>
      <c r="C42" s="101"/>
      <c r="D42" s="101"/>
      <c r="E42" s="87"/>
      <c r="F42" s="87"/>
      <c r="G42" s="10"/>
      <c r="H42" s="10"/>
      <c r="I42" s="20"/>
      <c r="J42" s="19"/>
      <c r="K42" s="190"/>
    </row>
    <row r="43" spans="1:11" s="56" customFormat="1" ht="16.5" customHeight="1" x14ac:dyDescent="0.3">
      <c r="A43" s="54"/>
      <c r="B43" s="55"/>
      <c r="E43" s="55"/>
      <c r="F43" s="55"/>
      <c r="G43" s="55"/>
      <c r="H43" s="55"/>
      <c r="I43" s="201">
        <f>SUM(I40:I42)</f>
        <v>9.4</v>
      </c>
      <c r="J43" s="58"/>
      <c r="K43" s="202">
        <f>SUM(K40:K42)</f>
        <v>37.200000000000003</v>
      </c>
    </row>
    <row r="44" spans="1:11" s="56" customFormat="1" ht="7.5" customHeight="1" thickBot="1" x14ac:dyDescent="0.3">
      <c r="A44" s="54"/>
      <c r="B44" s="55"/>
      <c r="E44" s="55"/>
      <c r="F44" s="55"/>
      <c r="G44" s="55"/>
      <c r="H44" s="55"/>
      <c r="I44" s="57"/>
      <c r="J44" s="58"/>
      <c r="K44" s="57"/>
    </row>
    <row r="45" spans="1:11" s="56" customFormat="1" ht="12.75" customHeight="1" thickTop="1" x14ac:dyDescent="0.25">
      <c r="A45" s="54"/>
      <c r="B45" s="55"/>
      <c r="E45" s="55"/>
      <c r="F45" s="55"/>
      <c r="G45" s="55"/>
      <c r="H45" s="55"/>
      <c r="I45" s="201"/>
      <c r="J45" s="58"/>
      <c r="K45" s="201"/>
    </row>
    <row r="46" spans="1:11" s="56" customFormat="1" ht="12.75" customHeight="1" x14ac:dyDescent="0.25">
      <c r="A46" s="54"/>
      <c r="B46" s="338" t="s">
        <v>66</v>
      </c>
      <c r="E46" s="55"/>
      <c r="F46" s="55"/>
      <c r="G46" s="55"/>
      <c r="H46" s="55"/>
      <c r="I46" s="201"/>
      <c r="J46" s="58"/>
      <c r="K46" s="201"/>
    </row>
    <row r="47" spans="1:11" ht="12.75" customHeight="1" x14ac:dyDescent="0.3">
      <c r="A47" s="9"/>
      <c r="B47" s="28"/>
      <c r="C47" s="13"/>
      <c r="D47" s="13"/>
      <c r="E47" s="28"/>
      <c r="F47" s="28"/>
      <c r="G47" s="28"/>
      <c r="H47" s="28"/>
      <c r="I47" s="21"/>
      <c r="J47" s="22"/>
      <c r="K47" s="22"/>
    </row>
    <row r="48" spans="1:11" x14ac:dyDescent="0.3">
      <c r="A48" s="162">
        <v>9</v>
      </c>
      <c r="B48" s="163" t="s">
        <v>67</v>
      </c>
      <c r="C48" s="13"/>
      <c r="D48" s="13"/>
      <c r="E48" s="13"/>
      <c r="F48" s="13"/>
      <c r="G48" s="13"/>
      <c r="H48" s="13"/>
      <c r="I48" s="29"/>
      <c r="J48" s="28"/>
      <c r="K48" s="28"/>
    </row>
    <row r="49" spans="1:11" x14ac:dyDescent="0.3">
      <c r="A49" s="9"/>
      <c r="B49" s="28"/>
      <c r="C49" s="13"/>
      <c r="D49" s="13"/>
      <c r="E49" s="13"/>
      <c r="F49" s="13"/>
      <c r="G49" s="13"/>
      <c r="H49" s="13"/>
      <c r="I49" s="60"/>
      <c r="J49" s="28"/>
      <c r="K49" s="28"/>
    </row>
    <row r="50" spans="1:11" x14ac:dyDescent="0.3">
      <c r="A50" s="9"/>
      <c r="B50" s="59" t="s">
        <v>68</v>
      </c>
      <c r="C50" s="13"/>
      <c r="D50" s="13"/>
      <c r="E50" s="13"/>
      <c r="F50" s="13"/>
      <c r="G50" s="13"/>
      <c r="H50" s="13"/>
      <c r="I50" s="29"/>
      <c r="J50" s="28"/>
      <c r="K50" s="28"/>
    </row>
    <row r="51" spans="1:11" x14ac:dyDescent="0.3">
      <c r="A51" s="9"/>
      <c r="B51" s="59" t="s">
        <v>69</v>
      </c>
      <c r="C51" s="13"/>
      <c r="D51" s="13"/>
      <c r="E51" s="13"/>
      <c r="F51" s="13"/>
      <c r="G51" s="13"/>
      <c r="H51" s="13"/>
      <c r="I51" s="29"/>
      <c r="J51" s="28"/>
      <c r="K51" s="28"/>
    </row>
    <row r="52" spans="1:11" x14ac:dyDescent="0.3">
      <c r="A52" s="9"/>
      <c r="B52" s="59" t="s">
        <v>70</v>
      </c>
      <c r="C52" s="13"/>
      <c r="D52" s="13"/>
      <c r="E52" s="13"/>
      <c r="F52" s="13"/>
      <c r="G52" s="13"/>
      <c r="H52" s="13"/>
      <c r="I52" s="21"/>
      <c r="J52" s="28"/>
      <c r="K52" s="28"/>
    </row>
    <row r="53" spans="1:11" x14ac:dyDescent="0.3">
      <c r="A53" s="9"/>
      <c r="B53" s="28"/>
      <c r="C53" s="13"/>
      <c r="D53" s="13"/>
      <c r="E53" s="13"/>
      <c r="F53" s="13"/>
      <c r="G53" s="13"/>
      <c r="H53" s="13"/>
      <c r="I53" s="29"/>
      <c r="J53" s="28"/>
      <c r="K53" s="28"/>
    </row>
    <row r="54" spans="1:11" ht="12.5" x14ac:dyDescent="0.25">
      <c r="A54"/>
      <c r="B54" s="59" t="s">
        <v>71</v>
      </c>
      <c r="I54"/>
      <c r="J54"/>
      <c r="K54"/>
    </row>
    <row r="55" spans="1:11" ht="12.5" x14ac:dyDescent="0.25">
      <c r="A55"/>
      <c r="B55" s="59" t="s">
        <v>72</v>
      </c>
      <c r="I55"/>
      <c r="J55"/>
      <c r="K55"/>
    </row>
    <row r="56" spans="1:11" ht="12.5" x14ac:dyDescent="0.25">
      <c r="A56"/>
      <c r="B56" s="59" t="s">
        <v>73</v>
      </c>
      <c r="I56"/>
      <c r="J56"/>
      <c r="K56"/>
    </row>
    <row r="57" spans="1:11" ht="12.5" x14ac:dyDescent="0.25">
      <c r="A57"/>
      <c r="B57" s="59" t="s">
        <v>74</v>
      </c>
      <c r="I57"/>
      <c r="J57"/>
      <c r="K57"/>
    </row>
    <row r="58" spans="1:11" ht="12.5" x14ac:dyDescent="0.25">
      <c r="A58"/>
      <c r="B58" s="59"/>
      <c r="I58"/>
      <c r="J58"/>
      <c r="K58"/>
    </row>
    <row r="59" spans="1:11" x14ac:dyDescent="0.3">
      <c r="A59" s="9"/>
      <c r="B59" s="59" t="s">
        <v>75</v>
      </c>
      <c r="C59" s="13"/>
      <c r="D59" s="13"/>
      <c r="E59" s="13"/>
      <c r="F59" s="13"/>
      <c r="G59" s="13"/>
      <c r="H59" s="13"/>
      <c r="I59" s="29"/>
      <c r="J59" s="28"/>
      <c r="K59" s="28"/>
    </row>
    <row r="60" spans="1:11" x14ac:dyDescent="0.3">
      <c r="A60" s="9"/>
      <c r="B60" s="28"/>
      <c r="C60" s="13"/>
      <c r="D60" s="13"/>
      <c r="E60" s="13"/>
      <c r="F60" s="13"/>
      <c r="G60" s="13"/>
      <c r="H60" s="13"/>
      <c r="I60" s="29"/>
      <c r="J60" s="28"/>
      <c r="K60" s="28"/>
    </row>
    <row r="61" spans="1:11" x14ac:dyDescent="0.3">
      <c r="A61" s="40"/>
      <c r="C61" s="13"/>
      <c r="D61" s="13"/>
      <c r="E61" s="13"/>
      <c r="F61" s="13"/>
      <c r="G61" s="13"/>
      <c r="H61" s="13"/>
      <c r="I61" s="29"/>
      <c r="J61" s="28"/>
      <c r="K61" s="28"/>
    </row>
    <row r="62" spans="1:11" x14ac:dyDescent="0.3">
      <c r="A62" s="9"/>
      <c r="B62" s="59"/>
      <c r="C62" s="13"/>
      <c r="D62" s="13"/>
      <c r="E62" s="13"/>
      <c r="F62" s="13"/>
      <c r="G62" s="13"/>
      <c r="H62" s="13"/>
      <c r="I62" s="29"/>
      <c r="J62" s="28"/>
      <c r="K62" s="28"/>
    </row>
    <row r="63" spans="1:11" x14ac:dyDescent="0.3">
      <c r="A63" s="9"/>
      <c r="B63" s="28"/>
      <c r="C63" s="13"/>
      <c r="D63" s="13"/>
      <c r="E63" s="13"/>
      <c r="F63" s="13"/>
      <c r="G63" s="13"/>
      <c r="H63" s="13"/>
      <c r="I63" s="21"/>
      <c r="J63" s="28"/>
      <c r="K63" s="48"/>
    </row>
    <row r="64" spans="1:11" x14ac:dyDescent="0.3">
      <c r="A64" s="9"/>
      <c r="B64" s="28"/>
      <c r="C64" s="13"/>
      <c r="D64" s="13"/>
      <c r="E64" s="13"/>
      <c r="F64" s="13"/>
      <c r="G64" s="13"/>
      <c r="H64" s="13"/>
      <c r="I64" s="29"/>
      <c r="J64" s="28"/>
      <c r="K64" s="48"/>
    </row>
    <row r="65" spans="1:11" x14ac:dyDescent="0.3">
      <c r="A65" s="9"/>
      <c r="B65" s="28"/>
      <c r="C65" s="13"/>
      <c r="D65" s="13"/>
      <c r="E65" s="13"/>
      <c r="F65" s="13"/>
      <c r="G65" s="13"/>
      <c r="H65" s="13"/>
      <c r="I65" s="29"/>
      <c r="J65" s="28"/>
      <c r="K65" s="28"/>
    </row>
    <row r="66" spans="1:11" x14ac:dyDescent="0.3">
      <c r="A66" s="9"/>
      <c r="B66" s="28"/>
      <c r="C66" s="13"/>
      <c r="D66" s="13"/>
      <c r="E66" s="13"/>
      <c r="F66" s="13"/>
      <c r="G66" s="13"/>
      <c r="H66" s="13"/>
      <c r="I66" s="29"/>
      <c r="J66" s="28"/>
      <c r="K66" s="28"/>
    </row>
    <row r="67" spans="1:11" x14ac:dyDescent="0.3">
      <c r="A67" s="9"/>
      <c r="B67" s="28"/>
      <c r="C67" s="13"/>
      <c r="D67" s="13"/>
      <c r="E67" s="13"/>
      <c r="F67" s="13"/>
      <c r="G67" s="13"/>
      <c r="H67" s="13"/>
      <c r="I67" s="29"/>
      <c r="J67" s="28"/>
      <c r="K67" s="28"/>
    </row>
    <row r="68" spans="1:11" x14ac:dyDescent="0.3">
      <c r="A68" s="9"/>
      <c r="B68" s="10"/>
    </row>
    <row r="69" spans="1:11" x14ac:dyDescent="0.3">
      <c r="A69" s="9"/>
      <c r="B69" s="10"/>
    </row>
    <row r="70" spans="1:11" x14ac:dyDescent="0.3">
      <c r="A70" s="9"/>
      <c r="B70" s="10"/>
    </row>
    <row r="71" spans="1:11" x14ac:dyDescent="0.3">
      <c r="A71" s="9"/>
      <c r="B71" s="10"/>
    </row>
    <row r="72" spans="1:11" x14ac:dyDescent="0.3">
      <c r="A72" s="9"/>
      <c r="B72" s="10"/>
    </row>
    <row r="73" spans="1:11" x14ac:dyDescent="0.3">
      <c r="A73" s="9"/>
      <c r="B73" s="10"/>
    </row>
    <row r="74" spans="1:11" x14ac:dyDescent="0.3">
      <c r="A74" s="9"/>
      <c r="B74" s="10"/>
    </row>
    <row r="75" spans="1:11" x14ac:dyDescent="0.3">
      <c r="A75" s="9"/>
      <c r="B75" s="10"/>
    </row>
    <row r="76" spans="1:11" x14ac:dyDescent="0.3">
      <c r="A76" s="9"/>
      <c r="B76" s="10"/>
    </row>
    <row r="77" spans="1:11" x14ac:dyDescent="0.3">
      <c r="A77" s="9"/>
      <c r="B77" s="10"/>
    </row>
    <row r="78" spans="1:11" x14ac:dyDescent="0.3">
      <c r="A78" s="9"/>
      <c r="B78" s="10"/>
    </row>
    <row r="79" spans="1:11" x14ac:dyDescent="0.3">
      <c r="A79" s="9"/>
      <c r="B79" s="10"/>
    </row>
    <row r="80" spans="1:11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  <row r="179" spans="1:2" x14ac:dyDescent="0.3">
      <c r="A179" s="9"/>
      <c r="B179" s="10"/>
    </row>
    <row r="180" spans="1:2" x14ac:dyDescent="0.3">
      <c r="A180" s="9"/>
      <c r="B180" s="10"/>
    </row>
    <row r="181" spans="1:2" x14ac:dyDescent="0.3">
      <c r="A181" s="9"/>
      <c r="B181" s="10"/>
    </row>
    <row r="182" spans="1:2" x14ac:dyDescent="0.3">
      <c r="A182" s="9"/>
      <c r="B182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"/>
  <sheetViews>
    <sheetView topLeftCell="A47" workbookViewId="0">
      <selection activeCell="C61" sqref="C61"/>
    </sheetView>
  </sheetViews>
  <sheetFormatPr defaultRowHeight="12.5" x14ac:dyDescent="0.25"/>
  <cols>
    <col min="1" max="1" width="3.81640625" customWidth="1"/>
    <col min="2" max="2" width="4.453125" customWidth="1"/>
    <col min="4" max="4" width="7.54296875" customWidth="1"/>
    <col min="5" max="5" width="1.1796875" customWidth="1"/>
    <col min="6" max="6" width="9" customWidth="1"/>
    <col min="7" max="7" width="0.26953125" customWidth="1"/>
    <col min="8" max="8" width="10.1796875" customWidth="1"/>
    <col min="9" max="9" width="0.26953125" customWidth="1"/>
    <col min="10" max="10" width="10.26953125" customWidth="1"/>
    <col min="11" max="11" width="0.26953125" customWidth="1"/>
    <col min="13" max="13" width="0.26953125" customWidth="1"/>
    <col min="14" max="14" width="7.54296875" customWidth="1"/>
    <col min="15" max="15" width="0.26953125" customWidth="1"/>
    <col min="16" max="16" width="9" customWidth="1"/>
  </cols>
  <sheetData>
    <row r="1" spans="1:22" s="35" customFormat="1" ht="25.5" customHeight="1" x14ac:dyDescent="0.25">
      <c r="A1" s="20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13"/>
      <c r="R1" s="13"/>
      <c r="S1" s="13"/>
      <c r="T1" s="13"/>
      <c r="U1" s="13"/>
      <c r="V1" s="13"/>
    </row>
    <row r="2" spans="1:22" ht="14.25" customHeight="1" x14ac:dyDescent="0.25">
      <c r="A2" s="143" t="s">
        <v>31</v>
      </c>
    </row>
    <row r="7" spans="1:22" x14ac:dyDescent="0.25">
      <c r="A7" s="162">
        <v>10</v>
      </c>
      <c r="B7" s="163" t="s">
        <v>76</v>
      </c>
    </row>
    <row r="8" spans="1:22" s="10" customFormat="1" ht="12" customHeight="1" x14ac:dyDescent="0.3">
      <c r="F8" s="136" t="s">
        <v>77</v>
      </c>
      <c r="G8" s="136"/>
      <c r="H8" s="136"/>
      <c r="I8" s="136"/>
      <c r="J8" s="137" t="s">
        <v>78</v>
      </c>
      <c r="K8" s="137"/>
      <c r="L8" s="137" t="s">
        <v>79</v>
      </c>
      <c r="M8" s="137"/>
      <c r="N8" s="137" t="s">
        <v>79</v>
      </c>
      <c r="O8" s="137"/>
      <c r="P8" s="62"/>
    </row>
    <row r="9" spans="1:22" s="10" customFormat="1" ht="12" customHeight="1" x14ac:dyDescent="0.3">
      <c r="F9" s="137" t="s">
        <v>80</v>
      </c>
      <c r="G9" s="138"/>
      <c r="H9" s="137" t="s">
        <v>81</v>
      </c>
      <c r="I9" s="138"/>
      <c r="J9" s="137" t="s">
        <v>82</v>
      </c>
      <c r="K9" s="137"/>
      <c r="L9" s="137" t="s">
        <v>82</v>
      </c>
      <c r="M9" s="137"/>
      <c r="N9" s="137" t="s">
        <v>83</v>
      </c>
      <c r="O9" s="137"/>
      <c r="P9" s="137" t="s">
        <v>84</v>
      </c>
    </row>
    <row r="10" spans="1:22" s="10" customFormat="1" ht="16.5" customHeight="1" x14ac:dyDescent="0.3">
      <c r="F10" s="183" t="s">
        <v>1</v>
      </c>
      <c r="G10" s="204"/>
      <c r="H10" s="183" t="s">
        <v>1</v>
      </c>
      <c r="I10" s="204"/>
      <c r="J10" s="183" t="s">
        <v>1</v>
      </c>
      <c r="K10" s="204"/>
      <c r="L10" s="183" t="s">
        <v>1</v>
      </c>
      <c r="M10" s="204"/>
      <c r="N10" s="183" t="s">
        <v>1</v>
      </c>
      <c r="O10" s="204"/>
      <c r="P10" s="183" t="s">
        <v>1</v>
      </c>
    </row>
    <row r="11" spans="1:22" s="10" customFormat="1" ht="13" x14ac:dyDescent="0.3">
      <c r="B11" s="140">
        <v>1997</v>
      </c>
      <c r="C11" s="87"/>
      <c r="D11" s="87"/>
      <c r="E11" s="50"/>
      <c r="F11" s="50"/>
      <c r="G11" s="50"/>
      <c r="H11" s="64"/>
      <c r="I11" s="64"/>
      <c r="J11" s="50"/>
      <c r="K11" s="50"/>
      <c r="L11" s="50"/>
      <c r="M11" s="50"/>
      <c r="N11" s="50"/>
      <c r="O11" s="50"/>
      <c r="P11" s="65"/>
    </row>
    <row r="12" spans="1:22" s="10" customFormat="1" ht="13" x14ac:dyDescent="0.3">
      <c r="B12" s="87" t="s">
        <v>85</v>
      </c>
      <c r="C12" s="87"/>
      <c r="D12" s="87"/>
      <c r="E12" s="50"/>
      <c r="F12" s="18">
        <v>9596.6</v>
      </c>
      <c r="G12"/>
      <c r="H12" s="18">
        <v>58.9</v>
      </c>
      <c r="I12" s="18"/>
      <c r="J12" s="18">
        <v>328</v>
      </c>
      <c r="K12" s="18"/>
      <c r="L12" s="18">
        <v>14.1</v>
      </c>
      <c r="M12" s="18"/>
      <c r="N12" s="18">
        <v>1.5</v>
      </c>
      <c r="O12" s="18"/>
      <c r="P12" s="129">
        <f t="shared" ref="P12:P17" si="0">SUM(F12:N12)</f>
        <v>9999.1</v>
      </c>
    </row>
    <row r="13" spans="1:22" s="10" customFormat="1" ht="13" x14ac:dyDescent="0.3">
      <c r="B13" s="87" t="s">
        <v>86</v>
      </c>
      <c r="C13" s="87"/>
      <c r="D13" s="87"/>
      <c r="E13" s="50"/>
      <c r="F13" s="18">
        <v>-15.5</v>
      </c>
      <c r="G13" s="18"/>
      <c r="H13" s="25">
        <v>-0.1</v>
      </c>
      <c r="I13"/>
      <c r="J13" s="25">
        <v>-35.6</v>
      </c>
      <c r="K13" s="25"/>
      <c r="L13" s="279" t="s">
        <v>14</v>
      </c>
      <c r="M13" s="25"/>
      <c r="N13" s="279" t="s">
        <v>14</v>
      </c>
      <c r="O13" s="25"/>
      <c r="P13" s="129">
        <f t="shared" si="0"/>
        <v>-51.2</v>
      </c>
    </row>
    <row r="14" spans="1:22" s="10" customFormat="1" ht="13" x14ac:dyDescent="0.3">
      <c r="B14" s="87" t="s">
        <v>87</v>
      </c>
      <c r="C14" s="87"/>
      <c r="D14" s="87"/>
      <c r="E14" s="50"/>
      <c r="F14" s="18">
        <v>12.8</v>
      </c>
      <c r="G14" s="18"/>
      <c r="H14" s="279" t="s">
        <v>14</v>
      </c>
      <c r="I14" s="25"/>
      <c r="J14" s="18">
        <v>50</v>
      </c>
      <c r="K14" s="18"/>
      <c r="L14" s="279" t="s">
        <v>14</v>
      </c>
      <c r="M14"/>
      <c r="N14" s="25">
        <v>1.6</v>
      </c>
      <c r="O14" s="18"/>
      <c r="P14" s="130">
        <f t="shared" si="0"/>
        <v>64.399999999999991</v>
      </c>
    </row>
    <row r="15" spans="1:22" s="10" customFormat="1" ht="13" x14ac:dyDescent="0.3">
      <c r="B15" s="87" t="s">
        <v>88</v>
      </c>
      <c r="C15" s="87"/>
      <c r="D15" s="87"/>
      <c r="E15" s="50"/>
      <c r="F15" s="18">
        <v>-680.5</v>
      </c>
      <c r="G15" s="18"/>
      <c r="H15" s="279" t="s">
        <v>14</v>
      </c>
      <c r="I15" s="25"/>
      <c r="J15" s="18">
        <v>680.5</v>
      </c>
      <c r="K15" s="18"/>
      <c r="L15" s="279" t="s">
        <v>14</v>
      </c>
      <c r="M15" s="25"/>
      <c r="N15" s="279" t="s">
        <v>14</v>
      </c>
      <c r="O15" s="25"/>
      <c r="P15" s="130">
        <f t="shared" si="0"/>
        <v>0</v>
      </c>
    </row>
    <row r="16" spans="1:22" s="10" customFormat="1" ht="13" x14ac:dyDescent="0.3">
      <c r="B16" s="87" t="s">
        <v>89</v>
      </c>
      <c r="C16" s="87"/>
      <c r="D16" s="87"/>
      <c r="E16" s="50"/>
      <c r="F16" s="279" t="s">
        <v>14</v>
      </c>
      <c r="G16" s="25"/>
      <c r="H16" s="18">
        <v>-4.7</v>
      </c>
      <c r="I16" s="18"/>
      <c r="J16" s="279" t="s">
        <v>14</v>
      </c>
      <c r="K16" s="25"/>
      <c r="L16" s="18">
        <v>-0.3</v>
      </c>
      <c r="M16" s="18"/>
      <c r="N16" s="18">
        <v>-0.3</v>
      </c>
      <c r="O16" s="18"/>
      <c r="P16" s="129">
        <f t="shared" si="0"/>
        <v>-5.3</v>
      </c>
    </row>
    <row r="17" spans="2:16" s="10" customFormat="1" ht="13" x14ac:dyDescent="0.3">
      <c r="B17" s="87" t="s">
        <v>90</v>
      </c>
      <c r="C17" s="87"/>
      <c r="D17" s="87"/>
      <c r="E17" s="50"/>
      <c r="F17" s="18">
        <v>-845.4</v>
      </c>
      <c r="G17" s="18"/>
      <c r="H17" s="279" t="s">
        <v>14</v>
      </c>
      <c r="I17" s="25"/>
      <c r="J17" s="279" t="s">
        <v>14</v>
      </c>
      <c r="K17" s="25"/>
      <c r="L17" s="279" t="s">
        <v>14</v>
      </c>
      <c r="M17" s="25"/>
      <c r="N17" s="279" t="s">
        <v>14</v>
      </c>
      <c r="O17" s="25"/>
      <c r="P17" s="129">
        <f t="shared" si="0"/>
        <v>-845.4</v>
      </c>
    </row>
    <row r="18" spans="2:16" s="10" customFormat="1" ht="7.5" customHeight="1" x14ac:dyDescent="0.3">
      <c r="B18" s="87"/>
      <c r="C18" s="87"/>
      <c r="D18" s="87"/>
      <c r="E18" s="50"/>
      <c r="F18" s="98"/>
      <c r="G18" s="61"/>
      <c r="H18" s="98"/>
      <c r="I18" s="17"/>
      <c r="J18" s="98"/>
      <c r="K18" s="17"/>
      <c r="L18" s="98"/>
      <c r="M18" s="67"/>
      <c r="N18" s="98"/>
      <c r="O18" s="17"/>
      <c r="P18" s="98"/>
    </row>
    <row r="19" spans="2:16" s="10" customFormat="1" ht="15.75" customHeight="1" x14ac:dyDescent="0.3">
      <c r="B19" s="87" t="s">
        <v>91</v>
      </c>
      <c r="C19" s="87"/>
      <c r="D19" s="87"/>
      <c r="E19" s="50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44"/>
    </row>
    <row r="20" spans="2:16" s="10" customFormat="1" ht="13" x14ac:dyDescent="0.3">
      <c r="B20" s="87" t="s">
        <v>92</v>
      </c>
      <c r="C20" s="87"/>
      <c r="D20" s="87"/>
      <c r="E20" s="50"/>
      <c r="F20" s="18">
        <f>SUM(F12:F17)</f>
        <v>8068</v>
      </c>
      <c r="G20" s="18"/>
      <c r="H20" s="18">
        <f>SUM(H12:H17)</f>
        <v>54.099999999999994</v>
      </c>
      <c r="I20" s="18"/>
      <c r="J20" s="18">
        <f>SUM(J12:J19)</f>
        <v>1022.9</v>
      </c>
      <c r="K20" s="18"/>
      <c r="L20" s="18">
        <f>SUM(L12:L17)</f>
        <v>13.799999999999999</v>
      </c>
      <c r="M20" s="18"/>
      <c r="N20" s="18">
        <f>SUM(N12:N17)</f>
        <v>2.8000000000000003</v>
      </c>
      <c r="O20" s="18"/>
      <c r="P20" s="129">
        <f>SUM(P12:P17)</f>
        <v>9161.6</v>
      </c>
    </row>
    <row r="21" spans="2:16" s="10" customFormat="1" ht="8.25" customHeight="1" thickBot="1" x14ac:dyDescent="0.35">
      <c r="B21" s="87"/>
      <c r="C21" s="87"/>
      <c r="D21" s="87"/>
      <c r="E21" s="50"/>
      <c r="F21" s="85"/>
      <c r="G21" s="44"/>
      <c r="H21" s="85"/>
      <c r="I21" s="44"/>
      <c r="J21" s="85"/>
      <c r="K21" s="44"/>
      <c r="L21" s="85"/>
      <c r="M21" s="44"/>
      <c r="N21" s="85"/>
      <c r="O21" s="44"/>
      <c r="P21" s="85"/>
    </row>
    <row r="22" spans="2:16" s="10" customFormat="1" ht="13.5" thickTop="1" x14ac:dyDescent="0.3">
      <c r="B22" s="87"/>
      <c r="C22" s="87"/>
      <c r="D22" s="87"/>
      <c r="E22" s="50"/>
      <c r="F22" s="44"/>
      <c r="G22" s="44"/>
      <c r="H22" s="44"/>
      <c r="I22" s="44"/>
      <c r="J22" s="129"/>
      <c r="K22" s="129"/>
      <c r="L22" s="44"/>
      <c r="M22" s="44"/>
      <c r="N22" s="44"/>
      <c r="O22" s="44"/>
      <c r="P22" s="44"/>
    </row>
    <row r="23" spans="2:16" s="10" customFormat="1" ht="13" x14ac:dyDescent="0.3">
      <c r="B23" s="87" t="s">
        <v>93</v>
      </c>
      <c r="C23" s="87"/>
      <c r="D23" s="87"/>
      <c r="E23" s="50"/>
      <c r="F23" s="129">
        <v>8068</v>
      </c>
      <c r="G23" s="129"/>
      <c r="H23" s="129">
        <v>72.900000000000006</v>
      </c>
      <c r="I23" s="129"/>
      <c r="J23" s="129">
        <v>1022.9</v>
      </c>
      <c r="K23" s="129"/>
      <c r="L23" s="129">
        <v>15.4</v>
      </c>
      <c r="M23" s="129"/>
      <c r="N23" s="129">
        <v>5.7</v>
      </c>
      <c r="O23" s="129"/>
      <c r="P23" s="129">
        <f>SUM(F23:N23)</f>
        <v>9184.9</v>
      </c>
    </row>
    <row r="24" spans="2:16" s="10" customFormat="1" ht="13" x14ac:dyDescent="0.3">
      <c r="B24" s="87" t="s">
        <v>94</v>
      </c>
      <c r="C24" s="87"/>
      <c r="D24" s="87"/>
      <c r="E24" s="50"/>
      <c r="F24" s="286" t="s">
        <v>14</v>
      </c>
      <c r="G24" s="130"/>
      <c r="H24" s="129">
        <v>-18.8</v>
      </c>
      <c r="I24" s="129"/>
      <c r="J24" s="286" t="s">
        <v>14</v>
      </c>
      <c r="K24" s="130"/>
      <c r="L24" s="129">
        <v>-1.6</v>
      </c>
      <c r="M24" s="129"/>
      <c r="N24" s="129">
        <v>-2.9</v>
      </c>
      <c r="O24" s="129"/>
      <c r="P24" s="129">
        <f>SUM(F24:N24)</f>
        <v>-23.3</v>
      </c>
    </row>
    <row r="25" spans="2:16" s="10" customFormat="1" ht="8.25" customHeight="1" x14ac:dyDescent="0.3">
      <c r="B25" s="87"/>
      <c r="C25" s="87"/>
      <c r="D25" s="87"/>
      <c r="E25" s="50"/>
      <c r="F25" s="122"/>
      <c r="G25" s="129"/>
      <c r="H25" s="122"/>
      <c r="I25" s="129"/>
      <c r="J25" s="122"/>
      <c r="K25" s="129"/>
      <c r="L25" s="122"/>
      <c r="M25" s="129"/>
      <c r="N25" s="122"/>
      <c r="O25" s="129"/>
      <c r="P25" s="122"/>
    </row>
    <row r="26" spans="2:16" s="10" customFormat="1" ht="16.5" customHeight="1" x14ac:dyDescent="0.3">
      <c r="B26" s="87"/>
      <c r="C26" s="87"/>
      <c r="D26" s="87"/>
      <c r="E26" s="50"/>
      <c r="F26" s="129">
        <f>SUM(F23:F24)</f>
        <v>8068</v>
      </c>
      <c r="G26" s="129"/>
      <c r="H26" s="129">
        <f>SUM(H23:H25)</f>
        <v>54.100000000000009</v>
      </c>
      <c r="I26" s="129"/>
      <c r="J26" s="129">
        <f>SUM(J23:J25)</f>
        <v>1022.9</v>
      </c>
      <c r="K26" s="129"/>
      <c r="L26" s="129">
        <f>SUM(L23:L25)</f>
        <v>13.8</v>
      </c>
      <c r="M26" s="129"/>
      <c r="N26" s="129">
        <f>SUM(N23:N25)</f>
        <v>2.8000000000000003</v>
      </c>
      <c r="O26" s="129"/>
      <c r="P26" s="129">
        <f>SUM(P23:P25)</f>
        <v>9161.6</v>
      </c>
    </row>
    <row r="27" spans="2:16" s="10" customFormat="1" ht="7.5" customHeight="1" thickBot="1" x14ac:dyDescent="0.35">
      <c r="B27" s="87"/>
      <c r="C27" s="87"/>
      <c r="D27" s="87"/>
      <c r="E27" s="50"/>
      <c r="F27" s="85"/>
      <c r="G27" s="44"/>
      <c r="H27" s="85"/>
      <c r="I27" s="44"/>
      <c r="J27" s="85"/>
      <c r="K27" s="44"/>
      <c r="L27" s="85"/>
      <c r="M27" s="44"/>
      <c r="N27" s="85"/>
      <c r="O27" s="44"/>
      <c r="P27" s="85"/>
    </row>
    <row r="28" spans="2:16" s="10" customFormat="1" ht="13.5" thickTop="1" x14ac:dyDescent="0.3">
      <c r="B28" s="87"/>
      <c r="C28" s="87"/>
      <c r="D28" s="87"/>
      <c r="E28" s="50"/>
    </row>
    <row r="29" spans="2:16" s="10" customFormat="1" ht="13" x14ac:dyDescent="0.3">
      <c r="B29" s="140">
        <v>1996</v>
      </c>
      <c r="C29" s="87"/>
      <c r="D29" s="87"/>
      <c r="E29" s="50"/>
      <c r="H29" s="39"/>
      <c r="I29" s="39"/>
      <c r="P29" s="44"/>
    </row>
    <row r="30" spans="2:16" s="10" customFormat="1" ht="13" x14ac:dyDescent="0.3">
      <c r="B30" s="87" t="s">
        <v>85</v>
      </c>
      <c r="C30" s="87"/>
      <c r="D30" s="87"/>
      <c r="E30" s="50"/>
      <c r="F30" s="19">
        <v>7509.1</v>
      </c>
      <c r="G30" s="19"/>
      <c r="H30" s="19">
        <v>63.6</v>
      </c>
      <c r="I30" s="19"/>
      <c r="J30" s="19">
        <v>12.6</v>
      </c>
      <c r="K30" s="19"/>
      <c r="L30" s="19">
        <v>14.4</v>
      </c>
      <c r="M30" s="19"/>
      <c r="N30" s="19">
        <v>1.1000000000000001</v>
      </c>
      <c r="O30" s="19"/>
      <c r="P30" s="187">
        <v>7600.8</v>
      </c>
    </row>
    <row r="31" spans="2:16" s="10" customFormat="1" ht="13" x14ac:dyDescent="0.3">
      <c r="B31" s="87" t="s">
        <v>86</v>
      </c>
      <c r="C31" s="87"/>
      <c r="D31" s="87"/>
      <c r="E31" s="50"/>
      <c r="F31" s="19">
        <v>-3.2</v>
      </c>
      <c r="G31" s="19"/>
      <c r="H31" s="26" t="s">
        <v>14</v>
      </c>
      <c r="I31" s="26"/>
      <c r="J31" s="26" t="s">
        <v>14</v>
      </c>
      <c r="K31" s="26"/>
      <c r="L31" s="26" t="s">
        <v>14</v>
      </c>
      <c r="M31" s="26"/>
      <c r="N31" s="26" t="s">
        <v>14</v>
      </c>
      <c r="O31" s="26"/>
      <c r="P31" s="187">
        <v>-3.2</v>
      </c>
    </row>
    <row r="32" spans="2:16" s="10" customFormat="1" ht="13" x14ac:dyDescent="0.3">
      <c r="B32" s="87" t="s">
        <v>87</v>
      </c>
      <c r="C32" s="87"/>
      <c r="D32" s="87"/>
      <c r="E32" s="50"/>
      <c r="F32" s="19">
        <v>17.3</v>
      </c>
      <c r="G32" s="19"/>
      <c r="H32" s="26" t="s">
        <v>14</v>
      </c>
      <c r="I32" s="26"/>
      <c r="J32" s="19">
        <v>326.2</v>
      </c>
      <c r="K32" s="19"/>
      <c r="L32" s="26" t="s">
        <v>14</v>
      </c>
      <c r="M32" s="26"/>
      <c r="N32" s="19">
        <v>0.7</v>
      </c>
      <c r="O32" s="19"/>
      <c r="P32" s="189">
        <v>344.2</v>
      </c>
    </row>
    <row r="33" spans="2:16" s="10" customFormat="1" ht="13" x14ac:dyDescent="0.3">
      <c r="B33" s="87" t="s">
        <v>88</v>
      </c>
      <c r="C33" s="87"/>
      <c r="D33" s="87"/>
      <c r="E33" s="50"/>
      <c r="F33" s="19">
        <v>10.8</v>
      </c>
      <c r="G33" s="19"/>
      <c r="H33" s="26" t="s">
        <v>14</v>
      </c>
      <c r="I33" s="26"/>
      <c r="J33" s="19">
        <v>-10.8</v>
      </c>
      <c r="K33" s="19"/>
      <c r="L33" s="26" t="s">
        <v>14</v>
      </c>
      <c r="M33" s="26"/>
      <c r="N33" s="26" t="s">
        <v>14</v>
      </c>
      <c r="O33" s="26"/>
      <c r="P33" s="189" t="s">
        <v>14</v>
      </c>
    </row>
    <row r="34" spans="2:16" s="10" customFormat="1" ht="13" x14ac:dyDescent="0.3">
      <c r="B34" s="87" t="s">
        <v>89</v>
      </c>
      <c r="C34" s="87"/>
      <c r="D34" s="87"/>
      <c r="E34" s="50"/>
      <c r="F34" s="26" t="s">
        <v>14</v>
      </c>
      <c r="G34" s="26"/>
      <c r="H34" s="19">
        <v>-4.7</v>
      </c>
      <c r="I34" s="19"/>
      <c r="J34" s="26" t="s">
        <v>14</v>
      </c>
      <c r="K34" s="26"/>
      <c r="L34" s="19">
        <v>-0.3</v>
      </c>
      <c r="M34" s="19"/>
      <c r="N34" s="19">
        <v>-0.3</v>
      </c>
      <c r="O34" s="19"/>
      <c r="P34" s="187">
        <v>-5.3</v>
      </c>
    </row>
    <row r="35" spans="2:16" s="10" customFormat="1" ht="13" x14ac:dyDescent="0.3">
      <c r="B35" s="87" t="s">
        <v>95</v>
      </c>
      <c r="C35" s="87"/>
      <c r="D35" s="87"/>
      <c r="E35" s="50"/>
      <c r="F35" s="19">
        <v>2062.6</v>
      </c>
      <c r="G35" s="19"/>
      <c r="H35" s="26" t="s">
        <v>14</v>
      </c>
      <c r="I35" s="26"/>
      <c r="J35" s="26" t="s">
        <v>14</v>
      </c>
      <c r="K35" s="26"/>
      <c r="L35" s="26" t="s">
        <v>14</v>
      </c>
      <c r="M35" s="26"/>
      <c r="N35" s="26" t="s">
        <v>14</v>
      </c>
      <c r="O35" s="26"/>
      <c r="P35" s="187">
        <v>2062.6</v>
      </c>
    </row>
    <row r="36" spans="2:16" s="10" customFormat="1" ht="7.5" customHeight="1" x14ac:dyDescent="0.3">
      <c r="B36" s="87"/>
      <c r="C36" s="87"/>
      <c r="D36" s="87"/>
      <c r="E36" s="50"/>
      <c r="F36" s="205"/>
      <c r="G36" s="206"/>
      <c r="H36" s="205"/>
      <c r="J36" s="205"/>
      <c r="L36" s="205"/>
      <c r="M36" s="12"/>
      <c r="N36" s="205"/>
      <c r="P36" s="205"/>
    </row>
    <row r="37" spans="2:16" s="10" customFormat="1" ht="15.75" customHeight="1" x14ac:dyDescent="0.3">
      <c r="B37" s="87" t="s">
        <v>91</v>
      </c>
      <c r="C37" s="87"/>
      <c r="D37" s="87"/>
      <c r="E37" s="50"/>
      <c r="P37" s="41"/>
    </row>
    <row r="38" spans="2:16" s="10" customFormat="1" ht="13" x14ac:dyDescent="0.3">
      <c r="B38" s="87" t="s">
        <v>92</v>
      </c>
      <c r="C38" s="87"/>
      <c r="D38" s="87"/>
      <c r="E38" s="50"/>
      <c r="F38" s="19">
        <v>9596.6</v>
      </c>
      <c r="G38" s="19"/>
      <c r="H38" s="19">
        <v>58.9</v>
      </c>
      <c r="I38" s="19"/>
      <c r="J38" s="19">
        <v>328</v>
      </c>
      <c r="K38" s="19"/>
      <c r="L38" s="19">
        <v>14.1</v>
      </c>
      <c r="M38" s="19"/>
      <c r="N38" s="19">
        <v>1.5</v>
      </c>
      <c r="O38" s="19"/>
      <c r="P38" s="187">
        <v>9999.1</v>
      </c>
    </row>
    <row r="39" spans="2:16" s="10" customFormat="1" ht="7.5" customHeight="1" thickBot="1" x14ac:dyDescent="0.35">
      <c r="B39" s="87"/>
      <c r="C39" s="87"/>
      <c r="D39" s="87"/>
      <c r="E39" s="50"/>
      <c r="F39" s="95"/>
      <c r="G39" s="41"/>
      <c r="H39" s="95"/>
      <c r="I39" s="41"/>
      <c r="J39" s="95"/>
      <c r="K39" s="41"/>
      <c r="L39" s="95"/>
      <c r="M39" s="41"/>
      <c r="N39" s="95"/>
      <c r="O39" s="41"/>
      <c r="P39" s="95"/>
    </row>
    <row r="40" spans="2:16" s="10" customFormat="1" ht="13.5" thickTop="1" x14ac:dyDescent="0.3">
      <c r="B40" s="87"/>
      <c r="C40" s="87"/>
      <c r="D40" s="87"/>
      <c r="E40" s="50"/>
      <c r="F40" s="41"/>
      <c r="G40" s="41"/>
      <c r="H40" s="41"/>
      <c r="I40" s="41"/>
      <c r="J40" s="187"/>
      <c r="K40" s="187"/>
      <c r="L40" s="41"/>
      <c r="M40" s="41"/>
      <c r="N40" s="41"/>
      <c r="O40" s="41"/>
      <c r="P40" s="41"/>
    </row>
    <row r="41" spans="2:16" s="10" customFormat="1" ht="13" x14ac:dyDescent="0.3">
      <c r="B41" s="87" t="s">
        <v>93</v>
      </c>
      <c r="C41" s="87"/>
      <c r="D41" s="87"/>
      <c r="E41" s="50"/>
      <c r="F41" s="187">
        <v>9596.6</v>
      </c>
      <c r="G41" s="187"/>
      <c r="H41" s="187">
        <v>73</v>
      </c>
      <c r="I41" s="187"/>
      <c r="J41" s="187">
        <v>328</v>
      </c>
      <c r="K41" s="187"/>
      <c r="L41" s="187">
        <v>15.4</v>
      </c>
      <c r="M41" s="187"/>
      <c r="N41" s="187">
        <v>4.3</v>
      </c>
      <c r="O41" s="187"/>
      <c r="P41" s="187">
        <v>10017.299999999999</v>
      </c>
    </row>
    <row r="42" spans="2:16" s="10" customFormat="1" ht="13" x14ac:dyDescent="0.3">
      <c r="B42" s="87" t="s">
        <v>94</v>
      </c>
      <c r="C42" s="87"/>
      <c r="D42" s="87"/>
      <c r="E42" s="50"/>
      <c r="F42" s="189" t="s">
        <v>14</v>
      </c>
      <c r="G42" s="189"/>
      <c r="H42" s="187">
        <v>-14.1</v>
      </c>
      <c r="I42" s="187"/>
      <c r="J42" s="189" t="s">
        <v>14</v>
      </c>
      <c r="K42" s="189"/>
      <c r="L42" s="187">
        <v>-1.3</v>
      </c>
      <c r="M42" s="187"/>
      <c r="N42" s="187">
        <v>-2.8</v>
      </c>
      <c r="O42" s="187"/>
      <c r="P42" s="187">
        <v>-18.2</v>
      </c>
    </row>
    <row r="43" spans="2:16" s="10" customFormat="1" ht="7.5" customHeight="1" x14ac:dyDescent="0.3">
      <c r="B43" s="87"/>
      <c r="C43" s="87"/>
      <c r="D43" s="87"/>
      <c r="E43" s="50"/>
      <c r="F43" s="199"/>
      <c r="G43" s="187"/>
      <c r="H43" s="199"/>
      <c r="I43" s="187"/>
      <c r="J43" s="199"/>
      <c r="K43" s="187"/>
      <c r="L43" s="199"/>
      <c r="M43" s="187"/>
      <c r="N43" s="199"/>
      <c r="O43" s="187"/>
      <c r="P43" s="199"/>
    </row>
    <row r="44" spans="2:16" s="10" customFormat="1" ht="15.75" customHeight="1" x14ac:dyDescent="0.3">
      <c r="B44" s="87"/>
      <c r="C44" s="87"/>
      <c r="D44" s="87"/>
      <c r="E44" s="50"/>
      <c r="F44" s="187">
        <v>9596.6</v>
      </c>
      <c r="G44" s="187"/>
      <c r="H44" s="187">
        <v>58.9</v>
      </c>
      <c r="I44" s="187"/>
      <c r="J44" s="187">
        <v>328</v>
      </c>
      <c r="K44" s="187"/>
      <c r="L44" s="187">
        <v>14.1</v>
      </c>
      <c r="M44" s="187"/>
      <c r="N44" s="187">
        <v>1.5</v>
      </c>
      <c r="O44" s="187"/>
      <c r="P44" s="187">
        <v>9999.1</v>
      </c>
    </row>
    <row r="45" spans="2:16" s="10" customFormat="1" ht="7.5" customHeight="1" thickBot="1" x14ac:dyDescent="0.35">
      <c r="B45" s="87"/>
      <c r="C45" s="87"/>
      <c r="D45" s="87"/>
      <c r="E45" s="50"/>
      <c r="F45" s="95"/>
      <c r="G45" s="41"/>
      <c r="H45" s="95"/>
      <c r="I45" s="41"/>
      <c r="J45" s="95"/>
      <c r="K45" s="41"/>
      <c r="L45" s="95"/>
      <c r="M45" s="41"/>
      <c r="N45" s="95"/>
      <c r="O45" s="41"/>
      <c r="P45" s="95"/>
    </row>
    <row r="46" spans="2:16" s="10" customFormat="1" ht="13.5" thickTop="1" x14ac:dyDescent="0.3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</row>
    <row r="47" spans="2:16" s="10" customFormat="1" ht="13" x14ac:dyDescent="0.3">
      <c r="B47" s="50" t="s">
        <v>96</v>
      </c>
      <c r="C47" s="325"/>
      <c r="D47" s="325"/>
      <c r="E47" s="325"/>
      <c r="F47" s="325"/>
      <c r="G47" s="50"/>
      <c r="H47" s="50"/>
      <c r="I47" s="50"/>
      <c r="J47" s="50"/>
      <c r="K47" s="50"/>
      <c r="L47" s="50"/>
      <c r="M47" s="50"/>
      <c r="N47" s="50"/>
      <c r="O47" s="50"/>
      <c r="P47" s="50"/>
    </row>
    <row r="48" spans="2:16" s="10" customFormat="1" ht="13" x14ac:dyDescent="0.3">
      <c r="B48" s="50" t="s">
        <v>97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</row>
    <row r="49" spans="2:17" s="10" customFormat="1" ht="13" x14ac:dyDescent="0.3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</row>
    <row r="50" spans="2:17" s="10" customFormat="1" ht="13" x14ac:dyDescent="0.3">
      <c r="B50" s="87" t="s">
        <v>98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</row>
    <row r="51" spans="2:17" s="10" customFormat="1" ht="13" x14ac:dyDescent="0.3">
      <c r="B51" s="87" t="s">
        <v>99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</row>
    <row r="52" spans="2:17" s="10" customFormat="1" ht="13" x14ac:dyDescent="0.3">
      <c r="B52" s="87" t="s">
        <v>100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</row>
    <row r="53" spans="2:17" s="10" customFormat="1" ht="13" x14ac:dyDescent="0.3"/>
    <row r="54" spans="2:17" s="10" customFormat="1" ht="13" x14ac:dyDescent="0.3">
      <c r="B54" s="87" t="s">
        <v>101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</row>
    <row r="55" spans="2:17" s="10" customFormat="1" ht="13" x14ac:dyDescent="0.3">
      <c r="B55" s="87" t="s">
        <v>102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</row>
    <row r="56" spans="2:17" s="10" customFormat="1" ht="13" x14ac:dyDescent="0.3">
      <c r="B56" s="87" t="s">
        <v>103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</row>
    <row r="57" spans="2:17" s="10" customFormat="1" ht="13" x14ac:dyDescent="0.3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</row>
    <row r="58" spans="2:17" s="10" customFormat="1" ht="13" x14ac:dyDescent="0.3">
      <c r="B58" s="87" t="s">
        <v>104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</row>
    <row r="59" spans="2:17" s="10" customFormat="1" ht="13" x14ac:dyDescent="0.3"/>
    <row r="60" spans="2:17" s="10" customFormat="1" ht="13" x14ac:dyDescent="0.3"/>
    <row r="61" spans="2:17" s="10" customFormat="1" ht="13" x14ac:dyDescent="0.3"/>
    <row r="62" spans="2:17" s="10" customFormat="1" ht="13" x14ac:dyDescent="0.3"/>
    <row r="63" spans="2:17" s="10" customFormat="1" ht="13" x14ac:dyDescent="0.3"/>
    <row r="64" spans="2:17" s="10" customFormat="1" ht="13" x14ac:dyDescent="0.3"/>
    <row r="65" s="10" customFormat="1" ht="13" x14ac:dyDescent="0.3"/>
    <row r="66" s="10" customFormat="1" ht="13" x14ac:dyDescent="0.3"/>
    <row r="67" s="10" customFormat="1" ht="13" x14ac:dyDescent="0.3"/>
    <row r="68" s="10" customFormat="1" ht="13" x14ac:dyDescent="0.3"/>
    <row r="69" s="10" customFormat="1" ht="13" x14ac:dyDescent="0.3"/>
    <row r="70" s="10" customFormat="1" ht="13" x14ac:dyDescent="0.3"/>
    <row r="71" s="10" customFormat="1" ht="13" x14ac:dyDescent="0.3"/>
    <row r="72" s="10" customFormat="1" ht="13" x14ac:dyDescent="0.3"/>
    <row r="73" s="10" customFormat="1" ht="13" x14ac:dyDescent="0.3"/>
    <row r="74" s="10" customFormat="1" ht="13" x14ac:dyDescent="0.3"/>
    <row r="75" s="10" customFormat="1" ht="13" x14ac:dyDescent="0.3"/>
    <row r="76" s="10" customFormat="1" ht="13" x14ac:dyDescent="0.3"/>
    <row r="77" s="10" customFormat="1" ht="13" x14ac:dyDescent="0.3"/>
    <row r="78" s="10" customFormat="1" ht="13" x14ac:dyDescent="0.3"/>
    <row r="79" s="10" customFormat="1" ht="13" x14ac:dyDescent="0.3"/>
    <row r="80" s="10" customFormat="1" ht="13" x14ac:dyDescent="0.3"/>
    <row r="81" s="10" customFormat="1" ht="13" x14ac:dyDescent="0.3"/>
    <row r="82" s="10" customFormat="1" ht="13" x14ac:dyDescent="0.3"/>
    <row r="83" s="10" customFormat="1" ht="13" x14ac:dyDescent="0.3"/>
    <row r="84" s="10" customFormat="1" ht="13" x14ac:dyDescent="0.3"/>
    <row r="85" s="10" customFormat="1" ht="13" x14ac:dyDescent="0.3"/>
    <row r="86" s="10" customFormat="1" ht="13" x14ac:dyDescent="0.3"/>
    <row r="87" s="10" customFormat="1" ht="13" x14ac:dyDescent="0.3"/>
    <row r="88" s="10" customFormat="1" ht="13" x14ac:dyDescent="0.3"/>
    <row r="89" s="10" customFormat="1" ht="13" x14ac:dyDescent="0.3"/>
    <row r="90" s="10" customFormat="1" ht="13" x14ac:dyDescent="0.3"/>
    <row r="91" s="10" customFormat="1" ht="13" x14ac:dyDescent="0.3"/>
    <row r="92" s="10" customFormat="1" ht="13" x14ac:dyDescent="0.3"/>
    <row r="93" s="10" customFormat="1" ht="13" x14ac:dyDescent="0.3"/>
    <row r="94" s="10" customFormat="1" ht="13" x14ac:dyDescent="0.3"/>
    <row r="95" s="10" customFormat="1" ht="13" x14ac:dyDescent="0.3"/>
    <row r="96" s="10" customFormat="1" ht="13" x14ac:dyDescent="0.3"/>
    <row r="97" s="10" customFormat="1" ht="13" x14ac:dyDescent="0.3"/>
    <row r="98" s="10" customFormat="1" ht="13" x14ac:dyDescent="0.3"/>
    <row r="99" s="10" customFormat="1" ht="13" x14ac:dyDescent="0.3"/>
    <row r="100" s="10" customFormat="1" ht="13" x14ac:dyDescent="0.3"/>
    <row r="101" s="10" customFormat="1" ht="13" x14ac:dyDescent="0.3"/>
    <row r="102" s="10" customFormat="1" ht="13" x14ac:dyDescent="0.3"/>
    <row r="103" s="10" customFormat="1" ht="13" x14ac:dyDescent="0.3"/>
    <row r="104" s="10" customFormat="1" ht="13" x14ac:dyDescent="0.3"/>
    <row r="105" s="10" customFormat="1" ht="13" x14ac:dyDescent="0.3"/>
    <row r="106" s="10" customFormat="1" ht="13" x14ac:dyDescent="0.3"/>
    <row r="107" s="10" customFormat="1" ht="13" x14ac:dyDescent="0.3"/>
    <row r="108" s="10" customFormat="1" ht="13" x14ac:dyDescent="0.3"/>
    <row r="109" s="10" customFormat="1" ht="13" x14ac:dyDescent="0.3"/>
    <row r="110" s="10" customFormat="1" ht="13" x14ac:dyDescent="0.3"/>
    <row r="111" s="10" customFormat="1" ht="13" x14ac:dyDescent="0.3"/>
    <row r="112" s="10" customFormat="1" ht="13" x14ac:dyDescent="0.3"/>
    <row r="113" s="10" customFormat="1" ht="13" x14ac:dyDescent="0.3"/>
    <row r="114" s="10" customFormat="1" ht="13" x14ac:dyDescent="0.3"/>
    <row r="115" s="10" customFormat="1" ht="13" x14ac:dyDescent="0.3"/>
    <row r="116" s="10" customFormat="1" ht="13" x14ac:dyDescent="0.3"/>
    <row r="117" s="10" customFormat="1" ht="13" x14ac:dyDescent="0.3"/>
    <row r="118" s="10" customFormat="1" ht="13" x14ac:dyDescent="0.3"/>
    <row r="119" s="10" customFormat="1" ht="13" x14ac:dyDescent="0.3"/>
    <row r="120" s="10" customFormat="1" ht="13" x14ac:dyDescent="0.3"/>
    <row r="121" s="10" customFormat="1" ht="13" x14ac:dyDescent="0.3"/>
    <row r="122" s="10" customFormat="1" ht="13" x14ac:dyDescent="0.3"/>
    <row r="123" s="10" customFormat="1" ht="13" x14ac:dyDescent="0.3"/>
    <row r="124" s="10" customFormat="1" ht="13" x14ac:dyDescent="0.3"/>
    <row r="125" s="10" customFormat="1" ht="13" x14ac:dyDescent="0.3"/>
  </sheetData>
  <pageMargins left="1" right="0.85" top="0.5" bottom="0" header="0.5" footer="0.5"/>
  <pageSetup paperSize="9" orientation="portrait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8"/>
  <sheetViews>
    <sheetView topLeftCell="A24" workbookViewId="0">
      <selection activeCell="G22" sqref="G22"/>
    </sheetView>
  </sheetViews>
  <sheetFormatPr defaultRowHeight="13" x14ac:dyDescent="0.3"/>
  <cols>
    <col min="1" max="1" width="4.1796875" style="30" customWidth="1"/>
    <col min="2" max="2" width="14.1796875" customWidth="1"/>
    <col min="6" max="6" width="3.1796875" customWidth="1"/>
    <col min="7" max="7" width="3.81640625" customWidth="1"/>
    <col min="8" max="8" width="0.7265625" hidden="1" customWidth="1"/>
    <col min="9" max="9" width="4.1796875" customWidth="1"/>
    <col min="10" max="10" width="7" style="17" customWidth="1"/>
    <col min="11" max="11" width="7" style="10" customWidth="1"/>
    <col min="12" max="12" width="6.81640625" style="10" customWidth="1"/>
  </cols>
  <sheetData>
    <row r="1" spans="1:28" s="5" customFormat="1" ht="24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2"/>
      <c r="N1"/>
      <c r="O1"/>
      <c r="P1"/>
    </row>
    <row r="2" spans="1:28" ht="12.75" customHeight="1" x14ac:dyDescent="0.3">
      <c r="A2" s="197" t="s">
        <v>47</v>
      </c>
      <c r="B2" s="10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2.75" customHeight="1" x14ac:dyDescent="0.3">
      <c r="A3" s="197"/>
      <c r="B3" s="10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x14ac:dyDescent="0.3">
      <c r="A4" s="9"/>
      <c r="B4" s="10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x14ac:dyDescent="0.3">
      <c r="A5" s="9"/>
      <c r="B5" s="10"/>
      <c r="E5" s="10"/>
      <c r="F5" s="10"/>
      <c r="G5" s="10"/>
      <c r="H5" s="10"/>
      <c r="I5" s="10"/>
      <c r="J5" s="11">
        <v>1997</v>
      </c>
      <c r="L5" s="96">
        <v>1996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6.5" customHeight="1" x14ac:dyDescent="0.3">
      <c r="A6" s="9"/>
      <c r="B6" s="10"/>
      <c r="E6" s="10"/>
      <c r="F6" s="10"/>
      <c r="G6" s="10"/>
      <c r="H6" s="10"/>
      <c r="I6" s="10"/>
      <c r="J6" s="183" t="s">
        <v>1</v>
      </c>
      <c r="K6" s="184"/>
      <c r="L6" s="209" t="s">
        <v>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3.5" customHeight="1" x14ac:dyDescent="0.3">
      <c r="A7" s="9"/>
      <c r="B7" s="10"/>
      <c r="E7" s="10"/>
      <c r="F7" s="10"/>
      <c r="G7" s="10"/>
      <c r="H7" s="10"/>
      <c r="I7" s="10"/>
      <c r="J7" s="204"/>
      <c r="K7" s="184"/>
      <c r="L7" s="22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x14ac:dyDescent="0.3">
      <c r="A8" s="162">
        <v>11</v>
      </c>
      <c r="B8" s="163" t="s">
        <v>105</v>
      </c>
      <c r="E8" s="10"/>
      <c r="F8" s="10"/>
      <c r="G8" s="10"/>
      <c r="H8" s="10"/>
      <c r="I8" s="10"/>
      <c r="K8" s="10" t="s">
        <v>106</v>
      </c>
      <c r="L8" s="41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3">
      <c r="A9" s="9"/>
      <c r="B9" s="10"/>
      <c r="E9" s="10"/>
      <c r="F9" s="10"/>
      <c r="G9" s="10"/>
      <c r="H9" s="10"/>
      <c r="I9" s="10"/>
      <c r="L9" s="41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x14ac:dyDescent="0.3">
      <c r="A10" s="9"/>
      <c r="B10" s="87" t="s">
        <v>53</v>
      </c>
      <c r="E10" s="10"/>
      <c r="F10" s="10"/>
      <c r="G10" s="10"/>
      <c r="H10" s="10"/>
      <c r="I10" s="10"/>
      <c r="L10" s="41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x14ac:dyDescent="0.3">
      <c r="A11" s="9"/>
      <c r="B11" s="87" t="s">
        <v>107</v>
      </c>
      <c r="C11" s="101"/>
      <c r="D11" s="101"/>
      <c r="E11" s="10"/>
      <c r="F11" s="10"/>
      <c r="G11" s="10"/>
      <c r="H11" s="10"/>
      <c r="I11" s="10"/>
      <c r="J11" s="68"/>
      <c r="K11" s="69"/>
      <c r="L11" s="9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x14ac:dyDescent="0.3">
      <c r="A12" s="9"/>
      <c r="B12" s="87" t="s">
        <v>108</v>
      </c>
      <c r="C12" s="101"/>
      <c r="D12" s="101"/>
      <c r="E12" s="10"/>
      <c r="F12" s="10"/>
      <c r="G12" s="10"/>
      <c r="H12" s="10"/>
      <c r="I12" s="10"/>
      <c r="J12" s="103">
        <v>215.6</v>
      </c>
      <c r="K12" s="28"/>
      <c r="L12" s="92">
        <v>209.4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3">
      <c r="A13" s="9"/>
      <c r="B13" s="87"/>
      <c r="C13" s="101"/>
      <c r="D13" s="101"/>
      <c r="E13" s="10"/>
      <c r="F13" s="10"/>
      <c r="G13" s="10"/>
      <c r="H13" s="10"/>
      <c r="I13" s="10"/>
      <c r="J13" s="103"/>
      <c r="K13" s="28"/>
      <c r="L13" s="9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3">
      <c r="A14" s="9"/>
      <c r="B14" s="87" t="s">
        <v>8</v>
      </c>
      <c r="C14" s="101"/>
      <c r="D14" s="101"/>
      <c r="E14" s="10"/>
      <c r="F14" s="10"/>
      <c r="G14" s="10"/>
      <c r="H14" s="10"/>
      <c r="I14" s="10"/>
      <c r="J14" s="103"/>
      <c r="K14" s="28"/>
      <c r="L14" s="9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3">
      <c r="A15" s="9"/>
      <c r="B15" s="87" t="s">
        <v>107</v>
      </c>
      <c r="C15" s="101"/>
      <c r="D15" s="101"/>
      <c r="E15" s="10"/>
      <c r="F15" s="10"/>
      <c r="G15" s="10"/>
      <c r="H15" s="10"/>
      <c r="I15" s="10"/>
      <c r="J15" s="305">
        <v>107.2</v>
      </c>
      <c r="K15" s="69"/>
      <c r="L15" s="208">
        <v>59.9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3">
      <c r="A16" s="9"/>
      <c r="B16" s="87" t="s">
        <v>109</v>
      </c>
      <c r="C16" s="101"/>
      <c r="D16" s="101"/>
      <c r="E16" s="10"/>
      <c r="F16" s="10"/>
      <c r="G16" s="10"/>
      <c r="H16" s="10"/>
      <c r="I16" s="10"/>
      <c r="J16" s="287">
        <v>41</v>
      </c>
      <c r="L16" s="306">
        <v>34.9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4.5" customHeight="1" x14ac:dyDescent="0.3">
      <c r="A17" s="9"/>
      <c r="B17" s="87"/>
      <c r="C17" s="101"/>
      <c r="D17" s="101"/>
      <c r="E17" s="10"/>
      <c r="F17" s="10"/>
      <c r="G17" s="10"/>
      <c r="H17" s="10"/>
      <c r="I17" s="10"/>
      <c r="J17" s="103"/>
      <c r="L17" s="4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2.75" customHeight="1" x14ac:dyDescent="0.3">
      <c r="A18" s="9"/>
      <c r="B18" s="87"/>
      <c r="C18" s="101"/>
      <c r="D18" s="101"/>
      <c r="E18" s="10"/>
      <c r="F18" s="10"/>
      <c r="G18" s="10"/>
      <c r="H18" s="10"/>
      <c r="I18" s="10"/>
      <c r="J18" s="103">
        <f>SUM(J15:J17)</f>
        <v>148.19999999999999</v>
      </c>
      <c r="L18" s="92">
        <f>SUM(L15:L17)</f>
        <v>94.8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7.5" customHeight="1" x14ac:dyDescent="0.3">
      <c r="A19" s="9"/>
      <c r="B19" s="10"/>
      <c r="E19" s="10"/>
      <c r="F19" s="10"/>
      <c r="G19" s="10"/>
      <c r="H19" s="10"/>
      <c r="I19" s="10"/>
      <c r="J19" s="71"/>
      <c r="L19" s="90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5.75" customHeight="1" x14ac:dyDescent="0.3">
      <c r="A20" s="9"/>
      <c r="B20" s="10"/>
      <c r="E20" s="10"/>
      <c r="F20" s="10"/>
      <c r="G20" s="10"/>
      <c r="H20" s="10"/>
      <c r="I20" s="10"/>
      <c r="J20" s="68">
        <f>SUM(J12,J18)</f>
        <v>363.79999999999995</v>
      </c>
      <c r="L20" s="92">
        <f>SUM(L12,L18)</f>
        <v>304.2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7.5" customHeight="1" thickBot="1" x14ac:dyDescent="0.35">
      <c r="A21" s="9"/>
      <c r="B21" s="10"/>
      <c r="E21" s="10"/>
      <c r="F21" s="10"/>
      <c r="G21" s="10"/>
      <c r="H21" s="10"/>
      <c r="I21" s="10"/>
      <c r="J21" s="73"/>
      <c r="L21" s="9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13.5" thickTop="1" x14ac:dyDescent="0.3">
      <c r="A22" s="9"/>
      <c r="B22" s="10"/>
      <c r="E22" s="10"/>
      <c r="F22" s="10"/>
      <c r="G22" s="10"/>
      <c r="H22" s="10"/>
      <c r="I22" s="10"/>
      <c r="J22" s="29"/>
      <c r="L22" s="4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12" customHeight="1" x14ac:dyDescent="0.3">
      <c r="A23" s="9"/>
      <c r="B23" s="10"/>
      <c r="E23" s="10"/>
      <c r="F23" s="10"/>
      <c r="G23" s="10"/>
      <c r="H23" s="10"/>
      <c r="I23" s="10"/>
      <c r="J23" s="11">
        <v>1997</v>
      </c>
      <c r="L23" s="96">
        <v>1996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16.5" customHeight="1" x14ac:dyDescent="0.3">
      <c r="A24" s="9"/>
      <c r="B24" s="10"/>
      <c r="E24" s="10"/>
      <c r="F24" s="10"/>
      <c r="G24" s="10"/>
      <c r="H24" s="10"/>
      <c r="I24" s="10"/>
      <c r="J24" s="183" t="s">
        <v>1</v>
      </c>
      <c r="K24" s="184"/>
      <c r="L24" s="209" t="s">
        <v>1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x14ac:dyDescent="0.3">
      <c r="A25" s="162">
        <v>12</v>
      </c>
      <c r="B25" s="163" t="s">
        <v>110</v>
      </c>
      <c r="C25" s="145"/>
      <c r="E25" s="10"/>
      <c r="F25" s="10"/>
      <c r="G25" s="10"/>
      <c r="H25" s="10"/>
      <c r="I25" s="10"/>
      <c r="J25" s="29"/>
      <c r="K25" s="28"/>
      <c r="L25" s="4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x14ac:dyDescent="0.3">
      <c r="A26" s="9"/>
      <c r="B26" s="10"/>
      <c r="E26" s="10"/>
      <c r="F26" s="10"/>
      <c r="G26" s="10"/>
      <c r="H26" s="10"/>
      <c r="I26" s="10"/>
      <c r="L26" s="4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x14ac:dyDescent="0.3">
      <c r="A27" s="40"/>
      <c r="B27" s="102" t="s">
        <v>111</v>
      </c>
      <c r="C27" s="101"/>
      <c r="D27" s="101"/>
      <c r="E27" s="87"/>
      <c r="F27" s="87"/>
      <c r="G27" s="87"/>
      <c r="H27" s="10"/>
      <c r="I27" s="10"/>
      <c r="J27" s="17">
        <v>276.89999999999998</v>
      </c>
      <c r="L27" s="41">
        <v>289.89999999999998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x14ac:dyDescent="0.3">
      <c r="A28" s="9"/>
      <c r="B28" s="87"/>
      <c r="C28" s="101"/>
      <c r="D28" s="101"/>
      <c r="E28" s="87"/>
      <c r="F28" s="87"/>
      <c r="G28" s="87"/>
      <c r="H28" s="10"/>
      <c r="I28" s="10"/>
      <c r="L28" s="4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x14ac:dyDescent="0.3">
      <c r="A29" s="9"/>
      <c r="B29" s="87" t="s">
        <v>112</v>
      </c>
      <c r="C29" s="101"/>
      <c r="D29" s="101"/>
      <c r="E29" s="87"/>
      <c r="F29" s="87"/>
      <c r="G29" s="87"/>
      <c r="H29" s="10"/>
      <c r="I29" s="10"/>
      <c r="J29" s="288">
        <v>4</v>
      </c>
      <c r="L29" s="207">
        <v>4.5999999999999996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ht="7.5" customHeight="1" x14ac:dyDescent="0.3">
      <c r="A30" s="9"/>
      <c r="B30" s="87"/>
      <c r="C30" s="101"/>
      <c r="D30" s="101"/>
      <c r="E30" s="87"/>
      <c r="F30" s="87"/>
      <c r="G30" s="87"/>
      <c r="H30" s="10"/>
      <c r="I30" s="10"/>
      <c r="J30" s="14"/>
      <c r="L30" s="90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ht="15.75" customHeight="1" x14ac:dyDescent="0.3">
      <c r="A31" s="9"/>
      <c r="B31" s="87"/>
      <c r="C31" s="101"/>
      <c r="D31" s="101"/>
      <c r="E31" s="87"/>
      <c r="F31" s="87"/>
      <c r="G31" s="87"/>
      <c r="H31" s="10"/>
      <c r="I31" s="10"/>
      <c r="J31" s="11">
        <f>SUM(J27:J29)</f>
        <v>280.89999999999998</v>
      </c>
      <c r="K31" s="28"/>
      <c r="L31" s="96">
        <v>294.5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ht="7.5" customHeight="1" thickBot="1" x14ac:dyDescent="0.35">
      <c r="A32" s="40"/>
      <c r="B32" s="135"/>
      <c r="C32" s="101"/>
      <c r="D32" s="101"/>
      <c r="E32" s="87"/>
      <c r="F32" s="87"/>
      <c r="G32" s="87"/>
      <c r="H32" s="10"/>
      <c r="I32" s="10"/>
      <c r="J32" s="73"/>
      <c r="L32" s="9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ht="12.75" customHeight="1" thickTop="1" x14ac:dyDescent="0.3">
      <c r="A33" s="9"/>
      <c r="B33" s="87"/>
      <c r="C33" s="101"/>
      <c r="D33" s="101"/>
      <c r="E33" s="87"/>
      <c r="F33" s="87"/>
      <c r="G33" s="87"/>
      <c r="H33" s="10"/>
      <c r="I33" s="10"/>
      <c r="J33" s="11"/>
      <c r="K33" s="28"/>
      <c r="L33" s="7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3">
      <c r="A34" s="9"/>
      <c r="B34" s="87" t="s">
        <v>113</v>
      </c>
      <c r="C34" s="142"/>
      <c r="D34" s="101"/>
      <c r="E34" s="87"/>
      <c r="F34" s="87"/>
      <c r="G34" s="87"/>
      <c r="H34" s="10"/>
      <c r="I34" s="10"/>
      <c r="J34" s="29"/>
      <c r="K34" s="28"/>
      <c r="L34" s="4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x14ac:dyDescent="0.3">
      <c r="A35" s="9"/>
      <c r="B35" s="87" t="s">
        <v>114</v>
      </c>
      <c r="C35" s="142"/>
      <c r="D35" s="101"/>
      <c r="E35" s="87"/>
      <c r="F35" s="87"/>
      <c r="G35" s="87"/>
      <c r="H35" s="10"/>
      <c r="I35" s="10"/>
      <c r="J35" s="29"/>
      <c r="K35" s="28"/>
      <c r="L35" s="4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x14ac:dyDescent="0.3">
      <c r="A36" s="9"/>
      <c r="B36" s="101"/>
      <c r="C36" s="101"/>
      <c r="D36" s="101"/>
      <c r="E36" s="87"/>
      <c r="F36" s="87"/>
      <c r="G36" s="87"/>
      <c r="H36" s="10"/>
      <c r="I36" s="10"/>
      <c r="J36" s="29"/>
      <c r="K36" s="28"/>
      <c r="L36" s="2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x14ac:dyDescent="0.3">
      <c r="A37" s="9"/>
      <c r="B37" s="87" t="s">
        <v>115</v>
      </c>
      <c r="C37" s="101"/>
      <c r="D37" s="101"/>
      <c r="E37" s="87"/>
      <c r="F37" s="87"/>
      <c r="G37" s="87"/>
      <c r="H37" s="10"/>
      <c r="I37" s="10"/>
      <c r="J37" s="29"/>
      <c r="K37" s="28"/>
      <c r="L37" s="7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x14ac:dyDescent="0.3">
      <c r="A38" s="9"/>
      <c r="B38" s="87" t="s">
        <v>116</v>
      </c>
      <c r="C38" s="101"/>
      <c r="D38" s="101"/>
      <c r="E38" s="87"/>
      <c r="F38" s="87"/>
      <c r="G38" s="87"/>
      <c r="H38" s="10"/>
      <c r="I38" s="10"/>
      <c r="J38" s="29"/>
      <c r="K38" s="28"/>
      <c r="L38" s="2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x14ac:dyDescent="0.3">
      <c r="A39" s="9"/>
      <c r="B39" s="87"/>
      <c r="C39" s="101"/>
      <c r="D39" s="101"/>
      <c r="E39" s="87"/>
      <c r="F39" s="87"/>
      <c r="G39" s="87"/>
      <c r="H39" s="10"/>
      <c r="I39" s="10"/>
      <c r="J39" s="29"/>
      <c r="K39" s="28"/>
      <c r="L39" s="2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x14ac:dyDescent="0.3">
      <c r="A40" s="9"/>
      <c r="B40" s="87" t="s">
        <v>117</v>
      </c>
      <c r="C40" s="101"/>
      <c r="D40" s="101"/>
      <c r="E40" s="87"/>
      <c r="F40" s="87"/>
      <c r="G40" s="87"/>
      <c r="H40" s="10"/>
      <c r="I40" s="10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3">
      <c r="A41" s="9"/>
      <c r="B41" s="87"/>
      <c r="C41" s="101"/>
      <c r="D41" s="101"/>
      <c r="E41" s="87"/>
      <c r="F41" s="87"/>
      <c r="G41" s="87"/>
      <c r="H41" s="10"/>
      <c r="I41" s="10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3">
      <c r="A42" s="40"/>
      <c r="B42" s="102"/>
      <c r="C42" s="101"/>
      <c r="D42" s="101"/>
      <c r="E42" s="87"/>
      <c r="F42" s="87"/>
      <c r="G42" s="87"/>
      <c r="H42" s="10"/>
      <c r="I42" s="10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3">
      <c r="A43" s="9"/>
      <c r="B43" s="10"/>
      <c r="E43" s="10"/>
      <c r="F43" s="10"/>
      <c r="G43" s="10"/>
      <c r="H43" s="10"/>
      <c r="I43" s="10"/>
      <c r="J43" s="63">
        <v>1997</v>
      </c>
      <c r="L43" s="186">
        <v>1996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6.5" customHeight="1" x14ac:dyDescent="0.3">
      <c r="A44" s="9"/>
      <c r="B44" s="10"/>
      <c r="E44" s="10"/>
      <c r="F44" s="10"/>
      <c r="G44" s="10"/>
      <c r="H44" s="10"/>
      <c r="I44" s="10"/>
      <c r="J44" s="183" t="s">
        <v>1</v>
      </c>
      <c r="K44" s="184"/>
      <c r="L44" s="193" t="s">
        <v>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x14ac:dyDescent="0.3">
      <c r="A45" s="162">
        <v>13</v>
      </c>
      <c r="B45" s="163" t="s">
        <v>118</v>
      </c>
      <c r="C45" s="13"/>
      <c r="D45" s="13"/>
      <c r="E45" s="28"/>
      <c r="F45" s="28"/>
      <c r="G45" s="28"/>
      <c r="H45" s="28"/>
      <c r="I45" s="28"/>
      <c r="J45" s="29"/>
      <c r="K45" s="28"/>
      <c r="L45" s="4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x14ac:dyDescent="0.3">
      <c r="A46" s="9"/>
      <c r="B46" s="28"/>
      <c r="C46" s="13"/>
      <c r="D46" s="13"/>
      <c r="E46" s="28"/>
      <c r="F46" s="28"/>
      <c r="G46" s="28"/>
      <c r="H46" s="28"/>
      <c r="I46" s="28"/>
      <c r="J46" s="29"/>
      <c r="K46" s="28"/>
      <c r="L46" s="4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x14ac:dyDescent="0.3">
      <c r="A47" s="9"/>
      <c r="B47" s="59" t="s">
        <v>119</v>
      </c>
      <c r="C47" s="107"/>
      <c r="D47" s="107"/>
      <c r="E47" s="28"/>
      <c r="F47" s="28"/>
      <c r="G47" s="28"/>
      <c r="H47" s="28"/>
      <c r="I47" s="28"/>
      <c r="J47" s="68">
        <v>40.9</v>
      </c>
      <c r="K47" s="28"/>
      <c r="L47" s="92">
        <v>39.5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x14ac:dyDescent="0.3">
      <c r="A48" s="9"/>
      <c r="B48" s="59" t="s">
        <v>120</v>
      </c>
      <c r="C48" s="107"/>
      <c r="D48" s="107"/>
      <c r="E48" s="28"/>
      <c r="F48" s="28"/>
      <c r="G48" s="28"/>
      <c r="H48" s="28"/>
      <c r="I48" s="28"/>
      <c r="J48" s="68">
        <v>23.7</v>
      </c>
      <c r="K48" s="28"/>
      <c r="L48" s="92">
        <v>13.4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x14ac:dyDescent="0.3">
      <c r="A49" s="9"/>
      <c r="B49" s="59" t="s">
        <v>121</v>
      </c>
      <c r="C49" s="107"/>
      <c r="D49" s="107"/>
      <c r="E49" s="28"/>
      <c r="F49" s="28"/>
      <c r="G49" s="28"/>
      <c r="H49" s="28"/>
      <c r="I49" s="28"/>
      <c r="J49" s="289" t="s">
        <v>37</v>
      </c>
      <c r="K49" s="28"/>
      <c r="L49" s="92">
        <v>6.3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x14ac:dyDescent="0.3">
      <c r="A50" s="40"/>
      <c r="B50" s="102" t="s">
        <v>122</v>
      </c>
      <c r="C50" s="107"/>
      <c r="D50" s="107"/>
      <c r="E50" s="13"/>
      <c r="F50" s="13"/>
      <c r="G50" s="13"/>
      <c r="H50" s="13"/>
      <c r="I50" s="13"/>
      <c r="J50" s="68">
        <v>1225.7</v>
      </c>
      <c r="K50" s="28"/>
      <c r="L50" s="92">
        <v>1529.9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ht="7.5" customHeight="1" x14ac:dyDescent="0.3">
      <c r="A51" s="9"/>
      <c r="B51" s="28"/>
      <c r="C51" s="13"/>
      <c r="D51" s="13"/>
      <c r="E51" s="13"/>
      <c r="F51" s="13"/>
      <c r="G51" s="13"/>
      <c r="H51" s="13"/>
      <c r="I51" s="13"/>
      <c r="J51" s="77"/>
      <c r="K51" s="28"/>
      <c r="L51" s="90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5" customHeight="1" x14ac:dyDescent="0.3">
      <c r="A52" s="9"/>
      <c r="B52" s="28"/>
      <c r="C52" s="13"/>
      <c r="D52" s="13"/>
      <c r="E52" s="13"/>
      <c r="F52" s="13"/>
      <c r="G52" s="13"/>
      <c r="H52" s="13"/>
      <c r="I52" s="13"/>
      <c r="J52" s="68">
        <f>SUM(J47:J50)</f>
        <v>1290.3</v>
      </c>
      <c r="K52" s="28"/>
      <c r="L52" s="92">
        <v>1589.1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ht="7.5" customHeight="1" thickBot="1" x14ac:dyDescent="0.35">
      <c r="A53" s="9"/>
      <c r="B53" s="28"/>
      <c r="C53" s="13"/>
      <c r="D53" s="13"/>
      <c r="E53" s="13"/>
      <c r="F53" s="13"/>
      <c r="G53" s="13"/>
      <c r="H53" s="13"/>
      <c r="I53" s="13"/>
      <c r="J53" s="73"/>
      <c r="K53" s="28"/>
      <c r="L53" s="9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ht="13.5" thickTop="1" x14ac:dyDescent="0.3">
      <c r="A54" s="9"/>
      <c r="B54" s="28"/>
      <c r="C54" s="13"/>
      <c r="D54" s="13"/>
      <c r="E54" s="13"/>
      <c r="F54" s="13"/>
      <c r="G54" s="13"/>
      <c r="H54" s="13"/>
      <c r="I54" s="13"/>
      <c r="J54" s="21"/>
      <c r="K54" s="28"/>
      <c r="L54" s="2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x14ac:dyDescent="0.3">
      <c r="A55" s="9"/>
      <c r="B55" s="59" t="s">
        <v>123</v>
      </c>
      <c r="C55" s="107"/>
      <c r="D55" s="107"/>
      <c r="E55" s="107"/>
      <c r="F55" s="107"/>
      <c r="G55" s="107"/>
      <c r="H55" s="107"/>
      <c r="I55" s="107"/>
      <c r="J55" s="109"/>
      <c r="K55" s="59"/>
      <c r="L55" s="59"/>
      <c r="M55" s="101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x14ac:dyDescent="0.3">
      <c r="A56" s="9"/>
      <c r="B56" s="59" t="s">
        <v>116</v>
      </c>
      <c r="C56" s="107"/>
      <c r="D56" s="107"/>
      <c r="E56" s="107"/>
      <c r="F56" s="107"/>
      <c r="G56" s="107"/>
      <c r="H56" s="107"/>
      <c r="I56" s="107"/>
      <c r="J56" s="109"/>
      <c r="K56" s="59"/>
      <c r="L56" s="59"/>
      <c r="M56" s="101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x14ac:dyDescent="0.3">
      <c r="A57" s="40"/>
      <c r="B57" s="110"/>
      <c r="C57" s="107"/>
      <c r="D57" s="107"/>
      <c r="E57" s="107"/>
      <c r="F57" s="107"/>
      <c r="G57" s="107"/>
      <c r="H57" s="107"/>
      <c r="I57" s="107"/>
      <c r="J57" s="109"/>
      <c r="K57" s="59"/>
      <c r="L57" s="59"/>
      <c r="M57" s="101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ht="12.75" customHeight="1" x14ac:dyDescent="0.3">
      <c r="A58" s="40"/>
      <c r="B58" s="59" t="s">
        <v>124</v>
      </c>
      <c r="C58" s="13"/>
      <c r="D58" s="13"/>
      <c r="E58" s="13"/>
      <c r="F58" s="13"/>
      <c r="G58" s="13"/>
      <c r="H58" s="13"/>
      <c r="I58" s="13"/>
      <c r="J58" s="29"/>
      <c r="K58" s="28"/>
      <c r="L58" s="2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12.75" customHeight="1" x14ac:dyDescent="0.3">
      <c r="A59" s="9"/>
      <c r="B59" s="59" t="s">
        <v>125</v>
      </c>
      <c r="C59" s="13"/>
      <c r="D59" s="13"/>
      <c r="E59" s="13"/>
      <c r="F59" s="13"/>
      <c r="G59" s="13"/>
      <c r="H59" s="13"/>
      <c r="I59" s="13"/>
      <c r="J59" s="29"/>
      <c r="K59" s="28"/>
      <c r="L59" s="2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x14ac:dyDescent="0.3">
      <c r="A60" s="9"/>
      <c r="B60" s="28"/>
      <c r="C60" s="13"/>
      <c r="D60" s="13"/>
      <c r="E60" s="13"/>
      <c r="F60" s="13"/>
      <c r="G60" s="13"/>
      <c r="H60" s="13"/>
      <c r="I60" s="13"/>
      <c r="J60" s="29"/>
      <c r="K60" s="28"/>
      <c r="L60" s="2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x14ac:dyDescent="0.3">
      <c r="A61" s="9"/>
      <c r="B61" s="28"/>
      <c r="C61" s="13"/>
      <c r="D61" s="13"/>
      <c r="E61" s="13"/>
      <c r="F61" s="13"/>
      <c r="G61" s="13"/>
      <c r="H61" s="13"/>
      <c r="I61" s="13"/>
      <c r="J61" s="29"/>
      <c r="K61" s="28"/>
      <c r="L61" s="2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x14ac:dyDescent="0.3">
      <c r="A62" s="9"/>
      <c r="B62" s="28"/>
      <c r="C62" s="13"/>
      <c r="D62" s="13"/>
      <c r="E62" s="13"/>
      <c r="F62" s="13"/>
      <c r="G62" s="13"/>
      <c r="H62" s="13"/>
      <c r="I62" s="13"/>
      <c r="J62" s="29"/>
      <c r="K62" s="28"/>
      <c r="L62" s="2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x14ac:dyDescent="0.3">
      <c r="A63" s="9"/>
      <c r="B63" s="28"/>
      <c r="C63" s="13"/>
      <c r="D63" s="13"/>
      <c r="E63" s="13"/>
      <c r="F63" s="13"/>
      <c r="G63" s="13"/>
      <c r="H63" s="13"/>
      <c r="I63" s="13"/>
      <c r="J63" s="21"/>
      <c r="K63" s="22"/>
      <c r="L63" s="2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x14ac:dyDescent="0.3">
      <c r="A64" s="9"/>
      <c r="B64" s="28"/>
      <c r="C64" s="13"/>
      <c r="D64" s="13"/>
      <c r="E64" s="13"/>
      <c r="F64" s="13"/>
      <c r="G64" s="13"/>
      <c r="H64" s="13"/>
      <c r="I64" s="13"/>
      <c r="J64" s="29"/>
      <c r="K64" s="28"/>
      <c r="L64" s="2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x14ac:dyDescent="0.3">
      <c r="A65" s="9"/>
      <c r="B65" s="28"/>
      <c r="C65" s="13"/>
      <c r="D65" s="13"/>
      <c r="E65" s="13"/>
      <c r="F65" s="13"/>
      <c r="G65" s="13"/>
      <c r="H65" s="13"/>
      <c r="I65" s="13"/>
      <c r="J65" s="29"/>
      <c r="K65" s="28"/>
      <c r="L65" s="4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x14ac:dyDescent="0.3">
      <c r="A66" s="9"/>
      <c r="B66" s="28"/>
      <c r="C66" s="13"/>
      <c r="D66" s="13"/>
      <c r="E66" s="13"/>
      <c r="F66" s="13"/>
      <c r="G66" s="13"/>
      <c r="H66" s="13"/>
      <c r="I66" s="13"/>
      <c r="J66" s="21"/>
      <c r="K66" s="28"/>
      <c r="L66" s="4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x14ac:dyDescent="0.3">
      <c r="A67" s="9"/>
      <c r="B67" s="28"/>
      <c r="C67" s="13"/>
      <c r="D67" s="13"/>
      <c r="E67" s="13"/>
      <c r="F67" s="13"/>
      <c r="G67" s="13"/>
      <c r="H67" s="13"/>
      <c r="I67" s="13"/>
      <c r="J67" s="29"/>
      <c r="K67" s="28"/>
      <c r="L67" s="4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x14ac:dyDescent="0.3">
      <c r="A68" s="9"/>
      <c r="B68" s="28"/>
      <c r="C68" s="13"/>
      <c r="D68" s="13"/>
      <c r="E68" s="13"/>
      <c r="F68" s="13"/>
      <c r="G68" s="13"/>
      <c r="H68" s="13"/>
      <c r="I68" s="13"/>
      <c r="J68" s="29"/>
      <c r="K68" s="28"/>
      <c r="L68" s="2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x14ac:dyDescent="0.3">
      <c r="A69" s="9"/>
      <c r="B69" s="28"/>
      <c r="C69" s="13"/>
      <c r="D69" s="13"/>
      <c r="E69" s="13"/>
      <c r="F69" s="13"/>
      <c r="G69" s="13"/>
      <c r="H69" s="13"/>
      <c r="I69" s="13"/>
      <c r="J69" s="29"/>
      <c r="K69" s="28"/>
      <c r="L69" s="2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x14ac:dyDescent="0.3">
      <c r="A70" s="9"/>
      <c r="B70" s="28"/>
      <c r="C70" s="13"/>
      <c r="D70" s="13"/>
      <c r="E70" s="13"/>
      <c r="F70" s="13"/>
      <c r="G70" s="13"/>
      <c r="H70" s="13"/>
      <c r="I70" s="13"/>
      <c r="J70" s="29"/>
      <c r="K70" s="28"/>
      <c r="L70" s="2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x14ac:dyDescent="0.3">
      <c r="A71" s="9"/>
      <c r="B71" s="10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x14ac:dyDescent="0.3">
      <c r="A72" s="9"/>
      <c r="B72" s="10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x14ac:dyDescent="0.3">
      <c r="A73" s="9"/>
      <c r="B73" s="10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x14ac:dyDescent="0.3">
      <c r="A74" s="9"/>
      <c r="B74" s="10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x14ac:dyDescent="0.3">
      <c r="A75" s="9"/>
      <c r="B75" s="10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x14ac:dyDescent="0.3">
      <c r="A76" s="9"/>
      <c r="B76" s="10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x14ac:dyDescent="0.3">
      <c r="A77" s="9"/>
      <c r="B77" s="10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x14ac:dyDescent="0.3">
      <c r="A78" s="9"/>
      <c r="B78" s="10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x14ac:dyDescent="0.3">
      <c r="A79" s="9"/>
      <c r="B79" s="10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x14ac:dyDescent="0.3">
      <c r="A80" s="9"/>
      <c r="B80" s="10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x14ac:dyDescent="0.3">
      <c r="A81" s="9"/>
      <c r="B81" s="10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x14ac:dyDescent="0.3">
      <c r="A82" s="9"/>
      <c r="B82" s="10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x14ac:dyDescent="0.3">
      <c r="A83" s="9"/>
      <c r="B83" s="10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x14ac:dyDescent="0.3">
      <c r="A84" s="9"/>
      <c r="B84" s="10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x14ac:dyDescent="0.3">
      <c r="A85" s="9"/>
      <c r="B85" s="10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x14ac:dyDescent="0.3">
      <c r="A86" s="9"/>
      <c r="B86" s="10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x14ac:dyDescent="0.3">
      <c r="A87" s="9"/>
      <c r="B87" s="10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x14ac:dyDescent="0.3">
      <c r="A88" s="9"/>
      <c r="B88" s="10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x14ac:dyDescent="0.3">
      <c r="A89" s="9"/>
      <c r="B89" s="10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x14ac:dyDescent="0.3">
      <c r="A90" s="9"/>
      <c r="B90" s="10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x14ac:dyDescent="0.3">
      <c r="A91" s="9"/>
      <c r="B91" s="10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 x14ac:dyDescent="0.3">
      <c r="A92" s="9"/>
      <c r="B92" s="10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 x14ac:dyDescent="0.3">
      <c r="A93" s="9"/>
      <c r="B93" s="10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 x14ac:dyDescent="0.3">
      <c r="A94" s="9"/>
      <c r="B94" s="10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 x14ac:dyDescent="0.3">
      <c r="A95" s="9"/>
      <c r="B95" s="10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 x14ac:dyDescent="0.3">
      <c r="A96" s="9"/>
      <c r="B96" s="10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 x14ac:dyDescent="0.3">
      <c r="A97" s="9"/>
      <c r="B97" s="10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 x14ac:dyDescent="0.3">
      <c r="A98" s="9"/>
      <c r="B98" s="10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 x14ac:dyDescent="0.3">
      <c r="A99" s="9"/>
      <c r="B99" s="10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 x14ac:dyDescent="0.3">
      <c r="A100" s="9"/>
      <c r="B100" s="10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x14ac:dyDescent="0.3">
      <c r="A101" s="9"/>
      <c r="B101" s="10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x14ac:dyDescent="0.3">
      <c r="A102" s="9"/>
      <c r="B102" s="10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x14ac:dyDescent="0.3">
      <c r="A103" s="9"/>
      <c r="B103" s="10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x14ac:dyDescent="0.3">
      <c r="A104" s="9"/>
      <c r="B104" s="10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x14ac:dyDescent="0.3">
      <c r="A105" s="9"/>
      <c r="B105" s="10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x14ac:dyDescent="0.3">
      <c r="A106" s="9"/>
      <c r="B106" s="10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x14ac:dyDescent="0.3">
      <c r="A107" s="9"/>
      <c r="B107" s="10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x14ac:dyDescent="0.3">
      <c r="A108" s="9"/>
      <c r="B108" s="10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x14ac:dyDescent="0.3">
      <c r="A109" s="9"/>
      <c r="B109" s="10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x14ac:dyDescent="0.3">
      <c r="A110" s="9"/>
      <c r="B110" s="10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x14ac:dyDescent="0.3">
      <c r="A111" s="9"/>
      <c r="B111" s="10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x14ac:dyDescent="0.3">
      <c r="A112" s="9"/>
      <c r="B112" s="10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x14ac:dyDescent="0.3">
      <c r="A113" s="9"/>
      <c r="B113" s="10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x14ac:dyDescent="0.3">
      <c r="A114" s="9"/>
      <c r="B114" s="10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x14ac:dyDescent="0.3">
      <c r="A115" s="9"/>
      <c r="B115" s="10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x14ac:dyDescent="0.3">
      <c r="A116" s="9"/>
      <c r="B116" s="10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x14ac:dyDescent="0.3">
      <c r="A117" s="9"/>
      <c r="B117" s="10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x14ac:dyDescent="0.3">
      <c r="A118" s="9"/>
      <c r="B118" s="10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x14ac:dyDescent="0.3">
      <c r="A119" s="9"/>
      <c r="B119" s="10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x14ac:dyDescent="0.3">
      <c r="A120" s="9"/>
      <c r="B120" s="10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x14ac:dyDescent="0.3">
      <c r="A121" s="9"/>
      <c r="B121" s="10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x14ac:dyDescent="0.3">
      <c r="A122" s="9"/>
      <c r="B122" s="10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x14ac:dyDescent="0.3">
      <c r="A123" s="9"/>
      <c r="B123" s="10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x14ac:dyDescent="0.3">
      <c r="A124" s="9"/>
      <c r="B124" s="10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x14ac:dyDescent="0.3">
      <c r="A125" s="9"/>
      <c r="B125" s="10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x14ac:dyDescent="0.3">
      <c r="A126" s="9"/>
      <c r="B126" s="10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x14ac:dyDescent="0.3">
      <c r="A127" s="9"/>
      <c r="B127" s="10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x14ac:dyDescent="0.3">
      <c r="A128" s="9"/>
      <c r="B128" s="10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x14ac:dyDescent="0.3">
      <c r="A129" s="9"/>
      <c r="B129" s="10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x14ac:dyDescent="0.3">
      <c r="A130" s="9"/>
      <c r="B130" s="10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x14ac:dyDescent="0.3">
      <c r="A131" s="9"/>
      <c r="B131" s="10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x14ac:dyDescent="0.3">
      <c r="A132" s="9"/>
      <c r="B132" s="10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x14ac:dyDescent="0.3">
      <c r="A133" s="9"/>
      <c r="B133" s="10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x14ac:dyDescent="0.3">
      <c r="A134" s="9"/>
      <c r="B134" s="10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x14ac:dyDescent="0.3">
      <c r="A135" s="9"/>
      <c r="B135" s="10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x14ac:dyDescent="0.3">
      <c r="A136" s="9"/>
      <c r="B136" s="10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x14ac:dyDescent="0.3">
      <c r="A137" s="9"/>
      <c r="B137" s="10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x14ac:dyDescent="0.3">
      <c r="A138" s="9"/>
      <c r="B138" s="10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x14ac:dyDescent="0.3">
      <c r="A139" s="9"/>
      <c r="B139" s="10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x14ac:dyDescent="0.3">
      <c r="A140" s="9"/>
      <c r="B140" s="10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x14ac:dyDescent="0.3">
      <c r="A141" s="9"/>
      <c r="B141" s="10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x14ac:dyDescent="0.3">
      <c r="A142" s="9"/>
      <c r="B142" s="10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x14ac:dyDescent="0.3">
      <c r="A143" s="9"/>
      <c r="B143" s="10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x14ac:dyDescent="0.3">
      <c r="A144" s="9"/>
      <c r="B144" s="10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x14ac:dyDescent="0.3">
      <c r="A145" s="9"/>
      <c r="B145" s="10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x14ac:dyDescent="0.3">
      <c r="A146" s="9"/>
      <c r="B146" s="10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x14ac:dyDescent="0.3">
      <c r="A147" s="9"/>
      <c r="B147" s="10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x14ac:dyDescent="0.3">
      <c r="A148" s="9"/>
      <c r="B148" s="10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x14ac:dyDescent="0.3">
      <c r="A149" s="9"/>
      <c r="B149" s="10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x14ac:dyDescent="0.3">
      <c r="A150" s="9"/>
      <c r="B150" s="10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x14ac:dyDescent="0.3">
      <c r="A151" s="9"/>
      <c r="B151" s="10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x14ac:dyDescent="0.3">
      <c r="A152" s="9"/>
      <c r="B152" s="10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x14ac:dyDescent="0.3">
      <c r="A153" s="9"/>
      <c r="B153" s="10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x14ac:dyDescent="0.3">
      <c r="A154" s="9"/>
      <c r="B154" s="10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x14ac:dyDescent="0.3">
      <c r="A155" s="9"/>
      <c r="B155" s="10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x14ac:dyDescent="0.3">
      <c r="A156" s="9"/>
      <c r="B156" s="10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x14ac:dyDescent="0.3">
      <c r="A157" s="9"/>
      <c r="B157" s="10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x14ac:dyDescent="0.3">
      <c r="A158" s="9"/>
      <c r="B158" s="10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x14ac:dyDescent="0.3">
      <c r="A159" s="9"/>
      <c r="B159" s="10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x14ac:dyDescent="0.3">
      <c r="A160" s="9"/>
      <c r="B160" s="10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x14ac:dyDescent="0.3">
      <c r="A161" s="9"/>
      <c r="B161" s="10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x14ac:dyDescent="0.3">
      <c r="A162" s="9"/>
      <c r="B162" s="10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x14ac:dyDescent="0.3">
      <c r="A163" s="9"/>
      <c r="B163" s="10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9"/>
      <c r="B164" s="10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A165" s="9"/>
      <c r="B165" s="10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x14ac:dyDescent="0.3">
      <c r="A166" s="9"/>
      <c r="B166" s="10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x14ac:dyDescent="0.3">
      <c r="A167" s="9"/>
      <c r="B167" s="10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x14ac:dyDescent="0.3">
      <c r="A168" s="9"/>
      <c r="B168" s="10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x14ac:dyDescent="0.3">
      <c r="A169" s="9"/>
      <c r="B169" s="10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x14ac:dyDescent="0.3">
      <c r="A170" s="9"/>
      <c r="B170" s="10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x14ac:dyDescent="0.3">
      <c r="A171" s="9"/>
      <c r="B171" s="10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x14ac:dyDescent="0.3">
      <c r="A172" s="9"/>
      <c r="B172" s="10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x14ac:dyDescent="0.3">
      <c r="A173" s="9"/>
      <c r="B173" s="10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x14ac:dyDescent="0.3">
      <c r="A174" s="9"/>
      <c r="B174" s="10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x14ac:dyDescent="0.3">
      <c r="A175" s="9"/>
      <c r="B175" s="10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x14ac:dyDescent="0.3">
      <c r="A176" s="9"/>
      <c r="B176" s="10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x14ac:dyDescent="0.3">
      <c r="A177" s="9"/>
      <c r="B177" s="10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x14ac:dyDescent="0.3">
      <c r="A178" s="9"/>
      <c r="B178" s="10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x14ac:dyDescent="0.3">
      <c r="A179" s="9"/>
      <c r="B179" s="10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x14ac:dyDescent="0.3">
      <c r="A180" s="9"/>
      <c r="B180" s="10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x14ac:dyDescent="0.3">
      <c r="A181" s="9"/>
      <c r="B181" s="10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x14ac:dyDescent="0.3">
      <c r="A182" s="9"/>
      <c r="B182" s="10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x14ac:dyDescent="0.3">
      <c r="A183" s="9"/>
      <c r="B183" s="10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x14ac:dyDescent="0.3">
      <c r="A184" s="9"/>
      <c r="B184" s="10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x14ac:dyDescent="0.3">
      <c r="A185" s="9"/>
      <c r="B185" s="10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x14ac:dyDescent="0.3"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x14ac:dyDescent="0.3"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x14ac:dyDescent="0.3"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x14ac:dyDescent="0.3"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x14ac:dyDescent="0.3"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x14ac:dyDescent="0.3"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x14ac:dyDescent="0.3"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4:28" x14ac:dyDescent="0.3"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4:28" x14ac:dyDescent="0.3"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4:28" x14ac:dyDescent="0.3"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4:28" x14ac:dyDescent="0.3"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4:28" x14ac:dyDescent="0.3"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4:28" x14ac:dyDescent="0.3"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4:28" x14ac:dyDescent="0.3"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4:28" x14ac:dyDescent="0.3"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4:28" x14ac:dyDescent="0.3"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4:28" x14ac:dyDescent="0.3"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4:28" x14ac:dyDescent="0.3"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4:28" x14ac:dyDescent="0.3"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4:28" x14ac:dyDescent="0.3"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4:28" x14ac:dyDescent="0.3"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4:28" x14ac:dyDescent="0.3"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4:28" x14ac:dyDescent="0.3"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4:28" x14ac:dyDescent="0.3"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4:28" x14ac:dyDescent="0.3"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4:28" x14ac:dyDescent="0.3"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4:28" x14ac:dyDescent="0.3"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4:28" x14ac:dyDescent="0.3"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4:28" x14ac:dyDescent="0.3"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4:28" x14ac:dyDescent="0.3"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4:28" x14ac:dyDescent="0.3"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4:28" x14ac:dyDescent="0.3"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4:28" x14ac:dyDescent="0.3"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4:28" x14ac:dyDescent="0.3"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4:28" x14ac:dyDescent="0.3"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4:28" x14ac:dyDescent="0.3"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4:28" x14ac:dyDescent="0.3"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4:28" x14ac:dyDescent="0.3"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4:28" x14ac:dyDescent="0.3"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4:28" x14ac:dyDescent="0.3"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4:28" x14ac:dyDescent="0.3"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4:28" x14ac:dyDescent="0.3"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4:28" x14ac:dyDescent="0.3"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4:28" x14ac:dyDescent="0.3"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4:28" x14ac:dyDescent="0.3"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4:28" x14ac:dyDescent="0.3"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4:28" x14ac:dyDescent="0.3"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4:28" x14ac:dyDescent="0.3"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4:28" x14ac:dyDescent="0.3"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4:28" x14ac:dyDescent="0.3"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4:28" x14ac:dyDescent="0.3"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4:28" x14ac:dyDescent="0.3"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4:28" x14ac:dyDescent="0.3"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4:28" x14ac:dyDescent="0.3"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4:28" x14ac:dyDescent="0.3"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4:28" x14ac:dyDescent="0.3"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4:28" x14ac:dyDescent="0.3"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4:28" x14ac:dyDescent="0.3"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4:28" x14ac:dyDescent="0.3"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4:28" x14ac:dyDescent="0.3"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4:28" x14ac:dyDescent="0.3"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4:28" x14ac:dyDescent="0.3"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4:28" x14ac:dyDescent="0.3"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4:28" x14ac:dyDescent="0.3"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4:28" x14ac:dyDescent="0.3"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4:28" x14ac:dyDescent="0.3"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4:28" x14ac:dyDescent="0.3"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4:28" x14ac:dyDescent="0.3"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4:28" x14ac:dyDescent="0.3"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4:28" x14ac:dyDescent="0.3"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4:28" x14ac:dyDescent="0.3"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4:28" x14ac:dyDescent="0.3"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4:28" x14ac:dyDescent="0.3"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4:28" x14ac:dyDescent="0.3"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4:28" x14ac:dyDescent="0.3"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4:28" x14ac:dyDescent="0.3"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4:28" x14ac:dyDescent="0.3"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4:28" x14ac:dyDescent="0.3"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4:28" x14ac:dyDescent="0.3"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4:28" x14ac:dyDescent="0.3"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4:28" x14ac:dyDescent="0.3"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4:28" x14ac:dyDescent="0.3"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4:28" x14ac:dyDescent="0.3"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4:28" x14ac:dyDescent="0.3"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4:28" x14ac:dyDescent="0.3"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4:28" x14ac:dyDescent="0.3"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4:28" x14ac:dyDescent="0.3"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4:28" x14ac:dyDescent="0.3"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4:28" x14ac:dyDescent="0.3"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4:28" x14ac:dyDescent="0.3"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4:28" x14ac:dyDescent="0.3"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4:28" x14ac:dyDescent="0.3"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4:28" x14ac:dyDescent="0.3"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4:28" x14ac:dyDescent="0.3"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4:28" x14ac:dyDescent="0.3"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4:28" x14ac:dyDescent="0.3"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4:28" x14ac:dyDescent="0.3"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4:28" x14ac:dyDescent="0.3"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4:28" x14ac:dyDescent="0.3"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4:28" x14ac:dyDescent="0.3"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4:28" x14ac:dyDescent="0.3"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4:28" x14ac:dyDescent="0.3"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4:28" x14ac:dyDescent="0.3"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"/>
  <sheetViews>
    <sheetView topLeftCell="A26" workbookViewId="0">
      <pane xSplit="9280" topLeftCell="J1"/>
      <selection activeCell="K33" sqref="K33"/>
      <selection pane="topRight" activeCell="J1" sqref="J1"/>
    </sheetView>
  </sheetViews>
  <sheetFormatPr defaultRowHeight="13" x14ac:dyDescent="0.3"/>
  <cols>
    <col min="1" max="1" width="5.7265625" style="30" customWidth="1"/>
    <col min="2" max="2" width="14.1796875" customWidth="1"/>
    <col min="6" max="6" width="6.81640625" customWidth="1"/>
    <col min="7" max="7" width="6.26953125" customWidth="1"/>
    <col min="8" max="8" width="3.54296875" hidden="1" customWidth="1"/>
    <col min="9" max="9" width="7" style="17" customWidth="1"/>
    <col min="10" max="11" width="7" style="10" customWidth="1"/>
  </cols>
  <sheetData>
    <row r="1" spans="1:13" s="13" customFormat="1" ht="25.5" customHeight="1" x14ac:dyDescent="0.3">
      <c r="A1" s="1" t="s">
        <v>0</v>
      </c>
      <c r="B1" s="32"/>
      <c r="C1" s="32"/>
      <c r="D1" s="32"/>
      <c r="E1" s="32"/>
      <c r="F1" s="32"/>
      <c r="G1" s="32"/>
      <c r="H1" s="32"/>
      <c r="I1" s="33"/>
      <c r="J1" s="34"/>
      <c r="K1" s="34"/>
      <c r="L1"/>
      <c r="M1"/>
    </row>
    <row r="2" spans="1:13" ht="13.5" customHeight="1" x14ac:dyDescent="0.3">
      <c r="A2" s="197" t="s">
        <v>31</v>
      </c>
      <c r="B2" s="10"/>
    </row>
    <row r="3" spans="1:13" x14ac:dyDescent="0.3">
      <c r="A3" s="197"/>
      <c r="B3" s="10"/>
    </row>
    <row r="4" spans="1:13" x14ac:dyDescent="0.3">
      <c r="A4" s="9"/>
      <c r="B4" s="10"/>
    </row>
    <row r="5" spans="1:13" x14ac:dyDescent="0.3">
      <c r="A5" s="9"/>
      <c r="B5" s="10"/>
      <c r="E5" s="10"/>
      <c r="F5" s="10"/>
      <c r="G5" s="10"/>
      <c r="H5" s="10"/>
      <c r="I5" s="11">
        <v>1997</v>
      </c>
      <c r="K5" s="48">
        <v>1996</v>
      </c>
    </row>
    <row r="6" spans="1:13" ht="16.5" customHeight="1" x14ac:dyDescent="0.3">
      <c r="A6" s="9"/>
      <c r="B6" s="10"/>
      <c r="E6" s="10"/>
      <c r="F6" s="10"/>
      <c r="G6" s="10"/>
      <c r="H6" s="10"/>
      <c r="I6" s="183" t="s">
        <v>1</v>
      </c>
      <c r="J6" s="184"/>
      <c r="K6" s="193" t="s">
        <v>1</v>
      </c>
    </row>
    <row r="7" spans="1:13" ht="12.75" customHeight="1" x14ac:dyDescent="0.3">
      <c r="A7" s="162">
        <v>14</v>
      </c>
      <c r="B7" s="210" t="s">
        <v>126</v>
      </c>
      <c r="E7" s="10"/>
      <c r="F7" s="10"/>
      <c r="G7" s="10"/>
      <c r="H7" s="10"/>
      <c r="I7" s="204"/>
      <c r="J7" s="184"/>
      <c r="K7" s="221"/>
    </row>
    <row r="8" spans="1:13" x14ac:dyDescent="0.3">
      <c r="A8" s="9"/>
      <c r="B8" s="10"/>
      <c r="E8" s="10"/>
      <c r="F8" s="10"/>
      <c r="G8" s="10"/>
      <c r="H8" s="10"/>
    </row>
    <row r="9" spans="1:13" x14ac:dyDescent="0.3">
      <c r="A9" s="9"/>
      <c r="B9" s="87" t="s">
        <v>127</v>
      </c>
      <c r="C9" s="101"/>
      <c r="D9" s="101"/>
      <c r="E9" s="87"/>
      <c r="F9" s="10"/>
      <c r="G9" s="10"/>
      <c r="H9" s="10"/>
      <c r="I9" s="67">
        <v>178.4</v>
      </c>
      <c r="K9" s="12">
        <v>174.7</v>
      </c>
    </row>
    <row r="10" spans="1:13" x14ac:dyDescent="0.3">
      <c r="A10" s="9"/>
      <c r="B10" s="87" t="s">
        <v>128</v>
      </c>
      <c r="C10" s="101"/>
      <c r="D10" s="101"/>
      <c r="E10" s="87"/>
      <c r="F10" s="10"/>
      <c r="G10" s="10"/>
      <c r="H10" s="10"/>
      <c r="I10" s="68">
        <v>114.3</v>
      </c>
      <c r="J10" s="69"/>
      <c r="K10" s="69">
        <v>238.5</v>
      </c>
    </row>
    <row r="11" spans="1:13" x14ac:dyDescent="0.3">
      <c r="A11" s="9"/>
      <c r="B11" s="87" t="s">
        <v>129</v>
      </c>
      <c r="C11" s="101"/>
      <c r="D11" s="101"/>
      <c r="E11" s="87"/>
      <c r="F11" s="10"/>
      <c r="G11" s="10"/>
      <c r="H11" s="10"/>
      <c r="I11" s="68">
        <v>65.400000000000006</v>
      </c>
      <c r="J11" s="69"/>
      <c r="K11" s="69">
        <v>84</v>
      </c>
    </row>
    <row r="12" spans="1:13" x14ac:dyDescent="0.3">
      <c r="A12" s="9"/>
      <c r="B12" s="87" t="s">
        <v>48</v>
      </c>
      <c r="C12" s="101"/>
      <c r="D12" s="101"/>
      <c r="E12" s="87"/>
      <c r="F12" s="10"/>
      <c r="G12" s="10"/>
      <c r="H12" s="10"/>
      <c r="I12" s="68">
        <v>22.6</v>
      </c>
      <c r="J12" s="28"/>
      <c r="K12" s="69">
        <v>27.4</v>
      </c>
    </row>
    <row r="13" spans="1:13" x14ac:dyDescent="0.3">
      <c r="A13" s="9"/>
      <c r="B13" s="87" t="s">
        <v>130</v>
      </c>
      <c r="C13" s="101"/>
      <c r="D13" s="101"/>
      <c r="E13" s="87"/>
      <c r="F13" s="10"/>
      <c r="G13" s="10"/>
      <c r="H13" s="10"/>
      <c r="I13" s="68">
        <v>215.7</v>
      </c>
      <c r="J13" s="28"/>
      <c r="K13" s="69">
        <v>223.7</v>
      </c>
    </row>
    <row r="14" spans="1:13" ht="7.5" customHeight="1" x14ac:dyDescent="0.3">
      <c r="A14" s="9"/>
      <c r="B14" s="10"/>
      <c r="E14" s="10"/>
      <c r="F14" s="10"/>
      <c r="G14" s="10"/>
      <c r="H14" s="10"/>
      <c r="I14" s="78"/>
      <c r="J14" s="28"/>
      <c r="K14" s="79"/>
    </row>
    <row r="15" spans="1:13" ht="16.5" customHeight="1" x14ac:dyDescent="0.3">
      <c r="A15" s="9"/>
      <c r="B15" s="10"/>
      <c r="E15" s="10"/>
      <c r="F15" s="10"/>
      <c r="G15" s="10"/>
      <c r="H15" s="10"/>
      <c r="I15" s="29">
        <f>SUM(I9:I14)</f>
        <v>596.40000000000009</v>
      </c>
      <c r="J15" s="28"/>
      <c r="K15" s="28">
        <v>748.3</v>
      </c>
    </row>
    <row r="16" spans="1:13" ht="7.5" customHeight="1" thickBot="1" x14ac:dyDescent="0.35">
      <c r="A16" s="40"/>
      <c r="B16" s="41"/>
      <c r="E16" s="10"/>
      <c r="F16" s="10"/>
      <c r="G16" s="10"/>
      <c r="H16" s="10"/>
      <c r="I16" s="73"/>
      <c r="J16" s="28"/>
      <c r="K16" s="74"/>
    </row>
    <row r="17" spans="1:11" ht="12" customHeight="1" thickTop="1" x14ac:dyDescent="0.3">
      <c r="A17" s="40"/>
      <c r="B17" s="41"/>
      <c r="E17" s="10"/>
      <c r="F17" s="10"/>
      <c r="G17" s="10"/>
      <c r="H17" s="10"/>
      <c r="I17" s="29"/>
      <c r="J17" s="28"/>
      <c r="K17" s="28"/>
    </row>
    <row r="18" spans="1:11" ht="12.75" customHeight="1" x14ac:dyDescent="0.3">
      <c r="A18" s="9"/>
      <c r="B18" s="10"/>
      <c r="E18" s="10"/>
      <c r="F18" s="10"/>
      <c r="G18" s="10"/>
      <c r="H18" s="10"/>
      <c r="I18" s="11">
        <v>1997</v>
      </c>
      <c r="K18" s="48">
        <v>1996</v>
      </c>
    </row>
    <row r="19" spans="1:11" ht="16.5" customHeight="1" x14ac:dyDescent="0.3">
      <c r="A19" s="9"/>
      <c r="B19" s="10"/>
      <c r="E19" s="10"/>
      <c r="F19" s="10"/>
      <c r="G19" s="10"/>
      <c r="H19" s="10"/>
      <c r="I19" s="183" t="s">
        <v>1</v>
      </c>
      <c r="J19" s="184"/>
      <c r="K19" s="193" t="s">
        <v>1</v>
      </c>
    </row>
    <row r="20" spans="1:11" s="80" customFormat="1" ht="12.75" customHeight="1" x14ac:dyDescent="0.3">
      <c r="A20" s="162">
        <v>15</v>
      </c>
      <c r="B20" s="210" t="s">
        <v>131</v>
      </c>
      <c r="C20" s="211"/>
      <c r="D20" s="211"/>
      <c r="E20" s="212"/>
      <c r="F20" s="212"/>
      <c r="G20" s="212"/>
      <c r="H20" s="212"/>
      <c r="I20" s="213"/>
      <c r="J20" s="212"/>
      <c r="K20" s="214"/>
    </row>
    <row r="21" spans="1:11" s="80" customFormat="1" ht="12.75" customHeight="1" x14ac:dyDescent="0.3">
      <c r="A21" s="162"/>
      <c r="B21" s="210"/>
      <c r="C21" s="211"/>
      <c r="D21" s="211"/>
      <c r="E21" s="212"/>
      <c r="F21" s="212"/>
      <c r="G21" s="212"/>
      <c r="H21" s="212"/>
      <c r="I21" s="213"/>
      <c r="J21" s="212"/>
      <c r="K21" s="214"/>
    </row>
    <row r="22" spans="1:11" x14ac:dyDescent="0.3">
      <c r="A22" s="9"/>
      <c r="B22" s="143" t="s">
        <v>132</v>
      </c>
      <c r="C22" s="101"/>
      <c r="D22" s="101"/>
      <c r="E22" s="87"/>
      <c r="F22" s="10"/>
      <c r="G22" s="10"/>
      <c r="H22" s="10"/>
      <c r="I22" s="29"/>
      <c r="J22" s="28"/>
      <c r="K22" s="28"/>
    </row>
    <row r="23" spans="1:11" x14ac:dyDescent="0.3">
      <c r="A23" s="9"/>
      <c r="B23" s="87" t="s">
        <v>133</v>
      </c>
      <c r="C23" s="101"/>
      <c r="D23" s="101"/>
      <c r="E23" s="87"/>
      <c r="F23" s="10"/>
      <c r="G23" s="10"/>
      <c r="H23" s="10"/>
      <c r="I23" s="68">
        <v>1006.6</v>
      </c>
      <c r="J23" s="28"/>
      <c r="K23" s="28">
        <v>723.2</v>
      </c>
    </row>
    <row r="24" spans="1:11" x14ac:dyDescent="0.3">
      <c r="A24" s="15"/>
      <c r="B24" s="87" t="s">
        <v>134</v>
      </c>
      <c r="C24" s="101"/>
      <c r="D24" s="101"/>
      <c r="E24" s="87"/>
      <c r="F24" s="10"/>
      <c r="G24" s="10"/>
      <c r="H24" s="10"/>
      <c r="I24" s="68">
        <v>142</v>
      </c>
      <c r="J24" s="28"/>
      <c r="K24" s="28">
        <v>142.19999999999999</v>
      </c>
    </row>
    <row r="25" spans="1:11" x14ac:dyDescent="0.3">
      <c r="A25" s="9"/>
      <c r="B25" s="87" t="s">
        <v>135</v>
      </c>
      <c r="C25" s="101"/>
      <c r="D25" s="101"/>
      <c r="E25" s="87"/>
      <c r="F25" s="10"/>
      <c r="G25" s="10"/>
      <c r="H25" s="10"/>
      <c r="I25" s="29">
        <v>64.5</v>
      </c>
      <c r="J25" s="28"/>
      <c r="K25" s="28">
        <v>64.599999999999994</v>
      </c>
    </row>
    <row r="26" spans="1:11" x14ac:dyDescent="0.3">
      <c r="A26" s="9"/>
      <c r="B26" s="102" t="s">
        <v>136</v>
      </c>
      <c r="C26" s="101"/>
      <c r="D26" s="101"/>
      <c r="E26" s="87"/>
      <c r="F26" s="10"/>
      <c r="G26" s="10"/>
      <c r="H26" s="10"/>
      <c r="I26" s="309" t="s">
        <v>37</v>
      </c>
      <c r="J26" s="28"/>
      <c r="K26" s="28">
        <v>323.10000000000002</v>
      </c>
    </row>
    <row r="27" spans="1:11" ht="8.25" customHeight="1" x14ac:dyDescent="0.3">
      <c r="A27" s="9"/>
      <c r="B27" s="87"/>
      <c r="C27" s="101"/>
      <c r="D27" s="101"/>
      <c r="E27" s="87"/>
      <c r="F27" s="10"/>
      <c r="G27" s="10"/>
      <c r="H27" s="10"/>
      <c r="I27" s="14"/>
      <c r="J27" s="28"/>
      <c r="K27" s="37"/>
    </row>
    <row r="28" spans="1:11" ht="16.5" customHeight="1" x14ac:dyDescent="0.3">
      <c r="A28" s="9"/>
      <c r="B28" s="87"/>
      <c r="C28" s="142"/>
      <c r="D28" s="101"/>
      <c r="E28" s="87"/>
      <c r="F28" s="10"/>
      <c r="G28" s="10"/>
      <c r="H28" s="10"/>
      <c r="I28" s="68">
        <f>SUM(I23:I27)</f>
        <v>1213.0999999999999</v>
      </c>
      <c r="J28" s="28"/>
      <c r="K28" s="69">
        <f>SUM(K23:K27)</f>
        <v>1253.1000000000001</v>
      </c>
    </row>
    <row r="29" spans="1:11" x14ac:dyDescent="0.3">
      <c r="A29" s="9"/>
      <c r="B29" s="87"/>
      <c r="C29" s="101"/>
      <c r="D29" s="101"/>
      <c r="E29" s="87"/>
      <c r="F29" s="10"/>
      <c r="G29" s="10"/>
      <c r="H29" s="10"/>
      <c r="I29" s="11"/>
      <c r="J29" s="28"/>
      <c r="K29" s="48"/>
    </row>
    <row r="30" spans="1:11" x14ac:dyDescent="0.3">
      <c r="A30" s="40"/>
      <c r="B30" s="143" t="s">
        <v>137</v>
      </c>
      <c r="C30" s="101"/>
      <c r="D30" s="101"/>
      <c r="E30" s="101"/>
      <c r="I30"/>
      <c r="J30"/>
      <c r="K30" s="206"/>
    </row>
    <row r="31" spans="1:11" x14ac:dyDescent="0.3">
      <c r="A31" s="9"/>
      <c r="B31" s="87" t="s">
        <v>133</v>
      </c>
      <c r="C31" s="101"/>
      <c r="D31" s="101"/>
      <c r="E31" s="87"/>
      <c r="F31" s="10"/>
      <c r="G31" s="10"/>
      <c r="H31" s="10"/>
      <c r="I31" s="314">
        <v>5.6</v>
      </c>
      <c r="J31" s="28"/>
      <c r="K31" s="316" t="s">
        <v>37</v>
      </c>
    </row>
    <row r="32" spans="1:11" x14ac:dyDescent="0.3">
      <c r="A32" s="9"/>
      <c r="B32" s="87" t="s">
        <v>138</v>
      </c>
      <c r="C32" s="101"/>
      <c r="D32" s="101"/>
      <c r="E32" s="87"/>
      <c r="F32" s="10"/>
      <c r="G32" s="10"/>
      <c r="H32" s="10"/>
      <c r="I32" s="321">
        <v>113.8</v>
      </c>
      <c r="J32" s="28"/>
      <c r="K32" s="322" t="s">
        <v>37</v>
      </c>
    </row>
    <row r="33" spans="1:11" x14ac:dyDescent="0.3">
      <c r="A33" s="9"/>
      <c r="B33" s="87" t="s">
        <v>139</v>
      </c>
      <c r="C33" s="101"/>
      <c r="D33" s="101"/>
      <c r="E33" s="87"/>
      <c r="F33" s="10"/>
      <c r="G33" s="10"/>
      <c r="H33" s="10"/>
      <c r="I33" s="315">
        <v>397.3</v>
      </c>
      <c r="J33" s="28"/>
      <c r="K33" s="317">
        <v>395.9</v>
      </c>
    </row>
    <row r="34" spans="1:11" ht="15.75" customHeight="1" x14ac:dyDescent="0.3">
      <c r="A34" s="9"/>
      <c r="B34" s="87"/>
      <c r="C34" s="101"/>
      <c r="D34" s="101"/>
      <c r="E34" s="87"/>
      <c r="F34" s="10"/>
      <c r="G34" s="10"/>
      <c r="H34" s="10"/>
      <c r="I34" s="11">
        <f>SUM(I31:I33)</f>
        <v>516.70000000000005</v>
      </c>
      <c r="J34" s="28"/>
      <c r="K34" s="48">
        <f>SUM(K31:K33)</f>
        <v>395.9</v>
      </c>
    </row>
    <row r="35" spans="1:11" ht="8.25" customHeight="1" x14ac:dyDescent="0.3">
      <c r="A35" s="9"/>
      <c r="B35" s="87"/>
      <c r="C35" s="101"/>
      <c r="D35" s="101"/>
      <c r="E35" s="87"/>
      <c r="F35" s="10"/>
      <c r="G35" s="10"/>
      <c r="H35" s="10"/>
      <c r="I35" s="14"/>
      <c r="J35" s="28"/>
      <c r="K35" s="37"/>
    </row>
    <row r="36" spans="1:11" ht="16.5" customHeight="1" x14ac:dyDescent="0.3">
      <c r="A36" s="9"/>
      <c r="B36" s="87"/>
      <c r="C36" s="142"/>
      <c r="D36" s="101"/>
      <c r="E36" s="87"/>
      <c r="F36" s="10"/>
      <c r="G36" s="10"/>
      <c r="H36" s="10"/>
      <c r="I36" s="68">
        <f>SUM(I28,I34)</f>
        <v>1729.8</v>
      </c>
      <c r="J36" s="28"/>
      <c r="K36" s="69">
        <f>SUM(K28,K34)</f>
        <v>1649</v>
      </c>
    </row>
    <row r="37" spans="1:11" x14ac:dyDescent="0.3">
      <c r="A37" s="9"/>
      <c r="B37" s="87" t="s">
        <v>140</v>
      </c>
      <c r="C37" s="142"/>
      <c r="D37" s="101"/>
      <c r="E37" s="87"/>
      <c r="F37" s="10"/>
      <c r="G37" s="10"/>
      <c r="H37" s="10"/>
      <c r="I37" s="11">
        <v>65.400000000000006</v>
      </c>
      <c r="J37" s="28"/>
      <c r="K37" s="69">
        <v>84</v>
      </c>
    </row>
    <row r="38" spans="1:11" ht="8.25" customHeight="1" x14ac:dyDescent="0.3">
      <c r="A38" s="9"/>
      <c r="B38" s="87"/>
      <c r="C38" s="101"/>
      <c r="D38" s="101"/>
      <c r="E38" s="87"/>
      <c r="F38" s="10"/>
      <c r="G38" s="10"/>
      <c r="H38" s="10"/>
      <c r="I38" s="71"/>
      <c r="J38" s="28"/>
      <c r="K38" s="37"/>
    </row>
    <row r="39" spans="1:11" ht="15.75" customHeight="1" x14ac:dyDescent="0.3">
      <c r="A39" s="9"/>
      <c r="B39" s="87"/>
      <c r="C39" s="101"/>
      <c r="D39" s="101"/>
      <c r="E39" s="87"/>
      <c r="F39" s="10"/>
      <c r="G39" s="10"/>
      <c r="H39" s="10"/>
      <c r="I39" s="103">
        <f>SUM(I36-I37)</f>
        <v>1664.3999999999999</v>
      </c>
      <c r="J39" s="28"/>
      <c r="K39" s="69">
        <f>SUM(K36-K37)</f>
        <v>1565</v>
      </c>
    </row>
    <row r="40" spans="1:11" ht="8.25" customHeight="1" thickBot="1" x14ac:dyDescent="0.35">
      <c r="A40" s="9"/>
      <c r="B40" s="87"/>
      <c r="C40" s="101"/>
      <c r="D40" s="101"/>
      <c r="E40" s="87"/>
      <c r="F40" s="10"/>
      <c r="G40" s="10"/>
      <c r="H40" s="10"/>
      <c r="I40" s="73"/>
      <c r="J40" s="28"/>
      <c r="K40" s="74"/>
    </row>
    <row r="41" spans="1:11" ht="13.5" thickTop="1" x14ac:dyDescent="0.3">
      <c r="A41" s="9"/>
      <c r="B41" s="87"/>
      <c r="C41" s="101"/>
      <c r="D41" s="101"/>
      <c r="E41" s="87"/>
      <c r="F41" s="10"/>
      <c r="G41" s="10"/>
      <c r="H41" s="10"/>
    </row>
    <row r="42" spans="1:11" x14ac:dyDescent="0.3">
      <c r="A42" s="9"/>
      <c r="B42" s="87"/>
      <c r="C42" s="101"/>
      <c r="D42" s="101"/>
      <c r="E42" s="87"/>
      <c r="F42" s="10"/>
      <c r="G42" s="10"/>
      <c r="H42" s="10"/>
    </row>
    <row r="43" spans="1:11" x14ac:dyDescent="0.3">
      <c r="A43" s="40"/>
      <c r="B43" s="155" t="s">
        <v>141</v>
      </c>
      <c r="C43" s="156"/>
      <c r="D43" s="156"/>
      <c r="E43" s="157"/>
      <c r="F43" s="158"/>
      <c r="G43" s="158"/>
      <c r="H43" s="158"/>
      <c r="I43" s="159"/>
      <c r="J43" s="158"/>
      <c r="K43" s="158"/>
    </row>
    <row r="44" spans="1:11" x14ac:dyDescent="0.3">
      <c r="A44" s="9"/>
      <c r="B44" s="157" t="s">
        <v>142</v>
      </c>
      <c r="C44" s="156"/>
      <c r="D44" s="156"/>
      <c r="E44" s="157"/>
      <c r="F44" s="158"/>
      <c r="G44" s="158"/>
      <c r="H44" s="158"/>
      <c r="I44" s="160"/>
      <c r="J44" s="161"/>
      <c r="K44" s="161"/>
    </row>
    <row r="45" spans="1:11" x14ac:dyDescent="0.3">
      <c r="A45" s="9"/>
      <c r="B45" s="87"/>
      <c r="C45" s="101"/>
      <c r="D45" s="101"/>
      <c r="E45" s="87"/>
      <c r="F45" s="10"/>
      <c r="G45" s="10"/>
      <c r="H45" s="10"/>
      <c r="I45" s="11"/>
      <c r="J45" s="28"/>
      <c r="K45" s="48"/>
    </row>
    <row r="46" spans="1:11" x14ac:dyDescent="0.3">
      <c r="A46" s="15"/>
      <c r="B46" s="87" t="s">
        <v>143</v>
      </c>
      <c r="C46" s="107"/>
      <c r="D46" s="107"/>
      <c r="E46" s="59"/>
      <c r="F46" s="28"/>
      <c r="G46" s="28"/>
      <c r="H46" s="28"/>
      <c r="I46" s="29"/>
      <c r="J46" s="28"/>
      <c r="K46" s="28"/>
    </row>
    <row r="47" spans="1:11" x14ac:dyDescent="0.3">
      <c r="A47" s="9"/>
      <c r="B47" s="59" t="s">
        <v>144</v>
      </c>
      <c r="C47" s="107"/>
      <c r="D47" s="107"/>
      <c r="E47" s="59"/>
      <c r="F47" s="28"/>
      <c r="G47" s="28"/>
      <c r="H47" s="28"/>
      <c r="I47" s="29"/>
      <c r="J47" s="28"/>
      <c r="K47" s="28"/>
    </row>
    <row r="48" spans="1:11" x14ac:dyDescent="0.3">
      <c r="A48" s="9"/>
      <c r="B48" s="59"/>
      <c r="C48" s="107"/>
      <c r="D48" s="107"/>
      <c r="E48" s="59"/>
      <c r="F48" s="28"/>
      <c r="G48" s="28"/>
      <c r="H48" s="28"/>
      <c r="I48" s="68"/>
      <c r="J48" s="28"/>
      <c r="K48" s="69"/>
    </row>
    <row r="49" spans="1:11" x14ac:dyDescent="0.3">
      <c r="A49" s="9"/>
      <c r="B49" s="59" t="s">
        <v>145</v>
      </c>
      <c r="C49" s="107"/>
      <c r="D49" s="107"/>
      <c r="E49" s="59"/>
      <c r="F49" s="28"/>
      <c r="G49" s="28"/>
      <c r="H49" s="28"/>
      <c r="I49" s="68"/>
      <c r="J49" s="28"/>
      <c r="K49" s="76"/>
    </row>
    <row r="50" spans="1:11" x14ac:dyDescent="0.3">
      <c r="A50" s="40"/>
      <c r="B50" s="102" t="s">
        <v>146</v>
      </c>
      <c r="C50" s="107"/>
      <c r="D50" s="107"/>
      <c r="E50" s="107"/>
      <c r="F50" s="13"/>
      <c r="G50" s="13"/>
      <c r="H50" s="13"/>
      <c r="I50" s="68"/>
      <c r="J50" s="28"/>
      <c r="K50" s="69"/>
    </row>
    <row r="51" spans="1:11" x14ac:dyDescent="0.3">
      <c r="A51" s="9"/>
      <c r="B51" s="59" t="s">
        <v>147</v>
      </c>
      <c r="C51" s="107"/>
      <c r="D51" s="107"/>
      <c r="E51" s="107"/>
      <c r="F51" s="13"/>
      <c r="G51" s="13"/>
      <c r="H51" s="13"/>
      <c r="I51" s="60"/>
      <c r="J51" s="28"/>
      <c r="K51" s="28"/>
    </row>
    <row r="52" spans="1:11" x14ac:dyDescent="0.3">
      <c r="A52" s="9"/>
      <c r="B52" s="59" t="s">
        <v>148</v>
      </c>
      <c r="C52" s="107"/>
      <c r="D52" s="107"/>
      <c r="E52" s="107"/>
      <c r="F52" s="13"/>
      <c r="G52" s="13"/>
      <c r="H52" s="13"/>
      <c r="I52" s="60"/>
      <c r="J52" s="28"/>
      <c r="K52" s="28"/>
    </row>
    <row r="53" spans="1:11" x14ac:dyDescent="0.3">
      <c r="A53" s="9"/>
      <c r="B53" s="59"/>
      <c r="C53" s="107"/>
      <c r="D53" s="107"/>
      <c r="E53" s="107"/>
      <c r="F53" s="13"/>
      <c r="G53" s="13"/>
      <c r="H53" s="13"/>
      <c r="I53" s="60"/>
      <c r="J53" s="28"/>
      <c r="K53" s="28"/>
    </row>
    <row r="54" spans="1:11" x14ac:dyDescent="0.3">
      <c r="A54" s="9"/>
      <c r="B54" s="59" t="s">
        <v>149</v>
      </c>
      <c r="C54" s="107"/>
      <c r="D54" s="107"/>
      <c r="E54" s="107"/>
      <c r="F54" s="13"/>
      <c r="G54" s="13"/>
      <c r="H54" s="13"/>
      <c r="I54" s="68"/>
      <c r="J54" s="28"/>
      <c r="K54" s="69"/>
    </row>
    <row r="55" spans="1:11" x14ac:dyDescent="0.3">
      <c r="A55" s="9"/>
      <c r="B55" s="59" t="s">
        <v>150</v>
      </c>
      <c r="C55" s="107"/>
      <c r="D55" s="107"/>
      <c r="E55" s="107"/>
      <c r="F55" s="13"/>
      <c r="G55" s="13"/>
      <c r="H55" s="13"/>
      <c r="I55" s="29"/>
      <c r="J55" s="28"/>
      <c r="K55" s="28"/>
    </row>
    <row r="56" spans="1:11" x14ac:dyDescent="0.3">
      <c r="A56" s="9"/>
      <c r="B56" s="59"/>
      <c r="C56" s="107"/>
      <c r="D56" s="107"/>
      <c r="E56" s="107"/>
      <c r="F56" s="13"/>
      <c r="G56" s="13"/>
      <c r="H56" s="13"/>
      <c r="I56" s="21"/>
      <c r="J56" s="28"/>
      <c r="K56" s="28"/>
    </row>
    <row r="57" spans="1:11" x14ac:dyDescent="0.3">
      <c r="A57" s="9"/>
      <c r="B57" s="59"/>
      <c r="C57" s="107"/>
      <c r="D57" s="107"/>
      <c r="E57" s="107"/>
      <c r="F57" s="13"/>
      <c r="G57" s="13"/>
      <c r="H57" s="13"/>
      <c r="I57" s="29"/>
      <c r="J57" s="28"/>
      <c r="K57" s="28"/>
    </row>
    <row r="58" spans="1:11" x14ac:dyDescent="0.3">
      <c r="A58" s="40"/>
      <c r="B58" s="46"/>
      <c r="C58" s="13"/>
      <c r="D58" s="13"/>
      <c r="E58" s="13"/>
      <c r="F58" s="13"/>
      <c r="G58" s="13"/>
      <c r="H58" s="13"/>
      <c r="I58" s="29"/>
      <c r="J58" s="28"/>
      <c r="K58" s="28"/>
    </row>
    <row r="59" spans="1:11" x14ac:dyDescent="0.3">
      <c r="A59" s="40"/>
      <c r="B59" s="46"/>
      <c r="C59" s="13"/>
      <c r="D59" s="13"/>
      <c r="E59" s="13"/>
      <c r="F59" s="13"/>
      <c r="G59" s="13"/>
      <c r="H59" s="13"/>
      <c r="I59" s="29"/>
      <c r="J59" s="28"/>
      <c r="K59" s="28"/>
    </row>
    <row r="60" spans="1:11" x14ac:dyDescent="0.3">
      <c r="A60" s="9"/>
      <c r="B60" s="28"/>
      <c r="C60" s="13"/>
      <c r="D60" s="13"/>
      <c r="E60" s="13"/>
      <c r="F60" s="13"/>
      <c r="G60" s="13"/>
      <c r="H60" s="13"/>
      <c r="I60" s="29"/>
      <c r="J60" s="28"/>
      <c r="K60" s="28"/>
    </row>
    <row r="61" spans="1:11" x14ac:dyDescent="0.3">
      <c r="A61" s="9"/>
      <c r="B61" s="28"/>
      <c r="C61" s="13"/>
      <c r="D61" s="13"/>
      <c r="E61" s="13"/>
      <c r="F61" s="13"/>
      <c r="G61" s="13"/>
      <c r="H61" s="13"/>
      <c r="I61" s="29"/>
      <c r="J61" s="28"/>
      <c r="K61" s="28"/>
    </row>
    <row r="62" spans="1:11" x14ac:dyDescent="0.3">
      <c r="A62" s="9"/>
      <c r="B62" s="28"/>
      <c r="C62" s="13"/>
      <c r="D62" s="13"/>
      <c r="E62" s="13"/>
      <c r="F62" s="13"/>
      <c r="G62" s="13"/>
      <c r="H62" s="13"/>
      <c r="I62" s="29"/>
      <c r="J62" s="28"/>
      <c r="K62" s="28"/>
    </row>
    <row r="63" spans="1:11" x14ac:dyDescent="0.3">
      <c r="A63" s="9"/>
      <c r="B63" s="28"/>
      <c r="C63" s="13"/>
      <c r="D63" s="13"/>
      <c r="E63" s="13"/>
      <c r="F63" s="13"/>
      <c r="G63" s="13"/>
      <c r="H63" s="13"/>
      <c r="I63" s="29"/>
      <c r="J63" s="28"/>
      <c r="K63" s="28"/>
    </row>
    <row r="64" spans="1:11" x14ac:dyDescent="0.3">
      <c r="A64" s="9"/>
      <c r="B64" s="28"/>
      <c r="C64" s="13"/>
      <c r="D64" s="13"/>
      <c r="E64" s="13"/>
      <c r="F64" s="13"/>
      <c r="G64" s="13"/>
      <c r="H64" s="13"/>
      <c r="I64" s="21"/>
      <c r="J64" s="22"/>
      <c r="K64" s="22"/>
    </row>
    <row r="65" spans="1:11" x14ac:dyDescent="0.3">
      <c r="A65" s="9"/>
      <c r="B65" s="28"/>
      <c r="C65" s="13"/>
      <c r="D65" s="13"/>
      <c r="E65" s="13"/>
      <c r="F65" s="13"/>
      <c r="G65" s="13"/>
      <c r="H65" s="13"/>
      <c r="I65" s="29"/>
      <c r="J65" s="28"/>
      <c r="K65" s="28"/>
    </row>
    <row r="66" spans="1:11" x14ac:dyDescent="0.3">
      <c r="A66" s="9"/>
      <c r="B66" s="28"/>
      <c r="C66" s="13"/>
      <c r="D66" s="13"/>
      <c r="E66" s="13"/>
      <c r="F66" s="13"/>
      <c r="G66" s="13"/>
      <c r="H66" s="13"/>
      <c r="I66" s="29"/>
      <c r="J66" s="28"/>
      <c r="K66" s="48"/>
    </row>
    <row r="67" spans="1:11" x14ac:dyDescent="0.3">
      <c r="A67" s="9"/>
      <c r="B67" s="28"/>
      <c r="C67" s="13"/>
      <c r="D67" s="13"/>
      <c r="E67" s="13"/>
      <c r="F67" s="13"/>
      <c r="G67" s="13"/>
      <c r="H67" s="13"/>
      <c r="I67" s="21"/>
      <c r="J67" s="28"/>
      <c r="K67" s="48"/>
    </row>
    <row r="68" spans="1:11" x14ac:dyDescent="0.3">
      <c r="A68" s="9"/>
      <c r="B68" s="28"/>
      <c r="C68" s="13"/>
      <c r="D68" s="13"/>
      <c r="E68" s="13"/>
      <c r="F68" s="13"/>
      <c r="G68" s="13"/>
      <c r="H68" s="13"/>
      <c r="I68" s="29"/>
      <c r="J68" s="28"/>
      <c r="K68" s="48"/>
    </row>
    <row r="69" spans="1:11" x14ac:dyDescent="0.3">
      <c r="A69" s="9"/>
      <c r="B69" s="28"/>
      <c r="C69" s="13"/>
      <c r="D69" s="13"/>
      <c r="E69" s="13"/>
      <c r="F69" s="13"/>
      <c r="G69" s="13"/>
      <c r="H69" s="13"/>
      <c r="I69" s="29"/>
      <c r="J69" s="28"/>
      <c r="K69" s="28"/>
    </row>
    <row r="70" spans="1:11" x14ac:dyDescent="0.3">
      <c r="A70" s="9"/>
      <c r="B70" s="28"/>
      <c r="C70" s="13"/>
      <c r="D70" s="13"/>
      <c r="E70" s="13"/>
      <c r="F70" s="13"/>
      <c r="G70" s="13"/>
      <c r="H70" s="13"/>
      <c r="I70" s="29"/>
      <c r="J70" s="28"/>
      <c r="K70" s="28"/>
    </row>
    <row r="71" spans="1:11" x14ac:dyDescent="0.3">
      <c r="A71" s="9"/>
      <c r="B71" s="28"/>
      <c r="C71" s="13"/>
      <c r="D71" s="13"/>
      <c r="E71" s="13"/>
      <c r="F71" s="13"/>
      <c r="G71" s="13"/>
      <c r="H71" s="13"/>
      <c r="I71" s="29"/>
      <c r="J71" s="28"/>
      <c r="K71" s="28"/>
    </row>
    <row r="72" spans="1:11" x14ac:dyDescent="0.3">
      <c r="A72" s="9"/>
      <c r="B72" s="10"/>
    </row>
    <row r="73" spans="1:11" x14ac:dyDescent="0.3">
      <c r="A73" s="9"/>
      <c r="B73" s="10"/>
    </row>
    <row r="74" spans="1:11" x14ac:dyDescent="0.3">
      <c r="A74" s="9"/>
      <c r="B74" s="10"/>
    </row>
    <row r="75" spans="1:11" x14ac:dyDescent="0.3">
      <c r="A75" s="9"/>
      <c r="B75" s="10"/>
    </row>
    <row r="76" spans="1:11" x14ac:dyDescent="0.3">
      <c r="A76" s="9"/>
      <c r="B76" s="10"/>
    </row>
    <row r="77" spans="1:11" x14ac:dyDescent="0.3">
      <c r="A77" s="9"/>
      <c r="B77" s="10"/>
    </row>
    <row r="78" spans="1:11" x14ac:dyDescent="0.3">
      <c r="A78" s="9"/>
      <c r="B78" s="10"/>
    </row>
    <row r="79" spans="1:11" x14ac:dyDescent="0.3">
      <c r="A79" s="9"/>
      <c r="B79" s="10"/>
    </row>
    <row r="80" spans="1:11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  <row r="179" spans="1:2" x14ac:dyDescent="0.3">
      <c r="A179" s="9"/>
      <c r="B179" s="10"/>
    </row>
    <row r="180" spans="1:2" x14ac:dyDescent="0.3">
      <c r="A180" s="9"/>
      <c r="B180" s="10"/>
    </row>
    <row r="181" spans="1:2" x14ac:dyDescent="0.3">
      <c r="A181" s="9"/>
      <c r="B181" s="10"/>
    </row>
    <row r="182" spans="1:2" x14ac:dyDescent="0.3">
      <c r="A182" s="9"/>
      <c r="B182" s="10"/>
    </row>
    <row r="183" spans="1:2" x14ac:dyDescent="0.3">
      <c r="A183" s="9"/>
      <c r="B183" s="10"/>
    </row>
    <row r="184" spans="1:2" x14ac:dyDescent="0.3">
      <c r="A184" s="9"/>
      <c r="B184" s="10"/>
    </row>
    <row r="185" spans="1:2" x14ac:dyDescent="0.3">
      <c r="A185" s="9"/>
      <c r="B185" s="10"/>
    </row>
    <row r="186" spans="1:2" x14ac:dyDescent="0.3">
      <c r="A186" s="9"/>
      <c r="B186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88"/>
  <sheetViews>
    <sheetView workbookViewId="0">
      <pane xSplit="9280" topLeftCell="J1"/>
      <selection activeCell="D28" sqref="D28"/>
      <selection pane="topRight" activeCell="J1" sqref="J1"/>
    </sheetView>
  </sheetViews>
  <sheetFormatPr defaultRowHeight="13" x14ac:dyDescent="0.3"/>
  <cols>
    <col min="1" max="1" width="5.54296875" style="30" customWidth="1"/>
    <col min="2" max="2" width="14.1796875" customWidth="1"/>
    <col min="4" max="4" width="8.54296875" customWidth="1"/>
    <col min="5" max="5" width="8" customWidth="1"/>
    <col min="6" max="6" width="4.26953125" customWidth="1"/>
    <col min="7" max="7" width="7.453125" customWidth="1"/>
    <col min="8" max="8" width="4.1796875" customWidth="1"/>
    <col min="9" max="9" width="7.81640625" style="17" customWidth="1"/>
    <col min="10" max="10" width="3.81640625" style="10" customWidth="1"/>
    <col min="11" max="11" width="7.453125" style="10" customWidth="1"/>
  </cols>
  <sheetData>
    <row r="1" spans="1:121" s="2" customFormat="1" ht="24" customHeight="1" x14ac:dyDescent="0.25">
      <c r="A1" s="1" t="s">
        <v>0</v>
      </c>
      <c r="H1" s="3"/>
      <c r="I1" s="4"/>
      <c r="J1" s="4"/>
      <c r="L1"/>
      <c r="M1"/>
      <c r="N1"/>
      <c r="O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</row>
    <row r="2" spans="1:121" ht="12.75" customHeight="1" x14ac:dyDescent="0.3">
      <c r="A2" s="197" t="s">
        <v>47</v>
      </c>
      <c r="B2" s="10"/>
    </row>
    <row r="3" spans="1:121" ht="12.75" customHeight="1" x14ac:dyDescent="0.3">
      <c r="A3" s="197"/>
      <c r="B3" s="10"/>
    </row>
    <row r="4" spans="1:121" x14ac:dyDescent="0.3">
      <c r="A4" s="9"/>
      <c r="B4" s="10"/>
    </row>
    <row r="5" spans="1:121" x14ac:dyDescent="0.3">
      <c r="A5" s="9"/>
      <c r="B5" s="10"/>
      <c r="E5" s="10"/>
      <c r="F5" s="10"/>
      <c r="G5" s="10"/>
      <c r="H5" s="10"/>
      <c r="I5" s="11">
        <v>1997</v>
      </c>
      <c r="K5" s="48">
        <v>1996</v>
      </c>
    </row>
    <row r="6" spans="1:121" ht="18" customHeight="1" x14ac:dyDescent="0.3">
      <c r="A6" s="9"/>
      <c r="B6" s="10"/>
      <c r="E6" s="10"/>
      <c r="F6" s="10"/>
      <c r="G6" s="10"/>
      <c r="H6" s="10"/>
      <c r="I6" s="183" t="s">
        <v>1</v>
      </c>
      <c r="J6" s="184"/>
      <c r="K6" s="193" t="s">
        <v>1</v>
      </c>
    </row>
    <row r="7" spans="1:121" ht="12.75" customHeight="1" x14ac:dyDescent="0.3">
      <c r="A7" s="9"/>
      <c r="B7" s="10"/>
      <c r="E7" s="10"/>
      <c r="F7" s="10"/>
      <c r="G7" s="10"/>
      <c r="H7" s="10"/>
      <c r="I7" s="204"/>
      <c r="J7" s="184"/>
      <c r="K7" s="221"/>
    </row>
    <row r="8" spans="1:121" x14ac:dyDescent="0.3">
      <c r="A8" s="162">
        <v>16</v>
      </c>
      <c r="B8" s="163" t="s">
        <v>151</v>
      </c>
      <c r="E8" s="10"/>
      <c r="F8" s="10"/>
      <c r="G8" s="10"/>
      <c r="H8" s="10"/>
      <c r="K8" s="41"/>
    </row>
    <row r="9" spans="1:121" x14ac:dyDescent="0.3">
      <c r="A9" s="9"/>
      <c r="B9" s="10"/>
      <c r="E9" s="10"/>
      <c r="F9" s="10"/>
      <c r="G9" s="10"/>
      <c r="H9" s="10"/>
      <c r="I9" s="18"/>
      <c r="J9" s="19"/>
      <c r="K9" s="187"/>
    </row>
    <row r="10" spans="1:121" x14ac:dyDescent="0.3">
      <c r="A10" s="9"/>
      <c r="B10" s="87" t="s">
        <v>152</v>
      </c>
      <c r="C10" s="101"/>
      <c r="D10" s="101"/>
      <c r="E10" s="10"/>
      <c r="F10" s="10"/>
      <c r="G10" s="10"/>
      <c r="H10" s="10"/>
      <c r="I10" s="25"/>
      <c r="J10" s="19"/>
      <c r="K10" s="189"/>
    </row>
    <row r="11" spans="1:121" x14ac:dyDescent="0.3">
      <c r="A11" s="9"/>
      <c r="B11" s="87" t="s">
        <v>153</v>
      </c>
      <c r="C11" s="101"/>
      <c r="D11" s="101"/>
      <c r="E11" s="10"/>
      <c r="F11" s="10"/>
      <c r="G11" s="10"/>
      <c r="H11" s="10"/>
      <c r="I11" s="47">
        <v>129.69999999999999</v>
      </c>
      <c r="J11" s="22"/>
      <c r="K11" s="195" t="s">
        <v>14</v>
      </c>
    </row>
    <row r="12" spans="1:121" x14ac:dyDescent="0.3">
      <c r="A12" s="9"/>
      <c r="B12" s="87" t="s">
        <v>154</v>
      </c>
      <c r="C12" s="101"/>
      <c r="D12" s="101"/>
      <c r="E12" s="10"/>
      <c r="F12" s="10"/>
      <c r="G12" s="10"/>
      <c r="H12" s="10"/>
      <c r="I12" s="21">
        <v>1424.1</v>
      </c>
      <c r="J12" s="22"/>
      <c r="K12" s="104">
        <v>1186.9000000000001</v>
      </c>
    </row>
    <row r="13" spans="1:121" x14ac:dyDescent="0.3">
      <c r="A13" s="9"/>
      <c r="B13" s="87" t="s">
        <v>155</v>
      </c>
      <c r="C13" s="101"/>
      <c r="D13" s="101"/>
      <c r="E13" s="10"/>
      <c r="F13" s="10"/>
      <c r="G13" s="10"/>
      <c r="H13" s="10"/>
      <c r="I13" s="21">
        <v>110.6</v>
      </c>
      <c r="J13" s="22"/>
      <c r="K13" s="104">
        <v>378.1</v>
      </c>
    </row>
    <row r="14" spans="1:121" ht="7.5" customHeight="1" x14ac:dyDescent="0.3">
      <c r="A14" s="9"/>
      <c r="B14" s="87"/>
      <c r="C14" s="101"/>
      <c r="D14" s="101"/>
      <c r="E14" s="10"/>
      <c r="F14" s="10"/>
      <c r="G14" s="10"/>
      <c r="H14" s="10"/>
      <c r="I14" s="20"/>
      <c r="J14" s="22"/>
      <c r="K14" s="190"/>
    </row>
    <row r="15" spans="1:121" ht="16.5" customHeight="1" x14ac:dyDescent="0.3">
      <c r="A15" s="9"/>
      <c r="B15" s="10"/>
      <c r="E15" s="10"/>
      <c r="F15" s="10"/>
      <c r="G15" s="10"/>
      <c r="H15" s="10"/>
      <c r="I15" s="21">
        <f>SUM(I11:I14)</f>
        <v>1664.3999999999999</v>
      </c>
      <c r="J15" s="19"/>
      <c r="K15" s="104">
        <v>1565</v>
      </c>
    </row>
    <row r="16" spans="1:121" x14ac:dyDescent="0.3">
      <c r="A16" s="9"/>
      <c r="B16" s="87" t="s">
        <v>156</v>
      </c>
      <c r="C16" s="101"/>
      <c r="D16" s="101"/>
      <c r="E16" s="10"/>
      <c r="F16" s="10"/>
      <c r="G16" s="10"/>
      <c r="H16" s="10"/>
      <c r="I16" s="18"/>
      <c r="J16" s="19"/>
      <c r="K16" s="187"/>
    </row>
    <row r="17" spans="1:11" x14ac:dyDescent="0.3">
      <c r="A17" s="40"/>
      <c r="B17" s="87" t="s">
        <v>157</v>
      </c>
      <c r="C17" s="101"/>
      <c r="D17" s="101"/>
      <c r="E17" s="10"/>
      <c r="F17" s="10"/>
      <c r="G17" s="10"/>
      <c r="H17" s="10"/>
      <c r="I17" s="21">
        <v>65.400000000000006</v>
      </c>
      <c r="J17" s="22"/>
      <c r="K17" s="104">
        <v>84</v>
      </c>
    </row>
    <row r="18" spans="1:11" x14ac:dyDescent="0.3">
      <c r="A18" s="9"/>
      <c r="B18" s="87" t="s">
        <v>158</v>
      </c>
      <c r="C18" s="101"/>
      <c r="D18" s="101"/>
      <c r="E18" s="10"/>
      <c r="F18" s="10"/>
      <c r="G18" s="10"/>
      <c r="H18" s="10"/>
      <c r="I18" s="21">
        <v>114.3</v>
      </c>
      <c r="J18" s="22"/>
      <c r="K18" s="104">
        <v>238.5</v>
      </c>
    </row>
    <row r="19" spans="1:11" ht="8.25" customHeight="1" x14ac:dyDescent="0.3">
      <c r="A19" s="9"/>
      <c r="E19" s="10"/>
      <c r="F19" s="10"/>
      <c r="G19" s="10"/>
      <c r="H19" s="10"/>
      <c r="I19" s="20"/>
      <c r="J19" s="22"/>
      <c r="K19" s="190"/>
    </row>
    <row r="20" spans="1:11" ht="16.5" customHeight="1" x14ac:dyDescent="0.3">
      <c r="A20" s="9"/>
      <c r="C20" s="13"/>
      <c r="E20" s="10"/>
      <c r="F20" s="10"/>
      <c r="G20" s="10"/>
      <c r="H20" s="10"/>
      <c r="I20" s="21">
        <f>SUM(I15:I18)</f>
        <v>1844.1</v>
      </c>
      <c r="J20" s="22"/>
      <c r="K20" s="104">
        <v>1887.5</v>
      </c>
    </row>
    <row r="21" spans="1:11" ht="8.25" customHeight="1" thickBot="1" x14ac:dyDescent="0.35">
      <c r="A21" s="9"/>
      <c r="E21" s="10"/>
      <c r="F21" s="10"/>
      <c r="G21" s="10"/>
      <c r="H21" s="10"/>
      <c r="I21" s="23"/>
      <c r="J21" s="22"/>
      <c r="K21" s="188"/>
    </row>
    <row r="22" spans="1:11" ht="13.5" thickTop="1" x14ac:dyDescent="0.3">
      <c r="A22" s="9"/>
      <c r="B22" s="87" t="s">
        <v>159</v>
      </c>
      <c r="E22" s="10"/>
      <c r="F22" s="10"/>
      <c r="G22" s="10"/>
      <c r="H22" s="10"/>
      <c r="I22" s="21"/>
      <c r="J22" s="19"/>
      <c r="K22" s="104"/>
    </row>
    <row r="23" spans="1:11" x14ac:dyDescent="0.3">
      <c r="A23" s="9"/>
      <c r="B23" s="87" t="s">
        <v>160</v>
      </c>
      <c r="E23" s="10"/>
      <c r="F23" s="10"/>
      <c r="G23" s="10"/>
      <c r="H23" s="10"/>
      <c r="I23" s="21">
        <v>1327.4</v>
      </c>
      <c r="J23" s="22"/>
      <c r="K23" s="104">
        <v>1378</v>
      </c>
    </row>
    <row r="24" spans="1:11" x14ac:dyDescent="0.3">
      <c r="A24" s="9"/>
      <c r="B24" s="87" t="s">
        <v>161</v>
      </c>
      <c r="E24" s="10"/>
      <c r="F24" s="10"/>
      <c r="G24" s="10"/>
      <c r="H24" s="10"/>
      <c r="I24" s="21">
        <v>516.70000000000005</v>
      </c>
      <c r="J24" s="22"/>
      <c r="K24" s="104">
        <v>509.5</v>
      </c>
    </row>
    <row r="25" spans="1:11" ht="8.25" customHeight="1" x14ac:dyDescent="0.3">
      <c r="A25" s="9"/>
      <c r="B25" s="10"/>
      <c r="E25" s="10"/>
      <c r="F25" s="10"/>
      <c r="G25" s="10"/>
      <c r="H25" s="10"/>
      <c r="I25" s="20"/>
      <c r="J25" s="22"/>
      <c r="K25" s="190"/>
    </row>
    <row r="26" spans="1:11" ht="17.25" customHeight="1" x14ac:dyDescent="0.3">
      <c r="A26" s="9"/>
      <c r="B26" s="10"/>
      <c r="E26" s="10"/>
      <c r="F26" s="10"/>
      <c r="G26" s="10"/>
      <c r="H26" s="10"/>
      <c r="I26" s="21">
        <f>SUM(I23:I25)</f>
        <v>1844.1000000000001</v>
      </c>
      <c r="J26" s="19"/>
      <c r="K26" s="104">
        <v>1887.5</v>
      </c>
    </row>
    <row r="27" spans="1:11" ht="8.25" customHeight="1" thickBot="1" x14ac:dyDescent="0.35">
      <c r="A27" s="15"/>
      <c r="B27" s="16"/>
      <c r="E27" s="10"/>
      <c r="F27" s="10"/>
      <c r="G27" s="10"/>
      <c r="H27" s="10"/>
      <c r="I27" s="23"/>
      <c r="J27" s="22"/>
      <c r="K27" s="188"/>
    </row>
    <row r="28" spans="1:11" ht="13.5" thickTop="1" x14ac:dyDescent="0.3">
      <c r="A28" s="9"/>
      <c r="B28" s="10"/>
      <c r="E28" s="10"/>
      <c r="F28" s="10"/>
      <c r="G28" s="10"/>
      <c r="H28" s="10"/>
      <c r="I28" s="18"/>
      <c r="J28" s="19"/>
      <c r="K28" s="187"/>
    </row>
    <row r="29" spans="1:11" x14ac:dyDescent="0.3">
      <c r="A29" s="9"/>
      <c r="B29" s="10"/>
      <c r="E29" s="10"/>
      <c r="F29" s="10"/>
      <c r="G29" s="10"/>
      <c r="H29" s="10"/>
      <c r="I29" s="11">
        <v>1997</v>
      </c>
      <c r="K29" s="48">
        <v>1996</v>
      </c>
    </row>
    <row r="30" spans="1:11" ht="16.5" customHeight="1" x14ac:dyDescent="0.3">
      <c r="A30" s="9"/>
      <c r="B30" s="10"/>
      <c r="E30" s="10"/>
      <c r="F30" s="10"/>
      <c r="G30" s="10"/>
      <c r="H30" s="10"/>
      <c r="I30" s="183" t="s">
        <v>1</v>
      </c>
      <c r="J30" s="184"/>
      <c r="K30" s="193" t="s">
        <v>1</v>
      </c>
    </row>
    <row r="31" spans="1:11" x14ac:dyDescent="0.3">
      <c r="A31" s="162">
        <v>17</v>
      </c>
      <c r="B31" s="163" t="s">
        <v>162</v>
      </c>
      <c r="E31" s="10"/>
      <c r="F31" s="10"/>
      <c r="G31" s="10"/>
      <c r="H31" s="10"/>
      <c r="I31" s="29"/>
      <c r="J31" s="28"/>
      <c r="K31" s="46"/>
    </row>
    <row r="32" spans="1:11" ht="12" customHeight="1" x14ac:dyDescent="0.3">
      <c r="A32" s="9"/>
      <c r="B32" s="10"/>
      <c r="D32" s="270"/>
      <c r="F32" s="271"/>
      <c r="G32" s="271" t="s">
        <v>163</v>
      </c>
      <c r="H32" s="10"/>
      <c r="I32" s="63"/>
      <c r="K32" s="186"/>
    </row>
    <row r="33" spans="1:12" ht="17.25" customHeight="1" x14ac:dyDescent="0.3">
      <c r="A33" s="9"/>
      <c r="B33" s="10"/>
      <c r="E33" s="217">
        <v>1997</v>
      </c>
      <c r="F33" s="8"/>
      <c r="G33" s="218">
        <v>1996</v>
      </c>
      <c r="I33" s="10"/>
      <c r="J33" s="63"/>
      <c r="K33" s="28"/>
      <c r="L33" s="186"/>
    </row>
    <row r="34" spans="1:12" ht="12.75" customHeight="1" x14ac:dyDescent="0.3">
      <c r="A34" s="9"/>
      <c r="B34" s="10"/>
      <c r="E34" s="219"/>
      <c r="F34" s="8"/>
      <c r="G34" s="220"/>
      <c r="I34" s="10"/>
      <c r="J34" s="63"/>
      <c r="K34" s="28"/>
      <c r="L34" s="186"/>
    </row>
    <row r="35" spans="1:12" x14ac:dyDescent="0.3">
      <c r="A35" s="9"/>
      <c r="B35" s="87" t="s">
        <v>164</v>
      </c>
      <c r="C35" s="101"/>
      <c r="D35" s="101"/>
      <c r="E35" s="83"/>
      <c r="F35" s="28"/>
      <c r="G35" s="46"/>
      <c r="I35" s="10"/>
      <c r="J35" s="11"/>
      <c r="K35" s="28"/>
      <c r="L35" s="96"/>
    </row>
    <row r="36" spans="1:12" x14ac:dyDescent="0.3">
      <c r="A36" s="40"/>
      <c r="B36" s="135"/>
      <c r="C36" s="101"/>
      <c r="D36" s="101"/>
      <c r="E36" s="83"/>
      <c r="F36" s="28"/>
      <c r="G36" s="46"/>
      <c r="I36" s="10"/>
      <c r="J36" s="29"/>
      <c r="K36" s="28"/>
      <c r="L36" s="46"/>
    </row>
    <row r="37" spans="1:12" x14ac:dyDescent="0.3">
      <c r="A37" s="9"/>
      <c r="B37" s="87" t="s">
        <v>165</v>
      </c>
      <c r="C37" s="101"/>
      <c r="D37" s="101"/>
      <c r="E37" s="84">
        <v>4000</v>
      </c>
      <c r="F37" s="22"/>
      <c r="G37" s="104">
        <v>4000</v>
      </c>
      <c r="I37" s="47">
        <v>400</v>
      </c>
      <c r="J37" s="22"/>
      <c r="K37" s="195">
        <v>400</v>
      </c>
    </row>
    <row r="38" spans="1:12" ht="7.5" customHeight="1" thickBot="1" x14ac:dyDescent="0.35">
      <c r="A38" s="9"/>
      <c r="B38" s="87"/>
      <c r="C38" s="142"/>
      <c r="D38" s="101"/>
      <c r="E38" s="85"/>
      <c r="F38" s="28"/>
      <c r="G38" s="95"/>
      <c r="I38" s="23"/>
      <c r="J38" s="22"/>
      <c r="K38" s="188"/>
    </row>
    <row r="39" spans="1:12" ht="12.75" customHeight="1" thickTop="1" x14ac:dyDescent="0.3">
      <c r="A39" s="9"/>
      <c r="B39" s="87"/>
      <c r="C39" s="142"/>
      <c r="D39" s="101"/>
      <c r="E39" s="83"/>
      <c r="F39" s="28"/>
      <c r="H39" s="10"/>
      <c r="I39"/>
      <c r="J39"/>
      <c r="K39"/>
    </row>
    <row r="40" spans="1:12" x14ac:dyDescent="0.3">
      <c r="A40" s="9"/>
      <c r="B40" s="87" t="s">
        <v>166</v>
      </c>
      <c r="C40" s="142"/>
      <c r="D40" s="101"/>
      <c r="E40" s="83"/>
      <c r="F40" s="28"/>
      <c r="H40" s="10"/>
      <c r="I40"/>
      <c r="J40"/>
      <c r="K40"/>
    </row>
    <row r="41" spans="1:12" x14ac:dyDescent="0.3">
      <c r="A41" s="9"/>
      <c r="B41" s="87"/>
      <c r="C41" s="101"/>
      <c r="D41" s="101"/>
      <c r="E41" s="83"/>
      <c r="F41" s="28"/>
      <c r="H41" s="10"/>
      <c r="I41"/>
      <c r="J41"/>
      <c r="K41"/>
    </row>
    <row r="42" spans="1:12" x14ac:dyDescent="0.3">
      <c r="A42" s="9"/>
      <c r="B42" s="87" t="s">
        <v>167</v>
      </c>
      <c r="C42" s="101"/>
      <c r="D42" s="101"/>
      <c r="E42" s="84">
        <v>2701.5</v>
      </c>
      <c r="F42" s="22"/>
      <c r="G42" s="104">
        <v>2706.2</v>
      </c>
      <c r="H42" s="10"/>
      <c r="I42" s="21">
        <v>270.10000000000002</v>
      </c>
      <c r="J42" s="22"/>
      <c r="K42" s="104">
        <v>270.60000000000002</v>
      </c>
    </row>
    <row r="43" spans="1:12" x14ac:dyDescent="0.3">
      <c r="A43" s="9"/>
      <c r="B43" s="87" t="s">
        <v>168</v>
      </c>
      <c r="C43" s="101"/>
      <c r="D43" s="101"/>
      <c r="E43" s="84">
        <v>-107.5</v>
      </c>
      <c r="F43" s="22"/>
      <c r="G43" s="104">
        <v>-19</v>
      </c>
      <c r="H43" s="10"/>
      <c r="I43" s="21">
        <v>-10.7</v>
      </c>
      <c r="J43" s="22"/>
      <c r="K43" s="104">
        <v>-1.9</v>
      </c>
    </row>
    <row r="44" spans="1:12" x14ac:dyDescent="0.3">
      <c r="A44" s="9"/>
      <c r="B44" s="87" t="s">
        <v>169</v>
      </c>
      <c r="C44" s="101"/>
      <c r="D44" s="101"/>
      <c r="E44" s="84">
        <v>13.4</v>
      </c>
      <c r="F44" s="22"/>
      <c r="G44" s="104">
        <v>14.3</v>
      </c>
      <c r="H44" s="10"/>
      <c r="I44" s="18">
        <v>1.3</v>
      </c>
      <c r="J44" s="19"/>
      <c r="K44" s="187">
        <v>1.4</v>
      </c>
    </row>
    <row r="45" spans="1:12" ht="7.5" customHeight="1" x14ac:dyDescent="0.3">
      <c r="A45" s="9"/>
      <c r="B45" s="87"/>
      <c r="C45" s="101"/>
      <c r="D45" s="101"/>
      <c r="E45" s="122"/>
      <c r="F45" s="22"/>
      <c r="G45" s="190"/>
      <c r="H45" s="10"/>
      <c r="I45" s="20"/>
      <c r="J45" s="19"/>
      <c r="K45" s="190"/>
    </row>
    <row r="46" spans="1:12" ht="15.75" customHeight="1" x14ac:dyDescent="0.3">
      <c r="A46" s="40"/>
      <c r="B46" s="102" t="s">
        <v>170</v>
      </c>
      <c r="C46" s="101"/>
      <c r="D46" s="101"/>
      <c r="E46" s="84">
        <f>SUM(E42:E45)</f>
        <v>2607.4</v>
      </c>
      <c r="F46" s="22"/>
      <c r="G46" s="104">
        <v>2701.5</v>
      </c>
      <c r="H46" s="10"/>
      <c r="I46" s="18">
        <f>SUM(I42:I45)</f>
        <v>260.70000000000005</v>
      </c>
      <c r="J46" s="19"/>
      <c r="K46" s="187">
        <v>270.10000000000002</v>
      </c>
    </row>
    <row r="47" spans="1:12" ht="7.5" customHeight="1" thickBot="1" x14ac:dyDescent="0.35">
      <c r="A47" s="9"/>
      <c r="B47" s="87"/>
      <c r="C47" s="101"/>
      <c r="D47" s="101"/>
      <c r="E47" s="24"/>
      <c r="F47" s="22"/>
      <c r="G47" s="188"/>
      <c r="H47" s="10"/>
      <c r="I47" s="86"/>
      <c r="J47" s="22"/>
      <c r="K47" s="215"/>
    </row>
    <row r="48" spans="1:12" ht="13.5" thickTop="1" x14ac:dyDescent="0.3">
      <c r="A48" s="9"/>
      <c r="B48" s="87"/>
      <c r="C48" s="101"/>
      <c r="D48" s="101"/>
      <c r="E48" s="28"/>
      <c r="F48" s="28"/>
      <c r="G48" s="46"/>
      <c r="H48" s="10"/>
      <c r="I48"/>
      <c r="J48"/>
      <c r="K48"/>
    </row>
    <row r="49" spans="1:11" x14ac:dyDescent="0.3">
      <c r="A49" s="9"/>
      <c r="B49" s="87"/>
      <c r="C49" s="101"/>
      <c r="D49" s="101"/>
      <c r="E49" s="10"/>
      <c r="F49" s="10"/>
      <c r="H49" s="39"/>
      <c r="I49" s="21"/>
      <c r="J49" s="22"/>
      <c r="K49" s="104"/>
    </row>
    <row r="50" spans="1:11" x14ac:dyDescent="0.3">
      <c r="A50" s="15"/>
      <c r="B50" s="87" t="s">
        <v>171</v>
      </c>
      <c r="C50" s="107"/>
      <c r="D50" s="107"/>
      <c r="E50" s="28"/>
      <c r="F50" s="28"/>
      <c r="H50" s="28"/>
      <c r="I50" s="21"/>
      <c r="J50" s="22"/>
      <c r="K50" s="104"/>
    </row>
    <row r="51" spans="1:11" x14ac:dyDescent="0.3">
      <c r="A51" s="9"/>
      <c r="B51" s="59" t="s">
        <v>172</v>
      </c>
      <c r="C51" s="107"/>
      <c r="D51" s="107"/>
      <c r="E51" s="28"/>
      <c r="F51" s="28"/>
      <c r="H51" s="28"/>
      <c r="I51" s="21"/>
      <c r="J51" s="22"/>
      <c r="K51" s="104"/>
    </row>
    <row r="52" spans="1:11" x14ac:dyDescent="0.3">
      <c r="A52" s="9"/>
      <c r="B52" s="59"/>
      <c r="C52" s="107"/>
      <c r="D52" s="107"/>
      <c r="E52" s="28"/>
      <c r="F52" s="28"/>
      <c r="H52" s="28"/>
      <c r="I52"/>
      <c r="J52"/>
      <c r="K52"/>
    </row>
    <row r="53" spans="1:11" x14ac:dyDescent="0.3">
      <c r="A53" s="9"/>
      <c r="B53" s="59" t="s">
        <v>173</v>
      </c>
      <c r="C53" s="107"/>
      <c r="D53" s="107"/>
      <c r="E53" s="28"/>
      <c r="F53" s="28"/>
      <c r="H53" s="28"/>
      <c r="I53"/>
      <c r="J53"/>
      <c r="K53"/>
    </row>
    <row r="54" spans="1:11" x14ac:dyDescent="0.3">
      <c r="A54" s="40"/>
      <c r="B54" s="87" t="s">
        <v>174</v>
      </c>
      <c r="C54" s="107"/>
      <c r="D54" s="107"/>
      <c r="E54" s="13"/>
      <c r="F54" s="13"/>
      <c r="H54" s="13"/>
      <c r="I54"/>
      <c r="J54"/>
      <c r="K54"/>
    </row>
    <row r="55" spans="1:11" x14ac:dyDescent="0.3">
      <c r="A55" s="9"/>
      <c r="B55" s="59" t="s">
        <v>175</v>
      </c>
      <c r="C55" s="107"/>
      <c r="D55" s="107"/>
      <c r="E55" s="13"/>
      <c r="F55" s="13"/>
      <c r="G55" s="28"/>
      <c r="H55" s="13"/>
      <c r="I55"/>
      <c r="J55"/>
      <c r="K55"/>
    </row>
    <row r="56" spans="1:11" x14ac:dyDescent="0.3">
      <c r="A56" s="9"/>
      <c r="B56" s="59" t="s">
        <v>176</v>
      </c>
      <c r="C56" s="107"/>
      <c r="D56" s="107"/>
      <c r="E56" s="13"/>
      <c r="F56" s="13"/>
      <c r="G56" s="10"/>
      <c r="H56" s="13"/>
      <c r="I56"/>
      <c r="J56"/>
      <c r="K56"/>
    </row>
    <row r="57" spans="1:11" x14ac:dyDescent="0.3">
      <c r="A57" s="9"/>
      <c r="B57" s="59"/>
      <c r="C57" s="107"/>
      <c r="D57" s="107"/>
      <c r="E57" s="13"/>
      <c r="F57" s="13"/>
      <c r="G57" s="28"/>
      <c r="H57" s="13"/>
      <c r="I57"/>
      <c r="J57"/>
      <c r="K57"/>
    </row>
    <row r="58" spans="1:11" x14ac:dyDescent="0.3">
      <c r="A58" s="9"/>
      <c r="B58" s="59"/>
      <c r="C58" s="107"/>
      <c r="D58" s="107"/>
      <c r="E58" s="13"/>
      <c r="F58" s="13"/>
      <c r="G58" s="28"/>
      <c r="H58" s="13"/>
      <c r="I58" s="47"/>
      <c r="J58" s="22"/>
      <c r="K58" s="52"/>
    </row>
    <row r="59" spans="1:11" x14ac:dyDescent="0.3">
      <c r="A59" s="9"/>
      <c r="B59" s="28"/>
      <c r="C59" s="13"/>
      <c r="D59" s="13"/>
      <c r="E59" s="13"/>
      <c r="F59" s="13"/>
      <c r="G59" s="28"/>
      <c r="H59" s="13"/>
      <c r="I59" s="29"/>
      <c r="J59" s="28"/>
      <c r="K59" s="28"/>
    </row>
    <row r="60" spans="1:11" x14ac:dyDescent="0.3">
      <c r="A60" s="40"/>
      <c r="B60" s="46"/>
      <c r="C60" s="13"/>
      <c r="D60" s="13"/>
      <c r="E60" s="13"/>
      <c r="F60" s="13"/>
      <c r="G60" s="28"/>
      <c r="H60" s="13"/>
      <c r="I60" s="29"/>
      <c r="J60" s="28"/>
      <c r="K60" s="28"/>
    </row>
    <row r="61" spans="1:11" x14ac:dyDescent="0.3">
      <c r="A61" s="40"/>
      <c r="B61" s="46"/>
      <c r="C61" s="13"/>
      <c r="D61" s="13"/>
      <c r="E61" s="13"/>
      <c r="F61" s="13"/>
      <c r="G61" s="13"/>
      <c r="H61" s="13"/>
      <c r="I61" s="29"/>
      <c r="J61" s="28"/>
      <c r="K61" s="28"/>
    </row>
    <row r="62" spans="1:11" x14ac:dyDescent="0.3">
      <c r="A62" s="9"/>
      <c r="B62" s="28"/>
      <c r="C62" s="13"/>
      <c r="D62" s="13"/>
      <c r="E62" s="13"/>
      <c r="F62" s="13"/>
      <c r="G62" s="13"/>
      <c r="H62" s="13"/>
      <c r="I62" s="68"/>
      <c r="J62" s="28"/>
      <c r="K62" s="69"/>
    </row>
    <row r="63" spans="1:11" x14ac:dyDescent="0.3">
      <c r="A63" s="9"/>
      <c r="B63" s="28"/>
      <c r="C63" s="13"/>
      <c r="D63" s="13"/>
      <c r="E63" s="13"/>
      <c r="F63" s="13"/>
      <c r="G63" s="13"/>
      <c r="H63" s="13"/>
      <c r="I63" s="68"/>
      <c r="J63" s="28"/>
      <c r="K63" s="76"/>
    </row>
    <row r="64" spans="1:11" x14ac:dyDescent="0.3">
      <c r="A64" s="9"/>
      <c r="B64" s="28"/>
      <c r="C64" s="13"/>
      <c r="D64" s="13"/>
      <c r="E64" s="13"/>
      <c r="F64" s="13"/>
      <c r="G64" s="13"/>
      <c r="H64" s="13"/>
      <c r="I64" s="68"/>
      <c r="J64" s="28"/>
      <c r="K64" s="69"/>
    </row>
    <row r="65" spans="1:11" x14ac:dyDescent="0.3">
      <c r="A65" s="9"/>
      <c r="B65" s="28"/>
      <c r="C65" s="13"/>
      <c r="D65" s="13"/>
      <c r="E65" s="13"/>
      <c r="F65" s="13"/>
      <c r="G65" s="13"/>
      <c r="H65" s="13"/>
      <c r="I65" s="60"/>
      <c r="J65" s="28"/>
      <c r="K65" s="28"/>
    </row>
    <row r="66" spans="1:11" x14ac:dyDescent="0.3">
      <c r="A66" s="9"/>
      <c r="B66" s="28"/>
      <c r="C66" s="13"/>
      <c r="D66" s="13"/>
      <c r="E66" s="13"/>
      <c r="F66" s="13"/>
      <c r="G66" s="13"/>
      <c r="H66" s="13"/>
      <c r="I66" s="68"/>
      <c r="J66" s="28"/>
      <c r="K66" s="69"/>
    </row>
    <row r="67" spans="1:11" x14ac:dyDescent="0.3">
      <c r="A67" s="9"/>
      <c r="B67" s="28"/>
      <c r="C67" s="13"/>
      <c r="D67" s="13"/>
      <c r="E67" s="13"/>
      <c r="F67" s="13"/>
      <c r="G67" s="13"/>
      <c r="H67" s="13"/>
      <c r="I67" s="29"/>
      <c r="J67" s="28"/>
      <c r="K67" s="28"/>
    </row>
    <row r="68" spans="1:11" x14ac:dyDescent="0.3">
      <c r="A68" s="9"/>
      <c r="B68" s="28"/>
      <c r="C68" s="13"/>
      <c r="D68" s="13"/>
      <c r="E68" s="13"/>
      <c r="F68" s="13"/>
      <c r="G68" s="13"/>
      <c r="H68" s="13"/>
      <c r="I68" s="21"/>
      <c r="J68" s="28"/>
      <c r="K68" s="28"/>
    </row>
    <row r="69" spans="1:11" x14ac:dyDescent="0.3">
      <c r="A69" s="9"/>
      <c r="B69" s="28"/>
      <c r="C69" s="13"/>
      <c r="D69" s="13"/>
      <c r="E69" s="13"/>
      <c r="F69" s="13"/>
      <c r="G69" s="13"/>
      <c r="H69" s="13"/>
      <c r="I69" s="29"/>
      <c r="J69" s="28"/>
      <c r="K69" s="28"/>
    </row>
    <row r="70" spans="1:11" x14ac:dyDescent="0.3">
      <c r="A70" s="9"/>
      <c r="B70" s="28"/>
      <c r="C70" s="13"/>
      <c r="D70" s="13"/>
      <c r="E70" s="13"/>
      <c r="F70" s="13"/>
      <c r="G70" s="13"/>
      <c r="H70" s="13"/>
      <c r="I70" s="29"/>
      <c r="J70" s="28"/>
      <c r="K70" s="28"/>
    </row>
    <row r="71" spans="1:11" x14ac:dyDescent="0.3">
      <c r="A71" s="9"/>
      <c r="B71" s="28"/>
      <c r="C71" s="13"/>
      <c r="D71" s="13"/>
      <c r="E71" s="13"/>
      <c r="F71" s="13"/>
      <c r="G71" s="13"/>
      <c r="H71" s="13"/>
      <c r="I71" s="29"/>
      <c r="J71" s="28"/>
      <c r="K71" s="28"/>
    </row>
    <row r="72" spans="1:11" x14ac:dyDescent="0.3">
      <c r="A72" s="9"/>
      <c r="B72" s="28"/>
      <c r="C72" s="13"/>
      <c r="D72" s="13"/>
      <c r="E72" s="13"/>
      <c r="F72" s="13"/>
      <c r="G72" s="13"/>
      <c r="H72" s="13"/>
      <c r="I72" s="29"/>
      <c r="J72" s="28"/>
      <c r="K72" s="28"/>
    </row>
    <row r="73" spans="1:11" x14ac:dyDescent="0.3">
      <c r="A73" s="9"/>
      <c r="B73" s="28"/>
      <c r="C73" s="13"/>
      <c r="D73" s="13"/>
      <c r="E73" s="13"/>
      <c r="F73" s="13"/>
      <c r="G73" s="13"/>
      <c r="H73" s="13"/>
      <c r="I73" s="29"/>
      <c r="J73" s="28"/>
      <c r="K73" s="28"/>
    </row>
    <row r="74" spans="1:11" x14ac:dyDescent="0.3">
      <c r="A74" s="9"/>
      <c r="B74" s="10"/>
      <c r="G74" s="13"/>
      <c r="I74" s="29"/>
      <c r="J74" s="28"/>
      <c r="K74" s="28"/>
    </row>
    <row r="75" spans="1:11" x14ac:dyDescent="0.3">
      <c r="A75" s="9"/>
      <c r="B75" s="10"/>
      <c r="G75" s="13"/>
      <c r="I75" s="29"/>
      <c r="J75" s="28"/>
      <c r="K75" s="28"/>
    </row>
    <row r="76" spans="1:11" x14ac:dyDescent="0.3">
      <c r="A76" s="9"/>
      <c r="B76" s="10"/>
      <c r="G76" s="13"/>
      <c r="I76" s="21"/>
      <c r="J76" s="22"/>
      <c r="K76" s="22"/>
    </row>
    <row r="77" spans="1:11" x14ac:dyDescent="0.3">
      <c r="A77" s="9"/>
      <c r="B77" s="10"/>
      <c r="G77" s="13"/>
      <c r="I77" s="29"/>
      <c r="J77" s="28"/>
      <c r="K77" s="28"/>
    </row>
    <row r="78" spans="1:11" x14ac:dyDescent="0.3">
      <c r="A78" s="9"/>
      <c r="B78" s="10"/>
      <c r="G78" s="13"/>
      <c r="I78" s="29"/>
      <c r="J78" s="28"/>
      <c r="K78" s="48"/>
    </row>
    <row r="79" spans="1:11" x14ac:dyDescent="0.3">
      <c r="A79" s="9"/>
      <c r="B79" s="10"/>
      <c r="G79" s="13"/>
      <c r="I79" s="21"/>
      <c r="J79" s="28"/>
      <c r="K79" s="48"/>
    </row>
    <row r="80" spans="1:11" x14ac:dyDescent="0.3">
      <c r="A80" s="9"/>
      <c r="B80" s="10"/>
      <c r="G80" s="13"/>
      <c r="I80" s="29"/>
      <c r="J80" s="28"/>
      <c r="K80" s="48"/>
    </row>
    <row r="81" spans="1:11" x14ac:dyDescent="0.3">
      <c r="A81" s="9"/>
      <c r="B81" s="10"/>
      <c r="I81" s="29"/>
      <c r="J81" s="28"/>
      <c r="K81" s="28"/>
    </row>
    <row r="82" spans="1:11" x14ac:dyDescent="0.3">
      <c r="A82" s="9"/>
      <c r="B82" s="10"/>
      <c r="I82" s="29"/>
      <c r="J82" s="28"/>
      <c r="K82" s="28"/>
    </row>
    <row r="83" spans="1:11" x14ac:dyDescent="0.3">
      <c r="A83" s="9"/>
      <c r="B83" s="10"/>
      <c r="I83" s="29"/>
      <c r="J83" s="28"/>
      <c r="K83" s="28"/>
    </row>
    <row r="84" spans="1:11" x14ac:dyDescent="0.3">
      <c r="A84" s="9"/>
      <c r="B84" s="10"/>
    </row>
    <row r="85" spans="1:11" x14ac:dyDescent="0.3">
      <c r="A85" s="9"/>
      <c r="B85" s="10"/>
    </row>
    <row r="86" spans="1:11" x14ac:dyDescent="0.3">
      <c r="A86" s="9"/>
      <c r="B86" s="10"/>
    </row>
    <row r="87" spans="1:11" x14ac:dyDescent="0.3">
      <c r="A87" s="9"/>
      <c r="B87" s="10"/>
    </row>
    <row r="88" spans="1:11" x14ac:dyDescent="0.3">
      <c r="A88" s="9"/>
      <c r="B88" s="10"/>
    </row>
    <row r="89" spans="1:11" x14ac:dyDescent="0.3">
      <c r="A89" s="9"/>
      <c r="B89" s="10"/>
    </row>
    <row r="90" spans="1:11" x14ac:dyDescent="0.3">
      <c r="A90" s="9"/>
      <c r="B90" s="10"/>
    </row>
    <row r="91" spans="1:11" x14ac:dyDescent="0.3">
      <c r="A91" s="9"/>
      <c r="B91" s="10"/>
    </row>
    <row r="92" spans="1:11" x14ac:dyDescent="0.3">
      <c r="A92" s="9"/>
      <c r="B92" s="10"/>
    </row>
    <row r="93" spans="1:11" x14ac:dyDescent="0.3">
      <c r="A93" s="9"/>
      <c r="B93" s="10"/>
    </row>
    <row r="94" spans="1:11" x14ac:dyDescent="0.3">
      <c r="A94" s="9"/>
      <c r="B94" s="10"/>
    </row>
    <row r="95" spans="1:11" x14ac:dyDescent="0.3">
      <c r="A95" s="9"/>
      <c r="B95" s="10"/>
    </row>
    <row r="96" spans="1:11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  <row r="179" spans="1:2" x14ac:dyDescent="0.3">
      <c r="A179" s="9"/>
      <c r="B179" s="10"/>
    </row>
    <row r="180" spans="1:2" x14ac:dyDescent="0.3">
      <c r="A180" s="9"/>
      <c r="B180" s="10"/>
    </row>
    <row r="181" spans="1:2" x14ac:dyDescent="0.3">
      <c r="A181" s="9"/>
      <c r="B181" s="10"/>
    </row>
    <row r="182" spans="1:2" x14ac:dyDescent="0.3">
      <c r="A182" s="9"/>
      <c r="B182" s="10"/>
    </row>
    <row r="183" spans="1:2" x14ac:dyDescent="0.3">
      <c r="A183" s="9"/>
      <c r="B183" s="10"/>
    </row>
    <row r="184" spans="1:2" x14ac:dyDescent="0.3">
      <c r="A184" s="9"/>
      <c r="B184" s="10"/>
    </row>
    <row r="185" spans="1:2" x14ac:dyDescent="0.3">
      <c r="A185" s="9"/>
      <c r="B185" s="10"/>
    </row>
    <row r="186" spans="1:2" x14ac:dyDescent="0.3">
      <c r="A186" s="9"/>
      <c r="B186" s="10"/>
    </row>
    <row r="187" spans="1:2" x14ac:dyDescent="0.3">
      <c r="A187" s="9"/>
      <c r="B187" s="10"/>
    </row>
    <row r="188" spans="1:2" x14ac:dyDescent="0.3">
      <c r="A188" s="9"/>
      <c r="B188" s="10"/>
    </row>
  </sheetData>
  <pageMargins left="1" right="1" top="0.5" bottom="0" header="0.5" footer="0.4"/>
  <pageSetup paperSize="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"/>
  <sheetViews>
    <sheetView topLeftCell="A36" workbookViewId="0">
      <selection activeCell="A47" sqref="A47"/>
    </sheetView>
  </sheetViews>
  <sheetFormatPr defaultRowHeight="13" x14ac:dyDescent="0.3"/>
  <cols>
    <col min="1" max="1" width="5.7265625" style="30" customWidth="1"/>
    <col min="2" max="2" width="14.1796875" customWidth="1"/>
    <col min="3" max="3" width="8.1796875" customWidth="1"/>
    <col min="4" max="4" width="2" customWidth="1"/>
    <col min="5" max="5" width="1.81640625" customWidth="1"/>
    <col min="6" max="6" width="7" customWidth="1"/>
    <col min="7" max="7" width="3.54296875" customWidth="1"/>
    <col min="8" max="8" width="6.81640625" customWidth="1"/>
    <col min="9" max="9" width="1.7265625" style="17" hidden="1" customWidth="1"/>
    <col min="10" max="10" width="3.453125" style="17" customWidth="1"/>
    <col min="11" max="11" width="7" style="10" customWidth="1"/>
    <col min="12" max="12" width="3.54296875" style="10" customWidth="1"/>
    <col min="13" max="13" width="7" style="10" customWidth="1"/>
    <col min="14" max="14" width="3.453125" style="10" customWidth="1"/>
    <col min="15" max="15" width="7" customWidth="1"/>
    <col min="16" max="16" width="8.54296875" style="13" customWidth="1"/>
    <col min="17" max="17" width="6.7265625" style="13" customWidth="1"/>
  </cols>
  <sheetData>
    <row r="1" spans="1:17" ht="24" customHeight="1" x14ac:dyDescent="0.25">
      <c r="A1" s="22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Q1"/>
    </row>
    <row r="2" spans="1:17" x14ac:dyDescent="0.3">
      <c r="A2" s="197" t="s">
        <v>31</v>
      </c>
      <c r="B2" s="10"/>
    </row>
    <row r="3" spans="1:17" x14ac:dyDescent="0.3">
      <c r="A3" s="197"/>
      <c r="B3" s="10"/>
    </row>
    <row r="4" spans="1:17" x14ac:dyDescent="0.3">
      <c r="A4" s="9"/>
      <c r="B4" s="10"/>
    </row>
    <row r="5" spans="1:17" ht="12.75" customHeight="1" x14ac:dyDescent="0.3">
      <c r="A5" s="9"/>
      <c r="B5" s="10"/>
      <c r="E5" s="10"/>
      <c r="F5" s="10"/>
      <c r="G5" s="10"/>
      <c r="H5" s="10"/>
      <c r="I5" s="29"/>
      <c r="J5" s="29"/>
      <c r="K5" s="28"/>
      <c r="L5" s="28"/>
      <c r="M5" s="69"/>
      <c r="N5" s="69"/>
    </row>
    <row r="6" spans="1:17" ht="12.75" customHeight="1" x14ac:dyDescent="0.3">
      <c r="A6" s="9"/>
      <c r="B6" s="10"/>
      <c r="E6" s="10"/>
      <c r="F6" s="10"/>
      <c r="G6" s="10"/>
      <c r="H6" s="10"/>
      <c r="I6" s="29"/>
      <c r="J6" s="29"/>
      <c r="K6" s="28"/>
      <c r="L6" s="28"/>
      <c r="M6" s="69"/>
      <c r="N6" s="69"/>
    </row>
    <row r="7" spans="1:17" x14ac:dyDescent="0.3">
      <c r="A7" s="162">
        <v>18</v>
      </c>
      <c r="B7" s="163" t="s">
        <v>177</v>
      </c>
      <c r="C7" s="145"/>
      <c r="D7" s="145"/>
      <c r="E7" s="10"/>
      <c r="F7" s="10"/>
      <c r="G7" s="10"/>
      <c r="H7" s="10"/>
      <c r="I7" s="29"/>
      <c r="J7" s="29"/>
      <c r="K7" s="28"/>
      <c r="L7" s="28"/>
      <c r="M7" s="28"/>
      <c r="N7" s="28"/>
    </row>
    <row r="8" spans="1:17" x14ac:dyDescent="0.3">
      <c r="A8" s="162"/>
      <c r="B8" s="163"/>
      <c r="C8" s="145"/>
      <c r="D8" s="145"/>
      <c r="E8" s="10"/>
      <c r="F8" s="10"/>
      <c r="G8" s="10"/>
      <c r="H8" s="10"/>
      <c r="I8" s="29"/>
      <c r="J8" s="29"/>
      <c r="K8" s="28"/>
      <c r="L8" s="28"/>
      <c r="M8" s="28"/>
      <c r="N8" s="28"/>
    </row>
    <row r="9" spans="1:17" ht="12" customHeight="1" x14ac:dyDescent="0.3">
      <c r="A9" s="9"/>
      <c r="B9" s="10"/>
      <c r="E9" s="251"/>
      <c r="F9" s="252" t="s">
        <v>35</v>
      </c>
      <c r="G9" s="253"/>
      <c r="H9" s="252" t="s">
        <v>79</v>
      </c>
      <c r="I9" s="254"/>
      <c r="J9" s="254"/>
      <c r="K9" s="255" t="s">
        <v>178</v>
      </c>
      <c r="L9" s="255"/>
      <c r="M9" s="254"/>
      <c r="N9" s="256"/>
      <c r="O9" s="257"/>
    </row>
    <row r="10" spans="1:17" ht="12" customHeight="1" x14ac:dyDescent="0.3">
      <c r="A10" s="15"/>
      <c r="B10" s="16"/>
      <c r="E10" s="251"/>
      <c r="F10" s="252" t="s">
        <v>179</v>
      </c>
      <c r="G10" s="253"/>
      <c r="H10" s="252" t="s">
        <v>180</v>
      </c>
      <c r="I10" s="254"/>
      <c r="J10" s="254"/>
      <c r="K10" s="252" t="s">
        <v>181</v>
      </c>
      <c r="L10" s="252"/>
      <c r="M10" s="255" t="s">
        <v>182</v>
      </c>
      <c r="N10" s="258"/>
      <c r="O10" s="257"/>
    </row>
    <row r="11" spans="1:17" ht="12" customHeight="1" x14ac:dyDescent="0.3">
      <c r="A11" s="9"/>
      <c r="B11" s="10"/>
      <c r="E11" s="251"/>
      <c r="F11" s="252" t="s">
        <v>183</v>
      </c>
      <c r="G11" s="253"/>
      <c r="H11" s="252" t="s">
        <v>184</v>
      </c>
      <c r="I11" s="254"/>
      <c r="J11" s="254"/>
      <c r="K11" s="255" t="s">
        <v>183</v>
      </c>
      <c r="L11" s="255"/>
      <c r="M11" s="255" t="s">
        <v>184</v>
      </c>
      <c r="N11" s="258"/>
      <c r="O11" s="259" t="s">
        <v>84</v>
      </c>
    </row>
    <row r="12" spans="1:17" ht="15" customHeight="1" x14ac:dyDescent="0.3">
      <c r="A12" s="9"/>
      <c r="B12" s="10"/>
      <c r="E12" s="260"/>
      <c r="F12" s="183" t="s">
        <v>1</v>
      </c>
      <c r="G12" s="135"/>
      <c r="H12" s="183" t="s">
        <v>1</v>
      </c>
      <c r="I12" s="144"/>
      <c r="J12" s="144"/>
      <c r="K12" s="183" t="s">
        <v>1</v>
      </c>
      <c r="L12" s="135"/>
      <c r="M12" s="183" t="s">
        <v>1</v>
      </c>
      <c r="N12" s="145"/>
      <c r="O12" s="183" t="s">
        <v>1</v>
      </c>
    </row>
    <row r="13" spans="1:17" ht="12.75" customHeight="1" x14ac:dyDescent="0.3">
      <c r="A13" s="9"/>
      <c r="B13" s="10"/>
      <c r="E13" s="87"/>
      <c r="F13" s="204"/>
      <c r="G13" s="135"/>
      <c r="H13" s="204"/>
      <c r="I13" s="144"/>
      <c r="J13" s="144"/>
      <c r="K13" s="204"/>
      <c r="L13" s="135"/>
      <c r="M13" s="204"/>
      <c r="N13" s="145"/>
      <c r="O13" s="204"/>
    </row>
    <row r="14" spans="1:17" x14ac:dyDescent="0.3">
      <c r="A14" s="9"/>
      <c r="B14" s="226">
        <v>1997</v>
      </c>
      <c r="C14" s="227"/>
      <c r="D14" s="227"/>
      <c r="E14" s="87"/>
      <c r="F14" s="134"/>
      <c r="G14" s="134"/>
      <c r="H14" s="134"/>
      <c r="I14" s="146"/>
      <c r="J14" s="146"/>
      <c r="K14" s="147"/>
      <c r="L14" s="147"/>
      <c r="M14" s="147"/>
      <c r="N14" s="147"/>
      <c r="O14" s="148"/>
    </row>
    <row r="15" spans="1:17" x14ac:dyDescent="0.3">
      <c r="A15" s="9"/>
      <c r="B15" s="181" t="s">
        <v>185</v>
      </c>
      <c r="C15" s="227"/>
      <c r="D15" s="227"/>
      <c r="E15" s="87"/>
      <c r="F15" s="53">
        <v>8177.5</v>
      </c>
      <c r="G15" s="134"/>
      <c r="H15" s="290" t="s">
        <v>37</v>
      </c>
      <c r="I15" s="146"/>
      <c r="J15" s="146"/>
      <c r="K15" s="146">
        <v>25.5</v>
      </c>
      <c r="L15" s="147"/>
      <c r="M15" s="146">
        <v>1476</v>
      </c>
      <c r="N15" s="147"/>
      <c r="O15" s="295">
        <f>SUM(F15:M15)</f>
        <v>9679</v>
      </c>
    </row>
    <row r="16" spans="1:17" x14ac:dyDescent="0.3">
      <c r="A16" s="9"/>
      <c r="B16" s="181" t="s">
        <v>186</v>
      </c>
      <c r="C16" s="227"/>
      <c r="D16" s="227"/>
      <c r="E16" s="87"/>
      <c r="F16" s="290"/>
      <c r="G16" s="134"/>
      <c r="H16" s="290"/>
      <c r="I16" s="150"/>
      <c r="J16" s="150"/>
      <c r="K16" s="294"/>
      <c r="L16" s="147"/>
      <c r="M16" s="146"/>
      <c r="N16" s="147"/>
      <c r="O16" s="295"/>
    </row>
    <row r="17" spans="1:15" x14ac:dyDescent="0.3">
      <c r="A17" s="9"/>
      <c r="B17" s="181" t="s">
        <v>187</v>
      </c>
      <c r="C17" s="227"/>
      <c r="D17" s="227"/>
      <c r="E17" s="87"/>
      <c r="F17" s="290" t="s">
        <v>37</v>
      </c>
      <c r="G17" s="134"/>
      <c r="H17" s="290" t="s">
        <v>37</v>
      </c>
      <c r="I17" s="150"/>
      <c r="J17" s="150"/>
      <c r="K17" s="294" t="s">
        <v>37</v>
      </c>
      <c r="L17" s="147"/>
      <c r="M17" s="339">
        <v>394.7</v>
      </c>
      <c r="N17" s="339"/>
      <c r="O17" s="295">
        <f>SUM(F17:M17)</f>
        <v>394.7</v>
      </c>
    </row>
    <row r="18" spans="1:15" x14ac:dyDescent="0.3">
      <c r="A18" s="9"/>
      <c r="B18" s="181" t="s">
        <v>58</v>
      </c>
      <c r="C18" s="227"/>
      <c r="D18" s="227"/>
      <c r="E18" s="87"/>
      <c r="F18" s="290" t="s">
        <v>37</v>
      </c>
      <c r="G18" s="134"/>
      <c r="H18" s="290" t="s">
        <v>37</v>
      </c>
      <c r="I18" s="150"/>
      <c r="J18" s="150"/>
      <c r="K18" s="294" t="s">
        <v>37</v>
      </c>
      <c r="L18" s="147"/>
      <c r="M18" s="339">
        <v>-307.5</v>
      </c>
      <c r="N18" s="339"/>
      <c r="O18" s="295">
        <f>SUM(F18:M18)</f>
        <v>-307.5</v>
      </c>
    </row>
    <row r="19" spans="1:15" x14ac:dyDescent="0.3">
      <c r="A19" s="9"/>
      <c r="B19" s="228" t="s">
        <v>188</v>
      </c>
      <c r="C19" s="227"/>
      <c r="D19" s="227"/>
      <c r="E19" s="87"/>
      <c r="F19" s="53">
        <v>-844.6</v>
      </c>
      <c r="G19" s="134"/>
      <c r="H19" s="290" t="s">
        <v>37</v>
      </c>
      <c r="I19" s="146"/>
      <c r="J19" s="146"/>
      <c r="K19" s="294" t="s">
        <v>37</v>
      </c>
      <c r="L19" s="147"/>
      <c r="M19" s="294" t="s">
        <v>37</v>
      </c>
      <c r="N19" s="147"/>
      <c r="O19" s="295">
        <f>SUM(F19:M19)</f>
        <v>-844.6</v>
      </c>
    </row>
    <row r="20" spans="1:15" x14ac:dyDescent="0.3">
      <c r="A20" s="9"/>
      <c r="B20" s="181" t="s">
        <v>189</v>
      </c>
      <c r="C20" s="227"/>
      <c r="D20" s="227"/>
      <c r="E20" s="87"/>
      <c r="I20"/>
      <c r="J20"/>
      <c r="K20"/>
      <c r="L20"/>
      <c r="M20"/>
      <c r="N20"/>
    </row>
    <row r="21" spans="1:15" x14ac:dyDescent="0.3">
      <c r="A21" s="9"/>
      <c r="B21" s="181" t="s">
        <v>190</v>
      </c>
      <c r="C21" s="227"/>
      <c r="D21" s="227"/>
      <c r="E21" s="87"/>
      <c r="F21" s="53">
        <v>-6.4</v>
      </c>
      <c r="G21" s="134"/>
      <c r="H21" s="290" t="s">
        <v>37</v>
      </c>
      <c r="I21" s="146"/>
      <c r="J21" s="146"/>
      <c r="K21" s="146">
        <v>-2.7</v>
      </c>
      <c r="L21" s="147"/>
      <c r="M21" s="294" t="s">
        <v>37</v>
      </c>
      <c r="N21" s="147"/>
      <c r="O21" s="295">
        <f>SUM(F21:M21)</f>
        <v>-9.1000000000000014</v>
      </c>
    </row>
    <row r="22" spans="1:15" x14ac:dyDescent="0.3">
      <c r="A22" s="40"/>
      <c r="B22" s="181" t="s">
        <v>88</v>
      </c>
      <c r="C22" s="227"/>
      <c r="D22" s="227"/>
      <c r="E22" s="87"/>
      <c r="F22" s="53">
        <v>-2.6</v>
      </c>
      <c r="G22" s="134"/>
      <c r="H22" s="290" t="s">
        <v>37</v>
      </c>
      <c r="I22" s="150"/>
      <c r="J22" s="150"/>
      <c r="K22" s="294" t="s">
        <v>37</v>
      </c>
      <c r="L22" s="147"/>
      <c r="M22" s="146">
        <v>2.6</v>
      </c>
      <c r="N22" s="147"/>
      <c r="O22" s="296">
        <f>SUM(F22:M22)</f>
        <v>0</v>
      </c>
    </row>
    <row r="23" spans="1:15" x14ac:dyDescent="0.3">
      <c r="A23" s="40"/>
      <c r="B23" s="228" t="s">
        <v>191</v>
      </c>
      <c r="C23" s="227"/>
      <c r="D23" s="227"/>
      <c r="E23" s="87"/>
      <c r="F23" s="290" t="s">
        <v>37</v>
      </c>
      <c r="G23" s="134"/>
      <c r="H23" s="290" t="s">
        <v>37</v>
      </c>
      <c r="I23" s="146"/>
      <c r="J23" s="146"/>
      <c r="K23" s="146">
        <v>-54.2</v>
      </c>
      <c r="L23" s="147"/>
      <c r="M23" s="294" t="s">
        <v>37</v>
      </c>
      <c r="N23" s="147"/>
      <c r="O23" s="295">
        <f>SUM(F23:M23)</f>
        <v>-54.2</v>
      </c>
    </row>
    <row r="24" spans="1:15" x14ac:dyDescent="0.3">
      <c r="A24" s="40"/>
      <c r="B24" s="181" t="s">
        <v>192</v>
      </c>
      <c r="C24" s="227"/>
      <c r="D24" s="227"/>
      <c r="E24" s="87"/>
      <c r="F24" s="290" t="s">
        <v>37</v>
      </c>
      <c r="G24" s="134"/>
      <c r="H24" s="290" t="s">
        <v>37</v>
      </c>
      <c r="I24" s="146"/>
      <c r="J24" s="146"/>
      <c r="K24" s="294" t="s">
        <v>37</v>
      </c>
      <c r="L24" s="147"/>
      <c r="M24" s="146">
        <v>-242.7</v>
      </c>
      <c r="N24" s="147"/>
      <c r="O24" s="295">
        <f>SUM(F24:M24)</f>
        <v>-242.7</v>
      </c>
    </row>
    <row r="25" spans="1:15" x14ac:dyDescent="0.3">
      <c r="A25" s="9"/>
      <c r="B25" s="181" t="s">
        <v>193</v>
      </c>
      <c r="C25" s="227"/>
      <c r="D25" s="227"/>
      <c r="E25" s="87"/>
      <c r="F25" s="53"/>
      <c r="G25" s="134"/>
      <c r="H25" s="53"/>
      <c r="I25" s="150"/>
      <c r="J25" s="150"/>
      <c r="K25" s="146"/>
      <c r="L25" s="147"/>
      <c r="M25" s="150"/>
      <c r="N25" s="149"/>
      <c r="O25" s="295"/>
    </row>
    <row r="26" spans="1:15" x14ac:dyDescent="0.3">
      <c r="A26" s="9"/>
      <c r="B26" s="228" t="s">
        <v>194</v>
      </c>
      <c r="C26" s="227"/>
      <c r="D26" s="227"/>
      <c r="E26" s="87"/>
      <c r="F26" s="290" t="s">
        <v>37</v>
      </c>
      <c r="G26" s="134"/>
      <c r="H26" s="290" t="s">
        <v>37</v>
      </c>
      <c r="I26" s="150"/>
      <c r="J26" s="150"/>
      <c r="K26" s="294" t="s">
        <v>37</v>
      </c>
      <c r="L26" s="147"/>
      <c r="M26" s="150">
        <v>34</v>
      </c>
      <c r="N26" s="149"/>
      <c r="O26" s="295">
        <f>SUM(F26:M26)</f>
        <v>34</v>
      </c>
    </row>
    <row r="27" spans="1:15" ht="7.5" customHeight="1" x14ac:dyDescent="0.3">
      <c r="A27" s="40"/>
      <c r="B27" s="181"/>
      <c r="C27" s="229"/>
      <c r="D27" s="230"/>
      <c r="E27" s="87"/>
      <c r="F27" s="154"/>
      <c r="G27" s="134"/>
      <c r="H27" s="154"/>
      <c r="I27" s="150"/>
      <c r="J27" s="150"/>
      <c r="K27" s="154"/>
      <c r="L27" s="147"/>
      <c r="M27" s="154"/>
      <c r="N27" s="147"/>
      <c r="O27" s="154"/>
    </row>
    <row r="28" spans="1:15" ht="15.75" customHeight="1" x14ac:dyDescent="0.3">
      <c r="A28" s="40"/>
      <c r="B28" s="181" t="s">
        <v>195</v>
      </c>
      <c r="C28" s="229"/>
      <c r="D28" s="227"/>
      <c r="E28" s="87"/>
      <c r="F28" s="53">
        <f>SUM(F15:F26)</f>
        <v>7323.9</v>
      </c>
      <c r="G28" s="134"/>
      <c r="H28" s="293">
        <f>SUM(H15:H26)</f>
        <v>0</v>
      </c>
      <c r="I28" s="146"/>
      <c r="J28" s="146"/>
      <c r="K28" s="146">
        <f>SUM(K15:K26)</f>
        <v>-31.400000000000002</v>
      </c>
      <c r="L28" s="147"/>
      <c r="M28" s="150">
        <f>SUM(M15:M26)</f>
        <v>1357.1</v>
      </c>
      <c r="N28" s="149"/>
      <c r="O28" s="295">
        <f>SUM(O15:O26)</f>
        <v>8649.5999999999985</v>
      </c>
    </row>
    <row r="29" spans="1:15" ht="7.5" customHeight="1" thickBot="1" x14ac:dyDescent="0.35">
      <c r="A29" s="9"/>
      <c r="B29" s="181"/>
      <c r="C29" s="227"/>
      <c r="D29" s="227"/>
      <c r="E29" s="87"/>
      <c r="F29" s="291"/>
      <c r="G29" s="134"/>
      <c r="H29" s="291"/>
      <c r="I29" s="146"/>
      <c r="J29" s="146"/>
      <c r="K29" s="291"/>
      <c r="L29" s="147"/>
      <c r="M29" s="291"/>
      <c r="N29" s="147"/>
      <c r="O29" s="291"/>
    </row>
    <row r="30" spans="1:15" ht="7.5" customHeight="1" thickTop="1" x14ac:dyDescent="0.3">
      <c r="A30" s="9"/>
      <c r="B30" s="227"/>
      <c r="C30" s="227"/>
      <c r="D30" s="227"/>
      <c r="F30" s="61"/>
      <c r="H30" s="61"/>
      <c r="I30"/>
      <c r="J30"/>
      <c r="K30" s="61"/>
      <c r="L30"/>
      <c r="M30" s="61"/>
      <c r="N30"/>
      <c r="O30" s="61"/>
    </row>
    <row r="31" spans="1:15" x14ac:dyDescent="0.3">
      <c r="A31" s="9"/>
      <c r="B31" s="181" t="s">
        <v>196</v>
      </c>
      <c r="C31" s="227"/>
      <c r="D31" s="227"/>
      <c r="E31" s="87"/>
      <c r="F31" s="53"/>
      <c r="G31" s="134"/>
      <c r="H31" s="53"/>
      <c r="I31" s="146"/>
      <c r="J31" s="146"/>
      <c r="K31" s="146"/>
      <c r="L31" s="147"/>
      <c r="M31" s="146"/>
      <c r="N31" s="147"/>
      <c r="O31" s="53"/>
    </row>
    <row r="32" spans="1:15" x14ac:dyDescent="0.3">
      <c r="A32" s="9"/>
      <c r="B32" s="181" t="s">
        <v>105</v>
      </c>
      <c r="C32" s="227"/>
      <c r="D32" s="227"/>
      <c r="E32" s="87"/>
      <c r="F32" s="53">
        <v>18.3</v>
      </c>
      <c r="G32" s="134"/>
      <c r="H32" s="290" t="s">
        <v>37</v>
      </c>
      <c r="I32" s="146"/>
      <c r="J32" s="146"/>
      <c r="K32" s="146">
        <v>-6.9</v>
      </c>
      <c r="L32" s="147"/>
      <c r="M32" s="146">
        <v>52.2</v>
      </c>
      <c r="N32" s="147"/>
      <c r="O32" s="295">
        <v>63.6</v>
      </c>
    </row>
    <row r="33" spans="1:15" ht="7.5" customHeight="1" x14ac:dyDescent="0.3">
      <c r="A33" s="9"/>
      <c r="B33" s="181"/>
      <c r="C33" s="227"/>
      <c r="D33" s="227"/>
      <c r="E33" s="87"/>
      <c r="F33" s="292"/>
      <c r="G33" s="134"/>
      <c r="H33" s="292"/>
      <c r="I33" s="146"/>
      <c r="J33" s="146"/>
      <c r="K33" s="292"/>
      <c r="L33" s="147"/>
      <c r="M33" s="292"/>
      <c r="N33" s="147"/>
      <c r="O33" s="154"/>
    </row>
    <row r="34" spans="1:15" x14ac:dyDescent="0.3">
      <c r="A34" s="9"/>
      <c r="B34" s="181"/>
      <c r="C34" s="227"/>
      <c r="D34" s="227"/>
      <c r="E34" s="87"/>
      <c r="F34" s="134"/>
      <c r="G34" s="134"/>
      <c r="H34" s="134"/>
      <c r="I34" s="146"/>
      <c r="J34" s="146"/>
      <c r="K34" s="147"/>
      <c r="L34" s="147"/>
      <c r="M34" s="147"/>
      <c r="N34" s="147"/>
      <c r="O34" s="172"/>
    </row>
    <row r="35" spans="1:15" x14ac:dyDescent="0.3">
      <c r="A35" s="9"/>
      <c r="B35" s="226">
        <v>1996</v>
      </c>
      <c r="C35" s="227"/>
      <c r="D35" s="227"/>
      <c r="E35" s="87"/>
      <c r="F35" s="134"/>
      <c r="G35" s="134"/>
      <c r="H35" s="134"/>
      <c r="I35" s="146"/>
      <c r="J35" s="146"/>
      <c r="K35" s="147"/>
      <c r="L35" s="147"/>
      <c r="M35" s="147"/>
      <c r="N35" s="147"/>
      <c r="O35" s="148"/>
    </row>
    <row r="36" spans="1:15" x14ac:dyDescent="0.3">
      <c r="A36" s="9"/>
      <c r="B36" s="181" t="s">
        <v>185</v>
      </c>
      <c r="C36" s="227"/>
      <c r="D36" s="227"/>
      <c r="E36" s="87"/>
      <c r="F36" s="134">
        <v>6113.4</v>
      </c>
      <c r="G36" s="134"/>
      <c r="H36" s="134">
        <v>17.399999999999999</v>
      </c>
      <c r="I36" s="146"/>
      <c r="J36" s="146"/>
      <c r="K36" s="147">
        <v>36.9</v>
      </c>
      <c r="L36" s="147"/>
      <c r="M36" s="147">
        <v>1113.5999999999999</v>
      </c>
      <c r="N36" s="147"/>
      <c r="O36" s="172">
        <v>7281.3</v>
      </c>
    </row>
    <row r="37" spans="1:15" x14ac:dyDescent="0.3">
      <c r="A37" s="9"/>
      <c r="B37" s="181" t="s">
        <v>186</v>
      </c>
      <c r="C37" s="326"/>
      <c r="D37" s="326"/>
      <c r="E37" s="324"/>
      <c r="F37" s="327"/>
      <c r="G37" s="328"/>
      <c r="H37" s="327"/>
      <c r="I37" s="329"/>
      <c r="J37" s="329"/>
      <c r="K37" s="330"/>
      <c r="L37" s="331"/>
      <c r="M37" s="332"/>
      <c r="N37" s="331"/>
      <c r="O37" s="333"/>
    </row>
    <row r="38" spans="1:15" x14ac:dyDescent="0.3">
      <c r="A38" s="9"/>
      <c r="B38" s="181" t="s">
        <v>197</v>
      </c>
      <c r="C38" s="326"/>
      <c r="D38" s="326"/>
      <c r="E38" s="324"/>
      <c r="F38" s="290" t="s">
        <v>37</v>
      </c>
      <c r="G38" s="134"/>
      <c r="H38" s="290" t="s">
        <v>37</v>
      </c>
      <c r="I38" s="150"/>
      <c r="J38" s="150"/>
      <c r="K38" s="340">
        <v>-5.6</v>
      </c>
      <c r="L38" s="147"/>
      <c r="M38" s="225">
        <v>655</v>
      </c>
      <c r="N38" s="225"/>
      <c r="O38" s="172">
        <f>SUM(F38:M38)</f>
        <v>649.4</v>
      </c>
    </row>
    <row r="39" spans="1:15" x14ac:dyDescent="0.3">
      <c r="A39" s="9"/>
      <c r="B39" s="181" t="s">
        <v>58</v>
      </c>
      <c r="C39" s="326"/>
      <c r="D39" s="326"/>
      <c r="E39" s="324"/>
      <c r="F39" s="290" t="s">
        <v>37</v>
      </c>
      <c r="G39" s="134"/>
      <c r="H39" s="290" t="s">
        <v>37</v>
      </c>
      <c r="I39" s="150"/>
      <c r="J39" s="150"/>
      <c r="K39" s="294" t="s">
        <v>37</v>
      </c>
      <c r="L39" s="147"/>
      <c r="M39" s="225">
        <v>-315.60000000000002</v>
      </c>
      <c r="N39" s="225"/>
      <c r="O39" s="172">
        <f>SUM(F39:M39)</f>
        <v>-315.60000000000002</v>
      </c>
    </row>
    <row r="40" spans="1:15" x14ac:dyDescent="0.3">
      <c r="A40" s="9"/>
      <c r="B40" s="228" t="s">
        <v>198</v>
      </c>
      <c r="C40" s="227"/>
      <c r="D40" s="227"/>
      <c r="E40" s="87"/>
      <c r="F40" s="134">
        <v>2062.4</v>
      </c>
      <c r="G40" s="134"/>
      <c r="H40" s="141" t="s">
        <v>14</v>
      </c>
      <c r="I40" s="146"/>
      <c r="J40" s="146"/>
      <c r="K40" s="149" t="s">
        <v>14</v>
      </c>
      <c r="L40" s="147"/>
      <c r="M40" s="149" t="s">
        <v>14</v>
      </c>
      <c r="N40" s="147"/>
      <c r="O40" s="172">
        <v>2062.4</v>
      </c>
    </row>
    <row r="41" spans="1:15" x14ac:dyDescent="0.3">
      <c r="A41" s="9"/>
      <c r="B41" s="181" t="s">
        <v>189</v>
      </c>
      <c r="C41" s="227"/>
      <c r="D41" s="227"/>
      <c r="E41" s="87"/>
      <c r="I41"/>
      <c r="J41"/>
      <c r="K41"/>
      <c r="L41"/>
      <c r="M41"/>
      <c r="N41"/>
    </row>
    <row r="42" spans="1:15" x14ac:dyDescent="0.3">
      <c r="A42" s="9"/>
      <c r="B42" s="181" t="s">
        <v>190</v>
      </c>
      <c r="C42" s="227"/>
      <c r="D42" s="227"/>
      <c r="E42" s="87"/>
      <c r="F42" s="134">
        <v>12.5</v>
      </c>
      <c r="G42" s="134"/>
      <c r="H42" s="141" t="s">
        <v>14</v>
      </c>
      <c r="I42" s="146"/>
      <c r="J42" s="146"/>
      <c r="K42" s="147">
        <v>-3</v>
      </c>
      <c r="L42" s="147"/>
      <c r="M42" s="149" t="s">
        <v>14</v>
      </c>
      <c r="N42" s="147"/>
      <c r="O42" s="172">
        <v>9.5</v>
      </c>
    </row>
    <row r="43" spans="1:15" x14ac:dyDescent="0.3">
      <c r="A43" s="40"/>
      <c r="B43" s="181" t="s">
        <v>88</v>
      </c>
      <c r="C43" s="227"/>
      <c r="D43" s="227"/>
      <c r="E43" s="87"/>
      <c r="F43" s="134">
        <v>-10.8</v>
      </c>
      <c r="G43" s="134"/>
      <c r="H43" s="134">
        <v>-0.5</v>
      </c>
      <c r="I43" s="150"/>
      <c r="J43" s="150"/>
      <c r="K43" s="149" t="s">
        <v>14</v>
      </c>
      <c r="L43" s="147"/>
      <c r="M43" s="147">
        <v>11.3</v>
      </c>
      <c r="N43" s="147"/>
      <c r="O43" s="174" t="s">
        <v>14</v>
      </c>
    </row>
    <row r="44" spans="1:15" x14ac:dyDescent="0.3">
      <c r="A44" s="40"/>
      <c r="B44" s="228" t="s">
        <v>191</v>
      </c>
      <c r="C44" s="227"/>
      <c r="D44" s="227"/>
      <c r="E44" s="87"/>
      <c r="F44" s="141" t="s">
        <v>14</v>
      </c>
      <c r="G44" s="134"/>
      <c r="H44" s="141" t="s">
        <v>14</v>
      </c>
      <c r="I44" s="146"/>
      <c r="J44" s="146"/>
      <c r="K44" s="147">
        <v>-2.8</v>
      </c>
      <c r="L44" s="147"/>
      <c r="M44" s="149" t="s">
        <v>14</v>
      </c>
      <c r="N44" s="147"/>
      <c r="O44" s="172">
        <v>-2.8</v>
      </c>
    </row>
    <row r="45" spans="1:15" x14ac:dyDescent="0.3">
      <c r="A45" s="40"/>
      <c r="B45" s="181" t="s">
        <v>192</v>
      </c>
      <c r="C45" s="227"/>
      <c r="D45" s="227"/>
      <c r="E45" s="87"/>
      <c r="F45" s="141" t="s">
        <v>14</v>
      </c>
      <c r="G45" s="134"/>
      <c r="H45" s="134">
        <v>-16.899999999999999</v>
      </c>
      <c r="I45" s="146"/>
      <c r="J45" s="146"/>
      <c r="K45" s="149" t="s">
        <v>14</v>
      </c>
      <c r="L45" s="147"/>
      <c r="M45" s="147">
        <v>-20.8</v>
      </c>
      <c r="N45" s="147"/>
      <c r="O45" s="172">
        <v>-37.700000000000003</v>
      </c>
    </row>
    <row r="46" spans="1:15" x14ac:dyDescent="0.3">
      <c r="A46" s="9"/>
      <c r="B46" s="181" t="s">
        <v>199</v>
      </c>
      <c r="C46" s="227"/>
      <c r="D46" s="227"/>
      <c r="E46" s="87"/>
      <c r="F46" s="141" t="s">
        <v>14</v>
      </c>
      <c r="G46" s="134"/>
      <c r="H46" s="141" t="s">
        <v>14</v>
      </c>
      <c r="I46" s="150"/>
      <c r="J46" s="150"/>
      <c r="K46" s="149" t="s">
        <v>14</v>
      </c>
      <c r="L46" s="147"/>
      <c r="M46" s="149">
        <v>0.7</v>
      </c>
      <c r="N46" s="149"/>
      <c r="O46" s="172">
        <v>0.7</v>
      </c>
    </row>
    <row r="47" spans="1:15" x14ac:dyDescent="0.3">
      <c r="A47" s="9"/>
      <c r="B47" s="181" t="s">
        <v>193</v>
      </c>
      <c r="C47" s="227"/>
      <c r="D47" s="227"/>
      <c r="E47" s="87"/>
      <c r="F47" s="134"/>
      <c r="G47" s="134"/>
      <c r="H47" s="134"/>
      <c r="I47" s="150"/>
      <c r="J47" s="150"/>
      <c r="K47" s="147"/>
      <c r="L47" s="147"/>
      <c r="M47" s="149"/>
      <c r="N47" s="149"/>
      <c r="O47" s="172"/>
    </row>
    <row r="48" spans="1:15" x14ac:dyDescent="0.3">
      <c r="A48" s="9"/>
      <c r="B48" s="228" t="s">
        <v>194</v>
      </c>
      <c r="C48" s="227"/>
      <c r="D48" s="227"/>
      <c r="E48" s="87"/>
      <c r="F48" s="141" t="s">
        <v>14</v>
      </c>
      <c r="G48" s="134"/>
      <c r="H48" s="141" t="s">
        <v>14</v>
      </c>
      <c r="I48" s="150"/>
      <c r="J48" s="150"/>
      <c r="K48" s="149" t="s">
        <v>14</v>
      </c>
      <c r="L48" s="147"/>
      <c r="M48" s="149">
        <v>31.8</v>
      </c>
      <c r="N48" s="149"/>
      <c r="O48" s="172">
        <v>31.8</v>
      </c>
    </row>
    <row r="49" spans="1:15" x14ac:dyDescent="0.3">
      <c r="A49" s="9"/>
      <c r="I49"/>
      <c r="J49"/>
      <c r="K49"/>
      <c r="L49"/>
      <c r="M49"/>
      <c r="N49"/>
    </row>
    <row r="50" spans="1:15" ht="7.5" customHeight="1" x14ac:dyDescent="0.3">
      <c r="A50" s="40"/>
      <c r="B50" s="181"/>
      <c r="C50" s="229"/>
      <c r="D50" s="230"/>
      <c r="E50" s="87"/>
      <c r="F50" s="173"/>
      <c r="G50" s="134"/>
      <c r="H50" s="173"/>
      <c r="I50" s="150"/>
      <c r="J50" s="150"/>
      <c r="K50" s="173"/>
      <c r="L50" s="134"/>
      <c r="M50" s="173"/>
      <c r="N50" s="147"/>
      <c r="O50" s="173"/>
    </row>
    <row r="51" spans="1:15" ht="15.75" customHeight="1" x14ac:dyDescent="0.3">
      <c r="A51" s="40"/>
      <c r="B51" s="181" t="s">
        <v>195</v>
      </c>
      <c r="C51" s="229"/>
      <c r="D51" s="227"/>
      <c r="E51" s="87"/>
      <c r="F51" s="134">
        <v>8177.5</v>
      </c>
      <c r="G51" s="134"/>
      <c r="H51" s="141" t="s">
        <v>14</v>
      </c>
      <c r="I51" s="146"/>
      <c r="J51" s="146"/>
      <c r="K51" s="147">
        <v>25.5</v>
      </c>
      <c r="L51" s="147"/>
      <c r="M51" s="149">
        <v>1476</v>
      </c>
      <c r="N51" s="149"/>
      <c r="O51" s="172">
        <v>9679</v>
      </c>
    </row>
    <row r="52" spans="1:15" ht="7.5" customHeight="1" thickBot="1" x14ac:dyDescent="0.35">
      <c r="A52" s="9"/>
      <c r="B52" s="181"/>
      <c r="C52" s="227"/>
      <c r="D52" s="227"/>
      <c r="E52" s="87"/>
      <c r="F52" s="151"/>
      <c r="G52" s="134"/>
      <c r="H52" s="151"/>
      <c r="I52" s="146"/>
      <c r="J52" s="146"/>
      <c r="K52" s="151"/>
      <c r="L52" s="147"/>
      <c r="M52" s="151"/>
      <c r="N52" s="147"/>
      <c r="O52" s="151"/>
    </row>
    <row r="53" spans="1:15" ht="8.25" customHeight="1" thickTop="1" x14ac:dyDescent="0.3">
      <c r="A53" s="9"/>
      <c r="B53" s="181"/>
      <c r="C53" s="227"/>
      <c r="D53" s="227"/>
      <c r="E53" s="87"/>
      <c r="F53" s="147"/>
      <c r="G53" s="134"/>
      <c r="H53" s="147"/>
      <c r="I53" s="146"/>
      <c r="J53" s="146"/>
      <c r="K53" s="147"/>
      <c r="L53" s="147"/>
      <c r="M53" s="147"/>
      <c r="N53" s="147"/>
      <c r="O53" s="147"/>
    </row>
    <row r="54" spans="1:15" x14ac:dyDescent="0.3">
      <c r="A54" s="9"/>
      <c r="B54" s="181" t="s">
        <v>196</v>
      </c>
      <c r="C54" s="227"/>
      <c r="D54" s="227"/>
      <c r="E54" s="87"/>
      <c r="F54" s="134"/>
      <c r="G54" s="134"/>
      <c r="H54" s="134"/>
      <c r="I54" s="146"/>
      <c r="J54" s="146"/>
      <c r="K54" s="147"/>
      <c r="L54" s="147"/>
      <c r="M54" s="147"/>
      <c r="N54" s="147"/>
      <c r="O54" s="134"/>
    </row>
    <row r="55" spans="1:15" x14ac:dyDescent="0.3">
      <c r="A55" s="9"/>
      <c r="B55" s="181" t="s">
        <v>105</v>
      </c>
      <c r="C55" s="227"/>
      <c r="D55" s="227"/>
      <c r="E55" s="87"/>
      <c r="F55" s="134">
        <v>24.7</v>
      </c>
      <c r="G55" s="134"/>
      <c r="H55" s="141" t="s">
        <v>14</v>
      </c>
      <c r="I55" s="146"/>
      <c r="J55" s="146"/>
      <c r="K55" s="147">
        <v>-4.2</v>
      </c>
      <c r="L55" s="147"/>
      <c r="M55" s="147">
        <v>41.7</v>
      </c>
      <c r="N55" s="147"/>
      <c r="O55" s="172">
        <v>62.2</v>
      </c>
    </row>
    <row r="56" spans="1:15" ht="7.5" customHeight="1" x14ac:dyDescent="0.3">
      <c r="A56" s="9"/>
      <c r="B56" s="87"/>
      <c r="C56" s="101"/>
      <c r="D56" s="101"/>
      <c r="E56" s="87"/>
      <c r="F56" s="173"/>
      <c r="G56" s="134"/>
      <c r="H56" s="173"/>
      <c r="I56" s="150"/>
      <c r="J56" s="150"/>
      <c r="K56" s="173"/>
      <c r="L56" s="134"/>
      <c r="M56" s="173"/>
      <c r="N56" s="147"/>
      <c r="O56" s="173"/>
    </row>
    <row r="57" spans="1:15" x14ac:dyDescent="0.3">
      <c r="A57" s="9"/>
      <c r="B57" s="87"/>
      <c r="C57" s="101"/>
      <c r="D57" s="101"/>
      <c r="E57" s="87"/>
      <c r="F57" s="225"/>
      <c r="G57" s="134"/>
      <c r="H57" s="225"/>
      <c r="I57" s="150"/>
      <c r="J57" s="150"/>
      <c r="K57" s="225"/>
      <c r="L57" s="134"/>
      <c r="M57" s="225"/>
      <c r="N57" s="147"/>
      <c r="O57" s="225"/>
    </row>
    <row r="58" spans="1:15" x14ac:dyDescent="0.3">
      <c r="A58" s="9"/>
      <c r="B58" s="59" t="s">
        <v>200</v>
      </c>
      <c r="C58" s="107"/>
      <c r="D58" s="107"/>
      <c r="E58" s="13"/>
      <c r="F58" s="13"/>
      <c r="G58" s="13"/>
      <c r="H58" s="13"/>
      <c r="I58" s="29"/>
      <c r="J58" s="29"/>
      <c r="K58" s="28"/>
      <c r="L58" s="28"/>
      <c r="M58" s="28"/>
      <c r="N58" s="28"/>
    </row>
    <row r="59" spans="1:15" x14ac:dyDescent="0.3">
      <c r="A59" s="9"/>
      <c r="B59" s="59"/>
      <c r="C59" s="107"/>
      <c r="D59" s="107"/>
      <c r="E59" s="13"/>
      <c r="F59" s="13"/>
      <c r="G59" s="13"/>
      <c r="H59" s="13"/>
      <c r="I59" s="29"/>
      <c r="J59" s="29"/>
      <c r="K59" s="28"/>
      <c r="L59" s="28"/>
      <c r="M59" s="28"/>
      <c r="N59" s="28"/>
    </row>
    <row r="60" spans="1:15" x14ac:dyDescent="0.3">
      <c r="A60" s="9"/>
      <c r="B60" s="28"/>
      <c r="C60" s="13"/>
      <c r="D60" s="13"/>
      <c r="E60" s="13"/>
      <c r="F60" s="13"/>
      <c r="G60" s="13"/>
      <c r="H60" s="13"/>
      <c r="I60" s="29"/>
      <c r="J60" s="29"/>
      <c r="K60" s="28"/>
      <c r="L60" s="28"/>
      <c r="M60" s="28"/>
      <c r="N60" s="28"/>
    </row>
    <row r="61" spans="1:15" x14ac:dyDescent="0.3">
      <c r="A61" s="9"/>
      <c r="B61" s="28"/>
      <c r="C61" s="13"/>
      <c r="D61" s="13"/>
      <c r="E61" s="13"/>
      <c r="F61" s="13"/>
      <c r="G61" s="13"/>
      <c r="H61" s="13"/>
      <c r="I61" s="21"/>
      <c r="J61" s="21"/>
      <c r="K61" s="22"/>
      <c r="L61" s="22"/>
      <c r="M61" s="22"/>
      <c r="N61" s="22"/>
    </row>
    <row r="62" spans="1:15" x14ac:dyDescent="0.3">
      <c r="A62" s="9"/>
      <c r="B62" s="28"/>
      <c r="C62" s="13"/>
      <c r="D62" s="13"/>
      <c r="E62" s="13"/>
      <c r="F62" s="13"/>
      <c r="G62" s="13"/>
      <c r="H62" s="13"/>
      <c r="I62" s="29"/>
      <c r="J62" s="29"/>
      <c r="K62" s="28"/>
      <c r="L62" s="28"/>
      <c r="M62" s="28"/>
      <c r="N62" s="28"/>
    </row>
    <row r="63" spans="1:15" x14ac:dyDescent="0.3">
      <c r="A63" s="9"/>
      <c r="B63" s="28"/>
      <c r="C63" s="13"/>
      <c r="D63" s="13"/>
      <c r="E63" s="13"/>
      <c r="F63" s="13"/>
      <c r="G63" s="13"/>
      <c r="H63" s="13"/>
      <c r="I63" s="29"/>
      <c r="J63" s="29"/>
      <c r="K63" s="28"/>
      <c r="L63" s="28"/>
      <c r="M63" s="48"/>
      <c r="N63" s="48"/>
    </row>
    <row r="64" spans="1:15" x14ac:dyDescent="0.3">
      <c r="A64" s="9"/>
      <c r="B64" s="28"/>
      <c r="C64" s="13"/>
      <c r="D64" s="13"/>
      <c r="E64" s="13"/>
      <c r="F64" s="13"/>
      <c r="G64" s="13"/>
      <c r="H64" s="13"/>
      <c r="I64" s="21"/>
      <c r="J64" s="21"/>
      <c r="K64" s="28"/>
      <c r="L64" s="28"/>
      <c r="M64" s="48"/>
      <c r="N64" s="48"/>
    </row>
    <row r="65" spans="1:14" x14ac:dyDescent="0.3">
      <c r="A65" s="9"/>
      <c r="B65" s="28"/>
      <c r="C65" s="13"/>
      <c r="D65" s="13"/>
      <c r="E65" s="13"/>
      <c r="F65" s="13"/>
      <c r="G65" s="13"/>
      <c r="H65" s="13"/>
      <c r="I65" s="29"/>
      <c r="J65" s="29"/>
      <c r="K65" s="28"/>
      <c r="L65" s="28"/>
      <c r="M65" s="48"/>
      <c r="N65" s="48"/>
    </row>
    <row r="66" spans="1:14" x14ac:dyDescent="0.3">
      <c r="A66" s="9"/>
      <c r="B66" s="28"/>
      <c r="C66" s="13"/>
      <c r="D66" s="13"/>
      <c r="E66" s="13"/>
      <c r="F66" s="13"/>
      <c r="G66" s="13"/>
      <c r="H66" s="13"/>
      <c r="I66" s="29"/>
      <c r="J66" s="29"/>
      <c r="K66" s="28"/>
      <c r="L66" s="28"/>
      <c r="M66" s="28"/>
      <c r="N66" s="28"/>
    </row>
    <row r="67" spans="1:14" x14ac:dyDescent="0.3">
      <c r="A67" s="9"/>
      <c r="B67" s="28"/>
      <c r="C67" s="13"/>
      <c r="D67" s="13"/>
      <c r="E67" s="13"/>
      <c r="F67" s="13"/>
      <c r="G67" s="13"/>
      <c r="H67" s="13"/>
      <c r="I67" s="29"/>
      <c r="J67" s="29"/>
      <c r="K67" s="28"/>
      <c r="L67" s="28"/>
      <c r="M67" s="28"/>
      <c r="N67" s="28"/>
    </row>
    <row r="68" spans="1:14" x14ac:dyDescent="0.3">
      <c r="A68" s="9"/>
      <c r="B68" s="10"/>
      <c r="E68" s="13"/>
      <c r="F68" s="13"/>
      <c r="G68" s="13"/>
      <c r="H68" s="13"/>
      <c r="I68" s="29"/>
      <c r="J68" s="29"/>
      <c r="K68" s="28"/>
      <c r="L68" s="28"/>
      <c r="M68" s="28"/>
      <c r="N68" s="28"/>
    </row>
    <row r="69" spans="1:14" x14ac:dyDescent="0.3">
      <c r="A69" s="9"/>
      <c r="B69" s="10"/>
    </row>
    <row r="70" spans="1:14" x14ac:dyDescent="0.3">
      <c r="A70" s="9"/>
      <c r="B70" s="10"/>
    </row>
    <row r="71" spans="1:14" x14ac:dyDescent="0.3">
      <c r="A71" s="9"/>
      <c r="B71" s="10"/>
    </row>
    <row r="72" spans="1:14" x14ac:dyDescent="0.3">
      <c r="A72" s="9"/>
      <c r="B72" s="10"/>
    </row>
    <row r="73" spans="1:14" x14ac:dyDescent="0.3">
      <c r="A73" s="9"/>
      <c r="B73" s="10"/>
    </row>
    <row r="74" spans="1:14" x14ac:dyDescent="0.3">
      <c r="A74" s="9"/>
      <c r="B74" s="10"/>
    </row>
    <row r="75" spans="1:14" x14ac:dyDescent="0.3">
      <c r="A75" s="9"/>
      <c r="B75" s="10"/>
    </row>
    <row r="76" spans="1:14" x14ac:dyDescent="0.3">
      <c r="A76" s="9"/>
      <c r="B76" s="10"/>
    </row>
    <row r="77" spans="1:14" x14ac:dyDescent="0.3">
      <c r="A77" s="9"/>
      <c r="B77" s="10"/>
    </row>
    <row r="78" spans="1:14" x14ac:dyDescent="0.3">
      <c r="A78" s="9"/>
      <c r="B78" s="10"/>
    </row>
    <row r="79" spans="1:14" x14ac:dyDescent="0.3">
      <c r="A79" s="9"/>
      <c r="B79" s="10"/>
    </row>
    <row r="80" spans="1:14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  <row r="179" spans="1:2" x14ac:dyDescent="0.3">
      <c r="A179" s="9"/>
      <c r="B179" s="10"/>
    </row>
    <row r="180" spans="1:2" x14ac:dyDescent="0.3">
      <c r="A180" s="9"/>
      <c r="B180" s="10"/>
    </row>
    <row r="181" spans="1:2" x14ac:dyDescent="0.3">
      <c r="A181" s="9"/>
      <c r="B181" s="10"/>
    </row>
    <row r="182" spans="1:2" x14ac:dyDescent="0.3">
      <c r="A182" s="9"/>
      <c r="B182" s="10"/>
    </row>
    <row r="183" spans="1:2" x14ac:dyDescent="0.3">
      <c r="A183" s="9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74"/>
  <sheetViews>
    <sheetView topLeftCell="A45" workbookViewId="0">
      <pane xSplit="9280" topLeftCell="J1"/>
      <selection activeCell="E60" sqref="E60"/>
      <selection pane="topRight" activeCell="J1" sqref="J1"/>
    </sheetView>
  </sheetViews>
  <sheetFormatPr defaultRowHeight="13" x14ac:dyDescent="0.3"/>
  <cols>
    <col min="1" max="1" width="5.7265625" style="30" customWidth="1"/>
    <col min="2" max="2" width="14.1796875" customWidth="1"/>
    <col min="4" max="4" width="5.26953125" customWidth="1"/>
    <col min="5" max="5" width="3.7265625" customWidth="1"/>
    <col min="6" max="6" width="7.453125" customWidth="1"/>
    <col min="7" max="7" width="5.7265625" customWidth="1"/>
    <col min="8" max="8" width="7.1796875" customWidth="1"/>
    <col min="9" max="9" width="5.7265625" customWidth="1"/>
    <col min="10" max="10" width="6.54296875" style="17" customWidth="1"/>
    <col min="11" max="11" width="5.7265625" style="10" customWidth="1"/>
    <col min="12" max="12" width="6.54296875" style="10" customWidth="1"/>
  </cols>
  <sheetData>
    <row r="1" spans="1:121" s="2" customFormat="1" ht="24.75" customHeight="1" x14ac:dyDescent="0.25">
      <c r="A1" s="1" t="s">
        <v>0</v>
      </c>
      <c r="H1" s="3"/>
      <c r="I1" s="4"/>
      <c r="J1" s="4"/>
      <c r="M1"/>
      <c r="N1"/>
      <c r="O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</row>
    <row r="2" spans="1:121" ht="12.75" customHeight="1" x14ac:dyDescent="0.3">
      <c r="A2" s="197" t="s">
        <v>47</v>
      </c>
      <c r="B2" s="10"/>
      <c r="I2" s="17"/>
      <c r="J2" s="10"/>
      <c r="L2"/>
    </row>
    <row r="3" spans="1:121" x14ac:dyDescent="0.3">
      <c r="A3" s="9"/>
      <c r="B3" s="10"/>
    </row>
    <row r="4" spans="1:121" x14ac:dyDescent="0.3">
      <c r="A4" s="9"/>
      <c r="B4" s="10"/>
    </row>
    <row r="5" spans="1:121" x14ac:dyDescent="0.3">
      <c r="A5" s="9"/>
      <c r="B5" s="10"/>
      <c r="F5" s="10"/>
      <c r="G5" s="10"/>
      <c r="H5" s="10"/>
      <c r="I5" s="10"/>
      <c r="J5" s="11"/>
      <c r="K5" s="28"/>
      <c r="L5" s="48"/>
    </row>
    <row r="6" spans="1:121" x14ac:dyDescent="0.3">
      <c r="A6" s="162">
        <v>19</v>
      </c>
      <c r="B6" s="163" t="s">
        <v>201</v>
      </c>
      <c r="F6" s="10"/>
      <c r="G6" s="10"/>
      <c r="H6" s="10"/>
      <c r="I6" s="10"/>
      <c r="J6" s="29"/>
      <c r="K6" s="28"/>
      <c r="L6" s="28"/>
    </row>
    <row r="7" spans="1:121" ht="16.5" customHeight="1" x14ac:dyDescent="0.3">
      <c r="A7" s="9"/>
      <c r="B7" s="10"/>
      <c r="F7" s="169"/>
      <c r="G7" s="235">
        <v>1997</v>
      </c>
      <c r="H7" s="236"/>
      <c r="I7" s="81"/>
      <c r="J7" s="4"/>
      <c r="K7" s="237">
        <v>1996</v>
      </c>
      <c r="L7" s="170"/>
    </row>
    <row r="8" spans="1:121" ht="13.5" customHeight="1" x14ac:dyDescent="0.3">
      <c r="A8" s="9"/>
      <c r="B8" s="10"/>
      <c r="F8" s="137" t="s">
        <v>202</v>
      </c>
      <c r="G8" s="137"/>
      <c r="H8" s="137"/>
      <c r="I8" s="216"/>
      <c r="J8" s="231" t="s">
        <v>202</v>
      </c>
      <c r="K8" s="231"/>
      <c r="L8" s="231"/>
    </row>
    <row r="9" spans="1:121" ht="12" customHeight="1" x14ac:dyDescent="0.3">
      <c r="A9" s="9"/>
      <c r="B9" s="10"/>
      <c r="F9" s="137" t="s">
        <v>203</v>
      </c>
      <c r="G9" s="137"/>
      <c r="H9" s="137" t="s">
        <v>204</v>
      </c>
      <c r="I9" s="216"/>
      <c r="J9" s="231" t="s">
        <v>203</v>
      </c>
      <c r="K9" s="231"/>
      <c r="L9" s="231" t="s">
        <v>204</v>
      </c>
    </row>
    <row r="10" spans="1:121" ht="15.75" customHeight="1" x14ac:dyDescent="0.3">
      <c r="A10" s="9"/>
      <c r="B10" s="10"/>
      <c r="F10" s="183" t="s">
        <v>1</v>
      </c>
      <c r="G10" s="233"/>
      <c r="H10" s="183" t="s">
        <v>1</v>
      </c>
      <c r="I10" s="184"/>
      <c r="J10" s="193" t="s">
        <v>1</v>
      </c>
      <c r="K10" s="234"/>
      <c r="L10" s="193" t="s">
        <v>1</v>
      </c>
    </row>
    <row r="11" spans="1:121" x14ac:dyDescent="0.3">
      <c r="A11" s="9"/>
      <c r="B11" s="87" t="s">
        <v>205</v>
      </c>
      <c r="C11" s="101"/>
      <c r="D11" s="101"/>
      <c r="F11" s="44"/>
      <c r="G11" s="44"/>
      <c r="H11" s="44"/>
      <c r="I11" s="10"/>
      <c r="J11" s="29"/>
      <c r="K11" s="28"/>
      <c r="L11" s="28"/>
    </row>
    <row r="12" spans="1:121" x14ac:dyDescent="0.3">
      <c r="A12" s="40"/>
      <c r="B12" s="102" t="s">
        <v>206</v>
      </c>
      <c r="C12" s="101"/>
      <c r="D12" s="101"/>
      <c r="F12" s="91">
        <v>280.89999999999998</v>
      </c>
      <c r="G12" s="91"/>
      <c r="H12" s="91">
        <v>283.10000000000002</v>
      </c>
      <c r="I12" s="39"/>
      <c r="J12" s="232">
        <v>294.5</v>
      </c>
      <c r="K12" s="232"/>
      <c r="L12" s="232">
        <v>302.89999999999998</v>
      </c>
    </row>
    <row r="13" spans="1:121" x14ac:dyDescent="0.3">
      <c r="A13" s="9"/>
      <c r="B13" s="87" t="s">
        <v>207</v>
      </c>
      <c r="C13" s="101"/>
      <c r="D13" s="101"/>
      <c r="F13" s="91">
        <v>22.1</v>
      </c>
      <c r="G13" s="91"/>
      <c r="H13" s="91">
        <v>22.1</v>
      </c>
      <c r="I13" s="39"/>
      <c r="J13" s="232">
        <v>11.9</v>
      </c>
      <c r="K13" s="232"/>
      <c r="L13" s="232">
        <v>11.9</v>
      </c>
    </row>
    <row r="14" spans="1:121" x14ac:dyDescent="0.3">
      <c r="A14" s="9"/>
      <c r="B14" s="87" t="s">
        <v>208</v>
      </c>
      <c r="C14" s="101"/>
      <c r="D14" s="101"/>
      <c r="F14" s="91">
        <v>1225.7</v>
      </c>
      <c r="G14" s="91"/>
      <c r="H14" s="91">
        <v>1225.7</v>
      </c>
      <c r="I14" s="39"/>
      <c r="J14" s="232">
        <v>1529.9</v>
      </c>
      <c r="K14" s="232"/>
      <c r="L14" s="232">
        <v>1529.9</v>
      </c>
    </row>
    <row r="15" spans="1:121" ht="7.5" customHeight="1" x14ac:dyDescent="0.3">
      <c r="A15" s="9"/>
      <c r="B15" s="87"/>
      <c r="C15" s="101"/>
      <c r="D15" s="101"/>
      <c r="F15" s="93"/>
      <c r="G15" s="91"/>
      <c r="H15" s="93"/>
      <c r="I15" s="39"/>
      <c r="J15" s="94"/>
      <c r="K15" s="232"/>
      <c r="L15" s="94"/>
    </row>
    <row r="16" spans="1:121" ht="16.5" customHeight="1" x14ac:dyDescent="0.3">
      <c r="A16" s="9"/>
      <c r="B16" s="10"/>
      <c r="F16" s="91">
        <f>SUM(F12:F15)</f>
        <v>1528.7</v>
      </c>
      <c r="G16" s="91"/>
      <c r="H16" s="91">
        <f>SUM(H12:H15)</f>
        <v>1530.9</v>
      </c>
      <c r="I16" s="39"/>
      <c r="J16" s="232">
        <v>1836.3</v>
      </c>
      <c r="K16" s="232"/>
      <c r="L16" s="232">
        <v>1844.7</v>
      </c>
    </row>
    <row r="17" spans="1:12" ht="7.5" customHeight="1" thickBot="1" x14ac:dyDescent="0.35">
      <c r="A17" s="9"/>
      <c r="B17" s="10"/>
      <c r="F17" s="85"/>
      <c r="G17" s="44"/>
      <c r="H17" s="85"/>
      <c r="I17" s="10"/>
      <c r="J17" s="95"/>
      <c r="K17" s="46"/>
      <c r="L17" s="95"/>
    </row>
    <row r="18" spans="1:12" ht="13.5" thickTop="1" x14ac:dyDescent="0.3">
      <c r="A18" s="9"/>
      <c r="B18" s="10"/>
      <c r="F18" s="44"/>
      <c r="G18" s="44"/>
      <c r="H18" s="44"/>
      <c r="I18" s="10"/>
      <c r="J18" s="46"/>
      <c r="K18" s="46"/>
      <c r="L18" s="46"/>
    </row>
    <row r="19" spans="1:12" x14ac:dyDescent="0.3">
      <c r="A19" s="9"/>
      <c r="B19" s="87" t="s">
        <v>209</v>
      </c>
      <c r="C19" s="101"/>
      <c r="D19" s="101"/>
      <c r="F19" s="44"/>
      <c r="G19" s="44"/>
      <c r="H19" s="44"/>
      <c r="I19" s="10"/>
      <c r="J19" s="46"/>
      <c r="K19" s="28"/>
      <c r="L19" s="28"/>
    </row>
    <row r="20" spans="1:12" x14ac:dyDescent="0.3">
      <c r="A20" s="40"/>
      <c r="B20" s="102" t="s">
        <v>210</v>
      </c>
      <c r="C20" s="101"/>
      <c r="D20" s="101"/>
      <c r="F20" s="91">
        <v>166.8</v>
      </c>
      <c r="G20" s="91"/>
      <c r="H20" s="91">
        <v>166.8</v>
      </c>
      <c r="I20" s="39"/>
      <c r="J20" s="232">
        <v>159.19999999999999</v>
      </c>
      <c r="K20" s="232"/>
      <c r="L20" s="232">
        <v>159.19999999999999</v>
      </c>
    </row>
    <row r="21" spans="1:12" x14ac:dyDescent="0.3">
      <c r="A21" s="9"/>
      <c r="B21" s="87" t="s">
        <v>211</v>
      </c>
      <c r="C21" s="101"/>
      <c r="D21" s="101"/>
      <c r="F21" s="91">
        <v>114.3</v>
      </c>
      <c r="G21" s="91"/>
      <c r="H21" s="91">
        <v>114.3</v>
      </c>
      <c r="I21" s="39"/>
      <c r="J21" s="232">
        <v>238.5</v>
      </c>
      <c r="K21" s="232"/>
      <c r="L21" s="232">
        <v>238.5</v>
      </c>
    </row>
    <row r="22" spans="1:12" x14ac:dyDescent="0.3">
      <c r="A22" s="9"/>
      <c r="B22" s="87" t="s">
        <v>212</v>
      </c>
      <c r="C22" s="101"/>
      <c r="D22" s="101"/>
      <c r="F22" s="91">
        <v>1729.8</v>
      </c>
      <c r="G22" s="91"/>
      <c r="H22" s="91">
        <v>1680.3</v>
      </c>
      <c r="I22" s="39"/>
      <c r="J22" s="232">
        <v>1649</v>
      </c>
      <c r="K22" s="232"/>
      <c r="L22" s="232">
        <v>1628.4</v>
      </c>
    </row>
    <row r="23" spans="1:12" ht="8.25" customHeight="1" x14ac:dyDescent="0.3">
      <c r="A23" s="9"/>
      <c r="B23" s="87"/>
      <c r="C23" s="101"/>
      <c r="D23" s="101"/>
      <c r="F23" s="82"/>
      <c r="G23" s="44"/>
      <c r="H23" s="93"/>
      <c r="J23" s="94"/>
      <c r="K23" s="232"/>
      <c r="L23" s="94"/>
    </row>
    <row r="24" spans="1:12" ht="16.5" customHeight="1" x14ac:dyDescent="0.3">
      <c r="A24" s="9"/>
      <c r="B24" s="10"/>
      <c r="F24" s="91">
        <f>SUM(F20:F23)</f>
        <v>2010.9</v>
      </c>
      <c r="G24" s="44"/>
      <c r="H24" s="91">
        <f>SUM(H20:H23)</f>
        <v>1961.4</v>
      </c>
      <c r="J24" s="232">
        <v>2046.7</v>
      </c>
      <c r="K24" s="41"/>
      <c r="L24" s="232">
        <f>SUM(L20:L23)</f>
        <v>2026.1000000000001</v>
      </c>
    </row>
    <row r="25" spans="1:12" ht="7.5" customHeight="1" thickBot="1" x14ac:dyDescent="0.35">
      <c r="A25" s="15"/>
      <c r="B25" s="16"/>
      <c r="F25" s="85"/>
      <c r="G25" s="44"/>
      <c r="H25" s="85"/>
      <c r="J25" s="95"/>
      <c r="K25" s="41"/>
      <c r="L25" s="95"/>
    </row>
    <row r="26" spans="1:12" ht="13.5" customHeight="1" thickTop="1" x14ac:dyDescent="0.3">
      <c r="A26" s="15"/>
      <c r="B26" s="16"/>
      <c r="F26" s="83"/>
      <c r="G26" s="44"/>
      <c r="H26" s="83"/>
      <c r="J26" s="46"/>
      <c r="K26" s="41"/>
      <c r="L26" s="46"/>
    </row>
    <row r="27" spans="1:12" x14ac:dyDescent="0.3">
      <c r="A27" s="9"/>
      <c r="B27" s="87" t="s">
        <v>213</v>
      </c>
      <c r="C27" s="75"/>
      <c r="D27" s="75"/>
      <c r="F27" s="10"/>
      <c r="G27" s="10"/>
      <c r="H27" s="10"/>
      <c r="I27" s="10"/>
      <c r="J27" s="46"/>
      <c r="K27" s="69"/>
      <c r="L27" s="48"/>
    </row>
    <row r="28" spans="1:12" x14ac:dyDescent="0.3">
      <c r="A28" s="9"/>
      <c r="B28" s="87" t="s">
        <v>214</v>
      </c>
      <c r="C28" s="75"/>
      <c r="D28" s="75"/>
      <c r="F28" s="10"/>
      <c r="G28" s="10"/>
      <c r="H28" s="10"/>
      <c r="I28" s="10"/>
      <c r="J28" s="46"/>
      <c r="K28" s="69"/>
      <c r="L28" s="72"/>
    </row>
    <row r="29" spans="1:12" x14ac:dyDescent="0.3">
      <c r="A29" s="9"/>
      <c r="B29" s="87"/>
      <c r="F29" s="10"/>
      <c r="G29" s="10"/>
      <c r="H29" s="10"/>
      <c r="I29" s="10"/>
      <c r="J29" s="46"/>
      <c r="K29" s="28"/>
      <c r="L29" s="28"/>
    </row>
    <row r="30" spans="1:12" x14ac:dyDescent="0.3">
      <c r="A30" s="9"/>
      <c r="B30" s="87" t="s">
        <v>215</v>
      </c>
      <c r="C30" s="101"/>
      <c r="D30" s="101"/>
      <c r="F30" s="10"/>
      <c r="G30" s="10"/>
      <c r="H30" s="10"/>
      <c r="I30" s="10"/>
      <c r="J30" s="46"/>
      <c r="K30" s="28"/>
      <c r="L30" s="72"/>
    </row>
    <row r="31" spans="1:12" x14ac:dyDescent="0.3">
      <c r="A31" s="9"/>
      <c r="B31" s="87" t="s">
        <v>216</v>
      </c>
      <c r="C31" s="101"/>
      <c r="D31" s="101"/>
      <c r="F31" s="10"/>
      <c r="G31" s="10"/>
      <c r="H31" s="10"/>
      <c r="I31" s="10"/>
      <c r="J31" s="46"/>
      <c r="K31" s="28"/>
      <c r="L31" s="28"/>
    </row>
    <row r="32" spans="1:12" x14ac:dyDescent="0.3">
      <c r="A32" s="9"/>
      <c r="B32" s="87" t="s">
        <v>217</v>
      </c>
      <c r="C32" s="101"/>
      <c r="D32" s="101"/>
      <c r="F32" s="10"/>
      <c r="G32" s="10"/>
      <c r="H32" s="10"/>
      <c r="I32" s="10"/>
      <c r="J32" s="46"/>
      <c r="K32" s="28"/>
      <c r="L32" s="28"/>
    </row>
    <row r="33" spans="1:12" x14ac:dyDescent="0.3">
      <c r="A33" s="9"/>
      <c r="B33" s="87"/>
      <c r="C33" s="101"/>
      <c r="D33" s="101"/>
      <c r="F33" s="10"/>
      <c r="G33" s="10"/>
      <c r="H33" s="10"/>
      <c r="I33" s="10"/>
      <c r="J33" s="46"/>
      <c r="K33" s="28"/>
      <c r="L33" s="28"/>
    </row>
    <row r="34" spans="1:12" x14ac:dyDescent="0.3">
      <c r="A34" s="9"/>
      <c r="B34" s="87" t="s">
        <v>218</v>
      </c>
      <c r="F34" s="10"/>
      <c r="G34" s="10"/>
      <c r="H34" s="10"/>
      <c r="I34" s="10"/>
      <c r="J34" s="29"/>
      <c r="K34" s="28"/>
      <c r="L34" s="28"/>
    </row>
    <row r="35" spans="1:12" x14ac:dyDescent="0.3">
      <c r="A35" s="40"/>
      <c r="B35" s="87" t="s">
        <v>219</v>
      </c>
      <c r="F35" s="10"/>
      <c r="G35" s="10"/>
      <c r="H35" s="10"/>
      <c r="I35" s="10"/>
      <c r="J35" s="11"/>
      <c r="K35" s="28"/>
      <c r="L35" s="28"/>
    </row>
    <row r="36" spans="1:12" x14ac:dyDescent="0.3">
      <c r="A36" s="9"/>
      <c r="J36"/>
      <c r="K36"/>
      <c r="L36"/>
    </row>
    <row r="37" spans="1:12" ht="16.5" customHeight="1" x14ac:dyDescent="0.3">
      <c r="A37" s="9"/>
      <c r="B37" s="28"/>
      <c r="C37" s="13"/>
      <c r="D37" s="13"/>
      <c r="E37" s="13"/>
      <c r="F37" s="169"/>
      <c r="G37" s="238">
        <v>1997</v>
      </c>
      <c r="H37" s="217"/>
      <c r="I37" s="239"/>
      <c r="J37" s="240"/>
      <c r="K37" s="241">
        <v>1996</v>
      </c>
      <c r="L37" s="170"/>
    </row>
    <row r="38" spans="1:12" ht="14.25" customHeight="1" x14ac:dyDescent="0.3">
      <c r="A38" s="9"/>
      <c r="B38" s="28"/>
      <c r="C38" s="13"/>
      <c r="D38" s="13"/>
      <c r="E38" s="13"/>
      <c r="F38" s="137" t="s">
        <v>220</v>
      </c>
      <c r="G38" s="137"/>
      <c r="H38" s="137" t="s">
        <v>220</v>
      </c>
      <c r="I38" s="216"/>
      <c r="J38" s="231" t="s">
        <v>220</v>
      </c>
      <c r="K38" s="231"/>
      <c r="L38" s="231" t="s">
        <v>220</v>
      </c>
    </row>
    <row r="39" spans="1:12" ht="11.25" customHeight="1" x14ac:dyDescent="0.3">
      <c r="A39" s="9"/>
      <c r="B39" s="28"/>
      <c r="C39" s="13"/>
      <c r="D39" s="13"/>
      <c r="E39" s="13"/>
      <c r="F39" s="137" t="s">
        <v>83</v>
      </c>
      <c r="G39" s="137"/>
      <c r="H39" s="137" t="s">
        <v>221</v>
      </c>
      <c r="I39" s="216"/>
      <c r="J39" s="231" t="s">
        <v>83</v>
      </c>
      <c r="K39" s="231"/>
      <c r="L39" s="231" t="s">
        <v>221</v>
      </c>
    </row>
    <row r="40" spans="1:12" ht="15.75" customHeight="1" x14ac:dyDescent="0.3">
      <c r="A40" s="9"/>
      <c r="B40" s="28"/>
      <c r="C40" s="13"/>
      <c r="D40" s="13"/>
      <c r="E40" s="13"/>
      <c r="F40" s="183" t="s">
        <v>1</v>
      </c>
      <c r="G40" s="233"/>
      <c r="H40" s="183" t="s">
        <v>1</v>
      </c>
      <c r="I40" s="184"/>
      <c r="J40" s="193" t="s">
        <v>1</v>
      </c>
      <c r="K40" s="234"/>
      <c r="L40" s="193" t="s">
        <v>1</v>
      </c>
    </row>
    <row r="41" spans="1:12" x14ac:dyDescent="0.3">
      <c r="A41" s="9"/>
      <c r="B41" s="59" t="s">
        <v>159</v>
      </c>
      <c r="C41" s="107"/>
      <c r="D41" s="13"/>
      <c r="E41" s="13"/>
      <c r="F41" s="38"/>
      <c r="G41" s="38"/>
      <c r="H41" s="38"/>
      <c r="I41" s="39"/>
      <c r="J41" s="92"/>
      <c r="K41" s="92"/>
      <c r="L41" s="92"/>
    </row>
    <row r="42" spans="1:12" x14ac:dyDescent="0.3">
      <c r="A42" s="9" t="s">
        <v>106</v>
      </c>
      <c r="B42" s="59" t="s">
        <v>222</v>
      </c>
      <c r="C42" s="107"/>
      <c r="D42" s="13"/>
      <c r="E42" s="13"/>
      <c r="F42" s="38">
        <v>471.3</v>
      </c>
      <c r="G42" s="38"/>
      <c r="H42" s="38">
        <v>1464.9</v>
      </c>
      <c r="I42" s="39"/>
      <c r="J42" s="39">
        <v>271.7</v>
      </c>
      <c r="K42" s="39"/>
      <c r="L42" s="39">
        <v>1517.5</v>
      </c>
    </row>
    <row r="43" spans="1:12" x14ac:dyDescent="0.3">
      <c r="A43" s="9"/>
      <c r="B43" s="59" t="s">
        <v>223</v>
      </c>
      <c r="C43" s="107"/>
      <c r="D43" s="13"/>
      <c r="E43" s="13"/>
      <c r="F43" s="68">
        <v>1021.6</v>
      </c>
      <c r="G43" s="68"/>
      <c r="H43" s="68">
        <v>540.5</v>
      </c>
      <c r="I43" s="39"/>
      <c r="J43" s="69">
        <v>1523.2</v>
      </c>
      <c r="K43" s="69"/>
      <c r="L43" s="69">
        <v>529.1</v>
      </c>
    </row>
    <row r="44" spans="1:12" x14ac:dyDescent="0.3">
      <c r="A44" s="40"/>
      <c r="B44" s="110" t="s">
        <v>224</v>
      </c>
      <c r="C44" s="107"/>
      <c r="D44" s="13"/>
      <c r="E44" s="13"/>
      <c r="F44" s="68">
        <v>15.3</v>
      </c>
      <c r="G44" s="308"/>
      <c r="H44" s="289" t="s">
        <v>37</v>
      </c>
      <c r="I44" s="39"/>
      <c r="J44" s="69">
        <v>29.7</v>
      </c>
      <c r="K44" s="69"/>
      <c r="L44" s="307" t="s">
        <v>37</v>
      </c>
    </row>
    <row r="45" spans="1:12" x14ac:dyDescent="0.3">
      <c r="A45" s="40"/>
      <c r="B45" s="110" t="s">
        <v>225</v>
      </c>
      <c r="C45" s="107"/>
      <c r="D45" s="13"/>
      <c r="E45" s="13"/>
      <c r="F45" s="68">
        <v>13.3</v>
      </c>
      <c r="G45" s="68"/>
      <c r="H45" s="289">
        <v>5.5</v>
      </c>
      <c r="I45" s="39"/>
      <c r="J45" s="307" t="s">
        <v>37</v>
      </c>
      <c r="K45" s="69"/>
      <c r="L45" s="307" t="s">
        <v>37</v>
      </c>
    </row>
    <row r="46" spans="1:12" x14ac:dyDescent="0.3">
      <c r="A46" s="9"/>
      <c r="B46" s="59" t="s">
        <v>226</v>
      </c>
      <c r="C46" s="107"/>
      <c r="D46" s="13"/>
      <c r="E46" s="13"/>
      <c r="F46" s="307" t="s">
        <v>37</v>
      </c>
      <c r="G46" s="38"/>
      <c r="H46" s="307" t="s">
        <v>37</v>
      </c>
      <c r="I46" s="39"/>
      <c r="J46" s="39">
        <v>6.3</v>
      </c>
      <c r="K46" s="39"/>
      <c r="L46" s="39">
        <v>0.1</v>
      </c>
    </row>
    <row r="47" spans="1:12" x14ac:dyDescent="0.3">
      <c r="A47" s="40"/>
      <c r="B47" s="110" t="s">
        <v>227</v>
      </c>
      <c r="C47" s="107"/>
      <c r="D47" s="13"/>
      <c r="E47" s="13"/>
      <c r="F47" s="29">
        <v>7.2</v>
      </c>
      <c r="G47" s="29"/>
      <c r="H47" s="309" t="s">
        <v>37</v>
      </c>
      <c r="I47" s="10"/>
      <c r="J47" s="28">
        <v>5.4</v>
      </c>
      <c r="K47" s="28"/>
      <c r="L47" s="307" t="s">
        <v>37</v>
      </c>
    </row>
    <row r="48" spans="1:12" ht="8.25" customHeight="1" x14ac:dyDescent="0.3">
      <c r="A48" s="9"/>
      <c r="B48" s="59"/>
      <c r="C48" s="107"/>
      <c r="D48" s="13"/>
      <c r="E48" s="13"/>
      <c r="F48" s="98"/>
      <c r="G48" s="99"/>
      <c r="H48" s="98"/>
      <c r="I48" s="13"/>
      <c r="J48" s="94"/>
      <c r="K48" s="242"/>
      <c r="L48" s="94"/>
    </row>
    <row r="49" spans="1:12" ht="15.75" customHeight="1" x14ac:dyDescent="0.3">
      <c r="A49" s="9"/>
      <c r="B49" s="28"/>
      <c r="C49" s="13"/>
      <c r="D49" s="13"/>
      <c r="E49" s="13"/>
      <c r="F49" s="68">
        <f>SUM(F42:F47)</f>
        <v>1528.7</v>
      </c>
      <c r="G49" s="68"/>
      <c r="H49" s="68">
        <f>SUM(H42:H47)</f>
        <v>2010.9</v>
      </c>
      <c r="I49" s="69"/>
      <c r="J49" s="92">
        <v>1836.3</v>
      </c>
      <c r="K49" s="232"/>
      <c r="L49" s="39">
        <f>SUM(L42:L48)</f>
        <v>2046.6999999999998</v>
      </c>
    </row>
    <row r="50" spans="1:12" ht="7.5" customHeight="1" thickBot="1" x14ac:dyDescent="0.35">
      <c r="A50" s="9"/>
      <c r="B50" s="28"/>
      <c r="C50" s="13"/>
      <c r="D50" s="13"/>
      <c r="E50" s="13"/>
      <c r="F50" s="100"/>
      <c r="G50" s="99"/>
      <c r="H50" s="100"/>
      <c r="I50" s="13"/>
      <c r="J50" s="95"/>
      <c r="K50" s="46"/>
      <c r="L50" s="95"/>
    </row>
    <row r="51" spans="1:12" ht="13.5" thickTop="1" x14ac:dyDescent="0.3">
      <c r="A51" s="9"/>
      <c r="B51" s="28"/>
      <c r="C51" s="13"/>
      <c r="D51" s="13"/>
      <c r="E51" s="13"/>
      <c r="F51" s="99"/>
      <c r="G51" s="99"/>
      <c r="H51" s="99"/>
      <c r="I51" s="13"/>
      <c r="J51" s="46"/>
      <c r="K51" s="46"/>
      <c r="L51" s="46"/>
    </row>
    <row r="52" spans="1:12" x14ac:dyDescent="0.3">
      <c r="A52" s="167">
        <v>20</v>
      </c>
      <c r="B52" s="168" t="s">
        <v>228</v>
      </c>
      <c r="C52" s="175"/>
      <c r="D52" s="5"/>
      <c r="E52" s="5"/>
      <c r="F52" s="5"/>
      <c r="G52" s="5"/>
      <c r="H52" s="5"/>
      <c r="I52" s="7"/>
      <c r="J52" s="8"/>
      <c r="K52" s="8"/>
      <c r="L52" s="22"/>
    </row>
    <row r="53" spans="1:12" x14ac:dyDescent="0.3">
      <c r="A53" s="167"/>
      <c r="B53" s="168"/>
      <c r="C53" s="175"/>
      <c r="D53" s="5"/>
      <c r="E53" s="5"/>
      <c r="F53" s="5"/>
      <c r="G53" s="5"/>
      <c r="H53" s="5"/>
      <c r="I53" s="7"/>
      <c r="J53" s="8"/>
      <c r="K53" s="8"/>
      <c r="L53" s="28"/>
    </row>
    <row r="54" spans="1:12" x14ac:dyDescent="0.3">
      <c r="A54" s="36"/>
      <c r="B54" s="59" t="s">
        <v>229</v>
      </c>
      <c r="C54" s="107"/>
      <c r="D54" s="107"/>
      <c r="E54" s="107"/>
      <c r="F54" s="107"/>
      <c r="G54" s="107"/>
      <c r="H54" s="107"/>
      <c r="I54" s="109"/>
      <c r="J54" s="59"/>
      <c r="K54" s="59"/>
      <c r="L54" s="48"/>
    </row>
    <row r="55" spans="1:12" x14ac:dyDescent="0.3">
      <c r="A55" s="36"/>
      <c r="B55" s="59" t="s">
        <v>230</v>
      </c>
      <c r="C55" s="107"/>
      <c r="D55" s="107"/>
      <c r="E55" s="107"/>
      <c r="F55" s="107"/>
      <c r="G55" s="107"/>
      <c r="H55" s="107"/>
      <c r="I55" s="109"/>
      <c r="J55" s="59"/>
      <c r="K55" s="59"/>
      <c r="L55" s="48"/>
    </row>
    <row r="56" spans="1:12" x14ac:dyDescent="0.3">
      <c r="A56" s="49"/>
      <c r="B56" s="87" t="s">
        <v>231</v>
      </c>
      <c r="C56" s="101"/>
      <c r="D56" s="101"/>
      <c r="E56" s="101"/>
      <c r="F56" s="101"/>
      <c r="G56" s="101"/>
      <c r="H56" s="101"/>
      <c r="I56" s="139"/>
      <c r="J56" s="87"/>
      <c r="K56" s="87"/>
      <c r="L56" s="48"/>
    </row>
    <row r="57" spans="1:12" x14ac:dyDescent="0.3">
      <c r="A57" s="9"/>
      <c r="B57" s="87" t="s">
        <v>232</v>
      </c>
      <c r="C57" s="101"/>
      <c r="D57" s="101"/>
      <c r="E57" s="101"/>
      <c r="F57" s="101"/>
      <c r="G57" s="101"/>
      <c r="H57" s="101"/>
      <c r="I57" s="139"/>
      <c r="J57" s="87"/>
      <c r="K57" s="87"/>
      <c r="L57" s="28"/>
    </row>
    <row r="58" spans="1:12" x14ac:dyDescent="0.3">
      <c r="A58" s="9"/>
      <c r="B58" s="28"/>
      <c r="C58" s="13"/>
      <c r="D58" s="13"/>
      <c r="E58" s="13"/>
      <c r="F58" s="13"/>
      <c r="G58" s="13"/>
      <c r="H58" s="13"/>
      <c r="I58" s="13"/>
      <c r="J58" s="29"/>
      <c r="K58" s="28"/>
      <c r="L58" s="28"/>
    </row>
    <row r="59" spans="1:12" x14ac:dyDescent="0.3">
      <c r="A59" s="9"/>
      <c r="B59" s="28"/>
      <c r="C59" s="13"/>
      <c r="D59" s="13"/>
      <c r="E59" s="13"/>
      <c r="F59" s="13"/>
      <c r="G59" s="13"/>
      <c r="H59" s="13"/>
      <c r="I59" s="13"/>
      <c r="J59" s="29"/>
      <c r="K59" s="28"/>
      <c r="L59" s="28"/>
    </row>
    <row r="60" spans="1:12" x14ac:dyDescent="0.3">
      <c r="A60" s="9"/>
      <c r="B60" s="10"/>
    </row>
    <row r="61" spans="1:12" x14ac:dyDescent="0.3">
      <c r="A61" s="9"/>
      <c r="B61" s="10"/>
    </row>
    <row r="62" spans="1:12" x14ac:dyDescent="0.3">
      <c r="A62" s="9"/>
      <c r="B62" s="10"/>
    </row>
    <row r="63" spans="1:12" x14ac:dyDescent="0.3">
      <c r="A63" s="9"/>
      <c r="B63" s="10"/>
    </row>
    <row r="64" spans="1:12" x14ac:dyDescent="0.3">
      <c r="A64" s="9"/>
      <c r="B64" s="10"/>
    </row>
    <row r="65" spans="1:2" x14ac:dyDescent="0.3">
      <c r="A65" s="9"/>
      <c r="B65" s="10"/>
    </row>
    <row r="66" spans="1:2" x14ac:dyDescent="0.3">
      <c r="A66" s="9"/>
      <c r="B66" s="10"/>
    </row>
    <row r="67" spans="1:2" x14ac:dyDescent="0.3">
      <c r="A67" s="9"/>
      <c r="B67" s="10"/>
    </row>
    <row r="68" spans="1:2" x14ac:dyDescent="0.3">
      <c r="A68" s="9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9"/>
      <c r="B71" s="10"/>
    </row>
    <row r="72" spans="1:2" x14ac:dyDescent="0.3">
      <c r="A72" s="9"/>
      <c r="B72" s="10"/>
    </row>
    <row r="73" spans="1:2" x14ac:dyDescent="0.3">
      <c r="A73" s="9"/>
      <c r="B73" s="10"/>
    </row>
    <row r="74" spans="1:2" x14ac:dyDescent="0.3">
      <c r="A74" s="9"/>
      <c r="B74" s="10"/>
    </row>
    <row r="75" spans="1:2" x14ac:dyDescent="0.3">
      <c r="A75" s="9"/>
      <c r="B75" s="10"/>
    </row>
    <row r="76" spans="1:2" x14ac:dyDescent="0.3">
      <c r="A76" s="9"/>
      <c r="B76" s="10"/>
    </row>
    <row r="77" spans="1:2" x14ac:dyDescent="0.3">
      <c r="A77" s="9"/>
      <c r="B77" s="10"/>
    </row>
    <row r="78" spans="1:2" x14ac:dyDescent="0.3">
      <c r="A78" s="9"/>
      <c r="B78" s="10"/>
    </row>
    <row r="79" spans="1:2" x14ac:dyDescent="0.3">
      <c r="A79" s="9"/>
      <c r="B79" s="10"/>
    </row>
    <row r="80" spans="1:2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</sheetData>
  <pageMargins left="1" right="0.75" top="0.5" bottom="0" header="0.5" footer="0.4"/>
  <pageSetup paperSize="9" orientation="portrait" horizontalDpi="4294967292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92"/>
  <sheetViews>
    <sheetView topLeftCell="A49" workbookViewId="0">
      <pane xSplit="9280" topLeftCell="J1"/>
      <selection activeCell="B64" sqref="B64"/>
      <selection pane="topRight" activeCell="J1" sqref="J1"/>
    </sheetView>
  </sheetViews>
  <sheetFormatPr defaultRowHeight="13" x14ac:dyDescent="0.3"/>
  <cols>
    <col min="1" max="1" width="5.54296875" style="30" customWidth="1"/>
    <col min="2" max="2" width="14.1796875" customWidth="1"/>
    <col min="4" max="4" width="6.54296875" customWidth="1"/>
    <col min="5" max="5" width="6.81640625" customWidth="1"/>
    <col min="6" max="6" width="5.7265625" customWidth="1"/>
    <col min="7" max="7" width="6.81640625" customWidth="1"/>
    <col min="8" max="8" width="5.7265625" customWidth="1"/>
    <col min="9" max="9" width="6.81640625" style="17" customWidth="1"/>
    <col min="10" max="10" width="5.7265625" style="10" customWidth="1"/>
    <col min="11" max="11" width="7" style="10" customWidth="1"/>
  </cols>
  <sheetData>
    <row r="1" spans="1:53" s="35" customFormat="1" ht="24.75" customHeight="1" x14ac:dyDescent="0.3">
      <c r="A1" s="1" t="s">
        <v>0</v>
      </c>
      <c r="B1" s="32"/>
      <c r="C1" s="32"/>
      <c r="D1" s="32"/>
      <c r="E1" s="32"/>
      <c r="F1" s="32"/>
      <c r="G1" s="32"/>
      <c r="H1" s="32"/>
      <c r="I1" s="33"/>
      <c r="J1" s="34"/>
      <c r="K1" s="3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s="13" customFormat="1" x14ac:dyDescent="0.3">
      <c r="A2" s="143" t="s">
        <v>31</v>
      </c>
      <c r="B2"/>
      <c r="I2" s="29"/>
      <c r="J2" s="28"/>
      <c r="K2" s="28"/>
    </row>
    <row r="3" spans="1:53" s="13" customFormat="1" x14ac:dyDescent="0.3">
      <c r="A3"/>
      <c r="B3"/>
      <c r="I3" s="29"/>
      <c r="J3" s="28"/>
      <c r="K3" s="28"/>
    </row>
    <row r="4" spans="1:53" ht="12.5" x14ac:dyDescent="0.25">
      <c r="A4"/>
      <c r="I4"/>
      <c r="J4"/>
      <c r="K4"/>
    </row>
    <row r="5" spans="1:53" x14ac:dyDescent="0.3">
      <c r="A5" s="9"/>
      <c r="B5" s="10"/>
      <c r="E5" s="10"/>
      <c r="F5" s="10"/>
      <c r="G5" s="10"/>
      <c r="I5" s="11">
        <v>1997</v>
      </c>
      <c r="J5" s="206"/>
      <c r="K5" s="12">
        <v>1996</v>
      </c>
    </row>
    <row r="6" spans="1:53" ht="16.5" customHeight="1" x14ac:dyDescent="0.3">
      <c r="A6" s="9"/>
      <c r="B6" s="10"/>
      <c r="E6" s="10"/>
      <c r="F6" s="10"/>
      <c r="G6" s="10"/>
      <c r="I6" s="183" t="s">
        <v>1</v>
      </c>
      <c r="J6" s="224"/>
      <c r="K6" s="193" t="s">
        <v>1</v>
      </c>
    </row>
    <row r="7" spans="1:53" x14ac:dyDescent="0.3">
      <c r="A7" s="162">
        <v>21</v>
      </c>
      <c r="B7" s="163" t="s">
        <v>233</v>
      </c>
      <c r="E7" s="10"/>
      <c r="F7" s="10"/>
      <c r="G7" s="10"/>
      <c r="H7" s="17"/>
      <c r="I7" s="10"/>
      <c r="K7"/>
    </row>
    <row r="8" spans="1:53" ht="9" customHeight="1" x14ac:dyDescent="0.3">
      <c r="A8" s="9"/>
      <c r="B8" s="10"/>
      <c r="E8" s="10"/>
      <c r="F8" s="10"/>
      <c r="G8" s="10"/>
      <c r="H8" s="17"/>
      <c r="I8" s="10"/>
      <c r="K8"/>
    </row>
    <row r="9" spans="1:53" x14ac:dyDescent="0.3">
      <c r="A9" s="9"/>
      <c r="B9" s="143" t="s">
        <v>234</v>
      </c>
      <c r="C9" s="101"/>
      <c r="D9" s="101"/>
      <c r="E9" s="87"/>
      <c r="F9" s="87"/>
      <c r="G9" s="87"/>
      <c r="H9" s="67"/>
      <c r="I9" s="10"/>
      <c r="K9"/>
    </row>
    <row r="10" spans="1:53" x14ac:dyDescent="0.3">
      <c r="A10" s="9"/>
      <c r="B10" s="87" t="s">
        <v>235</v>
      </c>
      <c r="C10" s="101"/>
      <c r="D10" s="101"/>
      <c r="E10" s="87"/>
      <c r="F10" s="87"/>
      <c r="G10" s="87"/>
      <c r="H10" s="97"/>
      <c r="I10" s="69"/>
      <c r="J10" s="69"/>
      <c r="K10"/>
    </row>
    <row r="11" spans="1:53" x14ac:dyDescent="0.3">
      <c r="A11" s="9"/>
      <c r="B11" s="87" t="s">
        <v>236</v>
      </c>
      <c r="C11" s="101"/>
      <c r="D11" s="101"/>
      <c r="E11" s="87"/>
      <c r="F11" s="87"/>
      <c r="G11" s="87"/>
      <c r="H11" s="68"/>
      <c r="I11" s="69"/>
      <c r="J11" s="70"/>
      <c r="K11"/>
    </row>
    <row r="12" spans="1:53" ht="9" customHeight="1" x14ac:dyDescent="0.3">
      <c r="A12" s="9"/>
      <c r="B12" s="87"/>
      <c r="C12" s="101"/>
      <c r="D12" s="101"/>
      <c r="E12" s="87"/>
      <c r="F12" s="87"/>
      <c r="G12" s="87"/>
      <c r="H12" s="68"/>
      <c r="I12" s="28"/>
      <c r="J12" s="69"/>
      <c r="K12"/>
    </row>
    <row r="13" spans="1:53" x14ac:dyDescent="0.3">
      <c r="A13" s="9" t="s">
        <v>106</v>
      </c>
      <c r="B13" s="87" t="s">
        <v>237</v>
      </c>
      <c r="C13" s="101"/>
      <c r="D13" s="101"/>
      <c r="E13" s="87"/>
      <c r="F13" s="87"/>
      <c r="G13" s="87"/>
      <c r="I13" s="103">
        <v>75.099999999999994</v>
      </c>
      <c r="J13"/>
      <c r="K13" s="92">
        <v>19.7</v>
      </c>
    </row>
    <row r="14" spans="1:53" x14ac:dyDescent="0.3">
      <c r="A14" s="9"/>
      <c r="B14" s="87" t="s">
        <v>238</v>
      </c>
      <c r="C14" s="101"/>
      <c r="D14" s="101"/>
      <c r="E14" s="87"/>
      <c r="F14" s="87"/>
      <c r="G14" s="87"/>
      <c r="I14" s="103">
        <v>636.9</v>
      </c>
      <c r="J14"/>
      <c r="K14" s="92">
        <v>348.7</v>
      </c>
    </row>
    <row r="15" spans="1:53" ht="7.5" customHeight="1" x14ac:dyDescent="0.3">
      <c r="A15" s="9"/>
      <c r="B15" s="87"/>
      <c r="C15" s="101"/>
      <c r="D15" s="101"/>
      <c r="E15" s="87"/>
      <c r="F15" s="87"/>
      <c r="G15" s="87"/>
      <c r="I15" s="78"/>
      <c r="J15"/>
      <c r="K15" s="94"/>
    </row>
    <row r="16" spans="1:53" ht="16.5" customHeight="1" x14ac:dyDescent="0.3">
      <c r="A16" s="40"/>
      <c r="B16" s="101"/>
      <c r="C16" s="101"/>
      <c r="D16" s="101"/>
      <c r="E16" s="87"/>
      <c r="F16" s="87"/>
      <c r="G16" s="87"/>
      <c r="I16" s="103">
        <f>SUM(I13:I15)</f>
        <v>712</v>
      </c>
      <c r="J16"/>
      <c r="K16" s="92">
        <v>368.4</v>
      </c>
    </row>
    <row r="17" spans="1:12" ht="7.5" customHeight="1" thickBot="1" x14ac:dyDescent="0.35">
      <c r="A17" s="9"/>
      <c r="B17" s="101"/>
      <c r="C17" s="101"/>
      <c r="D17" s="101"/>
      <c r="E17" s="87"/>
      <c r="F17" s="87"/>
      <c r="G17" s="87"/>
      <c r="I17" s="73"/>
      <c r="J17"/>
      <c r="K17" s="95"/>
    </row>
    <row r="18" spans="1:12" ht="8.25" customHeight="1" thickTop="1" x14ac:dyDescent="0.3">
      <c r="A18" s="9"/>
      <c r="B18" s="101"/>
      <c r="C18" s="101"/>
      <c r="D18" s="101"/>
      <c r="E18" s="87"/>
      <c r="F18" s="87"/>
      <c r="G18" s="87"/>
      <c r="I18" s="29"/>
      <c r="J18"/>
      <c r="K18" s="46"/>
    </row>
    <row r="19" spans="1:12" x14ac:dyDescent="0.3">
      <c r="A19" s="9"/>
      <c r="B19" s="87" t="s">
        <v>239</v>
      </c>
      <c r="C19" s="101"/>
      <c r="D19" s="101"/>
      <c r="E19" s="87"/>
      <c r="F19" s="87"/>
      <c r="G19" s="87"/>
      <c r="H19" s="10"/>
      <c r="I19" s="29"/>
      <c r="J19" s="28"/>
      <c r="K19" s="46"/>
      <c r="L19" s="13"/>
    </row>
    <row r="20" spans="1:12" x14ac:dyDescent="0.3">
      <c r="A20" s="9"/>
      <c r="B20" s="87" t="s">
        <v>240</v>
      </c>
      <c r="C20" s="101"/>
      <c r="D20" s="101"/>
      <c r="E20" s="87"/>
      <c r="F20" s="87"/>
      <c r="G20" s="87"/>
      <c r="H20" s="10"/>
      <c r="I20" s="68"/>
      <c r="J20" s="28"/>
      <c r="K20" s="92"/>
    </row>
    <row r="21" spans="1:12" ht="8.25" customHeight="1" x14ac:dyDescent="0.3">
      <c r="A21" s="9"/>
      <c r="B21" s="87"/>
      <c r="C21" s="101"/>
      <c r="D21" s="101"/>
      <c r="E21" s="87"/>
      <c r="F21" s="87"/>
      <c r="G21" s="87"/>
      <c r="H21" s="10"/>
      <c r="I21" s="29"/>
      <c r="J21" s="28"/>
      <c r="K21" s="46"/>
    </row>
    <row r="22" spans="1:12" ht="12.75" customHeight="1" x14ac:dyDescent="0.3">
      <c r="A22" s="9"/>
      <c r="B22" s="87" t="s">
        <v>237</v>
      </c>
      <c r="C22" s="101"/>
      <c r="D22" s="101"/>
      <c r="E22" s="87"/>
      <c r="F22" s="87"/>
      <c r="G22" s="87"/>
      <c r="I22" s="103">
        <v>28</v>
      </c>
      <c r="J22"/>
      <c r="K22" s="323" t="s">
        <v>37</v>
      </c>
    </row>
    <row r="23" spans="1:12" x14ac:dyDescent="0.3">
      <c r="A23" s="9"/>
      <c r="B23" s="87" t="s">
        <v>238</v>
      </c>
      <c r="C23" s="101"/>
      <c r="D23" s="101"/>
      <c r="E23" s="87"/>
      <c r="F23" s="87"/>
      <c r="G23" s="87"/>
      <c r="I23" s="83">
        <v>100.4</v>
      </c>
      <c r="J23"/>
      <c r="K23" s="46">
        <v>91.9</v>
      </c>
    </row>
    <row r="24" spans="1:12" ht="7.5" customHeight="1" x14ac:dyDescent="0.3">
      <c r="A24" s="9"/>
      <c r="B24" s="87"/>
      <c r="C24" s="101"/>
      <c r="D24" s="101"/>
      <c r="E24" s="87"/>
      <c r="F24" s="87"/>
      <c r="G24" s="87"/>
      <c r="I24" s="78"/>
      <c r="J24"/>
      <c r="K24" s="94"/>
    </row>
    <row r="25" spans="1:12" ht="16.5" customHeight="1" x14ac:dyDescent="0.3">
      <c r="A25" s="9"/>
      <c r="B25" s="101"/>
      <c r="C25" s="101"/>
      <c r="D25" s="101"/>
      <c r="E25" s="87"/>
      <c r="F25" s="87"/>
      <c r="G25" s="87"/>
      <c r="I25" s="68">
        <f>SUM(I22:I24)</f>
        <v>128.4</v>
      </c>
      <c r="J25"/>
      <c r="K25" s="69">
        <f>SUM(K22:K23)</f>
        <v>91.9</v>
      </c>
    </row>
    <row r="26" spans="1:12" ht="7.5" customHeight="1" thickBot="1" x14ac:dyDescent="0.35">
      <c r="A26" s="9"/>
      <c r="B26" s="101"/>
      <c r="C26" s="101"/>
      <c r="D26" s="101"/>
      <c r="E26" s="87"/>
      <c r="F26" s="87"/>
      <c r="G26" s="87"/>
      <c r="I26" s="73"/>
      <c r="J26"/>
      <c r="K26" s="95"/>
    </row>
    <row r="27" spans="1:12" ht="12.75" customHeight="1" thickTop="1" x14ac:dyDescent="0.3">
      <c r="A27" s="9"/>
      <c r="B27" s="102"/>
      <c r="C27" s="101"/>
      <c r="D27" s="101"/>
      <c r="E27" s="87"/>
      <c r="F27" s="87"/>
      <c r="G27" s="87"/>
      <c r="I27" s="68"/>
      <c r="J27"/>
      <c r="K27" s="92"/>
    </row>
    <row r="28" spans="1:12" x14ac:dyDescent="0.3">
      <c r="A28" s="9"/>
      <c r="B28" s="87" t="s">
        <v>241</v>
      </c>
      <c r="C28" s="101"/>
      <c r="D28" s="101"/>
      <c r="E28" s="87"/>
      <c r="F28" s="87"/>
      <c r="G28" s="87"/>
      <c r="H28" s="68"/>
      <c r="I28" s="28"/>
      <c r="J28"/>
      <c r="K28" s="46"/>
    </row>
    <row r="29" spans="1:12" x14ac:dyDescent="0.3">
      <c r="A29" s="9"/>
      <c r="B29" s="87" t="s">
        <v>242</v>
      </c>
      <c r="C29" s="101"/>
      <c r="D29" s="101"/>
      <c r="E29" s="87"/>
      <c r="F29" s="87"/>
      <c r="G29" s="87"/>
      <c r="I29" s="29">
        <v>239.5</v>
      </c>
      <c r="J29"/>
      <c r="K29" s="46">
        <v>178.7</v>
      </c>
    </row>
    <row r="30" spans="1:12" ht="7.5" customHeight="1" thickBot="1" x14ac:dyDescent="0.35">
      <c r="A30" s="9"/>
      <c r="B30" s="87"/>
      <c r="C30" s="101"/>
      <c r="D30" s="101"/>
      <c r="E30" s="87"/>
      <c r="F30" s="87"/>
      <c r="G30" s="87"/>
      <c r="I30" s="88"/>
      <c r="J30"/>
      <c r="K30" s="89"/>
    </row>
    <row r="31" spans="1:12" ht="12" customHeight="1" thickTop="1" x14ac:dyDescent="0.3">
      <c r="A31" s="15"/>
      <c r="B31" s="16"/>
      <c r="E31" s="10"/>
      <c r="F31" s="10"/>
      <c r="G31" s="10"/>
      <c r="H31" s="10"/>
      <c r="I31" s="29"/>
      <c r="J31" s="28"/>
      <c r="K31" s="28"/>
    </row>
    <row r="32" spans="1:12" x14ac:dyDescent="0.3">
      <c r="A32" s="9"/>
      <c r="B32" s="143" t="s">
        <v>243</v>
      </c>
      <c r="E32" s="10"/>
      <c r="F32" s="10"/>
      <c r="G32" s="10"/>
      <c r="H32" s="10"/>
      <c r="I32" s="29"/>
      <c r="J32" s="28"/>
      <c r="K32" s="28"/>
    </row>
    <row r="33" spans="1:11" x14ac:dyDescent="0.3">
      <c r="A33" s="9"/>
      <c r="B33" s="102" t="s">
        <v>244</v>
      </c>
      <c r="E33" s="10"/>
      <c r="F33" s="10"/>
      <c r="G33" s="10"/>
      <c r="H33" s="10"/>
      <c r="I33" s="29"/>
      <c r="J33" s="28"/>
      <c r="K33" s="28"/>
    </row>
    <row r="34" spans="1:11" x14ac:dyDescent="0.3">
      <c r="A34" s="40"/>
      <c r="B34" s="87" t="s">
        <v>245</v>
      </c>
      <c r="E34" s="10"/>
      <c r="F34" s="10"/>
      <c r="G34" s="10"/>
      <c r="H34" s="10"/>
      <c r="I34" s="29"/>
      <c r="J34" s="28"/>
      <c r="K34" s="69"/>
    </row>
    <row r="35" spans="1:11" x14ac:dyDescent="0.3">
      <c r="A35" s="15"/>
      <c r="B35" s="102" t="s">
        <v>246</v>
      </c>
      <c r="E35" s="10"/>
      <c r="F35" s="10"/>
      <c r="G35" s="10"/>
      <c r="H35" s="10"/>
      <c r="I35" s="29"/>
      <c r="J35" s="28"/>
      <c r="K35" s="28"/>
    </row>
    <row r="36" spans="1:11" x14ac:dyDescent="0.3">
      <c r="A36" s="9"/>
      <c r="B36" s="87" t="s">
        <v>247</v>
      </c>
      <c r="E36" s="28"/>
      <c r="F36" s="28"/>
      <c r="G36" s="28"/>
      <c r="H36" s="10"/>
      <c r="I36" s="11"/>
      <c r="J36" s="28"/>
      <c r="K36" s="48"/>
    </row>
    <row r="37" spans="1:11" x14ac:dyDescent="0.3">
      <c r="A37" s="9"/>
      <c r="B37" s="87" t="s">
        <v>248</v>
      </c>
      <c r="E37" s="83"/>
      <c r="F37" s="28"/>
      <c r="G37" s="28"/>
      <c r="H37" s="10"/>
      <c r="I37" s="11"/>
      <c r="J37" s="28"/>
      <c r="K37" s="48"/>
    </row>
    <row r="38" spans="1:11" x14ac:dyDescent="0.3">
      <c r="A38" s="9"/>
      <c r="B38" s="87" t="s">
        <v>249</v>
      </c>
      <c r="E38" s="83"/>
      <c r="F38" s="28"/>
      <c r="G38" s="28"/>
      <c r="H38" s="10"/>
      <c r="I38" s="11"/>
      <c r="J38" s="28"/>
      <c r="K38" s="48"/>
    </row>
    <row r="39" spans="1:11" x14ac:dyDescent="0.3">
      <c r="A39" s="40"/>
      <c r="B39" s="102" t="s">
        <v>250</v>
      </c>
      <c r="E39" s="83"/>
      <c r="F39" s="28"/>
      <c r="G39" s="28"/>
      <c r="H39" s="10"/>
      <c r="I39" s="29"/>
      <c r="J39" s="28"/>
      <c r="K39" s="28"/>
    </row>
    <row r="40" spans="1:11" x14ac:dyDescent="0.3">
      <c r="A40" s="9"/>
      <c r="B40" s="87"/>
      <c r="C40" s="13"/>
      <c r="D40" s="13"/>
      <c r="E40" s="103"/>
      <c r="F40" s="28"/>
      <c r="G40" s="69"/>
      <c r="H40" s="28"/>
      <c r="I40" s="97"/>
      <c r="J40" s="28"/>
      <c r="K40" s="69"/>
    </row>
    <row r="41" spans="1:11" x14ac:dyDescent="0.3">
      <c r="A41" s="9"/>
      <c r="B41" s="87"/>
      <c r="C41" s="13"/>
      <c r="D41" s="13"/>
      <c r="E41" s="103"/>
      <c r="F41" s="28"/>
      <c r="G41" s="69"/>
      <c r="H41" s="28"/>
      <c r="I41" s="97"/>
      <c r="J41" s="28"/>
      <c r="K41" s="69"/>
    </row>
    <row r="42" spans="1:11" x14ac:dyDescent="0.3">
      <c r="A42" s="162">
        <v>22</v>
      </c>
      <c r="B42" s="163" t="s">
        <v>251</v>
      </c>
      <c r="C42" s="176"/>
      <c r="D42" s="107"/>
      <c r="E42" s="83"/>
      <c r="F42" s="28"/>
      <c r="G42" s="28"/>
      <c r="H42" s="28"/>
      <c r="I42" s="29"/>
      <c r="J42" s="28"/>
      <c r="K42" s="72"/>
    </row>
    <row r="43" spans="1:11" x14ac:dyDescent="0.3">
      <c r="A43" s="140"/>
      <c r="B43" s="87"/>
      <c r="C43" s="107"/>
      <c r="D43" s="107"/>
      <c r="E43" s="83"/>
      <c r="F43" s="28"/>
      <c r="G43" s="28"/>
      <c r="H43" s="28"/>
      <c r="I43" s="29"/>
      <c r="J43" s="28"/>
      <c r="K43" s="28"/>
    </row>
    <row r="44" spans="1:11" x14ac:dyDescent="0.3">
      <c r="A44" s="9"/>
      <c r="B44" s="87" t="s">
        <v>252</v>
      </c>
      <c r="C44" s="13"/>
      <c r="D44" s="13"/>
      <c r="E44" s="103"/>
      <c r="F44" s="28"/>
      <c r="G44" s="69"/>
      <c r="H44" s="28"/>
      <c r="I44" s="68"/>
      <c r="J44" s="28"/>
      <c r="K44" s="69"/>
    </row>
    <row r="45" spans="1:11" ht="9.75" customHeight="1" x14ac:dyDescent="0.3">
      <c r="A45" s="9"/>
      <c r="B45" s="10"/>
      <c r="C45" s="13"/>
      <c r="D45" s="13"/>
      <c r="E45" s="84"/>
      <c r="F45" s="28"/>
      <c r="G45" s="22"/>
      <c r="H45" s="28"/>
      <c r="I45" s="21"/>
      <c r="J45" s="28"/>
      <c r="K45" s="22"/>
    </row>
    <row r="46" spans="1:11" ht="16.5" customHeight="1" x14ac:dyDescent="0.3">
      <c r="A46" s="9"/>
      <c r="B46" s="10"/>
      <c r="C46" s="13"/>
      <c r="D46" s="13"/>
      <c r="E46" s="247"/>
      <c r="F46" s="235">
        <v>1997</v>
      </c>
      <c r="G46" s="248"/>
      <c r="H46" s="7"/>
      <c r="I46" s="249"/>
      <c r="J46" s="237">
        <v>1996</v>
      </c>
      <c r="K46" s="250"/>
    </row>
    <row r="47" spans="1:11" ht="15.75" customHeight="1" x14ac:dyDescent="0.3">
      <c r="A47" s="9"/>
      <c r="B47" s="10"/>
      <c r="C47" s="13"/>
      <c r="D47" s="13"/>
      <c r="E47" s="111" t="s">
        <v>253</v>
      </c>
      <c r="F47" s="111"/>
      <c r="G47" s="111"/>
      <c r="H47" s="113"/>
      <c r="I47" s="243" t="s">
        <v>253</v>
      </c>
      <c r="J47" s="243"/>
      <c r="K47" s="243"/>
    </row>
    <row r="48" spans="1:11" ht="10.5" customHeight="1" x14ac:dyDescent="0.3">
      <c r="A48" s="40"/>
      <c r="B48" s="41"/>
      <c r="C48" s="13"/>
      <c r="D48" s="13"/>
      <c r="E48" s="244" t="s">
        <v>203</v>
      </c>
      <c r="F48" s="111"/>
      <c r="G48" s="244" t="s">
        <v>204</v>
      </c>
      <c r="H48" s="113"/>
      <c r="I48" s="245" t="s">
        <v>203</v>
      </c>
      <c r="J48" s="243"/>
      <c r="K48" s="245" t="s">
        <v>204</v>
      </c>
    </row>
    <row r="49" spans="1:11" ht="15.75" customHeight="1" x14ac:dyDescent="0.3">
      <c r="A49" s="9"/>
      <c r="B49" s="10"/>
      <c r="C49" s="13"/>
      <c r="D49" s="13"/>
      <c r="E49" s="183" t="s">
        <v>1</v>
      </c>
      <c r="F49" s="204"/>
      <c r="G49" s="183" t="s">
        <v>1</v>
      </c>
      <c r="H49" s="246"/>
      <c r="I49" s="193" t="s">
        <v>1</v>
      </c>
      <c r="J49" s="221"/>
      <c r="K49" s="193" t="s">
        <v>1</v>
      </c>
    </row>
    <row r="50" spans="1:11" x14ac:dyDescent="0.3">
      <c r="A50" s="9"/>
      <c r="B50" s="87" t="s">
        <v>254</v>
      </c>
      <c r="C50" s="13"/>
      <c r="D50" s="13"/>
      <c r="E50" s="28"/>
      <c r="F50" s="28"/>
      <c r="G50" s="28"/>
      <c r="H50" s="69"/>
      <c r="I50" s="29"/>
      <c r="J50" s="28"/>
      <c r="K50" s="28"/>
    </row>
    <row r="51" spans="1:11" x14ac:dyDescent="0.3">
      <c r="A51" s="9"/>
      <c r="B51" s="59" t="s">
        <v>255</v>
      </c>
      <c r="C51" s="13"/>
      <c r="D51" s="13"/>
      <c r="E51" s="21">
        <v>200</v>
      </c>
      <c r="F51" s="21"/>
      <c r="G51" s="21">
        <v>1.9</v>
      </c>
      <c r="H51" s="22"/>
      <c r="I51" s="104">
        <v>200</v>
      </c>
      <c r="J51" s="104"/>
      <c r="K51" s="104">
        <v>1.3</v>
      </c>
    </row>
    <row r="52" spans="1:11" x14ac:dyDescent="0.3">
      <c r="A52" s="9"/>
      <c r="B52" s="59" t="s">
        <v>256</v>
      </c>
      <c r="C52" s="13"/>
      <c r="D52" s="13"/>
      <c r="E52" s="21">
        <v>-368.3</v>
      </c>
      <c r="F52" s="21"/>
      <c r="G52" s="21">
        <v>14.2</v>
      </c>
      <c r="H52" s="22"/>
      <c r="I52" s="104">
        <v>-368.9</v>
      </c>
      <c r="J52" s="104"/>
      <c r="K52" s="104">
        <v>-2.6</v>
      </c>
    </row>
    <row r="53" spans="1:11" x14ac:dyDescent="0.3">
      <c r="A53" s="15"/>
      <c r="B53" s="87" t="s">
        <v>257</v>
      </c>
      <c r="C53" s="13"/>
      <c r="D53" s="13"/>
      <c r="E53" s="341">
        <v>118.6</v>
      </c>
      <c r="F53" s="47"/>
      <c r="G53" s="47">
        <v>11.8</v>
      </c>
      <c r="H53" s="22"/>
      <c r="I53" s="195" t="s">
        <v>14</v>
      </c>
      <c r="J53" s="195"/>
      <c r="K53" s="195" t="s">
        <v>14</v>
      </c>
    </row>
    <row r="54" spans="1:11" ht="7.5" customHeight="1" x14ac:dyDescent="0.3">
      <c r="A54" s="9"/>
      <c r="B54" s="59"/>
      <c r="C54" s="13"/>
      <c r="D54" s="13"/>
      <c r="E54" s="29"/>
      <c r="F54" s="29"/>
      <c r="G54" s="71"/>
      <c r="H54" s="28"/>
      <c r="I54" s="46"/>
      <c r="J54" s="46"/>
      <c r="K54" s="90"/>
    </row>
    <row r="55" spans="1:11" ht="16.5" customHeight="1" x14ac:dyDescent="0.3">
      <c r="A55" s="9"/>
      <c r="B55" s="59"/>
      <c r="C55" s="13"/>
      <c r="D55" s="13"/>
      <c r="E55" s="21"/>
      <c r="F55" s="21"/>
      <c r="G55" s="21">
        <f>SUM(G51:G54)</f>
        <v>27.9</v>
      </c>
      <c r="H55" s="22"/>
      <c r="I55" s="104"/>
      <c r="J55" s="104"/>
      <c r="K55" s="104">
        <v>-1.3</v>
      </c>
    </row>
    <row r="56" spans="1:11" ht="7.5" customHeight="1" thickBot="1" x14ac:dyDescent="0.35">
      <c r="A56" s="40"/>
      <c r="B56" s="87"/>
      <c r="C56" s="13"/>
      <c r="D56" s="13"/>
      <c r="E56" s="99"/>
      <c r="F56" s="99"/>
      <c r="G56" s="100"/>
      <c r="H56" s="13"/>
      <c r="I56" s="92"/>
      <c r="J56" s="28"/>
      <c r="K56" s="89"/>
    </row>
    <row r="57" spans="1:11" ht="12.75" customHeight="1" thickTop="1" x14ac:dyDescent="0.3">
      <c r="A57" s="40"/>
      <c r="B57" s="87"/>
      <c r="C57" s="13"/>
      <c r="D57" s="13"/>
      <c r="E57" s="99"/>
      <c r="F57" s="99"/>
      <c r="G57" s="99"/>
      <c r="H57" s="13"/>
      <c r="I57" s="92"/>
      <c r="J57" s="28"/>
      <c r="K57" s="69"/>
    </row>
    <row r="58" spans="1:11" ht="12.75" customHeight="1" x14ac:dyDescent="0.3">
      <c r="A58" s="9"/>
      <c r="B58" s="59" t="s">
        <v>258</v>
      </c>
      <c r="C58" s="13"/>
      <c r="D58" s="13"/>
      <c r="E58" s="13"/>
      <c r="F58" s="13"/>
      <c r="G58" s="13"/>
      <c r="H58" s="13"/>
      <c r="I58" s="105"/>
      <c r="J58" s="28"/>
      <c r="K58" s="28"/>
    </row>
    <row r="59" spans="1:11" x14ac:dyDescent="0.3">
      <c r="A59" s="9"/>
      <c r="B59" s="59" t="s">
        <v>259</v>
      </c>
      <c r="C59" s="13"/>
      <c r="D59" s="13"/>
      <c r="E59" s="13"/>
      <c r="F59" s="13"/>
      <c r="G59" s="13"/>
      <c r="H59" s="13"/>
      <c r="I59" s="68"/>
      <c r="J59" s="28"/>
      <c r="K59" s="69"/>
    </row>
    <row r="60" spans="1:11" x14ac:dyDescent="0.3">
      <c r="A60" s="9"/>
      <c r="B60" s="59" t="s">
        <v>260</v>
      </c>
      <c r="C60" s="13"/>
      <c r="D60" s="13"/>
      <c r="E60" s="13"/>
      <c r="F60" s="13"/>
      <c r="G60" s="13"/>
      <c r="H60" s="13"/>
      <c r="I60" s="29"/>
      <c r="J60" s="28"/>
      <c r="K60" s="28"/>
    </row>
    <row r="61" spans="1:11" x14ac:dyDescent="0.3">
      <c r="A61" s="9"/>
      <c r="B61" s="59"/>
      <c r="C61" s="13"/>
      <c r="D61" s="13"/>
      <c r="E61" s="13"/>
      <c r="F61" s="13"/>
      <c r="G61" s="13"/>
      <c r="H61" s="13"/>
      <c r="I61" s="29"/>
      <c r="J61" s="28"/>
      <c r="K61" s="28"/>
    </row>
    <row r="62" spans="1:11" x14ac:dyDescent="0.3">
      <c r="A62" s="9"/>
      <c r="B62" s="59" t="s">
        <v>261</v>
      </c>
      <c r="C62" s="335"/>
      <c r="D62" s="335"/>
      <c r="E62" s="335"/>
      <c r="F62" s="335"/>
      <c r="G62" s="335"/>
      <c r="H62" s="335"/>
      <c r="I62" s="336"/>
      <c r="J62" s="334"/>
      <c r="K62" s="334"/>
    </row>
    <row r="63" spans="1:11" x14ac:dyDescent="0.3">
      <c r="A63" s="9"/>
      <c r="B63" s="59" t="s">
        <v>262</v>
      </c>
      <c r="C63" s="335"/>
      <c r="D63" s="335"/>
      <c r="E63" s="335"/>
      <c r="F63" s="335"/>
      <c r="G63" s="335"/>
      <c r="H63" s="335"/>
      <c r="I63" s="337"/>
      <c r="J63" s="334"/>
      <c r="K63" s="334"/>
    </row>
    <row r="64" spans="1:11" x14ac:dyDescent="0.3">
      <c r="A64" s="40"/>
      <c r="B64" s="59"/>
      <c r="C64" s="335"/>
      <c r="D64" s="335"/>
      <c r="E64" s="335"/>
      <c r="F64" s="335"/>
      <c r="G64" s="335"/>
      <c r="H64" s="335"/>
      <c r="I64" s="337"/>
      <c r="J64" s="334"/>
      <c r="K64" s="334"/>
    </row>
    <row r="65" spans="1:11" x14ac:dyDescent="0.3">
      <c r="A65" s="40"/>
      <c r="B65" s="46"/>
      <c r="C65" s="13"/>
      <c r="D65" s="13"/>
      <c r="E65" s="13"/>
      <c r="F65" s="13"/>
      <c r="G65" s="13"/>
      <c r="H65" s="13"/>
      <c r="I65" s="29"/>
      <c r="J65" s="28"/>
      <c r="K65" s="28"/>
    </row>
    <row r="66" spans="1:11" x14ac:dyDescent="0.3">
      <c r="A66" s="9"/>
      <c r="B66" s="28"/>
      <c r="C66" s="13"/>
      <c r="D66" s="13"/>
      <c r="E66" s="13"/>
      <c r="F66" s="13"/>
      <c r="G66" s="13"/>
      <c r="H66" s="13"/>
      <c r="I66" s="29"/>
      <c r="J66" s="28"/>
      <c r="K66" s="28"/>
    </row>
    <row r="67" spans="1:11" x14ac:dyDescent="0.3">
      <c r="A67" s="9"/>
      <c r="B67" s="28"/>
      <c r="C67" s="13"/>
      <c r="D67" s="13"/>
      <c r="E67" s="13"/>
      <c r="F67" s="13"/>
      <c r="G67" s="13"/>
      <c r="H67" s="13"/>
      <c r="I67" s="29"/>
      <c r="J67" s="28"/>
      <c r="K67" s="28"/>
    </row>
    <row r="68" spans="1:11" x14ac:dyDescent="0.3">
      <c r="A68" s="9"/>
      <c r="B68" s="28"/>
      <c r="C68" s="13"/>
      <c r="D68" s="13"/>
      <c r="E68" s="13"/>
      <c r="F68" s="13"/>
      <c r="G68" s="13"/>
      <c r="H68" s="13"/>
      <c r="I68" s="29"/>
      <c r="J68" s="28"/>
      <c r="K68" s="28"/>
    </row>
    <row r="69" spans="1:11" x14ac:dyDescent="0.3">
      <c r="A69" s="9"/>
      <c r="B69" s="28"/>
      <c r="C69" s="13"/>
      <c r="D69" s="13"/>
      <c r="E69" s="13"/>
      <c r="F69" s="13"/>
      <c r="G69" s="13"/>
      <c r="H69" s="13"/>
      <c r="I69" s="29"/>
      <c r="J69" s="28"/>
      <c r="K69" s="28"/>
    </row>
    <row r="70" spans="1:11" x14ac:dyDescent="0.3">
      <c r="A70" s="9"/>
      <c r="B70" s="28"/>
      <c r="C70" s="13"/>
      <c r="D70" s="13"/>
      <c r="E70" s="13"/>
      <c r="F70" s="13"/>
      <c r="G70" s="13"/>
      <c r="H70" s="13"/>
      <c r="I70" s="21"/>
      <c r="J70" s="22"/>
      <c r="K70" s="22"/>
    </row>
    <row r="71" spans="1:11" x14ac:dyDescent="0.3">
      <c r="A71" s="9"/>
      <c r="B71" s="28"/>
      <c r="C71" s="13"/>
      <c r="D71" s="13"/>
      <c r="E71" s="13"/>
      <c r="F71" s="13"/>
      <c r="G71" s="13"/>
      <c r="H71" s="13"/>
      <c r="I71" s="29"/>
      <c r="J71" s="28"/>
      <c r="K71" s="28"/>
    </row>
    <row r="72" spans="1:11" x14ac:dyDescent="0.3">
      <c r="A72" s="9"/>
      <c r="B72" s="28"/>
      <c r="C72" s="13"/>
      <c r="D72" s="13"/>
      <c r="E72" s="13"/>
      <c r="F72" s="13"/>
      <c r="G72" s="13"/>
      <c r="H72" s="13"/>
      <c r="I72" s="29"/>
      <c r="J72" s="28"/>
      <c r="K72" s="48"/>
    </row>
    <row r="73" spans="1:11" x14ac:dyDescent="0.3">
      <c r="A73" s="9"/>
      <c r="B73" s="28"/>
      <c r="C73" s="13"/>
      <c r="D73" s="13"/>
      <c r="E73" s="13"/>
      <c r="F73" s="13"/>
      <c r="G73" s="13"/>
      <c r="H73" s="13"/>
      <c r="I73" s="21"/>
      <c r="J73" s="28"/>
      <c r="K73" s="48"/>
    </row>
    <row r="74" spans="1:11" x14ac:dyDescent="0.3">
      <c r="A74" s="9"/>
      <c r="B74" s="28"/>
      <c r="C74" s="13"/>
      <c r="D74" s="13"/>
      <c r="E74" s="13"/>
      <c r="F74" s="13"/>
      <c r="G74" s="13"/>
      <c r="H74" s="13"/>
      <c r="I74" s="29"/>
      <c r="J74" s="28"/>
      <c r="K74" s="48"/>
    </row>
    <row r="75" spans="1:11" x14ac:dyDescent="0.3">
      <c r="A75" s="9"/>
      <c r="B75" s="28"/>
      <c r="C75" s="13"/>
      <c r="D75" s="13"/>
      <c r="E75" s="13"/>
      <c r="F75" s="13"/>
      <c r="G75" s="13"/>
      <c r="H75" s="13"/>
      <c r="I75" s="29"/>
      <c r="J75" s="28"/>
      <c r="K75" s="28"/>
    </row>
    <row r="76" spans="1:11" x14ac:dyDescent="0.3">
      <c r="A76" s="9"/>
      <c r="B76" s="28"/>
      <c r="C76" s="13"/>
      <c r="D76" s="13"/>
      <c r="E76" s="13"/>
      <c r="F76" s="13"/>
      <c r="G76" s="13"/>
      <c r="H76" s="13"/>
      <c r="I76" s="29"/>
      <c r="J76" s="28"/>
      <c r="K76" s="28"/>
    </row>
    <row r="77" spans="1:11" x14ac:dyDescent="0.3">
      <c r="A77" s="9"/>
      <c r="B77" s="28"/>
      <c r="C77" s="13"/>
      <c r="D77" s="13"/>
      <c r="E77" s="13"/>
      <c r="F77" s="13"/>
      <c r="G77" s="13"/>
      <c r="H77" s="13"/>
      <c r="I77" s="29"/>
      <c r="J77" s="28"/>
      <c r="K77" s="28"/>
    </row>
    <row r="78" spans="1:11" x14ac:dyDescent="0.3">
      <c r="A78" s="9"/>
      <c r="B78" s="10"/>
    </row>
    <row r="79" spans="1:11" x14ac:dyDescent="0.3">
      <c r="A79" s="9"/>
      <c r="B79" s="10"/>
    </row>
    <row r="80" spans="1:11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  <row r="170" spans="1:2" x14ac:dyDescent="0.3">
      <c r="A170" s="9"/>
      <c r="B170" s="10"/>
    </row>
    <row r="171" spans="1:2" x14ac:dyDescent="0.3">
      <c r="A171" s="9"/>
      <c r="B171" s="10"/>
    </row>
    <row r="172" spans="1:2" x14ac:dyDescent="0.3">
      <c r="A172" s="9"/>
      <c r="B172" s="10"/>
    </row>
    <row r="173" spans="1:2" x14ac:dyDescent="0.3">
      <c r="A173" s="9"/>
      <c r="B173" s="10"/>
    </row>
    <row r="174" spans="1:2" x14ac:dyDescent="0.3">
      <c r="A174" s="9"/>
      <c r="B174" s="10"/>
    </row>
    <row r="175" spans="1:2" x14ac:dyDescent="0.3">
      <c r="A175" s="9"/>
      <c r="B175" s="10"/>
    </row>
    <row r="176" spans="1:2" x14ac:dyDescent="0.3">
      <c r="A176" s="9"/>
      <c r="B176" s="10"/>
    </row>
    <row r="177" spans="1:2" x14ac:dyDescent="0.3">
      <c r="A177" s="9"/>
      <c r="B177" s="10"/>
    </row>
    <row r="178" spans="1:2" x14ac:dyDescent="0.3">
      <c r="A178" s="9"/>
      <c r="B178" s="10"/>
    </row>
    <row r="179" spans="1:2" x14ac:dyDescent="0.3">
      <c r="A179" s="9"/>
      <c r="B179" s="10"/>
    </row>
    <row r="180" spans="1:2" x14ac:dyDescent="0.3">
      <c r="A180" s="9"/>
      <c r="B180" s="10"/>
    </row>
    <row r="181" spans="1:2" x14ac:dyDescent="0.3">
      <c r="A181" s="9"/>
      <c r="B181" s="10"/>
    </row>
    <row r="182" spans="1:2" x14ac:dyDescent="0.3">
      <c r="A182" s="9"/>
      <c r="B182" s="10"/>
    </row>
    <row r="183" spans="1:2" x14ac:dyDescent="0.3">
      <c r="A183" s="9"/>
      <c r="B183" s="10"/>
    </row>
    <row r="184" spans="1:2" x14ac:dyDescent="0.3">
      <c r="A184" s="9"/>
      <c r="B184" s="10"/>
    </row>
    <row r="185" spans="1:2" x14ac:dyDescent="0.3">
      <c r="A185" s="9"/>
      <c r="B185" s="10"/>
    </row>
    <row r="186" spans="1:2" x14ac:dyDescent="0.3">
      <c r="A186" s="9"/>
      <c r="B186" s="10"/>
    </row>
    <row r="187" spans="1:2" x14ac:dyDescent="0.3">
      <c r="A187" s="9"/>
      <c r="B187" s="10"/>
    </row>
    <row r="188" spans="1:2" x14ac:dyDescent="0.3">
      <c r="A188" s="9"/>
      <c r="B188" s="10"/>
    </row>
    <row r="189" spans="1:2" x14ac:dyDescent="0.3">
      <c r="A189" s="9"/>
      <c r="B189" s="10"/>
    </row>
    <row r="190" spans="1:2" x14ac:dyDescent="0.3">
      <c r="A190" s="9"/>
      <c r="B190" s="10"/>
    </row>
    <row r="191" spans="1:2" x14ac:dyDescent="0.3">
      <c r="A191" s="9"/>
      <c r="B191" s="10"/>
    </row>
    <row r="192" spans="1:2" x14ac:dyDescent="0.3">
      <c r="A192" s="9"/>
      <c r="B192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opLeftCell="A47" workbookViewId="0">
      <pane xSplit="9770" topLeftCell="J1"/>
      <selection activeCell="B57" sqref="B57"/>
      <selection pane="topRight" activeCell="J1" sqref="J1"/>
    </sheetView>
  </sheetViews>
  <sheetFormatPr defaultRowHeight="13" x14ac:dyDescent="0.3"/>
  <cols>
    <col min="1" max="1" width="5.54296875" customWidth="1"/>
    <col min="2" max="2" width="3.81640625" style="30" customWidth="1"/>
    <col min="3" max="3" width="6" customWidth="1"/>
    <col min="4" max="4" width="9.26953125" customWidth="1"/>
    <col min="5" max="5" width="5" customWidth="1"/>
    <col min="6" max="6" width="6.81640625" customWidth="1"/>
    <col min="7" max="7" width="2.7265625" customWidth="1"/>
    <col min="8" max="8" width="14.81640625" customWidth="1"/>
    <col min="9" max="9" width="2.26953125" customWidth="1"/>
    <col min="10" max="10" width="13.7265625" customWidth="1"/>
    <col min="11" max="11" width="2.453125" style="17" customWidth="1"/>
    <col min="12" max="12" width="10" style="10" customWidth="1"/>
    <col min="13" max="13" width="6.7265625" style="10" customWidth="1"/>
    <col min="14" max="14" width="10.81640625" customWidth="1"/>
  </cols>
  <sheetData>
    <row r="1" spans="1:13" s="13" customFormat="1" ht="24.75" customHeight="1" x14ac:dyDescent="0.3">
      <c r="A1" s="223" t="s">
        <v>0</v>
      </c>
      <c r="B1" s="31"/>
      <c r="C1" s="171"/>
      <c r="D1" s="171"/>
      <c r="E1" s="171"/>
      <c r="F1" s="32"/>
      <c r="G1" s="32"/>
      <c r="H1" s="32"/>
      <c r="I1" s="32"/>
      <c r="J1" s="32"/>
      <c r="K1" s="33"/>
      <c r="L1" s="34"/>
      <c r="M1" s="28"/>
    </row>
    <row r="2" spans="1:13" x14ac:dyDescent="0.3">
      <c r="A2" s="143" t="s">
        <v>31</v>
      </c>
      <c r="B2" s="49"/>
      <c r="C2" s="10"/>
    </row>
    <row r="3" spans="1:13" x14ac:dyDescent="0.3">
      <c r="A3" s="166"/>
      <c r="B3" s="49"/>
      <c r="C3" s="10"/>
    </row>
    <row r="4" spans="1:13" x14ac:dyDescent="0.3">
      <c r="A4" s="166"/>
      <c r="B4" s="49"/>
      <c r="C4" s="10"/>
    </row>
    <row r="5" spans="1:13" x14ac:dyDescent="0.3">
      <c r="A5" s="177">
        <v>23</v>
      </c>
      <c r="B5" s="178" t="s">
        <v>263</v>
      </c>
      <c r="C5" s="13"/>
      <c r="D5" s="13"/>
      <c r="E5" s="28"/>
      <c r="F5" s="28"/>
      <c r="G5" s="28"/>
      <c r="H5" s="28"/>
      <c r="I5" s="68"/>
      <c r="J5" s="28"/>
    </row>
    <row r="6" spans="1:13" x14ac:dyDescent="0.3">
      <c r="A6" s="27"/>
      <c r="B6" s="28"/>
      <c r="C6" s="13"/>
      <c r="D6" s="13"/>
      <c r="E6" s="28"/>
      <c r="F6" s="28"/>
      <c r="G6" s="28"/>
      <c r="H6" s="28"/>
      <c r="I6" s="29"/>
      <c r="J6" s="28"/>
    </row>
    <row r="7" spans="1:13" x14ac:dyDescent="0.3">
      <c r="A7" s="45"/>
      <c r="B7" s="59" t="s">
        <v>264</v>
      </c>
      <c r="C7" s="107"/>
      <c r="D7" s="107"/>
      <c r="E7" s="59"/>
      <c r="F7" s="59"/>
      <c r="G7" s="59"/>
      <c r="H7" s="59"/>
      <c r="I7" s="109"/>
      <c r="J7" s="59"/>
    </row>
    <row r="8" spans="1:13" x14ac:dyDescent="0.3">
      <c r="A8" s="27"/>
      <c r="B8" s="59" t="s">
        <v>265</v>
      </c>
      <c r="C8" s="107"/>
      <c r="D8" s="107"/>
      <c r="E8" s="59"/>
      <c r="F8" s="59"/>
      <c r="G8" s="59"/>
      <c r="H8" s="59"/>
      <c r="I8" s="109"/>
      <c r="J8" s="59"/>
    </row>
    <row r="9" spans="1:13" x14ac:dyDescent="0.3">
      <c r="A9" s="27"/>
      <c r="B9" s="59"/>
      <c r="C9" s="107"/>
      <c r="D9" s="13"/>
      <c r="E9" s="28"/>
      <c r="F9" s="28"/>
      <c r="G9" s="28"/>
      <c r="H9" s="28"/>
      <c r="I9" s="29"/>
      <c r="J9" s="28"/>
    </row>
    <row r="10" spans="1:13" x14ac:dyDescent="0.3">
      <c r="A10" s="27"/>
      <c r="B10" s="108" t="s">
        <v>266</v>
      </c>
      <c r="C10" s="108" t="s">
        <v>267</v>
      </c>
      <c r="D10" s="107"/>
      <c r="E10" s="59"/>
      <c r="F10" s="59"/>
      <c r="G10" s="59"/>
      <c r="H10" s="59"/>
      <c r="I10" s="109"/>
      <c r="J10" s="59"/>
    </row>
    <row r="11" spans="1:13" x14ac:dyDescent="0.3">
      <c r="A11" s="27"/>
      <c r="B11" s="59"/>
      <c r="C11" s="59" t="s">
        <v>268</v>
      </c>
      <c r="D11" s="107"/>
      <c r="E11" s="59"/>
      <c r="F11" s="59"/>
      <c r="G11" s="59"/>
      <c r="H11" s="59"/>
      <c r="I11" s="109"/>
      <c r="J11" s="59"/>
    </row>
    <row r="12" spans="1:13" x14ac:dyDescent="0.3">
      <c r="A12" s="27"/>
      <c r="B12" s="59"/>
      <c r="C12" s="59" t="s">
        <v>269</v>
      </c>
      <c r="D12" s="107"/>
      <c r="E12" s="59"/>
      <c r="F12" s="59"/>
      <c r="G12" s="59"/>
      <c r="H12" s="59"/>
      <c r="I12" s="109"/>
      <c r="J12" s="59"/>
    </row>
    <row r="13" spans="1:13" x14ac:dyDescent="0.3">
      <c r="A13" s="106"/>
      <c r="B13" s="109"/>
      <c r="C13" s="59" t="s">
        <v>270</v>
      </c>
      <c r="D13" s="107"/>
      <c r="E13" s="59"/>
      <c r="F13" s="59"/>
      <c r="G13" s="59"/>
      <c r="H13" s="59"/>
      <c r="I13" s="109"/>
      <c r="J13" s="59"/>
    </row>
    <row r="14" spans="1:13" x14ac:dyDescent="0.3">
      <c r="A14" s="27"/>
      <c r="B14" s="59"/>
      <c r="C14" s="59" t="s">
        <v>271</v>
      </c>
      <c r="D14" s="107"/>
      <c r="E14" s="59"/>
      <c r="F14" s="59"/>
      <c r="G14" s="59"/>
      <c r="H14" s="59"/>
      <c r="I14" s="109"/>
      <c r="J14" s="59"/>
    </row>
    <row r="15" spans="1:13" x14ac:dyDescent="0.3">
      <c r="A15" s="45"/>
      <c r="B15" s="109"/>
      <c r="C15" s="107"/>
      <c r="D15" s="107"/>
      <c r="E15" s="59"/>
      <c r="F15" s="59"/>
      <c r="G15" s="59"/>
      <c r="H15" s="59"/>
      <c r="I15" s="109"/>
      <c r="J15" s="59"/>
    </row>
    <row r="16" spans="1:13" x14ac:dyDescent="0.3">
      <c r="A16" s="27"/>
      <c r="B16" s="108" t="s">
        <v>272</v>
      </c>
      <c r="C16" s="108" t="s">
        <v>273</v>
      </c>
      <c r="D16" s="13"/>
      <c r="E16" s="28"/>
      <c r="F16" s="28"/>
      <c r="G16" s="28"/>
      <c r="H16" s="28"/>
      <c r="I16" s="11"/>
      <c r="J16" s="28"/>
    </row>
    <row r="17" spans="1:13" x14ac:dyDescent="0.3">
      <c r="A17" s="27"/>
      <c r="B17" s="59"/>
      <c r="C17" s="59" t="s">
        <v>274</v>
      </c>
      <c r="D17" s="13"/>
      <c r="E17" s="28"/>
      <c r="F17" s="28"/>
      <c r="G17" s="28"/>
      <c r="H17" s="28"/>
      <c r="I17" s="29"/>
      <c r="J17" s="28"/>
    </row>
    <row r="18" spans="1:13" x14ac:dyDescent="0.3">
      <c r="A18" s="27"/>
      <c r="B18" s="59"/>
      <c r="C18" s="59" t="s">
        <v>275</v>
      </c>
      <c r="D18" s="13"/>
      <c r="E18" s="28"/>
      <c r="F18" s="28"/>
      <c r="G18" s="28"/>
      <c r="H18" s="28"/>
      <c r="I18" s="29"/>
      <c r="J18" s="28"/>
    </row>
    <row r="19" spans="1:13" x14ac:dyDescent="0.3">
      <c r="A19" s="27"/>
      <c r="B19" s="59"/>
      <c r="C19" s="59"/>
      <c r="D19" s="13"/>
      <c r="E19" s="28"/>
      <c r="F19" s="28"/>
      <c r="G19" s="28"/>
      <c r="H19" s="28"/>
      <c r="I19" s="29"/>
      <c r="J19" s="28"/>
    </row>
    <row r="20" spans="1:13" x14ac:dyDescent="0.3">
      <c r="A20" s="27"/>
      <c r="B20" s="108" t="s">
        <v>276</v>
      </c>
      <c r="C20" s="108" t="s">
        <v>277</v>
      </c>
      <c r="D20" s="13"/>
      <c r="E20" s="28"/>
      <c r="F20" s="28"/>
      <c r="G20" s="28"/>
      <c r="H20" s="28"/>
      <c r="I20" s="29"/>
      <c r="J20" s="28"/>
    </row>
    <row r="21" spans="1:13" x14ac:dyDescent="0.3">
      <c r="A21" s="27"/>
      <c r="B21" s="59"/>
      <c r="C21" s="59" t="s">
        <v>278</v>
      </c>
      <c r="D21" s="13"/>
      <c r="E21" s="28"/>
      <c r="F21" s="28"/>
      <c r="G21" s="28"/>
      <c r="H21" s="28"/>
      <c r="I21" s="29"/>
      <c r="J21" s="28"/>
    </row>
    <row r="22" spans="1:13" x14ac:dyDescent="0.3">
      <c r="A22" s="27"/>
      <c r="B22" s="59"/>
      <c r="C22" s="59" t="s">
        <v>279</v>
      </c>
      <c r="D22" s="13"/>
      <c r="E22" s="28"/>
      <c r="F22" s="28"/>
      <c r="G22" s="28"/>
      <c r="H22" s="28"/>
      <c r="I22" s="29"/>
      <c r="J22" s="28"/>
    </row>
    <row r="23" spans="1:13" x14ac:dyDescent="0.3">
      <c r="A23" s="27"/>
      <c r="B23" s="59"/>
      <c r="C23" s="107"/>
      <c r="D23" s="13"/>
      <c r="E23" s="28"/>
      <c r="F23" s="28"/>
      <c r="G23" s="28"/>
      <c r="H23" s="28"/>
      <c r="I23" s="29"/>
      <c r="J23" s="28"/>
    </row>
    <row r="24" spans="1:13" x14ac:dyDescent="0.3">
      <c r="A24" s="27"/>
      <c r="B24" s="59"/>
      <c r="C24" s="59" t="s">
        <v>280</v>
      </c>
      <c r="D24" s="13"/>
      <c r="E24" s="28"/>
      <c r="F24" s="28"/>
      <c r="G24" s="28"/>
      <c r="H24" s="28"/>
      <c r="I24" s="29"/>
      <c r="J24" s="28"/>
    </row>
    <row r="25" spans="1:13" x14ac:dyDescent="0.3">
      <c r="A25" s="45"/>
      <c r="B25" s="110"/>
      <c r="C25" s="59" t="s">
        <v>281</v>
      </c>
      <c r="D25" s="13"/>
      <c r="E25" s="28"/>
      <c r="F25" s="28"/>
      <c r="G25" s="28"/>
      <c r="H25" s="28"/>
      <c r="I25" s="29"/>
      <c r="J25" s="28"/>
    </row>
    <row r="26" spans="1:13" x14ac:dyDescent="0.3">
      <c r="A26" s="166"/>
      <c r="B26" s="49"/>
      <c r="C26" s="10"/>
    </row>
    <row r="27" spans="1:13" s="13" customFormat="1" x14ac:dyDescent="0.3">
      <c r="A27" s="177">
        <v>24</v>
      </c>
      <c r="B27" s="178" t="s">
        <v>282</v>
      </c>
      <c r="C27"/>
      <c r="F27" s="28"/>
      <c r="G27" s="28"/>
      <c r="H27" s="28"/>
      <c r="I27" s="28"/>
      <c r="J27" s="28"/>
      <c r="K27" s="29"/>
      <c r="L27" s="28"/>
      <c r="M27" s="28"/>
    </row>
    <row r="28" spans="1:13" s="13" customFormat="1" x14ac:dyDescent="0.3">
      <c r="A28" s="27"/>
      <c r="B28" s="28"/>
      <c r="C28"/>
      <c r="F28" s="28"/>
      <c r="G28" s="28"/>
      <c r="H28" s="28"/>
      <c r="I28" s="28"/>
      <c r="J28" s="28"/>
      <c r="K28" s="29"/>
      <c r="L28" s="28"/>
      <c r="M28" s="28"/>
    </row>
    <row r="29" spans="1:13" s="13" customFormat="1" x14ac:dyDescent="0.3">
      <c r="A29" s="27"/>
      <c r="B29" s="59" t="s">
        <v>283</v>
      </c>
      <c r="C29" s="101"/>
      <c r="D29" s="107"/>
      <c r="E29" s="107"/>
      <c r="F29" s="59"/>
      <c r="G29" s="59"/>
      <c r="H29" s="59"/>
      <c r="I29" s="59"/>
      <c r="J29" s="59"/>
      <c r="K29" s="29"/>
      <c r="L29" s="28"/>
      <c r="M29" s="28"/>
    </row>
    <row r="30" spans="1:13" s="13" customFormat="1" x14ac:dyDescent="0.3">
      <c r="B30" s="27"/>
      <c r="C30" s="28"/>
      <c r="F30" s="28"/>
      <c r="G30" s="28"/>
      <c r="H30" s="28"/>
      <c r="I30" s="28"/>
      <c r="J30" s="28"/>
      <c r="K30" s="11"/>
      <c r="L30" s="28"/>
      <c r="M30" s="28"/>
    </row>
    <row r="31" spans="1:13" s="28" customFormat="1" x14ac:dyDescent="0.3">
      <c r="B31" s="27"/>
      <c r="F31" s="318" t="s">
        <v>284</v>
      </c>
      <c r="G31" s="263"/>
      <c r="H31" s="256"/>
      <c r="I31" s="256"/>
      <c r="J31" s="256"/>
      <c r="K31" s="264"/>
      <c r="L31" s="312" t="s">
        <v>285</v>
      </c>
      <c r="M31" s="69"/>
    </row>
    <row r="32" spans="1:13" s="28" customFormat="1" ht="17.25" customHeight="1" x14ac:dyDescent="0.3">
      <c r="B32" s="27"/>
      <c r="F32" s="319" t="s">
        <v>286</v>
      </c>
      <c r="G32" s="265"/>
      <c r="H32" s="311" t="s">
        <v>287</v>
      </c>
      <c r="I32" s="266"/>
      <c r="J32" s="311" t="s">
        <v>288</v>
      </c>
      <c r="K32" s="267"/>
      <c r="L32" s="310" t="s">
        <v>289</v>
      </c>
      <c r="M32" s="70"/>
    </row>
    <row r="33" spans="2:13" s="28" customFormat="1" x14ac:dyDescent="0.3">
      <c r="B33" s="27"/>
      <c r="K33" s="68"/>
      <c r="M33" s="69"/>
    </row>
    <row r="34" spans="2:13" s="28" customFormat="1" x14ac:dyDescent="0.3">
      <c r="B34" s="153" t="s">
        <v>290</v>
      </c>
      <c r="C34" s="109"/>
      <c r="F34" s="48">
        <v>100</v>
      </c>
      <c r="G34" s="28" t="s">
        <v>291</v>
      </c>
      <c r="H34" s="261" t="s">
        <v>292</v>
      </c>
      <c r="J34" s="59" t="s">
        <v>293</v>
      </c>
      <c r="K34" s="112"/>
      <c r="L34" s="59" t="s">
        <v>294</v>
      </c>
      <c r="M34" s="69"/>
    </row>
    <row r="35" spans="2:13" s="28" customFormat="1" x14ac:dyDescent="0.3">
      <c r="B35" s="153" t="s">
        <v>295</v>
      </c>
      <c r="C35" s="59"/>
      <c r="J35" s="59"/>
      <c r="K35" s="109"/>
      <c r="L35" s="59"/>
    </row>
    <row r="36" spans="2:13" s="28" customFormat="1" x14ac:dyDescent="0.3">
      <c r="B36" s="180"/>
      <c r="C36" s="59"/>
      <c r="J36" s="59"/>
      <c r="K36" s="109"/>
      <c r="L36" s="59"/>
    </row>
    <row r="37" spans="2:13" s="28" customFormat="1" x14ac:dyDescent="0.3">
      <c r="B37" s="153" t="s">
        <v>296</v>
      </c>
      <c r="C37" s="59"/>
      <c r="F37" s="48">
        <v>100</v>
      </c>
      <c r="G37" s="28" t="s">
        <v>291</v>
      </c>
      <c r="H37" s="261" t="s">
        <v>297</v>
      </c>
      <c r="J37" s="59" t="s">
        <v>298</v>
      </c>
      <c r="K37" s="109"/>
      <c r="L37" s="59" t="s">
        <v>294</v>
      </c>
    </row>
    <row r="38" spans="2:13" s="28" customFormat="1" x14ac:dyDescent="0.3">
      <c r="B38" s="153"/>
      <c r="C38" s="59"/>
      <c r="J38" s="59"/>
      <c r="K38" s="109"/>
      <c r="L38" s="59"/>
    </row>
    <row r="39" spans="2:13" s="28" customFormat="1" x14ac:dyDescent="0.3">
      <c r="B39" s="153" t="s">
        <v>299</v>
      </c>
      <c r="C39" s="59"/>
      <c r="F39" s="48">
        <v>100</v>
      </c>
      <c r="G39" s="28" t="s">
        <v>291</v>
      </c>
      <c r="H39" s="261" t="s">
        <v>300</v>
      </c>
      <c r="J39" s="59" t="s">
        <v>293</v>
      </c>
      <c r="K39" s="109"/>
      <c r="L39" s="59" t="s">
        <v>294</v>
      </c>
    </row>
    <row r="40" spans="2:13" s="28" customFormat="1" x14ac:dyDescent="0.3">
      <c r="B40" s="153" t="s">
        <v>301</v>
      </c>
      <c r="C40" s="108"/>
      <c r="D40" s="114"/>
      <c r="J40" s="59"/>
      <c r="K40" s="109"/>
      <c r="L40" s="59"/>
      <c r="M40" s="72"/>
    </row>
    <row r="41" spans="2:13" s="28" customFormat="1" x14ac:dyDescent="0.3">
      <c r="B41" s="153"/>
      <c r="C41" s="108"/>
      <c r="D41" s="114"/>
      <c r="J41" s="59"/>
      <c r="K41" s="109"/>
      <c r="L41" s="59"/>
      <c r="M41" s="72"/>
    </row>
    <row r="42" spans="2:13" s="28" customFormat="1" x14ac:dyDescent="0.3">
      <c r="B42" s="153" t="s">
        <v>302</v>
      </c>
      <c r="C42" s="59"/>
      <c r="D42" s="114"/>
      <c r="F42" s="48">
        <v>100</v>
      </c>
      <c r="H42" s="261" t="s">
        <v>303</v>
      </c>
      <c r="J42" s="59" t="s">
        <v>304</v>
      </c>
      <c r="K42" s="109"/>
      <c r="L42" s="59" t="s">
        <v>305</v>
      </c>
      <c r="M42" s="72"/>
    </row>
    <row r="43" spans="2:13" s="28" customFormat="1" x14ac:dyDescent="0.3">
      <c r="B43" s="180" t="s">
        <v>306</v>
      </c>
      <c r="C43" s="109"/>
      <c r="D43" s="114"/>
      <c r="J43" s="59"/>
      <c r="K43" s="109"/>
      <c r="L43" s="59"/>
      <c r="M43" s="72"/>
    </row>
    <row r="44" spans="2:13" s="28" customFormat="1" x14ac:dyDescent="0.3">
      <c r="B44" s="153"/>
      <c r="C44" s="59"/>
      <c r="J44" s="59"/>
      <c r="K44" s="109"/>
      <c r="L44" s="59"/>
    </row>
    <row r="45" spans="2:13" s="28" customFormat="1" x14ac:dyDescent="0.3">
      <c r="B45" s="153" t="s">
        <v>307</v>
      </c>
      <c r="C45" s="59"/>
      <c r="F45" s="48">
        <v>100</v>
      </c>
      <c r="H45" s="261" t="s">
        <v>308</v>
      </c>
      <c r="J45" s="59" t="s">
        <v>304</v>
      </c>
      <c r="K45" s="109"/>
      <c r="L45" s="59" t="s">
        <v>305</v>
      </c>
    </row>
    <row r="46" spans="2:13" s="28" customFormat="1" x14ac:dyDescent="0.3">
      <c r="B46" s="180" t="s">
        <v>309</v>
      </c>
      <c r="C46" s="109"/>
      <c r="J46" s="59"/>
      <c r="K46" s="109"/>
      <c r="L46" s="59"/>
    </row>
    <row r="47" spans="2:13" s="28" customFormat="1" x14ac:dyDescent="0.3">
      <c r="B47" s="153"/>
      <c r="C47" s="59"/>
      <c r="J47" s="59"/>
      <c r="K47" s="109"/>
      <c r="L47" s="59"/>
    </row>
    <row r="48" spans="2:13" s="28" customFormat="1" x14ac:dyDescent="0.3">
      <c r="B48" s="153" t="s">
        <v>310</v>
      </c>
      <c r="C48" s="59"/>
      <c r="F48" s="48">
        <v>100</v>
      </c>
      <c r="H48" s="261" t="s">
        <v>308</v>
      </c>
      <c r="J48" s="59" t="s">
        <v>304</v>
      </c>
      <c r="K48" s="59"/>
      <c r="L48" s="59" t="s">
        <v>305</v>
      </c>
      <c r="M48" s="69"/>
    </row>
    <row r="49" spans="2:13" s="28" customFormat="1" x14ac:dyDescent="0.3">
      <c r="B49" s="179"/>
      <c r="C49" s="108"/>
      <c r="D49" s="114"/>
      <c r="J49" s="59"/>
      <c r="K49" s="59"/>
      <c r="L49" s="59"/>
    </row>
    <row r="50" spans="2:13" s="28" customFormat="1" x14ac:dyDescent="0.3">
      <c r="B50" s="153" t="s">
        <v>311</v>
      </c>
      <c r="C50" s="59"/>
      <c r="F50" s="262">
        <v>100</v>
      </c>
      <c r="H50" s="261" t="s">
        <v>312</v>
      </c>
      <c r="J50" s="59" t="s">
        <v>304</v>
      </c>
      <c r="K50" s="59"/>
      <c r="L50" s="59" t="s">
        <v>305</v>
      </c>
    </row>
    <row r="51" spans="2:13" s="28" customFormat="1" x14ac:dyDescent="0.3">
      <c r="B51" s="153"/>
      <c r="C51" s="108"/>
      <c r="D51" s="114"/>
      <c r="J51" s="59"/>
      <c r="K51" s="152"/>
      <c r="L51" s="59"/>
      <c r="M51" s="72"/>
    </row>
    <row r="52" spans="2:13" s="28" customFormat="1" x14ac:dyDescent="0.3">
      <c r="B52" s="153" t="s">
        <v>313</v>
      </c>
      <c r="C52" s="59"/>
      <c r="F52" s="262">
        <v>100</v>
      </c>
      <c r="H52" s="261" t="s">
        <v>308</v>
      </c>
      <c r="J52" s="59" t="s">
        <v>304</v>
      </c>
      <c r="K52" s="59"/>
      <c r="L52" s="59" t="s">
        <v>305</v>
      </c>
      <c r="M52" s="48"/>
    </row>
    <row r="53" spans="2:13" s="28" customFormat="1" x14ac:dyDescent="0.3">
      <c r="B53" s="153"/>
      <c r="C53" s="59"/>
      <c r="D53" s="115"/>
      <c r="J53" s="59"/>
      <c r="K53" s="59"/>
      <c r="L53" s="59"/>
      <c r="M53" s="72"/>
    </row>
    <row r="54" spans="2:13" s="28" customFormat="1" x14ac:dyDescent="0.3">
      <c r="B54" s="153" t="s">
        <v>314</v>
      </c>
      <c r="C54" s="59"/>
      <c r="F54" s="262">
        <v>45</v>
      </c>
      <c r="H54" s="261" t="s">
        <v>315</v>
      </c>
      <c r="J54" s="59" t="s">
        <v>293</v>
      </c>
      <c r="K54" s="59"/>
      <c r="L54" s="59" t="s">
        <v>294</v>
      </c>
    </row>
    <row r="55" spans="2:13" s="28" customFormat="1" x14ac:dyDescent="0.3">
      <c r="B55" s="153"/>
      <c r="C55" s="59"/>
      <c r="K55" s="69"/>
    </row>
    <row r="56" spans="2:13" s="28" customFormat="1" x14ac:dyDescent="0.3">
      <c r="B56" s="179" t="s">
        <v>316</v>
      </c>
      <c r="K56" s="69"/>
    </row>
    <row r="57" spans="2:13" s="28" customFormat="1" x14ac:dyDescent="0.3">
      <c r="B57" s="27"/>
    </row>
    <row r="58" spans="2:13" s="28" customFormat="1" x14ac:dyDescent="0.3">
      <c r="B58" s="27"/>
      <c r="M58" s="76"/>
    </row>
    <row r="59" spans="2:13" s="28" customFormat="1" x14ac:dyDescent="0.3">
      <c r="B59" s="27"/>
      <c r="M59" s="69"/>
    </row>
    <row r="60" spans="2:13" s="28" customFormat="1" x14ac:dyDescent="0.3">
      <c r="B60" s="27"/>
    </row>
    <row r="61" spans="2:13" s="28" customFormat="1" x14ac:dyDescent="0.3">
      <c r="B61" s="27"/>
      <c r="M61" s="69"/>
    </row>
    <row r="62" spans="2:13" s="28" customFormat="1" x14ac:dyDescent="0.3">
      <c r="B62" s="27"/>
    </row>
    <row r="63" spans="2:13" s="28" customFormat="1" x14ac:dyDescent="0.3">
      <c r="B63" s="27"/>
    </row>
    <row r="64" spans="2:13" s="28" customFormat="1" x14ac:dyDescent="0.3">
      <c r="B64" s="27"/>
      <c r="K64" s="22"/>
      <c r="L64" s="22"/>
    </row>
    <row r="65" spans="2:13" s="28" customFormat="1" x14ac:dyDescent="0.3">
      <c r="B65" s="27"/>
    </row>
    <row r="66" spans="2:13" s="28" customFormat="1" x14ac:dyDescent="0.3">
      <c r="B66" s="27"/>
    </row>
    <row r="67" spans="2:13" s="28" customFormat="1" x14ac:dyDescent="0.3">
      <c r="B67" s="27"/>
      <c r="K67" s="22"/>
    </row>
    <row r="68" spans="2:13" s="28" customFormat="1" x14ac:dyDescent="0.3">
      <c r="B68" s="27"/>
    </row>
    <row r="69" spans="2:13" s="28" customFormat="1" x14ac:dyDescent="0.3">
      <c r="B69" s="27"/>
    </row>
    <row r="70" spans="2:13" s="28" customFormat="1" x14ac:dyDescent="0.3">
      <c r="B70" s="27"/>
    </row>
    <row r="71" spans="2:13" s="28" customFormat="1" x14ac:dyDescent="0.3">
      <c r="B71" s="27"/>
      <c r="M71" s="22"/>
    </row>
    <row r="72" spans="2:13" s="28" customFormat="1" x14ac:dyDescent="0.3">
      <c r="B72" s="27"/>
    </row>
    <row r="73" spans="2:13" s="28" customFormat="1" x14ac:dyDescent="0.3">
      <c r="B73" s="27"/>
      <c r="M73" s="48"/>
    </row>
    <row r="74" spans="2:13" s="28" customFormat="1" x14ac:dyDescent="0.3">
      <c r="B74" s="27"/>
      <c r="M74" s="48"/>
    </row>
    <row r="75" spans="2:13" s="28" customFormat="1" x14ac:dyDescent="0.3">
      <c r="B75" s="27"/>
      <c r="M75" s="48"/>
    </row>
    <row r="76" spans="2:13" s="28" customFormat="1" x14ac:dyDescent="0.3">
      <c r="B76" s="27"/>
    </row>
    <row r="77" spans="2:13" s="28" customFormat="1" x14ac:dyDescent="0.3">
      <c r="B77" s="27"/>
    </row>
    <row r="78" spans="2:13" s="28" customFormat="1" x14ac:dyDescent="0.3">
      <c r="B78" s="27"/>
    </row>
    <row r="79" spans="2:13" s="28" customFormat="1" x14ac:dyDescent="0.3">
      <c r="B79" s="27"/>
    </row>
    <row r="80" spans="2:13" s="28" customFormat="1" x14ac:dyDescent="0.3">
      <c r="B80" s="27"/>
    </row>
    <row r="81" spans="2:2" s="28" customFormat="1" x14ac:dyDescent="0.3">
      <c r="B81" s="27"/>
    </row>
    <row r="82" spans="2:2" s="28" customFormat="1" x14ac:dyDescent="0.3">
      <c r="B82" s="27"/>
    </row>
    <row r="83" spans="2:2" s="28" customFormat="1" x14ac:dyDescent="0.3">
      <c r="B83" s="27"/>
    </row>
    <row r="84" spans="2:2" s="28" customFormat="1" x14ac:dyDescent="0.3">
      <c r="B84" s="27"/>
    </row>
    <row r="85" spans="2:2" s="28" customFormat="1" x14ac:dyDescent="0.3">
      <c r="B85" s="27"/>
    </row>
    <row r="86" spans="2:2" s="28" customFormat="1" x14ac:dyDescent="0.3">
      <c r="B86" s="27"/>
    </row>
    <row r="87" spans="2:2" s="28" customFormat="1" x14ac:dyDescent="0.3">
      <c r="B87" s="27"/>
    </row>
    <row r="88" spans="2:2" s="28" customFormat="1" x14ac:dyDescent="0.3">
      <c r="B88" s="27"/>
    </row>
    <row r="89" spans="2:2" s="28" customFormat="1" x14ac:dyDescent="0.3">
      <c r="B89" s="27"/>
    </row>
    <row r="90" spans="2:2" s="28" customFormat="1" x14ac:dyDescent="0.3">
      <c r="B90" s="27"/>
    </row>
    <row r="91" spans="2:2" s="28" customFormat="1" x14ac:dyDescent="0.3">
      <c r="B91" s="27"/>
    </row>
    <row r="92" spans="2:2" s="28" customFormat="1" x14ac:dyDescent="0.3">
      <c r="B92" s="27"/>
    </row>
    <row r="93" spans="2:2" s="28" customFormat="1" x14ac:dyDescent="0.3">
      <c r="B93" s="27"/>
    </row>
    <row r="94" spans="2:2" s="28" customFormat="1" x14ac:dyDescent="0.3">
      <c r="B94" s="27"/>
    </row>
    <row r="95" spans="2:2" s="28" customFormat="1" x14ac:dyDescent="0.3">
      <c r="B95" s="27"/>
    </row>
    <row r="96" spans="2:2" s="28" customFormat="1" x14ac:dyDescent="0.3">
      <c r="B96" s="27"/>
    </row>
    <row r="97" spans="2:10" s="28" customFormat="1" x14ac:dyDescent="0.3">
      <c r="B97" s="27"/>
    </row>
    <row r="98" spans="2:10" s="28" customFormat="1" x14ac:dyDescent="0.3">
      <c r="B98" s="27"/>
    </row>
    <row r="99" spans="2:10" s="28" customFormat="1" x14ac:dyDescent="0.3">
      <c r="B99" s="27"/>
    </row>
    <row r="100" spans="2:10" s="28" customFormat="1" x14ac:dyDescent="0.3">
      <c r="B100" s="27"/>
    </row>
    <row r="101" spans="2:10" s="28" customFormat="1" x14ac:dyDescent="0.3">
      <c r="B101" s="27"/>
    </row>
    <row r="102" spans="2:10" s="28" customFormat="1" x14ac:dyDescent="0.3">
      <c r="B102" s="27"/>
    </row>
    <row r="103" spans="2:10" s="28" customFormat="1" x14ac:dyDescent="0.3">
      <c r="B103" s="27"/>
    </row>
    <row r="104" spans="2:10" s="28" customFormat="1" x14ac:dyDescent="0.3">
      <c r="B104" s="27"/>
    </row>
    <row r="105" spans="2:10" s="28" customFormat="1" x14ac:dyDescent="0.3">
      <c r="B105" s="27"/>
    </row>
    <row r="106" spans="2:10" s="28" customFormat="1" x14ac:dyDescent="0.3">
      <c r="B106" s="27"/>
    </row>
    <row r="107" spans="2:10" s="28" customFormat="1" x14ac:dyDescent="0.3">
      <c r="B107" s="27"/>
    </row>
    <row r="108" spans="2:10" s="28" customFormat="1" x14ac:dyDescent="0.3">
      <c r="B108" s="27"/>
    </row>
    <row r="109" spans="2:10" s="28" customFormat="1" x14ac:dyDescent="0.3">
      <c r="B109" s="27"/>
    </row>
    <row r="110" spans="2:10" s="28" customFormat="1" x14ac:dyDescent="0.3">
      <c r="B110" s="27"/>
    </row>
    <row r="111" spans="2:10" s="28" customFormat="1" x14ac:dyDescent="0.3">
      <c r="B111" s="27"/>
      <c r="F111" s="116"/>
      <c r="G111" s="116"/>
      <c r="H111" s="116"/>
      <c r="I111" s="116"/>
      <c r="J111" s="116"/>
    </row>
    <row r="112" spans="2:10" s="28" customFormat="1" x14ac:dyDescent="0.3">
      <c r="B112" s="27"/>
      <c r="F112" s="116"/>
      <c r="G112" s="116"/>
      <c r="H112" s="116"/>
      <c r="I112" s="116"/>
      <c r="J112" s="116"/>
    </row>
    <row r="113" spans="2:13" s="28" customFormat="1" x14ac:dyDescent="0.3">
      <c r="B113" s="27"/>
      <c r="F113" s="116"/>
      <c r="G113" s="116"/>
      <c r="H113" s="116"/>
      <c r="I113" s="116"/>
      <c r="J113" s="116"/>
    </row>
    <row r="114" spans="2:13" s="28" customFormat="1" x14ac:dyDescent="0.3">
      <c r="B114" s="27"/>
      <c r="F114" s="116"/>
      <c r="G114" s="116"/>
      <c r="H114" s="116"/>
      <c r="I114" s="116"/>
      <c r="J114" s="116"/>
    </row>
    <row r="115" spans="2:13" s="28" customFormat="1" x14ac:dyDescent="0.3">
      <c r="B115" s="27"/>
      <c r="F115" s="116"/>
      <c r="G115" s="116"/>
      <c r="H115" s="116"/>
      <c r="I115" s="116"/>
      <c r="J115" s="116"/>
    </row>
    <row r="116" spans="2:13" s="28" customFormat="1" x14ac:dyDescent="0.3">
      <c r="B116" s="27"/>
      <c r="F116" s="116"/>
      <c r="G116" s="116"/>
      <c r="H116" s="116"/>
      <c r="I116" s="116"/>
      <c r="J116" s="116"/>
    </row>
    <row r="117" spans="2:13" s="28" customFormat="1" x14ac:dyDescent="0.3">
      <c r="B117" s="27"/>
      <c r="F117" s="116"/>
      <c r="G117" s="116"/>
      <c r="H117" s="116"/>
      <c r="I117" s="116"/>
      <c r="J117" s="116"/>
    </row>
    <row r="118" spans="2:13" s="28" customFormat="1" x14ac:dyDescent="0.3">
      <c r="B118" s="27"/>
      <c r="F118" s="116"/>
      <c r="G118" s="116"/>
      <c r="H118" s="116"/>
      <c r="I118" s="116"/>
      <c r="J118" s="116"/>
    </row>
    <row r="119" spans="2:13" s="28" customFormat="1" x14ac:dyDescent="0.3">
      <c r="B119" s="27"/>
      <c r="F119" s="116"/>
      <c r="G119" s="116"/>
      <c r="H119" s="116"/>
      <c r="I119" s="116"/>
      <c r="J119" s="116"/>
    </row>
    <row r="120" spans="2:13" s="28" customFormat="1" x14ac:dyDescent="0.3">
      <c r="B120" s="27"/>
      <c r="F120" s="116"/>
      <c r="G120" s="116"/>
      <c r="H120" s="116"/>
      <c r="I120" s="116"/>
      <c r="J120" s="116"/>
    </row>
    <row r="121" spans="2:13" s="116" customFormat="1" x14ac:dyDescent="0.3">
      <c r="B121" s="27"/>
      <c r="C121" s="28"/>
      <c r="K121" s="28"/>
      <c r="L121" s="28"/>
      <c r="M121" s="28"/>
    </row>
    <row r="122" spans="2:13" s="116" customFormat="1" x14ac:dyDescent="0.3">
      <c r="B122" s="27"/>
      <c r="C122" s="28"/>
      <c r="K122" s="28"/>
      <c r="L122" s="28"/>
      <c r="M122" s="28"/>
    </row>
    <row r="123" spans="2:13" s="116" customFormat="1" x14ac:dyDescent="0.3">
      <c r="B123" s="27"/>
      <c r="C123" s="28"/>
      <c r="K123" s="28"/>
      <c r="L123" s="28"/>
      <c r="M123" s="28"/>
    </row>
    <row r="124" spans="2:13" s="116" customFormat="1" x14ac:dyDescent="0.3">
      <c r="B124" s="27"/>
      <c r="C124" s="28"/>
      <c r="K124" s="28"/>
      <c r="L124" s="28"/>
      <c r="M124" s="28"/>
    </row>
    <row r="125" spans="2:13" s="116" customFormat="1" x14ac:dyDescent="0.3">
      <c r="B125" s="27"/>
      <c r="C125" s="28"/>
      <c r="K125" s="28"/>
      <c r="L125" s="28"/>
      <c r="M125" s="28"/>
    </row>
    <row r="126" spans="2:13" s="116" customFormat="1" x14ac:dyDescent="0.3">
      <c r="B126" s="27"/>
      <c r="C126" s="28"/>
      <c r="K126" s="28"/>
      <c r="L126" s="28"/>
      <c r="M126" s="28"/>
    </row>
    <row r="127" spans="2:13" s="116" customFormat="1" x14ac:dyDescent="0.3">
      <c r="B127" s="27"/>
      <c r="C127" s="28"/>
      <c r="K127" s="28"/>
      <c r="L127" s="28"/>
      <c r="M127" s="28"/>
    </row>
    <row r="128" spans="2:13" s="116" customFormat="1" x14ac:dyDescent="0.3">
      <c r="B128" s="27"/>
      <c r="C128" s="28"/>
      <c r="K128" s="28"/>
      <c r="L128" s="28"/>
      <c r="M128" s="28"/>
    </row>
    <row r="129" spans="2:13" s="116" customFormat="1" x14ac:dyDescent="0.3">
      <c r="B129" s="9"/>
      <c r="C129" s="28"/>
      <c r="F129" s="117"/>
      <c r="G129" s="117"/>
      <c r="H129" s="117"/>
      <c r="I129" s="117"/>
      <c r="J129" s="117"/>
      <c r="K129" s="10"/>
      <c r="L129" s="10"/>
      <c r="M129" s="28"/>
    </row>
    <row r="130" spans="2:13" s="116" customFormat="1" x14ac:dyDescent="0.3">
      <c r="B130" s="9"/>
      <c r="C130" s="28"/>
      <c r="F130" s="117"/>
      <c r="G130" s="117"/>
      <c r="H130" s="117"/>
      <c r="I130" s="117"/>
      <c r="J130" s="117"/>
      <c r="K130" s="10"/>
      <c r="L130" s="10"/>
      <c r="M130" s="28"/>
    </row>
    <row r="131" spans="2:13" s="116" customFormat="1" x14ac:dyDescent="0.3">
      <c r="B131" s="9"/>
      <c r="C131" s="28"/>
      <c r="F131"/>
      <c r="G131"/>
      <c r="H131"/>
      <c r="I131"/>
      <c r="J131"/>
      <c r="K131" s="17"/>
      <c r="L131" s="10"/>
      <c r="M131" s="28"/>
    </row>
    <row r="132" spans="2:13" s="116" customFormat="1" x14ac:dyDescent="0.3">
      <c r="B132" s="9"/>
      <c r="C132" s="28"/>
      <c r="F132"/>
      <c r="G132"/>
      <c r="H132"/>
      <c r="I132"/>
      <c r="J132"/>
      <c r="K132" s="17"/>
      <c r="L132" s="10"/>
      <c r="M132" s="28"/>
    </row>
    <row r="133" spans="2:13" s="116" customFormat="1" x14ac:dyDescent="0.3">
      <c r="B133" s="9"/>
      <c r="C133" s="28"/>
      <c r="F133"/>
      <c r="G133"/>
      <c r="H133"/>
      <c r="I133"/>
      <c r="J133"/>
      <c r="K133" s="17"/>
      <c r="L133" s="10"/>
      <c r="M133" s="28"/>
    </row>
    <row r="134" spans="2:13" s="116" customFormat="1" x14ac:dyDescent="0.3">
      <c r="B134" s="9"/>
      <c r="C134" s="28"/>
      <c r="F134"/>
      <c r="G134"/>
      <c r="H134"/>
      <c r="I134"/>
      <c r="J134"/>
      <c r="K134" s="17"/>
      <c r="L134" s="10"/>
      <c r="M134" s="28"/>
    </row>
    <row r="135" spans="2:13" s="116" customFormat="1" x14ac:dyDescent="0.3">
      <c r="B135" s="9"/>
      <c r="C135" s="28"/>
      <c r="F135"/>
      <c r="G135"/>
      <c r="H135"/>
      <c r="I135"/>
      <c r="J135"/>
      <c r="K135" s="17"/>
      <c r="L135" s="10"/>
      <c r="M135" s="28"/>
    </row>
    <row r="136" spans="2:13" s="116" customFormat="1" x14ac:dyDescent="0.3">
      <c r="B136" s="9"/>
      <c r="C136" s="28"/>
      <c r="F136"/>
      <c r="G136"/>
      <c r="H136"/>
      <c r="I136"/>
      <c r="J136"/>
      <c r="K136" s="17"/>
      <c r="L136" s="10"/>
      <c r="M136" s="10"/>
    </row>
    <row r="137" spans="2:13" s="116" customFormat="1" x14ac:dyDescent="0.3">
      <c r="B137" s="9"/>
      <c r="C137" s="28"/>
      <c r="F137"/>
      <c r="G137"/>
      <c r="H137"/>
      <c r="I137"/>
      <c r="J137"/>
      <c r="K137" s="17"/>
      <c r="L137" s="10"/>
      <c r="M137" s="10"/>
    </row>
    <row r="138" spans="2:13" s="116" customFormat="1" x14ac:dyDescent="0.3">
      <c r="B138" s="9"/>
      <c r="C138" s="28"/>
      <c r="F138"/>
      <c r="G138"/>
      <c r="H138"/>
      <c r="I138"/>
      <c r="J138"/>
      <c r="K138" s="17"/>
      <c r="L138" s="10"/>
      <c r="M138" s="10"/>
    </row>
    <row r="139" spans="2:13" s="117" customFormat="1" x14ac:dyDescent="0.3">
      <c r="B139" s="9"/>
      <c r="C139" s="10"/>
      <c r="F139"/>
      <c r="G139"/>
      <c r="H139"/>
      <c r="I139"/>
      <c r="J139"/>
      <c r="K139" s="17"/>
      <c r="L139" s="10"/>
      <c r="M139" s="10"/>
    </row>
    <row r="140" spans="2:13" s="117" customFormat="1" x14ac:dyDescent="0.3">
      <c r="B140" s="9"/>
      <c r="C140" s="10"/>
      <c r="F140"/>
      <c r="G140"/>
      <c r="H140"/>
      <c r="I140"/>
      <c r="J140"/>
      <c r="K140" s="17"/>
      <c r="L140" s="10"/>
      <c r="M140" s="10"/>
    </row>
    <row r="141" spans="2:13" x14ac:dyDescent="0.3">
      <c r="B141" s="9"/>
      <c r="C141" s="10"/>
    </row>
    <row r="142" spans="2:13" x14ac:dyDescent="0.3">
      <c r="B142" s="9"/>
      <c r="C142" s="10"/>
    </row>
    <row r="143" spans="2:13" x14ac:dyDescent="0.3">
      <c r="B143" s="9"/>
      <c r="C143" s="10"/>
    </row>
    <row r="144" spans="2:13" x14ac:dyDescent="0.3">
      <c r="B144" s="9"/>
      <c r="C144" s="10"/>
    </row>
    <row r="145" spans="2:3" x14ac:dyDescent="0.3">
      <c r="B145" s="9"/>
      <c r="C145" s="10"/>
    </row>
    <row r="146" spans="2:3" x14ac:dyDescent="0.3">
      <c r="B146" s="9"/>
      <c r="C146" s="10"/>
    </row>
    <row r="147" spans="2:3" x14ac:dyDescent="0.3">
      <c r="B147" s="9"/>
      <c r="C147" s="10"/>
    </row>
    <row r="148" spans="2:3" x14ac:dyDescent="0.3">
      <c r="B148" s="9"/>
      <c r="C148" s="10"/>
    </row>
    <row r="149" spans="2:3" x14ac:dyDescent="0.3">
      <c r="B149" s="9"/>
      <c r="C149" s="10"/>
    </row>
    <row r="150" spans="2:3" x14ac:dyDescent="0.3">
      <c r="B150" s="9"/>
      <c r="C150" s="10"/>
    </row>
    <row r="151" spans="2:3" x14ac:dyDescent="0.3">
      <c r="B151" s="9"/>
      <c r="C151" s="10"/>
    </row>
    <row r="152" spans="2:3" x14ac:dyDescent="0.3">
      <c r="B152" s="9"/>
      <c r="C152" s="10"/>
    </row>
    <row r="153" spans="2:3" x14ac:dyDescent="0.3">
      <c r="B153" s="9"/>
      <c r="C153" s="10"/>
    </row>
    <row r="154" spans="2:3" x14ac:dyDescent="0.3">
      <c r="B154" s="9"/>
      <c r="C154" s="10"/>
    </row>
    <row r="155" spans="2:3" x14ac:dyDescent="0.3">
      <c r="B155" s="9"/>
      <c r="C155" s="10"/>
    </row>
    <row r="156" spans="2:3" x14ac:dyDescent="0.3">
      <c r="B156" s="9"/>
      <c r="C156" s="10"/>
    </row>
    <row r="157" spans="2:3" x14ac:dyDescent="0.3">
      <c r="B157" s="9"/>
      <c r="C157" s="10"/>
    </row>
    <row r="158" spans="2:3" x14ac:dyDescent="0.3">
      <c r="B158" s="9"/>
      <c r="C158" s="10"/>
    </row>
    <row r="159" spans="2:3" x14ac:dyDescent="0.3">
      <c r="B159" s="9"/>
      <c r="C159" s="10"/>
    </row>
    <row r="160" spans="2:3" x14ac:dyDescent="0.3">
      <c r="B160" s="9"/>
      <c r="C160" s="10"/>
    </row>
    <row r="161" spans="2:3" x14ac:dyDescent="0.3">
      <c r="B161" s="9"/>
      <c r="C161" s="10"/>
    </row>
    <row r="162" spans="2:3" x14ac:dyDescent="0.3">
      <c r="B162" s="9"/>
      <c r="C162" s="10"/>
    </row>
    <row r="163" spans="2:3" x14ac:dyDescent="0.3">
      <c r="B163" s="9"/>
      <c r="C163" s="10"/>
    </row>
    <row r="164" spans="2:3" x14ac:dyDescent="0.3">
      <c r="B164" s="9"/>
      <c r="C164" s="10"/>
    </row>
    <row r="165" spans="2:3" x14ac:dyDescent="0.3">
      <c r="B165" s="9"/>
      <c r="C165" s="10"/>
    </row>
    <row r="166" spans="2:3" x14ac:dyDescent="0.3">
      <c r="B166" s="9"/>
      <c r="C166" s="10"/>
    </row>
    <row r="167" spans="2:3" x14ac:dyDescent="0.3">
      <c r="B167" s="9"/>
      <c r="C167" s="10"/>
    </row>
    <row r="168" spans="2:3" x14ac:dyDescent="0.3">
      <c r="B168" s="9"/>
      <c r="C168" s="10"/>
    </row>
    <row r="169" spans="2:3" x14ac:dyDescent="0.3">
      <c r="B169" s="9"/>
      <c r="C169" s="10"/>
    </row>
    <row r="170" spans="2:3" x14ac:dyDescent="0.3">
      <c r="B170" s="9"/>
      <c r="C170" s="10"/>
    </row>
    <row r="171" spans="2:3" x14ac:dyDescent="0.3">
      <c r="B171" s="9"/>
      <c r="C171" s="10"/>
    </row>
    <row r="172" spans="2:3" x14ac:dyDescent="0.3">
      <c r="B172" s="9"/>
      <c r="C172" s="10"/>
    </row>
    <row r="173" spans="2:3" x14ac:dyDescent="0.3">
      <c r="B173" s="9"/>
      <c r="C173" s="10"/>
    </row>
    <row r="174" spans="2:3" x14ac:dyDescent="0.3">
      <c r="B174" s="9"/>
      <c r="C174" s="10"/>
    </row>
    <row r="175" spans="2:3" x14ac:dyDescent="0.3">
      <c r="B175" s="9"/>
      <c r="C175" s="10"/>
    </row>
    <row r="176" spans="2:3" x14ac:dyDescent="0.3">
      <c r="B176" s="9"/>
      <c r="C176" s="10"/>
    </row>
    <row r="177" spans="2:3" x14ac:dyDescent="0.3">
      <c r="B177" s="9"/>
      <c r="C177" s="10"/>
    </row>
    <row r="178" spans="2:3" x14ac:dyDescent="0.3">
      <c r="B178" s="9"/>
      <c r="C178" s="10"/>
    </row>
    <row r="179" spans="2:3" x14ac:dyDescent="0.3">
      <c r="B179" s="9"/>
      <c r="C179" s="10"/>
    </row>
    <row r="180" spans="2:3" x14ac:dyDescent="0.3">
      <c r="B180" s="9"/>
      <c r="C180" s="10"/>
    </row>
    <row r="181" spans="2:3" x14ac:dyDescent="0.3">
      <c r="B181" s="9"/>
      <c r="C181" s="10"/>
    </row>
    <row r="182" spans="2:3" x14ac:dyDescent="0.3">
      <c r="B182" s="9"/>
      <c r="C182" s="10"/>
    </row>
    <row r="183" spans="2:3" x14ac:dyDescent="0.3">
      <c r="B183" s="9"/>
      <c r="C183" s="10"/>
    </row>
    <row r="184" spans="2:3" x14ac:dyDescent="0.3">
      <c r="B184" s="9"/>
      <c r="C184" s="10"/>
    </row>
    <row r="185" spans="2:3" x14ac:dyDescent="0.3">
      <c r="B185" s="9"/>
      <c r="C185" s="10"/>
    </row>
    <row r="186" spans="2:3" x14ac:dyDescent="0.3">
      <c r="B186" s="9"/>
      <c r="C186" s="10"/>
    </row>
    <row r="187" spans="2:3" x14ac:dyDescent="0.3">
      <c r="C187" s="10"/>
    </row>
    <row r="188" spans="2:3" x14ac:dyDescent="0.3">
      <c r="C188" s="10"/>
    </row>
    <row r="189" spans="2:3" x14ac:dyDescent="0.3">
      <c r="C189" s="10"/>
    </row>
    <row r="190" spans="2:3" x14ac:dyDescent="0.3">
      <c r="C190" s="10"/>
    </row>
    <row r="191" spans="2:3" x14ac:dyDescent="0.3">
      <c r="C191" s="10"/>
    </row>
    <row r="192" spans="2:3" x14ac:dyDescent="0.3">
      <c r="C192" s="10"/>
    </row>
    <row r="193" spans="3:3" x14ac:dyDescent="0.3">
      <c r="C193" s="10"/>
    </row>
    <row r="194" spans="3:3" x14ac:dyDescent="0.3">
      <c r="C194" s="10"/>
    </row>
    <row r="195" spans="3:3" x14ac:dyDescent="0.3">
      <c r="C195" s="10"/>
    </row>
    <row r="196" spans="3:3" x14ac:dyDescent="0.3">
      <c r="C196" s="10"/>
    </row>
  </sheetData>
  <pageMargins left="1" right="0.75" top="0.5" bottom="0" header="0.5" footer="0.4"/>
  <pageSetup paperSize="9" orientation="portrait" horizontalDpi="4294967292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topLeftCell="A28" workbookViewId="0">
      <pane xSplit="9280" topLeftCell="J1"/>
      <selection activeCell="A36" sqref="A36"/>
      <selection pane="topRight" activeCell="J1" sqref="J1"/>
    </sheetView>
  </sheetViews>
  <sheetFormatPr defaultRowHeight="13" x14ac:dyDescent="0.3"/>
  <cols>
    <col min="1" max="1" width="5.7265625" style="30" customWidth="1"/>
    <col min="2" max="2" width="14.1796875" customWidth="1"/>
    <col min="6" max="6" width="7" customWidth="1"/>
    <col min="7" max="7" width="1.81640625" customWidth="1"/>
    <col min="8" max="8" width="0.54296875" customWidth="1"/>
    <col min="9" max="9" width="7.7265625" style="17" customWidth="1"/>
    <col min="10" max="10" width="0.54296875" style="17" customWidth="1"/>
    <col min="11" max="11" width="6.1796875" style="17" customWidth="1"/>
    <col min="12" max="12" width="0.54296875" style="10" customWidth="1"/>
    <col min="13" max="13" width="7.453125" style="10" customWidth="1"/>
    <col min="14" max="14" width="0.453125" customWidth="1"/>
  </cols>
  <sheetData>
    <row r="1" spans="1:14" ht="25.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2"/>
      <c r="L1" s="2"/>
      <c r="M1" s="32"/>
      <c r="N1" s="32"/>
    </row>
    <row r="2" spans="1:14" ht="13.5" customHeight="1" x14ac:dyDescent="0.3">
      <c r="A2" s="197" t="s">
        <v>31</v>
      </c>
      <c r="B2" s="10"/>
    </row>
    <row r="3" spans="1:14" ht="13.5" customHeight="1" x14ac:dyDescent="0.3">
      <c r="A3" s="197"/>
      <c r="B3" s="10"/>
    </row>
    <row r="4" spans="1:14" ht="13.5" customHeight="1" x14ac:dyDescent="0.3">
      <c r="A4" s="197"/>
      <c r="B4" s="10"/>
    </row>
    <row r="5" spans="1:14" x14ac:dyDescent="0.3">
      <c r="A5" s="9"/>
      <c r="B5" s="10"/>
    </row>
    <row r="6" spans="1:14" x14ac:dyDescent="0.3">
      <c r="A6" s="9"/>
      <c r="B6" s="10"/>
      <c r="E6" s="10"/>
      <c r="F6" s="10"/>
      <c r="G6" s="10"/>
      <c r="H6" s="10"/>
      <c r="I6" s="11">
        <v>1997</v>
      </c>
      <c r="J6" s="11"/>
      <c r="K6" s="11"/>
      <c r="M6" s="96">
        <v>1996</v>
      </c>
    </row>
    <row r="7" spans="1:14" ht="16.5" customHeight="1" x14ac:dyDescent="0.3">
      <c r="A7" s="9"/>
      <c r="B7" s="10"/>
      <c r="E7" s="10"/>
      <c r="F7" s="10"/>
      <c r="G7" s="10"/>
      <c r="H7" s="10"/>
      <c r="I7" s="183" t="s">
        <v>1</v>
      </c>
      <c r="J7" s="204"/>
      <c r="K7" s="204"/>
      <c r="L7" s="184"/>
      <c r="M7" s="193" t="s">
        <v>1</v>
      </c>
    </row>
    <row r="8" spans="1:14" ht="8.25" customHeight="1" x14ac:dyDescent="0.3">
      <c r="A8" s="9"/>
      <c r="B8" s="10"/>
      <c r="E8" s="10"/>
      <c r="F8" s="10"/>
      <c r="G8" s="10"/>
      <c r="H8" s="10"/>
      <c r="I8" s="204"/>
      <c r="J8" s="204"/>
      <c r="K8" s="204"/>
      <c r="L8" s="184"/>
      <c r="M8" s="221"/>
    </row>
    <row r="9" spans="1:14" x14ac:dyDescent="0.3">
      <c r="A9" s="162">
        <v>25</v>
      </c>
      <c r="B9" s="163" t="s">
        <v>317</v>
      </c>
      <c r="E9" s="10"/>
      <c r="F9" s="10"/>
      <c r="G9" s="10"/>
      <c r="H9" s="10"/>
    </row>
    <row r="10" spans="1:14" x14ac:dyDescent="0.3">
      <c r="A10" s="9"/>
      <c r="B10" s="10"/>
      <c r="E10" s="10"/>
      <c r="F10" s="10"/>
      <c r="G10" s="10"/>
      <c r="H10" s="10"/>
      <c r="I10" s="18"/>
      <c r="J10" s="18"/>
      <c r="K10" s="18"/>
      <c r="L10" s="19"/>
      <c r="M10" s="19"/>
    </row>
    <row r="11" spans="1:14" ht="12.75" customHeight="1" x14ac:dyDescent="0.3">
      <c r="A11" s="9"/>
      <c r="B11" s="163" t="s">
        <v>40</v>
      </c>
      <c r="E11" s="10"/>
      <c r="F11" s="10"/>
      <c r="G11" s="10"/>
      <c r="H11" s="10"/>
      <c r="I11" s="25"/>
      <c r="J11" s="25"/>
      <c r="K11" s="25"/>
      <c r="L11" s="19"/>
      <c r="M11" s="19"/>
    </row>
    <row r="12" spans="1:14" ht="13.5" customHeight="1" x14ac:dyDescent="0.3">
      <c r="A12" s="9"/>
      <c r="B12" s="87" t="s">
        <v>318</v>
      </c>
      <c r="E12" s="10"/>
      <c r="F12" s="10"/>
      <c r="G12" s="10"/>
      <c r="H12" s="10"/>
      <c r="I12" s="21"/>
      <c r="J12" s="21"/>
      <c r="K12" s="21"/>
      <c r="L12" s="22"/>
      <c r="M12" s="22"/>
    </row>
    <row r="13" spans="1:14" x14ac:dyDescent="0.3">
      <c r="A13" s="9"/>
      <c r="B13" s="87" t="s">
        <v>319</v>
      </c>
      <c r="E13" s="10"/>
      <c r="F13" s="10"/>
      <c r="G13" s="10"/>
      <c r="H13" s="118"/>
      <c r="I13" s="119">
        <v>4481.6000000000004</v>
      </c>
      <c r="J13" s="120"/>
      <c r="K13" s="21"/>
      <c r="L13" s="272"/>
      <c r="M13" s="277">
        <v>4481.6000000000004</v>
      </c>
      <c r="N13" s="274"/>
    </row>
    <row r="14" spans="1:14" x14ac:dyDescent="0.3">
      <c r="A14" s="9"/>
      <c r="B14" s="87" t="s">
        <v>320</v>
      </c>
      <c r="E14" s="10"/>
      <c r="F14" s="10"/>
      <c r="G14" s="10"/>
      <c r="H14" s="121"/>
      <c r="I14" s="122">
        <v>578</v>
      </c>
      <c r="J14" s="123"/>
      <c r="K14" s="21"/>
      <c r="L14" s="273"/>
      <c r="M14" s="190">
        <v>912</v>
      </c>
      <c r="N14" s="275"/>
    </row>
    <row r="15" spans="1:14" x14ac:dyDescent="0.3">
      <c r="A15" s="9"/>
      <c r="B15" s="10"/>
      <c r="E15" s="10"/>
      <c r="F15" s="10"/>
      <c r="G15" s="10"/>
      <c r="H15" s="10"/>
      <c r="I15" s="84"/>
      <c r="J15" s="21"/>
      <c r="K15" s="21"/>
      <c r="L15" s="22"/>
      <c r="M15" s="104"/>
    </row>
    <row r="16" spans="1:14" x14ac:dyDescent="0.3">
      <c r="A16" s="9"/>
      <c r="B16" s="216" t="s">
        <v>321</v>
      </c>
      <c r="E16" s="10"/>
      <c r="F16" s="10"/>
      <c r="G16" s="10"/>
      <c r="H16" s="10"/>
      <c r="I16" s="84">
        <f>SUM(I13:I15)</f>
        <v>5059.6000000000004</v>
      </c>
      <c r="J16" s="21"/>
      <c r="K16" s="21"/>
      <c r="L16" s="22"/>
      <c r="M16" s="104">
        <v>5393.6</v>
      </c>
    </row>
    <row r="17" spans="1:14" x14ac:dyDescent="0.3">
      <c r="A17" s="9"/>
      <c r="B17" s="10"/>
      <c r="E17" s="10"/>
      <c r="F17" s="10"/>
      <c r="G17" s="10"/>
      <c r="H17" s="10"/>
      <c r="I17" s="21"/>
      <c r="J17" s="21"/>
      <c r="K17" s="21"/>
      <c r="L17" s="22"/>
      <c r="M17" s="104"/>
    </row>
    <row r="18" spans="1:14" ht="13.5" customHeight="1" x14ac:dyDescent="0.3">
      <c r="A18" s="9"/>
      <c r="B18" s="87" t="s">
        <v>322</v>
      </c>
      <c r="E18" s="10"/>
      <c r="F18" s="10"/>
      <c r="G18" s="10"/>
      <c r="H18" s="28"/>
      <c r="I18" s="21"/>
      <c r="J18" s="21"/>
      <c r="K18" s="21"/>
      <c r="L18" s="22"/>
      <c r="M18" s="104"/>
      <c r="N18" s="13"/>
    </row>
    <row r="19" spans="1:14" x14ac:dyDescent="0.3">
      <c r="A19" s="15"/>
      <c r="B19" s="87" t="s">
        <v>323</v>
      </c>
      <c r="E19" s="10"/>
      <c r="F19" s="10"/>
      <c r="G19" s="10"/>
      <c r="H19" s="118"/>
      <c r="I19" s="299">
        <v>-21.1</v>
      </c>
      <c r="J19" s="120"/>
      <c r="K19" s="21"/>
      <c r="L19" s="272"/>
      <c r="M19" s="277">
        <v>-19.5</v>
      </c>
      <c r="N19" s="274"/>
    </row>
    <row r="20" spans="1:14" s="80" customFormat="1" ht="12.75" customHeight="1" x14ac:dyDescent="0.25">
      <c r="A20" s="125"/>
      <c r="B20" s="182" t="s">
        <v>324</v>
      </c>
      <c r="C20" s="56"/>
      <c r="D20" s="56"/>
      <c r="E20" s="81"/>
      <c r="F20" s="81"/>
      <c r="G20" s="81"/>
      <c r="H20" s="297"/>
      <c r="I20" s="300">
        <v>-221.6</v>
      </c>
      <c r="J20" s="298"/>
      <c r="K20" s="126"/>
      <c r="L20" s="301"/>
      <c r="M20" s="303">
        <v>-229.6</v>
      </c>
      <c r="N20" s="302"/>
    </row>
    <row r="21" spans="1:14" ht="16.5" customHeight="1" x14ac:dyDescent="0.3">
      <c r="A21" s="40"/>
      <c r="B21" s="41"/>
      <c r="E21" s="10"/>
      <c r="F21" s="10"/>
      <c r="G21" s="10"/>
      <c r="H21" s="28"/>
      <c r="I21" s="21">
        <f>SUM(I19:I20)</f>
        <v>-242.7</v>
      </c>
      <c r="J21" s="21"/>
      <c r="K21" s="21"/>
      <c r="L21" s="22"/>
      <c r="M21" s="104">
        <v>-249.1</v>
      </c>
      <c r="N21" s="13"/>
    </row>
    <row r="22" spans="1:14" x14ac:dyDescent="0.3">
      <c r="A22" s="9"/>
      <c r="B22" s="10"/>
      <c r="E22" s="10"/>
      <c r="F22" s="10"/>
      <c r="G22" s="10"/>
      <c r="H22" s="10"/>
      <c r="I22" s="47"/>
      <c r="J22" s="47"/>
      <c r="K22" s="47"/>
      <c r="L22" s="22"/>
      <c r="M22" s="195"/>
    </row>
    <row r="23" spans="1:14" x14ac:dyDescent="0.3">
      <c r="A23" s="9"/>
      <c r="B23" s="216" t="s">
        <v>325</v>
      </c>
      <c r="C23" s="75"/>
      <c r="E23" s="10"/>
      <c r="F23" s="10"/>
      <c r="G23" s="10"/>
      <c r="H23" s="10"/>
      <c r="I23" s="21">
        <v>-397.4</v>
      </c>
      <c r="J23" s="21"/>
      <c r="K23" s="21"/>
      <c r="L23" s="22"/>
      <c r="M23" s="104">
        <v>-395.9</v>
      </c>
    </row>
    <row r="24" spans="1:14" ht="8.25" customHeight="1" x14ac:dyDescent="0.3">
      <c r="A24" s="9"/>
      <c r="B24" s="10"/>
      <c r="C24" s="75"/>
      <c r="E24" s="10"/>
      <c r="F24" s="10"/>
      <c r="G24" s="10"/>
      <c r="H24" s="10"/>
      <c r="I24" s="20"/>
      <c r="J24" s="21"/>
      <c r="K24" s="21"/>
      <c r="L24" s="22"/>
      <c r="M24" s="190"/>
    </row>
    <row r="25" spans="1:14" ht="15.75" customHeight="1" x14ac:dyDescent="0.3">
      <c r="A25" s="9"/>
      <c r="B25" s="10"/>
      <c r="E25" s="10"/>
      <c r="F25" s="10"/>
      <c r="G25" s="10"/>
      <c r="H25" s="10"/>
      <c r="I25" s="127">
        <f>SUM(I16,I21,I23)</f>
        <v>4419.5000000000009</v>
      </c>
      <c r="J25" s="21"/>
      <c r="K25" s="21"/>
      <c r="L25" s="22"/>
      <c r="M25" s="268">
        <v>4748.6000000000004</v>
      </c>
    </row>
    <row r="26" spans="1:14" ht="9" customHeight="1" thickBot="1" x14ac:dyDescent="0.35">
      <c r="A26" s="9"/>
      <c r="B26" s="10"/>
      <c r="E26" s="10"/>
      <c r="F26" s="10"/>
      <c r="G26" s="10"/>
      <c r="H26" s="10"/>
      <c r="I26" s="128"/>
      <c r="J26" s="21"/>
      <c r="K26" s="21"/>
      <c r="L26" s="22"/>
      <c r="M26" s="188"/>
    </row>
    <row r="27" spans="1:14" ht="13.5" thickTop="1" x14ac:dyDescent="0.3">
      <c r="A27" s="9"/>
      <c r="B27" s="163" t="s">
        <v>326</v>
      </c>
      <c r="E27" s="10"/>
      <c r="F27" s="10"/>
      <c r="G27" s="10"/>
      <c r="H27" s="10"/>
      <c r="I27" s="84"/>
      <c r="J27" s="21"/>
      <c r="K27" s="21"/>
      <c r="L27" s="22"/>
      <c r="M27" s="104"/>
    </row>
    <row r="28" spans="1:14" ht="13.5" customHeight="1" x14ac:dyDescent="0.3">
      <c r="A28" s="9"/>
      <c r="B28" s="87" t="s">
        <v>327</v>
      </c>
      <c r="C28" s="101"/>
      <c r="D28" s="101"/>
      <c r="E28" s="10"/>
      <c r="F28" s="10"/>
      <c r="G28" s="10"/>
      <c r="H28" s="10"/>
      <c r="I28" s="129">
        <v>260.7</v>
      </c>
      <c r="J28" s="18"/>
      <c r="K28" s="18"/>
      <c r="L28" s="19"/>
      <c r="M28" s="187">
        <v>270.10000000000002</v>
      </c>
    </row>
    <row r="29" spans="1:14" x14ac:dyDescent="0.3">
      <c r="A29" s="40"/>
      <c r="B29" s="102" t="s">
        <v>328</v>
      </c>
      <c r="C29" s="101"/>
      <c r="D29" s="101"/>
      <c r="E29" s="19"/>
      <c r="F29" s="10"/>
      <c r="G29" s="10"/>
      <c r="H29" s="10"/>
      <c r="I29" s="129"/>
      <c r="J29" s="18"/>
      <c r="K29" s="18"/>
      <c r="L29" s="19"/>
      <c r="M29" s="187"/>
    </row>
    <row r="30" spans="1:14" x14ac:dyDescent="0.3">
      <c r="A30" s="9"/>
      <c r="B30" s="87" t="s">
        <v>329</v>
      </c>
      <c r="C30" s="101"/>
      <c r="D30" s="101"/>
      <c r="E30" s="10"/>
      <c r="F30" s="10"/>
      <c r="G30" s="10"/>
      <c r="H30" s="118"/>
      <c r="I30" s="131">
        <v>2940.1</v>
      </c>
      <c r="J30" s="124"/>
      <c r="K30" s="47"/>
      <c r="L30" s="272"/>
      <c r="M30" s="276">
        <v>3184</v>
      </c>
      <c r="N30" s="274"/>
    </row>
    <row r="31" spans="1:14" x14ac:dyDescent="0.3">
      <c r="A31" s="9"/>
      <c r="B31" s="87" t="s">
        <v>330</v>
      </c>
      <c r="C31" s="101"/>
      <c r="D31" s="101"/>
      <c r="E31" s="10"/>
      <c r="F31" s="10"/>
      <c r="G31" s="10"/>
      <c r="H31" s="121"/>
      <c r="I31" s="122">
        <v>1218.7</v>
      </c>
      <c r="J31" s="123"/>
      <c r="K31" s="21"/>
      <c r="L31" s="273"/>
      <c r="M31" s="190">
        <v>1294.5</v>
      </c>
      <c r="N31" s="275"/>
    </row>
    <row r="32" spans="1:14" ht="16.5" customHeight="1" x14ac:dyDescent="0.3">
      <c r="A32" s="15"/>
      <c r="B32" s="10"/>
      <c r="C32" s="13"/>
      <c r="D32" s="13"/>
      <c r="E32" s="28"/>
      <c r="F32" s="28"/>
      <c r="G32" s="28"/>
      <c r="H32" s="28"/>
      <c r="I32" s="84">
        <f>SUM(I30:I31)</f>
        <v>4158.8</v>
      </c>
      <c r="J32" s="21"/>
      <c r="K32" s="21"/>
      <c r="L32" s="22"/>
      <c r="M32" s="104">
        <v>4478.5</v>
      </c>
    </row>
    <row r="33" spans="1:13" ht="8.25" customHeight="1" x14ac:dyDescent="0.3">
      <c r="A33" s="9"/>
      <c r="B33" s="28"/>
      <c r="C33" s="13"/>
      <c r="D33" s="13"/>
      <c r="E33" s="28"/>
      <c r="F33" s="28"/>
      <c r="G33" s="28"/>
      <c r="H33" s="28"/>
      <c r="I33" s="122"/>
      <c r="J33" s="21"/>
      <c r="K33" s="21"/>
      <c r="L33" s="22"/>
      <c r="M33" s="190"/>
    </row>
    <row r="34" spans="1:13" ht="15.75" customHeight="1" x14ac:dyDescent="0.3">
      <c r="A34" s="9"/>
      <c r="B34" s="269" t="s">
        <v>331</v>
      </c>
      <c r="C34" s="13"/>
      <c r="D34" s="13"/>
      <c r="E34" s="28"/>
      <c r="F34" s="28"/>
      <c r="G34" s="28"/>
      <c r="H34" s="28"/>
      <c r="I34" s="84">
        <f>SUM(I28,I32)</f>
        <v>4419.5</v>
      </c>
      <c r="J34" s="21"/>
      <c r="K34" s="21"/>
      <c r="L34" s="22"/>
      <c r="M34" s="104">
        <v>4748.6000000000004</v>
      </c>
    </row>
    <row r="35" spans="1:13" ht="7.5" customHeight="1" thickBot="1" x14ac:dyDescent="0.35">
      <c r="A35" s="9"/>
      <c r="B35" s="28"/>
      <c r="C35" s="13"/>
      <c r="D35" s="13"/>
      <c r="E35" s="28"/>
      <c r="F35" s="28"/>
      <c r="G35" s="28"/>
      <c r="H35" s="28"/>
      <c r="I35" s="128"/>
      <c r="J35" s="21"/>
      <c r="K35" s="21"/>
      <c r="L35" s="22"/>
      <c r="M35" s="188"/>
    </row>
    <row r="36" spans="1:13" ht="7.5" customHeight="1" thickTop="1" x14ac:dyDescent="0.3">
      <c r="A36" s="9"/>
      <c r="B36" s="28"/>
      <c r="C36" s="13"/>
      <c r="D36" s="13"/>
      <c r="E36" s="28"/>
      <c r="F36" s="28"/>
      <c r="G36" s="28"/>
      <c r="H36" s="28"/>
      <c r="I36" s="84"/>
      <c r="J36" s="21"/>
      <c r="K36" s="21"/>
      <c r="L36" s="22"/>
      <c r="M36" s="104"/>
    </row>
    <row r="37" spans="1:13" x14ac:dyDescent="0.3">
      <c r="A37" s="9"/>
      <c r="B37" s="28"/>
      <c r="C37" s="13"/>
      <c r="D37" s="13"/>
      <c r="E37" s="28"/>
      <c r="F37" s="28"/>
      <c r="G37" s="28"/>
      <c r="H37" s="28"/>
      <c r="I37" s="68"/>
      <c r="J37" s="68"/>
      <c r="K37" s="68"/>
      <c r="L37" s="28"/>
      <c r="M37" s="92"/>
    </row>
    <row r="38" spans="1:13" x14ac:dyDescent="0.3">
      <c r="A38" s="9"/>
      <c r="B38" s="10"/>
      <c r="E38" s="10"/>
      <c r="F38" s="10"/>
      <c r="G38" s="10"/>
      <c r="H38" s="10"/>
      <c r="I38" s="11">
        <v>1997</v>
      </c>
      <c r="J38" s="11"/>
      <c r="K38" s="11"/>
      <c r="M38" s="96">
        <v>1996</v>
      </c>
    </row>
    <row r="39" spans="1:13" ht="16.5" customHeight="1" x14ac:dyDescent="0.3">
      <c r="A39" s="9"/>
      <c r="B39" s="10"/>
      <c r="E39" s="10"/>
      <c r="F39" s="10"/>
      <c r="G39" s="10"/>
      <c r="H39" s="10"/>
      <c r="I39" s="183" t="s">
        <v>1</v>
      </c>
      <c r="J39" s="204"/>
      <c r="K39" s="204"/>
      <c r="L39" s="184"/>
      <c r="M39" s="193" t="s">
        <v>1</v>
      </c>
    </row>
    <row r="40" spans="1:13" x14ac:dyDescent="0.3">
      <c r="A40" s="162">
        <v>26</v>
      </c>
      <c r="B40" s="178" t="s">
        <v>332</v>
      </c>
      <c r="C40" s="13"/>
      <c r="D40" s="13"/>
      <c r="E40" s="13"/>
      <c r="F40" s="13"/>
      <c r="G40" s="13"/>
      <c r="H40" s="13"/>
      <c r="I40" s="29"/>
      <c r="J40" s="29"/>
      <c r="K40" s="29"/>
      <c r="L40" s="28"/>
      <c r="M40" s="46"/>
    </row>
    <row r="41" spans="1:13" x14ac:dyDescent="0.3">
      <c r="A41" s="40"/>
      <c r="B41" s="46"/>
      <c r="C41" s="13"/>
      <c r="D41" s="13"/>
      <c r="E41" s="13"/>
      <c r="F41" s="13"/>
      <c r="G41" s="13"/>
      <c r="H41" s="13"/>
      <c r="I41" s="21"/>
      <c r="J41" s="21"/>
      <c r="K41" s="21"/>
      <c r="L41" s="22"/>
      <c r="M41" s="104"/>
    </row>
    <row r="42" spans="1:13" x14ac:dyDescent="0.3">
      <c r="A42" s="40"/>
      <c r="B42" s="59" t="s">
        <v>185</v>
      </c>
      <c r="C42" s="13"/>
      <c r="D42" s="13"/>
      <c r="E42" s="13"/>
      <c r="F42" s="13"/>
      <c r="G42" s="13"/>
      <c r="H42" s="13"/>
      <c r="I42" s="21">
        <v>1294.5</v>
      </c>
      <c r="J42" s="21"/>
      <c r="K42" s="21"/>
      <c r="L42" s="22"/>
      <c r="M42" s="104">
        <v>1286.0999999999999</v>
      </c>
    </row>
    <row r="43" spans="1:13" x14ac:dyDescent="0.3">
      <c r="A43" s="9"/>
      <c r="B43" s="59" t="s">
        <v>333</v>
      </c>
      <c r="C43" s="13"/>
      <c r="D43" s="13"/>
      <c r="E43" s="13"/>
      <c r="F43" s="13"/>
      <c r="G43" s="13"/>
      <c r="H43" s="13"/>
      <c r="I43" s="21">
        <v>204.7</v>
      </c>
      <c r="J43" s="21"/>
      <c r="K43" s="21"/>
      <c r="L43" s="22"/>
      <c r="M43" s="104">
        <v>300.60000000000002</v>
      </c>
    </row>
    <row r="44" spans="1:13" x14ac:dyDescent="0.3">
      <c r="A44" s="9"/>
      <c r="B44" s="59" t="s">
        <v>58</v>
      </c>
      <c r="C44" s="13"/>
      <c r="D44" s="13"/>
      <c r="E44" s="13"/>
      <c r="F44" s="13"/>
      <c r="G44" s="13"/>
      <c r="H44" s="13"/>
      <c r="I44" s="132">
        <v>-315.8</v>
      </c>
      <c r="J44" s="21"/>
      <c r="K44" s="21"/>
      <c r="L44" s="22"/>
      <c r="M44" s="268">
        <v>-324</v>
      </c>
    </row>
    <row r="45" spans="1:13" x14ac:dyDescent="0.3">
      <c r="A45" s="9"/>
      <c r="B45" s="59" t="s">
        <v>334</v>
      </c>
      <c r="C45" s="13"/>
      <c r="D45" s="13"/>
      <c r="E45" s="13"/>
      <c r="F45" s="13"/>
      <c r="G45" s="13"/>
      <c r="H45" s="13"/>
      <c r="I45" s="21">
        <v>35.299999999999997</v>
      </c>
      <c r="J45" s="21"/>
      <c r="K45" s="21"/>
      <c r="L45" s="22"/>
      <c r="M45" s="104">
        <v>31.8</v>
      </c>
    </row>
    <row r="46" spans="1:13" ht="7.5" customHeight="1" x14ac:dyDescent="0.3">
      <c r="A46" s="9"/>
      <c r="B46" s="66"/>
      <c r="C46" s="13"/>
      <c r="D46" s="13"/>
      <c r="E46" s="13"/>
      <c r="F46" s="13"/>
      <c r="G46" s="13"/>
      <c r="H46" s="13"/>
      <c r="I46" s="20"/>
      <c r="J46" s="21"/>
      <c r="K46" s="21"/>
      <c r="L46" s="22"/>
      <c r="M46" s="190"/>
    </row>
    <row r="47" spans="1:13" ht="15.75" customHeight="1" x14ac:dyDescent="0.3">
      <c r="A47" s="9"/>
      <c r="B47" s="59" t="s">
        <v>195</v>
      </c>
      <c r="C47" s="13"/>
      <c r="D47" s="13"/>
      <c r="E47" s="13"/>
      <c r="F47" s="13"/>
      <c r="G47" s="13"/>
      <c r="H47" s="13"/>
      <c r="I47" s="21">
        <f>SUM(I42:I46)</f>
        <v>1218.7</v>
      </c>
      <c r="J47" s="21"/>
      <c r="K47" s="21"/>
      <c r="L47" s="22"/>
      <c r="M47" s="104">
        <v>1294.5</v>
      </c>
    </row>
    <row r="48" spans="1:13" ht="7.5" customHeight="1" thickBot="1" x14ac:dyDescent="0.35">
      <c r="A48" s="9"/>
      <c r="B48" s="28"/>
      <c r="C48" s="13"/>
      <c r="D48" s="13"/>
      <c r="E48" s="13"/>
      <c r="F48" s="13"/>
      <c r="G48" s="13"/>
      <c r="H48" s="13"/>
      <c r="I48" s="23"/>
      <c r="J48" s="21"/>
      <c r="K48" s="21"/>
      <c r="L48" s="22"/>
      <c r="M48" s="188"/>
    </row>
    <row r="49" spans="1:13" ht="13.5" thickTop="1" x14ac:dyDescent="0.3">
      <c r="A49" s="9"/>
      <c r="B49" s="28"/>
      <c r="C49" s="13"/>
      <c r="D49" s="13"/>
      <c r="E49" s="13"/>
      <c r="F49" s="13"/>
      <c r="G49" s="13"/>
      <c r="H49" s="13"/>
      <c r="I49" s="29"/>
      <c r="J49" s="29"/>
      <c r="K49" s="29"/>
      <c r="L49" s="28"/>
      <c r="M49" s="48"/>
    </row>
    <row r="50" spans="1:13" x14ac:dyDescent="0.3">
      <c r="A50" s="9"/>
      <c r="B50" s="28"/>
      <c r="C50" s="13"/>
      <c r="D50" s="13"/>
      <c r="E50" s="13"/>
      <c r="F50" s="13"/>
      <c r="G50" s="13"/>
      <c r="H50" s="13"/>
      <c r="I50" s="21"/>
      <c r="J50" s="21"/>
      <c r="K50" s="21"/>
      <c r="L50" s="28"/>
      <c r="M50" s="48"/>
    </row>
    <row r="51" spans="1:13" x14ac:dyDescent="0.3">
      <c r="A51" s="9"/>
      <c r="B51" s="28"/>
      <c r="C51" s="13"/>
      <c r="D51" s="13"/>
      <c r="E51" s="13"/>
      <c r="F51" s="13"/>
      <c r="G51" s="13"/>
      <c r="H51" s="13"/>
      <c r="I51" s="29"/>
      <c r="J51" s="29"/>
      <c r="K51" s="29"/>
      <c r="L51" s="28"/>
      <c r="M51" s="48"/>
    </row>
    <row r="52" spans="1:13" x14ac:dyDescent="0.3">
      <c r="A52" s="9"/>
      <c r="B52" s="28"/>
      <c r="C52" s="13"/>
      <c r="D52" s="13"/>
      <c r="E52" s="13"/>
      <c r="F52" s="13"/>
      <c r="G52" s="13"/>
      <c r="H52" s="13"/>
      <c r="I52" s="29"/>
      <c r="J52" s="29"/>
      <c r="K52" s="29"/>
      <c r="L52" s="28"/>
      <c r="M52" s="28"/>
    </row>
    <row r="53" spans="1:13" x14ac:dyDescent="0.3">
      <c r="A53" s="9"/>
      <c r="B53" s="28"/>
      <c r="C53" s="13"/>
      <c r="D53" s="13"/>
      <c r="E53" s="13"/>
      <c r="F53" s="13"/>
      <c r="G53" s="13"/>
      <c r="H53" s="13"/>
      <c r="I53" s="29"/>
      <c r="J53" s="29"/>
      <c r="K53" s="29"/>
      <c r="L53" s="28"/>
      <c r="M53" s="28"/>
    </row>
    <row r="54" spans="1:13" x14ac:dyDescent="0.3">
      <c r="A54" s="9"/>
      <c r="B54" s="28"/>
      <c r="C54" s="13"/>
      <c r="D54" s="13"/>
      <c r="E54" s="13"/>
      <c r="F54" s="13"/>
      <c r="G54" s="13"/>
      <c r="H54" s="13"/>
      <c r="I54" s="29"/>
      <c r="J54" s="29"/>
      <c r="K54" s="29"/>
      <c r="L54" s="28"/>
      <c r="M54" s="28"/>
    </row>
    <row r="55" spans="1:13" x14ac:dyDescent="0.3">
      <c r="A55" s="9"/>
      <c r="B55" s="10"/>
    </row>
    <row r="56" spans="1:13" x14ac:dyDescent="0.3">
      <c r="A56" s="9"/>
      <c r="B56" s="10"/>
    </row>
    <row r="57" spans="1:13" x14ac:dyDescent="0.3">
      <c r="A57" s="9"/>
      <c r="B57" s="10"/>
    </row>
    <row r="58" spans="1:13" x14ac:dyDescent="0.3">
      <c r="A58" s="9"/>
      <c r="B58" s="10"/>
    </row>
    <row r="59" spans="1:13" x14ac:dyDescent="0.3">
      <c r="A59" s="9"/>
      <c r="B59" s="10"/>
    </row>
    <row r="60" spans="1:13" x14ac:dyDescent="0.3">
      <c r="A60" s="9"/>
      <c r="B60" s="10"/>
    </row>
    <row r="61" spans="1:13" x14ac:dyDescent="0.3">
      <c r="A61" s="9"/>
      <c r="B61" s="10"/>
    </row>
    <row r="62" spans="1:13" x14ac:dyDescent="0.3">
      <c r="A62" s="9"/>
      <c r="B62" s="10"/>
    </row>
    <row r="63" spans="1:13" x14ac:dyDescent="0.3">
      <c r="A63" s="9"/>
      <c r="B63" s="10"/>
    </row>
    <row r="64" spans="1:13" x14ac:dyDescent="0.3">
      <c r="A64" s="9"/>
      <c r="B64" s="10"/>
    </row>
    <row r="65" spans="1:2" x14ac:dyDescent="0.3">
      <c r="A65" s="9"/>
      <c r="B65" s="10"/>
    </row>
    <row r="66" spans="1:2" x14ac:dyDescent="0.3">
      <c r="A66" s="9"/>
      <c r="B66" s="10"/>
    </row>
    <row r="67" spans="1:2" x14ac:dyDescent="0.3">
      <c r="A67" s="9"/>
      <c r="B67" s="10"/>
    </row>
    <row r="68" spans="1:2" x14ac:dyDescent="0.3">
      <c r="A68" s="9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9"/>
      <c r="B71" s="10"/>
    </row>
    <row r="72" spans="1:2" x14ac:dyDescent="0.3">
      <c r="A72" s="9"/>
      <c r="B72" s="10"/>
    </row>
    <row r="73" spans="1:2" x14ac:dyDescent="0.3">
      <c r="A73" s="9"/>
      <c r="B73" s="10"/>
    </row>
    <row r="74" spans="1:2" x14ac:dyDescent="0.3">
      <c r="A74" s="9"/>
      <c r="B74" s="10"/>
    </row>
    <row r="75" spans="1:2" x14ac:dyDescent="0.3">
      <c r="A75" s="9"/>
      <c r="B75" s="10"/>
    </row>
    <row r="76" spans="1:2" x14ac:dyDescent="0.3">
      <c r="A76" s="9"/>
      <c r="B76" s="10"/>
    </row>
    <row r="77" spans="1:2" x14ac:dyDescent="0.3">
      <c r="A77" s="9"/>
      <c r="B77" s="10"/>
    </row>
    <row r="78" spans="1:2" x14ac:dyDescent="0.3">
      <c r="A78" s="9"/>
      <c r="B78" s="10"/>
    </row>
    <row r="79" spans="1:2" x14ac:dyDescent="0.3">
      <c r="A79" s="9"/>
      <c r="B79" s="10"/>
    </row>
    <row r="80" spans="1:2" x14ac:dyDescent="0.3">
      <c r="A80" s="9"/>
      <c r="B80" s="10"/>
    </row>
    <row r="81" spans="1:2" x14ac:dyDescent="0.3">
      <c r="A81" s="9"/>
      <c r="B81" s="10"/>
    </row>
    <row r="82" spans="1:2" x14ac:dyDescent="0.3">
      <c r="A82" s="9"/>
      <c r="B82" s="10"/>
    </row>
    <row r="83" spans="1:2" x14ac:dyDescent="0.3">
      <c r="A83" s="9"/>
      <c r="B83" s="10"/>
    </row>
    <row r="84" spans="1:2" x14ac:dyDescent="0.3">
      <c r="A84" s="9"/>
      <c r="B84" s="10"/>
    </row>
    <row r="85" spans="1:2" x14ac:dyDescent="0.3">
      <c r="A85" s="9"/>
      <c r="B85" s="10"/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9"/>
      <c r="B95" s="10"/>
    </row>
    <row r="96" spans="1:2" x14ac:dyDescent="0.3">
      <c r="A96" s="9"/>
      <c r="B96" s="10"/>
    </row>
    <row r="97" spans="1:2" x14ac:dyDescent="0.3">
      <c r="A97" s="9"/>
      <c r="B97" s="10"/>
    </row>
    <row r="98" spans="1:2" x14ac:dyDescent="0.3">
      <c r="A98" s="9"/>
      <c r="B98" s="10"/>
    </row>
    <row r="99" spans="1:2" x14ac:dyDescent="0.3">
      <c r="A99" s="9"/>
      <c r="B99" s="10"/>
    </row>
    <row r="100" spans="1:2" x14ac:dyDescent="0.3">
      <c r="A100" s="9"/>
      <c r="B100" s="10"/>
    </row>
    <row r="101" spans="1:2" x14ac:dyDescent="0.3">
      <c r="A101" s="9"/>
      <c r="B101" s="10"/>
    </row>
    <row r="102" spans="1:2" x14ac:dyDescent="0.3">
      <c r="A102" s="9"/>
      <c r="B102" s="10"/>
    </row>
    <row r="103" spans="1:2" x14ac:dyDescent="0.3">
      <c r="A103" s="9"/>
      <c r="B103" s="10"/>
    </row>
    <row r="104" spans="1:2" x14ac:dyDescent="0.3">
      <c r="A104" s="9"/>
      <c r="B104" s="10"/>
    </row>
    <row r="105" spans="1:2" x14ac:dyDescent="0.3">
      <c r="A105" s="9"/>
      <c r="B105" s="10"/>
    </row>
    <row r="106" spans="1:2" x14ac:dyDescent="0.3">
      <c r="A106" s="9"/>
      <c r="B106" s="10"/>
    </row>
    <row r="107" spans="1:2" x14ac:dyDescent="0.3">
      <c r="A107" s="9"/>
      <c r="B107" s="10"/>
    </row>
    <row r="108" spans="1:2" x14ac:dyDescent="0.3">
      <c r="A108" s="9"/>
      <c r="B108" s="10"/>
    </row>
    <row r="109" spans="1:2" x14ac:dyDescent="0.3">
      <c r="A109" s="9"/>
      <c r="B109" s="10"/>
    </row>
    <row r="110" spans="1:2" x14ac:dyDescent="0.3">
      <c r="A110" s="9"/>
      <c r="B110" s="10"/>
    </row>
    <row r="111" spans="1:2" x14ac:dyDescent="0.3">
      <c r="A111" s="9"/>
      <c r="B111" s="10"/>
    </row>
    <row r="112" spans="1:2" x14ac:dyDescent="0.3">
      <c r="A112" s="9"/>
      <c r="B112" s="10"/>
    </row>
    <row r="113" spans="1:2" x14ac:dyDescent="0.3">
      <c r="A113" s="9"/>
      <c r="B113" s="10"/>
    </row>
    <row r="114" spans="1:2" x14ac:dyDescent="0.3">
      <c r="A114" s="9"/>
      <c r="B114" s="10"/>
    </row>
    <row r="115" spans="1:2" x14ac:dyDescent="0.3">
      <c r="A115" s="9"/>
      <c r="B115" s="10"/>
    </row>
    <row r="116" spans="1:2" x14ac:dyDescent="0.3">
      <c r="A116" s="9"/>
      <c r="B116" s="10"/>
    </row>
    <row r="117" spans="1:2" x14ac:dyDescent="0.3">
      <c r="A117" s="9"/>
      <c r="B117" s="10"/>
    </row>
    <row r="118" spans="1:2" x14ac:dyDescent="0.3">
      <c r="A118" s="9"/>
      <c r="B118" s="10"/>
    </row>
    <row r="119" spans="1:2" x14ac:dyDescent="0.3">
      <c r="A119" s="9"/>
      <c r="B119" s="10"/>
    </row>
    <row r="120" spans="1:2" x14ac:dyDescent="0.3">
      <c r="A120" s="9"/>
      <c r="B120" s="10"/>
    </row>
    <row r="121" spans="1:2" x14ac:dyDescent="0.3">
      <c r="A121" s="9"/>
      <c r="B121" s="10"/>
    </row>
    <row r="122" spans="1:2" x14ac:dyDescent="0.3">
      <c r="A122" s="9"/>
      <c r="B122" s="10"/>
    </row>
    <row r="123" spans="1:2" x14ac:dyDescent="0.3">
      <c r="A123" s="9"/>
      <c r="B123" s="10"/>
    </row>
    <row r="124" spans="1:2" x14ac:dyDescent="0.3">
      <c r="A124" s="9"/>
      <c r="B124" s="10"/>
    </row>
    <row r="125" spans="1:2" x14ac:dyDescent="0.3">
      <c r="A125" s="9"/>
      <c r="B125" s="10"/>
    </row>
    <row r="126" spans="1:2" x14ac:dyDescent="0.3">
      <c r="A126" s="9"/>
      <c r="B126" s="10"/>
    </row>
    <row r="127" spans="1:2" x14ac:dyDescent="0.3">
      <c r="A127" s="9"/>
      <c r="B127" s="10"/>
    </row>
    <row r="128" spans="1:2" x14ac:dyDescent="0.3">
      <c r="A128" s="9"/>
      <c r="B128" s="10"/>
    </row>
    <row r="129" spans="1:2" x14ac:dyDescent="0.3">
      <c r="A129" s="9"/>
      <c r="B129" s="10"/>
    </row>
    <row r="130" spans="1:2" x14ac:dyDescent="0.3">
      <c r="A130" s="9"/>
      <c r="B130" s="10"/>
    </row>
    <row r="131" spans="1:2" x14ac:dyDescent="0.3">
      <c r="A131" s="9"/>
      <c r="B131" s="10"/>
    </row>
    <row r="132" spans="1:2" x14ac:dyDescent="0.3">
      <c r="A132" s="9"/>
      <c r="B132" s="10"/>
    </row>
    <row r="133" spans="1:2" x14ac:dyDescent="0.3">
      <c r="A133" s="9"/>
      <c r="B133" s="10"/>
    </row>
    <row r="134" spans="1:2" x14ac:dyDescent="0.3">
      <c r="A134" s="9"/>
      <c r="B134" s="10"/>
    </row>
    <row r="135" spans="1:2" x14ac:dyDescent="0.3">
      <c r="A135" s="9"/>
      <c r="B135" s="10"/>
    </row>
    <row r="136" spans="1:2" x14ac:dyDescent="0.3">
      <c r="A136" s="9"/>
      <c r="B136" s="10"/>
    </row>
    <row r="137" spans="1:2" x14ac:dyDescent="0.3">
      <c r="A137" s="9"/>
      <c r="B137" s="10"/>
    </row>
    <row r="138" spans="1:2" x14ac:dyDescent="0.3">
      <c r="A138" s="9"/>
      <c r="B138" s="10"/>
    </row>
    <row r="139" spans="1:2" x14ac:dyDescent="0.3">
      <c r="A139" s="9"/>
      <c r="B139" s="10"/>
    </row>
    <row r="140" spans="1:2" x14ac:dyDescent="0.3">
      <c r="A140" s="9"/>
      <c r="B140" s="10"/>
    </row>
    <row r="141" spans="1:2" x14ac:dyDescent="0.3">
      <c r="A141" s="9"/>
      <c r="B141" s="10"/>
    </row>
    <row r="142" spans="1:2" x14ac:dyDescent="0.3">
      <c r="A142" s="9"/>
      <c r="B142" s="10"/>
    </row>
    <row r="143" spans="1:2" x14ac:dyDescent="0.3">
      <c r="A143" s="9"/>
      <c r="B143" s="10"/>
    </row>
    <row r="144" spans="1:2" x14ac:dyDescent="0.3">
      <c r="A144" s="9"/>
      <c r="B144" s="10"/>
    </row>
    <row r="145" spans="1:2" x14ac:dyDescent="0.3">
      <c r="A145" s="9"/>
      <c r="B145" s="10"/>
    </row>
    <row r="146" spans="1:2" x14ac:dyDescent="0.3">
      <c r="A146" s="9"/>
      <c r="B146" s="10"/>
    </row>
    <row r="147" spans="1:2" x14ac:dyDescent="0.3">
      <c r="A147" s="9"/>
      <c r="B147" s="10"/>
    </row>
    <row r="148" spans="1:2" x14ac:dyDescent="0.3">
      <c r="A148" s="9"/>
      <c r="B148" s="10"/>
    </row>
    <row r="149" spans="1:2" x14ac:dyDescent="0.3">
      <c r="A149" s="9"/>
      <c r="B149" s="10"/>
    </row>
    <row r="150" spans="1:2" x14ac:dyDescent="0.3">
      <c r="A150" s="9"/>
      <c r="B150" s="10"/>
    </row>
    <row r="151" spans="1:2" x14ac:dyDescent="0.3">
      <c r="A151" s="9"/>
      <c r="B151" s="10"/>
    </row>
    <row r="152" spans="1:2" x14ac:dyDescent="0.3">
      <c r="A152" s="9"/>
      <c r="B152" s="10"/>
    </row>
    <row r="153" spans="1:2" x14ac:dyDescent="0.3">
      <c r="A153" s="9"/>
      <c r="B153" s="10"/>
    </row>
    <row r="154" spans="1:2" x14ac:dyDescent="0.3">
      <c r="A154" s="9"/>
      <c r="B154" s="10"/>
    </row>
    <row r="155" spans="1:2" x14ac:dyDescent="0.3">
      <c r="A155" s="9"/>
      <c r="B155" s="10"/>
    </row>
    <row r="156" spans="1:2" x14ac:dyDescent="0.3">
      <c r="A156" s="9"/>
      <c r="B156" s="10"/>
    </row>
    <row r="157" spans="1:2" x14ac:dyDescent="0.3">
      <c r="A157" s="9"/>
      <c r="B157" s="10"/>
    </row>
    <row r="158" spans="1:2" x14ac:dyDescent="0.3">
      <c r="A158" s="9"/>
      <c r="B158" s="10"/>
    </row>
    <row r="159" spans="1:2" x14ac:dyDescent="0.3">
      <c r="A159" s="9"/>
      <c r="B159" s="10"/>
    </row>
    <row r="160" spans="1:2" x14ac:dyDescent="0.3">
      <c r="A160" s="9"/>
      <c r="B160" s="10"/>
    </row>
    <row r="161" spans="1:2" x14ac:dyDescent="0.3">
      <c r="A161" s="9"/>
      <c r="B161" s="10"/>
    </row>
    <row r="162" spans="1:2" x14ac:dyDescent="0.3">
      <c r="A162" s="9"/>
      <c r="B162" s="10"/>
    </row>
    <row r="163" spans="1:2" x14ac:dyDescent="0.3">
      <c r="A163" s="9"/>
      <c r="B163" s="10"/>
    </row>
    <row r="164" spans="1:2" x14ac:dyDescent="0.3">
      <c r="A164" s="9"/>
      <c r="B164" s="10"/>
    </row>
    <row r="165" spans="1:2" x14ac:dyDescent="0.3">
      <c r="A165" s="9"/>
      <c r="B165" s="10"/>
    </row>
    <row r="166" spans="1:2" x14ac:dyDescent="0.3">
      <c r="A166" s="9"/>
      <c r="B166" s="10"/>
    </row>
    <row r="167" spans="1:2" x14ac:dyDescent="0.3">
      <c r="A167" s="9"/>
      <c r="B167" s="10"/>
    </row>
    <row r="168" spans="1:2" x14ac:dyDescent="0.3">
      <c r="A168" s="9"/>
      <c r="B168" s="10"/>
    </row>
    <row r="169" spans="1:2" x14ac:dyDescent="0.3">
      <c r="A169" s="9"/>
      <c r="B169" s="10"/>
    </row>
  </sheetData>
  <pageMargins left="1" right="1" top="0.5" bottom="0" header="0.5" footer="0.4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 1 - 5</vt:lpstr>
      <vt:lpstr>Note 6</vt:lpstr>
      <vt:lpstr>Notes 7 - 9</vt:lpstr>
      <vt:lpstr>Note 10</vt:lpstr>
      <vt:lpstr>Notes 11-13</vt:lpstr>
      <vt:lpstr>Notes 14-15</vt:lpstr>
      <vt:lpstr>Notes 16-17</vt:lpstr>
      <vt:lpstr>Notes 18</vt:lpstr>
      <vt:lpstr>Note 19-20</vt:lpstr>
      <vt:lpstr>Notes 21-22</vt:lpstr>
      <vt:lpstr>Notes 23-24</vt:lpstr>
      <vt:lpstr>Notes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Notes</dc:title>
  <dc:creator>Hongkong Land Ltd</dc:creator>
  <cp:lastModifiedBy>Carina Negreanu</cp:lastModifiedBy>
  <dcterms:created xsi:type="dcterms:W3CDTF">1998-03-19T06:49:27Z</dcterms:created>
  <dcterms:modified xsi:type="dcterms:W3CDTF">2020-01-27T11:55:51Z</dcterms:modified>
</cp:coreProperties>
</file>