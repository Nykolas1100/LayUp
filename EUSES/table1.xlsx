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1DC368-7F20-4299-B3A4-147305FED93F}" xr6:coauthVersionLast="45" xr6:coauthVersionMax="45" xr10:uidLastSave="{00000000-0000-0000-0000-000000000000}"/>
  <bookViews>
    <workbookView xWindow="3420" yWindow="3420" windowWidth="28800" windowHeight="15460" activeTab="2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1" l="1"/>
  <c r="J19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B19" i="1"/>
  <c r="B21" i="1" s="1"/>
  <c r="C19" i="1"/>
  <c r="C21" i="1" s="1"/>
  <c r="D19" i="1"/>
  <c r="D21" i="1" s="1"/>
  <c r="E19" i="1"/>
  <c r="E21" i="1" s="1"/>
  <c r="F19" i="1"/>
  <c r="G19" i="1"/>
  <c r="H19" i="1"/>
  <c r="I19" i="1"/>
  <c r="D22" i="1"/>
  <c r="E22" i="1"/>
  <c r="F22" i="1"/>
  <c r="G22" i="1"/>
  <c r="H22" i="1"/>
  <c r="I22" i="1"/>
  <c r="H5" i="2"/>
  <c r="J5" i="2" s="1"/>
  <c r="H6" i="2"/>
  <c r="J6" i="2"/>
  <c r="H7" i="2"/>
  <c r="J7" i="2"/>
  <c r="H8" i="2"/>
  <c r="J8" i="2"/>
  <c r="H9" i="2"/>
  <c r="J9" i="2"/>
  <c r="H10" i="2"/>
  <c r="J10" i="2"/>
  <c r="H11" i="2"/>
  <c r="J11" i="2"/>
  <c r="H12" i="2"/>
  <c r="J12" i="2"/>
  <c r="H13" i="2"/>
  <c r="J13" i="2"/>
  <c r="H14" i="2"/>
  <c r="J14" i="2" s="1"/>
  <c r="H15" i="2"/>
  <c r="J15" i="2"/>
  <c r="H16" i="2"/>
  <c r="J16" i="2"/>
  <c r="H17" i="2"/>
  <c r="J17" i="2"/>
  <c r="H18" i="2"/>
  <c r="J18" i="2"/>
  <c r="H19" i="2"/>
  <c r="J19" i="2"/>
  <c r="H20" i="2"/>
  <c r="J20" i="2" s="1"/>
  <c r="B21" i="2"/>
  <c r="C21" i="2"/>
  <c r="D21" i="2"/>
  <c r="E21" i="2"/>
  <c r="F21" i="2"/>
  <c r="G21" i="2"/>
  <c r="H21" i="2"/>
  <c r="J21" i="2" s="1"/>
  <c r="I21" i="2"/>
  <c r="H5" i="3"/>
  <c r="J5" i="3" s="1"/>
  <c r="H6" i="3"/>
  <c r="J6" i="3" s="1"/>
  <c r="H7" i="3"/>
  <c r="J7" i="3" s="1"/>
  <c r="H8" i="3"/>
  <c r="J8" i="3"/>
  <c r="H9" i="3"/>
  <c r="J9" i="3"/>
  <c r="H10" i="3"/>
  <c r="J10" i="3"/>
  <c r="H11" i="3"/>
  <c r="J11" i="3"/>
  <c r="H12" i="3"/>
  <c r="J12" i="3"/>
  <c r="H13" i="3"/>
  <c r="J13" i="3"/>
  <c r="H14" i="3"/>
  <c r="J14" i="3" s="1"/>
  <c r="H15" i="3"/>
  <c r="J15" i="3" s="1"/>
  <c r="B16" i="3"/>
  <c r="C16" i="3"/>
  <c r="D16" i="3"/>
  <c r="E16" i="3"/>
  <c r="F16" i="3"/>
  <c r="G16" i="3"/>
  <c r="H16" i="3"/>
  <c r="I16" i="3"/>
  <c r="J16" i="3"/>
  <c r="G21" i="1" l="1"/>
  <c r="I21" i="1"/>
  <c r="F21" i="1"/>
  <c r="J21" i="1"/>
  <c r="H21" i="1"/>
</calcChain>
</file>

<file path=xl/sharedStrings.xml><?xml version="1.0" encoding="utf-8"?>
<sst xmlns="http://schemas.openxmlformats.org/spreadsheetml/2006/main" count="78" uniqueCount="59">
  <si>
    <t>Grades</t>
  </si>
  <si>
    <t>Targeted Disabilities</t>
  </si>
  <si>
    <t>American Indian or Alaskan Native</t>
  </si>
  <si>
    <t>Asian or Pacific Islander</t>
  </si>
  <si>
    <t>Female</t>
  </si>
  <si>
    <t>Male</t>
  </si>
  <si>
    <t>Total</t>
  </si>
  <si>
    <t>SES</t>
  </si>
  <si>
    <t>Total AMS</t>
  </si>
  <si>
    <t>Percent of AMS</t>
  </si>
  <si>
    <t>Percent of U.S. Civilian Labor Force</t>
  </si>
  <si>
    <t>N.A.</t>
  </si>
  <si>
    <t>Years to Retirement</t>
  </si>
  <si>
    <t>1998 U.S. Civilian Labor Force</t>
  </si>
  <si>
    <t>Job Series</t>
  </si>
  <si>
    <t xml:space="preserve"> 110</t>
  </si>
  <si>
    <t xml:space="preserve"> 301</t>
  </si>
  <si>
    <t xml:space="preserve"> 318</t>
  </si>
  <si>
    <t xml:space="preserve"> 334</t>
  </si>
  <si>
    <t xml:space="preserve"> 343</t>
  </si>
  <si>
    <t>Total Eligible to Retire</t>
  </si>
  <si>
    <t>Total AMS Employees</t>
  </si>
  <si>
    <t>Percent Eligible to Retire Within 5 Years</t>
  </si>
  <si>
    <t>Definitions:</t>
  </si>
  <si>
    <t>0 = Number of employees eligible to retire at any time</t>
  </si>
  <si>
    <t>1 = Number of employees eligible to retire within a year</t>
  </si>
  <si>
    <t>3 = Number of employees whose retirement eligibility is greater than 2 years but less than 3 years</t>
  </si>
  <si>
    <t>2 = Number of employees whose retirement eligibility is greater than a year but less than 2 years</t>
  </si>
  <si>
    <t>4 = Number of employees whose retirement eligibility is greater than 3 years but less than 4 years</t>
  </si>
  <si>
    <t>Job Series:</t>
  </si>
  <si>
    <t xml:space="preserve"> 343 = Management Analysts</t>
  </si>
  <si>
    <t xml:space="preserve"> 334 = Computer Specialists</t>
  </si>
  <si>
    <t xml:space="preserve"> 318 = Secretaries, Misc. Clerks and Assistants, Office Automation Clerks</t>
  </si>
  <si>
    <t xml:space="preserve"> 301 = Misc. Administrative and Program</t>
  </si>
  <si>
    <t xml:space="preserve"> 110 = Agricultural Economists</t>
  </si>
  <si>
    <t>1147 = Agricultural Market Reporter</t>
  </si>
  <si>
    <t>1311 = Physical Science Technician</t>
  </si>
  <si>
    <t>1320 = Chemists</t>
  </si>
  <si>
    <t>1980 = Agricultural Commodity Grader</t>
  </si>
  <si>
    <t>5 = Number of employees whose retirement eligibility is greater than 4 years but less than 5 years</t>
  </si>
  <si>
    <t>1146 = Agricultural Marketing Specialists</t>
  </si>
  <si>
    <t>Retirement eligibility calculated by APHIS, USDA</t>
  </si>
  <si>
    <t>Other</t>
  </si>
  <si>
    <t>Other = 201,341,403,415,430,493,501,503,505,525,544,560,630,801,896,963,1101,1301,1801,1981,2130,3359,3501,3502,4417</t>
  </si>
  <si>
    <t>Black</t>
  </si>
  <si>
    <t>White</t>
  </si>
  <si>
    <t>(3)</t>
  </si>
  <si>
    <t>(2) In the U.S. Civilian Labor data, Hispanics are considered a national origin and not a race.  In the AMS data, Hispanics are considered a race.</t>
  </si>
  <si>
    <t>(3) The Asian or Pacific Islander group includes Asians and Pacific Islanders and American Indians and Alaskan Natives.</t>
  </si>
  <si>
    <t>Data Sources: U.S. Civilian Labor Force information is from the Bureau of Labor Statistics and AMS</t>
  </si>
  <si>
    <t>data is from the National Finance Center, January 1999.</t>
  </si>
  <si>
    <t>(1) AMS has a total of 5,643 employees;  2,605 are permanent; and 3,038 are not permanent.</t>
  </si>
  <si>
    <t xml:space="preserve">     Therefore, the U.S. Civilian Labor Force data overstates the percentages of the other racial categories.</t>
  </si>
  <si>
    <t>AMS data is from the National Finance Center, January 1999</t>
  </si>
  <si>
    <r>
      <t xml:space="preserve">Hispanic </t>
    </r>
    <r>
      <rPr>
        <b/>
        <sz val="10"/>
        <rFont val="NewCenturySchlbk"/>
        <family val="1"/>
      </rPr>
      <t>(2)</t>
    </r>
  </si>
  <si>
    <t>110.4 (2)</t>
  </si>
  <si>
    <r>
      <t>Exhibit 1:  Distribution of Permanent Workforce by Grades</t>
    </r>
    <r>
      <rPr>
        <b/>
        <vertAlign val="superscript"/>
        <sz val="12"/>
        <rFont val="Helvetica"/>
        <family val="2"/>
      </rPr>
      <t xml:space="preserve"> (1)</t>
    </r>
  </si>
  <si>
    <t>Exhibit 3:  AMS Permanent Employees Eligible to Retire Within 5 Years</t>
  </si>
  <si>
    <t>Exhibit 4:  AMS Permanent Employees Eligible to Retire Within 5 Years by Job Series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</si>
</sst>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4" formatCode="0.0"/>
    <numFmt numFmtId="177" formatCode="_(* #,##0_);_(* \(#,##0\);_(* &quot;-&quot;??_);_(@_)"/>
    <numFmt numFmtId="179" formatCode="mmmm\-yy"/>
  </numFmts>
  <fonts count="10">
    <font>
      <sz val="10"/>
      <name val="Arial"/>
    </font>
    <font>
      <sz val="10"/>
      <name val="Arial"/>
    </font>
    <font>
      <sz val="12"/>
      <name val="Helvetica"/>
      <family val="2"/>
    </font>
    <font>
      <b/>
      <sz val="12"/>
      <name val="Helvetica"/>
      <family val="2"/>
    </font>
    <font>
      <b/>
      <sz val="10"/>
      <name val="Helvetica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2"/>
      <name val="NewCenturySchlbk"/>
      <family val="1"/>
    </font>
    <font>
      <b/>
      <vertAlign val="superscript"/>
      <sz val="12"/>
      <name val="Helvetica"/>
      <family val="2"/>
    </font>
    <font>
      <b/>
      <sz val="10"/>
      <name val="NewCenturySchlbk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57"/>
      </left>
      <right/>
      <top style="thin">
        <color indexed="57"/>
      </top>
      <bottom/>
      <diagonal/>
    </border>
    <border>
      <left/>
      <right/>
      <top style="thin">
        <color indexed="57"/>
      </top>
      <bottom/>
      <diagonal/>
    </border>
    <border>
      <left/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/>
      <top/>
      <bottom/>
      <diagonal/>
    </border>
    <border>
      <left/>
      <right style="thin">
        <color indexed="57"/>
      </right>
      <top/>
      <bottom/>
      <diagonal/>
    </border>
    <border>
      <left style="thin">
        <color indexed="57"/>
      </left>
      <right/>
      <top/>
      <bottom style="thin">
        <color indexed="57"/>
      </bottom>
      <diagonal/>
    </border>
    <border>
      <left/>
      <right/>
      <top/>
      <bottom style="thin">
        <color indexed="57"/>
      </bottom>
      <diagonal/>
    </border>
    <border>
      <left/>
      <right style="thin">
        <color indexed="57"/>
      </right>
      <top/>
      <bottom style="thin">
        <color indexed="57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0" xfId="0" applyFont="1" applyBorder="1"/>
    <xf numFmtId="0" fontId="4" fillId="0" borderId="0" xfId="0" applyFont="1" applyBorder="1" applyAlignment="1">
      <alignment horizontal="centerContinuous"/>
    </xf>
    <xf numFmtId="0" fontId="4" fillId="0" borderId="0" xfId="0" quotePrefix="1" applyFont="1" applyBorder="1" applyAlignment="1">
      <alignment horizontal="centerContinuous"/>
    </xf>
    <xf numFmtId="174" fontId="4" fillId="0" borderId="0" xfId="0" applyNumberFormat="1" applyFont="1" applyBorder="1" applyAlignment="1">
      <alignment horizontal="centerContinuous"/>
    </xf>
    <xf numFmtId="0" fontId="0" fillId="0" borderId="0" xfId="0" applyFill="1"/>
    <xf numFmtId="0" fontId="4" fillId="2" borderId="0" xfId="0" applyFont="1" applyFill="1" applyBorder="1"/>
    <xf numFmtId="177" fontId="4" fillId="2" borderId="0" xfId="1" applyNumberFormat="1" applyFont="1" applyFill="1" applyBorder="1"/>
    <xf numFmtId="3" fontId="4" fillId="2" borderId="0" xfId="1" applyNumberFormat="1" applyFont="1" applyFill="1" applyBorder="1"/>
    <xf numFmtId="174" fontId="4" fillId="2" borderId="0" xfId="0" applyNumberFormat="1" applyFont="1" applyFill="1" applyBorder="1"/>
    <xf numFmtId="0" fontId="3" fillId="0" borderId="1" xfId="0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/>
    <xf numFmtId="0" fontId="4" fillId="0" borderId="4" xfId="0" applyFont="1" applyBorder="1" applyAlignment="1">
      <alignment horizontal="left"/>
    </xf>
    <xf numFmtId="0" fontId="4" fillId="2" borderId="4" xfId="0" applyFont="1" applyFill="1" applyBorder="1" applyAlignment="1">
      <alignment horizontal="left" vertical="center" wrapText="1"/>
    </xf>
    <xf numFmtId="3" fontId="4" fillId="2" borderId="5" xfId="1" applyNumberFormat="1" applyFont="1" applyFill="1" applyBorder="1"/>
    <xf numFmtId="0" fontId="4" fillId="0" borderId="4" xfId="0" applyFont="1" applyBorder="1" applyAlignment="1">
      <alignment horizontal="left" vertical="center" wrapText="1"/>
    </xf>
    <xf numFmtId="174" fontId="4" fillId="2" borderId="5" xfId="0" applyNumberFormat="1" applyFont="1" applyFill="1" applyBorder="1"/>
    <xf numFmtId="0" fontId="4" fillId="0" borderId="0" xfId="0" applyFont="1" applyBorder="1" applyAlignment="1">
      <alignment horizontal="right" vertical="center"/>
    </xf>
    <xf numFmtId="0" fontId="4" fillId="0" borderId="0" xfId="0" quotePrefix="1" applyFont="1" applyBorder="1" applyAlignment="1">
      <alignment horizontal="right" vertical="center"/>
    </xf>
    <xf numFmtId="3" fontId="4" fillId="0" borderId="0" xfId="1" applyNumberFormat="1" applyFont="1" applyBorder="1" applyAlignment="1">
      <alignment vertical="center"/>
    </xf>
    <xf numFmtId="3" fontId="4" fillId="0" borderId="5" xfId="1" applyNumberFormat="1" applyFont="1" applyBorder="1" applyAlignment="1">
      <alignment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/>
    <xf numFmtId="0" fontId="0" fillId="0" borderId="4" xfId="0" applyBorder="1"/>
    <xf numFmtId="0" fontId="0" fillId="0" borderId="5" xfId="0" applyBorder="1"/>
    <xf numFmtId="0" fontId="3" fillId="0" borderId="4" xfId="0" applyFont="1" applyBorder="1" applyAlignment="1">
      <alignment horizontal="left" wrapText="1"/>
    </xf>
    <xf numFmtId="0" fontId="3" fillId="0" borderId="1" xfId="0" applyFont="1" applyBorder="1" applyAlignment="1">
      <alignment horizontal="centerContinuous" wrapText="1"/>
    </xf>
    <xf numFmtId="0" fontId="4" fillId="2" borderId="4" xfId="0" quotePrefix="1" applyFont="1" applyFill="1" applyBorder="1" applyAlignment="1">
      <alignment horizontal="left"/>
    </xf>
    <xf numFmtId="0" fontId="4" fillId="0" borderId="4" xfId="0" quotePrefix="1" applyFont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0" xfId="0" applyFont="1" applyFill="1" applyBorder="1"/>
    <xf numFmtId="0" fontId="4" fillId="3" borderId="5" xfId="0" applyFont="1" applyFill="1" applyBorder="1"/>
    <xf numFmtId="0" fontId="0" fillId="0" borderId="0" xfId="0" applyBorder="1"/>
    <xf numFmtId="0" fontId="0" fillId="0" borderId="3" xfId="0" applyBorder="1" applyAlignment="1">
      <alignment horizontal="centerContinuous"/>
    </xf>
    <xf numFmtId="174" fontId="6" fillId="2" borderId="5" xfId="0" applyNumberFormat="1" applyFont="1" applyFill="1" applyBorder="1"/>
    <xf numFmtId="174" fontId="6" fillId="3" borderId="5" xfId="0" applyNumberFormat="1" applyFont="1" applyFill="1" applyBorder="1"/>
    <xf numFmtId="0" fontId="0" fillId="0" borderId="2" xfId="0" applyBorder="1" applyAlignment="1">
      <alignment horizontal="centerContinuous"/>
    </xf>
    <xf numFmtId="174" fontId="4" fillId="0" borderId="5" xfId="0" applyNumberFormat="1" applyFont="1" applyBorder="1"/>
    <xf numFmtId="174" fontId="4" fillId="2" borderId="8" xfId="0" applyNumberFormat="1" applyFont="1" applyFill="1" applyBorder="1"/>
    <xf numFmtId="0" fontId="3" fillId="0" borderId="0" xfId="0" applyFont="1" applyBorder="1" applyAlignment="1">
      <alignment horizontal="right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Continuous" wrapText="1"/>
    </xf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6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7" fillId="0" borderId="0" xfId="0" applyNumberFormat="1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79" fontId="0" fillId="0" borderId="0" xfId="0" applyNumberFormat="1"/>
    <xf numFmtId="0" fontId="0" fillId="0" borderId="0" xfId="0" applyAlignment="1">
      <alignment horizontal="centerContinuous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right" vertical="center"/>
    </xf>
    <xf numFmtId="0" fontId="4" fillId="0" borderId="7" xfId="0" quotePrefix="1" applyFont="1" applyBorder="1" applyAlignment="1">
      <alignment horizontal="right" vertical="center"/>
    </xf>
    <xf numFmtId="174" fontId="4" fillId="0" borderId="7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Continuous"/>
    </xf>
    <xf numFmtId="0" fontId="4" fillId="0" borderId="0" xfId="0" applyFont="1" applyBorder="1" applyAlignment="1"/>
    <xf numFmtId="0" fontId="4" fillId="0" borderId="0" xfId="0" applyFont="1"/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vertical="center"/>
    </xf>
    <xf numFmtId="174" fontId="6" fillId="3" borderId="8" xfId="0" applyNumberFormat="1" applyFont="1" applyFill="1" applyBorder="1"/>
    <xf numFmtId="174" fontId="4" fillId="0" borderId="8" xfId="0" applyNumberFormat="1" applyFont="1" applyBorder="1" applyAlignment="1">
      <alignment horizontal="right" vertical="center"/>
    </xf>
    <xf numFmtId="3" fontId="4" fillId="2" borderId="7" xfId="0" applyNumberFormat="1" applyFont="1" applyFill="1" applyBorder="1"/>
    <xf numFmtId="3" fontId="4" fillId="3" borderId="7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A18" sqref="A18:A19"/>
    </sheetView>
  </sheetViews>
  <sheetFormatPr defaultRowHeight="12.5" outlineLevelRow="2"/>
  <cols>
    <col min="1" max="1" width="16.1796875" customWidth="1"/>
    <col min="2" max="2" width="13.54296875" customWidth="1"/>
    <col min="3" max="3" width="12.26953125" customWidth="1"/>
    <col min="4" max="4" width="11.54296875" customWidth="1"/>
    <col min="5" max="5" width="13.54296875" customWidth="1"/>
    <col min="6" max="6" width="15.1796875" customWidth="1"/>
    <col min="7" max="7" width="12.54296875" customWidth="1"/>
    <col min="8" max="8" width="10" customWidth="1"/>
    <col min="9" max="9" width="10.26953125" customWidth="1"/>
    <col min="10" max="10" width="12.1796875" customWidth="1"/>
  </cols>
  <sheetData>
    <row r="1" spans="1:11" ht="23.25" customHeight="1">
      <c r="A1" s="10" t="s">
        <v>56</v>
      </c>
      <c r="B1" s="11"/>
      <c r="C1" s="11"/>
      <c r="D1" s="11"/>
      <c r="E1" s="11"/>
      <c r="F1" s="11"/>
      <c r="G1" s="11"/>
      <c r="H1" s="11"/>
      <c r="I1" s="12"/>
      <c r="J1" s="13"/>
    </row>
    <row r="2" spans="1:11" ht="77.25" customHeight="1">
      <c r="A2" s="14" t="s">
        <v>0</v>
      </c>
      <c r="B2" s="55" t="s">
        <v>1</v>
      </c>
      <c r="C2" s="56" t="s">
        <v>2</v>
      </c>
      <c r="D2" s="56" t="s">
        <v>3</v>
      </c>
      <c r="E2" s="56" t="s">
        <v>44</v>
      </c>
      <c r="F2" s="56" t="s">
        <v>54</v>
      </c>
      <c r="G2" s="56" t="s">
        <v>45</v>
      </c>
      <c r="H2" s="56" t="s">
        <v>4</v>
      </c>
      <c r="I2" s="56" t="s">
        <v>5</v>
      </c>
      <c r="J2" s="57" t="s">
        <v>6</v>
      </c>
      <c r="K2" s="5"/>
    </row>
    <row r="3" spans="1:11" ht="14.15" customHeight="1" outlineLevel="1">
      <c r="A3" s="15" t="s">
        <v>7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10</v>
      </c>
      <c r="H3" s="6">
        <v>2</v>
      </c>
      <c r="I3" s="6">
        <v>8</v>
      </c>
      <c r="J3" s="16">
        <f t="shared" ref="J3:J17" si="0">SUM(H3:I3)</f>
        <v>10</v>
      </c>
    </row>
    <row r="4" spans="1:11" ht="14.15" customHeight="1" outlineLevel="1">
      <c r="A4" s="34">
        <v>15</v>
      </c>
      <c r="B4" s="35">
        <v>0</v>
      </c>
      <c r="C4" s="35">
        <v>0</v>
      </c>
      <c r="D4" s="35">
        <v>1</v>
      </c>
      <c r="E4" s="35">
        <v>2</v>
      </c>
      <c r="F4" s="35">
        <v>1</v>
      </c>
      <c r="G4" s="35">
        <v>24</v>
      </c>
      <c r="H4" s="35">
        <v>7</v>
      </c>
      <c r="I4" s="35">
        <v>21</v>
      </c>
      <c r="J4" s="36">
        <f t="shared" si="0"/>
        <v>28</v>
      </c>
    </row>
    <row r="5" spans="1:11" ht="14.15" customHeight="1" outlineLevel="1">
      <c r="A5" s="15">
        <v>14</v>
      </c>
      <c r="B5" s="6">
        <v>1</v>
      </c>
      <c r="C5" s="6">
        <v>0</v>
      </c>
      <c r="D5" s="6">
        <v>4</v>
      </c>
      <c r="E5" s="6">
        <v>1</v>
      </c>
      <c r="F5" s="6">
        <v>1</v>
      </c>
      <c r="G5" s="6">
        <v>75</v>
      </c>
      <c r="H5" s="6">
        <v>14</v>
      </c>
      <c r="I5" s="6">
        <v>67</v>
      </c>
      <c r="J5" s="16">
        <f t="shared" si="0"/>
        <v>81</v>
      </c>
    </row>
    <row r="6" spans="1:11" ht="14.15" customHeight="1" outlineLevel="1">
      <c r="A6" s="34">
        <v>13</v>
      </c>
      <c r="B6" s="35">
        <v>1</v>
      </c>
      <c r="C6" s="35">
        <v>0</v>
      </c>
      <c r="D6" s="35">
        <v>3</v>
      </c>
      <c r="E6" s="35">
        <v>18</v>
      </c>
      <c r="F6" s="35">
        <v>2</v>
      </c>
      <c r="G6" s="35">
        <v>172</v>
      </c>
      <c r="H6" s="35">
        <v>50</v>
      </c>
      <c r="I6" s="35">
        <v>145</v>
      </c>
      <c r="J6" s="36">
        <f t="shared" si="0"/>
        <v>195</v>
      </c>
    </row>
    <row r="7" spans="1:11" ht="14.15" customHeight="1" outlineLevel="1">
      <c r="A7" s="15">
        <v>12</v>
      </c>
      <c r="B7" s="6">
        <v>4</v>
      </c>
      <c r="C7" s="6">
        <v>5</v>
      </c>
      <c r="D7" s="6">
        <v>5</v>
      </c>
      <c r="E7" s="6">
        <v>42</v>
      </c>
      <c r="F7" s="6">
        <v>9</v>
      </c>
      <c r="G7" s="6">
        <v>215</v>
      </c>
      <c r="H7" s="6">
        <v>74</v>
      </c>
      <c r="I7" s="6">
        <v>202</v>
      </c>
      <c r="J7" s="16">
        <f t="shared" si="0"/>
        <v>276</v>
      </c>
    </row>
    <row r="8" spans="1:11" ht="14.15" customHeight="1" outlineLevel="1">
      <c r="A8" s="34">
        <v>11</v>
      </c>
      <c r="B8" s="35">
        <v>2</v>
      </c>
      <c r="C8" s="35">
        <v>0</v>
      </c>
      <c r="D8" s="35">
        <v>4</v>
      </c>
      <c r="E8" s="35">
        <v>38</v>
      </c>
      <c r="F8" s="35">
        <v>12</v>
      </c>
      <c r="G8" s="35">
        <v>272</v>
      </c>
      <c r="H8" s="35">
        <v>100</v>
      </c>
      <c r="I8" s="35">
        <v>226</v>
      </c>
      <c r="J8" s="36">
        <f t="shared" si="0"/>
        <v>326</v>
      </c>
    </row>
    <row r="9" spans="1:11" ht="14.15" customHeight="1" outlineLevel="1">
      <c r="A9" s="15">
        <v>10</v>
      </c>
      <c r="B9" s="6">
        <v>0</v>
      </c>
      <c r="C9" s="6">
        <v>0</v>
      </c>
      <c r="D9" s="6">
        <v>1</v>
      </c>
      <c r="E9" s="6">
        <v>1</v>
      </c>
      <c r="F9" s="6">
        <v>2</v>
      </c>
      <c r="G9" s="6">
        <v>17</v>
      </c>
      <c r="H9" s="6">
        <v>4</v>
      </c>
      <c r="I9" s="6">
        <v>17</v>
      </c>
      <c r="J9" s="16">
        <f t="shared" si="0"/>
        <v>21</v>
      </c>
    </row>
    <row r="10" spans="1:11" ht="14.15" customHeight="1" outlineLevel="1">
      <c r="A10" s="34">
        <v>9</v>
      </c>
      <c r="B10" s="35">
        <v>12</v>
      </c>
      <c r="C10" s="35">
        <v>11</v>
      </c>
      <c r="D10" s="35">
        <v>16</v>
      </c>
      <c r="E10" s="35">
        <v>84</v>
      </c>
      <c r="F10" s="35">
        <v>36</v>
      </c>
      <c r="G10" s="35">
        <v>613</v>
      </c>
      <c r="H10" s="35">
        <v>216</v>
      </c>
      <c r="I10" s="35">
        <v>544</v>
      </c>
      <c r="J10" s="36">
        <f t="shared" si="0"/>
        <v>760</v>
      </c>
    </row>
    <row r="11" spans="1:11" ht="14.15" customHeight="1" outlineLevel="1">
      <c r="A11" s="15">
        <v>8</v>
      </c>
      <c r="B11" s="6">
        <v>0</v>
      </c>
      <c r="C11" s="6">
        <v>0</v>
      </c>
      <c r="D11" s="6">
        <v>0</v>
      </c>
      <c r="E11" s="6">
        <v>9</v>
      </c>
      <c r="F11" s="6">
        <v>12</v>
      </c>
      <c r="G11" s="6">
        <v>162</v>
      </c>
      <c r="H11" s="6">
        <v>101</v>
      </c>
      <c r="I11" s="6">
        <v>82</v>
      </c>
      <c r="J11" s="16">
        <f t="shared" si="0"/>
        <v>183</v>
      </c>
    </row>
    <row r="12" spans="1:11" ht="14.15" customHeight="1" outlineLevel="1">
      <c r="A12" s="34">
        <v>7</v>
      </c>
      <c r="B12" s="35">
        <v>2</v>
      </c>
      <c r="C12" s="35">
        <v>5</v>
      </c>
      <c r="D12" s="35">
        <v>12</v>
      </c>
      <c r="E12" s="35">
        <v>56</v>
      </c>
      <c r="F12" s="35">
        <v>23</v>
      </c>
      <c r="G12" s="35">
        <v>272</v>
      </c>
      <c r="H12" s="35">
        <v>209</v>
      </c>
      <c r="I12" s="35">
        <v>159</v>
      </c>
      <c r="J12" s="36">
        <f t="shared" si="0"/>
        <v>368</v>
      </c>
    </row>
    <row r="13" spans="1:11" ht="14.15" customHeight="1" outlineLevel="1">
      <c r="A13" s="15">
        <v>6</v>
      </c>
      <c r="B13" s="6">
        <v>1</v>
      </c>
      <c r="C13" s="6">
        <v>0</v>
      </c>
      <c r="D13" s="6">
        <v>1</v>
      </c>
      <c r="E13" s="6">
        <v>43</v>
      </c>
      <c r="F13" s="6">
        <v>5</v>
      </c>
      <c r="G13" s="6">
        <v>75</v>
      </c>
      <c r="H13" s="6">
        <v>116</v>
      </c>
      <c r="I13" s="6">
        <v>8</v>
      </c>
      <c r="J13" s="16">
        <f t="shared" si="0"/>
        <v>124</v>
      </c>
    </row>
    <row r="14" spans="1:11" ht="14.15" customHeight="1" outlineLevel="1">
      <c r="A14" s="34">
        <v>5</v>
      </c>
      <c r="B14" s="35">
        <v>1</v>
      </c>
      <c r="C14" s="35">
        <v>3</v>
      </c>
      <c r="D14" s="35">
        <v>3</v>
      </c>
      <c r="E14" s="35">
        <v>31</v>
      </c>
      <c r="F14" s="35">
        <v>7</v>
      </c>
      <c r="G14" s="35">
        <v>111</v>
      </c>
      <c r="H14" s="35">
        <v>119</v>
      </c>
      <c r="I14" s="35">
        <v>36</v>
      </c>
      <c r="J14" s="36">
        <f t="shared" si="0"/>
        <v>155</v>
      </c>
    </row>
    <row r="15" spans="1:11" ht="14.15" customHeight="1" outlineLevel="1">
      <c r="A15" s="15">
        <v>4</v>
      </c>
      <c r="B15" s="6">
        <v>3</v>
      </c>
      <c r="C15" s="6">
        <v>1</v>
      </c>
      <c r="D15" s="6">
        <v>2</v>
      </c>
      <c r="E15" s="6">
        <v>17</v>
      </c>
      <c r="F15" s="6">
        <v>3</v>
      </c>
      <c r="G15" s="6">
        <v>43</v>
      </c>
      <c r="H15" s="6">
        <v>57</v>
      </c>
      <c r="I15" s="6">
        <v>9</v>
      </c>
      <c r="J15" s="16">
        <f t="shared" si="0"/>
        <v>66</v>
      </c>
    </row>
    <row r="16" spans="1:11" ht="14.15" customHeight="1" outlineLevel="1">
      <c r="A16" s="34">
        <v>3</v>
      </c>
      <c r="B16" s="35">
        <v>2</v>
      </c>
      <c r="C16" s="35">
        <v>0</v>
      </c>
      <c r="D16" s="35">
        <v>0</v>
      </c>
      <c r="E16" s="35">
        <v>3</v>
      </c>
      <c r="F16" s="35">
        <v>0</v>
      </c>
      <c r="G16" s="35">
        <v>4</v>
      </c>
      <c r="H16" s="35">
        <v>7</v>
      </c>
      <c r="I16" s="35">
        <v>0</v>
      </c>
      <c r="J16" s="36">
        <f t="shared" si="0"/>
        <v>7</v>
      </c>
    </row>
    <row r="17" spans="1:10" ht="14.15" customHeight="1" outlineLevel="1">
      <c r="A17" s="15">
        <v>2</v>
      </c>
      <c r="B17" s="6">
        <v>0</v>
      </c>
      <c r="C17" s="6">
        <v>0</v>
      </c>
      <c r="D17" s="6">
        <v>0</v>
      </c>
      <c r="E17" s="6">
        <v>3</v>
      </c>
      <c r="F17" s="6">
        <v>0</v>
      </c>
      <c r="G17" s="6">
        <v>1</v>
      </c>
      <c r="H17" s="6">
        <v>2</v>
      </c>
      <c r="I17" s="6">
        <v>2</v>
      </c>
      <c r="J17" s="16">
        <f t="shared" si="0"/>
        <v>4</v>
      </c>
    </row>
    <row r="18" spans="1:10" ht="14.15" customHeight="1" outlineLevel="1">
      <c r="A18" s="34">
        <v>1</v>
      </c>
      <c r="B18" s="35">
        <v>0</v>
      </c>
      <c r="C18" s="35">
        <v>0</v>
      </c>
      <c r="D18" s="35">
        <v>0</v>
      </c>
      <c r="E18" s="35">
        <v>1</v>
      </c>
      <c r="F18" s="35">
        <v>0</v>
      </c>
      <c r="G18" s="35">
        <v>0</v>
      </c>
      <c r="H18" s="35">
        <v>0</v>
      </c>
      <c r="I18" s="35">
        <v>1</v>
      </c>
      <c r="J18" s="36">
        <f>SUM(H18:I18)</f>
        <v>1</v>
      </c>
    </row>
    <row r="19" spans="1:10" ht="17.25" customHeight="1" outlineLevel="1">
      <c r="A19" s="18" t="s">
        <v>8</v>
      </c>
      <c r="B19" s="6">
        <f t="shared" ref="B19:I19" si="1">SUM(B3:B18)</f>
        <v>29</v>
      </c>
      <c r="C19" s="6">
        <f t="shared" si="1"/>
        <v>25</v>
      </c>
      <c r="D19" s="7">
        <f>SUM(D3:D18)</f>
        <v>52</v>
      </c>
      <c r="E19" s="6">
        <f t="shared" si="1"/>
        <v>349</v>
      </c>
      <c r="F19" s="6">
        <f t="shared" si="1"/>
        <v>113</v>
      </c>
      <c r="G19" s="8">
        <f t="shared" si="1"/>
        <v>2066</v>
      </c>
      <c r="H19" s="8">
        <f t="shared" si="1"/>
        <v>1078</v>
      </c>
      <c r="I19" s="8">
        <f t="shared" si="1"/>
        <v>1527</v>
      </c>
      <c r="J19" s="19">
        <f>SUM(J3:J18)</f>
        <v>2605</v>
      </c>
    </row>
    <row r="20" spans="1:10" ht="46.5" customHeight="1" outlineLevel="2">
      <c r="A20" s="20" t="s">
        <v>13</v>
      </c>
      <c r="B20" s="22" t="s">
        <v>11</v>
      </c>
      <c r="C20" s="23" t="s">
        <v>46</v>
      </c>
      <c r="D20" s="24">
        <v>6276000</v>
      </c>
      <c r="E20" s="24">
        <v>15982000</v>
      </c>
      <c r="F20" s="24">
        <v>14317000</v>
      </c>
      <c r="G20" s="24">
        <v>115415000</v>
      </c>
      <c r="H20" s="24">
        <v>63714000</v>
      </c>
      <c r="I20" s="24">
        <v>73959000</v>
      </c>
      <c r="J20" s="25">
        <v>137673000</v>
      </c>
    </row>
    <row r="21" spans="1:10" ht="18.75" customHeight="1" outlineLevel="1">
      <c r="A21" s="18" t="s">
        <v>9</v>
      </c>
      <c r="B21" s="9">
        <f>(B19/J19)*100</f>
        <v>1.1132437619961613</v>
      </c>
      <c r="C21" s="9">
        <f>(C19/J19)*100</f>
        <v>0.95969289827255266</v>
      </c>
      <c r="D21" s="9">
        <f>(D19/J19)*100</f>
        <v>1.9961612284069099</v>
      </c>
      <c r="E21" s="9">
        <f>(E19/J19)*100</f>
        <v>13.397312859884835</v>
      </c>
      <c r="F21" s="9">
        <f>(F19/J19)*100</f>
        <v>4.3378119001919391</v>
      </c>
      <c r="G21" s="9">
        <f>(G19/J19)*100</f>
        <v>79.309021113243759</v>
      </c>
      <c r="H21" s="9">
        <f>(H19/J19)*100</f>
        <v>41.381957773512475</v>
      </c>
      <c r="I21" s="9">
        <f>(I19/J19)*100</f>
        <v>58.618042226487518</v>
      </c>
      <c r="J21" s="21">
        <f>(J19/J19)*100</f>
        <v>100</v>
      </c>
    </row>
    <row r="22" spans="1:10" ht="43.5" customHeight="1" outlineLevel="1">
      <c r="A22" s="61" t="s">
        <v>10</v>
      </c>
      <c r="B22" s="62" t="s">
        <v>11</v>
      </c>
      <c r="C22" s="63" t="s">
        <v>46</v>
      </c>
      <c r="D22" s="64">
        <f>(D20/J20)*100</f>
        <v>4.5586280534309562</v>
      </c>
      <c r="E22" s="64">
        <f>(E20/J20)*100</f>
        <v>11.608666913628671</v>
      </c>
      <c r="F22" s="64">
        <f>(F20/J20)*100</f>
        <v>10.399279452034895</v>
      </c>
      <c r="G22" s="64">
        <f>(G20/J20)*100</f>
        <v>83.832705032940368</v>
      </c>
      <c r="H22" s="64">
        <f>(H20/J20)*100</f>
        <v>46.279226863655182</v>
      </c>
      <c r="I22" s="64">
        <f>(I20/J20)*100</f>
        <v>53.72077313634481</v>
      </c>
      <c r="J22" s="71" t="s">
        <v>55</v>
      </c>
    </row>
    <row r="23" spans="1:10" ht="7.5" customHeight="1" outlineLevel="1">
      <c r="A23" s="37"/>
      <c r="B23" s="2"/>
      <c r="C23" s="3"/>
      <c r="D23" s="4"/>
      <c r="E23" s="4"/>
      <c r="F23" s="4"/>
      <c r="G23" s="4"/>
      <c r="H23" s="4"/>
      <c r="I23" s="4"/>
      <c r="J23" s="58"/>
    </row>
    <row r="24" spans="1:10" ht="13" outlineLevel="1">
      <c r="A24" s="66" t="s">
        <v>51</v>
      </c>
      <c r="B24" s="50"/>
      <c r="C24" s="50"/>
      <c r="D24" s="50"/>
      <c r="E24" s="50"/>
      <c r="F24" s="50"/>
      <c r="G24" s="50"/>
      <c r="H24" s="50"/>
      <c r="I24" s="65"/>
      <c r="J24" s="59"/>
    </row>
    <row r="25" spans="1:10" ht="13">
      <c r="A25" s="66" t="s">
        <v>47</v>
      </c>
      <c r="B25" s="50"/>
      <c r="C25" s="50"/>
      <c r="D25" s="50"/>
      <c r="E25" s="50"/>
      <c r="F25" s="50"/>
      <c r="G25" s="50"/>
      <c r="H25" s="50"/>
      <c r="I25" s="50"/>
      <c r="J25" s="59"/>
    </row>
    <row r="26" spans="1:10" ht="13">
      <c r="A26" s="66" t="s">
        <v>52</v>
      </c>
      <c r="B26" s="50"/>
      <c r="C26" s="50"/>
      <c r="D26" s="50"/>
      <c r="E26" s="50"/>
      <c r="F26" s="50"/>
      <c r="G26" s="50"/>
      <c r="H26" s="50"/>
      <c r="I26" s="50"/>
      <c r="J26" s="59"/>
    </row>
    <row r="27" spans="1:10" ht="13">
      <c r="A27" s="67" t="s">
        <v>48</v>
      </c>
      <c r="B27" s="50"/>
      <c r="C27" s="50"/>
      <c r="D27" s="50"/>
      <c r="E27" s="50"/>
      <c r="F27" s="50"/>
      <c r="G27" s="50"/>
      <c r="H27" s="50"/>
      <c r="I27" s="50"/>
    </row>
    <row r="28" spans="1:10" ht="13">
      <c r="A28" s="67" t="s">
        <v>49</v>
      </c>
      <c r="B28" s="59"/>
      <c r="C28" s="59"/>
      <c r="D28" s="59"/>
      <c r="E28" s="59"/>
      <c r="F28" s="59"/>
      <c r="G28" s="59"/>
      <c r="H28" s="59"/>
      <c r="I28" s="59"/>
    </row>
    <row r="29" spans="1:10" ht="13">
      <c r="A29" s="67" t="s">
        <v>50</v>
      </c>
    </row>
  </sheetData>
  <pageMargins left="0.65" right="0.5" top="0.37" bottom="0.5" header="0.34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2.5"/>
  <cols>
    <col min="9" max="9" width="13.81640625" customWidth="1"/>
    <col min="10" max="10" width="12.54296875" customWidth="1"/>
  </cols>
  <sheetData>
    <row r="1" spans="1:10" ht="15.5">
      <c r="A1" s="10" t="s">
        <v>57</v>
      </c>
      <c r="B1" s="11"/>
      <c r="C1" s="11"/>
      <c r="D1" s="11"/>
      <c r="E1" s="11"/>
      <c r="F1" s="11"/>
      <c r="G1" s="11"/>
      <c r="H1" s="11"/>
      <c r="I1" s="41"/>
      <c r="J1" s="38"/>
    </row>
    <row r="2" spans="1:10" ht="15.5">
      <c r="A2" s="52"/>
      <c r="B2" s="49"/>
      <c r="C2" s="49"/>
      <c r="D2" s="49"/>
      <c r="E2" s="49"/>
      <c r="F2" s="49"/>
      <c r="G2" s="49"/>
      <c r="H2" s="49"/>
      <c r="I2" s="50"/>
      <c r="J2" s="51"/>
    </row>
    <row r="3" spans="1:10" ht="15.5">
      <c r="A3" s="28"/>
      <c r="B3" s="74" t="s">
        <v>12</v>
      </c>
      <c r="C3" s="74"/>
      <c r="D3" s="74"/>
      <c r="E3" s="74"/>
      <c r="F3" s="74"/>
      <c r="G3" s="74"/>
      <c r="H3" s="37"/>
      <c r="I3" s="37"/>
      <c r="J3" s="29"/>
    </row>
    <row r="4" spans="1:10" ht="52">
      <c r="A4" s="14" t="s">
        <v>0</v>
      </c>
      <c r="B4" s="44">
        <v>0</v>
      </c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53" t="s">
        <v>20</v>
      </c>
      <c r="I4" s="54" t="s">
        <v>21</v>
      </c>
      <c r="J4" s="45" t="s">
        <v>22</v>
      </c>
    </row>
    <row r="5" spans="1:10" ht="13">
      <c r="A5" s="15" t="s">
        <v>7</v>
      </c>
      <c r="B5" s="6">
        <v>2</v>
      </c>
      <c r="C5" s="6">
        <v>0</v>
      </c>
      <c r="D5" s="6">
        <v>1</v>
      </c>
      <c r="E5" s="6">
        <v>0</v>
      </c>
      <c r="F5" s="6">
        <v>3</v>
      </c>
      <c r="G5" s="6">
        <v>0</v>
      </c>
      <c r="H5" s="6">
        <f t="shared" ref="H5:H15" si="0">SUM(B5:G5)</f>
        <v>6</v>
      </c>
      <c r="I5" s="6">
        <v>10</v>
      </c>
      <c r="J5" s="21">
        <f>(H5/I5)*100</f>
        <v>60</v>
      </c>
    </row>
    <row r="6" spans="1:10" ht="13">
      <c r="A6" s="34">
        <v>15</v>
      </c>
      <c r="B6" s="35">
        <v>2</v>
      </c>
      <c r="C6" s="35">
        <v>3</v>
      </c>
      <c r="D6" s="35">
        <v>3</v>
      </c>
      <c r="E6" s="35">
        <v>3</v>
      </c>
      <c r="F6" s="35">
        <v>2</v>
      </c>
      <c r="G6" s="35">
        <v>3</v>
      </c>
      <c r="H6" s="35">
        <f t="shared" si="0"/>
        <v>16</v>
      </c>
      <c r="I6" s="1">
        <v>28</v>
      </c>
      <c r="J6" s="42">
        <f>(H6/I6)*100</f>
        <v>57.142857142857139</v>
      </c>
    </row>
    <row r="7" spans="1:10" ht="13">
      <c r="A7" s="15">
        <v>14</v>
      </c>
      <c r="B7" s="6">
        <v>16</v>
      </c>
      <c r="C7" s="6">
        <v>3</v>
      </c>
      <c r="D7" s="6">
        <v>1</v>
      </c>
      <c r="E7" s="6">
        <v>7</v>
      </c>
      <c r="F7" s="6">
        <v>5</v>
      </c>
      <c r="G7" s="6">
        <v>2</v>
      </c>
      <c r="H7" s="6">
        <f t="shared" si="0"/>
        <v>34</v>
      </c>
      <c r="I7" s="6">
        <v>81</v>
      </c>
      <c r="J7" s="21">
        <f t="shared" ref="J7:J21" si="1">(H7/I7)*100</f>
        <v>41.975308641975303</v>
      </c>
    </row>
    <row r="8" spans="1:10" ht="13">
      <c r="A8" s="34">
        <v>13</v>
      </c>
      <c r="B8" s="35">
        <v>22</v>
      </c>
      <c r="C8" s="35">
        <v>11</v>
      </c>
      <c r="D8" s="35">
        <v>6</v>
      </c>
      <c r="E8" s="35">
        <v>11</v>
      </c>
      <c r="F8" s="35">
        <v>6</v>
      </c>
      <c r="G8" s="35">
        <v>11</v>
      </c>
      <c r="H8" s="35">
        <f t="shared" si="0"/>
        <v>67</v>
      </c>
      <c r="I8" s="1">
        <v>195</v>
      </c>
      <c r="J8" s="42">
        <f t="shared" si="1"/>
        <v>34.358974358974358</v>
      </c>
    </row>
    <row r="9" spans="1:10" ht="13">
      <c r="A9" s="15">
        <v>12</v>
      </c>
      <c r="B9" s="6">
        <v>33</v>
      </c>
      <c r="C9" s="6">
        <v>7</v>
      </c>
      <c r="D9" s="6">
        <v>8</v>
      </c>
      <c r="E9" s="6">
        <v>13</v>
      </c>
      <c r="F9" s="6">
        <v>13</v>
      </c>
      <c r="G9" s="6">
        <v>8</v>
      </c>
      <c r="H9" s="6">
        <f t="shared" si="0"/>
        <v>82</v>
      </c>
      <c r="I9" s="6">
        <v>276</v>
      </c>
      <c r="J9" s="21">
        <f t="shared" si="1"/>
        <v>29.710144927536231</v>
      </c>
    </row>
    <row r="10" spans="1:10" ht="13">
      <c r="A10" s="34">
        <v>11</v>
      </c>
      <c r="B10" s="35">
        <v>42</v>
      </c>
      <c r="C10" s="35">
        <v>10</v>
      </c>
      <c r="D10" s="35">
        <v>11</v>
      </c>
      <c r="E10" s="35">
        <v>6</v>
      </c>
      <c r="F10" s="35">
        <v>6</v>
      </c>
      <c r="G10" s="35">
        <v>12</v>
      </c>
      <c r="H10" s="35">
        <f t="shared" si="0"/>
        <v>87</v>
      </c>
      <c r="I10" s="1">
        <v>326</v>
      </c>
      <c r="J10" s="42">
        <f t="shared" si="1"/>
        <v>26.687116564417181</v>
      </c>
    </row>
    <row r="11" spans="1:10" ht="13">
      <c r="A11" s="15">
        <v>10</v>
      </c>
      <c r="B11" s="6">
        <v>3</v>
      </c>
      <c r="C11" s="6">
        <v>0</v>
      </c>
      <c r="D11" s="6">
        <v>1</v>
      </c>
      <c r="E11" s="6">
        <v>1</v>
      </c>
      <c r="F11" s="6">
        <v>1</v>
      </c>
      <c r="G11" s="6">
        <v>0</v>
      </c>
      <c r="H11" s="6">
        <f t="shared" si="0"/>
        <v>6</v>
      </c>
      <c r="I11" s="6">
        <v>21</v>
      </c>
      <c r="J11" s="21">
        <f t="shared" si="1"/>
        <v>28.571428571428569</v>
      </c>
    </row>
    <row r="12" spans="1:10" ht="13">
      <c r="A12" s="34">
        <v>9</v>
      </c>
      <c r="B12" s="35">
        <v>92</v>
      </c>
      <c r="C12" s="35">
        <v>20</v>
      </c>
      <c r="D12" s="35">
        <v>15</v>
      </c>
      <c r="E12" s="35">
        <v>18</v>
      </c>
      <c r="F12" s="35">
        <v>13</v>
      </c>
      <c r="G12" s="35">
        <v>19</v>
      </c>
      <c r="H12" s="35">
        <f t="shared" si="0"/>
        <v>177</v>
      </c>
      <c r="I12" s="1">
        <v>760</v>
      </c>
      <c r="J12" s="42">
        <f t="shared" si="1"/>
        <v>23.289473684210527</v>
      </c>
    </row>
    <row r="13" spans="1:10" ht="13">
      <c r="A13" s="15">
        <v>8</v>
      </c>
      <c r="B13" s="6">
        <v>11</v>
      </c>
      <c r="C13" s="6">
        <v>8</v>
      </c>
      <c r="D13" s="6">
        <v>7</v>
      </c>
      <c r="E13" s="6">
        <v>7</v>
      </c>
      <c r="F13" s="6">
        <v>7</v>
      </c>
      <c r="G13" s="6">
        <v>6</v>
      </c>
      <c r="H13" s="6">
        <f t="shared" si="0"/>
        <v>46</v>
      </c>
      <c r="I13" s="6">
        <v>183</v>
      </c>
      <c r="J13" s="21">
        <f t="shared" si="1"/>
        <v>25.136612021857925</v>
      </c>
    </row>
    <row r="14" spans="1:10" ht="13">
      <c r="A14" s="34">
        <v>7</v>
      </c>
      <c r="B14" s="35">
        <v>20</v>
      </c>
      <c r="C14" s="35">
        <v>6</v>
      </c>
      <c r="D14" s="35">
        <v>8</v>
      </c>
      <c r="E14" s="35">
        <v>9</v>
      </c>
      <c r="F14" s="35">
        <v>9</v>
      </c>
      <c r="G14" s="35">
        <v>5</v>
      </c>
      <c r="H14" s="35">
        <f t="shared" si="0"/>
        <v>57</v>
      </c>
      <c r="I14" s="1">
        <v>368</v>
      </c>
      <c r="J14" s="42">
        <f t="shared" si="1"/>
        <v>15.489130434782608</v>
      </c>
    </row>
    <row r="15" spans="1:10" ht="13">
      <c r="A15" s="15">
        <v>6</v>
      </c>
      <c r="B15" s="6">
        <v>6</v>
      </c>
      <c r="C15" s="6">
        <v>2</v>
      </c>
      <c r="D15" s="6">
        <v>0</v>
      </c>
      <c r="E15" s="6">
        <v>2</v>
      </c>
      <c r="F15" s="6">
        <v>4</v>
      </c>
      <c r="G15" s="6">
        <v>1</v>
      </c>
      <c r="H15" s="6">
        <f t="shared" si="0"/>
        <v>15</v>
      </c>
      <c r="I15" s="6">
        <v>124</v>
      </c>
      <c r="J15" s="21">
        <f t="shared" si="1"/>
        <v>12.096774193548388</v>
      </c>
    </row>
    <row r="16" spans="1:10" ht="13">
      <c r="A16" s="34">
        <v>5</v>
      </c>
      <c r="B16" s="35">
        <v>7</v>
      </c>
      <c r="C16" s="35">
        <v>3</v>
      </c>
      <c r="D16" s="35">
        <v>3</v>
      </c>
      <c r="E16" s="35">
        <v>4</v>
      </c>
      <c r="F16" s="35">
        <v>3</v>
      </c>
      <c r="G16" s="35">
        <v>5</v>
      </c>
      <c r="H16" s="35">
        <f t="shared" ref="H16:H21" si="2">SUM(B16:G16)</f>
        <v>25</v>
      </c>
      <c r="I16" s="1">
        <v>155</v>
      </c>
      <c r="J16" s="42">
        <f t="shared" si="1"/>
        <v>16.129032258064516</v>
      </c>
    </row>
    <row r="17" spans="1:10" ht="13">
      <c r="A17" s="15">
        <v>4</v>
      </c>
      <c r="B17" s="6">
        <v>6</v>
      </c>
      <c r="C17" s="6">
        <v>1</v>
      </c>
      <c r="D17" s="6">
        <v>3</v>
      </c>
      <c r="E17" s="6">
        <v>0</v>
      </c>
      <c r="F17" s="6">
        <v>2</v>
      </c>
      <c r="G17" s="6">
        <v>3</v>
      </c>
      <c r="H17" s="6">
        <f t="shared" si="2"/>
        <v>15</v>
      </c>
      <c r="I17" s="6">
        <v>66</v>
      </c>
      <c r="J17" s="21">
        <f t="shared" si="1"/>
        <v>22.727272727272727</v>
      </c>
    </row>
    <row r="18" spans="1:10" ht="13">
      <c r="A18" s="34">
        <v>3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f t="shared" si="2"/>
        <v>0</v>
      </c>
      <c r="I18" s="1">
        <v>7</v>
      </c>
      <c r="J18" s="42">
        <f t="shared" si="1"/>
        <v>0</v>
      </c>
    </row>
    <row r="19" spans="1:10" ht="13">
      <c r="A19" s="15">
        <v>2</v>
      </c>
      <c r="B19" s="6">
        <v>1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f t="shared" si="2"/>
        <v>2</v>
      </c>
      <c r="I19" s="6">
        <v>4</v>
      </c>
      <c r="J19" s="21">
        <f t="shared" si="1"/>
        <v>50</v>
      </c>
    </row>
    <row r="20" spans="1:10" ht="13">
      <c r="A20" s="34">
        <v>1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f t="shared" si="2"/>
        <v>0</v>
      </c>
      <c r="I20" s="1">
        <v>1</v>
      </c>
      <c r="J20" s="42">
        <f t="shared" si="1"/>
        <v>0</v>
      </c>
    </row>
    <row r="21" spans="1:10" ht="39">
      <c r="A21" s="26" t="s">
        <v>20</v>
      </c>
      <c r="B21" s="27">
        <f t="shared" ref="B21:G21" si="3">SUM(B5:B20)</f>
        <v>263</v>
      </c>
      <c r="C21" s="27">
        <f t="shared" si="3"/>
        <v>75</v>
      </c>
      <c r="D21" s="27">
        <f t="shared" si="3"/>
        <v>67</v>
      </c>
      <c r="E21" s="27">
        <f t="shared" si="3"/>
        <v>81</v>
      </c>
      <c r="F21" s="27">
        <f t="shared" si="3"/>
        <v>74</v>
      </c>
      <c r="G21" s="27">
        <f t="shared" si="3"/>
        <v>75</v>
      </c>
      <c r="H21" s="27">
        <f t="shared" si="2"/>
        <v>635</v>
      </c>
      <c r="I21" s="72">
        <f>SUM(I5:I20)</f>
        <v>2605</v>
      </c>
      <c r="J21" s="43">
        <f t="shared" si="1"/>
        <v>24.37619961612284</v>
      </c>
    </row>
    <row r="23" spans="1:10" ht="13">
      <c r="B23" s="60" t="s">
        <v>23</v>
      </c>
      <c r="C23" s="59"/>
    </row>
    <row r="24" spans="1:10" ht="13">
      <c r="B24" s="60" t="s">
        <v>12</v>
      </c>
    </row>
    <row r="25" spans="1:10" ht="13">
      <c r="B25" s="60" t="s">
        <v>24</v>
      </c>
    </row>
    <row r="26" spans="1:10" ht="13">
      <c r="B26" s="60" t="s">
        <v>25</v>
      </c>
    </row>
    <row r="27" spans="1:10" ht="13">
      <c r="B27" s="60" t="s">
        <v>27</v>
      </c>
    </row>
    <row r="28" spans="1:10" ht="13">
      <c r="B28" s="60" t="s">
        <v>26</v>
      </c>
    </row>
    <row r="29" spans="1:10" ht="13">
      <c r="B29" s="60" t="s">
        <v>28</v>
      </c>
    </row>
    <row r="30" spans="1:10" ht="13">
      <c r="B30" s="60" t="s">
        <v>39</v>
      </c>
    </row>
    <row r="32" spans="1:10" ht="13">
      <c r="B32" s="67" t="s">
        <v>41</v>
      </c>
    </row>
    <row r="33" spans="2:2" ht="13">
      <c r="B33" s="67" t="s">
        <v>53</v>
      </c>
    </row>
  </sheetData>
  <mergeCells count="1">
    <mergeCell ref="B3:G3"/>
  </mergeCells>
  <pageMargins left="1.77" right="0.75" top="0.75" bottom="0.5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/>
  </sheetViews>
  <sheetFormatPr defaultRowHeight="12.5"/>
  <cols>
    <col min="8" max="8" width="13.1796875" customWidth="1"/>
    <col min="9" max="9" width="11.7265625" customWidth="1"/>
    <col min="10" max="10" width="12.81640625" customWidth="1"/>
  </cols>
  <sheetData>
    <row r="1" spans="1:10" ht="31">
      <c r="A1" s="31" t="s">
        <v>58</v>
      </c>
      <c r="B1" s="11"/>
      <c r="C1" s="11"/>
      <c r="D1" s="11"/>
      <c r="E1" s="11"/>
      <c r="F1" s="11"/>
      <c r="G1" s="11"/>
      <c r="H1" s="11"/>
      <c r="I1" s="41"/>
      <c r="J1" s="38"/>
    </row>
    <row r="2" spans="1:10" ht="15.5">
      <c r="A2" s="48"/>
      <c r="B2" s="49"/>
      <c r="C2" s="49"/>
      <c r="D2" s="49"/>
      <c r="E2" s="49"/>
      <c r="F2" s="49"/>
      <c r="G2" s="49"/>
      <c r="H2" s="49"/>
      <c r="I2" s="50"/>
      <c r="J2" s="51"/>
    </row>
    <row r="3" spans="1:10" ht="15.5">
      <c r="A3" s="28"/>
      <c r="B3" s="74" t="s">
        <v>12</v>
      </c>
      <c r="C3" s="74"/>
      <c r="D3" s="74"/>
      <c r="E3" s="74"/>
      <c r="F3" s="74"/>
      <c r="G3" s="74"/>
      <c r="H3" s="37"/>
      <c r="I3" s="37"/>
      <c r="J3" s="29"/>
    </row>
    <row r="4" spans="1:10" ht="54" customHeight="1">
      <c r="A4" s="30" t="s">
        <v>14</v>
      </c>
      <c r="B4" s="44">
        <v>0</v>
      </c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7" t="s">
        <v>20</v>
      </c>
      <c r="I4" s="46" t="s">
        <v>21</v>
      </c>
      <c r="J4" s="45" t="s">
        <v>22</v>
      </c>
    </row>
    <row r="5" spans="1:10" ht="13">
      <c r="A5" s="32" t="s">
        <v>15</v>
      </c>
      <c r="B5" s="6">
        <v>2</v>
      </c>
      <c r="C5" s="6">
        <v>0</v>
      </c>
      <c r="D5" s="6">
        <v>1</v>
      </c>
      <c r="E5" s="6">
        <v>0</v>
      </c>
      <c r="F5" s="6">
        <v>0</v>
      </c>
      <c r="G5" s="6">
        <v>1</v>
      </c>
      <c r="H5" s="6">
        <f t="shared" ref="H5:H16" si="0">SUM(B5:G5)</f>
        <v>4</v>
      </c>
      <c r="I5" s="6">
        <v>25</v>
      </c>
      <c r="J5" s="39">
        <f>(H5/I5)*100</f>
        <v>16</v>
      </c>
    </row>
    <row r="6" spans="1:10" ht="13">
      <c r="A6" s="33" t="s">
        <v>16</v>
      </c>
      <c r="B6" s="1">
        <v>5</v>
      </c>
      <c r="C6" s="1">
        <v>2</v>
      </c>
      <c r="D6" s="1">
        <v>2</v>
      </c>
      <c r="E6" s="1">
        <v>1</v>
      </c>
      <c r="F6" s="1">
        <v>4</v>
      </c>
      <c r="G6" s="1">
        <v>1</v>
      </c>
      <c r="H6" s="1">
        <f t="shared" si="0"/>
        <v>15</v>
      </c>
      <c r="I6" s="1">
        <v>38</v>
      </c>
      <c r="J6" s="40">
        <f t="shared" ref="J6:J16" si="1">(H6/I6)*100</f>
        <v>39.473684210526315</v>
      </c>
    </row>
    <row r="7" spans="1:10" ht="13">
      <c r="A7" s="32" t="s">
        <v>17</v>
      </c>
      <c r="B7" s="6">
        <v>20</v>
      </c>
      <c r="C7" s="6">
        <v>8</v>
      </c>
      <c r="D7" s="6">
        <v>5</v>
      </c>
      <c r="E7" s="6">
        <v>5</v>
      </c>
      <c r="F7" s="6">
        <v>9</v>
      </c>
      <c r="G7" s="6">
        <v>7</v>
      </c>
      <c r="H7" s="6">
        <f t="shared" si="0"/>
        <v>54</v>
      </c>
      <c r="I7" s="6">
        <v>329</v>
      </c>
      <c r="J7" s="39">
        <f t="shared" si="1"/>
        <v>16.413373860182372</v>
      </c>
    </row>
    <row r="8" spans="1:10" ht="13">
      <c r="A8" s="33" t="s">
        <v>18</v>
      </c>
      <c r="B8" s="1">
        <v>4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f t="shared" si="0"/>
        <v>5</v>
      </c>
      <c r="I8" s="1">
        <v>54</v>
      </c>
      <c r="J8" s="40">
        <f t="shared" si="1"/>
        <v>9.2592592592592595</v>
      </c>
    </row>
    <row r="9" spans="1:10" ht="13">
      <c r="A9" s="32" t="s">
        <v>19</v>
      </c>
      <c r="B9" s="6">
        <v>3</v>
      </c>
      <c r="C9" s="6">
        <v>0</v>
      </c>
      <c r="D9" s="6">
        <v>1</v>
      </c>
      <c r="E9" s="6">
        <v>2</v>
      </c>
      <c r="F9" s="6">
        <v>5</v>
      </c>
      <c r="G9" s="6">
        <v>3</v>
      </c>
      <c r="H9" s="6">
        <f t="shared" si="0"/>
        <v>14</v>
      </c>
      <c r="I9" s="6">
        <v>47</v>
      </c>
      <c r="J9" s="39">
        <f t="shared" si="1"/>
        <v>29.787234042553191</v>
      </c>
    </row>
    <row r="10" spans="1:10" ht="13">
      <c r="A10" s="17">
        <v>1146</v>
      </c>
      <c r="B10" s="1">
        <v>19</v>
      </c>
      <c r="C10" s="1">
        <v>10</v>
      </c>
      <c r="D10" s="1">
        <v>7</v>
      </c>
      <c r="E10" s="1">
        <v>12</v>
      </c>
      <c r="F10" s="1">
        <v>6</v>
      </c>
      <c r="G10" s="1">
        <v>10</v>
      </c>
      <c r="H10" s="1">
        <f t="shared" si="0"/>
        <v>64</v>
      </c>
      <c r="I10" s="1">
        <v>235</v>
      </c>
      <c r="J10" s="40">
        <f t="shared" si="1"/>
        <v>27.23404255319149</v>
      </c>
    </row>
    <row r="11" spans="1:10" ht="13">
      <c r="A11" s="15">
        <v>1147</v>
      </c>
      <c r="B11" s="6">
        <v>20</v>
      </c>
      <c r="C11" s="6">
        <v>3</v>
      </c>
      <c r="D11" s="6">
        <v>6</v>
      </c>
      <c r="E11" s="6">
        <v>9</v>
      </c>
      <c r="F11" s="6">
        <v>5</v>
      </c>
      <c r="G11" s="6">
        <v>6</v>
      </c>
      <c r="H11" s="6">
        <f t="shared" si="0"/>
        <v>49</v>
      </c>
      <c r="I11" s="6">
        <v>174</v>
      </c>
      <c r="J11" s="39">
        <f t="shared" si="1"/>
        <v>28.160919540229884</v>
      </c>
    </row>
    <row r="12" spans="1:10" ht="13">
      <c r="A12" s="17">
        <v>1311</v>
      </c>
      <c r="B12" s="1">
        <v>0</v>
      </c>
      <c r="C12" s="1">
        <v>0</v>
      </c>
      <c r="D12" s="1">
        <v>1</v>
      </c>
      <c r="E12" s="1">
        <v>1</v>
      </c>
      <c r="F12" s="1">
        <v>1</v>
      </c>
      <c r="G12" s="1">
        <v>1</v>
      </c>
      <c r="H12" s="1">
        <f t="shared" si="0"/>
        <v>4</v>
      </c>
      <c r="I12" s="1">
        <v>20</v>
      </c>
      <c r="J12" s="40">
        <f t="shared" si="1"/>
        <v>20</v>
      </c>
    </row>
    <row r="13" spans="1:10" ht="13">
      <c r="A13" s="15">
        <v>1320</v>
      </c>
      <c r="B13" s="6">
        <v>3</v>
      </c>
      <c r="C13" s="6">
        <v>2</v>
      </c>
      <c r="D13" s="6">
        <v>2</v>
      </c>
      <c r="E13" s="6">
        <v>2</v>
      </c>
      <c r="F13" s="6">
        <v>0</v>
      </c>
      <c r="G13" s="6">
        <v>0</v>
      </c>
      <c r="H13" s="6">
        <f t="shared" si="0"/>
        <v>9</v>
      </c>
      <c r="I13" s="6">
        <v>31</v>
      </c>
      <c r="J13" s="39">
        <f t="shared" si="1"/>
        <v>29.032258064516132</v>
      </c>
    </row>
    <row r="14" spans="1:10" ht="13">
      <c r="A14" s="17">
        <v>1980</v>
      </c>
      <c r="B14" s="1">
        <v>172</v>
      </c>
      <c r="C14" s="1">
        <v>42</v>
      </c>
      <c r="D14" s="1">
        <v>37</v>
      </c>
      <c r="E14" s="1">
        <v>43</v>
      </c>
      <c r="F14" s="1">
        <v>37</v>
      </c>
      <c r="G14" s="1">
        <v>38</v>
      </c>
      <c r="H14" s="1">
        <f t="shared" si="0"/>
        <v>369</v>
      </c>
      <c r="I14" s="1">
        <v>1458</v>
      </c>
      <c r="J14" s="40">
        <f t="shared" si="1"/>
        <v>25.308641975308642</v>
      </c>
    </row>
    <row r="15" spans="1:10" ht="13">
      <c r="A15" s="15" t="s">
        <v>42</v>
      </c>
      <c r="B15" s="6">
        <v>15</v>
      </c>
      <c r="C15" s="6">
        <v>8</v>
      </c>
      <c r="D15" s="6">
        <v>5</v>
      </c>
      <c r="E15" s="6">
        <v>6</v>
      </c>
      <c r="F15" s="6">
        <v>7</v>
      </c>
      <c r="G15" s="6">
        <v>7</v>
      </c>
      <c r="H15" s="6">
        <f t="shared" si="0"/>
        <v>48</v>
      </c>
      <c r="I15" s="6">
        <v>194</v>
      </c>
      <c r="J15" s="39">
        <f t="shared" si="1"/>
        <v>24.742268041237114</v>
      </c>
    </row>
    <row r="16" spans="1:10" ht="13">
      <c r="A16" s="68" t="s">
        <v>6</v>
      </c>
      <c r="B16" s="69">
        <f t="shared" ref="B16:G16" si="2">SUM(B5:B15)</f>
        <v>263</v>
      </c>
      <c r="C16" s="69">
        <f t="shared" si="2"/>
        <v>75</v>
      </c>
      <c r="D16" s="69">
        <f t="shared" si="2"/>
        <v>67</v>
      </c>
      <c r="E16" s="69">
        <f t="shared" si="2"/>
        <v>81</v>
      </c>
      <c r="F16" s="69">
        <f t="shared" si="2"/>
        <v>74</v>
      </c>
      <c r="G16" s="69">
        <f t="shared" si="2"/>
        <v>75</v>
      </c>
      <c r="H16" s="69">
        <f t="shared" si="0"/>
        <v>635</v>
      </c>
      <c r="I16" s="73">
        <f>SUM(I5:I15)</f>
        <v>2605</v>
      </c>
      <c r="J16" s="70">
        <f t="shared" si="1"/>
        <v>24.37619961612284</v>
      </c>
    </row>
    <row r="18" spans="2:2" ht="13">
      <c r="B18" s="60" t="s">
        <v>23</v>
      </c>
    </row>
    <row r="19" spans="2:2" ht="13">
      <c r="B19" s="60" t="s">
        <v>12</v>
      </c>
    </row>
    <row r="20" spans="2:2" ht="13">
      <c r="B20" s="60" t="s">
        <v>24</v>
      </c>
    </row>
    <row r="21" spans="2:2" ht="13">
      <c r="B21" s="60" t="s">
        <v>25</v>
      </c>
    </row>
    <row r="22" spans="2:2" ht="13">
      <c r="B22" s="60" t="s">
        <v>27</v>
      </c>
    </row>
    <row r="23" spans="2:2" ht="13">
      <c r="B23" s="60" t="s">
        <v>26</v>
      </c>
    </row>
    <row r="24" spans="2:2" ht="13">
      <c r="B24" s="60" t="s">
        <v>28</v>
      </c>
    </row>
    <row r="25" spans="2:2" ht="13">
      <c r="B25" s="60" t="s">
        <v>39</v>
      </c>
    </row>
    <row r="27" spans="2:2" ht="13">
      <c r="B27" s="60" t="s">
        <v>29</v>
      </c>
    </row>
    <row r="28" spans="2:2" ht="13">
      <c r="B28" s="60" t="s">
        <v>34</v>
      </c>
    </row>
    <row r="29" spans="2:2" ht="13">
      <c r="B29" s="60" t="s">
        <v>33</v>
      </c>
    </row>
    <row r="30" spans="2:2" ht="13">
      <c r="B30" s="60" t="s">
        <v>32</v>
      </c>
    </row>
    <row r="31" spans="2:2" ht="13">
      <c r="B31" s="60" t="s">
        <v>31</v>
      </c>
    </row>
    <row r="32" spans="2:2" ht="13">
      <c r="B32" s="60" t="s">
        <v>30</v>
      </c>
    </row>
    <row r="33" spans="2:2" ht="13">
      <c r="B33" s="60" t="s">
        <v>40</v>
      </c>
    </row>
    <row r="34" spans="2:2" ht="13">
      <c r="B34" s="60" t="s">
        <v>35</v>
      </c>
    </row>
    <row r="35" spans="2:2" ht="13">
      <c r="B35" s="60" t="s">
        <v>36</v>
      </c>
    </row>
    <row r="36" spans="2:2" ht="13">
      <c r="B36" s="60" t="s">
        <v>37</v>
      </c>
    </row>
    <row r="37" spans="2:2" ht="13">
      <c r="B37" s="60" t="s">
        <v>38</v>
      </c>
    </row>
    <row r="38" spans="2:2" ht="13">
      <c r="B38" s="67" t="s">
        <v>43</v>
      </c>
    </row>
  </sheetData>
  <mergeCells count="1">
    <mergeCell ref="B3:G3"/>
  </mergeCells>
  <pageMargins left="1" right="0.75" top="0.66" bottom="0.25" header="0.5" footer="0.41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Customer</dc:creator>
  <cp:lastModifiedBy>Carina Negreanu</cp:lastModifiedBy>
  <cp:lastPrinted>1999-04-22T17:48:43Z</cp:lastPrinted>
  <dcterms:created xsi:type="dcterms:W3CDTF">1999-02-11T18:01:16Z</dcterms:created>
  <dcterms:modified xsi:type="dcterms:W3CDTF">2020-01-27T12:45:34Z</dcterms:modified>
</cp:coreProperties>
</file>