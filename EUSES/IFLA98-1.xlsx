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E34EAD-A396-4AF6-8710-77BDDB8B2C30}" xr6:coauthVersionLast="45" xr6:coauthVersionMax="45" xr10:uidLastSave="{00000000-0000-0000-0000-000000000000}"/>
  <bookViews>
    <workbookView xWindow="380" yWindow="380" windowWidth="28800" windowHeight="15460" tabRatio="897" activeTab="3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0">sheet1!$A$1:$G$22</definedName>
    <definedName name="_xlnm.Print_Area" localSheetId="1">sheet2!$A$1:$F$19</definedName>
    <definedName name="_xlnm.Print_Area" localSheetId="2">sheet3!$A$1:$C$24</definedName>
    <definedName name="_xlnm.Print_Area" localSheetId="3">SHEET4!$A$1:$E$34,SHEET4!$A$40:$E$73</definedName>
  </definedNames>
  <calcPr calcId="0"/>
</workbook>
</file>

<file path=xl/calcChain.xml><?xml version="1.0" encoding="utf-8"?>
<calcChain xmlns="http://schemas.openxmlformats.org/spreadsheetml/2006/main">
  <c r="C45" i="4" l="1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D54" i="4"/>
  <c r="D56" i="4"/>
  <c r="D58" i="4"/>
  <c r="D59" i="4"/>
  <c r="D66" i="4"/>
  <c r="D68" i="4"/>
  <c r="D69" i="4"/>
  <c r="D71" i="4"/>
</calcChain>
</file>

<file path=xl/sharedStrings.xml><?xml version="1.0" encoding="utf-8"?>
<sst xmlns="http://schemas.openxmlformats.org/spreadsheetml/2006/main" count="163" uniqueCount="96">
  <si>
    <t>Extraordinary General Meeting and Workshop: 17  - 18 april 1998 AMSTERDAM.</t>
  </si>
  <si>
    <t>PERFORMANCE RATIOS: AS AT 31 DECEMBER 1997.</t>
  </si>
  <si>
    <t>Member's name:</t>
  </si>
  <si>
    <t xml:space="preserve">Country: </t>
  </si>
  <si>
    <t>A. MEMBER'S NEW BUSINESS TREND</t>
  </si>
  <si>
    <t>(i)  Since 30 june  1997</t>
  </si>
  <si>
    <t>UP*</t>
  </si>
  <si>
    <t>STEADY*</t>
  </si>
  <si>
    <t>DOWN*</t>
  </si>
  <si>
    <t>(ii) Forecast for six months ending 30 june 1998</t>
  </si>
  <si>
    <t>IMPROVING*</t>
  </si>
  <si>
    <t>NO CHANGE*</t>
  </si>
  <si>
    <t>B.  BAD DEBT  EXPERIENCE</t>
  </si>
  <si>
    <t>(i)  Since 30 june 1997</t>
  </si>
  <si>
    <t>WORSE*</t>
  </si>
  <si>
    <t>IMPROVED*</t>
  </si>
  <si>
    <r>
      <t>*</t>
    </r>
    <r>
      <rPr>
        <sz val="12"/>
        <rFont val="CG Times"/>
        <family val="1"/>
      </rPr>
      <t xml:space="preserve"> Ringing appropriate one</t>
    </r>
  </si>
  <si>
    <t>31 december 1997</t>
  </si>
  <si>
    <t>Comparative figures                    at 30 june 1997</t>
  </si>
  <si>
    <r>
      <t xml:space="preserve">C.  GROSS DOMESTIC PRODUCT  </t>
    </r>
    <r>
      <rPr>
        <b/>
        <sz val="14"/>
        <rFont val="Symbol"/>
        <family val="1"/>
        <charset val="2"/>
      </rPr>
      <t xml:space="preserve"> </t>
    </r>
  </si>
  <si>
    <t>%</t>
  </si>
  <si>
    <t>D.  INFLATION</t>
  </si>
  <si>
    <t>E. VALUE ADDED TAX</t>
  </si>
  <si>
    <t>F. CORPORATION TAX</t>
  </si>
  <si>
    <t>G. 12 MONTHS MONEY COST</t>
  </si>
  <si>
    <t>H. INCREASE IN GROSS EARNINGS/WAGES</t>
  </si>
  <si>
    <t>I. UNEMPLOYMENT</t>
  </si>
  <si>
    <t>(1) Annual trend at the end of period</t>
  </si>
  <si>
    <t>NEW BUSINESS STATISTICS: RESULTS FOR 6 MONTHS TO 31 DECEMBER 1997</t>
  </si>
  <si>
    <t>Agrileasing Spa</t>
  </si>
  <si>
    <t>Country:</t>
  </si>
  <si>
    <t>Italy</t>
  </si>
  <si>
    <t>TOTAL NEW BUSINESS ACHIEVED</t>
  </si>
  <si>
    <r>
      <t>D</t>
    </r>
    <r>
      <rPr>
        <b/>
        <sz val="12"/>
        <rFont val="CG Times"/>
        <family val="1"/>
      </rPr>
      <t>% (+/-)</t>
    </r>
  </si>
  <si>
    <t>6 months ended 31 dec. 1997</t>
  </si>
  <si>
    <t>6 months ended 30 jun.1997</t>
  </si>
  <si>
    <t>increase/decrease</t>
  </si>
  <si>
    <t>million Lire</t>
  </si>
  <si>
    <t>million $ (*)</t>
  </si>
  <si>
    <t>millioni Lire</t>
  </si>
  <si>
    <t>NATIONAL TOTAL</t>
  </si>
  <si>
    <t>COMPANY TOTAL</t>
  </si>
  <si>
    <t>ANALYSIS OF COMPANY TOTAL:</t>
  </si>
  <si>
    <t>(A) CARS</t>
  </si>
  <si>
    <t>(B) TRUCKS</t>
  </si>
  <si>
    <t>(C) EQUIPMENT</t>
  </si>
  <si>
    <t>(D) REAL ESTATE</t>
  </si>
  <si>
    <t>(E) SHIPS/AIRCRAFT</t>
  </si>
  <si>
    <t>(F) OTHER</t>
  </si>
  <si>
    <t>(*) One Dollar at 31 december 1997=Lire</t>
  </si>
  <si>
    <t xml:space="preserve">OUTSTANDING PORTFOLIO: STATISTICS RESULTS  </t>
  </si>
  <si>
    <t>to 31 december 1997</t>
  </si>
  <si>
    <t>national money (million)</t>
  </si>
  <si>
    <t xml:space="preserve">TOTAL PORTFOLIO </t>
  </si>
  <si>
    <t>(A) CARS &amp; TRUCKS</t>
  </si>
  <si>
    <t>(B) OTHERS</t>
  </si>
  <si>
    <t>OTHERS FACTS</t>
  </si>
  <si>
    <t>N°  CONTRACTS OUTSTANDING</t>
  </si>
  <si>
    <t>N° of CUSTOMER OUTSTANDING</t>
  </si>
  <si>
    <t>Number of EMPLOYEES (average)</t>
  </si>
  <si>
    <t>Number of BRANCHES</t>
  </si>
  <si>
    <t>MEMBER'S NAME:  ...........................  -  COUNTRY:  ................</t>
  </si>
  <si>
    <t>BALANCE SHEET RESULTS.</t>
  </si>
  <si>
    <t>PROFIT and LOSS figures to 30 JUNE 1997</t>
  </si>
  <si>
    <t xml:space="preserve">Million Lire </t>
  </si>
  <si>
    <t>% on Outstanding (1)</t>
  </si>
  <si>
    <t>Financial Margin (2)</t>
  </si>
  <si>
    <t>Operating Expenses</t>
  </si>
  <si>
    <t>employees</t>
  </si>
  <si>
    <t>overheads</t>
  </si>
  <si>
    <t>Risk Costs  (losses + provisions)</t>
  </si>
  <si>
    <t>Other items</t>
  </si>
  <si>
    <t>Profit pretax (gross income)</t>
  </si>
  <si>
    <t>OTHER RATIOS to 30 june 1997</t>
  </si>
  <si>
    <t>risk:</t>
  </si>
  <si>
    <t>BAD DEBT / OUTSTANDING (3)</t>
  </si>
  <si>
    <t>productivity:</t>
  </si>
  <si>
    <t>OUTSTANDING  / EMPLOYEES  (4) (million lire)</t>
  </si>
  <si>
    <t>profitability:</t>
  </si>
  <si>
    <t>R.O.E. PRE TAX</t>
  </si>
  <si>
    <t>R.O.E.  AFTER TAX</t>
  </si>
  <si>
    <t>(1) Average outstanding receivables (of 6 months ending 30 june 97). - All percentages (also the ROE) should be recalculated on an annual basis.</t>
  </si>
  <si>
    <t>(2) Financial Margin = Total interest income - financial charges,  plus fee and other operating income</t>
  </si>
  <si>
    <r>
      <t xml:space="preserve">(3) Non-performing assets (net values + rentals unpaied less provisions) / total outstanding capital. </t>
    </r>
    <r>
      <rPr>
        <i/>
        <u/>
        <sz val="12"/>
        <rFont val="CG Times"/>
      </rPr>
      <t>At 30 june 1997.</t>
    </r>
  </si>
  <si>
    <t xml:space="preserve">(4) Average outstanding contracts /  average employees </t>
  </si>
  <si>
    <t>Percentage of NUMBER of ACCOUNTS in ARREAR for more than 2 instalments</t>
  </si>
  <si>
    <r>
      <t xml:space="preserve">to TOTAL N. OF ACCOUNTS OUTSTANDING </t>
    </r>
    <r>
      <rPr>
        <b/>
        <i/>
        <sz val="10"/>
        <rFont val="CG Times"/>
      </rPr>
      <t>(only performing contracts)</t>
    </r>
  </si>
  <si>
    <t>Percentage of ACTUAL LOSSES to :</t>
  </si>
  <si>
    <t>(a) Financial margin (total income received per annum)</t>
  </si>
  <si>
    <t>(b) Outstanding (receivables)</t>
  </si>
  <si>
    <t xml:space="preserve">COST OF MONEY (average funding cost applicable to above statistics) </t>
  </si>
  <si>
    <t>(*) One Dollar at 30 june 1997   =    Lire</t>
  </si>
  <si>
    <t>MEMBER'S NAME:  AGRILEASING SpA  -  COUNTRY:  ITALY</t>
  </si>
  <si>
    <t>USA Million Dollar (*)</t>
  </si>
  <si>
    <t>OUTSTANDING  / EMPLOYEES  (4) (million dollar)</t>
  </si>
  <si>
    <t>(*) One Dollar at 30 june 1997   =   Lire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</si>
</sst>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180" formatCode="0.0"/>
    <numFmt numFmtId="185" formatCode="0.0%"/>
    <numFmt numFmtId="189" formatCode="#,##0.0"/>
    <numFmt numFmtId="194" formatCode="General_)"/>
    <numFmt numFmtId="241" formatCode="dd/mmm/yy_)"/>
  </numFmts>
  <fonts count="37">
    <font>
      <sz val="10"/>
      <name val="Arial"/>
    </font>
    <font>
      <sz val="10"/>
      <name val="Arial"/>
      <family val="2"/>
    </font>
    <font>
      <b/>
      <sz val="12"/>
      <name val="CG Times"/>
      <family val="1"/>
    </font>
    <font>
      <b/>
      <sz val="12"/>
      <name val="Arial"/>
      <family val="2"/>
    </font>
    <font>
      <b/>
      <sz val="14"/>
      <name val="Symbol"/>
      <family val="1"/>
      <charset val="2"/>
    </font>
    <font>
      <sz val="8"/>
      <name val="CG Times"/>
    </font>
    <font>
      <sz val="10"/>
      <name val="Courier"/>
    </font>
    <font>
      <sz val="8"/>
      <name val="Times New Roman"/>
      <family val="1"/>
    </font>
    <font>
      <sz val="10"/>
      <name val="CG Times"/>
      <family val="1"/>
    </font>
    <font>
      <b/>
      <sz val="10"/>
      <name val="CG Times"/>
    </font>
    <font>
      <sz val="14"/>
      <name val="CG Times"/>
      <family val="1"/>
    </font>
    <font>
      <b/>
      <sz val="14"/>
      <name val="CG Times"/>
    </font>
    <font>
      <b/>
      <sz val="14"/>
      <name val="CG Times"/>
      <family val="1"/>
    </font>
    <font>
      <sz val="12"/>
      <name val="CG Times"/>
      <family val="1"/>
    </font>
    <font>
      <b/>
      <sz val="12"/>
      <name val="CG Times"/>
    </font>
    <font>
      <b/>
      <sz val="12"/>
      <name val="Symbol"/>
      <family val="1"/>
      <charset val="2"/>
    </font>
    <font>
      <b/>
      <i/>
      <sz val="12"/>
      <name val="CG Times"/>
    </font>
    <font>
      <b/>
      <sz val="16"/>
      <name val="CG Times"/>
      <family val="1"/>
    </font>
    <font>
      <b/>
      <sz val="18"/>
      <name val="CG Times"/>
      <family val="1"/>
    </font>
    <font>
      <b/>
      <sz val="18"/>
      <name val="CG Times"/>
    </font>
    <font>
      <sz val="18"/>
      <name val="Courier"/>
    </font>
    <font>
      <b/>
      <sz val="16"/>
      <name val="CG Times"/>
    </font>
    <font>
      <sz val="16"/>
      <name val="Courier"/>
    </font>
    <font>
      <i/>
      <sz val="14"/>
      <name val="CG Times"/>
      <family val="1"/>
    </font>
    <font>
      <sz val="14"/>
      <name val="Arial"/>
      <family val="2"/>
    </font>
    <font>
      <i/>
      <sz val="12"/>
      <name val="CG Times"/>
      <family val="1"/>
    </font>
    <font>
      <sz val="8"/>
      <name val="CG Times"/>
      <family val="1"/>
    </font>
    <font>
      <sz val="16"/>
      <name val="CG Times"/>
    </font>
    <font>
      <b/>
      <i/>
      <sz val="16"/>
      <name val="CG Times"/>
      <family val="1"/>
    </font>
    <font>
      <sz val="16"/>
      <name val="CG Times"/>
      <family val="1"/>
    </font>
    <font>
      <b/>
      <i/>
      <sz val="10"/>
      <name val="CG Times"/>
    </font>
    <font>
      <b/>
      <i/>
      <sz val="16"/>
      <name val="CG Times"/>
    </font>
    <font>
      <i/>
      <sz val="16"/>
      <name val="CG Times"/>
    </font>
    <font>
      <i/>
      <sz val="12"/>
      <name val="CG Times"/>
    </font>
    <font>
      <sz val="12"/>
      <name val="CG Times"/>
    </font>
    <font>
      <i/>
      <u/>
      <sz val="12"/>
      <name val="CG Times"/>
    </font>
    <font>
      <b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indexed="22"/>
        <bgColor indexed="64"/>
      </patternFill>
    </fill>
  </fills>
  <borders count="85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0" fontId="1" fillId="0" borderId="0"/>
    <xf numFmtId="194" fontId="6" fillId="0" borderId="0"/>
    <xf numFmtId="0" fontId="5" fillId="0" borderId="0"/>
    <xf numFmtId="0" fontId="5" fillId="0" borderId="0"/>
    <xf numFmtId="194" fontId="6" fillId="0" borderId="0"/>
    <xf numFmtId="9" fontId="1" fillId="0" borderId="0" applyFont="0" applyFill="0" applyBorder="0" applyAlignment="0" applyProtection="0"/>
  </cellStyleXfs>
  <cellXfs count="216">
    <xf numFmtId="0" fontId="0" fillId="0" borderId="0" xfId="0"/>
    <xf numFmtId="0" fontId="0" fillId="0" borderId="0" xfId="0" applyBorder="1"/>
    <xf numFmtId="0" fontId="0" fillId="0" borderId="1" xfId="0" applyBorder="1"/>
    <xf numFmtId="0" fontId="0" fillId="2" borderId="0" xfId="0" applyFill="1"/>
    <xf numFmtId="0" fontId="2" fillId="2" borderId="0" xfId="0" applyFont="1" applyFill="1" applyBorder="1" applyAlignment="1"/>
    <xf numFmtId="0" fontId="2" fillId="2" borderId="2" xfId="0" applyFont="1" applyFill="1" applyBorder="1" applyAlignment="1"/>
    <xf numFmtId="185" fontId="0" fillId="0" borderId="0" xfId="7" applyNumberFormat="1" applyFont="1"/>
    <xf numFmtId="0" fontId="8" fillId="2" borderId="0" xfId="0" applyFont="1" applyFill="1" applyBorder="1"/>
    <xf numFmtId="0" fontId="2" fillId="2" borderId="3" xfId="0" applyFont="1" applyFill="1" applyBorder="1" applyAlignment="1"/>
    <xf numFmtId="0" fontId="8" fillId="2" borderId="3" xfId="0" applyFont="1" applyFill="1" applyBorder="1"/>
    <xf numFmtId="0" fontId="16" fillId="2" borderId="4" xfId="0" applyFont="1" applyFill="1" applyBorder="1" applyAlignment="1">
      <alignment horizontal="centerContinuous"/>
    </xf>
    <xf numFmtId="0" fontId="16" fillId="2" borderId="5" xfId="0" applyFont="1" applyFill="1" applyBorder="1" applyAlignment="1">
      <alignment horizontal="centerContinuous"/>
    </xf>
    <xf numFmtId="0" fontId="16" fillId="2" borderId="6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189" fontId="13" fillId="2" borderId="8" xfId="1" applyNumberFormat="1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2" borderId="9" xfId="0" applyFont="1" applyFill="1" applyBorder="1" applyAlignment="1"/>
    <xf numFmtId="0" fontId="2" fillId="2" borderId="10" xfId="0" applyFont="1" applyFill="1" applyBorder="1" applyAlignment="1"/>
    <xf numFmtId="0" fontId="13" fillId="2" borderId="11" xfId="0" applyFont="1" applyFill="1" applyBorder="1"/>
    <xf numFmtId="0" fontId="15" fillId="2" borderId="12" xfId="0" applyFont="1" applyFill="1" applyBorder="1" applyAlignment="1">
      <alignment horizontal="center"/>
    </xf>
    <xf numFmtId="0" fontId="13" fillId="2" borderId="13" xfId="0" applyFont="1" applyFill="1" applyBorder="1"/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Continuous"/>
    </xf>
    <xf numFmtId="0" fontId="3" fillId="2" borderId="16" xfId="0" applyFont="1" applyFill="1" applyBorder="1"/>
    <xf numFmtId="0" fontId="16" fillId="0" borderId="17" xfId="0" applyFont="1" applyBorder="1" applyAlignment="1">
      <alignment horizontal="right"/>
    </xf>
    <xf numFmtId="0" fontId="16" fillId="2" borderId="18" xfId="0" applyFont="1" applyFill="1" applyBorder="1" applyAlignment="1"/>
    <xf numFmtId="0" fontId="16" fillId="2" borderId="19" xfId="0" applyFont="1" applyFill="1" applyBorder="1"/>
    <xf numFmtId="0" fontId="16" fillId="2" borderId="17" xfId="0" applyFont="1" applyFill="1" applyBorder="1"/>
    <xf numFmtId="0" fontId="16" fillId="2" borderId="20" xfId="0" applyFont="1" applyFill="1" applyBorder="1"/>
    <xf numFmtId="0" fontId="17" fillId="2" borderId="21" xfId="0" applyFont="1" applyFill="1" applyBorder="1" applyAlignment="1">
      <alignment horizontal="centerContinuous" vertical="center"/>
    </xf>
    <xf numFmtId="0" fontId="17" fillId="2" borderId="22" xfId="0" applyFont="1" applyFill="1" applyBorder="1" applyAlignment="1">
      <alignment horizontal="centerContinuous" vertical="center"/>
    </xf>
    <xf numFmtId="0" fontId="17" fillId="2" borderId="23" xfId="0" applyFont="1" applyFill="1" applyBorder="1" applyAlignment="1">
      <alignment horizontal="centerContinuous" vertical="center"/>
    </xf>
    <xf numFmtId="0" fontId="17" fillId="2" borderId="1" xfId="0" applyFont="1" applyFill="1" applyBorder="1" applyAlignment="1">
      <alignment horizontal="centerContinuous" vertical="center"/>
    </xf>
    <xf numFmtId="0" fontId="17" fillId="2" borderId="0" xfId="0" applyFont="1" applyFill="1" applyBorder="1" applyAlignment="1">
      <alignment horizontal="centerContinuous" vertical="center"/>
    </xf>
    <xf numFmtId="0" fontId="17" fillId="2" borderId="2" xfId="0" applyFont="1" applyFill="1" applyBorder="1" applyAlignment="1">
      <alignment horizontal="centerContinuous" vertical="center"/>
    </xf>
    <xf numFmtId="0" fontId="14" fillId="0" borderId="24" xfId="0" applyFont="1" applyBorder="1" applyAlignment="1">
      <alignment horizontal="centerContinuous" vertical="center"/>
    </xf>
    <xf numFmtId="0" fontId="14" fillId="0" borderId="25" xfId="0" applyFont="1" applyBorder="1" applyAlignment="1">
      <alignment horizontal="centerContinuous" vertical="center"/>
    </xf>
    <xf numFmtId="0" fontId="8" fillId="0" borderId="0" xfId="4" applyFont="1" applyBorder="1"/>
    <xf numFmtId="0" fontId="8" fillId="0" borderId="2" xfId="4" applyFont="1" applyBorder="1"/>
    <xf numFmtId="194" fontId="8" fillId="0" borderId="0" xfId="3" applyFont="1"/>
    <xf numFmtId="194" fontId="8" fillId="0" borderId="2" xfId="3" applyFont="1" applyBorder="1" applyAlignment="1"/>
    <xf numFmtId="194" fontId="8" fillId="0" borderId="2" xfId="3" applyFont="1" applyBorder="1"/>
    <xf numFmtId="194" fontId="8" fillId="0" borderId="1" xfId="3" applyFont="1" applyBorder="1"/>
    <xf numFmtId="194" fontId="6" fillId="0" borderId="0" xfId="3"/>
    <xf numFmtId="0" fontId="9" fillId="3" borderId="0" xfId="4" applyFont="1" applyFill="1" applyBorder="1" applyAlignment="1">
      <alignment vertical="center"/>
    </xf>
    <xf numFmtId="194" fontId="6" fillId="2" borderId="0" xfId="3" applyFont="1" applyFill="1" applyBorder="1" applyAlignment="1"/>
    <xf numFmtId="0" fontId="9" fillId="3" borderId="1" xfId="4" applyFont="1" applyFill="1" applyBorder="1" applyAlignment="1">
      <alignment vertical="center"/>
    </xf>
    <xf numFmtId="0" fontId="9" fillId="3" borderId="2" xfId="4" applyFont="1" applyFill="1" applyBorder="1" applyAlignment="1">
      <alignment vertical="center"/>
    </xf>
    <xf numFmtId="0" fontId="8" fillId="0" borderId="1" xfId="4" applyFont="1" applyBorder="1"/>
    <xf numFmtId="194" fontId="8" fillId="0" borderId="26" xfId="3" applyFont="1" applyBorder="1"/>
    <xf numFmtId="194" fontId="8" fillId="0" borderId="27" xfId="3" applyFont="1" applyBorder="1"/>
    <xf numFmtId="194" fontId="8" fillId="0" borderId="28" xfId="3" applyFont="1" applyBorder="1"/>
    <xf numFmtId="0" fontId="18" fillId="2" borderId="21" xfId="0" applyFont="1" applyFill="1" applyBorder="1" applyAlignment="1">
      <alignment horizontal="centerContinuous" vertical="center"/>
    </xf>
    <xf numFmtId="0" fontId="19" fillId="3" borderId="22" xfId="4" applyFont="1" applyFill="1" applyBorder="1" applyAlignment="1">
      <alignment horizontal="centerContinuous" vertical="center"/>
    </xf>
    <xf numFmtId="0" fontId="19" fillId="3" borderId="23" xfId="4" applyFont="1" applyFill="1" applyBorder="1" applyAlignment="1">
      <alignment horizontal="centerContinuous" vertical="center"/>
    </xf>
    <xf numFmtId="194" fontId="20" fillId="2" borderId="0" xfId="3" applyFont="1" applyFill="1" applyBorder="1"/>
    <xf numFmtId="0" fontId="18" fillId="2" borderId="1" xfId="0" applyFont="1" applyFill="1" applyBorder="1" applyAlignment="1">
      <alignment horizontal="centerContinuous" vertical="center"/>
    </xf>
    <xf numFmtId="0" fontId="19" fillId="3" borderId="0" xfId="4" applyFont="1" applyFill="1" applyBorder="1" applyAlignment="1">
      <alignment horizontal="centerContinuous" vertical="center"/>
    </xf>
    <xf numFmtId="0" fontId="19" fillId="3" borderId="2" xfId="4" applyFont="1" applyFill="1" applyBorder="1" applyAlignment="1">
      <alignment horizontal="centerContinuous" vertical="center"/>
    </xf>
    <xf numFmtId="0" fontId="21" fillId="3" borderId="1" xfId="4" applyFont="1" applyFill="1" applyBorder="1" applyAlignment="1">
      <alignment vertical="center"/>
    </xf>
    <xf numFmtId="0" fontId="21" fillId="3" borderId="0" xfId="4" applyFont="1" applyFill="1" applyBorder="1" applyAlignment="1">
      <alignment vertical="center"/>
    </xf>
    <xf numFmtId="0" fontId="21" fillId="3" borderId="2" xfId="4" applyFont="1" applyFill="1" applyBorder="1" applyAlignment="1">
      <alignment vertical="center"/>
    </xf>
    <xf numFmtId="194" fontId="22" fillId="2" borderId="0" xfId="3" applyFont="1" applyFill="1" applyBorder="1" applyAlignment="1"/>
    <xf numFmtId="194" fontId="12" fillId="4" borderId="29" xfId="3" applyFont="1" applyFill="1" applyBorder="1" applyAlignment="1">
      <alignment horizontal="left"/>
    </xf>
    <xf numFmtId="194" fontId="12" fillId="4" borderId="30" xfId="3" applyFont="1" applyFill="1" applyBorder="1" applyAlignment="1">
      <alignment horizontal="centerContinuous"/>
    </xf>
    <xf numFmtId="194" fontId="12" fillId="4" borderId="31" xfId="3" applyFont="1" applyFill="1" applyBorder="1" applyAlignment="1">
      <alignment horizontal="centerContinuous"/>
    </xf>
    <xf numFmtId="194" fontId="23" fillId="4" borderId="32" xfId="3" applyFont="1" applyFill="1" applyBorder="1" applyAlignment="1"/>
    <xf numFmtId="194" fontId="23" fillId="4" borderId="0" xfId="3" applyFont="1" applyFill="1" applyBorder="1" applyAlignment="1"/>
    <xf numFmtId="194" fontId="23" fillId="4" borderId="6" xfId="3" applyFont="1" applyFill="1" applyBorder="1" applyAlignment="1"/>
    <xf numFmtId="194" fontId="23" fillId="4" borderId="3" xfId="3" applyFont="1" applyFill="1" applyBorder="1" applyAlignment="1"/>
    <xf numFmtId="194" fontId="10" fillId="0" borderId="0" xfId="3" applyFont="1" applyBorder="1"/>
    <xf numFmtId="194" fontId="12" fillId="5" borderId="29" xfId="3" applyFont="1" applyFill="1" applyBorder="1" applyAlignment="1"/>
    <xf numFmtId="194" fontId="11" fillId="0" borderId="33" xfId="3" applyFont="1" applyBorder="1" applyAlignment="1">
      <alignment horizontal="center"/>
    </xf>
    <xf numFmtId="0" fontId="24" fillId="0" borderId="0" xfId="0" applyFont="1" applyBorder="1"/>
    <xf numFmtId="194" fontId="12" fillId="5" borderId="32" xfId="3" applyFont="1" applyFill="1" applyBorder="1" applyAlignment="1"/>
    <xf numFmtId="194" fontId="12" fillId="5" borderId="6" xfId="3" applyFont="1" applyFill="1" applyBorder="1" applyAlignment="1"/>
    <xf numFmtId="194" fontId="11" fillId="0" borderId="0" xfId="3" applyFont="1" applyBorder="1" applyAlignment="1"/>
    <xf numFmtId="194" fontId="17" fillId="6" borderId="34" xfId="3" applyFont="1" applyFill="1" applyBorder="1" applyAlignment="1">
      <alignment horizontal="center"/>
    </xf>
    <xf numFmtId="194" fontId="17" fillId="6" borderId="35" xfId="3" applyFont="1" applyFill="1" applyBorder="1" applyAlignment="1">
      <alignment horizontal="center"/>
    </xf>
    <xf numFmtId="194" fontId="17" fillId="4" borderId="31" xfId="3" applyFont="1" applyFill="1" applyBorder="1" applyAlignment="1">
      <alignment horizontal="centerContinuous"/>
    </xf>
    <xf numFmtId="185" fontId="17" fillId="0" borderId="36" xfId="7" applyNumberFormat="1" applyFont="1" applyBorder="1" applyAlignment="1">
      <alignment horizontal="center"/>
    </xf>
    <xf numFmtId="185" fontId="17" fillId="0" borderId="37" xfId="7" applyNumberFormat="1" applyFont="1" applyBorder="1" applyAlignment="1">
      <alignment horizontal="center"/>
    </xf>
    <xf numFmtId="185" fontId="17" fillId="0" borderId="38" xfId="7" applyNumberFormat="1" applyFont="1" applyBorder="1" applyAlignment="1">
      <alignment horizontal="center"/>
    </xf>
    <xf numFmtId="185" fontId="17" fillId="0" borderId="39" xfId="7" applyNumberFormat="1" applyFont="1" applyBorder="1" applyAlignment="1">
      <alignment horizontal="center"/>
    </xf>
    <xf numFmtId="185" fontId="17" fillId="0" borderId="40" xfId="7" applyNumberFormat="1" applyFont="1" applyBorder="1" applyAlignment="1">
      <alignment horizontal="center"/>
    </xf>
    <xf numFmtId="185" fontId="17" fillId="0" borderId="41" xfId="7" applyNumberFormat="1" applyFont="1" applyBorder="1" applyAlignment="1">
      <alignment horizontal="center"/>
    </xf>
    <xf numFmtId="0" fontId="29" fillId="0" borderId="0" xfId="5" applyFont="1"/>
    <xf numFmtId="0" fontId="28" fillId="2" borderId="42" xfId="5" applyFont="1" applyFill="1" applyBorder="1" applyAlignment="1">
      <alignment horizontal="centerContinuous" vertical="center" wrapText="1"/>
    </xf>
    <xf numFmtId="0" fontId="28" fillId="2" borderId="43" xfId="5" applyFont="1" applyFill="1" applyBorder="1" applyAlignment="1">
      <alignment horizontal="centerContinuous"/>
    </xf>
    <xf numFmtId="0" fontId="28" fillId="2" borderId="44" xfId="5" applyFont="1" applyFill="1" applyBorder="1" applyAlignment="1">
      <alignment horizontal="centerContinuous"/>
    </xf>
    <xf numFmtId="0" fontId="13" fillId="0" borderId="30" xfId="5" applyFont="1" applyBorder="1"/>
    <xf numFmtId="0" fontId="13" fillId="0" borderId="0" xfId="5" applyFont="1"/>
    <xf numFmtId="0" fontId="12" fillId="5" borderId="45" xfId="5" applyFont="1" applyFill="1" applyBorder="1" applyAlignment="1">
      <alignment horizontal="centerContinuous" vertical="center"/>
    </xf>
    <xf numFmtId="0" fontId="10" fillId="5" borderId="46" xfId="5" applyFont="1" applyFill="1" applyBorder="1" applyAlignment="1">
      <alignment horizontal="centerContinuous" vertical="center"/>
    </xf>
    <xf numFmtId="0" fontId="10" fillId="5" borderId="47" xfId="5" applyFont="1" applyFill="1" applyBorder="1" applyAlignment="1">
      <alignment horizontal="centerContinuous" vertical="center"/>
    </xf>
    <xf numFmtId="0" fontId="10" fillId="0" borderId="0" xfId="5" applyFont="1" applyAlignment="1"/>
    <xf numFmtId="0" fontId="10" fillId="0" borderId="0" xfId="5" applyFont="1"/>
    <xf numFmtId="0" fontId="25" fillId="5" borderId="1" xfId="5" applyFont="1" applyFill="1" applyBorder="1"/>
    <xf numFmtId="0" fontId="25" fillId="0" borderId="48" xfId="5" applyFont="1" applyBorder="1" applyAlignment="1">
      <alignment horizontal="centerContinuous"/>
    </xf>
    <xf numFmtId="0" fontId="25" fillId="0" borderId="49" xfId="5" applyFont="1" applyBorder="1" applyAlignment="1">
      <alignment horizontal="centerContinuous"/>
    </xf>
    <xf numFmtId="0" fontId="13" fillId="0" borderId="0" xfId="5" applyFont="1" applyBorder="1"/>
    <xf numFmtId="194" fontId="13" fillId="0" borderId="0" xfId="6" applyFont="1"/>
    <xf numFmtId="194" fontId="13" fillId="5" borderId="31" xfId="6" applyFont="1" applyFill="1" applyBorder="1"/>
    <xf numFmtId="194" fontId="13" fillId="5" borderId="7" xfId="6" applyFont="1" applyFill="1" applyBorder="1" applyAlignment="1">
      <alignment horizontal="centerContinuous"/>
    </xf>
    <xf numFmtId="194" fontId="13" fillId="5" borderId="0" xfId="6" applyFont="1" applyFill="1" applyBorder="1"/>
    <xf numFmtId="194" fontId="13" fillId="5" borderId="0" xfId="6" applyFont="1" applyFill="1" applyBorder="1" applyAlignment="1">
      <alignment horizontal="centerContinuous"/>
    </xf>
    <xf numFmtId="194" fontId="6" fillId="0" borderId="0" xfId="6" applyBorder="1"/>
    <xf numFmtId="194" fontId="6" fillId="0" borderId="0" xfId="6"/>
    <xf numFmtId="0" fontId="26" fillId="0" borderId="0" xfId="5" applyFont="1"/>
    <xf numFmtId="0" fontId="13" fillId="0" borderId="50" xfId="5" applyFont="1" applyBorder="1"/>
    <xf numFmtId="0" fontId="10" fillId="0" borderId="2" xfId="5" applyFont="1" applyBorder="1"/>
    <xf numFmtId="0" fontId="13" fillId="0" borderId="2" xfId="5" applyFont="1" applyBorder="1"/>
    <xf numFmtId="194" fontId="13" fillId="0" borderId="2" xfId="6" applyFont="1" applyBorder="1"/>
    <xf numFmtId="0" fontId="26" fillId="0" borderId="27" xfId="5" applyFont="1" applyBorder="1"/>
    <xf numFmtId="0" fontId="26" fillId="0" borderId="28" xfId="5" applyFont="1" applyBorder="1"/>
    <xf numFmtId="194" fontId="13" fillId="5" borderId="51" xfId="6" applyFont="1" applyFill="1" applyBorder="1"/>
    <xf numFmtId="194" fontId="13" fillId="5" borderId="51" xfId="6" applyFont="1" applyFill="1" applyBorder="1" applyAlignment="1">
      <alignment horizontal="centerContinuous"/>
    </xf>
    <xf numFmtId="0" fontId="12" fillId="5" borderId="21" xfId="5" applyFont="1" applyFill="1" applyBorder="1" applyAlignment="1">
      <alignment horizontal="centerContinuous" vertical="center"/>
    </xf>
    <xf numFmtId="0" fontId="10" fillId="5" borderId="22" xfId="5" applyFont="1" applyFill="1" applyBorder="1" applyAlignment="1">
      <alignment horizontal="centerContinuous" vertical="center"/>
    </xf>
    <xf numFmtId="0" fontId="10" fillId="5" borderId="23" xfId="5" applyFont="1" applyFill="1" applyBorder="1" applyAlignment="1">
      <alignment horizontal="centerContinuous" vertical="center"/>
    </xf>
    <xf numFmtId="0" fontId="25" fillId="5" borderId="52" xfId="5" applyFont="1" applyFill="1" applyBorder="1"/>
    <xf numFmtId="0" fontId="2" fillId="5" borderId="9" xfId="5" applyFont="1" applyFill="1" applyBorder="1" applyAlignment="1">
      <alignment horizontal="centerContinuous"/>
    </xf>
    <xf numFmtId="0" fontId="2" fillId="5" borderId="1" xfId="5" applyFont="1" applyFill="1" applyBorder="1" applyAlignment="1">
      <alignment horizontal="centerContinuous"/>
    </xf>
    <xf numFmtId="0" fontId="14" fillId="5" borderId="1" xfId="5" applyFont="1" applyFill="1" applyBorder="1" applyAlignment="1">
      <alignment horizontal="centerContinuous"/>
    </xf>
    <xf numFmtId="0" fontId="16" fillId="5" borderId="9" xfId="5" applyFont="1" applyFill="1" applyBorder="1" applyAlignment="1">
      <alignment horizontal="left"/>
    </xf>
    <xf numFmtId="0" fontId="16" fillId="5" borderId="52" xfId="5" applyFont="1" applyFill="1" applyBorder="1" applyAlignment="1">
      <alignment horizontal="left"/>
    </xf>
    <xf numFmtId="0" fontId="16" fillId="5" borderId="1" xfId="5" applyFont="1" applyFill="1" applyBorder="1" applyAlignment="1">
      <alignment horizontal="left"/>
    </xf>
    <xf numFmtId="0" fontId="13" fillId="0" borderId="52" xfId="5" applyFont="1" applyBorder="1"/>
    <xf numFmtId="194" fontId="10" fillId="0" borderId="1" xfId="6" applyFont="1" applyBorder="1"/>
    <xf numFmtId="0" fontId="10" fillId="0" borderId="2" xfId="5" applyFont="1" applyBorder="1" applyAlignment="1"/>
    <xf numFmtId="194" fontId="13" fillId="0" borderId="1" xfId="6" applyFont="1" applyBorder="1"/>
    <xf numFmtId="194" fontId="6" fillId="0" borderId="2" xfId="6" applyBorder="1"/>
    <xf numFmtId="0" fontId="26" fillId="0" borderId="26" xfId="5" applyFont="1" applyBorder="1"/>
    <xf numFmtId="0" fontId="16" fillId="5" borderId="21" xfId="5" applyFont="1" applyFill="1" applyBorder="1" applyAlignment="1">
      <alignment horizontal="left"/>
    </xf>
    <xf numFmtId="194" fontId="13" fillId="5" borderId="53" xfId="6" applyFont="1" applyFill="1" applyBorder="1"/>
    <xf numFmtId="0" fontId="16" fillId="5" borderId="26" xfId="5" applyFont="1" applyFill="1" applyBorder="1" applyAlignment="1">
      <alignment horizontal="left"/>
    </xf>
    <xf numFmtId="194" fontId="16" fillId="5" borderId="54" xfId="6" applyFont="1" applyFill="1" applyBorder="1" applyAlignment="1">
      <alignment horizontal="centerContinuous"/>
    </xf>
    <xf numFmtId="0" fontId="31" fillId="5" borderId="1" xfId="5" applyFont="1" applyFill="1" applyBorder="1"/>
    <xf numFmtId="0" fontId="32" fillId="5" borderId="1" xfId="5" applyFont="1" applyFill="1" applyBorder="1" applyAlignment="1">
      <alignment horizontal="right"/>
    </xf>
    <xf numFmtId="0" fontId="31" fillId="5" borderId="26" xfId="5" applyFont="1" applyFill="1" applyBorder="1"/>
    <xf numFmtId="0" fontId="33" fillId="0" borderId="29" xfId="5" applyFont="1" applyFill="1" applyBorder="1" applyAlignment="1">
      <alignment vertical="center"/>
    </xf>
    <xf numFmtId="3" fontId="34" fillId="0" borderId="30" xfId="1" applyNumberFormat="1" applyFont="1" applyFill="1" applyBorder="1" applyAlignment="1">
      <alignment horizontal="center"/>
    </xf>
    <xf numFmtId="185" fontId="34" fillId="0" borderId="31" xfId="7" applyNumberFormat="1" applyFont="1" applyFill="1" applyBorder="1" applyAlignment="1">
      <alignment horizontal="center"/>
    </xf>
    <xf numFmtId="0" fontId="33" fillId="0" borderId="32" xfId="5" applyFont="1" applyFill="1" applyBorder="1" applyAlignment="1">
      <alignment vertical="center"/>
    </xf>
    <xf numFmtId="3" fontId="34" fillId="0" borderId="0" xfId="1" applyNumberFormat="1" applyFont="1" applyFill="1" applyBorder="1" applyAlignment="1">
      <alignment horizontal="center"/>
    </xf>
    <xf numFmtId="185" fontId="34" fillId="0" borderId="51" xfId="7" applyNumberFormat="1" applyFont="1" applyFill="1" applyBorder="1" applyAlignment="1">
      <alignment horizontal="center"/>
    </xf>
    <xf numFmtId="194" fontId="34" fillId="0" borderId="0" xfId="6" applyFont="1" applyBorder="1"/>
    <xf numFmtId="194" fontId="34" fillId="0" borderId="51" xfId="6" applyFont="1" applyBorder="1"/>
    <xf numFmtId="0" fontId="33" fillId="0" borderId="6" xfId="5" applyFont="1" applyFill="1" applyBorder="1" applyAlignment="1">
      <alignment vertical="center"/>
    </xf>
    <xf numFmtId="194" fontId="34" fillId="0" borderId="3" xfId="6" applyFont="1" applyBorder="1"/>
    <xf numFmtId="194" fontId="34" fillId="0" borderId="7" xfId="6" applyFont="1" applyBorder="1"/>
    <xf numFmtId="0" fontId="28" fillId="7" borderId="55" xfId="5" applyFont="1" applyFill="1" applyBorder="1" applyAlignment="1">
      <alignment horizontal="centerContinuous"/>
    </xf>
    <xf numFmtId="0" fontId="28" fillId="7" borderId="56" xfId="5" applyFont="1" applyFill="1" applyBorder="1" applyAlignment="1">
      <alignment horizontal="centerContinuous"/>
    </xf>
    <xf numFmtId="0" fontId="28" fillId="7" borderId="57" xfId="5" applyFont="1" applyFill="1" applyBorder="1" applyAlignment="1">
      <alignment horizontal="centerContinuous"/>
    </xf>
    <xf numFmtId="185" fontId="1" fillId="0" borderId="0" xfId="7" applyNumberFormat="1"/>
    <xf numFmtId="0" fontId="16" fillId="2" borderId="18" xfId="0" applyFont="1" applyFill="1" applyBorder="1"/>
    <xf numFmtId="0" fontId="17" fillId="2" borderId="58" xfId="0" applyFont="1" applyFill="1" applyBorder="1" applyAlignment="1">
      <alignment horizontal="centerContinuous" vertical="center"/>
    </xf>
    <xf numFmtId="0" fontId="17" fillId="2" borderId="59" xfId="0" applyFont="1" applyFill="1" applyBorder="1" applyAlignment="1">
      <alignment horizontal="centerContinuous" vertical="center"/>
    </xf>
    <xf numFmtId="0" fontId="17" fillId="2" borderId="60" xfId="0" applyFont="1" applyFill="1" applyBorder="1" applyAlignment="1">
      <alignment horizontal="centerContinuous" vertical="center"/>
    </xf>
    <xf numFmtId="0" fontId="0" fillId="0" borderId="2" xfId="0" applyBorder="1"/>
    <xf numFmtId="185" fontId="29" fillId="0" borderId="12" xfId="7" applyNumberFormat="1" applyFont="1" applyFill="1" applyBorder="1" applyAlignment="1">
      <alignment horizontal="center"/>
    </xf>
    <xf numFmtId="185" fontId="29" fillId="0" borderId="16" xfId="7" applyNumberFormat="1" applyFont="1" applyFill="1" applyBorder="1" applyAlignment="1">
      <alignment horizontal="center"/>
    </xf>
    <xf numFmtId="185" fontId="29" fillId="0" borderId="14" xfId="7" applyNumberFormat="1" applyFont="1" applyFill="1" applyBorder="1" applyAlignment="1">
      <alignment horizontal="center"/>
    </xf>
    <xf numFmtId="185" fontId="29" fillId="0" borderId="61" xfId="7" applyNumberFormat="1" applyFont="1" applyFill="1" applyBorder="1" applyAlignment="1">
      <alignment horizontal="center"/>
    </xf>
    <xf numFmtId="185" fontId="29" fillId="0" borderId="62" xfId="7" applyNumberFormat="1" applyFont="1" applyFill="1" applyBorder="1" applyAlignment="1">
      <alignment horizontal="center"/>
    </xf>
    <xf numFmtId="0" fontId="14" fillId="0" borderId="63" xfId="0" applyFont="1" applyBorder="1" applyAlignment="1">
      <alignment horizontal="centerContinuous" vertical="center"/>
    </xf>
    <xf numFmtId="0" fontId="0" fillId="0" borderId="2" xfId="0" applyBorder="1" applyAlignment="1">
      <alignment horizontal="centerContinuous"/>
    </xf>
    <xf numFmtId="0" fontId="16" fillId="2" borderId="10" xfId="0" applyFont="1" applyFill="1" applyBorder="1" applyAlignment="1">
      <alignment horizontal="center"/>
    </xf>
    <xf numFmtId="189" fontId="13" fillId="2" borderId="64" xfId="1" applyNumberFormat="1" applyFont="1" applyFill="1" applyBorder="1" applyAlignment="1">
      <alignment horizontal="center"/>
    </xf>
    <xf numFmtId="0" fontId="16" fillId="2" borderId="65" xfId="0" applyFont="1" applyFill="1" applyBorder="1" applyAlignment="1">
      <alignment horizontal="centerContinuous"/>
    </xf>
    <xf numFmtId="3" fontId="12" fillId="2" borderId="66" xfId="1" applyNumberFormat="1" applyFont="1" applyFill="1" applyBorder="1" applyAlignment="1">
      <alignment horizontal="center"/>
    </xf>
    <xf numFmtId="189" fontId="12" fillId="2" borderId="67" xfId="1" applyNumberFormat="1" applyFont="1" applyFill="1" applyBorder="1" applyAlignment="1">
      <alignment horizontal="center"/>
    </xf>
    <xf numFmtId="3" fontId="12" fillId="2" borderId="68" xfId="1" applyNumberFormat="1" applyFont="1" applyFill="1" applyBorder="1" applyAlignment="1">
      <alignment horizontal="center"/>
    </xf>
    <xf numFmtId="189" fontId="12" fillId="2" borderId="69" xfId="1" applyNumberFormat="1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Continuous"/>
    </xf>
    <xf numFmtId="189" fontId="13" fillId="2" borderId="70" xfId="1" applyNumberFormat="1" applyFont="1" applyFill="1" applyBorder="1" applyAlignment="1">
      <alignment horizontal="centerContinuous"/>
    </xf>
    <xf numFmtId="189" fontId="13" fillId="2" borderId="44" xfId="1" applyNumberFormat="1" applyFont="1" applyFill="1" applyBorder="1" applyAlignment="1">
      <alignment horizontal="centerContinuous"/>
    </xf>
    <xf numFmtId="0" fontId="0" fillId="2" borderId="2" xfId="0" applyFill="1" applyBorder="1"/>
    <xf numFmtId="0" fontId="0" fillId="7" borderId="71" xfId="0" applyFill="1" applyBorder="1"/>
    <xf numFmtId="3" fontId="12" fillId="2" borderId="72" xfId="1" applyNumberFormat="1" applyFont="1" applyFill="1" applyBorder="1" applyAlignment="1">
      <alignment horizontal="centerContinuous"/>
    </xf>
    <xf numFmtId="3" fontId="13" fillId="2" borderId="73" xfId="1" applyNumberFormat="1" applyFont="1" applyFill="1" applyBorder="1" applyAlignment="1">
      <alignment horizontal="centerContinuous"/>
    </xf>
    <xf numFmtId="241" fontId="11" fillId="0" borderId="25" xfId="3" applyNumberFormat="1" applyFont="1" applyBorder="1" applyAlignment="1">
      <alignment horizontal="center" wrapText="1"/>
    </xf>
    <xf numFmtId="0" fontId="12" fillId="2" borderId="29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2" fillId="2" borderId="31" xfId="0" applyFont="1" applyFill="1" applyBorder="1" applyAlignment="1">
      <alignment horizontal="left"/>
    </xf>
    <xf numFmtId="0" fontId="12" fillId="2" borderId="7" xfId="0" applyFont="1" applyFill="1" applyBorder="1" applyAlignment="1">
      <alignment horizontal="left"/>
    </xf>
    <xf numFmtId="0" fontId="14" fillId="7" borderId="74" xfId="0" applyFont="1" applyFill="1" applyBorder="1"/>
    <xf numFmtId="0" fontId="0" fillId="7" borderId="75" xfId="0" applyFill="1" applyBorder="1"/>
    <xf numFmtId="0" fontId="0" fillId="7" borderId="76" xfId="0" applyFill="1" applyBorder="1"/>
    <xf numFmtId="0" fontId="12" fillId="7" borderId="29" xfId="0" applyFont="1" applyFill="1" applyBorder="1" applyAlignment="1">
      <alignment horizontal="right"/>
    </xf>
    <xf numFmtId="0" fontId="12" fillId="7" borderId="6" xfId="0" applyFont="1" applyFill="1" applyBorder="1" applyAlignment="1">
      <alignment horizontal="right"/>
    </xf>
    <xf numFmtId="0" fontId="12" fillId="7" borderId="31" xfId="0" applyFont="1" applyFill="1" applyBorder="1" applyAlignment="1">
      <alignment horizontal="left"/>
    </xf>
    <xf numFmtId="0" fontId="12" fillId="7" borderId="7" xfId="0" applyFont="1" applyFill="1" applyBorder="1" applyAlignment="1">
      <alignment horizontal="left"/>
    </xf>
    <xf numFmtId="0" fontId="28" fillId="7" borderId="56" xfId="5" applyFont="1" applyFill="1" applyBorder="1" applyAlignment="1">
      <alignment horizontal="left"/>
    </xf>
    <xf numFmtId="0" fontId="23" fillId="0" borderId="72" xfId="0" applyFont="1" applyBorder="1"/>
    <xf numFmtId="0" fontId="23" fillId="0" borderId="77" xfId="0" applyFont="1" applyBorder="1"/>
    <xf numFmtId="0" fontId="23" fillId="0" borderId="71" xfId="0" applyFont="1" applyBorder="1"/>
    <xf numFmtId="3" fontId="10" fillId="2" borderId="66" xfId="1" applyNumberFormat="1" applyFont="1" applyFill="1" applyBorder="1" applyAlignment="1">
      <alignment horizontal="center"/>
    </xf>
    <xf numFmtId="185" fontId="10" fillId="2" borderId="78" xfId="7" applyNumberFormat="1" applyFont="1" applyFill="1" applyBorder="1" applyAlignment="1">
      <alignment horizontal="center"/>
    </xf>
    <xf numFmtId="3" fontId="10" fillId="2" borderId="8" xfId="1" applyNumberFormat="1" applyFont="1" applyFill="1" applyBorder="1" applyAlignment="1">
      <alignment horizontal="center"/>
    </xf>
    <xf numFmtId="185" fontId="10" fillId="2" borderId="79" xfId="7" applyNumberFormat="1" applyFont="1" applyFill="1" applyBorder="1" applyAlignment="1">
      <alignment horizontal="center"/>
    </xf>
    <xf numFmtId="3" fontId="10" fillId="2" borderId="68" xfId="1" applyNumberFormat="1" applyFont="1" applyFill="1" applyBorder="1" applyAlignment="1">
      <alignment horizontal="center"/>
    </xf>
    <xf numFmtId="185" fontId="10" fillId="2" borderId="80" xfId="7" applyNumberFormat="1" applyFont="1" applyFill="1" applyBorder="1" applyAlignment="1">
      <alignment horizontal="center"/>
    </xf>
    <xf numFmtId="3" fontId="10" fillId="2" borderId="81" xfId="1" applyNumberFormat="1" applyFont="1" applyFill="1" applyBorder="1" applyAlignment="1">
      <alignment horizontal="center"/>
    </xf>
    <xf numFmtId="185" fontId="10" fillId="2" borderId="82" xfId="7" applyNumberFormat="1" applyFont="1" applyFill="1" applyBorder="1" applyAlignment="1">
      <alignment horizontal="center"/>
    </xf>
    <xf numFmtId="189" fontId="10" fillId="2" borderId="34" xfId="1" applyNumberFormat="1" applyFont="1" applyFill="1" applyBorder="1" applyAlignment="1">
      <alignment horizontal="center"/>
    </xf>
    <xf numFmtId="189" fontId="10" fillId="2" borderId="37" xfId="1" applyNumberFormat="1" applyFont="1" applyFill="1" applyBorder="1" applyAlignment="1">
      <alignment horizontal="center"/>
    </xf>
    <xf numFmtId="189" fontId="10" fillId="2" borderId="83" xfId="1" applyNumberFormat="1" applyFont="1" applyFill="1" applyBorder="1" applyAlignment="1">
      <alignment horizontal="center"/>
    </xf>
    <xf numFmtId="189" fontId="10" fillId="2" borderId="84" xfId="1" applyNumberFormat="1" applyFont="1" applyFill="1" applyBorder="1" applyAlignment="1">
      <alignment horizontal="center"/>
    </xf>
    <xf numFmtId="0" fontId="36" fillId="7" borderId="75" xfId="0" applyFont="1" applyFill="1" applyBorder="1" applyAlignment="1">
      <alignment horizontal="left"/>
    </xf>
    <xf numFmtId="185" fontId="27" fillId="0" borderId="64" xfId="7" applyNumberFormat="1" applyFont="1" applyFill="1" applyBorder="1" applyAlignment="1">
      <alignment horizontal="center"/>
    </xf>
    <xf numFmtId="180" fontId="27" fillId="0" borderId="36" xfId="1" applyNumberFormat="1" applyFont="1" applyFill="1" applyBorder="1" applyAlignment="1">
      <alignment horizontal="center"/>
    </xf>
    <xf numFmtId="3" fontId="27" fillId="0" borderId="36" xfId="1" applyNumberFormat="1" applyFont="1" applyFill="1" applyBorder="1" applyAlignment="1">
      <alignment horizontal="center"/>
    </xf>
    <xf numFmtId="189" fontId="29" fillId="0" borderId="16" xfId="7" applyNumberFormat="1" applyFont="1" applyFill="1" applyBorder="1" applyAlignment="1">
      <alignment horizontal="center"/>
    </xf>
    <xf numFmtId="3" fontId="29" fillId="0" borderId="16" xfId="7" applyNumberFormat="1" applyFont="1" applyFill="1" applyBorder="1" applyAlignment="1">
      <alignment horizontal="center"/>
    </xf>
    <xf numFmtId="10" fontId="29" fillId="0" borderId="16" xfId="7" applyNumberFormat="1" applyFont="1" applyFill="1" applyBorder="1" applyAlignment="1">
      <alignment horizontal="center"/>
    </xf>
  </cellXfs>
  <cellStyles count="8">
    <cellStyle name="Comma [0]" xfId="1" builtinId="6"/>
    <cellStyle name="Normal" xfId="0" builtinId="0"/>
    <cellStyle name="Normale_1995-94-93-92-91" xfId="2"/>
    <cellStyle name="Normale_Foglio1" xfId="3"/>
    <cellStyle name="Normale_Foglio1_1" xfId="4"/>
    <cellStyle name="Normale_Foglio1_Foglio3" xfId="5"/>
    <cellStyle name="Normale_Foglio3" xfId="6"/>
    <cellStyle name="Percent" xfId="7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679450</xdr:colOff>
      <xdr:row>21</xdr:row>
      <xdr:rowOff>0</xdr:rowOff>
    </xdr:from>
    <xdr:to>
      <xdr:col>1</xdr:col>
      <xdr:colOff>679450</xdr:colOff>
      <xdr:row>21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DA36462C-EA7B-46B8-B111-BA74178A0418}"/>
            </a:ext>
          </a:extLst>
        </xdr:cNvPr>
        <xdr:cNvSpPr>
          <a:spLocks noChangeShapeType="1"/>
        </xdr:cNvSpPr>
      </xdr:nvSpPr>
      <xdr:spPr bwMode="auto">
        <a:xfrm>
          <a:off x="1587500" y="95821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EA457552-8D23-4096-8981-5FD536CD8E7F}"/>
            </a:ext>
          </a:extLst>
        </xdr:cNvPr>
        <xdr:cNvSpPr>
          <a:spLocks noChangeShapeType="1"/>
        </xdr:cNvSpPr>
      </xdr:nvSpPr>
      <xdr:spPr bwMode="auto">
        <a:xfrm flipV="1">
          <a:off x="0" y="95821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</xdr:row>
      <xdr:rowOff>0</xdr:rowOff>
    </xdr:from>
    <xdr:to>
      <xdr:col>0</xdr:col>
      <xdr:colOff>0</xdr:colOff>
      <xdr:row>21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92A42D64-3393-4EE7-BF7A-5BF0A8F88D96}"/>
            </a:ext>
          </a:extLst>
        </xdr:cNvPr>
        <xdr:cNvSpPr>
          <a:spLocks noChangeShapeType="1"/>
        </xdr:cNvSpPr>
      </xdr:nvSpPr>
      <xdr:spPr bwMode="auto">
        <a:xfrm flipV="1">
          <a:off x="0" y="95821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590550</xdr:colOff>
      <xdr:row>21</xdr:row>
      <xdr:rowOff>0</xdr:rowOff>
    </xdr:from>
    <xdr:to>
      <xdr:col>1</xdr:col>
      <xdr:colOff>590550</xdr:colOff>
      <xdr:row>21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FD61FE22-5ABB-4238-94B0-A3363EFAF211}"/>
            </a:ext>
          </a:extLst>
        </xdr:cNvPr>
        <xdr:cNvSpPr>
          <a:spLocks noChangeShapeType="1"/>
        </xdr:cNvSpPr>
      </xdr:nvSpPr>
      <xdr:spPr bwMode="auto">
        <a:xfrm>
          <a:off x="1498600" y="95821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1"/>
  <sheetViews>
    <sheetView showGridLines="0" zoomScale="50" workbookViewId="0">
      <selection activeCell="D3" sqref="D3:D4"/>
    </sheetView>
  </sheetViews>
  <sheetFormatPr defaultColWidth="9.1796875" defaultRowHeight="12.5"/>
  <cols>
    <col min="1" max="1" width="13" style="43" customWidth="1"/>
    <col min="2" max="2" width="61.54296875" style="43" customWidth="1"/>
    <col min="3" max="3" width="40.81640625" style="43" customWidth="1"/>
    <col min="4" max="4" width="35" style="43" customWidth="1"/>
    <col min="5" max="6" width="33.54296875" style="43" customWidth="1"/>
    <col min="7" max="7" width="5.81640625" style="43" customWidth="1"/>
    <col min="8" max="8" width="3.26953125" style="43" customWidth="1"/>
    <col min="9" max="16384" width="9.1796875" style="43"/>
  </cols>
  <sheetData>
    <row r="1" spans="1:7" s="55" customFormat="1" ht="54.75" customHeight="1" thickTop="1">
      <c r="A1" s="52" t="s">
        <v>0</v>
      </c>
      <c r="B1" s="53"/>
      <c r="C1" s="53"/>
      <c r="D1" s="53"/>
      <c r="E1" s="53"/>
      <c r="F1" s="53"/>
      <c r="G1" s="54"/>
    </row>
    <row r="2" spans="1:7" s="55" customFormat="1" ht="47.25" customHeight="1" thickBot="1">
      <c r="A2" s="56" t="s">
        <v>1</v>
      </c>
      <c r="B2" s="57"/>
      <c r="C2" s="57"/>
      <c r="D2" s="57"/>
      <c r="E2" s="57"/>
      <c r="F2" s="57"/>
      <c r="G2" s="58"/>
    </row>
    <row r="3" spans="1:7" s="45" customFormat="1" ht="28.5" customHeight="1">
      <c r="A3" s="46"/>
      <c r="B3" s="44"/>
      <c r="C3" s="182" t="s">
        <v>2</v>
      </c>
      <c r="D3" s="184"/>
      <c r="E3" s="44"/>
      <c r="F3" s="44"/>
      <c r="G3" s="47"/>
    </row>
    <row r="4" spans="1:7" s="62" customFormat="1" ht="28.5" customHeight="1" thickBot="1">
      <c r="A4" s="59"/>
      <c r="B4" s="60"/>
      <c r="C4" s="183" t="s">
        <v>3</v>
      </c>
      <c r="D4" s="185"/>
      <c r="E4" s="60"/>
      <c r="F4" s="60"/>
      <c r="G4" s="61"/>
    </row>
    <row r="5" spans="1:7" s="39" customFormat="1" ht="14.25" customHeight="1" thickBot="1">
      <c r="A5" s="48"/>
      <c r="B5" s="37"/>
      <c r="C5" s="37"/>
      <c r="D5" s="37"/>
      <c r="E5" s="37"/>
      <c r="F5" s="37"/>
      <c r="G5" s="38"/>
    </row>
    <row r="6" spans="1:7" s="39" customFormat="1" ht="36.75" customHeight="1">
      <c r="A6" s="42"/>
      <c r="B6" s="63" t="s">
        <v>4</v>
      </c>
      <c r="C6" s="64"/>
      <c r="D6" s="65"/>
      <c r="E6" s="65"/>
      <c r="F6" s="65"/>
      <c r="G6" s="40"/>
    </row>
    <row r="7" spans="1:7" s="39" customFormat="1" ht="36.75" customHeight="1">
      <c r="A7" s="42"/>
      <c r="B7" s="66" t="s">
        <v>5</v>
      </c>
      <c r="C7" s="67"/>
      <c r="D7" s="77" t="s">
        <v>6</v>
      </c>
      <c r="E7" s="77" t="s">
        <v>7</v>
      </c>
      <c r="F7" s="77" t="s">
        <v>8</v>
      </c>
      <c r="G7" s="40"/>
    </row>
    <row r="8" spans="1:7" s="39" customFormat="1" ht="36.75" customHeight="1" thickBot="1">
      <c r="A8" s="42"/>
      <c r="B8" s="68" t="s">
        <v>9</v>
      </c>
      <c r="C8" s="69"/>
      <c r="D8" s="78" t="s">
        <v>10</v>
      </c>
      <c r="E8" s="78" t="s">
        <v>11</v>
      </c>
      <c r="F8" s="78" t="s">
        <v>8</v>
      </c>
      <c r="G8" s="40"/>
    </row>
    <row r="9" spans="1:7" s="39" customFormat="1" ht="36.75" customHeight="1">
      <c r="A9" s="42"/>
      <c r="B9" s="63" t="s">
        <v>12</v>
      </c>
      <c r="C9" s="64"/>
      <c r="D9" s="79"/>
      <c r="E9" s="79"/>
      <c r="F9" s="79"/>
      <c r="G9" s="41"/>
    </row>
    <row r="10" spans="1:7" s="39" customFormat="1" ht="36.75" customHeight="1">
      <c r="A10" s="42"/>
      <c r="B10" s="66" t="s">
        <v>13</v>
      </c>
      <c r="C10" s="67"/>
      <c r="D10" s="77" t="s">
        <v>14</v>
      </c>
      <c r="E10" s="77" t="s">
        <v>11</v>
      </c>
      <c r="F10" s="77" t="s">
        <v>15</v>
      </c>
      <c r="G10" s="41"/>
    </row>
    <row r="11" spans="1:7" s="39" customFormat="1" ht="36.75" customHeight="1" thickBot="1">
      <c r="A11" s="42"/>
      <c r="B11" s="68" t="s">
        <v>9</v>
      </c>
      <c r="C11" s="69"/>
      <c r="D11" s="78" t="s">
        <v>14</v>
      </c>
      <c r="E11" s="78" t="s">
        <v>11</v>
      </c>
      <c r="F11" s="78" t="s">
        <v>10</v>
      </c>
      <c r="G11" s="41"/>
    </row>
    <row r="12" spans="1:7" s="39" customFormat="1" ht="25.5" customHeight="1" thickBot="1">
      <c r="A12" s="42"/>
      <c r="B12" s="70"/>
      <c r="C12" s="70"/>
      <c r="D12" s="70"/>
      <c r="E12" s="70"/>
      <c r="F12" s="76" t="s">
        <v>16</v>
      </c>
      <c r="G12" s="41"/>
    </row>
    <row r="13" spans="1:7" s="39" customFormat="1" ht="37.5" customHeight="1">
      <c r="A13" s="2"/>
      <c r="B13" s="71"/>
      <c r="C13" s="72" t="s">
        <v>17</v>
      </c>
      <c r="D13" s="181" t="s">
        <v>18</v>
      </c>
      <c r="E13" s="73"/>
      <c r="F13" s="70"/>
      <c r="G13" s="41"/>
    </row>
    <row r="14" spans="1:7" s="39" customFormat="1" ht="37.5" customHeight="1">
      <c r="A14" s="2"/>
      <c r="B14" s="74" t="s">
        <v>19</v>
      </c>
      <c r="C14" s="80" t="s">
        <v>20</v>
      </c>
      <c r="D14" s="81" t="s">
        <v>20</v>
      </c>
      <c r="E14" s="73"/>
      <c r="F14" s="70"/>
      <c r="G14" s="41"/>
    </row>
    <row r="15" spans="1:7" s="39" customFormat="1" ht="37.5" customHeight="1">
      <c r="A15" s="2"/>
      <c r="B15" s="74" t="s">
        <v>21</v>
      </c>
      <c r="C15" s="82" t="s">
        <v>20</v>
      </c>
      <c r="D15" s="83" t="s">
        <v>20</v>
      </c>
      <c r="E15" s="73"/>
      <c r="F15" s="70"/>
      <c r="G15" s="41"/>
    </row>
    <row r="16" spans="1:7" s="39" customFormat="1" ht="37.5" customHeight="1">
      <c r="A16" s="2"/>
      <c r="B16" s="74" t="s">
        <v>22</v>
      </c>
      <c r="C16" s="82" t="s">
        <v>20</v>
      </c>
      <c r="D16" s="83" t="s">
        <v>20</v>
      </c>
      <c r="E16" s="73"/>
      <c r="F16" s="70"/>
      <c r="G16" s="41"/>
    </row>
    <row r="17" spans="1:10" s="39" customFormat="1" ht="37.5" customHeight="1">
      <c r="A17" s="2"/>
      <c r="B17" s="74" t="s">
        <v>23</v>
      </c>
      <c r="C17" s="82" t="s">
        <v>20</v>
      </c>
      <c r="D17" s="83" t="s">
        <v>20</v>
      </c>
      <c r="E17" s="73"/>
      <c r="F17" s="70"/>
      <c r="G17" s="41"/>
    </row>
    <row r="18" spans="1:10" s="39" customFormat="1" ht="37.5" customHeight="1">
      <c r="A18" s="2"/>
      <c r="B18" s="74" t="s">
        <v>24</v>
      </c>
      <c r="C18" s="82" t="s">
        <v>20</v>
      </c>
      <c r="D18" s="83" t="s">
        <v>20</v>
      </c>
      <c r="E18" s="73"/>
      <c r="F18" s="70"/>
      <c r="G18" s="41"/>
    </row>
    <row r="19" spans="1:10" s="39" customFormat="1" ht="37.5" customHeight="1">
      <c r="A19" s="2"/>
      <c r="B19" s="74" t="s">
        <v>25</v>
      </c>
      <c r="C19" s="82" t="s">
        <v>20</v>
      </c>
      <c r="D19" s="83" t="s">
        <v>20</v>
      </c>
      <c r="E19" s="73"/>
      <c r="F19" s="70"/>
      <c r="G19" s="41"/>
    </row>
    <row r="20" spans="1:10" s="39" customFormat="1" ht="37.5" customHeight="1" thickBot="1">
      <c r="A20" s="2"/>
      <c r="B20" s="75" t="s">
        <v>26</v>
      </c>
      <c r="C20" s="84" t="s">
        <v>20</v>
      </c>
      <c r="D20" s="85" t="s">
        <v>20</v>
      </c>
      <c r="E20" s="73"/>
      <c r="F20" s="70"/>
      <c r="G20" s="41"/>
    </row>
    <row r="21" spans="1:10" s="39" customFormat="1" ht="37.5" customHeight="1" thickBot="1">
      <c r="A21" s="49"/>
      <c r="B21" s="50"/>
      <c r="C21" s="50"/>
      <c r="D21" s="50"/>
      <c r="E21" s="50"/>
      <c r="F21" s="50"/>
      <c r="G21" s="51"/>
    </row>
    <row r="22" spans="1:10" s="39" customFormat="1" ht="27.75" customHeight="1" thickTop="1">
      <c r="A22" s="194" t="s">
        <v>27</v>
      </c>
      <c r="B22" s="195"/>
      <c r="C22" s="195"/>
      <c r="D22" s="196"/>
      <c r="E22"/>
      <c r="F22"/>
      <c r="G22"/>
      <c r="H22"/>
      <c r="I22"/>
      <c r="J22"/>
    </row>
    <row r="23" spans="1:10" s="39" customFormat="1" ht="13">
      <c r="A23"/>
      <c r="B23"/>
      <c r="C23"/>
      <c r="D23"/>
      <c r="E23"/>
      <c r="F23"/>
      <c r="G23"/>
      <c r="H23"/>
      <c r="I23"/>
      <c r="J23"/>
    </row>
    <row r="24" spans="1:10" s="39" customFormat="1" ht="24.75" customHeight="1">
      <c r="A24"/>
      <c r="B24"/>
      <c r="C24"/>
      <c r="D24"/>
      <c r="E24"/>
      <c r="F24"/>
      <c r="G24"/>
      <c r="H24"/>
      <c r="I24"/>
      <c r="J24"/>
    </row>
    <row r="25" spans="1:10" s="39" customFormat="1" ht="24.75" customHeight="1">
      <c r="A25"/>
      <c r="B25"/>
      <c r="C25"/>
      <c r="D25"/>
      <c r="E25"/>
      <c r="F25"/>
      <c r="G25"/>
      <c r="H25"/>
      <c r="I25"/>
      <c r="J25"/>
    </row>
    <row r="26" spans="1:10" s="39" customFormat="1" ht="24.75" customHeight="1">
      <c r="A26"/>
      <c r="B26"/>
      <c r="C26"/>
      <c r="D26"/>
      <c r="E26"/>
      <c r="F26"/>
      <c r="G26"/>
      <c r="H26"/>
      <c r="I26"/>
      <c r="J26"/>
    </row>
    <row r="27" spans="1:10" s="39" customFormat="1" ht="24.75" customHeight="1">
      <c r="A27"/>
      <c r="B27"/>
      <c r="C27"/>
      <c r="D27"/>
      <c r="E27"/>
      <c r="F27"/>
      <c r="G27"/>
      <c r="H27"/>
      <c r="I27"/>
      <c r="J27"/>
    </row>
    <row r="28" spans="1:10" s="39" customFormat="1" ht="24.75" customHeight="1">
      <c r="A28"/>
      <c r="B28"/>
      <c r="C28"/>
      <c r="D28"/>
      <c r="E28"/>
      <c r="F28"/>
      <c r="G28"/>
      <c r="H28"/>
      <c r="I28"/>
      <c r="J28"/>
    </row>
    <row r="29" spans="1:10" s="39" customFormat="1" ht="24.75" customHeight="1">
      <c r="A29"/>
      <c r="B29"/>
      <c r="C29"/>
      <c r="D29"/>
      <c r="E29"/>
      <c r="F29"/>
      <c r="G29"/>
      <c r="H29"/>
      <c r="I29"/>
      <c r="J29"/>
    </row>
    <row r="30" spans="1:10" s="39" customFormat="1" ht="24.75" customHeight="1">
      <c r="A30"/>
      <c r="B30"/>
      <c r="C30"/>
      <c r="D30"/>
      <c r="E30"/>
      <c r="F30"/>
      <c r="G30"/>
      <c r="H30"/>
      <c r="I30"/>
      <c r="J30"/>
    </row>
    <row r="31" spans="1:10" s="39" customFormat="1" ht="24.75" customHeight="1">
      <c r="A31"/>
      <c r="B31"/>
      <c r="C31"/>
      <c r="D31"/>
      <c r="E31"/>
      <c r="F31"/>
      <c r="G31"/>
      <c r="H31"/>
      <c r="I31"/>
      <c r="J31"/>
    </row>
    <row r="32" spans="1:10" s="39" customFormat="1" ht="24.75" customHeight="1">
      <c r="A32"/>
      <c r="B32"/>
      <c r="C32"/>
      <c r="D32"/>
      <c r="E32"/>
      <c r="F32"/>
      <c r="G32"/>
      <c r="H32"/>
      <c r="I32"/>
      <c r="J32"/>
    </row>
    <row r="33" spans="1:10" s="39" customFormat="1" ht="13">
      <c r="A33"/>
      <c r="B33"/>
      <c r="C33"/>
      <c r="D33"/>
      <c r="E33"/>
      <c r="F33"/>
      <c r="G33"/>
      <c r="H33"/>
      <c r="I33"/>
      <c r="J33"/>
    </row>
    <row r="34" spans="1:10" s="39" customFormat="1" ht="13">
      <c r="A34"/>
      <c r="B34"/>
      <c r="C34"/>
      <c r="D34"/>
      <c r="E34"/>
      <c r="F34"/>
      <c r="G34"/>
      <c r="H34"/>
      <c r="I34"/>
      <c r="J34"/>
    </row>
    <row r="35" spans="1:10" s="39" customFormat="1" ht="13">
      <c r="A35"/>
      <c r="B35"/>
      <c r="C35"/>
      <c r="D35"/>
      <c r="E35"/>
      <c r="F35"/>
      <c r="G35"/>
      <c r="H35"/>
      <c r="I35"/>
      <c r="J35"/>
    </row>
    <row r="36" spans="1:10" s="39" customFormat="1" ht="13">
      <c r="A36"/>
      <c r="B36"/>
      <c r="C36"/>
      <c r="D36"/>
      <c r="E36"/>
      <c r="F36"/>
      <c r="G36"/>
      <c r="H36"/>
      <c r="I36"/>
      <c r="J36"/>
    </row>
    <row r="37" spans="1:10" s="39" customFormat="1" ht="13">
      <c r="A37"/>
      <c r="B37"/>
      <c r="C37"/>
      <c r="D37"/>
      <c r="E37"/>
      <c r="F37"/>
      <c r="G37"/>
      <c r="H37"/>
      <c r="I37"/>
      <c r="J37"/>
    </row>
    <row r="38" spans="1:10" s="39" customFormat="1" ht="13">
      <c r="A38"/>
      <c r="B38"/>
      <c r="C38"/>
      <c r="D38"/>
      <c r="E38"/>
      <c r="F38"/>
      <c r="G38"/>
      <c r="H38"/>
      <c r="I38"/>
      <c r="J38"/>
    </row>
    <row r="39" spans="1:10" s="39" customFormat="1" ht="13">
      <c r="A39"/>
      <c r="B39"/>
      <c r="C39"/>
      <c r="D39"/>
      <c r="E39"/>
      <c r="F39"/>
      <c r="G39"/>
      <c r="H39"/>
      <c r="I39"/>
      <c r="J39"/>
    </row>
    <row r="40" spans="1:10" s="39" customFormat="1" ht="13">
      <c r="A40"/>
      <c r="B40"/>
      <c r="C40"/>
      <c r="D40"/>
      <c r="E40"/>
      <c r="F40"/>
      <c r="G40"/>
      <c r="H40"/>
      <c r="I40"/>
      <c r="J40"/>
    </row>
    <row r="41" spans="1:10" s="39" customFormat="1" ht="13">
      <c r="A41"/>
      <c r="B41"/>
      <c r="C41"/>
      <c r="D41"/>
      <c r="E41"/>
      <c r="F41"/>
      <c r="G41"/>
      <c r="H41"/>
      <c r="I41"/>
      <c r="J41"/>
    </row>
    <row r="42" spans="1:10" s="39" customFormat="1" ht="13">
      <c r="A42"/>
      <c r="B42"/>
      <c r="C42"/>
      <c r="D42"/>
      <c r="E42"/>
      <c r="F42"/>
      <c r="G42"/>
      <c r="H42"/>
      <c r="I42"/>
      <c r="J42"/>
    </row>
    <row r="43" spans="1:10" s="39" customFormat="1" ht="13">
      <c r="A43"/>
      <c r="B43"/>
      <c r="C43"/>
      <c r="D43"/>
      <c r="E43"/>
      <c r="F43"/>
      <c r="G43"/>
      <c r="H43"/>
      <c r="I43"/>
      <c r="J43"/>
    </row>
    <row r="44" spans="1:10" s="39" customFormat="1" ht="13">
      <c r="A44"/>
      <c r="B44"/>
      <c r="C44"/>
      <c r="D44"/>
      <c r="E44"/>
      <c r="F44"/>
      <c r="G44"/>
      <c r="H44"/>
      <c r="I44"/>
      <c r="J44"/>
    </row>
    <row r="45" spans="1:10" s="39" customFormat="1" ht="13">
      <c r="A45"/>
      <c r="B45"/>
      <c r="C45"/>
      <c r="D45"/>
      <c r="E45"/>
      <c r="F45"/>
      <c r="G45"/>
      <c r="H45"/>
      <c r="I45"/>
      <c r="J45"/>
    </row>
    <row r="46" spans="1:10" s="39" customFormat="1" ht="13">
      <c r="A46"/>
      <c r="B46"/>
      <c r="C46"/>
      <c r="D46"/>
      <c r="E46"/>
      <c r="F46"/>
      <c r="G46"/>
      <c r="H46"/>
      <c r="I46"/>
      <c r="J46"/>
    </row>
    <row r="47" spans="1:10" s="39" customFormat="1" ht="13">
      <c r="A47"/>
      <c r="B47"/>
      <c r="C47"/>
      <c r="D47"/>
      <c r="E47"/>
      <c r="F47"/>
      <c r="G47"/>
      <c r="H47"/>
      <c r="I47"/>
      <c r="J47"/>
    </row>
    <row r="48" spans="1:10" s="39" customFormat="1" ht="13">
      <c r="A48"/>
      <c r="B48"/>
      <c r="C48"/>
      <c r="D48"/>
      <c r="E48"/>
      <c r="F48"/>
      <c r="G48"/>
      <c r="H48"/>
      <c r="I48"/>
      <c r="J48"/>
    </row>
    <row r="49" spans="1:10" s="39" customFormat="1" ht="13">
      <c r="A49"/>
      <c r="B49"/>
      <c r="C49"/>
      <c r="D49"/>
      <c r="E49"/>
      <c r="F49"/>
      <c r="G49"/>
      <c r="H49"/>
      <c r="I49"/>
      <c r="J49"/>
    </row>
    <row r="50" spans="1:10" s="39" customFormat="1" ht="13">
      <c r="A50"/>
      <c r="B50"/>
      <c r="C50"/>
      <c r="D50"/>
      <c r="E50"/>
      <c r="F50"/>
      <c r="G50"/>
      <c r="H50"/>
      <c r="I50"/>
      <c r="J50"/>
    </row>
    <row r="51" spans="1:10" s="39" customFormat="1" ht="13">
      <c r="A51"/>
      <c r="B51"/>
      <c r="C51"/>
      <c r="D51"/>
      <c r="E51"/>
      <c r="F51"/>
      <c r="G51"/>
      <c r="H51"/>
      <c r="I51"/>
      <c r="J51"/>
    </row>
    <row r="52" spans="1:10" s="39" customFormat="1" ht="13">
      <c r="A52"/>
      <c r="B52"/>
      <c r="C52"/>
      <c r="D52"/>
      <c r="E52"/>
      <c r="F52"/>
      <c r="G52"/>
      <c r="H52"/>
      <c r="I52"/>
      <c r="J52"/>
    </row>
    <row r="53" spans="1:10" s="39" customFormat="1" ht="13">
      <c r="A53"/>
      <c r="B53"/>
      <c r="C53"/>
      <c r="D53"/>
      <c r="E53"/>
      <c r="F53"/>
      <c r="G53"/>
      <c r="H53"/>
      <c r="I53"/>
      <c r="J53"/>
    </row>
    <row r="54" spans="1:10" s="39" customFormat="1" ht="13">
      <c r="A54"/>
      <c r="B54"/>
      <c r="C54"/>
      <c r="D54"/>
      <c r="E54"/>
      <c r="F54"/>
      <c r="G54"/>
      <c r="H54"/>
      <c r="I54"/>
      <c r="J54"/>
    </row>
    <row r="55" spans="1:10" s="39" customFormat="1" ht="13">
      <c r="A55"/>
      <c r="B55"/>
      <c r="C55"/>
      <c r="D55"/>
      <c r="E55"/>
      <c r="F55"/>
      <c r="G55"/>
      <c r="H55"/>
      <c r="I55"/>
      <c r="J55"/>
    </row>
    <row r="56" spans="1:10" s="39" customFormat="1" ht="13">
      <c r="A56"/>
      <c r="B56"/>
      <c r="C56"/>
      <c r="D56"/>
      <c r="E56"/>
      <c r="F56"/>
      <c r="G56"/>
      <c r="H56"/>
      <c r="I56"/>
      <c r="J56"/>
    </row>
    <row r="57" spans="1:10" s="39" customFormat="1" ht="13">
      <c r="A57"/>
      <c r="B57"/>
      <c r="C57"/>
      <c r="D57"/>
      <c r="E57"/>
      <c r="F57"/>
      <c r="G57"/>
      <c r="H57"/>
      <c r="I57"/>
      <c r="J57"/>
    </row>
    <row r="58" spans="1:10" s="39" customFormat="1" ht="13">
      <c r="A58"/>
      <c r="B58"/>
      <c r="C58"/>
      <c r="D58"/>
      <c r="E58"/>
      <c r="F58"/>
      <c r="G58"/>
      <c r="H58"/>
      <c r="I58"/>
      <c r="J58"/>
    </row>
    <row r="59" spans="1:10" s="39" customFormat="1" ht="13">
      <c r="A59"/>
      <c r="B59"/>
      <c r="C59"/>
      <c r="D59"/>
      <c r="E59"/>
      <c r="F59"/>
      <c r="G59"/>
      <c r="H59"/>
      <c r="I59"/>
      <c r="J59"/>
    </row>
    <row r="60" spans="1:10" s="39" customFormat="1" ht="13">
      <c r="A60"/>
      <c r="B60"/>
      <c r="C60"/>
      <c r="D60"/>
      <c r="E60"/>
      <c r="F60"/>
      <c r="G60"/>
      <c r="H60"/>
      <c r="I60"/>
      <c r="J60"/>
    </row>
    <row r="61" spans="1:10" s="39" customFormat="1" ht="13">
      <c r="A61"/>
      <c r="B61"/>
      <c r="C61"/>
      <c r="D61"/>
      <c r="E61"/>
      <c r="F61"/>
      <c r="G61"/>
      <c r="H61"/>
      <c r="I61"/>
      <c r="J61"/>
    </row>
    <row r="62" spans="1:10" s="39" customFormat="1" ht="13">
      <c r="A62"/>
      <c r="B62"/>
      <c r="C62"/>
      <c r="D62"/>
      <c r="E62"/>
      <c r="F62"/>
      <c r="G62"/>
      <c r="H62"/>
      <c r="I62"/>
      <c r="J62"/>
    </row>
    <row r="63" spans="1:10" s="39" customFormat="1" ht="13"/>
    <row r="64" spans="1:10" s="39" customFormat="1" ht="13"/>
    <row r="65" s="39" customFormat="1" ht="13"/>
    <row r="66" s="39" customFormat="1" ht="13"/>
    <row r="67" s="39" customFormat="1" ht="13"/>
    <row r="68" s="39" customFormat="1" ht="13"/>
    <row r="69" s="39" customFormat="1" ht="13"/>
    <row r="70" s="39" customFormat="1" ht="13"/>
    <row r="71" s="39" customFormat="1" ht="13"/>
    <row r="72" s="39" customFormat="1" ht="13"/>
    <row r="73" s="39" customFormat="1" ht="13"/>
    <row r="74" s="39" customFormat="1" ht="13"/>
    <row r="75" s="39" customFormat="1" ht="13"/>
    <row r="76" s="39" customFormat="1" ht="13"/>
    <row r="77" s="39" customFormat="1" ht="13"/>
    <row r="78" s="39" customFormat="1" ht="13"/>
    <row r="79" s="39" customFormat="1" ht="13"/>
    <row r="80" s="39" customFormat="1" ht="13"/>
    <row r="81" s="39" customFormat="1" ht="13"/>
    <row r="82" s="39" customFormat="1" ht="13"/>
    <row r="83" s="39" customFormat="1" ht="13"/>
    <row r="84" s="39" customFormat="1" ht="13"/>
    <row r="85" s="39" customFormat="1" ht="13"/>
    <row r="86" s="39" customFormat="1" ht="13"/>
    <row r="87" s="39" customFormat="1" ht="13"/>
    <row r="88" s="39" customFormat="1" ht="13"/>
    <row r="89" s="39" customFormat="1" ht="13"/>
    <row r="90" s="39" customFormat="1" ht="13"/>
    <row r="91" s="39" customFormat="1" ht="13"/>
    <row r="92" s="39" customFormat="1" ht="13"/>
    <row r="93" s="39" customFormat="1" ht="13"/>
    <row r="94" s="39" customFormat="1" ht="13"/>
    <row r="95" s="39" customFormat="1" ht="13"/>
    <row r="96" s="39" customFormat="1" ht="13"/>
    <row r="97" s="39" customFormat="1" ht="13"/>
    <row r="98" s="39" customFormat="1" ht="13"/>
    <row r="99" s="39" customFormat="1" ht="13"/>
    <row r="100" s="39" customFormat="1" ht="13"/>
    <row r="101" s="39" customFormat="1" ht="13"/>
    <row r="102" s="39" customFormat="1" ht="13"/>
    <row r="103" s="39" customFormat="1" ht="13"/>
    <row r="104" s="39" customFormat="1" ht="13"/>
    <row r="105" s="39" customFormat="1" ht="13"/>
    <row r="106" s="39" customFormat="1" ht="13"/>
    <row r="107" s="39" customFormat="1" ht="13"/>
    <row r="108" s="39" customFormat="1" ht="13"/>
    <row r="109" s="39" customFormat="1" ht="13"/>
    <row r="110" s="39" customFormat="1" ht="13"/>
    <row r="111" s="39" customFormat="1" ht="13"/>
  </sheetData>
  <printOptions horizontalCentered="1" verticalCentered="1" gridLinesSet="0"/>
  <pageMargins left="0.25" right="0.27" top="0.9" bottom="0.53" header="0.36" footer="0"/>
  <pageSetup paperSize="9" scale="63" orientation="landscape" horizontalDpi="300" verticalDpi="300" r:id="rId1"/>
  <headerFooter alignWithMargins="0">
    <oddHeader>&amp;C&amp;"CG Times,Corsivo grassetto"&amp;16&amp;UINTERNATIONAL FINANCE and LEASING ASSOCIATION
Conference and AGM&amp;R&amp;12&amp;A</oddHeader>
    <oddFooter>&amp;L&amp;"CG Times,Corsivo grassetto"&amp;12&amp;D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topLeftCell="C8" zoomScale="75" workbookViewId="0">
      <selection activeCell="F17" sqref="F17"/>
    </sheetView>
  </sheetViews>
  <sheetFormatPr defaultRowHeight="12.5"/>
  <cols>
    <col min="1" max="1" width="41.54296875" customWidth="1"/>
    <col min="2" max="4" width="22.1796875" customWidth="1"/>
    <col min="5" max="5" width="23.1796875" customWidth="1"/>
    <col min="6" max="6" width="22.453125" customWidth="1"/>
  </cols>
  <sheetData>
    <row r="1" spans="1:7" ht="33" customHeight="1" thickTop="1">
      <c r="A1" s="29" t="s">
        <v>0</v>
      </c>
      <c r="B1" s="30"/>
      <c r="C1" s="30"/>
      <c r="D1" s="30"/>
      <c r="E1" s="30"/>
      <c r="F1" s="31"/>
    </row>
    <row r="2" spans="1:7" ht="33" customHeight="1">
      <c r="A2" s="32" t="s">
        <v>28</v>
      </c>
      <c r="B2" s="33"/>
      <c r="C2" s="33"/>
      <c r="D2" s="33"/>
      <c r="E2" s="33"/>
      <c r="F2" s="34"/>
    </row>
    <row r="3" spans="1:7" ht="8.25" customHeight="1" thickBot="1">
      <c r="A3" s="15"/>
      <c r="B3" s="4"/>
      <c r="C3" s="4"/>
      <c r="D3" s="4"/>
      <c r="E3" s="4"/>
      <c r="F3" s="5"/>
    </row>
    <row r="4" spans="1:7" ht="20.25" customHeight="1">
      <c r="A4" s="15"/>
      <c r="B4" s="3"/>
      <c r="C4" s="182" t="s">
        <v>2</v>
      </c>
      <c r="D4" s="184" t="s">
        <v>29</v>
      </c>
      <c r="E4" s="7"/>
      <c r="F4" s="5"/>
    </row>
    <row r="5" spans="1:7" ht="20.25" customHeight="1" thickBot="1">
      <c r="A5" s="15"/>
      <c r="B5" s="3"/>
      <c r="C5" s="183" t="s">
        <v>30</v>
      </c>
      <c r="D5" s="185" t="s">
        <v>31</v>
      </c>
      <c r="E5" s="7"/>
      <c r="F5" s="5"/>
    </row>
    <row r="6" spans="1:7" ht="6" customHeight="1" thickBot="1">
      <c r="A6" s="16"/>
      <c r="B6" s="8"/>
      <c r="C6" s="8"/>
      <c r="D6" s="9"/>
      <c r="E6" s="8"/>
      <c r="F6" s="17"/>
    </row>
    <row r="7" spans="1:7" ht="18.75" customHeight="1">
      <c r="A7" s="18"/>
      <c r="B7" s="35" t="s">
        <v>32</v>
      </c>
      <c r="C7" s="36"/>
      <c r="D7" s="35" t="s">
        <v>32</v>
      </c>
      <c r="E7" s="36"/>
      <c r="F7" s="19" t="s">
        <v>33</v>
      </c>
    </row>
    <row r="8" spans="1:7" ht="15.5">
      <c r="A8" s="20"/>
      <c r="B8" s="10" t="s">
        <v>34</v>
      </c>
      <c r="C8" s="11"/>
      <c r="D8" s="10" t="s">
        <v>35</v>
      </c>
      <c r="E8" s="11"/>
      <c r="F8" s="21" t="s">
        <v>36</v>
      </c>
    </row>
    <row r="9" spans="1:7" ht="16" thickBot="1">
      <c r="A9" s="22"/>
      <c r="B9" s="12" t="s">
        <v>37</v>
      </c>
      <c r="C9" s="13" t="s">
        <v>38</v>
      </c>
      <c r="D9" s="12" t="s">
        <v>39</v>
      </c>
      <c r="E9" s="13" t="s">
        <v>38</v>
      </c>
      <c r="F9" s="23"/>
    </row>
    <row r="10" spans="1:7" ht="30.75" customHeight="1">
      <c r="A10" s="24" t="s">
        <v>40</v>
      </c>
      <c r="B10" s="197">
        <v>0</v>
      </c>
      <c r="C10" s="205">
        <v>0</v>
      </c>
      <c r="D10" s="197">
        <v>0</v>
      </c>
      <c r="E10" s="205">
        <v>0</v>
      </c>
      <c r="F10" s="198" t="s">
        <v>20</v>
      </c>
      <c r="G10" s="6"/>
    </row>
    <row r="11" spans="1:7" ht="30.75" customHeight="1">
      <c r="A11" s="24" t="s">
        <v>41</v>
      </c>
      <c r="B11" s="197">
        <v>0</v>
      </c>
      <c r="C11" s="205">
        <v>0</v>
      </c>
      <c r="D11" s="197">
        <v>0</v>
      </c>
      <c r="E11" s="205">
        <v>0</v>
      </c>
      <c r="F11" s="198" t="s">
        <v>20</v>
      </c>
      <c r="G11" s="6"/>
    </row>
    <row r="12" spans="1:7" ht="30.75" customHeight="1">
      <c r="A12" s="25" t="s">
        <v>42</v>
      </c>
      <c r="B12" s="199">
        <v>0</v>
      </c>
      <c r="C12" s="206">
        <v>0</v>
      </c>
      <c r="D12" s="199">
        <v>0</v>
      </c>
      <c r="E12" s="206">
        <v>0</v>
      </c>
      <c r="F12" s="200"/>
      <c r="G12" s="6"/>
    </row>
    <row r="13" spans="1:7" ht="30.75" customHeight="1">
      <c r="A13" s="26" t="s">
        <v>43</v>
      </c>
      <c r="B13" s="201">
        <v>0</v>
      </c>
      <c r="C13" s="207">
        <v>0</v>
      </c>
      <c r="D13" s="201">
        <v>0</v>
      </c>
      <c r="E13" s="207">
        <v>0</v>
      </c>
      <c r="F13" s="202" t="s">
        <v>20</v>
      </c>
      <c r="G13" s="6"/>
    </row>
    <row r="14" spans="1:7" ht="30.75" customHeight="1">
      <c r="A14" s="27" t="s">
        <v>44</v>
      </c>
      <c r="B14" s="197">
        <v>0</v>
      </c>
      <c r="C14" s="205">
        <v>0</v>
      </c>
      <c r="D14" s="197">
        <v>0</v>
      </c>
      <c r="E14" s="205">
        <v>0</v>
      </c>
      <c r="F14" s="198" t="s">
        <v>20</v>
      </c>
      <c r="G14" s="6"/>
    </row>
    <row r="15" spans="1:7" ht="30.75" customHeight="1">
      <c r="A15" s="27" t="s">
        <v>45</v>
      </c>
      <c r="B15" s="197">
        <v>0</v>
      </c>
      <c r="C15" s="205">
        <v>0</v>
      </c>
      <c r="D15" s="197">
        <v>0</v>
      </c>
      <c r="E15" s="205">
        <v>0</v>
      </c>
      <c r="F15" s="198" t="s">
        <v>20</v>
      </c>
      <c r="G15" s="6"/>
    </row>
    <row r="16" spans="1:7" ht="30.75" customHeight="1">
      <c r="A16" s="27" t="s">
        <v>46</v>
      </c>
      <c r="B16" s="197">
        <v>0</v>
      </c>
      <c r="C16" s="205">
        <v>0</v>
      </c>
      <c r="D16" s="197">
        <v>0</v>
      </c>
      <c r="E16" s="205">
        <v>0</v>
      </c>
      <c r="F16" s="198" t="s">
        <v>20</v>
      </c>
      <c r="G16" s="6"/>
    </row>
    <row r="17" spans="1:7" ht="30.75" customHeight="1">
      <c r="A17" s="27" t="s">
        <v>47</v>
      </c>
      <c r="B17" s="197">
        <v>0</v>
      </c>
      <c r="C17" s="205">
        <v>0</v>
      </c>
      <c r="D17" s="197">
        <v>0</v>
      </c>
      <c r="E17" s="205">
        <v>0</v>
      </c>
      <c r="F17" s="198" t="s">
        <v>20</v>
      </c>
      <c r="G17" s="6"/>
    </row>
    <row r="18" spans="1:7" ht="30.75" customHeight="1" thickBot="1">
      <c r="A18" s="28" t="s">
        <v>48</v>
      </c>
      <c r="B18" s="203">
        <v>0</v>
      </c>
      <c r="C18" s="208">
        <v>0</v>
      </c>
      <c r="D18" s="203">
        <v>0</v>
      </c>
      <c r="E18" s="208">
        <v>0</v>
      </c>
      <c r="F18" s="204" t="s">
        <v>20</v>
      </c>
      <c r="G18" s="6"/>
    </row>
    <row r="19" spans="1:7" ht="18.5" thickTop="1">
      <c r="A19" s="186" t="s">
        <v>49</v>
      </c>
      <c r="B19" s="209">
        <v>1759.19</v>
      </c>
      <c r="C19" s="187"/>
      <c r="D19" s="187"/>
      <c r="E19" s="187"/>
      <c r="F19" s="188"/>
    </row>
    <row r="20" spans="1:7">
      <c r="D20" s="1"/>
      <c r="E20" s="1"/>
      <c r="F20" s="1"/>
    </row>
  </sheetData>
  <printOptions horizontalCentered="1" verticalCentered="1" gridLines="1" gridLinesSet="0"/>
  <pageMargins left="0.39370078740157483" right="0.55118110236220474" top="0.94488188976377963" bottom="0.51" header="0.23622047244094491" footer="0.23622047244094491"/>
  <pageSetup paperSize="9" scale="91" orientation="landscape" horizontalDpi="300" verticalDpi="300" r:id="rId1"/>
  <headerFooter alignWithMargins="0">
    <oddHeader>&amp;C&amp;"CG Times,Corsivo grassetto"&amp;16&amp;UINTERNATIONAL FINANCE and LEASING ASSOCIATION
Conference and AGM&amp;R&amp;12&amp;A</oddHeader>
    <oddFooter>&amp;L&amp;"CG Times,Corsivo grassetto"&amp;12&amp;D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"/>
  <sheetViews>
    <sheetView zoomScale="75" workbookViewId="0">
      <selection activeCell="B1" sqref="B1"/>
    </sheetView>
  </sheetViews>
  <sheetFormatPr defaultRowHeight="12.5"/>
  <cols>
    <col min="1" max="1" width="39.81640625" customWidth="1"/>
    <col min="2" max="3" width="37" customWidth="1"/>
  </cols>
  <sheetData>
    <row r="1" spans="1:4" ht="33" customHeight="1" thickTop="1">
      <c r="A1" s="29" t="s">
        <v>0</v>
      </c>
      <c r="B1" s="30"/>
      <c r="C1" s="31"/>
    </row>
    <row r="2" spans="1:4" ht="33" customHeight="1">
      <c r="A2" s="32" t="s">
        <v>50</v>
      </c>
      <c r="B2" s="33"/>
      <c r="C2" s="34"/>
    </row>
    <row r="3" spans="1:4" ht="8.25" customHeight="1" thickBot="1">
      <c r="A3" s="15"/>
      <c r="B3" s="4"/>
      <c r="C3" s="5"/>
    </row>
    <row r="4" spans="1:4" ht="20.25" customHeight="1">
      <c r="A4" s="189" t="s">
        <v>2</v>
      </c>
      <c r="B4" s="191"/>
      <c r="C4" s="159"/>
    </row>
    <row r="5" spans="1:4" ht="20.25" customHeight="1" thickBot="1">
      <c r="A5" s="190" t="s">
        <v>30</v>
      </c>
      <c r="B5" s="192"/>
      <c r="C5" s="177"/>
    </row>
    <row r="6" spans="1:4" ht="6" customHeight="1" thickBot="1">
      <c r="A6" s="16"/>
      <c r="B6" s="8"/>
      <c r="C6" s="17"/>
    </row>
    <row r="7" spans="1:4" ht="18.75" customHeight="1">
      <c r="A7" s="18"/>
      <c r="B7" s="35"/>
      <c r="C7" s="165"/>
    </row>
    <row r="8" spans="1:4" ht="15.5">
      <c r="A8" s="20"/>
      <c r="B8" s="10" t="s">
        <v>51</v>
      </c>
      <c r="C8" s="166"/>
    </row>
    <row r="9" spans="1:4" ht="16" thickBot="1">
      <c r="A9" s="22"/>
      <c r="B9" s="12" t="s">
        <v>52</v>
      </c>
      <c r="C9" s="167" t="s">
        <v>38</v>
      </c>
    </row>
    <row r="10" spans="1:4" ht="30.75" customHeight="1">
      <c r="A10" s="24" t="s">
        <v>53</v>
      </c>
      <c r="B10" s="170">
        <v>0</v>
      </c>
      <c r="C10" s="171">
        <v>0</v>
      </c>
      <c r="D10" s="154"/>
    </row>
    <row r="11" spans="1:4" ht="30.75" customHeight="1">
      <c r="A11" s="26" t="s">
        <v>54</v>
      </c>
      <c r="B11" s="172">
        <v>0</v>
      </c>
      <c r="C11" s="173">
        <v>0</v>
      </c>
      <c r="D11" s="154"/>
    </row>
    <row r="12" spans="1:4" ht="30.75" customHeight="1">
      <c r="A12" s="27" t="s">
        <v>45</v>
      </c>
      <c r="B12" s="170">
        <v>0</v>
      </c>
      <c r="C12" s="173">
        <v>0</v>
      </c>
      <c r="D12" s="154"/>
    </row>
    <row r="13" spans="1:4" ht="30.75" customHeight="1">
      <c r="A13" s="27" t="s">
        <v>46</v>
      </c>
      <c r="B13" s="170">
        <v>0</v>
      </c>
      <c r="C13" s="173">
        <v>0</v>
      </c>
      <c r="D13" s="154"/>
    </row>
    <row r="14" spans="1:4" ht="30.75" customHeight="1">
      <c r="A14" s="27" t="s">
        <v>47</v>
      </c>
      <c r="B14" s="170">
        <v>0</v>
      </c>
      <c r="C14" s="173">
        <v>0</v>
      </c>
      <c r="D14" s="154"/>
    </row>
    <row r="15" spans="1:4" ht="30.75" customHeight="1">
      <c r="A15" s="27" t="s">
        <v>55</v>
      </c>
      <c r="B15" s="170">
        <v>0</v>
      </c>
      <c r="C15" s="173">
        <v>0</v>
      </c>
      <c r="D15" s="154"/>
    </row>
    <row r="16" spans="1:4" ht="30.75" customHeight="1" thickBot="1">
      <c r="A16" s="155"/>
      <c r="B16" s="14"/>
      <c r="C16" s="168"/>
      <c r="D16" s="154"/>
    </row>
    <row r="17" spans="1:4" ht="33" customHeight="1" thickTop="1" thickBot="1">
      <c r="A17" s="156" t="s">
        <v>56</v>
      </c>
      <c r="B17" s="157"/>
      <c r="C17" s="158"/>
    </row>
    <row r="18" spans="1:4" ht="20.25" customHeight="1" thickTop="1">
      <c r="A18" s="20"/>
      <c r="B18" s="174" t="s">
        <v>51</v>
      </c>
      <c r="C18" s="169"/>
    </row>
    <row r="19" spans="1:4" ht="30.75" customHeight="1">
      <c r="A19" s="155" t="s">
        <v>57</v>
      </c>
      <c r="B19" s="179">
        <v>0</v>
      </c>
      <c r="C19" s="180"/>
      <c r="D19" s="154"/>
    </row>
    <row r="20" spans="1:4" ht="30.75" customHeight="1">
      <c r="A20" s="155" t="s">
        <v>58</v>
      </c>
      <c r="B20" s="179">
        <v>0</v>
      </c>
      <c r="C20" s="180"/>
      <c r="D20" s="154"/>
    </row>
    <row r="21" spans="1:4" ht="30.75" customHeight="1">
      <c r="A21" s="155" t="s">
        <v>59</v>
      </c>
      <c r="B21" s="179">
        <v>0</v>
      </c>
      <c r="C21" s="180"/>
      <c r="D21" s="154"/>
    </row>
    <row r="22" spans="1:4" ht="30.75" customHeight="1">
      <c r="A22" s="155" t="s">
        <v>60</v>
      </c>
      <c r="B22" s="179">
        <v>0</v>
      </c>
      <c r="C22" s="180"/>
      <c r="D22" s="154"/>
    </row>
    <row r="23" spans="1:4" ht="30.75" customHeight="1" thickBot="1">
      <c r="A23" s="28"/>
      <c r="B23" s="175">
        <v>0</v>
      </c>
      <c r="C23" s="176"/>
    </row>
    <row r="24" spans="1:4" ht="18.5" thickTop="1">
      <c r="A24" s="186" t="s">
        <v>49</v>
      </c>
      <c r="B24" s="209">
        <v>1759.19</v>
      </c>
      <c r="C24" s="178"/>
    </row>
    <row r="26" spans="1:4" ht="18.75" customHeight="1"/>
  </sheetData>
  <printOptions horizontalCentered="1" verticalCentered="1" gridLines="1" gridLinesSet="0"/>
  <pageMargins left="0.39370078740157483" right="0.55118110236220474" top="0.79" bottom="0.53" header="0.23622047244094491" footer="0.23622047244094491"/>
  <pageSetup paperSize="9" scale="83" orientation="landscape" horizontalDpi="300" verticalDpi="300" r:id="rId1"/>
  <headerFooter alignWithMargins="0">
    <oddHeader>&amp;C&amp;"CG Times,Corsivo grassetto"&amp;16&amp;UINTERNATIONAL FINANCE and LEASING ASSOCIATION
Conference and AGM&amp;R&amp;12&amp;A</oddHeader>
    <oddFooter>&amp;L&amp;"CG Times,Corsivo grassetto"&amp;12&amp;D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3"/>
  <sheetViews>
    <sheetView showGridLines="0" tabSelected="1" topLeftCell="A21" zoomScale="75" workbookViewId="0">
      <selection activeCell="B39" sqref="B39"/>
    </sheetView>
  </sheetViews>
  <sheetFormatPr defaultColWidth="10.26953125" defaultRowHeight="10.5"/>
  <cols>
    <col min="1" max="1" width="5.54296875" style="108" customWidth="1"/>
    <col min="2" max="2" width="43.26953125" style="108" customWidth="1"/>
    <col min="3" max="3" width="43.1796875" style="108" customWidth="1"/>
    <col min="4" max="4" width="42.81640625" style="108" customWidth="1"/>
    <col min="5" max="5" width="6.453125" style="108" customWidth="1"/>
    <col min="6" max="16384" width="10.26953125" style="108"/>
  </cols>
  <sheetData>
    <row r="1" spans="1:6" s="86" customFormat="1" ht="26.25" customHeight="1" thickTop="1">
      <c r="A1" s="151"/>
      <c r="B1" s="193" t="s">
        <v>61</v>
      </c>
      <c r="C1" s="193"/>
      <c r="D1" s="152"/>
      <c r="E1" s="153"/>
    </row>
    <row r="2" spans="1:6" s="86" customFormat="1" ht="26.25" customHeight="1" thickBot="1">
      <c r="A2" s="87" t="s">
        <v>62</v>
      </c>
      <c r="B2" s="88"/>
      <c r="C2" s="88"/>
      <c r="D2" s="88"/>
      <c r="E2" s="89"/>
    </row>
    <row r="3" spans="1:6" s="91" customFormat="1" ht="16.5" thickTop="1" thickBot="1">
      <c r="A3" s="127"/>
      <c r="B3" s="90"/>
      <c r="C3" s="90"/>
      <c r="D3" s="90"/>
      <c r="E3" s="109"/>
    </row>
    <row r="4" spans="1:6" s="96" customFormat="1" ht="30" customHeight="1" thickTop="1" thickBot="1">
      <c r="A4" s="128"/>
      <c r="B4" s="92" t="s">
        <v>63</v>
      </c>
      <c r="C4" s="93"/>
      <c r="D4" s="94"/>
      <c r="E4" s="129"/>
      <c r="F4" s="95"/>
    </row>
    <row r="5" spans="1:6" s="91" customFormat="1" ht="16" thickBot="1">
      <c r="A5" s="130"/>
      <c r="B5" s="97"/>
      <c r="C5" s="98" t="s">
        <v>64</v>
      </c>
      <c r="D5" s="99" t="s">
        <v>65</v>
      </c>
      <c r="E5" s="111"/>
    </row>
    <row r="6" spans="1:6" s="91" customFormat="1" ht="23.25" customHeight="1">
      <c r="A6" s="130"/>
      <c r="B6" s="137" t="s">
        <v>66</v>
      </c>
      <c r="C6" s="212">
        <v>0</v>
      </c>
      <c r="D6" s="210">
        <v>0</v>
      </c>
      <c r="E6" s="111"/>
    </row>
    <row r="7" spans="1:6" s="91" customFormat="1" ht="23.25" customHeight="1">
      <c r="A7" s="130"/>
      <c r="B7" s="137" t="s">
        <v>67</v>
      </c>
      <c r="C7" s="212">
        <v>0</v>
      </c>
      <c r="D7" s="210">
        <v>0</v>
      </c>
      <c r="E7" s="111"/>
    </row>
    <row r="8" spans="1:6" s="91" customFormat="1" ht="23.25" customHeight="1">
      <c r="A8" s="130"/>
      <c r="B8" s="138" t="s">
        <v>68</v>
      </c>
      <c r="C8" s="212">
        <v>0</v>
      </c>
      <c r="D8" s="210">
        <v>0</v>
      </c>
      <c r="E8" s="111"/>
      <c r="F8" s="100"/>
    </row>
    <row r="9" spans="1:6" s="91" customFormat="1" ht="23.25" customHeight="1">
      <c r="A9" s="130"/>
      <c r="B9" s="138" t="s">
        <v>69</v>
      </c>
      <c r="C9" s="212">
        <v>0</v>
      </c>
      <c r="D9" s="210">
        <v>0</v>
      </c>
      <c r="E9" s="111"/>
    </row>
    <row r="10" spans="1:6" s="91" customFormat="1" ht="23.25" customHeight="1">
      <c r="A10" s="130"/>
      <c r="B10" s="137" t="s">
        <v>70</v>
      </c>
      <c r="C10" s="212">
        <v>0</v>
      </c>
      <c r="D10" s="210">
        <v>0</v>
      </c>
      <c r="E10" s="111"/>
    </row>
    <row r="11" spans="1:6" s="91" customFormat="1" ht="23.25" customHeight="1">
      <c r="A11" s="130"/>
      <c r="B11" s="137" t="s">
        <v>71</v>
      </c>
      <c r="C11" s="212">
        <v>0</v>
      </c>
      <c r="D11" s="210">
        <v>0</v>
      </c>
      <c r="E11" s="111"/>
    </row>
    <row r="12" spans="1:6" s="101" customFormat="1" ht="23.25" customHeight="1" thickBot="1">
      <c r="A12" s="130"/>
      <c r="B12" s="139" t="s">
        <v>72</v>
      </c>
      <c r="C12" s="212">
        <v>0</v>
      </c>
      <c r="D12" s="210">
        <v>0</v>
      </c>
      <c r="E12" s="112"/>
    </row>
    <row r="13" spans="1:6" s="96" customFormat="1" ht="32.25" customHeight="1" thickTop="1" thickBot="1">
      <c r="A13" s="130"/>
      <c r="B13" s="117" t="s">
        <v>73</v>
      </c>
      <c r="C13" s="118"/>
      <c r="D13" s="119"/>
      <c r="E13" s="110"/>
    </row>
    <row r="14" spans="1:6" s="91" customFormat="1" ht="13.5" customHeight="1">
      <c r="A14" s="130"/>
      <c r="B14" s="120" t="s">
        <v>74</v>
      </c>
      <c r="C14" s="102"/>
      <c r="D14" s="160"/>
      <c r="E14" s="111"/>
    </row>
    <row r="15" spans="1:6" s="101" customFormat="1" ht="23.25" customHeight="1" thickBot="1">
      <c r="A15" s="130"/>
      <c r="B15" s="121" t="s">
        <v>75</v>
      </c>
      <c r="C15" s="103"/>
      <c r="D15" s="161">
        <v>0</v>
      </c>
      <c r="E15" s="112"/>
    </row>
    <row r="16" spans="1:6" s="91" customFormat="1" ht="14.25" customHeight="1">
      <c r="A16" s="130"/>
      <c r="B16" s="97" t="s">
        <v>76</v>
      </c>
      <c r="C16" s="104"/>
      <c r="D16" s="160"/>
      <c r="E16" s="111"/>
    </row>
    <row r="17" spans="1:5" s="91" customFormat="1" ht="23.25" customHeight="1" thickBot="1">
      <c r="A17" s="130"/>
      <c r="B17" s="122" t="s">
        <v>77</v>
      </c>
      <c r="C17" s="105"/>
      <c r="D17" s="214">
        <v>0</v>
      </c>
      <c r="E17" s="111"/>
    </row>
    <row r="18" spans="1:5" s="91" customFormat="1" ht="14.25" customHeight="1">
      <c r="A18" s="130"/>
      <c r="B18" s="120" t="s">
        <v>78</v>
      </c>
      <c r="C18" s="102"/>
      <c r="D18" s="162"/>
      <c r="E18" s="111"/>
    </row>
    <row r="19" spans="1:5" s="91" customFormat="1" ht="19.5" customHeight="1">
      <c r="A19" s="130"/>
      <c r="B19" s="123" t="s">
        <v>79</v>
      </c>
      <c r="C19" s="116"/>
      <c r="D19" s="162">
        <v>0</v>
      </c>
      <c r="E19" s="111"/>
    </row>
    <row r="20" spans="1:5" s="91" customFormat="1" ht="19.5" customHeight="1" thickBot="1">
      <c r="A20" s="130"/>
      <c r="B20" s="121" t="s">
        <v>80</v>
      </c>
      <c r="C20" s="103"/>
      <c r="D20" s="161">
        <v>0</v>
      </c>
      <c r="E20" s="111"/>
    </row>
    <row r="21" spans="1:5" s="101" customFormat="1" ht="18.75" customHeight="1">
      <c r="A21" s="130"/>
      <c r="B21" s="140" t="s">
        <v>81</v>
      </c>
      <c r="C21" s="141"/>
      <c r="D21" s="142"/>
      <c r="E21" s="112"/>
    </row>
    <row r="22" spans="1:5" s="101" customFormat="1" ht="18.75" customHeight="1">
      <c r="A22" s="130"/>
      <c r="B22" s="143" t="s">
        <v>82</v>
      </c>
      <c r="C22" s="144"/>
      <c r="D22" s="145"/>
      <c r="E22" s="112"/>
    </row>
    <row r="23" spans="1:5" s="101" customFormat="1" ht="18.75" customHeight="1">
      <c r="A23" s="130"/>
      <c r="B23" s="143" t="s">
        <v>83</v>
      </c>
      <c r="C23" s="146"/>
      <c r="D23" s="147"/>
      <c r="E23" s="112"/>
    </row>
    <row r="24" spans="1:5" s="101" customFormat="1" ht="18.75" customHeight="1" thickBot="1">
      <c r="A24" s="130"/>
      <c r="B24" s="148" t="s">
        <v>84</v>
      </c>
      <c r="C24" s="149"/>
      <c r="D24" s="150"/>
      <c r="E24" s="112"/>
    </row>
    <row r="25" spans="1:5" s="107" customFormat="1" ht="16" thickBot="1">
      <c r="A25" s="130"/>
      <c r="B25" s="106"/>
      <c r="C25" s="106"/>
      <c r="D25" s="106"/>
      <c r="E25" s="131"/>
    </row>
    <row r="26" spans="1:5" s="91" customFormat="1" ht="18" customHeight="1" thickTop="1">
      <c r="A26" s="130"/>
      <c r="B26" s="133" t="s">
        <v>85</v>
      </c>
      <c r="C26" s="134"/>
      <c r="D26" s="163"/>
      <c r="E26" s="111"/>
    </row>
    <row r="27" spans="1:5" s="101" customFormat="1" ht="18" customHeight="1" thickBot="1">
      <c r="A27" s="130"/>
      <c r="B27" s="124" t="s">
        <v>86</v>
      </c>
      <c r="C27" s="103"/>
      <c r="D27" s="161">
        <v>0</v>
      </c>
      <c r="E27" s="112"/>
    </row>
    <row r="28" spans="1:5" s="91" customFormat="1" ht="18" customHeight="1">
      <c r="A28" s="130"/>
      <c r="B28" s="125" t="s">
        <v>87</v>
      </c>
      <c r="C28" s="102"/>
      <c r="D28" s="160"/>
      <c r="E28" s="111"/>
    </row>
    <row r="29" spans="1:5" s="91" customFormat="1" ht="18" customHeight="1">
      <c r="A29" s="130"/>
      <c r="B29" s="126" t="s">
        <v>88</v>
      </c>
      <c r="C29" s="115"/>
      <c r="D29" s="162">
        <v>0</v>
      </c>
      <c r="E29" s="111"/>
    </row>
    <row r="30" spans="1:5" s="101" customFormat="1" ht="18" customHeight="1" thickBot="1">
      <c r="A30" s="130"/>
      <c r="B30" s="124" t="s">
        <v>89</v>
      </c>
      <c r="C30" s="103"/>
      <c r="D30" s="215">
        <v>0</v>
      </c>
      <c r="E30" s="112"/>
    </row>
    <row r="31" spans="1:5" s="91" customFormat="1" ht="18" customHeight="1">
      <c r="A31" s="130"/>
      <c r="B31" s="120"/>
      <c r="C31" s="102"/>
      <c r="D31" s="160"/>
      <c r="E31" s="111"/>
    </row>
    <row r="32" spans="1:5" s="101" customFormat="1" ht="18" customHeight="1" thickBot="1">
      <c r="A32" s="130"/>
      <c r="B32" s="135" t="s">
        <v>90</v>
      </c>
      <c r="C32" s="136"/>
      <c r="D32" s="164">
        <v>0</v>
      </c>
      <c r="E32" s="112"/>
    </row>
    <row r="33" spans="1:5" ht="16.5" customHeight="1" thickTop="1" thickBot="1">
      <c r="A33" s="132"/>
      <c r="B33" s="113"/>
      <c r="C33" s="113"/>
      <c r="D33" s="113"/>
      <c r="E33" s="114"/>
    </row>
    <row r="34" spans="1:5" ht="18.5" thickTop="1">
      <c r="B34" s="186" t="s">
        <v>91</v>
      </c>
      <c r="C34" s="209">
        <v>1702.05</v>
      </c>
      <c r="D34" s="178"/>
    </row>
    <row r="39" spans="1:5" ht="12" customHeight="1" thickBot="1"/>
    <row r="40" spans="1:5" ht="31.5" customHeight="1" thickTop="1">
      <c r="A40" s="151"/>
      <c r="B40" s="193" t="s">
        <v>92</v>
      </c>
      <c r="C40" s="193"/>
      <c r="D40" s="152"/>
      <c r="E40" s="153"/>
    </row>
    <row r="41" spans="1:5" ht="31.5" customHeight="1" thickBot="1">
      <c r="A41" s="87" t="s">
        <v>62</v>
      </c>
      <c r="B41" s="88"/>
      <c r="C41" s="88"/>
      <c r="D41" s="88"/>
      <c r="E41" s="89"/>
    </row>
    <row r="42" spans="1:5" ht="16.5" thickTop="1" thickBot="1">
      <c r="A42" s="127"/>
      <c r="B42" s="90"/>
      <c r="C42" s="90"/>
      <c r="D42" s="90"/>
      <c r="E42" s="109"/>
    </row>
    <row r="43" spans="1:5" ht="19" thickTop="1" thickBot="1">
      <c r="A43" s="128"/>
      <c r="B43" s="92" t="s">
        <v>63</v>
      </c>
      <c r="C43" s="93"/>
      <c r="D43" s="94"/>
      <c r="E43" s="129"/>
    </row>
    <row r="44" spans="1:5" ht="16" thickBot="1">
      <c r="A44" s="130"/>
      <c r="B44" s="97"/>
      <c r="C44" s="98" t="s">
        <v>93</v>
      </c>
      <c r="D44" s="99" t="s">
        <v>65</v>
      </c>
      <c r="E44" s="111"/>
    </row>
    <row r="45" spans="1:5" ht="20.5">
      <c r="A45" s="130"/>
      <c r="B45" s="137" t="s">
        <v>66</v>
      </c>
      <c r="C45" s="211">
        <f>C6/$C$34</f>
        <v>0</v>
      </c>
      <c r="D45" s="210" t="e">
        <f>(C45*2)/(#REF!/$C$34)</f>
        <v>#REF!</v>
      </c>
      <c r="E45" s="111"/>
    </row>
    <row r="46" spans="1:5" ht="20.5">
      <c r="A46" s="130"/>
      <c r="B46" s="137" t="s">
        <v>67</v>
      </c>
      <c r="C46" s="211">
        <f>SUM(C47:C48)</f>
        <v>0</v>
      </c>
      <c r="D46" s="210" t="e">
        <f>SUM(D47:D48)</f>
        <v>#REF!</v>
      </c>
      <c r="E46" s="111"/>
    </row>
    <row r="47" spans="1:5" ht="20.5">
      <c r="A47" s="130"/>
      <c r="B47" s="138" t="s">
        <v>68</v>
      </c>
      <c r="C47" s="211">
        <f t="shared" ref="C47:C51" si="0">C8/$C$34</f>
        <v>0</v>
      </c>
      <c r="D47" s="210" t="e">
        <f>(C47*2)/(#REF!/$C$34)</f>
        <v>#REF!</v>
      </c>
      <c r="E47" s="111"/>
    </row>
    <row r="48" spans="1:5" ht="20.5">
      <c r="A48" s="130"/>
      <c r="B48" s="138" t="s">
        <v>69</v>
      </c>
      <c r="C48" s="211">
        <f t="shared" si="0"/>
        <v>0</v>
      </c>
      <c r="D48" s="210" t="e">
        <f>(C48*2)/(#REF!/$C$34)</f>
        <v>#REF!</v>
      </c>
      <c r="E48" s="111"/>
    </row>
    <row r="49" spans="1:5" ht="20.5">
      <c r="A49" s="130"/>
      <c r="B49" s="137" t="s">
        <v>70</v>
      </c>
      <c r="C49" s="211">
        <f t="shared" si="0"/>
        <v>0</v>
      </c>
      <c r="D49" s="210" t="e">
        <f>(C49*2)/(#REF!/$C$34)</f>
        <v>#REF!</v>
      </c>
      <c r="E49" s="111"/>
    </row>
    <row r="50" spans="1:5" ht="20.5">
      <c r="A50" s="130"/>
      <c r="B50" s="137" t="s">
        <v>71</v>
      </c>
      <c r="C50" s="211">
        <f t="shared" si="0"/>
        <v>0</v>
      </c>
      <c r="D50" s="210" t="e">
        <f>(C50*2)/(#REF!/$C$34)</f>
        <v>#REF!</v>
      </c>
      <c r="E50" s="111"/>
    </row>
    <row r="51" spans="1:5" ht="21" thickBot="1">
      <c r="A51" s="130"/>
      <c r="B51" s="139" t="s">
        <v>72</v>
      </c>
      <c r="C51" s="211">
        <f t="shared" si="0"/>
        <v>0</v>
      </c>
      <c r="D51" s="210" t="e">
        <f>D45-D47-D48-D49-D50</f>
        <v>#REF!</v>
      </c>
      <c r="E51" s="112"/>
    </row>
    <row r="52" spans="1:5" ht="19" thickTop="1" thickBot="1">
      <c r="A52" s="130"/>
      <c r="B52" s="117" t="s">
        <v>73</v>
      </c>
      <c r="C52" s="118"/>
      <c r="D52" s="119"/>
      <c r="E52" s="110"/>
    </row>
    <row r="53" spans="1:5" ht="20.5">
      <c r="A53" s="130"/>
      <c r="B53" s="120" t="s">
        <v>74</v>
      </c>
      <c r="C53" s="102"/>
      <c r="D53" s="160"/>
      <c r="E53" s="111"/>
    </row>
    <row r="54" spans="1:5" ht="21" thickBot="1">
      <c r="A54" s="130"/>
      <c r="B54" s="121" t="s">
        <v>75</v>
      </c>
      <c r="C54" s="103"/>
      <c r="D54" s="161" t="e">
        <f>(28991/$C$34)/(#REF!/$C$34)</f>
        <v>#REF!</v>
      </c>
      <c r="E54" s="112"/>
    </row>
    <row r="55" spans="1:5" ht="20.5">
      <c r="A55" s="130"/>
      <c r="B55" s="97" t="s">
        <v>76</v>
      </c>
      <c r="C55" s="104"/>
      <c r="D55" s="160"/>
      <c r="E55" s="111"/>
    </row>
    <row r="56" spans="1:5" ht="21" thickBot="1">
      <c r="A56" s="130"/>
      <c r="B56" s="122" t="s">
        <v>94</v>
      </c>
      <c r="C56" s="105"/>
      <c r="D56" s="213">
        <f>D17/C34</f>
        <v>0</v>
      </c>
      <c r="E56" s="111"/>
    </row>
    <row r="57" spans="1:5" ht="20.5">
      <c r="A57" s="130"/>
      <c r="B57" s="120" t="s">
        <v>78</v>
      </c>
      <c r="C57" s="102"/>
      <c r="D57" s="162"/>
      <c r="E57" s="111"/>
    </row>
    <row r="58" spans="1:5" ht="20.5">
      <c r="A58" s="130"/>
      <c r="B58" s="123" t="s">
        <v>79</v>
      </c>
      <c r="C58" s="116"/>
      <c r="D58" s="162">
        <f>D19</f>
        <v>0</v>
      </c>
      <c r="E58" s="111"/>
    </row>
    <row r="59" spans="1:5" ht="21" thickBot="1">
      <c r="A59" s="130"/>
      <c r="B59" s="121" t="s">
        <v>80</v>
      </c>
      <c r="C59" s="103"/>
      <c r="D59" s="161">
        <f>D20</f>
        <v>0</v>
      </c>
      <c r="E59" s="111"/>
    </row>
    <row r="60" spans="1:5" ht="15.5">
      <c r="A60" s="130"/>
      <c r="B60" s="140" t="s">
        <v>81</v>
      </c>
      <c r="C60" s="141"/>
      <c r="D60" s="142"/>
      <c r="E60" s="112"/>
    </row>
    <row r="61" spans="1:5" ht="15.5">
      <c r="A61" s="130"/>
      <c r="B61" s="143" t="s">
        <v>82</v>
      </c>
      <c r="C61" s="144"/>
      <c r="D61" s="145"/>
      <c r="E61" s="112"/>
    </row>
    <row r="62" spans="1:5" ht="15.5">
      <c r="A62" s="130"/>
      <c r="B62" s="143" t="s">
        <v>83</v>
      </c>
      <c r="C62" s="146"/>
      <c r="D62" s="147"/>
      <c r="E62" s="112"/>
    </row>
    <row r="63" spans="1:5" ht="16" thickBot="1">
      <c r="A63" s="130"/>
      <c r="B63" s="148" t="s">
        <v>84</v>
      </c>
      <c r="C63" s="149"/>
      <c r="D63" s="150"/>
      <c r="E63" s="112"/>
    </row>
    <row r="64" spans="1:5" ht="16" thickBot="1">
      <c r="A64" s="130"/>
      <c r="B64" s="106"/>
      <c r="C64" s="106"/>
      <c r="D64" s="106"/>
      <c r="E64" s="131"/>
    </row>
    <row r="65" spans="1:5" ht="21" thickTop="1">
      <c r="A65" s="130"/>
      <c r="B65" s="133" t="s">
        <v>85</v>
      </c>
      <c r="C65" s="134"/>
      <c r="D65" s="163"/>
      <c r="E65" s="111"/>
    </row>
    <row r="66" spans="1:5" ht="21" thickBot="1">
      <c r="A66" s="130"/>
      <c r="B66" s="124" t="s">
        <v>86</v>
      </c>
      <c r="C66" s="103"/>
      <c r="D66" s="161">
        <f>541/22020</f>
        <v>2.4568574023614894E-2</v>
      </c>
      <c r="E66" s="112"/>
    </row>
    <row r="67" spans="1:5" ht="20.5">
      <c r="A67" s="130"/>
      <c r="B67" s="125" t="s">
        <v>87</v>
      </c>
      <c r="C67" s="102"/>
      <c r="D67" s="160"/>
      <c r="E67" s="111"/>
    </row>
    <row r="68" spans="1:5" ht="20.5">
      <c r="A68" s="130"/>
      <c r="B68" s="126" t="s">
        <v>88</v>
      </c>
      <c r="C68" s="115"/>
      <c r="D68" s="162" t="e">
        <f>(996/C34)/C45</f>
        <v>#DIV/0!</v>
      </c>
      <c r="E68" s="111"/>
    </row>
    <row r="69" spans="1:5" ht="21" thickBot="1">
      <c r="A69" s="130"/>
      <c r="B69" s="124" t="s">
        <v>89</v>
      </c>
      <c r="C69" s="103"/>
      <c r="D69" s="215" t="e">
        <f>(996/C34)/(#REF!/C34)</f>
        <v>#REF!</v>
      </c>
      <c r="E69" s="112"/>
    </row>
    <row r="70" spans="1:5" ht="20.5">
      <c r="A70" s="130"/>
      <c r="B70" s="120"/>
      <c r="C70" s="102"/>
      <c r="D70" s="160"/>
      <c r="E70" s="111"/>
    </row>
    <row r="71" spans="1:5" ht="21" thickBot="1">
      <c r="A71" s="130"/>
      <c r="B71" s="135" t="s">
        <v>90</v>
      </c>
      <c r="C71" s="136"/>
      <c r="D71" s="164">
        <f>D32</f>
        <v>0</v>
      </c>
      <c r="E71" s="112"/>
    </row>
    <row r="72" spans="1:5" ht="11.5" thickTop="1" thickBot="1">
      <c r="A72" s="132"/>
      <c r="B72" s="113"/>
      <c r="C72" s="113"/>
      <c r="D72" s="113"/>
      <c r="E72" s="114"/>
    </row>
    <row r="73" spans="1:5" ht="18.5" thickTop="1">
      <c r="B73" s="186" t="s">
        <v>95</v>
      </c>
      <c r="C73" s="209">
        <v>1702.05</v>
      </c>
      <c r="D73" s="178"/>
    </row>
  </sheetData>
  <printOptions horizontalCentered="1" verticalCentered="1" gridLinesSet="0"/>
  <pageMargins left="0.38" right="0.46" top="0.59" bottom="0.56999999999999995" header="0" footer="0"/>
  <pageSetup paperSize="9" scale="75" orientation="landscape" horizontalDpi="300" verticalDpi="300" r:id="rId1"/>
  <headerFooter alignWithMargins="0">
    <oddHeader>&amp;C&amp;"CG Times,Corsivo grassetto"&amp;16INTERNATIONAL FINANCE and LEASING ASSOCIATION - Extraordinary AGM and 
Workshoop 17 - 18 april 1998.&amp;R&amp;12&amp;A</oddHeader>
    <oddFooter>&amp;L&amp;"Arial,Corsivo"&amp;D&amp;R&amp;"CG Times,Corsivo grassetto"&amp;14Note: all figures in USD have  calculated on the exchange rate at 30 june 1997.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sheet1!Print_Area</vt:lpstr>
      <vt:lpstr>sheet2!Print_Area</vt:lpstr>
      <vt:lpstr>sheet3!Print_Area</vt:lpstr>
      <vt:lpstr>SHEET4!Print_Area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DATABASE ASSILEASING</dc:title>
  <dc:subject>DATI MERCATO/ASSILEA</dc:subject>
  <dc:creator>MASSIMO GHILARDI</dc:creator>
  <cp:keywords/>
  <dc:description/>
  <cp:lastModifiedBy>Carina Negreanu</cp:lastModifiedBy>
  <cp:lastPrinted>1998-03-25T09:58:22Z</cp:lastPrinted>
  <dcterms:created xsi:type="dcterms:W3CDTF">1998-02-17T08:01:52Z</dcterms:created>
  <dcterms:modified xsi:type="dcterms:W3CDTF">2020-01-27T11:44:16Z</dcterms:modified>
</cp:coreProperties>
</file>