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DBB4CF-0175-426D-81D8-5428BA6E99A7}" xr6:coauthVersionLast="45" xr6:coauthVersionMax="45" xr10:uidLastSave="{00000000-0000-0000-0000-000000000000}"/>
  <bookViews>
    <workbookView xWindow="2280" yWindow="2280" windowWidth="28800" windowHeight="15460"/>
  </bookViews>
  <sheets>
    <sheet name="MC1" sheetId="1" r:id="rId1"/>
    <sheet name="MC2" sheetId="2" r:id="rId2"/>
    <sheet name="QMC" sheetId="3" r:id="rId3"/>
    <sheet name="Compare" sheetId="4" r:id="rId4"/>
    <sheet name="NI" sheetId="5" r:id="rId5"/>
    <sheet name="Chart1" sheetId="7" r:id="rId6"/>
  </sheets>
  <calcPr calcId="0"/>
</workbook>
</file>

<file path=xl/calcChain.xml><?xml version="1.0" encoding="utf-8"?>
<calcChain xmlns="http://schemas.openxmlformats.org/spreadsheetml/2006/main">
  <c r="F6" i="4" l="1"/>
  <c r="G6" i="4"/>
  <c r="H6" i="4"/>
  <c r="F7" i="4"/>
  <c r="G7" i="4"/>
  <c r="H7" i="4"/>
  <c r="F8" i="4"/>
  <c r="G8" i="4"/>
  <c r="H8" i="4"/>
  <c r="F9" i="4"/>
  <c r="G9" i="4"/>
  <c r="H9" i="4"/>
  <c r="F10" i="4"/>
  <c r="G10" i="4"/>
  <c r="H10" i="4"/>
  <c r="B11" i="4"/>
  <c r="F11" i="4"/>
  <c r="G11" i="4"/>
  <c r="H11" i="4"/>
  <c r="F12" i="4"/>
  <c r="G12" i="4"/>
  <c r="H12" i="4"/>
  <c r="F13" i="4"/>
  <c r="G13" i="4"/>
  <c r="H13" i="4"/>
  <c r="F14" i="4"/>
  <c r="G14" i="4"/>
  <c r="H14" i="4"/>
  <c r="B15" i="4"/>
  <c r="F15" i="4"/>
  <c r="G15" i="4"/>
  <c r="H15" i="4"/>
  <c r="F16" i="4"/>
  <c r="G16" i="4"/>
  <c r="H16" i="4"/>
  <c r="F17" i="4"/>
  <c r="G17" i="4"/>
  <c r="H17" i="4"/>
  <c r="E5" i="1"/>
  <c r="E7" i="1"/>
  <c r="B11" i="1"/>
  <c r="B16" i="1"/>
  <c r="B17" i="1"/>
  <c r="B18" i="1"/>
  <c r="B22" i="1"/>
  <c r="C22" i="1"/>
  <c r="E22" i="1" s="1"/>
  <c r="H22" i="1" s="1"/>
  <c r="J22" i="1"/>
  <c r="B23" i="1"/>
  <c r="C23" i="1"/>
  <c r="E23" i="1" s="1"/>
  <c r="H23" i="1" s="1"/>
  <c r="J23" i="1"/>
  <c r="B24" i="1"/>
  <c r="C24" i="1"/>
  <c r="E24" i="1" s="1"/>
  <c r="H24" i="1" s="1"/>
  <c r="J24" i="1"/>
  <c r="B25" i="1"/>
  <c r="C25" i="1"/>
  <c r="E25" i="1" s="1"/>
  <c r="H25" i="1" s="1"/>
  <c r="J25" i="1"/>
  <c r="B26" i="1"/>
  <c r="C26" i="1" s="1"/>
  <c r="E26" i="1" s="1"/>
  <c r="H26" i="1" s="1"/>
  <c r="J26" i="1"/>
  <c r="B27" i="1"/>
  <c r="C27" i="1" s="1"/>
  <c r="E27" i="1" s="1"/>
  <c r="H27" i="1" s="1"/>
  <c r="J27" i="1"/>
  <c r="B28" i="1"/>
  <c r="C28" i="1"/>
  <c r="E28" i="1"/>
  <c r="H28" i="1" s="1"/>
  <c r="J28" i="1"/>
  <c r="B29" i="1"/>
  <c r="C29" i="1"/>
  <c r="E29" i="1" s="1"/>
  <c r="H29" i="1" s="1"/>
  <c r="J29" i="1"/>
  <c r="B30" i="1"/>
  <c r="C30" i="1"/>
  <c r="E30" i="1" s="1"/>
  <c r="H30" i="1" s="1"/>
  <c r="J30" i="1"/>
  <c r="B31" i="1"/>
  <c r="C31" i="1"/>
  <c r="E31" i="1" s="1"/>
  <c r="H31" i="1" s="1"/>
  <c r="J31" i="1"/>
  <c r="B32" i="1"/>
  <c r="C32" i="1"/>
  <c r="E32" i="1" s="1"/>
  <c r="H32" i="1" s="1"/>
  <c r="J32" i="1"/>
  <c r="B33" i="1"/>
  <c r="C33" i="1" s="1"/>
  <c r="E33" i="1" s="1"/>
  <c r="H33" i="1" s="1"/>
  <c r="J33" i="1"/>
  <c r="B34" i="1"/>
  <c r="C34" i="1"/>
  <c r="E34" i="1" s="1"/>
  <c r="H34" i="1" s="1"/>
  <c r="J34" i="1"/>
  <c r="B35" i="1"/>
  <c r="C35" i="1" s="1"/>
  <c r="E35" i="1" s="1"/>
  <c r="H35" i="1" s="1"/>
  <c r="J35" i="1"/>
  <c r="B36" i="1"/>
  <c r="C36" i="1"/>
  <c r="E36" i="1"/>
  <c r="H36" i="1" s="1"/>
  <c r="J36" i="1"/>
  <c r="B37" i="1"/>
  <c r="C37" i="1"/>
  <c r="E37" i="1" s="1"/>
  <c r="H37" i="1" s="1"/>
  <c r="J37" i="1"/>
  <c r="B38" i="1"/>
  <c r="C38" i="1"/>
  <c r="E38" i="1" s="1"/>
  <c r="H38" i="1" s="1"/>
  <c r="J38" i="1"/>
  <c r="B39" i="1"/>
  <c r="C39" i="1" s="1"/>
  <c r="E39" i="1" s="1"/>
  <c r="H39" i="1" s="1"/>
  <c r="J39" i="1"/>
  <c r="B40" i="1"/>
  <c r="C40" i="1"/>
  <c r="E40" i="1"/>
  <c r="H40" i="1" s="1"/>
  <c r="J40" i="1"/>
  <c r="B41" i="1"/>
  <c r="C41" i="1" s="1"/>
  <c r="E41" i="1" s="1"/>
  <c r="H41" i="1" s="1"/>
  <c r="J41" i="1"/>
  <c r="B42" i="1"/>
  <c r="C42" i="1"/>
  <c r="E42" i="1" s="1"/>
  <c r="H42" i="1" s="1"/>
  <c r="J42" i="1"/>
  <c r="B43" i="1"/>
  <c r="C43" i="1"/>
  <c r="E43" i="1" s="1"/>
  <c r="H43" i="1" s="1"/>
  <c r="J43" i="1"/>
  <c r="B44" i="1"/>
  <c r="C44" i="1"/>
  <c r="E44" i="1"/>
  <c r="H44" i="1" s="1"/>
  <c r="J44" i="1"/>
  <c r="B45" i="1"/>
  <c r="C45" i="1" s="1"/>
  <c r="E45" i="1" s="1"/>
  <c r="H45" i="1" s="1"/>
  <c r="J45" i="1"/>
  <c r="B46" i="1"/>
  <c r="C46" i="1"/>
  <c r="E46" i="1" s="1"/>
  <c r="H46" i="1" s="1"/>
  <c r="J46" i="1"/>
  <c r="B47" i="1"/>
  <c r="C47" i="1"/>
  <c r="E47" i="1" s="1"/>
  <c r="H47" i="1" s="1"/>
  <c r="J47" i="1"/>
  <c r="B48" i="1"/>
  <c r="C48" i="1" s="1"/>
  <c r="E48" i="1" s="1"/>
  <c r="H48" i="1" s="1"/>
  <c r="J48" i="1"/>
  <c r="B49" i="1"/>
  <c r="C49" i="1"/>
  <c r="E49" i="1" s="1"/>
  <c r="H49" i="1" s="1"/>
  <c r="J49" i="1"/>
  <c r="B50" i="1"/>
  <c r="C50" i="1"/>
  <c r="E50" i="1" s="1"/>
  <c r="H50" i="1" s="1"/>
  <c r="J50" i="1"/>
  <c r="B51" i="1"/>
  <c r="C51" i="1"/>
  <c r="E51" i="1" s="1"/>
  <c r="H51" i="1" s="1"/>
  <c r="J51" i="1"/>
  <c r="B52" i="1"/>
  <c r="C52" i="1"/>
  <c r="E52" i="1"/>
  <c r="H52" i="1" s="1"/>
  <c r="J52" i="1"/>
  <c r="B53" i="1"/>
  <c r="C53" i="1"/>
  <c r="E53" i="1" s="1"/>
  <c r="H53" i="1" s="1"/>
  <c r="J53" i="1"/>
  <c r="B54" i="1"/>
  <c r="C54" i="1" s="1"/>
  <c r="E54" i="1" s="1"/>
  <c r="H54" i="1" s="1"/>
  <c r="J54" i="1"/>
  <c r="B55" i="1"/>
  <c r="C55" i="1" s="1"/>
  <c r="E55" i="1" s="1"/>
  <c r="H55" i="1" s="1"/>
  <c r="J55" i="1"/>
  <c r="B56" i="1"/>
  <c r="C56" i="1"/>
  <c r="E56" i="1"/>
  <c r="H56" i="1" s="1"/>
  <c r="J56" i="1"/>
  <c r="B57" i="1"/>
  <c r="C57" i="1"/>
  <c r="E57" i="1" s="1"/>
  <c r="H57" i="1" s="1"/>
  <c r="J57" i="1"/>
  <c r="E5" i="2"/>
  <c r="E7" i="2"/>
  <c r="B11" i="2"/>
  <c r="B16" i="2"/>
  <c r="B17" i="2"/>
  <c r="B18" i="2"/>
  <c r="B22" i="2"/>
  <c r="C22" i="2"/>
  <c r="D22" i="2" s="1"/>
  <c r="F22" i="2" s="1"/>
  <c r="B23" i="2"/>
  <c r="C23" i="2"/>
  <c r="D23" i="2" s="1"/>
  <c r="F23" i="2" s="1"/>
  <c r="B24" i="2"/>
  <c r="C24" i="2" s="1"/>
  <c r="B25" i="2"/>
  <c r="C25" i="2"/>
  <c r="E25" i="2" s="1"/>
  <c r="G25" i="2" s="1"/>
  <c r="D25" i="2"/>
  <c r="F25" i="2" s="1"/>
  <c r="B26" i="2"/>
  <c r="C26" i="2" s="1"/>
  <c r="B27" i="2"/>
  <c r="C27" i="2" s="1"/>
  <c r="B28" i="2"/>
  <c r="C28" i="2"/>
  <c r="E28" i="2" s="1"/>
  <c r="G28" i="2" s="1"/>
  <c r="D28" i="2"/>
  <c r="F28" i="2" s="1"/>
  <c r="B29" i="2"/>
  <c r="C29" i="2"/>
  <c r="D29" i="2" s="1"/>
  <c r="F29" i="2" s="1"/>
  <c r="B30" i="2"/>
  <c r="C30" i="2"/>
  <c r="E30" i="2" s="1"/>
  <c r="G30" i="2" s="1"/>
  <c r="D30" i="2"/>
  <c r="F30" i="2" s="1"/>
  <c r="H30" i="2" s="1"/>
  <c r="B31" i="2"/>
  <c r="C31" i="2"/>
  <c r="D31" i="2" s="1"/>
  <c r="F31" i="2" s="1"/>
  <c r="B32" i="2"/>
  <c r="C32" i="2" s="1"/>
  <c r="B33" i="2"/>
  <c r="C33" i="2"/>
  <c r="D33" i="2" s="1"/>
  <c r="F33" i="2" s="1"/>
  <c r="B34" i="2"/>
  <c r="C34" i="2" s="1"/>
  <c r="B35" i="2"/>
  <c r="C35" i="2" s="1"/>
  <c r="B36" i="2"/>
  <c r="C36" i="2" s="1"/>
  <c r="B37" i="2"/>
  <c r="C37" i="2" s="1"/>
  <c r="B38" i="2"/>
  <c r="C38" i="2"/>
  <c r="D38" i="2" s="1"/>
  <c r="F38" i="2" s="1"/>
  <c r="B39" i="2"/>
  <c r="C39" i="2"/>
  <c r="D39" i="2"/>
  <c r="E39" i="2"/>
  <c r="F39" i="2"/>
  <c r="G39" i="2"/>
  <c r="B40" i="2"/>
  <c r="C40" i="2"/>
  <c r="E40" i="2" s="1"/>
  <c r="G40" i="2" s="1"/>
  <c r="D40" i="2"/>
  <c r="F40" i="2" s="1"/>
  <c r="B41" i="2"/>
  <c r="C41" i="2" s="1"/>
  <c r="B42" i="2"/>
  <c r="C42" i="2"/>
  <c r="D42" i="2"/>
  <c r="F42" i="2" s="1"/>
  <c r="H42" i="2" s="1"/>
  <c r="E42" i="2"/>
  <c r="G42" i="2" s="1"/>
  <c r="B43" i="2"/>
  <c r="C43" i="2" s="1"/>
  <c r="B44" i="2"/>
  <c r="C44" i="2" s="1"/>
  <c r="B45" i="2"/>
  <c r="C45" i="2"/>
  <c r="D45" i="2"/>
  <c r="F45" i="2" s="1"/>
  <c r="E45" i="2"/>
  <c r="G45" i="2" s="1"/>
  <c r="B46" i="2"/>
  <c r="C46" i="2" s="1"/>
  <c r="B47" i="2"/>
  <c r="C47" i="2" s="1"/>
  <c r="B48" i="2"/>
  <c r="C48" i="2"/>
  <c r="E48" i="2" s="1"/>
  <c r="G48" i="2" s="1"/>
  <c r="D48" i="2"/>
  <c r="F48" i="2" s="1"/>
  <c r="B49" i="2"/>
  <c r="C49" i="2"/>
  <c r="D49" i="2" s="1"/>
  <c r="F49" i="2" s="1"/>
  <c r="B50" i="2"/>
  <c r="C50" i="2" s="1"/>
  <c r="B51" i="2"/>
  <c r="C51" i="2" s="1"/>
  <c r="D51" i="2" s="1"/>
  <c r="F51" i="2" s="1"/>
  <c r="B52" i="2"/>
  <c r="C52" i="2" s="1"/>
  <c r="B53" i="2"/>
  <c r="C53" i="2"/>
  <c r="D53" i="2" s="1"/>
  <c r="F53" i="2" s="1"/>
  <c r="B54" i="2"/>
  <c r="C54" i="2" s="1"/>
  <c r="B55" i="2"/>
  <c r="C55" i="2" s="1"/>
  <c r="B56" i="2"/>
  <c r="C56" i="2" s="1"/>
  <c r="B57" i="2"/>
  <c r="C57" i="2" s="1"/>
  <c r="H5" i="5"/>
  <c r="M6" i="5"/>
  <c r="H7" i="5"/>
  <c r="M7" i="5"/>
  <c r="M8" i="5"/>
  <c r="H9" i="5"/>
  <c r="I9" i="5"/>
  <c r="M9" i="5"/>
  <c r="H10" i="5"/>
  <c r="M10" i="5"/>
  <c r="M11" i="5"/>
  <c r="M12" i="5"/>
  <c r="H13" i="5"/>
  <c r="D15" i="5"/>
  <c r="M16" i="5"/>
  <c r="Q16" i="5"/>
  <c r="D17" i="5"/>
  <c r="H17" i="5"/>
  <c r="B21" i="5"/>
  <c r="C21" i="5"/>
  <c r="E21" i="5"/>
  <c r="F21" i="5"/>
  <c r="H21" i="5"/>
  <c r="M21" i="5"/>
  <c r="N21" i="5"/>
  <c r="P21" i="5"/>
  <c r="Q21" i="5"/>
  <c r="S21" i="5"/>
  <c r="B22" i="5"/>
  <c r="C22" i="5"/>
  <c r="E22" i="5"/>
  <c r="F22" i="5"/>
  <c r="H22" i="5"/>
  <c r="M22" i="5"/>
  <c r="N22" i="5"/>
  <c r="P22" i="5"/>
  <c r="Q22" i="5"/>
  <c r="S22" i="5"/>
  <c r="B23" i="5"/>
  <c r="C23" i="5"/>
  <c r="E23" i="5"/>
  <c r="F23" i="5"/>
  <c r="H23" i="5"/>
  <c r="M23" i="5"/>
  <c r="N23" i="5"/>
  <c r="P23" i="5"/>
  <c r="Q23" i="5"/>
  <c r="S23" i="5"/>
  <c r="B24" i="5"/>
  <c r="C24" i="5"/>
  <c r="E24" i="5"/>
  <c r="F24" i="5"/>
  <c r="H24" i="5"/>
  <c r="M24" i="5"/>
  <c r="N24" i="5"/>
  <c r="P24" i="5"/>
  <c r="Q24" i="5"/>
  <c r="S24" i="5"/>
  <c r="B25" i="5"/>
  <c r="C25" i="5"/>
  <c r="E25" i="5"/>
  <c r="F25" i="5"/>
  <c r="H25" i="5"/>
  <c r="M25" i="5"/>
  <c r="N25" i="5"/>
  <c r="P25" i="5"/>
  <c r="Q25" i="5"/>
  <c r="S25" i="5"/>
  <c r="B26" i="5"/>
  <c r="C26" i="5"/>
  <c r="E26" i="5"/>
  <c r="F26" i="5"/>
  <c r="H26" i="5"/>
  <c r="M26" i="5"/>
  <c r="N26" i="5"/>
  <c r="P26" i="5"/>
  <c r="Q26" i="5"/>
  <c r="S26" i="5"/>
  <c r="B27" i="5"/>
  <c r="C27" i="5"/>
  <c r="E27" i="5"/>
  <c r="F27" i="5"/>
  <c r="H27" i="5"/>
  <c r="M27" i="5"/>
  <c r="N27" i="5"/>
  <c r="P27" i="5"/>
  <c r="Q27" i="5"/>
  <c r="S27" i="5"/>
  <c r="B28" i="5"/>
  <c r="C28" i="5"/>
  <c r="E28" i="5"/>
  <c r="F28" i="5"/>
  <c r="H28" i="5"/>
  <c r="M28" i="5"/>
  <c r="N28" i="5"/>
  <c r="P28" i="5"/>
  <c r="Q28" i="5"/>
  <c r="S28" i="5"/>
  <c r="B29" i="5"/>
  <c r="C29" i="5"/>
  <c r="E29" i="5"/>
  <c r="F29" i="5"/>
  <c r="H29" i="5"/>
  <c r="M29" i="5"/>
  <c r="N29" i="5"/>
  <c r="P29" i="5"/>
  <c r="Q29" i="5"/>
  <c r="S29" i="5"/>
  <c r="B30" i="5"/>
  <c r="C30" i="5"/>
  <c r="E30" i="5"/>
  <c r="F30" i="5"/>
  <c r="H30" i="5"/>
  <c r="M30" i="5"/>
  <c r="N30" i="5"/>
  <c r="P30" i="5"/>
  <c r="Q30" i="5"/>
  <c r="S30" i="5"/>
  <c r="B31" i="5"/>
  <c r="C31" i="5"/>
  <c r="E31" i="5"/>
  <c r="F31" i="5"/>
  <c r="H31" i="5"/>
  <c r="M31" i="5"/>
  <c r="N31" i="5"/>
  <c r="P31" i="5"/>
  <c r="Q31" i="5"/>
  <c r="S31" i="5"/>
  <c r="B32" i="5"/>
  <c r="C32" i="5"/>
  <c r="E32" i="5"/>
  <c r="F32" i="5"/>
  <c r="H32" i="5"/>
  <c r="M32" i="5"/>
  <c r="N32" i="5"/>
  <c r="P32" i="5"/>
  <c r="Q32" i="5"/>
  <c r="S32" i="5"/>
  <c r="B33" i="5"/>
  <c r="C33" i="5"/>
  <c r="E33" i="5"/>
  <c r="F33" i="5"/>
  <c r="H33" i="5"/>
  <c r="M33" i="5"/>
  <c r="N33" i="5"/>
  <c r="P33" i="5"/>
  <c r="Q33" i="5"/>
  <c r="S33" i="5"/>
  <c r="B34" i="5"/>
  <c r="C34" i="5"/>
  <c r="E34" i="5"/>
  <c r="F34" i="5"/>
  <c r="H34" i="5"/>
  <c r="M34" i="5"/>
  <c r="N34" i="5"/>
  <c r="P34" i="5"/>
  <c r="Q34" i="5"/>
  <c r="S34" i="5"/>
  <c r="B35" i="5"/>
  <c r="C35" i="5"/>
  <c r="E35" i="5"/>
  <c r="F35" i="5"/>
  <c r="H35" i="5"/>
  <c r="M35" i="5"/>
  <c r="N35" i="5"/>
  <c r="P35" i="5"/>
  <c r="Q35" i="5"/>
  <c r="S35" i="5"/>
  <c r="B36" i="5"/>
  <c r="C36" i="5"/>
  <c r="E36" i="5"/>
  <c r="F36" i="5"/>
  <c r="H36" i="5"/>
  <c r="M36" i="5"/>
  <c r="N36" i="5"/>
  <c r="P36" i="5"/>
  <c r="Q36" i="5"/>
  <c r="S36" i="5"/>
  <c r="B37" i="5"/>
  <c r="C37" i="5"/>
  <c r="E37" i="5"/>
  <c r="F37" i="5"/>
  <c r="H37" i="5"/>
  <c r="M37" i="5"/>
  <c r="N37" i="5"/>
  <c r="P37" i="5"/>
  <c r="Q37" i="5"/>
  <c r="S37" i="5"/>
  <c r="B38" i="5"/>
  <c r="C38" i="5"/>
  <c r="E38" i="5"/>
  <c r="F38" i="5"/>
  <c r="H38" i="5"/>
  <c r="M38" i="5"/>
  <c r="N38" i="5"/>
  <c r="P38" i="5"/>
  <c r="Q38" i="5"/>
  <c r="S38" i="5"/>
  <c r="B39" i="5"/>
  <c r="C39" i="5"/>
  <c r="E39" i="5"/>
  <c r="F39" i="5"/>
  <c r="H39" i="5"/>
  <c r="M39" i="5"/>
  <c r="N39" i="5"/>
  <c r="P39" i="5"/>
  <c r="Q39" i="5"/>
  <c r="S39" i="5"/>
  <c r="B40" i="5"/>
  <c r="C40" i="5"/>
  <c r="E40" i="5"/>
  <c r="F40" i="5"/>
  <c r="H40" i="5"/>
  <c r="M40" i="5"/>
  <c r="N40" i="5"/>
  <c r="P40" i="5"/>
  <c r="Q40" i="5"/>
  <c r="S40" i="5"/>
  <c r="B41" i="5"/>
  <c r="C41" i="5"/>
  <c r="E41" i="5"/>
  <c r="F41" i="5"/>
  <c r="H41" i="5"/>
  <c r="M41" i="5"/>
  <c r="N41" i="5"/>
  <c r="P41" i="5"/>
  <c r="Q41" i="5"/>
  <c r="S41" i="5"/>
  <c r="B42" i="5"/>
  <c r="C42" i="5"/>
  <c r="E42" i="5"/>
  <c r="F42" i="5"/>
  <c r="H42" i="5"/>
  <c r="M42" i="5"/>
  <c r="N42" i="5"/>
  <c r="P42" i="5"/>
  <c r="Q42" i="5"/>
  <c r="S42" i="5"/>
  <c r="B43" i="5"/>
  <c r="C43" i="5"/>
  <c r="E43" i="5"/>
  <c r="F43" i="5"/>
  <c r="H43" i="5"/>
  <c r="M43" i="5"/>
  <c r="N43" i="5"/>
  <c r="P43" i="5"/>
  <c r="Q43" i="5"/>
  <c r="S43" i="5"/>
  <c r="B44" i="5"/>
  <c r="C44" i="5"/>
  <c r="E44" i="5"/>
  <c r="F44" i="5"/>
  <c r="H44" i="5"/>
  <c r="M44" i="5"/>
  <c r="N44" i="5"/>
  <c r="P44" i="5"/>
  <c r="Q44" i="5"/>
  <c r="S44" i="5"/>
  <c r="B45" i="5"/>
  <c r="C45" i="5"/>
  <c r="E45" i="5"/>
  <c r="F45" i="5"/>
  <c r="H45" i="5"/>
  <c r="M45" i="5"/>
  <c r="N45" i="5"/>
  <c r="P45" i="5"/>
  <c r="Q45" i="5"/>
  <c r="S45" i="5"/>
  <c r="B46" i="5"/>
  <c r="C46" i="5"/>
  <c r="E46" i="5"/>
  <c r="F46" i="5"/>
  <c r="H46" i="5"/>
  <c r="M46" i="5"/>
  <c r="N46" i="5"/>
  <c r="P46" i="5"/>
  <c r="Q46" i="5"/>
  <c r="S46" i="5"/>
  <c r="B47" i="5"/>
  <c r="C47" i="5"/>
  <c r="E47" i="5"/>
  <c r="F47" i="5"/>
  <c r="H47" i="5"/>
  <c r="M47" i="5"/>
  <c r="N47" i="5"/>
  <c r="P47" i="5"/>
  <c r="Q47" i="5"/>
  <c r="S47" i="5"/>
  <c r="B48" i="5"/>
  <c r="C48" i="5"/>
  <c r="E48" i="5"/>
  <c r="F48" i="5"/>
  <c r="H48" i="5"/>
  <c r="M48" i="5"/>
  <c r="N48" i="5"/>
  <c r="P48" i="5"/>
  <c r="Q48" i="5"/>
  <c r="S48" i="5"/>
  <c r="B49" i="5"/>
  <c r="C49" i="5"/>
  <c r="E49" i="5"/>
  <c r="F49" i="5"/>
  <c r="H49" i="5"/>
  <c r="M49" i="5"/>
  <c r="N49" i="5"/>
  <c r="P49" i="5"/>
  <c r="Q49" i="5"/>
  <c r="S49" i="5"/>
  <c r="B50" i="5"/>
  <c r="C50" i="5"/>
  <c r="E50" i="5"/>
  <c r="F50" i="5"/>
  <c r="H50" i="5"/>
  <c r="M50" i="5"/>
  <c r="N50" i="5"/>
  <c r="P50" i="5"/>
  <c r="Q50" i="5"/>
  <c r="S50" i="5"/>
  <c r="B51" i="5"/>
  <c r="C51" i="5"/>
  <c r="E51" i="5"/>
  <c r="F51" i="5"/>
  <c r="H51" i="5"/>
  <c r="M51" i="5"/>
  <c r="N51" i="5"/>
  <c r="P51" i="5"/>
  <c r="Q51" i="5"/>
  <c r="S51" i="5"/>
  <c r="B52" i="5"/>
  <c r="C52" i="5"/>
  <c r="E52" i="5"/>
  <c r="F52" i="5"/>
  <c r="H52" i="5"/>
  <c r="M52" i="5"/>
  <c r="N52" i="5"/>
  <c r="P52" i="5"/>
  <c r="Q52" i="5"/>
  <c r="S52" i="5"/>
  <c r="B53" i="5"/>
  <c r="C53" i="5"/>
  <c r="E53" i="5"/>
  <c r="F53" i="5"/>
  <c r="H53" i="5"/>
  <c r="M53" i="5"/>
  <c r="N53" i="5"/>
  <c r="P53" i="5"/>
  <c r="Q53" i="5"/>
  <c r="S53" i="5"/>
  <c r="B54" i="5"/>
  <c r="C54" i="5"/>
  <c r="E54" i="5"/>
  <c r="F54" i="5"/>
  <c r="H54" i="5"/>
  <c r="M54" i="5"/>
  <c r="N54" i="5"/>
  <c r="P54" i="5"/>
  <c r="Q54" i="5"/>
  <c r="S54" i="5"/>
  <c r="B55" i="5"/>
  <c r="C55" i="5"/>
  <c r="E55" i="5"/>
  <c r="F55" i="5"/>
  <c r="H55" i="5"/>
  <c r="M55" i="5"/>
  <c r="N55" i="5"/>
  <c r="P55" i="5"/>
  <c r="Q55" i="5"/>
  <c r="S55" i="5"/>
  <c r="B56" i="5"/>
  <c r="C56" i="5"/>
  <c r="E56" i="5"/>
  <c r="F56" i="5"/>
  <c r="H56" i="5"/>
  <c r="M56" i="5"/>
  <c r="N56" i="5"/>
  <c r="P56" i="5"/>
  <c r="Q56" i="5"/>
  <c r="S56" i="5"/>
  <c r="E5" i="3"/>
  <c r="E7" i="3"/>
  <c r="E9" i="3"/>
  <c r="E10" i="3"/>
  <c r="B11" i="3"/>
  <c r="B16" i="3"/>
  <c r="B17" i="3"/>
  <c r="B18" i="3"/>
  <c r="B22" i="3"/>
  <c r="C22" i="3"/>
  <c r="E22" i="3"/>
  <c r="H22" i="3"/>
  <c r="B23" i="3"/>
  <c r="C23" i="3"/>
  <c r="E23" i="3"/>
  <c r="H23" i="3"/>
  <c r="B24" i="3"/>
  <c r="C24" i="3"/>
  <c r="E24" i="3"/>
  <c r="H24" i="3"/>
  <c r="B25" i="3"/>
  <c r="C25" i="3"/>
  <c r="E25" i="3"/>
  <c r="H25" i="3"/>
  <c r="B26" i="3"/>
  <c r="C26" i="3"/>
  <c r="E26" i="3"/>
  <c r="H26" i="3"/>
  <c r="B27" i="3"/>
  <c r="C27" i="3"/>
  <c r="E27" i="3"/>
  <c r="H27" i="3"/>
  <c r="B28" i="3"/>
  <c r="C28" i="3"/>
  <c r="E28" i="3"/>
  <c r="H28" i="3"/>
  <c r="B29" i="3"/>
  <c r="C29" i="3"/>
  <c r="E29" i="3"/>
  <c r="H29" i="3"/>
  <c r="B30" i="3"/>
  <c r="C30" i="3"/>
  <c r="E30" i="3"/>
  <c r="H30" i="3"/>
  <c r="B31" i="3"/>
  <c r="C31" i="3"/>
  <c r="E31" i="3"/>
  <c r="H31" i="3"/>
  <c r="B32" i="3"/>
  <c r="C32" i="3"/>
  <c r="E32" i="3"/>
  <c r="H32" i="3"/>
  <c r="B33" i="3"/>
  <c r="C33" i="3"/>
  <c r="E33" i="3"/>
  <c r="H33" i="3"/>
  <c r="B34" i="3"/>
  <c r="C34" i="3"/>
  <c r="E34" i="3"/>
  <c r="H34" i="3"/>
  <c r="B35" i="3"/>
  <c r="C35" i="3"/>
  <c r="E35" i="3"/>
  <c r="H35" i="3"/>
  <c r="B36" i="3"/>
  <c r="C36" i="3"/>
  <c r="E36" i="3"/>
  <c r="H36" i="3"/>
  <c r="B37" i="3"/>
  <c r="C37" i="3"/>
  <c r="E37" i="3"/>
  <c r="H37" i="3"/>
  <c r="B38" i="3"/>
  <c r="C38" i="3"/>
  <c r="E38" i="3"/>
  <c r="H38" i="3"/>
  <c r="B39" i="3"/>
  <c r="C39" i="3"/>
  <c r="E39" i="3"/>
  <c r="H39" i="3"/>
  <c r="B40" i="3"/>
  <c r="C40" i="3"/>
  <c r="E40" i="3"/>
  <c r="H40" i="3"/>
  <c r="B41" i="3"/>
  <c r="C41" i="3"/>
  <c r="E41" i="3"/>
  <c r="H41" i="3"/>
  <c r="B42" i="3"/>
  <c r="C42" i="3"/>
  <c r="E42" i="3"/>
  <c r="H42" i="3"/>
  <c r="B43" i="3"/>
  <c r="C43" i="3"/>
  <c r="E43" i="3"/>
  <c r="H43" i="3"/>
  <c r="B44" i="3"/>
  <c r="C44" i="3"/>
  <c r="E44" i="3"/>
  <c r="H44" i="3"/>
  <c r="B45" i="3"/>
  <c r="C45" i="3"/>
  <c r="E45" i="3"/>
  <c r="H45" i="3"/>
  <c r="B46" i="3"/>
  <c r="C46" i="3"/>
  <c r="E46" i="3"/>
  <c r="H46" i="3"/>
  <c r="B47" i="3"/>
  <c r="C47" i="3"/>
  <c r="E47" i="3"/>
  <c r="H47" i="3"/>
  <c r="B48" i="3"/>
  <c r="C48" i="3"/>
  <c r="E48" i="3"/>
  <c r="H48" i="3"/>
  <c r="B49" i="3"/>
  <c r="C49" i="3"/>
  <c r="E49" i="3"/>
  <c r="H49" i="3"/>
  <c r="B50" i="3"/>
  <c r="C50" i="3"/>
  <c r="E50" i="3"/>
  <c r="H50" i="3"/>
  <c r="B51" i="3"/>
  <c r="C51" i="3"/>
  <c r="E51" i="3"/>
  <c r="H51" i="3"/>
  <c r="B52" i="3"/>
  <c r="C52" i="3"/>
  <c r="E52" i="3"/>
  <c r="H52" i="3"/>
  <c r="B53" i="3"/>
  <c r="C53" i="3"/>
  <c r="E53" i="3"/>
  <c r="H53" i="3"/>
  <c r="B54" i="3"/>
  <c r="C54" i="3"/>
  <c r="E54" i="3"/>
  <c r="H54" i="3"/>
  <c r="B55" i="3"/>
  <c r="C55" i="3"/>
  <c r="E55" i="3"/>
  <c r="H55" i="3"/>
  <c r="B56" i="3"/>
  <c r="C56" i="3"/>
  <c r="E56" i="3"/>
  <c r="H56" i="3"/>
  <c r="B57" i="3"/>
  <c r="C57" i="3"/>
  <c r="E57" i="3"/>
  <c r="H57" i="3"/>
  <c r="D43" i="2" l="1"/>
  <c r="F43" i="2" s="1"/>
  <c r="E43" i="2"/>
  <c r="G43" i="2" s="1"/>
  <c r="E50" i="2"/>
  <c r="G50" i="2" s="1"/>
  <c r="D50" i="2"/>
  <c r="F50" i="2" s="1"/>
  <c r="D47" i="2"/>
  <c r="F47" i="2" s="1"/>
  <c r="E47" i="2"/>
  <c r="G47" i="2" s="1"/>
  <c r="D27" i="2"/>
  <c r="F27" i="2" s="1"/>
  <c r="H27" i="2" s="1"/>
  <c r="E27" i="2"/>
  <c r="G27" i="2" s="1"/>
  <c r="D57" i="2"/>
  <c r="F57" i="2" s="1"/>
  <c r="E57" i="2"/>
  <c r="G57" i="2" s="1"/>
  <c r="E22" i="2"/>
  <c r="G22" i="2" s="1"/>
  <c r="H22" i="2" s="1"/>
  <c r="H39" i="2"/>
  <c r="H45" i="2"/>
  <c r="D35" i="2"/>
  <c r="F35" i="2" s="1"/>
  <c r="E35" i="2"/>
  <c r="G35" i="2" s="1"/>
  <c r="D34" i="2"/>
  <c r="F34" i="2" s="1"/>
  <c r="E34" i="2"/>
  <c r="G34" i="2" s="1"/>
  <c r="H25" i="2"/>
  <c r="H48" i="2"/>
  <c r="D32" i="2"/>
  <c r="F32" i="2" s="1"/>
  <c r="H32" i="2" s="1"/>
  <c r="E32" i="2"/>
  <c r="G32" i="2" s="1"/>
  <c r="D24" i="2"/>
  <c r="F24" i="2" s="1"/>
  <c r="E24" i="2"/>
  <c r="G24" i="2" s="1"/>
  <c r="H40" i="2"/>
  <c r="D36" i="2"/>
  <c r="F36" i="2" s="1"/>
  <c r="E36" i="2"/>
  <c r="G36" i="2" s="1"/>
  <c r="D55" i="2"/>
  <c r="F55" i="2" s="1"/>
  <c r="H55" i="2" s="1"/>
  <c r="E55" i="2"/>
  <c r="G55" i="2" s="1"/>
  <c r="H28" i="2"/>
  <c r="E9" i="1"/>
  <c r="E10" i="1"/>
  <c r="J17" i="1"/>
  <c r="D46" i="2"/>
  <c r="F46" i="2" s="1"/>
  <c r="E46" i="2"/>
  <c r="G46" i="2" s="1"/>
  <c r="D52" i="2"/>
  <c r="F52" i="2" s="1"/>
  <c r="E52" i="2"/>
  <c r="G52" i="2" s="1"/>
  <c r="D44" i="2"/>
  <c r="F44" i="2" s="1"/>
  <c r="E44" i="2"/>
  <c r="G44" i="2" s="1"/>
  <c r="D26" i="2"/>
  <c r="F26" i="2" s="1"/>
  <c r="E26" i="2"/>
  <c r="G26" i="2" s="1"/>
  <c r="D41" i="2"/>
  <c r="F41" i="2" s="1"/>
  <c r="E41" i="2"/>
  <c r="G41" i="2" s="1"/>
  <c r="D54" i="2"/>
  <c r="F54" i="2" s="1"/>
  <c r="E54" i="2"/>
  <c r="G54" i="2" s="1"/>
  <c r="E56" i="2"/>
  <c r="G56" i="2" s="1"/>
  <c r="D56" i="2"/>
  <c r="F56" i="2" s="1"/>
  <c r="H56" i="2" s="1"/>
  <c r="D37" i="2"/>
  <c r="F37" i="2" s="1"/>
  <c r="E37" i="2"/>
  <c r="G37" i="2" s="1"/>
  <c r="E53" i="2"/>
  <c r="G53" i="2" s="1"/>
  <c r="H53" i="2" s="1"/>
  <c r="E33" i="2"/>
  <c r="G33" i="2" s="1"/>
  <c r="H33" i="2" s="1"/>
  <c r="E38" i="2"/>
  <c r="G38" i="2" s="1"/>
  <c r="H38" i="2" s="1"/>
  <c r="E49" i="2"/>
  <c r="G49" i="2" s="1"/>
  <c r="H49" i="2" s="1"/>
  <c r="E29" i="2"/>
  <c r="G29" i="2" s="1"/>
  <c r="H29" i="2" s="1"/>
  <c r="E23" i="2"/>
  <c r="G23" i="2" s="1"/>
  <c r="H23" i="2" s="1"/>
  <c r="E51" i="2"/>
  <c r="G51" i="2" s="1"/>
  <c r="H51" i="2" s="1"/>
  <c r="E31" i="2"/>
  <c r="G31" i="2" s="1"/>
  <c r="H31" i="2" s="1"/>
  <c r="H57" i="2" l="1"/>
  <c r="H47" i="2"/>
  <c r="H24" i="2"/>
  <c r="H50" i="2"/>
  <c r="H43" i="2"/>
  <c r="H54" i="2"/>
  <c r="H41" i="2"/>
  <c r="H26" i="2"/>
  <c r="H44" i="2"/>
  <c r="H36" i="2"/>
  <c r="H52" i="2"/>
  <c r="H46" i="2"/>
  <c r="H37" i="2"/>
  <c r="H34" i="2"/>
  <c r="E10" i="2" s="1"/>
  <c r="H35" i="2"/>
  <c r="E9" i="2" l="1"/>
</calcChain>
</file>

<file path=xl/sharedStrings.xml><?xml version="1.0" encoding="utf-8"?>
<sst xmlns="http://schemas.openxmlformats.org/spreadsheetml/2006/main" count="134" uniqueCount="62">
  <si>
    <t>Option3.XLS</t>
  </si>
  <si>
    <t>Using Monte Carlo Simulation to Value BS Options</t>
  </si>
  <si>
    <t>Share price (S)</t>
  </si>
  <si>
    <t>iopt</t>
  </si>
  <si>
    <t>Exercise price (X)</t>
  </si>
  <si>
    <t>option</t>
  </si>
  <si>
    <t>Int rate-cont (r)</t>
  </si>
  <si>
    <t>BS value</t>
  </si>
  <si>
    <t>Dividend yield (q)</t>
  </si>
  <si>
    <t>Time now (0, years)</t>
  </si>
  <si>
    <t>MC value</t>
  </si>
  <si>
    <t>Time maturity (T, years)</t>
  </si>
  <si>
    <t>MC stdev</t>
  </si>
  <si>
    <r>
      <t>Option life (</t>
    </r>
    <r>
      <rPr>
        <sz val="10"/>
        <rFont val="Symbol"/>
        <family val="1"/>
        <charset val="2"/>
      </rPr>
      <t>t</t>
    </r>
    <r>
      <rPr>
        <sz val="10"/>
        <rFont val="Times New Roman"/>
      </rPr>
      <t>, years)</t>
    </r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</si>
  <si>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</si>
  <si>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t>Simulations (nsim)</t>
  </si>
  <si>
    <t>rnmut</t>
  </si>
  <si>
    <t>sigt</t>
  </si>
  <si>
    <r>
      <t>Exp(-r</t>
    </r>
    <r>
      <rPr>
        <sz val="10"/>
        <rFont val="Symbol"/>
        <family val="1"/>
        <charset val="2"/>
      </rPr>
      <t>t</t>
    </r>
    <r>
      <rPr>
        <sz val="10"/>
        <rFont val="Times New Roman"/>
      </rPr>
      <t>)</t>
    </r>
  </si>
  <si>
    <t>simulation</t>
  </si>
  <si>
    <t>rand</t>
  </si>
  <si>
    <t>randns</t>
  </si>
  <si>
    <t>share price</t>
  </si>
  <si>
    <t>payoff</t>
  </si>
  <si>
    <t>pdf</t>
  </si>
  <si>
    <t>Using Monte Carlo Simulation to Value BS Options (Antithetic variate)</t>
  </si>
  <si>
    <t>S1</t>
  </si>
  <si>
    <t>S2</t>
  </si>
  <si>
    <t>payoff 1</t>
  </si>
  <si>
    <t>payoff 2</t>
  </si>
  <si>
    <t>avg pay</t>
  </si>
  <si>
    <t>Using Monte Carlo Simulation to Value BS Options (Quasi-Random Numbers)</t>
  </si>
  <si>
    <t>QMC value</t>
  </si>
  <si>
    <t>QMC stdev</t>
  </si>
  <si>
    <t xml:space="preserve">Comparing Monte Carlo Simulation Methods to Value BS Call Option </t>
  </si>
  <si>
    <t>nsim</t>
  </si>
  <si>
    <t>BS</t>
  </si>
  <si>
    <t>MC</t>
  </si>
  <si>
    <t>QMC</t>
  </si>
  <si>
    <t>BS Call Option Value</t>
  </si>
  <si>
    <t>Using Numerical Integration to Value BS Options</t>
  </si>
  <si>
    <t>Cox, Ross &amp; Rubinstein</t>
  </si>
  <si>
    <r>
      <t>d</t>
    </r>
    <r>
      <rPr>
        <sz val="10"/>
        <rFont val="Times New Roman"/>
        <family val="1"/>
      </rPr>
      <t>t</t>
    </r>
  </si>
  <si>
    <t>erdt</t>
  </si>
  <si>
    <t>ermqdt</t>
  </si>
  <si>
    <t>NI value</t>
  </si>
  <si>
    <t>u</t>
  </si>
  <si>
    <t>via fn</t>
  </si>
  <si>
    <t>d</t>
  </si>
  <si>
    <t>p</t>
  </si>
  <si>
    <t>msd</t>
  </si>
  <si>
    <t>p*</t>
  </si>
  <si>
    <t>-msd</t>
  </si>
  <si>
    <t>n</t>
  </si>
  <si>
    <r>
      <t>m</t>
    </r>
    <r>
      <rPr>
        <sz val="10"/>
        <rFont val="Times New Roman"/>
      </rPr>
      <t xml:space="preserve"> </t>
    </r>
    <r>
      <rPr>
        <sz val="10"/>
        <rFont val="Symbol"/>
        <family val="1"/>
        <charset val="2"/>
      </rPr>
      <t>t</t>
    </r>
  </si>
  <si>
    <t>CRR</t>
  </si>
  <si>
    <t>s Sqrt(t)</t>
  </si>
  <si>
    <t>h</t>
  </si>
  <si>
    <t>i</t>
  </si>
  <si>
    <t>z</t>
  </si>
  <si>
    <t>ST</t>
  </si>
  <si>
    <t>calc1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</si>
</sst>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000"/>
    <numFmt numFmtId="174" formatCode="0.000"/>
    <numFmt numFmtId="175" formatCode="General_)"/>
  </numFmts>
  <fonts count="5" x14ac:knownFonts="1">
    <font>
      <sz val="10"/>
      <name val="Times New Roman"/>
    </font>
    <font>
      <b/>
      <sz val="10"/>
      <name val="Times New Roman"/>
    </font>
    <font>
      <sz val="10"/>
      <name val="Times New Roman"/>
      <family val="1"/>
    </font>
    <font>
      <sz val="10"/>
      <name val="Symbol"/>
      <family val="1"/>
      <charset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5" fontId="4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2" fontId="1" fillId="0" borderId="0" xfId="0" applyNumberFormat="1" applyFont="1"/>
    <xf numFmtId="0" fontId="2" fillId="0" borderId="0" xfId="0" applyFont="1"/>
    <xf numFmtId="0" fontId="0" fillId="0" borderId="0" xfId="0" applyAlignment="1">
      <alignment horizontal="right"/>
    </xf>
    <xf numFmtId="10" fontId="1" fillId="0" borderId="0" xfId="0" applyNumberFormat="1" applyFont="1"/>
    <xf numFmtId="2" fontId="0" fillId="0" borderId="0" xfId="0" applyNumberFormat="1"/>
    <xf numFmtId="172" fontId="1" fillId="0" borderId="0" xfId="0" applyNumberFormat="1" applyFont="1"/>
    <xf numFmtId="2" fontId="0" fillId="0" borderId="0" xfId="0" quotePrefix="1" applyNumberFormat="1" applyAlignment="1">
      <alignment horizontal="left"/>
    </xf>
    <xf numFmtId="172" fontId="2" fillId="0" borderId="0" xfId="0" applyNumberFormat="1" applyFont="1"/>
    <xf numFmtId="2" fontId="0" fillId="0" borderId="0" xfId="0" quotePrefix="1" applyNumberFormat="1" applyAlignment="1">
      <alignment horizontal="right"/>
    </xf>
    <xf numFmtId="2" fontId="2" fillId="0" borderId="0" xfId="0" applyNumberFormat="1" applyFont="1"/>
    <xf numFmtId="172" fontId="0" fillId="0" borderId="0" xfId="0" applyNumberFormat="1"/>
    <xf numFmtId="0" fontId="3" fillId="0" borderId="0" xfId="0" quotePrefix="1" applyFont="1" applyAlignment="1">
      <alignment horizontal="left"/>
    </xf>
    <xf numFmtId="175" fontId="3" fillId="0" borderId="0" xfId="1" quotePrefix="1" applyFont="1" applyAlignment="1">
      <alignment horizontal="left"/>
    </xf>
    <xf numFmtId="175" fontId="4" fillId="0" borderId="0" xfId="1" quotePrefix="1" applyFont="1" applyAlignment="1" applyProtection="1">
      <alignment horizontal="left"/>
    </xf>
    <xf numFmtId="175" fontId="4" fillId="0" borderId="0" xfId="1" applyFont="1" applyAlignment="1" applyProtection="1">
      <alignment horizontal="left"/>
    </xf>
    <xf numFmtId="1" fontId="2" fillId="0" borderId="0" xfId="1" applyNumberFormat="1" applyFont="1" applyProtection="1"/>
    <xf numFmtId="0" fontId="0" fillId="0" borderId="0" xfId="0" quotePrefix="1" applyAlignment="1">
      <alignment horizontal="right"/>
    </xf>
    <xf numFmtId="174" fontId="0" fillId="0" borderId="0" xfId="0" applyNumberFormat="1"/>
    <xf numFmtId="2" fontId="0" fillId="0" borderId="0" xfId="0" applyNumberFormat="1" applyAlignment="1"/>
  </cellXfs>
  <cellStyles count="2">
    <cellStyle name="Normal" xfId="0" builtinId="0"/>
    <cellStyle name="Normal_Call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MC convergence</a:t>
            </a:r>
          </a:p>
        </c:rich>
      </c:tx>
      <c:layout>
        <c:manualLayout>
          <c:xMode val="edge"/>
          <c:yMode val="edge"/>
          <c:x val="0.4386206896551724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"/>
          <c:y val="0.1425339366515837"/>
          <c:w val="0.80689655172413788"/>
          <c:h val="0.71153846153846156"/>
        </c:manualLayout>
      </c:layout>
      <c:scatterChart>
        <c:scatterStyle val="lineMarker"/>
        <c:varyColors val="0"/>
        <c:ser>
          <c:idx val="0"/>
          <c:order val="0"/>
          <c:tx>
            <c:v>BS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Compare!$E$6:$E$17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800</c:v>
                </c:pt>
                <c:pt idx="6">
                  <c:v>1000</c:v>
                </c:pt>
                <c:pt idx="7">
                  <c:v>1200</c:v>
                </c:pt>
                <c:pt idx="8">
                  <c:v>1400</c:v>
                </c:pt>
                <c:pt idx="9">
                  <c:v>1600</c:v>
                </c:pt>
                <c:pt idx="10">
                  <c:v>1800</c:v>
                </c:pt>
                <c:pt idx="11">
                  <c:v>2000</c:v>
                </c:pt>
              </c:numCache>
            </c:numRef>
          </c:xVal>
          <c:yVal>
            <c:numRef>
              <c:f>Compare!$F$6:$F$17</c:f>
              <c:numCache>
                <c:formatCode>0.00</c:formatCode>
                <c:ptCount val="12"/>
                <c:pt idx="0">
                  <c:v>9.7257629574651006</c:v>
                </c:pt>
                <c:pt idx="1">
                  <c:v>9.7257629574651006</c:v>
                </c:pt>
                <c:pt idx="2">
                  <c:v>9.7257629574651006</c:v>
                </c:pt>
                <c:pt idx="3">
                  <c:v>9.7257629574651006</c:v>
                </c:pt>
                <c:pt idx="4">
                  <c:v>9.7257629574651006</c:v>
                </c:pt>
                <c:pt idx="5">
                  <c:v>9.7257629574651006</c:v>
                </c:pt>
                <c:pt idx="6">
                  <c:v>9.7257629574651006</c:v>
                </c:pt>
                <c:pt idx="7">
                  <c:v>9.7257629574651006</c:v>
                </c:pt>
                <c:pt idx="8">
                  <c:v>9.7257629574651006</c:v>
                </c:pt>
                <c:pt idx="9">
                  <c:v>9.7257629574651006</c:v>
                </c:pt>
                <c:pt idx="10">
                  <c:v>9.7257629574651006</c:v>
                </c:pt>
                <c:pt idx="11">
                  <c:v>9.7257629574651006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E-48D1-ACCD-44D26DB5EB53}"/>
            </c:ext>
          </c:extLst>
        </c:ser>
        <c:ser>
          <c:idx val="1"/>
          <c:order val="1"/>
          <c:tx>
            <c:v>MC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Compare!$E$6:$E$17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800</c:v>
                </c:pt>
                <c:pt idx="6">
                  <c:v>1000</c:v>
                </c:pt>
                <c:pt idx="7">
                  <c:v>1200</c:v>
                </c:pt>
                <c:pt idx="8">
                  <c:v>1400</c:v>
                </c:pt>
                <c:pt idx="9">
                  <c:v>1600</c:v>
                </c:pt>
                <c:pt idx="10">
                  <c:v>1800</c:v>
                </c:pt>
                <c:pt idx="11">
                  <c:v>2000</c:v>
                </c:pt>
              </c:numCache>
            </c:numRef>
          </c:xVal>
          <c:yVal>
            <c:numRef>
              <c:f>Compare!$G$6:$G$17</c:f>
              <c:numCache>
                <c:formatCode>0.00</c:formatCode>
                <c:ptCount val="12"/>
                <c:pt idx="0">
                  <c:v>9.6442808131191367</c:v>
                </c:pt>
                <c:pt idx="1">
                  <c:v>9.9224909662734397</c:v>
                </c:pt>
                <c:pt idx="2">
                  <c:v>9.9166678925924945</c:v>
                </c:pt>
                <c:pt idx="3">
                  <c:v>10.145133173038628</c:v>
                </c:pt>
                <c:pt idx="4">
                  <c:v>9.7025150759172458</c:v>
                </c:pt>
                <c:pt idx="5">
                  <c:v>9.4736448930140327</c:v>
                </c:pt>
                <c:pt idx="6">
                  <c:v>9.5958724320625262</c:v>
                </c:pt>
                <c:pt idx="7">
                  <c:v>9.7009576917429552</c:v>
                </c:pt>
                <c:pt idx="8">
                  <c:v>9.8136253244668037</c:v>
                </c:pt>
                <c:pt idx="9">
                  <c:v>9.9590164220870729</c:v>
                </c:pt>
                <c:pt idx="10">
                  <c:v>9.7729360356318331</c:v>
                </c:pt>
                <c:pt idx="11">
                  <c:v>9.5302566281759589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3E-48D1-ACCD-44D26DB5EB53}"/>
            </c:ext>
          </c:extLst>
        </c:ser>
        <c:ser>
          <c:idx val="2"/>
          <c:order val="2"/>
          <c:tx>
            <c:v>QMC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Compare!$E$6:$E$17</c:f>
              <c:numCache>
                <c:formatCode>General</c:formatCode>
                <c:ptCount val="1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600</c:v>
                </c:pt>
                <c:pt idx="5">
                  <c:v>800</c:v>
                </c:pt>
                <c:pt idx="6">
                  <c:v>1000</c:v>
                </c:pt>
                <c:pt idx="7">
                  <c:v>1200</c:v>
                </c:pt>
                <c:pt idx="8">
                  <c:v>1400</c:v>
                </c:pt>
                <c:pt idx="9">
                  <c:v>1600</c:v>
                </c:pt>
                <c:pt idx="10">
                  <c:v>1800</c:v>
                </c:pt>
                <c:pt idx="11">
                  <c:v>2000</c:v>
                </c:pt>
              </c:numCache>
            </c:numRef>
          </c:xVal>
          <c:yVal>
            <c:numRef>
              <c:f>Compare!$H$6:$H$17</c:f>
              <c:numCache>
                <c:formatCode>0.00</c:formatCode>
                <c:ptCount val="12"/>
                <c:pt idx="0">
                  <c:v>9.3402870389417565</c:v>
                </c:pt>
                <c:pt idx="1">
                  <c:v>9.4955301837312724</c:v>
                </c:pt>
                <c:pt idx="2">
                  <c:v>9.5441069509700966</c:v>
                </c:pt>
                <c:pt idx="3">
                  <c:v>9.6202660947640783</c:v>
                </c:pt>
                <c:pt idx="4">
                  <c:v>9.6233928700925535</c:v>
                </c:pt>
                <c:pt idx="5">
                  <c:v>9.6502887950448351</c:v>
                </c:pt>
                <c:pt idx="6">
                  <c:v>9.6720752829193888</c:v>
                </c:pt>
                <c:pt idx="7">
                  <c:v>9.6816037824930685</c:v>
                </c:pt>
                <c:pt idx="8">
                  <c:v>9.6768691297798739</c:v>
                </c:pt>
                <c:pt idx="9">
                  <c:v>9.6812874735411487</c:v>
                </c:pt>
                <c:pt idx="10">
                  <c:v>9.6854320336788131</c:v>
                </c:pt>
                <c:pt idx="11">
                  <c:v>9.698515911701822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3E-48D1-ACCD-44D26DB5E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906431"/>
        <c:axId val="1"/>
      </c:scatterChart>
      <c:valAx>
        <c:axId val="106290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Number of simulations</a:t>
                </a:r>
              </a:p>
            </c:rich>
          </c:tx>
          <c:layout>
            <c:manualLayout>
              <c:xMode val="edge"/>
              <c:yMode val="edge"/>
              <c:x val="0.41724137931034483"/>
              <c:y val="0.908371040723981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Call value</a:t>
                </a:r>
              </a:p>
            </c:rich>
          </c:tx>
          <c:layout>
            <c:manualLayout>
              <c:xMode val="edge"/>
              <c:yMode val="edge"/>
              <c:x val="1.1724137931034483E-2"/>
              <c:y val="0.446832579185520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290643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827586206896553"/>
          <c:y val="0.95475113122171951"/>
          <c:w val="0.30482758620689654"/>
          <c:h val="3.95927601809954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4" workbookViewId="0"/>
  </sheetViews>
  <pageMargins left="0.75" right="0.75" top="1" bottom="1" header="0.5" footer="0.5"/>
  <pageSetup paperSize="9" orientation="landscape" horizontalDpi="300" verticalDpi="300" r:id="rId1"/>
  <headerFooter alignWithMargins="0">
    <oddHeader>&amp;A</oddHeader>
    <oddFooter>Page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03FEA-A097-4499-AE18-A93FC365B1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tabSelected="1" workbookViewId="0"/>
  </sheetViews>
  <sheetFormatPr defaultRowHeight="13" x14ac:dyDescent="0.3"/>
  <cols>
    <col min="1" max="1" width="22.296875" customWidth="1"/>
    <col min="4" max="4" width="11.796875" customWidth="1"/>
  </cols>
  <sheetData>
    <row r="1" spans="1:5" x14ac:dyDescent="0.3">
      <c r="A1" s="2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4">
        <v>100</v>
      </c>
      <c r="D4" t="s">
        <v>3</v>
      </c>
      <c r="E4" s="5">
        <v>1</v>
      </c>
    </row>
    <row r="5" spans="1:5" x14ac:dyDescent="0.3">
      <c r="A5" t="s">
        <v>4</v>
      </c>
      <c r="B5" s="4">
        <v>95</v>
      </c>
      <c r="D5" t="s">
        <v>5</v>
      </c>
      <c r="E5" s="6" t="str">
        <f>IF(E4=1,"call","put")</f>
        <v>call</v>
      </c>
    </row>
    <row r="6" spans="1:5" x14ac:dyDescent="0.3">
      <c r="A6" s="3" t="s">
        <v>6</v>
      </c>
      <c r="B6" s="7">
        <v>0.08</v>
      </c>
    </row>
    <row r="7" spans="1:5" x14ac:dyDescent="0.3">
      <c r="D7" t="s">
        <v>7</v>
      </c>
      <c r="E7" s="8">
        <f>BSOptionValue(E4,B4,B5,B6,B8,B11,B12)</f>
        <v>9.7257629574651006</v>
      </c>
    </row>
    <row r="8" spans="1:5" x14ac:dyDescent="0.3">
      <c r="A8" s="3" t="s">
        <v>8</v>
      </c>
      <c r="B8" s="7">
        <v>0.03</v>
      </c>
    </row>
    <row r="9" spans="1:5" x14ac:dyDescent="0.3">
      <c r="A9" s="3" t="s">
        <v>9</v>
      </c>
      <c r="B9" s="11">
        <v>0</v>
      </c>
      <c r="D9" s="10" t="s">
        <v>10</v>
      </c>
      <c r="E9" s="8">
        <f ca="1">B18*AVERAGE(H22:H57)</f>
        <v>10.549781292568209</v>
      </c>
    </row>
    <row r="10" spans="1:5" x14ac:dyDescent="0.3">
      <c r="A10" s="3" t="s">
        <v>11</v>
      </c>
      <c r="B10" s="9">
        <v>0.5</v>
      </c>
      <c r="D10" s="8" t="s">
        <v>12</v>
      </c>
      <c r="E10" s="8">
        <f ca="1">B18*STDEV(H22:H57)/SQRT(B14)</f>
        <v>1.9374890372946203</v>
      </c>
    </row>
    <row r="11" spans="1:5" x14ac:dyDescent="0.3">
      <c r="A11" s="3" t="s">
        <v>13</v>
      </c>
      <c r="B11" s="11">
        <f>B10-B9</f>
        <v>0.5</v>
      </c>
    </row>
    <row r="12" spans="1:5" x14ac:dyDescent="0.3">
      <c r="A12" s="3" t="s">
        <v>14</v>
      </c>
      <c r="B12" s="7">
        <v>0.2</v>
      </c>
    </row>
    <row r="14" spans="1:5" x14ac:dyDescent="0.3">
      <c r="A14" s="3" t="s">
        <v>15</v>
      </c>
      <c r="B14" s="5">
        <v>36</v>
      </c>
    </row>
    <row r="16" spans="1:5" x14ac:dyDescent="0.3">
      <c r="A16" t="s">
        <v>16</v>
      </c>
      <c r="B16" s="11">
        <f>(B6-B8-0.5*B12^2)*B11</f>
        <v>1.4999999999999999E-2</v>
      </c>
    </row>
    <row r="17" spans="1:10" x14ac:dyDescent="0.3">
      <c r="A17" t="s">
        <v>17</v>
      </c>
      <c r="B17" s="11">
        <f>B12*SQRT(B11)</f>
        <v>0.14142135623730953</v>
      </c>
      <c r="J17" s="8">
        <f ca="1">B18*SUMPRODUCT(J22:J57,H22:H57)</f>
        <v>10.549781292568209</v>
      </c>
    </row>
    <row r="18" spans="1:10" x14ac:dyDescent="0.3">
      <c r="A18" s="3" t="s">
        <v>18</v>
      </c>
      <c r="B18" s="11">
        <f>EXP(-B6*B11)</f>
        <v>0.96078943915232318</v>
      </c>
    </row>
    <row r="20" spans="1:10" x14ac:dyDescent="0.3">
      <c r="A20" s="6" t="s">
        <v>19</v>
      </c>
      <c r="B20" s="6" t="s">
        <v>20</v>
      </c>
      <c r="C20" s="6" t="s">
        <v>21</v>
      </c>
      <c r="E20" s="6" t="s">
        <v>22</v>
      </c>
      <c r="H20" s="12" t="s">
        <v>23</v>
      </c>
      <c r="J20" s="6" t="s">
        <v>24</v>
      </c>
    </row>
    <row r="22" spans="1:10" x14ac:dyDescent="0.3">
      <c r="A22">
        <v>1</v>
      </c>
      <c r="B22" s="11">
        <f ca="1">RAND()</f>
        <v>7.5270023861003232E-2</v>
      </c>
      <c r="C22" s="11">
        <f ca="1">NORMSINV(B22)</f>
        <v>-1.4376265353506392</v>
      </c>
      <c r="E22" s="13">
        <f t="shared" ref="E22:E57" ca="1" si="0">$B$4*EXP($B$16+C22*$B$17)</f>
        <v>82.83569699364979</v>
      </c>
      <c r="F22" s="11"/>
      <c r="H22" s="8">
        <f ca="1">MAX($E$4*(E22-$B$5),0)</f>
        <v>0</v>
      </c>
      <c r="J22" s="21">
        <f>1/$B$14</f>
        <v>2.7777777777777776E-2</v>
      </c>
    </row>
    <row r="23" spans="1:10" x14ac:dyDescent="0.3">
      <c r="A23">
        <v>2</v>
      </c>
      <c r="B23" s="11">
        <f t="shared" ref="B23:B38" ca="1" si="1">RAND()</f>
        <v>0.16905153060877953</v>
      </c>
      <c r="C23" s="11">
        <f t="shared" ref="C23:C38" ca="1" si="2">NORMSINV(B23)</f>
        <v>-0.95792007789240419</v>
      </c>
      <c r="E23" s="13">
        <f t="shared" ca="1" si="0"/>
        <v>88.650336594528085</v>
      </c>
      <c r="H23" s="8">
        <f t="shared" ref="H23:H38" ca="1" si="3">MAX($E$4*(E23-$B$5),0)</f>
        <v>0</v>
      </c>
      <c r="J23" s="21">
        <f t="shared" ref="J23:J38" si="4">1/$B$14</f>
        <v>2.7777777777777776E-2</v>
      </c>
    </row>
    <row r="24" spans="1:10" x14ac:dyDescent="0.3">
      <c r="A24">
        <v>3</v>
      </c>
      <c r="B24" s="11">
        <f t="shared" ca="1" si="1"/>
        <v>0.4612275963391832</v>
      </c>
      <c r="C24" s="11">
        <f t="shared" ca="1" si="2"/>
        <v>-9.7341509509720939E-2</v>
      </c>
      <c r="E24" s="13">
        <f t="shared" ca="1" si="0"/>
        <v>100.12345931904375</v>
      </c>
      <c r="H24" s="8">
        <f t="shared" ca="1" si="3"/>
        <v>5.1234593190437465</v>
      </c>
      <c r="J24" s="21">
        <f t="shared" si="4"/>
        <v>2.7777777777777776E-2</v>
      </c>
    </row>
    <row r="25" spans="1:10" x14ac:dyDescent="0.3">
      <c r="A25">
        <v>4</v>
      </c>
      <c r="B25" s="11">
        <f t="shared" ca="1" si="1"/>
        <v>0.87924408808700549</v>
      </c>
      <c r="C25" s="11">
        <f t="shared" ca="1" si="2"/>
        <v>1.1712163527159667</v>
      </c>
      <c r="E25" s="13">
        <f t="shared" ca="1" si="0"/>
        <v>119.7977843620357</v>
      </c>
      <c r="H25" s="8">
        <f t="shared" ca="1" si="3"/>
        <v>24.797784362035699</v>
      </c>
      <c r="J25" s="21">
        <f t="shared" si="4"/>
        <v>2.7777777777777776E-2</v>
      </c>
    </row>
    <row r="26" spans="1:10" x14ac:dyDescent="0.3">
      <c r="A26">
        <v>5</v>
      </c>
      <c r="B26" s="11">
        <f t="shared" ca="1" si="1"/>
        <v>0.22202424489365136</v>
      </c>
      <c r="C26" s="11">
        <f t="shared" ca="1" si="2"/>
        <v>-0.76537463972128184</v>
      </c>
      <c r="E26" s="13">
        <f t="shared" ca="1" si="0"/>
        <v>91.097454896793764</v>
      </c>
      <c r="H26" s="8">
        <f t="shared" ca="1" si="3"/>
        <v>0</v>
      </c>
      <c r="J26" s="21">
        <f t="shared" si="4"/>
        <v>2.7777777777777776E-2</v>
      </c>
    </row>
    <row r="27" spans="1:10" x14ac:dyDescent="0.3">
      <c r="A27">
        <v>6</v>
      </c>
      <c r="B27" s="11">
        <f t="shared" ca="1" si="1"/>
        <v>0.95566366876585118</v>
      </c>
      <c r="C27" s="11">
        <f t="shared" ca="1" si="2"/>
        <v>1.7024413590331455</v>
      </c>
      <c r="E27" s="13">
        <f t="shared" ca="1" si="0"/>
        <v>129.14447667678439</v>
      </c>
      <c r="H27" s="8">
        <f t="shared" ca="1" si="3"/>
        <v>34.144476676784393</v>
      </c>
      <c r="J27" s="21">
        <f t="shared" si="4"/>
        <v>2.7777777777777776E-2</v>
      </c>
    </row>
    <row r="28" spans="1:10" x14ac:dyDescent="0.3">
      <c r="A28">
        <v>7</v>
      </c>
      <c r="B28" s="11">
        <f t="shared" ca="1" si="1"/>
        <v>0.87514007437296748</v>
      </c>
      <c r="C28" s="11">
        <f t="shared" ca="1" si="2"/>
        <v>1.1510301033871648</v>
      </c>
      <c r="E28" s="13">
        <f t="shared" ca="1" si="0"/>
        <v>119.45627732302857</v>
      </c>
      <c r="H28" s="8">
        <f t="shared" ca="1" si="3"/>
        <v>24.456277323028573</v>
      </c>
      <c r="J28" s="21">
        <f t="shared" si="4"/>
        <v>2.7777777777777776E-2</v>
      </c>
    </row>
    <row r="29" spans="1:10" x14ac:dyDescent="0.3">
      <c r="A29">
        <v>8</v>
      </c>
      <c r="B29" s="11">
        <f t="shared" ca="1" si="1"/>
        <v>0.48957985029557505</v>
      </c>
      <c r="C29" s="11">
        <f t="shared" ca="1" si="2"/>
        <v>-2.6122412474789268E-2</v>
      </c>
      <c r="E29" s="13">
        <f t="shared" ca="1" si="0"/>
        <v>101.13698843302825</v>
      </c>
      <c r="H29" s="8">
        <f t="shared" ca="1" si="3"/>
        <v>6.1369884330282503</v>
      </c>
      <c r="J29" s="21">
        <f t="shared" si="4"/>
        <v>2.7777777777777776E-2</v>
      </c>
    </row>
    <row r="30" spans="1:10" x14ac:dyDescent="0.3">
      <c r="A30">
        <v>9</v>
      </c>
      <c r="B30" s="11">
        <f t="shared" ca="1" si="1"/>
        <v>0.14603864880844686</v>
      </c>
      <c r="C30" s="11">
        <f t="shared" ca="1" si="2"/>
        <v>-1.0535755292200317</v>
      </c>
      <c r="E30" s="13">
        <f t="shared" ca="1" si="0"/>
        <v>87.459174360732263</v>
      </c>
      <c r="H30" s="8">
        <f t="shared" ca="1" si="3"/>
        <v>0</v>
      </c>
      <c r="J30" s="21">
        <f t="shared" si="4"/>
        <v>2.7777777777777776E-2</v>
      </c>
    </row>
    <row r="31" spans="1:10" x14ac:dyDescent="0.3">
      <c r="A31">
        <v>10</v>
      </c>
      <c r="B31" s="11">
        <f t="shared" ca="1" si="1"/>
        <v>6.0699029234263735E-2</v>
      </c>
      <c r="C31" s="11">
        <f t="shared" ca="1" si="2"/>
        <v>-1.5489320374409681</v>
      </c>
      <c r="E31" s="13">
        <f t="shared" ca="1" si="0"/>
        <v>81.541991161203882</v>
      </c>
      <c r="H31" s="8">
        <f t="shared" ca="1" si="3"/>
        <v>0</v>
      </c>
      <c r="J31" s="21">
        <f t="shared" si="4"/>
        <v>2.7777777777777776E-2</v>
      </c>
    </row>
    <row r="32" spans="1:10" x14ac:dyDescent="0.3">
      <c r="A32">
        <v>11</v>
      </c>
      <c r="B32" s="11">
        <f t="shared" ca="1" si="1"/>
        <v>0.55724631657353685</v>
      </c>
      <c r="C32" s="11">
        <f t="shared" ca="1" si="2"/>
        <v>0.14399126553544145</v>
      </c>
      <c r="E32" s="13">
        <f t="shared" ca="1" si="0"/>
        <v>103.59961628921212</v>
      </c>
      <c r="H32" s="8">
        <f t="shared" ca="1" si="3"/>
        <v>8.599616289212122</v>
      </c>
      <c r="J32" s="21">
        <f t="shared" si="4"/>
        <v>2.7777777777777776E-2</v>
      </c>
    </row>
    <row r="33" spans="1:10" x14ac:dyDescent="0.3">
      <c r="A33">
        <v>12</v>
      </c>
      <c r="B33" s="11">
        <f t="shared" ca="1" si="1"/>
        <v>0.591291698049629</v>
      </c>
      <c r="C33" s="11">
        <f t="shared" ca="1" si="2"/>
        <v>0.23086896228199702</v>
      </c>
      <c r="E33" s="13">
        <f t="shared" ca="1" si="0"/>
        <v>104.88033019334983</v>
      </c>
      <c r="H33" s="8">
        <f t="shared" ca="1" si="3"/>
        <v>9.8803301933498346</v>
      </c>
      <c r="J33" s="21">
        <f t="shared" si="4"/>
        <v>2.7777777777777776E-2</v>
      </c>
    </row>
    <row r="34" spans="1:10" x14ac:dyDescent="0.3">
      <c r="A34">
        <v>13</v>
      </c>
      <c r="B34" s="11">
        <f t="shared" ca="1" si="1"/>
        <v>0.21921016677940208</v>
      </c>
      <c r="C34" s="11">
        <f t="shared" ca="1" si="2"/>
        <v>-0.77486348056984011</v>
      </c>
      <c r="E34" s="13">
        <f t="shared" ca="1" si="0"/>
        <v>90.975290953882663</v>
      </c>
      <c r="H34" s="8">
        <f t="shared" ca="1" si="3"/>
        <v>0</v>
      </c>
      <c r="J34" s="21">
        <f t="shared" si="4"/>
        <v>2.7777777777777776E-2</v>
      </c>
    </row>
    <row r="35" spans="1:10" x14ac:dyDescent="0.3">
      <c r="A35">
        <v>14</v>
      </c>
      <c r="B35" s="11">
        <f t="shared" ca="1" si="1"/>
        <v>0.8463468274077095</v>
      </c>
      <c r="C35" s="11">
        <f t="shared" ca="1" si="2"/>
        <v>1.0208904479906677</v>
      </c>
      <c r="E35" s="13">
        <f t="shared" ca="1" si="0"/>
        <v>117.27784905459914</v>
      </c>
      <c r="H35" s="8">
        <f t="shared" ca="1" si="3"/>
        <v>22.277849054599145</v>
      </c>
      <c r="J35" s="21">
        <f t="shared" si="4"/>
        <v>2.7777777777777776E-2</v>
      </c>
    </row>
    <row r="36" spans="1:10" x14ac:dyDescent="0.3">
      <c r="A36">
        <v>15</v>
      </c>
      <c r="B36" s="11">
        <f t="shared" ca="1" si="1"/>
        <v>0.64392653119627496</v>
      </c>
      <c r="C36" s="11">
        <f t="shared" ca="1" si="2"/>
        <v>0.36897422395428703</v>
      </c>
      <c r="E36" s="13">
        <f t="shared" ca="1" si="0"/>
        <v>106.94888618870382</v>
      </c>
      <c r="H36" s="8">
        <f t="shared" ca="1" si="3"/>
        <v>11.948886188703824</v>
      </c>
      <c r="J36" s="21">
        <f t="shared" si="4"/>
        <v>2.7777777777777776E-2</v>
      </c>
    </row>
    <row r="37" spans="1:10" x14ac:dyDescent="0.3">
      <c r="A37">
        <v>16</v>
      </c>
      <c r="B37" s="11">
        <f t="shared" ca="1" si="1"/>
        <v>0.72908460679416276</v>
      </c>
      <c r="C37" s="11">
        <f t="shared" ca="1" si="2"/>
        <v>0.61004683004601856</v>
      </c>
      <c r="E37" s="13">
        <f t="shared" ca="1" si="0"/>
        <v>110.65794158728093</v>
      </c>
      <c r="H37" s="8">
        <f t="shared" ca="1" si="3"/>
        <v>15.657941587280931</v>
      </c>
      <c r="J37" s="21">
        <f t="shared" si="4"/>
        <v>2.7777777777777776E-2</v>
      </c>
    </row>
    <row r="38" spans="1:10" x14ac:dyDescent="0.3">
      <c r="A38">
        <v>17</v>
      </c>
      <c r="B38" s="11">
        <f t="shared" ca="1" si="1"/>
        <v>3.2661392551353252E-2</v>
      </c>
      <c r="C38" s="11">
        <f t="shared" ca="1" si="2"/>
        <v>-1.8430426398740964</v>
      </c>
      <c r="E38" s="13">
        <f t="shared" ca="1" si="0"/>
        <v>78.219939530217118</v>
      </c>
      <c r="H38" s="8">
        <f t="shared" ca="1" si="3"/>
        <v>0</v>
      </c>
      <c r="J38" s="21">
        <f t="shared" si="4"/>
        <v>2.7777777777777776E-2</v>
      </c>
    </row>
    <row r="39" spans="1:10" x14ac:dyDescent="0.3">
      <c r="A39">
        <v>18</v>
      </c>
      <c r="B39" s="11">
        <f t="shared" ref="B39:B54" ca="1" si="5">RAND()</f>
        <v>0.48349703788049891</v>
      </c>
      <c r="C39" s="11">
        <f t="shared" ref="C39:C54" ca="1" si="6">NORMSINV(B39)</f>
        <v>-4.1378596422942143E-2</v>
      </c>
      <c r="E39" s="13">
        <f t="shared" ca="1" si="0"/>
        <v>100.91901552918306</v>
      </c>
      <c r="H39" s="8">
        <f t="shared" ref="H39:H54" ca="1" si="7">MAX($E$4*(E39-$B$5),0)</f>
        <v>5.9190155291830564</v>
      </c>
      <c r="J39" s="21">
        <f t="shared" ref="J39:J54" si="8">1/$B$14</f>
        <v>2.7777777777777776E-2</v>
      </c>
    </row>
    <row r="40" spans="1:10" x14ac:dyDescent="0.3">
      <c r="A40">
        <v>19</v>
      </c>
      <c r="B40" s="11">
        <f t="shared" ca="1" si="5"/>
        <v>5.2156807186627629E-2</v>
      </c>
      <c r="C40" s="11">
        <f t="shared" ca="1" si="6"/>
        <v>-1.6242914817535539</v>
      </c>
      <c r="E40" s="13">
        <f t="shared" ca="1" si="0"/>
        <v>80.677577105271197</v>
      </c>
      <c r="H40" s="8">
        <f t="shared" ca="1" si="7"/>
        <v>0</v>
      </c>
      <c r="J40" s="21">
        <f t="shared" si="8"/>
        <v>2.7777777777777776E-2</v>
      </c>
    </row>
    <row r="41" spans="1:10" x14ac:dyDescent="0.3">
      <c r="A41">
        <v>20</v>
      </c>
      <c r="B41" s="11">
        <f t="shared" ca="1" si="5"/>
        <v>0.6551489060340292</v>
      </c>
      <c r="C41" s="11">
        <f t="shared" ca="1" si="6"/>
        <v>0.39925925250805883</v>
      </c>
      <c r="E41" s="13">
        <f t="shared" ca="1" si="0"/>
        <v>107.40792521953462</v>
      </c>
      <c r="H41" s="8">
        <f t="shared" ca="1" si="7"/>
        <v>12.407925219534619</v>
      </c>
      <c r="J41" s="21">
        <f t="shared" si="8"/>
        <v>2.7777777777777776E-2</v>
      </c>
    </row>
    <row r="42" spans="1:10" x14ac:dyDescent="0.3">
      <c r="A42">
        <v>21</v>
      </c>
      <c r="B42" s="11">
        <f t="shared" ca="1" si="5"/>
        <v>0.96822364553186202</v>
      </c>
      <c r="C42" s="11">
        <f t="shared" ca="1" si="6"/>
        <v>1.8553048296143051</v>
      </c>
      <c r="E42" s="13">
        <f t="shared" ca="1" si="0"/>
        <v>131.96673869169143</v>
      </c>
      <c r="H42" s="8">
        <f t="shared" ca="1" si="7"/>
        <v>36.966738691691432</v>
      </c>
      <c r="J42" s="21">
        <f t="shared" si="8"/>
        <v>2.7777777777777776E-2</v>
      </c>
    </row>
    <row r="43" spans="1:10" x14ac:dyDescent="0.3">
      <c r="A43">
        <v>22</v>
      </c>
      <c r="B43" s="11">
        <f t="shared" ca="1" si="5"/>
        <v>0.94801994427152037</v>
      </c>
      <c r="C43" s="11">
        <f t="shared" ca="1" si="6"/>
        <v>1.6259508501110915</v>
      </c>
      <c r="E43" s="13">
        <f t="shared" ca="1" si="0"/>
        <v>127.75499912166578</v>
      </c>
      <c r="H43" s="8">
        <f t="shared" ca="1" si="7"/>
        <v>32.754999121665776</v>
      </c>
      <c r="J43" s="21">
        <f t="shared" si="8"/>
        <v>2.7777777777777776E-2</v>
      </c>
    </row>
    <row r="44" spans="1:10" x14ac:dyDescent="0.3">
      <c r="A44">
        <v>23</v>
      </c>
      <c r="B44" s="11">
        <f t="shared" ca="1" si="5"/>
        <v>0.88026952221813315</v>
      </c>
      <c r="C44" s="11">
        <f t="shared" ca="1" si="6"/>
        <v>1.176335198454532</v>
      </c>
      <c r="E44" s="13">
        <f t="shared" ca="1" si="0"/>
        <v>119.88453906577715</v>
      </c>
      <c r="H44" s="8">
        <f t="shared" ca="1" si="7"/>
        <v>24.884539065777147</v>
      </c>
      <c r="J44" s="21">
        <f t="shared" si="8"/>
        <v>2.7777777777777776E-2</v>
      </c>
    </row>
    <row r="45" spans="1:10" x14ac:dyDescent="0.3">
      <c r="A45">
        <v>24</v>
      </c>
      <c r="B45" s="11">
        <f t="shared" ca="1" si="5"/>
        <v>0.46639610339019444</v>
      </c>
      <c r="C45" s="11">
        <f t="shared" ca="1" si="6"/>
        <v>-8.4332331944378239E-2</v>
      </c>
      <c r="E45" s="13">
        <f t="shared" ca="1" si="0"/>
        <v>100.30783356156563</v>
      </c>
      <c r="H45" s="8">
        <f t="shared" ca="1" si="7"/>
        <v>5.30783356156563</v>
      </c>
      <c r="J45" s="21">
        <f t="shared" si="8"/>
        <v>2.7777777777777776E-2</v>
      </c>
    </row>
    <row r="46" spans="1:10" x14ac:dyDescent="0.3">
      <c r="A46">
        <v>25</v>
      </c>
      <c r="B46" s="11">
        <f t="shared" ca="1" si="5"/>
        <v>0.65614669622104294</v>
      </c>
      <c r="C46" s="11">
        <f t="shared" ca="1" si="6"/>
        <v>0.40196931700565525</v>
      </c>
      <c r="E46" s="13">
        <f t="shared" ca="1" si="0"/>
        <v>107.44909837754089</v>
      </c>
      <c r="H46" s="8">
        <f t="shared" ca="1" si="7"/>
        <v>12.449098377540892</v>
      </c>
      <c r="J46" s="21">
        <f t="shared" si="8"/>
        <v>2.7777777777777776E-2</v>
      </c>
    </row>
    <row r="47" spans="1:10" x14ac:dyDescent="0.3">
      <c r="A47">
        <v>26</v>
      </c>
      <c r="B47" s="11">
        <f t="shared" ca="1" si="5"/>
        <v>0.49965591694104916</v>
      </c>
      <c r="C47" s="11">
        <f t="shared" ca="1" si="6"/>
        <v>-8.6248843131990765E-4</v>
      </c>
      <c r="E47" s="13">
        <f t="shared" ca="1" si="0"/>
        <v>101.49892544777717</v>
      </c>
      <c r="H47" s="8">
        <f t="shared" ca="1" si="7"/>
        <v>6.4989254477771681</v>
      </c>
      <c r="J47" s="21">
        <f t="shared" si="8"/>
        <v>2.7777777777777776E-2</v>
      </c>
    </row>
    <row r="48" spans="1:10" x14ac:dyDescent="0.3">
      <c r="A48">
        <v>27</v>
      </c>
      <c r="B48" s="11">
        <f t="shared" ca="1" si="5"/>
        <v>0.48713225229502777</v>
      </c>
      <c r="C48" s="11">
        <f t="shared" ca="1" si="6"/>
        <v>-3.2260255025244509E-2</v>
      </c>
      <c r="E48" s="13">
        <f t="shared" ca="1" si="0"/>
        <v>101.04923739067688</v>
      </c>
      <c r="H48" s="8">
        <f t="shared" ca="1" si="7"/>
        <v>6.049237390676879</v>
      </c>
      <c r="J48" s="21">
        <f t="shared" si="8"/>
        <v>2.7777777777777776E-2</v>
      </c>
    </row>
    <row r="49" spans="1:10" x14ac:dyDescent="0.3">
      <c r="A49">
        <v>28</v>
      </c>
      <c r="B49" s="11">
        <f t="shared" ca="1" si="5"/>
        <v>0.40218994335189584</v>
      </c>
      <c r="C49" s="11">
        <f t="shared" ca="1" si="6"/>
        <v>-0.24768274080021296</v>
      </c>
      <c r="E49" s="13">
        <f t="shared" ca="1" si="0"/>
        <v>98.017159165358009</v>
      </c>
      <c r="H49" s="8">
        <f t="shared" ca="1" si="7"/>
        <v>3.0171591653580094</v>
      </c>
      <c r="J49" s="21">
        <f t="shared" si="8"/>
        <v>2.7777777777777776E-2</v>
      </c>
    </row>
    <row r="50" spans="1:10" x14ac:dyDescent="0.3">
      <c r="A50">
        <v>29</v>
      </c>
      <c r="B50" s="11">
        <f t="shared" ca="1" si="5"/>
        <v>0.87672778299210596</v>
      </c>
      <c r="C50" s="11">
        <f t="shared" ca="1" si="6"/>
        <v>1.1587835264348527</v>
      </c>
      <c r="E50" s="13">
        <f t="shared" ca="1" si="0"/>
        <v>119.58733292175066</v>
      </c>
      <c r="H50" s="8">
        <f t="shared" ca="1" si="7"/>
        <v>24.587332921750658</v>
      </c>
      <c r="J50" s="21">
        <f t="shared" si="8"/>
        <v>2.7777777777777776E-2</v>
      </c>
    </row>
    <row r="51" spans="1:10" x14ac:dyDescent="0.3">
      <c r="A51">
        <v>30</v>
      </c>
      <c r="B51" s="11">
        <f t="shared" ca="1" si="5"/>
        <v>0.98064681535619025</v>
      </c>
      <c r="C51" s="11">
        <f t="shared" ca="1" si="6"/>
        <v>2.0672949556818305</v>
      </c>
      <c r="E51" s="13">
        <f t="shared" ca="1" si="0"/>
        <v>135.98299516448046</v>
      </c>
      <c r="H51" s="8">
        <f t="shared" ca="1" si="7"/>
        <v>40.982995164480457</v>
      </c>
      <c r="J51" s="21">
        <f t="shared" si="8"/>
        <v>2.7777777777777776E-2</v>
      </c>
    </row>
    <row r="52" spans="1:10" x14ac:dyDescent="0.3">
      <c r="A52">
        <v>31</v>
      </c>
      <c r="B52" s="11">
        <f t="shared" ca="1" si="5"/>
        <v>0.57876274488150348</v>
      </c>
      <c r="C52" s="11">
        <f t="shared" ca="1" si="6"/>
        <v>0.19872929081166854</v>
      </c>
      <c r="E52" s="13">
        <f t="shared" ca="1" si="0"/>
        <v>104.40470607911642</v>
      </c>
      <c r="H52" s="8">
        <f t="shared" ca="1" si="7"/>
        <v>9.4047060791164228</v>
      </c>
      <c r="J52" s="21">
        <f t="shared" si="8"/>
        <v>2.7777777777777776E-2</v>
      </c>
    </row>
    <row r="53" spans="1:10" x14ac:dyDescent="0.3">
      <c r="A53">
        <v>32</v>
      </c>
      <c r="B53" s="11">
        <f t="shared" ca="1" si="5"/>
        <v>0.27515604533484372</v>
      </c>
      <c r="C53" s="11">
        <f t="shared" ca="1" si="6"/>
        <v>-0.59729253037294006</v>
      </c>
      <c r="E53" s="13">
        <f t="shared" ca="1" si="0"/>
        <v>93.288819450456955</v>
      </c>
      <c r="H53" s="8">
        <f t="shared" ca="1" si="7"/>
        <v>0</v>
      </c>
      <c r="J53" s="21">
        <f t="shared" si="8"/>
        <v>2.7777777777777776E-2</v>
      </c>
    </row>
    <row r="54" spans="1:10" x14ac:dyDescent="0.3">
      <c r="A54">
        <v>33</v>
      </c>
      <c r="B54" s="11">
        <f t="shared" ca="1" si="5"/>
        <v>0.39986788911679472</v>
      </c>
      <c r="C54" s="11">
        <f t="shared" ca="1" si="6"/>
        <v>-0.25368907068329832</v>
      </c>
      <c r="E54" s="13">
        <f t="shared" ca="1" si="0"/>
        <v>97.93393645545062</v>
      </c>
      <c r="H54" s="8">
        <f t="shared" ca="1" si="7"/>
        <v>2.9339364554506204</v>
      </c>
      <c r="J54" s="21">
        <f t="shared" si="8"/>
        <v>2.7777777777777776E-2</v>
      </c>
    </row>
    <row r="55" spans="1:10" x14ac:dyDescent="0.3">
      <c r="A55">
        <v>34</v>
      </c>
      <c r="B55" s="11">
        <f t="shared" ref="B55:B57" ca="1" si="9">RAND()</f>
        <v>0.2956247840881896</v>
      </c>
      <c r="C55" s="11">
        <f t="shared" ref="C55:C57" ca="1" si="10">NORMSINV(B55)</f>
        <v>-0.53702612519364523</v>
      </c>
      <c r="E55" s="13">
        <f t="shared" ca="1" si="0"/>
        <v>94.087313957930078</v>
      </c>
      <c r="H55" s="8">
        <f t="shared" ref="H55:H57" ca="1" si="11">MAX($E$4*(E55-$B$5),0)</f>
        <v>0</v>
      </c>
      <c r="J55" s="21">
        <f t="shared" ref="J55:J57" si="12">1/$B$14</f>
        <v>2.7777777777777776E-2</v>
      </c>
    </row>
    <row r="56" spans="1:10" x14ac:dyDescent="0.3">
      <c r="A56">
        <v>35</v>
      </c>
      <c r="B56" s="11">
        <f t="shared" ca="1" si="9"/>
        <v>0.20188978643780042</v>
      </c>
      <c r="C56" s="11">
        <f t="shared" ca="1" si="10"/>
        <v>-0.83489012928188655</v>
      </c>
      <c r="E56" s="13">
        <f t="shared" ca="1" si="0"/>
        <v>90.206265917991828</v>
      </c>
      <c r="H56" s="8">
        <f t="shared" ca="1" si="11"/>
        <v>0</v>
      </c>
      <c r="J56" s="21">
        <f t="shared" si="12"/>
        <v>2.7777777777777776E-2</v>
      </c>
    </row>
    <row r="57" spans="1:10" x14ac:dyDescent="0.3">
      <c r="A57">
        <v>36</v>
      </c>
      <c r="B57" s="11">
        <f t="shared" ca="1" si="9"/>
        <v>0.54381943558154155</v>
      </c>
      <c r="C57" s="11">
        <f t="shared" ca="1" si="10"/>
        <v>0.11006083463296835</v>
      </c>
      <c r="E57" s="13">
        <f t="shared" ca="1" si="0"/>
        <v>103.10368562978324</v>
      </c>
      <c r="H57" s="8">
        <f t="shared" ca="1" si="11"/>
        <v>8.1036856297832429</v>
      </c>
      <c r="J57" s="21">
        <f t="shared" si="12"/>
        <v>2.7777777777777776E-2</v>
      </c>
    </row>
  </sheetData>
  <printOptions headings="1" gridLines="1"/>
  <pageMargins left="0.75" right="0.75" top="1" bottom="1" header="0.5" footer="0.5"/>
  <pageSetup paperSize="9" scale="92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/>
  </sheetViews>
  <sheetFormatPr defaultRowHeight="13" x14ac:dyDescent="0.3"/>
  <cols>
    <col min="1" max="1" width="22.296875" customWidth="1"/>
    <col min="4" max="4" width="10" customWidth="1"/>
  </cols>
  <sheetData>
    <row r="1" spans="1:5" x14ac:dyDescent="0.3">
      <c r="A1" s="2" t="s">
        <v>0</v>
      </c>
    </row>
    <row r="2" spans="1:5" x14ac:dyDescent="0.3">
      <c r="A2" s="2" t="s">
        <v>25</v>
      </c>
    </row>
    <row r="4" spans="1:5" x14ac:dyDescent="0.3">
      <c r="A4" s="3" t="s">
        <v>2</v>
      </c>
      <c r="B4" s="4">
        <v>100</v>
      </c>
      <c r="D4" t="s">
        <v>3</v>
      </c>
      <c r="E4" s="5">
        <v>1</v>
      </c>
    </row>
    <row r="5" spans="1:5" x14ac:dyDescent="0.3">
      <c r="A5" t="s">
        <v>4</v>
      </c>
      <c r="B5" s="4">
        <v>95</v>
      </c>
      <c r="D5" t="s">
        <v>5</v>
      </c>
      <c r="E5" s="6" t="str">
        <f>IF(E4=1,"call","put")</f>
        <v>call</v>
      </c>
    </row>
    <row r="6" spans="1:5" x14ac:dyDescent="0.3">
      <c r="A6" s="3" t="s">
        <v>6</v>
      </c>
      <c r="B6" s="7">
        <v>0.08</v>
      </c>
    </row>
    <row r="7" spans="1:5" x14ac:dyDescent="0.3">
      <c r="D7" t="s">
        <v>7</v>
      </c>
      <c r="E7" s="8">
        <f>BSOptionValue(E4,B4,B5,B6,B8,B11,B12)</f>
        <v>9.7257629574651006</v>
      </c>
    </row>
    <row r="8" spans="1:5" x14ac:dyDescent="0.3">
      <c r="A8" s="3" t="s">
        <v>8</v>
      </c>
      <c r="B8" s="7">
        <v>0.03</v>
      </c>
    </row>
    <row r="9" spans="1:5" x14ac:dyDescent="0.3">
      <c r="A9" s="3" t="s">
        <v>9</v>
      </c>
      <c r="B9" s="11">
        <v>0</v>
      </c>
      <c r="D9" s="10" t="s">
        <v>10</v>
      </c>
      <c r="E9" s="8">
        <f ca="1">B18*AVERAGE(H22:H57)</f>
        <v>9.208991533505321</v>
      </c>
    </row>
    <row r="10" spans="1:5" x14ac:dyDescent="0.3">
      <c r="A10" s="3" t="s">
        <v>11</v>
      </c>
      <c r="B10" s="9">
        <v>0.5</v>
      </c>
      <c r="D10" s="8" t="s">
        <v>12</v>
      </c>
      <c r="E10" s="8">
        <f ca="1">B18*STDEV(H22:H57)/SQRT(B14)</f>
        <v>0.55049137010372218</v>
      </c>
    </row>
    <row r="11" spans="1:5" x14ac:dyDescent="0.3">
      <c r="A11" s="3" t="s">
        <v>13</v>
      </c>
      <c r="B11" s="11">
        <f>B10-B9</f>
        <v>0.5</v>
      </c>
    </row>
    <row r="12" spans="1:5" x14ac:dyDescent="0.3">
      <c r="A12" s="3" t="s">
        <v>14</v>
      </c>
      <c r="B12" s="7">
        <v>0.2</v>
      </c>
    </row>
    <row r="14" spans="1:5" x14ac:dyDescent="0.3">
      <c r="A14" s="3" t="s">
        <v>15</v>
      </c>
      <c r="B14" s="5">
        <v>36</v>
      </c>
    </row>
    <row r="16" spans="1:5" x14ac:dyDescent="0.3">
      <c r="A16" t="s">
        <v>16</v>
      </c>
      <c r="B16" s="11">
        <f>(B6-B8-0.5*B12^2)*B11</f>
        <v>1.4999999999999999E-2</v>
      </c>
    </row>
    <row r="17" spans="1:8" x14ac:dyDescent="0.3">
      <c r="A17" t="s">
        <v>17</v>
      </c>
      <c r="B17" s="11">
        <f>B12*SQRT(B11)</f>
        <v>0.14142135623730953</v>
      </c>
    </row>
    <row r="18" spans="1:8" x14ac:dyDescent="0.3">
      <c r="A18" s="3" t="s">
        <v>18</v>
      </c>
      <c r="B18" s="11">
        <f>EXP(-B6*B11)</f>
        <v>0.96078943915232318</v>
      </c>
    </row>
    <row r="20" spans="1:8" x14ac:dyDescent="0.3">
      <c r="A20" s="6" t="s">
        <v>19</v>
      </c>
      <c r="B20" s="6" t="s">
        <v>20</v>
      </c>
      <c r="C20" s="6" t="s">
        <v>21</v>
      </c>
      <c r="D20" s="6" t="s">
        <v>26</v>
      </c>
      <c r="E20" s="6" t="s">
        <v>27</v>
      </c>
      <c r="F20" s="12" t="s">
        <v>28</v>
      </c>
      <c r="G20" s="12" t="s">
        <v>29</v>
      </c>
      <c r="H20" s="6" t="s">
        <v>30</v>
      </c>
    </row>
    <row r="22" spans="1:8" x14ac:dyDescent="0.3">
      <c r="A22">
        <v>1</v>
      </c>
      <c r="B22" s="11">
        <f ca="1">RAND()</f>
        <v>0.15147830534010054</v>
      </c>
      <c r="C22" s="11">
        <f ca="1">NORMSINV(B22)</f>
        <v>-1.0301137513705052</v>
      </c>
      <c r="D22" s="13">
        <f t="shared" ref="D22:D53" ca="1" si="0">$B$4*EXP($B$16+C22*$B$17)</f>
        <v>87.749845546499301</v>
      </c>
      <c r="E22" s="13">
        <f ca="1">$B$4*EXP($B$16-C22*$B$17)</f>
        <v>117.43092281655029</v>
      </c>
      <c r="F22" s="8">
        <f t="shared" ref="F22:G22" ca="1" si="1">MAX($E$4*(D22-$B$5),0)</f>
        <v>0</v>
      </c>
      <c r="G22" s="8">
        <f t="shared" ca="1" si="1"/>
        <v>22.430922816550293</v>
      </c>
      <c r="H22" s="8">
        <f ca="1">0.5*(F22+G22)</f>
        <v>11.215461408275146</v>
      </c>
    </row>
    <row r="23" spans="1:8" x14ac:dyDescent="0.3">
      <c r="A23">
        <v>2</v>
      </c>
      <c r="B23" s="11">
        <f t="shared" ref="B23:B38" ca="1" si="2">RAND()</f>
        <v>0.15515302903924122</v>
      </c>
      <c r="C23" s="11">
        <f t="shared" ref="C23:C38" ca="1" si="3">NORMSINV(B23)</f>
        <v>-1.0145800396445579</v>
      </c>
      <c r="D23" s="13">
        <f t="shared" ca="1" si="0"/>
        <v>87.942826174739096</v>
      </c>
      <c r="E23" s="13">
        <f t="shared" ref="E23:E38" ca="1" si="4">$B$4*EXP($B$16-C23*$B$17)</f>
        <v>117.17323388107206</v>
      </c>
      <c r="F23" s="8">
        <f t="shared" ref="F23:G38" ca="1" si="5">MAX($E$4*(D23-$B$5),0)</f>
        <v>0</v>
      </c>
      <c r="G23" s="8">
        <f t="shared" ca="1" si="5"/>
        <v>22.173233881072065</v>
      </c>
      <c r="H23" s="8">
        <f t="shared" ref="H23:H38" ca="1" si="6">0.5*(F23+G23)</f>
        <v>11.086616940536032</v>
      </c>
    </row>
    <row r="24" spans="1:8" x14ac:dyDescent="0.3">
      <c r="A24">
        <v>3</v>
      </c>
      <c r="B24" s="11">
        <f t="shared" ca="1" si="2"/>
        <v>0.72225916615790275</v>
      </c>
      <c r="C24" s="11">
        <f t="shared" ca="1" si="3"/>
        <v>0.5895659763288752</v>
      </c>
      <c r="D24" s="13">
        <f t="shared" ca="1" si="0"/>
        <v>110.33789231732408</v>
      </c>
      <c r="E24" s="13">
        <f t="shared" ca="1" si="4"/>
        <v>93.39081183370817</v>
      </c>
      <c r="F24" s="8">
        <f t="shared" ca="1" si="5"/>
        <v>15.337892317324076</v>
      </c>
      <c r="G24" s="8">
        <f t="shared" ca="1" si="5"/>
        <v>0</v>
      </c>
      <c r="H24" s="8">
        <f t="shared" ca="1" si="6"/>
        <v>7.6689461586620382</v>
      </c>
    </row>
    <row r="25" spans="1:8" x14ac:dyDescent="0.3">
      <c r="A25">
        <v>4</v>
      </c>
      <c r="B25" s="11">
        <f t="shared" ca="1" si="2"/>
        <v>1.1639826142046061E-2</v>
      </c>
      <c r="C25" s="11">
        <f t="shared" ca="1" si="3"/>
        <v>-2.2688137856942232</v>
      </c>
      <c r="D25" s="13">
        <f t="shared" ca="1" si="0"/>
        <v>73.649066157554145</v>
      </c>
      <c r="E25" s="13">
        <f t="shared" ca="1" si="4"/>
        <v>139.91413438279199</v>
      </c>
      <c r="F25" s="8">
        <f t="shared" ca="1" si="5"/>
        <v>0</v>
      </c>
      <c r="G25" s="8">
        <f t="shared" ca="1" si="5"/>
        <v>44.914134382791985</v>
      </c>
      <c r="H25" s="8">
        <f t="shared" ca="1" si="6"/>
        <v>22.457067191395993</v>
      </c>
    </row>
    <row r="26" spans="1:8" x14ac:dyDescent="0.3">
      <c r="A26">
        <v>5</v>
      </c>
      <c r="B26" s="11">
        <f t="shared" ca="1" si="2"/>
        <v>0.77785660243631383</v>
      </c>
      <c r="C26" s="11">
        <f t="shared" ca="1" si="3"/>
        <v>0.76497438939496842</v>
      </c>
      <c r="D26" s="13">
        <f t="shared" ca="1" si="0"/>
        <v>113.10922011826999</v>
      </c>
      <c r="E26" s="13">
        <f t="shared" ca="1" si="4"/>
        <v>91.102611517968782</v>
      </c>
      <c r="F26" s="8">
        <f t="shared" ca="1" si="5"/>
        <v>18.109220118269988</v>
      </c>
      <c r="G26" s="8">
        <f t="shared" ca="1" si="5"/>
        <v>0</v>
      </c>
      <c r="H26" s="8">
        <f t="shared" ca="1" si="6"/>
        <v>9.0546100591349941</v>
      </c>
    </row>
    <row r="27" spans="1:8" x14ac:dyDescent="0.3">
      <c r="A27">
        <v>6</v>
      </c>
      <c r="B27" s="11">
        <f t="shared" ca="1" si="2"/>
        <v>0.92867785327842933</v>
      </c>
      <c r="C27" s="11">
        <f t="shared" ca="1" si="3"/>
        <v>1.4660146585979261</v>
      </c>
      <c r="D27" s="13">
        <f t="shared" ca="1" si="0"/>
        <v>124.89782053140863</v>
      </c>
      <c r="E27" s="13">
        <f t="shared" ca="1" si="4"/>
        <v>82.503804275302272</v>
      </c>
      <c r="F27" s="8">
        <f t="shared" ca="1" si="5"/>
        <v>29.897820531408627</v>
      </c>
      <c r="G27" s="8">
        <f t="shared" ca="1" si="5"/>
        <v>0</v>
      </c>
      <c r="H27" s="8">
        <f t="shared" ca="1" si="6"/>
        <v>14.948910265704313</v>
      </c>
    </row>
    <row r="28" spans="1:8" x14ac:dyDescent="0.3">
      <c r="A28">
        <v>7</v>
      </c>
      <c r="B28" s="11">
        <f t="shared" ca="1" si="2"/>
        <v>0.59311231190582625</v>
      </c>
      <c r="C28" s="11">
        <f t="shared" ca="1" si="3"/>
        <v>0.2355583753778708</v>
      </c>
      <c r="D28" s="13">
        <f t="shared" ca="1" si="0"/>
        <v>104.94990813105491</v>
      </c>
      <c r="E28" s="13">
        <f t="shared" ca="1" si="4"/>
        <v>98.185367886815982</v>
      </c>
      <c r="F28" s="8">
        <f t="shared" ca="1" si="5"/>
        <v>9.9499081310549116</v>
      </c>
      <c r="G28" s="8">
        <f t="shared" ca="1" si="5"/>
        <v>3.1853678868159818</v>
      </c>
      <c r="H28" s="8">
        <f t="shared" ca="1" si="6"/>
        <v>6.5676380089354467</v>
      </c>
    </row>
    <row r="29" spans="1:8" x14ac:dyDescent="0.3">
      <c r="A29">
        <v>8</v>
      </c>
      <c r="B29" s="11">
        <f t="shared" ca="1" si="2"/>
        <v>0.8160857546403103</v>
      </c>
      <c r="C29" s="11">
        <f t="shared" ca="1" si="3"/>
        <v>0.90054838062760123</v>
      </c>
      <c r="D29" s="13">
        <f t="shared" ca="1" si="0"/>
        <v>115.29879305269057</v>
      </c>
      <c r="E29" s="13">
        <f t="shared" ca="1" si="4"/>
        <v>89.372534323287141</v>
      </c>
      <c r="F29" s="8">
        <f t="shared" ca="1" si="5"/>
        <v>20.29879305269057</v>
      </c>
      <c r="G29" s="8">
        <f t="shared" ca="1" si="5"/>
        <v>0</v>
      </c>
      <c r="H29" s="8">
        <f t="shared" ca="1" si="6"/>
        <v>10.149396526345285</v>
      </c>
    </row>
    <row r="30" spans="1:8" x14ac:dyDescent="0.3">
      <c r="A30">
        <v>9</v>
      </c>
      <c r="B30" s="11">
        <f t="shared" ca="1" si="2"/>
        <v>0.15476755327224068</v>
      </c>
      <c r="C30" s="11">
        <f t="shared" ca="1" si="3"/>
        <v>-1.0161980043644829</v>
      </c>
      <c r="D30" s="13">
        <f t="shared" ca="1" si="0"/>
        <v>87.922705859631705</v>
      </c>
      <c r="E30" s="13">
        <f t="shared" ca="1" si="4"/>
        <v>117.20004791465746</v>
      </c>
      <c r="F30" s="8">
        <f t="shared" ca="1" si="5"/>
        <v>0</v>
      </c>
      <c r="G30" s="8">
        <f t="shared" ca="1" si="5"/>
        <v>22.200047914657461</v>
      </c>
      <c r="H30" s="8">
        <f t="shared" ca="1" si="6"/>
        <v>11.10002395732873</v>
      </c>
    </row>
    <row r="31" spans="1:8" x14ac:dyDescent="0.3">
      <c r="A31">
        <v>10</v>
      </c>
      <c r="B31" s="11">
        <f t="shared" ca="1" si="2"/>
        <v>0.46259955679163622</v>
      </c>
      <c r="C31" s="11">
        <f t="shared" ca="1" si="3"/>
        <v>-9.3886757210044774E-2</v>
      </c>
      <c r="D31" s="13">
        <f t="shared" ca="1" si="0"/>
        <v>100.17238916583737</v>
      </c>
      <c r="E31" s="13">
        <f t="shared" ca="1" si="4"/>
        <v>102.86811990154084</v>
      </c>
      <c r="F31" s="8">
        <f t="shared" ca="1" si="5"/>
        <v>5.1723891658373731</v>
      </c>
      <c r="G31" s="8">
        <f t="shared" ca="1" si="5"/>
        <v>7.8681199015408367</v>
      </c>
      <c r="H31" s="8">
        <f t="shared" ca="1" si="6"/>
        <v>6.5202545336891049</v>
      </c>
    </row>
    <row r="32" spans="1:8" x14ac:dyDescent="0.3">
      <c r="A32">
        <v>11</v>
      </c>
      <c r="B32" s="11">
        <f t="shared" ca="1" si="2"/>
        <v>0.54327949111423202</v>
      </c>
      <c r="C32" s="11">
        <f t="shared" ca="1" si="3"/>
        <v>0.10869927392028532</v>
      </c>
      <c r="D32" s="13">
        <f t="shared" ca="1" si="0"/>
        <v>103.08383453844114</v>
      </c>
      <c r="E32" s="13">
        <f t="shared" ca="1" si="4"/>
        <v>99.962767059198654</v>
      </c>
      <c r="F32" s="8">
        <f t="shared" ca="1" si="5"/>
        <v>8.0838345384411383</v>
      </c>
      <c r="G32" s="8">
        <f t="shared" ca="1" si="5"/>
        <v>4.9627670591986544</v>
      </c>
      <c r="H32" s="8">
        <f t="shared" ca="1" si="6"/>
        <v>6.5233007988198963</v>
      </c>
    </row>
    <row r="33" spans="1:8" x14ac:dyDescent="0.3">
      <c r="A33">
        <v>12</v>
      </c>
      <c r="B33" s="11">
        <f t="shared" ca="1" si="2"/>
        <v>0.7503178854440784</v>
      </c>
      <c r="C33" s="11">
        <f t="shared" ca="1" si="3"/>
        <v>0.67549043059458158</v>
      </c>
      <c r="D33" s="13">
        <f t="shared" ca="1" si="0"/>
        <v>111.68684840456751</v>
      </c>
      <c r="E33" s="13">
        <f t="shared" ca="1" si="4"/>
        <v>92.262835658220226</v>
      </c>
      <c r="F33" s="8">
        <f t="shared" ca="1" si="5"/>
        <v>16.686848404567513</v>
      </c>
      <c r="G33" s="8">
        <f t="shared" ca="1" si="5"/>
        <v>0</v>
      </c>
      <c r="H33" s="8">
        <f t="shared" ca="1" si="6"/>
        <v>8.3434242022837566</v>
      </c>
    </row>
    <row r="34" spans="1:8" x14ac:dyDescent="0.3">
      <c r="A34">
        <v>13</v>
      </c>
      <c r="B34" s="11">
        <f t="shared" ca="1" si="2"/>
        <v>0.24855268787370077</v>
      </c>
      <c r="C34" s="11">
        <f t="shared" ca="1" si="3"/>
        <v>-0.67905127199474258</v>
      </c>
      <c r="D34" s="13">
        <f t="shared" ca="1" si="0"/>
        <v>92.216385726429777</v>
      </c>
      <c r="E34" s="13">
        <f t="shared" ca="1" si="4"/>
        <v>111.74310572206501</v>
      </c>
      <c r="F34" s="8">
        <f t="shared" ca="1" si="5"/>
        <v>0</v>
      </c>
      <c r="G34" s="8">
        <f t="shared" ca="1" si="5"/>
        <v>16.74310572206501</v>
      </c>
      <c r="H34" s="8">
        <f t="shared" ca="1" si="6"/>
        <v>8.3715528610325052</v>
      </c>
    </row>
    <row r="35" spans="1:8" x14ac:dyDescent="0.3">
      <c r="A35">
        <v>14</v>
      </c>
      <c r="B35" s="11">
        <f t="shared" ca="1" si="2"/>
        <v>0.37963010301713451</v>
      </c>
      <c r="C35" s="11">
        <f t="shared" ca="1" si="3"/>
        <v>-0.30645241403602014</v>
      </c>
      <c r="D35" s="13">
        <f t="shared" ca="1" si="0"/>
        <v>97.20588646507035</v>
      </c>
      <c r="E35" s="13">
        <f t="shared" ca="1" si="4"/>
        <v>106.00742109623135</v>
      </c>
      <c r="F35" s="8">
        <f t="shared" ca="1" si="5"/>
        <v>2.2058864650703498</v>
      </c>
      <c r="G35" s="8">
        <f t="shared" ca="1" si="5"/>
        <v>11.007421096231354</v>
      </c>
      <c r="H35" s="8">
        <f t="shared" ca="1" si="6"/>
        <v>6.6066537806508521</v>
      </c>
    </row>
    <row r="36" spans="1:8" x14ac:dyDescent="0.3">
      <c r="A36">
        <v>15</v>
      </c>
      <c r="B36" s="11">
        <f t="shared" ca="1" si="2"/>
        <v>0.70357287661973067</v>
      </c>
      <c r="C36" s="11">
        <f t="shared" ca="1" si="3"/>
        <v>0.53470444581878385</v>
      </c>
      <c r="D36" s="13">
        <f t="shared" ca="1" si="0"/>
        <v>109.48513798733863</v>
      </c>
      <c r="E36" s="13">
        <f t="shared" ca="1" si="4"/>
        <v>94.11821119252582</v>
      </c>
      <c r="F36" s="8">
        <f t="shared" ca="1" si="5"/>
        <v>14.485137987338632</v>
      </c>
      <c r="G36" s="8">
        <f t="shared" ca="1" si="5"/>
        <v>0</v>
      </c>
      <c r="H36" s="8">
        <f t="shared" ca="1" si="6"/>
        <v>7.2425689936693161</v>
      </c>
    </row>
    <row r="37" spans="1:8" x14ac:dyDescent="0.3">
      <c r="A37">
        <v>16</v>
      </c>
      <c r="B37" s="11">
        <f t="shared" ca="1" si="2"/>
        <v>0.12722438146314152</v>
      </c>
      <c r="C37" s="11">
        <f t="shared" ca="1" si="3"/>
        <v>-1.1396101305086419</v>
      </c>
      <c r="D37" s="13">
        <f t="shared" ca="1" si="0"/>
        <v>86.40149472772562</v>
      </c>
      <c r="E37" s="13">
        <f t="shared" ca="1" si="4"/>
        <v>119.2635077900859</v>
      </c>
      <c r="F37" s="8">
        <f t="shared" ca="1" si="5"/>
        <v>0</v>
      </c>
      <c r="G37" s="8">
        <f t="shared" ca="1" si="5"/>
        <v>24.263507790085896</v>
      </c>
      <c r="H37" s="8">
        <f t="shared" ca="1" si="6"/>
        <v>12.131753895042948</v>
      </c>
    </row>
    <row r="38" spans="1:8" x14ac:dyDescent="0.3">
      <c r="A38">
        <v>17</v>
      </c>
      <c r="B38" s="11">
        <f t="shared" ca="1" si="2"/>
        <v>0.7484642493567637</v>
      </c>
      <c r="C38" s="11">
        <f t="shared" ca="1" si="3"/>
        <v>0.66966479102014032</v>
      </c>
      <c r="D38" s="13">
        <f t="shared" ca="1" si="0"/>
        <v>111.59487087153452</v>
      </c>
      <c r="E38" s="13">
        <f t="shared" ca="1" si="4"/>
        <v>92.338879547587155</v>
      </c>
      <c r="F38" s="8">
        <f t="shared" ca="1" si="5"/>
        <v>16.594870871534525</v>
      </c>
      <c r="G38" s="8">
        <f t="shared" ca="1" si="5"/>
        <v>0</v>
      </c>
      <c r="H38" s="8">
        <f t="shared" ca="1" si="6"/>
        <v>8.2974354357672624</v>
      </c>
    </row>
    <row r="39" spans="1:8" x14ac:dyDescent="0.3">
      <c r="A39">
        <v>18</v>
      </c>
      <c r="B39" s="11">
        <f t="shared" ref="B39:B54" ca="1" si="7">RAND()</f>
        <v>0.56224973304187653</v>
      </c>
      <c r="C39" s="11">
        <f t="shared" ref="C39:C54" ca="1" si="8">NORMSINV(B39)</f>
        <v>0.15667557972928722</v>
      </c>
      <c r="D39" s="13">
        <f t="shared" ca="1" si="0"/>
        <v>103.78562347404794</v>
      </c>
      <c r="E39" s="13">
        <f t="shared" ref="E39:E54" ca="1" si="9">$B$4*EXP($B$16-C39*$B$17)</f>
        <v>99.28682793057429</v>
      </c>
      <c r="F39" s="8">
        <f t="shared" ref="F39:G54" ca="1" si="10">MAX($E$4*(D39-$B$5),0)</f>
        <v>8.785623474047938</v>
      </c>
      <c r="G39" s="8">
        <f t="shared" ca="1" si="10"/>
        <v>4.2868279305742902</v>
      </c>
      <c r="H39" s="8">
        <f t="shared" ref="H39:H54" ca="1" si="11">0.5*(F39+G39)</f>
        <v>6.5362257023111141</v>
      </c>
    </row>
    <row r="40" spans="1:8" x14ac:dyDescent="0.3">
      <c r="A40">
        <v>19</v>
      </c>
      <c r="B40" s="11">
        <f t="shared" ca="1" si="7"/>
        <v>0.1460000987239195</v>
      </c>
      <c r="C40" s="11">
        <f t="shared" ca="1" si="8"/>
        <v>-1.0537438709815128</v>
      </c>
      <c r="D40" s="13">
        <f t="shared" ca="1" si="0"/>
        <v>87.457092234438733</v>
      </c>
      <c r="E40" s="13">
        <f t="shared" ca="1" si="9"/>
        <v>117.82401033769403</v>
      </c>
      <c r="F40" s="8">
        <f t="shared" ca="1" si="10"/>
        <v>0</v>
      </c>
      <c r="G40" s="8">
        <f t="shared" ca="1" si="10"/>
        <v>22.824010337694034</v>
      </c>
      <c r="H40" s="8">
        <f t="shared" ca="1" si="11"/>
        <v>11.412005168847017</v>
      </c>
    </row>
    <row r="41" spans="1:8" x14ac:dyDescent="0.3">
      <c r="A41">
        <v>20</v>
      </c>
      <c r="B41" s="11">
        <f t="shared" ca="1" si="7"/>
        <v>0.73264207327828768</v>
      </c>
      <c r="C41" s="11">
        <f t="shared" ca="1" si="8"/>
        <v>0.62082335708240699</v>
      </c>
      <c r="D41" s="13">
        <f t="shared" ca="1" si="0"/>
        <v>110.82671630458216</v>
      </c>
      <c r="E41" s="13">
        <f t="shared" ca="1" si="9"/>
        <v>92.978892483067497</v>
      </c>
      <c r="F41" s="8">
        <f t="shared" ca="1" si="10"/>
        <v>15.826716304582163</v>
      </c>
      <c r="G41" s="8">
        <f t="shared" ca="1" si="10"/>
        <v>0</v>
      </c>
      <c r="H41" s="8">
        <f t="shared" ca="1" si="11"/>
        <v>7.9133581522910816</v>
      </c>
    </row>
    <row r="42" spans="1:8" x14ac:dyDescent="0.3">
      <c r="A42">
        <v>21</v>
      </c>
      <c r="B42" s="11">
        <f t="shared" ca="1" si="7"/>
        <v>0.54936947430506888</v>
      </c>
      <c r="C42" s="11">
        <f t="shared" ca="1" si="8"/>
        <v>0.12406848407216556</v>
      </c>
      <c r="D42" s="13">
        <f t="shared" ca="1" si="0"/>
        <v>103.30813448727523</v>
      </c>
      <c r="E42" s="13">
        <f t="shared" ca="1" si="9"/>
        <v>99.745730485573802</v>
      </c>
      <c r="F42" s="8">
        <f t="shared" ca="1" si="10"/>
        <v>8.3081344872752254</v>
      </c>
      <c r="G42" s="8">
        <f t="shared" ca="1" si="10"/>
        <v>4.7457304855738016</v>
      </c>
      <c r="H42" s="8">
        <f t="shared" ca="1" si="11"/>
        <v>6.5269324864245135</v>
      </c>
    </row>
    <row r="43" spans="1:8" x14ac:dyDescent="0.3">
      <c r="A43">
        <v>22</v>
      </c>
      <c r="B43" s="11">
        <f t="shared" ca="1" si="7"/>
        <v>0.14028813996792433</v>
      </c>
      <c r="C43" s="11">
        <f t="shared" ca="1" si="8"/>
        <v>-1.0790256800917972</v>
      </c>
      <c r="D43" s="13">
        <f t="shared" ca="1" si="0"/>
        <v>87.144957553509073</v>
      </c>
      <c r="E43" s="13">
        <f t="shared" ca="1" si="9"/>
        <v>118.24603085276544</v>
      </c>
      <c r="F43" s="8">
        <f t="shared" ca="1" si="10"/>
        <v>0</v>
      </c>
      <c r="G43" s="8">
        <f t="shared" ca="1" si="10"/>
        <v>23.246030852765443</v>
      </c>
      <c r="H43" s="8">
        <f t="shared" ca="1" si="11"/>
        <v>11.623015426382722</v>
      </c>
    </row>
    <row r="44" spans="1:8" x14ac:dyDescent="0.3">
      <c r="A44">
        <v>23</v>
      </c>
      <c r="B44" s="11">
        <f t="shared" ca="1" si="7"/>
        <v>0.31918660464983761</v>
      </c>
      <c r="C44" s="11">
        <f t="shared" ca="1" si="8"/>
        <v>-0.46997453760354058</v>
      </c>
      <c r="D44" s="13">
        <f t="shared" ca="1" si="0"/>
        <v>94.983742890030058</v>
      </c>
      <c r="E44" s="13">
        <f t="shared" ca="1" si="9"/>
        <v>108.48746349641674</v>
      </c>
      <c r="F44" s="8">
        <f t="shared" ca="1" si="10"/>
        <v>0</v>
      </c>
      <c r="G44" s="8">
        <f t="shared" ca="1" si="10"/>
        <v>13.487463496416737</v>
      </c>
      <c r="H44" s="8">
        <f t="shared" ca="1" si="11"/>
        <v>6.7437317482083685</v>
      </c>
    </row>
    <row r="45" spans="1:8" x14ac:dyDescent="0.3">
      <c r="A45">
        <v>24</v>
      </c>
      <c r="B45" s="11">
        <f t="shared" ca="1" si="7"/>
        <v>0.63166578271046048</v>
      </c>
      <c r="C45" s="11">
        <f t="shared" ca="1" si="8"/>
        <v>0.33626845625235502</v>
      </c>
      <c r="D45" s="13">
        <f t="shared" ca="1" si="0"/>
        <v>106.45535837987781</v>
      </c>
      <c r="E45" s="13">
        <f t="shared" ca="1" si="9"/>
        <v>96.796868625101865</v>
      </c>
      <c r="F45" s="8">
        <f t="shared" ca="1" si="10"/>
        <v>11.455358379877808</v>
      </c>
      <c r="G45" s="8">
        <f t="shared" ca="1" si="10"/>
        <v>1.7968686251018653</v>
      </c>
      <c r="H45" s="8">
        <f t="shared" ca="1" si="11"/>
        <v>6.6261135024898365</v>
      </c>
    </row>
    <row r="46" spans="1:8" x14ac:dyDescent="0.3">
      <c r="A46">
        <v>25</v>
      </c>
      <c r="B46" s="11">
        <f t="shared" ca="1" si="7"/>
        <v>0.92072754617554753</v>
      </c>
      <c r="C46" s="11">
        <f t="shared" ca="1" si="8"/>
        <v>1.4099823058456931</v>
      </c>
      <c r="D46" s="13">
        <f t="shared" ca="1" si="0"/>
        <v>123.91201978948409</v>
      </c>
      <c r="E46" s="13">
        <f t="shared" ca="1" si="9"/>
        <v>83.160175720173939</v>
      </c>
      <c r="F46" s="8">
        <f t="shared" ca="1" si="10"/>
        <v>28.912019789484091</v>
      </c>
      <c r="G46" s="8">
        <f t="shared" ca="1" si="10"/>
        <v>0</v>
      </c>
      <c r="H46" s="8">
        <f t="shared" ca="1" si="11"/>
        <v>14.456009894742046</v>
      </c>
    </row>
    <row r="47" spans="1:8" x14ac:dyDescent="0.3">
      <c r="A47">
        <v>26</v>
      </c>
      <c r="B47" s="11">
        <f t="shared" ca="1" si="7"/>
        <v>0.1837609815762733</v>
      </c>
      <c r="C47" s="11">
        <f t="shared" ca="1" si="8"/>
        <v>-0.90112480971854436</v>
      </c>
      <c r="D47" s="13">
        <f t="shared" ca="1" si="0"/>
        <v>89.365249026309527</v>
      </c>
      <c r="E47" s="13">
        <f t="shared" ca="1" si="9"/>
        <v>115.30819252236924</v>
      </c>
      <c r="F47" s="8">
        <f t="shared" ca="1" si="10"/>
        <v>0</v>
      </c>
      <c r="G47" s="8">
        <f t="shared" ca="1" si="10"/>
        <v>20.308192522369239</v>
      </c>
      <c r="H47" s="8">
        <f t="shared" ca="1" si="11"/>
        <v>10.15409626118462</v>
      </c>
    </row>
    <row r="48" spans="1:8" x14ac:dyDescent="0.3">
      <c r="A48">
        <v>27</v>
      </c>
      <c r="B48" s="11">
        <f t="shared" ca="1" si="7"/>
        <v>0.27315255687390072</v>
      </c>
      <c r="C48" s="11">
        <f t="shared" ca="1" si="8"/>
        <v>-0.60330604278231725</v>
      </c>
      <c r="D48" s="13">
        <f t="shared" ca="1" si="0"/>
        <v>93.209516718456285</v>
      </c>
      <c r="E48" s="13">
        <f t="shared" ca="1" si="9"/>
        <v>110.55250260185912</v>
      </c>
      <c r="F48" s="8">
        <f t="shared" ca="1" si="10"/>
        <v>0</v>
      </c>
      <c r="G48" s="8">
        <f t="shared" ca="1" si="10"/>
        <v>15.552502601859118</v>
      </c>
      <c r="H48" s="8">
        <f t="shared" ca="1" si="11"/>
        <v>7.7762513009295589</v>
      </c>
    </row>
    <row r="49" spans="1:8" x14ac:dyDescent="0.3">
      <c r="A49">
        <v>28</v>
      </c>
      <c r="B49" s="11">
        <f t="shared" ca="1" si="7"/>
        <v>0.86484844270116812</v>
      </c>
      <c r="C49" s="11">
        <f t="shared" ca="1" si="8"/>
        <v>1.1023647851692899</v>
      </c>
      <c r="D49" s="13">
        <f t="shared" ca="1" si="0"/>
        <v>118.63696417712089</v>
      </c>
      <c r="E49" s="13">
        <f t="shared" ca="1" si="9"/>
        <v>86.857796901738297</v>
      </c>
      <c r="F49" s="8">
        <f t="shared" ca="1" si="10"/>
        <v>23.636964177120888</v>
      </c>
      <c r="G49" s="8">
        <f t="shared" ca="1" si="10"/>
        <v>0</v>
      </c>
      <c r="H49" s="8">
        <f t="shared" ca="1" si="11"/>
        <v>11.818482088560444</v>
      </c>
    </row>
    <row r="50" spans="1:8" x14ac:dyDescent="0.3">
      <c r="A50">
        <v>29</v>
      </c>
      <c r="B50" s="11">
        <f t="shared" ca="1" si="7"/>
        <v>0.86120074273343783</v>
      </c>
      <c r="C50" s="11">
        <f t="shared" ca="1" si="8"/>
        <v>1.0857298856059558</v>
      </c>
      <c r="D50" s="13">
        <f t="shared" ca="1" si="0"/>
        <v>118.35819518779036</v>
      </c>
      <c r="E50" s="13">
        <f t="shared" ca="1" si="9"/>
        <v>87.062373021029046</v>
      </c>
      <c r="F50" s="8">
        <f t="shared" ca="1" si="10"/>
        <v>23.358195187790358</v>
      </c>
      <c r="G50" s="8">
        <f t="shared" ca="1" si="10"/>
        <v>0</v>
      </c>
      <c r="H50" s="8">
        <f t="shared" ca="1" si="11"/>
        <v>11.679097593895179</v>
      </c>
    </row>
    <row r="51" spans="1:8" x14ac:dyDescent="0.3">
      <c r="A51">
        <v>30</v>
      </c>
      <c r="B51" s="11">
        <f t="shared" ca="1" si="7"/>
        <v>0.66765455367425941</v>
      </c>
      <c r="C51" s="11">
        <f t="shared" ca="1" si="8"/>
        <v>0.43344585632706434</v>
      </c>
      <c r="D51" s="13">
        <f t="shared" ca="1" si="0"/>
        <v>107.92846934846293</v>
      </c>
      <c r="E51" s="13">
        <f t="shared" ca="1" si="9"/>
        <v>95.475692389052895</v>
      </c>
      <c r="F51" s="8">
        <f t="shared" ca="1" si="10"/>
        <v>12.928469348462926</v>
      </c>
      <c r="G51" s="8">
        <f t="shared" ca="1" si="10"/>
        <v>0.47569238905289524</v>
      </c>
      <c r="H51" s="8">
        <f t="shared" ca="1" si="11"/>
        <v>6.7020808687579105</v>
      </c>
    </row>
    <row r="52" spans="1:8" x14ac:dyDescent="0.3">
      <c r="A52">
        <v>31</v>
      </c>
      <c r="B52" s="11">
        <f t="shared" ca="1" si="7"/>
        <v>0.29677669789313643</v>
      </c>
      <c r="C52" s="11">
        <f t="shared" ca="1" si="8"/>
        <v>-0.53369380523122023</v>
      </c>
      <c r="D52" s="13">
        <f t="shared" ca="1" si="0"/>
        <v>94.131664108642681</v>
      </c>
      <c r="E52" s="13">
        <f t="shared" ca="1" si="9"/>
        <v>109.46949081493034</v>
      </c>
      <c r="F52" s="8">
        <f t="shared" ca="1" si="10"/>
        <v>0</v>
      </c>
      <c r="G52" s="8">
        <f t="shared" ca="1" si="10"/>
        <v>14.469490814930339</v>
      </c>
      <c r="H52" s="8">
        <f t="shared" ca="1" si="11"/>
        <v>7.2347454074651694</v>
      </c>
    </row>
    <row r="53" spans="1:8" x14ac:dyDescent="0.3">
      <c r="A53">
        <v>32</v>
      </c>
      <c r="B53" s="11">
        <f t="shared" ca="1" si="7"/>
        <v>6.9681007722894761E-2</v>
      </c>
      <c r="C53" s="11">
        <f t="shared" ca="1" si="8"/>
        <v>-1.4781709944652655</v>
      </c>
      <c r="D53" s="13">
        <f t="shared" ca="1" si="0"/>
        <v>82.362088432339647</v>
      </c>
      <c r="E53" s="13">
        <f t="shared" ca="1" si="9"/>
        <v>125.11272523158927</v>
      </c>
      <c r="F53" s="8">
        <f t="shared" ca="1" si="10"/>
        <v>0</v>
      </c>
      <c r="G53" s="8">
        <f t="shared" ca="1" si="10"/>
        <v>30.112725231589266</v>
      </c>
      <c r="H53" s="8">
        <f t="shared" ca="1" si="11"/>
        <v>15.056362615794633</v>
      </c>
    </row>
    <row r="54" spans="1:8" x14ac:dyDescent="0.3">
      <c r="A54">
        <v>33</v>
      </c>
      <c r="B54" s="11">
        <f t="shared" ca="1" si="7"/>
        <v>0.2266083405400714</v>
      </c>
      <c r="C54" s="11">
        <f t="shared" ca="1" si="8"/>
        <v>-0.75006313491748144</v>
      </c>
      <c r="D54" s="13">
        <f t="shared" ref="D54:D57" ca="1" si="12">$B$4*EXP($B$16+C54*$B$17)</f>
        <v>91.294928661727496</v>
      </c>
      <c r="E54" s="13">
        <f t="shared" ca="1" si="9"/>
        <v>112.87095012381585</v>
      </c>
      <c r="F54" s="8">
        <f t="shared" ca="1" si="10"/>
        <v>0</v>
      </c>
      <c r="G54" s="8">
        <f t="shared" ca="1" si="10"/>
        <v>17.870950123815845</v>
      </c>
      <c r="H54" s="8">
        <f t="shared" ca="1" si="11"/>
        <v>8.9354750619079226</v>
      </c>
    </row>
    <row r="55" spans="1:8" x14ac:dyDescent="0.3">
      <c r="A55">
        <v>34</v>
      </c>
      <c r="B55" s="11">
        <f t="shared" ref="B55:B57" ca="1" si="13">RAND()</f>
        <v>0.11725689076365586</v>
      </c>
      <c r="C55" s="11">
        <f t="shared" ref="C55:C57" ca="1" si="14">NORMSINV(B55)</f>
        <v>-1.1888116781627969</v>
      </c>
      <c r="D55" s="13">
        <f t="shared" ca="1" si="12"/>
        <v>85.802386959827572</v>
      </c>
      <c r="E55" s="13">
        <f t="shared" ref="E55:E57" ca="1" si="15">$B$4*EXP($B$16-C55*$B$17)</f>
        <v>120.09625494870821</v>
      </c>
      <c r="F55" s="8">
        <f t="shared" ref="F55:G57" ca="1" si="16">MAX($E$4*(D55-$B$5),0)</f>
        <v>0</v>
      </c>
      <c r="G55" s="8">
        <f t="shared" ca="1" si="16"/>
        <v>25.096254948708207</v>
      </c>
      <c r="H55" s="8">
        <f t="shared" ref="H55:H57" ca="1" si="17">0.5*(F55+G55)</f>
        <v>12.548127474354104</v>
      </c>
    </row>
    <row r="56" spans="1:8" x14ac:dyDescent="0.3">
      <c r="A56">
        <v>35</v>
      </c>
      <c r="B56" s="11">
        <f t="shared" ca="1" si="13"/>
        <v>0.52065396117522589</v>
      </c>
      <c r="C56" s="11">
        <f t="shared" ca="1" si="14"/>
        <v>5.1794952282633137E-2</v>
      </c>
      <c r="D56" s="13">
        <f t="shared" ca="1" si="12"/>
        <v>102.25759781138433</v>
      </c>
      <c r="E56" s="13">
        <f t="shared" ca="1" si="15"/>
        <v>100.77046165842911</v>
      </c>
      <c r="F56" s="8">
        <f t="shared" ca="1" si="16"/>
        <v>7.2575978113843291</v>
      </c>
      <c r="G56" s="8">
        <f t="shared" ca="1" si="16"/>
        <v>5.7704616584291131</v>
      </c>
      <c r="H56" s="8">
        <f t="shared" ca="1" si="17"/>
        <v>6.5140297349067211</v>
      </c>
    </row>
    <row r="57" spans="1:8" x14ac:dyDescent="0.3">
      <c r="A57">
        <v>36</v>
      </c>
      <c r="B57" s="11">
        <f t="shared" ca="1" si="13"/>
        <v>0.50763555632574897</v>
      </c>
      <c r="C57" s="11">
        <f t="shared" ca="1" si="14"/>
        <v>1.914067006049772E-2</v>
      </c>
      <c r="D57" s="13">
        <f t="shared" ca="1" si="12"/>
        <v>101.78645960617733</v>
      </c>
      <c r="E57" s="13">
        <f t="shared" ca="1" si="15"/>
        <v>101.23689712172477</v>
      </c>
      <c r="F57" s="8">
        <f t="shared" ca="1" si="16"/>
        <v>6.7864596061773312</v>
      </c>
      <c r="G57" s="8">
        <f t="shared" ca="1" si="16"/>
        <v>6.2368971217247662</v>
      </c>
      <c r="H57" s="8">
        <f t="shared" ca="1" si="17"/>
        <v>6.5116783639510487</v>
      </c>
    </row>
  </sheetData>
  <printOptions headings="1" gridLines="1"/>
  <pageMargins left="0.75" right="0.75" top="1" bottom="1" header="0.5" footer="0.5"/>
  <pageSetup paperSize="9" scale="92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/>
  </sheetViews>
  <sheetFormatPr defaultRowHeight="13" x14ac:dyDescent="0.3"/>
  <cols>
    <col min="1" max="1" width="22.296875" customWidth="1"/>
    <col min="4" max="4" width="11.5" customWidth="1"/>
    <col min="7" max="7" width="10.796875" customWidth="1"/>
  </cols>
  <sheetData>
    <row r="1" spans="1:7" x14ac:dyDescent="0.3">
      <c r="A1" s="2" t="s">
        <v>0</v>
      </c>
    </row>
    <row r="2" spans="1:7" x14ac:dyDescent="0.3">
      <c r="A2" s="2" t="s">
        <v>31</v>
      </c>
    </row>
    <row r="4" spans="1:7" x14ac:dyDescent="0.3">
      <c r="A4" s="3" t="s">
        <v>2</v>
      </c>
      <c r="B4" s="4">
        <v>100</v>
      </c>
      <c r="D4" t="s">
        <v>3</v>
      </c>
      <c r="E4" s="5">
        <v>1</v>
      </c>
    </row>
    <row r="5" spans="1:7" x14ac:dyDescent="0.3">
      <c r="A5" t="s">
        <v>4</v>
      </c>
      <c r="B5" s="4">
        <v>95</v>
      </c>
      <c r="D5" t="s">
        <v>5</v>
      </c>
      <c r="E5" s="6" t="str">
        <f>IF(E4=1,"call","put")</f>
        <v>call</v>
      </c>
    </row>
    <row r="6" spans="1:7" x14ac:dyDescent="0.3">
      <c r="A6" s="3" t="s">
        <v>6</v>
      </c>
      <c r="B6" s="7">
        <v>0.08</v>
      </c>
    </row>
    <row r="7" spans="1:7" x14ac:dyDescent="0.3">
      <c r="D7" t="s">
        <v>7</v>
      </c>
      <c r="E7" s="8">
        <f>BSOptionValue(E4,B4,B5,B6,B8,B11,B12)</f>
        <v>9.7257629574651006</v>
      </c>
    </row>
    <row r="8" spans="1:7" x14ac:dyDescent="0.3">
      <c r="A8" s="3" t="s">
        <v>8</v>
      </c>
      <c r="B8" s="7">
        <v>0.03</v>
      </c>
    </row>
    <row r="9" spans="1:7" x14ac:dyDescent="0.3">
      <c r="A9" s="3" t="s">
        <v>9</v>
      </c>
      <c r="B9" s="11">
        <v>0</v>
      </c>
      <c r="D9" t="s">
        <v>32</v>
      </c>
      <c r="E9" s="8">
        <f>B18*AVERAGE(H22:H57)</f>
        <v>8.9500207507706051</v>
      </c>
    </row>
    <row r="10" spans="1:7" x14ac:dyDescent="0.3">
      <c r="A10" s="3" t="s">
        <v>11</v>
      </c>
      <c r="B10" s="9">
        <v>0.5</v>
      </c>
      <c r="D10" s="3" t="s">
        <v>33</v>
      </c>
      <c r="E10" s="8">
        <f>B18*STDEV(H22:H57)/SQRT(B14)</f>
        <v>1.6911054683784534</v>
      </c>
    </row>
    <row r="11" spans="1:7" x14ac:dyDescent="0.3">
      <c r="A11" s="3" t="s">
        <v>13</v>
      </c>
      <c r="B11" s="11">
        <f>B10-B9</f>
        <v>0.5</v>
      </c>
    </row>
    <row r="12" spans="1:7" x14ac:dyDescent="0.3">
      <c r="A12" s="3" t="s">
        <v>14</v>
      </c>
      <c r="B12" s="7">
        <v>0.2</v>
      </c>
      <c r="G12" s="8"/>
    </row>
    <row r="13" spans="1:7" x14ac:dyDescent="0.3">
      <c r="G13" s="8"/>
    </row>
    <row r="14" spans="1:7" x14ac:dyDescent="0.3">
      <c r="A14" s="3" t="s">
        <v>15</v>
      </c>
      <c r="B14" s="5">
        <v>36</v>
      </c>
    </row>
    <row r="16" spans="1:7" x14ac:dyDescent="0.3">
      <c r="A16" t="s">
        <v>16</v>
      </c>
      <c r="B16" s="11">
        <f>(B6-B8-0.5*B12^2)*B11</f>
        <v>1.4999999999999999E-2</v>
      </c>
    </row>
    <row r="17" spans="1:8" x14ac:dyDescent="0.3">
      <c r="A17" t="s">
        <v>17</v>
      </c>
      <c r="B17" s="11">
        <f>B12*SQRT(B11)</f>
        <v>0.14142135623730953</v>
      </c>
    </row>
    <row r="18" spans="1:8" x14ac:dyDescent="0.3">
      <c r="A18" s="3" t="s">
        <v>18</v>
      </c>
      <c r="B18" s="11">
        <f>EXP(-B6*B11)</f>
        <v>0.96078943915232318</v>
      </c>
    </row>
    <row r="20" spans="1:8" x14ac:dyDescent="0.3">
      <c r="A20" s="6" t="s">
        <v>19</v>
      </c>
      <c r="B20" s="6" t="s">
        <v>20</v>
      </c>
      <c r="C20" s="6" t="s">
        <v>21</v>
      </c>
      <c r="E20" s="6" t="s">
        <v>22</v>
      </c>
      <c r="H20" s="12" t="s">
        <v>23</v>
      </c>
    </row>
    <row r="22" spans="1:8" x14ac:dyDescent="0.3">
      <c r="A22">
        <v>16</v>
      </c>
      <c r="B22" s="11">
        <f>FaureBase2(A22)</f>
        <v>3.125E-2</v>
      </c>
      <c r="C22" s="11">
        <f>MoroNormSInv(B22)</f>
        <v>-1.8627318674448226</v>
      </c>
      <c r="E22" s="13">
        <f t="shared" ref="E22:E57" si="0">$B$4*EXP($B$16+C22*$B$17)</f>
        <v>78.002440837433241</v>
      </c>
      <c r="H22" s="8">
        <f>MAX($E$4*(E22-$B$5),0)</f>
        <v>0</v>
      </c>
    </row>
    <row r="23" spans="1:8" x14ac:dyDescent="0.3">
      <c r="A23">
        <v>17</v>
      </c>
      <c r="B23" s="11">
        <f t="shared" ref="B23:B38" si="1">FaureBase2(A23)</f>
        <v>0.53125</v>
      </c>
      <c r="C23" s="11">
        <f t="shared" ref="C23:C38" si="2">MoroNormSInv(B23)</f>
        <v>7.8412411794334322E-2</v>
      </c>
      <c r="E23" s="13">
        <f t="shared" si="0"/>
        <v>102.64324915167514</v>
      </c>
      <c r="H23" s="8">
        <f t="shared" ref="H23:H38" si="3">MAX($E$4*(E23-$B$5),0)</f>
        <v>7.6432491516751355</v>
      </c>
    </row>
    <row r="24" spans="1:8" x14ac:dyDescent="0.3">
      <c r="A24">
        <v>18</v>
      </c>
      <c r="B24" s="11">
        <f t="shared" si="1"/>
        <v>0.28125</v>
      </c>
      <c r="C24" s="11">
        <f t="shared" si="2"/>
        <v>-0.57913216094476239</v>
      </c>
      <c r="E24" s="13">
        <f t="shared" si="0"/>
        <v>93.52871770315403</v>
      </c>
      <c r="H24" s="8">
        <f t="shared" si="3"/>
        <v>0</v>
      </c>
    </row>
    <row r="25" spans="1:8" x14ac:dyDescent="0.3">
      <c r="A25">
        <v>19</v>
      </c>
      <c r="B25" s="11">
        <f t="shared" si="1"/>
        <v>0.78125</v>
      </c>
      <c r="C25" s="11">
        <f t="shared" si="2"/>
        <v>0.77642176249430905</v>
      </c>
      <c r="E25" s="13">
        <f t="shared" si="0"/>
        <v>113.29248127833304</v>
      </c>
      <c r="H25" s="8">
        <f t="shared" si="3"/>
        <v>18.292481278333042</v>
      </c>
    </row>
    <row r="26" spans="1:8" x14ac:dyDescent="0.3">
      <c r="A26">
        <v>20</v>
      </c>
      <c r="B26" s="11">
        <f t="shared" si="1"/>
        <v>0.15625</v>
      </c>
      <c r="C26" s="11">
        <f t="shared" si="2"/>
        <v>-1.0099901674456402</v>
      </c>
      <c r="E26" s="13">
        <f t="shared" si="0"/>
        <v>87.999928917445715</v>
      </c>
      <c r="H26" s="8">
        <f t="shared" si="3"/>
        <v>0</v>
      </c>
    </row>
    <row r="27" spans="1:8" x14ac:dyDescent="0.3">
      <c r="A27">
        <v>21</v>
      </c>
      <c r="B27" s="11">
        <f t="shared" si="1"/>
        <v>0.65625</v>
      </c>
      <c r="C27" s="11">
        <f t="shared" si="2"/>
        <v>0.40225006631210564</v>
      </c>
      <c r="E27" s="13">
        <f t="shared" si="0"/>
        <v>107.45336461561392</v>
      </c>
      <c r="H27" s="8">
        <f t="shared" si="3"/>
        <v>12.453364615613921</v>
      </c>
    </row>
    <row r="28" spans="1:8" x14ac:dyDescent="0.3">
      <c r="A28">
        <v>22</v>
      </c>
      <c r="B28" s="11">
        <f t="shared" si="1"/>
        <v>0.40625</v>
      </c>
      <c r="C28" s="11">
        <f t="shared" si="2"/>
        <v>-0.23720210927482974</v>
      </c>
      <c r="E28" s="13">
        <f t="shared" si="0"/>
        <v>98.162546459448734</v>
      </c>
      <c r="H28" s="8">
        <f t="shared" si="3"/>
        <v>3.162546459448734</v>
      </c>
    </row>
    <row r="29" spans="1:8" x14ac:dyDescent="0.3">
      <c r="A29">
        <v>23</v>
      </c>
      <c r="B29" s="11">
        <f t="shared" si="1"/>
        <v>0.90625</v>
      </c>
      <c r="C29" s="11">
        <f t="shared" si="2"/>
        <v>1.3180108954566701</v>
      </c>
      <c r="E29" s="13">
        <f t="shared" si="0"/>
        <v>122.31076674665189</v>
      </c>
      <c r="H29" s="8">
        <f t="shared" si="3"/>
        <v>27.310766746651893</v>
      </c>
    </row>
    <row r="30" spans="1:8" x14ac:dyDescent="0.3">
      <c r="A30">
        <v>24</v>
      </c>
      <c r="B30" s="11">
        <f t="shared" si="1"/>
        <v>9.375E-2</v>
      </c>
      <c r="C30" s="11">
        <f t="shared" si="2"/>
        <v>-1.3180108954566701</v>
      </c>
      <c r="E30" s="13">
        <f t="shared" si="0"/>
        <v>84.248881873821162</v>
      </c>
      <c r="H30" s="8">
        <f t="shared" si="3"/>
        <v>0</v>
      </c>
    </row>
    <row r="31" spans="1:8" x14ac:dyDescent="0.3">
      <c r="A31">
        <v>25</v>
      </c>
      <c r="B31" s="11">
        <f t="shared" si="1"/>
        <v>0.59375</v>
      </c>
      <c r="C31" s="11">
        <f t="shared" si="2"/>
        <v>0.23720210927482974</v>
      </c>
      <c r="E31" s="13">
        <f t="shared" si="0"/>
        <v>104.97430752565093</v>
      </c>
      <c r="H31" s="8">
        <f t="shared" si="3"/>
        <v>9.9743075256509286</v>
      </c>
    </row>
    <row r="32" spans="1:8" x14ac:dyDescent="0.3">
      <c r="A32">
        <v>26</v>
      </c>
      <c r="B32" s="11">
        <f t="shared" si="1"/>
        <v>0.34375</v>
      </c>
      <c r="C32" s="11">
        <f t="shared" si="2"/>
        <v>-0.40225006631210564</v>
      </c>
      <c r="E32" s="13">
        <f t="shared" si="0"/>
        <v>95.897837879688197</v>
      </c>
      <c r="H32" s="8">
        <f t="shared" si="3"/>
        <v>0.89783787968819695</v>
      </c>
    </row>
    <row r="33" spans="1:8" x14ac:dyDescent="0.3">
      <c r="A33">
        <v>27</v>
      </c>
      <c r="B33" s="11">
        <f t="shared" si="1"/>
        <v>0.84375</v>
      </c>
      <c r="C33" s="11">
        <f t="shared" si="2"/>
        <v>1.0099901674456402</v>
      </c>
      <c r="E33" s="13">
        <f t="shared" si="0"/>
        <v>117.0972007170829</v>
      </c>
      <c r="H33" s="8">
        <f t="shared" si="3"/>
        <v>22.097200717082899</v>
      </c>
    </row>
    <row r="34" spans="1:8" x14ac:dyDescent="0.3">
      <c r="A34">
        <v>28</v>
      </c>
      <c r="B34" s="11">
        <f t="shared" si="1"/>
        <v>0.21875</v>
      </c>
      <c r="C34" s="11">
        <f t="shared" si="2"/>
        <v>-0.77642176249430905</v>
      </c>
      <c r="E34" s="13">
        <f t="shared" si="0"/>
        <v>90.955244542833498</v>
      </c>
      <c r="H34" s="8">
        <f t="shared" si="3"/>
        <v>0</v>
      </c>
    </row>
    <row r="35" spans="1:8" x14ac:dyDescent="0.3">
      <c r="A35">
        <v>29</v>
      </c>
      <c r="B35" s="11">
        <f t="shared" si="1"/>
        <v>0.71875</v>
      </c>
      <c r="C35" s="11">
        <f t="shared" si="2"/>
        <v>0.57913216094476239</v>
      </c>
      <c r="E35" s="13">
        <f t="shared" si="0"/>
        <v>110.17520171975663</v>
      </c>
      <c r="H35" s="8">
        <f t="shared" si="3"/>
        <v>15.175201719756629</v>
      </c>
    </row>
    <row r="36" spans="1:8" x14ac:dyDescent="0.3">
      <c r="A36">
        <v>30</v>
      </c>
      <c r="B36" s="11">
        <f t="shared" si="1"/>
        <v>0.46875</v>
      </c>
      <c r="C36" s="11">
        <f t="shared" si="2"/>
        <v>-7.8412411794334322E-2</v>
      </c>
      <c r="E36" s="13">
        <f t="shared" si="0"/>
        <v>100.39184675758092</v>
      </c>
      <c r="H36" s="8">
        <f t="shared" si="3"/>
        <v>5.3918467575809217</v>
      </c>
    </row>
    <row r="37" spans="1:8" x14ac:dyDescent="0.3">
      <c r="A37">
        <v>31</v>
      </c>
      <c r="B37" s="11">
        <f t="shared" si="1"/>
        <v>0.96875</v>
      </c>
      <c r="C37" s="11">
        <f t="shared" si="2"/>
        <v>1.8627318674448226</v>
      </c>
      <c r="E37" s="13">
        <f t="shared" si="0"/>
        <v>132.10542168816383</v>
      </c>
      <c r="H37" s="8">
        <f t="shared" si="3"/>
        <v>37.10542168816383</v>
      </c>
    </row>
    <row r="38" spans="1:8" x14ac:dyDescent="0.3">
      <c r="A38">
        <v>32</v>
      </c>
      <c r="B38" s="11">
        <f t="shared" si="1"/>
        <v>1.5625E-2</v>
      </c>
      <c r="C38" s="11">
        <f t="shared" si="2"/>
        <v>-2.1538746939671296</v>
      </c>
      <c r="E38" s="13">
        <f t="shared" si="0"/>
        <v>74.856002816713669</v>
      </c>
      <c r="H38" s="8">
        <f t="shared" si="3"/>
        <v>0</v>
      </c>
    </row>
    <row r="39" spans="1:8" x14ac:dyDescent="0.3">
      <c r="A39">
        <v>33</v>
      </c>
      <c r="B39" s="11">
        <f t="shared" ref="B39:B54" si="4">FaureBase2(A39)</f>
        <v>0.515625</v>
      </c>
      <c r="C39" s="11">
        <f t="shared" ref="C39:C54" si="5">MoroNormSInv(B39)</f>
        <v>3.9176084967114021E-2</v>
      </c>
      <c r="E39" s="13">
        <f t="shared" si="0"/>
        <v>102.07527395441448</v>
      </c>
      <c r="H39" s="8">
        <f t="shared" ref="H39:H54" si="6">MAX($E$4*(E39-$B$5),0)</f>
        <v>7.0752739544144845</v>
      </c>
    </row>
    <row r="40" spans="1:8" x14ac:dyDescent="0.3">
      <c r="A40">
        <v>34</v>
      </c>
      <c r="B40" s="11">
        <f t="shared" si="4"/>
        <v>0.265625</v>
      </c>
      <c r="C40" s="11">
        <f t="shared" si="5"/>
        <v>-0.62609901116135724</v>
      </c>
      <c r="E40" s="13">
        <f t="shared" si="0"/>
        <v>92.909547718713583</v>
      </c>
      <c r="H40" s="8">
        <f t="shared" si="6"/>
        <v>0</v>
      </c>
    </row>
    <row r="41" spans="1:8" x14ac:dyDescent="0.3">
      <c r="A41">
        <v>35</v>
      </c>
      <c r="B41" s="11">
        <f t="shared" si="4"/>
        <v>0.765625</v>
      </c>
      <c r="C41" s="11">
        <f t="shared" si="5"/>
        <v>0.72451438399526535</v>
      </c>
      <c r="E41" s="13">
        <f t="shared" si="0"/>
        <v>112.46386755713979</v>
      </c>
      <c r="H41" s="8">
        <f t="shared" si="6"/>
        <v>17.463867557139793</v>
      </c>
    </row>
    <row r="42" spans="1:8" x14ac:dyDescent="0.3">
      <c r="A42">
        <v>36</v>
      </c>
      <c r="B42" s="11">
        <f t="shared" si="4"/>
        <v>0.140625</v>
      </c>
      <c r="C42" s="11">
        <f t="shared" si="5"/>
        <v>-1.0775155667054459</v>
      </c>
      <c r="E42" s="13">
        <f t="shared" si="0"/>
        <v>87.163570417043019</v>
      </c>
      <c r="H42" s="8">
        <f t="shared" si="6"/>
        <v>0</v>
      </c>
    </row>
    <row r="43" spans="1:8" x14ac:dyDescent="0.3">
      <c r="A43">
        <v>37</v>
      </c>
      <c r="B43" s="11">
        <f t="shared" si="4"/>
        <v>0.640625</v>
      </c>
      <c r="C43" s="11">
        <f t="shared" si="5"/>
        <v>0.36012989295569875</v>
      </c>
      <c r="E43" s="13">
        <f t="shared" si="0"/>
        <v>106.81520057411456</v>
      </c>
      <c r="H43" s="8">
        <f t="shared" si="6"/>
        <v>11.815200574114556</v>
      </c>
    </row>
    <row r="44" spans="1:8" x14ac:dyDescent="0.3">
      <c r="A44">
        <v>38</v>
      </c>
      <c r="B44" s="11">
        <f t="shared" si="4"/>
        <v>0.390625</v>
      </c>
      <c r="C44" s="11">
        <f t="shared" si="5"/>
        <v>-0.27769044035353385</v>
      </c>
      <c r="E44" s="13">
        <f t="shared" si="0"/>
        <v>97.602082208909664</v>
      </c>
      <c r="H44" s="8">
        <f t="shared" si="6"/>
        <v>2.602082208909664</v>
      </c>
    </row>
    <row r="45" spans="1:8" x14ac:dyDescent="0.3">
      <c r="A45">
        <v>39</v>
      </c>
      <c r="B45" s="11">
        <f t="shared" si="4"/>
        <v>0.890625</v>
      </c>
      <c r="C45" s="11">
        <f t="shared" si="5"/>
        <v>1.2298587595263335</v>
      </c>
      <c r="E45" s="13">
        <f t="shared" si="0"/>
        <v>120.79543315051022</v>
      </c>
      <c r="H45" s="8">
        <f t="shared" si="6"/>
        <v>25.79543315051022</v>
      </c>
    </row>
    <row r="46" spans="1:8" x14ac:dyDescent="0.3">
      <c r="A46">
        <v>40</v>
      </c>
      <c r="B46" s="11">
        <f t="shared" si="4"/>
        <v>7.8125E-2</v>
      </c>
      <c r="C46" s="11">
        <f t="shared" si="5"/>
        <v>-1.417797137987205</v>
      </c>
      <c r="E46" s="13">
        <f t="shared" si="0"/>
        <v>83.068319179753388</v>
      </c>
      <c r="H46" s="8">
        <f t="shared" si="6"/>
        <v>0</v>
      </c>
    </row>
    <row r="47" spans="1:8" x14ac:dyDescent="0.3">
      <c r="A47">
        <v>41</v>
      </c>
      <c r="B47" s="11">
        <f t="shared" si="4"/>
        <v>0.578125</v>
      </c>
      <c r="C47" s="11">
        <f t="shared" si="5"/>
        <v>0.19709908368637319</v>
      </c>
      <c r="E47" s="13">
        <f t="shared" si="0"/>
        <v>104.38063875545649</v>
      </c>
      <c r="H47" s="8">
        <f t="shared" si="6"/>
        <v>9.3806387554564878</v>
      </c>
    </row>
    <row r="48" spans="1:8" x14ac:dyDescent="0.3">
      <c r="A48">
        <v>42</v>
      </c>
      <c r="B48" s="11">
        <f t="shared" si="4"/>
        <v>0.328125</v>
      </c>
      <c r="C48" s="11">
        <f t="shared" si="5"/>
        <v>-0.44509652546374445</v>
      </c>
      <c r="E48" s="13">
        <f t="shared" si="0"/>
        <v>95.318511062704943</v>
      </c>
      <c r="H48" s="8">
        <f t="shared" si="6"/>
        <v>0.31851106270494256</v>
      </c>
    </row>
    <row r="49" spans="1:8" x14ac:dyDescent="0.3">
      <c r="A49">
        <v>43</v>
      </c>
      <c r="B49" s="11">
        <f t="shared" si="4"/>
        <v>0.828125</v>
      </c>
      <c r="C49" s="11">
        <f t="shared" si="5"/>
        <v>0.94678175521789132</v>
      </c>
      <c r="E49" s="13">
        <f t="shared" si="0"/>
        <v>116.05513104963745</v>
      </c>
      <c r="H49" s="8">
        <f t="shared" si="6"/>
        <v>21.055131049637453</v>
      </c>
    </row>
    <row r="50" spans="1:8" x14ac:dyDescent="0.3">
      <c r="A50">
        <v>44</v>
      </c>
      <c r="B50" s="11">
        <f t="shared" si="4"/>
        <v>0.203125</v>
      </c>
      <c r="C50" s="11">
        <f t="shared" si="5"/>
        <v>-0.8305108796406393</v>
      </c>
      <c r="E50" s="13">
        <f t="shared" si="0"/>
        <v>90.262149713776168</v>
      </c>
      <c r="H50" s="8">
        <f t="shared" si="6"/>
        <v>0</v>
      </c>
    </row>
    <row r="51" spans="1:8" x14ac:dyDescent="0.3">
      <c r="A51">
        <v>45</v>
      </c>
      <c r="B51" s="11">
        <f t="shared" si="4"/>
        <v>0.703125</v>
      </c>
      <c r="C51" s="11">
        <f t="shared" si="5"/>
        <v>0.53340970531794318</v>
      </c>
      <c r="E51" s="13">
        <f t="shared" si="0"/>
        <v>109.46509266051963</v>
      </c>
      <c r="H51" s="8">
        <f t="shared" si="6"/>
        <v>14.46509266051963</v>
      </c>
    </row>
    <row r="52" spans="1:8" x14ac:dyDescent="0.3">
      <c r="A52">
        <v>46</v>
      </c>
      <c r="B52" s="11">
        <f t="shared" si="4"/>
        <v>0.453125</v>
      </c>
      <c r="C52" s="11">
        <f t="shared" si="5"/>
        <v>-0.11776987347358135</v>
      </c>
      <c r="E52" s="13">
        <f t="shared" si="0"/>
        <v>99.834619381654989</v>
      </c>
      <c r="H52" s="8">
        <f t="shared" si="6"/>
        <v>4.8346193816549885</v>
      </c>
    </row>
    <row r="53" spans="1:8" x14ac:dyDescent="0.3">
      <c r="A53">
        <v>47</v>
      </c>
      <c r="B53" s="11">
        <f t="shared" si="4"/>
        <v>0.953125</v>
      </c>
      <c r="C53" s="11">
        <f t="shared" si="5"/>
        <v>1.6759397228260333</v>
      </c>
      <c r="E53" s="13">
        <f t="shared" si="0"/>
        <v>128.66136233382213</v>
      </c>
      <c r="H53" s="8">
        <f t="shared" si="6"/>
        <v>33.661362333822126</v>
      </c>
    </row>
    <row r="54" spans="1:8" x14ac:dyDescent="0.3">
      <c r="A54">
        <v>48</v>
      </c>
      <c r="B54" s="11">
        <f t="shared" si="4"/>
        <v>4.6875E-2</v>
      </c>
      <c r="C54" s="11">
        <f t="shared" si="5"/>
        <v>-1.6759397228260333</v>
      </c>
      <c r="E54" s="13">
        <f t="shared" si="0"/>
        <v>80.090441703852051</v>
      </c>
      <c r="H54" s="8">
        <f t="shared" si="6"/>
        <v>0</v>
      </c>
    </row>
    <row r="55" spans="1:8" x14ac:dyDescent="0.3">
      <c r="A55">
        <v>49</v>
      </c>
      <c r="B55" s="11">
        <f t="shared" ref="B55:B57" si="7">FaureBase2(A55)</f>
        <v>0.546875</v>
      </c>
      <c r="C55" s="11">
        <f t="shared" ref="C55:C57" si="8">MoroNormSInv(B55)</f>
        <v>0.11776987347358135</v>
      </c>
      <c r="E55" s="13">
        <f t="shared" si="0"/>
        <v>103.21615290726164</v>
      </c>
      <c r="H55" s="8">
        <f t="shared" ref="H55:H57" si="9">MAX($E$4*(E55-$B$5),0)</f>
        <v>8.2161529072616446</v>
      </c>
    </row>
    <row r="56" spans="1:8" x14ac:dyDescent="0.3">
      <c r="A56">
        <v>50</v>
      </c>
      <c r="B56" s="11">
        <f t="shared" si="7"/>
        <v>0.296875</v>
      </c>
      <c r="C56" s="11">
        <f t="shared" si="8"/>
        <v>-0.53340970531794318</v>
      </c>
      <c r="E56" s="13">
        <f t="shared" si="0"/>
        <v>94.135446187327531</v>
      </c>
      <c r="H56" s="8">
        <f t="shared" si="9"/>
        <v>0</v>
      </c>
    </row>
    <row r="57" spans="1:8" x14ac:dyDescent="0.3">
      <c r="A57">
        <v>51</v>
      </c>
      <c r="B57" s="11">
        <f t="shared" si="7"/>
        <v>0.796875</v>
      </c>
      <c r="C57" s="11">
        <f t="shared" si="8"/>
        <v>0.8305108796406393</v>
      </c>
      <c r="E57" s="13">
        <f t="shared" si="0"/>
        <v>114.16241882351765</v>
      </c>
      <c r="H57" s="8">
        <f t="shared" si="9"/>
        <v>19.162418823517655</v>
      </c>
    </row>
  </sheetData>
  <printOptions headings="1" gridLines="1"/>
  <pageMargins left="0.75" right="0.75" top="1" bottom="1" header="0.5" footer="0.5"/>
  <pageSetup paperSize="9" scale="92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/>
  </sheetViews>
  <sheetFormatPr defaultRowHeight="13" x14ac:dyDescent="0.3"/>
  <cols>
    <col min="1" max="1" width="22.296875" customWidth="1"/>
  </cols>
  <sheetData>
    <row r="1" spans="1:8" x14ac:dyDescent="0.3">
      <c r="A1" s="2" t="s">
        <v>0</v>
      </c>
    </row>
    <row r="2" spans="1:8" x14ac:dyDescent="0.3">
      <c r="A2" s="2" t="s">
        <v>34</v>
      </c>
    </row>
    <row r="4" spans="1:8" x14ac:dyDescent="0.3">
      <c r="A4" s="3" t="s">
        <v>2</v>
      </c>
      <c r="B4" s="4">
        <v>100</v>
      </c>
      <c r="E4" s="6" t="s">
        <v>35</v>
      </c>
      <c r="F4" s="6" t="s">
        <v>36</v>
      </c>
      <c r="G4" s="6" t="s">
        <v>37</v>
      </c>
      <c r="H4" s="6" t="s">
        <v>38</v>
      </c>
    </row>
    <row r="5" spans="1:8" x14ac:dyDescent="0.3">
      <c r="A5" t="s">
        <v>4</v>
      </c>
      <c r="B5" s="4">
        <v>95</v>
      </c>
    </row>
    <row r="6" spans="1:8" x14ac:dyDescent="0.3">
      <c r="A6" s="3" t="s">
        <v>6</v>
      </c>
      <c r="B6" s="7">
        <v>0.08</v>
      </c>
      <c r="E6">
        <v>100</v>
      </c>
      <c r="F6" s="8">
        <f t="shared" ref="F6:F17" si="0">$B$15</f>
        <v>9.7257629574651006</v>
      </c>
      <c r="G6" s="8">
        <f>MCOptionValue(1,$B$4,$B$5,$B$6,$B$8,$B$11,$B$12,E6)</f>
        <v>9.6442808131191367</v>
      </c>
      <c r="H6" s="8">
        <f>QMCOptionValue(1,$B$4,$B$5,$B$6,$B$8,$B$11,$B$12,E6)</f>
        <v>9.3402870389417565</v>
      </c>
    </row>
    <row r="7" spans="1:8" x14ac:dyDescent="0.3">
      <c r="E7">
        <v>200</v>
      </c>
      <c r="F7" s="8">
        <f t="shared" si="0"/>
        <v>9.7257629574651006</v>
      </c>
      <c r="G7" s="8">
        <f t="shared" ref="G7:G17" si="1">MCOptionValue(1,$B$4,$B$5,$B$6,$B$8,$B$11,$B$12,E7)</f>
        <v>9.9224909662734397</v>
      </c>
      <c r="H7" s="8">
        <f t="shared" ref="H7:H17" si="2">QMCOptionValue(1,$B$4,$B$5,$B$6,$B$8,$B$11,$B$12,E7)</f>
        <v>9.4955301837312724</v>
      </c>
    </row>
    <row r="8" spans="1:8" x14ac:dyDescent="0.3">
      <c r="A8" s="3" t="s">
        <v>8</v>
      </c>
      <c r="B8" s="7">
        <v>0.03</v>
      </c>
      <c r="E8">
        <v>300</v>
      </c>
      <c r="F8" s="8">
        <f t="shared" si="0"/>
        <v>9.7257629574651006</v>
      </c>
      <c r="G8" s="8">
        <f t="shared" si="1"/>
        <v>9.9166678925924945</v>
      </c>
      <c r="H8" s="8">
        <f t="shared" si="2"/>
        <v>9.5441069509700966</v>
      </c>
    </row>
    <row r="9" spans="1:8" x14ac:dyDescent="0.3">
      <c r="A9" s="3" t="s">
        <v>9</v>
      </c>
      <c r="B9" s="11">
        <v>0</v>
      </c>
      <c r="E9">
        <v>400</v>
      </c>
      <c r="F9" s="8">
        <f t="shared" si="0"/>
        <v>9.7257629574651006</v>
      </c>
      <c r="G9" s="8">
        <f t="shared" si="1"/>
        <v>10.145133173038628</v>
      </c>
      <c r="H9" s="8">
        <f t="shared" si="2"/>
        <v>9.6202660947640783</v>
      </c>
    </row>
    <row r="10" spans="1:8" x14ac:dyDescent="0.3">
      <c r="A10" s="3" t="s">
        <v>11</v>
      </c>
      <c r="B10" s="9">
        <v>0.5</v>
      </c>
      <c r="E10">
        <v>600</v>
      </c>
      <c r="F10" s="8">
        <f t="shared" si="0"/>
        <v>9.7257629574651006</v>
      </c>
      <c r="G10" s="8">
        <f t="shared" si="1"/>
        <v>9.7025150759172458</v>
      </c>
      <c r="H10" s="8">
        <f t="shared" si="2"/>
        <v>9.6233928700925535</v>
      </c>
    </row>
    <row r="11" spans="1:8" x14ac:dyDescent="0.3">
      <c r="A11" s="3" t="s">
        <v>13</v>
      </c>
      <c r="B11" s="11">
        <f>B10-B9</f>
        <v>0.5</v>
      </c>
      <c r="E11">
        <v>800</v>
      </c>
      <c r="F11" s="8">
        <f t="shared" si="0"/>
        <v>9.7257629574651006</v>
      </c>
      <c r="G11" s="8">
        <f t="shared" si="1"/>
        <v>9.4736448930140327</v>
      </c>
      <c r="H11" s="8">
        <f t="shared" si="2"/>
        <v>9.6502887950448351</v>
      </c>
    </row>
    <row r="12" spans="1:8" x14ac:dyDescent="0.3">
      <c r="A12" s="3" t="s">
        <v>14</v>
      </c>
      <c r="B12" s="7">
        <v>0.2</v>
      </c>
      <c r="E12">
        <v>1000</v>
      </c>
      <c r="F12" s="8">
        <f t="shared" si="0"/>
        <v>9.7257629574651006</v>
      </c>
      <c r="G12" s="8">
        <f t="shared" si="1"/>
        <v>9.5958724320625262</v>
      </c>
      <c r="H12" s="8">
        <f t="shared" si="2"/>
        <v>9.6720752829193888</v>
      </c>
    </row>
    <row r="13" spans="1:8" x14ac:dyDescent="0.3">
      <c r="E13">
        <v>1200</v>
      </c>
      <c r="F13" s="8">
        <f t="shared" si="0"/>
        <v>9.7257629574651006</v>
      </c>
      <c r="G13" s="8">
        <f t="shared" si="1"/>
        <v>9.7009576917429552</v>
      </c>
      <c r="H13" s="8">
        <f>QMCOptionValue(1,$B$4,$B$5,$B$6,$B$8,$B$11,$B$12,E13)</f>
        <v>9.6816037824930685</v>
      </c>
    </row>
    <row r="14" spans="1:8" x14ac:dyDescent="0.3">
      <c r="E14">
        <v>1400</v>
      </c>
      <c r="F14" s="8">
        <f t="shared" si="0"/>
        <v>9.7257629574651006</v>
      </c>
      <c r="G14" s="8">
        <f t="shared" si="1"/>
        <v>9.8136253244668037</v>
      </c>
      <c r="H14" s="8">
        <f t="shared" si="2"/>
        <v>9.6768691297798739</v>
      </c>
    </row>
    <row r="15" spans="1:8" x14ac:dyDescent="0.3">
      <c r="A15" s="3" t="s">
        <v>39</v>
      </c>
      <c r="B15" s="8">
        <f>BSOptionValue(1,B4,B5,B6,B8,B11,B12)</f>
        <v>9.7257629574651006</v>
      </c>
      <c r="E15">
        <v>1600</v>
      </c>
      <c r="F15" s="8">
        <f t="shared" si="0"/>
        <v>9.7257629574651006</v>
      </c>
      <c r="G15" s="8">
        <f t="shared" si="1"/>
        <v>9.9590164220870729</v>
      </c>
      <c r="H15" s="8">
        <f t="shared" si="2"/>
        <v>9.6812874735411487</v>
      </c>
    </row>
    <row r="16" spans="1:8" x14ac:dyDescent="0.3">
      <c r="E16">
        <v>1800</v>
      </c>
      <c r="F16" s="8">
        <f t="shared" si="0"/>
        <v>9.7257629574651006</v>
      </c>
      <c r="G16" s="8">
        <f t="shared" si="1"/>
        <v>9.7729360356318331</v>
      </c>
      <c r="H16" s="8">
        <f t="shared" si="2"/>
        <v>9.6854320336788131</v>
      </c>
    </row>
    <row r="17" spans="5:8" x14ac:dyDescent="0.3">
      <c r="E17">
        <v>2000</v>
      </c>
      <c r="F17" s="8">
        <f t="shared" si="0"/>
        <v>9.7257629574651006</v>
      </c>
      <c r="G17" s="8">
        <f t="shared" si="1"/>
        <v>9.5302566281759589</v>
      </c>
      <c r="H17" s="8">
        <f t="shared" si="2"/>
        <v>9.698515911701822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6"/>
  <sheetViews>
    <sheetView workbookViewId="0"/>
  </sheetViews>
  <sheetFormatPr defaultRowHeight="13" x14ac:dyDescent="0.3"/>
  <sheetData>
    <row r="1" spans="1:17" x14ac:dyDescent="0.3">
      <c r="A1" s="1" t="s">
        <v>0</v>
      </c>
    </row>
    <row r="2" spans="1:17" x14ac:dyDescent="0.3">
      <c r="A2" s="2" t="s">
        <v>40</v>
      </c>
    </row>
    <row r="4" spans="1:17" x14ac:dyDescent="0.3">
      <c r="A4" t="s">
        <v>2</v>
      </c>
      <c r="D4" s="4">
        <v>100</v>
      </c>
      <c r="G4" t="s">
        <v>3</v>
      </c>
      <c r="H4" s="5">
        <v>1</v>
      </c>
      <c r="L4" s="2" t="s">
        <v>41</v>
      </c>
    </row>
    <row r="5" spans="1:17" x14ac:dyDescent="0.3">
      <c r="A5" t="s">
        <v>4</v>
      </c>
      <c r="D5" s="4">
        <v>95</v>
      </c>
      <c r="G5" t="s">
        <v>5</v>
      </c>
      <c r="H5" s="6" t="str">
        <f>IF(H4=1,"call","put")</f>
        <v>call</v>
      </c>
      <c r="L5" s="16"/>
    </row>
    <row r="6" spans="1:17" x14ac:dyDescent="0.3">
      <c r="A6" t="s">
        <v>6</v>
      </c>
      <c r="D6" s="7">
        <v>0.08</v>
      </c>
      <c r="L6" s="16" t="s">
        <v>42</v>
      </c>
      <c r="M6" s="14">
        <f>D11/M14</f>
        <v>1.4285714285714285E-2</v>
      </c>
    </row>
    <row r="7" spans="1:17" x14ac:dyDescent="0.3">
      <c r="G7" t="s">
        <v>7</v>
      </c>
      <c r="H7" s="8">
        <f>BSOptionValue(H4,D4,D5,D6,D8,D11,D12)</f>
        <v>9.7257629574651006</v>
      </c>
      <c r="L7" s="17" t="s">
        <v>43</v>
      </c>
      <c r="M7" s="14">
        <f>EXP(D6*M6)</f>
        <v>1.001143510452938</v>
      </c>
    </row>
    <row r="8" spans="1:17" x14ac:dyDescent="0.3">
      <c r="A8" t="s">
        <v>8</v>
      </c>
      <c r="D8" s="7">
        <v>0.03</v>
      </c>
      <c r="H8" s="14"/>
      <c r="L8" s="18" t="s">
        <v>44</v>
      </c>
      <c r="M8" s="14">
        <f>EXP((D6-D8)*M6)</f>
        <v>1.0007145408770759</v>
      </c>
    </row>
    <row r="9" spans="1:17" x14ac:dyDescent="0.3">
      <c r="A9" s="3" t="s">
        <v>9</v>
      </c>
      <c r="D9" s="4">
        <v>0</v>
      </c>
      <c r="G9" t="s">
        <v>45</v>
      </c>
      <c r="H9" s="8">
        <f>EXP(-D6*D11)*SUM(H21:H56)</f>
        <v>9.7057453744966882</v>
      </c>
      <c r="I9" s="8">
        <f>EXP(-D6*D11)*SUMPRODUCT(F21:F56,E21:E56)</f>
        <v>9.7057453744966882</v>
      </c>
      <c r="L9" s="18" t="s">
        <v>46</v>
      </c>
      <c r="M9" s="14">
        <f>EXP(D12*SQRT(M6))</f>
        <v>1.0241925767690734</v>
      </c>
    </row>
    <row r="10" spans="1:17" x14ac:dyDescent="0.3">
      <c r="A10" t="s">
        <v>11</v>
      </c>
      <c r="D10" s="4">
        <v>0.5</v>
      </c>
      <c r="G10" t="s">
        <v>47</v>
      </c>
      <c r="H10" s="8">
        <f>NIOptionValue(H4,D4,D5,D6,D8,D11,D12,H12,H15)</f>
        <v>9.7057453744966899</v>
      </c>
      <c r="L10" s="18" t="s">
        <v>48</v>
      </c>
      <c r="M10" s="14">
        <f>1/M9</f>
        <v>0.97637887901375786</v>
      </c>
    </row>
    <row r="11" spans="1:17" x14ac:dyDescent="0.3">
      <c r="A11" s="3" t="s">
        <v>13</v>
      </c>
      <c r="D11" s="8">
        <v>0.5</v>
      </c>
      <c r="L11" s="18" t="s">
        <v>49</v>
      </c>
      <c r="M11" s="14">
        <f>(M8-M10)/(M9-M10)</f>
        <v>0.50896841294004713</v>
      </c>
    </row>
    <row r="12" spans="1:17" x14ac:dyDescent="0.3">
      <c r="A12" s="3" t="s">
        <v>14</v>
      </c>
      <c r="D12" s="7">
        <v>0.2</v>
      </c>
      <c r="G12" s="3" t="s">
        <v>50</v>
      </c>
      <c r="H12" s="1">
        <v>6</v>
      </c>
      <c r="L12" t="s">
        <v>51</v>
      </c>
      <c r="M12" s="14">
        <f>1-M11</f>
        <v>0.49103158705995287</v>
      </c>
    </row>
    <row r="13" spans="1:17" x14ac:dyDescent="0.3">
      <c r="G13" s="3" t="s">
        <v>52</v>
      </c>
      <c r="H13">
        <f>-H12</f>
        <v>-6</v>
      </c>
    </row>
    <row r="14" spans="1:17" x14ac:dyDescent="0.3">
      <c r="L14" s="18" t="s">
        <v>53</v>
      </c>
      <c r="M14" s="19">
        <v>35</v>
      </c>
    </row>
    <row r="15" spans="1:17" x14ac:dyDescent="0.3">
      <c r="A15" s="15" t="s">
        <v>54</v>
      </c>
      <c r="D15" s="14">
        <f>(D6-D8-0.5*D12^2)*D11</f>
        <v>1.4999999999999999E-2</v>
      </c>
      <c r="G15" s="3" t="s">
        <v>53</v>
      </c>
      <c r="H15">
        <v>36</v>
      </c>
    </row>
    <row r="16" spans="1:17" x14ac:dyDescent="0.3">
      <c r="L16" s="3" t="s">
        <v>55</v>
      </c>
      <c r="M16" s="22">
        <f>EXP(-D6*D11)*SUM(S21:S56)</f>
        <v>9.7568554007543629</v>
      </c>
      <c r="Q16" s="8">
        <f>EXP(-D6*D11)*SUMPRODUCT(Q21:Q56,P21:P56)</f>
        <v>9.7568554007543629</v>
      </c>
    </row>
    <row r="17" spans="1:21" x14ac:dyDescent="0.3">
      <c r="A17" s="15" t="s">
        <v>56</v>
      </c>
      <c r="D17" s="14">
        <f>D12*SQRT(D11)</f>
        <v>0.14142135623730953</v>
      </c>
      <c r="G17" t="s">
        <v>57</v>
      </c>
      <c r="H17" s="8">
        <f>(H12-H13)/H15</f>
        <v>0.33333333333333331</v>
      </c>
    </row>
    <row r="19" spans="1:21" x14ac:dyDescent="0.3">
      <c r="A19" s="6" t="s">
        <v>58</v>
      </c>
      <c r="B19" s="6" t="s">
        <v>59</v>
      </c>
      <c r="C19" s="6" t="s">
        <v>60</v>
      </c>
      <c r="E19" s="6" t="s">
        <v>23</v>
      </c>
      <c r="F19" s="20" t="s">
        <v>24</v>
      </c>
      <c r="H19" s="6" t="s">
        <v>61</v>
      </c>
      <c r="L19" s="6" t="s">
        <v>58</v>
      </c>
      <c r="M19" s="6" t="s">
        <v>59</v>
      </c>
      <c r="N19" s="6" t="s">
        <v>60</v>
      </c>
      <c r="P19" s="6" t="s">
        <v>23</v>
      </c>
      <c r="Q19" s="20" t="s">
        <v>24</v>
      </c>
      <c r="S19" s="6" t="s">
        <v>61</v>
      </c>
    </row>
    <row r="20" spans="1:21" x14ac:dyDescent="0.3">
      <c r="G20" s="14"/>
      <c r="I20" s="14"/>
    </row>
    <row r="21" spans="1:21" x14ac:dyDescent="0.3">
      <c r="A21">
        <v>0</v>
      </c>
      <c r="B21" s="8">
        <f t="shared" ref="B21:B56" si="0">$H$13+(A21+0.5)*$H$17</f>
        <v>-5.833333333333333</v>
      </c>
      <c r="C21" s="8">
        <f>$D$4*EXP($D$15+$D$17*B21)</f>
        <v>44.487679007715677</v>
      </c>
      <c r="E21" s="8">
        <f>MAX(C21-$D$5,0)</f>
        <v>0</v>
      </c>
      <c r="F21" s="14">
        <f t="shared" ref="F21:F56" si="1">$H$17*NORMDIST(B21,0,1,FALSE)</f>
        <v>5.4293864025285117E-9</v>
      </c>
      <c r="H21" s="14">
        <f t="shared" ref="H21:H56" si="2">E21*F21</f>
        <v>0</v>
      </c>
      <c r="L21">
        <v>0</v>
      </c>
      <c r="M21" s="8">
        <f t="shared" ref="M21:M56" si="3">(LN(N21/$D$4)-$D$15)/$D$17</f>
        <v>-6.0221458002776043</v>
      </c>
      <c r="N21" s="8">
        <f t="shared" ref="N21:N56" si="4">$D$4*$M$10^($M$14-L21)*$M$9^(L21)</f>
        <v>43.315483576206773</v>
      </c>
      <c r="P21" s="8">
        <f t="shared" ref="P21:P56" si="5">MAX($H$4*(N21-$D$5),0)</f>
        <v>0</v>
      </c>
      <c r="Q21" s="14">
        <f t="shared" ref="Q21:Q56" si="6">COMBIN($M$14,L21)*$M$11^L21*$M$12^($M$14-L21)</f>
        <v>1.5446498994339956E-11</v>
      </c>
      <c r="S21" s="14">
        <f>P21*Q21</f>
        <v>0</v>
      </c>
      <c r="U21" s="14"/>
    </row>
    <row r="22" spans="1:21" x14ac:dyDescent="0.3">
      <c r="A22">
        <v>1</v>
      </c>
      <c r="B22" s="8">
        <f t="shared" si="0"/>
        <v>-5.5</v>
      </c>
      <c r="C22" s="8">
        <f t="shared" ref="C22:C56" si="7">$D$4*EXP($D$15+$D$17*B22)</f>
        <v>46.635065032742283</v>
      </c>
      <c r="E22" s="8">
        <f t="shared" ref="E22:E56" si="8">MAX(C22-$D$5,0)</f>
        <v>0</v>
      </c>
      <c r="F22" s="14">
        <f t="shared" si="1"/>
        <v>3.5899200141810911E-8</v>
      </c>
      <c r="H22" s="14">
        <f t="shared" si="2"/>
        <v>0</v>
      </c>
      <c r="L22">
        <v>1</v>
      </c>
      <c r="M22" s="8">
        <f t="shared" si="3"/>
        <v>-5.6840840983862</v>
      </c>
      <c r="N22" s="8">
        <f t="shared" si="4"/>
        <v>45.436661619232524</v>
      </c>
      <c r="P22" s="8">
        <f t="shared" si="5"/>
        <v>0</v>
      </c>
      <c r="Q22" s="14">
        <f t="shared" si="6"/>
        <v>5.6037597173647267E-10</v>
      </c>
      <c r="S22" s="14">
        <f t="shared" ref="S22:S37" si="9">P22*Q22</f>
        <v>0</v>
      </c>
      <c r="U22" s="14"/>
    </row>
    <row r="23" spans="1:21" x14ac:dyDescent="0.3">
      <c r="A23">
        <v>2</v>
      </c>
      <c r="B23" s="8">
        <f t="shared" si="0"/>
        <v>-5.166666666666667</v>
      </c>
      <c r="C23" s="8">
        <f t="shared" si="7"/>
        <v>48.886103728425859</v>
      </c>
      <c r="E23" s="8">
        <f t="shared" si="8"/>
        <v>0</v>
      </c>
      <c r="F23" s="14">
        <f t="shared" si="1"/>
        <v>2.1240456738902843E-7</v>
      </c>
      <c r="H23" s="14">
        <f t="shared" si="2"/>
        <v>0</v>
      </c>
      <c r="L23">
        <v>2</v>
      </c>
      <c r="M23" s="8">
        <f t="shared" si="3"/>
        <v>-5.3460223964947922</v>
      </c>
      <c r="N23" s="8">
        <f t="shared" si="4"/>
        <v>47.661714672271707</v>
      </c>
      <c r="P23" s="8">
        <f t="shared" si="5"/>
        <v>0</v>
      </c>
      <c r="Q23" s="14">
        <f t="shared" si="6"/>
        <v>9.8743797761907293E-9</v>
      </c>
      <c r="S23" s="14">
        <f t="shared" si="9"/>
        <v>0</v>
      </c>
      <c r="U23" s="14"/>
    </row>
    <row r="24" spans="1:21" x14ac:dyDescent="0.3">
      <c r="A24">
        <v>3</v>
      </c>
      <c r="B24" s="8">
        <f t="shared" si="0"/>
        <v>-4.8333333333333339</v>
      </c>
      <c r="C24" s="8">
        <f t="shared" si="7"/>
        <v>51.245798329401012</v>
      </c>
      <c r="E24" s="8">
        <f t="shared" si="8"/>
        <v>0</v>
      </c>
      <c r="F24" s="14">
        <f t="shared" si="1"/>
        <v>1.1245738687155993E-6</v>
      </c>
      <c r="H24" s="14">
        <f t="shared" si="2"/>
        <v>0</v>
      </c>
      <c r="L24">
        <v>3</v>
      </c>
      <c r="M24" s="8">
        <f t="shared" si="3"/>
        <v>-5.0079606946033834</v>
      </c>
      <c r="N24" s="8">
        <f t="shared" si="4"/>
        <v>49.995729539678507</v>
      </c>
      <c r="P24" s="8">
        <f t="shared" si="5"/>
        <v>0</v>
      </c>
      <c r="Q24" s="14">
        <f t="shared" si="6"/>
        <v>1.1258587613276328E-7</v>
      </c>
      <c r="S24" s="14">
        <f t="shared" si="9"/>
        <v>0</v>
      </c>
      <c r="U24" s="14"/>
    </row>
    <row r="25" spans="1:21" x14ac:dyDescent="0.3">
      <c r="A25">
        <v>4</v>
      </c>
      <c r="B25" s="8">
        <f t="shared" si="0"/>
        <v>-4.5</v>
      </c>
      <c r="C25" s="8">
        <f t="shared" si="7"/>
        <v>53.719393572587393</v>
      </c>
      <c r="E25" s="8">
        <f t="shared" si="8"/>
        <v>0</v>
      </c>
      <c r="F25" s="14">
        <f t="shared" si="1"/>
        <v>5.3279137023018243E-6</v>
      </c>
      <c r="H25" s="14">
        <f t="shared" si="2"/>
        <v>0</v>
      </c>
      <c r="L25">
        <v>4</v>
      </c>
      <c r="M25" s="8">
        <f t="shared" si="3"/>
        <v>-4.6698989927119774</v>
      </c>
      <c r="N25" s="8">
        <f t="shared" si="4"/>
        <v>52.444042128825579</v>
      </c>
      <c r="P25" s="8">
        <f t="shared" si="5"/>
        <v>0</v>
      </c>
      <c r="Q25" s="14">
        <f t="shared" si="6"/>
        <v>9.3358808198643796E-7</v>
      </c>
      <c r="S25" s="14">
        <f t="shared" si="9"/>
        <v>0</v>
      </c>
      <c r="U25" s="14"/>
    </row>
    <row r="26" spans="1:21" x14ac:dyDescent="0.3">
      <c r="A26">
        <v>5</v>
      </c>
      <c r="B26" s="8">
        <f t="shared" si="0"/>
        <v>-4.166666666666667</v>
      </c>
      <c r="C26" s="8">
        <f t="shared" si="7"/>
        <v>56.312387354318993</v>
      </c>
      <c r="E26" s="8">
        <f t="shared" si="8"/>
        <v>0</v>
      </c>
      <c r="F26" s="14">
        <f t="shared" si="1"/>
        <v>2.258766996293921E-5</v>
      </c>
      <c r="H26" s="14">
        <f t="shared" si="2"/>
        <v>0</v>
      </c>
      <c r="L26">
        <v>5</v>
      </c>
      <c r="M26" s="8">
        <f t="shared" si="3"/>
        <v>-4.3318372908205678</v>
      </c>
      <c r="N26" s="8">
        <f t="shared" si="4"/>
        <v>55.012249648787076</v>
      </c>
      <c r="P26" s="8">
        <f t="shared" si="5"/>
        <v>0</v>
      </c>
      <c r="Q26" s="14">
        <f t="shared" si="6"/>
        <v>5.9996841610441168E-6</v>
      </c>
      <c r="S26" s="14">
        <f t="shared" si="9"/>
        <v>0</v>
      </c>
      <c r="U26" s="14"/>
    </row>
    <row r="27" spans="1:21" x14ac:dyDescent="0.3">
      <c r="A27">
        <v>6</v>
      </c>
      <c r="B27" s="8">
        <f t="shared" si="0"/>
        <v>-3.8333333333333335</v>
      </c>
      <c r="C27" s="8">
        <f t="shared" si="7"/>
        <v>59.030542950154356</v>
      </c>
      <c r="E27" s="8">
        <f t="shared" si="8"/>
        <v>0</v>
      </c>
      <c r="F27" s="14">
        <f t="shared" si="1"/>
        <v>8.5690118354102101E-5</v>
      </c>
      <c r="H27" s="14">
        <f t="shared" si="2"/>
        <v>0</v>
      </c>
      <c r="L27">
        <v>6</v>
      </c>
      <c r="M27" s="8">
        <f t="shared" si="3"/>
        <v>-3.9937755889291604</v>
      </c>
      <c r="N27" s="8">
        <f t="shared" si="4"/>
        <v>57.706223406396404</v>
      </c>
      <c r="P27" s="8">
        <f t="shared" si="5"/>
        <v>0</v>
      </c>
      <c r="Q27" s="14">
        <f t="shared" si="6"/>
        <v>3.1094229027829583E-5</v>
      </c>
      <c r="S27" s="14">
        <f t="shared" si="9"/>
        <v>0</v>
      </c>
      <c r="U27" s="14"/>
    </row>
    <row r="28" spans="1:21" x14ac:dyDescent="0.3">
      <c r="A28">
        <v>7</v>
      </c>
      <c r="B28" s="8">
        <f t="shared" si="0"/>
        <v>-3.5</v>
      </c>
      <c r="C28" s="8">
        <f t="shared" si="7"/>
        <v>61.879901824527408</v>
      </c>
      <c r="E28" s="8">
        <f t="shared" si="8"/>
        <v>0</v>
      </c>
      <c r="F28" s="14">
        <f t="shared" si="1"/>
        <v>2.9089423168191994E-4</v>
      </c>
      <c r="H28" s="14">
        <f t="shared" si="2"/>
        <v>0</v>
      </c>
      <c r="L28">
        <v>7</v>
      </c>
      <c r="M28" s="8">
        <f t="shared" si="3"/>
        <v>-3.6557138870377539</v>
      </c>
      <c r="N28" s="8">
        <f t="shared" si="4"/>
        <v>60.532122228932558</v>
      </c>
      <c r="P28" s="8">
        <f t="shared" si="5"/>
        <v>0</v>
      </c>
      <c r="Q28" s="14">
        <f t="shared" si="6"/>
        <v>1.3352455864390478E-4</v>
      </c>
      <c r="S28" s="14">
        <f t="shared" si="9"/>
        <v>0</v>
      </c>
      <c r="U28" s="14"/>
    </row>
    <row r="29" spans="1:21" x14ac:dyDescent="0.3">
      <c r="A29">
        <v>8</v>
      </c>
      <c r="B29" s="8">
        <f t="shared" si="0"/>
        <v>-3.166666666666667</v>
      </c>
      <c r="C29" s="8">
        <f t="shared" si="7"/>
        <v>64.866797058710389</v>
      </c>
      <c r="E29" s="8">
        <f t="shared" si="8"/>
        <v>0</v>
      </c>
      <c r="F29" s="14">
        <f t="shared" si="1"/>
        <v>8.8365865147670012E-4</v>
      </c>
      <c r="H29" s="14">
        <f t="shared" si="2"/>
        <v>0</v>
      </c>
      <c r="L29">
        <v>8</v>
      </c>
      <c r="M29" s="8">
        <f t="shared" si="3"/>
        <v>-3.317652185146347</v>
      </c>
      <c r="N29" s="8">
        <f t="shared" si="4"/>
        <v>63.49640654412125</v>
      </c>
      <c r="P29" s="8">
        <f t="shared" si="5"/>
        <v>0</v>
      </c>
      <c r="Q29" s="14">
        <f t="shared" si="6"/>
        <v>4.8440720663096154E-4</v>
      </c>
      <c r="S29" s="14">
        <f t="shared" si="9"/>
        <v>0</v>
      </c>
      <c r="U29" s="14"/>
    </row>
    <row r="30" spans="1:21" x14ac:dyDescent="0.3">
      <c r="A30">
        <v>9</v>
      </c>
      <c r="B30" s="8">
        <f t="shared" si="0"/>
        <v>-2.8333333333333335</v>
      </c>
      <c r="C30" s="8">
        <f t="shared" si="7"/>
        <v>67.997867426934221</v>
      </c>
      <c r="E30" s="8">
        <f t="shared" si="8"/>
        <v>0</v>
      </c>
      <c r="F30" s="14">
        <f t="shared" si="1"/>
        <v>2.4020332548697404E-3</v>
      </c>
      <c r="H30" s="14">
        <f t="shared" si="2"/>
        <v>0</v>
      </c>
      <c r="L30">
        <v>9</v>
      </c>
      <c r="M30" s="8">
        <f t="shared" si="3"/>
        <v>-2.9795904832549396</v>
      </c>
      <c r="N30" s="8">
        <f t="shared" si="4"/>
        <v>66.605853149639728</v>
      </c>
      <c r="P30" s="8">
        <f t="shared" si="5"/>
        <v>0</v>
      </c>
      <c r="Q30" s="14">
        <f t="shared" si="6"/>
        <v>1.5063061542652627E-3</v>
      </c>
      <c r="S30" s="14">
        <f t="shared" si="9"/>
        <v>0</v>
      </c>
      <c r="U30" s="14"/>
    </row>
    <row r="31" spans="1:21" x14ac:dyDescent="0.3">
      <c r="A31">
        <v>10</v>
      </c>
      <c r="B31" s="8">
        <f t="shared" si="0"/>
        <v>-2.5</v>
      </c>
      <c r="C31" s="8">
        <f t="shared" si="7"/>
        <v>71.280072151952268</v>
      </c>
      <c r="E31" s="8">
        <f t="shared" si="8"/>
        <v>0</v>
      </c>
      <c r="F31" s="14">
        <f t="shared" si="1"/>
        <v>5.8427668311895123E-3</v>
      </c>
      <c r="H31" s="14">
        <f t="shared" si="2"/>
        <v>0</v>
      </c>
      <c r="L31">
        <v>10</v>
      </c>
      <c r="M31" s="8">
        <f t="shared" si="3"/>
        <v>-2.6415287813635313</v>
      </c>
      <c r="N31" s="8">
        <f t="shared" si="4"/>
        <v>69.867570705890699</v>
      </c>
      <c r="P31" s="8">
        <f t="shared" si="5"/>
        <v>0</v>
      </c>
      <c r="Q31" s="14">
        <f t="shared" si="6"/>
        <v>4.0594574965214739E-3</v>
      </c>
      <c r="S31" s="14">
        <f t="shared" si="9"/>
        <v>0</v>
      </c>
      <c r="U31" s="14"/>
    </row>
    <row r="32" spans="1:21" x14ac:dyDescent="0.3">
      <c r="A32">
        <v>11</v>
      </c>
      <c r="B32" s="8">
        <f t="shared" si="0"/>
        <v>-2.166666666666667</v>
      </c>
      <c r="C32" s="8">
        <f t="shared" si="7"/>
        <v>74.720706372843949</v>
      </c>
      <c r="E32" s="8">
        <f t="shared" si="8"/>
        <v>0</v>
      </c>
      <c r="F32" s="14">
        <f t="shared" si="1"/>
        <v>1.2717541168805978E-2</v>
      </c>
      <c r="H32" s="14">
        <f t="shared" si="2"/>
        <v>0</v>
      </c>
      <c r="L32">
        <v>11</v>
      </c>
      <c r="M32" s="8">
        <f t="shared" si="3"/>
        <v>-2.3034670794721239</v>
      </c>
      <c r="N32" s="8">
        <f t="shared" si="4"/>
        <v>73.289015987464154</v>
      </c>
      <c r="P32" s="8">
        <f t="shared" si="5"/>
        <v>0</v>
      </c>
      <c r="Q32" s="14">
        <f t="shared" si="6"/>
        <v>9.5630565132048158E-3</v>
      </c>
      <c r="S32" s="14">
        <f t="shared" si="9"/>
        <v>0</v>
      </c>
      <c r="U32" s="14"/>
    </row>
    <row r="33" spans="1:21" x14ac:dyDescent="0.3">
      <c r="A33">
        <v>12</v>
      </c>
      <c r="B33" s="8">
        <f t="shared" si="0"/>
        <v>-1.8333333333333339</v>
      </c>
      <c r="C33" s="8">
        <f t="shared" si="7"/>
        <v>78.327417359437177</v>
      </c>
      <c r="E33" s="8">
        <f t="shared" si="8"/>
        <v>0</v>
      </c>
      <c r="F33" s="14">
        <f t="shared" si="1"/>
        <v>2.4770387852997663E-2</v>
      </c>
      <c r="H33" s="14">
        <f t="shared" si="2"/>
        <v>0</v>
      </c>
      <c r="L33">
        <v>12</v>
      </c>
      <c r="M33" s="8">
        <f t="shared" si="3"/>
        <v>-1.9654053775807176</v>
      </c>
      <c r="N33" s="8">
        <f t="shared" si="4"/>
        <v>76.878010930440297</v>
      </c>
      <c r="P33" s="8">
        <f t="shared" si="5"/>
        <v>0</v>
      </c>
      <c r="Q33" s="14">
        <f t="shared" si="6"/>
        <v>1.9824768200859395E-2</v>
      </c>
      <c r="S33" s="14">
        <f t="shared" si="9"/>
        <v>0</v>
      </c>
      <c r="U33" s="14"/>
    </row>
    <row r="34" spans="1:21" x14ac:dyDescent="0.3">
      <c r="A34">
        <v>13</v>
      </c>
      <c r="B34" s="8">
        <f t="shared" si="0"/>
        <v>-1.5</v>
      </c>
      <c r="C34" s="8">
        <f t="shared" si="7"/>
        <v>82.108221509388684</v>
      </c>
      <c r="E34" s="8">
        <f t="shared" si="8"/>
        <v>0</v>
      </c>
      <c r="F34" s="14">
        <f t="shared" si="1"/>
        <v>4.3172531888630572E-2</v>
      </c>
      <c r="H34" s="14">
        <f t="shared" si="2"/>
        <v>0</v>
      </c>
      <c r="L34">
        <v>13</v>
      </c>
      <c r="M34" s="8">
        <f t="shared" si="3"/>
        <v>-1.6273436756893116</v>
      </c>
      <c r="N34" s="8">
        <f t="shared" si="4"/>
        <v>80.642760514506335</v>
      </c>
      <c r="P34" s="8">
        <f t="shared" si="5"/>
        <v>0</v>
      </c>
      <c r="Q34" s="14">
        <f t="shared" si="6"/>
        <v>3.6355824804820733E-2</v>
      </c>
      <c r="S34" s="14">
        <f t="shared" si="9"/>
        <v>0</v>
      </c>
      <c r="U34" s="14"/>
    </row>
    <row r="35" spans="1:21" x14ac:dyDescent="0.3">
      <c r="A35">
        <v>14</v>
      </c>
      <c r="B35" s="8">
        <f t="shared" si="0"/>
        <v>-1.166666666666667</v>
      </c>
      <c r="C35" s="8">
        <f t="shared" si="7"/>
        <v>86.071522165700088</v>
      </c>
      <c r="E35" s="8">
        <f t="shared" si="8"/>
        <v>0</v>
      </c>
      <c r="F35" s="14">
        <f t="shared" si="1"/>
        <v>6.733289518468627E-2</v>
      </c>
      <c r="H35" s="14">
        <f t="shared" si="2"/>
        <v>0</v>
      </c>
      <c r="L35">
        <v>14</v>
      </c>
      <c r="M35" s="8">
        <f t="shared" si="3"/>
        <v>-1.2892819737979015</v>
      </c>
      <c r="N35" s="8">
        <f t="shared" si="4"/>
        <v>84.591871520768294</v>
      </c>
      <c r="P35" s="8">
        <f t="shared" si="5"/>
        <v>0</v>
      </c>
      <c r="Q35" s="14">
        <f t="shared" si="6"/>
        <v>5.9217497068951096E-2</v>
      </c>
      <c r="S35" s="14">
        <f t="shared" si="9"/>
        <v>0</v>
      </c>
      <c r="U35" s="14"/>
    </row>
    <row r="36" spans="1:21" x14ac:dyDescent="0.3">
      <c r="A36">
        <v>15</v>
      </c>
      <c r="B36" s="8">
        <f t="shared" si="0"/>
        <v>-0.83333333333333393</v>
      </c>
      <c r="C36" s="8">
        <f t="shared" si="7"/>
        <v>90.226128294271916</v>
      </c>
      <c r="E36" s="8">
        <f t="shared" si="8"/>
        <v>0</v>
      </c>
      <c r="F36" s="14">
        <f t="shared" si="1"/>
        <v>9.3970625136767461E-2</v>
      </c>
      <c r="H36" s="14">
        <f t="shared" si="2"/>
        <v>0</v>
      </c>
      <c r="L36">
        <v>15</v>
      </c>
      <c r="M36" s="8">
        <f t="shared" si="3"/>
        <v>-0.9512202719064945</v>
      </c>
      <c r="N36" s="8">
        <f t="shared" si="4"/>
        <v>88.734372208140812</v>
      </c>
      <c r="P36" s="8">
        <f t="shared" si="5"/>
        <v>0</v>
      </c>
      <c r="Q36" s="14">
        <f t="shared" si="6"/>
        <v>8.5932902921172713E-2</v>
      </c>
      <c r="S36" s="14">
        <f t="shared" si="9"/>
        <v>0</v>
      </c>
      <c r="U36" s="14"/>
    </row>
    <row r="37" spans="1:21" x14ac:dyDescent="0.3">
      <c r="A37">
        <v>16</v>
      </c>
      <c r="B37" s="8">
        <f t="shared" si="0"/>
        <v>-0.5</v>
      </c>
      <c r="C37" s="8">
        <f t="shared" si="7"/>
        <v>94.58127406300882</v>
      </c>
      <c r="E37" s="8">
        <f t="shared" si="8"/>
        <v>0</v>
      </c>
      <c r="F37" s="14">
        <f t="shared" si="1"/>
        <v>0.11735510892143315</v>
      </c>
      <c r="H37" s="14">
        <f t="shared" si="2"/>
        <v>0</v>
      </c>
      <c r="L37">
        <v>16</v>
      </c>
      <c r="M37" s="8">
        <f t="shared" si="3"/>
        <v>-0.61315857001508711</v>
      </c>
      <c r="N37" s="8">
        <f t="shared" si="4"/>
        <v>93.079732953298773</v>
      </c>
      <c r="P37" s="8">
        <f t="shared" si="5"/>
        <v>0</v>
      </c>
      <c r="Q37" s="14">
        <f t="shared" si="6"/>
        <v>0.11133991776627875</v>
      </c>
      <c r="S37" s="14">
        <f t="shared" si="9"/>
        <v>0</v>
      </c>
      <c r="U37" s="14"/>
    </row>
    <row r="38" spans="1:21" x14ac:dyDescent="0.3">
      <c r="A38">
        <v>17</v>
      </c>
      <c r="B38" s="8">
        <f t="shared" si="0"/>
        <v>-0.16666666666666696</v>
      </c>
      <c r="C38" s="8">
        <f t="shared" si="7"/>
        <v>99.146639365992854</v>
      </c>
      <c r="E38" s="8">
        <f t="shared" si="8"/>
        <v>4.1466393659928542</v>
      </c>
      <c r="F38" s="14">
        <f t="shared" si="1"/>
        <v>0.13114657203397995</v>
      </c>
      <c r="H38" s="14">
        <f t="shared" si="2"/>
        <v>0.54381753831111879</v>
      </c>
      <c r="L38">
        <v>17</v>
      </c>
      <c r="M38" s="8">
        <f t="shared" si="3"/>
        <v>-0.27509686812368056</v>
      </c>
      <c r="N38" s="8">
        <f t="shared" si="4"/>
        <v>97.637887901375848</v>
      </c>
      <c r="P38" s="8">
        <f t="shared" si="5"/>
        <v>2.6378879013758478</v>
      </c>
      <c r="Q38" s="14">
        <f t="shared" si="6"/>
        <v>0.12898433707839779</v>
      </c>
      <c r="S38" s="14">
        <f t="shared" ref="S38:S53" si="10">P38*Q38</f>
        <v>0.34024622224608969</v>
      </c>
      <c r="U38" s="14"/>
    </row>
    <row r="39" spans="1:21" x14ac:dyDescent="0.3">
      <c r="A39">
        <v>18</v>
      </c>
      <c r="B39" s="8">
        <f t="shared" si="0"/>
        <v>0.16666666666666607</v>
      </c>
      <c r="C39" s="8">
        <f t="shared" si="7"/>
        <v>103.93237133834323</v>
      </c>
      <c r="E39" s="8">
        <f t="shared" si="8"/>
        <v>8.9323713383432306</v>
      </c>
      <c r="F39" s="14">
        <f t="shared" si="1"/>
        <v>0.13114657203397995</v>
      </c>
      <c r="H39" s="14">
        <f t="shared" si="2"/>
        <v>1.1714498811582883</v>
      </c>
      <c r="L39">
        <v>18</v>
      </c>
      <c r="M39" s="8">
        <f t="shared" si="3"/>
        <v>6.2964833767725867E-2</v>
      </c>
      <c r="N39" s="8">
        <f t="shared" si="4"/>
        <v>102.41925767690741</v>
      </c>
      <c r="P39" s="8">
        <f t="shared" si="5"/>
        <v>7.4192576769074066</v>
      </c>
      <c r="Q39" s="14">
        <f t="shared" si="6"/>
        <v>0.13369598833750942</v>
      </c>
      <c r="S39" s="14">
        <f t="shared" si="10"/>
        <v>0.99192498784478988</v>
      </c>
      <c r="U39" s="14"/>
    </row>
    <row r="40" spans="1:21" x14ac:dyDescent="0.3">
      <c r="A40">
        <v>19</v>
      </c>
      <c r="B40" s="8">
        <f t="shared" si="0"/>
        <v>0.5</v>
      </c>
      <c r="C40" s="8">
        <f t="shared" si="7"/>
        <v>108.94910690958145</v>
      </c>
      <c r="E40" s="8">
        <f t="shared" si="8"/>
        <v>13.949106909581445</v>
      </c>
      <c r="F40" s="14">
        <f t="shared" si="1"/>
        <v>0.11735510892143315</v>
      </c>
      <c r="H40" s="14">
        <f t="shared" si="2"/>
        <v>1.6369989607306463</v>
      </c>
      <c r="L40">
        <v>19</v>
      </c>
      <c r="M40" s="8">
        <f t="shared" si="3"/>
        <v>0.40102653565913371</v>
      </c>
      <c r="N40" s="8">
        <f t="shared" si="4"/>
        <v>107.43477320693809</v>
      </c>
      <c r="P40" s="8">
        <f t="shared" si="5"/>
        <v>12.43477320693809</v>
      </c>
      <c r="Q40" s="14">
        <f t="shared" si="6"/>
        <v>0.12399240866682444</v>
      </c>
      <c r="S40" s="14">
        <f t="shared" si="10"/>
        <v>1.5418174811539467</v>
      </c>
      <c r="U40" s="14"/>
    </row>
    <row r="41" spans="1:21" x14ac:dyDescent="0.3">
      <c r="A41">
        <v>20</v>
      </c>
      <c r="B41" s="8">
        <f t="shared" si="0"/>
        <v>0.83333333333333304</v>
      </c>
      <c r="C41" s="8">
        <f t="shared" si="7"/>
        <v>114.20799644563004</v>
      </c>
      <c r="E41" s="8">
        <f t="shared" si="8"/>
        <v>19.207996445630044</v>
      </c>
      <c r="F41" s="14">
        <f t="shared" si="1"/>
        <v>9.397062513676753E-2</v>
      </c>
      <c r="H41" s="14">
        <f t="shared" si="2"/>
        <v>1.8049874336206639</v>
      </c>
      <c r="L41">
        <v>20</v>
      </c>
      <c r="M41" s="8">
        <f t="shared" si="3"/>
        <v>0.73908823755054087</v>
      </c>
      <c r="N41" s="8">
        <f t="shared" si="4"/>
        <v>112.69590071075726</v>
      </c>
      <c r="P41" s="8">
        <f t="shared" si="5"/>
        <v>17.695900710757257</v>
      </c>
      <c r="Q41" s="14">
        <f t="shared" si="6"/>
        <v>0.10281736836300455</v>
      </c>
      <c r="S41" s="14">
        <f t="shared" si="10"/>
        <v>1.8194459418930831</v>
      </c>
      <c r="U41" s="14"/>
    </row>
    <row r="42" spans="1:21" x14ac:dyDescent="0.3">
      <c r="A42">
        <v>21</v>
      </c>
      <c r="B42" s="8">
        <f t="shared" si="0"/>
        <v>1.1666666666666661</v>
      </c>
      <c r="C42" s="8">
        <f t="shared" si="7"/>
        <v>119.72072853199262</v>
      </c>
      <c r="E42" s="8">
        <f t="shared" si="8"/>
        <v>24.72072853199262</v>
      </c>
      <c r="F42" s="14">
        <f t="shared" si="1"/>
        <v>6.7332895184686326E-2</v>
      </c>
      <c r="H42" s="14">
        <f t="shared" si="2"/>
        <v>1.6645182231337436</v>
      </c>
      <c r="L42">
        <v>21</v>
      </c>
      <c r="M42" s="8">
        <f t="shared" si="3"/>
        <v>1.0771499394419488</v>
      </c>
      <c r="N42" s="8">
        <f t="shared" si="4"/>
        <v>118.21466791339283</v>
      </c>
      <c r="P42" s="8">
        <f t="shared" si="5"/>
        <v>23.21466791339283</v>
      </c>
      <c r="Q42" s="14">
        <f t="shared" si="6"/>
        <v>7.612369285027755E-2</v>
      </c>
      <c r="S42" s="14">
        <f t="shared" si="10"/>
        <v>1.7671862498603095</v>
      </c>
      <c r="U42" s="14"/>
    </row>
    <row r="43" spans="1:21" x14ac:dyDescent="0.3">
      <c r="A43">
        <v>22</v>
      </c>
      <c r="B43" s="8">
        <f t="shared" si="0"/>
        <v>1.5</v>
      </c>
      <c r="C43" s="8">
        <f t="shared" si="7"/>
        <v>125.49955595319882</v>
      </c>
      <c r="E43" s="8">
        <f t="shared" si="8"/>
        <v>30.499555953198822</v>
      </c>
      <c r="F43" s="14">
        <f t="shared" si="1"/>
        <v>4.3172531888630572E-2</v>
      </c>
      <c r="H43" s="14">
        <f t="shared" si="2"/>
        <v>1.3167430519785486</v>
      </c>
      <c r="L43">
        <v>22</v>
      </c>
      <c r="M43" s="8">
        <f t="shared" si="3"/>
        <v>1.4152116413333569</v>
      </c>
      <c r="N43" s="8">
        <f t="shared" si="4"/>
        <v>124.00369154279105</v>
      </c>
      <c r="P43" s="8">
        <f t="shared" si="5"/>
        <v>29.003691542791046</v>
      </c>
      <c r="Q43" s="14">
        <f t="shared" si="6"/>
        <v>5.0211893992376383E-2</v>
      </c>
      <c r="S43" s="14">
        <f t="shared" si="10"/>
        <v>1.4563302851342075</v>
      </c>
      <c r="U43" s="14"/>
    </row>
    <row r="44" spans="1:21" x14ac:dyDescent="0.3">
      <c r="A44">
        <v>23</v>
      </c>
      <c r="B44" s="8">
        <f t="shared" si="0"/>
        <v>1.833333333333333</v>
      </c>
      <c r="C44" s="8">
        <f t="shared" si="7"/>
        <v>131.55732292625677</v>
      </c>
      <c r="E44" s="8">
        <f t="shared" si="8"/>
        <v>36.557322926256774</v>
      </c>
      <c r="F44" s="14">
        <f t="shared" si="1"/>
        <v>2.4770387852997709E-2</v>
      </c>
      <c r="H44" s="14">
        <f t="shared" si="2"/>
        <v>0.90553906775066539</v>
      </c>
      <c r="L44">
        <v>23</v>
      </c>
      <c r="M44" s="8">
        <f t="shared" si="3"/>
        <v>1.7532733432247622</v>
      </c>
      <c r="N44" s="8">
        <f t="shared" si="4"/>
        <v>130.07620617354519</v>
      </c>
      <c r="P44" s="8">
        <f t="shared" si="5"/>
        <v>35.076206173545188</v>
      </c>
      <c r="Q44" s="14">
        <f t="shared" si="6"/>
        <v>2.9417348107216589E-2</v>
      </c>
      <c r="S44" s="14">
        <f t="shared" si="10"/>
        <v>1.0318489672876783</v>
      </c>
      <c r="U44" s="14"/>
    </row>
    <row r="45" spans="1:21" x14ac:dyDescent="0.3">
      <c r="A45">
        <v>24</v>
      </c>
      <c r="B45" s="8">
        <f t="shared" si="0"/>
        <v>2.1666666666666661</v>
      </c>
      <c r="C45" s="8">
        <f t="shared" si="7"/>
        <v>137.90749364864399</v>
      </c>
      <c r="E45" s="8">
        <f t="shared" si="8"/>
        <v>42.907493648643992</v>
      </c>
      <c r="F45" s="14">
        <f t="shared" si="1"/>
        <v>1.2717541168806003E-2</v>
      </c>
      <c r="H45" s="14">
        <f t="shared" si="2"/>
        <v>0.54567781692691208</v>
      </c>
      <c r="L45">
        <v>24</v>
      </c>
      <c r="M45" s="8">
        <f t="shared" si="3"/>
        <v>2.0913350451161707</v>
      </c>
      <c r="N45" s="8">
        <f t="shared" si="4"/>
        <v>136.44609448311439</v>
      </c>
      <c r="P45" s="8">
        <f t="shared" si="5"/>
        <v>41.446094483114393</v>
      </c>
      <c r="Q45" s="14">
        <f t="shared" si="6"/>
        <v>1.5245965202241493E-2</v>
      </c>
      <c r="S45" s="14">
        <f t="shared" si="10"/>
        <v>0.63188571425837514</v>
      </c>
      <c r="U45" s="14"/>
    </row>
    <row r="46" spans="1:21" x14ac:dyDescent="0.3">
      <c r="A46">
        <v>25</v>
      </c>
      <c r="B46" s="8">
        <f t="shared" si="0"/>
        <v>2.5</v>
      </c>
      <c r="C46" s="8">
        <f t="shared" si="7"/>
        <v>144.56418222428721</v>
      </c>
      <c r="E46" s="8">
        <f t="shared" si="8"/>
        <v>49.564182224287208</v>
      </c>
      <c r="F46" s="14">
        <f t="shared" si="1"/>
        <v>5.8427668311895123E-3</v>
      </c>
      <c r="H46" s="14">
        <f t="shared" si="2"/>
        <v>0.28959195991509812</v>
      </c>
      <c r="L46">
        <v>25</v>
      </c>
      <c r="M46" s="8">
        <f t="shared" si="3"/>
        <v>2.4293967470075777</v>
      </c>
      <c r="N46" s="8">
        <f t="shared" si="4"/>
        <v>143.12791898970221</v>
      </c>
      <c r="P46" s="8">
        <f t="shared" si="5"/>
        <v>48.127918989702209</v>
      </c>
      <c r="Q46" s="14">
        <f t="shared" si="6"/>
        <v>6.9532685138272146E-3</v>
      </c>
      <c r="S46" s="14">
        <f t="shared" si="10"/>
        <v>0.33464634374712326</v>
      </c>
      <c r="U46" s="14"/>
    </row>
    <row r="47" spans="1:21" x14ac:dyDescent="0.3">
      <c r="A47">
        <v>26</v>
      </c>
      <c r="B47" s="8">
        <f t="shared" si="0"/>
        <v>2.8333333333333321</v>
      </c>
      <c r="C47" s="8">
        <f t="shared" si="7"/>
        <v>151.54218403404658</v>
      </c>
      <c r="E47" s="8">
        <f t="shared" si="8"/>
        <v>56.542184034046585</v>
      </c>
      <c r="F47" s="14">
        <f t="shared" si="1"/>
        <v>2.402033254869749E-3</v>
      </c>
      <c r="H47" s="14">
        <f t="shared" si="2"/>
        <v>0.13581620635274527</v>
      </c>
      <c r="L47">
        <v>26</v>
      </c>
      <c r="M47" s="8">
        <f t="shared" si="3"/>
        <v>2.7674584488989851</v>
      </c>
      <c r="N47" s="8">
        <f t="shared" si="4"/>
        <v>150.13695534435331</v>
      </c>
      <c r="P47" s="8">
        <f t="shared" si="5"/>
        <v>55.136955344353311</v>
      </c>
      <c r="Q47" s="14">
        <f t="shared" si="6"/>
        <v>2.7720244273570548E-3</v>
      </c>
      <c r="S47" s="14">
        <f t="shared" si="10"/>
        <v>0.1528409870646425</v>
      </c>
      <c r="U47" s="14"/>
    </row>
    <row r="48" spans="1:21" x14ac:dyDescent="0.3">
      <c r="A48">
        <v>27</v>
      </c>
      <c r="B48" s="8">
        <f t="shared" si="0"/>
        <v>3.1666666666666661</v>
      </c>
      <c r="C48" s="8">
        <f t="shared" si="7"/>
        <v>158.85700862042887</v>
      </c>
      <c r="E48" s="8">
        <f t="shared" si="8"/>
        <v>63.857008620428871</v>
      </c>
      <c r="F48" s="14">
        <f t="shared" si="1"/>
        <v>8.8365865147670326E-4</v>
      </c>
      <c r="H48" s="14">
        <f t="shared" si="2"/>
        <v>5.6427798124864391E-2</v>
      </c>
      <c r="L48">
        <v>27</v>
      </c>
      <c r="M48" s="8">
        <f t="shared" si="3"/>
        <v>3.1055201507903925</v>
      </c>
      <c r="N48" s="8">
        <f t="shared" si="4"/>
        <v>157.48922725337837</v>
      </c>
      <c r="P48" s="8">
        <f t="shared" si="5"/>
        <v>62.489227253378374</v>
      </c>
      <c r="Q48" s="14">
        <f t="shared" si="6"/>
        <v>9.577611098779145E-4</v>
      </c>
      <c r="S48" s="14">
        <f t="shared" si="10"/>
        <v>5.9849751649608894E-2</v>
      </c>
      <c r="U48" s="14"/>
    </row>
    <row r="49" spans="1:21" x14ac:dyDescent="0.3">
      <c r="A49">
        <v>28</v>
      </c>
      <c r="B49" s="8">
        <f t="shared" si="0"/>
        <v>3.5</v>
      </c>
      <c r="C49" s="8">
        <f t="shared" si="7"/>
        <v>166.52491415962047</v>
      </c>
      <c r="E49" s="8">
        <f t="shared" si="8"/>
        <v>71.524914159620465</v>
      </c>
      <c r="F49" s="14">
        <f t="shared" si="1"/>
        <v>2.9089423168191994E-4</v>
      </c>
      <c r="H49" s="14">
        <f t="shared" si="2"/>
        <v>2.0806184950578073E-2</v>
      </c>
      <c r="L49">
        <v>28</v>
      </c>
      <c r="M49" s="8">
        <f t="shared" si="3"/>
        <v>3.4435818526817998</v>
      </c>
      <c r="N49" s="8">
        <f t="shared" si="4"/>
        <v>165.20154311094532</v>
      </c>
      <c r="P49" s="8">
        <f t="shared" si="5"/>
        <v>70.201543110945323</v>
      </c>
      <c r="Q49" s="14">
        <f t="shared" si="6"/>
        <v>2.8364200995644595E-4</v>
      </c>
      <c r="S49" s="14">
        <f t="shared" si="10"/>
        <v>1.9912106790032622E-2</v>
      </c>
      <c r="U49" s="14"/>
    </row>
    <row r="50" spans="1:21" x14ac:dyDescent="0.3">
      <c r="A50">
        <v>29</v>
      </c>
      <c r="B50" s="8">
        <f t="shared" si="0"/>
        <v>3.8333333333333321</v>
      </c>
      <c r="C50" s="8">
        <f t="shared" si="7"/>
        <v>174.56294359745885</v>
      </c>
      <c r="E50" s="8">
        <f t="shared" si="8"/>
        <v>79.562943597458855</v>
      </c>
      <c r="F50" s="14">
        <f t="shared" si="1"/>
        <v>8.5690118354102561E-5</v>
      </c>
      <c r="H50" s="14">
        <f t="shared" si="2"/>
        <v>6.8177580534670356E-3</v>
      </c>
      <c r="L50">
        <v>29</v>
      </c>
      <c r="M50" s="8">
        <f t="shared" si="3"/>
        <v>3.7816435545732077</v>
      </c>
      <c r="N50" s="8">
        <f t="shared" si="4"/>
        <v>173.29153442558456</v>
      </c>
      <c r="P50" s="8">
        <f t="shared" si="5"/>
        <v>78.291534425584558</v>
      </c>
      <c r="Q50" s="14">
        <f t="shared" si="6"/>
        <v>7.0966272820639735E-5</v>
      </c>
      <c r="S50" s="14">
        <f t="shared" si="10"/>
        <v>5.5560583915925414E-3</v>
      </c>
      <c r="U50" s="14"/>
    </row>
    <row r="51" spans="1:21" x14ac:dyDescent="0.3">
      <c r="A51">
        <v>30</v>
      </c>
      <c r="B51" s="8">
        <f t="shared" si="0"/>
        <v>4.1666666666666661</v>
      </c>
      <c r="C51" s="8">
        <f t="shared" si="7"/>
        <v>182.98896252965983</v>
      </c>
      <c r="E51" s="8">
        <f t="shared" si="8"/>
        <v>87.98896252965983</v>
      </c>
      <c r="F51" s="14">
        <f t="shared" si="1"/>
        <v>2.2587669962939292E-5</v>
      </c>
      <c r="H51" s="14">
        <f t="shared" si="2"/>
        <v>1.9874656460013881E-3</v>
      </c>
      <c r="L51">
        <v>30</v>
      </c>
      <c r="M51" s="8">
        <f t="shared" si="3"/>
        <v>4.1197052564646155</v>
      </c>
      <c r="N51" s="8">
        <f t="shared" si="4"/>
        <v>181.77769612845668</v>
      </c>
      <c r="P51" s="8">
        <f t="shared" si="5"/>
        <v>86.777696128456682</v>
      </c>
      <c r="Q51" s="14">
        <f t="shared" si="6"/>
        <v>1.4711718024519408E-5</v>
      </c>
      <c r="S51" s="14">
        <f t="shared" si="10"/>
        <v>1.2766489962592843E-3</v>
      </c>
      <c r="U51" s="14"/>
    </row>
    <row r="52" spans="1:21" x14ac:dyDescent="0.3">
      <c r="A52">
        <v>31</v>
      </c>
      <c r="B52" s="8">
        <f t="shared" si="0"/>
        <v>4.5</v>
      </c>
      <c r="C52" s="8">
        <f t="shared" si="7"/>
        <v>191.82169891049369</v>
      </c>
      <c r="E52" s="8">
        <f t="shared" si="8"/>
        <v>96.821698910493694</v>
      </c>
      <c r="F52" s="14">
        <f t="shared" si="1"/>
        <v>5.3279137023018243E-6</v>
      </c>
      <c r="H52" s="14">
        <f t="shared" si="2"/>
        <v>5.1585765630536096E-4</v>
      </c>
      <c r="L52">
        <v>31</v>
      </c>
      <c r="M52" s="8">
        <f t="shared" si="3"/>
        <v>4.4577669583560233</v>
      </c>
      <c r="N52" s="8">
        <f t="shared" si="4"/>
        <v>190.67942885553381</v>
      </c>
      <c r="P52" s="8">
        <f t="shared" si="5"/>
        <v>95.679428855533814</v>
      </c>
      <c r="Q52" s="14">
        <f t="shared" si="6"/>
        <v>2.4595355428953099E-6</v>
      </c>
      <c r="S52" s="14">
        <f t="shared" si="10"/>
        <v>2.3532695599410853E-4</v>
      </c>
      <c r="U52" s="14"/>
    </row>
    <row r="53" spans="1:21" x14ac:dyDescent="0.3">
      <c r="A53">
        <v>32</v>
      </c>
      <c r="B53" s="8">
        <f t="shared" si="0"/>
        <v>4.8333333333333321</v>
      </c>
      <c r="C53" s="8">
        <f t="shared" si="7"/>
        <v>201.08078467816915</v>
      </c>
      <c r="E53" s="8">
        <f t="shared" si="8"/>
        <v>106.08078467816915</v>
      </c>
      <c r="F53" s="14">
        <f t="shared" si="1"/>
        <v>1.1245738687156093E-6</v>
      </c>
      <c r="H53" s="14">
        <f t="shared" si="2"/>
        <v>1.1929567842191621E-4</v>
      </c>
      <c r="L53">
        <v>32</v>
      </c>
      <c r="M53" s="8">
        <f t="shared" si="3"/>
        <v>4.7958286602474294</v>
      </c>
      <c r="N53" s="8">
        <f t="shared" si="4"/>
        <v>200.0170833003574</v>
      </c>
      <c r="P53" s="8">
        <f t="shared" si="5"/>
        <v>105.0170833003574</v>
      </c>
      <c r="Q53" s="14">
        <f t="shared" si="6"/>
        <v>3.1867244766583123E-7</v>
      </c>
      <c r="S53" s="14">
        <f t="shared" si="10"/>
        <v>3.3466050982051379E-5</v>
      </c>
      <c r="U53" s="14"/>
    </row>
    <row r="54" spans="1:21" x14ac:dyDescent="0.3">
      <c r="A54">
        <v>33</v>
      </c>
      <c r="B54" s="8">
        <f t="shared" si="0"/>
        <v>5.1666666666666661</v>
      </c>
      <c r="C54" s="8">
        <f t="shared" si="7"/>
        <v>210.78679938944228</v>
      </c>
      <c r="E54" s="8">
        <f t="shared" si="8"/>
        <v>115.78679938944228</v>
      </c>
      <c r="F54" s="14">
        <f t="shared" si="1"/>
        <v>2.1240456738902923E-7</v>
      </c>
      <c r="H54" s="14">
        <f t="shared" si="2"/>
        <v>2.4593645033674802E-5</v>
      </c>
      <c r="L54">
        <v>33</v>
      </c>
      <c r="M54" s="8">
        <f t="shared" si="3"/>
        <v>5.1338903621388345</v>
      </c>
      <c r="N54" s="8">
        <f t="shared" si="4"/>
        <v>209.81200673877015</v>
      </c>
      <c r="P54" s="8">
        <f t="shared" si="5"/>
        <v>114.81200673877015</v>
      </c>
      <c r="Q54" s="14">
        <f t="shared" si="6"/>
        <v>3.0028471822562685E-8</v>
      </c>
      <c r="S54" s="14">
        <f t="shared" ref="S54:S56" si="11">P54*Q54</f>
        <v>3.4476291092470366E-6</v>
      </c>
      <c r="U54" s="14"/>
    </row>
    <row r="55" spans="1:21" x14ac:dyDescent="0.3">
      <c r="A55">
        <v>34</v>
      </c>
      <c r="B55" s="8">
        <f t="shared" si="0"/>
        <v>5.5</v>
      </c>
      <c r="C55" s="8">
        <f t="shared" si="7"/>
        <v>220.96131596043432</v>
      </c>
      <c r="E55" s="8">
        <f t="shared" si="8"/>
        <v>125.96131596043432</v>
      </c>
      <c r="F55" s="14">
        <f t="shared" si="1"/>
        <v>3.5899200141810911E-8</v>
      </c>
      <c r="H55" s="14">
        <f t="shared" si="2"/>
        <v>4.5219104917895125E-6</v>
      </c>
      <c r="L55">
        <v>34</v>
      </c>
      <c r="M55" s="8">
        <f t="shared" si="3"/>
        <v>5.4719520640302433</v>
      </c>
      <c r="N55" s="8">
        <f t="shared" si="4"/>
        <v>220.08659183198424</v>
      </c>
      <c r="P55" s="8">
        <f t="shared" si="5"/>
        <v>125.08659183198424</v>
      </c>
      <c r="Q55" s="14">
        <f t="shared" si="6"/>
        <v>1.8309045749815292E-9</v>
      </c>
      <c r="S55" s="14">
        <f t="shared" si="11"/>
        <v>2.2902161325402714E-7</v>
      </c>
      <c r="U55" s="14"/>
    </row>
    <row r="56" spans="1:21" x14ac:dyDescent="0.3">
      <c r="A56">
        <v>35</v>
      </c>
      <c r="B56" s="8">
        <f t="shared" si="0"/>
        <v>5.8333333333333321</v>
      </c>
      <c r="C56" s="8">
        <f t="shared" si="7"/>
        <v>231.62694861532356</v>
      </c>
      <c r="E56" s="8">
        <f t="shared" si="8"/>
        <v>136.62694861532356</v>
      </c>
      <c r="F56" s="14">
        <f t="shared" si="1"/>
        <v>5.4293864025285316E-9</v>
      </c>
      <c r="H56" s="14">
        <f t="shared" si="2"/>
        <v>7.4180049703100208E-7</v>
      </c>
      <c r="L56">
        <v>35</v>
      </c>
      <c r="M56" s="8">
        <f t="shared" si="3"/>
        <v>5.8100137659216502</v>
      </c>
      <c r="N56" s="8">
        <f t="shared" si="4"/>
        <v>230.86432781955642</v>
      </c>
      <c r="P56" s="8">
        <f t="shared" si="5"/>
        <v>135.86432781955642</v>
      </c>
      <c r="Q56" s="14">
        <f t="shared" si="6"/>
        <v>5.4222441100412949E-11</v>
      </c>
      <c r="S56" s="14">
        <f t="shared" si="11"/>
        <v>7.3668955128430945E-9</v>
      </c>
      <c r="U56" s="14"/>
    </row>
  </sheetData>
  <printOptions headings="1" gridLines="1"/>
  <pageMargins left="0.75" right="0.75" top="1" bottom="1" header="0.5" footer="0.5"/>
  <pageSetup paperSize="9" scale="53" orientation="portrait" horizontalDpi="300" verticalDpi="300" r:id="rId1"/>
  <headerFooter alignWithMargins="0">
    <oddHeader>&amp;L&amp;F&amp;C&amp;A</oddHeader>
    <oddFooter>Prepared by Mike Staunton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MC1</vt:lpstr>
      <vt:lpstr>MC2</vt:lpstr>
      <vt:lpstr>QMC</vt:lpstr>
      <vt:lpstr>Compare</vt:lpstr>
      <vt:lpstr>NI</vt:lpstr>
      <vt:lpstr>Chart1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12</dc:title>
  <dc:creator>Mary Jackson and Mike Staunton</dc:creator>
  <cp:lastModifiedBy>Carina Negreanu</cp:lastModifiedBy>
  <cp:lastPrinted>1999-05-04T11:07:55Z</cp:lastPrinted>
  <dcterms:created xsi:type="dcterms:W3CDTF">1997-06-13T13:38:33Z</dcterms:created>
  <dcterms:modified xsi:type="dcterms:W3CDTF">2020-01-27T11:56:30Z</dcterms:modified>
</cp:coreProperties>
</file>