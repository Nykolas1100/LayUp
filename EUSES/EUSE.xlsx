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ACDD8D-A624-4003-9AB3-00C55126695E}" xr6:coauthVersionLast="45" xr6:coauthVersionMax="45" xr10:uidLastSave="{00000000-0000-0000-0000-000000000000}"/>
  <bookViews>
    <workbookView xWindow="1900" yWindow="1900" windowWidth="28800" windowHeight="15460"/>
  </bookViews>
  <sheets>
    <sheet name="Usage Chart" sheetId="1" r:id="rId1"/>
    <sheet name="ANOVA" sheetId="2" r:id="rId2"/>
    <sheet name="Correlation" sheetId="3" r:id="rId3"/>
    <sheet name="Statistics" sheetId="4" r:id="rId4"/>
    <sheet name="FFT" sheetId="5" r:id="rId5"/>
    <sheet name="Fit" sheetId="6" r:id="rId6"/>
  </sheets>
  <definedNames>
    <definedName name="A">Fit!$B$3</definedName>
    <definedName name="B">Fit!$B$4</definedName>
    <definedName name="C_">Fit!$B$5</definedName>
    <definedName name="D">Fit!$B$6</definedName>
    <definedName name="E">Fit!$B$7</definedName>
    <definedName name="solver_adj" localSheetId="5" hidden="1">Fit!$B$3:$B$6</definedName>
    <definedName name="solver_drv" localSheetId="5" hidden="1">1</definedName>
    <definedName name="solver_est" localSheetId="5" hidden="1">1</definedName>
    <definedName name="solver_itr" localSheetId="5" hidden="1">100</definedName>
    <definedName name="solver_lin" localSheetId="5" hidden="1">0</definedName>
    <definedName name="solver_num" localSheetId="5" hidden="1">0</definedName>
    <definedName name="solver_nwt" localSheetId="5" hidden="1">1</definedName>
    <definedName name="solver_opt" localSheetId="5" hidden="1">Fit!$E$6</definedName>
    <definedName name="solver_pre" localSheetId="5" hidden="1">0.0000001</definedName>
    <definedName name="solver_scl" localSheetId="5" hidden="1">1</definedName>
    <definedName name="solver_sho" localSheetId="5" hidden="1">0</definedName>
    <definedName name="solver_tim" localSheetId="5" hidden="1">100</definedName>
    <definedName name="solver_tol" localSheetId="5" hidden="1">0.05</definedName>
    <definedName name="solver_typ" localSheetId="5" hidden="1">1</definedName>
    <definedName name="solver_val" localSheetId="5" hidden="1">0</definedName>
    <definedName name="t">Fit!$C$10:$C$81</definedName>
  </definedNames>
  <calcPr calcId="0" calcOnSave="0"/>
</workbook>
</file>

<file path=xl/calcChain.xml><?xml version="1.0" encoding="utf-8"?>
<calcChain xmlns="http://schemas.openxmlformats.org/spreadsheetml/2006/main">
  <c r="F23" i="2" l="1"/>
  <c r="I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E3" i="6"/>
  <c r="E4" i="6"/>
  <c r="E5" i="6"/>
  <c r="E6" i="6"/>
  <c r="D10" i="6"/>
  <c r="E10" i="6"/>
  <c r="F10" i="6"/>
  <c r="D11" i="6"/>
  <c r="E11" i="6"/>
  <c r="F11" i="6"/>
  <c r="D12" i="6"/>
  <c r="E12" i="6"/>
  <c r="F12" i="6"/>
  <c r="D13" i="6"/>
  <c r="E13" i="6"/>
  <c r="F13" i="6"/>
  <c r="D14" i="6"/>
  <c r="E14" i="6"/>
  <c r="F14" i="6"/>
  <c r="D15" i="6"/>
  <c r="E15" i="6"/>
  <c r="F15" i="6"/>
  <c r="D16" i="6"/>
  <c r="E16" i="6"/>
  <c r="F16" i="6"/>
  <c r="D17" i="6"/>
  <c r="E17" i="6"/>
  <c r="F17" i="6"/>
  <c r="D18" i="6"/>
  <c r="E18" i="6"/>
  <c r="F18" i="6"/>
  <c r="D19" i="6"/>
  <c r="E19" i="6"/>
  <c r="F19" i="6"/>
  <c r="D20" i="6"/>
  <c r="E20" i="6"/>
  <c r="F20" i="6"/>
  <c r="D21" i="6"/>
  <c r="E21" i="6"/>
  <c r="F21" i="6"/>
  <c r="D22" i="6"/>
  <c r="E22" i="6"/>
  <c r="F22" i="6"/>
  <c r="D23" i="6"/>
  <c r="E23" i="6"/>
  <c r="F23" i="6"/>
  <c r="D24" i="6"/>
  <c r="E24" i="6"/>
  <c r="F24" i="6"/>
  <c r="D25" i="6"/>
  <c r="E25" i="6"/>
  <c r="F25" i="6"/>
  <c r="D26" i="6"/>
  <c r="E26" i="6"/>
  <c r="F26" i="6"/>
  <c r="D27" i="6"/>
  <c r="E27" i="6"/>
  <c r="F27" i="6"/>
  <c r="D28" i="6"/>
  <c r="E28" i="6"/>
  <c r="F28" i="6"/>
  <c r="D29" i="6"/>
  <c r="E29" i="6"/>
  <c r="F29" i="6"/>
  <c r="D30" i="6"/>
  <c r="E30" i="6"/>
  <c r="F30" i="6"/>
  <c r="D31" i="6"/>
  <c r="E31" i="6"/>
  <c r="F31" i="6"/>
  <c r="D32" i="6"/>
  <c r="E32" i="6"/>
  <c r="F32" i="6"/>
  <c r="D33" i="6"/>
  <c r="E33" i="6"/>
  <c r="F33" i="6"/>
  <c r="D34" i="6"/>
  <c r="E34" i="6"/>
  <c r="F34" i="6"/>
  <c r="D35" i="6"/>
  <c r="E35" i="6"/>
  <c r="F35" i="6"/>
  <c r="D36" i="6"/>
  <c r="E36" i="6"/>
  <c r="F36" i="6"/>
  <c r="D37" i="6"/>
  <c r="E37" i="6"/>
  <c r="F37" i="6"/>
  <c r="D38" i="6"/>
  <c r="E38" i="6"/>
  <c r="F38" i="6"/>
  <c r="D39" i="6"/>
  <c r="E39" i="6"/>
  <c r="F39" i="6"/>
  <c r="D40" i="6"/>
  <c r="E40" i="6"/>
  <c r="F40" i="6"/>
  <c r="D41" i="6"/>
  <c r="E41" i="6"/>
  <c r="F41" i="6"/>
  <c r="D42" i="6"/>
  <c r="E42" i="6"/>
  <c r="F42" i="6"/>
  <c r="D43" i="6"/>
  <c r="E43" i="6"/>
  <c r="F43" i="6"/>
  <c r="D44" i="6"/>
  <c r="E44" i="6"/>
  <c r="F44" i="6"/>
  <c r="D45" i="6"/>
  <c r="E45" i="6"/>
  <c r="F45" i="6"/>
  <c r="D46" i="6"/>
  <c r="E46" i="6"/>
  <c r="F46" i="6"/>
  <c r="D47" i="6"/>
  <c r="E47" i="6"/>
  <c r="F47" i="6"/>
  <c r="D48" i="6"/>
  <c r="E48" i="6"/>
  <c r="F48" i="6"/>
  <c r="D49" i="6"/>
  <c r="E49" i="6"/>
  <c r="F49" i="6"/>
  <c r="D50" i="6"/>
  <c r="E50" i="6"/>
  <c r="F50" i="6"/>
  <c r="D51" i="6"/>
  <c r="E51" i="6"/>
  <c r="F51" i="6"/>
  <c r="D52" i="6"/>
  <c r="E52" i="6"/>
  <c r="F52" i="6"/>
  <c r="D53" i="6"/>
  <c r="E53" i="6"/>
  <c r="F53" i="6"/>
  <c r="D54" i="6"/>
  <c r="E54" i="6"/>
  <c r="F54" i="6"/>
  <c r="D55" i="6"/>
  <c r="E55" i="6"/>
  <c r="F55" i="6"/>
  <c r="D56" i="6"/>
  <c r="E56" i="6"/>
  <c r="F56" i="6"/>
  <c r="D57" i="6"/>
  <c r="E57" i="6"/>
  <c r="F57" i="6"/>
  <c r="D58" i="6"/>
  <c r="E58" i="6"/>
  <c r="F58" i="6"/>
  <c r="D59" i="6"/>
  <c r="E59" i="6"/>
  <c r="F59" i="6"/>
  <c r="D60" i="6"/>
  <c r="E60" i="6"/>
  <c r="F60" i="6"/>
  <c r="D61" i="6"/>
  <c r="E61" i="6"/>
  <c r="F61" i="6"/>
  <c r="D62" i="6"/>
  <c r="E62" i="6"/>
  <c r="F62" i="6"/>
  <c r="D63" i="6"/>
  <c r="E63" i="6"/>
  <c r="F63" i="6"/>
  <c r="D64" i="6"/>
  <c r="E64" i="6"/>
  <c r="F64" i="6"/>
  <c r="D65" i="6"/>
  <c r="E65" i="6"/>
  <c r="F65" i="6"/>
  <c r="D66" i="6"/>
  <c r="E66" i="6"/>
  <c r="F66" i="6"/>
  <c r="D67" i="6"/>
  <c r="E67" i="6"/>
  <c r="F67" i="6"/>
  <c r="D68" i="6"/>
  <c r="E68" i="6"/>
  <c r="F68" i="6"/>
  <c r="D69" i="6"/>
  <c r="E69" i="6"/>
  <c r="F69" i="6"/>
  <c r="D70" i="6"/>
  <c r="E70" i="6"/>
  <c r="F70" i="6"/>
  <c r="D71" i="6"/>
  <c r="E71" i="6"/>
  <c r="F71" i="6"/>
  <c r="D72" i="6"/>
  <c r="E72" i="6"/>
  <c r="F72" i="6"/>
  <c r="D73" i="6"/>
  <c r="E73" i="6"/>
  <c r="F73" i="6"/>
  <c r="D74" i="6"/>
  <c r="E74" i="6"/>
  <c r="F74" i="6"/>
  <c r="D75" i="6"/>
  <c r="E75" i="6"/>
  <c r="F75" i="6"/>
  <c r="D76" i="6"/>
  <c r="E76" i="6"/>
  <c r="F76" i="6"/>
  <c r="D77" i="6"/>
  <c r="E77" i="6"/>
  <c r="F77" i="6"/>
  <c r="D78" i="6"/>
  <c r="E78" i="6"/>
  <c r="F78" i="6"/>
  <c r="D79" i="6"/>
  <c r="E79" i="6"/>
  <c r="F79" i="6"/>
  <c r="D80" i="6"/>
  <c r="E80" i="6"/>
  <c r="F80" i="6"/>
  <c r="D81" i="6"/>
  <c r="E81" i="6"/>
  <c r="F81" i="6"/>
  <c r="E82" i="6"/>
  <c r="F82" i="6"/>
</calcChain>
</file>

<file path=xl/sharedStrings.xml><?xml version="1.0" encoding="utf-8"?>
<sst xmlns="http://schemas.openxmlformats.org/spreadsheetml/2006/main" count="226" uniqueCount="136">
  <si>
    <t>Residential Electric Power Usage</t>
  </si>
  <si>
    <t>Daily Average Usage (kWh/day)</t>
  </si>
  <si>
    <t>Month/Year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</si>
  <si>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</si>
  <si>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</si>
  <si>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</si>
  <si>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</si>
  <si>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</si>
  <si>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</si>
  <si>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</si>
  <si>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</si>
  <si>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</si>
  <si>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</si>
  <si>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</si>
  <si>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</si>
  <si>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ANOVA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</si>
  <si>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</si>
  <si>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</si>
  <si>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</si>
  <si>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</si>
  <si>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</si>
  <si>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</si>
  <si>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</si>
  <si>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</si>
  <si>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</si>
  <si>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</si>
  <si>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</si>
  <si>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</si>
  <si>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</si>
  <si>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</si>
  <si>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</si>
  <si>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</si>
  <si>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</si>
  <si>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Correlation</t>
  </si>
  <si>
    <t>Basic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</si>
  <si>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</si>
  <si>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</si>
  <si>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</si>
  <si>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</si>
  <si>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</si>
  <si>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</si>
  <si>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</si>
  <si>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</si>
  <si>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</si>
  <si>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</si>
  <si>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</si>
  <si>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Largest(1)</t>
  </si>
  <si>
    <t>Smallest(1)</t>
  </si>
  <si>
    <t>Confidence Level(95.0%)</t>
  </si>
  <si>
    <t>n=</t>
  </si>
  <si>
    <t>Month</t>
  </si>
  <si>
    <t>Term</t>
  </si>
  <si>
    <t>Fourier Coefficients</t>
  </si>
  <si>
    <t>Magnitude</t>
  </si>
  <si>
    <t>Frequency</t>
  </si>
  <si>
    <t>Period</t>
  </si>
  <si>
    <t>1656.7</t>
  </si>
  <si>
    <t>Infinite</t>
  </si>
  <si>
    <t>13.3325801975743+121.422071786327i</t>
  </si>
  <si>
    <t>-27.9374710940332+55.1897756248931i</t>
  </si>
  <si>
    <t>-6.682756866897+50.9210810586189i</t>
  </si>
  <si>
    <t>-16.4441758305038-4.63784659125856i</t>
  </si>
  <si>
    <t>29.3786155891547-85.3854777040556i</t>
  </si>
  <si>
    <t>-17.4073127354454+80.0300173114832i</t>
  </si>
  <si>
    <t>-13.1119042770068+52.2060788190727i</t>
  </si>
  <si>
    <t>-7.06984848098348+21.7279220613579i</t>
  </si>
  <si>
    <t>-22.54047040674+21.1177102702097i</t>
  </si>
  <si>
    <t>-21.8295820000543+11.1875274565675i</t>
  </si>
  <si>
    <t>31.1228477478507+26.5885553351886i</t>
  </si>
  <si>
    <t>5.1378571498428+13.2689720370488i</t>
  </si>
  <si>
    <t>1.89156330032191+24.0649951503389i</t>
  </si>
  <si>
    <t>-6.79928247934635+7.30195488444692i</t>
  </si>
  <si>
    <t>12.8498068631754+12.6293875633888i</t>
  </si>
  <si>
    <t>5.50000000000005-2.99999999999994i</t>
  </si>
  <si>
    <t>-11.6522967732408+13.5151749644385i</t>
  </si>
  <si>
    <t>-14.2872550838265+7.88056262575426i</t>
  </si>
  <si>
    <t>-0.569824581761672-8.85841702866303i</t>
  </si>
  <si>
    <t>-7.56140695106108-4.22808423779885i</t>
  </si>
  <si>
    <t>-10.477194251915+2.08269367430184i</t>
  </si>
  <si>
    <t>-0.886673241364354+18.5928732014847i</t>
  </si>
  <si>
    <t>-12.9801583844602+3.99208346421355i</t>
  </si>
  <si>
    <t>-1.13015151901653+3.72792206135788i</t>
  </si>
  <si>
    <t>-19.0388300101091+4.70505183664551i</t>
  </si>
  <si>
    <t>-8.00536421127021+1.10458392506803i</t>
  </si>
  <si>
    <t>5.43603612935256+5.12718591209157i</t>
  </si>
  <si>
    <t>-13.1322743682779+9.46509713389376i</t>
  </si>
  <si>
    <t>6.52610967831004+6.4732217164987i</t>
  </si>
  <si>
    <t>-13.2470591546592+4.63760423486797i</t>
  </si>
  <si>
    <t>-14.6841239536084-1.01051342920644i</t>
  </si>
  <si>
    <t>-6.5</t>
  </si>
  <si>
    <t>-14.6841239536086+1.01051342920654i</t>
  </si>
  <si>
    <t>-13.2470591546593-4.63760423486795i</t>
  </si>
  <si>
    <t>6.52610967830997-6.4732217164987i</t>
  </si>
  <si>
    <t>-13.1322743682779-9.46509713389375i</t>
  </si>
  <si>
    <t>5.43603612935263-5.12718591209155i</t>
  </si>
  <si>
    <t>-8.00536421127028-1.10458392506802i</t>
  </si>
  <si>
    <t>-19.0388300101092-4.70505183664543i</t>
  </si>
  <si>
    <t>-1.13015151901656-3.72792206135787i</t>
  </si>
  <si>
    <t>-12.9801583844602-3.9920834642135i</t>
  </si>
  <si>
    <t>-0.886673241364401-18.5928732014847i</t>
  </si>
  <si>
    <t>-10.477194251915-2.08269367430177i</t>
  </si>
  <si>
    <t>-7.56140695106109+4.22808423779886i</t>
  </si>
  <si>
    <t>-0.569824581761658+8.85841702866308i</t>
  </si>
  <si>
    <t>-14.2872550838265-7.88056262575424i</t>
  </si>
  <si>
    <t>-11.6522967732409-13.5151749644384i</t>
  </si>
  <si>
    <t>5.50000000000006+2.99999999999994i</t>
  </si>
  <si>
    <t>12.8498068631753-12.6293875633889i</t>
  </si>
  <si>
    <t>-6.79928247934637-7.30195488444694i</t>
  </si>
  <si>
    <t>1.89156330032178-24.064995150339i</t>
  </si>
  <si>
    <t>5.13785714984278-13.2689720370489i</t>
  </si>
  <si>
    <t>31.1228477478506-26.5885553351887i</t>
  </si>
  <si>
    <t>-21.8295820000544-11.1875274565674i</t>
  </si>
  <si>
    <t>-22.5404704067401-21.1177102702097i</t>
  </si>
  <si>
    <t>-7.06984848098352-21.7279220613579i</t>
  </si>
  <si>
    <t>-13.111904277007-52.2060788190728i</t>
  </si>
  <si>
    <t>-17.4073127354457-80.0300173114832i</t>
  </si>
  <si>
    <t>29.378615589155+85.3854777040555i</t>
  </si>
  <si>
    <t>-16.4441758305038+4.63784659125857i</t>
  </si>
  <si>
    <t>-6.68275686689722-50.9210810586189i</t>
  </si>
  <si>
    <t>-27.9374710940334-55.1897756248931i</t>
  </si>
  <si>
    <t>13.3325801975738-121.422071786327i</t>
  </si>
  <si>
    <t>Coefficients</t>
  </si>
  <si>
    <t>Curve Fit Statistics</t>
  </si>
  <si>
    <t>A=</t>
  </si>
  <si>
    <t>SumSquared Residual</t>
  </si>
  <si>
    <t>B=</t>
  </si>
  <si>
    <t>Average Y</t>
  </si>
  <si>
    <t>C=</t>
  </si>
  <si>
    <t>SumSquared Average</t>
  </si>
  <si>
    <t>D=</t>
  </si>
  <si>
    <r>
      <t>r</t>
    </r>
    <r>
      <rPr>
        <vertAlign val="superscript"/>
        <sz val="10"/>
        <rFont val="Arial"/>
        <family val="2"/>
      </rPr>
      <t>2</t>
    </r>
  </si>
  <si>
    <t>Usage (kWh/day)</t>
  </si>
  <si>
    <t>t</t>
  </si>
  <si>
    <t>Fit</t>
  </si>
  <si>
    <r>
      <t>Residual</t>
    </r>
    <r>
      <rPr>
        <vertAlign val="superscript"/>
        <sz val="10"/>
        <rFont val="Arial"/>
        <family val="2"/>
      </rPr>
      <t>2</t>
    </r>
  </si>
  <si>
    <t>(y-&lt;y&gt;)^2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</si>
</sst>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"/>
  </numFmts>
  <fonts count="3" x14ac:knownFonts="1">
    <font>
      <sz val="10"/>
      <name val="Arial"/>
    </font>
    <font>
      <i/>
      <sz val="10"/>
      <name val="Arial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17" fontId="0" fillId="0" borderId="6" xfId="0" applyNumberFormat="1" applyBorder="1"/>
    <xf numFmtId="17" fontId="0" fillId="0" borderId="13" xfId="0" applyNumberFormat="1" applyBorder="1"/>
    <xf numFmtId="17" fontId="0" fillId="0" borderId="3" xfId="0" applyNumberFormat="1" applyBorder="1"/>
    <xf numFmtId="0" fontId="0" fillId="0" borderId="10" xfId="0" applyBorder="1" applyAlignment="1"/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3" xfId="0" applyBorder="1"/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centerContinuous"/>
    </xf>
    <xf numFmtId="180" fontId="0" fillId="0" borderId="15" xfId="0" applyNumberFormat="1" applyBorder="1"/>
    <xf numFmtId="180" fontId="0" fillId="0" borderId="16" xfId="0" applyNumberFormat="1" applyBorder="1"/>
    <xf numFmtId="0" fontId="0" fillId="0" borderId="0" xfId="0" applyFill="1"/>
    <xf numFmtId="0" fontId="0" fillId="0" borderId="11" xfId="0" applyFill="1" applyBorder="1"/>
    <xf numFmtId="0" fontId="0" fillId="0" borderId="12" xfId="0" applyFill="1" applyBorder="1" applyAlignment="1">
      <alignment horizontal="centerContinuous"/>
    </xf>
    <xf numFmtId="0" fontId="0" fillId="0" borderId="10" xfId="0" applyFill="1" applyBorder="1" applyAlignment="1">
      <alignment horizontal="centerContinuous"/>
    </xf>
    <xf numFmtId="0" fontId="0" fillId="0" borderId="12" xfId="0" applyFill="1" applyBorder="1"/>
    <xf numFmtId="0" fontId="0" fillId="0" borderId="10" xfId="0" applyFill="1" applyBorder="1"/>
    <xf numFmtId="17" fontId="0" fillId="0" borderId="15" xfId="0" applyNumberFormat="1" applyFill="1" applyBorder="1"/>
    <xf numFmtId="0" fontId="0" fillId="0" borderId="0" xfId="0" applyFill="1" applyBorder="1"/>
    <xf numFmtId="0" fontId="0" fillId="0" borderId="7" xfId="0" applyFill="1" applyBorder="1"/>
    <xf numFmtId="17" fontId="0" fillId="0" borderId="16" xfId="0" applyNumberFormat="1" applyFill="1" applyBorder="1"/>
    <xf numFmtId="0" fontId="0" fillId="0" borderId="1" xfId="0" applyFill="1" applyBorder="1"/>
    <xf numFmtId="0" fontId="0" fillId="0" borderId="8" xfId="0" applyFill="1" applyBorder="1"/>
    <xf numFmtId="1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55104906604434"/>
          <c:y val="8.0955222093293033E-2"/>
          <c:w val="0.86256939946731381"/>
          <c:h val="0.6595469564659461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FFT!$K$5:$K$68</c:f>
              <c:strCache>
                <c:ptCount val="64"/>
                <c:pt idx="0">
                  <c:v>Infinite</c:v>
                </c:pt>
                <c:pt idx="1">
                  <c:v>64.0</c:v>
                </c:pt>
                <c:pt idx="2">
                  <c:v>32.0</c:v>
                </c:pt>
                <c:pt idx="3">
                  <c:v>21.3</c:v>
                </c:pt>
                <c:pt idx="4">
                  <c:v>16.0</c:v>
                </c:pt>
                <c:pt idx="5">
                  <c:v>12.8</c:v>
                </c:pt>
                <c:pt idx="6">
                  <c:v>10.7</c:v>
                </c:pt>
                <c:pt idx="7">
                  <c:v>9.1</c:v>
                </c:pt>
                <c:pt idx="8">
                  <c:v>8.0</c:v>
                </c:pt>
                <c:pt idx="9">
                  <c:v>7.1</c:v>
                </c:pt>
                <c:pt idx="10">
                  <c:v>6.4</c:v>
                </c:pt>
                <c:pt idx="11">
                  <c:v>5.8</c:v>
                </c:pt>
                <c:pt idx="12">
                  <c:v>5.3</c:v>
                </c:pt>
                <c:pt idx="13">
                  <c:v>4.9</c:v>
                </c:pt>
                <c:pt idx="14">
                  <c:v>4.6</c:v>
                </c:pt>
                <c:pt idx="15">
                  <c:v>4.3</c:v>
                </c:pt>
                <c:pt idx="16">
                  <c:v>4.0</c:v>
                </c:pt>
                <c:pt idx="17">
                  <c:v>3.8</c:v>
                </c:pt>
                <c:pt idx="18">
                  <c:v>3.6</c:v>
                </c:pt>
                <c:pt idx="19">
                  <c:v>3.4</c:v>
                </c:pt>
                <c:pt idx="20">
                  <c:v>3.2</c:v>
                </c:pt>
                <c:pt idx="21">
                  <c:v>3.0</c:v>
                </c:pt>
                <c:pt idx="22">
                  <c:v>2.9</c:v>
                </c:pt>
                <c:pt idx="23">
                  <c:v>2.8</c:v>
                </c:pt>
                <c:pt idx="24">
                  <c:v>2.7</c:v>
                </c:pt>
                <c:pt idx="25">
                  <c:v>2.6</c:v>
                </c:pt>
                <c:pt idx="26">
                  <c:v>2.5</c:v>
                </c:pt>
                <c:pt idx="27">
                  <c:v>2.4</c:v>
                </c:pt>
                <c:pt idx="28">
                  <c:v>2.3</c:v>
                </c:pt>
                <c:pt idx="29">
                  <c:v>2.2</c:v>
                </c:pt>
                <c:pt idx="30">
                  <c:v>2.1</c:v>
                </c:pt>
                <c:pt idx="31">
                  <c:v>2.1</c:v>
                </c:pt>
                <c:pt idx="32">
                  <c:v>2.0</c:v>
                </c:pt>
                <c:pt idx="33">
                  <c:v>-2.1</c:v>
                </c:pt>
                <c:pt idx="34">
                  <c:v>-2.1</c:v>
                </c:pt>
                <c:pt idx="35">
                  <c:v>-2.2</c:v>
                </c:pt>
                <c:pt idx="36">
                  <c:v>-2.3</c:v>
                </c:pt>
                <c:pt idx="37">
                  <c:v>-2.4</c:v>
                </c:pt>
                <c:pt idx="38">
                  <c:v>-2.5</c:v>
                </c:pt>
                <c:pt idx="39">
                  <c:v>-2.6</c:v>
                </c:pt>
                <c:pt idx="40">
                  <c:v>-2.7</c:v>
                </c:pt>
                <c:pt idx="41">
                  <c:v>-2.8</c:v>
                </c:pt>
                <c:pt idx="42">
                  <c:v>-2.9</c:v>
                </c:pt>
                <c:pt idx="43">
                  <c:v>-3.0</c:v>
                </c:pt>
                <c:pt idx="44">
                  <c:v>-3.2</c:v>
                </c:pt>
                <c:pt idx="45">
                  <c:v>-3.4</c:v>
                </c:pt>
                <c:pt idx="46">
                  <c:v>-3.6</c:v>
                </c:pt>
                <c:pt idx="47">
                  <c:v>-3.8</c:v>
                </c:pt>
                <c:pt idx="48">
                  <c:v>-4.0</c:v>
                </c:pt>
                <c:pt idx="49">
                  <c:v>-4.3</c:v>
                </c:pt>
                <c:pt idx="50">
                  <c:v>-4.6</c:v>
                </c:pt>
                <c:pt idx="51">
                  <c:v>-4.9</c:v>
                </c:pt>
                <c:pt idx="52">
                  <c:v>-5.3</c:v>
                </c:pt>
                <c:pt idx="53">
                  <c:v>-5.8</c:v>
                </c:pt>
                <c:pt idx="54">
                  <c:v>-6.4</c:v>
                </c:pt>
                <c:pt idx="55">
                  <c:v>-7.1</c:v>
                </c:pt>
                <c:pt idx="56">
                  <c:v>-8.0</c:v>
                </c:pt>
                <c:pt idx="57">
                  <c:v>-9.1</c:v>
                </c:pt>
                <c:pt idx="58">
                  <c:v>-10.7</c:v>
                </c:pt>
                <c:pt idx="59">
                  <c:v>-12.8</c:v>
                </c:pt>
                <c:pt idx="60">
                  <c:v>-16.0</c:v>
                </c:pt>
                <c:pt idx="61">
                  <c:v>-21.3</c:v>
                </c:pt>
                <c:pt idx="62">
                  <c:v>-32.0</c:v>
                </c:pt>
                <c:pt idx="63">
                  <c:v>-64.0</c:v>
                </c:pt>
              </c:strCache>
            </c:strRef>
          </c:cat>
          <c:val>
            <c:numRef>
              <c:f>FFT!$I$5:$I$68</c:f>
              <c:numCache>
                <c:formatCode>General</c:formatCode>
                <c:ptCount val="64"/>
                <c:pt idx="0">
                  <c:v>1656.7</c:v>
                </c:pt>
                <c:pt idx="1">
                  <c:v>122.1518612695226</c:v>
                </c:pt>
                <c:pt idx="2">
                  <c:v>61.858011806523372</c:v>
                </c:pt>
                <c:pt idx="3">
                  <c:v>51.357723231472171</c:v>
                </c:pt>
                <c:pt idx="4">
                  <c:v>17.085682302693503</c:v>
                </c:pt>
                <c:pt idx="5">
                  <c:v>90.298299301177863</c:v>
                </c:pt>
                <c:pt idx="6">
                  <c:v>81.901271098475036</c:v>
                </c:pt>
                <c:pt idx="7">
                  <c:v>53.827471605423007</c:v>
                </c:pt>
                <c:pt idx="8">
                  <c:v>22.84918717697651</c:v>
                </c:pt>
                <c:pt idx="9">
                  <c:v>30.887384046138347</c:v>
                </c:pt>
                <c:pt idx="10">
                  <c:v>24.529399113890793</c:v>
                </c:pt>
                <c:pt idx="11">
                  <c:v>40.933884823557626</c:v>
                </c:pt>
                <c:pt idx="12">
                  <c:v>14.228956216538647</c:v>
                </c:pt>
                <c:pt idx="13">
                  <c:v>24.139221265503977</c:v>
                </c:pt>
                <c:pt idx="14">
                  <c:v>9.977413861740148</c:v>
                </c:pt>
                <c:pt idx="15">
                  <c:v>18.017185314226783</c:v>
                </c:pt>
                <c:pt idx="16">
                  <c:v>6.2649820430708489</c:v>
                </c:pt>
                <c:pt idx="17">
                  <c:v>17.844774428696574</c:v>
                </c:pt>
                <c:pt idx="18">
                  <c:v>16.316523071070044</c:v>
                </c:pt>
                <c:pt idx="19">
                  <c:v>8.8767253144212486</c:v>
                </c:pt>
                <c:pt idx="20">
                  <c:v>8.6632310024307841</c:v>
                </c:pt>
                <c:pt idx="21">
                  <c:v>10.682191363823136</c:v>
                </c:pt>
                <c:pt idx="22">
                  <c:v>18.614003420098523</c:v>
                </c:pt>
                <c:pt idx="23">
                  <c:v>13.580178278318723</c:v>
                </c:pt>
                <c:pt idx="24">
                  <c:v>3.8954647157295819</c:v>
                </c:pt>
                <c:pt idx="25">
                  <c:v>19.611592514106345</c:v>
                </c:pt>
                <c:pt idx="26">
                  <c:v>8.0812104169242254</c:v>
                </c:pt>
                <c:pt idx="27">
                  <c:v>7.4725179274978419</c:v>
                </c:pt>
                <c:pt idx="28">
                  <c:v>16.187794594625068</c:v>
                </c:pt>
                <c:pt idx="29">
                  <c:v>9.191991455842544</c:v>
                </c:pt>
                <c:pt idx="30">
                  <c:v>14.035382049887541</c:v>
                </c:pt>
                <c:pt idx="31">
                  <c:v>14.718853001356546</c:v>
                </c:pt>
                <c:pt idx="32">
                  <c:v>6.5</c:v>
                </c:pt>
                <c:pt idx="33">
                  <c:v>14.718853001356749</c:v>
                </c:pt>
                <c:pt idx="34">
                  <c:v>14.03538204988763</c:v>
                </c:pt>
                <c:pt idx="35">
                  <c:v>9.1919914558424942</c:v>
                </c:pt>
                <c:pt idx="36">
                  <c:v>16.187794594625061</c:v>
                </c:pt>
                <c:pt idx="37">
                  <c:v>7.4725179274978775</c:v>
                </c:pt>
                <c:pt idx="38">
                  <c:v>8.0812104169242929</c:v>
                </c:pt>
                <c:pt idx="39">
                  <c:v>19.611592514106427</c:v>
                </c:pt>
                <c:pt idx="40">
                  <c:v>3.8954647157295814</c:v>
                </c:pt>
                <c:pt idx="41">
                  <c:v>13.580178278318709</c:v>
                </c:pt>
                <c:pt idx="42">
                  <c:v>18.614003420098527</c:v>
                </c:pt>
                <c:pt idx="43">
                  <c:v>10.682191363823124</c:v>
                </c:pt>
                <c:pt idx="44">
                  <c:v>8.6632310024307984</c:v>
                </c:pt>
                <c:pt idx="45">
                  <c:v>8.8767253144212983</c:v>
                </c:pt>
                <c:pt idx="46">
                  <c:v>16.316523071070034</c:v>
                </c:pt>
                <c:pt idx="47">
                  <c:v>17.844774428696564</c:v>
                </c:pt>
                <c:pt idx="48">
                  <c:v>6.2649820430708578</c:v>
                </c:pt>
                <c:pt idx="49">
                  <c:v>18.017185314226783</c:v>
                </c:pt>
                <c:pt idx="50">
                  <c:v>9.9774138617401782</c:v>
                </c:pt>
                <c:pt idx="51">
                  <c:v>24.139221265504069</c:v>
                </c:pt>
                <c:pt idx="52">
                  <c:v>14.22895621653873</c:v>
                </c:pt>
                <c:pt idx="53">
                  <c:v>40.933884823557619</c:v>
                </c:pt>
                <c:pt idx="54">
                  <c:v>24.52939911389084</c:v>
                </c:pt>
                <c:pt idx="55">
                  <c:v>30.887384046138425</c:v>
                </c:pt>
                <c:pt idx="56">
                  <c:v>22.849187176976525</c:v>
                </c:pt>
                <c:pt idx="57">
                  <c:v>53.827471605423156</c:v>
                </c:pt>
                <c:pt idx="58">
                  <c:v>81.901271098475078</c:v>
                </c:pt>
                <c:pt idx="59">
                  <c:v>90.298299301177877</c:v>
                </c:pt>
                <c:pt idx="60">
                  <c:v>17.085682302693506</c:v>
                </c:pt>
                <c:pt idx="61">
                  <c:v>51.357723231472193</c:v>
                </c:pt>
                <c:pt idx="62">
                  <c:v>61.858011806523471</c:v>
                </c:pt>
                <c:pt idx="63">
                  <c:v>122.15186126952256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9-42B8-BC13-C12E53B2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226079"/>
        <c:axId val="1"/>
      </c:lineChart>
      <c:catAx>
        <c:axId val="79622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Period</a:t>
                </a:r>
              </a:p>
            </c:rich>
          </c:tx>
          <c:layout>
            <c:manualLayout>
              <c:xMode val="edge"/>
              <c:yMode val="edge"/>
              <c:x val="0.51318869981587867"/>
              <c:y val="0.885745371138382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4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Intensity</a:t>
                </a:r>
              </a:p>
            </c:rich>
          </c:tx>
          <c:layout>
            <c:manualLayout>
              <c:xMode val="edge"/>
              <c:yMode val="edge"/>
              <c:x val="2.2910209813208866E-2"/>
              <c:y val="0.32620192431709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6079"/>
        <c:crosses val="autoZero"/>
        <c:crossBetween val="midCat"/>
        <c:majorUnit val="2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019425104066624E-2"/>
          <c:y val="7.7628231873539746E-2"/>
          <c:w val="0.75498295288489403"/>
          <c:h val="0.65527360434429138"/>
        </c:manualLayout>
      </c:layout>
      <c:lineChart>
        <c:grouping val="standard"/>
        <c:varyColors val="0"/>
        <c:ser>
          <c:idx val="0"/>
          <c:order val="0"/>
          <c:tx>
            <c:v>Data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Fit!$A$10:$A$81</c:f>
              <c:numCache>
                <c:formatCode>mmm\-yy</c:formatCode>
                <c:ptCount val="72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</c:numCache>
            </c:numRef>
          </c:cat>
          <c:val>
            <c:numRef>
              <c:f>Fit!$B$10:$B$81</c:f>
              <c:numCache>
                <c:formatCode>General</c:formatCode>
                <c:ptCount val="72"/>
                <c:pt idx="0">
                  <c:v>20.9</c:v>
                </c:pt>
                <c:pt idx="1">
                  <c:v>19.399999999999999</c:v>
                </c:pt>
                <c:pt idx="2">
                  <c:v>18.899999999999999</c:v>
                </c:pt>
                <c:pt idx="3">
                  <c:v>20.399999999999999</c:v>
                </c:pt>
                <c:pt idx="4">
                  <c:v>26.3</c:v>
                </c:pt>
                <c:pt idx="5">
                  <c:v>26.4</c:v>
                </c:pt>
                <c:pt idx="6">
                  <c:v>23</c:v>
                </c:pt>
                <c:pt idx="7">
                  <c:v>21.5</c:v>
                </c:pt>
                <c:pt idx="8">
                  <c:v>20.2</c:v>
                </c:pt>
                <c:pt idx="9">
                  <c:v>19.899999999999999</c:v>
                </c:pt>
                <c:pt idx="10">
                  <c:v>18.7</c:v>
                </c:pt>
                <c:pt idx="11">
                  <c:v>20.3</c:v>
                </c:pt>
                <c:pt idx="12">
                  <c:v>19.2</c:v>
                </c:pt>
                <c:pt idx="13">
                  <c:v>21.6</c:v>
                </c:pt>
                <c:pt idx="14">
                  <c:v>23.7</c:v>
                </c:pt>
                <c:pt idx="15">
                  <c:v>24.5</c:v>
                </c:pt>
                <c:pt idx="16">
                  <c:v>29.2</c:v>
                </c:pt>
                <c:pt idx="17">
                  <c:v>32.200000000000003</c:v>
                </c:pt>
                <c:pt idx="18">
                  <c:v>27.2</c:v>
                </c:pt>
                <c:pt idx="19">
                  <c:v>23.2</c:v>
                </c:pt>
                <c:pt idx="20">
                  <c:v>22.5</c:v>
                </c:pt>
                <c:pt idx="21">
                  <c:v>20.399999999999999</c:v>
                </c:pt>
                <c:pt idx="22">
                  <c:v>20.5</c:v>
                </c:pt>
                <c:pt idx="23">
                  <c:v>19.899999999999999</c:v>
                </c:pt>
                <c:pt idx="24">
                  <c:v>23.5</c:v>
                </c:pt>
                <c:pt idx="25">
                  <c:v>22.1</c:v>
                </c:pt>
                <c:pt idx="26">
                  <c:v>24.3</c:v>
                </c:pt>
                <c:pt idx="27">
                  <c:v>25.3</c:v>
                </c:pt>
                <c:pt idx="28">
                  <c:v>27.8</c:v>
                </c:pt>
                <c:pt idx="29">
                  <c:v>29.9</c:v>
                </c:pt>
                <c:pt idx="30">
                  <c:v>25.2</c:v>
                </c:pt>
                <c:pt idx="31">
                  <c:v>23.4</c:v>
                </c:pt>
                <c:pt idx="32">
                  <c:v>21.6</c:v>
                </c:pt>
                <c:pt idx="33">
                  <c:v>22.8</c:v>
                </c:pt>
                <c:pt idx="34">
                  <c:v>23.3</c:v>
                </c:pt>
                <c:pt idx="35">
                  <c:v>23.4</c:v>
                </c:pt>
                <c:pt idx="36">
                  <c:v>21.4</c:v>
                </c:pt>
                <c:pt idx="37">
                  <c:v>25.3</c:v>
                </c:pt>
                <c:pt idx="38">
                  <c:v>28.9</c:v>
                </c:pt>
                <c:pt idx="39">
                  <c:v>28.7</c:v>
                </c:pt>
                <c:pt idx="40">
                  <c:v>35.4</c:v>
                </c:pt>
                <c:pt idx="41">
                  <c:v>32.5</c:v>
                </c:pt>
                <c:pt idx="42">
                  <c:v>31.9</c:v>
                </c:pt>
                <c:pt idx="43">
                  <c:v>28.5</c:v>
                </c:pt>
                <c:pt idx="44">
                  <c:v>25.8</c:v>
                </c:pt>
                <c:pt idx="45">
                  <c:v>24.2</c:v>
                </c:pt>
                <c:pt idx="46">
                  <c:v>23.5</c:v>
                </c:pt>
                <c:pt idx="47">
                  <c:v>24.9</c:v>
                </c:pt>
                <c:pt idx="48">
                  <c:v>27.1</c:v>
                </c:pt>
                <c:pt idx="49">
                  <c:v>26.1</c:v>
                </c:pt>
                <c:pt idx="50">
                  <c:v>28.1</c:v>
                </c:pt>
                <c:pt idx="51">
                  <c:v>33.1</c:v>
                </c:pt>
                <c:pt idx="52">
                  <c:v>38.6</c:v>
                </c:pt>
                <c:pt idx="53">
                  <c:v>36.5</c:v>
                </c:pt>
                <c:pt idx="54">
                  <c:v>34.4</c:v>
                </c:pt>
                <c:pt idx="55">
                  <c:v>33.700000000000003</c:v>
                </c:pt>
                <c:pt idx="56">
                  <c:v>27.7</c:v>
                </c:pt>
                <c:pt idx="57">
                  <c:v>28.1</c:v>
                </c:pt>
                <c:pt idx="58">
                  <c:v>28</c:v>
                </c:pt>
                <c:pt idx="59">
                  <c:v>29.5</c:v>
                </c:pt>
                <c:pt idx="60">
                  <c:v>28.1</c:v>
                </c:pt>
                <c:pt idx="61">
                  <c:v>29.9</c:v>
                </c:pt>
                <c:pt idx="62">
                  <c:v>30.2</c:v>
                </c:pt>
                <c:pt idx="63">
                  <c:v>34</c:v>
                </c:pt>
                <c:pt idx="64">
                  <c:v>42.4</c:v>
                </c:pt>
                <c:pt idx="65">
                  <c:v>36.9</c:v>
                </c:pt>
                <c:pt idx="66">
                  <c:v>34</c:v>
                </c:pt>
                <c:pt idx="67">
                  <c:v>32.5</c:v>
                </c:pt>
                <c:pt idx="68">
                  <c:v>31.6</c:v>
                </c:pt>
                <c:pt idx="69">
                  <c:v>30.8</c:v>
                </c:pt>
                <c:pt idx="70">
                  <c:v>30.1</c:v>
                </c:pt>
                <c:pt idx="71">
                  <c:v>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5-415E-A83B-8ED9BC29FA27}"/>
            </c:ext>
          </c:extLst>
        </c:ser>
        <c:ser>
          <c:idx val="1"/>
          <c:order val="1"/>
          <c:tx>
            <c:v>Fit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Fit!$A$10:$A$81</c:f>
              <c:numCache>
                <c:formatCode>mmm\-yy</c:formatCode>
                <c:ptCount val="72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</c:numCache>
            </c:numRef>
          </c:cat>
          <c:val>
            <c:numRef>
              <c:f>Fit!$D$10:$D$81</c:f>
              <c:numCache>
                <c:formatCode>General</c:formatCode>
                <c:ptCount val="72"/>
                <c:pt idx="0">
                  <c:v>23.500677268108557</c:v>
                </c:pt>
                <c:pt idx="1">
                  <c:v>25.020245817948719</c:v>
                </c:pt>
                <c:pt idx="2">
                  <c:v>27.019145655282713</c:v>
                </c:pt>
                <c:pt idx="3">
                  <c:v>28.958406823206719</c:v>
                </c:pt>
                <c:pt idx="4">
                  <c:v>30.315139935979779</c:v>
                </c:pt>
                <c:pt idx="5">
                  <c:v>30.723524568954424</c:v>
                </c:pt>
                <c:pt idx="6">
                  <c:v>30.073446626404824</c:v>
                </c:pt>
                <c:pt idx="7">
                  <c:v>28.540188768390319</c:v>
                </c:pt>
                <c:pt idx="8">
                  <c:v>26.53716836891936</c:v>
                </c:pt>
                <c:pt idx="9">
                  <c:v>24.604466425657247</c:v>
                </c:pt>
                <c:pt idx="10">
                  <c:v>23.263203738962453</c:v>
                </c:pt>
                <c:pt idx="11">
                  <c:v>22.875029391466732</c:v>
                </c:pt>
                <c:pt idx="12">
                  <c:v>23.544608112954638</c:v>
                </c:pt>
                <c:pt idx="13">
                  <c:v>25.091399184014541</c:v>
                </c:pt>
                <c:pt idx="14">
                  <c:v>27.098336225762612</c:v>
                </c:pt>
                <c:pt idx="15">
                  <c:v>29.024282183356554</c:v>
                </c:pt>
                <c:pt idx="16">
                  <c:v>30.349937895139547</c:v>
                </c:pt>
                <c:pt idx="17">
                  <c:v>30.717862438607973</c:v>
                </c:pt>
                <c:pt idx="18">
                  <c:v>30.028851105435123</c:v>
                </c:pt>
                <c:pt idx="19">
                  <c:v>28.468684294223507</c:v>
                </c:pt>
                <c:pt idx="20">
                  <c:v>26.458034928796575</c:v>
                </c:pt>
                <c:pt idx="21">
                  <c:v>24.539041030075978</c:v>
                </c:pt>
                <c:pt idx="22">
                  <c:v>23.229127253151788</c:v>
                </c:pt>
                <c:pt idx="23">
                  <c:v>22.881489970703782</c:v>
                </c:pt>
                <c:pt idx="24">
                  <c:v>23.589863769948224</c:v>
                </c:pt>
                <c:pt idx="25">
                  <c:v>25.163247486684817</c:v>
                </c:pt>
                <c:pt idx="26">
                  <c:v>27.177404479254861</c:v>
                </c:pt>
                <c:pt idx="27">
                  <c:v>29.089250953659512</c:v>
                </c:pt>
                <c:pt idx="28">
                  <c:v>30.383289438404184</c:v>
                </c:pt>
                <c:pt idx="29">
                  <c:v>30.710604068207232</c:v>
                </c:pt>
                <c:pt idx="30">
                  <c:v>29.982939919723311</c:v>
                </c:pt>
                <c:pt idx="31">
                  <c:v>28.396499477651162</c:v>
                </c:pt>
                <c:pt idx="32">
                  <c:v>26.379039911571883</c:v>
                </c:pt>
                <c:pt idx="33">
                  <c:v>24.474535499273806</c:v>
                </c:pt>
                <c:pt idx="34">
                  <c:v>23.196504047826476</c:v>
                </c:pt>
                <c:pt idx="35">
                  <c:v>22.889545393321242</c:v>
                </c:pt>
                <c:pt idx="36">
                  <c:v>23.636425810335716</c:v>
                </c:pt>
                <c:pt idx="37">
                  <c:v>25.235761468298634</c:v>
                </c:pt>
                <c:pt idx="38">
                  <c:v>27.256318218030867</c:v>
                </c:pt>
                <c:pt idx="39">
                  <c:v>29.153286677899075</c:v>
                </c:pt>
                <c:pt idx="40">
                  <c:v>30.415180984546183</c:v>
                </c:pt>
                <c:pt idx="41">
                  <c:v>30.701752413464881</c:v>
                </c:pt>
                <c:pt idx="42">
                  <c:v>29.935731764963709</c:v>
                </c:pt>
                <c:pt idx="43">
                  <c:v>28.323663713367505</c:v>
                </c:pt>
                <c:pt idx="44">
                  <c:v>26.300215485151039</c:v>
                </c:pt>
                <c:pt idx="45">
                  <c:v>24.410976100829465</c:v>
                </c:pt>
                <c:pt idx="46">
                  <c:v>23.165347407624346</c:v>
                </c:pt>
                <c:pt idx="47">
                  <c:v>22.899192379035306</c:v>
                </c:pt>
                <c:pt idx="48">
                  <c:v>23.684275273385424</c:v>
                </c:pt>
                <c:pt idx="49">
                  <c:v>25.308911600121043</c:v>
                </c:pt>
                <c:pt idx="50">
                  <c:v>27.33504530728263</c:v>
                </c:pt>
                <c:pt idx="51">
                  <c:v>29.216363279808487</c:v>
                </c:pt>
                <c:pt idx="52">
                  <c:v>30.445599546869857</c:v>
                </c:pt>
                <c:pt idx="53">
                  <c:v>30.691311078901883</c:v>
                </c:pt>
                <c:pt idx="54">
                  <c:v>29.887245864995055</c:v>
                </c:pt>
                <c:pt idx="55">
                  <c:v>28.250206661141998</c:v>
                </c:pt>
                <c:pt idx="56">
                  <c:v>26.221593747972751</c:v>
                </c:pt>
                <c:pt idx="57">
                  <c:v>24.348388717043008</c:v>
                </c:pt>
                <c:pt idx="58">
                  <c:v>23.135670019976828</c:v>
                </c:pt>
                <c:pt idx="59">
                  <c:v>22.910426999454824</c:v>
                </c:pt>
                <c:pt idx="60">
                  <c:v>23.733392674108654</c:v>
                </c:pt>
                <c:pt idx="61">
                  <c:v>25.382668094367599</c:v>
                </c:pt>
                <c:pt idx="62">
                  <c:v>27.413553688208541</c:v>
                </c:pt>
                <c:pt idx="63">
                  <c:v>29.27845507368939</c:v>
                </c:pt>
                <c:pt idx="64">
                  <c:v>30.474532738499676</c:v>
                </c:pt>
                <c:pt idx="65">
                  <c:v>30.679284316379661</c:v>
                </c:pt>
                <c:pt idx="66">
                  <c:v>29.837501963972294</c:v>
                </c:pt>
                <c:pt idx="67">
                  <c:v>28.176158233741486</c:v>
                </c:pt>
                <c:pt idx="68">
                  <c:v>26.143206715937762</c:v>
                </c:pt>
                <c:pt idx="69">
                  <c:v>24.286798834396144</c:v>
                </c:pt>
                <c:pt idx="70">
                  <c:v>23.107483969942486</c:v>
                </c:pt>
                <c:pt idx="71">
                  <c:v>22.923244679680977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5-415E-A83B-8ED9BC29F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228079"/>
        <c:axId val="1"/>
      </c:lineChart>
      <c:catAx>
        <c:axId val="79622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5042259631154424"/>
              <c:y val="0.88815829996491058"/>
            </c:manualLayout>
          </c:layout>
          <c:overlay val="0"/>
          <c:spPr>
            <a:noFill/>
            <a:ln w="25400">
              <a:noFill/>
            </a:ln>
          </c:spPr>
        </c:title>
        <c:numFmt formatCode="mmm\-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Usage (kWh/day)</a:t>
                </a:r>
              </a:p>
            </c:rich>
          </c:tx>
          <c:layout>
            <c:manualLayout>
              <c:xMode val="edge"/>
              <c:yMode val="edge"/>
              <c:x val="2.4504856276016656E-2"/>
              <c:y val="0.251150161943805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807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84103010078851"/>
          <c:y val="0.34247749355973417"/>
          <c:w val="0.10735460844731105"/>
          <c:h val="0.11644234781030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0</xdr:row>
      <xdr:rowOff>63500</xdr:rowOff>
    </xdr:from>
    <xdr:to>
      <xdr:col>21</xdr:col>
      <xdr:colOff>57150</xdr:colOff>
      <xdr:row>17</xdr:row>
      <xdr:rowOff>6350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8A195FD8-E327-49EF-ABA8-AA95534B9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0</xdr:row>
      <xdr:rowOff>114300</xdr:rowOff>
    </xdr:from>
    <xdr:to>
      <xdr:col>18</xdr:col>
      <xdr:colOff>38100</xdr:colOff>
      <xdr:row>14</xdr:row>
      <xdr:rowOff>76200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390A0653-A739-4A42-B9DB-232218386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>
      <selection activeCell="A4" sqref="A4"/>
    </sheetView>
  </sheetViews>
  <sheetFormatPr defaultColWidth="8.81640625" defaultRowHeight="12.5" x14ac:dyDescent="0.25"/>
  <sheetData>
    <row r="1" spans="1:7" x14ac:dyDescent="0.25">
      <c r="A1" s="36" t="s">
        <v>0</v>
      </c>
      <c r="B1" s="36"/>
      <c r="C1" s="36"/>
      <c r="D1" s="36"/>
      <c r="E1" s="36"/>
      <c r="F1" s="36"/>
      <c r="G1" s="36"/>
    </row>
    <row r="2" spans="1:7" ht="13" thickBot="1" x14ac:dyDescent="0.3">
      <c r="A2" s="36"/>
      <c r="B2" s="36"/>
      <c r="C2" s="36"/>
      <c r="D2" s="36"/>
      <c r="E2" s="36"/>
      <c r="F2" s="36"/>
      <c r="G2" s="36"/>
    </row>
    <row r="3" spans="1:7" ht="13" thickBot="1" x14ac:dyDescent="0.3">
      <c r="A3" s="37"/>
      <c r="B3" s="38" t="s">
        <v>1</v>
      </c>
      <c r="C3" s="38"/>
      <c r="D3" s="38"/>
      <c r="E3" s="38"/>
      <c r="F3" s="38"/>
      <c r="G3" s="39"/>
    </row>
    <row r="4" spans="1:7" ht="13" thickBot="1" x14ac:dyDescent="0.3">
      <c r="A4" s="37" t="s">
        <v>2</v>
      </c>
      <c r="B4" s="40">
        <v>1990</v>
      </c>
      <c r="C4" s="40">
        <v>1991</v>
      </c>
      <c r="D4" s="40">
        <v>1992</v>
      </c>
      <c r="E4" s="40">
        <v>1993</v>
      </c>
      <c r="F4" s="40">
        <v>1994</v>
      </c>
      <c r="G4" s="41">
        <v>1995</v>
      </c>
    </row>
    <row r="5" spans="1:7" x14ac:dyDescent="0.25">
      <c r="A5" s="42" t="s">
        <v>3</v>
      </c>
      <c r="B5" s="43">
        <v>20.9</v>
      </c>
      <c r="C5" s="43">
        <v>19.2</v>
      </c>
      <c r="D5" s="43">
        <v>23.5</v>
      </c>
      <c r="E5" s="43">
        <v>21.4</v>
      </c>
      <c r="F5" s="43">
        <v>27.1</v>
      </c>
      <c r="G5" s="44">
        <v>28.1</v>
      </c>
    </row>
    <row r="6" spans="1:7" x14ac:dyDescent="0.25">
      <c r="A6" s="42" t="s">
        <v>4</v>
      </c>
      <c r="B6" s="43">
        <v>19.399999999999999</v>
      </c>
      <c r="C6" s="43">
        <v>21.6</v>
      </c>
      <c r="D6" s="43">
        <v>22.1</v>
      </c>
      <c r="E6" s="43">
        <v>25.3</v>
      </c>
      <c r="F6" s="43">
        <v>26.1</v>
      </c>
      <c r="G6" s="44">
        <v>29.9</v>
      </c>
    </row>
    <row r="7" spans="1:7" x14ac:dyDescent="0.25">
      <c r="A7" s="42" t="s">
        <v>5</v>
      </c>
      <c r="B7" s="43">
        <v>18.899999999999999</v>
      </c>
      <c r="C7" s="43">
        <v>23.7</v>
      </c>
      <c r="D7" s="43">
        <v>24.3</v>
      </c>
      <c r="E7" s="43">
        <v>28.9</v>
      </c>
      <c r="F7" s="43">
        <v>28.1</v>
      </c>
      <c r="G7" s="44">
        <v>30.2</v>
      </c>
    </row>
    <row r="8" spans="1:7" x14ac:dyDescent="0.25">
      <c r="A8" s="42" t="s">
        <v>6</v>
      </c>
      <c r="B8" s="43">
        <v>20.399999999999999</v>
      </c>
      <c r="C8" s="43">
        <v>24.5</v>
      </c>
      <c r="D8" s="43">
        <v>25.3</v>
      </c>
      <c r="E8" s="43">
        <v>28.7</v>
      </c>
      <c r="F8" s="43">
        <v>33.1</v>
      </c>
      <c r="G8" s="44">
        <v>34</v>
      </c>
    </row>
    <row r="9" spans="1:7" x14ac:dyDescent="0.25">
      <c r="A9" s="42" t="s">
        <v>7</v>
      </c>
      <c r="B9" s="43">
        <v>26.3</v>
      </c>
      <c r="C9" s="43">
        <v>29.2</v>
      </c>
      <c r="D9" s="43">
        <v>27.8</v>
      </c>
      <c r="E9" s="43">
        <v>35.4</v>
      </c>
      <c r="F9" s="43">
        <v>38.6</v>
      </c>
      <c r="G9" s="44">
        <v>42.4</v>
      </c>
    </row>
    <row r="10" spans="1:7" x14ac:dyDescent="0.25">
      <c r="A10" s="42" t="s">
        <v>8</v>
      </c>
      <c r="B10" s="43">
        <v>26.4</v>
      </c>
      <c r="C10" s="43">
        <v>32.200000000000003</v>
      </c>
      <c r="D10" s="43">
        <v>29.9</v>
      </c>
      <c r="E10" s="43">
        <v>32.5</v>
      </c>
      <c r="F10" s="43">
        <v>36.5</v>
      </c>
      <c r="G10" s="44">
        <v>36.9</v>
      </c>
    </row>
    <row r="11" spans="1:7" x14ac:dyDescent="0.25">
      <c r="A11" s="42" t="s">
        <v>9</v>
      </c>
      <c r="B11" s="43">
        <v>23</v>
      </c>
      <c r="C11" s="43">
        <v>27.2</v>
      </c>
      <c r="D11" s="43">
        <v>25.2</v>
      </c>
      <c r="E11" s="43">
        <v>31.9</v>
      </c>
      <c r="F11" s="43">
        <v>34.4</v>
      </c>
      <c r="G11" s="44">
        <v>34</v>
      </c>
    </row>
    <row r="12" spans="1:7" x14ac:dyDescent="0.25">
      <c r="A12" s="42" t="s">
        <v>10</v>
      </c>
      <c r="B12" s="43">
        <v>21.5</v>
      </c>
      <c r="C12" s="43">
        <v>23.2</v>
      </c>
      <c r="D12" s="43">
        <v>23.4</v>
      </c>
      <c r="E12" s="43">
        <v>28.5</v>
      </c>
      <c r="F12" s="43">
        <v>33.700000000000003</v>
      </c>
      <c r="G12" s="44">
        <v>32.5</v>
      </c>
    </row>
    <row r="13" spans="1:7" x14ac:dyDescent="0.25">
      <c r="A13" s="42" t="s">
        <v>11</v>
      </c>
      <c r="B13" s="43">
        <v>20.2</v>
      </c>
      <c r="C13" s="43">
        <v>22.5</v>
      </c>
      <c r="D13" s="43">
        <v>21.6</v>
      </c>
      <c r="E13" s="43">
        <v>25.8</v>
      </c>
      <c r="F13" s="43">
        <v>27.7</v>
      </c>
      <c r="G13" s="44">
        <v>31.6</v>
      </c>
    </row>
    <row r="14" spans="1:7" x14ac:dyDescent="0.25">
      <c r="A14" s="42" t="s">
        <v>12</v>
      </c>
      <c r="B14" s="43">
        <v>19.899999999999999</v>
      </c>
      <c r="C14" s="43">
        <v>20.399999999999999</v>
      </c>
      <c r="D14" s="43">
        <v>22.8</v>
      </c>
      <c r="E14" s="43">
        <v>24.2</v>
      </c>
      <c r="F14" s="43">
        <v>28.1</v>
      </c>
      <c r="G14" s="44">
        <v>30.8</v>
      </c>
    </row>
    <row r="15" spans="1:7" x14ac:dyDescent="0.25">
      <c r="A15" s="42" t="s">
        <v>13</v>
      </c>
      <c r="B15" s="43">
        <v>18.7</v>
      </c>
      <c r="C15" s="43">
        <v>20.5</v>
      </c>
      <c r="D15" s="43">
        <v>23.3</v>
      </c>
      <c r="E15" s="43">
        <v>23.5</v>
      </c>
      <c r="F15" s="43">
        <v>28</v>
      </c>
      <c r="G15" s="44">
        <v>30.1</v>
      </c>
    </row>
    <row r="16" spans="1:7" ht="13" thickBot="1" x14ac:dyDescent="0.3">
      <c r="A16" s="45" t="s">
        <v>14</v>
      </c>
      <c r="B16" s="46">
        <v>20.3</v>
      </c>
      <c r="C16" s="46">
        <v>19.899999999999999</v>
      </c>
      <c r="D16" s="46">
        <v>23.4</v>
      </c>
      <c r="E16" s="46">
        <v>24.9</v>
      </c>
      <c r="F16" s="46">
        <v>29.5</v>
      </c>
      <c r="G16" s="47">
        <v>33.6</v>
      </c>
    </row>
    <row r="17" spans="1:7" x14ac:dyDescent="0.25">
      <c r="A17" s="48"/>
      <c r="B17" s="36"/>
      <c r="C17" s="36"/>
      <c r="D17" s="36"/>
      <c r="E17" s="36"/>
      <c r="F17" s="36"/>
      <c r="G17" s="36"/>
    </row>
    <row r="18" spans="1:7" x14ac:dyDescent="0.25">
      <c r="A18" s="48"/>
      <c r="B18" s="36"/>
      <c r="C18" s="36"/>
      <c r="D18" s="36"/>
      <c r="E18" s="36"/>
      <c r="F18" s="36"/>
      <c r="G18" s="36"/>
    </row>
    <row r="19" spans="1:7" x14ac:dyDescent="0.25">
      <c r="A19" s="48"/>
      <c r="B19" s="36"/>
      <c r="C19" s="36"/>
      <c r="D19" s="36"/>
      <c r="E19" s="36"/>
      <c r="F19" s="36"/>
      <c r="G19" s="36"/>
    </row>
    <row r="20" spans="1:7" x14ac:dyDescent="0.25">
      <c r="A20" s="48"/>
      <c r="B20" s="36"/>
      <c r="C20" s="36"/>
      <c r="D20" s="36"/>
      <c r="E20" s="36"/>
      <c r="F20" s="36"/>
      <c r="G20" s="36"/>
    </row>
    <row r="21" spans="1:7" x14ac:dyDescent="0.25">
      <c r="A21" s="48"/>
      <c r="B21" s="36"/>
      <c r="C21" s="36"/>
      <c r="D21" s="36"/>
      <c r="E21" s="36"/>
      <c r="F21" s="36"/>
      <c r="G21" s="36"/>
    </row>
    <row r="22" spans="1:7" x14ac:dyDescent="0.25">
      <c r="A22" s="48"/>
      <c r="B22" s="36"/>
      <c r="C22" s="36"/>
      <c r="D22" s="36"/>
      <c r="E22" s="36"/>
      <c r="F22" s="36"/>
      <c r="G22" s="36"/>
    </row>
    <row r="23" spans="1:7" x14ac:dyDescent="0.25">
      <c r="A23" s="48"/>
      <c r="B23" s="36"/>
      <c r="C23" s="36"/>
      <c r="D23" s="36"/>
      <c r="E23" s="36"/>
      <c r="F23" s="36"/>
      <c r="G23" s="36"/>
    </row>
    <row r="24" spans="1:7" x14ac:dyDescent="0.25">
      <c r="A24" s="48"/>
      <c r="B24" s="36"/>
      <c r="C24" s="36"/>
      <c r="D24" s="36"/>
      <c r="E24" s="36"/>
      <c r="F24" s="36"/>
      <c r="G24" s="36"/>
    </row>
    <row r="25" spans="1:7" x14ac:dyDescent="0.25">
      <c r="A25" s="48"/>
      <c r="B25" s="36"/>
      <c r="C25" s="36"/>
      <c r="D25" s="36"/>
      <c r="E25" s="36"/>
      <c r="F25" s="36"/>
      <c r="G25" s="36"/>
    </row>
    <row r="26" spans="1:7" x14ac:dyDescent="0.25">
      <c r="A26" s="48"/>
      <c r="B26" s="36"/>
      <c r="C26" s="36"/>
      <c r="D26" s="36"/>
      <c r="E26" s="36"/>
      <c r="F26" s="36"/>
      <c r="G26" s="36"/>
    </row>
    <row r="27" spans="1:7" x14ac:dyDescent="0.25">
      <c r="A27" s="48"/>
      <c r="B27" s="36"/>
      <c r="C27" s="36"/>
      <c r="D27" s="36"/>
      <c r="E27" s="36"/>
      <c r="F27" s="36"/>
      <c r="G27" s="36"/>
    </row>
    <row r="28" spans="1:7" x14ac:dyDescent="0.25">
      <c r="A28" s="48"/>
      <c r="B28" s="36"/>
      <c r="C28" s="36"/>
      <c r="D28" s="36"/>
      <c r="E28" s="36"/>
      <c r="F28" s="36"/>
      <c r="G28" s="36"/>
    </row>
    <row r="29" spans="1:7" x14ac:dyDescent="0.25">
      <c r="A29" s="48"/>
      <c r="B29" s="36"/>
      <c r="C29" s="36"/>
      <c r="D29" s="36"/>
      <c r="E29" s="36"/>
      <c r="F29" s="36"/>
      <c r="G29" s="36"/>
    </row>
    <row r="30" spans="1:7" x14ac:dyDescent="0.25">
      <c r="A30" s="48"/>
      <c r="B30" s="36"/>
      <c r="C30" s="36"/>
      <c r="D30" s="36"/>
      <c r="E30" s="36"/>
      <c r="F30" s="36"/>
      <c r="G30" s="36"/>
    </row>
    <row r="31" spans="1:7" x14ac:dyDescent="0.25">
      <c r="A31" s="48"/>
      <c r="B31" s="36"/>
      <c r="C31" s="36"/>
      <c r="D31" s="36"/>
      <c r="E31" s="36"/>
      <c r="F31" s="36"/>
      <c r="G31" s="36"/>
    </row>
    <row r="32" spans="1:7" x14ac:dyDescent="0.25">
      <c r="A32" s="48"/>
      <c r="B32" s="36"/>
      <c r="C32" s="36"/>
      <c r="D32" s="36"/>
      <c r="E32" s="36"/>
      <c r="F32" s="36"/>
      <c r="G32" s="36"/>
    </row>
    <row r="33" spans="1:7" x14ac:dyDescent="0.25">
      <c r="A33" s="48"/>
      <c r="B33" s="36"/>
      <c r="C33" s="36"/>
      <c r="D33" s="36"/>
      <c r="E33" s="36"/>
      <c r="F33" s="36"/>
      <c r="G33" s="36"/>
    </row>
    <row r="34" spans="1:7" x14ac:dyDescent="0.25">
      <c r="A34" s="48"/>
      <c r="B34" s="36"/>
      <c r="C34" s="36"/>
      <c r="D34" s="36"/>
      <c r="E34" s="36"/>
      <c r="F34" s="36"/>
      <c r="G34" s="36"/>
    </row>
    <row r="35" spans="1:7" x14ac:dyDescent="0.25">
      <c r="A35" s="48"/>
      <c r="B35" s="36"/>
      <c r="C35" s="36"/>
      <c r="D35" s="36"/>
      <c r="E35" s="36"/>
      <c r="F35" s="36"/>
      <c r="G35" s="36"/>
    </row>
    <row r="36" spans="1:7" x14ac:dyDescent="0.25">
      <c r="A36" s="48"/>
      <c r="B36" s="36"/>
      <c r="C36" s="36"/>
      <c r="D36" s="36"/>
      <c r="E36" s="36"/>
      <c r="F36" s="36"/>
      <c r="G36" s="36"/>
    </row>
    <row r="37" spans="1:7" x14ac:dyDescent="0.25">
      <c r="A37" s="48"/>
      <c r="B37" s="36"/>
      <c r="C37" s="36"/>
      <c r="D37" s="36"/>
      <c r="E37" s="36"/>
      <c r="F37" s="36"/>
      <c r="G37" s="36"/>
    </row>
    <row r="38" spans="1:7" x14ac:dyDescent="0.25">
      <c r="A38" s="48"/>
      <c r="B38" s="36"/>
      <c r="C38" s="36"/>
      <c r="D38" s="36"/>
      <c r="E38" s="36"/>
      <c r="F38" s="36"/>
      <c r="G38" s="36"/>
    </row>
    <row r="39" spans="1:7" x14ac:dyDescent="0.25">
      <c r="A39" s="48"/>
      <c r="B39" s="36"/>
      <c r="C39" s="36"/>
      <c r="D39" s="36"/>
      <c r="E39" s="36"/>
      <c r="F39" s="36"/>
      <c r="G39" s="36"/>
    </row>
    <row r="40" spans="1:7" x14ac:dyDescent="0.25">
      <c r="A40" s="48"/>
      <c r="B40" s="36"/>
      <c r="C40" s="36"/>
      <c r="D40" s="36"/>
      <c r="E40" s="36"/>
      <c r="F40" s="36"/>
      <c r="G40" s="36"/>
    </row>
    <row r="41" spans="1:7" x14ac:dyDescent="0.25">
      <c r="A41" s="48"/>
      <c r="B41" s="36"/>
      <c r="C41" s="36"/>
      <c r="D41" s="36"/>
      <c r="E41" s="36"/>
      <c r="F41" s="36"/>
      <c r="G41" s="36"/>
    </row>
    <row r="42" spans="1:7" x14ac:dyDescent="0.25">
      <c r="A42" s="48"/>
      <c r="B42" s="36"/>
      <c r="C42" s="36"/>
      <c r="D42" s="36"/>
      <c r="E42" s="36"/>
      <c r="F42" s="36"/>
      <c r="G42" s="36"/>
    </row>
    <row r="43" spans="1:7" x14ac:dyDescent="0.25">
      <c r="A43" s="48"/>
      <c r="B43" s="36"/>
      <c r="C43" s="36"/>
      <c r="D43" s="36"/>
      <c r="E43" s="36"/>
      <c r="F43" s="36"/>
      <c r="G43" s="36"/>
    </row>
    <row r="44" spans="1:7" x14ac:dyDescent="0.25">
      <c r="A44" s="48"/>
      <c r="B44" s="36"/>
      <c r="C44" s="36"/>
      <c r="D44" s="36"/>
      <c r="E44" s="36"/>
      <c r="F44" s="36"/>
      <c r="G44" s="36"/>
    </row>
    <row r="45" spans="1:7" x14ac:dyDescent="0.25">
      <c r="A45" s="48"/>
      <c r="B45" s="36"/>
      <c r="C45" s="36"/>
      <c r="D45" s="36"/>
      <c r="E45" s="36"/>
      <c r="F45" s="36"/>
      <c r="G45" s="36"/>
    </row>
    <row r="46" spans="1:7" x14ac:dyDescent="0.25">
      <c r="A46" s="48"/>
      <c r="B46" s="36"/>
      <c r="C46" s="36"/>
      <c r="D46" s="36"/>
      <c r="E46" s="36"/>
      <c r="F46" s="36"/>
      <c r="G46" s="36"/>
    </row>
    <row r="47" spans="1:7" x14ac:dyDescent="0.25">
      <c r="A47" s="48"/>
      <c r="B47" s="36"/>
      <c r="C47" s="36"/>
      <c r="D47" s="36"/>
      <c r="E47" s="36"/>
      <c r="F47" s="36"/>
      <c r="G47" s="36"/>
    </row>
    <row r="48" spans="1:7" x14ac:dyDescent="0.25">
      <c r="A48" s="48"/>
      <c r="B48" s="36"/>
      <c r="C48" s="36"/>
      <c r="D48" s="36"/>
      <c r="E48" s="36"/>
      <c r="F48" s="36"/>
      <c r="G48" s="36"/>
    </row>
    <row r="49" spans="1:7" x14ac:dyDescent="0.25">
      <c r="A49" s="48"/>
      <c r="B49" s="36"/>
      <c r="C49" s="36"/>
      <c r="D49" s="36"/>
      <c r="E49" s="36"/>
      <c r="F49" s="36"/>
      <c r="G49" s="36"/>
    </row>
    <row r="50" spans="1:7" x14ac:dyDescent="0.25">
      <c r="A50" s="48"/>
      <c r="B50" s="36"/>
      <c r="C50" s="36"/>
      <c r="D50" s="36"/>
      <c r="E50" s="36"/>
      <c r="F50" s="36"/>
      <c r="G50" s="36"/>
    </row>
    <row r="51" spans="1:7" x14ac:dyDescent="0.25">
      <c r="A51" s="48"/>
      <c r="B51" s="36"/>
      <c r="C51" s="36"/>
      <c r="D51" s="36"/>
      <c r="E51" s="36"/>
      <c r="F51" s="36"/>
      <c r="G51" s="36"/>
    </row>
    <row r="52" spans="1:7" x14ac:dyDescent="0.25">
      <c r="A52" s="48"/>
      <c r="B52" s="36"/>
      <c r="C52" s="36"/>
      <c r="D52" s="36"/>
      <c r="E52" s="36"/>
      <c r="F52" s="36"/>
      <c r="G52" s="36"/>
    </row>
    <row r="53" spans="1:7" x14ac:dyDescent="0.25">
      <c r="A53" s="48"/>
      <c r="B53" s="36"/>
      <c r="C53" s="36"/>
      <c r="D53" s="36"/>
      <c r="E53" s="36"/>
      <c r="F53" s="36"/>
      <c r="G53" s="36"/>
    </row>
    <row r="54" spans="1:7" x14ac:dyDescent="0.25">
      <c r="A54" s="48"/>
      <c r="B54" s="36"/>
      <c r="C54" s="36"/>
      <c r="D54" s="36"/>
      <c r="E54" s="36"/>
      <c r="F54" s="36"/>
      <c r="G54" s="36"/>
    </row>
    <row r="55" spans="1:7" x14ac:dyDescent="0.25">
      <c r="A55" s="48"/>
      <c r="B55" s="36"/>
      <c r="C55" s="36"/>
      <c r="D55" s="36"/>
      <c r="E55" s="36"/>
      <c r="F55" s="36"/>
      <c r="G55" s="36"/>
    </row>
    <row r="56" spans="1:7" x14ac:dyDescent="0.25">
      <c r="A56" s="48"/>
      <c r="B56" s="36"/>
      <c r="C56" s="36"/>
      <c r="D56" s="36"/>
      <c r="E56" s="36"/>
      <c r="F56" s="36"/>
      <c r="G56" s="36"/>
    </row>
    <row r="57" spans="1:7" x14ac:dyDescent="0.25">
      <c r="A57" s="48"/>
      <c r="B57" s="36"/>
      <c r="C57" s="36"/>
      <c r="D57" s="36"/>
      <c r="E57" s="36"/>
      <c r="F57" s="36"/>
      <c r="G57" s="36"/>
    </row>
    <row r="58" spans="1:7" x14ac:dyDescent="0.25">
      <c r="A58" s="48"/>
      <c r="B58" s="36"/>
      <c r="C58" s="36"/>
      <c r="D58" s="36"/>
      <c r="E58" s="36"/>
      <c r="F58" s="36"/>
      <c r="G58" s="36"/>
    </row>
    <row r="59" spans="1:7" x14ac:dyDescent="0.25">
      <c r="A59" s="48"/>
      <c r="B59" s="36"/>
      <c r="C59" s="36"/>
      <c r="D59" s="36"/>
      <c r="E59" s="36"/>
      <c r="F59" s="36"/>
      <c r="G59" s="36"/>
    </row>
    <row r="60" spans="1:7" x14ac:dyDescent="0.25">
      <c r="A60" s="48"/>
      <c r="B60" s="36"/>
      <c r="C60" s="36"/>
      <c r="D60" s="36"/>
      <c r="E60" s="36"/>
      <c r="F60" s="36"/>
      <c r="G60" s="36"/>
    </row>
    <row r="61" spans="1:7" x14ac:dyDescent="0.25">
      <c r="A61" s="48"/>
      <c r="B61" s="36"/>
      <c r="C61" s="36"/>
      <c r="D61" s="36"/>
      <c r="E61" s="36"/>
      <c r="F61" s="36"/>
      <c r="G61" s="36"/>
    </row>
    <row r="62" spans="1:7" x14ac:dyDescent="0.25">
      <c r="A62" s="48"/>
      <c r="B62" s="36"/>
      <c r="C62" s="36"/>
      <c r="D62" s="36"/>
      <c r="E62" s="36"/>
      <c r="F62" s="36"/>
      <c r="G62" s="36"/>
    </row>
    <row r="63" spans="1:7" x14ac:dyDescent="0.25">
      <c r="A63" s="48"/>
      <c r="B63" s="36"/>
      <c r="C63" s="36"/>
      <c r="D63" s="36"/>
      <c r="E63" s="36"/>
      <c r="F63" s="36"/>
      <c r="G63" s="36"/>
    </row>
    <row r="64" spans="1:7" x14ac:dyDescent="0.25">
      <c r="A64" s="48"/>
      <c r="B64" s="36"/>
      <c r="C64" s="36"/>
      <c r="D64" s="36"/>
      <c r="E64" s="36"/>
      <c r="F64" s="36"/>
      <c r="G64" s="36"/>
    </row>
    <row r="65" spans="1:7" x14ac:dyDescent="0.25">
      <c r="A65" s="48"/>
      <c r="B65" s="36"/>
      <c r="C65" s="36"/>
      <c r="D65" s="36"/>
      <c r="E65" s="36"/>
      <c r="F65" s="36"/>
      <c r="G65" s="36"/>
    </row>
    <row r="66" spans="1:7" x14ac:dyDescent="0.25">
      <c r="A66" s="48"/>
      <c r="B66" s="36"/>
      <c r="C66" s="36"/>
      <c r="D66" s="36"/>
      <c r="E66" s="36"/>
      <c r="F66" s="36"/>
      <c r="G66" s="36"/>
    </row>
    <row r="67" spans="1:7" x14ac:dyDescent="0.25">
      <c r="A67" s="48"/>
      <c r="B67" s="36"/>
      <c r="C67" s="36"/>
      <c r="D67" s="36"/>
      <c r="E67" s="36"/>
      <c r="F67" s="36"/>
      <c r="G67" s="36"/>
    </row>
    <row r="68" spans="1:7" x14ac:dyDescent="0.25">
      <c r="A68" s="48"/>
      <c r="B68" s="36"/>
      <c r="C68" s="36"/>
      <c r="D68" s="36"/>
      <c r="E68" s="36"/>
      <c r="F68" s="36"/>
      <c r="G68" s="36"/>
    </row>
    <row r="69" spans="1:7" x14ac:dyDescent="0.25">
      <c r="A69" s="48"/>
      <c r="B69" s="36"/>
      <c r="C69" s="36"/>
      <c r="D69" s="36"/>
      <c r="E69" s="36"/>
      <c r="F69" s="36"/>
      <c r="G69" s="36"/>
    </row>
    <row r="70" spans="1:7" x14ac:dyDescent="0.25">
      <c r="A70" s="48"/>
      <c r="B70" s="36"/>
      <c r="C70" s="36"/>
      <c r="D70" s="36"/>
      <c r="E70" s="36"/>
      <c r="F70" s="36"/>
      <c r="G70" s="36"/>
    </row>
    <row r="71" spans="1:7" x14ac:dyDescent="0.25">
      <c r="A71" s="48"/>
      <c r="B71" s="36"/>
      <c r="C71" s="36"/>
      <c r="D71" s="36"/>
      <c r="E71" s="36"/>
      <c r="F71" s="36"/>
      <c r="G71" s="36"/>
    </row>
    <row r="72" spans="1:7" x14ac:dyDescent="0.25">
      <c r="A72" s="48"/>
      <c r="B72" s="36"/>
      <c r="C72" s="36"/>
      <c r="D72" s="36"/>
      <c r="E72" s="36"/>
      <c r="F72" s="36"/>
      <c r="G72" s="36"/>
    </row>
    <row r="73" spans="1:7" x14ac:dyDescent="0.25">
      <c r="A73" s="48"/>
      <c r="B73" s="36"/>
      <c r="C73" s="36"/>
      <c r="D73" s="36"/>
      <c r="E73" s="36"/>
      <c r="F73" s="36"/>
      <c r="G73" s="36"/>
    </row>
    <row r="74" spans="1:7" x14ac:dyDescent="0.25">
      <c r="A74" s="48"/>
      <c r="B74" s="36"/>
      <c r="C74" s="36"/>
      <c r="D74" s="36"/>
      <c r="E74" s="36"/>
      <c r="F74" s="36"/>
      <c r="G74" s="36"/>
    </row>
    <row r="75" spans="1:7" x14ac:dyDescent="0.25">
      <c r="A75" s="48"/>
      <c r="B75" s="36"/>
      <c r="C75" s="36"/>
      <c r="D75" s="36"/>
      <c r="E75" s="36"/>
      <c r="F75" s="36"/>
      <c r="G75" s="36"/>
    </row>
    <row r="76" spans="1:7" x14ac:dyDescent="0.25">
      <c r="A76" s="48"/>
      <c r="B76" s="36"/>
      <c r="C76" s="36"/>
      <c r="D76" s="36"/>
      <c r="E76" s="36"/>
      <c r="F76" s="36"/>
      <c r="G76" s="36"/>
    </row>
    <row r="77" spans="1:7" x14ac:dyDescent="0.25">
      <c r="A77" s="48"/>
      <c r="B77" s="36"/>
      <c r="C77" s="36"/>
      <c r="D77" s="36"/>
      <c r="E77" s="36"/>
      <c r="F77" s="36"/>
      <c r="G77" s="36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ColWidth="8.81640625" defaultRowHeight="12.5" x14ac:dyDescent="0.25"/>
  <cols>
    <col min="2" max="2" width="18.7265625" customWidth="1"/>
  </cols>
  <sheetData>
    <row r="1" spans="1:6" x14ac:dyDescent="0.25">
      <c r="A1" t="s">
        <v>0</v>
      </c>
    </row>
    <row r="2" spans="1:6" x14ac:dyDescent="0.25">
      <c r="A2" t="s">
        <v>15</v>
      </c>
    </row>
    <row r="4" spans="1:6" x14ac:dyDescent="0.25">
      <c r="B4" t="s">
        <v>16</v>
      </c>
    </row>
    <row r="6" spans="1:6" ht="13" thickBot="1" x14ac:dyDescent="0.3">
      <c r="B6" t="s">
        <v>17</v>
      </c>
    </row>
    <row r="7" spans="1:6" ht="13" x14ac:dyDescent="0.3"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spans="1:6" x14ac:dyDescent="0.25">
      <c r="B8" s="2">
        <v>1990</v>
      </c>
      <c r="C8" s="2">
        <v>12</v>
      </c>
      <c r="D8" s="2">
        <v>255.9</v>
      </c>
      <c r="E8" s="2">
        <v>21.324999999999999</v>
      </c>
      <c r="F8" s="2">
        <v>6.8365909090909387</v>
      </c>
    </row>
    <row r="9" spans="1:6" x14ac:dyDescent="0.25">
      <c r="B9" s="2">
        <v>1991</v>
      </c>
      <c r="C9" s="2">
        <v>12</v>
      </c>
      <c r="D9" s="2">
        <v>284.10000000000002</v>
      </c>
      <c r="E9" s="2">
        <v>23.675000000000001</v>
      </c>
      <c r="F9" s="2">
        <v>16.118409090909235</v>
      </c>
    </row>
    <row r="10" spans="1:6" x14ac:dyDescent="0.25">
      <c r="B10" s="2">
        <v>1992</v>
      </c>
      <c r="C10" s="2">
        <v>12</v>
      </c>
      <c r="D10" s="2">
        <v>292.60000000000002</v>
      </c>
      <c r="E10" s="2">
        <v>24.383333333333329</v>
      </c>
      <c r="F10" s="2">
        <v>5.7251515151517447</v>
      </c>
    </row>
    <row r="11" spans="1:6" x14ac:dyDescent="0.25">
      <c r="B11" s="2">
        <v>1993</v>
      </c>
      <c r="C11" s="2">
        <v>12</v>
      </c>
      <c r="D11" s="2">
        <v>331</v>
      </c>
      <c r="E11" s="2">
        <v>27.583333333333329</v>
      </c>
      <c r="F11" s="2">
        <v>17.243333333333627</v>
      </c>
    </row>
    <row r="12" spans="1:6" x14ac:dyDescent="0.25">
      <c r="B12" s="2">
        <v>1994</v>
      </c>
      <c r="C12" s="2">
        <v>12</v>
      </c>
      <c r="D12" s="2">
        <v>370.9</v>
      </c>
      <c r="E12" s="2">
        <v>30.908333333333335</v>
      </c>
      <c r="F12" s="2">
        <v>17.213560606060458</v>
      </c>
    </row>
    <row r="13" spans="1:6" ht="13" thickBot="1" x14ac:dyDescent="0.3">
      <c r="B13" s="3">
        <v>1995</v>
      </c>
      <c r="C13" s="3">
        <v>12</v>
      </c>
      <c r="D13" s="3">
        <v>394.1</v>
      </c>
      <c r="E13" s="3">
        <v>32.841666666666676</v>
      </c>
      <c r="F13" s="3">
        <v>14.777196969696227</v>
      </c>
    </row>
    <row r="16" spans="1:6" ht="13" thickBot="1" x14ac:dyDescent="0.3">
      <c r="B16" t="s">
        <v>15</v>
      </c>
    </row>
    <row r="17" spans="1:8" ht="13" x14ac:dyDescent="0.3">
      <c r="A17" s="1"/>
      <c r="B17" s="4" t="s">
        <v>23</v>
      </c>
      <c r="C17" s="4" t="s">
        <v>24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29</v>
      </c>
    </row>
    <row r="18" spans="1:8" x14ac:dyDescent="0.25">
      <c r="A18" s="1"/>
      <c r="B18" s="2" t="s">
        <v>30</v>
      </c>
      <c r="C18" s="2">
        <v>1194.8894444444377</v>
      </c>
      <c r="D18" s="2">
        <v>5</v>
      </c>
      <c r="E18" s="2">
        <v>238.97788888888755</v>
      </c>
      <c r="F18" s="2">
        <v>18.403147983213827</v>
      </c>
      <c r="G18" s="2">
        <v>2.1260420619422508E-11</v>
      </c>
      <c r="H18" s="2">
        <v>2.3538078153251263</v>
      </c>
    </row>
    <row r="19" spans="1:8" x14ac:dyDescent="0.25">
      <c r="A19" s="1"/>
      <c r="B19" s="2" t="s">
        <v>31</v>
      </c>
      <c r="C19" s="2">
        <v>857.05666666666366</v>
      </c>
      <c r="D19" s="2">
        <v>66</v>
      </c>
      <c r="E19" s="2">
        <v>12.985707070707026</v>
      </c>
      <c r="F19" s="2"/>
      <c r="G19" s="2"/>
      <c r="H19" s="2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  <row r="21" spans="1:8" ht="13" thickBot="1" x14ac:dyDescent="0.3">
      <c r="A21" s="1"/>
      <c r="B21" s="3" t="s">
        <v>32</v>
      </c>
      <c r="C21" s="3">
        <v>2051.9461111111013</v>
      </c>
      <c r="D21" s="3">
        <v>71</v>
      </c>
      <c r="E21" s="3"/>
      <c r="F21" s="3"/>
      <c r="G21" s="3"/>
      <c r="H21" s="3"/>
    </row>
    <row r="22" spans="1:8" x14ac:dyDescent="0.25">
      <c r="A22" s="1"/>
    </row>
    <row r="23" spans="1:8" x14ac:dyDescent="0.25">
      <c r="A23" s="1"/>
      <c r="F23">
        <f>E18/E19</f>
        <v>18.403147983213827</v>
      </c>
    </row>
    <row r="24" spans="1:8" x14ac:dyDescent="0.25">
      <c r="A24" s="1"/>
    </row>
    <row r="25" spans="1:8" x14ac:dyDescent="0.25">
      <c r="A25" s="1"/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  <row r="31" spans="1:8" x14ac:dyDescent="0.25">
      <c r="A31" s="1"/>
    </row>
    <row r="32" spans="1:8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ColWidth="8.81640625" defaultRowHeight="12.5" x14ac:dyDescent="0.25"/>
  <sheetData>
    <row r="1" spans="1:8" x14ac:dyDescent="0.25">
      <c r="A1" t="s">
        <v>0</v>
      </c>
    </row>
    <row r="2" spans="1:8" x14ac:dyDescent="0.25">
      <c r="A2" t="s">
        <v>33</v>
      </c>
    </row>
    <row r="3" spans="1:8" ht="13" thickBot="1" x14ac:dyDescent="0.3"/>
    <row r="4" spans="1:8" ht="13" x14ac:dyDescent="0.3">
      <c r="B4" s="4"/>
      <c r="C4" s="4">
        <v>1990</v>
      </c>
      <c r="D4" s="4">
        <v>1991</v>
      </c>
      <c r="E4" s="4">
        <v>1992</v>
      </c>
      <c r="F4" s="4">
        <v>1993</v>
      </c>
      <c r="G4" s="4">
        <v>1994</v>
      </c>
      <c r="H4" s="4">
        <v>1995</v>
      </c>
    </row>
    <row r="5" spans="1:8" x14ac:dyDescent="0.25">
      <c r="B5" s="2">
        <v>1990</v>
      </c>
      <c r="C5" s="2">
        <v>1</v>
      </c>
      <c r="D5" s="2"/>
      <c r="E5" s="2"/>
      <c r="F5" s="2"/>
      <c r="G5" s="2"/>
      <c r="H5" s="2"/>
    </row>
    <row r="6" spans="1:8" x14ac:dyDescent="0.25">
      <c r="B6" s="2">
        <v>1991</v>
      </c>
      <c r="C6" s="2">
        <v>0.86460974994366235</v>
      </c>
      <c r="D6" s="2">
        <v>1</v>
      </c>
      <c r="E6" s="2"/>
      <c r="F6" s="2"/>
      <c r="G6" s="2"/>
      <c r="H6" s="2"/>
    </row>
    <row r="7" spans="1:8" x14ac:dyDescent="0.25">
      <c r="B7" s="2">
        <v>1992</v>
      </c>
      <c r="C7" s="2">
        <v>0.865390762141107</v>
      </c>
      <c r="D7" s="2">
        <v>0.89245731759650149</v>
      </c>
      <c r="E7" s="2">
        <v>1</v>
      </c>
      <c r="F7" s="2"/>
      <c r="G7" s="2"/>
      <c r="H7" s="2"/>
    </row>
    <row r="8" spans="1:8" x14ac:dyDescent="0.25">
      <c r="B8" s="2">
        <v>1993</v>
      </c>
      <c r="C8" s="2">
        <v>0.78977561480000702</v>
      </c>
      <c r="D8" s="2">
        <v>0.92436554668398796</v>
      </c>
      <c r="E8" s="2">
        <v>0.78162181364651429</v>
      </c>
      <c r="F8" s="2">
        <v>1</v>
      </c>
      <c r="G8" s="2"/>
      <c r="H8" s="2"/>
    </row>
    <row r="9" spans="1:8" x14ac:dyDescent="0.25">
      <c r="B9" s="2">
        <v>1994</v>
      </c>
      <c r="C9" s="2">
        <v>0.8826609999924242</v>
      </c>
      <c r="D9" s="2">
        <v>0.85916717536519371</v>
      </c>
      <c r="E9" s="2">
        <v>0.84003571369439145</v>
      </c>
      <c r="F9" s="2">
        <v>0.89387959872871037</v>
      </c>
      <c r="G9" s="2">
        <v>1</v>
      </c>
      <c r="H9" s="2"/>
    </row>
    <row r="10" spans="1:8" ht="13" thickBot="1" x14ac:dyDescent="0.3">
      <c r="B10" s="3">
        <v>1995</v>
      </c>
      <c r="C10" s="3">
        <v>0.84809367499136301</v>
      </c>
      <c r="D10" s="3">
        <v>0.78845458627274256</v>
      </c>
      <c r="E10" s="3">
        <v>0.76527531086517675</v>
      </c>
      <c r="F10" s="3">
        <v>0.86273985166952472</v>
      </c>
      <c r="G10" s="3">
        <v>0.90109147337609075</v>
      </c>
      <c r="H10" s="3">
        <v>1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ColWidth="8.81640625" defaultRowHeight="12.5" x14ac:dyDescent="0.25"/>
  <cols>
    <col min="2" max="2" width="22.453125" customWidth="1"/>
  </cols>
  <sheetData>
    <row r="1" spans="1:13" x14ac:dyDescent="0.25">
      <c r="A1" t="s">
        <v>0</v>
      </c>
    </row>
    <row r="3" spans="1:13" ht="13" thickBot="1" x14ac:dyDescent="0.3">
      <c r="B3" t="s">
        <v>34</v>
      </c>
    </row>
    <row r="4" spans="1:13" ht="13" x14ac:dyDescent="0.3">
      <c r="B4" s="4">
        <v>1990</v>
      </c>
      <c r="C4" s="4"/>
      <c r="D4" s="4">
        <v>1991</v>
      </c>
      <c r="E4" s="4"/>
      <c r="F4" s="4">
        <v>1992</v>
      </c>
      <c r="G4" s="4"/>
      <c r="H4" s="4">
        <v>1993</v>
      </c>
      <c r="I4" s="4"/>
      <c r="J4" s="4">
        <v>1994</v>
      </c>
      <c r="K4" s="4"/>
      <c r="L4" s="4">
        <v>1995</v>
      </c>
      <c r="M4" s="4"/>
    </row>
    <row r="5" spans="1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B6" s="2" t="s">
        <v>35</v>
      </c>
      <c r="C6" s="2">
        <v>21.324999999999999</v>
      </c>
      <c r="D6" s="2" t="s">
        <v>35</v>
      </c>
      <c r="E6" s="2">
        <v>23.675000000000001</v>
      </c>
      <c r="F6" s="2" t="s">
        <v>35</v>
      </c>
      <c r="G6" s="2">
        <v>24.383333333333329</v>
      </c>
      <c r="H6" s="2" t="s">
        <v>35</v>
      </c>
      <c r="I6" s="2">
        <v>27.583333333333329</v>
      </c>
      <c r="J6" s="2" t="s">
        <v>35</v>
      </c>
      <c r="K6" s="2">
        <v>30.908333333333335</v>
      </c>
      <c r="L6" s="2" t="s">
        <v>35</v>
      </c>
      <c r="M6" s="2">
        <v>32.841666666666676</v>
      </c>
    </row>
    <row r="7" spans="1:13" x14ac:dyDescent="0.25">
      <c r="B7" s="2" t="s">
        <v>36</v>
      </c>
      <c r="C7" s="2">
        <v>0.7547952762775556</v>
      </c>
      <c r="D7" s="2" t="s">
        <v>36</v>
      </c>
      <c r="E7" s="2">
        <v>1.1589653823888657</v>
      </c>
      <c r="F7" s="2" t="s">
        <v>36</v>
      </c>
      <c r="G7" s="2">
        <v>0.69072133280794135</v>
      </c>
      <c r="H7" s="2" t="s">
        <v>36</v>
      </c>
      <c r="I7" s="2">
        <v>1.1987261757567778</v>
      </c>
      <c r="J7" s="2" t="s">
        <v>36</v>
      </c>
      <c r="K7" s="2">
        <v>1.1976908548696412</v>
      </c>
      <c r="L7" s="2" t="s">
        <v>36</v>
      </c>
      <c r="M7" s="2">
        <v>1.1096995452860288</v>
      </c>
    </row>
    <row r="8" spans="1:13" x14ac:dyDescent="0.25">
      <c r="B8" s="2" t="s">
        <v>37</v>
      </c>
      <c r="C8" s="2">
        <v>20.350000000000001</v>
      </c>
      <c r="D8" s="2" t="s">
        <v>37</v>
      </c>
      <c r="E8" s="2">
        <v>22.85</v>
      </c>
      <c r="F8" s="2" t="s">
        <v>37</v>
      </c>
      <c r="G8" s="2">
        <v>23.45</v>
      </c>
      <c r="H8" s="2" t="s">
        <v>37</v>
      </c>
      <c r="I8" s="2">
        <v>27.15</v>
      </c>
      <c r="J8" s="2" t="s">
        <v>37</v>
      </c>
      <c r="K8" s="2">
        <v>28.8</v>
      </c>
      <c r="L8" s="2" t="s">
        <v>37</v>
      </c>
      <c r="M8" s="2">
        <v>32.049999999999997</v>
      </c>
    </row>
    <row r="9" spans="1:13" x14ac:dyDescent="0.25">
      <c r="B9" s="2" t="s">
        <v>38</v>
      </c>
      <c r="C9" s="2" t="e">
        <v>#N/A</v>
      </c>
      <c r="D9" s="2" t="s">
        <v>38</v>
      </c>
      <c r="E9" s="2" t="e">
        <v>#N/A</v>
      </c>
      <c r="F9" s="2" t="s">
        <v>38</v>
      </c>
      <c r="G9" s="2">
        <v>23.4</v>
      </c>
      <c r="H9" s="2" t="s">
        <v>38</v>
      </c>
      <c r="I9" s="2" t="e">
        <v>#N/A</v>
      </c>
      <c r="J9" s="2" t="s">
        <v>38</v>
      </c>
      <c r="K9" s="2">
        <v>28.1</v>
      </c>
      <c r="L9" s="2" t="s">
        <v>38</v>
      </c>
      <c r="M9" s="2">
        <v>34</v>
      </c>
    </row>
    <row r="10" spans="1:13" x14ac:dyDescent="0.25">
      <c r="B10" s="2" t="s">
        <v>39</v>
      </c>
      <c r="C10" s="2">
        <v>2.6146875356514281</v>
      </c>
      <c r="D10" s="2" t="s">
        <v>39</v>
      </c>
      <c r="E10" s="2">
        <v>4.0147738530220147</v>
      </c>
      <c r="F10" s="2" t="s">
        <v>39</v>
      </c>
      <c r="G10" s="2">
        <v>2.3927288845900918</v>
      </c>
      <c r="H10" s="2" t="s">
        <v>39</v>
      </c>
      <c r="I10" s="2">
        <v>4.1525092815469575</v>
      </c>
      <c r="J10" s="2" t="s">
        <v>39</v>
      </c>
      <c r="K10" s="2">
        <v>4.1489228247896417</v>
      </c>
      <c r="L10" s="2" t="s">
        <v>39</v>
      </c>
      <c r="M10" s="2">
        <v>3.8441119871429641</v>
      </c>
    </row>
    <row r="11" spans="1:13" x14ac:dyDescent="0.25">
      <c r="B11" s="2" t="s">
        <v>40</v>
      </c>
      <c r="C11" s="2">
        <v>6.8365909090909387</v>
      </c>
      <c r="D11" s="2" t="s">
        <v>40</v>
      </c>
      <c r="E11" s="2">
        <v>16.118409090909235</v>
      </c>
      <c r="F11" s="2" t="s">
        <v>40</v>
      </c>
      <c r="G11" s="2">
        <v>5.7251515151517447</v>
      </c>
      <c r="H11" s="2" t="s">
        <v>40</v>
      </c>
      <c r="I11" s="2">
        <v>17.243333333333627</v>
      </c>
      <c r="J11" s="2" t="s">
        <v>40</v>
      </c>
      <c r="K11" s="2">
        <v>17.213560606060458</v>
      </c>
      <c r="L11" s="2" t="s">
        <v>40</v>
      </c>
      <c r="M11" s="2">
        <v>14.777196969696227</v>
      </c>
    </row>
    <row r="12" spans="1:13" x14ac:dyDescent="0.25">
      <c r="B12" s="2" t="s">
        <v>41</v>
      </c>
      <c r="C12" s="2">
        <v>0.64349235334379795</v>
      </c>
      <c r="D12" s="2" t="s">
        <v>41</v>
      </c>
      <c r="E12" s="2">
        <v>0.33948052067374945</v>
      </c>
      <c r="F12" s="2" t="s">
        <v>41</v>
      </c>
      <c r="G12" s="2">
        <v>1.5479641551614369</v>
      </c>
      <c r="H12" s="2" t="s">
        <v>41</v>
      </c>
      <c r="I12" s="2">
        <v>-0.51962698813927588</v>
      </c>
      <c r="J12" s="2" t="s">
        <v>41</v>
      </c>
      <c r="K12" s="2">
        <v>-0.96969551393322595</v>
      </c>
      <c r="L12" s="2" t="s">
        <v>41</v>
      </c>
      <c r="M12" s="2">
        <v>2.6975347183802976</v>
      </c>
    </row>
    <row r="13" spans="1:13" x14ac:dyDescent="0.25">
      <c r="B13" s="2" t="s">
        <v>42</v>
      </c>
      <c r="C13" s="2">
        <v>1.2987041658298113</v>
      </c>
      <c r="D13" s="2" t="s">
        <v>42</v>
      </c>
      <c r="E13" s="2">
        <v>1.0306438700984528</v>
      </c>
      <c r="F13" s="2" t="s">
        <v>42</v>
      </c>
      <c r="G13" s="2">
        <v>1.3362312837484194</v>
      </c>
      <c r="H13" s="2" t="s">
        <v>42</v>
      </c>
      <c r="I13" s="2">
        <v>0.45891443504927892</v>
      </c>
      <c r="J13" s="2" t="s">
        <v>42</v>
      </c>
      <c r="K13" s="2">
        <v>0.66235842138771561</v>
      </c>
      <c r="L13" s="2" t="s">
        <v>42</v>
      </c>
      <c r="M13" s="2">
        <v>1.463526999786829</v>
      </c>
    </row>
    <row r="14" spans="1:13" x14ac:dyDescent="0.25">
      <c r="B14" s="2" t="s">
        <v>43</v>
      </c>
      <c r="C14" s="2">
        <v>7.7</v>
      </c>
      <c r="D14" s="2" t="s">
        <v>43</v>
      </c>
      <c r="E14" s="2">
        <v>13</v>
      </c>
      <c r="F14" s="2" t="s">
        <v>43</v>
      </c>
      <c r="G14" s="2">
        <v>8.3000000000000007</v>
      </c>
      <c r="H14" s="2" t="s">
        <v>43</v>
      </c>
      <c r="I14" s="2">
        <v>14</v>
      </c>
      <c r="J14" s="2" t="s">
        <v>43</v>
      </c>
      <c r="K14" s="2">
        <v>12.5</v>
      </c>
      <c r="L14" s="2" t="s">
        <v>43</v>
      </c>
      <c r="M14" s="2">
        <v>14.3</v>
      </c>
    </row>
    <row r="15" spans="1:13" x14ac:dyDescent="0.25">
      <c r="B15" s="2" t="s">
        <v>44</v>
      </c>
      <c r="C15" s="2">
        <v>18.7</v>
      </c>
      <c r="D15" s="2" t="s">
        <v>44</v>
      </c>
      <c r="E15" s="2">
        <v>19.2</v>
      </c>
      <c r="F15" s="2" t="s">
        <v>44</v>
      </c>
      <c r="G15" s="2">
        <v>21.6</v>
      </c>
      <c r="H15" s="2" t="s">
        <v>44</v>
      </c>
      <c r="I15" s="2">
        <v>21.4</v>
      </c>
      <c r="J15" s="2" t="s">
        <v>44</v>
      </c>
      <c r="K15" s="2">
        <v>26.1</v>
      </c>
      <c r="L15" s="2" t="s">
        <v>44</v>
      </c>
      <c r="M15" s="2">
        <v>28.1</v>
      </c>
    </row>
    <row r="16" spans="1:13" x14ac:dyDescent="0.25">
      <c r="B16" s="2" t="s">
        <v>45</v>
      </c>
      <c r="C16" s="2">
        <v>26.4</v>
      </c>
      <c r="D16" s="2" t="s">
        <v>45</v>
      </c>
      <c r="E16" s="2">
        <v>32.200000000000003</v>
      </c>
      <c r="F16" s="2" t="s">
        <v>45</v>
      </c>
      <c r="G16" s="2">
        <v>29.9</v>
      </c>
      <c r="H16" s="2" t="s">
        <v>45</v>
      </c>
      <c r="I16" s="2">
        <v>35.4</v>
      </c>
      <c r="J16" s="2" t="s">
        <v>45</v>
      </c>
      <c r="K16" s="2">
        <v>38.6</v>
      </c>
      <c r="L16" s="2" t="s">
        <v>45</v>
      </c>
      <c r="M16" s="2">
        <v>42.4</v>
      </c>
    </row>
    <row r="17" spans="2:13" x14ac:dyDescent="0.25">
      <c r="B17" s="2" t="s">
        <v>20</v>
      </c>
      <c r="C17" s="2">
        <v>255.9</v>
      </c>
      <c r="D17" s="2" t="s">
        <v>20</v>
      </c>
      <c r="E17" s="2">
        <v>284.10000000000002</v>
      </c>
      <c r="F17" s="2" t="s">
        <v>20</v>
      </c>
      <c r="G17" s="2">
        <v>292.60000000000002</v>
      </c>
      <c r="H17" s="2" t="s">
        <v>20</v>
      </c>
      <c r="I17" s="2">
        <v>331</v>
      </c>
      <c r="J17" s="2" t="s">
        <v>20</v>
      </c>
      <c r="K17" s="2">
        <v>370.9</v>
      </c>
      <c r="L17" s="2" t="s">
        <v>20</v>
      </c>
      <c r="M17" s="2">
        <v>394.1</v>
      </c>
    </row>
    <row r="18" spans="2:13" x14ac:dyDescent="0.25">
      <c r="B18" s="2" t="s">
        <v>19</v>
      </c>
      <c r="C18" s="2">
        <v>12</v>
      </c>
      <c r="D18" s="2" t="s">
        <v>19</v>
      </c>
      <c r="E18" s="2">
        <v>12</v>
      </c>
      <c r="F18" s="2" t="s">
        <v>19</v>
      </c>
      <c r="G18" s="2">
        <v>12</v>
      </c>
      <c r="H18" s="2" t="s">
        <v>19</v>
      </c>
      <c r="I18" s="2">
        <v>12</v>
      </c>
      <c r="J18" s="2" t="s">
        <v>19</v>
      </c>
      <c r="K18" s="2">
        <v>12</v>
      </c>
      <c r="L18" s="2" t="s">
        <v>19</v>
      </c>
      <c r="M18" s="2">
        <v>12</v>
      </c>
    </row>
    <row r="19" spans="2:13" x14ac:dyDescent="0.25">
      <c r="B19" s="2" t="s">
        <v>46</v>
      </c>
      <c r="C19" s="2">
        <v>26.4</v>
      </c>
      <c r="D19" s="2" t="s">
        <v>46</v>
      </c>
      <c r="E19" s="2">
        <v>32.200000000000003</v>
      </c>
      <c r="F19" s="2" t="s">
        <v>46</v>
      </c>
      <c r="G19" s="2">
        <v>29.9</v>
      </c>
      <c r="H19" s="2" t="s">
        <v>46</v>
      </c>
      <c r="I19" s="2">
        <v>35.4</v>
      </c>
      <c r="J19" s="2" t="s">
        <v>46</v>
      </c>
      <c r="K19" s="2">
        <v>38.6</v>
      </c>
      <c r="L19" s="2" t="s">
        <v>46</v>
      </c>
      <c r="M19" s="2">
        <v>42.4</v>
      </c>
    </row>
    <row r="20" spans="2:13" x14ac:dyDescent="0.25">
      <c r="B20" s="2" t="s">
        <v>47</v>
      </c>
      <c r="C20" s="2">
        <v>18.7</v>
      </c>
      <c r="D20" s="2" t="s">
        <v>47</v>
      </c>
      <c r="E20" s="2">
        <v>19.2</v>
      </c>
      <c r="F20" s="2" t="s">
        <v>47</v>
      </c>
      <c r="G20" s="2">
        <v>21.6</v>
      </c>
      <c r="H20" s="2" t="s">
        <v>47</v>
      </c>
      <c r="I20" s="2">
        <v>21.4</v>
      </c>
      <c r="J20" s="2" t="s">
        <v>47</v>
      </c>
      <c r="K20" s="2">
        <v>26.1</v>
      </c>
      <c r="L20" s="2" t="s">
        <v>47</v>
      </c>
      <c r="M20" s="2">
        <v>28.1</v>
      </c>
    </row>
    <row r="21" spans="2:13" ht="13" thickBot="1" x14ac:dyDescent="0.3">
      <c r="B21" s="3" t="s">
        <v>48</v>
      </c>
      <c r="C21" s="3">
        <v>1.6612940421914093</v>
      </c>
      <c r="D21" s="3" t="s">
        <v>48</v>
      </c>
      <c r="E21" s="3">
        <v>2.5508668977953484</v>
      </c>
      <c r="F21" s="3" t="s">
        <v>48</v>
      </c>
      <c r="G21" s="3">
        <v>1.5202681721425926</v>
      </c>
      <c r="H21" s="3" t="s">
        <v>48</v>
      </c>
      <c r="I21" s="3">
        <v>2.6383798582111555</v>
      </c>
      <c r="J21" s="3" t="s">
        <v>48</v>
      </c>
      <c r="K21" s="3">
        <v>2.6361011311501721</v>
      </c>
      <c r="L21" s="3" t="s">
        <v>48</v>
      </c>
      <c r="M21" s="3">
        <v>2.4424334665924494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ColWidth="8.81640625" defaultRowHeight="12.5" x14ac:dyDescent="0.25"/>
  <cols>
    <col min="1" max="1" width="4.26953125" customWidth="1"/>
    <col min="3" max="3" width="27.81640625" customWidth="1"/>
    <col min="9" max="9" width="10.7265625" customWidth="1"/>
    <col min="10" max="10" width="10.26953125" customWidth="1"/>
  </cols>
  <sheetData>
    <row r="1" spans="1:11" ht="13" thickBot="1" x14ac:dyDescent="0.3">
      <c r="A1" t="s">
        <v>0</v>
      </c>
    </row>
    <row r="2" spans="1:11" ht="13" thickBot="1" x14ac:dyDescent="0.3">
      <c r="I2" s="32" t="s">
        <v>49</v>
      </c>
      <c r="J2" s="14">
        <v>64</v>
      </c>
    </row>
    <row r="3" spans="1:11" ht="13" thickBot="1" x14ac:dyDescent="0.3"/>
    <row r="4" spans="1:11" ht="13" thickBot="1" x14ac:dyDescent="0.3">
      <c r="B4" s="13" t="s">
        <v>50</v>
      </c>
      <c r="C4" s="21" t="s">
        <v>1</v>
      </c>
      <c r="D4" s="33" t="s">
        <v>51</v>
      </c>
      <c r="E4" s="13" t="s">
        <v>52</v>
      </c>
      <c r="F4" s="16"/>
      <c r="G4" s="16"/>
      <c r="H4" s="17"/>
      <c r="I4" s="15" t="s">
        <v>53</v>
      </c>
      <c r="J4" s="15" t="s">
        <v>54</v>
      </c>
      <c r="K4" s="15" t="s">
        <v>55</v>
      </c>
    </row>
    <row r="5" spans="1:11" x14ac:dyDescent="0.25">
      <c r="B5" s="20">
        <v>33117</v>
      </c>
      <c r="C5" s="7">
        <v>20.9</v>
      </c>
      <c r="D5" s="29">
        <v>0</v>
      </c>
      <c r="E5" s="5" t="s">
        <v>56</v>
      </c>
      <c r="F5" s="6"/>
      <c r="G5" s="6"/>
      <c r="H5" s="7"/>
      <c r="I5" s="29">
        <f t="shared" ref="I5:I36" si="0">IMABS(E5)</f>
        <v>1656.7</v>
      </c>
      <c r="J5" s="29">
        <v>0</v>
      </c>
      <c r="K5" s="29" t="s">
        <v>57</v>
      </c>
    </row>
    <row r="6" spans="1:11" x14ac:dyDescent="0.25">
      <c r="B6" s="18">
        <v>33147</v>
      </c>
      <c r="C6" s="10">
        <v>19.399999999999999</v>
      </c>
      <c r="D6" s="30">
        <v>1</v>
      </c>
      <c r="E6" s="8" t="s">
        <v>58</v>
      </c>
      <c r="F6" s="9"/>
      <c r="G6" s="9"/>
      <c r="H6" s="10"/>
      <c r="I6" s="30">
        <f t="shared" si="0"/>
        <v>122.1518612695226</v>
      </c>
      <c r="J6" s="30">
        <f>D6/$J$2</f>
        <v>1.5625E-2</v>
      </c>
      <c r="K6" s="34">
        <f t="shared" ref="K6:K21" si="1">1/J6</f>
        <v>64</v>
      </c>
    </row>
    <row r="7" spans="1:11" x14ac:dyDescent="0.25">
      <c r="B7" s="18">
        <v>33178</v>
      </c>
      <c r="C7" s="10">
        <v>18.899999999999999</v>
      </c>
      <c r="D7" s="30">
        <v>2</v>
      </c>
      <c r="E7" s="8" t="s">
        <v>59</v>
      </c>
      <c r="F7" s="9"/>
      <c r="G7" s="9"/>
      <c r="H7" s="10"/>
      <c r="I7" s="30">
        <f t="shared" si="0"/>
        <v>61.858011806523372</v>
      </c>
      <c r="J7" s="30">
        <f t="shared" ref="J7:J22" si="2">D7/$J$2</f>
        <v>3.125E-2</v>
      </c>
      <c r="K7" s="34">
        <f t="shared" si="1"/>
        <v>32</v>
      </c>
    </row>
    <row r="8" spans="1:11" x14ac:dyDescent="0.25">
      <c r="B8" s="18">
        <v>33208</v>
      </c>
      <c r="C8" s="10">
        <v>20.399999999999999</v>
      </c>
      <c r="D8" s="30">
        <v>3</v>
      </c>
      <c r="E8" s="8" t="s">
        <v>60</v>
      </c>
      <c r="F8" s="9"/>
      <c r="G8" s="9"/>
      <c r="H8" s="10"/>
      <c r="I8" s="30">
        <f t="shared" si="0"/>
        <v>51.357723231472171</v>
      </c>
      <c r="J8" s="30">
        <f t="shared" si="2"/>
        <v>4.6875E-2</v>
      </c>
      <c r="K8" s="34">
        <f t="shared" si="1"/>
        <v>21.333333333333332</v>
      </c>
    </row>
    <row r="9" spans="1:11" x14ac:dyDescent="0.25">
      <c r="B9" s="18">
        <v>33239</v>
      </c>
      <c r="C9" s="10">
        <v>26.3</v>
      </c>
      <c r="D9" s="30">
        <v>4</v>
      </c>
      <c r="E9" s="8" t="s">
        <v>61</v>
      </c>
      <c r="F9" s="9"/>
      <c r="G9" s="9"/>
      <c r="H9" s="10"/>
      <c r="I9" s="30">
        <f t="shared" si="0"/>
        <v>17.085682302693503</v>
      </c>
      <c r="J9" s="30">
        <f t="shared" si="2"/>
        <v>6.25E-2</v>
      </c>
      <c r="K9" s="34">
        <f t="shared" si="1"/>
        <v>16</v>
      </c>
    </row>
    <row r="10" spans="1:11" x14ac:dyDescent="0.25">
      <c r="B10" s="18">
        <v>33270</v>
      </c>
      <c r="C10" s="10">
        <v>26.4</v>
      </c>
      <c r="D10" s="30">
        <v>5</v>
      </c>
      <c r="E10" s="8" t="s">
        <v>62</v>
      </c>
      <c r="F10" s="9"/>
      <c r="G10" s="9"/>
      <c r="H10" s="10"/>
      <c r="I10" s="30">
        <f t="shared" si="0"/>
        <v>90.298299301177863</v>
      </c>
      <c r="J10" s="30">
        <f t="shared" si="2"/>
        <v>7.8125E-2</v>
      </c>
      <c r="K10" s="34">
        <f t="shared" si="1"/>
        <v>12.8</v>
      </c>
    </row>
    <row r="11" spans="1:11" x14ac:dyDescent="0.25">
      <c r="B11" s="18">
        <v>33298</v>
      </c>
      <c r="C11" s="10">
        <v>23</v>
      </c>
      <c r="D11" s="30">
        <v>6</v>
      </c>
      <c r="E11" s="8" t="s">
        <v>63</v>
      </c>
      <c r="F11" s="9"/>
      <c r="G11" s="9"/>
      <c r="H11" s="10"/>
      <c r="I11" s="30">
        <f t="shared" si="0"/>
        <v>81.901271098475036</v>
      </c>
      <c r="J11" s="30">
        <f t="shared" si="2"/>
        <v>9.375E-2</v>
      </c>
      <c r="K11" s="34">
        <f t="shared" si="1"/>
        <v>10.666666666666666</v>
      </c>
    </row>
    <row r="12" spans="1:11" x14ac:dyDescent="0.25">
      <c r="B12" s="18">
        <v>33329</v>
      </c>
      <c r="C12" s="10">
        <v>21.5</v>
      </c>
      <c r="D12" s="30">
        <v>7</v>
      </c>
      <c r="E12" s="8" t="s">
        <v>64</v>
      </c>
      <c r="F12" s="9"/>
      <c r="G12" s="9"/>
      <c r="H12" s="10"/>
      <c r="I12" s="30">
        <f t="shared" si="0"/>
        <v>53.827471605423007</v>
      </c>
      <c r="J12" s="30">
        <f t="shared" si="2"/>
        <v>0.109375</v>
      </c>
      <c r="K12" s="34">
        <f t="shared" si="1"/>
        <v>9.1428571428571423</v>
      </c>
    </row>
    <row r="13" spans="1:11" x14ac:dyDescent="0.25">
      <c r="B13" s="18">
        <v>33359</v>
      </c>
      <c r="C13" s="10">
        <v>20.2</v>
      </c>
      <c r="D13" s="30">
        <v>8</v>
      </c>
      <c r="E13" s="8" t="s">
        <v>65</v>
      </c>
      <c r="F13" s="9"/>
      <c r="G13" s="9"/>
      <c r="H13" s="10"/>
      <c r="I13" s="30">
        <f t="shared" si="0"/>
        <v>22.84918717697651</v>
      </c>
      <c r="J13" s="30">
        <f t="shared" si="2"/>
        <v>0.125</v>
      </c>
      <c r="K13" s="34">
        <f t="shared" si="1"/>
        <v>8</v>
      </c>
    </row>
    <row r="14" spans="1:11" x14ac:dyDescent="0.25">
      <c r="B14" s="18">
        <v>33390</v>
      </c>
      <c r="C14" s="10">
        <v>19.899999999999999</v>
      </c>
      <c r="D14" s="30">
        <v>9</v>
      </c>
      <c r="E14" s="8" t="s">
        <v>66</v>
      </c>
      <c r="F14" s="9"/>
      <c r="G14" s="9"/>
      <c r="H14" s="10"/>
      <c r="I14" s="30">
        <f t="shared" si="0"/>
        <v>30.887384046138347</v>
      </c>
      <c r="J14" s="30">
        <f t="shared" si="2"/>
        <v>0.140625</v>
      </c>
      <c r="K14" s="34">
        <f t="shared" si="1"/>
        <v>7.1111111111111107</v>
      </c>
    </row>
    <row r="15" spans="1:11" x14ac:dyDescent="0.25">
      <c r="B15" s="18">
        <v>33420</v>
      </c>
      <c r="C15" s="10">
        <v>18.7</v>
      </c>
      <c r="D15" s="30">
        <v>10</v>
      </c>
      <c r="E15" s="8" t="s">
        <v>67</v>
      </c>
      <c r="F15" s="9"/>
      <c r="G15" s="9"/>
      <c r="H15" s="10"/>
      <c r="I15" s="30">
        <f t="shared" si="0"/>
        <v>24.529399113890793</v>
      </c>
      <c r="J15" s="30">
        <f t="shared" si="2"/>
        <v>0.15625</v>
      </c>
      <c r="K15" s="34">
        <f t="shared" si="1"/>
        <v>6.4</v>
      </c>
    </row>
    <row r="16" spans="1:11" x14ac:dyDescent="0.25">
      <c r="B16" s="18">
        <v>33451</v>
      </c>
      <c r="C16" s="10">
        <v>20.3</v>
      </c>
      <c r="D16" s="30">
        <v>11</v>
      </c>
      <c r="E16" s="8" t="s">
        <v>68</v>
      </c>
      <c r="F16" s="9"/>
      <c r="G16" s="9"/>
      <c r="H16" s="10"/>
      <c r="I16" s="30">
        <f t="shared" si="0"/>
        <v>40.933884823557626</v>
      </c>
      <c r="J16" s="30">
        <f t="shared" si="2"/>
        <v>0.171875</v>
      </c>
      <c r="K16" s="34">
        <f t="shared" si="1"/>
        <v>5.8181818181818183</v>
      </c>
    </row>
    <row r="17" spans="2:11" x14ac:dyDescent="0.25">
      <c r="B17" s="18">
        <v>33482</v>
      </c>
      <c r="C17" s="10">
        <v>19.2</v>
      </c>
      <c r="D17" s="30">
        <v>12</v>
      </c>
      <c r="E17" s="8" t="s">
        <v>69</v>
      </c>
      <c r="F17" s="9"/>
      <c r="G17" s="9"/>
      <c r="H17" s="10"/>
      <c r="I17" s="30">
        <f t="shared" si="0"/>
        <v>14.228956216538647</v>
      </c>
      <c r="J17" s="30">
        <f t="shared" si="2"/>
        <v>0.1875</v>
      </c>
      <c r="K17" s="34">
        <f t="shared" si="1"/>
        <v>5.333333333333333</v>
      </c>
    </row>
    <row r="18" spans="2:11" x14ac:dyDescent="0.25">
      <c r="B18" s="18">
        <v>33512</v>
      </c>
      <c r="C18" s="10">
        <v>21.6</v>
      </c>
      <c r="D18" s="30">
        <v>13</v>
      </c>
      <c r="E18" s="8" t="s">
        <v>70</v>
      </c>
      <c r="F18" s="9"/>
      <c r="G18" s="9"/>
      <c r="H18" s="10"/>
      <c r="I18" s="30">
        <f t="shared" si="0"/>
        <v>24.139221265503977</v>
      </c>
      <c r="J18" s="30">
        <f t="shared" si="2"/>
        <v>0.203125</v>
      </c>
      <c r="K18" s="34">
        <f t="shared" si="1"/>
        <v>4.9230769230769234</v>
      </c>
    </row>
    <row r="19" spans="2:11" x14ac:dyDescent="0.25">
      <c r="B19" s="18">
        <v>33543</v>
      </c>
      <c r="C19" s="10">
        <v>23.7</v>
      </c>
      <c r="D19" s="30">
        <v>14</v>
      </c>
      <c r="E19" s="8" t="s">
        <v>71</v>
      </c>
      <c r="F19" s="9"/>
      <c r="G19" s="9"/>
      <c r="H19" s="10"/>
      <c r="I19" s="30">
        <f t="shared" si="0"/>
        <v>9.977413861740148</v>
      </c>
      <c r="J19" s="30">
        <f t="shared" si="2"/>
        <v>0.21875</v>
      </c>
      <c r="K19" s="34">
        <f t="shared" si="1"/>
        <v>4.5714285714285712</v>
      </c>
    </row>
    <row r="20" spans="2:11" x14ac:dyDescent="0.25">
      <c r="B20" s="18">
        <v>33573</v>
      </c>
      <c r="C20" s="10">
        <v>24.5</v>
      </c>
      <c r="D20" s="30">
        <v>15</v>
      </c>
      <c r="E20" s="8" t="s">
        <v>72</v>
      </c>
      <c r="F20" s="9"/>
      <c r="G20" s="9"/>
      <c r="H20" s="10"/>
      <c r="I20" s="30">
        <f t="shared" si="0"/>
        <v>18.017185314226783</v>
      </c>
      <c r="J20" s="30">
        <f t="shared" si="2"/>
        <v>0.234375</v>
      </c>
      <c r="K20" s="34">
        <f t="shared" si="1"/>
        <v>4.2666666666666666</v>
      </c>
    </row>
    <row r="21" spans="2:11" x14ac:dyDescent="0.25">
      <c r="B21" s="18">
        <v>33604</v>
      </c>
      <c r="C21" s="10">
        <v>29.2</v>
      </c>
      <c r="D21" s="30">
        <v>16</v>
      </c>
      <c r="E21" s="8" t="s">
        <v>73</v>
      </c>
      <c r="F21" s="9"/>
      <c r="G21" s="9"/>
      <c r="H21" s="10"/>
      <c r="I21" s="30">
        <f t="shared" si="0"/>
        <v>6.2649820430708489</v>
      </c>
      <c r="J21" s="30">
        <f t="shared" si="2"/>
        <v>0.25</v>
      </c>
      <c r="K21" s="34">
        <f t="shared" si="1"/>
        <v>4</v>
      </c>
    </row>
    <row r="22" spans="2:11" x14ac:dyDescent="0.25">
      <c r="B22" s="18">
        <v>33635</v>
      </c>
      <c r="C22" s="10">
        <v>32.200000000000003</v>
      </c>
      <c r="D22" s="30">
        <v>17</v>
      </c>
      <c r="E22" s="8" t="s">
        <v>74</v>
      </c>
      <c r="F22" s="9"/>
      <c r="G22" s="9"/>
      <c r="H22" s="10"/>
      <c r="I22" s="30">
        <f t="shared" si="0"/>
        <v>17.844774428696574</v>
      </c>
      <c r="J22" s="30">
        <f t="shared" si="2"/>
        <v>0.265625</v>
      </c>
      <c r="K22" s="34">
        <f t="shared" ref="K22:K37" si="3">1/J22</f>
        <v>3.7647058823529411</v>
      </c>
    </row>
    <row r="23" spans="2:11" x14ac:dyDescent="0.25">
      <c r="B23" s="18">
        <v>33664</v>
      </c>
      <c r="C23" s="10">
        <v>27.2</v>
      </c>
      <c r="D23" s="30">
        <v>18</v>
      </c>
      <c r="E23" s="8" t="s">
        <v>75</v>
      </c>
      <c r="F23" s="9"/>
      <c r="G23" s="9"/>
      <c r="H23" s="10"/>
      <c r="I23" s="30">
        <f t="shared" si="0"/>
        <v>16.316523071070044</v>
      </c>
      <c r="J23" s="30">
        <f t="shared" ref="J23:J37" si="4">D23/$J$2</f>
        <v>0.28125</v>
      </c>
      <c r="K23" s="34">
        <f t="shared" si="3"/>
        <v>3.5555555555555554</v>
      </c>
    </row>
    <row r="24" spans="2:11" x14ac:dyDescent="0.25">
      <c r="B24" s="18">
        <v>33695</v>
      </c>
      <c r="C24" s="10">
        <v>23.2</v>
      </c>
      <c r="D24" s="30">
        <v>19</v>
      </c>
      <c r="E24" s="8" t="s">
        <v>76</v>
      </c>
      <c r="F24" s="9"/>
      <c r="G24" s="9"/>
      <c r="H24" s="10"/>
      <c r="I24" s="30">
        <f t="shared" si="0"/>
        <v>8.8767253144212486</v>
      </c>
      <c r="J24" s="30">
        <f t="shared" si="4"/>
        <v>0.296875</v>
      </c>
      <c r="K24" s="34">
        <f t="shared" si="3"/>
        <v>3.3684210526315788</v>
      </c>
    </row>
    <row r="25" spans="2:11" x14ac:dyDescent="0.25">
      <c r="B25" s="18">
        <v>33725</v>
      </c>
      <c r="C25" s="10">
        <v>22.5</v>
      </c>
      <c r="D25" s="30">
        <v>20</v>
      </c>
      <c r="E25" s="8" t="s">
        <v>77</v>
      </c>
      <c r="F25" s="9"/>
      <c r="G25" s="9"/>
      <c r="H25" s="10"/>
      <c r="I25" s="30">
        <f t="shared" si="0"/>
        <v>8.6632310024307841</v>
      </c>
      <c r="J25" s="30">
        <f t="shared" si="4"/>
        <v>0.3125</v>
      </c>
      <c r="K25" s="34">
        <f t="shared" si="3"/>
        <v>3.2</v>
      </c>
    </row>
    <row r="26" spans="2:11" x14ac:dyDescent="0.25">
      <c r="B26" s="18">
        <v>33756</v>
      </c>
      <c r="C26" s="10">
        <v>20.399999999999999</v>
      </c>
      <c r="D26" s="30">
        <v>21</v>
      </c>
      <c r="E26" s="8" t="s">
        <v>78</v>
      </c>
      <c r="F26" s="9"/>
      <c r="G26" s="9"/>
      <c r="H26" s="10"/>
      <c r="I26" s="30">
        <f t="shared" si="0"/>
        <v>10.682191363823136</v>
      </c>
      <c r="J26" s="30">
        <f t="shared" si="4"/>
        <v>0.328125</v>
      </c>
      <c r="K26" s="34">
        <f t="shared" si="3"/>
        <v>3.0476190476190474</v>
      </c>
    </row>
    <row r="27" spans="2:11" x14ac:dyDescent="0.25">
      <c r="B27" s="18">
        <v>33786</v>
      </c>
      <c r="C27" s="10">
        <v>20.5</v>
      </c>
      <c r="D27" s="30">
        <v>22</v>
      </c>
      <c r="E27" s="8" t="s">
        <v>79</v>
      </c>
      <c r="F27" s="9"/>
      <c r="G27" s="9"/>
      <c r="H27" s="10"/>
      <c r="I27" s="30">
        <f t="shared" si="0"/>
        <v>18.614003420098523</v>
      </c>
      <c r="J27" s="30">
        <f t="shared" si="4"/>
        <v>0.34375</v>
      </c>
      <c r="K27" s="34">
        <f t="shared" si="3"/>
        <v>2.9090909090909092</v>
      </c>
    </row>
    <row r="28" spans="2:11" x14ac:dyDescent="0.25">
      <c r="B28" s="18">
        <v>33817</v>
      </c>
      <c r="C28" s="10">
        <v>19.899999999999999</v>
      </c>
      <c r="D28" s="30">
        <v>23</v>
      </c>
      <c r="E28" s="8" t="s">
        <v>80</v>
      </c>
      <c r="F28" s="9"/>
      <c r="G28" s="9"/>
      <c r="H28" s="10"/>
      <c r="I28" s="30">
        <f t="shared" si="0"/>
        <v>13.580178278318723</v>
      </c>
      <c r="J28" s="30">
        <f t="shared" si="4"/>
        <v>0.359375</v>
      </c>
      <c r="K28" s="34">
        <f t="shared" si="3"/>
        <v>2.7826086956521738</v>
      </c>
    </row>
    <row r="29" spans="2:11" x14ac:dyDescent="0.25">
      <c r="B29" s="18">
        <v>33848</v>
      </c>
      <c r="C29" s="10">
        <v>23.5</v>
      </c>
      <c r="D29" s="30">
        <v>24</v>
      </c>
      <c r="E29" s="8" t="s">
        <v>81</v>
      </c>
      <c r="F29" s="9"/>
      <c r="G29" s="9"/>
      <c r="H29" s="10"/>
      <c r="I29" s="30">
        <f t="shared" si="0"/>
        <v>3.8954647157295819</v>
      </c>
      <c r="J29" s="30">
        <f t="shared" si="4"/>
        <v>0.375</v>
      </c>
      <c r="K29" s="34">
        <f t="shared" si="3"/>
        <v>2.6666666666666665</v>
      </c>
    </row>
    <row r="30" spans="2:11" x14ac:dyDescent="0.25">
      <c r="B30" s="18">
        <v>33878</v>
      </c>
      <c r="C30" s="10">
        <v>22.1</v>
      </c>
      <c r="D30" s="30">
        <v>25</v>
      </c>
      <c r="E30" s="8" t="s">
        <v>82</v>
      </c>
      <c r="F30" s="9"/>
      <c r="G30" s="9"/>
      <c r="H30" s="10"/>
      <c r="I30" s="30">
        <f t="shared" si="0"/>
        <v>19.611592514106345</v>
      </c>
      <c r="J30" s="30">
        <f t="shared" si="4"/>
        <v>0.390625</v>
      </c>
      <c r="K30" s="34">
        <f t="shared" si="3"/>
        <v>2.56</v>
      </c>
    </row>
    <row r="31" spans="2:11" x14ac:dyDescent="0.25">
      <c r="B31" s="18">
        <v>33909</v>
      </c>
      <c r="C31" s="10">
        <v>24.3</v>
      </c>
      <c r="D31" s="30">
        <v>26</v>
      </c>
      <c r="E31" s="8" t="s">
        <v>83</v>
      </c>
      <c r="F31" s="9"/>
      <c r="G31" s="9"/>
      <c r="H31" s="10"/>
      <c r="I31" s="30">
        <f t="shared" si="0"/>
        <v>8.0812104169242254</v>
      </c>
      <c r="J31" s="30">
        <f t="shared" si="4"/>
        <v>0.40625</v>
      </c>
      <c r="K31" s="34">
        <f t="shared" si="3"/>
        <v>2.4615384615384617</v>
      </c>
    </row>
    <row r="32" spans="2:11" x14ac:dyDescent="0.25">
      <c r="B32" s="18">
        <v>33939</v>
      </c>
      <c r="C32" s="10">
        <v>25.3</v>
      </c>
      <c r="D32" s="30">
        <v>27</v>
      </c>
      <c r="E32" s="8" t="s">
        <v>84</v>
      </c>
      <c r="F32" s="9"/>
      <c r="G32" s="9"/>
      <c r="H32" s="10"/>
      <c r="I32" s="30">
        <f t="shared" si="0"/>
        <v>7.4725179274978419</v>
      </c>
      <c r="J32" s="30">
        <f t="shared" si="4"/>
        <v>0.421875</v>
      </c>
      <c r="K32" s="34">
        <f t="shared" si="3"/>
        <v>2.3703703703703702</v>
      </c>
    </row>
    <row r="33" spans="2:11" x14ac:dyDescent="0.25">
      <c r="B33" s="18">
        <v>33970</v>
      </c>
      <c r="C33" s="10">
        <v>27.8</v>
      </c>
      <c r="D33" s="30">
        <v>28</v>
      </c>
      <c r="E33" s="8" t="s">
        <v>85</v>
      </c>
      <c r="F33" s="9"/>
      <c r="G33" s="9"/>
      <c r="H33" s="10"/>
      <c r="I33" s="30">
        <f t="shared" si="0"/>
        <v>16.187794594625068</v>
      </c>
      <c r="J33" s="30">
        <f t="shared" si="4"/>
        <v>0.4375</v>
      </c>
      <c r="K33" s="34">
        <f t="shared" si="3"/>
        <v>2.2857142857142856</v>
      </c>
    </row>
    <row r="34" spans="2:11" x14ac:dyDescent="0.25">
      <c r="B34" s="18">
        <v>34001</v>
      </c>
      <c r="C34" s="10">
        <v>29.9</v>
      </c>
      <c r="D34" s="30">
        <v>29</v>
      </c>
      <c r="E34" s="8" t="s">
        <v>86</v>
      </c>
      <c r="F34" s="9"/>
      <c r="G34" s="9"/>
      <c r="H34" s="10"/>
      <c r="I34" s="30">
        <f t="shared" si="0"/>
        <v>9.191991455842544</v>
      </c>
      <c r="J34" s="30">
        <f t="shared" si="4"/>
        <v>0.453125</v>
      </c>
      <c r="K34" s="34">
        <f t="shared" si="3"/>
        <v>2.2068965517241379</v>
      </c>
    </row>
    <row r="35" spans="2:11" x14ac:dyDescent="0.25">
      <c r="B35" s="18">
        <v>34029</v>
      </c>
      <c r="C35" s="10">
        <v>25.2</v>
      </c>
      <c r="D35" s="30">
        <v>30</v>
      </c>
      <c r="E35" s="8" t="s">
        <v>87</v>
      </c>
      <c r="F35" s="9"/>
      <c r="G35" s="9"/>
      <c r="H35" s="10"/>
      <c r="I35" s="30">
        <f t="shared" si="0"/>
        <v>14.035382049887541</v>
      </c>
      <c r="J35" s="30">
        <f t="shared" si="4"/>
        <v>0.46875</v>
      </c>
      <c r="K35" s="34">
        <f t="shared" si="3"/>
        <v>2.1333333333333333</v>
      </c>
    </row>
    <row r="36" spans="2:11" x14ac:dyDescent="0.25">
      <c r="B36" s="18">
        <v>34060</v>
      </c>
      <c r="C36" s="10">
        <v>23.4</v>
      </c>
      <c r="D36" s="30">
        <v>31</v>
      </c>
      <c r="E36" s="8" t="s">
        <v>88</v>
      </c>
      <c r="F36" s="9"/>
      <c r="G36" s="9"/>
      <c r="H36" s="10"/>
      <c r="I36" s="30">
        <f t="shared" si="0"/>
        <v>14.718853001356546</v>
      </c>
      <c r="J36" s="30">
        <f t="shared" si="4"/>
        <v>0.484375</v>
      </c>
      <c r="K36" s="34">
        <f t="shared" si="3"/>
        <v>2.064516129032258</v>
      </c>
    </row>
    <row r="37" spans="2:11" x14ac:dyDescent="0.25">
      <c r="B37" s="18">
        <v>34090</v>
      </c>
      <c r="C37" s="10">
        <v>21.6</v>
      </c>
      <c r="D37" s="30">
        <v>32</v>
      </c>
      <c r="E37" s="8" t="s">
        <v>89</v>
      </c>
      <c r="F37" s="9"/>
      <c r="G37" s="9"/>
      <c r="H37" s="10"/>
      <c r="I37" s="30">
        <f t="shared" ref="I37:I68" si="5">IMABS(E37)</f>
        <v>6.5</v>
      </c>
      <c r="J37" s="30">
        <f t="shared" si="4"/>
        <v>0.5</v>
      </c>
      <c r="K37" s="34">
        <f t="shared" si="3"/>
        <v>2</v>
      </c>
    </row>
    <row r="38" spans="2:11" x14ac:dyDescent="0.25">
      <c r="B38" s="18">
        <v>34121</v>
      </c>
      <c r="C38" s="10">
        <v>22.8</v>
      </c>
      <c r="D38" s="30">
        <v>33</v>
      </c>
      <c r="E38" s="8" t="s">
        <v>90</v>
      </c>
      <c r="F38" s="9"/>
      <c r="G38" s="9"/>
      <c r="H38" s="10"/>
      <c r="I38" s="30">
        <f t="shared" si="5"/>
        <v>14.718853001356749</v>
      </c>
      <c r="J38" s="30">
        <f>-($J$2-D38)/$J$2</f>
        <v>-0.484375</v>
      </c>
      <c r="K38" s="34">
        <f t="shared" ref="K38:K53" si="6">1/J38</f>
        <v>-2.064516129032258</v>
      </c>
    </row>
    <row r="39" spans="2:11" x14ac:dyDescent="0.25">
      <c r="B39" s="18">
        <v>34151</v>
      </c>
      <c r="C39" s="10">
        <v>23.3</v>
      </c>
      <c r="D39" s="30">
        <v>34</v>
      </c>
      <c r="E39" s="8" t="s">
        <v>91</v>
      </c>
      <c r="F39" s="9"/>
      <c r="G39" s="9"/>
      <c r="H39" s="10"/>
      <c r="I39" s="30">
        <f t="shared" si="5"/>
        <v>14.03538204988763</v>
      </c>
      <c r="J39" s="30">
        <f t="shared" ref="J39:J54" si="7">-($J$2-D39)/$J$2</f>
        <v>-0.46875</v>
      </c>
      <c r="K39" s="34">
        <f t="shared" si="6"/>
        <v>-2.1333333333333333</v>
      </c>
    </row>
    <row r="40" spans="2:11" x14ac:dyDescent="0.25">
      <c r="B40" s="18">
        <v>34182</v>
      </c>
      <c r="C40" s="10">
        <v>23.4</v>
      </c>
      <c r="D40" s="30">
        <v>35</v>
      </c>
      <c r="E40" s="8" t="s">
        <v>92</v>
      </c>
      <c r="F40" s="9"/>
      <c r="G40" s="9"/>
      <c r="H40" s="10"/>
      <c r="I40" s="30">
        <f t="shared" si="5"/>
        <v>9.1919914558424942</v>
      </c>
      <c r="J40" s="30">
        <f t="shared" si="7"/>
        <v>-0.453125</v>
      </c>
      <c r="K40" s="34">
        <f t="shared" si="6"/>
        <v>-2.2068965517241379</v>
      </c>
    </row>
    <row r="41" spans="2:11" x14ac:dyDescent="0.25">
      <c r="B41" s="18">
        <v>34213</v>
      </c>
      <c r="C41" s="10">
        <v>21.4</v>
      </c>
      <c r="D41" s="30">
        <v>36</v>
      </c>
      <c r="E41" s="8" t="s">
        <v>93</v>
      </c>
      <c r="F41" s="9"/>
      <c r="G41" s="9"/>
      <c r="H41" s="10"/>
      <c r="I41" s="30">
        <f t="shared" si="5"/>
        <v>16.187794594625061</v>
      </c>
      <c r="J41" s="30">
        <f t="shared" si="7"/>
        <v>-0.4375</v>
      </c>
      <c r="K41" s="34">
        <f t="shared" si="6"/>
        <v>-2.2857142857142856</v>
      </c>
    </row>
    <row r="42" spans="2:11" x14ac:dyDescent="0.25">
      <c r="B42" s="18">
        <v>34243</v>
      </c>
      <c r="C42" s="10">
        <v>25.3</v>
      </c>
      <c r="D42" s="30">
        <v>37</v>
      </c>
      <c r="E42" s="8" t="s">
        <v>94</v>
      </c>
      <c r="F42" s="9"/>
      <c r="G42" s="9"/>
      <c r="H42" s="10"/>
      <c r="I42" s="30">
        <f t="shared" si="5"/>
        <v>7.4725179274978775</v>
      </c>
      <c r="J42" s="30">
        <f t="shared" si="7"/>
        <v>-0.421875</v>
      </c>
      <c r="K42" s="34">
        <f t="shared" si="6"/>
        <v>-2.3703703703703702</v>
      </c>
    </row>
    <row r="43" spans="2:11" x14ac:dyDescent="0.25">
      <c r="B43" s="18">
        <v>34274</v>
      </c>
      <c r="C43" s="10">
        <v>28.9</v>
      </c>
      <c r="D43" s="30">
        <v>38</v>
      </c>
      <c r="E43" s="8" t="s">
        <v>95</v>
      </c>
      <c r="F43" s="9"/>
      <c r="G43" s="9"/>
      <c r="H43" s="10"/>
      <c r="I43" s="30">
        <f t="shared" si="5"/>
        <v>8.0812104169242929</v>
      </c>
      <c r="J43" s="30">
        <f t="shared" si="7"/>
        <v>-0.40625</v>
      </c>
      <c r="K43" s="34">
        <f t="shared" si="6"/>
        <v>-2.4615384615384617</v>
      </c>
    </row>
    <row r="44" spans="2:11" x14ac:dyDescent="0.25">
      <c r="B44" s="18">
        <v>34304</v>
      </c>
      <c r="C44" s="10">
        <v>28.7</v>
      </c>
      <c r="D44" s="30">
        <v>39</v>
      </c>
      <c r="E44" s="8" t="s">
        <v>96</v>
      </c>
      <c r="F44" s="9"/>
      <c r="G44" s="9"/>
      <c r="H44" s="10"/>
      <c r="I44" s="30">
        <f t="shared" si="5"/>
        <v>19.611592514106427</v>
      </c>
      <c r="J44" s="30">
        <f t="shared" si="7"/>
        <v>-0.390625</v>
      </c>
      <c r="K44" s="34">
        <f t="shared" si="6"/>
        <v>-2.56</v>
      </c>
    </row>
    <row r="45" spans="2:11" x14ac:dyDescent="0.25">
      <c r="B45" s="18">
        <v>34335</v>
      </c>
      <c r="C45" s="10">
        <v>35.4</v>
      </c>
      <c r="D45" s="30">
        <v>40</v>
      </c>
      <c r="E45" s="8" t="s">
        <v>97</v>
      </c>
      <c r="F45" s="9"/>
      <c r="G45" s="9"/>
      <c r="H45" s="10"/>
      <c r="I45" s="30">
        <f t="shared" si="5"/>
        <v>3.8954647157295814</v>
      </c>
      <c r="J45" s="30">
        <f t="shared" si="7"/>
        <v>-0.375</v>
      </c>
      <c r="K45" s="34">
        <f t="shared" si="6"/>
        <v>-2.6666666666666665</v>
      </c>
    </row>
    <row r="46" spans="2:11" x14ac:dyDescent="0.25">
      <c r="B46" s="18">
        <v>34366</v>
      </c>
      <c r="C46" s="10">
        <v>32.5</v>
      </c>
      <c r="D46" s="30">
        <v>41</v>
      </c>
      <c r="E46" s="8" t="s">
        <v>98</v>
      </c>
      <c r="F46" s="9"/>
      <c r="G46" s="9"/>
      <c r="H46" s="10"/>
      <c r="I46" s="30">
        <f t="shared" si="5"/>
        <v>13.580178278318709</v>
      </c>
      <c r="J46" s="30">
        <f t="shared" si="7"/>
        <v>-0.359375</v>
      </c>
      <c r="K46" s="34">
        <f t="shared" si="6"/>
        <v>-2.7826086956521738</v>
      </c>
    </row>
    <row r="47" spans="2:11" x14ac:dyDescent="0.25">
      <c r="B47" s="18">
        <v>34394</v>
      </c>
      <c r="C47" s="10">
        <v>31.9</v>
      </c>
      <c r="D47" s="30">
        <v>42</v>
      </c>
      <c r="E47" s="8" t="s">
        <v>99</v>
      </c>
      <c r="F47" s="9"/>
      <c r="G47" s="9"/>
      <c r="H47" s="10"/>
      <c r="I47" s="30">
        <f t="shared" si="5"/>
        <v>18.614003420098527</v>
      </c>
      <c r="J47" s="30">
        <f t="shared" si="7"/>
        <v>-0.34375</v>
      </c>
      <c r="K47" s="34">
        <f t="shared" si="6"/>
        <v>-2.9090909090909092</v>
      </c>
    </row>
    <row r="48" spans="2:11" x14ac:dyDescent="0.25">
      <c r="B48" s="18">
        <v>34425</v>
      </c>
      <c r="C48" s="10">
        <v>28.5</v>
      </c>
      <c r="D48" s="30">
        <v>43</v>
      </c>
      <c r="E48" s="8" t="s">
        <v>100</v>
      </c>
      <c r="F48" s="9"/>
      <c r="G48" s="9"/>
      <c r="H48" s="10"/>
      <c r="I48" s="30">
        <f t="shared" si="5"/>
        <v>10.682191363823124</v>
      </c>
      <c r="J48" s="30">
        <f t="shared" si="7"/>
        <v>-0.328125</v>
      </c>
      <c r="K48" s="34">
        <f t="shared" si="6"/>
        <v>-3.0476190476190474</v>
      </c>
    </row>
    <row r="49" spans="2:11" x14ac:dyDescent="0.25">
      <c r="B49" s="18">
        <v>34455</v>
      </c>
      <c r="C49" s="10">
        <v>25.8</v>
      </c>
      <c r="D49" s="30">
        <v>44</v>
      </c>
      <c r="E49" s="8" t="s">
        <v>101</v>
      </c>
      <c r="F49" s="9"/>
      <c r="G49" s="9"/>
      <c r="H49" s="10"/>
      <c r="I49" s="30">
        <f t="shared" si="5"/>
        <v>8.6632310024307984</v>
      </c>
      <c r="J49" s="30">
        <f t="shared" si="7"/>
        <v>-0.3125</v>
      </c>
      <c r="K49" s="34">
        <f t="shared" si="6"/>
        <v>-3.2</v>
      </c>
    </row>
    <row r="50" spans="2:11" x14ac:dyDescent="0.25">
      <c r="B50" s="18">
        <v>34486</v>
      </c>
      <c r="C50" s="10">
        <v>24.2</v>
      </c>
      <c r="D50" s="30">
        <v>45</v>
      </c>
      <c r="E50" s="8" t="s">
        <v>102</v>
      </c>
      <c r="F50" s="9"/>
      <c r="G50" s="9"/>
      <c r="H50" s="10"/>
      <c r="I50" s="30">
        <f t="shared" si="5"/>
        <v>8.8767253144212983</v>
      </c>
      <c r="J50" s="30">
        <f t="shared" si="7"/>
        <v>-0.296875</v>
      </c>
      <c r="K50" s="34">
        <f t="shared" si="6"/>
        <v>-3.3684210526315788</v>
      </c>
    </row>
    <row r="51" spans="2:11" x14ac:dyDescent="0.25">
      <c r="B51" s="18">
        <v>34516</v>
      </c>
      <c r="C51" s="10">
        <v>23.5</v>
      </c>
      <c r="D51" s="30">
        <v>46</v>
      </c>
      <c r="E51" s="8" t="s">
        <v>103</v>
      </c>
      <c r="F51" s="9"/>
      <c r="G51" s="9"/>
      <c r="H51" s="10"/>
      <c r="I51" s="30">
        <f t="shared" si="5"/>
        <v>16.316523071070034</v>
      </c>
      <c r="J51" s="30">
        <f t="shared" si="7"/>
        <v>-0.28125</v>
      </c>
      <c r="K51" s="34">
        <f t="shared" si="6"/>
        <v>-3.5555555555555554</v>
      </c>
    </row>
    <row r="52" spans="2:11" x14ac:dyDescent="0.25">
      <c r="B52" s="18">
        <v>34547</v>
      </c>
      <c r="C52" s="10">
        <v>24.9</v>
      </c>
      <c r="D52" s="30">
        <v>47</v>
      </c>
      <c r="E52" s="8" t="s">
        <v>104</v>
      </c>
      <c r="F52" s="9"/>
      <c r="G52" s="9"/>
      <c r="H52" s="10"/>
      <c r="I52" s="30">
        <f t="shared" si="5"/>
        <v>17.844774428696564</v>
      </c>
      <c r="J52" s="30">
        <f t="shared" si="7"/>
        <v>-0.265625</v>
      </c>
      <c r="K52" s="34">
        <f t="shared" si="6"/>
        <v>-3.7647058823529411</v>
      </c>
    </row>
    <row r="53" spans="2:11" x14ac:dyDescent="0.25">
      <c r="B53" s="18">
        <v>34578</v>
      </c>
      <c r="C53" s="10">
        <v>27.1</v>
      </c>
      <c r="D53" s="30">
        <v>48</v>
      </c>
      <c r="E53" s="8" t="s">
        <v>105</v>
      </c>
      <c r="F53" s="9"/>
      <c r="G53" s="9"/>
      <c r="H53" s="10"/>
      <c r="I53" s="30">
        <f t="shared" si="5"/>
        <v>6.2649820430708578</v>
      </c>
      <c r="J53" s="30">
        <f t="shared" si="7"/>
        <v>-0.25</v>
      </c>
      <c r="K53" s="34">
        <f t="shared" si="6"/>
        <v>-4</v>
      </c>
    </row>
    <row r="54" spans="2:11" x14ac:dyDescent="0.25">
      <c r="B54" s="18">
        <v>34608</v>
      </c>
      <c r="C54" s="10">
        <v>26.1</v>
      </c>
      <c r="D54" s="30">
        <v>49</v>
      </c>
      <c r="E54" s="8" t="s">
        <v>106</v>
      </c>
      <c r="F54" s="9"/>
      <c r="G54" s="9"/>
      <c r="H54" s="10"/>
      <c r="I54" s="30">
        <f t="shared" si="5"/>
        <v>18.017185314226783</v>
      </c>
      <c r="J54" s="30">
        <f t="shared" si="7"/>
        <v>-0.234375</v>
      </c>
      <c r="K54" s="34">
        <f t="shared" ref="K54:K68" si="8">1/J54</f>
        <v>-4.2666666666666666</v>
      </c>
    </row>
    <row r="55" spans="2:11" x14ac:dyDescent="0.25">
      <c r="B55" s="18">
        <v>34639</v>
      </c>
      <c r="C55" s="10">
        <v>28.1</v>
      </c>
      <c r="D55" s="30">
        <v>50</v>
      </c>
      <c r="E55" s="8" t="s">
        <v>107</v>
      </c>
      <c r="F55" s="9"/>
      <c r="G55" s="9"/>
      <c r="H55" s="10"/>
      <c r="I55" s="30">
        <f t="shared" si="5"/>
        <v>9.9774138617401782</v>
      </c>
      <c r="J55" s="30">
        <f t="shared" ref="J55:J68" si="9">-($J$2-D55)/$J$2</f>
        <v>-0.21875</v>
      </c>
      <c r="K55" s="34">
        <f t="shared" si="8"/>
        <v>-4.5714285714285712</v>
      </c>
    </row>
    <row r="56" spans="2:11" x14ac:dyDescent="0.25">
      <c r="B56" s="18">
        <v>34669</v>
      </c>
      <c r="C56" s="10">
        <v>33.1</v>
      </c>
      <c r="D56" s="30">
        <v>51</v>
      </c>
      <c r="E56" s="8" t="s">
        <v>108</v>
      </c>
      <c r="F56" s="9"/>
      <c r="G56" s="9"/>
      <c r="H56" s="10"/>
      <c r="I56" s="30">
        <f t="shared" si="5"/>
        <v>24.139221265504069</v>
      </c>
      <c r="J56" s="30">
        <f t="shared" si="9"/>
        <v>-0.203125</v>
      </c>
      <c r="K56" s="34">
        <f t="shared" si="8"/>
        <v>-4.9230769230769234</v>
      </c>
    </row>
    <row r="57" spans="2:11" x14ac:dyDescent="0.25">
      <c r="B57" s="18">
        <v>34700</v>
      </c>
      <c r="C57" s="10">
        <v>38.6</v>
      </c>
      <c r="D57" s="30">
        <v>52</v>
      </c>
      <c r="E57" s="8" t="s">
        <v>109</v>
      </c>
      <c r="F57" s="9"/>
      <c r="G57" s="9"/>
      <c r="H57" s="10"/>
      <c r="I57" s="30">
        <f t="shared" si="5"/>
        <v>14.22895621653873</v>
      </c>
      <c r="J57" s="30">
        <f t="shared" si="9"/>
        <v>-0.1875</v>
      </c>
      <c r="K57" s="34">
        <f t="shared" si="8"/>
        <v>-5.333333333333333</v>
      </c>
    </row>
    <row r="58" spans="2:11" x14ac:dyDescent="0.25">
      <c r="B58" s="18">
        <v>34731</v>
      </c>
      <c r="C58" s="10">
        <v>36.5</v>
      </c>
      <c r="D58" s="30">
        <v>53</v>
      </c>
      <c r="E58" s="8" t="s">
        <v>110</v>
      </c>
      <c r="F58" s="9"/>
      <c r="G58" s="9"/>
      <c r="H58" s="10"/>
      <c r="I58" s="30">
        <f t="shared" si="5"/>
        <v>40.933884823557619</v>
      </c>
      <c r="J58" s="30">
        <f t="shared" si="9"/>
        <v>-0.171875</v>
      </c>
      <c r="K58" s="34">
        <f t="shared" si="8"/>
        <v>-5.8181818181818183</v>
      </c>
    </row>
    <row r="59" spans="2:11" x14ac:dyDescent="0.25">
      <c r="B59" s="18">
        <v>34759</v>
      </c>
      <c r="C59" s="10">
        <v>34.4</v>
      </c>
      <c r="D59" s="30">
        <v>54</v>
      </c>
      <c r="E59" s="8" t="s">
        <v>111</v>
      </c>
      <c r="F59" s="9"/>
      <c r="G59" s="9"/>
      <c r="H59" s="10"/>
      <c r="I59" s="30">
        <f t="shared" si="5"/>
        <v>24.52939911389084</v>
      </c>
      <c r="J59" s="30">
        <f t="shared" si="9"/>
        <v>-0.15625</v>
      </c>
      <c r="K59" s="34">
        <f t="shared" si="8"/>
        <v>-6.4</v>
      </c>
    </row>
    <row r="60" spans="2:11" x14ac:dyDescent="0.25">
      <c r="B60" s="18">
        <v>34790</v>
      </c>
      <c r="C60" s="10">
        <v>33.700000000000003</v>
      </c>
      <c r="D60" s="30">
        <v>55</v>
      </c>
      <c r="E60" s="8" t="s">
        <v>112</v>
      </c>
      <c r="F60" s="9"/>
      <c r="G60" s="9"/>
      <c r="H60" s="10"/>
      <c r="I60" s="30">
        <f t="shared" si="5"/>
        <v>30.887384046138425</v>
      </c>
      <c r="J60" s="30">
        <f t="shared" si="9"/>
        <v>-0.140625</v>
      </c>
      <c r="K60" s="34">
        <f t="shared" si="8"/>
        <v>-7.1111111111111107</v>
      </c>
    </row>
    <row r="61" spans="2:11" x14ac:dyDescent="0.25">
      <c r="B61" s="18">
        <v>34820</v>
      </c>
      <c r="C61" s="10">
        <v>27.7</v>
      </c>
      <c r="D61" s="30">
        <v>56</v>
      </c>
      <c r="E61" s="8" t="s">
        <v>113</v>
      </c>
      <c r="F61" s="9"/>
      <c r="G61" s="9"/>
      <c r="H61" s="10"/>
      <c r="I61" s="30">
        <f t="shared" si="5"/>
        <v>22.849187176976525</v>
      </c>
      <c r="J61" s="30">
        <f t="shared" si="9"/>
        <v>-0.125</v>
      </c>
      <c r="K61" s="34">
        <f t="shared" si="8"/>
        <v>-8</v>
      </c>
    </row>
    <row r="62" spans="2:11" x14ac:dyDescent="0.25">
      <c r="B62" s="18">
        <v>34851</v>
      </c>
      <c r="C62" s="10">
        <v>28.1</v>
      </c>
      <c r="D62" s="30">
        <v>57</v>
      </c>
      <c r="E62" s="8" t="s">
        <v>114</v>
      </c>
      <c r="F62" s="9"/>
      <c r="G62" s="9"/>
      <c r="H62" s="10"/>
      <c r="I62" s="30">
        <f t="shared" si="5"/>
        <v>53.827471605423156</v>
      </c>
      <c r="J62" s="30">
        <f t="shared" si="9"/>
        <v>-0.109375</v>
      </c>
      <c r="K62" s="34">
        <f t="shared" si="8"/>
        <v>-9.1428571428571423</v>
      </c>
    </row>
    <row r="63" spans="2:11" x14ac:dyDescent="0.25">
      <c r="B63" s="18">
        <v>34881</v>
      </c>
      <c r="C63" s="10">
        <v>28</v>
      </c>
      <c r="D63" s="30">
        <v>58</v>
      </c>
      <c r="E63" s="8" t="s">
        <v>115</v>
      </c>
      <c r="F63" s="9"/>
      <c r="G63" s="9"/>
      <c r="H63" s="10"/>
      <c r="I63" s="30">
        <f t="shared" si="5"/>
        <v>81.901271098475078</v>
      </c>
      <c r="J63" s="30">
        <f t="shared" si="9"/>
        <v>-9.375E-2</v>
      </c>
      <c r="K63" s="34">
        <f t="shared" si="8"/>
        <v>-10.666666666666666</v>
      </c>
    </row>
    <row r="64" spans="2:11" x14ac:dyDescent="0.25">
      <c r="B64" s="18">
        <v>34912</v>
      </c>
      <c r="C64" s="10">
        <v>29.5</v>
      </c>
      <c r="D64" s="30">
        <v>59</v>
      </c>
      <c r="E64" s="8" t="s">
        <v>116</v>
      </c>
      <c r="F64" s="9"/>
      <c r="G64" s="9"/>
      <c r="H64" s="10"/>
      <c r="I64" s="30">
        <f t="shared" si="5"/>
        <v>90.298299301177877</v>
      </c>
      <c r="J64" s="30">
        <f t="shared" si="9"/>
        <v>-7.8125E-2</v>
      </c>
      <c r="K64" s="34">
        <f t="shared" si="8"/>
        <v>-12.8</v>
      </c>
    </row>
    <row r="65" spans="2:11" x14ac:dyDescent="0.25">
      <c r="B65" s="18">
        <v>34943</v>
      </c>
      <c r="C65" s="10">
        <v>28.1</v>
      </c>
      <c r="D65" s="30">
        <v>60</v>
      </c>
      <c r="E65" s="8" t="s">
        <v>117</v>
      </c>
      <c r="F65" s="9"/>
      <c r="G65" s="9"/>
      <c r="H65" s="10"/>
      <c r="I65" s="30">
        <f t="shared" si="5"/>
        <v>17.085682302693506</v>
      </c>
      <c r="J65" s="30">
        <f t="shared" si="9"/>
        <v>-6.25E-2</v>
      </c>
      <c r="K65" s="34">
        <f t="shared" si="8"/>
        <v>-16</v>
      </c>
    </row>
    <row r="66" spans="2:11" x14ac:dyDescent="0.25">
      <c r="B66" s="18">
        <v>34973</v>
      </c>
      <c r="C66" s="10">
        <v>29.9</v>
      </c>
      <c r="D66" s="30">
        <v>61</v>
      </c>
      <c r="E66" s="8" t="s">
        <v>118</v>
      </c>
      <c r="F66" s="9"/>
      <c r="G66" s="9"/>
      <c r="H66" s="10"/>
      <c r="I66" s="30">
        <f t="shared" si="5"/>
        <v>51.357723231472193</v>
      </c>
      <c r="J66" s="30">
        <f t="shared" si="9"/>
        <v>-4.6875E-2</v>
      </c>
      <c r="K66" s="34">
        <f t="shared" si="8"/>
        <v>-21.333333333333332</v>
      </c>
    </row>
    <row r="67" spans="2:11" x14ac:dyDescent="0.25">
      <c r="B67" s="18">
        <v>35004</v>
      </c>
      <c r="C67" s="10">
        <v>30.2</v>
      </c>
      <c r="D67" s="30">
        <v>62</v>
      </c>
      <c r="E67" s="8" t="s">
        <v>119</v>
      </c>
      <c r="F67" s="9"/>
      <c r="G67" s="9"/>
      <c r="H67" s="10"/>
      <c r="I67" s="30">
        <f t="shared" si="5"/>
        <v>61.858011806523471</v>
      </c>
      <c r="J67" s="30">
        <f t="shared" si="9"/>
        <v>-3.125E-2</v>
      </c>
      <c r="K67" s="34">
        <f t="shared" si="8"/>
        <v>-32</v>
      </c>
    </row>
    <row r="68" spans="2:11" ht="13" thickBot="1" x14ac:dyDescent="0.3">
      <c r="B68" s="18">
        <v>35034</v>
      </c>
      <c r="C68" s="10">
        <v>34</v>
      </c>
      <c r="D68" s="31">
        <v>63</v>
      </c>
      <c r="E68" s="24" t="s">
        <v>120</v>
      </c>
      <c r="F68" s="11"/>
      <c r="G68" s="11"/>
      <c r="H68" s="12"/>
      <c r="I68" s="31">
        <f t="shared" si="5"/>
        <v>122.15186126952256</v>
      </c>
      <c r="J68" s="31">
        <f t="shared" si="9"/>
        <v>-1.5625E-2</v>
      </c>
      <c r="K68" s="35">
        <f t="shared" si="8"/>
        <v>-64</v>
      </c>
    </row>
    <row r="69" spans="2:11" x14ac:dyDescent="0.25">
      <c r="B69" s="18">
        <v>35065</v>
      </c>
      <c r="C69" s="10">
        <v>42.4</v>
      </c>
    </row>
    <row r="70" spans="2:11" x14ac:dyDescent="0.25">
      <c r="B70" s="18">
        <v>35096</v>
      </c>
      <c r="C70" s="10">
        <v>36.9</v>
      </c>
    </row>
    <row r="71" spans="2:11" x14ac:dyDescent="0.25">
      <c r="B71" s="18">
        <v>35125</v>
      </c>
      <c r="C71" s="10">
        <v>34</v>
      </c>
    </row>
    <row r="72" spans="2:11" x14ac:dyDescent="0.25">
      <c r="B72" s="18">
        <v>35156</v>
      </c>
      <c r="C72" s="10">
        <v>32.5</v>
      </c>
    </row>
    <row r="73" spans="2:11" x14ac:dyDescent="0.25">
      <c r="B73" s="18">
        <v>35186</v>
      </c>
      <c r="C73" s="10">
        <v>31.6</v>
      </c>
    </row>
    <row r="74" spans="2:11" x14ac:dyDescent="0.25">
      <c r="B74" s="18">
        <v>35217</v>
      </c>
      <c r="C74" s="10">
        <v>30.8</v>
      </c>
    </row>
    <row r="75" spans="2:11" x14ac:dyDescent="0.25">
      <c r="B75" s="18">
        <v>35247</v>
      </c>
      <c r="C75" s="10">
        <v>30.1</v>
      </c>
    </row>
    <row r="76" spans="2:11" ht="13" thickBot="1" x14ac:dyDescent="0.3">
      <c r="B76" s="19">
        <v>35278</v>
      </c>
      <c r="C76" s="12">
        <v>33.6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ColWidth="8.81640625" defaultRowHeight="12.5" x14ac:dyDescent="0.25"/>
  <cols>
    <col min="2" max="2" width="9.54296875" customWidth="1"/>
    <col min="3" max="3" width="7.26953125" customWidth="1"/>
    <col min="4" max="4" width="11.7265625" customWidth="1"/>
    <col min="5" max="5" width="10.1796875" customWidth="1"/>
  </cols>
  <sheetData>
    <row r="1" spans="1:6" x14ac:dyDescent="0.25">
      <c r="A1" t="s">
        <v>0</v>
      </c>
    </row>
    <row r="2" spans="1:6" ht="13" thickBot="1" x14ac:dyDescent="0.3">
      <c r="A2" t="s">
        <v>121</v>
      </c>
      <c r="D2" t="s">
        <v>122</v>
      </c>
    </row>
    <row r="3" spans="1:6" ht="25.9" customHeight="1" thickBot="1" x14ac:dyDescent="0.3">
      <c r="A3" s="5" t="s">
        <v>123</v>
      </c>
      <c r="B3" s="7">
        <v>-3.932953602990835</v>
      </c>
      <c r="D3" s="25" t="s">
        <v>124</v>
      </c>
      <c r="E3" s="14">
        <f>E82</f>
        <v>1493.743504746383</v>
      </c>
    </row>
    <row r="4" spans="1:6" ht="13.9" customHeight="1" thickBot="1" x14ac:dyDescent="0.3">
      <c r="A4" s="8" t="s">
        <v>125</v>
      </c>
      <c r="B4" s="10">
        <v>0.5252804335597574</v>
      </c>
      <c r="D4" s="25" t="s">
        <v>126</v>
      </c>
      <c r="E4" s="14">
        <f>AVERAGE(B10:B81)</f>
        <v>26.786111111111101</v>
      </c>
    </row>
    <row r="5" spans="1:6" ht="26.5" customHeight="1" thickBot="1" x14ac:dyDescent="0.3">
      <c r="A5" s="8" t="s">
        <v>127</v>
      </c>
      <c r="B5" s="10">
        <v>1.6220197824625571</v>
      </c>
      <c r="D5" s="25" t="s">
        <v>128</v>
      </c>
      <c r="E5" s="14">
        <f>F82</f>
        <v>2051.9461111111109</v>
      </c>
    </row>
    <row r="6" spans="1:6" ht="15" thickBot="1" x14ac:dyDescent="0.3">
      <c r="A6" s="8" t="s">
        <v>129</v>
      </c>
      <c r="B6" s="10">
        <v>26.797961292303984</v>
      </c>
      <c r="D6" s="25" t="s">
        <v>130</v>
      </c>
      <c r="E6" s="14">
        <f>1-E3/E5</f>
        <v>0.27203570471081528</v>
      </c>
    </row>
    <row r="7" spans="1:6" ht="13" thickBot="1" x14ac:dyDescent="0.3">
      <c r="A7" s="11"/>
      <c r="B7" s="12"/>
      <c r="C7" s="23"/>
    </row>
    <row r="8" spans="1:6" ht="13" thickBot="1" x14ac:dyDescent="0.3">
      <c r="C8" s="23"/>
    </row>
    <row r="9" spans="1:6" ht="27.65" customHeight="1" thickBot="1" x14ac:dyDescent="0.3">
      <c r="A9" s="22" t="s">
        <v>50</v>
      </c>
      <c r="B9" s="26" t="s">
        <v>131</v>
      </c>
      <c r="C9" s="27" t="s">
        <v>132</v>
      </c>
      <c r="D9" s="27" t="s">
        <v>133</v>
      </c>
      <c r="E9" s="27" t="s">
        <v>134</v>
      </c>
      <c r="F9" s="28" t="s">
        <v>135</v>
      </c>
    </row>
    <row r="10" spans="1:6" x14ac:dyDescent="0.25">
      <c r="A10" s="20">
        <v>33117</v>
      </c>
      <c r="B10" s="6">
        <v>20.9</v>
      </c>
      <c r="C10" s="6">
        <v>1</v>
      </c>
      <c r="D10" s="6">
        <f>A*SIN(B*t+C_)+D+E*t</f>
        <v>23.500677268108557</v>
      </c>
      <c r="E10" s="6">
        <f>(D10-B10)^2</f>
        <v>6.7635222528565953</v>
      </c>
      <c r="F10" s="7">
        <f t="shared" ref="F10:F41" si="0">(B10-$E$4)^2</f>
        <v>34.646304012345574</v>
      </c>
    </row>
    <row r="11" spans="1:6" x14ac:dyDescent="0.25">
      <c r="A11" s="18">
        <v>33147</v>
      </c>
      <c r="B11" s="9">
        <v>19.399999999999999</v>
      </c>
      <c r="C11" s="9">
        <v>2</v>
      </c>
      <c r="D11" s="9">
        <f t="shared" ref="D11:D26" si="1">A*SIN(B*t+C_)+D+E*t</f>
        <v>25.020245817948719</v>
      </c>
      <c r="E11" s="9">
        <f t="shared" ref="E11:E26" si="2">(D11-B11)^2</f>
        <v>31.587163054170087</v>
      </c>
      <c r="F11" s="10">
        <f t="shared" si="0"/>
        <v>54.554637345678877</v>
      </c>
    </row>
    <row r="12" spans="1:6" x14ac:dyDescent="0.25">
      <c r="A12" s="18">
        <v>33178</v>
      </c>
      <c r="B12" s="9">
        <v>18.899999999999999</v>
      </c>
      <c r="C12" s="9">
        <v>3</v>
      </c>
      <c r="D12" s="9">
        <f t="shared" si="1"/>
        <v>27.019145655282713</v>
      </c>
      <c r="E12" s="9">
        <f t="shared" si="2"/>
        <v>65.920526171696181</v>
      </c>
      <c r="F12" s="10">
        <f t="shared" si="0"/>
        <v>62.190748456789983</v>
      </c>
    </row>
    <row r="13" spans="1:6" x14ac:dyDescent="0.25">
      <c r="A13" s="18">
        <v>33208</v>
      </c>
      <c r="B13" s="9">
        <v>20.399999999999999</v>
      </c>
      <c r="C13" s="9">
        <v>4</v>
      </c>
      <c r="D13" s="9">
        <f t="shared" si="1"/>
        <v>28.958406823206719</v>
      </c>
      <c r="E13" s="9">
        <f t="shared" si="2"/>
        <v>73.24632735151134</v>
      </c>
      <c r="F13" s="10">
        <f t="shared" si="0"/>
        <v>40.782415123456673</v>
      </c>
    </row>
    <row r="14" spans="1:6" x14ac:dyDescent="0.25">
      <c r="A14" s="18">
        <v>33239</v>
      </c>
      <c r="B14" s="9">
        <v>26.3</v>
      </c>
      <c r="C14" s="9">
        <v>5</v>
      </c>
      <c r="D14" s="9">
        <f t="shared" si="1"/>
        <v>30.315139935979779</v>
      </c>
      <c r="E14" s="9">
        <f t="shared" si="2"/>
        <v>16.121348705499699</v>
      </c>
      <c r="F14" s="10">
        <f t="shared" si="0"/>
        <v>0.23630401234566828</v>
      </c>
    </row>
    <row r="15" spans="1:6" x14ac:dyDescent="0.25">
      <c r="A15" s="18">
        <v>33270</v>
      </c>
      <c r="B15" s="9">
        <v>26.4</v>
      </c>
      <c r="C15" s="9">
        <v>6</v>
      </c>
      <c r="D15" s="9">
        <f t="shared" si="1"/>
        <v>30.723524568954424</v>
      </c>
      <c r="E15" s="9">
        <f t="shared" si="2"/>
        <v>18.692864698352551</v>
      </c>
      <c r="F15" s="10">
        <f t="shared" si="0"/>
        <v>0.14908179012344991</v>
      </c>
    </row>
    <row r="16" spans="1:6" x14ac:dyDescent="0.25">
      <c r="A16" s="18">
        <v>33298</v>
      </c>
      <c r="B16" s="9">
        <v>23</v>
      </c>
      <c r="C16" s="9">
        <v>7</v>
      </c>
      <c r="D16" s="9">
        <f t="shared" si="1"/>
        <v>30.073446626404824</v>
      </c>
      <c r="E16" s="9">
        <f t="shared" si="2"/>
        <v>50.033647176597782</v>
      </c>
      <c r="F16" s="10">
        <f t="shared" si="0"/>
        <v>14.334637345678933</v>
      </c>
    </row>
    <row r="17" spans="1:6" x14ac:dyDescent="0.25">
      <c r="A17" s="18">
        <v>33329</v>
      </c>
      <c r="B17" s="9">
        <v>21.5</v>
      </c>
      <c r="C17" s="9">
        <v>8</v>
      </c>
      <c r="D17" s="9">
        <f t="shared" si="1"/>
        <v>28.540188768390319</v>
      </c>
      <c r="E17" s="9">
        <f t="shared" si="2"/>
        <v>49.564257894569195</v>
      </c>
      <c r="F17" s="10">
        <f t="shared" si="0"/>
        <v>27.942970679012237</v>
      </c>
    </row>
    <row r="18" spans="1:6" x14ac:dyDescent="0.25">
      <c r="A18" s="18">
        <v>33359</v>
      </c>
      <c r="B18" s="9">
        <v>20.2</v>
      </c>
      <c r="C18" s="9">
        <v>9</v>
      </c>
      <c r="D18" s="9">
        <f t="shared" si="1"/>
        <v>26.53716836891936</v>
      </c>
      <c r="E18" s="9">
        <f t="shared" si="2"/>
        <v>40.159702936032076</v>
      </c>
      <c r="F18" s="10">
        <f t="shared" si="0"/>
        <v>43.376859567901107</v>
      </c>
    </row>
    <row r="19" spans="1:6" x14ac:dyDescent="0.25">
      <c r="A19" s="18">
        <v>33390</v>
      </c>
      <c r="B19" s="9">
        <v>19.899999999999999</v>
      </c>
      <c r="C19" s="9">
        <v>10</v>
      </c>
      <c r="D19" s="9">
        <f t="shared" si="1"/>
        <v>24.604466425657247</v>
      </c>
      <c r="E19" s="9">
        <f t="shared" si="2"/>
        <v>22.132004350136285</v>
      </c>
      <c r="F19" s="10">
        <f t="shared" si="0"/>
        <v>47.418526234567778</v>
      </c>
    </row>
    <row r="20" spans="1:6" x14ac:dyDescent="0.25">
      <c r="A20" s="18">
        <v>33420</v>
      </c>
      <c r="B20" s="9">
        <v>18.7</v>
      </c>
      <c r="C20" s="9">
        <v>11</v>
      </c>
      <c r="D20" s="9">
        <f t="shared" si="1"/>
        <v>23.263203738962453</v>
      </c>
      <c r="E20" s="9">
        <f t="shared" si="2"/>
        <v>20.822828363280916</v>
      </c>
      <c r="F20" s="10">
        <f t="shared" si="0"/>
        <v>65.385192901234419</v>
      </c>
    </row>
    <row r="21" spans="1:6" x14ac:dyDescent="0.25">
      <c r="A21" s="18">
        <v>33451</v>
      </c>
      <c r="B21" s="9">
        <v>20.3</v>
      </c>
      <c r="C21" s="9">
        <v>12</v>
      </c>
      <c r="D21" s="9">
        <f t="shared" si="1"/>
        <v>22.875029391466732</v>
      </c>
      <c r="E21" s="9">
        <f t="shared" si="2"/>
        <v>6.6307763669175266</v>
      </c>
      <c r="F21" s="10">
        <f t="shared" si="0"/>
        <v>42.069637345678871</v>
      </c>
    </row>
    <row r="22" spans="1:6" x14ac:dyDescent="0.25">
      <c r="A22" s="18">
        <v>33482</v>
      </c>
      <c r="B22" s="9">
        <v>19.2</v>
      </c>
      <c r="C22" s="9">
        <v>13</v>
      </c>
      <c r="D22" s="9">
        <f t="shared" si="1"/>
        <v>23.544608112954638</v>
      </c>
      <c r="E22" s="9">
        <f t="shared" si="2"/>
        <v>18.875619655151265</v>
      </c>
      <c r="F22" s="10">
        <f t="shared" si="0"/>
        <v>57.54908179012331</v>
      </c>
    </row>
    <row r="23" spans="1:6" x14ac:dyDescent="0.25">
      <c r="A23" s="18">
        <v>33512</v>
      </c>
      <c r="B23" s="9">
        <v>21.6</v>
      </c>
      <c r="C23" s="9">
        <v>14</v>
      </c>
      <c r="D23" s="9">
        <f t="shared" si="1"/>
        <v>25.091399184014541</v>
      </c>
      <c r="E23" s="9">
        <f t="shared" si="2"/>
        <v>12.189868262137395</v>
      </c>
      <c r="F23" s="10">
        <f t="shared" si="0"/>
        <v>26.895748456790002</v>
      </c>
    </row>
    <row r="24" spans="1:6" x14ac:dyDescent="0.25">
      <c r="A24" s="18">
        <v>33543</v>
      </c>
      <c r="B24" s="9">
        <v>23.7</v>
      </c>
      <c r="C24" s="9">
        <v>15</v>
      </c>
      <c r="D24" s="9">
        <f t="shared" si="1"/>
        <v>27.098336225762612</v>
      </c>
      <c r="E24" s="9">
        <f t="shared" si="2"/>
        <v>11.54868910333048</v>
      </c>
      <c r="F24" s="10">
        <f t="shared" si="0"/>
        <v>9.5240817901233967</v>
      </c>
    </row>
    <row r="25" spans="1:6" x14ac:dyDescent="0.25">
      <c r="A25" s="18">
        <v>33573</v>
      </c>
      <c r="B25" s="9">
        <v>24.5</v>
      </c>
      <c r="C25" s="9">
        <v>16</v>
      </c>
      <c r="D25" s="9">
        <f t="shared" si="1"/>
        <v>29.024282183356554</v>
      </c>
      <c r="E25" s="9">
        <f t="shared" si="2"/>
        <v>20.469129274637549</v>
      </c>
      <c r="F25" s="10">
        <f t="shared" si="0"/>
        <v>5.2263040123456319</v>
      </c>
    </row>
    <row r="26" spans="1:6" x14ac:dyDescent="0.25">
      <c r="A26" s="18">
        <v>33604</v>
      </c>
      <c r="B26" s="9">
        <v>29.2</v>
      </c>
      <c r="C26" s="9">
        <v>17</v>
      </c>
      <c r="D26" s="9">
        <f t="shared" si="1"/>
        <v>30.349937895139547</v>
      </c>
      <c r="E26" s="9">
        <f t="shared" si="2"/>
        <v>1.3223571626779735</v>
      </c>
      <c r="F26" s="10">
        <f t="shared" si="0"/>
        <v>5.8268595679012813</v>
      </c>
    </row>
    <row r="27" spans="1:6" x14ac:dyDescent="0.25">
      <c r="A27" s="18">
        <v>33635</v>
      </c>
      <c r="B27" s="9">
        <v>32.200000000000003</v>
      </c>
      <c r="C27" s="9">
        <v>18</v>
      </c>
      <c r="D27" s="9">
        <f t="shared" ref="D27:D42" si="3">A*SIN(B*t+C_)+D+E*t</f>
        <v>30.717862438607973</v>
      </c>
      <c r="E27" s="9">
        <f t="shared" ref="E27:E42" si="4">(D27-B27)^2</f>
        <v>2.1967317508891124</v>
      </c>
      <c r="F27" s="10">
        <f t="shared" si="0"/>
        <v>29.310192901234711</v>
      </c>
    </row>
    <row r="28" spans="1:6" x14ac:dyDescent="0.25">
      <c r="A28" s="18">
        <v>33664</v>
      </c>
      <c r="B28" s="9">
        <v>27.2</v>
      </c>
      <c r="C28" s="9">
        <v>19</v>
      </c>
      <c r="D28" s="9">
        <f t="shared" si="3"/>
        <v>30.028851105435123</v>
      </c>
      <c r="E28" s="9">
        <f t="shared" si="4"/>
        <v>8.0023985767215233</v>
      </c>
      <c r="F28" s="10">
        <f t="shared" si="0"/>
        <v>0.17130401234568698</v>
      </c>
    </row>
    <row r="29" spans="1:6" x14ac:dyDescent="0.25">
      <c r="A29" s="18">
        <v>33695</v>
      </c>
      <c r="B29" s="9">
        <v>23.2</v>
      </c>
      <c r="C29" s="9">
        <v>20</v>
      </c>
      <c r="D29" s="9">
        <f t="shared" si="3"/>
        <v>28.468684294223507</v>
      </c>
      <c r="E29" s="9">
        <f t="shared" si="4"/>
        <v>27.759034192197465</v>
      </c>
      <c r="F29" s="10">
        <f t="shared" si="0"/>
        <v>12.860192901234498</v>
      </c>
    </row>
    <row r="30" spans="1:6" x14ac:dyDescent="0.25">
      <c r="A30" s="18">
        <v>33725</v>
      </c>
      <c r="B30" s="9">
        <v>22.5</v>
      </c>
      <c r="C30" s="9">
        <v>21</v>
      </c>
      <c r="D30" s="9">
        <f t="shared" si="3"/>
        <v>26.458034928796575</v>
      </c>
      <c r="E30" s="9">
        <f t="shared" si="4"/>
        <v>15.666040497573711</v>
      </c>
      <c r="F30" s="10">
        <f t="shared" si="0"/>
        <v>18.370748456790036</v>
      </c>
    </row>
    <row r="31" spans="1:6" x14ac:dyDescent="0.25">
      <c r="A31" s="18">
        <v>33756</v>
      </c>
      <c r="B31" s="9">
        <v>20.399999999999999</v>
      </c>
      <c r="C31" s="9">
        <v>22</v>
      </c>
      <c r="D31" s="9">
        <f t="shared" si="3"/>
        <v>24.539041030075978</v>
      </c>
      <c r="E31" s="9">
        <f t="shared" si="4"/>
        <v>17.131660648652428</v>
      </c>
      <c r="F31" s="10">
        <f t="shared" si="0"/>
        <v>40.782415123456673</v>
      </c>
    </row>
    <row r="32" spans="1:6" x14ac:dyDescent="0.25">
      <c r="A32" s="18">
        <v>33786</v>
      </c>
      <c r="B32" s="9">
        <v>20.5</v>
      </c>
      <c r="C32" s="9">
        <v>23</v>
      </c>
      <c r="D32" s="9">
        <f t="shared" si="3"/>
        <v>23.229127253151788</v>
      </c>
      <c r="E32" s="9">
        <f t="shared" si="4"/>
        <v>7.4481355638958213</v>
      </c>
      <c r="F32" s="10">
        <f t="shared" si="0"/>
        <v>39.515192901234435</v>
      </c>
    </row>
    <row r="33" spans="1:6" x14ac:dyDescent="0.25">
      <c r="A33" s="18">
        <v>33817</v>
      </c>
      <c r="B33" s="9">
        <v>19.899999999999999</v>
      </c>
      <c r="C33" s="9">
        <v>24</v>
      </c>
      <c r="D33" s="9">
        <f t="shared" si="3"/>
        <v>22.881489970703782</v>
      </c>
      <c r="E33" s="9">
        <f t="shared" si="4"/>
        <v>8.8892824454072503</v>
      </c>
      <c r="F33" s="10">
        <f t="shared" si="0"/>
        <v>47.418526234567778</v>
      </c>
    </row>
    <row r="34" spans="1:6" x14ac:dyDescent="0.25">
      <c r="A34" s="18">
        <v>33848</v>
      </c>
      <c r="B34" s="9">
        <v>23.5</v>
      </c>
      <c r="C34" s="9">
        <v>25</v>
      </c>
      <c r="D34" s="9">
        <f t="shared" si="3"/>
        <v>23.589863769948224</v>
      </c>
      <c r="E34" s="9">
        <f t="shared" si="4"/>
        <v>8.0754971493072637E-3</v>
      </c>
      <c r="F34" s="10">
        <f t="shared" si="0"/>
        <v>10.798526234567833</v>
      </c>
    </row>
    <row r="35" spans="1:6" x14ac:dyDescent="0.25">
      <c r="A35" s="18">
        <v>33878</v>
      </c>
      <c r="B35" s="9">
        <v>22.1</v>
      </c>
      <c r="C35" s="9">
        <v>26</v>
      </c>
      <c r="D35" s="9">
        <f t="shared" si="3"/>
        <v>25.163247486684817</v>
      </c>
      <c r="E35" s="9">
        <f t="shared" si="4"/>
        <v>9.3834851646808399</v>
      </c>
      <c r="F35" s="10">
        <f t="shared" si="0"/>
        <v>21.959637345678903</v>
      </c>
    </row>
    <row r="36" spans="1:6" x14ac:dyDescent="0.25">
      <c r="A36" s="18">
        <v>33909</v>
      </c>
      <c r="B36" s="9">
        <v>24.3</v>
      </c>
      <c r="C36" s="9">
        <v>27</v>
      </c>
      <c r="D36" s="9">
        <f t="shared" si="3"/>
        <v>27.177404479254861</v>
      </c>
      <c r="E36" s="9">
        <f t="shared" si="4"/>
        <v>8.2794565372359319</v>
      </c>
      <c r="F36" s="10">
        <f t="shared" si="0"/>
        <v>6.1807484567900683</v>
      </c>
    </row>
    <row r="37" spans="1:6" x14ac:dyDescent="0.25">
      <c r="A37" s="18">
        <v>33939</v>
      </c>
      <c r="B37" s="9">
        <v>25.3</v>
      </c>
      <c r="C37" s="9">
        <v>28</v>
      </c>
      <c r="D37" s="9">
        <f t="shared" si="3"/>
        <v>29.089250953659512</v>
      </c>
      <c r="E37" s="9">
        <f t="shared" si="4"/>
        <v>14.358422789809516</v>
      </c>
      <c r="F37" s="10">
        <f t="shared" si="0"/>
        <v>2.2085262345678682</v>
      </c>
    </row>
    <row r="38" spans="1:6" x14ac:dyDescent="0.25">
      <c r="A38" s="18">
        <v>33970</v>
      </c>
      <c r="B38" s="9">
        <v>27.8</v>
      </c>
      <c r="C38" s="9">
        <v>29</v>
      </c>
      <c r="D38" s="9">
        <f t="shared" si="3"/>
        <v>30.383289438404184</v>
      </c>
      <c r="E38" s="9">
        <f t="shared" si="4"/>
        <v>6.6733843225705991</v>
      </c>
      <c r="F38" s="10">
        <f t="shared" si="0"/>
        <v>1.0279706790123682</v>
      </c>
    </row>
    <row r="39" spans="1:6" x14ac:dyDescent="0.25">
      <c r="A39" s="18">
        <v>34001</v>
      </c>
      <c r="B39" s="9">
        <v>29.9</v>
      </c>
      <c r="C39" s="9">
        <v>30</v>
      </c>
      <c r="D39" s="9">
        <f t="shared" si="3"/>
        <v>30.710604068207232</v>
      </c>
      <c r="E39" s="9">
        <f t="shared" si="4"/>
        <v>0.65707895539411698</v>
      </c>
      <c r="F39" s="10">
        <f t="shared" si="0"/>
        <v>9.6963040123457347</v>
      </c>
    </row>
    <row r="40" spans="1:6" x14ac:dyDescent="0.25">
      <c r="A40" s="18">
        <v>34029</v>
      </c>
      <c r="B40" s="9">
        <v>25.2</v>
      </c>
      <c r="C40" s="9">
        <v>31</v>
      </c>
      <c r="D40" s="9">
        <f t="shared" si="3"/>
        <v>29.982939919723311</v>
      </c>
      <c r="E40" s="9">
        <f t="shared" si="4"/>
        <v>22.876514275682837</v>
      </c>
      <c r="F40" s="10">
        <f t="shared" si="0"/>
        <v>2.5157484567900927</v>
      </c>
    </row>
    <row r="41" spans="1:6" x14ac:dyDescent="0.25">
      <c r="A41" s="18">
        <v>34060</v>
      </c>
      <c r="B41" s="9">
        <v>23.4</v>
      </c>
      <c r="C41" s="9">
        <v>32</v>
      </c>
      <c r="D41" s="9">
        <f t="shared" si="3"/>
        <v>28.396499477651162</v>
      </c>
      <c r="E41" s="9">
        <f t="shared" si="4"/>
        <v>24.965007030168344</v>
      </c>
      <c r="F41" s="10">
        <f t="shared" si="0"/>
        <v>11.465748456790063</v>
      </c>
    </row>
    <row r="42" spans="1:6" x14ac:dyDescent="0.25">
      <c r="A42" s="18">
        <v>34090</v>
      </c>
      <c r="B42" s="9">
        <v>21.6</v>
      </c>
      <c r="C42" s="9">
        <v>33</v>
      </c>
      <c r="D42" s="9">
        <f t="shared" si="3"/>
        <v>26.379039911571883</v>
      </c>
      <c r="E42" s="9">
        <f t="shared" si="4"/>
        <v>22.839222476396984</v>
      </c>
      <c r="F42" s="10">
        <f t="shared" ref="F42:F73" si="5">(B42-$E$4)^2</f>
        <v>26.895748456790002</v>
      </c>
    </row>
    <row r="43" spans="1:6" x14ac:dyDescent="0.25">
      <c r="A43" s="18">
        <v>34121</v>
      </c>
      <c r="B43" s="9">
        <v>22.8</v>
      </c>
      <c r="C43" s="9">
        <v>34</v>
      </c>
      <c r="D43" s="9">
        <f t="shared" ref="D43:D58" si="6">A*SIN(B*t+C_)+D+E*t</f>
        <v>24.474535499273806</v>
      </c>
      <c r="E43" s="9">
        <f t="shared" ref="E43:E58" si="7">(D43-B43)^2</f>
        <v>2.8040691383281717</v>
      </c>
      <c r="F43" s="10">
        <f t="shared" si="5"/>
        <v>15.889081790123369</v>
      </c>
    </row>
    <row r="44" spans="1:6" x14ac:dyDescent="0.25">
      <c r="A44" s="18">
        <v>34151</v>
      </c>
      <c r="B44" s="9">
        <v>23.3</v>
      </c>
      <c r="C44" s="9">
        <v>35</v>
      </c>
      <c r="D44" s="9">
        <f t="shared" si="6"/>
        <v>23.196504047826476</v>
      </c>
      <c r="E44" s="9">
        <f t="shared" si="7"/>
        <v>1.0711412116304489E-2</v>
      </c>
      <c r="F44" s="10">
        <f t="shared" si="5"/>
        <v>12.152970679012268</v>
      </c>
    </row>
    <row r="45" spans="1:6" x14ac:dyDescent="0.25">
      <c r="A45" s="18">
        <v>34182</v>
      </c>
      <c r="B45" s="9">
        <v>23.4</v>
      </c>
      <c r="C45" s="9">
        <v>36</v>
      </c>
      <c r="D45" s="9">
        <f t="shared" si="6"/>
        <v>22.889545393321242</v>
      </c>
      <c r="E45" s="9">
        <f t="shared" si="7"/>
        <v>0.26056390547956382</v>
      </c>
      <c r="F45" s="10">
        <f t="shared" si="5"/>
        <v>11.465748456790063</v>
      </c>
    </row>
    <row r="46" spans="1:6" x14ac:dyDescent="0.25">
      <c r="A46" s="18">
        <v>34213</v>
      </c>
      <c r="B46" s="9">
        <v>21.4</v>
      </c>
      <c r="C46" s="9">
        <v>37</v>
      </c>
      <c r="D46" s="9">
        <f t="shared" si="6"/>
        <v>23.636425810335716</v>
      </c>
      <c r="E46" s="9">
        <f t="shared" si="7"/>
        <v>5.0016004051357701</v>
      </c>
      <c r="F46" s="10">
        <f t="shared" si="5"/>
        <v>29.010192901234472</v>
      </c>
    </row>
    <row r="47" spans="1:6" x14ac:dyDescent="0.25">
      <c r="A47" s="18">
        <v>34243</v>
      </c>
      <c r="B47" s="9">
        <v>25.3</v>
      </c>
      <c r="C47" s="9">
        <v>38</v>
      </c>
      <c r="D47" s="9">
        <f t="shared" si="6"/>
        <v>25.235761468298634</v>
      </c>
      <c r="E47" s="9">
        <f t="shared" si="7"/>
        <v>4.1265889551475267E-3</v>
      </c>
      <c r="F47" s="10">
        <f t="shared" si="5"/>
        <v>2.2085262345678682</v>
      </c>
    </row>
    <row r="48" spans="1:6" x14ac:dyDescent="0.25">
      <c r="A48" s="18">
        <v>34274</v>
      </c>
      <c r="B48" s="9">
        <v>28.9</v>
      </c>
      <c r="C48" s="9">
        <v>39</v>
      </c>
      <c r="D48" s="9">
        <f t="shared" si="6"/>
        <v>27.256318218030867</v>
      </c>
      <c r="E48" s="9">
        <f t="shared" si="7"/>
        <v>2.7016898003772214</v>
      </c>
      <c r="F48" s="10">
        <f t="shared" si="5"/>
        <v>4.4685262345679391</v>
      </c>
    </row>
    <row r="49" spans="1:6" x14ac:dyDescent="0.25">
      <c r="A49" s="18">
        <v>34304</v>
      </c>
      <c r="B49" s="9">
        <v>28.7</v>
      </c>
      <c r="C49" s="9">
        <v>40</v>
      </c>
      <c r="D49" s="9">
        <f t="shared" si="6"/>
        <v>29.153286677899075</v>
      </c>
      <c r="E49" s="9">
        <f t="shared" si="7"/>
        <v>0.20546881236078052</v>
      </c>
      <c r="F49" s="10">
        <f t="shared" si="5"/>
        <v>3.6629706790123824</v>
      </c>
    </row>
    <row r="50" spans="1:6" x14ac:dyDescent="0.25">
      <c r="A50" s="18">
        <v>34335</v>
      </c>
      <c r="B50" s="9">
        <v>35.4</v>
      </c>
      <c r="C50" s="9">
        <v>41</v>
      </c>
      <c r="D50" s="9">
        <f t="shared" si="6"/>
        <v>30.415180984546183</v>
      </c>
      <c r="E50" s="9">
        <f t="shared" si="7"/>
        <v>24.848420616829952</v>
      </c>
      <c r="F50" s="10">
        <f t="shared" si="5"/>
        <v>74.199081790123614</v>
      </c>
    </row>
    <row r="51" spans="1:6" x14ac:dyDescent="0.25">
      <c r="A51" s="18">
        <v>34366</v>
      </c>
      <c r="B51" s="9">
        <v>32.5</v>
      </c>
      <c r="C51" s="9">
        <v>42</v>
      </c>
      <c r="D51" s="9">
        <f t="shared" si="6"/>
        <v>30.701752413464881</v>
      </c>
      <c r="E51" s="9">
        <f t="shared" si="7"/>
        <v>3.2336943824793805</v>
      </c>
      <c r="F51" s="10">
        <f t="shared" si="5"/>
        <v>32.648526234568017</v>
      </c>
    </row>
    <row r="52" spans="1:6" x14ac:dyDescent="0.25">
      <c r="A52" s="18">
        <v>34394</v>
      </c>
      <c r="B52" s="9">
        <v>31.9</v>
      </c>
      <c r="C52" s="9">
        <v>43</v>
      </c>
      <c r="D52" s="9">
        <f t="shared" si="6"/>
        <v>29.935731764963709</v>
      </c>
      <c r="E52" s="9">
        <f t="shared" si="7"/>
        <v>3.8583496991725803</v>
      </c>
      <c r="F52" s="10">
        <f t="shared" si="5"/>
        <v>26.151859567901326</v>
      </c>
    </row>
    <row r="53" spans="1:6" x14ac:dyDescent="0.25">
      <c r="A53" s="18">
        <v>34425</v>
      </c>
      <c r="B53" s="9">
        <v>28.5</v>
      </c>
      <c r="C53" s="9">
        <v>44</v>
      </c>
      <c r="D53" s="9">
        <f t="shared" si="6"/>
        <v>28.323663713367505</v>
      </c>
      <c r="E53" s="9">
        <f t="shared" si="7"/>
        <v>3.1094485983337319E-2</v>
      </c>
      <c r="F53" s="10">
        <f t="shared" si="5"/>
        <v>2.9374151234568258</v>
      </c>
    </row>
    <row r="54" spans="1:6" x14ac:dyDescent="0.25">
      <c r="A54" s="18">
        <v>34455</v>
      </c>
      <c r="B54" s="9">
        <v>25.8</v>
      </c>
      <c r="C54" s="9">
        <v>45</v>
      </c>
      <c r="D54" s="9">
        <f t="shared" si="6"/>
        <v>26.300215485151039</v>
      </c>
      <c r="E54" s="9">
        <f t="shared" si="7"/>
        <v>0.25021553158488863</v>
      </c>
      <c r="F54" s="10">
        <f t="shared" si="5"/>
        <v>0.97241512345676828</v>
      </c>
    </row>
    <row r="55" spans="1:6" x14ac:dyDescent="0.25">
      <c r="A55" s="18">
        <v>34486</v>
      </c>
      <c r="B55" s="9">
        <v>24.2</v>
      </c>
      <c r="C55" s="9">
        <v>46</v>
      </c>
      <c r="D55" s="9">
        <f t="shared" si="6"/>
        <v>24.410976100829465</v>
      </c>
      <c r="E55" s="9">
        <f t="shared" si="7"/>
        <v>4.4510915121205072E-2</v>
      </c>
      <c r="F55" s="10">
        <f t="shared" si="5"/>
        <v>6.6879706790122961</v>
      </c>
    </row>
    <row r="56" spans="1:6" x14ac:dyDescent="0.25">
      <c r="A56" s="18">
        <v>34516</v>
      </c>
      <c r="B56" s="9">
        <v>23.5</v>
      </c>
      <c r="C56" s="9">
        <v>47</v>
      </c>
      <c r="D56" s="9">
        <f t="shared" si="6"/>
        <v>23.165347407624346</v>
      </c>
      <c r="E56" s="9">
        <f t="shared" si="7"/>
        <v>0.11199235758374596</v>
      </c>
      <c r="F56" s="10">
        <f t="shared" si="5"/>
        <v>10.798526234567833</v>
      </c>
    </row>
    <row r="57" spans="1:6" x14ac:dyDescent="0.25">
      <c r="A57" s="18">
        <v>34547</v>
      </c>
      <c r="B57" s="9">
        <v>24.9</v>
      </c>
      <c r="C57" s="9">
        <v>48</v>
      </c>
      <c r="D57" s="9">
        <f t="shared" si="6"/>
        <v>22.899192379035306</v>
      </c>
      <c r="E57" s="9">
        <f t="shared" si="7"/>
        <v>4.0032311361103945</v>
      </c>
      <c r="F57" s="10">
        <f t="shared" si="5"/>
        <v>3.5574151234567566</v>
      </c>
    </row>
    <row r="58" spans="1:6" x14ac:dyDescent="0.25">
      <c r="A58" s="18">
        <v>34578</v>
      </c>
      <c r="B58" s="9">
        <v>27.1</v>
      </c>
      <c r="C58" s="9">
        <v>49</v>
      </c>
      <c r="D58" s="9">
        <f t="shared" si="6"/>
        <v>23.684275273385424</v>
      </c>
      <c r="E58" s="9">
        <f t="shared" si="7"/>
        <v>11.66717540800623</v>
      </c>
      <c r="F58" s="10">
        <f t="shared" si="5"/>
        <v>9.8526234567908613E-2</v>
      </c>
    </row>
    <row r="59" spans="1:6" x14ac:dyDescent="0.25">
      <c r="A59" s="18">
        <v>34608</v>
      </c>
      <c r="B59" s="9">
        <v>26.1</v>
      </c>
      <c r="C59" s="9">
        <v>50</v>
      </c>
      <c r="D59" s="9">
        <f t="shared" ref="D59:D74" si="8">A*SIN(B*t+C_)+D+E*t</f>
        <v>25.308911600121043</v>
      </c>
      <c r="E59" s="9">
        <f t="shared" ref="E59:E74" si="9">(D59-B59)^2</f>
        <v>0.62582085642305119</v>
      </c>
      <c r="F59" s="10">
        <f t="shared" si="5"/>
        <v>0.47074845679010729</v>
      </c>
    </row>
    <row r="60" spans="1:6" x14ac:dyDescent="0.25">
      <c r="A60" s="18">
        <v>34639</v>
      </c>
      <c r="B60" s="9">
        <v>28.1</v>
      </c>
      <c r="C60" s="9">
        <v>51</v>
      </c>
      <c r="D60" s="9">
        <f t="shared" si="8"/>
        <v>27.33504530728263</v>
      </c>
      <c r="E60" s="9">
        <f t="shared" si="9"/>
        <v>0.58515568191032741</v>
      </c>
      <c r="F60" s="10">
        <f t="shared" si="5"/>
        <v>1.7263040123457098</v>
      </c>
    </row>
    <row r="61" spans="1:6" x14ac:dyDescent="0.25">
      <c r="A61" s="18">
        <v>34669</v>
      </c>
      <c r="B61" s="9">
        <v>33.1</v>
      </c>
      <c r="C61" s="9">
        <v>52</v>
      </c>
      <c r="D61" s="9">
        <f t="shared" si="8"/>
        <v>29.216363279808487</v>
      </c>
      <c r="E61" s="9">
        <f t="shared" si="9"/>
        <v>15.082634174419905</v>
      </c>
      <c r="F61" s="10">
        <f t="shared" si="5"/>
        <v>39.865192901234714</v>
      </c>
    </row>
    <row r="62" spans="1:6" x14ac:dyDescent="0.25">
      <c r="A62" s="18">
        <v>34700</v>
      </c>
      <c r="B62" s="9">
        <v>38.6</v>
      </c>
      <c r="C62" s="9">
        <v>53</v>
      </c>
      <c r="D62" s="9">
        <f t="shared" si="8"/>
        <v>30.445599546869857</v>
      </c>
      <c r="E62" s="9">
        <f t="shared" si="9"/>
        <v>66.494246750009097</v>
      </c>
      <c r="F62" s="10">
        <f t="shared" si="5"/>
        <v>139.56797067901263</v>
      </c>
    </row>
    <row r="63" spans="1:6" x14ac:dyDescent="0.25">
      <c r="A63" s="18">
        <v>34731</v>
      </c>
      <c r="B63" s="9">
        <v>36.5</v>
      </c>
      <c r="C63" s="9">
        <v>54</v>
      </c>
      <c r="D63" s="9">
        <f t="shared" si="8"/>
        <v>30.691311078901883</v>
      </c>
      <c r="E63" s="9">
        <f t="shared" si="9"/>
        <v>33.740866982088008</v>
      </c>
      <c r="F63" s="10">
        <f t="shared" si="5"/>
        <v>94.359637345679218</v>
      </c>
    </row>
    <row r="64" spans="1:6" x14ac:dyDescent="0.25">
      <c r="A64" s="18">
        <v>34759</v>
      </c>
      <c r="B64" s="9">
        <v>34.4</v>
      </c>
      <c r="C64" s="9">
        <v>55</v>
      </c>
      <c r="D64" s="9">
        <f t="shared" si="8"/>
        <v>29.887245864995055</v>
      </c>
      <c r="E64" s="9">
        <f t="shared" si="9"/>
        <v>20.364949883004215</v>
      </c>
      <c r="F64" s="10">
        <f t="shared" si="5"/>
        <v>57.971304012345811</v>
      </c>
    </row>
    <row r="65" spans="1:6" x14ac:dyDescent="0.25">
      <c r="A65" s="18">
        <v>34790</v>
      </c>
      <c r="B65" s="9">
        <v>33.700000000000003</v>
      </c>
      <c r="C65" s="9">
        <v>56</v>
      </c>
      <c r="D65" s="9">
        <f t="shared" si="8"/>
        <v>28.250206661141998</v>
      </c>
      <c r="E65" s="9">
        <f t="shared" si="9"/>
        <v>29.700247436261076</v>
      </c>
      <c r="F65" s="10">
        <f t="shared" si="5"/>
        <v>47.801859567901417</v>
      </c>
    </row>
    <row r="66" spans="1:6" x14ac:dyDescent="0.25">
      <c r="A66" s="18">
        <v>34820</v>
      </c>
      <c r="B66" s="9">
        <v>27.7</v>
      </c>
      <c r="C66" s="9">
        <v>57</v>
      </c>
      <c r="D66" s="9">
        <f t="shared" si="8"/>
        <v>26.221593747972751</v>
      </c>
      <c r="E66" s="9">
        <f t="shared" si="9"/>
        <v>2.1856850460332562</v>
      </c>
      <c r="F66" s="10">
        <f t="shared" si="5"/>
        <v>0.83519290123458556</v>
      </c>
    </row>
    <row r="67" spans="1:6" x14ac:dyDescent="0.25">
      <c r="A67" s="18">
        <v>34851</v>
      </c>
      <c r="B67" s="9">
        <v>28.1</v>
      </c>
      <c r="C67" s="9">
        <v>58</v>
      </c>
      <c r="D67" s="9">
        <f t="shared" si="8"/>
        <v>24.348388717043008</v>
      </c>
      <c r="E67" s="9">
        <f t="shared" si="9"/>
        <v>14.074587218410219</v>
      </c>
      <c r="F67" s="10">
        <f t="shared" si="5"/>
        <v>1.7263040123457098</v>
      </c>
    </row>
    <row r="68" spans="1:6" x14ac:dyDescent="0.25">
      <c r="A68" s="18">
        <v>34881</v>
      </c>
      <c r="B68" s="9">
        <v>28</v>
      </c>
      <c r="C68" s="9">
        <v>59</v>
      </c>
      <c r="D68" s="9">
        <f t="shared" si="8"/>
        <v>23.135670019976828</v>
      </c>
      <c r="E68" s="9">
        <f t="shared" si="9"/>
        <v>23.661706154552228</v>
      </c>
      <c r="F68" s="10">
        <f t="shared" si="5"/>
        <v>1.4735262345679263</v>
      </c>
    </row>
    <row r="69" spans="1:6" x14ac:dyDescent="0.25">
      <c r="A69" s="18">
        <v>34912</v>
      </c>
      <c r="B69" s="9">
        <v>29.5</v>
      </c>
      <c r="C69" s="9">
        <v>60</v>
      </c>
      <c r="D69" s="9">
        <f t="shared" si="8"/>
        <v>22.910426999454824</v>
      </c>
      <c r="E69" s="9">
        <f t="shared" si="9"/>
        <v>43.422472329513951</v>
      </c>
      <c r="F69" s="10">
        <f t="shared" si="5"/>
        <v>7.3651929012346242</v>
      </c>
    </row>
    <row r="70" spans="1:6" x14ac:dyDescent="0.25">
      <c r="A70" s="18">
        <v>34943</v>
      </c>
      <c r="B70" s="9">
        <v>28.1</v>
      </c>
      <c r="C70" s="9">
        <v>61</v>
      </c>
      <c r="D70" s="9">
        <f t="shared" si="8"/>
        <v>23.733392674108654</v>
      </c>
      <c r="E70" s="9">
        <f t="shared" si="9"/>
        <v>19.067259538527988</v>
      </c>
      <c r="F70" s="10">
        <f t="shared" si="5"/>
        <v>1.7263040123457098</v>
      </c>
    </row>
    <row r="71" spans="1:6" x14ac:dyDescent="0.25">
      <c r="A71" s="18">
        <v>34973</v>
      </c>
      <c r="B71" s="9">
        <v>29.9</v>
      </c>
      <c r="C71" s="9">
        <v>62</v>
      </c>
      <c r="D71" s="9">
        <f t="shared" si="8"/>
        <v>25.382668094367599</v>
      </c>
      <c r="E71" s="9">
        <f t="shared" si="9"/>
        <v>20.406287545644449</v>
      </c>
      <c r="F71" s="10">
        <f t="shared" si="5"/>
        <v>9.6963040123457347</v>
      </c>
    </row>
    <row r="72" spans="1:6" x14ac:dyDescent="0.25">
      <c r="A72" s="18">
        <v>35004</v>
      </c>
      <c r="B72" s="9">
        <v>30.2</v>
      </c>
      <c r="C72" s="9">
        <v>63</v>
      </c>
      <c r="D72" s="9">
        <f t="shared" si="8"/>
        <v>27.413553688208541</v>
      </c>
      <c r="E72" s="9">
        <f t="shared" si="9"/>
        <v>7.7642830484962202</v>
      </c>
      <c r="F72" s="10">
        <f t="shared" si="5"/>
        <v>11.654637345679077</v>
      </c>
    </row>
    <row r="73" spans="1:6" x14ac:dyDescent="0.25">
      <c r="A73" s="18">
        <v>35034</v>
      </c>
      <c r="B73" s="9">
        <v>34</v>
      </c>
      <c r="C73" s="9">
        <v>64</v>
      </c>
      <c r="D73" s="9">
        <f t="shared" si="8"/>
        <v>29.27845507368939</v>
      </c>
      <c r="E73" s="9">
        <f t="shared" si="9"/>
        <v>22.292986491169465</v>
      </c>
      <c r="F73" s="10">
        <f t="shared" si="5"/>
        <v>52.040192901234718</v>
      </c>
    </row>
    <row r="74" spans="1:6" x14ac:dyDescent="0.25">
      <c r="A74" s="18">
        <v>35065</v>
      </c>
      <c r="B74" s="9">
        <v>42.4</v>
      </c>
      <c r="C74" s="9">
        <v>65</v>
      </c>
      <c r="D74" s="9">
        <f t="shared" si="8"/>
        <v>30.474532738499676</v>
      </c>
      <c r="E74" s="9">
        <f t="shared" si="9"/>
        <v>142.21676940511603</v>
      </c>
      <c r="F74" s="10">
        <f t="shared" ref="F74:F81" si="10">(B74-$E$4)^2</f>
        <v>243.79352623456819</v>
      </c>
    </row>
    <row r="75" spans="1:6" x14ac:dyDescent="0.25">
      <c r="A75" s="18">
        <v>35096</v>
      </c>
      <c r="B75" s="9">
        <v>36.9</v>
      </c>
      <c r="C75" s="9">
        <v>66</v>
      </c>
      <c r="D75" s="9">
        <f t="shared" ref="D75:D81" si="11">A*SIN(B*t+C_)+D+E*t</f>
        <v>30.679284316379661</v>
      </c>
      <c r="E75" s="9">
        <f t="shared" ref="E75:E81" si="12">(D75-B75)^2</f>
        <v>38.697303616440045</v>
      </c>
      <c r="F75" s="10">
        <f t="shared" si="10"/>
        <v>102.2907484567903</v>
      </c>
    </row>
    <row r="76" spans="1:6" x14ac:dyDescent="0.25">
      <c r="A76" s="18">
        <v>35125</v>
      </c>
      <c r="B76" s="9">
        <v>34</v>
      </c>
      <c r="C76" s="9">
        <v>67</v>
      </c>
      <c r="D76" s="9">
        <f t="shared" si="11"/>
        <v>29.837501963972294</v>
      </c>
      <c r="E76" s="9">
        <f t="shared" si="12"/>
        <v>17.326389899934512</v>
      </c>
      <c r="F76" s="10">
        <f t="shared" si="10"/>
        <v>52.040192901234718</v>
      </c>
    </row>
    <row r="77" spans="1:6" x14ac:dyDescent="0.25">
      <c r="A77" s="18">
        <v>35156</v>
      </c>
      <c r="B77" s="9">
        <v>32.5</v>
      </c>
      <c r="C77" s="9">
        <v>68</v>
      </c>
      <c r="D77" s="9">
        <f t="shared" si="11"/>
        <v>28.176158233741486</v>
      </c>
      <c r="E77" s="9">
        <f t="shared" si="12"/>
        <v>18.695607619641549</v>
      </c>
      <c r="F77" s="10">
        <f t="shared" si="10"/>
        <v>32.648526234568017</v>
      </c>
    </row>
    <row r="78" spans="1:6" x14ac:dyDescent="0.25">
      <c r="A78" s="18">
        <v>35186</v>
      </c>
      <c r="B78" s="9">
        <v>31.6</v>
      </c>
      <c r="C78" s="9">
        <v>69</v>
      </c>
      <c r="D78" s="9">
        <f t="shared" si="11"/>
        <v>26.143206715937762</v>
      </c>
      <c r="E78" s="9">
        <f t="shared" si="12"/>
        <v>29.776592944986763</v>
      </c>
      <c r="F78" s="10">
        <f t="shared" si="10"/>
        <v>23.173526234568016</v>
      </c>
    </row>
    <row r="79" spans="1:6" x14ac:dyDescent="0.25">
      <c r="A79" s="18">
        <v>35217</v>
      </c>
      <c r="B79" s="9">
        <v>30.8</v>
      </c>
      <c r="C79" s="9">
        <v>70</v>
      </c>
      <c r="D79" s="9">
        <f t="shared" si="11"/>
        <v>24.286798834396144</v>
      </c>
      <c r="E79" s="9">
        <f t="shared" si="12"/>
        <v>42.421789423623437</v>
      </c>
      <c r="F79" s="10">
        <f t="shared" si="10"/>
        <v>16.111304012345769</v>
      </c>
    </row>
    <row r="80" spans="1:6" x14ac:dyDescent="0.25">
      <c r="A80" s="18">
        <v>35247</v>
      </c>
      <c r="B80" s="9">
        <v>30.1</v>
      </c>
      <c r="C80" s="9">
        <v>71</v>
      </c>
      <c r="D80" s="9">
        <f t="shared" si="11"/>
        <v>23.107483969942486</v>
      </c>
      <c r="E80" s="9">
        <f t="shared" si="12"/>
        <v>48.895280430611322</v>
      </c>
      <c r="F80" s="10">
        <f t="shared" si="10"/>
        <v>10.981859567901312</v>
      </c>
    </row>
    <row r="81" spans="1:6" ht="13" thickBot="1" x14ac:dyDescent="0.3">
      <c r="A81" s="19">
        <v>35278</v>
      </c>
      <c r="B81" s="11">
        <v>33.6</v>
      </c>
      <c r="C81" s="11">
        <v>72</v>
      </c>
      <c r="D81" s="11">
        <f t="shared" si="11"/>
        <v>22.923244679680977</v>
      </c>
      <c r="E81" s="11">
        <f t="shared" si="12"/>
        <v>113.9931041699606</v>
      </c>
      <c r="F81" s="12">
        <f t="shared" si="10"/>
        <v>46.429081790123618</v>
      </c>
    </row>
    <row r="82" spans="1:6" ht="13" thickBot="1" x14ac:dyDescent="0.3">
      <c r="E82" s="15">
        <f>SUM(E10:E81)</f>
        <v>1493.743504746383</v>
      </c>
      <c r="F82" s="15">
        <f>SUM(F10:F81)</f>
        <v>2051.9461111111109</v>
      </c>
    </row>
  </sheetData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Usage Chart</vt:lpstr>
      <vt:lpstr>ANOVA</vt:lpstr>
      <vt:lpstr>Correlation</vt:lpstr>
      <vt:lpstr>Statistics</vt:lpstr>
      <vt:lpstr>FFT</vt:lpstr>
      <vt:lpstr>Fit</vt:lpstr>
      <vt:lpstr>A</vt:lpstr>
      <vt:lpstr>B</vt:lpstr>
      <vt:lpstr>C_</vt:lpstr>
      <vt:lpstr>D</vt:lpstr>
      <vt:lpstr>E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2020-01-27T11:31:56Z</dcterms:created>
  <dcterms:modified xsi:type="dcterms:W3CDTF">2020-01-27T11:31:56Z</dcterms:modified>
</cp:coreProperties>
</file>